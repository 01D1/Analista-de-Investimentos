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 Lacombe\OneDrive\Área de Trabalho\sau\"/>
    </mc:Choice>
  </mc:AlternateContent>
  <xr:revisionPtr revIDLastSave="0" documentId="13_ncr:1_{972AD720-74DD-4060-B0BA-B3F21B1C0C2C}" xr6:coauthVersionLast="47" xr6:coauthVersionMax="47" xr10:uidLastSave="{00000000-0000-0000-0000-000000000000}"/>
  <bookViews>
    <workbookView xWindow="-120" yWindow="-120" windowWidth="29040" windowHeight="15840" tabRatio="818" xr2:uid="{00000000-000D-0000-FFFF-FFFF00000000}"/>
  </bookViews>
  <sheets>
    <sheet name="Dashboard" sheetId="20" r:id="rId1"/>
    <sheet name="WACC" sheetId="21" r:id="rId2"/>
    <sheet name="DRE + DCF" sheetId="24" r:id="rId3"/>
    <sheet name="DRE - Contas Abertas" sheetId="32" r:id="rId4"/>
    <sheet name="Balanço Patrimonial" sheetId="26" r:id="rId5"/>
    <sheet name="Painel de Índices" sheetId="38" r:id="rId6"/>
    <sheet name="Provisões e Processos" sheetId="30" r:id="rId7"/>
    <sheet name="Projeções - Receita" sheetId="28" r:id="rId8"/>
    <sheet name="Projeções - Capex" sheetId="34" r:id="rId9"/>
    <sheet name="Projeções 2023" sheetId="36" state="hidden" r:id="rId10"/>
  </sheets>
  <externalReferences>
    <externalReference r:id="rId11"/>
  </externalReferences>
  <definedNames>
    <definedName name="_xlnm._FilterDatabase" localSheetId="4" hidden="1">'Balanço Patrimonial'!$E$9:$M$64</definedName>
    <definedName name="_xlnm._FilterDatabase" localSheetId="5" hidden="1">'Painel de Índices'!#REF!</definedName>
    <definedName name="_xlnm._FilterDatabase" localSheetId="8" hidden="1">'Projeções - Capex'!#REF!</definedName>
    <definedName name="_xlnm._FilterDatabase" localSheetId="7" hidden="1">'Projeções - Receita'!$E$55:$BE$60</definedName>
    <definedName name="_xlnm._FilterDatabase" localSheetId="9" hidden="1">'Projeções 2023'!#REF!</definedName>
    <definedName name="InfImp22">'[1]Dados Complementares'!$F$11</definedName>
    <definedName name="InfImp23">'[1]Dados Complementares'!$G$11</definedName>
    <definedName name="InfImp24">'[1]Dados Complementares'!$H$11</definedName>
    <definedName name="InfImp25">'[1]Dados Complementares'!$I$11</definedName>
    <definedName name="InfImp26">'[1]Dados Complementares'!$J$11</definedName>
    <definedName name="InfImp27">'[1]Dados Complementares'!$K$11</definedName>
    <definedName name="InfImp28">'[1]Dados Complementares'!$L$11</definedName>
    <definedName name="InfImp29">'[1]Dados Complementares'!$M$11</definedName>
    <definedName name="InfImp30">'[1]Dados Complementares'!$N$11</definedName>
    <definedName name="InfImp32">'[1]Dados Complementares'!$P$11</definedName>
    <definedName name="PIB26_BRASIL">'[1]Dados Complementares'!$J$14</definedName>
    <definedName name="PIB26_CHINA">'[1]Dados Complementares'!$J$15</definedName>
    <definedName name="PIB26_INDIA">'[1]Dados Complementares'!$J$16</definedName>
    <definedName name="PIB26_MUNDO">'[1]Dados Complementares'!$J$20</definedName>
    <definedName name="PIB27_BRASIL">'[1]Dados Complementares'!$K$14</definedName>
    <definedName name="PIB27_INDIA">'[1]Dados Complementares'!$K$16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32" l="1"/>
  <c r="O25" i="24" l="1"/>
  <c r="O20" i="34" l="1"/>
  <c r="O97" i="32"/>
  <c r="O84" i="32"/>
  <c r="O88" i="32"/>
  <c r="O80" i="32"/>
  <c r="O25" i="28"/>
  <c r="O54" i="32"/>
  <c r="O55" i="32" s="1"/>
  <c r="O49" i="32"/>
  <c r="O52" i="32"/>
  <c r="AQ40" i="28" l="1"/>
  <c r="F19" i="21" l="1"/>
  <c r="G19" i="21" s="1"/>
  <c r="H19" i="21" s="1"/>
  <c r="I19" i="21" s="1"/>
  <c r="J19" i="21" s="1"/>
  <c r="K19" i="21" s="1"/>
  <c r="L19" i="21" s="1"/>
  <c r="M19" i="21" s="1"/>
  <c r="N19" i="21" s="1"/>
  <c r="O19" i="21" s="1"/>
  <c r="P19" i="21" s="1"/>
  <c r="Q19" i="21" s="1"/>
  <c r="R19" i="21" s="1"/>
  <c r="S19" i="21" s="1"/>
  <c r="T19" i="21" s="1"/>
  <c r="U19" i="21" s="1"/>
  <c r="V19" i="21" s="1"/>
  <c r="W19" i="21" s="1"/>
  <c r="X19" i="21" s="1"/>
  <c r="Y19" i="21" s="1"/>
  <c r="Z19" i="21" s="1"/>
  <c r="AA19" i="21" s="1"/>
  <c r="AB19" i="21" s="1"/>
  <c r="AC19" i="21" s="1"/>
  <c r="AD19" i="21" s="1"/>
  <c r="AE19" i="21" s="1"/>
  <c r="AF19" i="21" s="1"/>
  <c r="AG19" i="21" s="1"/>
  <c r="AH19" i="21" s="1"/>
  <c r="AI19" i="21" s="1"/>
  <c r="AJ19" i="21" s="1"/>
  <c r="AK19" i="21" s="1"/>
  <c r="AL19" i="21" s="1"/>
  <c r="AM19" i="21" s="1"/>
  <c r="AN19" i="21" s="1"/>
  <c r="AO19" i="21" s="1"/>
  <c r="AP19" i="21" s="1"/>
  <c r="AQ19" i="21" s="1"/>
  <c r="P18" i="21"/>
  <c r="O18" i="21"/>
  <c r="N18" i="21"/>
  <c r="M18" i="21"/>
  <c r="L18" i="21"/>
  <c r="K18" i="21"/>
  <c r="J18" i="21"/>
  <c r="I18" i="21"/>
  <c r="H18" i="21"/>
  <c r="G18" i="21"/>
  <c r="F18" i="21"/>
  <c r="G14" i="21"/>
  <c r="H14" i="21" s="1"/>
  <c r="I14" i="21" s="1"/>
  <c r="J14" i="21" s="1"/>
  <c r="K14" i="21" s="1"/>
  <c r="L14" i="21" s="1"/>
  <c r="M14" i="21" s="1"/>
  <c r="P13" i="21"/>
  <c r="O13" i="21"/>
  <c r="N13" i="21"/>
  <c r="M13" i="21"/>
  <c r="L13" i="21"/>
  <c r="K13" i="21"/>
  <c r="J13" i="21"/>
  <c r="I13" i="21"/>
  <c r="H13" i="21"/>
  <c r="G13" i="21"/>
  <c r="F13" i="21"/>
  <c r="F16" i="21" s="1"/>
  <c r="Q12" i="2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AG12" i="21" s="1"/>
  <c r="AH12" i="21" s="1"/>
  <c r="AI12" i="21" s="1"/>
  <c r="AJ12" i="21" s="1"/>
  <c r="AK12" i="21" s="1"/>
  <c r="AL12" i="21" s="1"/>
  <c r="AM12" i="21" s="1"/>
  <c r="AN12" i="21" s="1"/>
  <c r="AO12" i="21" s="1"/>
  <c r="AP12" i="21" s="1"/>
  <c r="AQ12" i="21" s="1"/>
  <c r="Q11" i="21"/>
  <c r="R11" i="21" s="1"/>
  <c r="S11" i="21" s="1"/>
  <c r="T11" i="21" s="1"/>
  <c r="U11" i="21" s="1"/>
  <c r="V11" i="21" s="1"/>
  <c r="W11" i="21" s="1"/>
  <c r="X11" i="21" s="1"/>
  <c r="Y11" i="21" s="1"/>
  <c r="Z11" i="21" s="1"/>
  <c r="AA11" i="21" s="1"/>
  <c r="AB11" i="21" s="1"/>
  <c r="AC11" i="21" s="1"/>
  <c r="AD11" i="21" s="1"/>
  <c r="AE11" i="21" s="1"/>
  <c r="AF11" i="21" s="1"/>
  <c r="AG11" i="21" s="1"/>
  <c r="AH11" i="21" s="1"/>
  <c r="AI11" i="21" s="1"/>
  <c r="AJ11" i="21" s="1"/>
  <c r="AK11" i="21" s="1"/>
  <c r="AL11" i="21" s="1"/>
  <c r="AM11" i="21" s="1"/>
  <c r="AN11" i="21" s="1"/>
  <c r="AO11" i="21" s="1"/>
  <c r="AP11" i="21" s="1"/>
  <c r="AQ11" i="21" s="1"/>
  <c r="Q10" i="21"/>
  <c r="R10" i="21" s="1"/>
  <c r="I16" i="21" l="1"/>
  <c r="R13" i="21"/>
  <c r="M16" i="21"/>
  <c r="H16" i="21"/>
  <c r="L16" i="21"/>
  <c r="J16" i="21"/>
  <c r="G16" i="21"/>
  <c r="K16" i="21"/>
  <c r="N14" i="2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AG14" i="21" s="1"/>
  <c r="AH14" i="21" s="1"/>
  <c r="AI14" i="21" s="1"/>
  <c r="AJ14" i="21" s="1"/>
  <c r="AK14" i="21" s="1"/>
  <c r="AL14" i="21" s="1"/>
  <c r="AM14" i="21" s="1"/>
  <c r="AN14" i="21" s="1"/>
  <c r="AO14" i="21" s="1"/>
  <c r="AP14" i="21" s="1"/>
  <c r="AQ14" i="21" s="1"/>
  <c r="R18" i="21"/>
  <c r="S10" i="21"/>
  <c r="Q18" i="21"/>
  <c r="Q13" i="21"/>
  <c r="G9" i="21"/>
  <c r="H9" i="21" s="1"/>
  <c r="I9" i="21" s="1"/>
  <c r="J9" i="21" s="1"/>
  <c r="K9" i="21" s="1"/>
  <c r="L9" i="21" s="1"/>
  <c r="M9" i="21" s="1"/>
  <c r="N9" i="21" s="1"/>
  <c r="O9" i="21" s="1"/>
  <c r="P9" i="21" s="1"/>
  <c r="Q9" i="21" s="1"/>
  <c r="R9" i="21" s="1"/>
  <c r="S9" i="21" s="1"/>
  <c r="T9" i="21" s="1"/>
  <c r="U9" i="21" s="1"/>
  <c r="V9" i="21" s="1"/>
  <c r="W9" i="21" s="1"/>
  <c r="X9" i="21" s="1"/>
  <c r="Y9" i="21" s="1"/>
  <c r="Z9" i="21" s="1"/>
  <c r="AA9" i="21" s="1"/>
  <c r="AB9" i="21" s="1"/>
  <c r="AC9" i="21" s="1"/>
  <c r="AD9" i="21" s="1"/>
  <c r="AE9" i="21" s="1"/>
  <c r="AF9" i="21" s="1"/>
  <c r="AG9" i="21" s="1"/>
  <c r="AH9" i="21" s="1"/>
  <c r="AI9" i="21" s="1"/>
  <c r="AJ9" i="21" s="1"/>
  <c r="AK9" i="21" s="1"/>
  <c r="AL9" i="21" s="1"/>
  <c r="AM9" i="21" s="1"/>
  <c r="AN9" i="21" s="1"/>
  <c r="AO9" i="21" s="1"/>
  <c r="AP9" i="21" s="1"/>
  <c r="AQ9" i="21" s="1"/>
  <c r="Q16" i="21" l="1"/>
  <c r="O16" i="21"/>
  <c r="P16" i="21"/>
  <c r="N16" i="21"/>
  <c r="R16" i="21"/>
  <c r="S13" i="21"/>
  <c r="S16" i="21" s="1"/>
  <c r="S18" i="21"/>
  <c r="T10" i="21"/>
  <c r="O34" i="38"/>
  <c r="O35" i="38"/>
  <c r="O33" i="24"/>
  <c r="O26" i="24"/>
  <c r="O24" i="24"/>
  <c r="O22" i="24"/>
  <c r="O19" i="24"/>
  <c r="O20" i="24"/>
  <c r="O28" i="24" s="1"/>
  <c r="O14" i="24"/>
  <c r="O12" i="24"/>
  <c r="O51" i="24"/>
  <c r="O43" i="24" l="1"/>
  <c r="O29" i="24"/>
  <c r="O36" i="24"/>
  <c r="O38" i="24" s="1"/>
  <c r="O39" i="24" s="1"/>
  <c r="O26" i="38"/>
  <c r="O36" i="38"/>
  <c r="O37" i="38" s="1"/>
  <c r="T18" i="21"/>
  <c r="U10" i="21"/>
  <c r="T13" i="21"/>
  <c r="T16" i="21" s="1"/>
  <c r="O25" i="38"/>
  <c r="F10" i="36"/>
  <c r="G10" i="36"/>
  <c r="H10" i="36"/>
  <c r="O43" i="32"/>
  <c r="O30" i="24"/>
  <c r="O31" i="24" s="1"/>
  <c r="O32" i="24" s="1"/>
  <c r="O67" i="32"/>
  <c r="O85" i="32" s="1"/>
  <c r="O87" i="32" s="1"/>
  <c r="O89" i="32" s="1"/>
  <c r="O65" i="28"/>
  <c r="S26" i="34"/>
  <c r="T26" i="34"/>
  <c r="U26" i="34"/>
  <c r="V26" i="34"/>
  <c r="O29" i="26"/>
  <c r="O25" i="26" s="1"/>
  <c r="O24" i="26" s="1"/>
  <c r="O45" i="26"/>
  <c r="O39" i="26" s="1"/>
  <c r="O13" i="26"/>
  <c r="O48" i="26"/>
  <c r="O56" i="26"/>
  <c r="U18" i="21" l="1"/>
  <c r="U13" i="21"/>
  <c r="U16" i="21" s="1"/>
  <c r="V10" i="21"/>
  <c r="O12" i="38"/>
  <c r="O11" i="38"/>
  <c r="O29" i="38"/>
  <c r="O28" i="38"/>
  <c r="O18" i="38"/>
  <c r="O38" i="26"/>
  <c r="O12" i="26"/>
  <c r="Z26" i="34"/>
  <c r="V13" i="21" l="1"/>
  <c r="V16" i="21" s="1"/>
  <c r="V18" i="21"/>
  <c r="W10" i="21"/>
  <c r="O10" i="38"/>
  <c r="O27" i="38"/>
  <c r="O19" i="38"/>
  <c r="W13" i="21" l="1"/>
  <c r="W16" i="21" s="1"/>
  <c r="W18" i="21"/>
  <c r="X10" i="21"/>
  <c r="X18" i="21" l="1"/>
  <c r="X13" i="21"/>
  <c r="X16" i="21" s="1"/>
  <c r="Y10" i="21"/>
  <c r="O93" i="32"/>
  <c r="O95" i="32" s="1"/>
  <c r="O115" i="32"/>
  <c r="O116" i="32" s="1"/>
  <c r="Y18" i="21" l="1"/>
  <c r="Y13" i="21"/>
  <c r="Y16" i="21" s="1"/>
  <c r="Z10" i="21"/>
  <c r="O113" i="32"/>
  <c r="O114" i="32" s="1"/>
  <c r="O111" i="32"/>
  <c r="O112" i="32" s="1"/>
  <c r="Q58" i="28"/>
  <c r="R58" i="28"/>
  <c r="S58" i="28"/>
  <c r="T58" i="28"/>
  <c r="U58" i="28"/>
  <c r="V58" i="28"/>
  <c r="W58" i="28"/>
  <c r="X58" i="28"/>
  <c r="Y58" i="28"/>
  <c r="Z58" i="28"/>
  <c r="P58" i="28"/>
  <c r="Q26" i="34"/>
  <c r="R26" i="34"/>
  <c r="W26" i="34"/>
  <c r="X26" i="34"/>
  <c r="Y26" i="34"/>
  <c r="P26" i="34"/>
  <c r="Z13" i="21" l="1"/>
  <c r="Z16" i="21" s="1"/>
  <c r="Z18" i="21"/>
  <c r="AA10" i="21"/>
  <c r="AA13" i="21" l="1"/>
  <c r="AA16" i="21" s="1"/>
  <c r="AA18" i="21"/>
  <c r="AB10" i="21"/>
  <c r="AB18" i="21" l="1"/>
  <c r="AC10" i="21"/>
  <c r="AB13" i="21"/>
  <c r="AB16" i="21" s="1"/>
  <c r="AC18" i="21" l="1"/>
  <c r="AC13" i="21"/>
  <c r="AC16" i="21" s="1"/>
  <c r="AD10" i="21"/>
  <c r="AD13" i="21" l="1"/>
  <c r="AD16" i="21" s="1"/>
  <c r="AD18" i="21"/>
  <c r="AE10" i="21"/>
  <c r="AE13" i="21" l="1"/>
  <c r="AE16" i="21" s="1"/>
  <c r="AE18" i="21"/>
  <c r="AF10" i="21"/>
  <c r="AF18" i="21" l="1"/>
  <c r="AG10" i="21"/>
  <c r="AF13" i="21"/>
  <c r="AF16" i="21" s="1"/>
  <c r="AG18" i="21" l="1"/>
  <c r="AG13" i="21"/>
  <c r="AG16" i="21" s="1"/>
  <c r="AH10" i="21"/>
  <c r="AH13" i="21" l="1"/>
  <c r="AH16" i="21" s="1"/>
  <c r="AH18" i="21"/>
  <c r="AI10" i="21"/>
  <c r="AI13" i="21" l="1"/>
  <c r="AI16" i="21" s="1"/>
  <c r="AI18" i="21"/>
  <c r="AJ10" i="21"/>
  <c r="AJ18" i="21" l="1"/>
  <c r="AK10" i="21"/>
  <c r="AJ13" i="21"/>
  <c r="AJ16" i="21" s="1"/>
  <c r="AK18" i="21" l="1"/>
  <c r="AK13" i="21"/>
  <c r="AK16" i="21" s="1"/>
  <c r="AL10" i="21"/>
  <c r="AL13" i="21" l="1"/>
  <c r="AL16" i="21" s="1"/>
  <c r="AL18" i="21"/>
  <c r="AM10" i="21"/>
  <c r="AM13" i="21" l="1"/>
  <c r="AM16" i="21" s="1"/>
  <c r="AM18" i="21"/>
  <c r="AN10" i="21"/>
  <c r="AN18" i="21" l="1"/>
  <c r="AO10" i="21"/>
  <c r="AN13" i="21"/>
  <c r="AN16" i="21" s="1"/>
  <c r="AO18" i="21" l="1"/>
  <c r="AO13" i="21"/>
  <c r="AO16" i="21" s="1"/>
  <c r="AP10" i="21"/>
  <c r="AQ10" i="21" l="1"/>
  <c r="AP13" i="21"/>
  <c r="AP16" i="21" s="1"/>
  <c r="AP18" i="21"/>
  <c r="AQ13" i="21" l="1"/>
  <c r="AQ16" i="21" s="1"/>
  <c r="AQ18" i="21"/>
  <c r="AA58" i="28" l="1"/>
  <c r="AB58" i="28" l="1"/>
  <c r="AC58" i="28" l="1"/>
  <c r="AD58" i="28" l="1"/>
  <c r="AE58" i="28" l="1"/>
  <c r="AF58" i="28" l="1"/>
  <c r="AG58" i="28" l="1"/>
  <c r="AH58" i="28" l="1"/>
  <c r="AI58" i="28" l="1"/>
  <c r="AJ58" i="28" l="1"/>
  <c r="AK58" i="28" l="1"/>
  <c r="AL58" i="28" l="1"/>
  <c r="AM58" i="28" l="1"/>
  <c r="AN58" i="28" l="1"/>
  <c r="AO58" i="28" l="1"/>
  <c r="AP58" i="28" l="1"/>
  <c r="AQ58" i="28" l="1"/>
  <c r="AR58" i="28" l="1"/>
  <c r="AS58" i="28" l="1"/>
  <c r="AT58" i="28" l="1"/>
  <c r="AU58" i="28" l="1"/>
  <c r="AV58" i="28" l="1"/>
  <c r="AW58" i="28" l="1"/>
  <c r="AX58" i="28" l="1"/>
  <c r="AY58" i="28" l="1"/>
  <c r="AZ58" i="28" l="1"/>
  <c r="BA58" i="28" l="1"/>
  <c r="P67" i="28" l="1"/>
  <c r="H14" i="36" l="1"/>
  <c r="N65" i="28"/>
  <c r="M65" i="28"/>
  <c r="L65" i="28"/>
  <c r="H12" i="36" l="1"/>
  <c r="M26" i="34"/>
  <c r="L26" i="34"/>
  <c r="K26" i="34"/>
  <c r="J26" i="34"/>
  <c r="I26" i="34"/>
  <c r="H26" i="34"/>
  <c r="G26" i="34"/>
  <c r="F26" i="34"/>
  <c r="N26" i="34"/>
  <c r="M50" i="32"/>
  <c r="L50" i="32"/>
  <c r="K50" i="32"/>
  <c r="J50" i="32"/>
  <c r="I50" i="32"/>
  <c r="H50" i="32"/>
  <c r="G50" i="32"/>
  <c r="F50" i="32"/>
  <c r="F13" i="20"/>
  <c r="G14" i="36" l="1"/>
  <c r="G33" i="30"/>
  <c r="G32" i="30"/>
  <c r="G30" i="30"/>
  <c r="G29" i="30"/>
  <c r="G28" i="30"/>
  <c r="G15" i="36" l="1"/>
  <c r="H15" i="36" l="1"/>
  <c r="G12" i="36" l="1"/>
  <c r="Q14" i="34"/>
  <c r="AF44" i="28"/>
  <c r="F15" i="36" l="1"/>
  <c r="F14" i="36"/>
  <c r="N29" i="26"/>
  <c r="N25" i="26" s="1"/>
  <c r="F3" i="32"/>
  <c r="R25" i="34" l="1"/>
  <c r="S3" i="21"/>
  <c r="J25" i="34"/>
  <c r="K25" i="34" s="1"/>
  <c r="L25" i="34" s="1"/>
  <c r="M25" i="34" s="1"/>
  <c r="H41" i="38"/>
  <c r="G41" i="38" s="1"/>
  <c r="F41" i="38" s="1"/>
  <c r="S25" i="34" l="1"/>
  <c r="T25" i="34" s="1"/>
  <c r="U25" i="34" s="1"/>
  <c r="V25" i="34" s="1"/>
  <c r="W25" i="34" s="1"/>
  <c r="X25" i="34" s="1"/>
  <c r="Y25" i="34" s="1"/>
  <c r="Z25" i="34" s="1"/>
  <c r="F12" i="36"/>
  <c r="F27" i="38"/>
  <c r="G27" i="38"/>
  <c r="H27" i="38"/>
  <c r="I27" i="38"/>
  <c r="J27" i="38"/>
  <c r="K27" i="38"/>
  <c r="L27" i="38"/>
  <c r="M27" i="38"/>
  <c r="F13" i="36" l="1"/>
  <c r="N14" i="34"/>
  <c r="F34" i="38"/>
  <c r="N34" i="38"/>
  <c r="M34" i="38"/>
  <c r="L34" i="38"/>
  <c r="K34" i="38"/>
  <c r="J34" i="38"/>
  <c r="I34" i="38"/>
  <c r="H34" i="38"/>
  <c r="G34" i="38"/>
  <c r="N12" i="24"/>
  <c r="M12" i="24"/>
  <c r="L12" i="24"/>
  <c r="K12" i="24"/>
  <c r="J12" i="24"/>
  <c r="I12" i="24"/>
  <c r="H12" i="24"/>
  <c r="G12" i="24"/>
  <c r="F12" i="24"/>
  <c r="N14" i="24"/>
  <c r="M14" i="24"/>
  <c r="L14" i="24"/>
  <c r="K14" i="24"/>
  <c r="J14" i="24"/>
  <c r="I14" i="24"/>
  <c r="H14" i="24"/>
  <c r="G14" i="24"/>
  <c r="F14" i="24"/>
  <c r="H33" i="38"/>
  <c r="G33" i="38" s="1"/>
  <c r="F33" i="38" s="1"/>
  <c r="H24" i="38"/>
  <c r="G24" i="38" s="1"/>
  <c r="F24" i="38" s="1"/>
  <c r="H17" i="38"/>
  <c r="G17" i="38" s="1"/>
  <c r="F17" i="38" s="1"/>
  <c r="M12" i="38"/>
  <c r="L12" i="38"/>
  <c r="K12" i="38"/>
  <c r="J12" i="38"/>
  <c r="I12" i="38"/>
  <c r="H12" i="38"/>
  <c r="G12" i="38"/>
  <c r="F12" i="38"/>
  <c r="M11" i="38"/>
  <c r="L11" i="38"/>
  <c r="K11" i="38"/>
  <c r="J11" i="38"/>
  <c r="I11" i="38"/>
  <c r="H11" i="38"/>
  <c r="G11" i="38"/>
  <c r="F11" i="38"/>
  <c r="J10" i="38"/>
  <c r="I10" i="38"/>
  <c r="H10" i="38"/>
  <c r="G10" i="38"/>
  <c r="F10" i="38"/>
  <c r="H9" i="38"/>
  <c r="G9" i="38" s="1"/>
  <c r="F9" i="38" s="1"/>
  <c r="O44" i="36"/>
  <c r="N44" i="36"/>
  <c r="M44" i="36"/>
  <c r="L44" i="36"/>
  <c r="O43" i="36"/>
  <c r="N43" i="36"/>
  <c r="M43" i="36"/>
  <c r="L43" i="36"/>
  <c r="O42" i="36"/>
  <c r="N42" i="36"/>
  <c r="M42" i="36"/>
  <c r="L42" i="36"/>
  <c r="O41" i="36"/>
  <c r="N41" i="36"/>
  <c r="M41" i="36"/>
  <c r="L41" i="36"/>
  <c r="O40" i="36"/>
  <c r="N40" i="36"/>
  <c r="M40" i="36"/>
  <c r="L40" i="36"/>
  <c r="O39" i="36"/>
  <c r="N39" i="36"/>
  <c r="M39" i="36"/>
  <c r="L39" i="36"/>
  <c r="O38" i="36"/>
  <c r="N38" i="36"/>
  <c r="M38" i="36"/>
  <c r="L38" i="36"/>
  <c r="O37" i="36"/>
  <c r="N37" i="36"/>
  <c r="M37" i="36"/>
  <c r="L37" i="36"/>
  <c r="O36" i="36"/>
  <c r="N36" i="36"/>
  <c r="M36" i="36"/>
  <c r="L36" i="36"/>
  <c r="O31" i="36"/>
  <c r="N31" i="36"/>
  <c r="M31" i="36"/>
  <c r="L31" i="36"/>
  <c r="O30" i="36"/>
  <c r="N30" i="36"/>
  <c r="M30" i="36"/>
  <c r="L30" i="36"/>
  <c r="O29" i="36"/>
  <c r="N29" i="36"/>
  <c r="M29" i="36"/>
  <c r="L29" i="36"/>
  <c r="O28" i="36"/>
  <c r="N28" i="36"/>
  <c r="M28" i="36"/>
  <c r="L28" i="36"/>
  <c r="O27" i="36"/>
  <c r="N27" i="36"/>
  <c r="M27" i="36"/>
  <c r="L27" i="36"/>
  <c r="O26" i="36"/>
  <c r="N26" i="36"/>
  <c r="M26" i="36"/>
  <c r="L26" i="36"/>
  <c r="O25" i="36"/>
  <c r="N25" i="36"/>
  <c r="M25" i="36"/>
  <c r="L25" i="36"/>
  <c r="O24" i="36"/>
  <c r="N24" i="36"/>
  <c r="M24" i="36"/>
  <c r="L24" i="36"/>
  <c r="O23" i="36"/>
  <c r="N23" i="36"/>
  <c r="M23" i="36"/>
  <c r="L23" i="36"/>
  <c r="I12" i="36" l="1"/>
  <c r="I10" i="36"/>
  <c r="J10" i="36"/>
  <c r="M21" i="34"/>
  <c r="L21" i="34"/>
  <c r="K21" i="34"/>
  <c r="J21" i="34"/>
  <c r="I21" i="34"/>
  <c r="H21" i="34"/>
  <c r="G21" i="34"/>
  <c r="F21" i="34"/>
  <c r="N20" i="34"/>
  <c r="M20" i="34"/>
  <c r="L20" i="34"/>
  <c r="K20" i="34"/>
  <c r="J20" i="34"/>
  <c r="I20" i="34"/>
  <c r="H20" i="34"/>
  <c r="G20" i="34"/>
  <c r="F20" i="34"/>
  <c r="O19" i="34"/>
  <c r="P19" i="34" s="1"/>
  <c r="Q19" i="34" s="1"/>
  <c r="R19" i="34" s="1"/>
  <c r="H19" i="34"/>
  <c r="G19" i="34" s="1"/>
  <c r="F19" i="34" s="1"/>
  <c r="M15" i="34"/>
  <c r="M50" i="24" s="1"/>
  <c r="L15" i="34"/>
  <c r="L50" i="24" s="1"/>
  <c r="K15" i="34"/>
  <c r="K50" i="24" s="1"/>
  <c r="J15" i="34"/>
  <c r="J50" i="24" s="1"/>
  <c r="I15" i="34"/>
  <c r="I50" i="24" s="1"/>
  <c r="H15" i="34"/>
  <c r="H50" i="24" s="1"/>
  <c r="G15" i="34"/>
  <c r="G50" i="24" s="1"/>
  <c r="F15" i="34"/>
  <c r="F50" i="24" s="1"/>
  <c r="N12" i="34"/>
  <c r="O9" i="34"/>
  <c r="P9" i="34" s="1"/>
  <c r="Q9" i="34" s="1"/>
  <c r="R9" i="34" s="1"/>
  <c r="S9" i="34" s="1"/>
  <c r="T9" i="34" s="1"/>
  <c r="U9" i="34" s="1"/>
  <c r="V9" i="34" s="1"/>
  <c r="W9" i="34" s="1"/>
  <c r="X9" i="34" s="1"/>
  <c r="H9" i="34"/>
  <c r="G9" i="34" s="1"/>
  <c r="F9" i="34" s="1"/>
  <c r="Z60" i="28"/>
  <c r="AA60" i="28" s="1"/>
  <c r="AB60" i="28" s="1"/>
  <c r="AC60" i="28" s="1"/>
  <c r="AD60" i="28" s="1"/>
  <c r="AE60" i="28" s="1"/>
  <c r="AF60" i="28" s="1"/>
  <c r="AG60" i="28" s="1"/>
  <c r="AH60" i="28" s="1"/>
  <c r="AI60" i="28" s="1"/>
  <c r="AJ60" i="28" s="1"/>
  <c r="AK60" i="28" s="1"/>
  <c r="AL60" i="28" s="1"/>
  <c r="AM60" i="28" s="1"/>
  <c r="AN60" i="28" s="1"/>
  <c r="AO60" i="28" s="1"/>
  <c r="AP60" i="28" s="1"/>
  <c r="AQ60" i="28" s="1"/>
  <c r="AR60" i="28" s="1"/>
  <c r="AS60" i="28" s="1"/>
  <c r="AT60" i="28" s="1"/>
  <c r="AU60" i="28" s="1"/>
  <c r="AV60" i="28" s="1"/>
  <c r="AW60" i="28" s="1"/>
  <c r="AX60" i="28" s="1"/>
  <c r="AY60" i="28" s="1"/>
  <c r="AZ60" i="28" s="1"/>
  <c r="BA60" i="28" s="1"/>
  <c r="BD43" i="24" s="1"/>
  <c r="K65" i="28"/>
  <c r="S19" i="34" l="1"/>
  <c r="T19" i="34" s="1"/>
  <c r="U19" i="34" s="1"/>
  <c r="V19" i="34" s="1"/>
  <c r="W19" i="34" s="1"/>
  <c r="X19" i="34" s="1"/>
  <c r="O16" i="24"/>
  <c r="O13" i="34"/>
  <c r="O45" i="24"/>
  <c r="O52" i="24"/>
  <c r="O22" i="28"/>
  <c r="N15" i="34"/>
  <c r="N50" i="24" s="1"/>
  <c r="N53" i="32"/>
  <c r="N88" i="32" s="1"/>
  <c r="M53" i="32"/>
  <c r="M88" i="32" s="1"/>
  <c r="L53" i="32"/>
  <c r="L88" i="32" s="1"/>
  <c r="K53" i="32"/>
  <c r="K88" i="32" s="1"/>
  <c r="J53" i="32"/>
  <c r="J88" i="32" s="1"/>
  <c r="I53" i="32"/>
  <c r="I88" i="32" s="1"/>
  <c r="H53" i="32"/>
  <c r="H88" i="32" s="1"/>
  <c r="G53" i="32"/>
  <c r="G88" i="32" s="1"/>
  <c r="F53" i="32"/>
  <c r="F88" i="32" s="1"/>
  <c r="O64" i="28"/>
  <c r="P64" i="28" s="1"/>
  <c r="Q64" i="28" s="1"/>
  <c r="R64" i="28" s="1"/>
  <c r="S64" i="28" s="1"/>
  <c r="T64" i="28" s="1"/>
  <c r="U64" i="28" s="1"/>
  <c r="V64" i="28" s="1"/>
  <c r="W64" i="28" s="1"/>
  <c r="X64" i="28" s="1"/>
  <c r="Y64" i="28" s="1"/>
  <c r="Z64" i="28" s="1"/>
  <c r="AA64" i="28" s="1"/>
  <c r="AB64" i="28" s="1"/>
  <c r="AC64" i="28" s="1"/>
  <c r="AD64" i="28" s="1"/>
  <c r="AE64" i="28" s="1"/>
  <c r="AF64" i="28" s="1"/>
  <c r="AG64" i="28" s="1"/>
  <c r="AH64" i="28" s="1"/>
  <c r="AI64" i="28" s="1"/>
  <c r="AJ64" i="28" s="1"/>
  <c r="AK64" i="28" s="1"/>
  <c r="AL64" i="28" s="1"/>
  <c r="AM64" i="28" s="1"/>
  <c r="AN64" i="28" s="1"/>
  <c r="AO64" i="28" s="1"/>
  <c r="AP64" i="28" s="1"/>
  <c r="AQ64" i="28" s="1"/>
  <c r="AR64" i="28" s="1"/>
  <c r="AS64" i="28" s="1"/>
  <c r="AT64" i="28" s="1"/>
  <c r="AU64" i="28" s="1"/>
  <c r="AV64" i="28" s="1"/>
  <c r="AW64" i="28" s="1"/>
  <c r="AX64" i="28" s="1"/>
  <c r="AY64" i="28" s="1"/>
  <c r="AZ64" i="28" s="1"/>
  <c r="BA64" i="28" s="1"/>
  <c r="H64" i="28"/>
  <c r="G64" i="28" s="1"/>
  <c r="F64" i="28" s="1"/>
  <c r="O66" i="28" l="1"/>
  <c r="O26" i="28"/>
  <c r="F49" i="28"/>
  <c r="X42" i="24"/>
  <c r="X14" i="28"/>
  <c r="N97" i="32"/>
  <c r="M30" i="24"/>
  <c r="L30" i="24"/>
  <c r="K30" i="24"/>
  <c r="J30" i="24"/>
  <c r="I30" i="24"/>
  <c r="H30" i="24"/>
  <c r="G30" i="24"/>
  <c r="F30" i="24"/>
  <c r="N80" i="32"/>
  <c r="N67" i="32"/>
  <c r="N43" i="32"/>
  <c r="N51" i="24"/>
  <c r="N25" i="24"/>
  <c r="N20" i="24" s="1"/>
  <c r="N50" i="26"/>
  <c r="N48" i="26" s="1"/>
  <c r="N45" i="26"/>
  <c r="N39" i="26" s="1"/>
  <c r="N37" i="26"/>
  <c r="N13" i="26"/>
  <c r="M25" i="24"/>
  <c r="M27" i="24"/>
  <c r="J43" i="32"/>
  <c r="I43" i="32"/>
  <c r="H43" i="32"/>
  <c r="G43" i="32"/>
  <c r="F43" i="32"/>
  <c r="M97" i="32"/>
  <c r="L97" i="32"/>
  <c r="K97" i="32"/>
  <c r="J97" i="32"/>
  <c r="I33" i="24"/>
  <c r="I97" i="32"/>
  <c r="H97" i="32"/>
  <c r="M67" i="32"/>
  <c r="L67" i="32"/>
  <c r="K67" i="32"/>
  <c r="J67" i="32"/>
  <c r="I67" i="32"/>
  <c r="H67" i="32"/>
  <c r="G67" i="32"/>
  <c r="F67" i="32"/>
  <c r="M80" i="32"/>
  <c r="L80" i="32"/>
  <c r="K80" i="32"/>
  <c r="J80" i="32"/>
  <c r="I80" i="32"/>
  <c r="H80" i="32"/>
  <c r="G80" i="32"/>
  <c r="F80" i="32"/>
  <c r="G97" i="32"/>
  <c r="F97" i="32"/>
  <c r="I92" i="32"/>
  <c r="H92" i="32" s="1"/>
  <c r="G92" i="32" s="1"/>
  <c r="F92" i="32" s="1"/>
  <c r="I83" i="32"/>
  <c r="H83" i="32" s="1"/>
  <c r="G83" i="32" s="1"/>
  <c r="F83" i="32" s="1"/>
  <c r="I70" i="32"/>
  <c r="H70" i="32" s="1"/>
  <c r="G70" i="32" s="1"/>
  <c r="F70" i="32" s="1"/>
  <c r="I58" i="32"/>
  <c r="H58" i="32" s="1"/>
  <c r="G58" i="32" s="1"/>
  <c r="F58" i="32" s="1"/>
  <c r="I46" i="32"/>
  <c r="H46" i="32" s="1"/>
  <c r="G46" i="32" s="1"/>
  <c r="F46" i="32" s="1"/>
  <c r="I9" i="32"/>
  <c r="H9" i="32" s="1"/>
  <c r="G9" i="32" s="1"/>
  <c r="N11" i="38" l="1"/>
  <c r="N12" i="38"/>
  <c r="F13" i="34"/>
  <c r="N30" i="24"/>
  <c r="N36" i="38" l="1"/>
  <c r="N35" i="38"/>
  <c r="F35" i="38"/>
  <c r="N22" i="28"/>
  <c r="N13" i="34"/>
  <c r="N26" i="24"/>
  <c r="N52" i="24"/>
  <c r="N45" i="24"/>
  <c r="N33" i="24"/>
  <c r="N24" i="24"/>
  <c r="N18" i="24"/>
  <c r="N47" i="32" s="1"/>
  <c r="N22" i="24"/>
  <c r="N26" i="28" l="1"/>
  <c r="N37" i="38"/>
  <c r="N66" i="28"/>
  <c r="N19" i="24"/>
  <c r="N28" i="24"/>
  <c r="N56" i="26"/>
  <c r="N38" i="26"/>
  <c r="N32" i="26"/>
  <c r="M20" i="24"/>
  <c r="J20" i="24"/>
  <c r="I20" i="24"/>
  <c r="H20" i="24"/>
  <c r="G20" i="24"/>
  <c r="F20" i="24"/>
  <c r="F36" i="38" s="1"/>
  <c r="L25" i="24"/>
  <c r="F37" i="38" l="1"/>
  <c r="N28" i="38"/>
  <c r="N29" i="38"/>
  <c r="N43" i="24"/>
  <c r="N25" i="38"/>
  <c r="N26" i="38"/>
  <c r="N48" i="32"/>
  <c r="N29" i="24"/>
  <c r="N31" i="24"/>
  <c r="N32" i="24" s="1"/>
  <c r="N36" i="24"/>
  <c r="N38" i="24" s="1"/>
  <c r="H15" i="30"/>
  <c r="G15" i="30"/>
  <c r="F15" i="30"/>
  <c r="I14" i="30"/>
  <c r="I13" i="30"/>
  <c r="I12" i="30"/>
  <c r="I11" i="30"/>
  <c r="N39" i="24" l="1"/>
  <c r="N18" i="38"/>
  <c r="N49" i="32"/>
  <c r="N51" i="32"/>
  <c r="N54" i="32" s="1"/>
  <c r="N55" i="32" s="1"/>
  <c r="I15" i="30"/>
  <c r="F59" i="28"/>
  <c r="R57" i="28"/>
  <c r="G59" i="28" l="1"/>
  <c r="H59" i="28" s="1"/>
  <c r="I59" i="28" s="1"/>
  <c r="J59" i="28" s="1"/>
  <c r="K59" i="28" s="1"/>
  <c r="L59" i="28" s="1"/>
  <c r="M59" i="28" s="1"/>
  <c r="N52" i="32"/>
  <c r="N84" i="32"/>
  <c r="N85" i="32" s="1"/>
  <c r="N87" i="32" s="1"/>
  <c r="N93" i="32" l="1"/>
  <c r="N95" i="32" s="1"/>
  <c r="N113" i="32" s="1"/>
  <c r="N114" i="32" s="1"/>
  <c r="N89" i="32"/>
  <c r="N115" i="32" s="1"/>
  <c r="N116" i="32" s="1"/>
  <c r="N59" i="28"/>
  <c r="Q57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BA48" i="28"/>
  <c r="AZ48" i="28"/>
  <c r="AY48" i="28"/>
  <c r="AX48" i="28"/>
  <c r="AW48" i="28"/>
  <c r="AV48" i="28"/>
  <c r="AU48" i="28"/>
  <c r="AT48" i="28"/>
  <c r="AS48" i="28"/>
  <c r="AR48" i="28"/>
  <c r="AQ48" i="28"/>
  <c r="AP48" i="28"/>
  <c r="AO48" i="28"/>
  <c r="AN48" i="28"/>
  <c r="AM48" i="28"/>
  <c r="AL48" i="28"/>
  <c r="AK48" i="28"/>
  <c r="AJ48" i="28"/>
  <c r="AI48" i="28"/>
  <c r="AH48" i="28"/>
  <c r="AG48" i="28"/>
  <c r="AF48" i="28"/>
  <c r="AE48" i="28"/>
  <c r="AD48" i="28"/>
  <c r="AC48" i="28"/>
  <c r="AB48" i="28"/>
  <c r="AA48" i="28"/>
  <c r="Z48" i="28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BA47" i="28"/>
  <c r="AZ47" i="28"/>
  <c r="AY47" i="28"/>
  <c r="AX47" i="28"/>
  <c r="AW47" i="28"/>
  <c r="AV47" i="28"/>
  <c r="AU47" i="28"/>
  <c r="AT47" i="28"/>
  <c r="AS47" i="28"/>
  <c r="AR47" i="28"/>
  <c r="AQ47" i="28"/>
  <c r="AP47" i="28"/>
  <c r="AO47" i="28"/>
  <c r="AN47" i="28"/>
  <c r="AM47" i="28"/>
  <c r="AL47" i="28"/>
  <c r="AK47" i="28"/>
  <c r="AJ47" i="28"/>
  <c r="AI47" i="28"/>
  <c r="AH47" i="28"/>
  <c r="AG47" i="28"/>
  <c r="AF47" i="28"/>
  <c r="AE47" i="28"/>
  <c r="AD47" i="28"/>
  <c r="AC47" i="28"/>
  <c r="AB47" i="28"/>
  <c r="AA47" i="28"/>
  <c r="Z47" i="28"/>
  <c r="Y47" i="28"/>
  <c r="X47" i="28"/>
  <c r="W47" i="28"/>
  <c r="V47" i="28"/>
  <c r="U47" i="28"/>
  <c r="T47" i="28"/>
  <c r="S47" i="28"/>
  <c r="R47" i="28"/>
  <c r="Q47" i="28"/>
  <c r="P47" i="28"/>
  <c r="O47" i="28"/>
  <c r="N47" i="28"/>
  <c r="M47" i="28"/>
  <c r="L47" i="28"/>
  <c r="K47" i="28"/>
  <c r="J47" i="28"/>
  <c r="I47" i="28"/>
  <c r="H47" i="28"/>
  <c r="G47" i="28"/>
  <c r="F47" i="28"/>
  <c r="BA46" i="28"/>
  <c r="AZ46" i="28"/>
  <c r="AY46" i="28"/>
  <c r="AX46" i="28"/>
  <c r="AW46" i="28"/>
  <c r="AV46" i="28"/>
  <c r="AU46" i="28"/>
  <c r="AT46" i="28"/>
  <c r="AS46" i="28"/>
  <c r="AR46" i="28"/>
  <c r="AQ46" i="28"/>
  <c r="AP46" i="28"/>
  <c r="AO46" i="28"/>
  <c r="AN46" i="28"/>
  <c r="AM46" i="28"/>
  <c r="AL46" i="28"/>
  <c r="AK46" i="28"/>
  <c r="AJ46" i="28"/>
  <c r="AI46" i="28"/>
  <c r="AH46" i="28"/>
  <c r="AG46" i="28"/>
  <c r="AF46" i="28"/>
  <c r="AE46" i="28"/>
  <c r="AD46" i="28"/>
  <c r="AC46" i="28"/>
  <c r="AB46" i="28"/>
  <c r="AA46" i="28"/>
  <c r="Z46" i="28"/>
  <c r="Y46" i="28"/>
  <c r="X46" i="28"/>
  <c r="W46" i="28"/>
  <c r="V46" i="28"/>
  <c r="U46" i="28"/>
  <c r="T46" i="28"/>
  <c r="S46" i="28"/>
  <c r="R46" i="28"/>
  <c r="Q46" i="28"/>
  <c r="P46" i="28"/>
  <c r="O46" i="28"/>
  <c r="N46" i="28"/>
  <c r="M46" i="28"/>
  <c r="L46" i="28"/>
  <c r="K46" i="28"/>
  <c r="J46" i="28"/>
  <c r="I46" i="28"/>
  <c r="H46" i="28"/>
  <c r="G46" i="28"/>
  <c r="F46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O43" i="28"/>
  <c r="P43" i="28" s="1"/>
  <c r="Q43" i="28" s="1"/>
  <c r="R43" i="28" s="1"/>
  <c r="S43" i="28" s="1"/>
  <c r="T43" i="28" s="1"/>
  <c r="U43" i="28" s="1"/>
  <c r="V43" i="28" s="1"/>
  <c r="W43" i="28" s="1"/>
  <c r="X43" i="28" s="1"/>
  <c r="Y43" i="28" s="1"/>
  <c r="Z43" i="28" s="1"/>
  <c r="AA43" i="28" s="1"/>
  <c r="AB43" i="28" s="1"/>
  <c r="AC43" i="28" s="1"/>
  <c r="AD43" i="28" s="1"/>
  <c r="AE43" i="28" s="1"/>
  <c r="AF43" i="28" s="1"/>
  <c r="AG43" i="28" s="1"/>
  <c r="AH43" i="28" s="1"/>
  <c r="AI43" i="28" s="1"/>
  <c r="AJ43" i="28" s="1"/>
  <c r="AK43" i="28" s="1"/>
  <c r="AL43" i="28" s="1"/>
  <c r="AM43" i="28" s="1"/>
  <c r="AN43" i="28" s="1"/>
  <c r="AO43" i="28" s="1"/>
  <c r="AP43" i="28" s="1"/>
  <c r="AQ43" i="28" s="1"/>
  <c r="AR43" i="28" s="1"/>
  <c r="AS43" i="28" s="1"/>
  <c r="AT43" i="28" s="1"/>
  <c r="AU43" i="28" s="1"/>
  <c r="AV43" i="28" s="1"/>
  <c r="AW43" i="28" s="1"/>
  <c r="AX43" i="28" s="1"/>
  <c r="AY43" i="28" s="1"/>
  <c r="AZ43" i="28" s="1"/>
  <c r="BA43" i="28" s="1"/>
  <c r="H43" i="28"/>
  <c r="G43" i="28" s="1"/>
  <c r="F43" i="28" s="1"/>
  <c r="O55" i="28"/>
  <c r="H55" i="28"/>
  <c r="G55" i="28" s="1"/>
  <c r="F55" i="28" s="1"/>
  <c r="AZ39" i="28"/>
  <c r="AY39" i="28"/>
  <c r="AX39" i="28"/>
  <c r="AW39" i="28"/>
  <c r="AV39" i="28"/>
  <c r="AU39" i="28"/>
  <c r="AT39" i="28"/>
  <c r="AS39" i="28"/>
  <c r="AR39" i="28"/>
  <c r="AQ39" i="28"/>
  <c r="AR40" i="28" s="1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BA39" i="28"/>
  <c r="O31" i="28"/>
  <c r="P31" i="28" s="1"/>
  <c r="Q31" i="28" s="1"/>
  <c r="R31" i="28" s="1"/>
  <c r="S31" i="28" s="1"/>
  <c r="T31" i="28" s="1"/>
  <c r="U31" i="28" s="1"/>
  <c r="V31" i="28" s="1"/>
  <c r="W31" i="28" s="1"/>
  <c r="X31" i="28" s="1"/>
  <c r="Y31" i="28" s="1"/>
  <c r="Z31" i="28" s="1"/>
  <c r="AA31" i="28" s="1"/>
  <c r="AB31" i="28" s="1"/>
  <c r="AC31" i="28" s="1"/>
  <c r="AD31" i="28" s="1"/>
  <c r="AE31" i="28" s="1"/>
  <c r="AF31" i="28" s="1"/>
  <c r="AG31" i="28" s="1"/>
  <c r="AH31" i="28" s="1"/>
  <c r="AI31" i="28" s="1"/>
  <c r="AJ31" i="28" s="1"/>
  <c r="AK31" i="28" s="1"/>
  <c r="AL31" i="28" s="1"/>
  <c r="AM31" i="28" s="1"/>
  <c r="AN31" i="28" s="1"/>
  <c r="AO31" i="28" s="1"/>
  <c r="AP31" i="28" s="1"/>
  <c r="AQ31" i="28" s="1"/>
  <c r="AR31" i="28" s="1"/>
  <c r="AS31" i="28" s="1"/>
  <c r="AT31" i="28" s="1"/>
  <c r="AU31" i="28" s="1"/>
  <c r="AV31" i="28" s="1"/>
  <c r="AW31" i="28" s="1"/>
  <c r="AX31" i="28" s="1"/>
  <c r="AY31" i="28" s="1"/>
  <c r="AZ31" i="28" s="1"/>
  <c r="BA31" i="28" s="1"/>
  <c r="H31" i="28"/>
  <c r="G31" i="28" s="1"/>
  <c r="F31" i="28" s="1"/>
  <c r="P57" i="28"/>
  <c r="O21" i="28"/>
  <c r="P21" i="28" s="1"/>
  <c r="Q21" i="28" s="1"/>
  <c r="R21" i="28" s="1"/>
  <c r="S21" i="28" s="1"/>
  <c r="T21" i="28" s="1"/>
  <c r="U21" i="28" s="1"/>
  <c r="V21" i="28" s="1"/>
  <c r="W21" i="28" s="1"/>
  <c r="X21" i="28" s="1"/>
  <c r="Y21" i="28" s="1"/>
  <c r="Z21" i="28" s="1"/>
  <c r="AA21" i="28" s="1"/>
  <c r="AB21" i="28" s="1"/>
  <c r="AC21" i="28" s="1"/>
  <c r="AD21" i="28" s="1"/>
  <c r="AE21" i="28" s="1"/>
  <c r="AF21" i="28" s="1"/>
  <c r="AG21" i="28" s="1"/>
  <c r="AH21" i="28" s="1"/>
  <c r="AI21" i="28" s="1"/>
  <c r="AJ21" i="28" s="1"/>
  <c r="AK21" i="28" s="1"/>
  <c r="AL21" i="28" s="1"/>
  <c r="AM21" i="28" s="1"/>
  <c r="AN21" i="28" s="1"/>
  <c r="AO21" i="28" s="1"/>
  <c r="AP21" i="28" s="1"/>
  <c r="AQ21" i="28" s="1"/>
  <c r="AR21" i="28" s="1"/>
  <c r="AS21" i="28" s="1"/>
  <c r="AT21" i="28" s="1"/>
  <c r="AU21" i="28" s="1"/>
  <c r="AV21" i="28" s="1"/>
  <c r="AW21" i="28" s="1"/>
  <c r="AX21" i="28" s="1"/>
  <c r="AY21" i="28" s="1"/>
  <c r="AZ21" i="28" s="1"/>
  <c r="BA21" i="28" s="1"/>
  <c r="H21" i="28"/>
  <c r="G21" i="28" s="1"/>
  <c r="F21" i="28" s="1"/>
  <c r="W14" i="28"/>
  <c r="X13" i="28" s="1"/>
  <c r="V14" i="28"/>
  <c r="W13" i="28" s="1"/>
  <c r="X12" i="28" s="1"/>
  <c r="U14" i="28"/>
  <c r="V13" i="28" s="1"/>
  <c r="W12" i="28" s="1"/>
  <c r="T14" i="28"/>
  <c r="U13" i="28" s="1"/>
  <c r="V12" i="28" s="1"/>
  <c r="S14" i="28"/>
  <c r="T13" i="28" s="1"/>
  <c r="U12" i="28" s="1"/>
  <c r="R14" i="28"/>
  <c r="S13" i="28" s="1"/>
  <c r="T12" i="28" s="1"/>
  <c r="Q14" i="28"/>
  <c r="R13" i="28" s="1"/>
  <c r="S12" i="28" s="1"/>
  <c r="P14" i="28"/>
  <c r="Q13" i="28" s="1"/>
  <c r="R12" i="28" s="1"/>
  <c r="O14" i="28"/>
  <c r="O9" i="28"/>
  <c r="P9" i="28" s="1"/>
  <c r="Q9" i="28" s="1"/>
  <c r="R9" i="28" s="1"/>
  <c r="S9" i="28" s="1"/>
  <c r="T9" i="28" s="1"/>
  <c r="U9" i="28" s="1"/>
  <c r="V9" i="28" s="1"/>
  <c r="W9" i="28" s="1"/>
  <c r="X9" i="28" s="1"/>
  <c r="Y9" i="28" s="1"/>
  <c r="Z9" i="28" s="1"/>
  <c r="AA9" i="28" s="1"/>
  <c r="AB9" i="28" s="1"/>
  <c r="AC9" i="28" s="1"/>
  <c r="AD9" i="28" s="1"/>
  <c r="AE9" i="28" s="1"/>
  <c r="AF9" i="28" s="1"/>
  <c r="AG9" i="28" s="1"/>
  <c r="AH9" i="28" s="1"/>
  <c r="AI9" i="28" s="1"/>
  <c r="AJ9" i="28" s="1"/>
  <c r="AK9" i="28" s="1"/>
  <c r="AL9" i="28" s="1"/>
  <c r="AM9" i="28" s="1"/>
  <c r="AN9" i="28" s="1"/>
  <c r="AO9" i="28" s="1"/>
  <c r="AP9" i="28" s="1"/>
  <c r="AQ9" i="28" s="1"/>
  <c r="AR9" i="28" s="1"/>
  <c r="AS9" i="28" s="1"/>
  <c r="AT9" i="28" s="1"/>
  <c r="AU9" i="28" s="1"/>
  <c r="AV9" i="28" s="1"/>
  <c r="AW9" i="28" s="1"/>
  <c r="AX9" i="28" s="1"/>
  <c r="AY9" i="28" s="1"/>
  <c r="AZ9" i="28" s="1"/>
  <c r="BA9" i="28" s="1"/>
  <c r="M12" i="28"/>
  <c r="N11" i="28" s="1"/>
  <c r="L12" i="28"/>
  <c r="K12" i="28"/>
  <c r="J12" i="28"/>
  <c r="I12" i="28"/>
  <c r="H12" i="28"/>
  <c r="G12" i="28"/>
  <c r="F10" i="28"/>
  <c r="H9" i="28"/>
  <c r="G9" i="28" s="1"/>
  <c r="J49" i="24"/>
  <c r="I49" i="24"/>
  <c r="H49" i="24"/>
  <c r="G49" i="24"/>
  <c r="F49" i="24"/>
  <c r="N10" i="28" l="1"/>
  <c r="O17" i="28" s="1"/>
  <c r="N21" i="34"/>
  <c r="N23" i="28"/>
  <c r="P13" i="28"/>
  <c r="Q12" i="28" s="1"/>
  <c r="BB14" i="28"/>
  <c r="BB39" i="28"/>
  <c r="BB37" i="28"/>
  <c r="BB36" i="28"/>
  <c r="BB35" i="28"/>
  <c r="BB34" i="28"/>
  <c r="BB15" i="28"/>
  <c r="BB32" i="28"/>
  <c r="BB33" i="28"/>
  <c r="BB38" i="28"/>
  <c r="BB49" i="28"/>
  <c r="BB50" i="28"/>
  <c r="BB45" i="28"/>
  <c r="BB46" i="28"/>
  <c r="BB47" i="28"/>
  <c r="BB48" i="28"/>
  <c r="BB44" i="28"/>
  <c r="N111" i="32"/>
  <c r="N112" i="32" s="1"/>
  <c r="AD51" i="28"/>
  <c r="AN51" i="28"/>
  <c r="I51" i="28"/>
  <c r="Q51" i="28"/>
  <c r="AW51" i="28"/>
  <c r="AQ51" i="28"/>
  <c r="AI51" i="28"/>
  <c r="P51" i="28"/>
  <c r="AV51" i="28"/>
  <c r="AP51" i="28"/>
  <c r="BA51" i="28"/>
  <c r="AR51" i="28"/>
  <c r="AC51" i="28"/>
  <c r="AK51" i="28"/>
  <c r="AS51" i="28"/>
  <c r="L51" i="28"/>
  <c r="W51" i="28"/>
  <c r="AO51" i="28"/>
  <c r="J51" i="28"/>
  <c r="AY51" i="28"/>
  <c r="AB51" i="28"/>
  <c r="AH51" i="28"/>
  <c r="N51" i="28"/>
  <c r="N56" i="28" s="1"/>
  <c r="O59" i="28"/>
  <c r="O13" i="28"/>
  <c r="F9" i="28"/>
  <c r="O12" i="28"/>
  <c r="BB12" i="28" s="1"/>
  <c r="G17" i="28"/>
  <c r="AX51" i="28"/>
  <c r="O51" i="28"/>
  <c r="O56" i="28" s="1"/>
  <c r="AG51" i="28"/>
  <c r="H51" i="28"/>
  <c r="AM51" i="28"/>
  <c r="AJ51" i="28"/>
  <c r="K51" i="28"/>
  <c r="S51" i="28"/>
  <c r="U51" i="28"/>
  <c r="AE51" i="28"/>
  <c r="AA51" i="28"/>
  <c r="G51" i="28"/>
  <c r="V51" i="28"/>
  <c r="AF51" i="28"/>
  <c r="AZ51" i="28"/>
  <c r="AU51" i="28"/>
  <c r="AL51" i="28"/>
  <c r="F51" i="28"/>
  <c r="R51" i="28"/>
  <c r="Y51" i="28"/>
  <c r="P55" i="28"/>
  <c r="M51" i="28"/>
  <c r="AT51" i="28"/>
  <c r="T51" i="28"/>
  <c r="X51" i="28"/>
  <c r="Z51" i="28"/>
  <c r="G10" i="28"/>
  <c r="W42" i="24"/>
  <c r="V42" i="24"/>
  <c r="U42" i="24"/>
  <c r="T42" i="24"/>
  <c r="S42" i="24"/>
  <c r="R42" i="24"/>
  <c r="Q42" i="24"/>
  <c r="P42" i="24"/>
  <c r="O42" i="24"/>
  <c r="N42" i="24"/>
  <c r="F42" i="24"/>
  <c r="M56" i="26"/>
  <c r="M50" i="26"/>
  <c r="M45" i="26"/>
  <c r="M38" i="26"/>
  <c r="J25" i="26"/>
  <c r="I25" i="26"/>
  <c r="H25" i="26"/>
  <c r="G25" i="26"/>
  <c r="F25" i="26"/>
  <c r="M29" i="26"/>
  <c r="M25" i="26" s="1"/>
  <c r="L50" i="26"/>
  <c r="L45" i="26"/>
  <c r="L38" i="26"/>
  <c r="M32" i="26"/>
  <c r="L32" i="26"/>
  <c r="K32" i="26"/>
  <c r="J32" i="26"/>
  <c r="I32" i="26"/>
  <c r="H32" i="26"/>
  <c r="G32" i="26"/>
  <c r="F32" i="26"/>
  <c r="L29" i="26"/>
  <c r="L25" i="26" s="1"/>
  <c r="K38" i="26"/>
  <c r="K29" i="26"/>
  <c r="M51" i="26"/>
  <c r="L51" i="26"/>
  <c r="K51" i="26"/>
  <c r="J51" i="26"/>
  <c r="I51" i="26"/>
  <c r="H51" i="26"/>
  <c r="G51" i="26"/>
  <c r="F51" i="26"/>
  <c r="L56" i="26"/>
  <c r="K56" i="26"/>
  <c r="J56" i="26"/>
  <c r="I56" i="26"/>
  <c r="H56" i="26"/>
  <c r="G56" i="26"/>
  <c r="F56" i="26"/>
  <c r="M36" i="26"/>
  <c r="L36" i="26"/>
  <c r="K36" i="26"/>
  <c r="J36" i="26"/>
  <c r="I36" i="26"/>
  <c r="H36" i="26"/>
  <c r="G36" i="26"/>
  <c r="F36" i="26"/>
  <c r="G9" i="24"/>
  <c r="O57" i="28" l="1"/>
  <c r="P12" i="28"/>
  <c r="BB13" i="28"/>
  <c r="BB51" i="28"/>
  <c r="P59" i="28"/>
  <c r="Q59" i="28" s="1"/>
  <c r="R59" i="28" s="1"/>
  <c r="S59" i="28" s="1"/>
  <c r="T59" i="28" s="1"/>
  <c r="U59" i="28" s="1"/>
  <c r="V59" i="28" s="1"/>
  <c r="W59" i="28" s="1"/>
  <c r="X59" i="28" s="1"/>
  <c r="Y59" i="28" s="1"/>
  <c r="Z59" i="28" s="1"/>
  <c r="AA59" i="28" s="1"/>
  <c r="AB59" i="28" s="1"/>
  <c r="AC59" i="28" s="1"/>
  <c r="AD59" i="28" s="1"/>
  <c r="AE59" i="28" s="1"/>
  <c r="AF59" i="28" s="1"/>
  <c r="AG59" i="28" s="1"/>
  <c r="AH59" i="28" s="1"/>
  <c r="AI59" i="28" s="1"/>
  <c r="AJ59" i="28" s="1"/>
  <c r="AK59" i="28" s="1"/>
  <c r="AL59" i="28" s="1"/>
  <c r="AM59" i="28" s="1"/>
  <c r="AN59" i="28" s="1"/>
  <c r="AO59" i="28" s="1"/>
  <c r="AP59" i="28" s="1"/>
  <c r="AQ59" i="28" s="1"/>
  <c r="AR59" i="28" s="1"/>
  <c r="AS59" i="28" s="1"/>
  <c r="AT59" i="28" s="1"/>
  <c r="AU59" i="28" s="1"/>
  <c r="AV59" i="28" s="1"/>
  <c r="AW59" i="28" s="1"/>
  <c r="AX59" i="28" s="1"/>
  <c r="AY59" i="28" s="1"/>
  <c r="AZ59" i="28" s="1"/>
  <c r="BA59" i="28" s="1"/>
  <c r="BB59" i="28"/>
  <c r="K25" i="26"/>
  <c r="K24" i="26" s="1"/>
  <c r="L28" i="38"/>
  <c r="L29" i="38"/>
  <c r="M29" i="38"/>
  <c r="M28" i="38"/>
  <c r="F28" i="38"/>
  <c r="F29" i="38"/>
  <c r="G28" i="38"/>
  <c r="G29" i="38"/>
  <c r="H28" i="38"/>
  <c r="H29" i="38"/>
  <c r="I28" i="38"/>
  <c r="I29" i="38"/>
  <c r="J29" i="38"/>
  <c r="J28" i="38"/>
  <c r="K29" i="38"/>
  <c r="K28" i="38"/>
  <c r="K10" i="38"/>
  <c r="M10" i="38"/>
  <c r="L10" i="38"/>
  <c r="I24" i="26"/>
  <c r="H24" i="26"/>
  <c r="H17" i="28"/>
  <c r="G24" i="26"/>
  <c r="J24" i="26"/>
  <c r="L24" i="26"/>
  <c r="M24" i="26"/>
  <c r="F24" i="26"/>
  <c r="Q55" i="28"/>
  <c r="H9" i="24"/>
  <c r="H10" i="28"/>
  <c r="G42" i="24"/>
  <c r="F45" i="24"/>
  <c r="G13" i="34" l="1"/>
  <c r="H42" i="24"/>
  <c r="I17" i="28"/>
  <c r="G45" i="24"/>
  <c r="G15" i="26"/>
  <c r="G16" i="26" s="1"/>
  <c r="F15" i="26"/>
  <c r="F16" i="26" s="1"/>
  <c r="F13" i="38" s="1"/>
  <c r="R55" i="28"/>
  <c r="I9" i="24"/>
  <c r="G22" i="24"/>
  <c r="F52" i="24"/>
  <c r="F22" i="28"/>
  <c r="I10" i="28"/>
  <c r="F26" i="24"/>
  <c r="F22" i="24"/>
  <c r="F24" i="24"/>
  <c r="M49" i="24"/>
  <c r="L49" i="24"/>
  <c r="K49" i="24"/>
  <c r="Y9" i="24"/>
  <c r="F23" i="28" l="1"/>
  <c r="BB22" i="28"/>
  <c r="G17" i="26"/>
  <c r="G13" i="38"/>
  <c r="H36" i="38"/>
  <c r="H35" i="38"/>
  <c r="G35" i="38"/>
  <c r="G36" i="38"/>
  <c r="F66" i="28"/>
  <c r="I13" i="34"/>
  <c r="J17" i="28"/>
  <c r="S55" i="28"/>
  <c r="G26" i="24"/>
  <c r="J9" i="24"/>
  <c r="I42" i="24"/>
  <c r="G22" i="28"/>
  <c r="G52" i="24"/>
  <c r="F26" i="28"/>
  <c r="F56" i="28" s="1"/>
  <c r="G24" i="24"/>
  <c r="J10" i="28"/>
  <c r="Z9" i="24"/>
  <c r="Y42" i="24"/>
  <c r="G66" i="28" l="1"/>
  <c r="G23" i="28"/>
  <c r="G24" i="28" s="1"/>
  <c r="H37" i="38"/>
  <c r="G37" i="38"/>
  <c r="H45" i="24"/>
  <c r="H13" i="34"/>
  <c r="K17" i="28"/>
  <c r="H15" i="26"/>
  <c r="H16" i="26" s="1"/>
  <c r="H13" i="38" s="1"/>
  <c r="H26" i="24"/>
  <c r="I45" i="24"/>
  <c r="H22" i="28"/>
  <c r="H23" i="28" s="1"/>
  <c r="H52" i="24"/>
  <c r="T55" i="28"/>
  <c r="H24" i="24"/>
  <c r="H22" i="24"/>
  <c r="K9" i="24"/>
  <c r="J42" i="24"/>
  <c r="G26" i="28"/>
  <c r="G56" i="28" s="1"/>
  <c r="K10" i="28"/>
  <c r="AA9" i="24"/>
  <c r="Z42" i="24"/>
  <c r="G33" i="24"/>
  <c r="H33" i="24"/>
  <c r="F33" i="24"/>
  <c r="J52" i="24" l="1"/>
  <c r="I36" i="38"/>
  <c r="I35" i="38"/>
  <c r="H26" i="28"/>
  <c r="H56" i="28" s="1"/>
  <c r="H66" i="28"/>
  <c r="L17" i="28"/>
  <c r="I15" i="26"/>
  <c r="I16" i="26" s="1"/>
  <c r="I13" i="38" s="1"/>
  <c r="I22" i="28"/>
  <c r="I23" i="28" s="1"/>
  <c r="I26" i="24"/>
  <c r="I24" i="24"/>
  <c r="I18" i="24"/>
  <c r="I28" i="24" s="1"/>
  <c r="I22" i="24"/>
  <c r="I52" i="24"/>
  <c r="H24" i="28"/>
  <c r="U55" i="28"/>
  <c r="L9" i="24"/>
  <c r="K42" i="24"/>
  <c r="J22" i="28"/>
  <c r="G57" i="28"/>
  <c r="G27" i="28"/>
  <c r="L10" i="28"/>
  <c r="AB9" i="24"/>
  <c r="AA42" i="24"/>
  <c r="J66" i="28" l="1"/>
  <c r="J23" i="28"/>
  <c r="I37" i="38"/>
  <c r="J15" i="26"/>
  <c r="J16" i="26" s="1"/>
  <c r="J13" i="38" s="1"/>
  <c r="J22" i="24"/>
  <c r="J24" i="24"/>
  <c r="J13" i="34"/>
  <c r="J45" i="24"/>
  <c r="J35" i="38"/>
  <c r="J36" i="38"/>
  <c r="I26" i="38"/>
  <c r="I25" i="38"/>
  <c r="H27" i="28"/>
  <c r="I24" i="28"/>
  <c r="I66" i="28"/>
  <c r="K20" i="24"/>
  <c r="L13" i="34"/>
  <c r="H57" i="28"/>
  <c r="I48" i="32"/>
  <c r="I51" i="32" s="1"/>
  <c r="I54" i="32" s="1"/>
  <c r="I55" i="32" s="1"/>
  <c r="I47" i="32"/>
  <c r="M17" i="28"/>
  <c r="I31" i="24"/>
  <c r="I43" i="24"/>
  <c r="I29" i="24"/>
  <c r="I26" i="28"/>
  <c r="J33" i="24"/>
  <c r="V55" i="28"/>
  <c r="J26" i="24"/>
  <c r="M9" i="24"/>
  <c r="L42" i="24"/>
  <c r="J26" i="28"/>
  <c r="J56" i="28" s="1"/>
  <c r="M10" i="28"/>
  <c r="N17" i="28" s="1"/>
  <c r="AC9" i="24"/>
  <c r="AB42" i="24"/>
  <c r="I36" i="24"/>
  <c r="I38" i="24" s="1"/>
  <c r="Q17" i="28" l="1"/>
  <c r="P17" i="28"/>
  <c r="U17" i="28"/>
  <c r="R17" i="28"/>
  <c r="V17" i="28"/>
  <c r="T17" i="28"/>
  <c r="S17" i="28"/>
  <c r="W17" i="28"/>
  <c r="X17" i="28"/>
  <c r="J37" i="38"/>
  <c r="L35" i="38"/>
  <c r="K10" i="32"/>
  <c r="K43" i="32" s="1"/>
  <c r="K35" i="38"/>
  <c r="K36" i="38"/>
  <c r="I19" i="38"/>
  <c r="I18" i="38"/>
  <c r="K45" i="24"/>
  <c r="K13" i="34"/>
  <c r="J24" i="28"/>
  <c r="I27" i="28"/>
  <c r="I56" i="28"/>
  <c r="I57" i="28" s="1"/>
  <c r="I49" i="32"/>
  <c r="I84" i="32"/>
  <c r="I52" i="32"/>
  <c r="I32" i="24"/>
  <c r="I46" i="24"/>
  <c r="K15" i="26"/>
  <c r="K16" i="26" s="1"/>
  <c r="K13" i="38" s="1"/>
  <c r="K22" i="28"/>
  <c r="K23" i="28" s="1"/>
  <c r="K24" i="24"/>
  <c r="K22" i="24"/>
  <c r="K33" i="24"/>
  <c r="W55" i="28"/>
  <c r="L10" i="32"/>
  <c r="L43" i="32" s="1"/>
  <c r="K26" i="24"/>
  <c r="L45" i="24"/>
  <c r="L20" i="24"/>
  <c r="L36" i="38" s="1"/>
  <c r="M42" i="24"/>
  <c r="J27" i="28"/>
  <c r="AD9" i="24"/>
  <c r="AC42" i="24"/>
  <c r="M13" i="34" l="1"/>
  <c r="K37" i="38"/>
  <c r="M36" i="38"/>
  <c r="M35" i="38"/>
  <c r="L37" i="38"/>
  <c r="K24" i="28"/>
  <c r="K66" i="28"/>
  <c r="J57" i="28"/>
  <c r="I47" i="24"/>
  <c r="L33" i="24"/>
  <c r="I85" i="32"/>
  <c r="I87" i="32" s="1"/>
  <c r="M10" i="32"/>
  <c r="M43" i="32" s="1"/>
  <c r="L15" i="26"/>
  <c r="L16" i="26" s="1"/>
  <c r="L13" i="38" s="1"/>
  <c r="K26" i="28"/>
  <c r="X55" i="28"/>
  <c r="L22" i="28"/>
  <c r="L23" i="28" s="1"/>
  <c r="L26" i="24"/>
  <c r="L24" i="24"/>
  <c r="L22" i="24"/>
  <c r="AE9" i="24"/>
  <c r="AD42" i="24"/>
  <c r="P13" i="34" l="1"/>
  <c r="X13" i="34"/>
  <c r="U13" i="34"/>
  <c r="W13" i="34"/>
  <c r="S13" i="34"/>
  <c r="Q13" i="34"/>
  <c r="V13" i="34"/>
  <c r="T13" i="34"/>
  <c r="R13" i="34"/>
  <c r="M45" i="24"/>
  <c r="N16" i="24"/>
  <c r="M24" i="24"/>
  <c r="M22" i="28"/>
  <c r="M15" i="26"/>
  <c r="M16" i="26" s="1"/>
  <c r="M13" i="38" s="1"/>
  <c r="M37" i="38"/>
  <c r="I93" i="32"/>
  <c r="I95" i="32" s="1"/>
  <c r="I113" i="32" s="1"/>
  <c r="I114" i="32" s="1"/>
  <c r="I89" i="32"/>
  <c r="I115" i="32" s="1"/>
  <c r="I116" i="32" s="1"/>
  <c r="L66" i="28"/>
  <c r="K56" i="28"/>
  <c r="K57" i="28" s="1"/>
  <c r="M26" i="24"/>
  <c r="M33" i="24"/>
  <c r="M22" i="24"/>
  <c r="I17" i="26"/>
  <c r="H17" i="26"/>
  <c r="K27" i="28"/>
  <c r="Y55" i="28"/>
  <c r="L24" i="28"/>
  <c r="L26" i="28"/>
  <c r="AF9" i="24"/>
  <c r="AE42" i="24"/>
  <c r="AI45" i="24" l="1"/>
  <c r="BA45" i="24"/>
  <c r="AL45" i="24"/>
  <c r="AA45" i="24"/>
  <c r="AB45" i="24"/>
  <c r="Y45" i="24"/>
  <c r="AV45" i="24"/>
  <c r="AR45" i="24"/>
  <c r="T45" i="24"/>
  <c r="R45" i="24"/>
  <c r="AQ45" i="24"/>
  <c r="X45" i="24"/>
  <c r="AK45" i="24"/>
  <c r="W45" i="24"/>
  <c r="P45" i="24"/>
  <c r="AD45" i="24"/>
  <c r="AF45" i="24"/>
  <c r="AE45" i="24"/>
  <c r="AS45" i="24"/>
  <c r="AZ45" i="24"/>
  <c r="AH45" i="24"/>
  <c r="AO45" i="24"/>
  <c r="Z45" i="24"/>
  <c r="AC45" i="24"/>
  <c r="Q45" i="24"/>
  <c r="AX45" i="24"/>
  <c r="U45" i="24"/>
  <c r="AJ45" i="24"/>
  <c r="AU45" i="24"/>
  <c r="AG45" i="24"/>
  <c r="AM45" i="24"/>
  <c r="AP45" i="24"/>
  <c r="AW45" i="24"/>
  <c r="V45" i="24"/>
  <c r="AT45" i="24"/>
  <c r="AN45" i="24"/>
  <c r="S45" i="24"/>
  <c r="AY45" i="24"/>
  <c r="M66" i="28"/>
  <c r="M23" i="28"/>
  <c r="M26" i="28"/>
  <c r="N27" i="28" s="1"/>
  <c r="I111" i="32"/>
  <c r="I112" i="32" s="1"/>
  <c r="L56" i="28"/>
  <c r="L57" i="28" s="1"/>
  <c r="I57" i="24"/>
  <c r="I20" i="38" s="1"/>
  <c r="I58" i="24"/>
  <c r="AB57" i="28"/>
  <c r="G10" i="26"/>
  <c r="G11" i="26" s="1"/>
  <c r="I10" i="26"/>
  <c r="I11" i="26" s="1"/>
  <c r="H10" i="26"/>
  <c r="K10" i="26"/>
  <c r="K17" i="26"/>
  <c r="L10" i="26"/>
  <c r="L17" i="26"/>
  <c r="M10" i="26"/>
  <c r="M17" i="26"/>
  <c r="F17" i="26"/>
  <c r="F10" i="26"/>
  <c r="F11" i="26" s="1"/>
  <c r="J10" i="26"/>
  <c r="J17" i="26"/>
  <c r="Z55" i="28"/>
  <c r="L27" i="28"/>
  <c r="AC57" i="28"/>
  <c r="AG9" i="24"/>
  <c r="AF42" i="24"/>
  <c r="K52" i="24"/>
  <c r="L52" i="24"/>
  <c r="M52" i="24"/>
  <c r="H18" i="24"/>
  <c r="H16" i="24"/>
  <c r="L18" i="24"/>
  <c r="L16" i="24"/>
  <c r="I16" i="24"/>
  <c r="I39" i="24"/>
  <c r="F18" i="24"/>
  <c r="M18" i="24"/>
  <c r="M16" i="24"/>
  <c r="J18" i="24"/>
  <c r="J16" i="24"/>
  <c r="K18" i="24"/>
  <c r="K28" i="24" s="1"/>
  <c r="K16" i="24"/>
  <c r="G18" i="24"/>
  <c r="G16" i="24"/>
  <c r="M27" i="28" l="1"/>
  <c r="P52" i="24"/>
  <c r="W52" i="24"/>
  <c r="T52" i="24"/>
  <c r="X52" i="24"/>
  <c r="Q52" i="24"/>
  <c r="R52" i="24"/>
  <c r="V52" i="24"/>
  <c r="U52" i="24"/>
  <c r="S52" i="24"/>
  <c r="O11" i="28"/>
  <c r="BB16" i="28"/>
  <c r="M56" i="28"/>
  <c r="M57" i="28" s="1"/>
  <c r="M24" i="28"/>
  <c r="N24" i="28"/>
  <c r="K25" i="38"/>
  <c r="K26" i="38"/>
  <c r="M47" i="32"/>
  <c r="M28" i="24"/>
  <c r="G47" i="32"/>
  <c r="G28" i="24"/>
  <c r="L47" i="32"/>
  <c r="L28" i="24"/>
  <c r="J47" i="32"/>
  <c r="J28" i="24"/>
  <c r="F47" i="32"/>
  <c r="F28" i="24"/>
  <c r="H47" i="32"/>
  <c r="H28" i="24"/>
  <c r="K48" i="32"/>
  <c r="K47" i="32"/>
  <c r="K29" i="24"/>
  <c r="K31" i="24"/>
  <c r="K46" i="24" s="1"/>
  <c r="K43" i="24"/>
  <c r="I53" i="24"/>
  <c r="I48" i="24" s="1"/>
  <c r="I54" i="24" s="1"/>
  <c r="G53" i="24"/>
  <c r="H11" i="26"/>
  <c r="H53" i="24"/>
  <c r="M53" i="24"/>
  <c r="M11" i="26"/>
  <c r="J53" i="24"/>
  <c r="J11" i="26"/>
  <c r="K53" i="24"/>
  <c r="K11" i="26"/>
  <c r="L53" i="24"/>
  <c r="L11" i="26"/>
  <c r="AA55" i="28"/>
  <c r="AH9" i="24"/>
  <c r="AG42" i="24"/>
  <c r="K19" i="24"/>
  <c r="G19" i="24"/>
  <c r="J19" i="24"/>
  <c r="F19" i="24"/>
  <c r="H19" i="24"/>
  <c r="K36" i="24"/>
  <c r="K38" i="24" s="1"/>
  <c r="M19" i="24"/>
  <c r="L19" i="24"/>
  <c r="I19" i="24"/>
  <c r="O23" i="28" l="1"/>
  <c r="O24" i="28" s="1"/>
  <c r="O21" i="34"/>
  <c r="P21" i="34" s="1"/>
  <c r="Q21" i="34" s="1"/>
  <c r="R21" i="34" s="1"/>
  <c r="S21" i="34" s="1"/>
  <c r="T21" i="34" s="1"/>
  <c r="U21" i="34" s="1"/>
  <c r="V21" i="34" s="1"/>
  <c r="W21" i="34" s="1"/>
  <c r="X21" i="34" s="1"/>
  <c r="O10" i="28"/>
  <c r="P16" i="28" s="1"/>
  <c r="P11" i="28" s="1"/>
  <c r="P11" i="34" s="1"/>
  <c r="BB11" i="28"/>
  <c r="N57" i="28"/>
  <c r="M48" i="32"/>
  <c r="M49" i="32" s="1"/>
  <c r="M26" i="38"/>
  <c r="M25" i="38"/>
  <c r="J48" i="32"/>
  <c r="J51" i="32" s="1"/>
  <c r="J54" i="32" s="1"/>
  <c r="J55" i="32" s="1"/>
  <c r="J26" i="38"/>
  <c r="J25" i="38"/>
  <c r="G48" i="32"/>
  <c r="G49" i="32" s="1"/>
  <c r="G25" i="38"/>
  <c r="G26" i="38"/>
  <c r="K39" i="24"/>
  <c r="K18" i="38"/>
  <c r="K19" i="38"/>
  <c r="L48" i="32"/>
  <c r="L51" i="32" s="1"/>
  <c r="L54" i="32" s="1"/>
  <c r="L55" i="32" s="1"/>
  <c r="L25" i="38"/>
  <c r="L26" i="38"/>
  <c r="H48" i="32"/>
  <c r="H49" i="32" s="1"/>
  <c r="H26" i="38"/>
  <c r="H25" i="38"/>
  <c r="F48" i="32"/>
  <c r="F49" i="32" s="1"/>
  <c r="F25" i="38"/>
  <c r="F26" i="38"/>
  <c r="AD57" i="28"/>
  <c r="AE57" i="28"/>
  <c r="K58" i="24"/>
  <c r="K57" i="24"/>
  <c r="K20" i="38" s="1"/>
  <c r="K49" i="32"/>
  <c r="K51" i="32"/>
  <c r="K54" i="32" s="1"/>
  <c r="K55" i="32" s="1"/>
  <c r="K48" i="24"/>
  <c r="K54" i="24" s="1"/>
  <c r="F31" i="24"/>
  <c r="H31" i="24"/>
  <c r="J31" i="24"/>
  <c r="G31" i="24"/>
  <c r="L29" i="24"/>
  <c r="L31" i="24"/>
  <c r="L46" i="24" s="1"/>
  <c r="K32" i="24"/>
  <c r="M29" i="24"/>
  <c r="M31" i="24"/>
  <c r="M46" i="24" s="1"/>
  <c r="H43" i="24"/>
  <c r="H29" i="24"/>
  <c r="F43" i="24"/>
  <c r="F29" i="24"/>
  <c r="J43" i="24"/>
  <c r="J29" i="24"/>
  <c r="G43" i="24"/>
  <c r="G29" i="24"/>
  <c r="L43" i="24"/>
  <c r="M43" i="24"/>
  <c r="AB55" i="28"/>
  <c r="AI9" i="24"/>
  <c r="AH42" i="24"/>
  <c r="M36" i="24"/>
  <c r="M38" i="24" s="1"/>
  <c r="J36" i="24"/>
  <c r="J38" i="24" s="1"/>
  <c r="L36" i="24"/>
  <c r="L38" i="24" s="1"/>
  <c r="H36" i="24"/>
  <c r="H38" i="24" s="1"/>
  <c r="F36" i="24"/>
  <c r="F38" i="24" s="1"/>
  <c r="G36" i="24"/>
  <c r="G38" i="24" s="1"/>
  <c r="BB10" i="28" l="1"/>
  <c r="P10" i="28"/>
  <c r="Q16" i="28" s="1"/>
  <c r="Q11" i="28" s="1"/>
  <c r="Q11" i="34" s="1"/>
  <c r="BB23" i="28"/>
  <c r="F51" i="32"/>
  <c r="F54" i="32" s="1"/>
  <c r="F55" i="32" s="1"/>
  <c r="L49" i="32"/>
  <c r="M51" i="32"/>
  <c r="M54" i="32" s="1"/>
  <c r="M55" i="32" s="1"/>
  <c r="J49" i="32"/>
  <c r="H51" i="32"/>
  <c r="H54" i="32" s="1"/>
  <c r="H55" i="32" s="1"/>
  <c r="G39" i="24"/>
  <c r="G19" i="38"/>
  <c r="G18" i="38"/>
  <c r="F39" i="24"/>
  <c r="F18" i="38"/>
  <c r="F19" i="38"/>
  <c r="G51" i="32"/>
  <c r="G54" i="32" s="1"/>
  <c r="G55" i="32" s="1"/>
  <c r="H39" i="24"/>
  <c r="H19" i="38"/>
  <c r="H18" i="38"/>
  <c r="L39" i="24"/>
  <c r="L19" i="38"/>
  <c r="L18" i="38"/>
  <c r="J39" i="24"/>
  <c r="J19" i="38"/>
  <c r="J18" i="38"/>
  <c r="M39" i="24"/>
  <c r="M19" i="38"/>
  <c r="M18" i="38"/>
  <c r="AF57" i="28"/>
  <c r="L58" i="24"/>
  <c r="L57" i="24"/>
  <c r="L20" i="38" s="1"/>
  <c r="M58" i="24"/>
  <c r="M57" i="24"/>
  <c r="M20" i="38" s="1"/>
  <c r="K52" i="32"/>
  <c r="K84" i="32"/>
  <c r="L52" i="32"/>
  <c r="L84" i="32"/>
  <c r="J84" i="32"/>
  <c r="J52" i="32"/>
  <c r="G32" i="24"/>
  <c r="G46" i="24"/>
  <c r="J32" i="24"/>
  <c r="J46" i="24"/>
  <c r="M48" i="24"/>
  <c r="M54" i="24" s="1"/>
  <c r="H32" i="24"/>
  <c r="H46" i="24"/>
  <c r="F32" i="24"/>
  <c r="F46" i="24"/>
  <c r="F58" i="24" s="1"/>
  <c r="L48" i="24"/>
  <c r="L54" i="24" s="1"/>
  <c r="M32" i="24"/>
  <c r="L32" i="24"/>
  <c r="K47" i="24"/>
  <c r="M47" i="24"/>
  <c r="AC55" i="28"/>
  <c r="AJ9" i="24"/>
  <c r="AI42" i="24"/>
  <c r="P23" i="28" l="1"/>
  <c r="Q23" i="28" s="1"/>
  <c r="Q10" i="28"/>
  <c r="R16" i="28" s="1"/>
  <c r="R11" i="28" s="1"/>
  <c r="R11" i="34" s="1"/>
  <c r="F84" i="32"/>
  <c r="F85" i="32" s="1"/>
  <c r="F87" i="32" s="1"/>
  <c r="F52" i="32"/>
  <c r="M84" i="32"/>
  <c r="M85" i="32" s="1"/>
  <c r="M87" i="32" s="1"/>
  <c r="M52" i="32"/>
  <c r="H84" i="32"/>
  <c r="H85" i="32" s="1"/>
  <c r="H87" i="32" s="1"/>
  <c r="H52" i="32"/>
  <c r="G84" i="32"/>
  <c r="G85" i="32" s="1"/>
  <c r="G87" i="32" s="1"/>
  <c r="G52" i="32"/>
  <c r="AG57" i="28"/>
  <c r="J58" i="24"/>
  <c r="J57" i="24"/>
  <c r="J20" i="38" s="1"/>
  <c r="G57" i="24"/>
  <c r="G20" i="38" s="1"/>
  <c r="G58" i="24"/>
  <c r="F57" i="24"/>
  <c r="F20" i="38" s="1"/>
  <c r="H58" i="24"/>
  <c r="H57" i="24"/>
  <c r="F47" i="24"/>
  <c r="H47" i="24"/>
  <c r="J47" i="24"/>
  <c r="L85" i="32"/>
  <c r="L87" i="32" s="1"/>
  <c r="J85" i="32"/>
  <c r="J87" i="32" s="1"/>
  <c r="K85" i="32"/>
  <c r="K87" i="32" s="1"/>
  <c r="G48" i="24"/>
  <c r="G54" i="24" s="1"/>
  <c r="H48" i="24"/>
  <c r="H54" i="24" s="1"/>
  <c r="G47" i="24"/>
  <c r="J48" i="24"/>
  <c r="J54" i="24" s="1"/>
  <c r="F48" i="24"/>
  <c r="F54" i="24" s="1"/>
  <c r="N15" i="26"/>
  <c r="L47" i="24"/>
  <c r="AD55" i="28"/>
  <c r="AK9" i="24"/>
  <c r="AJ42" i="24"/>
  <c r="R10" i="28" l="1"/>
  <c r="S16" i="28" s="1"/>
  <c r="S11" i="28" s="1"/>
  <c r="S11" i="34" s="1"/>
  <c r="P24" i="28"/>
  <c r="N16" i="26"/>
  <c r="N13" i="38" s="1"/>
  <c r="R23" i="28"/>
  <c r="Q24" i="28"/>
  <c r="H20" i="38"/>
  <c r="L93" i="32"/>
  <c r="L95" i="32" s="1"/>
  <c r="L89" i="32"/>
  <c r="L115" i="32" s="1"/>
  <c r="L116" i="32" s="1"/>
  <c r="M93" i="32"/>
  <c r="M95" i="32" s="1"/>
  <c r="M111" i="32" s="1"/>
  <c r="M112" i="32" s="1"/>
  <c r="M89" i="32"/>
  <c r="M115" i="32" s="1"/>
  <c r="M116" i="32" s="1"/>
  <c r="H93" i="32"/>
  <c r="H95" i="32" s="1"/>
  <c r="H111" i="32" s="1"/>
  <c r="H112" i="32" s="1"/>
  <c r="H89" i="32"/>
  <c r="H115" i="32" s="1"/>
  <c r="H116" i="32" s="1"/>
  <c r="F93" i="32"/>
  <c r="F95" i="32" s="1"/>
  <c r="F89" i="32"/>
  <c r="F115" i="32" s="1"/>
  <c r="F116" i="32" s="1"/>
  <c r="K93" i="32"/>
  <c r="K95" i="32" s="1"/>
  <c r="K111" i="32" s="1"/>
  <c r="K112" i="32" s="1"/>
  <c r="K89" i="32"/>
  <c r="K115" i="32" s="1"/>
  <c r="K116" i="32" s="1"/>
  <c r="G93" i="32"/>
  <c r="G95" i="32" s="1"/>
  <c r="G89" i="32"/>
  <c r="G115" i="32" s="1"/>
  <c r="G116" i="32" s="1"/>
  <c r="J93" i="32"/>
  <c r="J95" i="32" s="1"/>
  <c r="J111" i="32" s="1"/>
  <c r="J112" i="32" s="1"/>
  <c r="J89" i="32"/>
  <c r="J115" i="32" s="1"/>
  <c r="J116" i="32" s="1"/>
  <c r="AH57" i="28"/>
  <c r="AE55" i="28"/>
  <c r="S57" i="28"/>
  <c r="AL9" i="24"/>
  <c r="AK42" i="24"/>
  <c r="S10" i="28" l="1"/>
  <c r="T16" i="28" s="1"/>
  <c r="T11" i="28" s="1"/>
  <c r="T11" i="34" s="1"/>
  <c r="N10" i="26"/>
  <c r="N53" i="24" s="1"/>
  <c r="N17" i="26"/>
  <c r="AF43" i="24"/>
  <c r="AN43" i="24"/>
  <c r="AV43" i="24"/>
  <c r="AJ43" i="24"/>
  <c r="AT43" i="24"/>
  <c r="AM43" i="24"/>
  <c r="AG43" i="24"/>
  <c r="AO43" i="24"/>
  <c r="AW43" i="24"/>
  <c r="AB43" i="24"/>
  <c r="AZ43" i="24"/>
  <c r="AE43" i="24"/>
  <c r="Z43" i="24"/>
  <c r="AH43" i="24"/>
  <c r="AP43" i="24"/>
  <c r="AX43" i="24"/>
  <c r="AY43" i="24"/>
  <c r="AL43" i="24"/>
  <c r="AA43" i="24"/>
  <c r="AI43" i="24"/>
  <c r="AQ43" i="24"/>
  <c r="AR43" i="24"/>
  <c r="AC43" i="24"/>
  <c r="AK43" i="24"/>
  <c r="AS43" i="24"/>
  <c r="BA43" i="24"/>
  <c r="AD43" i="24"/>
  <c r="AU43" i="24"/>
  <c r="S23" i="28"/>
  <c r="R24" i="28"/>
  <c r="L111" i="32"/>
  <c r="L112" i="32" s="1"/>
  <c r="L113" i="32"/>
  <c r="L114" i="32" s="1"/>
  <c r="H113" i="32"/>
  <c r="H114" i="32" s="1"/>
  <c r="K113" i="32"/>
  <c r="K114" i="32" s="1"/>
  <c r="J113" i="32"/>
  <c r="J114" i="32" s="1"/>
  <c r="F113" i="32"/>
  <c r="F114" i="32" s="1"/>
  <c r="G113" i="32"/>
  <c r="G114" i="32" s="1"/>
  <c r="F111" i="32"/>
  <c r="F112" i="32" s="1"/>
  <c r="M113" i="32"/>
  <c r="M114" i="32" s="1"/>
  <c r="G111" i="32"/>
  <c r="G112" i="32" s="1"/>
  <c r="T10" i="28"/>
  <c r="U16" i="28" s="1"/>
  <c r="U11" i="28" s="1"/>
  <c r="U11" i="34" s="1"/>
  <c r="N46" i="24"/>
  <c r="AF55" i="28"/>
  <c r="T57" i="28"/>
  <c r="AM9" i="24"/>
  <c r="AL42" i="24"/>
  <c r="N11" i="26" l="1"/>
  <c r="X43" i="24"/>
  <c r="P43" i="24"/>
  <c r="W43" i="24"/>
  <c r="V43" i="24"/>
  <c r="U43" i="24"/>
  <c r="T43" i="24"/>
  <c r="S43" i="24"/>
  <c r="Q43" i="24"/>
  <c r="R43" i="24"/>
  <c r="Y43" i="24"/>
  <c r="T23" i="28"/>
  <c r="S24" i="28"/>
  <c r="J15" i="36"/>
  <c r="I15" i="36" s="1"/>
  <c r="AI57" i="28"/>
  <c r="U10" i="28"/>
  <c r="V16" i="28" s="1"/>
  <c r="V11" i="28" s="1"/>
  <c r="V11" i="34" s="1"/>
  <c r="N57" i="24"/>
  <c r="N58" i="24"/>
  <c r="N47" i="24"/>
  <c r="U57" i="28"/>
  <c r="AG55" i="28"/>
  <c r="AJ57" i="28"/>
  <c r="AN9" i="24"/>
  <c r="AM42" i="24"/>
  <c r="BC43" i="24" l="1"/>
  <c r="U23" i="28"/>
  <c r="T24" i="28"/>
  <c r="N20" i="38"/>
  <c r="V10" i="28"/>
  <c r="W16" i="28" s="1"/>
  <c r="W11" i="28" s="1"/>
  <c r="W11" i="34" s="1"/>
  <c r="V57" i="28"/>
  <c r="AH55" i="28"/>
  <c r="AK57" i="28"/>
  <c r="AO9" i="24"/>
  <c r="AN42" i="24"/>
  <c r="BB48" i="24" l="1"/>
  <c r="V23" i="28"/>
  <c r="U24" i="28"/>
  <c r="W10" i="28"/>
  <c r="X16" i="28" s="1"/>
  <c r="X11" i="28" s="1"/>
  <c r="W57" i="28"/>
  <c r="AI55" i="28"/>
  <c r="AL57" i="28"/>
  <c r="AP9" i="24"/>
  <c r="AO42" i="24"/>
  <c r="W23" i="28" l="1"/>
  <c r="V24" i="28"/>
  <c r="X10" i="28"/>
  <c r="X11" i="34"/>
  <c r="X57" i="28"/>
  <c r="AJ55" i="28"/>
  <c r="AM57" i="28"/>
  <c r="AQ9" i="24"/>
  <c r="AP42" i="24"/>
  <c r="X23" i="28" l="1"/>
  <c r="W24" i="28"/>
  <c r="Y57" i="28"/>
  <c r="AK55" i="28"/>
  <c r="AN57" i="28"/>
  <c r="AR9" i="24"/>
  <c r="AQ42" i="24"/>
  <c r="X24" i="28" l="1"/>
  <c r="AA57" i="28"/>
  <c r="Z57" i="28"/>
  <c r="AL55" i="28"/>
  <c r="AO57" i="28"/>
  <c r="AS9" i="24"/>
  <c r="AR42" i="24"/>
  <c r="AM55" i="28" l="1"/>
  <c r="AP57" i="28"/>
  <c r="AT9" i="24"/>
  <c r="AS42" i="24"/>
  <c r="AN55" i="28" l="1"/>
  <c r="AQ57" i="28"/>
  <c r="AU9" i="24"/>
  <c r="AT42" i="24"/>
  <c r="AO55" i="28" l="1"/>
  <c r="AR57" i="28"/>
  <c r="AV9" i="24"/>
  <c r="AU42" i="24"/>
  <c r="AP55" i="28" l="1"/>
  <c r="AS57" i="28"/>
  <c r="AW9" i="24"/>
  <c r="AV42" i="24"/>
  <c r="AQ55" i="28" l="1"/>
  <c r="AT57" i="28"/>
  <c r="AX9" i="24"/>
  <c r="AW42" i="24"/>
  <c r="AR55" i="28" l="1"/>
  <c r="AU57" i="28"/>
  <c r="AY9" i="24"/>
  <c r="AX42" i="24"/>
  <c r="AS55" i="28" l="1"/>
  <c r="AV57" i="28"/>
  <c r="AZ9" i="24"/>
  <c r="AY42" i="24"/>
  <c r="AT55" i="28" l="1"/>
  <c r="AW57" i="28"/>
  <c r="BA9" i="24"/>
  <c r="BA42" i="24" s="1"/>
  <c r="AZ42" i="24"/>
  <c r="AU55" i="28" l="1"/>
  <c r="AX57" i="28"/>
  <c r="AV55" i="28" l="1"/>
  <c r="AY57" i="28"/>
  <c r="AW55" i="28" l="1"/>
  <c r="BA57" i="28"/>
  <c r="AZ57" i="28"/>
  <c r="AX55" i="28" l="1"/>
  <c r="AY55" i="28" l="1"/>
  <c r="AZ55" i="28" l="1"/>
  <c r="BA55" i="28" l="1"/>
  <c r="F11" i="36" l="1"/>
  <c r="F16" i="36"/>
  <c r="O18" i="20" l="1"/>
  <c r="P18" i="20" s="1"/>
  <c r="Q18" i="20" l="1"/>
  <c r="N18" i="20"/>
  <c r="M18" i="20" l="1"/>
  <c r="R18" i="20"/>
  <c r="L18" i="20" l="1"/>
  <c r="S18" i="20"/>
  <c r="N24" i="26"/>
  <c r="N12" i="26" s="1"/>
  <c r="N27" i="38" s="1"/>
  <c r="N36" i="26"/>
  <c r="K18" i="20" l="1"/>
  <c r="N10" i="38"/>
  <c r="N19" i="38"/>
  <c r="N49" i="24"/>
  <c r="N48" i="24" s="1"/>
  <c r="N54" i="24" s="1"/>
  <c r="J18" i="20" l="1"/>
  <c r="H11" i="36" l="1"/>
  <c r="H13" i="36"/>
  <c r="I11" i="36"/>
  <c r="I13" i="36"/>
  <c r="G11" i="36"/>
  <c r="G13" i="36"/>
  <c r="J12" i="36"/>
  <c r="J13" i="36" l="1"/>
  <c r="J11" i="36"/>
  <c r="J14" i="36" l="1"/>
  <c r="I14" i="36" s="1"/>
  <c r="O46" i="24"/>
  <c r="H16" i="36" l="1"/>
  <c r="I16" i="36"/>
  <c r="G16" i="36"/>
  <c r="J16" i="36"/>
  <c r="O47" i="24"/>
  <c r="AE32" i="24" l="1"/>
  <c r="AO32" i="24"/>
  <c r="AG32" i="24"/>
  <c r="AX32" i="24"/>
  <c r="Z32" i="24"/>
  <c r="AI32" i="24"/>
  <c r="AP32" i="24"/>
  <c r="AU32" i="24"/>
  <c r="AM32" i="24"/>
  <c r="AZ32" i="24"/>
  <c r="AA32" i="24"/>
  <c r="AJ32" i="24"/>
  <c r="AL32" i="24"/>
  <c r="P66" i="28"/>
  <c r="P65" i="28" s="1"/>
  <c r="AR32" i="24"/>
  <c r="AS32" i="24"/>
  <c r="AB32" i="24"/>
  <c r="AQ32" i="24"/>
  <c r="AF32" i="24"/>
  <c r="AV32" i="24"/>
  <c r="AC32" i="24"/>
  <c r="BA32" i="24"/>
  <c r="AT32" i="24"/>
  <c r="AY32" i="24"/>
  <c r="R66" i="28"/>
  <c r="R65" i="28" s="1"/>
  <c r="V66" i="28"/>
  <c r="V65" i="28" s="1"/>
  <c r="AN32" i="24"/>
  <c r="S66" i="28"/>
  <c r="S65" i="28" s="1"/>
  <c r="W66" i="28"/>
  <c r="W65" i="28" s="1"/>
  <c r="Q66" i="28"/>
  <c r="Q65" i="28" s="1"/>
  <c r="AH32" i="24"/>
  <c r="AK32" i="24"/>
  <c r="AW32" i="24"/>
  <c r="X66" i="28"/>
  <c r="X65" i="28" s="1"/>
  <c r="AD32" i="24"/>
  <c r="U66" i="28"/>
  <c r="U22" i="28" s="1"/>
  <c r="T66" i="28"/>
  <c r="T22" i="28" s="1"/>
  <c r="Y66" i="28"/>
  <c r="Y32" i="24" s="1"/>
  <c r="P22" i="28" l="1"/>
  <c r="X22" i="28"/>
  <c r="W32" i="24"/>
  <c r="V22" i="28"/>
  <c r="Q32" i="24"/>
  <c r="R22" i="28"/>
  <c r="T15" i="24"/>
  <c r="U15" i="24"/>
  <c r="T65" i="28"/>
  <c r="T32" i="24"/>
  <c r="U65" i="28"/>
  <c r="U32" i="24"/>
  <c r="U31" i="24" s="1"/>
  <c r="V32" i="24"/>
  <c r="P32" i="24"/>
  <c r="R32" i="24"/>
  <c r="W22" i="28"/>
  <c r="X32" i="24"/>
  <c r="S22" i="28"/>
  <c r="Q22" i="28"/>
  <c r="S32" i="24"/>
  <c r="X15" i="24" l="1"/>
  <c r="X31" i="24" s="1"/>
  <c r="X37" i="24" s="1"/>
  <c r="P15" i="24"/>
  <c r="R15" i="24"/>
  <c r="R31" i="24" s="1"/>
  <c r="R37" i="24" s="1"/>
  <c r="V15" i="24"/>
  <c r="V44" i="24" s="1"/>
  <c r="T31" i="24"/>
  <c r="T37" i="24" s="1"/>
  <c r="U53" i="24"/>
  <c r="U16" i="24"/>
  <c r="U44" i="24"/>
  <c r="U51" i="24"/>
  <c r="U12" i="34"/>
  <c r="S15" i="24"/>
  <c r="T16" i="24" s="1"/>
  <c r="T51" i="24"/>
  <c r="T44" i="24"/>
  <c r="T12" i="34"/>
  <c r="Q15" i="24"/>
  <c r="W15" i="24"/>
  <c r="R12" i="34"/>
  <c r="U37" i="24"/>
  <c r="U46" i="24" l="1"/>
  <c r="X44" i="24"/>
  <c r="X51" i="24"/>
  <c r="X53" i="24"/>
  <c r="X12" i="34"/>
  <c r="V53" i="24"/>
  <c r="R44" i="24"/>
  <c r="R51" i="24"/>
  <c r="V16" i="24"/>
  <c r="V31" i="24"/>
  <c r="V37" i="24" s="1"/>
  <c r="V46" i="24" s="1"/>
  <c r="V12" i="34"/>
  <c r="P12" i="34"/>
  <c r="P44" i="24"/>
  <c r="P53" i="24"/>
  <c r="P16" i="24"/>
  <c r="P51" i="24"/>
  <c r="V51" i="24"/>
  <c r="P31" i="24"/>
  <c r="P37" i="24" s="1"/>
  <c r="R53" i="24"/>
  <c r="O15" i="26"/>
  <c r="O16" i="26" s="1"/>
  <c r="S31" i="24"/>
  <c r="S37" i="24" s="1"/>
  <c r="T46" i="24"/>
  <c r="T47" i="24" s="1"/>
  <c r="T53" i="24"/>
  <c r="R16" i="24"/>
  <c r="X16" i="24"/>
  <c r="X46" i="24"/>
  <c r="X47" i="24" s="1"/>
  <c r="R46" i="24"/>
  <c r="R47" i="24" s="1"/>
  <c r="W53" i="24"/>
  <c r="W44" i="24"/>
  <c r="W51" i="24"/>
  <c r="W16" i="24"/>
  <c r="W12" i="34"/>
  <c r="W31" i="24"/>
  <c r="U47" i="24"/>
  <c r="S44" i="24"/>
  <c r="S51" i="24"/>
  <c r="S16" i="24"/>
  <c r="S53" i="24"/>
  <c r="S12" i="34"/>
  <c r="Q51" i="24"/>
  <c r="Q16" i="24"/>
  <c r="Q53" i="24"/>
  <c r="Q44" i="24"/>
  <c r="Q12" i="34"/>
  <c r="Q31" i="24"/>
  <c r="O10" i="26" l="1"/>
  <c r="O11" i="26" s="1"/>
  <c r="O13" i="38"/>
  <c r="P46" i="24"/>
  <c r="P47" i="24" s="1"/>
  <c r="S46" i="24"/>
  <c r="S47" i="24" s="1"/>
  <c r="V47" i="24"/>
  <c r="O17" i="26"/>
  <c r="Q37" i="24"/>
  <c r="Q46" i="24" s="1"/>
  <c r="W37" i="24"/>
  <c r="W46" i="24" s="1"/>
  <c r="O53" i="24" l="1"/>
  <c r="F14" i="20"/>
  <c r="O57" i="24"/>
  <c r="O20" i="38" s="1"/>
  <c r="O58" i="24"/>
  <c r="W47" i="24"/>
  <c r="Q47" i="24"/>
  <c r="P56" i="28" l="1"/>
  <c r="P26" i="28" s="1"/>
  <c r="Q56" i="28" l="1"/>
  <c r="Q26" i="28" s="1"/>
  <c r="BB26" i="28"/>
  <c r="O27" i="28"/>
  <c r="P25" i="28"/>
  <c r="P27" i="28"/>
  <c r="R56" i="28"/>
  <c r="Q25" i="28"/>
  <c r="Q27" i="28"/>
  <c r="R26" i="28" l="1"/>
  <c r="S56" i="28"/>
  <c r="S26" i="28" l="1"/>
  <c r="T56" i="28"/>
  <c r="R25" i="28"/>
  <c r="R27" i="28"/>
  <c r="T26" i="28" l="1"/>
  <c r="U56" i="28"/>
  <c r="S27" i="28"/>
  <c r="S25" i="28"/>
  <c r="U26" i="28" l="1"/>
  <c r="V56" i="28"/>
  <c r="T25" i="28"/>
  <c r="T27" i="28"/>
  <c r="V26" i="28" l="1"/>
  <c r="W56" i="28"/>
  <c r="U25" i="28"/>
  <c r="U27" i="28"/>
  <c r="W26" i="28" l="1"/>
  <c r="X56" i="28"/>
  <c r="V25" i="28"/>
  <c r="V27" i="28"/>
  <c r="X26" i="28" l="1"/>
  <c r="Y56" i="28"/>
  <c r="W25" i="28"/>
  <c r="W27" i="28"/>
  <c r="Y26" i="28" l="1"/>
  <c r="Z56" i="28"/>
  <c r="X25" i="28"/>
  <c r="Y25" i="28" s="1"/>
  <c r="Z25" i="28" s="1"/>
  <c r="AA25" i="28" s="1"/>
  <c r="AB25" i="28" s="1"/>
  <c r="AC25" i="28" s="1"/>
  <c r="AD25" i="28" s="1"/>
  <c r="AE25" i="28" s="1"/>
  <c r="AF25" i="28" s="1"/>
  <c r="AG25" i="28" s="1"/>
  <c r="AH25" i="28" s="1"/>
  <c r="AI25" i="28" s="1"/>
  <c r="AJ25" i="28" s="1"/>
  <c r="AK25" i="28" s="1"/>
  <c r="AL25" i="28" s="1"/>
  <c r="AM25" i="28" s="1"/>
  <c r="AN25" i="28" s="1"/>
  <c r="AO25" i="28" s="1"/>
  <c r="AP25" i="28" s="1"/>
  <c r="AQ25" i="28" s="1"/>
  <c r="AR25" i="28" s="1"/>
  <c r="AS25" i="28" s="1"/>
  <c r="AT25" i="28" s="1"/>
  <c r="AU25" i="28" s="1"/>
  <c r="AV25" i="28" s="1"/>
  <c r="AW25" i="28" s="1"/>
  <c r="AX25" i="28" s="1"/>
  <c r="AY25" i="28" s="1"/>
  <c r="AZ25" i="28" s="1"/>
  <c r="BA25" i="28" s="1"/>
  <c r="X27" i="28"/>
  <c r="Z26" i="28" l="1"/>
  <c r="AA56" i="28"/>
  <c r="Y65" i="28"/>
  <c r="Y27" i="28"/>
  <c r="Y22" i="28"/>
  <c r="Y15" i="24" s="1"/>
  <c r="AB56" i="28" l="1"/>
  <c r="AA26" i="28"/>
  <c r="Y44" i="24"/>
  <c r="Y16" i="24"/>
  <c r="Y48" i="24" s="1"/>
  <c r="Y31" i="24"/>
  <c r="Z27" i="28"/>
  <c r="Z22" i="28"/>
  <c r="Z15" i="24" s="1"/>
  <c r="Z16" i="24" l="1"/>
  <c r="Z48" i="24" s="1"/>
  <c r="Z44" i="24"/>
  <c r="Z31" i="24"/>
  <c r="AA27" i="28"/>
  <c r="AA22" i="28"/>
  <c r="AA15" i="24" s="1"/>
  <c r="Y37" i="24"/>
  <c r="Y46" i="24" s="1"/>
  <c r="AB26" i="28"/>
  <c r="AC56" i="28"/>
  <c r="AB27" i="28" l="1"/>
  <c r="AB22" i="28"/>
  <c r="AB15" i="24" s="1"/>
  <c r="Y47" i="24"/>
  <c r="Y54" i="24"/>
  <c r="Z37" i="24"/>
  <c r="Z46" i="24" s="1"/>
  <c r="AC26" i="28"/>
  <c r="AD56" i="28"/>
  <c r="AA44" i="24"/>
  <c r="AA16" i="24"/>
  <c r="AA48" i="24" s="1"/>
  <c r="AA31" i="24"/>
  <c r="AC27" i="28" l="1"/>
  <c r="AC22" i="28"/>
  <c r="AC15" i="24" s="1"/>
  <c r="AD26" i="28"/>
  <c r="AE56" i="28"/>
  <c r="AA37" i="24"/>
  <c r="AA46" i="24" s="1"/>
  <c r="AB44" i="24"/>
  <c r="AB16" i="24"/>
  <c r="AB48" i="24" s="1"/>
  <c r="AB31" i="24"/>
  <c r="Z47" i="24"/>
  <c r="Z54" i="24"/>
  <c r="AC44" i="24" l="1"/>
  <c r="AC16" i="24"/>
  <c r="AC48" i="24" s="1"/>
  <c r="AC31" i="24"/>
  <c r="AB37" i="24"/>
  <c r="AB46" i="24" s="1"/>
  <c r="AD27" i="28"/>
  <c r="AD22" i="28"/>
  <c r="AD15" i="24" s="1"/>
  <c r="AA47" i="24"/>
  <c r="AA54" i="24"/>
  <c r="AE26" i="28"/>
  <c r="AF56" i="28"/>
  <c r="AB47" i="24" l="1"/>
  <c r="AB54" i="24"/>
  <c r="AE27" i="28"/>
  <c r="AE22" i="28"/>
  <c r="AE15" i="24" s="1"/>
  <c r="AF26" i="28"/>
  <c r="AG56" i="28"/>
  <c r="AD44" i="24"/>
  <c r="AD16" i="24"/>
  <c r="AD48" i="24" s="1"/>
  <c r="AD31" i="24"/>
  <c r="AC37" i="24"/>
  <c r="AC46" i="24" s="1"/>
  <c r="AC47" i="24" l="1"/>
  <c r="AC54" i="24"/>
  <c r="AE44" i="24"/>
  <c r="AE16" i="24"/>
  <c r="AE48" i="24" s="1"/>
  <c r="AE31" i="24"/>
  <c r="AH56" i="28"/>
  <c r="AG26" i="28"/>
  <c r="AD37" i="24"/>
  <c r="AD46" i="24" s="1"/>
  <c r="AF27" i="28"/>
  <c r="AF22" i="28"/>
  <c r="AF15" i="24" s="1"/>
  <c r="AD47" i="24" l="1"/>
  <c r="AD54" i="24"/>
  <c r="AF44" i="24"/>
  <c r="AF16" i="24"/>
  <c r="AF48" i="24" s="1"/>
  <c r="AF31" i="24"/>
  <c r="AG27" i="28"/>
  <c r="AG22" i="28"/>
  <c r="AG15" i="24" s="1"/>
  <c r="AH26" i="28"/>
  <c r="AI56" i="28"/>
  <c r="AE37" i="24"/>
  <c r="AE46" i="24" s="1"/>
  <c r="AE47" i="24" l="1"/>
  <c r="AE54" i="24"/>
  <c r="AH27" i="28"/>
  <c r="AH22" i="28"/>
  <c r="AH15" i="24" s="1"/>
  <c r="AG44" i="24"/>
  <c r="AG16" i="24"/>
  <c r="AG48" i="24" s="1"/>
  <c r="AG31" i="24"/>
  <c r="AJ56" i="28"/>
  <c r="AI26" i="28"/>
  <c r="AF37" i="24"/>
  <c r="AF46" i="24" s="1"/>
  <c r="AI27" i="28" l="1"/>
  <c r="AI22" i="28"/>
  <c r="AI15" i="24" s="1"/>
  <c r="AH44" i="24"/>
  <c r="AH16" i="24"/>
  <c r="AH48" i="24" s="1"/>
  <c r="AH31" i="24"/>
  <c r="AF47" i="24"/>
  <c r="AF54" i="24"/>
  <c r="AJ26" i="28"/>
  <c r="AK56" i="28"/>
  <c r="AG37" i="24"/>
  <c r="AG46" i="24" s="1"/>
  <c r="AJ27" i="28" l="1"/>
  <c r="AJ22" i="28"/>
  <c r="AJ15" i="24" s="1"/>
  <c r="AG47" i="24"/>
  <c r="AG54" i="24"/>
  <c r="AI44" i="24"/>
  <c r="AI16" i="24"/>
  <c r="AI48" i="24" s="1"/>
  <c r="AI31" i="24"/>
  <c r="AL56" i="28"/>
  <c r="AK26" i="28"/>
  <c r="AH37" i="24"/>
  <c r="AH46" i="24" s="1"/>
  <c r="AH47" i="24" l="1"/>
  <c r="AH54" i="24"/>
  <c r="AL26" i="28"/>
  <c r="AM56" i="28"/>
  <c r="AI37" i="24"/>
  <c r="AI46" i="24" s="1"/>
  <c r="AJ16" i="24"/>
  <c r="AJ48" i="24" s="1"/>
  <c r="AJ44" i="24"/>
  <c r="AJ31" i="24"/>
  <c r="AK27" i="28"/>
  <c r="AK22" i="28"/>
  <c r="AK15" i="24" s="1"/>
  <c r="AL27" i="28" l="1"/>
  <c r="AL22" i="28"/>
  <c r="AL15" i="24" s="1"/>
  <c r="AK16" i="24"/>
  <c r="AK48" i="24" s="1"/>
  <c r="AK44" i="24"/>
  <c r="AK31" i="24"/>
  <c r="AJ37" i="24"/>
  <c r="AJ46" i="24" s="1"/>
  <c r="AI47" i="24"/>
  <c r="AI54" i="24"/>
  <c r="AN56" i="28"/>
  <c r="AM26" i="28"/>
  <c r="AM27" i="28" l="1"/>
  <c r="AM22" i="28"/>
  <c r="AM15" i="24" s="1"/>
  <c r="AN26" i="28"/>
  <c r="AO56" i="28"/>
  <c r="AJ47" i="24"/>
  <c r="AJ54" i="24"/>
  <c r="AL44" i="24"/>
  <c r="AL16" i="24"/>
  <c r="AL48" i="24" s="1"/>
  <c r="AL31" i="24"/>
  <c r="AK37" i="24"/>
  <c r="AK46" i="24" s="1"/>
  <c r="AO26" i="28" l="1"/>
  <c r="AP56" i="28"/>
  <c r="AM16" i="24"/>
  <c r="AM48" i="24" s="1"/>
  <c r="AM44" i="24"/>
  <c r="AM31" i="24"/>
  <c r="AK47" i="24"/>
  <c r="AK54" i="24"/>
  <c r="AN27" i="28"/>
  <c r="AN22" i="28"/>
  <c r="AN15" i="24" s="1"/>
  <c r="AL37" i="24"/>
  <c r="AL46" i="24" s="1"/>
  <c r="AP26" i="28" l="1"/>
  <c r="AQ56" i="28"/>
  <c r="AL47" i="24"/>
  <c r="AL54" i="24"/>
  <c r="AN44" i="24"/>
  <c r="AN16" i="24"/>
  <c r="AN48" i="24" s="1"/>
  <c r="AN31" i="24"/>
  <c r="AM37" i="24"/>
  <c r="AM46" i="24" s="1"/>
  <c r="AO27" i="28"/>
  <c r="AO22" i="28"/>
  <c r="AO15" i="24" s="1"/>
  <c r="AN37" i="24" l="1"/>
  <c r="AN46" i="24" s="1"/>
  <c r="AM47" i="24"/>
  <c r="AM54" i="24"/>
  <c r="AO44" i="24"/>
  <c r="AO16" i="24"/>
  <c r="AO48" i="24" s="1"/>
  <c r="AO31" i="24"/>
  <c r="AQ26" i="28"/>
  <c r="AR56" i="28"/>
  <c r="AP27" i="28"/>
  <c r="AP22" i="28"/>
  <c r="AP15" i="24" s="1"/>
  <c r="AP44" i="24" l="1"/>
  <c r="AP16" i="24"/>
  <c r="AP48" i="24" s="1"/>
  <c r="AP31" i="24"/>
  <c r="AO37" i="24"/>
  <c r="AO46" i="24" s="1"/>
  <c r="AN47" i="24"/>
  <c r="AN54" i="24"/>
  <c r="AR26" i="28"/>
  <c r="AS56" i="28"/>
  <c r="AQ27" i="28"/>
  <c r="AQ22" i="28"/>
  <c r="AQ15" i="24" s="1"/>
  <c r="AO47" i="24" l="1"/>
  <c r="AO54" i="24"/>
  <c r="AR27" i="28"/>
  <c r="AR22" i="28"/>
  <c r="AR15" i="24" s="1"/>
  <c r="AQ16" i="24"/>
  <c r="AQ48" i="24" s="1"/>
  <c r="AQ44" i="24"/>
  <c r="AQ31" i="24"/>
  <c r="AP37" i="24"/>
  <c r="AP46" i="24" s="1"/>
  <c r="AT56" i="28"/>
  <c r="AS26" i="28"/>
  <c r="AS27" i="28" l="1"/>
  <c r="AS22" i="28"/>
  <c r="AS15" i="24" s="1"/>
  <c r="AT26" i="28"/>
  <c r="AU56" i="28"/>
  <c r="AR44" i="24"/>
  <c r="AR16" i="24"/>
  <c r="AR48" i="24" s="1"/>
  <c r="AR31" i="24"/>
  <c r="AQ37" i="24"/>
  <c r="AQ46" i="24" s="1"/>
  <c r="AP47" i="24"/>
  <c r="AP54" i="24"/>
  <c r="AU26" i="28" l="1"/>
  <c r="AV56" i="28"/>
  <c r="AS16" i="24"/>
  <c r="AS48" i="24" s="1"/>
  <c r="AS44" i="24"/>
  <c r="AS31" i="24"/>
  <c r="AR37" i="24"/>
  <c r="AR46" i="24" s="1"/>
  <c r="AT27" i="28"/>
  <c r="AT22" i="28"/>
  <c r="AT15" i="24" s="1"/>
  <c r="AQ47" i="24"/>
  <c r="AQ54" i="24"/>
  <c r="AR47" i="24" l="1"/>
  <c r="AR54" i="24"/>
  <c r="AW56" i="28"/>
  <c r="AV26" i="28"/>
  <c r="AT44" i="24"/>
  <c r="AT16" i="24"/>
  <c r="AT48" i="24" s="1"/>
  <c r="AT31" i="24"/>
  <c r="AS37" i="24"/>
  <c r="AS46" i="24" s="1"/>
  <c r="AU27" i="28"/>
  <c r="AU22" i="28"/>
  <c r="AU15" i="24" s="1"/>
  <c r="AT37" i="24" l="1"/>
  <c r="AT46" i="24" s="1"/>
  <c r="AX56" i="28"/>
  <c r="AW26" i="28"/>
  <c r="AU16" i="24"/>
  <c r="AU48" i="24" s="1"/>
  <c r="AU44" i="24"/>
  <c r="AU31" i="24"/>
  <c r="AS47" i="24"/>
  <c r="AS54" i="24"/>
  <c r="AV27" i="28"/>
  <c r="AV22" i="28"/>
  <c r="AV15" i="24" s="1"/>
  <c r="AV44" i="24" l="1"/>
  <c r="AV16" i="24"/>
  <c r="AV48" i="24" s="1"/>
  <c r="AV31" i="24"/>
  <c r="AX26" i="28"/>
  <c r="AY56" i="28"/>
  <c r="AT47" i="24"/>
  <c r="AT54" i="24"/>
  <c r="AW27" i="28"/>
  <c r="AW22" i="28"/>
  <c r="AW15" i="24" s="1"/>
  <c r="AU37" i="24"/>
  <c r="AU46" i="24" s="1"/>
  <c r="AX27" i="28" l="1"/>
  <c r="AX22" i="28"/>
  <c r="AX15" i="24" s="1"/>
  <c r="AU47" i="24"/>
  <c r="AU54" i="24"/>
  <c r="AV37" i="24"/>
  <c r="AV46" i="24" s="1"/>
  <c r="AW44" i="24"/>
  <c r="AW16" i="24"/>
  <c r="AW48" i="24" s="1"/>
  <c r="AW31" i="24"/>
  <c r="AZ56" i="28"/>
  <c r="AY26" i="28"/>
  <c r="AY27" i="28" l="1"/>
  <c r="AY22" i="28"/>
  <c r="AY15" i="24" s="1"/>
  <c r="AX44" i="24"/>
  <c r="AX16" i="24"/>
  <c r="AX48" i="24" s="1"/>
  <c r="AX31" i="24"/>
  <c r="AW37" i="24"/>
  <c r="AW46" i="24" s="1"/>
  <c r="AZ26" i="28"/>
  <c r="BA56" i="28"/>
  <c r="BA26" i="28" s="1"/>
  <c r="AV47" i="24"/>
  <c r="AV54" i="24"/>
  <c r="AW47" i="24" l="1"/>
  <c r="AW54" i="24"/>
  <c r="AY44" i="24"/>
  <c r="AY16" i="24"/>
  <c r="AY48" i="24" s="1"/>
  <c r="AY31" i="24"/>
  <c r="AZ27" i="28"/>
  <c r="AZ22" i="28"/>
  <c r="AZ15" i="24" s="1"/>
  <c r="BA27" i="28"/>
  <c r="BA22" i="28"/>
  <c r="BA15" i="24" s="1"/>
  <c r="AX37" i="24"/>
  <c r="AX46" i="24" s="1"/>
  <c r="AZ16" i="24" l="1"/>
  <c r="AZ48" i="24" s="1"/>
  <c r="AZ44" i="24"/>
  <c r="AZ31" i="24"/>
  <c r="AX47" i="24"/>
  <c r="AX54" i="24"/>
  <c r="BA44" i="24"/>
  <c r="BA16" i="24"/>
  <c r="BA48" i="24" s="1"/>
  <c r="BA31" i="24"/>
  <c r="AY37" i="24"/>
  <c r="AY46" i="24" s="1"/>
  <c r="AY47" i="24" l="1"/>
  <c r="AY54" i="24"/>
  <c r="AZ37" i="24"/>
  <c r="AZ46" i="24" s="1"/>
  <c r="BA37" i="24"/>
  <c r="BA46" i="24" s="1"/>
  <c r="AZ47" i="24" l="1"/>
  <c r="AZ54" i="24"/>
  <c r="BA47" i="24"/>
  <c r="BA54" i="24"/>
  <c r="BB46" i="24"/>
  <c r="BB54" i="24" l="1"/>
  <c r="O15" i="34"/>
  <c r="O50" i="24" s="1"/>
  <c r="O49" i="24" s="1"/>
  <c r="O48" i="24" s="1"/>
  <c r="O54" i="24" s="1"/>
  <c r="P20" i="34"/>
  <c r="Q20" i="34" l="1"/>
  <c r="P10" i="34"/>
  <c r="P15" i="34" s="1"/>
  <c r="P50" i="24" s="1"/>
  <c r="P49" i="24" s="1"/>
  <c r="P48" i="24" s="1"/>
  <c r="P54" i="24" s="1"/>
  <c r="Q10" i="34" l="1"/>
  <c r="Q15" i="34" s="1"/>
  <c r="Q50" i="24" s="1"/>
  <c r="Q49" i="24" s="1"/>
  <c r="Q48" i="24" s="1"/>
  <c r="Q54" i="24" s="1"/>
  <c r="R20" i="34"/>
  <c r="R10" i="34" l="1"/>
  <c r="R15" i="34" s="1"/>
  <c r="R50" i="24" s="1"/>
  <c r="R49" i="24" s="1"/>
  <c r="R48" i="24" s="1"/>
  <c r="R54" i="24" s="1"/>
  <c r="S20" i="34"/>
  <c r="S10" i="34" l="1"/>
  <c r="S15" i="34" s="1"/>
  <c r="S50" i="24" s="1"/>
  <c r="S49" i="24" s="1"/>
  <c r="S48" i="24" s="1"/>
  <c r="S54" i="24" s="1"/>
  <c r="T20" i="34"/>
  <c r="U20" i="34" l="1"/>
  <c r="T10" i="34"/>
  <c r="T15" i="34" s="1"/>
  <c r="T50" i="24" s="1"/>
  <c r="T49" i="24" s="1"/>
  <c r="T48" i="24" s="1"/>
  <c r="T54" i="24" s="1"/>
  <c r="U10" i="34" l="1"/>
  <c r="U15" i="34" s="1"/>
  <c r="U50" i="24" s="1"/>
  <c r="U49" i="24" s="1"/>
  <c r="U48" i="24" s="1"/>
  <c r="U54" i="24" s="1"/>
  <c r="V20" i="34"/>
  <c r="W20" i="34" l="1"/>
  <c r="V10" i="34"/>
  <c r="V15" i="34" s="1"/>
  <c r="V50" i="24" s="1"/>
  <c r="V49" i="24" s="1"/>
  <c r="V48" i="24" s="1"/>
  <c r="V54" i="24" s="1"/>
  <c r="W10" i="34" l="1"/>
  <c r="W15" i="34" s="1"/>
  <c r="W50" i="24" s="1"/>
  <c r="W49" i="24" s="1"/>
  <c r="W48" i="24" s="1"/>
  <c r="W54" i="24" s="1"/>
  <c r="X20" i="34"/>
  <c r="X10" i="34" s="1"/>
  <c r="X15" i="34" s="1"/>
  <c r="X50" i="24" s="1"/>
  <c r="X49" i="24" s="1"/>
  <c r="X48" i="24" s="1"/>
  <c r="X54" i="24" s="1"/>
  <c r="F22" i="20" l="1"/>
  <c r="F20" i="21"/>
  <c r="G20" i="21" l="1"/>
  <c r="F21" i="21"/>
  <c r="P55" i="24" s="1"/>
  <c r="P56" i="24" s="1"/>
  <c r="H20" i="21" l="1"/>
  <c r="G21" i="21"/>
  <c r="Q55" i="24" s="1"/>
  <c r="Q56" i="24" s="1"/>
  <c r="I20" i="21" l="1"/>
  <c r="H21" i="21"/>
  <c r="R55" i="24" s="1"/>
  <c r="R56" i="24" s="1"/>
  <c r="J20" i="21" l="1"/>
  <c r="I21" i="21"/>
  <c r="S55" i="24" s="1"/>
  <c r="S56" i="24" s="1"/>
  <c r="K20" i="21" l="1"/>
  <c r="J21" i="21"/>
  <c r="K21" i="21" s="1"/>
  <c r="L20" i="21"/>
  <c r="T55" i="24" l="1"/>
  <c r="T56" i="24" s="1"/>
  <c r="U55" i="24"/>
  <c r="U56" i="24" s="1"/>
  <c r="L21" i="21"/>
  <c r="M20" i="21"/>
  <c r="V55" i="24" l="1"/>
  <c r="V56" i="24" s="1"/>
  <c r="M21" i="21"/>
  <c r="N20" i="21"/>
  <c r="W55" i="24" l="1"/>
  <c r="W56" i="24" s="1"/>
  <c r="N21" i="21"/>
  <c r="O20" i="21"/>
  <c r="X55" i="24" l="1"/>
  <c r="X56" i="24" s="1"/>
  <c r="P20" i="21"/>
  <c r="O21" i="21"/>
  <c r="Y55" i="24" l="1"/>
  <c r="Y56" i="24" s="1"/>
  <c r="I13" i="20"/>
  <c r="Q20" i="21"/>
  <c r="M13" i="20" l="1"/>
  <c r="Q13" i="20"/>
  <c r="J13" i="20"/>
  <c r="N13" i="20"/>
  <c r="R13" i="20"/>
  <c r="L13" i="20"/>
  <c r="P13" i="20"/>
  <c r="K13" i="20"/>
  <c r="O13" i="20"/>
  <c r="S13" i="20"/>
  <c r="R20" i="21"/>
  <c r="I12" i="20"/>
  <c r="I14" i="20"/>
  <c r="P21" i="21"/>
  <c r="K14" i="20" l="1"/>
  <c r="O14" i="20"/>
  <c r="S14" i="20"/>
  <c r="J14" i="20"/>
  <c r="L14" i="20"/>
  <c r="P14" i="20"/>
  <c r="R14" i="20"/>
  <c r="M14" i="20"/>
  <c r="Q14" i="20"/>
  <c r="N14" i="20"/>
  <c r="K12" i="20"/>
  <c r="O12" i="20"/>
  <c r="S12" i="20"/>
  <c r="L12" i="20"/>
  <c r="P12" i="20"/>
  <c r="J12" i="20"/>
  <c r="M12" i="20"/>
  <c r="Q12" i="20"/>
  <c r="N12" i="20"/>
  <c r="R12" i="20"/>
  <c r="I11" i="20"/>
  <c r="Z55" i="24"/>
  <c r="Z56" i="24" s="1"/>
  <c r="Q21" i="21"/>
  <c r="I15" i="20"/>
  <c r="S20" i="21"/>
  <c r="M15" i="20" l="1"/>
  <c r="Q15" i="20"/>
  <c r="P15" i="20"/>
  <c r="J15" i="20"/>
  <c r="N15" i="20"/>
  <c r="R15" i="20"/>
  <c r="K15" i="20"/>
  <c r="O15" i="20"/>
  <c r="S15" i="20"/>
  <c r="L15" i="20"/>
  <c r="M11" i="20"/>
  <c r="Q11" i="20"/>
  <c r="J11" i="20"/>
  <c r="N11" i="20"/>
  <c r="R11" i="20"/>
  <c r="P11" i="20"/>
  <c r="K11" i="20"/>
  <c r="O11" i="20"/>
  <c r="S11" i="20"/>
  <c r="L11" i="20"/>
  <c r="I10" i="20"/>
  <c r="T20" i="21"/>
  <c r="I16" i="20"/>
  <c r="R21" i="21"/>
  <c r="AA55" i="24"/>
  <c r="AA56" i="24" s="1"/>
  <c r="K16" i="20" l="1"/>
  <c r="O16" i="20"/>
  <c r="S16" i="20"/>
  <c r="L16" i="20"/>
  <c r="P16" i="20"/>
  <c r="N16" i="20"/>
  <c r="M16" i="20"/>
  <c r="Q16" i="20"/>
  <c r="J16" i="20"/>
  <c r="R16" i="20"/>
  <c r="J10" i="20"/>
  <c r="K10" i="20"/>
  <c r="O10" i="20"/>
  <c r="S10" i="20"/>
  <c r="L10" i="20"/>
  <c r="P10" i="20"/>
  <c r="N10" i="20"/>
  <c r="M10" i="20"/>
  <c r="Q10" i="20"/>
  <c r="R10" i="20"/>
  <c r="I9" i="20"/>
  <c r="I17" i="20"/>
  <c r="AB55" i="24"/>
  <c r="AB56" i="24" s="1"/>
  <c r="S21" i="21"/>
  <c r="U20" i="21"/>
  <c r="L9" i="20" l="1"/>
  <c r="P9" i="20"/>
  <c r="J9" i="20"/>
  <c r="K9" i="20"/>
  <c r="M9" i="20"/>
  <c r="Q9" i="20"/>
  <c r="O9" i="20"/>
  <c r="N9" i="20"/>
  <c r="R9" i="20"/>
  <c r="S9" i="20"/>
  <c r="M17" i="20"/>
  <c r="Q17" i="20"/>
  <c r="J17" i="20"/>
  <c r="N17" i="20"/>
  <c r="R17" i="20"/>
  <c r="L17" i="20"/>
  <c r="K17" i="20"/>
  <c r="O17" i="20"/>
  <c r="S17" i="20"/>
  <c r="P17" i="20"/>
  <c r="AC55" i="24"/>
  <c r="AC56" i="24" s="1"/>
  <c r="T21" i="21"/>
  <c r="V20" i="21"/>
  <c r="AD55" i="24" l="1"/>
  <c r="AD56" i="24" s="1"/>
  <c r="U21" i="21"/>
  <c r="W20" i="21"/>
  <c r="X20" i="21" l="1"/>
  <c r="AE55" i="24"/>
  <c r="AE56" i="24" s="1"/>
  <c r="V21" i="21"/>
  <c r="AF55" i="24" l="1"/>
  <c r="AF56" i="24" s="1"/>
  <c r="W21" i="21"/>
  <c r="Y20" i="21"/>
  <c r="X21" i="21" l="1"/>
  <c r="AG55" i="24"/>
  <c r="AG56" i="24" s="1"/>
  <c r="Z20" i="21"/>
  <c r="AA20" i="21" l="1"/>
  <c r="AH55" i="24"/>
  <c r="AH56" i="24" s="1"/>
  <c r="Y21" i="21"/>
  <c r="Z21" i="21" l="1"/>
  <c r="AI55" i="24"/>
  <c r="AI56" i="24" s="1"/>
  <c r="AB20" i="21"/>
  <c r="AC20" i="21" l="1"/>
  <c r="AJ55" i="24"/>
  <c r="AJ56" i="24" s="1"/>
  <c r="AA21" i="21"/>
  <c r="AK55" i="24" l="1"/>
  <c r="AK56" i="24" s="1"/>
  <c r="AB21" i="21"/>
  <c r="AD20" i="21"/>
  <c r="AE20" i="21" l="1"/>
  <c r="AL55" i="24"/>
  <c r="AL56" i="24" s="1"/>
  <c r="AC21" i="21"/>
  <c r="AM55" i="24" l="1"/>
  <c r="AM56" i="24" s="1"/>
  <c r="AD21" i="21"/>
  <c r="AF20" i="21"/>
  <c r="AG20" i="21" l="1"/>
  <c r="AN55" i="24"/>
  <c r="AN56" i="24" s="1"/>
  <c r="AE21" i="21"/>
  <c r="AF21" i="21" l="1"/>
  <c r="AO55" i="24"/>
  <c r="AO56" i="24" s="1"/>
  <c r="AH20" i="21"/>
  <c r="AI20" i="21" l="1"/>
  <c r="AP55" i="24"/>
  <c r="AP56" i="24" s="1"/>
  <c r="AG21" i="21"/>
  <c r="AH21" i="21" l="1"/>
  <c r="AQ55" i="24"/>
  <c r="AQ56" i="24" s="1"/>
  <c r="AJ20" i="21"/>
  <c r="AK20" i="21" l="1"/>
  <c r="AR55" i="24"/>
  <c r="AR56" i="24" s="1"/>
  <c r="AI21" i="21"/>
  <c r="AJ21" i="21" l="1"/>
  <c r="AS55" i="24"/>
  <c r="AS56" i="24" s="1"/>
  <c r="AL20" i="21"/>
  <c r="AM20" i="21" l="1"/>
  <c r="AT55" i="24"/>
  <c r="AT56" i="24" s="1"/>
  <c r="AK21" i="21"/>
  <c r="AL21" i="21" l="1"/>
  <c r="AU55" i="24"/>
  <c r="AU56" i="24" s="1"/>
  <c r="AN20" i="21"/>
  <c r="AO20" i="21" l="1"/>
  <c r="AV55" i="24"/>
  <c r="AV56" i="24" s="1"/>
  <c r="AM21" i="21"/>
  <c r="AW55" i="24" l="1"/>
  <c r="AW56" i="24" s="1"/>
  <c r="AN21" i="21"/>
  <c r="AP20" i="21"/>
  <c r="AQ20" i="21" l="1"/>
  <c r="AX55" i="24"/>
  <c r="AX56" i="24" s="1"/>
  <c r="AO21" i="21"/>
  <c r="AY55" i="24" l="1"/>
  <c r="AY56" i="24" s="1"/>
  <c r="AP21" i="21"/>
  <c r="AZ55" i="24" l="1"/>
  <c r="AZ56" i="24" s="1"/>
  <c r="AQ21" i="21"/>
  <c r="BA55" i="24" s="1"/>
  <c r="BA56" i="24" l="1"/>
  <c r="BB56" i="24"/>
  <c r="F12" i="20" s="1"/>
  <c r="F15" i="20" s="1"/>
  <c r="F17" i="20" s="1"/>
  <c r="E1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Lacombe</author>
  </authors>
  <commentList>
    <comment ref="L9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L46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L58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L70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L83" authorId="0" shapeId="0" xr:uid="{00000000-0006-0000-0600-000005000000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  <comment ref="L92" authorId="0" shapeId="0" xr:uid="{00000000-0006-0000-0600-000006000000}">
      <text>
        <r>
          <rPr>
            <b/>
            <sz val="9"/>
            <color indexed="81"/>
            <rFont val="Segoe UI"/>
            <family val="2"/>
          </rPr>
          <t>Adoção do IFRS 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Monnerat</author>
  </authors>
  <commentList>
    <comment ref="L2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Adoção do IFRS16</t>
        </r>
      </text>
    </comment>
    <comment ref="M4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Houve um Split de 5 pra 1 em 2020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Monnerat</author>
  </authors>
  <commentList>
    <comment ref="L1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Aquisição da Onofre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Rafael Monnerat</author>
  </authors>
  <commentList>
    <comment ref="N1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137.400 na RD Ventures + 11.884 na 4Bio</t>
        </r>
      </text>
    </comment>
    <comment ref="Q14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Rafael Monnerat:</t>
        </r>
        <r>
          <rPr>
            <sz val="9"/>
            <color indexed="81"/>
            <rFont val="Tahoma"/>
            <family val="2"/>
          </rPr>
          <t xml:space="preserve">
Estimativa de valor da compra dos 15% restantes da 4Bio</t>
        </r>
      </text>
    </comment>
  </commentList>
</comments>
</file>

<file path=xl/sharedStrings.xml><?xml version="1.0" encoding="utf-8"?>
<sst xmlns="http://schemas.openxmlformats.org/spreadsheetml/2006/main" count="651" uniqueCount="384">
  <si>
    <t>Ativo Total</t>
  </si>
  <si>
    <t>Passivo Total</t>
  </si>
  <si>
    <t>Passivo Não Circulante</t>
  </si>
  <si>
    <t>Patrimônio Líquido</t>
  </si>
  <si>
    <t>Capital Social Realizado</t>
  </si>
  <si>
    <t>Participação dos Acionistas Não Controladores</t>
  </si>
  <si>
    <t>Ativo Circulante</t>
  </si>
  <si>
    <t>Estoques</t>
  </si>
  <si>
    <t>Outros</t>
  </si>
  <si>
    <t>Impostos a recuperar</t>
  </si>
  <si>
    <t>Despesas Antecipadas</t>
  </si>
  <si>
    <t>Ativo Não Circulante</t>
  </si>
  <si>
    <t>Aplicações Financeiras</t>
  </si>
  <si>
    <t>Depósitos Judiciais</t>
  </si>
  <si>
    <t>Caixa e Equivalente de Caixa</t>
  </si>
  <si>
    <t>Contas a Receber</t>
  </si>
  <si>
    <t>Tributos a Recuperar</t>
  </si>
  <si>
    <t>Ativo Realizável a Longo Prazo</t>
  </si>
  <si>
    <t>Tributos Diferidos</t>
  </si>
  <si>
    <t>Outros Ativos Não Circulantes</t>
  </si>
  <si>
    <t>Imobilizado</t>
  </si>
  <si>
    <t>Imobilizado em Operação</t>
  </si>
  <si>
    <t>Intangível</t>
  </si>
  <si>
    <t>Intangíveis</t>
  </si>
  <si>
    <t>Passivo Circulante</t>
  </si>
  <si>
    <t>Obrigações Sociais e Trabalhistas</t>
  </si>
  <si>
    <t>Fornecedores</t>
  </si>
  <si>
    <t>Outras Obrigações</t>
  </si>
  <si>
    <t>Outras contas a pagar</t>
  </si>
  <si>
    <t>Empréstimos e Financiamentos</t>
  </si>
  <si>
    <t>Obrigações Fiscais</t>
  </si>
  <si>
    <t>Provisões</t>
  </si>
  <si>
    <t>Imposto de renda e contribuição social diferidos</t>
  </si>
  <si>
    <t>Reservas de Reavaliação</t>
  </si>
  <si>
    <t>Reservas de Lucro</t>
  </si>
  <si>
    <t>Ajustes de Avaliação Patrimonial</t>
  </si>
  <si>
    <t>Lucros/Prejuízos Acumulados</t>
  </si>
  <si>
    <t>Reserva de Capital</t>
  </si>
  <si>
    <t>Passivos de Arrendamento</t>
  </si>
  <si>
    <t>Receita Líquida</t>
  </si>
  <si>
    <t>Custos das Vendas e Serviços</t>
  </si>
  <si>
    <t>Lucro Bruto</t>
  </si>
  <si>
    <t>Despesas/ Receitas Operacionais</t>
  </si>
  <si>
    <t>EBIT</t>
  </si>
  <si>
    <t>Resultado Financeiro</t>
  </si>
  <si>
    <t>Resultado Antes dos Tributos Sobre o Lucro</t>
  </si>
  <si>
    <t>Lucro Líquido</t>
  </si>
  <si>
    <t>Resultado Operacional Outros</t>
  </si>
  <si>
    <t>Custo de Capital Próprio (Ke)</t>
  </si>
  <si>
    <t>Descrição</t>
  </si>
  <si>
    <t>Custo de Capital de Terceiros (Kd)</t>
  </si>
  <si>
    <t>-</t>
  </si>
  <si>
    <t>WACC</t>
  </si>
  <si>
    <t>Alíquota Efetiva</t>
  </si>
  <si>
    <t>NOPAT</t>
  </si>
  <si>
    <t>Taxa de Reinvestimento</t>
  </si>
  <si>
    <t>CAPEX Líquido</t>
  </si>
  <si>
    <t>CAPEX</t>
  </si>
  <si>
    <t>Depreciação &amp; Amortização</t>
  </si>
  <si>
    <t>ROIC</t>
  </si>
  <si>
    <t>Ativos Não-Operacionais</t>
  </si>
  <si>
    <t>Growth</t>
  </si>
  <si>
    <t>(%) da Receita Líquida</t>
  </si>
  <si>
    <t>∆ Capital de Giro</t>
  </si>
  <si>
    <t>Imposto de Renda e CSLL</t>
  </si>
  <si>
    <t>Capital de Giro</t>
  </si>
  <si>
    <t>Racional</t>
  </si>
  <si>
    <t>Premissa</t>
  </si>
  <si>
    <t>Páginas</t>
  </si>
  <si>
    <t>Dashboard</t>
  </si>
  <si>
    <t>DRE + DCF</t>
  </si>
  <si>
    <t>Balanço Patrimonial</t>
  </si>
  <si>
    <t>Despesas com Vendas</t>
  </si>
  <si>
    <t>Despesas Gerais e Administrativas</t>
  </si>
  <si>
    <t>Despesas Financeiras</t>
  </si>
  <si>
    <t>Receitas Financeiras</t>
  </si>
  <si>
    <t>Data do Último Resultado:</t>
  </si>
  <si>
    <t>Crescimento da Receita (YoY)¹</t>
  </si>
  <si>
    <t>¹- "YoY", ou "year over year", significa "de um ano pro outro".</t>
  </si>
  <si>
    <t>FCFF</t>
  </si>
  <si>
    <t>Margem Líquida</t>
  </si>
  <si>
    <t>Margem Bruta</t>
  </si>
  <si>
    <t>Ticker</t>
  </si>
  <si>
    <t>Cotação</t>
  </si>
  <si>
    <t>Valor da Ação</t>
  </si>
  <si>
    <t>Ações Emitidas (mil)</t>
  </si>
  <si>
    <t>Valor da Empresa (mil)</t>
  </si>
  <si>
    <t>Dívida (mil)</t>
  </si>
  <si>
    <t>Raia Drogasil ($RADL3)</t>
  </si>
  <si>
    <t>RADL3</t>
  </si>
  <si>
    <t>IR e CSLL Diferidos</t>
  </si>
  <si>
    <t>Ágio e Marcas</t>
  </si>
  <si>
    <t>Dividendo Adicional Proposto</t>
  </si>
  <si>
    <t>Créditos de Empresas Controladas</t>
  </si>
  <si>
    <t>Imobilizado Arrendado</t>
  </si>
  <si>
    <t>Dividendos e JCP a Pagar</t>
  </si>
  <si>
    <t>Débitos de Empresas Controladas</t>
  </si>
  <si>
    <t>20-29</t>
  </si>
  <si>
    <t>30-39</t>
  </si>
  <si>
    <t>40-49</t>
  </si>
  <si>
    <t>50-59</t>
  </si>
  <si>
    <t>60-69</t>
  </si>
  <si>
    <t>70+</t>
  </si>
  <si>
    <t>Maduras</t>
  </si>
  <si>
    <t>Estágio 4</t>
  </si>
  <si>
    <t>Estágio 3</t>
  </si>
  <si>
    <t>Estágio 2</t>
  </si>
  <si>
    <t>Novas Lojas</t>
  </si>
  <si>
    <t>Fechamento de Lojas</t>
  </si>
  <si>
    <t>% de Fechamento</t>
  </si>
  <si>
    <t>5 anos</t>
  </si>
  <si>
    <t>4 anos</t>
  </si>
  <si>
    <t>3 anos</t>
  </si>
  <si>
    <t>2 anos</t>
  </si>
  <si>
    <t>1 ano</t>
  </si>
  <si>
    <t>Receita Líquida de uma loja madura</t>
  </si>
  <si>
    <t>Crescimento das Lojas Maduras</t>
  </si>
  <si>
    <t>Inflação</t>
  </si>
  <si>
    <t>n/a</t>
  </si>
  <si>
    <t>Market Share</t>
  </si>
  <si>
    <t>Tamanho do Mercado</t>
  </si>
  <si>
    <t>na</t>
  </si>
  <si>
    <t>Total Brasil</t>
  </si>
  <si>
    <t>&lt; 20</t>
  </si>
  <si>
    <t>Crescimento PIB</t>
  </si>
  <si>
    <t>Abertura de Novas Lojas</t>
  </si>
  <si>
    <t>Reforma de Lojas Existentes</t>
  </si>
  <si>
    <t>Investimento em Infraestrutura</t>
  </si>
  <si>
    <t>% da Receita Líquida</t>
  </si>
  <si>
    <t>Capex Total</t>
  </si>
  <si>
    <t>Capex de Abertura por Loja</t>
  </si>
  <si>
    <t>Capex de Reforma por Loja Madura</t>
  </si>
  <si>
    <t>Perpetuidade</t>
  </si>
  <si>
    <t>ROIC Perp.</t>
  </si>
  <si>
    <t>Margem NOPAT</t>
  </si>
  <si>
    <t xml:space="preserve"> Maturação de acordo com curva de maturação fornecida pela RD</t>
  </si>
  <si>
    <t>Número de Pessoas com menos de 20 anos</t>
  </si>
  <si>
    <t>Número de Pessoas entre 20 e 29 anos</t>
  </si>
  <si>
    <t>Número de Pessoas entre 30 e 39 anos</t>
  </si>
  <si>
    <t>Número de Pessoas entre 40 e 49 anos</t>
  </si>
  <si>
    <t>Número de Pessoas entre 50 e 59 anos</t>
  </si>
  <si>
    <t>Número de Pessoas entre 60 e 69 anos</t>
  </si>
  <si>
    <t>Fonte</t>
  </si>
  <si>
    <t>IBGE</t>
  </si>
  <si>
    <t>População Brasileira</t>
  </si>
  <si>
    <t>Número de Pessoas com mais de 70 anos</t>
  </si>
  <si>
    <t xml:space="preserve">Multiplica-se o valor de abertura de uma loja pelo número de lojas abertas a cada ano </t>
  </si>
  <si>
    <t>Multiplica-se o valor anual de reforma de uma loja madura pelo número de lojas maduras de cada ano</t>
  </si>
  <si>
    <t>Só lojas maduras sofrem reformas</t>
  </si>
  <si>
    <t>Cresce somente com a inflação</t>
  </si>
  <si>
    <t>As lojas fechadas são lojas maduras</t>
  </si>
  <si>
    <t>Caixa Operacional</t>
  </si>
  <si>
    <t>Excesso de Caixa</t>
  </si>
  <si>
    <t>Depreciação de Arrendamento</t>
  </si>
  <si>
    <t>Margem EBIT</t>
  </si>
  <si>
    <t>Não-Recorrente</t>
  </si>
  <si>
    <t>EBIT Recorrente</t>
  </si>
  <si>
    <t>Margem EBIT Recorrente</t>
  </si>
  <si>
    <t>Valor dos Processos</t>
  </si>
  <si>
    <t>Valor das Provisões</t>
  </si>
  <si>
    <t>Valor de Perdas Possiveis</t>
  </si>
  <si>
    <t>Valor de Perdas Remotas</t>
  </si>
  <si>
    <t>Tributários</t>
  </si>
  <si>
    <t>Cíveis</t>
  </si>
  <si>
    <t>Trabalhistas</t>
  </si>
  <si>
    <t>Administrativos</t>
  </si>
  <si>
    <t>Total</t>
  </si>
  <si>
    <t>Classificação</t>
  </si>
  <si>
    <t>Valor do Processo</t>
  </si>
  <si>
    <t>Chance de Perda</t>
  </si>
  <si>
    <t>Comentário</t>
  </si>
  <si>
    <t>Tributário</t>
  </si>
  <si>
    <t>Possível</t>
  </si>
  <si>
    <t>Cível</t>
  </si>
  <si>
    <t>Remota</t>
  </si>
  <si>
    <t>Provável</t>
  </si>
  <si>
    <t>Trabalhista</t>
  </si>
  <si>
    <t>Administrativo</t>
  </si>
  <si>
    <t>Valor é estimado, o valor da causa é R$ 1 milhão, mas há diversas outras multas nesse processo</t>
  </si>
  <si>
    <t>Ação Cívil Pública: Revista de pertences de empregados e vigilância das áreas da loja</t>
  </si>
  <si>
    <t>Valor é estimado, o valor da causa é R$ 2 milhão, mas há diversas outras multas nesse processo</t>
  </si>
  <si>
    <t xml:space="preserve">Ação Cívil Pública: a. horas extras; b. registro de ponto; c. intervalos intra e interjornadas, d. DSR e folga aos domingos </t>
  </si>
  <si>
    <t>Autos de infração lavrados para a exigência de crédito tributário de Imposto sobre a Renda da Pessoa Jurídica (“IRPJ”) e da Contribuição Social sobre o Lucro Líquido (“CSLL”), relativo ao ano-calendário de 2013 cumulado com multa de ofício e juros de mora.</t>
  </si>
  <si>
    <t>A chance de perda do Principal é Possível e da Multa é Remota</t>
  </si>
  <si>
    <t xml:space="preserve"> Autos de Infração lavrados para a exigência complementar de crédito tributário de Imposto Sobre a Renda da Pessoa Jurídica (“IRPJ”) e da Contribuição Social Sobre Lucro Líquido (“CSLL”) referente a 2011 e aos três primeiros trimestres de 2012</t>
  </si>
  <si>
    <t>Autos de infração lavrados para exigência do Imposto sobre a Renda da Pessoa Jurídica (“IRPJ”) e da Contribuição Social sobre Lucros Líquidos (“CSLL”), relativos aos anos base de 2009 a 2012, cumulados com multa de ofício agravada e juros de mora.</t>
  </si>
  <si>
    <t>Autos de infração lavrados para cobrança de imposto de renda da pessoa jurídica (IRPJ) e da contribuição social sobre o lucro líquido (CSLL), relativos aos anos-base de 2014 a 2017</t>
  </si>
  <si>
    <t>Processo referente à Onofre</t>
  </si>
  <si>
    <t>A empresa foi autuada sob a alegação de não ter efetuado os recolhimentos do FINSOCIAL no período de janeiro a março de 1992 e da COFINS, no período de abril a dezembro de 1992, pela alíquota de 2%</t>
  </si>
  <si>
    <t>Auto de Infração e Imposição de Multa por meio do qual se exige o recolhimento de ICMS no importe de R$ 3.978.563,09, acrescido de multa de ofício de 50% e juros de mora, em razão da não comprovação do direito de ressarcimento do ICMS retido a maior por substituição tributária, relativo aos períodos de apuração de abril, maio e junho de 2008</t>
  </si>
  <si>
    <t>Anulação do auto de infração nº 4.046.508-1 que exige o recolhimento de ICMS no importe de R$ 802.825,58, acrescido de multa de mora, por suposta falta de recolhimento do tributo devido sob o regime de
substituição tributária no período de apuração de 11/2013 a 01/2014.</t>
  </si>
  <si>
    <t>A RD está movendo esta ação contra o Estado de São Paulo</t>
  </si>
  <si>
    <t>Tutela antecipada antecedente objetivando a garantia do débito objeto do auto de infração n. 4.039.062-7. e no mérito a comprovação de sua invalidade.</t>
  </si>
  <si>
    <t>Auto de infração lavrado com a exigência de ICMS, juros e multa, por suposto creditamento indevido nos períodos de 02/2013, 03/2013, 08/2013, 09/2013 e 11/2013, assim como por supostas incorreções na
escrituração para o período de 01/2013 a 12/2013 e suposto crédito em duplicidade em 11/2013</t>
  </si>
  <si>
    <t>Suposta irregularidade consubstanciada na falta de recolhimento do ICMS relativo a substituição tributária quanto às mercadorias (entradas) constantes no relatório denominado "Levantamento Físico - resumo" cujo valor teria sido obtido após levantamento físico quantitativo realizado no exercício de 2013.</t>
  </si>
  <si>
    <t>Notificação apontando suposto débito de ICMS relativo a substituição tributária quanto às mercadorias (entradas) constantes no relatório denominado “Levantamento Físico – Resumo.pdf”, cujo valor teria sido obtido após levantamento físico quantitativo realizado nos exercícios de 2011 e 2012.</t>
  </si>
  <si>
    <t>Execução Fiscal do crédito tributário objeto Auto de Infração PTA 01.000198561- 20, lavrado por ter a empresa, supostamente, deixado de reter ou retido a menor o ICMS devido por substituição tributária, em
operações de transferência de mercadorias para filiais mineiras, ocorridas nos anos de 2009, 2010 e 2011.</t>
  </si>
  <si>
    <t>a. Adicional de 40% para Gerentes; b. Multa convencional; c. Honorários de sucumbência</t>
  </si>
  <si>
    <t>Provisões e Processos</t>
  </si>
  <si>
    <t>TIR</t>
  </si>
  <si>
    <t>Investimentos</t>
  </si>
  <si>
    <t>1º Trimestre</t>
  </si>
  <si>
    <t>2º Trimestre</t>
  </si>
  <si>
    <t>3º Trimestre</t>
  </si>
  <si>
    <t>4º Trimestre</t>
  </si>
  <si>
    <t>A RD vai fechar o mesmo % de suas lojas todo ano</t>
  </si>
  <si>
    <t xml:space="preserve"> Inflação Acumulada</t>
  </si>
  <si>
    <t>Equivalência Patrimonial</t>
  </si>
  <si>
    <t>Total:</t>
  </si>
  <si>
    <t>Eventos não recorrentes</t>
  </si>
  <si>
    <t>EBIT recorrente</t>
  </si>
  <si>
    <t>Margem EBIT recorrente</t>
  </si>
  <si>
    <t>Juros recebidos</t>
  </si>
  <si>
    <t>Outras receitas financeiras</t>
  </si>
  <si>
    <t>Lucro Líquido antes do IR (A partir do EBIT recorrente)</t>
  </si>
  <si>
    <t>Lucro Antes do IR Recorrente</t>
  </si>
  <si>
    <t>Lucro (prejuízo) líquido antes de imposto Recorrente</t>
  </si>
  <si>
    <t>Alíquota Vigente</t>
  </si>
  <si>
    <t>Expectativa de despesa de acordo com alíquota vigente</t>
  </si>
  <si>
    <t>Efeito Fiscal das adiçoes e exclusões permanentes:</t>
  </si>
  <si>
    <t>IRPJ + CSLL</t>
  </si>
  <si>
    <t>Como % do EBIT Recorrente</t>
  </si>
  <si>
    <t xml:space="preserve">IRPJ + CSLL - Não-Recorrentes </t>
  </si>
  <si>
    <t>IRPJ + CSLL - Não-Recorrentes - Incentivos</t>
  </si>
  <si>
    <t>Custo das Mercadorias Vendidas</t>
  </si>
  <si>
    <t>Despesas com Pessoal</t>
  </si>
  <si>
    <t>Despesas com Prestadores de Serviços</t>
  </si>
  <si>
    <t>Depreciação e Amortização</t>
  </si>
  <si>
    <t>Outras</t>
  </si>
  <si>
    <t>Outros Resultados Operacionais</t>
  </si>
  <si>
    <t>Descontos obtidos</t>
  </si>
  <si>
    <t>Rendimentos de Aplicações Financeiras</t>
  </si>
  <si>
    <t>Variações Monetárias Ativas</t>
  </si>
  <si>
    <t>Descontos Concedidos a Clientes</t>
  </si>
  <si>
    <t>Juros, encargos e taxas bancárias</t>
  </si>
  <si>
    <t>Variações Monetárias Passivas</t>
  </si>
  <si>
    <t>Juros sobre o Capital Próprio</t>
  </si>
  <si>
    <t>Adições Permanentes</t>
  </si>
  <si>
    <t>Redução do Imposto por Incentivos</t>
  </si>
  <si>
    <t>Processo de Destruição de Mercadorias</t>
  </si>
  <si>
    <t>Impostos Incidentes (PIS/COFINS)</t>
  </si>
  <si>
    <t>Ajuste a Valor Presente (AVP) - Receitas Financeiras</t>
  </si>
  <si>
    <t>Juros sobre opção de compra de ações adicionais</t>
  </si>
  <si>
    <t>Ajuste a Valor Presente (AVP) - Despesas Financeiras</t>
  </si>
  <si>
    <t>Incentivos Fiscais - Doações</t>
  </si>
  <si>
    <t>Ajuste de compensação de prejuízos fiscais</t>
  </si>
  <si>
    <t>Encargos sobre Empréstimos e Financiamentos</t>
  </si>
  <si>
    <t>Amortização de custos de transação</t>
  </si>
  <si>
    <t>Despesas com Ocupação</t>
  </si>
  <si>
    <t>Gastos com Consultorias e Assessorias</t>
  </si>
  <si>
    <t xml:space="preserve"> Créditos de anos anteriores, sobretudo de PIS e COFINS</t>
  </si>
  <si>
    <t xml:space="preserve">Baixa de imobilizado e intangível devido ao encerramento de lojas </t>
  </si>
  <si>
    <t>Despesas adicionais devido ao encerramento do CD Barra Mansa</t>
  </si>
  <si>
    <t xml:space="preserve"> Restruturação hierárquica </t>
  </si>
  <si>
    <t>Integração da Onofre</t>
  </si>
  <si>
    <t xml:space="preserve"> Apropriação de crédito de INSS de 2012 a 2015</t>
  </si>
  <si>
    <t>Ganho por compra vantajosa Onofre</t>
  </si>
  <si>
    <t>Mudança de estimativa para constituição de provisões para contingências trabalhistas</t>
  </si>
  <si>
    <t>Juros Sobre Arrendamento</t>
  </si>
  <si>
    <t>Subvenção para Investimentos</t>
  </si>
  <si>
    <t>Ganho por compra vantajosa</t>
  </si>
  <si>
    <t>Provisões não dedutíveis temporariamente</t>
  </si>
  <si>
    <t>Outros (reserva de reavaliação + limite de isenção adicional de IR)</t>
  </si>
  <si>
    <t>Inovação Tecnológica</t>
  </si>
  <si>
    <t>Despesas com taxas de operadoras de cartões</t>
  </si>
  <si>
    <t>Descontos sobre locação de imóveis</t>
  </si>
  <si>
    <t>Gratificação Principal</t>
  </si>
  <si>
    <t xml:space="preserve"> Reversão de provisões de encerramento de contratos Onofre </t>
  </si>
  <si>
    <t>Alienação por venda de ativos imobilizado</t>
  </si>
  <si>
    <t xml:space="preserve"> Perdas com a Farmácia Popular </t>
  </si>
  <si>
    <t xml:space="preserve"> Reavaliações - depósitos judiciais </t>
  </si>
  <si>
    <t>Despesas e receitas adicionais devido ao encerramento do CD Butantã</t>
  </si>
  <si>
    <t>Perdas de cartões de crédito, exercícios anteriores</t>
  </si>
  <si>
    <t xml:space="preserve"> Provisão para perdas de estoque de exercícios passados</t>
  </si>
  <si>
    <t>Doações</t>
  </si>
  <si>
    <t>Encargos sobre Debêntures e Notas Promissórias</t>
  </si>
  <si>
    <t>Atualização Provisão Trabalhista - Taxa Selic</t>
  </si>
  <si>
    <t>Ressarcimento de ICMS-ST sobre vendas de 2020</t>
  </si>
  <si>
    <t xml:space="preserve">Prejuízo Fiscal e Base Negativa CSLL </t>
  </si>
  <si>
    <t>Provisões sem constítuição de diferido</t>
  </si>
  <si>
    <t>ROIC sem ágio e marcas</t>
  </si>
  <si>
    <t>Aquisições</t>
  </si>
  <si>
    <t>Market Share fixo a partir de 2031</t>
  </si>
  <si>
    <t>Inflação do ano anterior + PIB</t>
  </si>
  <si>
    <t>Cresce com a inflação do ano anterior + PIB</t>
  </si>
  <si>
    <t>260 lojas até 2031</t>
  </si>
  <si>
    <t>A RD vai manter a média histórica de % de fechamento de lojas entre 2013 e 2021</t>
  </si>
  <si>
    <t>O crescimento da Receita Líquida de uma loja madura vai continuar de acordo com o histórico. Não haverá ganhos com omnicanalidade, Nova Farmácia e aplicativos</t>
  </si>
  <si>
    <t>A empresa baterá no teto de market share daqui a dez anos</t>
  </si>
  <si>
    <t>Tamanho do Mercado calculado a partir da quantidade de pessoas em cada faixa etária e do gasto relativo entre faixas etárias. Até 2021 é calculado dividindo a Receita Líquida da RD pelo seu Market Share</t>
  </si>
  <si>
    <t>O catalisador do crescimento do setor vai ser o envelhecimento populacional</t>
  </si>
  <si>
    <t>Média do valor de Investimento em Infraestrutura/Receita Líquida entre 2019 e 2021</t>
  </si>
  <si>
    <t>Os investimentos em infraestrutura aumentaram bastante nos últimos anos. Esperamos que isso vá continuar daqui pra frente</t>
  </si>
  <si>
    <t>Capex de aberturas de lojas de 2021 dividido pelo número de lojas abertas em 2021 e posteriormente inflacionado durante o período de projeção.</t>
  </si>
  <si>
    <t>Capex de reformas de lojas de 2021 dividido pelo número de lojas maduras em 2021 e posteriormente inflacionado durante o período de projeção.</t>
  </si>
  <si>
    <t>Crescimento do Mercado</t>
  </si>
  <si>
    <t>Subvenção de Investimentos na Receita Líquida</t>
  </si>
  <si>
    <t>Margem EBIT recorrente excluindo a subvenção de investimentos</t>
  </si>
  <si>
    <t>Lucro Antes do IR Recorrente excluindo a subvenção de investimentos</t>
  </si>
  <si>
    <t>EBIT recorrente excluindo a subvenção de investimentos</t>
  </si>
  <si>
    <t>Receita Líquida Total</t>
  </si>
  <si>
    <t>Nível de Otimismo (0-5)</t>
  </si>
  <si>
    <t>Crescimento</t>
  </si>
  <si>
    <t xml:space="preserve">Subvenção de Investimentos </t>
  </si>
  <si>
    <t>Total de Lojas ao Fim do Ano</t>
  </si>
  <si>
    <t>Projeções - Receita</t>
  </si>
  <si>
    <t>De acordo com as projeções do FMI</t>
  </si>
  <si>
    <t>Receita do Varejo Farmacêutico para cada pessoa com mais de 70 anos</t>
  </si>
  <si>
    <t>A Receita Líquida do Varejo Farmacêutico brasileiro com cada pessoa com mais de 70 anos</t>
  </si>
  <si>
    <t>Multiplicação do Número de Pessoas desta Faixa Etária pela maturação do consumidor nessa faixa etária</t>
  </si>
  <si>
    <t>4T22E</t>
  </si>
  <si>
    <t>2022E</t>
  </si>
  <si>
    <t>CPV + Despesas Operacionais</t>
  </si>
  <si>
    <t>D&amp;A de Arrendamento</t>
  </si>
  <si>
    <t>Projeções 2022</t>
  </si>
  <si>
    <t>Liquidez Geral</t>
  </si>
  <si>
    <t>Liquidez Corrente</t>
  </si>
  <si>
    <t>Liquidez Seca</t>
  </si>
  <si>
    <t>Liquidez Imediata</t>
  </si>
  <si>
    <t>Retorno sobre o Equity (ROE)</t>
  </si>
  <si>
    <t>Retorno sobre o Ativo (ROA)</t>
  </si>
  <si>
    <t>Divida Líquida/EBITDA</t>
  </si>
  <si>
    <t>Cobertura de Juros</t>
  </si>
  <si>
    <t>Dívida/Ativo</t>
  </si>
  <si>
    <t>Dívida/Patrimônio Líquido</t>
  </si>
  <si>
    <t>Prazo Médio de Recebimento</t>
  </si>
  <si>
    <t>Prazo Médio de Estoques</t>
  </si>
  <si>
    <t>Ciclo de Caixa</t>
  </si>
  <si>
    <t>Dívida/(Dívida + Patrimônio Líquido)</t>
  </si>
  <si>
    <t>Receita Bruta</t>
  </si>
  <si>
    <t>Impostos Incidentes sobre vendas</t>
  </si>
  <si>
    <t>Devoluções, Abatimentos e Outros</t>
  </si>
  <si>
    <t>(%) da Receita Bruta</t>
  </si>
  <si>
    <t>Painel de Índices</t>
  </si>
  <si>
    <t>Dividend Yield (12 meses)</t>
  </si>
  <si>
    <t>Payout</t>
  </si>
  <si>
    <t>Proventos por ação</t>
  </si>
  <si>
    <t>Prazo Médio de Pagamento</t>
  </si>
  <si>
    <t>Desconto</t>
  </si>
  <si>
    <t>FCFF Descontado</t>
  </si>
  <si>
    <t>DRE - Contas Abertas</t>
  </si>
  <si>
    <t>DI</t>
  </si>
  <si>
    <t>CDS</t>
  </si>
  <si>
    <t>Taxa Livre de Risco</t>
  </si>
  <si>
    <t>Prêmio de Risco</t>
  </si>
  <si>
    <t>Dívida Bruta (R$ Mil)</t>
  </si>
  <si>
    <t>1T2022</t>
  </si>
  <si>
    <t>1T22R</t>
  </si>
  <si>
    <t>Exclusão do ICMS da base de cálculo de PIS/COFINS</t>
  </si>
  <si>
    <t>Como % do EBIT Recorrente sem Incentivos</t>
  </si>
  <si>
    <t>De acordo com a inflação implícita</t>
  </si>
  <si>
    <t>Dados Alternativos FGV: https://goo.gl/bBfwGq</t>
  </si>
  <si>
    <t>Bottom-up Beta</t>
  </si>
  <si>
    <t>Bottom-Up Beta levando em consideração o beta de empresas do mesmo setor e a alavancagem da empresa.</t>
  </si>
  <si>
    <t>Valor contábil dos empréstimos, financiamentos e passivo de arrendamento no último balanço patrimonial divulgado.</t>
  </si>
  <si>
    <t>A taxa livre de risco no Brasil pode partir do DI, que é equivalente ao prêmio de um titulo IPCA+ do governo de mesmo prazo somado à inflação implicita.</t>
  </si>
  <si>
    <t>Credit Default Swap (CDS) - Fonte: investing.com</t>
  </si>
  <si>
    <t>NOPAT Recorrente</t>
  </si>
  <si>
    <t>Projeções - Capex</t>
  </si>
  <si>
    <t>Trata-se de notificação apontando suposto débito de
ICMS relativo a substituição tributária quanto às
mercadorias (entradas) constantes no relatório
denominado “Levantamento Físico – Resumo.pdf”,
cujo valor teria sido obtido após levantamento físico
quantitativo realizado nos exercícios de 2011 e 2012</t>
  </si>
  <si>
    <t>a) Reajuste salarial e diferenças salarias; b) Aplicação dos benefícios
sociais (inclusive o vale refeição); c) Multa convencional e d) Pagamento
de indenização aos funcionários ofendidos.</t>
  </si>
  <si>
    <t>a) Adicional de insalubridade por aplicação de injetáveis, b) multa
convencional e c) honorários advocatícios</t>
  </si>
  <si>
    <t>a) Ajuda de custo do plano de saúde; b) Vale alimentação c)
Pagamento em dobro pelos feriados trabalhados sem folga
compensatória e d) Multa normativa</t>
  </si>
  <si>
    <t>a) Horas extras (acima da 8ª hora diária e 4ª hora aos sábados; b)
Feriados trabalhados e não autorizados pelo sindicato, com ausência
do pagamento do adicional de 100%</t>
  </si>
  <si>
    <t>Descumprimento de cláusulas convencionais relacionadas a: a) Auxilio alimentação e b) Multa normativa</t>
  </si>
  <si>
    <t>a) HE (sobrejornada, intrajornada, domingos e feriados); b) danos
morais e materiais decorrentes do acidente de trabalho fatal (dia
21/01/2015, durante o expediente de trabalho e enquanto o
funcionário dirigia o caminhão da empresa); c) auxilio refeição; d)
PLR; e) auxilio funeral; f) multa da CCT e g) verbas rescisórias.</t>
  </si>
  <si>
    <t>a) horas extras; b) acumulo de função; c) equiparação de função e
por grupo econômico; d) salário substituição;; e) gratificação de
função; f) adicional de insalubridade; g) restituição de descontos
salariais (contribuição assistencial e confederativa, entre outros); g)
indenização de diferença do benefício previdenciário; h) doença
ocupacional - caracterização, danos morais e demais verbas; i)
diferenças de verbas rescisórias - data base; j) Diferenças de PPR; k)
aplicação das multas dos artigos 467 e 477 da CLT; l) Auxilio
Alimentação; m) Danos Morais - salario a menor; n) multas
convencionais;</t>
  </si>
  <si>
    <t xml:space="preserve">a) horas extras (sobrejornada, intrajornada e feriados); b) Comissões;
c) Prêmios; d) Doença ocupacional decorrente da atividade de
esteticista (estabilidade/reintegração, danos materiais e morais); d)
Devolução de descontos indevidos; e) Auxilio alimentação; f) Multa
normativa; g) Acumulo de função; h) danos morais (suposta revista
íntima) </t>
  </si>
  <si>
    <t>a) Reconhecimento da função de gerente e pagamento das
diferenças salariais correspondentes ou, subsidiariamente,
diferenças por equiparação salarial devido ao efetivo cargo de
gerente; b) Integração do salário supostamente “pago por fora” nas
demais verbas; c) Diferenças de comissões; d) Retificação CTPS para
o cargo de Gerente de Perfumaria; e) Horas extras (sobrejornada e
intervalares); f) Indenização por danos morais; g) Devolução de
descontos indevidos; h) Vale alimentação e i) multa normativa.</t>
  </si>
  <si>
    <t>2T22R</t>
  </si>
  <si>
    <t>Investimentos Sociais</t>
  </si>
  <si>
    <t>Juros sobre Mútuo</t>
  </si>
  <si>
    <t>Outras Receitas Tributárias</t>
  </si>
  <si>
    <t>CAGR 2013-2022</t>
  </si>
  <si>
    <t>O crescimento vai ser fruto uma regra de 3 entre o CAGR de 2013 a 2022 da Receita por Loja Madura, o CAGR de inflação desse mesmo período e a inflação projetada pro ano que estamos calculando</t>
  </si>
  <si>
    <t>3T22R</t>
  </si>
  <si>
    <t>Valor do Equity (R$ Mil)</t>
  </si>
  <si>
    <t>Custo da Dívida baseado na debênture de prazo mais longo emitida nos últimos doze meses (DI + 1,49%)</t>
  </si>
  <si>
    <t>Apropriação de créditos de anos anteriores, sobretudo de AVP – Estoques</t>
  </si>
  <si>
    <t>Valor Justo do Equity</t>
  </si>
  <si>
    <t>Trimestre</t>
  </si>
  <si>
    <t>Inflação Implícita</t>
  </si>
  <si>
    <t xml:space="preserve"> </t>
  </si>
  <si>
    <t>Atualizado em: 10/04/2023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</si>
</sst>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R$&quot;\ #,##0;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_);[Red]\(&quot;R$&quot;#,##0\)"/>
    <numFmt numFmtId="165" formatCode="&quot;R$&quot;#,##0.00_);[Red]\(&quot;R$&quot;#,##0.00\)"/>
    <numFmt numFmtId="166" formatCode="_(&quot;R$&quot;* #,##0.00_);_(&quot;R$&quot;* \(#,##0.00\);_(&quot;R$&quot;* &quot;-&quot;??_);_(@_)"/>
    <numFmt numFmtId="167" formatCode="0.0%"/>
    <numFmt numFmtId="168" formatCode="General&quot;E&quot;"/>
    <numFmt numFmtId="169" formatCode="#,##0;\(#,##0\)"/>
    <numFmt numFmtId="170" formatCode="#,##0.00;\(#,##0.00\)"/>
    <numFmt numFmtId="171" formatCode="#,##0.0;\(#,##0.0\)"/>
    <numFmt numFmtId="172" formatCode="0.0"/>
    <numFmt numFmtId="176" formatCode="_(&quot;R$&quot;* #,##0.0_);_(&quot;R$&quot;* \(#,##0.0\);_(&quot;R$&quot;* &quot;-&quot;??_);_(@_)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Segoe UI"/>
      <family val="2"/>
    </font>
    <font>
      <sz val="11"/>
      <color rgb="FF00C556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10"/>
      <color rgb="FFCBCBCB"/>
      <name val="Calibri"/>
      <family val="2"/>
      <scheme val="minor"/>
    </font>
    <font>
      <sz val="11"/>
      <color rgb="FF6B728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0"/>
      <color rgb="FF00C556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C556"/>
      <name val="Calibri"/>
      <family val="2"/>
      <scheme val="minor"/>
    </font>
    <font>
      <b/>
      <sz val="11"/>
      <color rgb="FF6B728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 tint="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434343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F3F3F"/>
      <name val="Calibri"/>
      <family val="2"/>
    </font>
    <font>
      <sz val="11"/>
      <color theme="0"/>
      <name val="Calibri"/>
      <family val="2"/>
      <scheme val="minor"/>
    </font>
    <font>
      <sz val="11"/>
      <color rgb="FFF9FAF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theme="0"/>
        <bgColor theme="0"/>
      </patternFill>
    </fill>
  </fills>
  <borders count="124">
    <border>
      <left/>
      <right/>
      <top/>
      <bottom/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medium">
        <color rgb="FFE5E7EB"/>
      </left>
      <right/>
      <top/>
      <bottom/>
      <diagonal/>
    </border>
    <border>
      <left/>
      <right style="medium">
        <color rgb="FFE5E7EB"/>
      </right>
      <top/>
      <bottom/>
      <diagonal/>
    </border>
    <border>
      <left/>
      <right/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/>
      <right style="medium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medium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medium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E5E7EB"/>
      </left>
      <right style="thin">
        <color rgb="FFE5E7EB"/>
      </right>
      <top/>
      <bottom/>
      <diagonal/>
    </border>
    <border>
      <left style="medium">
        <color rgb="FFE5E7EB"/>
      </left>
      <right style="thin">
        <color rgb="FFE5E7EB"/>
      </right>
      <top style="thin">
        <color theme="2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E5E7EB"/>
      </bottom>
      <diagonal/>
    </border>
    <border>
      <left style="thin">
        <color rgb="FFE5E7EB"/>
      </left>
      <right style="medium">
        <color rgb="FFE5E7EB"/>
      </right>
      <top style="thin">
        <color rgb="FFE5E7EB"/>
      </top>
      <bottom style="medium">
        <color rgb="FFE5E7EB"/>
      </bottom>
      <diagonal/>
    </border>
    <border>
      <left style="medium">
        <color rgb="FFE5E7EB"/>
      </left>
      <right style="thin">
        <color theme="2"/>
      </right>
      <top/>
      <bottom style="thin">
        <color rgb="FFE5E7EB"/>
      </bottom>
      <diagonal/>
    </border>
    <border>
      <left style="thin">
        <color rgb="FFE5E7EB"/>
      </left>
      <right style="thin">
        <color theme="2"/>
      </right>
      <top style="thin">
        <color rgb="FFE5E7EB"/>
      </top>
      <bottom style="thin">
        <color rgb="FFE5E7EB"/>
      </bottom>
      <diagonal/>
    </border>
    <border>
      <left/>
      <right style="thin">
        <color theme="2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theme="2"/>
      </right>
      <top/>
      <bottom style="thin">
        <color rgb="FFE5E7EB"/>
      </bottom>
      <diagonal/>
    </border>
    <border>
      <left style="thin">
        <color theme="2"/>
      </left>
      <right style="medium">
        <color theme="2"/>
      </right>
      <top style="thin">
        <color rgb="FFE5E7EB"/>
      </top>
      <bottom style="thin">
        <color rgb="FFE5E7EB"/>
      </bottom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rgb="FFE5E7EB"/>
      </bottom>
      <diagonal/>
    </border>
    <border>
      <left style="thin">
        <color theme="2"/>
      </left>
      <right/>
      <top/>
      <bottom style="thin">
        <color rgb="FFE5E7EB"/>
      </bottom>
      <diagonal/>
    </border>
    <border>
      <left style="thin">
        <color theme="2"/>
      </left>
      <right style="medium">
        <color theme="2"/>
      </right>
      <top/>
      <bottom style="thin">
        <color rgb="FFE5E7EB"/>
      </bottom>
      <diagonal/>
    </border>
    <border>
      <left/>
      <right style="medium">
        <color theme="2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medium">
        <color theme="2"/>
      </right>
      <top style="thin">
        <color rgb="FFE5E7EB"/>
      </top>
      <bottom style="thin">
        <color rgb="FFE5E7EB"/>
      </bottom>
      <diagonal/>
    </border>
    <border>
      <left style="thin">
        <color theme="2"/>
      </left>
      <right style="thin">
        <color theme="2"/>
      </right>
      <top style="thin">
        <color rgb="FFE5E7EB"/>
      </top>
      <bottom style="thin">
        <color rgb="FFE5E7EB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rgb="FFE5E7EB"/>
      </bottom>
      <diagonal/>
    </border>
    <border>
      <left/>
      <right style="thin">
        <color theme="2"/>
      </right>
      <top style="thin">
        <color rgb="FFE5E7EB"/>
      </top>
      <bottom/>
      <diagonal/>
    </border>
    <border>
      <left/>
      <right style="thin">
        <color theme="2"/>
      </right>
      <top style="thin">
        <color theme="2"/>
      </top>
      <bottom style="thin">
        <color rgb="FFE5E7EB"/>
      </bottom>
      <diagonal/>
    </border>
    <border>
      <left style="thin">
        <color theme="2"/>
      </left>
      <right style="thin">
        <color rgb="FFE5E7EB"/>
      </right>
      <top/>
      <bottom style="thin">
        <color rgb="FFE5E7EB"/>
      </bottom>
      <diagonal/>
    </border>
    <border>
      <left style="thin">
        <color theme="0" tint="-0.14999847407452621"/>
      </left>
      <right style="thin">
        <color rgb="FFE5E7EB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rgb="FFE5E7EB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14999847407452621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rgb="FFE5E7EB"/>
      </right>
      <top style="thin">
        <color rgb="FFE5E7EB"/>
      </top>
      <bottom style="thin">
        <color theme="2"/>
      </bottom>
      <diagonal/>
    </border>
    <border>
      <left/>
      <right style="thin">
        <color rgb="FFE5E7EB"/>
      </right>
      <top style="thin">
        <color rgb="FFE5E7EB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rgb="FFE5E7EB"/>
      </right>
      <top/>
      <bottom/>
      <diagonal/>
    </border>
    <border>
      <left/>
      <right/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 style="thin">
        <color rgb="FFE5E7EB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rgb="FFE5E7EB"/>
      </left>
      <right style="thin">
        <color theme="0" tint="-0.14999847407452621"/>
      </right>
      <top style="thin">
        <color rgb="FFE5E7EB"/>
      </top>
      <bottom style="thin">
        <color rgb="FFE5E7EB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rgb="FFE5E7EB"/>
      </top>
      <bottom style="thin">
        <color rgb="FFE5E7EB"/>
      </bottom>
      <diagonal/>
    </border>
    <border>
      <left/>
      <right style="medium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rgb="FFE5E7EB"/>
      </left>
      <right style="thin">
        <color theme="0" tint="-0.14999847407452621"/>
      </right>
      <top/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thin">
        <color rgb="FFE5E7EB"/>
      </left>
      <right style="medium">
        <color theme="2"/>
      </right>
      <top/>
      <bottom/>
      <diagonal/>
    </border>
    <border>
      <left style="medium">
        <color theme="2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theme="2"/>
      </right>
      <top/>
      <bottom style="thin">
        <color rgb="FFE5E7EB"/>
      </bottom>
      <diagonal/>
    </border>
    <border>
      <left style="thin">
        <color theme="0" tint="-0.14999847407452621"/>
      </left>
      <right style="medium">
        <color theme="2"/>
      </right>
      <top/>
      <bottom/>
      <diagonal/>
    </border>
    <border>
      <left style="thin">
        <color theme="0" tint="-0.14999847407452621"/>
      </left>
      <right style="medium">
        <color theme="2"/>
      </right>
      <top style="thin">
        <color rgb="FFE5E7EB"/>
      </top>
      <bottom style="thin">
        <color rgb="FFE5E7EB"/>
      </bottom>
      <diagonal/>
    </border>
    <border>
      <left style="medium">
        <color theme="2"/>
      </left>
      <right style="thin">
        <color theme="2"/>
      </right>
      <top style="medium">
        <color theme="2"/>
      </top>
      <bottom style="thin">
        <color rgb="FFE5E7EB"/>
      </bottom>
      <diagonal/>
    </border>
    <border>
      <left style="medium">
        <color theme="2"/>
      </left>
      <right style="thin">
        <color theme="2"/>
      </right>
      <top style="thin">
        <color rgb="FFE5E7EB"/>
      </top>
      <bottom style="thin">
        <color rgb="FFE5E7EB"/>
      </bottom>
      <diagonal/>
    </border>
    <border>
      <left style="medium">
        <color theme="2"/>
      </left>
      <right style="thin">
        <color theme="2"/>
      </right>
      <top style="thin">
        <color rgb="FFE5E7EB"/>
      </top>
      <bottom style="medium">
        <color theme="2"/>
      </bottom>
      <diagonal/>
    </border>
    <border>
      <left/>
      <right style="medium">
        <color theme="2"/>
      </right>
      <top style="thin">
        <color rgb="FFE5E7EB"/>
      </top>
      <bottom style="medium">
        <color theme="0" tint="-0.14999847407452621"/>
      </bottom>
      <diagonal/>
    </border>
    <border>
      <left style="thin">
        <color theme="2"/>
      </left>
      <right style="medium">
        <color theme="2"/>
      </right>
      <top style="thin">
        <color rgb="FFE5E7EB"/>
      </top>
      <bottom style="thin">
        <color theme="2"/>
      </bottom>
      <diagonal/>
    </border>
    <border>
      <left/>
      <right style="medium">
        <color theme="2"/>
      </right>
      <top/>
      <bottom style="thin">
        <color rgb="FFE5E7EB"/>
      </bottom>
      <diagonal/>
    </border>
    <border>
      <left style="medium">
        <color theme="2"/>
      </left>
      <right style="medium">
        <color theme="2"/>
      </right>
      <top/>
      <bottom/>
      <diagonal/>
    </border>
    <border>
      <left/>
      <right style="thin">
        <color rgb="FFE5E7EB"/>
      </right>
      <top style="medium">
        <color theme="0" tint="-0.14999847407452621"/>
      </top>
      <bottom style="thin">
        <color rgb="FFE5E7EB"/>
      </bottom>
      <diagonal/>
    </border>
    <border>
      <left style="thin">
        <color rgb="FFE5E7EB"/>
      </left>
      <right style="medium">
        <color theme="2"/>
      </right>
      <top style="medium">
        <color theme="0" tint="-0.14999847407452621"/>
      </top>
      <bottom style="thin">
        <color rgb="FFE5E7EB"/>
      </bottom>
      <diagonal/>
    </border>
    <border>
      <left style="thin">
        <color rgb="FFE5E7EB"/>
      </left>
      <right style="medium">
        <color theme="2"/>
      </right>
      <top style="thin">
        <color rgb="FFE5E7EB"/>
      </top>
      <bottom style="medium">
        <color theme="0" tint="-0.14999847407452621"/>
      </bottom>
      <diagonal/>
    </border>
    <border>
      <left style="medium">
        <color theme="2"/>
      </left>
      <right style="thin">
        <color rgb="FFE5E7EB"/>
      </right>
      <top/>
      <bottom style="thin">
        <color rgb="FFE5E7EB"/>
      </bottom>
      <diagonal/>
    </border>
    <border>
      <left style="medium">
        <color rgb="FFE5E7EB"/>
      </left>
      <right style="thin">
        <color theme="6" tint="0.59999389629810485"/>
      </right>
      <top/>
      <bottom/>
      <diagonal/>
    </border>
    <border>
      <left style="medium">
        <color rgb="FFE5E7EB"/>
      </left>
      <right style="thin">
        <color theme="6" tint="0.59999389629810485"/>
      </right>
      <top style="thin">
        <color rgb="FFE5E7EB"/>
      </top>
      <bottom style="thin">
        <color rgb="FFE5E7EB"/>
      </bottom>
      <diagonal/>
    </border>
    <border>
      <left style="medium">
        <color rgb="FFE5E7EB"/>
      </left>
      <right style="thin">
        <color theme="6" tint="0.59999389629810485"/>
      </right>
      <top style="thin">
        <color rgb="FFE5E7EB"/>
      </top>
      <bottom style="medium">
        <color theme="2"/>
      </bottom>
      <diagonal/>
    </border>
    <border>
      <left/>
      <right style="thin">
        <color rgb="FFE5E7EB"/>
      </right>
      <top style="thin">
        <color rgb="FFE5E7EB"/>
      </top>
      <bottom style="medium">
        <color theme="2"/>
      </bottom>
      <diagonal/>
    </border>
    <border>
      <left/>
      <right style="medium">
        <color theme="2"/>
      </right>
      <top style="thin">
        <color rgb="FFE5E7EB"/>
      </top>
      <bottom style="medium">
        <color theme="2"/>
      </bottom>
      <diagonal/>
    </border>
    <border>
      <left style="medium">
        <color rgb="FFE5E7EB"/>
      </left>
      <right style="thin">
        <color rgb="FFE5E7EB"/>
      </right>
      <top style="thin">
        <color rgb="FFE5E7EB"/>
      </top>
      <bottom style="medium">
        <color theme="2"/>
      </bottom>
      <diagonal/>
    </border>
    <border>
      <left style="medium">
        <color rgb="FFE5E7EB"/>
      </left>
      <right style="thin">
        <color theme="2"/>
      </right>
      <top style="thin">
        <color rgb="FFE5E7EB"/>
      </top>
      <bottom style="medium">
        <color theme="2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theme="2"/>
      </bottom>
      <diagonal/>
    </border>
    <border>
      <left/>
      <right/>
      <top style="medium">
        <color theme="2"/>
      </top>
      <bottom/>
      <diagonal/>
    </border>
    <border>
      <left style="thin">
        <color rgb="FFE5E7EB"/>
      </left>
      <right style="thin">
        <color theme="2"/>
      </right>
      <top style="thin">
        <color rgb="FFE5E7EB"/>
      </top>
      <bottom style="medium">
        <color theme="2"/>
      </bottom>
      <diagonal/>
    </border>
    <border>
      <left style="thin">
        <color theme="2"/>
      </left>
      <right style="thin">
        <color theme="2"/>
      </right>
      <top style="thin">
        <color rgb="FFE5E7EB"/>
      </top>
      <bottom style="medium">
        <color theme="2"/>
      </bottom>
      <diagonal/>
    </border>
    <border>
      <left/>
      <right/>
      <top style="thin">
        <color rgb="FFE5E7EB"/>
      </top>
      <bottom style="medium">
        <color theme="2"/>
      </bottom>
      <diagonal/>
    </border>
    <border>
      <left/>
      <right style="thin">
        <color theme="2"/>
      </right>
      <top style="thin">
        <color rgb="FFE5E7EB"/>
      </top>
      <bottom style="medium">
        <color theme="2"/>
      </bottom>
      <diagonal/>
    </border>
    <border>
      <left/>
      <right style="medium">
        <color rgb="FFE5E7EB"/>
      </right>
      <top style="thin">
        <color rgb="FFE5E7EB"/>
      </top>
      <bottom style="medium">
        <color theme="2"/>
      </bottom>
      <diagonal/>
    </border>
    <border>
      <left style="medium">
        <color theme="2"/>
      </left>
      <right style="thin">
        <color rgb="FFE5E7EB"/>
      </right>
      <top style="thin">
        <color rgb="FFE5E7EB"/>
      </top>
      <bottom style="medium">
        <color theme="2"/>
      </bottom>
      <diagonal/>
    </border>
    <border>
      <left style="thin">
        <color rgb="FFE5E7EB"/>
      </left>
      <right style="medium">
        <color theme="2"/>
      </right>
      <top style="thin">
        <color rgb="FFE5E7EB"/>
      </top>
      <bottom style="medium">
        <color theme="2"/>
      </bottom>
      <diagonal/>
    </border>
    <border>
      <left style="medium">
        <color rgb="FFE5E7EB"/>
      </left>
      <right style="thin">
        <color theme="2"/>
      </right>
      <top/>
      <bottom/>
      <diagonal/>
    </border>
    <border>
      <left style="thin">
        <color theme="2"/>
      </left>
      <right style="thin">
        <color rgb="FFE5E7EB"/>
      </right>
      <top style="thin">
        <color rgb="FFE5E7EB"/>
      </top>
      <bottom style="medium">
        <color theme="2"/>
      </bottom>
      <diagonal/>
    </border>
    <border>
      <left style="medium">
        <color theme="2"/>
      </left>
      <right style="thin">
        <color theme="2"/>
      </right>
      <top style="thin">
        <color theme="2"/>
      </top>
      <bottom style="medium">
        <color theme="2"/>
      </bottom>
      <diagonal/>
    </border>
    <border>
      <left/>
      <right style="thin">
        <color rgb="FFE5E7EB"/>
      </right>
      <top style="thin">
        <color theme="2"/>
      </top>
      <bottom style="medium">
        <color theme="2"/>
      </bottom>
      <diagonal/>
    </border>
    <border>
      <left/>
      <right style="thin">
        <color theme="2"/>
      </right>
      <top style="thin">
        <color theme="2"/>
      </top>
      <bottom style="medium">
        <color theme="2"/>
      </bottom>
      <diagonal/>
    </border>
    <border>
      <left style="thin">
        <color theme="2"/>
      </left>
      <right style="thin">
        <color rgb="FFE5E7EB"/>
      </right>
      <top style="thin">
        <color theme="2"/>
      </top>
      <bottom style="medium">
        <color theme="2"/>
      </bottom>
      <diagonal/>
    </border>
    <border>
      <left style="thin">
        <color rgb="FFE5E7EB"/>
      </left>
      <right style="medium">
        <color theme="2"/>
      </right>
      <top style="thin">
        <color theme="2"/>
      </top>
      <bottom style="medium">
        <color theme="2"/>
      </bottom>
      <diagonal/>
    </border>
    <border>
      <left style="medium">
        <color theme="2"/>
      </left>
      <right style="thin">
        <color rgb="FFE5E7EB"/>
      </right>
      <top style="thin">
        <color theme="2"/>
      </top>
      <bottom style="medium">
        <color theme="2"/>
      </bottom>
      <diagonal/>
    </border>
    <border>
      <left style="thin">
        <color rgb="FFE5E7EB"/>
      </left>
      <right style="medium">
        <color theme="2"/>
      </right>
      <top style="thin">
        <color rgb="FFE5E7EB"/>
      </top>
      <bottom style="thin">
        <color theme="2"/>
      </bottom>
      <diagonal/>
    </border>
    <border>
      <left/>
      <right style="thin">
        <color rgb="FFE5E7EB"/>
      </right>
      <top/>
      <bottom style="medium">
        <color theme="2"/>
      </bottom>
      <diagonal/>
    </border>
    <border>
      <left style="thin">
        <color rgb="FFE5E7EB"/>
      </left>
      <right style="medium">
        <color theme="2"/>
      </right>
      <top/>
      <bottom style="medium">
        <color theme="2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theme="2"/>
      </bottom>
      <diagonal/>
    </border>
    <border>
      <left style="medium">
        <color theme="0" tint="-0.14999847407452621"/>
      </left>
      <right style="thin">
        <color rgb="FFE5E7EB"/>
      </right>
      <top style="thin">
        <color rgb="FFE5E7EB"/>
      </top>
      <bottom style="medium">
        <color theme="2"/>
      </bottom>
      <diagonal/>
    </border>
    <border>
      <left style="thin">
        <color rgb="FFE5E7EB"/>
      </left>
      <right style="thin">
        <color theme="0" tint="-0.14999847407452621"/>
      </right>
      <top style="thin">
        <color rgb="FFE5E7EB"/>
      </top>
      <bottom style="medium">
        <color theme="2"/>
      </bottom>
      <diagonal/>
    </border>
    <border>
      <left style="thin">
        <color theme="0" tint="-0.14999847407452621"/>
      </left>
      <right style="medium">
        <color theme="2"/>
      </right>
      <top style="thin">
        <color rgb="FFE5E7EB"/>
      </top>
      <bottom style="medium">
        <color theme="2"/>
      </bottom>
      <diagonal/>
    </border>
    <border>
      <left style="thin">
        <color rgb="FFE5E7EB"/>
      </left>
      <right style="medium">
        <color rgb="FFE5E7EB"/>
      </right>
      <top style="thin">
        <color rgb="FFE5E7EB"/>
      </top>
      <bottom style="medium">
        <color theme="2"/>
      </bottom>
      <diagonal/>
    </border>
    <border>
      <left style="thin">
        <color rgb="FFE5E7EB"/>
      </left>
      <right style="medium">
        <color rgb="FFE5E7EB"/>
      </right>
      <top style="thin">
        <color rgb="FFE5E7EB"/>
      </top>
      <bottom/>
      <diagonal/>
    </border>
    <border>
      <left/>
      <right style="medium">
        <color theme="0" tint="-0.14999847407452621"/>
      </right>
      <top style="thin">
        <color rgb="FFE5E7EB"/>
      </top>
      <bottom style="medium">
        <color theme="2"/>
      </bottom>
      <diagonal/>
    </border>
    <border>
      <left style="thin">
        <color rgb="FFE5E7EB"/>
      </left>
      <right style="thin">
        <color rgb="FFE5E7EB"/>
      </right>
      <top style="thin">
        <color theme="0" tint="-0.14999847407452621"/>
      </top>
      <bottom style="medium">
        <color theme="2"/>
      </bottom>
      <diagonal/>
    </border>
    <border>
      <left/>
      <right style="thin">
        <color theme="0" tint="-0.14999847407452621"/>
      </right>
      <top style="thin">
        <color rgb="FFE5E7EB"/>
      </top>
      <bottom style="medium">
        <color theme="2"/>
      </bottom>
      <diagonal/>
    </border>
    <border>
      <left/>
      <right style="thin">
        <color rgb="FFE5E7EB"/>
      </right>
      <top style="thin">
        <color theme="0" tint="-0.14999847407452621"/>
      </top>
      <bottom style="medium">
        <color theme="2"/>
      </bottom>
      <diagonal/>
    </border>
    <border>
      <left style="thin">
        <color theme="2"/>
      </left>
      <right/>
      <top style="thin">
        <color rgb="FFE5E7EB"/>
      </top>
      <bottom style="thin">
        <color rgb="FFE5E7EB"/>
      </bottom>
      <diagonal/>
    </border>
    <border>
      <left style="thin">
        <color theme="2"/>
      </left>
      <right/>
      <top style="thin">
        <color rgb="FFE5E7EB"/>
      </top>
      <bottom style="medium">
        <color theme="2"/>
      </bottom>
      <diagonal/>
    </border>
    <border>
      <left style="medium">
        <color theme="2"/>
      </left>
      <right style="thin">
        <color rgb="FFE5E7EB"/>
      </right>
      <top style="thin">
        <color rgb="FFE5E7EB"/>
      </top>
      <bottom style="thin">
        <color theme="2"/>
      </bottom>
      <diagonal/>
    </border>
    <border>
      <left style="thin">
        <color rgb="FFE5E7EB"/>
      </left>
      <right/>
      <top style="thin">
        <color rgb="FFE5E7EB"/>
      </top>
      <bottom style="medium">
        <color theme="2"/>
      </bottom>
      <diagonal/>
    </border>
    <border>
      <left style="thin">
        <color rgb="FFE5E7EB"/>
      </left>
      <right style="thin">
        <color theme="2"/>
      </right>
      <top style="thin">
        <color theme="2"/>
      </top>
      <bottom style="medium">
        <color theme="2"/>
      </bottom>
      <diagonal/>
    </border>
    <border>
      <left style="thin">
        <color theme="2"/>
      </left>
      <right/>
      <top style="thin">
        <color rgb="FFE5E7EB"/>
      </top>
      <bottom/>
      <diagonal/>
    </border>
    <border>
      <left style="thin">
        <color theme="2"/>
      </left>
      <right/>
      <top style="thin">
        <color theme="2"/>
      </top>
      <bottom style="medium">
        <color theme="2"/>
      </bottom>
      <diagonal/>
    </border>
    <border>
      <left style="thin">
        <color rgb="FFE5E7EB"/>
      </left>
      <right style="medium">
        <color theme="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 style="thin">
        <color rgb="FFE5E7EB"/>
      </left>
      <right style="medium">
        <color rgb="FFE5E7EB"/>
      </right>
      <top/>
      <bottom style="thin">
        <color rgb="FFE5E7EB"/>
      </bottom>
      <diagonal/>
    </border>
    <border>
      <left style="medium">
        <color rgb="FFE5E7EB"/>
      </left>
      <right style="thin">
        <color rgb="FFE5E7EB"/>
      </right>
      <top/>
      <bottom style="medium">
        <color rgb="FFE5E7EB"/>
      </bottom>
      <diagonal/>
    </border>
    <border>
      <left style="thin">
        <color rgb="FFE5E7EB"/>
      </left>
      <right/>
      <top/>
      <bottom style="medium">
        <color rgb="FFE5E7EB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0" borderId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/>
    <xf numFmtId="0" fontId="9" fillId="3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left" vertical="center" indent="2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 indent="2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2" fillId="0" borderId="1" xfId="0" applyFont="1" applyBorder="1" applyAlignment="1">
      <alignment horizontal="left" vertical="center" indent="2"/>
    </xf>
    <xf numFmtId="0" fontId="13" fillId="2" borderId="18" xfId="0" applyFont="1" applyFill="1" applyBorder="1" applyAlignment="1">
      <alignment horizontal="left" vertical="center" indent="2"/>
    </xf>
    <xf numFmtId="0" fontId="8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0" fontId="14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0" fontId="12" fillId="0" borderId="1" xfId="0" applyFont="1" applyBorder="1" applyAlignment="1">
      <alignment horizontal="left" vertical="center" indent="3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left" vertical="center" indent="4"/>
    </xf>
    <xf numFmtId="0" fontId="2" fillId="2" borderId="18" xfId="0" applyFont="1" applyFill="1" applyBorder="1" applyAlignment="1">
      <alignment horizontal="left" vertical="center" indent="4"/>
    </xf>
    <xf numFmtId="165" fontId="13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9" fontId="13" fillId="2" borderId="0" xfId="0" applyNumberFormat="1" applyFont="1" applyFill="1" applyAlignment="1">
      <alignment vertical="center"/>
    </xf>
    <xf numFmtId="10" fontId="14" fillId="2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indent="4"/>
    </xf>
    <xf numFmtId="5" fontId="2" fillId="2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0" fillId="3" borderId="58" xfId="0" applyFill="1" applyBorder="1" applyAlignment="1">
      <alignment horizontal="left" vertical="center"/>
    </xf>
    <xf numFmtId="169" fontId="16" fillId="2" borderId="1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59" xfId="0" applyFont="1" applyFill="1" applyBorder="1" applyAlignment="1">
      <alignment horizontal="center" vertical="center"/>
    </xf>
    <xf numFmtId="0" fontId="0" fillId="3" borderId="58" xfId="0" applyFill="1" applyBorder="1" applyAlignment="1">
      <alignment vertical="center"/>
    </xf>
    <xf numFmtId="0" fontId="17" fillId="2" borderId="14" xfId="0" applyFont="1" applyFill="1" applyBorder="1" applyAlignment="1">
      <alignment horizontal="center" vertical="center"/>
    </xf>
    <xf numFmtId="4" fontId="17" fillId="2" borderId="11" xfId="0" applyNumberFormat="1" applyFont="1" applyFill="1" applyBorder="1" applyAlignment="1">
      <alignment horizontal="center" vertical="center"/>
    </xf>
    <xf numFmtId="4" fontId="17" fillId="2" borderId="33" xfId="0" applyNumberFormat="1" applyFont="1" applyFill="1" applyBorder="1" applyAlignment="1">
      <alignment horizontal="center" vertical="center"/>
    </xf>
    <xf numFmtId="0" fontId="0" fillId="3" borderId="57" xfId="0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7" fontId="17" fillId="2" borderId="11" xfId="1" applyNumberFormat="1" applyFont="1" applyFill="1" applyBorder="1" applyAlignment="1">
      <alignment horizontal="center" vertical="center"/>
    </xf>
    <xf numFmtId="167" fontId="17" fillId="2" borderId="33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2" fontId="17" fillId="2" borderId="11" xfId="1" applyNumberFormat="1" applyFont="1" applyFill="1" applyBorder="1" applyAlignment="1">
      <alignment horizontal="center" vertical="center"/>
    </xf>
    <xf numFmtId="2" fontId="17" fillId="2" borderId="33" xfId="1" applyNumberFormat="1" applyFont="1" applyFill="1" applyBorder="1" applyAlignment="1">
      <alignment horizontal="center" vertical="center"/>
    </xf>
    <xf numFmtId="172" fontId="17" fillId="2" borderId="11" xfId="1" applyNumberFormat="1" applyFont="1" applyFill="1" applyBorder="1" applyAlignment="1">
      <alignment horizontal="center" vertical="center"/>
    </xf>
    <xf numFmtId="172" fontId="17" fillId="2" borderId="33" xfId="1" applyNumberFormat="1" applyFont="1" applyFill="1" applyBorder="1" applyAlignment="1">
      <alignment horizontal="center" vertical="center"/>
    </xf>
    <xf numFmtId="10" fontId="17" fillId="2" borderId="11" xfId="1" applyNumberFormat="1" applyFont="1" applyFill="1" applyBorder="1" applyAlignment="1">
      <alignment horizontal="center" vertical="center"/>
    </xf>
    <xf numFmtId="0" fontId="0" fillId="3" borderId="27" xfId="0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14" fontId="2" fillId="2" borderId="75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left" vertical="center" indent="5"/>
    </xf>
    <xf numFmtId="10" fontId="2" fillId="2" borderId="11" xfId="1" applyNumberFormat="1" applyFont="1" applyFill="1" applyBorder="1" applyAlignment="1">
      <alignment horizontal="center" vertical="center"/>
    </xf>
    <xf numFmtId="0" fontId="13" fillId="2" borderId="76" xfId="0" applyFont="1" applyFill="1" applyBorder="1" applyAlignment="1">
      <alignment horizontal="left" vertical="center" indent="2"/>
    </xf>
    <xf numFmtId="10" fontId="13" fillId="2" borderId="11" xfId="1" applyNumberFormat="1" applyFont="1" applyFill="1" applyBorder="1" applyAlignment="1">
      <alignment horizontal="center" vertical="center"/>
    </xf>
    <xf numFmtId="4" fontId="2" fillId="2" borderId="11" xfId="0" applyNumberFormat="1" applyFont="1" applyFill="1" applyBorder="1" applyAlignment="1">
      <alignment horizontal="center" vertical="center"/>
    </xf>
    <xf numFmtId="167" fontId="2" fillId="2" borderId="11" xfId="1" applyNumberFormat="1" applyFont="1" applyFill="1" applyBorder="1" applyAlignment="1">
      <alignment horizontal="center" vertical="center"/>
    </xf>
    <xf numFmtId="10" fontId="13" fillId="2" borderId="1" xfId="1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3" fontId="0" fillId="3" borderId="0" xfId="0" applyNumberFormat="1" applyFill="1" applyAlignment="1">
      <alignment horizontal="left" vertical="center"/>
    </xf>
    <xf numFmtId="0" fontId="17" fillId="2" borderId="22" xfId="0" applyFont="1" applyFill="1" applyBorder="1" applyAlignment="1">
      <alignment horizontal="left" vertical="center" indent="2"/>
    </xf>
    <xf numFmtId="168" fontId="14" fillId="2" borderId="1" xfId="0" applyNumberFormat="1" applyFont="1" applyFill="1" applyBorder="1" applyAlignment="1">
      <alignment horizontal="center" vertical="center"/>
    </xf>
    <xf numFmtId="168" fontId="14" fillId="2" borderId="25" xfId="0" applyNumberFormat="1" applyFont="1" applyFill="1" applyBorder="1" applyAlignment="1">
      <alignment horizontal="center" vertical="center"/>
    </xf>
    <xf numFmtId="168" fontId="14" fillId="2" borderId="29" xfId="0" applyNumberFormat="1" applyFont="1" applyFill="1" applyBorder="1" applyAlignment="1">
      <alignment horizontal="center" vertical="center"/>
    </xf>
    <xf numFmtId="168" fontId="14" fillId="2" borderId="0" xfId="0" applyNumberFormat="1" applyFont="1" applyFill="1" applyAlignment="1">
      <alignment horizontal="center" vertical="center"/>
    </xf>
    <xf numFmtId="168" fontId="14" fillId="2" borderId="30" xfId="0" applyNumberFormat="1" applyFont="1" applyFill="1" applyBorder="1" applyAlignment="1">
      <alignment horizontal="center" vertical="center"/>
    </xf>
    <xf numFmtId="168" fontId="14" fillId="2" borderId="31" xfId="0" applyNumberFormat="1" applyFont="1" applyFill="1" applyBorder="1" applyAlignment="1">
      <alignment horizontal="center" vertical="center"/>
    </xf>
    <xf numFmtId="1" fontId="18" fillId="3" borderId="0" xfId="0" applyNumberFormat="1" applyFont="1" applyFill="1" applyAlignment="1">
      <alignment vertical="center"/>
    </xf>
    <xf numFmtId="0" fontId="14" fillId="2" borderId="22" xfId="0" applyFont="1" applyFill="1" applyBorder="1" applyAlignment="1">
      <alignment horizontal="left" vertical="center" indent="2"/>
    </xf>
    <xf numFmtId="3" fontId="14" fillId="2" borderId="11" xfId="0" applyNumberFormat="1" applyFont="1" applyFill="1" applyBorder="1" applyAlignment="1">
      <alignment horizontal="center" vertical="center"/>
    </xf>
    <xf numFmtId="3" fontId="14" fillId="2" borderId="32" xfId="0" applyNumberFormat="1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left" vertical="center" indent="4"/>
    </xf>
    <xf numFmtId="169" fontId="17" fillId="2" borderId="11" xfId="0" applyNumberFormat="1" applyFont="1" applyFill="1" applyBorder="1" applyAlignment="1">
      <alignment horizontal="center" vertical="center"/>
    </xf>
    <xf numFmtId="169" fontId="17" fillId="2" borderId="32" xfId="0" applyNumberFormat="1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left" vertical="center" indent="8"/>
    </xf>
    <xf numFmtId="167" fontId="17" fillId="2" borderId="11" xfId="0" applyNumberFormat="1" applyFont="1" applyFill="1" applyBorder="1" applyAlignment="1">
      <alignment horizontal="center" vertical="center"/>
    </xf>
    <xf numFmtId="10" fontId="17" fillId="2" borderId="11" xfId="0" applyNumberFormat="1" applyFont="1" applyFill="1" applyBorder="1" applyAlignment="1">
      <alignment horizontal="center" vertical="center"/>
    </xf>
    <xf numFmtId="10" fontId="17" fillId="2" borderId="32" xfId="0" applyNumberFormat="1" applyFont="1" applyFill="1" applyBorder="1" applyAlignment="1">
      <alignment horizontal="center" vertical="center"/>
    </xf>
    <xf numFmtId="10" fontId="17" fillId="2" borderId="3" xfId="0" applyNumberFormat="1" applyFont="1" applyFill="1" applyBorder="1" applyAlignment="1">
      <alignment horizontal="center" vertical="center"/>
    </xf>
    <xf numFmtId="169" fontId="14" fillId="2" borderId="11" xfId="0" applyNumberFormat="1" applyFont="1" applyFill="1" applyBorder="1" applyAlignment="1">
      <alignment horizontal="center" vertical="center"/>
    </xf>
    <xf numFmtId="169" fontId="14" fillId="2" borderId="32" xfId="0" applyNumberFormat="1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left" vertical="center" indent="4"/>
    </xf>
    <xf numFmtId="0" fontId="17" fillId="2" borderId="22" xfId="0" applyFont="1" applyFill="1" applyBorder="1" applyAlignment="1">
      <alignment horizontal="left" vertical="center" indent="6"/>
    </xf>
    <xf numFmtId="169" fontId="14" fillId="2" borderId="10" xfId="0" applyNumberFormat="1" applyFont="1" applyFill="1" applyBorder="1" applyAlignment="1">
      <alignment horizontal="center" vertical="center"/>
    </xf>
    <xf numFmtId="167" fontId="17" fillId="2" borderId="10" xfId="0" applyNumberFormat="1" applyFont="1" applyFill="1" applyBorder="1" applyAlignment="1">
      <alignment horizontal="center" vertical="center"/>
    </xf>
    <xf numFmtId="167" fontId="17" fillId="2" borderId="24" xfId="0" applyNumberFormat="1" applyFont="1" applyFill="1" applyBorder="1" applyAlignment="1">
      <alignment horizontal="center" vertical="center"/>
    </xf>
    <xf numFmtId="167" fontId="17" fillId="2" borderId="35" xfId="0" applyNumberFormat="1" applyFont="1" applyFill="1" applyBorder="1" applyAlignment="1">
      <alignment horizontal="center" vertical="center"/>
    </xf>
    <xf numFmtId="167" fontId="17" fillId="2" borderId="34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horizontal="center" vertical="center"/>
    </xf>
    <xf numFmtId="167" fontId="17" fillId="2" borderId="37" xfId="0" applyNumberFormat="1" applyFont="1" applyFill="1" applyBorder="1" applyAlignment="1">
      <alignment horizontal="center" vertical="center"/>
    </xf>
    <xf numFmtId="167" fontId="17" fillId="2" borderId="32" xfId="0" applyNumberFormat="1" applyFont="1" applyFill="1" applyBorder="1" applyAlignment="1">
      <alignment horizontal="center" vertical="center"/>
    </xf>
    <xf numFmtId="169" fontId="17" fillId="2" borderId="3" xfId="0" applyNumberFormat="1" applyFont="1" applyFill="1" applyBorder="1" applyAlignment="1">
      <alignment horizontal="center" vertical="center"/>
    </xf>
    <xf numFmtId="169" fontId="17" fillId="2" borderId="35" xfId="0" applyNumberFormat="1" applyFont="1" applyFill="1" applyBorder="1" applyAlignment="1">
      <alignment horizontal="center" vertical="center"/>
    </xf>
    <xf numFmtId="169" fontId="17" fillId="2" borderId="34" xfId="0" applyNumberFormat="1" applyFont="1" applyFill="1" applyBorder="1" applyAlignment="1">
      <alignment horizontal="center" vertical="center"/>
    </xf>
    <xf numFmtId="169" fontId="17" fillId="2" borderId="24" xfId="0" applyNumberFormat="1" applyFont="1" applyFill="1" applyBorder="1" applyAlignment="1">
      <alignment horizontal="center" vertical="center"/>
    </xf>
    <xf numFmtId="169" fontId="17" fillId="2" borderId="36" xfId="0" applyNumberFormat="1" applyFont="1" applyFill="1" applyBorder="1" applyAlignment="1">
      <alignment horizontal="center" vertical="center"/>
    </xf>
    <xf numFmtId="169" fontId="17" fillId="2" borderId="10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>
      <alignment horizontal="center" vertical="center"/>
    </xf>
    <xf numFmtId="169" fontId="14" fillId="2" borderId="3" xfId="0" applyNumberFormat="1" applyFont="1" applyFill="1" applyBorder="1" applyAlignment="1">
      <alignment horizontal="center" vertical="center"/>
    </xf>
    <xf numFmtId="169" fontId="14" fillId="2" borderId="34" xfId="0" applyNumberFormat="1" applyFont="1" applyFill="1" applyBorder="1" applyAlignment="1">
      <alignment horizontal="center" vertical="center"/>
    </xf>
    <xf numFmtId="169" fontId="14" fillId="2" borderId="24" xfId="0" applyNumberFormat="1" applyFont="1" applyFill="1" applyBorder="1" applyAlignment="1">
      <alignment horizontal="center" vertical="center"/>
    </xf>
    <xf numFmtId="169" fontId="14" fillId="2" borderId="35" xfId="0" applyNumberFormat="1" applyFont="1" applyFill="1" applyBorder="1" applyAlignment="1">
      <alignment horizontal="center" vertical="center"/>
    </xf>
    <xf numFmtId="169" fontId="14" fillId="2" borderId="37" xfId="0" applyNumberFormat="1" applyFont="1" applyFill="1" applyBorder="1" applyAlignment="1">
      <alignment horizontal="center" vertical="center"/>
    </xf>
    <xf numFmtId="169" fontId="17" fillId="2" borderId="23" xfId="0" applyNumberFormat="1" applyFont="1" applyFill="1" applyBorder="1" applyAlignment="1">
      <alignment horizontal="center" vertical="center"/>
    </xf>
    <xf numFmtId="169" fontId="17" fillId="2" borderId="9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 indent="2"/>
    </xf>
    <xf numFmtId="169" fontId="0" fillId="3" borderId="0" xfId="0" applyNumberFormat="1" applyFill="1" applyAlignment="1">
      <alignment horizontal="center" vertical="center"/>
    </xf>
    <xf numFmtId="0" fontId="17" fillId="2" borderId="37" xfId="0" applyFont="1" applyFill="1" applyBorder="1" applyAlignment="1">
      <alignment horizontal="left" vertical="center" indent="2"/>
    </xf>
    <xf numFmtId="168" fontId="14" fillId="2" borderId="12" xfId="0" applyNumberFormat="1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indent="2"/>
    </xf>
    <xf numFmtId="0" fontId="1" fillId="3" borderId="0" xfId="0" applyFont="1" applyFill="1" applyAlignment="1">
      <alignment vertical="center"/>
    </xf>
    <xf numFmtId="0" fontId="1" fillId="3" borderId="58" xfId="0" applyFont="1" applyFill="1" applyBorder="1" applyAlignment="1">
      <alignment vertical="center"/>
    </xf>
    <xf numFmtId="0" fontId="17" fillId="2" borderId="24" xfId="0" applyFont="1" applyFill="1" applyBorder="1" applyAlignment="1">
      <alignment horizontal="left" vertical="center" indent="2"/>
    </xf>
    <xf numFmtId="167" fontId="17" fillId="2" borderId="20" xfId="0" applyNumberFormat="1" applyFont="1" applyFill="1" applyBorder="1" applyAlignment="1">
      <alignment horizontal="center" vertical="center"/>
    </xf>
    <xf numFmtId="10" fontId="14" fillId="2" borderId="21" xfId="0" applyNumberFormat="1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left" vertical="center" indent="6"/>
    </xf>
    <xf numFmtId="169" fontId="17" fillId="2" borderId="16" xfId="0" applyNumberFormat="1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left" vertical="center" indent="8"/>
    </xf>
    <xf numFmtId="0" fontId="14" fillId="2" borderId="61" xfId="0" applyFont="1" applyFill="1" applyBorder="1" applyAlignment="1">
      <alignment horizontal="left" vertical="center" indent="2"/>
    </xf>
    <xf numFmtId="169" fontId="14" fillId="2" borderId="16" xfId="0" applyNumberFormat="1" applyFont="1" applyFill="1" applyBorder="1" applyAlignment="1">
      <alignment horizontal="center" vertical="center"/>
    </xf>
    <xf numFmtId="167" fontId="14" fillId="2" borderId="11" xfId="0" applyNumberFormat="1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left" vertical="center" indent="4"/>
    </xf>
    <xf numFmtId="169" fontId="14" fillId="2" borderId="33" xfId="0" applyNumberFormat="1" applyFont="1" applyFill="1" applyBorder="1" applyAlignment="1">
      <alignment horizontal="center" vertical="center"/>
    </xf>
    <xf numFmtId="0" fontId="17" fillId="2" borderId="61" xfId="0" applyFont="1" applyFill="1" applyBorder="1" applyAlignment="1">
      <alignment horizontal="left" vertical="center" indent="2"/>
    </xf>
    <xf numFmtId="170" fontId="17" fillId="2" borderId="11" xfId="0" applyNumberFormat="1" applyFont="1" applyFill="1" applyBorder="1" applyAlignment="1">
      <alignment horizontal="center" vertical="center"/>
    </xf>
    <xf numFmtId="0" fontId="19" fillId="2" borderId="61" xfId="0" applyFont="1" applyFill="1" applyBorder="1" applyAlignment="1">
      <alignment horizontal="left" vertical="center" indent="2"/>
    </xf>
    <xf numFmtId="9" fontId="17" fillId="2" borderId="11" xfId="1" applyFont="1" applyFill="1" applyBorder="1" applyAlignment="1">
      <alignment horizontal="center" vertical="center"/>
    </xf>
    <xf numFmtId="9" fontId="17" fillId="2" borderId="33" xfId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indent="2"/>
    </xf>
    <xf numFmtId="169" fontId="0" fillId="3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170" fontId="0" fillId="3" borderId="0" xfId="0" applyNumberFormat="1" applyFill="1" applyAlignment="1">
      <alignment horizontal="left" vertical="center"/>
    </xf>
    <xf numFmtId="0" fontId="17" fillId="2" borderId="15" xfId="0" applyFont="1" applyFill="1" applyBorder="1" applyAlignment="1">
      <alignment horizontal="left" vertical="center" indent="2"/>
    </xf>
    <xf numFmtId="0" fontId="14" fillId="2" borderId="25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left" vertical="center" indent="2"/>
    </xf>
    <xf numFmtId="169" fontId="19" fillId="2" borderId="11" xfId="0" applyNumberFormat="1" applyFont="1" applyFill="1" applyBorder="1" applyAlignment="1">
      <alignment horizontal="center" vertical="center"/>
    </xf>
    <xf numFmtId="169" fontId="19" fillId="2" borderId="24" xfId="0" applyNumberFormat="1" applyFont="1" applyFill="1" applyBorder="1" applyAlignment="1">
      <alignment horizontal="center" vertical="center"/>
    </xf>
    <xf numFmtId="167" fontId="19" fillId="2" borderId="11" xfId="1" applyNumberFormat="1" applyFont="1" applyFill="1" applyBorder="1" applyAlignment="1">
      <alignment horizontal="center" vertical="center"/>
    </xf>
    <xf numFmtId="167" fontId="19" fillId="2" borderId="24" xfId="1" applyNumberFormat="1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left" vertical="center" indent="2"/>
    </xf>
    <xf numFmtId="0" fontId="19" fillId="2" borderId="15" xfId="0" applyFont="1" applyFill="1" applyBorder="1" applyAlignment="1">
      <alignment horizontal="left" vertical="center" indent="4"/>
    </xf>
    <xf numFmtId="169" fontId="19" fillId="2" borderId="23" xfId="0" applyNumberFormat="1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left" vertical="center" indent="6"/>
    </xf>
    <xf numFmtId="0" fontId="17" fillId="2" borderId="15" xfId="0" applyFont="1" applyFill="1" applyBorder="1" applyAlignment="1">
      <alignment horizontal="left" vertical="center" indent="7"/>
    </xf>
    <xf numFmtId="0" fontId="17" fillId="2" borderId="15" xfId="0" applyFont="1" applyFill="1" applyBorder="1" applyAlignment="1">
      <alignment horizontal="left" vertical="center" indent="8"/>
    </xf>
    <xf numFmtId="0" fontId="14" fillId="2" borderId="15" xfId="0" applyFont="1" applyFill="1" applyBorder="1" applyAlignment="1">
      <alignment horizontal="left" vertical="center" indent="2"/>
    </xf>
    <xf numFmtId="0" fontId="17" fillId="2" borderId="15" xfId="0" applyFont="1" applyFill="1" applyBorder="1" applyAlignment="1">
      <alignment horizontal="left" vertical="center" indent="4"/>
    </xf>
    <xf numFmtId="0" fontId="0" fillId="3" borderId="4" xfId="0" applyFill="1" applyBorder="1" applyAlignment="1">
      <alignment vertical="center"/>
    </xf>
    <xf numFmtId="169" fontId="0" fillId="3" borderId="0" xfId="0" applyNumberFormat="1" applyFill="1" applyAlignment="1">
      <alignment horizontal="left" vertical="center"/>
    </xf>
    <xf numFmtId="0" fontId="14" fillId="2" borderId="55" xfId="0" applyFont="1" applyFill="1" applyBorder="1" applyAlignment="1">
      <alignment horizontal="center" vertical="center"/>
    </xf>
    <xf numFmtId="0" fontId="14" fillId="2" borderId="62" xfId="0" applyFont="1" applyFill="1" applyBorder="1" applyAlignment="1">
      <alignment horizontal="center" vertical="center"/>
    </xf>
    <xf numFmtId="0" fontId="14" fillId="2" borderId="51" xfId="0" applyFont="1" applyFill="1" applyBorder="1" applyAlignment="1">
      <alignment horizontal="center" vertical="center"/>
    </xf>
    <xf numFmtId="169" fontId="17" fillId="2" borderId="63" xfId="0" applyNumberFormat="1" applyFont="1" applyFill="1" applyBorder="1" applyAlignment="1">
      <alignment horizontal="center" vertical="center"/>
    </xf>
    <xf numFmtId="4" fontId="17" fillId="2" borderId="11" xfId="0" applyNumberFormat="1" applyFont="1" applyFill="1" applyBorder="1" applyAlignment="1">
      <alignment horizontal="center" vertical="center" wrapText="1"/>
    </xf>
    <xf numFmtId="4" fontId="17" fillId="2" borderId="51" xfId="0" applyNumberFormat="1" applyFont="1" applyFill="1" applyBorder="1" applyAlignment="1">
      <alignment horizontal="center" vertical="center" wrapText="1"/>
    </xf>
    <xf numFmtId="4" fontId="17" fillId="2" borderId="16" xfId="0" applyNumberFormat="1" applyFont="1" applyFill="1" applyBorder="1" applyAlignment="1">
      <alignment horizontal="center" vertical="center" wrapText="1"/>
    </xf>
    <xf numFmtId="4" fontId="17" fillId="2" borderId="51" xfId="0" applyNumberFormat="1" applyFont="1" applyFill="1" applyBorder="1" applyAlignment="1">
      <alignment horizontal="center" vertical="center"/>
    </xf>
    <xf numFmtId="10" fontId="0" fillId="3" borderId="0" xfId="0" applyNumberFormat="1" applyFill="1" applyAlignment="1">
      <alignment vertical="center"/>
    </xf>
    <xf numFmtId="10" fontId="0" fillId="3" borderId="0" xfId="1" applyNumberFormat="1" applyFont="1" applyFill="1" applyAlignment="1">
      <alignment vertical="center"/>
    </xf>
    <xf numFmtId="169" fontId="16" fillId="2" borderId="64" xfId="0" applyNumberFormat="1" applyFont="1" applyFill="1" applyBorder="1" applyAlignment="1">
      <alignment horizontal="center" vertical="center"/>
    </xf>
    <xf numFmtId="169" fontId="16" fillId="2" borderId="65" xfId="0" applyNumberFormat="1" applyFont="1" applyFill="1" applyBorder="1" applyAlignment="1">
      <alignment horizontal="center" vertical="center"/>
    </xf>
    <xf numFmtId="169" fontId="17" fillId="2" borderId="65" xfId="0" applyNumberFormat="1" applyFont="1" applyFill="1" applyBorder="1" applyAlignment="1">
      <alignment horizontal="center" vertical="center"/>
    </xf>
    <xf numFmtId="4" fontId="17" fillId="2" borderId="53" xfId="0" applyNumberFormat="1" applyFont="1" applyFill="1" applyBorder="1" applyAlignment="1">
      <alignment horizontal="center" vertical="center" wrapText="1"/>
    </xf>
    <xf numFmtId="169" fontId="23" fillId="2" borderId="66" xfId="0" applyNumberFormat="1" applyFont="1" applyFill="1" applyBorder="1" applyAlignment="1">
      <alignment horizontal="center" vertical="center"/>
    </xf>
    <xf numFmtId="0" fontId="0" fillId="3" borderId="42" xfId="0" applyFill="1" applyBorder="1" applyAlignment="1">
      <alignment horizontal="left" vertical="center"/>
    </xf>
    <xf numFmtId="0" fontId="17" fillId="2" borderId="1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2"/>
    </xf>
    <xf numFmtId="0" fontId="2" fillId="3" borderId="0" xfId="0" applyFont="1" applyFill="1" applyAlignment="1">
      <alignment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3" fontId="17" fillId="2" borderId="11" xfId="0" applyNumberFormat="1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vertical="center"/>
    </xf>
    <xf numFmtId="171" fontId="16" fillId="2" borderId="11" xfId="0" applyNumberFormat="1" applyFont="1" applyFill="1" applyBorder="1" applyAlignment="1">
      <alignment horizontal="center" vertical="center"/>
    </xf>
    <xf numFmtId="166" fontId="17" fillId="2" borderId="11" xfId="3" applyFont="1" applyFill="1" applyBorder="1" applyAlignment="1">
      <alignment horizontal="center" vertical="center"/>
    </xf>
    <xf numFmtId="169" fontId="23" fillId="2" borderId="11" xfId="0" applyNumberFormat="1" applyFont="1" applyFill="1" applyBorder="1" applyAlignment="1">
      <alignment horizontal="center" vertical="center"/>
    </xf>
    <xf numFmtId="10" fontId="23" fillId="2" borderId="11" xfId="1" applyNumberFormat="1" applyFont="1" applyFill="1" applyBorder="1" applyAlignment="1">
      <alignment horizontal="center" vertical="center"/>
    </xf>
    <xf numFmtId="10" fontId="23" fillId="2" borderId="3" xfId="1" applyNumberFormat="1" applyFont="1" applyFill="1" applyBorder="1" applyAlignment="1">
      <alignment horizontal="center" vertical="center"/>
    </xf>
    <xf numFmtId="2" fontId="23" fillId="2" borderId="11" xfId="1" applyNumberFormat="1" applyFont="1" applyFill="1" applyBorder="1" applyAlignment="1">
      <alignment horizontal="center" vertical="center"/>
    </xf>
    <xf numFmtId="168" fontId="14" fillId="2" borderId="39" xfId="0" applyNumberFormat="1" applyFont="1" applyFill="1" applyBorder="1" applyAlignment="1">
      <alignment horizontal="center" vertical="center"/>
    </xf>
    <xf numFmtId="168" fontId="14" fillId="2" borderId="40" xfId="0" applyNumberFormat="1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5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168" fontId="14" fillId="2" borderId="50" xfId="0" applyNumberFormat="1" applyFont="1" applyFill="1" applyBorder="1" applyAlignment="1">
      <alignment horizontal="center" vertical="center"/>
    </xf>
    <xf numFmtId="0" fontId="14" fillId="2" borderId="52" xfId="0" applyFont="1" applyFill="1" applyBorder="1" applyAlignment="1">
      <alignment horizontal="center" vertical="center"/>
    </xf>
    <xf numFmtId="0" fontId="14" fillId="2" borderId="42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167" fontId="17" fillId="2" borderId="68" xfId="1" applyNumberFormat="1" applyFont="1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169" fontId="14" fillId="2" borderId="71" xfId="0" applyNumberFormat="1" applyFont="1" applyFill="1" applyBorder="1" applyAlignment="1">
      <alignment horizontal="center" vertical="center"/>
    </xf>
    <xf numFmtId="9" fontId="17" fillId="2" borderId="72" xfId="1" applyFont="1" applyFill="1" applyBorder="1" applyAlignment="1">
      <alignment horizontal="center" vertical="center"/>
    </xf>
    <xf numFmtId="167" fontId="17" fillId="2" borderId="69" xfId="1" applyNumberFormat="1" applyFont="1" applyFill="1" applyBorder="1" applyAlignment="1">
      <alignment horizontal="center" vertical="center"/>
    </xf>
    <xf numFmtId="167" fontId="17" fillId="2" borderId="32" xfId="1" applyNumberFormat="1" applyFont="1" applyFill="1" applyBorder="1" applyAlignment="1">
      <alignment horizontal="center" vertical="center"/>
    </xf>
    <xf numFmtId="169" fontId="14" fillId="2" borderId="45" xfId="0" applyNumberFormat="1" applyFont="1" applyFill="1" applyBorder="1" applyAlignment="1">
      <alignment horizontal="center" vertical="center"/>
    </xf>
    <xf numFmtId="9" fontId="17" fillId="2" borderId="73" xfId="1" applyFont="1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167" fontId="17" fillId="2" borderId="67" xfId="1" applyNumberFormat="1" applyFont="1" applyFill="1" applyBorder="1" applyAlignment="1">
      <alignment horizontal="center" vertical="center"/>
    </xf>
    <xf numFmtId="0" fontId="0" fillId="3" borderId="48" xfId="0" applyFill="1" applyBorder="1" applyAlignment="1">
      <alignment horizontal="left" vertical="center" indent="2"/>
    </xf>
    <xf numFmtId="169" fontId="16" fillId="2" borderId="74" xfId="0" applyNumberFormat="1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 wrapText="1"/>
    </xf>
    <xf numFmtId="169" fontId="16" fillId="2" borderId="60" xfId="0" applyNumberFormat="1" applyFont="1" applyFill="1" applyBorder="1" applyAlignment="1">
      <alignment horizontal="center" vertical="center"/>
    </xf>
    <xf numFmtId="0" fontId="19" fillId="2" borderId="40" xfId="0" applyFont="1" applyFill="1" applyBorder="1" applyAlignment="1">
      <alignment horizontal="left" vertical="center" indent="2"/>
    </xf>
    <xf numFmtId="0" fontId="0" fillId="3" borderId="42" xfId="0" applyFill="1" applyBorder="1" applyAlignment="1">
      <alignment vertical="center"/>
    </xf>
    <xf numFmtId="0" fontId="14" fillId="2" borderId="22" xfId="0" applyFont="1" applyFill="1" applyBorder="1" applyAlignment="1">
      <alignment horizontal="left" vertical="center" indent="4"/>
    </xf>
    <xf numFmtId="3" fontId="14" fillId="2" borderId="33" xfId="0" applyNumberFormat="1" applyFont="1" applyFill="1" applyBorder="1" applyAlignment="1">
      <alignment horizontal="center" vertical="center"/>
    </xf>
    <xf numFmtId="3" fontId="17" fillId="2" borderId="33" xfId="0" applyNumberFormat="1" applyFont="1" applyFill="1" applyBorder="1" applyAlignment="1">
      <alignment horizontal="center" vertical="center"/>
    </xf>
    <xf numFmtId="3" fontId="0" fillId="3" borderId="0" xfId="0" applyNumberFormat="1" applyFill="1" applyAlignment="1">
      <alignment vertical="center"/>
    </xf>
    <xf numFmtId="0" fontId="22" fillId="0" borderId="0" xfId="0" applyFont="1" applyAlignment="1">
      <alignment wrapText="1"/>
    </xf>
    <xf numFmtId="0" fontId="24" fillId="0" borderId="0" xfId="2" applyFont="1"/>
    <xf numFmtId="0" fontId="25" fillId="0" borderId="0" xfId="2" applyFont="1"/>
    <xf numFmtId="0" fontId="22" fillId="0" borderId="0" xfId="2" applyFont="1"/>
    <xf numFmtId="0" fontId="17" fillId="2" borderId="15" xfId="0" applyFon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left" vertical="center"/>
    </xf>
    <xf numFmtId="169" fontId="17" fillId="2" borderId="11" xfId="0" applyNumberFormat="1" applyFont="1" applyFill="1" applyBorder="1" applyAlignment="1">
      <alignment horizontal="center" vertical="center" wrapText="1"/>
    </xf>
    <xf numFmtId="169" fontId="17" fillId="2" borderId="33" xfId="0" applyNumberFormat="1" applyFont="1" applyFill="1" applyBorder="1" applyAlignment="1">
      <alignment horizontal="center" vertical="center"/>
    </xf>
    <xf numFmtId="169" fontId="17" fillId="2" borderId="33" xfId="0" applyNumberFormat="1" applyFont="1" applyFill="1" applyBorder="1" applyAlignment="1">
      <alignment horizontal="center" vertical="center" wrapText="1"/>
    </xf>
    <xf numFmtId="0" fontId="0" fillId="3" borderId="0" xfId="0" quotePrefix="1" applyFill="1" applyAlignment="1">
      <alignment vertical="center"/>
    </xf>
    <xf numFmtId="0" fontId="16" fillId="2" borderId="22" xfId="0" applyFont="1" applyFill="1" applyBorder="1" applyAlignment="1">
      <alignment horizontal="left" vertical="center" indent="2"/>
    </xf>
    <xf numFmtId="0" fontId="17" fillId="2" borderId="22" xfId="0" applyFont="1" applyFill="1" applyBorder="1" applyAlignment="1">
      <alignment horizontal="left" vertical="center" wrapText="1" indent="2"/>
    </xf>
    <xf numFmtId="0" fontId="19" fillId="2" borderId="15" xfId="0" applyFont="1" applyFill="1" applyBorder="1" applyAlignment="1">
      <alignment horizontal="left" vertical="center" indent="2"/>
    </xf>
    <xf numFmtId="0" fontId="14" fillId="2" borderId="15" xfId="0" applyFont="1" applyFill="1" applyBorder="1" applyAlignment="1">
      <alignment horizontal="left" vertical="center" indent="4"/>
    </xf>
    <xf numFmtId="9" fontId="17" fillId="2" borderId="14" xfId="1" applyFont="1" applyFill="1" applyBorder="1" applyAlignment="1">
      <alignment horizontal="center" vertical="center"/>
    </xf>
    <xf numFmtId="0" fontId="27" fillId="3" borderId="0" xfId="0" applyFont="1" applyFill="1" applyAlignment="1">
      <alignment vertical="center"/>
    </xf>
    <xf numFmtId="0" fontId="23" fillId="2" borderId="15" xfId="0" applyFont="1" applyFill="1" applyBorder="1" applyAlignment="1">
      <alignment horizontal="left" vertical="center" indent="4"/>
    </xf>
    <xf numFmtId="10" fontId="23" fillId="2" borderId="14" xfId="1" applyNumberFormat="1" applyFont="1" applyFill="1" applyBorder="1" applyAlignment="1">
      <alignment horizontal="center" vertical="center"/>
    </xf>
    <xf numFmtId="10" fontId="27" fillId="3" borderId="0" xfId="0" applyNumberFormat="1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 indent="3"/>
    </xf>
    <xf numFmtId="3" fontId="14" fillId="2" borderId="3" xfId="0" applyNumberFormat="1" applyFont="1" applyFill="1" applyBorder="1" applyAlignment="1">
      <alignment horizontal="center" vertical="center"/>
    </xf>
    <xf numFmtId="3" fontId="14" fillId="2" borderId="26" xfId="0" applyNumberFormat="1" applyFont="1" applyFill="1" applyBorder="1" applyAlignment="1">
      <alignment horizontal="center" vertical="center"/>
    </xf>
    <xf numFmtId="3" fontId="14" fillId="2" borderId="34" xfId="0" applyNumberFormat="1" applyFont="1" applyFill="1" applyBorder="1" applyAlignment="1">
      <alignment horizontal="center" vertical="center"/>
    </xf>
    <xf numFmtId="0" fontId="13" fillId="2" borderId="77" xfId="0" applyFont="1" applyFill="1" applyBorder="1" applyAlignment="1">
      <alignment horizontal="left" vertical="center" indent="2"/>
    </xf>
    <xf numFmtId="2" fontId="2" fillId="2" borderId="78" xfId="1" applyNumberFormat="1" applyFont="1" applyFill="1" applyBorder="1" applyAlignment="1">
      <alignment horizontal="center" vertical="center"/>
    </xf>
    <xf numFmtId="0" fontId="0" fillId="3" borderId="28" xfId="0" applyFill="1" applyBorder="1" applyAlignment="1">
      <alignment vertical="center"/>
    </xf>
    <xf numFmtId="0" fontId="19" fillId="2" borderId="81" xfId="0" applyFont="1" applyFill="1" applyBorder="1" applyAlignment="1">
      <alignment horizontal="left" vertical="center" indent="4"/>
    </xf>
    <xf numFmtId="167" fontId="17" fillId="2" borderId="78" xfId="0" applyNumberFormat="1" applyFont="1" applyFill="1" applyBorder="1" applyAlignment="1">
      <alignment horizontal="center" vertical="center"/>
    </xf>
    <xf numFmtId="167" fontId="17" fillId="2" borderId="82" xfId="0" applyNumberFormat="1" applyFont="1" applyFill="1" applyBorder="1" applyAlignment="1">
      <alignment horizontal="center" vertical="center"/>
    </xf>
    <xf numFmtId="169" fontId="17" fillId="2" borderId="78" xfId="0" applyNumberFormat="1" applyFont="1" applyFill="1" applyBorder="1" applyAlignment="1">
      <alignment horizontal="center" vertical="center"/>
    </xf>
    <xf numFmtId="0" fontId="0" fillId="3" borderId="83" xfId="0" applyFill="1" applyBorder="1" applyAlignment="1">
      <alignment vertical="center"/>
    </xf>
    <xf numFmtId="169" fontId="17" fillId="2" borderId="82" xfId="0" applyNumberFormat="1" applyFont="1" applyFill="1" applyBorder="1" applyAlignment="1">
      <alignment horizontal="center" vertical="center"/>
    </xf>
    <xf numFmtId="169" fontId="17" fillId="2" borderId="84" xfId="0" applyNumberFormat="1" applyFont="1" applyFill="1" applyBorder="1" applyAlignment="1">
      <alignment horizontal="center" vertical="center"/>
    </xf>
    <xf numFmtId="169" fontId="17" fillId="2" borderId="85" xfId="0" applyNumberFormat="1" applyFont="1" applyFill="1" applyBorder="1" applyAlignment="1">
      <alignment horizontal="center" vertical="center"/>
    </xf>
    <xf numFmtId="169" fontId="17" fillId="2" borderId="86" xfId="0" applyNumberFormat="1" applyFont="1" applyFill="1" applyBorder="1" applyAlignment="1">
      <alignment horizontal="center" vertical="center"/>
    </xf>
    <xf numFmtId="169" fontId="17" fillId="2" borderId="87" xfId="0" applyNumberFormat="1" applyFont="1" applyFill="1" applyBorder="1" applyAlignment="1">
      <alignment horizontal="center" vertical="center"/>
    </xf>
    <xf numFmtId="169" fontId="17" fillId="2" borderId="88" xfId="0" applyNumberFormat="1" applyFont="1" applyFill="1" applyBorder="1" applyAlignment="1">
      <alignment horizontal="center" vertical="center"/>
    </xf>
    <xf numFmtId="0" fontId="19" fillId="2" borderId="66" xfId="0" applyFont="1" applyFill="1" applyBorder="1" applyAlignment="1">
      <alignment horizontal="left" vertical="center" indent="2"/>
    </xf>
    <xf numFmtId="9" fontId="17" fillId="2" borderId="78" xfId="1" applyFont="1" applyFill="1" applyBorder="1" applyAlignment="1">
      <alignment horizontal="center" vertical="center"/>
    </xf>
    <xf numFmtId="9" fontId="17" fillId="2" borderId="82" xfId="1" applyFont="1" applyFill="1" applyBorder="1" applyAlignment="1">
      <alignment horizontal="center" vertical="center"/>
    </xf>
    <xf numFmtId="9" fontId="17" fillId="2" borderId="90" xfId="1" applyFont="1" applyFill="1" applyBorder="1" applyAlignment="1">
      <alignment horizontal="center" vertical="center"/>
    </xf>
    <xf numFmtId="0" fontId="14" fillId="2" borderId="81" xfId="0" applyFont="1" applyFill="1" applyBorder="1" applyAlignment="1">
      <alignment horizontal="left" vertical="center" indent="2"/>
    </xf>
    <xf numFmtId="169" fontId="14" fillId="2" borderId="78" xfId="0" applyNumberFormat="1" applyFont="1" applyFill="1" applyBorder="1" applyAlignment="1">
      <alignment horizontal="center" vertical="center"/>
    </xf>
    <xf numFmtId="0" fontId="16" fillId="2" borderId="81" xfId="0" applyFont="1" applyFill="1" applyBorder="1" applyAlignment="1">
      <alignment horizontal="left" vertical="center" indent="2"/>
    </xf>
    <xf numFmtId="10" fontId="17" fillId="2" borderId="78" xfId="0" applyNumberFormat="1" applyFont="1" applyFill="1" applyBorder="1" applyAlignment="1">
      <alignment horizontal="center" vertical="center"/>
    </xf>
    <xf numFmtId="0" fontId="26" fillId="2" borderId="91" xfId="0" applyFont="1" applyFill="1" applyBorder="1" applyAlignment="1">
      <alignment horizontal="left" vertical="center" indent="2"/>
    </xf>
    <xf numFmtId="0" fontId="17" fillId="2" borderId="91" xfId="0" applyFont="1" applyFill="1" applyBorder="1" applyAlignment="1">
      <alignment horizontal="left" vertical="center" indent="2"/>
    </xf>
    <xf numFmtId="0" fontId="0" fillId="3" borderId="83" xfId="0" applyFill="1" applyBorder="1" applyAlignment="1">
      <alignment horizontal="left" vertical="center"/>
    </xf>
    <xf numFmtId="169" fontId="26" fillId="2" borderId="92" xfId="0" applyNumberFormat="1" applyFont="1" applyFill="1" applyBorder="1" applyAlignment="1">
      <alignment horizontal="center" vertical="center"/>
    </xf>
    <xf numFmtId="169" fontId="26" fillId="2" borderId="82" xfId="0" applyNumberFormat="1" applyFont="1" applyFill="1" applyBorder="1" applyAlignment="1">
      <alignment horizontal="center" vertical="center"/>
    </xf>
    <xf numFmtId="169" fontId="26" fillId="2" borderId="90" xfId="0" applyNumberFormat="1" applyFont="1" applyFill="1" applyBorder="1" applyAlignment="1">
      <alignment horizontal="center" vertical="center"/>
    </xf>
    <xf numFmtId="169" fontId="26" fillId="2" borderId="10" xfId="0" applyNumberFormat="1" applyFont="1" applyFill="1" applyBorder="1" applyAlignment="1">
      <alignment horizontal="center" vertical="center"/>
    </xf>
    <xf numFmtId="169" fontId="0" fillId="3" borderId="83" xfId="0" applyNumberFormat="1" applyFill="1" applyBorder="1" applyAlignment="1">
      <alignment vertical="center"/>
    </xf>
    <xf numFmtId="0" fontId="26" fillId="2" borderId="81" xfId="0" applyFont="1" applyFill="1" applyBorder="1" applyAlignment="1">
      <alignment horizontal="left" vertical="center" indent="2"/>
    </xf>
    <xf numFmtId="169" fontId="26" fillId="2" borderId="78" xfId="0" applyNumberFormat="1" applyFont="1" applyFill="1" applyBorder="1" applyAlignment="1">
      <alignment horizontal="center" vertical="center"/>
    </xf>
    <xf numFmtId="0" fontId="14" fillId="2" borderId="93" xfId="0" applyFont="1" applyFill="1" applyBorder="1" applyAlignment="1">
      <alignment horizontal="left" vertical="center" indent="2"/>
    </xf>
    <xf numFmtId="169" fontId="14" fillId="2" borderId="94" xfId="0" applyNumberFormat="1" applyFont="1" applyFill="1" applyBorder="1" applyAlignment="1">
      <alignment horizontal="center" vertical="center"/>
    </xf>
    <xf numFmtId="169" fontId="14" fillId="2" borderId="95" xfId="0" applyNumberFormat="1" applyFont="1" applyFill="1" applyBorder="1" applyAlignment="1">
      <alignment horizontal="center" vertical="center"/>
    </xf>
    <xf numFmtId="169" fontId="14" fillId="2" borderId="96" xfId="0" applyNumberFormat="1" applyFont="1" applyFill="1" applyBorder="1" applyAlignment="1">
      <alignment horizontal="center" vertical="center"/>
    </xf>
    <xf numFmtId="10" fontId="23" fillId="2" borderId="82" xfId="1" applyNumberFormat="1" applyFont="1" applyFill="1" applyBorder="1" applyAlignment="1">
      <alignment horizontal="center" vertical="center"/>
    </xf>
    <xf numFmtId="10" fontId="23" fillId="2" borderId="78" xfId="1" applyNumberFormat="1" applyFont="1" applyFill="1" applyBorder="1" applyAlignment="1">
      <alignment horizontal="center" vertical="center"/>
    </xf>
    <xf numFmtId="0" fontId="23" fillId="2" borderId="80" xfId="0" applyFont="1" applyFill="1" applyBorder="1" applyAlignment="1">
      <alignment horizontal="left" vertical="center" indent="4"/>
    </xf>
    <xf numFmtId="0" fontId="17" fillId="2" borderId="80" xfId="0" applyFont="1" applyFill="1" applyBorder="1" applyAlignment="1">
      <alignment horizontal="left" vertical="center" indent="4"/>
    </xf>
    <xf numFmtId="0" fontId="17" fillId="2" borderId="89" xfId="0" applyFont="1" applyFill="1" applyBorder="1" applyAlignment="1">
      <alignment horizontal="center" vertical="center"/>
    </xf>
    <xf numFmtId="4" fontId="17" fillId="2" borderId="82" xfId="0" applyNumberFormat="1" applyFont="1" applyFill="1" applyBorder="1" applyAlignment="1">
      <alignment horizontal="center" vertical="center"/>
    </xf>
    <xf numFmtId="4" fontId="17" fillId="2" borderId="78" xfId="0" applyNumberFormat="1" applyFont="1" applyFill="1" applyBorder="1" applyAlignment="1">
      <alignment horizontal="center" vertical="center"/>
    </xf>
    <xf numFmtId="4" fontId="17" fillId="2" borderId="90" xfId="0" applyNumberFormat="1" applyFont="1" applyFill="1" applyBorder="1" applyAlignment="1">
      <alignment horizontal="center" vertical="center"/>
    </xf>
    <xf numFmtId="167" fontId="17" fillId="2" borderId="78" xfId="1" applyNumberFormat="1" applyFont="1" applyFill="1" applyBorder="1" applyAlignment="1">
      <alignment horizontal="center" vertical="center"/>
    </xf>
    <xf numFmtId="167" fontId="17" fillId="2" borderId="90" xfId="1" applyNumberFormat="1" applyFont="1" applyFill="1" applyBorder="1" applyAlignment="1">
      <alignment horizontal="center" vertical="center"/>
    </xf>
    <xf numFmtId="0" fontId="17" fillId="2" borderId="98" xfId="0" applyFont="1" applyFill="1" applyBorder="1" applyAlignment="1">
      <alignment horizontal="center" vertical="center"/>
    </xf>
    <xf numFmtId="2" fontId="17" fillId="2" borderId="100" xfId="1" applyNumberFormat="1" applyFont="1" applyFill="1" applyBorder="1" applyAlignment="1">
      <alignment horizontal="center" vertical="center"/>
    </xf>
    <xf numFmtId="2" fontId="17" fillId="2" borderId="101" xfId="1" applyNumberFormat="1" applyFont="1" applyFill="1" applyBorder="1" applyAlignment="1">
      <alignment horizontal="center" vertical="center"/>
    </xf>
    <xf numFmtId="2" fontId="17" fillId="2" borderId="102" xfId="1" applyNumberFormat="1" applyFont="1" applyFill="1" applyBorder="1" applyAlignment="1">
      <alignment horizontal="center" vertical="center"/>
    </xf>
    <xf numFmtId="2" fontId="17" fillId="2" borderId="44" xfId="1" applyNumberFormat="1" applyFont="1" applyFill="1" applyBorder="1" applyAlignment="1">
      <alignment horizontal="center" vertical="center"/>
    </xf>
    <xf numFmtId="2" fontId="17" fillId="2" borderId="99" xfId="1" applyNumberFormat="1" applyFont="1" applyFill="1" applyBorder="1" applyAlignment="1">
      <alignment horizontal="center" vertical="center"/>
    </xf>
    <xf numFmtId="172" fontId="17" fillId="2" borderId="78" xfId="1" applyNumberFormat="1" applyFont="1" applyFill="1" applyBorder="1" applyAlignment="1">
      <alignment horizontal="center" vertical="center"/>
    </xf>
    <xf numFmtId="172" fontId="17" fillId="2" borderId="90" xfId="1" applyNumberFormat="1" applyFont="1" applyFill="1" applyBorder="1" applyAlignment="1">
      <alignment horizontal="center" vertical="center"/>
    </xf>
    <xf numFmtId="10" fontId="17" fillId="2" borderId="78" xfId="1" applyNumberFormat="1" applyFont="1" applyFill="1" applyBorder="1" applyAlignment="1">
      <alignment horizontal="center" vertical="center"/>
    </xf>
    <xf numFmtId="10" fontId="17" fillId="2" borderId="90" xfId="1" applyNumberFormat="1" applyFont="1" applyFill="1" applyBorder="1" applyAlignment="1">
      <alignment horizontal="center" vertical="center"/>
    </xf>
    <xf numFmtId="0" fontId="17" fillId="2" borderId="80" xfId="0" applyFont="1" applyFill="1" applyBorder="1" applyAlignment="1">
      <alignment horizontal="left" vertical="center"/>
    </xf>
    <xf numFmtId="169" fontId="17" fillId="2" borderId="90" xfId="0" applyNumberFormat="1" applyFont="1" applyFill="1" applyBorder="1" applyAlignment="1">
      <alignment horizontal="center" vertical="center"/>
    </xf>
    <xf numFmtId="169" fontId="17" fillId="2" borderId="89" xfId="0" applyNumberFormat="1" applyFont="1" applyFill="1" applyBorder="1" applyAlignment="1">
      <alignment horizontal="center" vertical="center"/>
    </xf>
    <xf numFmtId="10" fontId="17" fillId="2" borderId="82" xfId="1" applyNumberFormat="1" applyFont="1" applyFill="1" applyBorder="1" applyAlignment="1">
      <alignment horizontal="center" vertical="center"/>
    </xf>
    <xf numFmtId="10" fontId="17" fillId="2" borderId="86" xfId="1" applyNumberFormat="1" applyFont="1" applyFill="1" applyBorder="1" applyAlignment="1">
      <alignment horizontal="center" vertical="center"/>
    </xf>
    <xf numFmtId="4" fontId="17" fillId="2" borderId="104" xfId="0" applyNumberFormat="1" applyFont="1" applyFill="1" applyBorder="1" applyAlignment="1">
      <alignment horizontal="center" vertical="center"/>
    </xf>
    <xf numFmtId="169" fontId="17" fillId="2" borderId="105" xfId="0" applyNumberFormat="1" applyFont="1" applyFill="1" applyBorder="1" applyAlignment="1">
      <alignment horizontal="center" vertical="center"/>
    </xf>
    <xf numFmtId="167" fontId="23" fillId="2" borderId="92" xfId="1" applyNumberFormat="1" applyFont="1" applyFill="1" applyBorder="1" applyAlignment="1">
      <alignment horizontal="center" vertical="center"/>
    </xf>
    <xf numFmtId="167" fontId="23" fillId="2" borderId="78" xfId="1" applyNumberFormat="1" applyFont="1" applyFill="1" applyBorder="1" applyAlignment="1">
      <alignment horizontal="center" vertical="center"/>
    </xf>
    <xf numFmtId="4" fontId="17" fillId="2" borderId="82" xfId="0" applyNumberFormat="1" applyFont="1" applyFill="1" applyBorder="1" applyAlignment="1">
      <alignment horizontal="center" vertical="center" wrapText="1"/>
    </xf>
    <xf numFmtId="4" fontId="17" fillId="2" borderId="104" xfId="0" applyNumberFormat="1" applyFont="1" applyFill="1" applyBorder="1" applyAlignment="1">
      <alignment horizontal="center" vertical="center" wrapText="1"/>
    </xf>
    <xf numFmtId="167" fontId="23" fillId="2" borderId="82" xfId="1" applyNumberFormat="1" applyFont="1" applyFill="1" applyBorder="1" applyAlignment="1">
      <alignment horizontal="center" vertical="center"/>
    </xf>
    <xf numFmtId="0" fontId="14" fillId="2" borderId="80" xfId="0" applyFont="1" applyFill="1" applyBorder="1" applyAlignment="1">
      <alignment horizontal="center" vertical="center"/>
    </xf>
    <xf numFmtId="4" fontId="17" fillId="2" borderId="78" xfId="0" applyNumberFormat="1" applyFont="1" applyFill="1" applyBorder="1" applyAlignment="1">
      <alignment horizontal="center" vertical="center" wrapText="1"/>
    </xf>
    <xf numFmtId="4" fontId="17" fillId="2" borderId="107" xfId="0" applyNumberFormat="1" applyFont="1" applyFill="1" applyBorder="1" applyAlignment="1">
      <alignment horizontal="center" vertical="center" wrapText="1"/>
    </xf>
    <xf numFmtId="4" fontId="17" fillId="2" borderId="108" xfId="0" applyNumberFormat="1" applyFont="1" applyFill="1" applyBorder="1" applyAlignment="1">
      <alignment horizontal="center" vertical="center" wrapText="1"/>
    </xf>
    <xf numFmtId="169" fontId="23" fillId="2" borderId="103" xfId="0" applyNumberFormat="1" applyFont="1" applyFill="1" applyBorder="1" applyAlignment="1">
      <alignment horizontal="center" vertical="center"/>
    </xf>
    <xf numFmtId="169" fontId="23" fillId="2" borderId="10" xfId="0" applyNumberFormat="1" applyFont="1" applyFill="1" applyBorder="1" applyAlignment="1">
      <alignment horizontal="center" vertical="center"/>
    </xf>
    <xf numFmtId="10" fontId="23" fillId="2" borderId="109" xfId="1" applyNumberFormat="1" applyFont="1" applyFill="1" applyBorder="1" applyAlignment="1">
      <alignment horizontal="center" vertical="center"/>
    </xf>
    <xf numFmtId="4" fontId="17" fillId="2" borderId="110" xfId="0" applyNumberFormat="1" applyFont="1" applyFill="1" applyBorder="1" applyAlignment="1">
      <alignment horizontal="center" vertical="center" wrapText="1"/>
    </xf>
    <xf numFmtId="169" fontId="16" fillId="2" borderId="89" xfId="0" applyNumberFormat="1" applyFont="1" applyFill="1" applyBorder="1" applyAlignment="1">
      <alignment horizontal="center" vertical="center"/>
    </xf>
    <xf numFmtId="3" fontId="17" fillId="2" borderId="78" xfId="0" applyNumberFormat="1" applyFont="1" applyFill="1" applyBorder="1" applyAlignment="1">
      <alignment horizontal="center" vertical="center"/>
    </xf>
    <xf numFmtId="3" fontId="17" fillId="2" borderId="82" xfId="0" applyNumberFormat="1" applyFont="1" applyFill="1" applyBorder="1" applyAlignment="1">
      <alignment horizontal="center" vertical="center"/>
    </xf>
    <xf numFmtId="4" fontId="17" fillId="2" borderId="106" xfId="0" applyNumberFormat="1" applyFont="1" applyFill="1" applyBorder="1" applyAlignment="1">
      <alignment horizontal="center" vertical="center" wrapText="1"/>
    </xf>
    <xf numFmtId="0" fontId="17" fillId="2" borderId="80" xfId="0" applyFont="1" applyFill="1" applyBorder="1" applyAlignment="1">
      <alignment horizontal="center" vertical="center" wrapText="1"/>
    </xf>
    <xf numFmtId="0" fontId="14" fillId="2" borderId="81" xfId="0" applyFont="1" applyFill="1" applyBorder="1" applyAlignment="1">
      <alignment horizontal="left" vertical="center" indent="4"/>
    </xf>
    <xf numFmtId="3" fontId="14" fillId="2" borderId="78" xfId="0" applyNumberFormat="1" applyFont="1" applyFill="1" applyBorder="1" applyAlignment="1">
      <alignment horizontal="center" vertical="center"/>
    </xf>
    <xf numFmtId="3" fontId="14" fillId="2" borderId="90" xfId="0" applyNumberFormat="1" applyFont="1" applyFill="1" applyBorder="1" applyAlignment="1">
      <alignment horizontal="center" vertical="center"/>
    </xf>
    <xf numFmtId="3" fontId="17" fillId="2" borderId="90" xfId="0" applyNumberFormat="1" applyFont="1" applyFill="1" applyBorder="1" applyAlignment="1">
      <alignment horizontal="center" vertical="center"/>
    </xf>
    <xf numFmtId="167" fontId="17" fillId="2" borderId="79" xfId="1" applyNumberFormat="1" applyFont="1" applyFill="1" applyBorder="1" applyAlignment="1">
      <alignment horizontal="center" vertical="center"/>
    </xf>
    <xf numFmtId="0" fontId="0" fillId="3" borderId="83" xfId="0" applyFill="1" applyBorder="1" applyAlignment="1">
      <alignment horizontal="center" vertical="center"/>
    </xf>
    <xf numFmtId="10" fontId="2" fillId="2" borderId="11" xfId="1" applyNumberFormat="1" applyFont="1" applyFill="1" applyBorder="1" applyAlignment="1">
      <alignment horizontal="center" vertical="center" wrapText="1"/>
    </xf>
    <xf numFmtId="4" fontId="2" fillId="2" borderId="11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0" fontId="2" fillId="2" borderId="1" xfId="1" applyNumberFormat="1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167" fontId="14" fillId="2" borderId="16" xfId="0" applyNumberFormat="1" applyFont="1" applyFill="1" applyBorder="1" applyAlignment="1">
      <alignment horizontal="center" vertical="center"/>
    </xf>
    <xf numFmtId="10" fontId="28" fillId="2" borderId="111" xfId="0" applyNumberFormat="1" applyFont="1" applyFill="1" applyBorder="1" applyAlignment="1">
      <alignment horizontal="center" vertical="center"/>
    </xf>
    <xf numFmtId="169" fontId="17" fillId="2" borderId="112" xfId="0" applyNumberFormat="1" applyFont="1" applyFill="1" applyBorder="1" applyAlignment="1">
      <alignment horizontal="center" vertical="center"/>
    </xf>
    <xf numFmtId="169" fontId="14" fillId="2" borderId="112" xfId="0" applyNumberFormat="1" applyFont="1" applyFill="1" applyBorder="1" applyAlignment="1">
      <alignment horizontal="center" vertical="center"/>
    </xf>
    <xf numFmtId="0" fontId="17" fillId="2" borderId="114" xfId="0" applyFont="1" applyFill="1" applyBorder="1" applyAlignment="1">
      <alignment horizontal="left" vertical="center"/>
    </xf>
    <xf numFmtId="169" fontId="17" fillId="2" borderId="44" xfId="0" applyNumberFormat="1" applyFont="1" applyFill="1" applyBorder="1" applyAlignment="1">
      <alignment horizontal="center" vertical="center" wrapText="1"/>
    </xf>
    <xf numFmtId="169" fontId="17" fillId="2" borderId="44" xfId="0" applyNumberFormat="1" applyFont="1" applyFill="1" applyBorder="1" applyAlignment="1">
      <alignment horizontal="center" vertical="center"/>
    </xf>
    <xf numFmtId="169" fontId="17" fillId="2" borderId="99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169" fontId="17" fillId="2" borderId="1" xfId="0" applyNumberFormat="1" applyFont="1" applyFill="1" applyBorder="1" applyAlignment="1">
      <alignment horizontal="center" vertical="center" wrapText="1"/>
    </xf>
    <xf numFmtId="169" fontId="17" fillId="2" borderId="1" xfId="0" applyNumberFormat="1" applyFont="1" applyFill="1" applyBorder="1" applyAlignment="1">
      <alignment horizontal="center" vertical="center"/>
    </xf>
    <xf numFmtId="169" fontId="17" fillId="2" borderId="59" xfId="0" applyNumberFormat="1" applyFont="1" applyFill="1" applyBorder="1" applyAlignment="1">
      <alignment horizontal="center" vertical="center"/>
    </xf>
    <xf numFmtId="0" fontId="17" fillId="2" borderId="98" xfId="0" applyFont="1" applyFill="1" applyBorder="1" applyAlignment="1">
      <alignment horizontal="left" vertical="center"/>
    </xf>
    <xf numFmtId="169" fontId="17" fillId="2" borderId="94" xfId="0" applyNumberFormat="1" applyFont="1" applyFill="1" applyBorder="1" applyAlignment="1">
      <alignment horizontal="center" vertical="center" wrapText="1"/>
    </xf>
    <xf numFmtId="169" fontId="17" fillId="2" borderId="94" xfId="0" applyNumberFormat="1" applyFont="1" applyFill="1" applyBorder="1" applyAlignment="1">
      <alignment horizontal="center" vertical="center"/>
    </xf>
    <xf numFmtId="169" fontId="17" fillId="2" borderId="97" xfId="0" applyNumberFormat="1" applyFont="1" applyFill="1" applyBorder="1" applyAlignment="1">
      <alignment horizontal="center" vertical="center"/>
    </xf>
    <xf numFmtId="169" fontId="17" fillId="2" borderId="115" xfId="0" applyNumberFormat="1" applyFont="1" applyFill="1" applyBorder="1" applyAlignment="1">
      <alignment horizontal="center" vertical="center"/>
    </xf>
    <xf numFmtId="169" fontId="17" fillId="2" borderId="92" xfId="0" applyNumberFormat="1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169" fontId="14" fillId="2" borderId="86" xfId="0" applyNumberFormat="1" applyFont="1" applyFill="1" applyBorder="1" applyAlignment="1">
      <alignment horizontal="center" vertical="center"/>
    </xf>
    <xf numFmtId="169" fontId="14" fillId="2" borderId="85" xfId="0" applyNumberFormat="1" applyFont="1" applyFill="1" applyBorder="1" applyAlignment="1">
      <alignment horizontal="center" vertical="center"/>
    </xf>
    <xf numFmtId="167" fontId="17" fillId="2" borderId="86" xfId="0" applyNumberFormat="1" applyFont="1" applyFill="1" applyBorder="1" applyAlignment="1">
      <alignment horizontal="center" vertical="center"/>
    </xf>
    <xf numFmtId="169" fontId="0" fillId="3" borderId="57" xfId="0" applyNumberFormat="1" applyFill="1" applyBorder="1" applyAlignment="1">
      <alignment vertical="center"/>
    </xf>
    <xf numFmtId="169" fontId="26" fillId="2" borderId="115" xfId="0" applyNumberFormat="1" applyFont="1" applyFill="1" applyBorder="1" applyAlignment="1">
      <alignment horizontal="center" vertical="center"/>
    </xf>
    <xf numFmtId="169" fontId="26" fillId="2" borderId="86" xfId="0" applyNumberFormat="1" applyFont="1" applyFill="1" applyBorder="1" applyAlignment="1">
      <alignment horizontal="center" vertical="center"/>
    </xf>
    <xf numFmtId="169" fontId="14" fillId="2" borderId="116" xfId="0" applyNumberFormat="1" applyFont="1" applyFill="1" applyBorder="1" applyAlignment="1">
      <alignment horizontal="center" vertical="center"/>
    </xf>
    <xf numFmtId="169" fontId="26" fillId="2" borderId="113" xfId="0" applyNumberFormat="1" applyFont="1" applyFill="1" applyBorder="1" applyAlignment="1">
      <alignment horizontal="center" vertical="center"/>
    </xf>
    <xf numFmtId="10" fontId="23" fillId="2" borderId="84" xfId="1" applyNumberFormat="1" applyFont="1" applyFill="1" applyBorder="1" applyAlignment="1">
      <alignment horizontal="center" vertical="center"/>
    </xf>
    <xf numFmtId="10" fontId="23" fillId="2" borderId="85" xfId="1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 wrapText="1"/>
    </xf>
    <xf numFmtId="10" fontId="0" fillId="3" borderId="57" xfId="1" applyNumberFormat="1" applyFont="1" applyFill="1" applyBorder="1" applyAlignment="1">
      <alignment vertical="center"/>
    </xf>
    <xf numFmtId="169" fontId="17" fillId="2" borderId="117" xfId="0" applyNumberFormat="1" applyFont="1" applyFill="1" applyBorder="1" applyAlignment="1">
      <alignment horizontal="center" vertical="center"/>
    </xf>
    <xf numFmtId="169" fontId="14" fillId="2" borderId="118" xfId="0" applyNumberFormat="1" applyFont="1" applyFill="1" applyBorder="1" applyAlignment="1">
      <alignment horizontal="center" vertical="center"/>
    </xf>
    <xf numFmtId="168" fontId="14" fillId="2" borderId="119" xfId="0" applyNumberFormat="1" applyFont="1" applyFill="1" applyBorder="1" applyAlignment="1">
      <alignment horizontal="center" vertical="center"/>
    </xf>
    <xf numFmtId="10" fontId="29" fillId="4" borderId="11" xfId="0" applyNumberFormat="1" applyFont="1" applyFill="1" applyBorder="1" applyAlignment="1">
      <alignment horizontal="center" vertical="center"/>
    </xf>
    <xf numFmtId="0" fontId="30" fillId="3" borderId="0" xfId="0" applyFont="1" applyFill="1" applyAlignment="1">
      <alignment horizontal="left" vertical="center"/>
    </xf>
    <xf numFmtId="0" fontId="14" fillId="2" borderId="120" xfId="0" applyFont="1" applyFill="1" applyBorder="1" applyAlignment="1">
      <alignment horizontal="center" vertical="center"/>
    </xf>
    <xf numFmtId="169" fontId="19" fillId="2" borderId="3" xfId="0" applyNumberFormat="1" applyFont="1" applyFill="1" applyBorder="1" applyAlignment="1">
      <alignment horizontal="center" vertical="center"/>
    </xf>
    <xf numFmtId="167" fontId="19" fillId="2" borderId="3" xfId="1" applyNumberFormat="1" applyFont="1" applyFill="1" applyBorder="1" applyAlignment="1">
      <alignment horizontal="center" vertical="center"/>
    </xf>
    <xf numFmtId="169" fontId="14" fillId="2" borderId="13" xfId="0" applyNumberFormat="1" applyFont="1" applyFill="1" applyBorder="1" applyAlignment="1">
      <alignment horizontal="center" vertical="center"/>
    </xf>
    <xf numFmtId="169" fontId="19" fillId="2" borderId="13" xfId="0" applyNumberFormat="1" applyFont="1" applyFill="1" applyBorder="1" applyAlignment="1">
      <alignment horizontal="center" vertical="center"/>
    </xf>
    <xf numFmtId="169" fontId="17" fillId="2" borderId="13" xfId="0" applyNumberFormat="1" applyFont="1" applyFill="1" applyBorder="1" applyAlignment="1">
      <alignment horizontal="center" vertical="center"/>
    </xf>
    <xf numFmtId="169" fontId="19" fillId="2" borderId="16" xfId="0" applyNumberFormat="1" applyFont="1" applyFill="1" applyBorder="1" applyAlignment="1">
      <alignment horizontal="center" vertical="center"/>
    </xf>
    <xf numFmtId="169" fontId="17" fillId="2" borderId="106" xfId="0" applyNumberFormat="1" applyFont="1" applyFill="1" applyBorder="1" applyAlignment="1">
      <alignment horizontal="center" vertical="center"/>
    </xf>
    <xf numFmtId="0" fontId="14" fillId="2" borderId="121" xfId="0" applyFont="1" applyFill="1" applyBorder="1" applyAlignment="1">
      <alignment horizontal="center" vertical="center"/>
    </xf>
    <xf numFmtId="167" fontId="19" fillId="2" borderId="16" xfId="1" applyNumberFormat="1" applyFont="1" applyFill="1" applyBorder="1" applyAlignment="1">
      <alignment horizontal="center" vertical="center"/>
    </xf>
    <xf numFmtId="176" fontId="0" fillId="3" borderId="0" xfId="3" applyNumberFormat="1" applyFont="1" applyFill="1" applyAlignment="1">
      <alignment vertical="center"/>
    </xf>
    <xf numFmtId="9" fontId="0" fillId="3" borderId="0" xfId="1" applyFont="1" applyFill="1" applyAlignment="1">
      <alignment horizontal="left" vertical="center"/>
    </xf>
    <xf numFmtId="0" fontId="13" fillId="2" borderId="122" xfId="0" applyFont="1" applyFill="1" applyBorder="1" applyAlignment="1">
      <alignment horizontal="left" vertical="center" indent="2"/>
    </xf>
    <xf numFmtId="3" fontId="17" fillId="0" borderId="11" xfId="0" applyNumberFormat="1" applyFont="1" applyBorder="1" applyAlignment="1">
      <alignment horizontal="center" vertical="center"/>
    </xf>
    <xf numFmtId="10" fontId="23" fillId="0" borderId="11" xfId="1" applyNumberFormat="1" applyFont="1" applyFill="1" applyBorder="1" applyAlignment="1">
      <alignment horizontal="center" vertical="center"/>
    </xf>
    <xf numFmtId="3" fontId="17" fillId="0" borderId="78" xfId="0" applyNumberFormat="1" applyFont="1" applyBorder="1" applyAlignment="1">
      <alignment horizontal="center" vertical="center"/>
    </xf>
    <xf numFmtId="0" fontId="31" fillId="3" borderId="0" xfId="0" applyFont="1" applyFill="1" applyAlignment="1">
      <alignment vertical="center"/>
    </xf>
    <xf numFmtId="10" fontId="13" fillId="2" borderId="0" xfId="0" applyNumberFormat="1" applyFont="1" applyFill="1" applyAlignment="1">
      <alignment vertical="center"/>
    </xf>
    <xf numFmtId="10" fontId="13" fillId="2" borderId="123" xfId="0" applyNumberFormat="1" applyFont="1" applyFill="1" applyBorder="1" applyAlignment="1">
      <alignment vertical="center"/>
    </xf>
    <xf numFmtId="9" fontId="17" fillId="2" borderId="10" xfId="1" applyFont="1" applyFill="1" applyBorder="1" applyAlignment="1">
      <alignment horizontal="center" vertical="center"/>
    </xf>
    <xf numFmtId="169" fontId="17" fillId="2" borderId="26" xfId="0" applyNumberFormat="1" applyFont="1" applyFill="1" applyBorder="1" applyAlignment="1">
      <alignment horizontal="center" vertical="center"/>
    </xf>
    <xf numFmtId="10" fontId="2" fillId="2" borderId="7" xfId="0" applyNumberFormat="1" applyFont="1" applyFill="1" applyBorder="1" applyAlignment="1">
      <alignment horizontal="center" vertical="top"/>
    </xf>
    <xf numFmtId="10" fontId="2" fillId="2" borderId="8" xfId="0" applyNumberFormat="1" applyFont="1" applyFill="1" applyBorder="1" applyAlignment="1">
      <alignment horizontal="center" vertical="top"/>
    </xf>
    <xf numFmtId="0" fontId="2" fillId="2" borderId="0" xfId="0" applyFont="1" applyFill="1" applyAlignment="1">
      <alignment horizontal="right" vertical="center" textRotation="90"/>
    </xf>
    <xf numFmtId="0" fontId="10" fillId="3" borderId="0" xfId="0" applyFont="1" applyFill="1" applyAlignment="1">
      <alignment horizontal="center" vertical="center" shrinkToFit="1"/>
    </xf>
    <xf numFmtId="0" fontId="10" fillId="3" borderId="2" xfId="0" applyFont="1" applyFill="1" applyBorder="1" applyAlignment="1">
      <alignment horizontal="center" vertical="center" shrinkToFit="1"/>
    </xf>
    <xf numFmtId="0" fontId="10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</cellXfs>
  <cellStyles count="6">
    <cellStyle name="Moeda" xfId="3" builtinId="4"/>
    <cellStyle name="Moeda 2" xfId="4" xr:uid="{00000000-0005-0000-0000-000001000000}"/>
    <cellStyle name="Normal" xfId="0" builtinId="0"/>
    <cellStyle name="Normal 2" xfId="2" xr:uid="{00000000-0005-0000-0000-000003000000}"/>
    <cellStyle name="Porcentagem" xfId="1" builtinId="5"/>
    <cellStyle name="Vírgula 2" xfId="5" xr:uid="{00000000-0005-0000-0000-000005000000}"/>
  </cellStyles>
  <dxfs count="137"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7" formatCode="\-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8" formatCode="&quot;-&quot;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numFmt numFmtId="177" formatCode="\-"/>
    </dxf>
    <dxf>
      <font>
        <color rgb="FF00C556"/>
      </font>
    </dxf>
    <dxf>
      <font>
        <color rgb="FFFF5757"/>
      </font>
    </dxf>
    <dxf>
      <font>
        <color rgb="FF00C556"/>
      </font>
    </dxf>
    <dxf>
      <font>
        <color rgb="FFFF5757"/>
      </font>
    </dxf>
  </dxfs>
  <tableStyles count="0" defaultTableStyle="TableStyleMedium2" defaultPivotStyle="PivotStyleLight16"/>
  <colors>
    <mruColors>
      <color rgb="FFF9FAFB"/>
      <color rgb="FF59BF59"/>
      <color rgb="FFCEF6CE"/>
      <color rgb="FFD9FBE2"/>
      <color rgb="FF00C556"/>
      <color rgb="FFFF5757"/>
      <color rgb="FFFD8A77"/>
      <color rgb="FFE5E7EB"/>
      <color rgb="FFA5A5A5"/>
      <color rgb="FF0741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257174</xdr:rowOff>
    </xdr:from>
    <xdr:to>
      <xdr:col>19</xdr:col>
      <xdr:colOff>0</xdr:colOff>
      <xdr:row>7</xdr:row>
      <xdr:rowOff>342900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29125" y="1400174"/>
          <a:ext cx="13073063" cy="395289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607218</xdr:colOff>
      <xdr:row>7</xdr:row>
      <xdr:rowOff>1359</xdr:rowOff>
    </xdr:from>
    <xdr:to>
      <xdr:col>44</xdr:col>
      <xdr:colOff>11905</xdr:colOff>
      <xdr:row>8</xdr:row>
      <xdr:rowOff>19049</xdr:rowOff>
    </xdr:to>
    <xdr:sp macro="" textlink="">
      <xdr:nvSpPr>
        <xdr:cNvPr id="10" name="Retângulo: Cantos Superiores Arredondados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429124" y="1453922"/>
          <a:ext cx="26836687" cy="398690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itchFamily="50" charset="0"/>
              <a:cs typeface="SF Pro Display" pitchFamily="50" charset="0"/>
            </a:rPr>
            <a:t>WACC</a:t>
          </a:r>
        </a:p>
      </xdr:txBody>
    </xdr:sp>
    <xdr:clientData/>
  </xdr:twoCellAnchor>
  <xdr:oneCellAnchor>
    <xdr:from>
      <xdr:col>0</xdr:col>
      <xdr:colOff>1019175</xdr:colOff>
      <xdr:row>0</xdr:row>
      <xdr:rowOff>95250</xdr:rowOff>
    </xdr:from>
    <xdr:ext cx="488757" cy="825831"/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95250"/>
          <a:ext cx="488757" cy="82583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6</xdr:row>
      <xdr:rowOff>284387</xdr:rowOff>
    </xdr:from>
    <xdr:to>
      <xdr:col>52</xdr:col>
      <xdr:colOff>979714</xdr:colOff>
      <xdr:row>7</xdr:row>
      <xdr:rowOff>370113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539344" y="1068158"/>
          <a:ext cx="47265770" cy="401412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DRE</a:t>
          </a:r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rPr>
            <a:t> </a:t>
          </a:r>
        </a:p>
      </xdr:txBody>
    </xdr:sp>
    <xdr:clientData/>
  </xdr:twoCellAnchor>
  <xdr:twoCellAnchor>
    <xdr:from>
      <xdr:col>4</xdr:col>
      <xdr:colOff>8161</xdr:colOff>
      <xdr:row>39</xdr:row>
      <xdr:rowOff>371475</xdr:rowOff>
    </xdr:from>
    <xdr:to>
      <xdr:col>55</xdr:col>
      <xdr:colOff>598713</xdr:colOff>
      <xdr:row>41</xdr:row>
      <xdr:rowOff>9526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4547504" y="11757932"/>
          <a:ext cx="49696009" cy="40005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DCF</a:t>
          </a:r>
        </a:p>
      </xdr:txBody>
    </xdr:sp>
    <xdr:clientData/>
  </xdr:twoCellAnchor>
  <xdr:oneCellAnchor>
    <xdr:from>
      <xdr:col>0</xdr:col>
      <xdr:colOff>990600</xdr:colOff>
      <xdr:row>0</xdr:row>
      <xdr:rowOff>133350</xdr:rowOff>
    </xdr:from>
    <xdr:ext cx="488757" cy="825831"/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133350"/>
          <a:ext cx="488757" cy="82583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595313</xdr:colOff>
      <xdr:row>6</xdr:row>
      <xdr:rowOff>345281</xdr:rowOff>
    </xdr:from>
    <xdr:to>
      <xdr:col>15</xdr:col>
      <xdr:colOff>11906</xdr:colOff>
      <xdr:row>8</xdr:row>
      <xdr:rowOff>42738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417219" y="1488281"/>
          <a:ext cx="18228468" cy="459457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Despesas Operacionais</a:t>
          </a:r>
        </a:p>
      </xdr:txBody>
    </xdr:sp>
    <xdr:clientData/>
  </xdr:twoCellAnchor>
  <xdr:twoCellAnchor>
    <xdr:from>
      <xdr:col>3</xdr:col>
      <xdr:colOff>595312</xdr:colOff>
      <xdr:row>43</xdr:row>
      <xdr:rowOff>314324</xdr:rowOff>
    </xdr:from>
    <xdr:to>
      <xdr:col>15</xdr:col>
      <xdr:colOff>0</xdr:colOff>
      <xdr:row>45</xdr:row>
      <xdr:rowOff>19050</xdr:rowOff>
    </xdr:to>
    <xdr:sp macro="" textlink="">
      <xdr:nvSpPr>
        <xdr:cNvPr id="4" name="Retângulo: Cantos Superiores Arredondados 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417218" y="15173324"/>
          <a:ext cx="18216563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EBIT</a:t>
          </a:r>
        </a:p>
      </xdr:txBody>
    </xdr:sp>
    <xdr:clientData/>
  </xdr:twoCellAnchor>
  <xdr:twoCellAnchor>
    <xdr:from>
      <xdr:col>3</xdr:col>
      <xdr:colOff>607218</xdr:colOff>
      <xdr:row>55</xdr:row>
      <xdr:rowOff>333374</xdr:rowOff>
    </xdr:from>
    <xdr:to>
      <xdr:col>15</xdr:col>
      <xdr:colOff>0</xdr:colOff>
      <xdr:row>57</xdr:row>
      <xdr:rowOff>23811</xdr:rowOff>
    </xdr:to>
    <xdr:sp macro="" textlink="">
      <xdr:nvSpPr>
        <xdr:cNvPr id="5" name="Retângulo: Cantos Superiores Arredondados 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429124" y="19764374"/>
          <a:ext cx="18192751" cy="452437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Receitas Financeiras</a:t>
          </a:r>
        </a:p>
      </xdr:txBody>
    </xdr:sp>
    <xdr:clientData/>
  </xdr:twoCellAnchor>
  <xdr:twoCellAnchor>
    <xdr:from>
      <xdr:col>3</xdr:col>
      <xdr:colOff>607218</xdr:colOff>
      <xdr:row>67</xdr:row>
      <xdr:rowOff>333374</xdr:rowOff>
    </xdr:from>
    <xdr:to>
      <xdr:col>15</xdr:col>
      <xdr:colOff>0</xdr:colOff>
      <xdr:row>69</xdr:row>
      <xdr:rowOff>23811</xdr:rowOff>
    </xdr:to>
    <xdr:sp macro="" textlink="">
      <xdr:nvSpPr>
        <xdr:cNvPr id="6" name="Retângulo: Cantos Superiores Arredondados 7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4429124" y="24336374"/>
          <a:ext cx="18204657" cy="452437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Despesas Financeiras</a:t>
          </a:r>
        </a:p>
      </xdr:txBody>
    </xdr:sp>
    <xdr:clientData/>
  </xdr:twoCellAnchor>
  <xdr:twoCellAnchor>
    <xdr:from>
      <xdr:col>3</xdr:col>
      <xdr:colOff>607217</xdr:colOff>
      <xdr:row>80</xdr:row>
      <xdr:rowOff>302416</xdr:rowOff>
    </xdr:from>
    <xdr:to>
      <xdr:col>15</xdr:col>
      <xdr:colOff>23813</xdr:colOff>
      <xdr:row>82</xdr:row>
      <xdr:rowOff>7142</xdr:rowOff>
    </xdr:to>
    <xdr:sp macro="" textlink="">
      <xdr:nvSpPr>
        <xdr:cNvPr id="7" name="Retângulo: Cantos Superiores Arredondados 8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4429123" y="29258416"/>
          <a:ext cx="18228471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Lucro antes do IR</a:t>
          </a:r>
        </a:p>
      </xdr:txBody>
    </xdr:sp>
    <xdr:clientData/>
  </xdr:twoCellAnchor>
  <xdr:twoCellAnchor>
    <xdr:from>
      <xdr:col>3</xdr:col>
      <xdr:colOff>607218</xdr:colOff>
      <xdr:row>89</xdr:row>
      <xdr:rowOff>302418</xdr:rowOff>
    </xdr:from>
    <xdr:to>
      <xdr:col>15</xdr:col>
      <xdr:colOff>0</xdr:colOff>
      <xdr:row>91</xdr:row>
      <xdr:rowOff>7144</xdr:rowOff>
    </xdr:to>
    <xdr:sp macro="" textlink="">
      <xdr:nvSpPr>
        <xdr:cNvPr id="8" name="Retângulo: Cantos Superiores Arredondados 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4429124" y="32687418"/>
          <a:ext cx="18204657" cy="46672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Imposto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Renda (R$ Mil)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0</xdr:colOff>
      <xdr:row>137</xdr:row>
      <xdr:rowOff>0</xdr:rowOff>
    </xdr:from>
    <xdr:to>
      <xdr:col>13</xdr:col>
      <xdr:colOff>0</xdr:colOff>
      <xdr:row>137</xdr:row>
      <xdr:rowOff>0</xdr:rowOff>
    </xdr:to>
    <xdr:grpSp>
      <xdr:nvGrpSpPr>
        <xdr:cNvPr id="9" name="Agrupar 10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pSpPr/>
      </xdr:nvGrpSpPr>
      <xdr:grpSpPr>
        <a:xfrm>
          <a:off x="4426324" y="51054000"/>
          <a:ext cx="13816852" cy="0"/>
          <a:chOff x="5048250" y="5231131"/>
          <a:chExt cx="9258300" cy="179069"/>
        </a:xfrm>
      </xdr:grpSpPr>
      <xdr:sp macro="" textlink="">
        <xdr:nvSpPr>
          <xdr:cNvPr id="10" name="Retângulo: Cantos Superiores Arredondados 11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 rot="10800000">
            <a:off x="5048250" y="5276847"/>
            <a:ext cx="9258300" cy="133353"/>
          </a:xfrm>
          <a:prstGeom prst="round2SameRect">
            <a:avLst/>
          </a:prstGeom>
          <a:solidFill>
            <a:schemeClr val="bg1"/>
          </a:solidFill>
          <a:ln w="19050">
            <a:solidFill>
              <a:srgbClr val="E5E7EB"/>
            </a:solidFill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 b="0">
              <a:solidFill>
                <a:schemeClr val="tx1">
                  <a:lumMod val="75000"/>
                  <a:lumOff val="25000"/>
                </a:schemeClr>
              </a:solidFill>
              <a:latin typeface="SF Pro Display" panose="00000500000000000000" pitchFamily="2" charset="0"/>
              <a:ea typeface="SF Pro Display" panose="00000500000000000000" pitchFamily="2" charset="0"/>
            </a:endParaRPr>
          </a:p>
        </xdr:txBody>
      </xdr:sp>
      <xdr:sp macro="" textlink="">
        <xdr:nvSpPr>
          <xdr:cNvPr id="11" name="Retângulo 12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5060018" y="5231131"/>
            <a:ext cx="9225163" cy="62285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oneCellAnchor>
    <xdr:from>
      <xdr:col>0</xdr:col>
      <xdr:colOff>1038225</xdr:colOff>
      <xdr:row>0</xdr:row>
      <xdr:rowOff>123825</xdr:rowOff>
    </xdr:from>
    <xdr:ext cx="488757" cy="825831"/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123825"/>
          <a:ext cx="488757" cy="82583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607218</xdr:colOff>
      <xdr:row>6</xdr:row>
      <xdr:rowOff>182336</xdr:rowOff>
    </xdr:from>
    <xdr:to>
      <xdr:col>15</xdr:col>
      <xdr:colOff>-1</xdr:colOff>
      <xdr:row>7</xdr:row>
      <xdr:rowOff>369094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4429124" y="1325336"/>
          <a:ext cx="13215938" cy="49632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Balanço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Patrimonial</a:t>
          </a:r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</a:t>
          </a:r>
        </a:p>
      </xdr:txBody>
    </xdr:sp>
    <xdr:clientData/>
  </xdr:twoCellAnchor>
  <xdr:oneCellAnchor>
    <xdr:from>
      <xdr:col>0</xdr:col>
      <xdr:colOff>1019175</xdr:colOff>
      <xdr:row>0</xdr:row>
      <xdr:rowOff>142875</xdr:rowOff>
    </xdr:from>
    <xdr:ext cx="488757" cy="825831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142875"/>
          <a:ext cx="488757" cy="82583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2380</xdr:colOff>
      <xdr:row>6</xdr:row>
      <xdr:rowOff>264319</xdr:rowOff>
    </xdr:from>
    <xdr:to>
      <xdr:col>15</xdr:col>
      <xdr:colOff>11906</xdr:colOff>
      <xdr:row>8</xdr:row>
      <xdr:rowOff>23474</xdr:rowOff>
    </xdr:to>
    <xdr:sp macro="" textlink="">
      <xdr:nvSpPr>
        <xdr:cNvPr id="6" name="Retângulo: Cantos Superiores Arredondados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4431505" y="1407319"/>
          <a:ext cx="11153776" cy="44971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Liquidez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2380</xdr:colOff>
      <xdr:row>14</xdr:row>
      <xdr:rowOff>348344</xdr:rowOff>
    </xdr:from>
    <xdr:to>
      <xdr:col>15</xdr:col>
      <xdr:colOff>11906</xdr:colOff>
      <xdr:row>16</xdr:row>
      <xdr:rowOff>42185</xdr:rowOff>
    </xdr:to>
    <xdr:sp macro="" textlink="">
      <xdr:nvSpPr>
        <xdr:cNvPr id="20" name="Retângulo: Cantos Superiores Arredondados 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4431505" y="4467907"/>
          <a:ext cx="11153776" cy="45584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Rentabilidade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3400</xdr:colOff>
      <xdr:row>21</xdr:row>
      <xdr:rowOff>375217</xdr:rowOff>
    </xdr:from>
    <xdr:to>
      <xdr:col>15</xdr:col>
      <xdr:colOff>23812</xdr:colOff>
      <xdr:row>23</xdr:row>
      <xdr:rowOff>69058</xdr:rowOff>
    </xdr:to>
    <xdr:sp macro="" textlink="">
      <xdr:nvSpPr>
        <xdr:cNvPr id="24" name="Retângulo: Cantos Superiores Arredondados 2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4432525" y="7161780"/>
          <a:ext cx="11164662" cy="45584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Endividamento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3741</xdr:colOff>
      <xdr:row>30</xdr:row>
      <xdr:rowOff>315686</xdr:rowOff>
    </xdr:from>
    <xdr:to>
      <xdr:col>15</xdr:col>
      <xdr:colOff>35719</xdr:colOff>
      <xdr:row>32</xdr:row>
      <xdr:rowOff>9527</xdr:rowOff>
    </xdr:to>
    <xdr:sp macro="" textlink="">
      <xdr:nvSpPr>
        <xdr:cNvPr id="25" name="Retângulo: Cantos Superiores Arredondados 2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4432866" y="10531249"/>
          <a:ext cx="11176228" cy="45584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Capital de Giro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3</xdr:col>
      <xdr:colOff>606877</xdr:colOff>
      <xdr:row>38</xdr:row>
      <xdr:rowOff>345622</xdr:rowOff>
    </xdr:from>
    <xdr:to>
      <xdr:col>15</xdr:col>
      <xdr:colOff>11905</xdr:colOff>
      <xdr:row>40</xdr:row>
      <xdr:rowOff>43543</xdr:rowOff>
    </xdr:to>
    <xdr:sp macro="" textlink="">
      <xdr:nvSpPr>
        <xdr:cNvPr id="29" name="Retângulo: Cantos Superiores Arredondados 2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4428783" y="13609185"/>
          <a:ext cx="11156497" cy="45992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Índices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Dividendos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oneCellAnchor>
    <xdr:from>
      <xdr:col>0</xdr:col>
      <xdr:colOff>1019175</xdr:colOff>
      <xdr:row>0</xdr:row>
      <xdr:rowOff>114300</xdr:rowOff>
    </xdr:from>
    <xdr:ext cx="488757" cy="825831"/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114300"/>
          <a:ext cx="488757" cy="82583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2382</xdr:colOff>
      <xdr:row>7</xdr:row>
      <xdr:rowOff>309561</xdr:rowOff>
    </xdr:from>
    <xdr:to>
      <xdr:col>9</xdr:col>
      <xdr:colOff>2859</xdr:colOff>
      <xdr:row>8</xdr:row>
      <xdr:rowOff>371474</xdr:rowOff>
    </xdr:to>
    <xdr:sp macro="" textlink="">
      <xdr:nvSpPr>
        <xdr:cNvPr id="4" name="Retângulo: Cantos Superiores Arredondados 6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4431507" y="1904999"/>
          <a:ext cx="9204008" cy="442913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Valor dos Processos ao fim do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4º Tri 2022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9527</xdr:colOff>
      <xdr:row>16</xdr:row>
      <xdr:rowOff>238123</xdr:rowOff>
    </xdr:from>
    <xdr:to>
      <xdr:col>8</xdr:col>
      <xdr:colOff>1581150</xdr:colOff>
      <xdr:row>17</xdr:row>
      <xdr:rowOff>371474</xdr:rowOff>
    </xdr:to>
    <xdr:sp macro="" textlink="">
      <xdr:nvSpPr>
        <xdr:cNvPr id="5" name="Retângulo: Cantos Superiores Arredondados 7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4438652" y="5262561"/>
          <a:ext cx="9191623" cy="51435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Processos Relevantes (FRE)</a:t>
          </a:r>
        </a:p>
      </xdr:txBody>
    </xdr:sp>
    <xdr:clientData/>
  </xdr:twoCellAnchor>
  <xdr:oneCellAnchor>
    <xdr:from>
      <xdr:col>0</xdr:col>
      <xdr:colOff>990600</xdr:colOff>
      <xdr:row>1</xdr:row>
      <xdr:rowOff>9525</xdr:rowOff>
    </xdr:from>
    <xdr:ext cx="488757" cy="825831"/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200025"/>
          <a:ext cx="488757" cy="82583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3741</xdr:colOff>
      <xdr:row>7</xdr:row>
      <xdr:rowOff>21771</xdr:rowOff>
    </xdr:from>
    <xdr:to>
      <xdr:col>57</xdr:col>
      <xdr:colOff>32657</xdr:colOff>
      <xdr:row>8</xdr:row>
      <xdr:rowOff>42183</xdr:rowOff>
    </xdr:to>
    <xdr:sp macro="" textlink="">
      <xdr:nvSpPr>
        <xdr:cNvPr id="27" name="Retângulo: Cantos Superiores Arredondados 2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4432866" y="1474334"/>
          <a:ext cx="59762572" cy="401412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Número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Lojas</a:t>
          </a:r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</a:t>
          </a:r>
        </a:p>
      </xdr:txBody>
    </xdr:sp>
    <xdr:clientData/>
  </xdr:twoCellAnchor>
  <xdr:twoCellAnchor>
    <xdr:from>
      <xdr:col>4</xdr:col>
      <xdr:colOff>0</xdr:colOff>
      <xdr:row>18</xdr:row>
      <xdr:rowOff>250371</xdr:rowOff>
    </xdr:from>
    <xdr:to>
      <xdr:col>57</xdr:col>
      <xdr:colOff>0</xdr:colOff>
      <xdr:row>20</xdr:row>
      <xdr:rowOff>9526</xdr:rowOff>
    </xdr:to>
    <xdr:sp macro="" textlink="">
      <xdr:nvSpPr>
        <xdr:cNvPr id="28" name="Retângulo: Cantos Superiores Arredondados 2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4429125" y="5893934"/>
          <a:ext cx="60555188" cy="52115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Receita Líquida</a:t>
          </a:r>
        </a:p>
      </xdr:txBody>
    </xdr:sp>
    <xdr:clientData/>
  </xdr:twoCellAnchor>
  <xdr:twoCellAnchor>
    <xdr:from>
      <xdr:col>4</xdr:col>
      <xdr:colOff>10886</xdr:colOff>
      <xdr:row>28</xdr:row>
      <xdr:rowOff>239486</xdr:rowOff>
    </xdr:from>
    <xdr:to>
      <xdr:col>56</xdr:col>
      <xdr:colOff>10885</xdr:colOff>
      <xdr:row>29</xdr:row>
      <xdr:rowOff>379641</xdr:rowOff>
    </xdr:to>
    <xdr:sp macro="" textlink="">
      <xdr:nvSpPr>
        <xdr:cNvPr id="32" name="Retângulo: Cantos Superiores Arredondados 2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/>
      </xdr:nvSpPr>
      <xdr:spPr>
        <a:xfrm>
          <a:off x="4550229" y="10395857"/>
          <a:ext cx="57596313" cy="52115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Demografia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Brasileira - Fonte: IBGE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0</xdr:colOff>
      <xdr:row>40</xdr:row>
      <xdr:rowOff>239486</xdr:rowOff>
    </xdr:from>
    <xdr:to>
      <xdr:col>55</xdr:col>
      <xdr:colOff>5671456</xdr:colOff>
      <xdr:row>41</xdr:row>
      <xdr:rowOff>379641</xdr:rowOff>
    </xdr:to>
    <xdr:sp macro="" textlink="">
      <xdr:nvSpPr>
        <xdr:cNvPr id="33" name="Retângulo: Cantos Superiores Arredondados 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/>
      </xdr:nvSpPr>
      <xdr:spPr>
        <a:xfrm>
          <a:off x="4539343" y="14967857"/>
          <a:ext cx="57596313" cy="52115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Número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Pessoas por Faixa Etária x Maturação do Consumidor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3</xdr:col>
      <xdr:colOff>620485</xdr:colOff>
      <xdr:row>52</xdr:row>
      <xdr:rowOff>283028</xdr:rowOff>
    </xdr:from>
    <xdr:to>
      <xdr:col>57</xdr:col>
      <xdr:colOff>0</xdr:colOff>
      <xdr:row>54</xdr:row>
      <xdr:rowOff>42183</xdr:rowOff>
    </xdr:to>
    <xdr:sp macro="" textlink="">
      <xdr:nvSpPr>
        <xdr:cNvPr id="34" name="Retângulo: Cantos Superiores Arredondados 2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/>
      </xdr:nvSpPr>
      <xdr:spPr>
        <a:xfrm>
          <a:off x="4539342" y="20040599"/>
          <a:ext cx="59533972" cy="52115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	Vendas Líquidas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por pessoa menor de 20 anos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3</xdr:col>
      <xdr:colOff>598714</xdr:colOff>
      <xdr:row>61</xdr:row>
      <xdr:rowOff>261258</xdr:rowOff>
    </xdr:from>
    <xdr:to>
      <xdr:col>56</xdr:col>
      <xdr:colOff>10886</xdr:colOff>
      <xdr:row>63</xdr:row>
      <xdr:rowOff>20413</xdr:rowOff>
    </xdr:to>
    <xdr:sp macro="" textlink="">
      <xdr:nvSpPr>
        <xdr:cNvPr id="35" name="Retângulo: Cantos Superiores Arredondados 2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>
          <a:off x="4517571" y="24024772"/>
          <a:ext cx="57705172" cy="52115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Efeito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da Subvenção de Investimentos na Receita Líquida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1120</xdr:colOff>
      <xdr:row>67</xdr:row>
      <xdr:rowOff>130969</xdr:rowOff>
    </xdr:from>
    <xdr:to>
      <xdr:col>6</xdr:col>
      <xdr:colOff>0</xdr:colOff>
      <xdr:row>69</xdr:row>
      <xdr:rowOff>3922</xdr:rowOff>
    </xdr:to>
    <xdr:sp macro="" textlink="">
      <xdr:nvSpPr>
        <xdr:cNvPr id="36" name="Retângulo: Cantos Superiores Arredondados 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/>
      </xdr:nvSpPr>
      <xdr:spPr>
        <a:xfrm>
          <a:off x="4430245" y="24479250"/>
          <a:ext cx="5701974" cy="634953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Curva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de Maturação dos Consumidores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6</xdr:col>
      <xdr:colOff>881062</xdr:colOff>
      <xdr:row>67</xdr:row>
      <xdr:rowOff>130969</xdr:rowOff>
    </xdr:from>
    <xdr:to>
      <xdr:col>9</xdr:col>
      <xdr:colOff>0</xdr:colOff>
      <xdr:row>69</xdr:row>
      <xdr:rowOff>19050</xdr:rowOff>
    </xdr:to>
    <xdr:sp macro="" textlink="">
      <xdr:nvSpPr>
        <xdr:cNvPr id="37" name="Retângulo: Cantos Superiores Arredondados 2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/>
      </xdr:nvSpPr>
      <xdr:spPr>
        <a:xfrm>
          <a:off x="11013281" y="24514969"/>
          <a:ext cx="1750219" cy="650081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Curva de Maturação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das Lojas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oneCellAnchor>
    <xdr:from>
      <xdr:col>0</xdr:col>
      <xdr:colOff>895350</xdr:colOff>
      <xdr:row>0</xdr:row>
      <xdr:rowOff>171450</xdr:rowOff>
    </xdr:from>
    <xdr:ext cx="488757" cy="825831"/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171450"/>
          <a:ext cx="488757" cy="82583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2379</xdr:colOff>
      <xdr:row>6</xdr:row>
      <xdr:rowOff>252414</xdr:rowOff>
    </xdr:from>
    <xdr:to>
      <xdr:col>26</xdr:col>
      <xdr:colOff>2024061</xdr:colOff>
      <xdr:row>8</xdr:row>
      <xdr:rowOff>11569</xdr:rowOff>
    </xdr:to>
    <xdr:sp macro="" textlink="">
      <xdr:nvSpPr>
        <xdr:cNvPr id="31" name="Retângulo: Cantos Superiores Arredondados 2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/>
      </xdr:nvSpPr>
      <xdr:spPr>
        <a:xfrm>
          <a:off x="4431504" y="1395414"/>
          <a:ext cx="31965901" cy="44971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CAPEX</a:t>
          </a:r>
        </a:p>
      </xdr:txBody>
    </xdr:sp>
    <xdr:clientData/>
  </xdr:twoCellAnchor>
  <xdr:twoCellAnchor>
    <xdr:from>
      <xdr:col>4</xdr:col>
      <xdr:colOff>3742</xdr:colOff>
      <xdr:row>16</xdr:row>
      <xdr:rowOff>250372</xdr:rowOff>
    </xdr:from>
    <xdr:to>
      <xdr:col>27</xdr:col>
      <xdr:colOff>0</xdr:colOff>
      <xdr:row>18</xdr:row>
      <xdr:rowOff>9527</xdr:rowOff>
    </xdr:to>
    <xdr:sp macro="" textlink="">
      <xdr:nvSpPr>
        <xdr:cNvPr id="32" name="Retângulo: Cantos Superiores Arredondados 2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/>
      </xdr:nvSpPr>
      <xdr:spPr>
        <a:xfrm>
          <a:off x="4432867" y="5131935"/>
          <a:ext cx="35572133" cy="52115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CAPEX por Loja</a:t>
          </a:r>
        </a:p>
      </xdr:txBody>
    </xdr:sp>
    <xdr:clientData/>
  </xdr:twoCellAnchor>
  <xdr:twoCellAnchor>
    <xdr:from>
      <xdr:col>4</xdr:col>
      <xdr:colOff>1118</xdr:colOff>
      <xdr:row>22</xdr:row>
      <xdr:rowOff>345282</xdr:rowOff>
    </xdr:from>
    <xdr:to>
      <xdr:col>26</xdr:col>
      <xdr:colOff>11905</xdr:colOff>
      <xdr:row>24</xdr:row>
      <xdr:rowOff>12888</xdr:rowOff>
    </xdr:to>
    <xdr:sp macro="" textlink="">
      <xdr:nvSpPr>
        <xdr:cNvPr id="11" name="Retângulo: Cantos Superiores Arredondados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4430243" y="7858126"/>
          <a:ext cx="33538787" cy="429606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Inflação</a:t>
          </a:r>
        </a:p>
        <a:p>
          <a:pPr algn="ctr"/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SF Pro Display" panose="00000500000000000000" pitchFamily="2" charset="0"/>
            <a:ea typeface="SF Pro Display" panose="00000500000000000000" pitchFamily="2" charset="0"/>
          </a:endParaRPr>
        </a:p>
      </xdr:txBody>
    </xdr:sp>
    <xdr:clientData/>
  </xdr:twoCellAnchor>
  <xdr:oneCellAnchor>
    <xdr:from>
      <xdr:col>0</xdr:col>
      <xdr:colOff>1009650</xdr:colOff>
      <xdr:row>0</xdr:row>
      <xdr:rowOff>123825</xdr:rowOff>
    </xdr:from>
    <xdr:ext cx="488757" cy="825831"/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123825"/>
          <a:ext cx="488757" cy="82583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609601</xdr:colOff>
      <xdr:row>6</xdr:row>
      <xdr:rowOff>250371</xdr:rowOff>
    </xdr:from>
    <xdr:to>
      <xdr:col>10</xdr:col>
      <xdr:colOff>2</xdr:colOff>
      <xdr:row>8</xdr:row>
      <xdr:rowOff>0</xdr:rowOff>
    </xdr:to>
    <xdr:sp macro="" textlink="">
      <xdr:nvSpPr>
        <xdr:cNvPr id="6" name="Retângulo: Cantos Superiores Arredondados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4528458" y="1230085"/>
          <a:ext cx="8599715" cy="446315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Projeções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Trimestrais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2</xdr:colOff>
      <xdr:row>18</xdr:row>
      <xdr:rowOff>315686</xdr:rowOff>
    </xdr:from>
    <xdr:to>
      <xdr:col>9</xdr:col>
      <xdr:colOff>0</xdr:colOff>
      <xdr:row>21</xdr:row>
      <xdr:rowOff>54430</xdr:rowOff>
    </xdr:to>
    <xdr:sp macro="" textlink="">
      <xdr:nvSpPr>
        <xdr:cNvPr id="11" name="Retângulo: Cantos Superiores Arredondados 2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4539345" y="5802086"/>
          <a:ext cx="7565569" cy="48985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Receita Líquida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por Trimestre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9</xdr:col>
      <xdr:colOff>870860</xdr:colOff>
      <xdr:row>18</xdr:row>
      <xdr:rowOff>315686</xdr:rowOff>
    </xdr:from>
    <xdr:to>
      <xdr:col>14</xdr:col>
      <xdr:colOff>827314</xdr:colOff>
      <xdr:row>21</xdr:row>
      <xdr:rowOff>54430</xdr:rowOff>
    </xdr:to>
    <xdr:sp macro="" textlink="">
      <xdr:nvSpPr>
        <xdr:cNvPr id="12" name="Retângulo: Cantos Superiores Arredondados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12975774" y="5802086"/>
          <a:ext cx="4169226" cy="48985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Sazonalidade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da Receita Líquida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4</xdr:col>
      <xdr:colOff>2</xdr:colOff>
      <xdr:row>33</xdr:row>
      <xdr:rowOff>97971</xdr:rowOff>
    </xdr:from>
    <xdr:to>
      <xdr:col>9</xdr:col>
      <xdr:colOff>0</xdr:colOff>
      <xdr:row>34</xdr:row>
      <xdr:rowOff>10886</xdr:rowOff>
    </xdr:to>
    <xdr:sp macro="" textlink="">
      <xdr:nvSpPr>
        <xdr:cNvPr id="13" name="Retângulo: Cantos Superiores Arredondados 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4539345" y="10526485"/>
          <a:ext cx="7565569" cy="48985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EBIT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por Trimestre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twoCellAnchor>
    <xdr:from>
      <xdr:col>10</xdr:col>
      <xdr:colOff>10888</xdr:colOff>
      <xdr:row>33</xdr:row>
      <xdr:rowOff>76200</xdr:rowOff>
    </xdr:from>
    <xdr:to>
      <xdr:col>15</xdr:col>
      <xdr:colOff>10885</xdr:colOff>
      <xdr:row>33</xdr:row>
      <xdr:rowOff>566058</xdr:rowOff>
    </xdr:to>
    <xdr:sp macro="" textlink="">
      <xdr:nvSpPr>
        <xdr:cNvPr id="14" name="Retângulo: Cantos Superiores Arredondados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12997545" y="10504714"/>
          <a:ext cx="4169226" cy="489858"/>
        </a:xfrm>
        <a:prstGeom prst="round2SameRect">
          <a:avLst/>
        </a:prstGeom>
        <a:solidFill>
          <a:srgbClr val="F9FAFB"/>
        </a:solidFill>
        <a:ln w="19050">
          <a:solidFill>
            <a:srgbClr val="E5E7E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Sazonalidade</a:t>
          </a:r>
          <a:r>
            <a:rPr lang="pt-BR" sz="1100" b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SF Pro Display" panose="00000500000000000000" pitchFamily="2" charset="0"/>
            </a:rPr>
            <a:t> do EBIT</a:t>
          </a:r>
          <a:endParaRPr lang="pt-BR" sz="1100" b="0">
            <a:solidFill>
              <a:schemeClr val="tx1">
                <a:lumMod val="75000"/>
                <a:lumOff val="25000"/>
              </a:schemeClr>
            </a:solidFill>
            <a:latin typeface="+mn-lt"/>
            <a:ea typeface="SF Pro Display" panose="00000500000000000000" pitchFamily="2" charset="0"/>
          </a:endParaRPr>
        </a:p>
      </xdr:txBody>
    </xdr:sp>
    <xdr:clientData/>
  </xdr:twoCellAnchor>
  <xdr:oneCellAnchor>
    <xdr:from>
      <xdr:col>0</xdr:col>
      <xdr:colOff>1019175</xdr:colOff>
      <xdr:row>1</xdr:row>
      <xdr:rowOff>19050</xdr:rowOff>
    </xdr:from>
    <xdr:ext cx="488757" cy="825831"/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209550"/>
          <a:ext cx="488757" cy="82583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uilherme\Downloads\Valuation%20WEG%20DCF%20-%20Edufinance%203T22%20-%20The%20Mother%20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WACC"/>
      <sheetName val="Balanço Patrimonial"/>
      <sheetName val="DRE + DCF"/>
      <sheetName val="DRE - Contas Abertas"/>
      <sheetName val="Projeções"/>
      <sheetName val="Projeções 2022"/>
      <sheetName val="Projeções (crescimento)"/>
      <sheetName val="Projeções (% total)"/>
      <sheetName val="Painel de Índices"/>
      <sheetName val="Sugestões"/>
      <sheetName val="Provisões e Processos"/>
      <sheetName val="Aquisições"/>
      <sheetName val="Dados Complementares"/>
      <sheetName val="Gráficos"/>
      <sheetName val="ComDinheiro"/>
      <sheetName val="Explorando Cenários"/>
      <sheetName val="sddsdssdssdsd"/>
      <sheetName val="To-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1">
          <cell r="F11">
            <v>9.0560000000000002E-2</v>
          </cell>
          <cell r="G11">
            <v>6.3710000000000003E-2</v>
          </cell>
          <cell r="H11">
            <v>4.4080000000000001E-2</v>
          </cell>
          <cell r="I11">
            <v>6.4640000000000003E-2</v>
          </cell>
          <cell r="J11">
            <v>4.9680000000000002E-2</v>
          </cell>
          <cell r="K11">
            <v>5.4879999999999998E-2</v>
          </cell>
          <cell r="L11">
            <v>5.9819999999999998E-2</v>
          </cell>
          <cell r="M11">
            <v>6.25E-2</v>
          </cell>
          <cell r="N11">
            <v>5.867E-2</v>
          </cell>
          <cell r="P11">
            <v>5.1400000000000001E-2</v>
          </cell>
        </row>
        <row r="14">
          <cell r="J14">
            <v>0.02</v>
          </cell>
          <cell r="K14">
            <v>0.02</v>
          </cell>
        </row>
        <row r="15">
          <cell r="J15">
            <v>4.5999999999999999E-2</v>
          </cell>
        </row>
        <row r="16">
          <cell r="J16">
            <v>6.5000000000000002E-2</v>
          </cell>
          <cell r="K16">
            <v>6.2E-2</v>
          </cell>
        </row>
        <row r="20">
          <cell r="J20">
            <v>3.3000000000000002E-2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Paleta Edufinan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3AF43"/>
      </a:accent1>
      <a:accent2>
        <a:srgbClr val="273835"/>
      </a:accent2>
      <a:accent3>
        <a:srgbClr val="878D96"/>
      </a:accent3>
      <a:accent4>
        <a:srgbClr val="C6CAD2"/>
      </a:accent4>
      <a:accent5>
        <a:srgbClr val="1CB799"/>
      </a:accent5>
      <a:accent6>
        <a:srgbClr val="296055"/>
      </a:accent6>
      <a:hlink>
        <a:srgbClr val="273835"/>
      </a:hlink>
      <a:folHlink>
        <a:srgbClr val="5B9BD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2"/>
  <dimension ref="A1:BB151"/>
  <sheetViews>
    <sheetView showGridLines="0" tabSelected="1" topLeftCell="B1" zoomScale="85" zoomScaleNormal="85" workbookViewId="0">
      <selection activeCell="G17" sqref="G17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32.5703125" style="1" customWidth="1"/>
    <col min="6" max="6" width="17.140625" style="1" bestFit="1" customWidth="1"/>
    <col min="7" max="7" width="13.7109375" style="1" bestFit="1" customWidth="1"/>
    <col min="8" max="8" width="6.28515625" style="1" customWidth="1"/>
    <col min="9" max="9" width="9.85546875" style="1" customWidth="1"/>
    <col min="10" max="10" width="16.7109375" style="1" bestFit="1" customWidth="1"/>
    <col min="11" max="11" width="10" style="1" bestFit="1" customWidth="1"/>
    <col min="12" max="12" width="11" style="1" bestFit="1" customWidth="1"/>
    <col min="13" max="13" width="10.5703125" style="1" bestFit="1" customWidth="1"/>
    <col min="14" max="14" width="11" style="1" bestFit="1" customWidth="1"/>
    <col min="15" max="15" width="10.7109375" style="1" bestFit="1" customWidth="1"/>
    <col min="16" max="16" width="10.85546875" style="1" bestFit="1" customWidth="1"/>
    <col min="17" max="17" width="11.140625" style="1" bestFit="1" customWidth="1"/>
    <col min="18" max="18" width="12.5703125" style="1" bestFit="1" customWidth="1"/>
    <col min="19" max="19" width="12" style="1" bestFit="1" customWidth="1"/>
    <col min="20" max="27" width="9.140625" style="1" customWidth="1"/>
    <col min="28" max="54" width="9.140625" style="1" hidden="1" customWidth="1"/>
    <col min="55" max="16384" width="0" style="1" hidden="1"/>
  </cols>
  <sheetData>
    <row r="1" spans="1:53" ht="15" customHeight="1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3" ht="15" customHeight="1" x14ac:dyDescent="0.25"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15" customHeight="1" x14ac:dyDescent="0.45">
      <c r="B3" s="5"/>
      <c r="C3" s="5"/>
      <c r="D3" s="7"/>
      <c r="E3" s="7"/>
      <c r="F3" s="7"/>
      <c r="G3" s="7"/>
      <c r="H3" s="7"/>
      <c r="I3" s="403" t="s">
        <v>88</v>
      </c>
      <c r="J3" s="403"/>
      <c r="K3" s="403"/>
      <c r="L3" s="403"/>
      <c r="M3" s="6"/>
      <c r="N3" s="6"/>
      <c r="O3" s="6"/>
      <c r="P3" s="6"/>
      <c r="Q3" s="6"/>
      <c r="R3" s="6"/>
      <c r="S3" s="6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ht="15" customHeight="1" x14ac:dyDescent="0.45">
      <c r="B4" s="5"/>
      <c r="C4" s="5"/>
      <c r="D4" s="7"/>
      <c r="E4" s="7"/>
      <c r="F4" s="7"/>
      <c r="G4" s="7"/>
      <c r="H4" s="7"/>
      <c r="I4" s="403"/>
      <c r="J4" s="403"/>
      <c r="K4" s="403"/>
      <c r="L4" s="403"/>
      <c r="M4" s="6"/>
      <c r="N4" s="6"/>
      <c r="O4" s="6"/>
      <c r="P4" s="6"/>
      <c r="Q4" s="6"/>
      <c r="R4" s="6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ht="15" customHeight="1" x14ac:dyDescent="0.45">
      <c r="B5" s="5"/>
      <c r="C5" s="5"/>
      <c r="D5" s="7"/>
      <c r="E5" s="7"/>
      <c r="F5" s="7"/>
      <c r="G5" s="7"/>
      <c r="H5" s="7"/>
      <c r="I5" s="404"/>
      <c r="J5" s="404"/>
      <c r="K5" s="404"/>
      <c r="L5" s="404"/>
      <c r="M5" s="6"/>
      <c r="N5" s="6"/>
      <c r="O5" s="6"/>
      <c r="P5" s="6"/>
      <c r="Q5" s="6"/>
      <c r="R5" s="8"/>
      <c r="S5" s="6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ht="15" customHeight="1" x14ac:dyDescent="0.45">
      <c r="B6" s="5"/>
      <c r="C6" s="5"/>
      <c r="D6" s="7"/>
      <c r="E6" s="7"/>
      <c r="F6" s="7"/>
      <c r="G6" s="7"/>
      <c r="H6" s="6"/>
      <c r="I6" s="6"/>
      <c r="J6" s="6"/>
      <c r="K6" s="6"/>
      <c r="L6" s="6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s="11" customFormat="1" ht="24.75" customHeight="1" x14ac:dyDescent="0.45">
      <c r="A7" s="9" t="s">
        <v>68</v>
      </c>
      <c r="B7" s="10"/>
      <c r="C7" s="10"/>
      <c r="D7" s="10"/>
      <c r="E7" s="10"/>
      <c r="F7" s="10"/>
      <c r="G7" s="10"/>
      <c r="H7" s="10"/>
      <c r="I7" s="7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3" ht="30" customHeight="1" x14ac:dyDescent="0.25">
      <c r="A8" s="12" t="s">
        <v>69</v>
      </c>
      <c r="B8" s="5"/>
      <c r="C8" s="5"/>
      <c r="D8" s="10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8"/>
      <c r="T8" s="41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ht="30" customHeight="1" x14ac:dyDescent="0.25">
      <c r="A9" s="15" t="s">
        <v>52</v>
      </c>
      <c r="B9" s="5"/>
      <c r="C9" s="5"/>
      <c r="D9" s="5"/>
      <c r="E9" s="16" t="s">
        <v>380</v>
      </c>
      <c r="F9" s="1">
        <v>1</v>
      </c>
      <c r="G9" s="18"/>
      <c r="H9" s="402" t="s">
        <v>52</v>
      </c>
      <c r="I9" s="19">
        <f t="shared" ref="I9:I11" si="0">I10-0.5%</f>
        <v>0.11847175456576026</v>
      </c>
      <c r="J9" s="20">
        <f>((SUM('DRE + DCF'!$P$54,NPV($I9,'DRE + DCF'!$Q$54:$AZ$54,SUM('DRE + DCF'!$BA$54,('DRE + DCF'!$BB$46*(1-((J$18-'Projeções - Receita'!$BA$58)/('DRE + DCF'!$BC$43-'Projeções - Receita'!$BA$58)))*(1+J$18))/($I9-J$18))))/((1+$I9)^((5-$F$9)*3/12)))+SUM($F$13:$F$14))/$F$11</f>
        <v>41.506621546582991</v>
      </c>
      <c r="K9" s="20">
        <f>((SUM('DRE + DCF'!$P$54,NPV($I9,'DRE + DCF'!$Q$54:$AZ$54,SUM('DRE + DCF'!$BA$54,('DRE + DCF'!$BB$46*(1-((K$18-'Projeções - Receita'!$BA$58)/('DRE + DCF'!$BC$43-'Projeções - Receita'!$BA$58)))*(1+K$18))/($I9-K$18))))/((1+$I9)^((5-$F$9)*3/12)))+SUM($F$13:$F$14))/$F$11</f>
        <v>42.026797154827982</v>
      </c>
      <c r="L9" s="20">
        <f>((SUM('DRE + DCF'!$P$54,NPV($I9,'DRE + DCF'!$Q$54:$AZ$54,SUM('DRE + DCF'!$BA$54,('DRE + DCF'!$BB$46*(1-((L$18-'Projeções - Receita'!$BA$58)/('DRE + DCF'!$BC$43-'Projeções - Receita'!$BA$58)))*(1+L$18))/($I9-L$18))))/((1+$I9)^((5-$F$9)*3/12)))+SUM($F$13:$F$14))/$F$11</f>
        <v>42.609525396376824</v>
      </c>
      <c r="M9" s="20">
        <f>((SUM('DRE + DCF'!$P$54,NPV($I9,'DRE + DCF'!$Q$54:$AZ$54,SUM('DRE + DCF'!$BA$54,('DRE + DCF'!$BB$46*(1-((M$18-'Projeções - Receita'!$BA$58)/('DRE + DCF'!$BC$43-'Projeções - Receita'!$BA$58)))*(1+M$18))/($I9-M$18))))/((1+$I9)^((5-$F$9)*3/12)))+SUM($F$13:$F$14))/$F$11</f>
        <v>43.267182750858026</v>
      </c>
      <c r="N9" s="20">
        <f>((SUM('DRE + DCF'!$P$54,NPV($I9,'DRE + DCF'!$Q$54:$AZ$54,SUM('DRE + DCF'!$BA$54,('DRE + DCF'!$BB$46*(1-((N$18-'Projeções - Receita'!$BA$58)/('DRE + DCF'!$BC$43-'Projeções - Receita'!$BA$58)))*(1+N$18))/($I9-N$18))))/((1+$I9)^((5-$F$9)*3/12)))+SUM($F$13:$F$14))/$F$11</f>
        <v>44.015641270853571</v>
      </c>
      <c r="O9" s="20">
        <f>((SUM('DRE + DCF'!$P$54,NPV($I9,'DRE + DCF'!$Q$54:$AZ$54,SUM('DRE + DCF'!$BA$54,('DRE + DCF'!$BB$46*(1-((O$18-'Projeções - Receita'!$BA$58)/('DRE + DCF'!$BC$43-'Projeções - Receita'!$BA$58)))*(1+O$18))/($I9-O$18))))/((1+$I9)^((5-$F$9)*3/12)))+SUM($F$13:$F$14))/$F$11</f>
        <v>44.875596438723647</v>
      </c>
      <c r="P9" s="20">
        <f>((SUM('DRE + DCF'!$P$54,NPV($I9,'DRE + DCF'!$Q$54:$AZ$54,SUM('DRE + DCF'!$BA$54,('DRE + DCF'!$BB$46*(1-((P$18-'Projeções - Receita'!$BA$58)/('DRE + DCF'!$BC$43-'Projeções - Receita'!$BA$58)))*(1+P$18))/($I9-P$18))))/((1+$I9)^((5-$F$9)*3/12)))+SUM($F$13:$F$14))/$F$11</f>
        <v>45.874550083324991</v>
      </c>
      <c r="Q9" s="20">
        <f>((SUM('DRE + DCF'!$P$54,NPV($I9,'DRE + DCF'!$Q$54:$AZ$54,SUM('DRE + DCF'!$BA$54,('DRE + DCF'!$BB$46*(1-((Q$18-'Projeções - Receita'!$BA$58)/('DRE + DCF'!$BC$43-'Projeções - Receita'!$BA$58)))*(1+Q$18))/($I9-Q$18))))/((1+$I9)^((5-$F$9)*3/12)))+SUM($F$13:$F$14))/$F$11</f>
        <v>47.049859145866648</v>
      </c>
      <c r="R9" s="20">
        <f>((SUM('DRE + DCF'!$P$54,NPV($I9,'DRE + DCF'!$Q$54:$AZ$54,SUM('DRE + DCF'!$BA$54,('DRE + DCF'!$BB$46*(1-((R$18-'Projeções - Receita'!$BA$58)/('DRE + DCF'!$BC$43-'Projeções - Receita'!$BA$58)))*(1+R$18))/($I9-R$18))))/((1+$I9)^((5-$F$9)*3/12)))+SUM($F$13:$F$14))/$F$11</f>
        <v>48.453584461888688</v>
      </c>
      <c r="S9" s="20">
        <f>((SUM('DRE + DCF'!$P$54,NPV($I9,'DRE + DCF'!$Q$54:$AZ$54,SUM('DRE + DCF'!$BA$54,('DRE + DCF'!$BB$46*(1-((S$18-'Projeções - Receita'!$BA$58)/('DRE + DCF'!$BC$43-'Projeções - Receita'!$BA$58)))*(1+S$18))/($I9-S$18))))/((1+$I9)^((5-$F$9)*3/12)))+SUM($F$13:$F$14))/$F$11</f>
        <v>50.160514747942557</v>
      </c>
      <c r="T9" s="41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ht="30" customHeight="1" x14ac:dyDescent="0.25">
      <c r="A10" s="15" t="s">
        <v>70</v>
      </c>
      <c r="B10" s="5"/>
      <c r="C10" s="5"/>
      <c r="D10" s="5"/>
      <c r="E10" s="16" t="s">
        <v>82</v>
      </c>
      <c r="F10" s="17" t="s">
        <v>89</v>
      </c>
      <c r="G10" s="18"/>
      <c r="H10" s="402"/>
      <c r="I10" s="19">
        <f t="shared" si="0"/>
        <v>0.12347175456576026</v>
      </c>
      <c r="J10" s="20">
        <f>((SUM('DRE + DCF'!$P$54,NPV($I10,'DRE + DCF'!$Q$54:$AZ$54,SUM('DRE + DCF'!$BA$54,('DRE + DCF'!$BB$46*(1-((J$18-'Projeções - Receita'!$BA$58)/('DRE + DCF'!$BC$43-'Projeções - Receita'!$BA$58)))*(1+J$18))/($I10-J$18))))/((1+$I10)^((5-$F$9)*3/12)))+SUM($F$13:$F$14))/$F$11</f>
        <v>35.77781235940364</v>
      </c>
      <c r="K10" s="20">
        <f>((SUM('DRE + DCF'!$P$54,NPV($I10,'DRE + DCF'!$Q$54:$AZ$54,SUM('DRE + DCF'!$BA$54,('DRE + DCF'!$BB$46*(1-((K$18-'Projeções - Receita'!$BA$58)/('DRE + DCF'!$BC$43-'Projeções - Receita'!$BA$58)))*(1+K$18))/($I10-K$18))))/((1+$I10)^((5-$F$9)*3/12)))+SUM($F$13:$F$14))/$F$11</f>
        <v>36.107172730352914</v>
      </c>
      <c r="L10" s="20">
        <f>((SUM('DRE + DCF'!$P$54,NPV($I10,'DRE + DCF'!$Q$54:$AZ$54,SUM('DRE + DCF'!$BA$54,('DRE + DCF'!$BB$46*(1-((L$18-'Projeções - Receita'!$BA$58)/('DRE + DCF'!$BC$43-'Projeções - Receita'!$BA$58)))*(1+L$18))/($I10-L$18))))/((1+$I10)^((5-$F$9)*3/12)))+SUM($F$13:$F$14))/$F$11</f>
        <v>36.471437483568756</v>
      </c>
      <c r="M10" s="20">
        <f>((SUM('DRE + DCF'!$P$54,NPV($I10,'DRE + DCF'!$Q$54:$AZ$54,SUM('DRE + DCF'!$BA$54,('DRE + DCF'!$BB$46*(1-((M$18-'Projeções - Receita'!$BA$58)/('DRE + DCF'!$BC$43-'Projeções - Receita'!$BA$58)))*(1+M$18))/($I10-M$18))))/((1+$I10)^((5-$F$9)*3/12)))+SUM($F$13:$F$14))/$F$11</f>
        <v>36.876707908473371</v>
      </c>
      <c r="N10" s="20">
        <f>((SUM('DRE + DCF'!$P$54,NPV($I10,'DRE + DCF'!$Q$54:$AZ$54,SUM('DRE + DCF'!$BA$54,('DRE + DCF'!$BB$46*(1-((N$18-'Projeções - Receita'!$BA$58)/('DRE + DCF'!$BC$43-'Projeções - Receita'!$BA$58)))*(1+N$18))/($I10-N$18))))/((1+$I10)^((5-$F$9)*3/12)))+SUM($F$13:$F$14))/$F$11</f>
        <v>37.330595284609949</v>
      </c>
      <c r="O10" s="20">
        <f>((SUM('DRE + DCF'!$P$54,NPV($I10,'DRE + DCF'!$Q$54:$AZ$54,SUM('DRE + DCF'!$BA$54,('DRE + DCF'!$BB$46*(1-((O$18-'Projeções - Receita'!$BA$58)/('DRE + DCF'!$BC$43-'Projeções - Receita'!$BA$58)))*(1+O$18))/($I10-O$18))))/((1+$I10)^((5-$F$9)*3/12)))+SUM($F$13:$F$14))/$F$11</f>
        <v>37.842718818632854</v>
      </c>
      <c r="P10" s="20">
        <f>((SUM('DRE + DCF'!$P$54,NPV($I10,'DRE + DCF'!$Q$54:$AZ$54,SUM('DRE + DCF'!$BA$54,('DRE + DCF'!$BB$46*(1-((P$18-'Projeções - Receita'!$BA$58)/('DRE + DCF'!$BC$43-'Projeções - Receita'!$BA$58)))*(1+P$18))/($I10-P$18))))/((1+$I10)^((5-$F$9)*3/12)))+SUM($F$13:$F$14))/$F$11</f>
        <v>38.425414534871841</v>
      </c>
      <c r="Q10" s="20">
        <f>((SUM('DRE + DCF'!$P$54,NPV($I10,'DRE + DCF'!$Q$54:$AZ$54,SUM('DRE + DCF'!$BA$54,('DRE + DCF'!$BB$46*(1-((Q$18-'Projeções - Receita'!$BA$58)/('DRE + DCF'!$BC$43-'Projeções - Receita'!$BA$58)))*(1+Q$18))/($I10-Q$18))))/((1+$I10)^((5-$F$9)*3/12)))+SUM($F$13:$F$14))/$F$11</f>
        <v>39.094767307831589</v>
      </c>
      <c r="R10" s="20">
        <f>((SUM('DRE + DCF'!$P$54,NPV($I10,'DRE + DCF'!$Q$54:$AZ$54,SUM('DRE + DCF'!$BA$54,('DRE + DCF'!$BB$46*(1-((R$18-'Projeções - Receita'!$BA$58)/('DRE + DCF'!$BC$43-'Projeções - Receita'!$BA$58)))*(1+R$18))/($I10-R$18))))/((1+$I10)^((5-$F$9)*3/12)))+SUM($F$13:$F$14))/$F$11</f>
        <v>39.87215201817974</v>
      </c>
      <c r="S10" s="20">
        <f>((SUM('DRE + DCF'!$P$54,NPV($I10,'DRE + DCF'!$Q$54:$AZ$54,SUM('DRE + DCF'!$BA$54,('DRE + DCF'!$BB$46*(1-((S$18-'Projeções - Receita'!$BA$58)/('DRE + DCF'!$BC$43-'Projeções - Receita'!$BA$58)))*(1+S$18))/($I10-S$18))))/((1+$I10)^((5-$F$9)*3/12)))+SUM($F$13:$F$14))/$F$11</f>
        <v>40.78660310448447</v>
      </c>
      <c r="T10" s="41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ht="30" customHeight="1" x14ac:dyDescent="0.25">
      <c r="A11" s="21" t="s">
        <v>340</v>
      </c>
      <c r="B11" s="5"/>
      <c r="C11" s="5"/>
      <c r="D11" s="5"/>
      <c r="E11" s="16" t="s">
        <v>85</v>
      </c>
      <c r="F11" s="22">
        <v>1647747.433</v>
      </c>
      <c r="G11" s="24"/>
      <c r="H11" s="402"/>
      <c r="I11" s="19">
        <f t="shared" si="0"/>
        <v>0.12847175456576027</v>
      </c>
      <c r="J11" s="20">
        <f>((SUM('DRE + DCF'!$P$54,NPV($I11,'DRE + DCF'!$Q$54:$AZ$54,SUM('DRE + DCF'!$BA$54,('DRE + DCF'!$BB$46*(1-((J$18-'Projeções - Receita'!$BA$58)/('DRE + DCF'!$BC$43-'Projeções - Receita'!$BA$58)))*(1+J$18))/($I11-J$18))))/((1+$I11)^((5-$F$9)*3/12)))+SUM($F$13:$F$14))/$F$11</f>
        <v>31.208886475274117</v>
      </c>
      <c r="K11" s="20">
        <f>((SUM('DRE + DCF'!$P$54,NPV($I11,'DRE + DCF'!$Q$54:$AZ$54,SUM('DRE + DCF'!$BA$54,('DRE + DCF'!$BB$46*(1-((K$18-'Projeções - Receita'!$BA$58)/('DRE + DCF'!$BC$43-'Projeções - Receita'!$BA$58)))*(1+K$18))/($I11-K$18))))/((1+$I11)^((5-$F$9)*3/12)))+SUM($F$13:$F$14))/$F$11</f>
        <v>31.420764277327386</v>
      </c>
      <c r="L11" s="20">
        <f>((SUM('DRE + DCF'!$P$54,NPV($I11,'DRE + DCF'!$Q$54:$AZ$54,SUM('DRE + DCF'!$BA$54,('DRE + DCF'!$BB$46*(1-((L$18-'Projeções - Receita'!$BA$58)/('DRE + DCF'!$BC$43-'Projeções - Receita'!$BA$58)))*(1+L$18))/($I11-L$18))))/((1+$I11)^((5-$F$9)*3/12)))+SUM($F$13:$F$14))/$F$11</f>
        <v>31.652621321680027</v>
      </c>
      <c r="M11" s="20">
        <f>((SUM('DRE + DCF'!$P$54,NPV($I11,'DRE + DCF'!$Q$54:$AZ$54,SUM('DRE + DCF'!$BA$54,('DRE + DCF'!$BB$46*(1-((M$18-'Projeções - Receita'!$BA$58)/('DRE + DCF'!$BC$43-'Projeções - Receita'!$BA$58)))*(1+M$18))/($I11-M$18))))/((1+$I11)^((5-$F$9)*3/12)))+SUM($F$13:$F$14))/$F$11</f>
        <v>31.907585480285107</v>
      </c>
      <c r="N11" s="20">
        <f>((SUM('DRE + DCF'!$P$54,NPV($I11,'DRE + DCF'!$Q$54:$AZ$54,SUM('DRE + DCF'!$BA$54,('DRE + DCF'!$BB$46*(1-((N$18-'Projeções - Receita'!$BA$58)/('DRE + DCF'!$BC$43-'Projeções - Receita'!$BA$58)))*(1+N$18))/($I11-N$18))))/((1+$I11)^((5-$F$9)*3/12)))+SUM($F$13:$F$14))/$F$11</f>
        <v>32.189473490290929</v>
      </c>
      <c r="O11" s="20">
        <f>((SUM('DRE + DCF'!$P$54,NPV($I11,'DRE + DCF'!$Q$54:$AZ$54,SUM('DRE + DCF'!$BA$54,('DRE + DCF'!$BB$46*(1-((O$18-'Projeções - Receita'!$BA$58)/('DRE + DCF'!$BC$43-'Projeções - Receita'!$BA$58)))*(1+O$18))/($I11-O$18))))/((1+$I11)^((5-$F$9)*3/12)))+SUM($F$13:$F$14))/$F$11</f>
        <v>32.50299164354653</v>
      </c>
      <c r="P11" s="20">
        <f>((SUM('DRE + DCF'!$P$54,NPV($I11,'DRE + DCF'!$Q$54:$AZ$54,SUM('DRE + DCF'!$BA$54,('DRE + DCF'!$BB$46*(1-((P$18-'Projeções - Receita'!$BA$58)/('DRE + DCF'!$BC$43-'Projeções - Receita'!$BA$58)))*(1+P$18))/($I11-P$18))))/((1+$I11)^((5-$F$9)*3/12)))+SUM($F$13:$F$14))/$F$11</f>
        <v>32.854010978187624</v>
      </c>
      <c r="Q11" s="20">
        <f>((SUM('DRE + DCF'!$P$54,NPV($I11,'DRE + DCF'!$Q$54:$AZ$54,SUM('DRE + DCF'!$BA$54,('DRE + DCF'!$BB$46*(1-((Q$18-'Projeções - Receita'!$BA$58)/('DRE + DCF'!$BC$43-'Projeções - Receita'!$BA$58)))*(1+Q$18))/($I11-Q$18))))/((1+$I11)^((5-$F$9)*3/12)))+SUM($F$13:$F$14))/$F$11</f>
        <v>33.24995136741456</v>
      </c>
      <c r="R11" s="20">
        <f>((SUM('DRE + DCF'!$P$54,NPV($I11,'DRE + DCF'!$Q$54:$AZ$54,SUM('DRE + DCF'!$BA$54,('DRE + DCF'!$BB$46*(1-((R$18-'Projeções - Receita'!$BA$58)/('DRE + DCF'!$BC$43-'Projeções - Receita'!$BA$58)))*(1+R$18))/($I11-R$18))))/((1+$I11)^((5-$F$9)*3/12)))+SUM($F$13:$F$14))/$F$11</f>
        <v>33.700328329462138</v>
      </c>
      <c r="S11" s="20">
        <f>((SUM('DRE + DCF'!$P$54,NPV($I11,'DRE + DCF'!$Q$54:$AZ$54,SUM('DRE + DCF'!$BA$54,('DRE + DCF'!$BB$46*(1-((S$18-'Projeções - Receita'!$BA$58)/('DRE + DCF'!$BC$43-'Projeções - Receita'!$BA$58)))*(1+S$18))/($I11-S$18))))/((1+$I11)^((5-$F$9)*3/12)))+SUM($F$13:$F$14))/$F$11</f>
        <v>34.217549096398088</v>
      </c>
      <c r="T11" s="41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ht="30" customHeight="1" x14ac:dyDescent="0.25">
      <c r="A12" s="15" t="s">
        <v>71</v>
      </c>
      <c r="B12" s="5"/>
      <c r="C12" s="5"/>
      <c r="D12" s="5"/>
      <c r="E12" s="16" t="s">
        <v>86</v>
      </c>
      <c r="F12" s="31">
        <f>SUM('DRE + DCF'!P56:BB56)</f>
        <v>42241218.006484002</v>
      </c>
      <c r="G12" s="31"/>
      <c r="H12" s="402"/>
      <c r="I12" s="19">
        <f>I13-0.5%</f>
        <v>0.13347175456576027</v>
      </c>
      <c r="J12" s="20">
        <f>((SUM('DRE + DCF'!$P$54,NPV($I12,'DRE + DCF'!$Q$54:$AZ$54,SUM('DRE + DCF'!$BA$54,('DRE + DCF'!$BB$46*(1-((J$18-'Projeções - Receita'!$BA$58)/('DRE + DCF'!$BC$43-'Projeções - Receita'!$BA$58)))*(1+J$18))/($I12-J$18))))/((1+$I12)^((5-$F$9)*3/12)))+SUM($F$13:$F$14))/$F$11</f>
        <v>27.496603252012132</v>
      </c>
      <c r="K12" s="20">
        <f>((SUM('DRE + DCF'!$P$54,NPV($I12,'DRE + DCF'!$Q$54:$AZ$54,SUM('DRE + DCF'!$BA$54,('DRE + DCF'!$BB$46*(1-((K$18-'Projeções - Receita'!$BA$58)/('DRE + DCF'!$BC$43-'Projeções - Receita'!$BA$58)))*(1+K$18))/($I12-K$18))))/((1+$I12)^((5-$F$9)*3/12)))+SUM($F$13:$F$14))/$F$11</f>
        <v>27.634438926731686</v>
      </c>
      <c r="L12" s="20">
        <f>((SUM('DRE + DCF'!$P$54,NPV($I12,'DRE + DCF'!$Q$54:$AZ$54,SUM('DRE + DCF'!$BA$54,('DRE + DCF'!$BB$46*(1-((L$18-'Projeções - Receita'!$BA$58)/('DRE + DCF'!$BC$43-'Projeções - Receita'!$BA$58)))*(1+L$18))/($I12-L$18))))/((1+$I12)^((5-$F$9)*3/12)))+SUM($F$13:$F$14))/$F$11</f>
        <v>27.783915111701113</v>
      </c>
      <c r="M12" s="20">
        <f>((SUM('DRE + DCF'!$P$54,NPV($I12,'DRE + DCF'!$Q$54:$AZ$54,SUM('DRE + DCF'!$BA$54,('DRE + DCF'!$BB$46*(1-((M$18-'Projeções - Receita'!$BA$58)/('DRE + DCF'!$BC$43-'Projeções - Receita'!$BA$58)))*(1+M$18))/($I12-M$18))))/((1+$I12)^((5-$F$9)*3/12)))+SUM($F$13:$F$14))/$F$11</f>
        <v>27.946681970830276</v>
      </c>
      <c r="N12" s="20">
        <f>((SUM('DRE + DCF'!$P$54,NPV($I12,'DRE + DCF'!$Q$54:$AZ$54,SUM('DRE + DCF'!$BA$54,('DRE + DCF'!$BB$46*(1-((N$18-'Projeções - Receita'!$BA$58)/('DRE + DCF'!$BC$43-'Projeções - Receita'!$BA$58)))*(1+N$18))/($I12-N$18))))/((1+$I12)^((5-$F$9)*3/12)))+SUM($F$13:$F$14))/$F$11</f>
        <v>28.124717041526214</v>
      </c>
      <c r="O12" s="20">
        <f>((SUM('DRE + DCF'!$P$54,NPV($I12,'DRE + DCF'!$Q$54:$AZ$54,SUM('DRE + DCF'!$BA$54,('DRE + DCF'!$BB$46*(1-((O$18-'Projeções - Receita'!$BA$58)/('DRE + DCF'!$BC$43-'Projeções - Receita'!$BA$58)))*(1+O$18))/($I12-O$18))))/((1+$I12)^((5-$F$9)*3/12)))+SUM($F$13:$F$14))/$F$11</f>
        <v>28.320410655214779</v>
      </c>
      <c r="P12" s="20">
        <f>((SUM('DRE + DCF'!$P$54,NPV($I12,'DRE + DCF'!$Q$54:$AZ$54,SUM('DRE + DCF'!$BA$54,('DRE + DCF'!$BB$46*(1-((P$18-'Projeções - Receita'!$BA$58)/('DRE + DCF'!$BC$43-'Projeções - Receita'!$BA$58)))*(1+P$18))/($I12-P$18))))/((1+$I12)^((5-$F$9)*3/12)))+SUM($F$13:$F$14))/$F$11</f>
        <v>28.536679576676232</v>
      </c>
      <c r="Q12" s="20">
        <f>((SUM('DRE + DCF'!$P$54,NPV($I12,'DRE + DCF'!$Q$54:$AZ$54,SUM('DRE + DCF'!$BA$54,('DRE + DCF'!$BB$46*(1-((Q$18-'Projeções - Receita'!$BA$58)/('DRE + DCF'!$BC$43-'Projeções - Receita'!$BA$58)))*(1+Q$18))/($I12-Q$18))))/((1+$I12)^((5-$F$9)*3/12)))+SUM($F$13:$F$14))/$F$11</f>
        <v>28.777120371714677</v>
      </c>
      <c r="R12" s="20">
        <f>((SUM('DRE + DCF'!$P$54,NPV($I12,'DRE + DCF'!$Q$54:$AZ$54,SUM('DRE + DCF'!$BA$54,('DRE + DCF'!$BB$46*(1-((R$18-'Projeções - Receita'!$BA$58)/('DRE + DCF'!$BC$43-'Projeções - Receita'!$BA$58)))*(1+R$18))/($I12-R$18))))/((1+$I12)^((5-$F$9)*3/12)))+SUM($F$13:$F$14))/$F$11</f>
        <v>29.046219709595626</v>
      </c>
      <c r="S12" s="20">
        <f>((SUM('DRE + DCF'!$P$54,NPV($I12,'DRE + DCF'!$Q$54:$AZ$54,SUM('DRE + DCF'!$BA$54,('DRE + DCF'!$BB$46*(1-((S$18-'Projeções - Receita'!$BA$58)/('DRE + DCF'!$BC$43-'Projeções - Receita'!$BA$58)))*(1+S$18))/($I12-S$18))))/((1+$I12)^((5-$F$9)*3/12)))+SUM($F$13:$F$14))/$F$11</f>
        <v>29.349647885124263</v>
      </c>
      <c r="T12" s="41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ht="30" customHeight="1" x14ac:dyDescent="0.25">
      <c r="A13" s="21" t="s">
        <v>333</v>
      </c>
      <c r="B13" s="5"/>
      <c r="C13" s="5"/>
      <c r="D13" s="5"/>
      <c r="E13" s="25" t="s">
        <v>87</v>
      </c>
      <c r="F13" s="31">
        <f>-WACC!F19</f>
        <v>-6057912</v>
      </c>
      <c r="G13" s="31"/>
      <c r="H13" s="402"/>
      <c r="I13" s="19">
        <f>WACC!P20</f>
        <v>0.13847175456576027</v>
      </c>
      <c r="J13" s="20">
        <f>((SUM('DRE + DCF'!$P$54,NPV($I13,'DRE + DCF'!$Q$54:$AZ$54,SUM('DRE + DCF'!$BA$54,('DRE + DCF'!$BB$46*(1-((J$18-'Projeções - Receita'!$BA$58)/('DRE + DCF'!$BC$43-'Projeções - Receita'!$BA$58)))*(1+J$18))/($I13-J$18))))/((1+$I13)^((5-$F$9)*3/12)))+SUM($F$13:$F$14))/$F$11</f>
        <v>24.432465257766509</v>
      </c>
      <c r="K13" s="20">
        <f>((SUM('DRE + DCF'!$P$54,NPV($I13,'DRE + DCF'!$Q$54:$AZ$54,SUM('DRE + DCF'!$BA$54,('DRE + DCF'!$BB$46*(1-((K$18-'Projeções - Receita'!$BA$58)/('DRE + DCF'!$BC$43-'Projeções - Receita'!$BA$58)))*(1+K$18))/($I13-K$18))))/((1+$I13)^((5-$F$9)*3/12)))+SUM($F$13:$F$14))/$F$11</f>
        <v>24.522776594675079</v>
      </c>
      <c r="L13" s="20">
        <f>((SUM('DRE + DCF'!$P$54,NPV($I13,'DRE + DCF'!$Q$54:$AZ$54,SUM('DRE + DCF'!$BA$54,('DRE + DCF'!$BB$46*(1-((L$18-'Projeções - Receita'!$BA$58)/('DRE + DCF'!$BC$43-'Projeções - Receita'!$BA$58)))*(1+L$18))/($I13-L$18))))/((1+$I13)^((5-$F$9)*3/12)))+SUM($F$13:$F$14))/$F$11</f>
        <v>24.619943943319957</v>
      </c>
      <c r="M13" s="20">
        <f>((SUM('DRE + DCF'!$P$54,NPV($I13,'DRE + DCF'!$Q$54:$AZ$54,SUM('DRE + DCF'!$BA$54,('DRE + DCF'!$BB$46*(1-((M$18-'Projeções - Receita'!$BA$58)/('DRE + DCF'!$BC$43-'Projeções - Receita'!$BA$58)))*(1+M$18))/($I13-M$18))))/((1+$I13)^((5-$F$9)*3/12)))+SUM($F$13:$F$14))/$F$11</f>
        <v>24.72485529373272</v>
      </c>
      <c r="N13" s="20">
        <f>((SUM('DRE + DCF'!$P$54,NPV($I13,'DRE + DCF'!$Q$54:$AZ$54,SUM('DRE + DCF'!$BA$54,('DRE + DCF'!$BB$46*(1-((N$18-'Projeções - Receita'!$BA$58)/('DRE + DCF'!$BC$43-'Projeções - Receita'!$BA$58)))*(1+N$18))/($I13-N$18))))/((1+$I13)^((5-$F$9)*3/12)))+SUM($F$13:$F$14))/$F$11</f>
        <v>24.838558905149444</v>
      </c>
      <c r="O13" s="20">
        <f>((SUM('DRE + DCF'!$P$54,NPV($I13,'DRE + DCF'!$Q$54:$AZ$54,SUM('DRE + DCF'!$BA$54,('DRE + DCF'!$BB$46*(1-((O$18-'Projeções - Receita'!$BA$58)/('DRE + DCF'!$BC$43-'Projeções - Receita'!$BA$58)))*(1+O$18))/($I13-O$18))))/((1+$I13)^((5-$F$9)*3/12)))+SUM($F$13:$F$14))/$F$11</f>
        <v>24.962301172400217</v>
      </c>
      <c r="P13" s="20">
        <f>((SUM('DRE + DCF'!$P$54,NPV($I13,'DRE + DCF'!$Q$54:$AZ$54,SUM('DRE + DCF'!$BA$54,('DRE + DCF'!$BB$46*(1-((P$18-'Projeções - Receita'!$BA$58)/('DRE + DCF'!$BC$43-'Projeções - Receita'!$BA$58)))*(1+P$18))/($I13-P$18))))/((1+$I13)^((5-$F$9)*3/12)))+SUM($F$13:$F$14))/$F$11</f>
        <v>25.097575760681359</v>
      </c>
      <c r="Q13" s="20">
        <f>((SUM('DRE + DCF'!$P$54,NPV($I13,'DRE + DCF'!$Q$54:$AZ$54,SUM('DRE + DCF'!$BA$54,('DRE + DCF'!$BB$46*(1-((Q$18-'Projeções - Receita'!$BA$58)/('DRE + DCF'!$BC$43-'Projeções - Receita'!$BA$58)))*(1+Q$18))/($I13-Q$18))))/((1+$I13)^((5-$F$9)*3/12)))+SUM($F$13:$F$14))/$F$11</f>
        <v>25.246188125022833</v>
      </c>
      <c r="R13" s="20">
        <f>((SUM('DRE + DCF'!$P$54,NPV($I13,'DRE + DCF'!$Q$54:$AZ$54,SUM('DRE + DCF'!$BA$54,('DRE + DCF'!$BB$46*(1-((R$18-'Projeções - Receita'!$BA$58)/('DRE + DCF'!$BC$43-'Projeções - Receita'!$BA$58)))*(1+R$18))/($I13-R$18))))/((1+$I13)^((5-$F$9)*3/12)))+SUM($F$13:$F$14))/$F$11</f>
        <v>25.410341343870943</v>
      </c>
      <c r="S13" s="20">
        <f>((SUM('DRE + DCF'!$P$54,NPV($I13,'DRE + DCF'!$Q$54:$AZ$54,SUM('DRE + DCF'!$BA$54,('DRE + DCF'!$BB$46*(1-((S$18-'Projeções - Receita'!$BA$58)/('DRE + DCF'!$BC$43-'Projeções - Receita'!$BA$58)))*(1+S$18))/($I13-S$18))))/((1+$I13)^((5-$F$9)*3/12)))+SUM($F$13:$F$14))/$F$11</f>
        <v>25.592751960108153</v>
      </c>
      <c r="T13" s="41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ht="30" customHeight="1" x14ac:dyDescent="0.25">
      <c r="A14" s="21" t="s">
        <v>198</v>
      </c>
      <c r="B14" s="5"/>
      <c r="C14" s="5"/>
      <c r="D14" s="5"/>
      <c r="E14" s="25" t="s">
        <v>60</v>
      </c>
      <c r="F14" s="23">
        <f>'Balanço Patrimonial'!O17+'Balanço Patrimonial'!O18</f>
        <v>100884.59335276711</v>
      </c>
      <c r="G14" s="23"/>
      <c r="H14" s="402"/>
      <c r="I14" s="19">
        <f>I13+0.5%</f>
        <v>0.14347175456576028</v>
      </c>
      <c r="J14" s="20">
        <f>((SUM('DRE + DCF'!$P$54,NPV($I14,'DRE + DCF'!$Q$54:$AZ$54,SUM('DRE + DCF'!$BA$54,('DRE + DCF'!$BB$46*(1-((J$18-'Projeções - Receita'!$BA$58)/('DRE + DCF'!$BC$43-'Projeções - Receita'!$BA$58)))*(1+J$18))/($I14-J$18))))/((1+$I14)^((5-$F$9)*3/12)))+SUM($F$13:$F$14))/$F$11</f>
        <v>21.868791556245363</v>
      </c>
      <c r="K14" s="20">
        <f>((SUM('DRE + DCF'!$P$54,NPV($I14,'DRE + DCF'!$Q$54:$AZ$54,SUM('DRE + DCF'!$BA$54,('DRE + DCF'!$BB$46*(1-((K$18-'Projeções - Receita'!$BA$58)/('DRE + DCF'!$BC$43-'Projeções - Receita'!$BA$58)))*(1+K$18))/($I14-K$18))))/((1+$I14)^((5-$F$9)*3/12)))+SUM($F$13:$F$14))/$F$11</f>
        <v>21.928162739487561</v>
      </c>
      <c r="L14" s="20">
        <f>((SUM('DRE + DCF'!$P$54,NPV($I14,'DRE + DCF'!$Q$54:$AZ$54,SUM('DRE + DCF'!$BA$54,('DRE + DCF'!$BB$46*(1-((L$18-'Projeções - Receita'!$BA$58)/('DRE + DCF'!$BC$43-'Projeções - Receita'!$BA$58)))*(1+L$18))/($I14-L$18))))/((1+$I14)^((5-$F$9)*3/12)))+SUM($F$13:$F$14))/$F$11</f>
        <v>21.991588332922209</v>
      </c>
      <c r="M14" s="20">
        <f>((SUM('DRE + DCF'!$P$54,NPV($I14,'DRE + DCF'!$Q$54:$AZ$54,SUM('DRE + DCF'!$BA$54,('DRE + DCF'!$BB$46*(1-((M$18-'Projeções - Receita'!$BA$58)/('DRE + DCF'!$BC$43-'Projeções - Receita'!$BA$58)))*(1+M$18))/($I14-M$18))))/((1+$I14)^((5-$F$9)*3/12)))+SUM($F$13:$F$14))/$F$11</f>
        <v>22.059551724488887</v>
      </c>
      <c r="N14" s="20">
        <f>((SUM('DRE + DCF'!$P$54,NPV($I14,'DRE + DCF'!$Q$54:$AZ$54,SUM('DRE + DCF'!$BA$54,('DRE + DCF'!$BB$46*(1-((N$18-'Projeções - Receita'!$BA$58)/('DRE + DCF'!$BC$43-'Projeções - Receita'!$BA$58)))*(1+N$18))/($I14-N$18))))/((1+$I14)^((5-$F$9)*3/12)))+SUM($F$13:$F$14))/$F$11</f>
        <v>22.132616325088939</v>
      </c>
      <c r="O14" s="20">
        <f>((SUM('DRE + DCF'!$P$54,NPV($I14,'DRE + DCF'!$Q$54:$AZ$54,SUM('DRE + DCF'!$BA$54,('DRE + DCF'!$BB$46*(1-((O$18-'Projeções - Receita'!$BA$58)/('DRE + DCF'!$BC$43-'Projeções - Receita'!$BA$58)))*(1+O$18))/($I14-O$18))))/((1+$I14)^((5-$F$9)*3/12)))+SUM($F$13:$F$14))/$F$11</f>
        <v>22.211442842863619</v>
      </c>
      <c r="P14" s="20">
        <f>((SUM('DRE + DCF'!$P$54,NPV($I14,'DRE + DCF'!$Q$54:$AZ$54,SUM('DRE + DCF'!$BA$54,('DRE + DCF'!$BB$46*(1-((P$18-'Projeções - Receita'!$BA$58)/('DRE + DCF'!$BC$43-'Projeções - Receita'!$BA$58)))*(1+P$18))/($I14-P$18))))/((1+$I14)^((5-$F$9)*3/12)))+SUM($F$13:$F$14))/$F$11</f>
        <v>22.296811234103853</v>
      </c>
      <c r="Q14" s="20">
        <f>((SUM('DRE + DCF'!$P$54,NPV($I14,'DRE + DCF'!$Q$54:$AZ$54,SUM('DRE + DCF'!$BA$54,('DRE + DCF'!$BB$46*(1-((Q$18-'Projeções - Receita'!$BA$58)/('DRE + DCF'!$BC$43-'Projeções - Receita'!$BA$58)))*(1+Q$18))/($I14-Q$18))))/((1+$I14)^((5-$F$9)*3/12)))+SUM($F$13:$F$14))/$F$11</f>
        <v>22.389648877701458</v>
      </c>
      <c r="R14" s="20">
        <f>((SUM('DRE + DCF'!$P$54,NPV($I14,'DRE + DCF'!$Q$54:$AZ$54,SUM('DRE + DCF'!$BA$54,('DRE + DCF'!$BB$46*(1-((R$18-'Projeções - Receita'!$BA$58)/('DRE + DCF'!$BC$43-'Projeções - Receita'!$BA$58)))*(1+R$18))/($I14-R$18))))/((1+$I14)^((5-$F$9)*3/12)))+SUM($F$13:$F$14))/$F$11</f>
        <v>22.491067133829873</v>
      </c>
      <c r="S14" s="20">
        <f>((SUM('DRE + DCF'!$P$54,NPV($I14,'DRE + DCF'!$Q$54:$AZ$54,SUM('DRE + DCF'!$BA$54,('DRE + DCF'!$BB$46*(1-((S$18-'Projeções - Receita'!$BA$58)/('DRE + DCF'!$BC$43-'Projeções - Receita'!$BA$58)))*(1+S$18))/($I14-S$18))))/((1+$I14)^((5-$F$9)*3/12)))+SUM($F$13:$F$14))/$F$11</f>
        <v>22.602409349592705</v>
      </c>
      <c r="T14" s="41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ht="30" customHeight="1" x14ac:dyDescent="0.25">
      <c r="A15" s="15" t="s">
        <v>305</v>
      </c>
      <c r="B15" s="5"/>
      <c r="C15" s="5"/>
      <c r="D15" s="5"/>
      <c r="E15" s="16" t="s">
        <v>84</v>
      </c>
      <c r="F15" s="26">
        <f>SUM(F12:F14)/F11</f>
        <v>22.020480732156461</v>
      </c>
      <c r="G15" s="24"/>
      <c r="H15" s="402"/>
      <c r="I15" s="19">
        <f t="shared" ref="I15:I17" si="1">I14+0.5%</f>
        <v>0.14847175456576028</v>
      </c>
      <c r="J15" s="20">
        <f>((SUM('DRE + DCF'!$P$54,NPV($I15,'DRE + DCF'!$Q$54:$AZ$54,SUM('DRE + DCF'!$BA$54,('DRE + DCF'!$BB$46*(1-((J$18-'Projeções - Receita'!$BA$58)/('DRE + DCF'!$BC$43-'Projeções - Receita'!$BA$58)))*(1+J$18))/($I15-J$18))))/((1+$I15)^((5-$F$9)*3/12)))+SUM($F$13:$F$14))/$F$11</f>
        <v>19.698330893151898</v>
      </c>
      <c r="K15" s="20">
        <f>((SUM('DRE + DCF'!$P$54,NPV($I15,'DRE + DCF'!$Q$54:$AZ$54,SUM('DRE + DCF'!$BA$54,('DRE + DCF'!$BB$46*(1-((K$18-'Projeções - Receita'!$BA$58)/('DRE + DCF'!$BC$43-'Projeções - Receita'!$BA$58)))*(1+K$18))/($I15-K$18))))/((1+$I15)^((5-$F$9)*3/12)))+SUM($F$13:$F$14))/$F$11</f>
        <v>19.737339670671044</v>
      </c>
      <c r="L15" s="20">
        <f>((SUM('DRE + DCF'!$P$54,NPV($I15,'DRE + DCF'!$Q$54:$AZ$54,SUM('DRE + DCF'!$BA$54,('DRE + DCF'!$BB$46*(1-((L$18-'Projeções - Receita'!$BA$58)/('DRE + DCF'!$BC$43-'Projeções - Receita'!$BA$58)))*(1+L$18))/($I15-L$18))))/((1+$I15)^((5-$F$9)*3/12)))+SUM($F$13:$F$14))/$F$11</f>
        <v>19.778737591258757</v>
      </c>
      <c r="M15" s="20">
        <f>((SUM('DRE + DCF'!$P$54,NPV($I15,'DRE + DCF'!$Q$54:$AZ$54,SUM('DRE + DCF'!$BA$54,('DRE + DCF'!$BB$46*(1-((M$18-'Projeções - Receita'!$BA$58)/('DRE + DCF'!$BC$43-'Projeções - Receita'!$BA$58)))*(1+M$18))/($I15-M$18))))/((1+$I15)^((5-$F$9)*3/12)))+SUM($F$13:$F$14))/$F$11</f>
        <v>19.822788527506997</v>
      </c>
      <c r="N15" s="20">
        <f>((SUM('DRE + DCF'!$P$54,NPV($I15,'DRE + DCF'!$Q$54:$AZ$54,SUM('DRE + DCF'!$BA$54,('DRE + DCF'!$BB$46*(1-((N$18-'Projeções - Receita'!$BA$58)/('DRE + DCF'!$BC$43-'Projeções - Receita'!$BA$58)))*(1+N$18))/($I15-N$18))))/((1+$I15)^((5-$F$9)*3/12)))+SUM($F$13:$F$14))/$F$11</f>
        <v>19.86979669570222</v>
      </c>
      <c r="O15" s="20">
        <f>((SUM('DRE + DCF'!$P$54,NPV($I15,'DRE + DCF'!$Q$54:$AZ$54,SUM('DRE + DCF'!$BA$54,('DRE + DCF'!$BB$46*(1-((O$18-'Projeções - Receita'!$BA$58)/('DRE + DCF'!$BC$43-'Projeções - Receita'!$BA$58)))*(1+O$18))/($I15-O$18))))/((1+$I15)^((5-$F$9)*3/12)))+SUM($F$13:$F$14))/$F$11</f>
        <v>19.92011467246838</v>
      </c>
      <c r="P15" s="20">
        <f>((SUM('DRE + DCF'!$P$54,NPV($I15,'DRE + DCF'!$Q$54:$AZ$54,SUM('DRE + DCF'!$BA$54,('DRE + DCF'!$BB$46*(1-((P$18-'Projeções - Receita'!$BA$58)/('DRE + DCF'!$BC$43-'Projeções - Receita'!$BA$58)))*(1+P$18))/($I15-P$18))))/((1+$I15)^((5-$F$9)*3/12)))+SUM($F$13:$F$14))/$F$11</f>
        <v>19.974153402095176</v>
      </c>
      <c r="Q15" s="20">
        <f>((SUM('DRE + DCF'!$P$54,NPV($I15,'DRE + DCF'!$Q$54:$AZ$54,SUM('DRE + DCF'!$BA$54,('DRE + DCF'!$BB$46*(1-((Q$18-'Projeções - Receita'!$BA$58)/('DRE + DCF'!$BC$43-'Projeções - Receita'!$BA$58)))*(1+Q$18))/($I15-Q$18))))/((1+$I15)^((5-$F$9)*3/12)))+SUM($F$13:$F$14))/$F$11</f>
        <v>20.032394796162897</v>
      </c>
      <c r="R15" s="20">
        <f>((SUM('DRE + DCF'!$P$54,NPV($I15,'DRE + DCF'!$Q$54:$AZ$54,SUM('DRE + DCF'!$BA$54,('DRE + DCF'!$BB$46*(1-((R$18-'Projeções - Receita'!$BA$58)/('DRE + DCF'!$BC$43-'Projeções - Receita'!$BA$58)))*(1+R$18))/($I15-R$18))))/((1+$I15)^((5-$F$9)*3/12)))+SUM($F$13:$F$14))/$F$11</f>
        <v>20.095407744239022</v>
      </c>
      <c r="S15" s="20">
        <f>((SUM('DRE + DCF'!$P$54,NPV($I15,'DRE + DCF'!$Q$54:$AZ$54,SUM('DRE + DCF'!$BA$54,('DRE + DCF'!$BB$46*(1-((S$18-'Projeções - Receita'!$BA$58)/('DRE + DCF'!$BC$43-'Projeções - Receita'!$BA$58)))*(1+S$18))/($I15-S$18))))/((1+$I15)^((5-$F$9)*3/12)))+SUM($F$13:$F$14))/$F$11</f>
        <v>20.16386866394183</v>
      </c>
      <c r="T15" s="41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ht="30" customHeight="1" x14ac:dyDescent="0.25">
      <c r="A16" s="21" t="s">
        <v>358</v>
      </c>
      <c r="B16" s="5"/>
      <c r="C16" s="5"/>
      <c r="D16" s="5"/>
      <c r="E16" s="25" t="s">
        <v>83</v>
      </c>
      <c r="F16" s="27">
        <v>25.35</v>
      </c>
      <c r="G16" s="24"/>
      <c r="H16" s="402"/>
      <c r="I16" s="19">
        <f t="shared" si="1"/>
        <v>0.15347175456576029</v>
      </c>
      <c r="J16" s="20">
        <f>((SUM('DRE + DCF'!$P$54,NPV($I16,'DRE + DCF'!$Q$54:$AZ$54,SUM('DRE + DCF'!$BA$54,('DRE + DCF'!$BB$46*(1-((J$18-'Projeções - Receita'!$BA$58)/('DRE + DCF'!$BC$43-'Projeções - Receita'!$BA$58)))*(1+J$18))/($I16-J$18))))/((1+$I16)^((5-$F$9)*3/12)))+SUM($F$13:$F$14))/$F$11</f>
        <v>17.841514457587959</v>
      </c>
      <c r="K16" s="20">
        <f>((SUM('DRE + DCF'!$P$54,NPV($I16,'DRE + DCF'!$Q$54:$AZ$54,SUM('DRE + DCF'!$BA$54,('DRE + DCF'!$BB$46*(1-((K$18-'Projeções - Receita'!$BA$58)/('DRE + DCF'!$BC$43-'Projeções - Receita'!$BA$58)))*(1+K$18))/($I16-K$18))))/((1+$I16)^((5-$F$9)*3/12)))+SUM($F$13:$F$14))/$F$11</f>
        <v>17.867016544124038</v>
      </c>
      <c r="L16" s="20">
        <f>((SUM('DRE + DCF'!$P$54,NPV($I16,'DRE + DCF'!$Q$54:$AZ$54,SUM('DRE + DCF'!$BA$54,('DRE + DCF'!$BB$46*(1-((L$18-'Projeções - Receita'!$BA$58)/('DRE + DCF'!$BC$43-'Projeções - Receita'!$BA$58)))*(1+L$18))/($I16-L$18))))/((1+$I16)^((5-$F$9)*3/12)))+SUM($F$13:$F$14))/$F$11</f>
        <v>17.89390791043569</v>
      </c>
      <c r="M16" s="20">
        <f>((SUM('DRE + DCF'!$P$54,NPV($I16,'DRE + DCF'!$Q$54:$AZ$54,SUM('DRE + DCF'!$BA$54,('DRE + DCF'!$BB$46*(1-((M$18-'Projeções - Receita'!$BA$58)/('DRE + DCF'!$BC$43-'Projeções - Receita'!$BA$58)))*(1+M$18))/($I16-M$18))))/((1+$I16)^((5-$F$9)*3/12)))+SUM($F$13:$F$14))/$F$11</f>
        <v>17.922331474475158</v>
      </c>
      <c r="N16" s="20">
        <f>((SUM('DRE + DCF'!$P$54,NPV($I16,'DRE + DCF'!$Q$54:$AZ$54,SUM('DRE + DCF'!$BA$54,('DRE + DCF'!$BB$46*(1-((N$18-'Projeções - Receita'!$BA$58)/('DRE + DCF'!$BC$43-'Projeções - Receita'!$BA$58)))*(1+N$18))/($I16-N$18))))/((1+$I16)^((5-$F$9)*3/12)))+SUM($F$13:$F$14))/$F$11</f>
        <v>17.952450453265577</v>
      </c>
      <c r="O16" s="20">
        <f>((SUM('DRE + DCF'!$P$54,NPV($I16,'DRE + DCF'!$Q$54:$AZ$54,SUM('DRE + DCF'!$BA$54,('DRE + DCF'!$BB$46*(1-((O$18-'Projeções - Receita'!$BA$58)/('DRE + DCF'!$BC$43-'Projeções - Receita'!$BA$58)))*(1+O$18))/($I16-O$18))))/((1+$I16)^((5-$F$9)*3/12)))+SUM($F$13:$F$14))/$F$11</f>
        <v>17.984452099504633</v>
      </c>
      <c r="P16" s="20">
        <f>((SUM('DRE + DCF'!$P$54,NPV($I16,'DRE + DCF'!$Q$54:$AZ$54,SUM('DRE + DCF'!$BA$54,('DRE + DCF'!$BB$46*(1-((P$18-'Projeções - Receita'!$BA$58)/('DRE + DCF'!$BC$43-'Projeções - Receita'!$BA$58)))*(1+P$18))/($I16-P$18))))/((1+$I16)^((5-$F$9)*3/12)))+SUM($F$13:$F$14))/$F$11</f>
        <v>18.01855229510679</v>
      </c>
      <c r="Q16" s="20">
        <f>((SUM('DRE + DCF'!$P$54,NPV($I16,'DRE + DCF'!$Q$54:$AZ$54,SUM('DRE + DCF'!$BA$54,('DRE + DCF'!$BB$46*(1-((Q$18-'Projeções - Receita'!$BA$58)/('DRE + DCF'!$BC$43-'Projeções - Receita'!$BA$58)))*(1+Q$18))/($I16-Q$18))))/((1+$I16)^((5-$F$9)*3/12)))+SUM($F$13:$F$14))/$F$11</f>
        <v>18.055001240077619</v>
      </c>
      <c r="R16" s="20">
        <f>((SUM('DRE + DCF'!$P$54,NPV($I16,'DRE + DCF'!$Q$54:$AZ$54,SUM('DRE + DCF'!$BA$54,('DRE + DCF'!$BB$46*(1-((R$18-'Projeções - Receita'!$BA$58)/('DRE + DCF'!$BC$43-'Projeções - Receita'!$BA$58)))*(1+R$18))/($I16-R$18))))/((1+$I16)^((5-$F$9)*3/12)))+SUM($F$13:$F$14))/$F$11</f>
        <v>18.094090554044154</v>
      </c>
      <c r="S16" s="20">
        <f>((SUM('DRE + DCF'!$P$54,NPV($I16,'DRE + DCF'!$Q$54:$AZ$54,SUM('DRE + DCF'!$BA$54,('DRE + DCF'!$BB$46*(1-((S$18-'Projeções - Receita'!$BA$58)/('DRE + DCF'!$BC$43-'Projeções - Receita'!$BA$58)))*(1+S$18))/($I16-S$18))))/((1+$I16)^((5-$F$9)*3/12)))+SUM($F$13:$F$14))/$F$11</f>
        <v>18.13616221736438</v>
      </c>
      <c r="T16" s="41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ht="30" customHeight="1" x14ac:dyDescent="0.25">
      <c r="A17" s="21" t="s">
        <v>314</v>
      </c>
      <c r="B17" s="5"/>
      <c r="C17" s="5"/>
      <c r="D17" s="5"/>
      <c r="E17" s="16" t="str">
        <f>IF(F17=0,"",IF(F17&gt;0,"Upside","Downside"))</f>
        <v>Downside</v>
      </c>
      <c r="F17" s="28">
        <f>F15/F16-1</f>
        <v>-0.13134198295240795</v>
      </c>
      <c r="G17" s="24"/>
      <c r="H17" s="402"/>
      <c r="I17" s="19">
        <f t="shared" si="1"/>
        <v>0.15847175456576029</v>
      </c>
      <c r="J17" s="20">
        <f>((SUM('DRE + DCF'!$P$54,NPV($I17,'DRE + DCF'!$Q$54:$AZ$54,SUM('DRE + DCF'!$BA$54,('DRE + DCF'!$BB$46*(1-((J$18-'Projeções - Receita'!$BA$58)/('DRE + DCF'!$BC$43-'Projeções - Receita'!$BA$58)))*(1+J$18))/($I17-J$18))))/((1+$I17)^((5-$F$9)*3/12)))+SUM($F$13:$F$14))/$F$11</f>
        <v>16.238212359326194</v>
      </c>
      <c r="K17" s="20">
        <f>((SUM('DRE + DCF'!$P$54,NPV($I17,'DRE + DCF'!$Q$54:$AZ$54,SUM('DRE + DCF'!$BA$54,('DRE + DCF'!$BB$46*(1-((K$18-'Projeções - Receita'!$BA$58)/('DRE + DCF'!$BC$43-'Projeções - Receita'!$BA$58)))*(1+K$18))/($I17-K$18))))/((1+$I17)^((5-$F$9)*3/12)))+SUM($F$13:$F$14))/$F$11</f>
        <v>16.25470932702758</v>
      </c>
      <c r="L17" s="20">
        <f>((SUM('DRE + DCF'!$P$54,NPV($I17,'DRE + DCF'!$Q$54:$AZ$54,SUM('DRE + DCF'!$BA$54,('DRE + DCF'!$BB$46*(1-((L$18-'Projeções - Receita'!$BA$58)/('DRE + DCF'!$BC$43-'Projeções - Receita'!$BA$58)))*(1+L$18))/($I17-L$18))))/((1+$I17)^((5-$F$9)*3/12)))+SUM($F$13:$F$14))/$F$11</f>
        <v>16.271992090651818</v>
      </c>
      <c r="M17" s="20">
        <f>((SUM('DRE + DCF'!$P$54,NPV($I17,'DRE + DCF'!$Q$54:$AZ$54,SUM('DRE + DCF'!$BA$54,('DRE + DCF'!$BB$46*(1-((M$18-'Projeções - Receita'!$BA$58)/('DRE + DCF'!$BC$43-'Projeções - Receita'!$BA$58)))*(1+M$18))/($I17-M$18))))/((1+$I17)^((5-$F$9)*3/12)))+SUM($F$13:$F$14))/$F$11</f>
        <v>16.290136298515186</v>
      </c>
      <c r="N17" s="20">
        <f>((SUM('DRE + DCF'!$P$54,NPV($I17,'DRE + DCF'!$Q$54:$AZ$54,SUM('DRE + DCF'!$BA$54,('DRE + DCF'!$BB$46*(1-((N$18-'Projeções - Receita'!$BA$58)/('DRE + DCF'!$BC$43-'Projeções - Receita'!$BA$58)))*(1+N$18))/($I17-N$18))))/((1+$I17)^((5-$F$9)*3/12)))+SUM($F$13:$F$14))/$F$11</f>
        <v>16.309227631048309</v>
      </c>
      <c r="O17" s="20">
        <f>((SUM('DRE + DCF'!$P$54,NPV($I17,'DRE + DCF'!$Q$54:$AZ$54,SUM('DRE + DCF'!$BA$54,('DRE + DCF'!$BB$46*(1-((O$18-'Projeções - Receita'!$BA$58)/('DRE + DCF'!$BC$43-'Projeções - Receita'!$BA$58)))*(1+O$18))/($I17-O$18))))/((1+$I17)^((5-$F$9)*3/12)))+SUM($F$13:$F$14))/$F$11</f>
        <v>16.329363520835088</v>
      </c>
      <c r="P17" s="20">
        <f>((SUM('DRE + DCF'!$P$54,NPV($I17,'DRE + DCF'!$Q$54:$AZ$54,SUM('DRE + DCF'!$BA$54,('DRE + DCF'!$BB$46*(1-((P$18-'Projeções - Receita'!$BA$58)/('DRE + DCF'!$BC$43-'Projeções - Receita'!$BA$58)))*(1+P$18))/($I17-P$18))))/((1+$I17)^((5-$F$9)*3/12)))+SUM($F$13:$F$14))/$F$11</f>
        <v>16.350655239105311</v>
      </c>
      <c r="Q17" s="20">
        <f>((SUM('DRE + DCF'!$P$54,NPV($I17,'DRE + DCF'!$Q$54:$AZ$54,SUM('DRE + DCF'!$BA$54,('DRE + DCF'!$BB$46*(1-((Q$18-'Projeções - Receita'!$BA$58)/('DRE + DCF'!$BC$43-'Projeções - Receita'!$BA$58)))*(1+Q$18))/($I17-Q$18))))/((1+$I17)^((5-$F$9)*3/12)))+SUM($F$13:$F$14))/$F$11</f>
        <v>16.373230443118928</v>
      </c>
      <c r="R17" s="20">
        <f>((SUM('DRE + DCF'!$P$54,NPV($I17,'DRE + DCF'!$Q$54:$AZ$54,SUM('DRE + DCF'!$BA$54,('DRE + DCF'!$BB$46*(1-((R$18-'Projeções - Receita'!$BA$58)/('DRE + DCF'!$BC$43-'Projeções - Receita'!$BA$58)))*(1+R$18))/($I17-R$18))))/((1+$I17)^((5-$F$9)*3/12)))+SUM($F$13:$F$14))/$F$11</f>
        <v>16.397236307757861</v>
      </c>
      <c r="S17" s="20">
        <f>((SUM('DRE + DCF'!$P$54,NPV($I17,'DRE + DCF'!$Q$54:$AZ$54,SUM('DRE + DCF'!$BA$54,('DRE + DCF'!$BB$46*(1-((S$18-'Projeções - Receita'!$BA$58)/('DRE + DCF'!$BC$43-'Projeções - Receita'!$BA$58)))*(1+S$18))/($I17-S$18))))/((1+$I17)^((5-$F$9)*3/12)))+SUM($F$13:$F$14))/$F$11</f>
        <v>16.422843403847253</v>
      </c>
      <c r="T17" s="41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30" customHeight="1" x14ac:dyDescent="0.25">
      <c r="A18" s="21"/>
      <c r="B18" s="5"/>
      <c r="C18" s="5"/>
      <c r="D18" s="5"/>
      <c r="E18" s="16" t="s">
        <v>199</v>
      </c>
      <c r="F18" s="396">
        <v>0.13836559999999881</v>
      </c>
      <c r="G18" s="24"/>
      <c r="H18" s="24"/>
      <c r="I18" s="24"/>
      <c r="J18" s="19">
        <f t="shared" ref="J18:L18" si="2">K18-0.25%</f>
        <v>7.306560000000023E-2</v>
      </c>
      <c r="K18" s="19">
        <f t="shared" si="2"/>
        <v>7.5565600000000233E-2</v>
      </c>
      <c r="L18" s="19">
        <f t="shared" si="2"/>
        <v>7.8065600000000235E-2</v>
      </c>
      <c r="M18" s="19">
        <f>N18-0.25%</f>
        <v>8.0565600000000237E-2</v>
      </c>
      <c r="N18" s="19">
        <f t="shared" ref="N18" si="3">O18-0.25%</f>
        <v>8.3065600000000239E-2</v>
      </c>
      <c r="O18" s="19">
        <f>'DRE + DCF'!BD43</f>
        <v>8.5565600000000241E-2</v>
      </c>
      <c r="P18" s="19">
        <f>O18+0.25%</f>
        <v>8.8065600000000244E-2</v>
      </c>
      <c r="Q18" s="19">
        <f t="shared" ref="Q18:S18" si="4">P18+0.25%</f>
        <v>9.0565600000000246E-2</v>
      </c>
      <c r="R18" s="19">
        <f t="shared" si="4"/>
        <v>9.3065600000000248E-2</v>
      </c>
      <c r="S18" s="29">
        <f t="shared" si="4"/>
        <v>9.556560000000025E-2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ht="20.25" customHeight="1" thickBot="1" x14ac:dyDescent="0.3">
      <c r="A19" s="15"/>
      <c r="B19" s="5"/>
      <c r="C19" s="5"/>
      <c r="D19" s="5"/>
      <c r="E19" s="391"/>
      <c r="F19" s="397"/>
      <c r="G19" s="30"/>
      <c r="H19" s="30"/>
      <c r="I19" s="30"/>
      <c r="J19" s="400" t="s">
        <v>61</v>
      </c>
      <c r="K19" s="400"/>
      <c r="L19" s="400"/>
      <c r="M19" s="400"/>
      <c r="N19" s="400"/>
      <c r="O19" s="400"/>
      <c r="P19" s="400"/>
      <c r="Q19" s="400"/>
      <c r="R19" s="400"/>
      <c r="S19" s="401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ht="30" customHeight="1" x14ac:dyDescent="0.25">
      <c r="A20" s="15"/>
      <c r="B20" s="5"/>
      <c r="C20" s="5"/>
      <c r="D20" s="5"/>
      <c r="E20" s="5"/>
      <c r="F20" s="16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ht="30" customHeight="1" x14ac:dyDescent="0.25">
      <c r="A21" s="15"/>
      <c r="B21" s="5"/>
      <c r="C21" s="5"/>
      <c r="D21" s="5"/>
      <c r="E21" s="5"/>
      <c r="F21" s="5"/>
      <c r="G21" s="5"/>
      <c r="H21" s="5"/>
      <c r="I21" s="5"/>
      <c r="J21" s="5" t="s">
        <v>382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ht="30" customHeight="1" x14ac:dyDescent="0.25">
      <c r="A22" s="15"/>
      <c r="B22" s="5"/>
      <c r="C22" s="5"/>
      <c r="D22" s="5"/>
      <c r="E22" s="5"/>
      <c r="F22" s="395" t="e">
        <f>VLOOKUP(MIN(#REF!),#REF!,2,FALSE)</f>
        <v>#REF!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ht="30" customHeight="1" x14ac:dyDescent="0.25">
      <c r="A23" s="1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ht="30" customHeight="1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ht="30" customHeight="1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ht="30" customHeight="1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ht="30" customHeight="1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ht="30" customHeight="1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ht="30" customHeight="1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ht="30" customHeight="1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ht="30" hidden="1" customHeight="1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ht="30" hidden="1" customHeight="1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2:53" ht="15" hidden="1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2:53" ht="15" hidden="1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2:53" ht="15" hidden="1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2:53" ht="15" hidden="1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2:53" ht="15" hidden="1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2:53" ht="15" hidden="1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2:53" ht="15" hidden="1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2:53" ht="15" hidden="1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2:53" ht="15" hidden="1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2:53" ht="15" hidden="1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2:53" ht="15" hidden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2:53" ht="15" hidden="1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2:53" ht="15" hidden="1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2:53" ht="15" hidden="1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2:53" ht="15" hidden="1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2:53" ht="15" hidden="1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2:53" ht="15" hidden="1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2:53" ht="15" hidden="1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2:53" ht="15" hidden="1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2:53" ht="15" hidden="1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2:53" ht="15" hidden="1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2:53" ht="15" hidden="1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2:53" ht="15" hidden="1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2:53" ht="15" hidden="1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2:53" ht="15" hidden="1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2:53" ht="15" hidden="1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2:53" ht="15" hidden="1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2:53" ht="15" hidden="1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2:53" ht="15" hidden="1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2:53" ht="15" hidden="1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2:53" ht="15" hidden="1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2:53" ht="15" hidden="1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2:53" ht="15" hidden="1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2:53" ht="15" hidden="1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2:53" ht="15" hidden="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2:53" ht="15" hidden="1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2:53" ht="15" hidden="1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2:53" ht="15" hidden="1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2:53" ht="15" hidden="1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2:53" ht="15" hidden="1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2:53" ht="15" hidden="1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2:53" ht="15" hidden="1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2:53" ht="15" hidden="1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2:53" ht="15" hidden="1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2:53" ht="15" hidden="1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2:53" ht="15" hidden="1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2:53" ht="15" hidden="1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2:53" ht="15" hidden="1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2:53" ht="15" hidden="1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2:53" ht="15" hidden="1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2:53" ht="15" hidden="1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2:53" ht="15" hidden="1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2:53" ht="15" hidden="1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2:53" ht="15" hidden="1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2:53" ht="15" hidden="1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2:53" ht="15" hidden="1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2:53" ht="15" hidden="1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2:53" ht="15" hidden="1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2:53" ht="15" hidden="1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2:53" ht="15" hidden="1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2:53" ht="15" hidden="1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2:53" ht="15" hidden="1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2:53" ht="15" hidden="1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2:53" ht="15" hidden="1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2:53" ht="15" hidden="1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2:53" ht="15" hidden="1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2:53" ht="15" hidden="1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2:53" ht="15" hidden="1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2:53" ht="15" hidden="1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2:53" ht="15" hidden="1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2:53" ht="15" hidden="1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2:53" ht="15" hidden="1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2:53" ht="15" hidden="1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2:53" ht="15" hidden="1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2:53" ht="15" hidden="1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2:53" ht="15" hidden="1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2:53" ht="15" hidden="1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2:53" ht="15" hidden="1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2:53" ht="15" hidden="1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2:53" ht="15" hidden="1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2:53" ht="15" hidden="1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2:53" ht="15" hidden="1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2:53" ht="15" hidden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2:53" ht="15" hidden="1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2:53" ht="15" hidden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2:53" ht="15" hidden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2:53" ht="15" hidden="1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2:53" ht="15" hidden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2:53" ht="15" hidden="1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2:53" ht="15" hidden="1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2:53" ht="15" hidden="1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2:53" ht="15" hidden="1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2:53" ht="15" hidden="1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2:53" ht="15" hidden="1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2:53" ht="15" hidden="1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2:53" ht="15" hidden="1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2:53" ht="15" hidden="1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2:53" ht="15" hidden="1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2:53" ht="15" hidden="1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2:53" ht="15" hidden="1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2:53" ht="15" hidden="1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2:53" ht="15" hidden="1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2:53" ht="15" hidden="1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2:53" ht="15" hidden="1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2:53" ht="15" hidden="1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2:53" ht="15" hidden="1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2:53" ht="15" hidden="1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2:53" ht="15" hidden="1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spans="2:53" ht="15" hidden="1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2:53" ht="15" hidden="1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spans="2:53" ht="15" hidden="1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2:53" ht="15" hidden="1" customHeight="1" x14ac:dyDescent="0.25"/>
    <row r="145" ht="15" hidden="1" customHeight="1" x14ac:dyDescent="0.25"/>
    <row r="146" ht="15" hidden="1" customHeight="1" x14ac:dyDescent="0.25"/>
    <row r="147" ht="15" hidden="1" customHeight="1" x14ac:dyDescent="0.25"/>
    <row r="148" ht="15" hidden="1" customHeight="1" x14ac:dyDescent="0.25"/>
    <row r="149" ht="15" hidden="1" customHeight="1" x14ac:dyDescent="0.25"/>
    <row r="150" ht="15" hidden="1" customHeight="1" x14ac:dyDescent="0.25"/>
    <row r="151" ht="15" hidden="1" customHeight="1" x14ac:dyDescent="0.25"/>
  </sheetData>
  <mergeCells count="3">
    <mergeCell ref="J19:S19"/>
    <mergeCell ref="H9:H17"/>
    <mergeCell ref="I3:L5"/>
  </mergeCells>
  <conditionalFormatting sqref="F15">
    <cfRule type="cellIs" dxfId="136" priority="4" operator="lessThan">
      <formula>0</formula>
    </cfRule>
    <cfRule type="cellIs" dxfId="135" priority="5" operator="greaterThan">
      <formula>0</formula>
    </cfRule>
  </conditionalFormatting>
  <conditionalFormatting sqref="F17:F19">
    <cfRule type="cellIs" dxfId="134" priority="1" operator="lessThan">
      <formula>0</formula>
    </cfRule>
    <cfRule type="cellIs" dxfId="133" priority="2" operator="greaterThan">
      <formula>0</formula>
    </cfRule>
  </conditionalFormatting>
  <conditionalFormatting sqref="J9:S17">
    <cfRule type="colorScale" priority="3">
      <colorScale>
        <cfvo type="min"/>
        <cfvo type="max"/>
        <color rgb="FFCEF6CE"/>
        <color rgb="FF59BF59"/>
      </colorScale>
    </cfRule>
  </conditionalFormatting>
  <hyperlinks>
    <hyperlink ref="A9" location="WACC!A1" display="WACC" xr:uid="{00000000-0004-0000-0000-000000000000}"/>
    <hyperlink ref="A10" location="'DRE + DCF'!A1" display="DRE + DCF" xr:uid="{00000000-0004-0000-0000-000001000000}"/>
    <hyperlink ref="A11" location="'Contas Abertas'!A1" display="DRE - Contas Abertas" xr:uid="{00000000-0004-0000-0000-000002000000}"/>
    <hyperlink ref="A12" location="'Balanço Patrimonial'!A1" display="Balanço Patrimonial" xr:uid="{00000000-0004-0000-0000-000003000000}"/>
    <hyperlink ref="A13" location="'Painel de Índices'!A1" display="Painel de Índices" xr:uid="{00000000-0004-0000-0000-000004000000}"/>
    <hyperlink ref="A14" location="'Provisões e Processos'!A1" display="Provisões e Processos" xr:uid="{00000000-0004-0000-0000-000005000000}"/>
    <hyperlink ref="A15" location="'Projeções - Receita'!A1" display="Projeções - Receita" xr:uid="{00000000-0004-0000-0000-000006000000}"/>
    <hyperlink ref="A16" location="'Projeções - Capex'!A1" display="Projeções - Capex" xr:uid="{00000000-0004-0000-0000-000007000000}"/>
    <hyperlink ref="A17" location="'Projeções 2022'!A1" display="Projeções 2022" xr:uid="{00000000-0004-0000-00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3"/>
  <dimension ref="A1:BY151"/>
  <sheetViews>
    <sheetView showGridLines="0" zoomScale="80" zoomScaleNormal="80" zoomScaleSheetLayoutView="40" workbookViewId="0">
      <selection activeCell="F17" sqref="F17:AQ17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34.28515625" style="1" bestFit="1" customWidth="1"/>
    <col min="6" max="6" width="13.5703125" style="1" customWidth="1"/>
    <col min="7" max="43" width="10.85546875" style="1" customWidth="1"/>
    <col min="44" max="44" width="76.5703125" style="1" customWidth="1"/>
    <col min="45" max="48" width="9.140625" style="1" customWidth="1"/>
    <col min="49" max="61" width="9.140625" style="1" hidden="1" customWidth="1"/>
    <col min="62" max="69" width="0" style="1" hidden="1" customWidth="1"/>
    <col min="70" max="77" width="9.140625" style="1" hidden="1" customWidth="1"/>
    <col min="78" max="16384" width="0" style="1" hidden="1"/>
  </cols>
  <sheetData>
    <row r="1" spans="1:59" ht="15" customHeight="1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spans="1:59" ht="15" customHeight="1" x14ac:dyDescent="0.25">
      <c r="B2" s="5"/>
      <c r="C2" s="5"/>
      <c r="D2" s="5"/>
      <c r="E2" s="6"/>
      <c r="F2" s="6"/>
      <c r="G2" s="6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6"/>
      <c r="Y2" s="6"/>
      <c r="Z2" s="6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</row>
    <row r="3" spans="1:59" ht="15" customHeight="1" x14ac:dyDescent="0.25">
      <c r="B3" s="5"/>
      <c r="C3" s="5"/>
      <c r="D3" s="5"/>
      <c r="E3" s="6"/>
      <c r="F3" s="6"/>
      <c r="G3" s="6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405" t="str">
        <f>Dashboard!$I$3</f>
        <v>Raia Drogasil ($RADL3)</v>
      </c>
      <c r="T3" s="405"/>
      <c r="U3" s="405"/>
      <c r="V3" s="405"/>
      <c r="W3" s="405"/>
      <c r="X3" s="405"/>
      <c r="Y3" s="405"/>
      <c r="Z3" s="405"/>
      <c r="AA3" s="405"/>
      <c r="AB3" s="40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pans="1:59" ht="15" customHeight="1" x14ac:dyDescent="0.25">
      <c r="B4" s="5"/>
      <c r="C4" s="5"/>
      <c r="D4" s="5"/>
      <c r="E4" s="6"/>
      <c r="F4" s="6"/>
      <c r="G4" s="6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 spans="1:59" ht="15" customHeight="1" x14ac:dyDescent="0.25">
      <c r="B5" s="5"/>
      <c r="C5" s="5"/>
      <c r="D5" s="5"/>
      <c r="E5" s="6"/>
      <c r="F5" s="8"/>
      <c r="G5" s="6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405"/>
      <c r="T5" s="405"/>
      <c r="U5" s="405"/>
      <c r="V5" s="405"/>
      <c r="W5" s="405"/>
      <c r="X5" s="405"/>
      <c r="Y5" s="405"/>
      <c r="Z5" s="405"/>
      <c r="AA5" s="405"/>
      <c r="AB5" s="40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1:59" ht="15" customHeight="1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2"/>
      <c r="T6" s="52"/>
      <c r="U6" s="52"/>
      <c r="V6" s="52"/>
      <c r="W6" s="52"/>
      <c r="X6" s="52"/>
      <c r="Y6" s="52"/>
      <c r="Z6" s="52"/>
      <c r="AA6" s="52"/>
      <c r="AB6" s="52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</row>
    <row r="7" spans="1:59" s="11" customFormat="1" ht="24.75" customHeight="1" x14ac:dyDescent="0.25">
      <c r="A7" s="9" t="s">
        <v>68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</row>
    <row r="8" spans="1:59" ht="30" customHeight="1" x14ac:dyDescent="0.25">
      <c r="A8" s="15" t="s">
        <v>69</v>
      </c>
      <c r="B8" s="5"/>
      <c r="C8" s="5"/>
      <c r="D8" s="10"/>
      <c r="E8" s="54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1:59" ht="30" customHeight="1" x14ac:dyDescent="0.25">
      <c r="A9" s="12" t="s">
        <v>52</v>
      </c>
      <c r="B9" s="5"/>
      <c r="C9" s="5"/>
      <c r="D9" s="5"/>
      <c r="E9" s="55" t="s">
        <v>383</v>
      </c>
      <c r="F9" s="56">
        <v>2023</v>
      </c>
      <c r="G9" s="56">
        <f>F9+1</f>
        <v>2024</v>
      </c>
      <c r="H9" s="56">
        <f t="shared" ref="H9:P9" si="0">G9+1</f>
        <v>2025</v>
      </c>
      <c r="I9" s="56">
        <f t="shared" si="0"/>
        <v>2026</v>
      </c>
      <c r="J9" s="56">
        <f t="shared" si="0"/>
        <v>2027</v>
      </c>
      <c r="K9" s="56">
        <f t="shared" si="0"/>
        <v>2028</v>
      </c>
      <c r="L9" s="56">
        <f t="shared" si="0"/>
        <v>2029</v>
      </c>
      <c r="M9" s="56">
        <f t="shared" si="0"/>
        <v>2030</v>
      </c>
      <c r="N9" s="56">
        <f t="shared" si="0"/>
        <v>2031</v>
      </c>
      <c r="O9" s="56">
        <f t="shared" si="0"/>
        <v>2032</v>
      </c>
      <c r="P9" s="56">
        <f t="shared" si="0"/>
        <v>2033</v>
      </c>
      <c r="Q9" s="56">
        <f t="shared" ref="Q9" si="1">P9+1</f>
        <v>2034</v>
      </c>
      <c r="R9" s="56">
        <f t="shared" ref="R9" si="2">Q9+1</f>
        <v>2035</v>
      </c>
      <c r="S9" s="56">
        <f t="shared" ref="S9" si="3">R9+1</f>
        <v>2036</v>
      </c>
      <c r="T9" s="56">
        <f t="shared" ref="T9" si="4">S9+1</f>
        <v>2037</v>
      </c>
      <c r="U9" s="56">
        <f t="shared" ref="U9" si="5">T9+1</f>
        <v>2038</v>
      </c>
      <c r="V9" s="56">
        <f t="shared" ref="V9" si="6">U9+1</f>
        <v>2039</v>
      </c>
      <c r="W9" s="56">
        <f t="shared" ref="W9" si="7">V9+1</f>
        <v>2040</v>
      </c>
      <c r="X9" s="56">
        <f t="shared" ref="X9" si="8">W9+1</f>
        <v>2041</v>
      </c>
      <c r="Y9" s="56">
        <f t="shared" ref="Y9" si="9">X9+1</f>
        <v>2042</v>
      </c>
      <c r="Z9" s="56">
        <f t="shared" ref="Z9" si="10">Y9+1</f>
        <v>2043</v>
      </c>
      <c r="AA9" s="56">
        <f t="shared" ref="AA9" si="11">Z9+1</f>
        <v>2044</v>
      </c>
      <c r="AB9" s="56">
        <f t="shared" ref="AB9" si="12">AA9+1</f>
        <v>2045</v>
      </c>
      <c r="AC9" s="56">
        <f t="shared" ref="AC9" si="13">AB9+1</f>
        <v>2046</v>
      </c>
      <c r="AD9" s="56">
        <f t="shared" ref="AD9" si="14">AC9+1</f>
        <v>2047</v>
      </c>
      <c r="AE9" s="56">
        <f t="shared" ref="AE9" si="15">AD9+1</f>
        <v>2048</v>
      </c>
      <c r="AF9" s="56">
        <f t="shared" ref="AF9" si="16">AE9+1</f>
        <v>2049</v>
      </c>
      <c r="AG9" s="56">
        <f t="shared" ref="AG9" si="17">AF9+1</f>
        <v>2050</v>
      </c>
      <c r="AH9" s="56">
        <f t="shared" ref="AH9" si="18">AG9+1</f>
        <v>2051</v>
      </c>
      <c r="AI9" s="56">
        <f t="shared" ref="AI9" si="19">AH9+1</f>
        <v>2052</v>
      </c>
      <c r="AJ9" s="56">
        <f t="shared" ref="AJ9" si="20">AI9+1</f>
        <v>2053</v>
      </c>
      <c r="AK9" s="56">
        <f t="shared" ref="AK9" si="21">AJ9+1</f>
        <v>2054</v>
      </c>
      <c r="AL9" s="56">
        <f t="shared" ref="AL9" si="22">AK9+1</f>
        <v>2055</v>
      </c>
      <c r="AM9" s="56">
        <f t="shared" ref="AM9" si="23">AL9+1</f>
        <v>2056</v>
      </c>
      <c r="AN9" s="56">
        <f t="shared" ref="AN9" si="24">AM9+1</f>
        <v>2057</v>
      </c>
      <c r="AO9" s="56">
        <f t="shared" ref="AO9" si="25">AN9+1</f>
        <v>2058</v>
      </c>
      <c r="AP9" s="56">
        <f t="shared" ref="AP9" si="26">AO9+1</f>
        <v>2059</v>
      </c>
      <c r="AQ9" s="56">
        <f t="shared" ref="AQ9" si="27">AP9+1</f>
        <v>2060</v>
      </c>
      <c r="AR9" s="56" t="s">
        <v>49</v>
      </c>
      <c r="AS9" s="41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ht="30" customHeight="1" x14ac:dyDescent="0.25">
      <c r="A10" s="15" t="s">
        <v>70</v>
      </c>
      <c r="B10" s="5"/>
      <c r="C10" s="5"/>
      <c r="D10" s="5"/>
      <c r="E10" s="57" t="s">
        <v>341</v>
      </c>
      <c r="F10" s="58">
        <v>0.13671549999999999</v>
      </c>
      <c r="G10" s="58">
        <v>0.1296456</v>
      </c>
      <c r="H10" s="58">
        <v>0.11837830000000001</v>
      </c>
      <c r="I10" s="58">
        <v>0.11690519999999999</v>
      </c>
      <c r="J10" s="58">
        <v>0.1166546</v>
      </c>
      <c r="K10" s="58">
        <v>0.1170971</v>
      </c>
      <c r="L10" s="58">
        <v>0.117698</v>
      </c>
      <c r="M10" s="58">
        <v>0.11839760000000001</v>
      </c>
      <c r="N10" s="58">
        <v>0.1184996</v>
      </c>
      <c r="O10" s="58">
        <v>0.11849999999999999</v>
      </c>
      <c r="P10" s="58">
        <v>0.11849999999999999</v>
      </c>
      <c r="Q10" s="58">
        <f>P10</f>
        <v>0.11849999999999999</v>
      </c>
      <c r="R10" s="58">
        <f>Q10</f>
        <v>0.11849999999999999</v>
      </c>
      <c r="S10" s="58">
        <f t="shared" ref="S10" si="28">R10</f>
        <v>0.11849999999999999</v>
      </c>
      <c r="T10" s="58">
        <f>S10</f>
        <v>0.11849999999999999</v>
      </c>
      <c r="U10" s="58">
        <f t="shared" ref="U10:U12" si="29">T10</f>
        <v>0.11849999999999999</v>
      </c>
      <c r="V10" s="58">
        <f t="shared" ref="V10:V12" si="30">U10</f>
        <v>0.11849999999999999</v>
      </c>
      <c r="W10" s="58">
        <f t="shared" ref="W10:W12" si="31">V10</f>
        <v>0.11849999999999999</v>
      </c>
      <c r="X10" s="58">
        <f t="shared" ref="X10:X12" si="32">W10</f>
        <v>0.11849999999999999</v>
      </c>
      <c r="Y10" s="58">
        <f t="shared" ref="Y10:Y12" si="33">X10</f>
        <v>0.11849999999999999</v>
      </c>
      <c r="Z10" s="58">
        <f t="shared" ref="Z10:Z12" si="34">Y10</f>
        <v>0.11849999999999999</v>
      </c>
      <c r="AA10" s="58">
        <f t="shared" ref="AA10:AA12" si="35">Z10</f>
        <v>0.11849999999999999</v>
      </c>
      <c r="AB10" s="58">
        <f t="shared" ref="AB10:AB12" si="36">AA10</f>
        <v>0.11849999999999999</v>
      </c>
      <c r="AC10" s="58">
        <f t="shared" ref="AC10:AC12" si="37">AB10</f>
        <v>0.11849999999999999</v>
      </c>
      <c r="AD10" s="58">
        <f t="shared" ref="AD10:AD12" si="38">AC10</f>
        <v>0.11849999999999999</v>
      </c>
      <c r="AE10" s="58">
        <f t="shared" ref="AE10:AE12" si="39">AD10</f>
        <v>0.11849999999999999</v>
      </c>
      <c r="AF10" s="58">
        <f t="shared" ref="AF10:AF12" si="40">AE10</f>
        <v>0.11849999999999999</v>
      </c>
      <c r="AG10" s="58">
        <f t="shared" ref="AG10:AG12" si="41">AF10</f>
        <v>0.11849999999999999</v>
      </c>
      <c r="AH10" s="58">
        <f t="shared" ref="AH10:AH12" si="42">AG10</f>
        <v>0.11849999999999999</v>
      </c>
      <c r="AI10" s="58">
        <f t="shared" ref="AI10:AI12" si="43">AH10</f>
        <v>0.11849999999999999</v>
      </c>
      <c r="AJ10" s="58">
        <f t="shared" ref="AJ10:AJ12" si="44">AI10</f>
        <v>0.11849999999999999</v>
      </c>
      <c r="AK10" s="58">
        <f t="shared" ref="AK10:AK12" si="45">AJ10</f>
        <v>0.11849999999999999</v>
      </c>
      <c r="AL10" s="58">
        <f t="shared" ref="AL10:AL12" si="46">AK10</f>
        <v>0.11849999999999999</v>
      </c>
      <c r="AM10" s="58">
        <f t="shared" ref="AM10:AM12" si="47">AL10</f>
        <v>0.11849999999999999</v>
      </c>
      <c r="AN10" s="58">
        <f t="shared" ref="AN10:AN12" si="48">AM10</f>
        <v>0.11849999999999999</v>
      </c>
      <c r="AO10" s="58">
        <f t="shared" ref="AO10:AO12" si="49">AN10</f>
        <v>0.11849999999999999</v>
      </c>
      <c r="AP10" s="58">
        <f t="shared" ref="AP10:AP12" si="50">AO10</f>
        <v>0.11849999999999999</v>
      </c>
      <c r="AQ10" s="58">
        <f t="shared" ref="AQ10:AQ12" si="51">AP10</f>
        <v>0.11849999999999999</v>
      </c>
      <c r="AR10" s="335" t="s">
        <v>355</v>
      </c>
      <c r="AS10" s="41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1:59" ht="30" customHeight="1" x14ac:dyDescent="0.25">
      <c r="A11" s="21" t="s">
        <v>340</v>
      </c>
      <c r="B11" s="5"/>
      <c r="C11" s="5"/>
      <c r="D11" s="5"/>
      <c r="E11" s="57" t="s">
        <v>342</v>
      </c>
      <c r="F11" s="58">
        <v>8.7554130000000001E-3</v>
      </c>
      <c r="G11" s="58">
        <v>9.9042790000000002E-3</v>
      </c>
      <c r="H11" s="58">
        <v>1.4649629999999999E-2</v>
      </c>
      <c r="I11" s="58">
        <v>1.9415729999999999E-2</v>
      </c>
      <c r="J11" s="58">
        <v>2.4180476999999999E-2</v>
      </c>
      <c r="K11" s="58">
        <v>2.8611425999999999E-2</v>
      </c>
      <c r="L11" s="58">
        <v>3.1305623999999997E-2</v>
      </c>
      <c r="M11" s="58">
        <v>3.2702755E-2</v>
      </c>
      <c r="N11" s="58">
        <v>3.3554629000000002E-2</v>
      </c>
      <c r="O11" s="58">
        <v>3.4613059000000002E-2</v>
      </c>
      <c r="P11" s="58">
        <v>3.6629856000000002E-2</v>
      </c>
      <c r="Q11" s="58">
        <f>P11</f>
        <v>3.6629856000000002E-2</v>
      </c>
      <c r="R11" s="58">
        <f t="shared" ref="R11" si="52">Q11</f>
        <v>3.6629856000000002E-2</v>
      </c>
      <c r="S11" s="58">
        <f>R11</f>
        <v>3.6629856000000002E-2</v>
      </c>
      <c r="T11" s="58">
        <f t="shared" ref="T11" si="53">S11</f>
        <v>3.6629856000000002E-2</v>
      </c>
      <c r="U11" s="58">
        <f t="shared" si="29"/>
        <v>3.6629856000000002E-2</v>
      </c>
      <c r="V11" s="58">
        <f t="shared" si="30"/>
        <v>3.6629856000000002E-2</v>
      </c>
      <c r="W11" s="58">
        <f t="shared" si="31"/>
        <v>3.6629856000000002E-2</v>
      </c>
      <c r="X11" s="58">
        <f t="shared" si="32"/>
        <v>3.6629856000000002E-2</v>
      </c>
      <c r="Y11" s="58">
        <f t="shared" si="33"/>
        <v>3.6629856000000002E-2</v>
      </c>
      <c r="Z11" s="58">
        <f t="shared" si="34"/>
        <v>3.6629856000000002E-2</v>
      </c>
      <c r="AA11" s="58">
        <f t="shared" si="35"/>
        <v>3.6629856000000002E-2</v>
      </c>
      <c r="AB11" s="58">
        <f t="shared" si="36"/>
        <v>3.6629856000000002E-2</v>
      </c>
      <c r="AC11" s="58">
        <f t="shared" si="37"/>
        <v>3.6629856000000002E-2</v>
      </c>
      <c r="AD11" s="58">
        <f t="shared" si="38"/>
        <v>3.6629856000000002E-2</v>
      </c>
      <c r="AE11" s="58">
        <f t="shared" si="39"/>
        <v>3.6629856000000002E-2</v>
      </c>
      <c r="AF11" s="58">
        <f t="shared" si="40"/>
        <v>3.6629856000000002E-2</v>
      </c>
      <c r="AG11" s="58">
        <f t="shared" si="41"/>
        <v>3.6629856000000002E-2</v>
      </c>
      <c r="AH11" s="58">
        <f t="shared" si="42"/>
        <v>3.6629856000000002E-2</v>
      </c>
      <c r="AI11" s="58">
        <f t="shared" si="43"/>
        <v>3.6629856000000002E-2</v>
      </c>
      <c r="AJ11" s="58">
        <f t="shared" si="44"/>
        <v>3.6629856000000002E-2</v>
      </c>
      <c r="AK11" s="58">
        <f t="shared" si="45"/>
        <v>3.6629856000000002E-2</v>
      </c>
      <c r="AL11" s="58">
        <f t="shared" si="46"/>
        <v>3.6629856000000002E-2</v>
      </c>
      <c r="AM11" s="58">
        <f t="shared" si="47"/>
        <v>3.6629856000000002E-2</v>
      </c>
      <c r="AN11" s="58">
        <f t="shared" si="48"/>
        <v>3.6629856000000002E-2</v>
      </c>
      <c r="AO11" s="58">
        <f t="shared" si="49"/>
        <v>3.6629856000000002E-2</v>
      </c>
      <c r="AP11" s="58">
        <f t="shared" si="50"/>
        <v>3.6629856000000002E-2</v>
      </c>
      <c r="AQ11" s="58">
        <f t="shared" si="51"/>
        <v>3.6629856000000002E-2</v>
      </c>
      <c r="AR11" s="58" t="s">
        <v>356</v>
      </c>
      <c r="AS11" s="41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ht="30" customHeight="1" x14ac:dyDescent="0.25">
      <c r="A12" s="15" t="s">
        <v>71</v>
      </c>
      <c r="B12" s="5"/>
      <c r="C12" s="5"/>
      <c r="D12" s="5"/>
      <c r="E12" s="57" t="s">
        <v>381</v>
      </c>
      <c r="F12" s="377">
        <v>6.6879999999999995E-2</v>
      </c>
      <c r="G12" s="377">
        <v>5.3030000000000001E-2</v>
      </c>
      <c r="H12" s="377">
        <v>6.9629999999999997E-2</v>
      </c>
      <c r="I12" s="377">
        <v>6.6559999999999994E-2</v>
      </c>
      <c r="J12" s="377">
        <v>7.1129999999999999E-2</v>
      </c>
      <c r="K12" s="377">
        <v>6.9150000000000003E-2</v>
      </c>
      <c r="L12" s="377">
        <v>7.392E-2</v>
      </c>
      <c r="M12" s="377">
        <v>7.356E-2</v>
      </c>
      <c r="N12" s="377">
        <v>6.6269999999999996E-2</v>
      </c>
      <c r="O12" s="377">
        <v>6.1539999999999997E-2</v>
      </c>
      <c r="P12" s="377">
        <v>6.4280000000000004E-2</v>
      </c>
      <c r="Q12" s="58">
        <f>P12</f>
        <v>6.4280000000000004E-2</v>
      </c>
      <c r="R12" s="58">
        <f>Q12</f>
        <v>6.4280000000000004E-2</v>
      </c>
      <c r="S12" s="58">
        <f t="shared" ref="S12" si="54">R12</f>
        <v>6.4280000000000004E-2</v>
      </c>
      <c r="T12" s="58">
        <f>S12</f>
        <v>6.4280000000000004E-2</v>
      </c>
      <c r="U12" s="58">
        <f t="shared" si="29"/>
        <v>6.4280000000000004E-2</v>
      </c>
      <c r="V12" s="58">
        <f t="shared" si="30"/>
        <v>6.4280000000000004E-2</v>
      </c>
      <c r="W12" s="58">
        <f t="shared" si="31"/>
        <v>6.4280000000000004E-2</v>
      </c>
      <c r="X12" s="58">
        <f t="shared" si="32"/>
        <v>6.4280000000000004E-2</v>
      </c>
      <c r="Y12" s="58">
        <f t="shared" si="33"/>
        <v>6.4280000000000004E-2</v>
      </c>
      <c r="Z12" s="58">
        <f t="shared" si="34"/>
        <v>6.4280000000000004E-2</v>
      </c>
      <c r="AA12" s="58">
        <f t="shared" si="35"/>
        <v>6.4280000000000004E-2</v>
      </c>
      <c r="AB12" s="58">
        <f t="shared" si="36"/>
        <v>6.4280000000000004E-2</v>
      </c>
      <c r="AC12" s="58">
        <f t="shared" si="37"/>
        <v>6.4280000000000004E-2</v>
      </c>
      <c r="AD12" s="58">
        <f t="shared" si="38"/>
        <v>6.4280000000000004E-2</v>
      </c>
      <c r="AE12" s="58">
        <f t="shared" si="39"/>
        <v>6.4280000000000004E-2</v>
      </c>
      <c r="AF12" s="58">
        <f t="shared" si="40"/>
        <v>6.4280000000000004E-2</v>
      </c>
      <c r="AG12" s="58">
        <f t="shared" si="41"/>
        <v>6.4280000000000004E-2</v>
      </c>
      <c r="AH12" s="58">
        <f t="shared" si="42"/>
        <v>6.4280000000000004E-2</v>
      </c>
      <c r="AI12" s="58">
        <f t="shared" si="43"/>
        <v>6.4280000000000004E-2</v>
      </c>
      <c r="AJ12" s="58">
        <f t="shared" si="44"/>
        <v>6.4280000000000004E-2</v>
      </c>
      <c r="AK12" s="58">
        <f t="shared" si="45"/>
        <v>6.4280000000000004E-2</v>
      </c>
      <c r="AL12" s="58">
        <f t="shared" si="46"/>
        <v>6.4280000000000004E-2</v>
      </c>
      <c r="AM12" s="58">
        <f t="shared" si="47"/>
        <v>6.4280000000000004E-2</v>
      </c>
      <c r="AN12" s="58">
        <f t="shared" si="48"/>
        <v>6.4280000000000004E-2</v>
      </c>
      <c r="AO12" s="58">
        <f t="shared" si="49"/>
        <v>6.4280000000000004E-2</v>
      </c>
      <c r="AP12" s="58">
        <f t="shared" si="50"/>
        <v>6.4280000000000004E-2</v>
      </c>
      <c r="AQ12" s="58">
        <f t="shared" si="51"/>
        <v>6.4280000000000004E-2</v>
      </c>
      <c r="AR12" s="58"/>
      <c r="AS12" s="41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1:59" ht="30" customHeight="1" x14ac:dyDescent="0.25">
      <c r="A13" s="21" t="s">
        <v>333</v>
      </c>
      <c r="B13" s="5"/>
      <c r="C13" s="5"/>
      <c r="D13" s="5"/>
      <c r="E13" s="59" t="s">
        <v>343</v>
      </c>
      <c r="F13" s="60">
        <f t="shared" ref="F13:AQ13" si="55">F10-F11</f>
        <v>0.127960087</v>
      </c>
      <c r="G13" s="60">
        <f t="shared" si="55"/>
        <v>0.119741321</v>
      </c>
      <c r="H13" s="60">
        <f t="shared" si="55"/>
        <v>0.10372867000000001</v>
      </c>
      <c r="I13" s="60">
        <f t="shared" si="55"/>
        <v>9.7489469999999995E-2</v>
      </c>
      <c r="J13" s="60">
        <f t="shared" si="55"/>
        <v>9.2474122999999991E-2</v>
      </c>
      <c r="K13" s="60">
        <f t="shared" si="55"/>
        <v>8.8485674E-2</v>
      </c>
      <c r="L13" s="60">
        <f t="shared" si="55"/>
        <v>8.6392375999999993E-2</v>
      </c>
      <c r="M13" s="60">
        <f t="shared" si="55"/>
        <v>8.5694845000000006E-2</v>
      </c>
      <c r="N13" s="60">
        <f t="shared" si="55"/>
        <v>8.4944970999999994E-2</v>
      </c>
      <c r="O13" s="60">
        <f t="shared" si="55"/>
        <v>8.3886940999999993E-2</v>
      </c>
      <c r="P13" s="60">
        <f t="shared" si="55"/>
        <v>8.1870143999999992E-2</v>
      </c>
      <c r="Q13" s="60">
        <f t="shared" si="55"/>
        <v>8.1870143999999992E-2</v>
      </c>
      <c r="R13" s="60">
        <f t="shared" si="55"/>
        <v>8.1870143999999992E-2</v>
      </c>
      <c r="S13" s="60">
        <f t="shared" si="55"/>
        <v>8.1870143999999992E-2</v>
      </c>
      <c r="T13" s="60">
        <f t="shared" si="55"/>
        <v>8.1870143999999992E-2</v>
      </c>
      <c r="U13" s="60">
        <f t="shared" si="55"/>
        <v>8.1870143999999992E-2</v>
      </c>
      <c r="V13" s="60">
        <f t="shared" si="55"/>
        <v>8.1870143999999992E-2</v>
      </c>
      <c r="W13" s="60">
        <f t="shared" si="55"/>
        <v>8.1870143999999992E-2</v>
      </c>
      <c r="X13" s="60">
        <f t="shared" si="55"/>
        <v>8.1870143999999992E-2</v>
      </c>
      <c r="Y13" s="60">
        <f t="shared" si="55"/>
        <v>8.1870143999999992E-2</v>
      </c>
      <c r="Z13" s="60">
        <f t="shared" si="55"/>
        <v>8.1870143999999992E-2</v>
      </c>
      <c r="AA13" s="60">
        <f t="shared" si="55"/>
        <v>8.1870143999999992E-2</v>
      </c>
      <c r="AB13" s="60">
        <f t="shared" si="55"/>
        <v>8.1870143999999992E-2</v>
      </c>
      <c r="AC13" s="60">
        <f t="shared" si="55"/>
        <v>8.1870143999999992E-2</v>
      </c>
      <c r="AD13" s="60">
        <f t="shared" si="55"/>
        <v>8.1870143999999992E-2</v>
      </c>
      <c r="AE13" s="60">
        <f t="shared" si="55"/>
        <v>8.1870143999999992E-2</v>
      </c>
      <c r="AF13" s="60">
        <f t="shared" si="55"/>
        <v>8.1870143999999992E-2</v>
      </c>
      <c r="AG13" s="60">
        <f t="shared" si="55"/>
        <v>8.1870143999999992E-2</v>
      </c>
      <c r="AH13" s="60">
        <f t="shared" si="55"/>
        <v>8.1870143999999992E-2</v>
      </c>
      <c r="AI13" s="60">
        <f t="shared" si="55"/>
        <v>8.1870143999999992E-2</v>
      </c>
      <c r="AJ13" s="60">
        <f t="shared" si="55"/>
        <v>8.1870143999999992E-2</v>
      </c>
      <c r="AK13" s="60">
        <f t="shared" si="55"/>
        <v>8.1870143999999992E-2</v>
      </c>
      <c r="AL13" s="60">
        <f t="shared" si="55"/>
        <v>8.1870143999999992E-2</v>
      </c>
      <c r="AM13" s="60">
        <f t="shared" si="55"/>
        <v>8.1870143999999992E-2</v>
      </c>
      <c r="AN13" s="60">
        <f t="shared" si="55"/>
        <v>8.1870143999999992E-2</v>
      </c>
      <c r="AO13" s="60">
        <f t="shared" si="55"/>
        <v>8.1870143999999992E-2</v>
      </c>
      <c r="AP13" s="60">
        <f t="shared" si="55"/>
        <v>8.1870143999999992E-2</v>
      </c>
      <c r="AQ13" s="60">
        <f t="shared" si="55"/>
        <v>8.1870143999999992E-2</v>
      </c>
      <c r="AR13" s="60"/>
      <c r="AS13" s="41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ht="30" customHeight="1" x14ac:dyDescent="0.25">
      <c r="A14" s="21" t="s">
        <v>198</v>
      </c>
      <c r="B14" s="5"/>
      <c r="C14" s="5"/>
      <c r="D14" s="5"/>
      <c r="E14" s="57" t="s">
        <v>352</v>
      </c>
      <c r="F14" s="61">
        <v>0.88382000000000005</v>
      </c>
      <c r="G14" s="61">
        <f>F14</f>
        <v>0.88382000000000005</v>
      </c>
      <c r="H14" s="61">
        <f>G14</f>
        <v>0.88382000000000005</v>
      </c>
      <c r="I14" s="61">
        <f t="shared" ref="I14" si="56">H14</f>
        <v>0.88382000000000005</v>
      </c>
      <c r="J14" s="61">
        <f t="shared" ref="J14" si="57">I14</f>
        <v>0.88382000000000005</v>
      </c>
      <c r="K14" s="61">
        <f t="shared" ref="K14" si="58">J14</f>
        <v>0.88382000000000005</v>
      </c>
      <c r="L14" s="61">
        <f t="shared" ref="L14" si="59">K14</f>
        <v>0.88382000000000005</v>
      </c>
      <c r="M14" s="61">
        <f t="shared" ref="M14" si="60">L14</f>
        <v>0.88382000000000005</v>
      </c>
      <c r="N14" s="61">
        <f t="shared" ref="N14" si="61">M14</f>
        <v>0.88382000000000005</v>
      </c>
      <c r="O14" s="61">
        <f t="shared" ref="O14" si="62">N14</f>
        <v>0.88382000000000005</v>
      </c>
      <c r="P14" s="61">
        <f t="shared" ref="P14" si="63">O14</f>
        <v>0.88382000000000005</v>
      </c>
      <c r="Q14" s="61">
        <f t="shared" ref="Q14" si="64">P14</f>
        <v>0.88382000000000005</v>
      </c>
      <c r="R14" s="61">
        <f t="shared" ref="R14" si="65">Q14</f>
        <v>0.88382000000000005</v>
      </c>
      <c r="S14" s="61">
        <f t="shared" ref="S14" si="66">R14</f>
        <v>0.88382000000000005</v>
      </c>
      <c r="T14" s="61">
        <f t="shared" ref="T14" si="67">S14</f>
        <v>0.88382000000000005</v>
      </c>
      <c r="U14" s="61">
        <f t="shared" ref="U14" si="68">T14</f>
        <v>0.88382000000000005</v>
      </c>
      <c r="V14" s="61">
        <f t="shared" ref="V14" si="69">U14</f>
        <v>0.88382000000000005</v>
      </c>
      <c r="W14" s="61">
        <f t="shared" ref="W14" si="70">V14</f>
        <v>0.88382000000000005</v>
      </c>
      <c r="X14" s="61">
        <f t="shared" ref="X14" si="71">W14</f>
        <v>0.88382000000000005</v>
      </c>
      <c r="Y14" s="61">
        <f t="shared" ref="Y14" si="72">X14</f>
        <v>0.88382000000000005</v>
      </c>
      <c r="Z14" s="61">
        <f t="shared" ref="Z14" si="73">Y14</f>
        <v>0.88382000000000005</v>
      </c>
      <c r="AA14" s="61">
        <f t="shared" ref="AA14" si="74">Z14</f>
        <v>0.88382000000000005</v>
      </c>
      <c r="AB14" s="61">
        <f t="shared" ref="AB14" si="75">AA14</f>
        <v>0.88382000000000005</v>
      </c>
      <c r="AC14" s="61">
        <f t="shared" ref="AC14" si="76">AB14</f>
        <v>0.88382000000000005</v>
      </c>
      <c r="AD14" s="61">
        <f t="shared" ref="AD14" si="77">AC14</f>
        <v>0.88382000000000005</v>
      </c>
      <c r="AE14" s="61">
        <f t="shared" ref="AE14" si="78">AD14</f>
        <v>0.88382000000000005</v>
      </c>
      <c r="AF14" s="61">
        <f t="shared" ref="AF14" si="79">AE14</f>
        <v>0.88382000000000005</v>
      </c>
      <c r="AG14" s="61">
        <f t="shared" ref="AG14" si="80">AF14</f>
        <v>0.88382000000000005</v>
      </c>
      <c r="AH14" s="61">
        <f t="shared" ref="AH14" si="81">AG14</f>
        <v>0.88382000000000005</v>
      </c>
      <c r="AI14" s="61">
        <f t="shared" ref="AI14" si="82">AH14</f>
        <v>0.88382000000000005</v>
      </c>
      <c r="AJ14" s="61">
        <f t="shared" ref="AJ14" si="83">AI14</f>
        <v>0.88382000000000005</v>
      </c>
      <c r="AK14" s="61">
        <f t="shared" ref="AK14" si="84">AJ14</f>
        <v>0.88382000000000005</v>
      </c>
      <c r="AL14" s="61">
        <f t="shared" ref="AL14" si="85">AK14</f>
        <v>0.88382000000000005</v>
      </c>
      <c r="AM14" s="61">
        <f t="shared" ref="AM14" si="86">AL14</f>
        <v>0.88382000000000005</v>
      </c>
      <c r="AN14" s="61">
        <f t="shared" ref="AN14" si="87">AM14</f>
        <v>0.88382000000000005</v>
      </c>
      <c r="AO14" s="61">
        <f t="shared" ref="AO14" si="88">AN14</f>
        <v>0.88382000000000005</v>
      </c>
      <c r="AP14" s="61">
        <f t="shared" ref="AP14" si="89">AO14</f>
        <v>0.88382000000000005</v>
      </c>
      <c r="AQ14" s="61">
        <f t="shared" ref="AQ14" si="90">AP14</f>
        <v>0.88382000000000005</v>
      </c>
      <c r="AR14" s="336" t="s">
        <v>353</v>
      </c>
      <c r="AS14" s="41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59" ht="30" customHeight="1" x14ac:dyDescent="0.25">
      <c r="A15" s="15" t="s">
        <v>305</v>
      </c>
      <c r="B15" s="5"/>
      <c r="C15" s="5"/>
      <c r="D15" s="5"/>
      <c r="E15" s="57" t="s">
        <v>344</v>
      </c>
      <c r="F15" s="62">
        <v>6.5000000000000002E-2</v>
      </c>
      <c r="G15" s="62">
        <v>6.5000000000000002E-2</v>
      </c>
      <c r="H15" s="62">
        <v>6.5000000000000002E-2</v>
      </c>
      <c r="I15" s="62">
        <v>6.5000000000000002E-2</v>
      </c>
      <c r="J15" s="62">
        <v>6.5000000000000002E-2</v>
      </c>
      <c r="K15" s="62">
        <v>6.5000000000000002E-2</v>
      </c>
      <c r="L15" s="62">
        <v>6.5000000000000002E-2</v>
      </c>
      <c r="M15" s="62">
        <v>6.5000000000000002E-2</v>
      </c>
      <c r="N15" s="62">
        <v>6.5000000000000002E-2</v>
      </c>
      <c r="O15" s="62">
        <v>6.5000000000000002E-2</v>
      </c>
      <c r="P15" s="62">
        <v>6.5000000000000002E-2</v>
      </c>
      <c r="Q15" s="62">
        <v>6.5000000000000002E-2</v>
      </c>
      <c r="R15" s="62">
        <v>6.5000000000000002E-2</v>
      </c>
      <c r="S15" s="62">
        <v>6.5000000000000002E-2</v>
      </c>
      <c r="T15" s="62">
        <v>6.5000000000000002E-2</v>
      </c>
      <c r="U15" s="62">
        <v>6.5000000000000002E-2</v>
      </c>
      <c r="V15" s="62">
        <v>6.5000000000000002E-2</v>
      </c>
      <c r="W15" s="62">
        <v>6.5000000000000002E-2</v>
      </c>
      <c r="X15" s="62">
        <v>6.5000000000000002E-2</v>
      </c>
      <c r="Y15" s="62">
        <v>6.5000000000000002E-2</v>
      </c>
      <c r="Z15" s="62">
        <v>6.5000000000000002E-2</v>
      </c>
      <c r="AA15" s="62">
        <v>6.5000000000000002E-2</v>
      </c>
      <c r="AB15" s="62">
        <v>6.5000000000000002E-2</v>
      </c>
      <c r="AC15" s="62">
        <v>6.5000000000000002E-2</v>
      </c>
      <c r="AD15" s="62">
        <v>6.5000000000000002E-2</v>
      </c>
      <c r="AE15" s="62">
        <v>6.5000000000000002E-2</v>
      </c>
      <c r="AF15" s="62">
        <v>6.5000000000000002E-2</v>
      </c>
      <c r="AG15" s="62">
        <v>6.5000000000000002E-2</v>
      </c>
      <c r="AH15" s="62">
        <v>6.5000000000000002E-2</v>
      </c>
      <c r="AI15" s="62">
        <v>6.5000000000000002E-2</v>
      </c>
      <c r="AJ15" s="62">
        <v>6.5000000000000002E-2</v>
      </c>
      <c r="AK15" s="62">
        <v>6.5000000000000002E-2</v>
      </c>
      <c r="AL15" s="62">
        <v>6.5000000000000002E-2</v>
      </c>
      <c r="AM15" s="62">
        <v>6.5000000000000002E-2</v>
      </c>
      <c r="AN15" s="62">
        <v>6.5000000000000002E-2</v>
      </c>
      <c r="AO15" s="62">
        <v>6.5000000000000002E-2</v>
      </c>
      <c r="AP15" s="62">
        <v>6.5000000000000002E-2</v>
      </c>
      <c r="AQ15" s="62">
        <v>6.5000000000000002E-2</v>
      </c>
      <c r="AR15" s="62" t="s">
        <v>351</v>
      </c>
      <c r="AS15" s="41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ht="30" customHeight="1" x14ac:dyDescent="0.25">
      <c r="A16" s="21" t="s">
        <v>358</v>
      </c>
      <c r="B16" s="5"/>
      <c r="C16" s="5"/>
      <c r="D16" s="5"/>
      <c r="E16" s="59" t="s">
        <v>48</v>
      </c>
      <c r="F16" s="63">
        <f>F13+(F14*F15)</f>
        <v>0.18540838700000001</v>
      </c>
      <c r="G16" s="63">
        <f t="shared" ref="G16:AQ16" si="91">G13+(G14*G15)</f>
        <v>0.17718962100000002</v>
      </c>
      <c r="H16" s="63">
        <f t="shared" si="91"/>
        <v>0.16117697000000003</v>
      </c>
      <c r="I16" s="63">
        <f t="shared" si="91"/>
        <v>0.15493777</v>
      </c>
      <c r="J16" s="63">
        <f t="shared" si="91"/>
        <v>0.149922423</v>
      </c>
      <c r="K16" s="63">
        <f t="shared" si="91"/>
        <v>0.14593397400000002</v>
      </c>
      <c r="L16" s="63">
        <f t="shared" si="91"/>
        <v>0.143840676</v>
      </c>
      <c r="M16" s="63">
        <f t="shared" si="91"/>
        <v>0.14314314500000003</v>
      </c>
      <c r="N16" s="63">
        <f t="shared" si="91"/>
        <v>0.14239327099999999</v>
      </c>
      <c r="O16" s="63">
        <f t="shared" si="91"/>
        <v>0.141335241</v>
      </c>
      <c r="P16" s="63">
        <f t="shared" si="91"/>
        <v>0.13931844399999999</v>
      </c>
      <c r="Q16" s="63">
        <f t="shared" si="91"/>
        <v>0.13931844399999999</v>
      </c>
      <c r="R16" s="63">
        <f t="shared" si="91"/>
        <v>0.13931844399999999</v>
      </c>
      <c r="S16" s="63">
        <f t="shared" si="91"/>
        <v>0.13931844399999999</v>
      </c>
      <c r="T16" s="63">
        <f t="shared" si="91"/>
        <v>0.13931844399999999</v>
      </c>
      <c r="U16" s="63">
        <f t="shared" si="91"/>
        <v>0.13931844399999999</v>
      </c>
      <c r="V16" s="63">
        <f t="shared" si="91"/>
        <v>0.13931844399999999</v>
      </c>
      <c r="W16" s="63">
        <f t="shared" si="91"/>
        <v>0.13931844399999999</v>
      </c>
      <c r="X16" s="63">
        <f t="shared" si="91"/>
        <v>0.13931844399999999</v>
      </c>
      <c r="Y16" s="63">
        <f t="shared" si="91"/>
        <v>0.13931844399999999</v>
      </c>
      <c r="Z16" s="63">
        <f t="shared" si="91"/>
        <v>0.13931844399999999</v>
      </c>
      <c r="AA16" s="63">
        <f t="shared" si="91"/>
        <v>0.13931844399999999</v>
      </c>
      <c r="AB16" s="63">
        <f t="shared" si="91"/>
        <v>0.13931844399999999</v>
      </c>
      <c r="AC16" s="63">
        <f t="shared" si="91"/>
        <v>0.13931844399999999</v>
      </c>
      <c r="AD16" s="63">
        <f t="shared" si="91"/>
        <v>0.13931844399999999</v>
      </c>
      <c r="AE16" s="63">
        <f t="shared" si="91"/>
        <v>0.13931844399999999</v>
      </c>
      <c r="AF16" s="63">
        <f t="shared" si="91"/>
        <v>0.13931844399999999</v>
      </c>
      <c r="AG16" s="63">
        <f t="shared" si="91"/>
        <v>0.13931844399999999</v>
      </c>
      <c r="AH16" s="63">
        <f t="shared" si="91"/>
        <v>0.13931844399999999</v>
      </c>
      <c r="AI16" s="63">
        <f t="shared" si="91"/>
        <v>0.13931844399999999</v>
      </c>
      <c r="AJ16" s="63">
        <f t="shared" si="91"/>
        <v>0.13931844399999999</v>
      </c>
      <c r="AK16" s="63">
        <f t="shared" si="91"/>
        <v>0.13931844399999999</v>
      </c>
      <c r="AL16" s="63">
        <f t="shared" si="91"/>
        <v>0.13931844399999999</v>
      </c>
      <c r="AM16" s="63">
        <f t="shared" si="91"/>
        <v>0.13931844399999999</v>
      </c>
      <c r="AN16" s="63">
        <f t="shared" si="91"/>
        <v>0.13931844399999999</v>
      </c>
      <c r="AO16" s="63">
        <f t="shared" si="91"/>
        <v>0.13931844399999999</v>
      </c>
      <c r="AP16" s="63">
        <f t="shared" si="91"/>
        <v>0.13931844399999999</v>
      </c>
      <c r="AQ16" s="63">
        <f t="shared" si="91"/>
        <v>0.13931844399999999</v>
      </c>
      <c r="AR16" s="63"/>
      <c r="AS16" s="41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</row>
    <row r="17" spans="1:59" ht="30" customHeight="1" x14ac:dyDescent="0.25">
      <c r="A17" s="21" t="s">
        <v>314</v>
      </c>
      <c r="B17" s="5"/>
      <c r="C17" s="5"/>
      <c r="D17" s="5"/>
      <c r="E17" s="57" t="s">
        <v>376</v>
      </c>
      <c r="F17" s="64">
        <v>36287500</v>
      </c>
      <c r="G17" s="64">
        <v>36287500</v>
      </c>
      <c r="H17" s="64">
        <v>36287500</v>
      </c>
      <c r="I17" s="64">
        <v>36287500</v>
      </c>
      <c r="J17" s="64">
        <v>36287500</v>
      </c>
      <c r="K17" s="64">
        <v>36287500</v>
      </c>
      <c r="L17" s="64">
        <v>36287500</v>
      </c>
      <c r="M17" s="64">
        <v>36287500</v>
      </c>
      <c r="N17" s="64">
        <v>36287500</v>
      </c>
      <c r="O17" s="64">
        <v>36287500</v>
      </c>
      <c r="P17" s="64">
        <v>36287500</v>
      </c>
      <c r="Q17" s="64">
        <v>36287500</v>
      </c>
      <c r="R17" s="64">
        <v>36287500</v>
      </c>
      <c r="S17" s="64">
        <v>36287500</v>
      </c>
      <c r="T17" s="64">
        <v>36287500</v>
      </c>
      <c r="U17" s="64">
        <v>36287500</v>
      </c>
      <c r="V17" s="64">
        <v>36287500</v>
      </c>
      <c r="W17" s="64">
        <v>36287500</v>
      </c>
      <c r="X17" s="64">
        <v>36287500</v>
      </c>
      <c r="Y17" s="64">
        <v>36287500</v>
      </c>
      <c r="Z17" s="64">
        <v>36287500</v>
      </c>
      <c r="AA17" s="64">
        <v>36287500</v>
      </c>
      <c r="AB17" s="64">
        <v>36287500</v>
      </c>
      <c r="AC17" s="64">
        <v>36287500</v>
      </c>
      <c r="AD17" s="64">
        <v>36287500</v>
      </c>
      <c r="AE17" s="64">
        <v>36287500</v>
      </c>
      <c r="AF17" s="64">
        <v>36287500</v>
      </c>
      <c r="AG17" s="64">
        <v>36287500</v>
      </c>
      <c r="AH17" s="64">
        <v>36287500</v>
      </c>
      <c r="AI17" s="64">
        <v>36287500</v>
      </c>
      <c r="AJ17" s="64">
        <v>36287500</v>
      </c>
      <c r="AK17" s="64">
        <v>36287500</v>
      </c>
      <c r="AL17" s="64">
        <v>36287500</v>
      </c>
      <c r="AM17" s="64">
        <v>36287500</v>
      </c>
      <c r="AN17" s="64">
        <v>36287500</v>
      </c>
      <c r="AO17" s="64">
        <v>36287500</v>
      </c>
      <c r="AP17" s="64">
        <v>36287500</v>
      </c>
      <c r="AQ17" s="64">
        <v>36287500</v>
      </c>
      <c r="AR17" s="337" t="s">
        <v>379</v>
      </c>
      <c r="AS17" s="41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ht="30" customHeight="1" x14ac:dyDescent="0.25">
      <c r="A18" s="15"/>
      <c r="B18" s="5"/>
      <c r="C18" s="5"/>
      <c r="D18" s="10"/>
      <c r="E18" s="59" t="s">
        <v>50</v>
      </c>
      <c r="F18" s="63">
        <f t="shared" ref="F18:AQ18" si="92">F10+1.49%</f>
        <v>0.15161549999999999</v>
      </c>
      <c r="G18" s="63">
        <f t="shared" si="92"/>
        <v>0.1445456</v>
      </c>
      <c r="H18" s="63">
        <f t="shared" si="92"/>
        <v>0.13327830000000002</v>
      </c>
      <c r="I18" s="63">
        <f t="shared" si="92"/>
        <v>0.13180519999999998</v>
      </c>
      <c r="J18" s="63">
        <f t="shared" si="92"/>
        <v>0.13155459999999999</v>
      </c>
      <c r="K18" s="63">
        <f t="shared" si="92"/>
        <v>0.13199710000000001</v>
      </c>
      <c r="L18" s="63">
        <f t="shared" si="92"/>
        <v>0.13259799999999999</v>
      </c>
      <c r="M18" s="63">
        <f t="shared" si="92"/>
        <v>0.13329760000000002</v>
      </c>
      <c r="N18" s="63">
        <f t="shared" si="92"/>
        <v>0.13339960000000001</v>
      </c>
      <c r="O18" s="63">
        <f t="shared" si="92"/>
        <v>0.13339999999999999</v>
      </c>
      <c r="P18" s="63">
        <f t="shared" si="92"/>
        <v>0.13339999999999999</v>
      </c>
      <c r="Q18" s="63">
        <f t="shared" si="92"/>
        <v>0.13339999999999999</v>
      </c>
      <c r="R18" s="63">
        <f t="shared" si="92"/>
        <v>0.13339999999999999</v>
      </c>
      <c r="S18" s="63">
        <f t="shared" si="92"/>
        <v>0.13339999999999999</v>
      </c>
      <c r="T18" s="63">
        <f t="shared" si="92"/>
        <v>0.13339999999999999</v>
      </c>
      <c r="U18" s="63">
        <f t="shared" si="92"/>
        <v>0.13339999999999999</v>
      </c>
      <c r="V18" s="63">
        <f t="shared" si="92"/>
        <v>0.13339999999999999</v>
      </c>
      <c r="W18" s="63">
        <f t="shared" si="92"/>
        <v>0.13339999999999999</v>
      </c>
      <c r="X18" s="63">
        <f t="shared" si="92"/>
        <v>0.13339999999999999</v>
      </c>
      <c r="Y18" s="63">
        <f t="shared" si="92"/>
        <v>0.13339999999999999</v>
      </c>
      <c r="Z18" s="63">
        <f t="shared" si="92"/>
        <v>0.13339999999999999</v>
      </c>
      <c r="AA18" s="63">
        <f t="shared" si="92"/>
        <v>0.13339999999999999</v>
      </c>
      <c r="AB18" s="63">
        <f t="shared" si="92"/>
        <v>0.13339999999999999</v>
      </c>
      <c r="AC18" s="63">
        <f t="shared" si="92"/>
        <v>0.13339999999999999</v>
      </c>
      <c r="AD18" s="63">
        <f t="shared" si="92"/>
        <v>0.13339999999999999</v>
      </c>
      <c r="AE18" s="63">
        <f t="shared" si="92"/>
        <v>0.13339999999999999</v>
      </c>
      <c r="AF18" s="63">
        <f t="shared" si="92"/>
        <v>0.13339999999999999</v>
      </c>
      <c r="AG18" s="63">
        <f t="shared" si="92"/>
        <v>0.13339999999999999</v>
      </c>
      <c r="AH18" s="63">
        <f t="shared" si="92"/>
        <v>0.13339999999999999</v>
      </c>
      <c r="AI18" s="63">
        <f t="shared" si="92"/>
        <v>0.13339999999999999</v>
      </c>
      <c r="AJ18" s="63">
        <f t="shared" si="92"/>
        <v>0.13339999999999999</v>
      </c>
      <c r="AK18" s="63">
        <f t="shared" si="92"/>
        <v>0.13339999999999999</v>
      </c>
      <c r="AL18" s="63">
        <f t="shared" si="92"/>
        <v>0.13339999999999999</v>
      </c>
      <c r="AM18" s="63">
        <f t="shared" si="92"/>
        <v>0.13339999999999999</v>
      </c>
      <c r="AN18" s="63">
        <f t="shared" si="92"/>
        <v>0.13339999999999999</v>
      </c>
      <c r="AO18" s="63">
        <f t="shared" si="92"/>
        <v>0.13339999999999999</v>
      </c>
      <c r="AP18" s="63">
        <f t="shared" si="92"/>
        <v>0.13339999999999999</v>
      </c>
      <c r="AQ18" s="63">
        <f t="shared" si="92"/>
        <v>0.13339999999999999</v>
      </c>
      <c r="AR18" s="339" t="s">
        <v>377</v>
      </c>
      <c r="AS18" s="41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ht="30" customHeight="1" x14ac:dyDescent="0.25">
      <c r="A19" s="15"/>
      <c r="B19" s="5"/>
      <c r="C19" s="5"/>
      <c r="D19" s="10"/>
      <c r="E19" s="57" t="s">
        <v>345</v>
      </c>
      <c r="F19" s="65">
        <f>('Balanço Patrimonial'!$O$43+'Balanço Patrimonial'!$O$47+'Balanço Patrimonial'!$O$49+'Balanço Patrimonial'!$O$55)</f>
        <v>6057912</v>
      </c>
      <c r="G19" s="65">
        <f t="shared" ref="G19" si="93">F19</f>
        <v>6057912</v>
      </c>
      <c r="H19" s="65">
        <f t="shared" ref="H19" si="94">G19</f>
        <v>6057912</v>
      </c>
      <c r="I19" s="65">
        <f t="shared" ref="I19" si="95">H19</f>
        <v>6057912</v>
      </c>
      <c r="J19" s="65">
        <f t="shared" ref="J19" si="96">I19</f>
        <v>6057912</v>
      </c>
      <c r="K19" s="65">
        <f t="shared" ref="K19" si="97">J19</f>
        <v>6057912</v>
      </c>
      <c r="L19" s="65">
        <f t="shared" ref="L19" si="98">K19</f>
        <v>6057912</v>
      </c>
      <c r="M19" s="65">
        <f t="shared" ref="M19" si="99">L19</f>
        <v>6057912</v>
      </c>
      <c r="N19" s="65">
        <f t="shared" ref="N19" si="100">M19</f>
        <v>6057912</v>
      </c>
      <c r="O19" s="65">
        <f t="shared" ref="O19" si="101">N19</f>
        <v>6057912</v>
      </c>
      <c r="P19" s="65">
        <f t="shared" ref="P19" si="102">O19</f>
        <v>6057912</v>
      </c>
      <c r="Q19" s="65">
        <f t="shared" ref="Q19" si="103">P19</f>
        <v>6057912</v>
      </c>
      <c r="R19" s="65">
        <f t="shared" ref="R19" si="104">Q19</f>
        <v>6057912</v>
      </c>
      <c r="S19" s="65">
        <f t="shared" ref="S19" si="105">R19</f>
        <v>6057912</v>
      </c>
      <c r="T19" s="65">
        <f t="shared" ref="T19" si="106">S19</f>
        <v>6057912</v>
      </c>
      <c r="U19" s="65">
        <f t="shared" ref="U19" si="107">T19</f>
        <v>6057912</v>
      </c>
      <c r="V19" s="65">
        <f t="shared" ref="V19" si="108">U19</f>
        <v>6057912</v>
      </c>
      <c r="W19" s="65">
        <f t="shared" ref="W19" si="109">V19</f>
        <v>6057912</v>
      </c>
      <c r="X19" s="65">
        <f t="shared" ref="X19" si="110">W19</f>
        <v>6057912</v>
      </c>
      <c r="Y19" s="65">
        <f t="shared" ref="Y19" si="111">X19</f>
        <v>6057912</v>
      </c>
      <c r="Z19" s="65">
        <f t="shared" ref="Z19" si="112">Y19</f>
        <v>6057912</v>
      </c>
      <c r="AA19" s="65">
        <f t="shared" ref="AA19" si="113">Z19</f>
        <v>6057912</v>
      </c>
      <c r="AB19" s="65">
        <f t="shared" ref="AB19" si="114">AA19</f>
        <v>6057912</v>
      </c>
      <c r="AC19" s="65">
        <f t="shared" ref="AC19" si="115">AB19</f>
        <v>6057912</v>
      </c>
      <c r="AD19" s="65">
        <f t="shared" ref="AD19" si="116">AC19</f>
        <v>6057912</v>
      </c>
      <c r="AE19" s="65">
        <f t="shared" ref="AE19" si="117">AD19</f>
        <v>6057912</v>
      </c>
      <c r="AF19" s="65">
        <f t="shared" ref="AF19" si="118">AE19</f>
        <v>6057912</v>
      </c>
      <c r="AG19" s="65">
        <f t="shared" ref="AG19" si="119">AF19</f>
        <v>6057912</v>
      </c>
      <c r="AH19" s="65">
        <f t="shared" ref="AH19" si="120">AG19</f>
        <v>6057912</v>
      </c>
      <c r="AI19" s="65">
        <f t="shared" ref="AI19" si="121">AH19</f>
        <v>6057912</v>
      </c>
      <c r="AJ19" s="65">
        <f t="shared" ref="AJ19" si="122">AI19</f>
        <v>6057912</v>
      </c>
      <c r="AK19" s="65">
        <f t="shared" ref="AK19" si="123">AJ19</f>
        <v>6057912</v>
      </c>
      <c r="AL19" s="65">
        <f t="shared" ref="AL19" si="124">AK19</f>
        <v>6057912</v>
      </c>
      <c r="AM19" s="65">
        <f t="shared" ref="AM19" si="125">AL19</f>
        <v>6057912</v>
      </c>
      <c r="AN19" s="65">
        <f t="shared" ref="AN19" si="126">AM19</f>
        <v>6057912</v>
      </c>
      <c r="AO19" s="65">
        <f t="shared" ref="AO19" si="127">AN19</f>
        <v>6057912</v>
      </c>
      <c r="AP19" s="65">
        <f t="shared" ref="AP19" si="128">AO19</f>
        <v>6057912</v>
      </c>
      <c r="AQ19" s="65">
        <f t="shared" ref="AQ19" si="129">AP19</f>
        <v>6057912</v>
      </c>
      <c r="AR19" s="338" t="s">
        <v>354</v>
      </c>
      <c r="AS19" s="41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ht="30" customHeight="1" x14ac:dyDescent="0.25">
      <c r="A20" s="406"/>
      <c r="B20" s="5"/>
      <c r="C20" s="5"/>
      <c r="D20" s="5"/>
      <c r="E20" s="59" t="s">
        <v>52</v>
      </c>
      <c r="F20" s="60">
        <f t="shared" ref="F20:AQ20" si="130">((F16*F17)+(F18*F19))/(F17+F19)</f>
        <v>0.18057399465374194</v>
      </c>
      <c r="G20" s="60">
        <f t="shared" si="130"/>
        <v>0.17251958480944052</v>
      </c>
      <c r="H20" s="60">
        <f t="shared" si="130"/>
        <v>0.15718580118631509</v>
      </c>
      <c r="I20" s="60">
        <f t="shared" si="130"/>
        <v>0.1516284369040358</v>
      </c>
      <c r="J20" s="60">
        <f t="shared" si="130"/>
        <v>0.1472947320622999</v>
      </c>
      <c r="K20" s="60">
        <f t="shared" si="130"/>
        <v>0.14394017225715505</v>
      </c>
      <c r="L20" s="60">
        <f t="shared" si="130"/>
        <v>0.14223230478253462</v>
      </c>
      <c r="M20" s="60">
        <f t="shared" si="130"/>
        <v>0.14173464659639398</v>
      </c>
      <c r="N20" s="60">
        <f t="shared" si="130"/>
        <v>0.14110664123536451</v>
      </c>
      <c r="O20" s="60">
        <f t="shared" si="130"/>
        <v>0.1402000296652563</v>
      </c>
      <c r="P20" s="60">
        <f t="shared" si="130"/>
        <v>0.13847175456576027</v>
      </c>
      <c r="Q20" s="60">
        <f t="shared" si="130"/>
        <v>0.13847175456576027</v>
      </c>
      <c r="R20" s="60">
        <f t="shared" si="130"/>
        <v>0.13847175456576027</v>
      </c>
      <c r="S20" s="60">
        <f t="shared" si="130"/>
        <v>0.13847175456576027</v>
      </c>
      <c r="T20" s="60">
        <f t="shared" si="130"/>
        <v>0.13847175456576027</v>
      </c>
      <c r="U20" s="60">
        <f t="shared" si="130"/>
        <v>0.13847175456576027</v>
      </c>
      <c r="V20" s="60">
        <f t="shared" si="130"/>
        <v>0.13847175456576027</v>
      </c>
      <c r="W20" s="60">
        <f t="shared" si="130"/>
        <v>0.13847175456576027</v>
      </c>
      <c r="X20" s="60">
        <f t="shared" si="130"/>
        <v>0.13847175456576027</v>
      </c>
      <c r="Y20" s="60">
        <f t="shared" si="130"/>
        <v>0.13847175456576027</v>
      </c>
      <c r="Z20" s="60">
        <f t="shared" si="130"/>
        <v>0.13847175456576027</v>
      </c>
      <c r="AA20" s="60">
        <f t="shared" si="130"/>
        <v>0.13847175456576027</v>
      </c>
      <c r="AB20" s="60">
        <f t="shared" si="130"/>
        <v>0.13847175456576027</v>
      </c>
      <c r="AC20" s="60">
        <f t="shared" si="130"/>
        <v>0.13847175456576027</v>
      </c>
      <c r="AD20" s="60">
        <f t="shared" si="130"/>
        <v>0.13847175456576027</v>
      </c>
      <c r="AE20" s="60">
        <f t="shared" si="130"/>
        <v>0.13847175456576027</v>
      </c>
      <c r="AF20" s="60">
        <f t="shared" si="130"/>
        <v>0.13847175456576027</v>
      </c>
      <c r="AG20" s="60">
        <f t="shared" si="130"/>
        <v>0.13847175456576027</v>
      </c>
      <c r="AH20" s="60">
        <f t="shared" si="130"/>
        <v>0.13847175456576027</v>
      </c>
      <c r="AI20" s="60">
        <f t="shared" si="130"/>
        <v>0.13847175456576027</v>
      </c>
      <c r="AJ20" s="60">
        <f t="shared" si="130"/>
        <v>0.13847175456576027</v>
      </c>
      <c r="AK20" s="60">
        <f t="shared" si="130"/>
        <v>0.13847175456576027</v>
      </c>
      <c r="AL20" s="60">
        <f t="shared" si="130"/>
        <v>0.13847175456576027</v>
      </c>
      <c r="AM20" s="60">
        <f t="shared" si="130"/>
        <v>0.13847175456576027</v>
      </c>
      <c r="AN20" s="60">
        <f t="shared" si="130"/>
        <v>0.13847175456576027</v>
      </c>
      <c r="AO20" s="60">
        <f t="shared" si="130"/>
        <v>0.13847175456576027</v>
      </c>
      <c r="AP20" s="60">
        <f t="shared" si="130"/>
        <v>0.13847175456576027</v>
      </c>
      <c r="AQ20" s="60">
        <f t="shared" si="130"/>
        <v>0.13847175456576027</v>
      </c>
      <c r="AR20" s="60"/>
      <c r="AS20" s="41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1:59" ht="30" customHeight="1" thickBot="1" x14ac:dyDescent="0.3">
      <c r="A21" s="406"/>
      <c r="B21" s="5"/>
      <c r="C21" s="5"/>
      <c r="D21" s="5"/>
      <c r="E21" s="248" t="s">
        <v>338</v>
      </c>
      <c r="F21" s="249">
        <f>(1+F20)^((5-Dashboard!$F$9)*3/12)</f>
        <v>1.1805739946537419</v>
      </c>
      <c r="G21" s="249">
        <f t="shared" ref="G21" si="131">F21*(1+G20)</f>
        <v>1.3842461300482281</v>
      </c>
      <c r="H21" s="249">
        <f t="shared" ref="H21" si="132">G21*(1+H20)</f>
        <v>1.6018299670389151</v>
      </c>
      <c r="I21" s="249">
        <f t="shared" ref="I21" si="133">H21*(1+I20)</f>
        <v>1.8447129411270689</v>
      </c>
      <c r="J21" s="249">
        <f t="shared" ref="J21" si="134">I21*(1+J20)</f>
        <v>2.1164294395222378</v>
      </c>
      <c r="K21" s="249">
        <f t="shared" ref="K21" si="135">J21*(1+K20)</f>
        <v>2.4210686576171825</v>
      </c>
      <c r="L21" s="249">
        <f t="shared" ref="L21" si="136">K21*(1+L20)</f>
        <v>2.7654228328268315</v>
      </c>
      <c r="M21" s="249">
        <f t="shared" ref="M21" si="137">L21*(1+M20)</f>
        <v>3.1573790607271413</v>
      </c>
      <c r="N21" s="249">
        <f t="shared" ref="N21" si="138">M21*(1+N20)</f>
        <v>3.6029062150932183</v>
      </c>
      <c r="O21" s="249">
        <f t="shared" ref="O21" si="139">N21*(1+O20)</f>
        <v>4.1080337733304244</v>
      </c>
      <c r="P21" s="249">
        <f t="shared" ref="P21" si="140">O21*(1+P20)</f>
        <v>4.6768804177388894</v>
      </c>
      <c r="Q21" s="249">
        <f t="shared" ref="Q21" si="141">P21*(1+Q20)</f>
        <v>5.32449625507744</v>
      </c>
      <c r="R21" s="249">
        <f t="shared" ref="R21" si="142">Q21*(1+R20)</f>
        <v>6.061788593696833</v>
      </c>
      <c r="S21" s="249">
        <f t="shared" ref="S21" si="143">R21*(1+S20)</f>
        <v>6.9011750960727465</v>
      </c>
      <c r="T21" s="249">
        <f t="shared" ref="T21" si="144">S21*(1+T20)</f>
        <v>7.8567929201914692</v>
      </c>
      <c r="U21" s="249">
        <f t="shared" ref="U21" si="145">T21*(1+U20)</f>
        <v>8.9447368211102258</v>
      </c>
      <c r="V21" s="249">
        <f t="shared" ref="V21" si="146">U21*(1+V20)</f>
        <v>10.18333022285832</v>
      </c>
      <c r="W21" s="249">
        <f t="shared" ref="W21" si="147">V21*(1+W20)</f>
        <v>11.593433826140046</v>
      </c>
      <c r="X21" s="249">
        <f t="shared" ref="X21" si="148">W21*(1+X20)</f>
        <v>13.198796949487695</v>
      </c>
      <c r="Y21" s="249">
        <f t="shared" ref="Y21" si="149">X21*(1+Y20)</f>
        <v>15.026457521240461</v>
      </c>
      <c r="Z21" s="249">
        <f t="shared" ref="Z21" si="150">Y21*(1+Z20)</f>
        <v>17.107197459114495</v>
      </c>
      <c r="AA21" s="249">
        <f t="shared" ref="AA21" si="151">Z21*(1+AA20)</f>
        <v>19.476061106980996</v>
      </c>
      <c r="AB21" s="249">
        <f t="shared" ref="AB21" si="152">AA21*(1+AB20)</f>
        <v>22.172945460494621</v>
      </c>
      <c r="AC21" s="249">
        <f t="shared" ref="AC21" si="153">AB21*(1+AC20)</f>
        <v>25.243272122300223</v>
      </c>
      <c r="AD21" s="249">
        <f t="shared" ref="AD21" si="154">AC21*(1+AD20)</f>
        <v>28.738752304056078</v>
      </c>
      <c r="AE21" s="249">
        <f t="shared" ref="AE21" si="155">AD21*(1+AE20)</f>
        <v>32.718257759629509</v>
      </c>
      <c r="AF21" s="249">
        <f t="shared" ref="AF21" si="156">AE21*(1+AF20)</f>
        <v>37.248812317940207</v>
      </c>
      <c r="AG21" s="249">
        <f t="shared" ref="AG21" si="157">AF21*(1+AG20)</f>
        <v>42.406720715096093</v>
      </c>
      <c r="AH21" s="249">
        <f t="shared" ref="AH21" si="158">AG21*(1+AH20)</f>
        <v>48.278853737895624</v>
      </c>
      <c r="AI21" s="249">
        <f t="shared" ref="AI21" si="159">AH21*(1+AI20)</f>
        <v>54.964111323405746</v>
      </c>
      <c r="AJ21" s="249">
        <f t="shared" ref="AJ21" si="160">AI21*(1+AJ20)</f>
        <v>62.575088256505516</v>
      </c>
      <c r="AK21" s="249">
        <f t="shared" ref="AK21" si="161">AJ21*(1+AK20)</f>
        <v>71.239970519491138</v>
      </c>
      <c r="AL21" s="249">
        <f t="shared" ref="AL21" si="162">AK21*(1+AL20)</f>
        <v>81.104694232538122</v>
      </c>
      <c r="AM21" s="249">
        <f t="shared" ref="AM21" si="163">AL21*(1+AM20)</f>
        <v>92.335403546437178</v>
      </c>
      <c r="AN21" s="249">
        <f t="shared" ref="AN21" si="164">AM21*(1+AN20)</f>
        <v>105.12124888404986</v>
      </c>
      <c r="AO21" s="249">
        <f t="shared" ref="AO21" si="165">AN21*(1+AO20)</f>
        <v>119.67757265916822</v>
      </c>
      <c r="AP21" s="249">
        <f t="shared" ref="AP21" si="166">AO21*(1+AP20)</f>
        <v>136.24953612745452</v>
      </c>
      <c r="AQ21" s="249">
        <f t="shared" ref="AQ21" si="167">AP21*(1+AQ20)</f>
        <v>155.1162484537941</v>
      </c>
      <c r="AR21" s="249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ht="30" customHeight="1" x14ac:dyDescent="0.25">
      <c r="B22" s="5"/>
      <c r="C22" s="5"/>
      <c r="D22" s="5"/>
      <c r="E22" s="5"/>
      <c r="F22" s="38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 ht="30" customHeight="1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ht="30" customHeight="1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1:59" ht="30" customHeight="1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1:59" ht="30" customHeight="1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spans="1:59" ht="15" hidden="1" customHeight="1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ht="15" hidden="1" customHeight="1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1:59" ht="15" hidden="1" customHeight="1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spans="1:59" ht="15" hidden="1" customHeight="1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 spans="1:59" ht="15" hidden="1" customHeight="1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spans="1:59" ht="15" hidden="1" customHeight="1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 spans="2:59" ht="15" hidden="1" customHeight="1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 spans="2:59" ht="15" hidden="1" customHeight="1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 spans="2:59" ht="15" hidden="1" customHeight="1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 spans="2:59" ht="15" hidden="1" customHeight="1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 spans="2:59" ht="15" hidden="1" customHeight="1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 spans="2:59" ht="15" hidden="1" customHeight="1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 spans="2:59" ht="15" hidden="1" customHeight="1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spans="2:59" ht="15" hidden="1" customHeight="1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 spans="2:59" ht="15" hidden="1" customHeight="1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 spans="2:59" ht="15" hidden="1" customHeight="1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 spans="2:59" ht="15" hidden="1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 spans="2:59" ht="15" hidden="1" customHeight="1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 spans="2:59" ht="15" hidden="1" customHeight="1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 spans="2:59" ht="15" hidden="1" customHeight="1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 spans="2:59" ht="15" hidden="1" customHeight="1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 spans="2:59" ht="15" hidden="1" customHeight="1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 spans="2:59" ht="15" hidden="1" customHeight="1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 spans="2:59" ht="15" hidden="1" customHeight="1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 spans="2:59" ht="15" hidden="1" customHeight="1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 spans="2:59" ht="15" hidden="1" customHeight="1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 spans="2:59" ht="15" hidden="1" customHeight="1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 spans="2:59" ht="15" hidden="1" customHeight="1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 spans="2:59" ht="15" hidden="1" customHeight="1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 spans="2:59" ht="15" hidden="1" customHeight="1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 spans="2:59" ht="15" hidden="1" customHeight="1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 spans="2:59" ht="15" hidden="1" customHeight="1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 spans="2:59" ht="15" hidden="1" customHeight="1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 spans="2:59" ht="15" hidden="1" customHeight="1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 spans="2:59" ht="15" hidden="1" customHeight="1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 spans="2:59" ht="15" hidden="1" customHeight="1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 spans="2:59" ht="15" hidden="1" customHeight="1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 spans="2:59" ht="15" hidden="1" customHeight="1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2:59" ht="15" hidden="1" customHeight="1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 spans="2:59" ht="15" hidden="1" customHeight="1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 spans="2:59" ht="15" hidden="1" customHeight="1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 spans="2:59" ht="15" hidden="1" customHeight="1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 spans="2:59" ht="15" hidden="1" customHeight="1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 spans="2:59" ht="15" hidden="1" customHeight="1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 spans="2:59" ht="15" hidden="1" customHeight="1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 spans="2:59" ht="15" hidden="1" customHeight="1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 spans="2:59" ht="15" hidden="1" customHeight="1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 spans="2:59" ht="15" hidden="1" customHeight="1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 spans="2:59" ht="15" hidden="1" customHeight="1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 spans="2:59" ht="15" hidden="1" customHeight="1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 spans="2:59" ht="15" hidden="1" customHeight="1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 spans="2:59" ht="15" hidden="1" customHeight="1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 spans="2:59" ht="15" hidden="1" customHeight="1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 spans="2:59" ht="15" hidden="1" customHeight="1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 spans="2:59" ht="15" hidden="1" customHeight="1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 spans="2:59" ht="15" hidden="1" customHeight="1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 spans="2:59" ht="15" hidden="1" customHeight="1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 spans="2:59" ht="15" hidden="1" customHeight="1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 spans="2:59" ht="15" hidden="1" customHeight="1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 spans="2:59" ht="15" hidden="1" customHeight="1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 spans="2:59" ht="15" hidden="1" customHeight="1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 spans="2:59" ht="15" hidden="1" customHeight="1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</row>
    <row r="89" spans="2:59" ht="15" hidden="1" customHeight="1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</row>
    <row r="90" spans="2:59" ht="15" hidden="1" customHeight="1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</row>
    <row r="91" spans="2:59" ht="15" hidden="1" customHeight="1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</row>
    <row r="92" spans="2:59" ht="15" hidden="1" customHeight="1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</row>
    <row r="93" spans="2:59" ht="15" hidden="1" customHeight="1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</row>
    <row r="94" spans="2:59" ht="15" hidden="1" customHeight="1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</row>
    <row r="95" spans="2:59" ht="15" hidden="1" customHeight="1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 spans="2:59" ht="15" hidden="1" customHeight="1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</row>
    <row r="97" spans="2:59" ht="15" hidden="1" customHeight="1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</row>
    <row r="98" spans="2:59" ht="15" hidden="1" customHeight="1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</row>
    <row r="99" spans="2:59" ht="15" hidden="1" customHeight="1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</row>
    <row r="100" spans="2:59" ht="15" hidden="1" customHeight="1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 spans="2:59" ht="15" hidden="1" customHeight="1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 spans="2:59" ht="15" hidden="1" customHeight="1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 spans="2:59" ht="15" hidden="1" customHeight="1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 spans="2:59" ht="15" hidden="1" customHeight="1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 spans="2:59" ht="15" hidden="1" customHeight="1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 spans="2:59" ht="15" hidden="1" customHeight="1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</row>
    <row r="107" spans="2:59" ht="15" hidden="1" customHeight="1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</row>
    <row r="108" spans="2:59" ht="15" hidden="1" customHeight="1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</row>
    <row r="109" spans="2:59" ht="15" hidden="1" customHeight="1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</row>
    <row r="110" spans="2:59" ht="15" hidden="1" customHeight="1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</row>
    <row r="111" spans="2:59" ht="15" hidden="1" customHeight="1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r="112" spans="2:59" ht="15" hidden="1" customHeight="1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 spans="2:59" ht="15" hidden="1" customHeight="1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</row>
    <row r="114" spans="2:59" ht="15" hidden="1" customHeight="1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</row>
    <row r="115" spans="2:59" ht="15" hidden="1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</row>
    <row r="116" spans="2:59" ht="15" hidden="1" customHeight="1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 spans="2:59" ht="15" hidden="1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8" spans="2:59" ht="15" hidden="1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</row>
    <row r="119" spans="2:59" ht="15" hidden="1" customHeight="1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 spans="2:59" ht="15" hidden="1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 spans="2:59" ht="15" hidden="1" customHeight="1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</row>
    <row r="122" spans="2:59" ht="15" hidden="1" customHeight="1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 spans="2:59" ht="15" hidden="1" customHeight="1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 spans="2:59" ht="15" hidden="1" customHeight="1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 spans="2:59" ht="15" hidden="1" customHeight="1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 spans="2:59" ht="15" hidden="1" customHeight="1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 spans="2:59" ht="15" hidden="1" customHeight="1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 spans="2:59" ht="15" hidden="1" customHeight="1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</row>
    <row r="129" spans="2:59" ht="15" hidden="1" customHeight="1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</row>
    <row r="130" spans="2:59" ht="15" hidden="1" customHeight="1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</row>
    <row r="131" spans="2:59" ht="15" hidden="1" customHeight="1" x14ac:dyDescent="0.25">
      <c r="B131" s="5"/>
      <c r="C131" s="5"/>
      <c r="D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</row>
    <row r="132" spans="2:59" ht="15" hidden="1" customHeight="1" x14ac:dyDescent="0.25">
      <c r="B132" s="5"/>
      <c r="C132" s="5"/>
      <c r="D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</row>
    <row r="133" spans="2:59" ht="15" hidden="1" customHeight="1" x14ac:dyDescent="0.25">
      <c r="B133" s="5"/>
      <c r="C133" s="5"/>
      <c r="D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</row>
    <row r="134" spans="2:59" ht="15" hidden="1" customHeight="1" x14ac:dyDescent="0.25">
      <c r="B134" s="5"/>
      <c r="C134" s="5"/>
      <c r="D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</row>
    <row r="135" spans="2:59" ht="15" hidden="1" customHeight="1" x14ac:dyDescent="0.25">
      <c r="B135" s="5"/>
      <c r="C135" s="5"/>
      <c r="D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</row>
    <row r="136" spans="2:59" ht="15" hidden="1" customHeight="1" x14ac:dyDescent="0.25">
      <c r="B136" s="5"/>
      <c r="C136" s="5"/>
      <c r="D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</row>
    <row r="137" spans="2:59" ht="15" hidden="1" customHeight="1" x14ac:dyDescent="0.25">
      <c r="B137" s="5"/>
      <c r="C137" s="5"/>
      <c r="D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</row>
    <row r="138" spans="2:59" ht="15" hidden="1" customHeight="1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 spans="2:59" ht="15" hidden="1" customHeight="1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</row>
    <row r="140" spans="2:59" ht="15" hidden="1" customHeight="1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</row>
    <row r="141" spans="2:59" ht="15" hidden="1" customHeight="1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</row>
    <row r="142" spans="2:59" ht="15" hidden="1" customHeight="1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</row>
    <row r="143" spans="2:59" ht="15" hidden="1" customHeight="1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 spans="2:59" ht="15" hidden="1" customHeight="1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 spans="2:59" ht="15" hidden="1" customHeight="1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 spans="2:59" ht="15" hidden="1" customHeight="1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 spans="2:59" ht="15" hidden="1" customHeight="1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 spans="2:59" ht="15" hidden="1" customHeight="1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 spans="2:59" ht="15" hidden="1" customHeight="1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 spans="2:59" ht="15" hidden="1" customHeight="1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 spans="2:59" ht="15" hidden="1" customHeight="1" x14ac:dyDescent="0.25"/>
  </sheetData>
  <mergeCells count="2">
    <mergeCell ref="S3:AB5"/>
    <mergeCell ref="A20:A21"/>
  </mergeCells>
  <hyperlinks>
    <hyperlink ref="A10" location="'DRE + DCF'!A1" display="DRE + DCF" xr:uid="{00000000-0004-0000-0200-000000000000}"/>
    <hyperlink ref="A11" location="'Contas Abertas'!A1" display="DRE - Contas Abertas" xr:uid="{00000000-0004-0000-0200-000001000000}"/>
    <hyperlink ref="A12" location="'Balanço Patrimonial'!A1" display="Balanço Patrimonial" xr:uid="{00000000-0004-0000-0200-000002000000}"/>
    <hyperlink ref="A13" location="'Painel de Índices'!A1" display="Painel de Índices" xr:uid="{00000000-0004-0000-0200-000003000000}"/>
    <hyperlink ref="A14" location="'Provisões e Processos'!A1" display="Provisões e Processos" xr:uid="{00000000-0004-0000-0200-000004000000}"/>
    <hyperlink ref="A15" location="'Projeções - Receita'!A1" display="Projeções - Receita" xr:uid="{00000000-0004-0000-0200-000005000000}"/>
    <hyperlink ref="A17" location="'Projeções 2022'!A1" display="Projeções 2022" xr:uid="{00000000-0004-0000-0200-000006000000}"/>
    <hyperlink ref="A8" location="Dashboard!A1" display="Dashboard" xr:uid="{00000000-0004-0000-0200-000007000000}"/>
    <hyperlink ref="A16" location="'Projeções - Capex'!A1" display="Projeções - Capex" xr:uid="{00000000-0004-0000-02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6"/>
  <dimension ref="A1:BZ162"/>
  <sheetViews>
    <sheetView showGridLines="0" topLeftCell="D52" zoomScale="85" zoomScaleNormal="85" workbookViewId="0">
      <selection activeCell="E69" sqref="E69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54.5703125" style="1" bestFit="1" customWidth="1"/>
    <col min="6" max="10" width="11.85546875" style="1" customWidth="1"/>
    <col min="11" max="12" width="12.85546875" style="1" bestFit="1" customWidth="1"/>
    <col min="13" max="15" width="12.42578125" style="1" bestFit="1" customWidth="1"/>
    <col min="16" max="16" width="13.42578125" style="1" bestFit="1" customWidth="1"/>
    <col min="17" max="19" width="13.140625" style="1" bestFit="1" customWidth="1"/>
    <col min="20" max="21" width="13" style="1" bestFit="1" customWidth="1"/>
    <col min="22" max="22" width="12.85546875" style="1" bestFit="1" customWidth="1"/>
    <col min="23" max="23" width="13.140625" style="1" bestFit="1" customWidth="1"/>
    <col min="24" max="24" width="13.42578125" style="1" bestFit="1" customWidth="1"/>
    <col min="25" max="25" width="12.7109375" style="1" bestFit="1" customWidth="1"/>
    <col min="26" max="26" width="13.42578125" style="1" bestFit="1" customWidth="1"/>
    <col min="27" max="27" width="13.140625" style="1" bestFit="1" customWidth="1"/>
    <col min="28" max="28" width="13" style="1" bestFit="1" customWidth="1"/>
    <col min="29" max="29" width="13.42578125" style="1" bestFit="1" customWidth="1"/>
    <col min="30" max="32" width="13" style="1" bestFit="1" customWidth="1"/>
    <col min="33" max="33" width="13.140625" style="1" bestFit="1" customWidth="1"/>
    <col min="34" max="34" width="13.42578125" style="1" bestFit="1" customWidth="1"/>
    <col min="35" max="35" width="13.140625" style="1" bestFit="1" customWidth="1"/>
    <col min="36" max="36" width="13.42578125" style="1" bestFit="1" customWidth="1"/>
    <col min="37" max="37" width="12.85546875" style="1" bestFit="1" customWidth="1"/>
    <col min="38" max="38" width="13.7109375" style="1" bestFit="1" customWidth="1"/>
    <col min="39" max="39" width="13.42578125" style="1" bestFit="1" customWidth="1"/>
    <col min="40" max="40" width="13.140625" style="1" bestFit="1" customWidth="1"/>
    <col min="41" max="41" width="13" style="1" bestFit="1" customWidth="1"/>
    <col min="42" max="42" width="13.85546875" style="1" bestFit="1" customWidth="1"/>
    <col min="43" max="43" width="13.7109375" style="1" bestFit="1" customWidth="1"/>
    <col min="44" max="44" width="14.28515625" style="1" bestFit="1" customWidth="1"/>
    <col min="45" max="45" width="13.5703125" style="1" bestFit="1" customWidth="1"/>
    <col min="46" max="47" width="13.85546875" style="1" bestFit="1" customWidth="1"/>
    <col min="48" max="48" width="14.42578125" style="1" bestFit="1" customWidth="1"/>
    <col min="49" max="49" width="13.85546875" style="1" bestFit="1" customWidth="1"/>
    <col min="50" max="50" width="13.5703125" style="1" bestFit="1" customWidth="1"/>
    <col min="51" max="51" width="13.140625" style="1" bestFit="1" customWidth="1"/>
    <col min="52" max="52" width="14.28515625" style="1" bestFit="1" customWidth="1"/>
    <col min="53" max="53" width="14.42578125" style="1" bestFit="1" customWidth="1"/>
    <col min="54" max="54" width="15.42578125" style="1" bestFit="1" customWidth="1"/>
    <col min="55" max="55" width="13.42578125" style="1" bestFit="1" customWidth="1"/>
    <col min="56" max="59" width="9.140625" style="1" customWidth="1"/>
    <col min="60" max="78" width="9.140625" style="1" hidden="1" customWidth="1"/>
    <col min="79" max="16384" width="0" style="1" hidden="1"/>
  </cols>
  <sheetData>
    <row r="1" spans="1:61" ht="15" customHeight="1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25">
      <c r="B2" s="5"/>
      <c r="C2" s="5"/>
      <c r="D2" s="5"/>
      <c r="E2" s="5"/>
      <c r="F2" s="5"/>
      <c r="G2" s="5"/>
      <c r="H2" s="5"/>
      <c r="I2" s="6"/>
      <c r="J2" s="405" t="s">
        <v>88</v>
      </c>
      <c r="K2" s="405"/>
      <c r="L2" s="405"/>
      <c r="M2" s="405"/>
      <c r="N2" s="405"/>
      <c r="O2" s="405"/>
      <c r="P2" s="405"/>
      <c r="Q2" s="40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61" ht="15" customHeight="1" x14ac:dyDescent="0.25">
      <c r="B3" s="5"/>
      <c r="C3" s="5"/>
      <c r="D3" s="5"/>
      <c r="E3" s="5"/>
      <c r="F3" s="5"/>
      <c r="G3" s="5"/>
      <c r="H3" s="5"/>
      <c r="I3" s="6"/>
      <c r="J3" s="405"/>
      <c r="K3" s="405"/>
      <c r="L3" s="405"/>
      <c r="M3" s="405"/>
      <c r="N3" s="405"/>
      <c r="O3" s="405"/>
      <c r="P3" s="405"/>
      <c r="Q3" s="40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</row>
    <row r="4" spans="1:61" ht="15" customHeight="1" x14ac:dyDescent="0.25">
      <c r="B4" s="5"/>
      <c r="C4" s="5"/>
      <c r="D4" s="5"/>
      <c r="E4" s="5"/>
      <c r="F4" s="5"/>
      <c r="G4" s="5"/>
      <c r="H4" s="5"/>
      <c r="I4" s="6"/>
      <c r="J4" s="405"/>
      <c r="K4" s="405"/>
      <c r="L4" s="405"/>
      <c r="M4" s="405"/>
      <c r="N4" s="405"/>
      <c r="O4" s="405"/>
      <c r="P4" s="405"/>
      <c r="Q4" s="40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pans="1:61" ht="15" customHeight="1" x14ac:dyDescent="0.25">
      <c r="B5" s="5"/>
      <c r="C5" s="5"/>
      <c r="D5" s="5"/>
      <c r="E5" s="5"/>
      <c r="F5" s="5"/>
      <c r="G5" s="5"/>
      <c r="H5" s="5"/>
      <c r="I5" s="6"/>
      <c r="J5" s="407"/>
      <c r="K5" s="407"/>
      <c r="L5" s="407"/>
      <c r="M5" s="407"/>
      <c r="N5" s="407"/>
      <c r="O5" s="407"/>
      <c r="P5" s="407"/>
      <c r="Q5" s="407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</row>
    <row r="6" spans="1:61" ht="15" customHeight="1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s="11" customFormat="1" ht="24.75" customHeight="1" x14ac:dyDescent="0.25">
      <c r="A7" s="9" t="s">
        <v>68</v>
      </c>
      <c r="B7" s="10"/>
      <c r="C7" s="10"/>
      <c r="D7" s="10"/>
      <c r="E7" s="10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5"/>
      <c r="BH7" s="10"/>
      <c r="BI7" s="10"/>
    </row>
    <row r="8" spans="1:61" ht="30" customHeight="1" x14ac:dyDescent="0.25">
      <c r="A8" s="15" t="s">
        <v>69</v>
      </c>
      <c r="B8" s="5"/>
      <c r="C8" s="5"/>
      <c r="D8" s="10"/>
      <c r="E8" s="54"/>
      <c r="F8" s="53"/>
      <c r="G8" s="53"/>
      <c r="H8" s="53"/>
      <c r="I8" s="53"/>
      <c r="J8" s="53"/>
      <c r="BB8" s="5"/>
      <c r="BC8" s="5"/>
      <c r="BD8" s="5"/>
      <c r="BE8" s="5"/>
      <c r="BF8" s="5"/>
      <c r="BG8" s="5"/>
    </row>
    <row r="9" spans="1:61" ht="30" customHeight="1" x14ac:dyDescent="0.25">
      <c r="A9" s="15" t="s">
        <v>52</v>
      </c>
      <c r="B9" s="5"/>
      <c r="C9" s="5"/>
      <c r="D9" s="5"/>
      <c r="E9" s="69" t="s">
        <v>76</v>
      </c>
      <c r="F9" s="35">
        <v>2013</v>
      </c>
      <c r="G9" s="35">
        <f t="shared" ref="G9:M9" si="0">F9+1</f>
        <v>2014</v>
      </c>
      <c r="H9" s="35">
        <f t="shared" si="0"/>
        <v>2015</v>
      </c>
      <c r="I9" s="35">
        <f t="shared" si="0"/>
        <v>2016</v>
      </c>
      <c r="J9" s="35">
        <f t="shared" si="0"/>
        <v>2017</v>
      </c>
      <c r="K9" s="35">
        <f t="shared" si="0"/>
        <v>2018</v>
      </c>
      <c r="L9" s="35">
        <f t="shared" si="0"/>
        <v>2019</v>
      </c>
      <c r="M9" s="35">
        <f t="shared" si="0"/>
        <v>2020</v>
      </c>
      <c r="N9" s="35">
        <v>2021</v>
      </c>
      <c r="O9" s="35">
        <v>2022</v>
      </c>
      <c r="P9" s="70">
        <v>2023</v>
      </c>
      <c r="Q9" s="70">
        <v>2024</v>
      </c>
      <c r="R9" s="70">
        <v>2025</v>
      </c>
      <c r="S9" s="70">
        <v>2026</v>
      </c>
      <c r="T9" s="70">
        <v>2027</v>
      </c>
      <c r="U9" s="70">
        <v>2028</v>
      </c>
      <c r="V9" s="70">
        <v>2029</v>
      </c>
      <c r="W9" s="70">
        <v>2030</v>
      </c>
      <c r="X9" s="70">
        <v>2031</v>
      </c>
      <c r="Y9" s="70">
        <f>X9+1</f>
        <v>2032</v>
      </c>
      <c r="Z9" s="70">
        <f t="shared" ref="Z9:AA9" si="1">Y9+1</f>
        <v>2033</v>
      </c>
      <c r="AA9" s="71">
        <f t="shared" si="1"/>
        <v>2034</v>
      </c>
      <c r="AB9" s="72">
        <f t="shared" ref="AB9" si="2">AA9+1</f>
        <v>2035</v>
      </c>
      <c r="AC9" s="73">
        <f t="shared" ref="AC9" si="3">AB9+1</f>
        <v>2036</v>
      </c>
      <c r="AD9" s="72">
        <f t="shared" ref="AD9" si="4">AC9+1</f>
        <v>2037</v>
      </c>
      <c r="AE9" s="72">
        <f t="shared" ref="AE9" si="5">AD9+1</f>
        <v>2038</v>
      </c>
      <c r="AF9" s="73">
        <f t="shared" ref="AF9" si="6">AE9+1</f>
        <v>2039</v>
      </c>
      <c r="AG9" s="74">
        <f t="shared" ref="AG9" si="7">AF9+1</f>
        <v>2040</v>
      </c>
      <c r="AH9" s="74">
        <f t="shared" ref="AH9" si="8">AG9+1</f>
        <v>2041</v>
      </c>
      <c r="AI9" s="74">
        <f t="shared" ref="AI9" si="9">AH9+1</f>
        <v>2042</v>
      </c>
      <c r="AJ9" s="72">
        <f t="shared" ref="AJ9" si="10">AI9+1</f>
        <v>2043</v>
      </c>
      <c r="AK9" s="73">
        <f t="shared" ref="AK9" si="11">AJ9+1</f>
        <v>2044</v>
      </c>
      <c r="AL9" s="74">
        <f t="shared" ref="AL9" si="12">AK9+1</f>
        <v>2045</v>
      </c>
      <c r="AM9" s="72">
        <f t="shared" ref="AM9" si="13">AL9+1</f>
        <v>2046</v>
      </c>
      <c r="AN9" s="73">
        <f t="shared" ref="AN9" si="14">AM9+1</f>
        <v>2047</v>
      </c>
      <c r="AO9" s="74">
        <f t="shared" ref="AO9" si="15">AN9+1</f>
        <v>2048</v>
      </c>
      <c r="AP9" s="74">
        <f t="shared" ref="AP9" si="16">AO9+1</f>
        <v>2049</v>
      </c>
      <c r="AQ9" s="72">
        <f t="shared" ref="AQ9" si="17">AP9+1</f>
        <v>2050</v>
      </c>
      <c r="AR9" s="73">
        <f t="shared" ref="AR9" si="18">AQ9+1</f>
        <v>2051</v>
      </c>
      <c r="AS9" s="72">
        <f t="shared" ref="AS9" si="19">AR9+1</f>
        <v>2052</v>
      </c>
      <c r="AT9" s="73">
        <f t="shared" ref="AT9" si="20">AS9+1</f>
        <v>2053</v>
      </c>
      <c r="AU9" s="72">
        <f t="shared" ref="AU9" si="21">AT9+1</f>
        <v>2054</v>
      </c>
      <c r="AV9" s="73">
        <f t="shared" ref="AV9" si="22">AU9+1</f>
        <v>2055</v>
      </c>
      <c r="AW9" s="72">
        <f t="shared" ref="AW9" si="23">AV9+1</f>
        <v>2056</v>
      </c>
      <c r="AX9" s="72">
        <f t="shared" ref="AX9" si="24">AW9+1</f>
        <v>2057</v>
      </c>
      <c r="AY9" s="72">
        <f t="shared" ref="AY9" si="25">AX9+1</f>
        <v>2058</v>
      </c>
      <c r="AZ9" s="73">
        <f t="shared" ref="AZ9" si="26">AY9+1</f>
        <v>2059</v>
      </c>
      <c r="BA9" s="75">
        <f t="shared" ref="BA9" si="27">AZ9+1</f>
        <v>2060</v>
      </c>
      <c r="BB9" s="5"/>
      <c r="BC9" s="5"/>
      <c r="BD9" s="5"/>
      <c r="BE9" s="5"/>
      <c r="BF9" s="5"/>
      <c r="BG9" s="5"/>
    </row>
    <row r="10" spans="1:61" ht="30" customHeight="1" x14ac:dyDescent="0.25">
      <c r="A10" s="12" t="s">
        <v>70</v>
      </c>
      <c r="B10" s="76"/>
      <c r="C10" s="5"/>
      <c r="D10" s="5"/>
      <c r="E10" s="77" t="s">
        <v>329</v>
      </c>
      <c r="F10" s="78">
        <v>6464103</v>
      </c>
      <c r="G10" s="78">
        <v>7658890</v>
      </c>
      <c r="H10" s="78">
        <v>9295978</v>
      </c>
      <c r="I10" s="78">
        <v>11827566</v>
      </c>
      <c r="J10" s="78">
        <v>13852469</v>
      </c>
      <c r="K10" s="78">
        <v>15519133</v>
      </c>
      <c r="L10" s="78">
        <v>18468183</v>
      </c>
      <c r="M10" s="78">
        <v>21180476</v>
      </c>
      <c r="N10" s="78">
        <v>25605684</v>
      </c>
      <c r="O10" s="78">
        <v>30950564</v>
      </c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9"/>
      <c r="BB10" s="5"/>
      <c r="BC10" s="5"/>
      <c r="BD10" s="5"/>
      <c r="BE10" s="5"/>
      <c r="BF10" s="5"/>
      <c r="BG10" s="5"/>
    </row>
    <row r="11" spans="1:61" ht="30" customHeight="1" x14ac:dyDescent="0.25">
      <c r="A11" s="21" t="s">
        <v>340</v>
      </c>
      <c r="B11" s="5"/>
      <c r="C11" s="5"/>
      <c r="D11" s="5"/>
      <c r="E11" s="80" t="s">
        <v>330</v>
      </c>
      <c r="F11" s="81">
        <v>-197812</v>
      </c>
      <c r="G11" s="81">
        <v>-221733</v>
      </c>
      <c r="H11" s="81">
        <v>-278605</v>
      </c>
      <c r="I11" s="81">
        <v>-425384</v>
      </c>
      <c r="J11" s="81">
        <v>-500288</v>
      </c>
      <c r="K11" s="81">
        <v>-585676</v>
      </c>
      <c r="L11" s="81">
        <v>-747690</v>
      </c>
      <c r="M11" s="81">
        <v>-940608</v>
      </c>
      <c r="N11" s="81">
        <v>-1218499</v>
      </c>
      <c r="O11" s="81">
        <v>-1373403</v>
      </c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2"/>
      <c r="BB11" s="5"/>
      <c r="BC11" s="5"/>
      <c r="BD11" s="5"/>
      <c r="BE11" s="5"/>
      <c r="BF11" s="5"/>
      <c r="BG11" s="5"/>
    </row>
    <row r="12" spans="1:61" ht="30" customHeight="1" x14ac:dyDescent="0.25">
      <c r="A12" s="15" t="s">
        <v>71</v>
      </c>
      <c r="B12" s="5"/>
      <c r="C12" s="5"/>
      <c r="D12" s="5"/>
      <c r="E12" s="83" t="s">
        <v>332</v>
      </c>
      <c r="F12" s="84">
        <f>F11/F10</f>
        <v>-3.0601616341818811E-2</v>
      </c>
      <c r="G12" s="84">
        <f t="shared" ref="G12:O12" si="28">G11/G10</f>
        <v>-2.8951062099077021E-2</v>
      </c>
      <c r="H12" s="84">
        <f t="shared" si="28"/>
        <v>-2.9970488312257192E-2</v>
      </c>
      <c r="I12" s="84">
        <f t="shared" si="28"/>
        <v>-3.5965472524101746E-2</v>
      </c>
      <c r="J12" s="84">
        <f t="shared" si="28"/>
        <v>-3.6115439059997173E-2</v>
      </c>
      <c r="K12" s="84">
        <f t="shared" si="28"/>
        <v>-3.773896389701667E-2</v>
      </c>
      <c r="L12" s="84">
        <f t="shared" si="28"/>
        <v>-4.0485303833084178E-2</v>
      </c>
      <c r="M12" s="84">
        <f t="shared" si="28"/>
        <v>-4.4409200246491157E-2</v>
      </c>
      <c r="N12" s="84">
        <f t="shared" si="28"/>
        <v>-4.7587051374999398E-2</v>
      </c>
      <c r="O12" s="84">
        <f t="shared" si="28"/>
        <v>-4.4374086365599023E-2</v>
      </c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6"/>
      <c r="BB12" s="5"/>
      <c r="BC12" s="5"/>
      <c r="BD12" s="5"/>
      <c r="BE12" s="5"/>
      <c r="BF12" s="5"/>
      <c r="BG12" s="5"/>
    </row>
    <row r="13" spans="1:61" ht="30" customHeight="1" x14ac:dyDescent="0.25">
      <c r="A13" s="21" t="s">
        <v>333</v>
      </c>
      <c r="B13" s="5"/>
      <c r="C13" s="5"/>
      <c r="D13" s="5"/>
      <c r="E13" s="80" t="s">
        <v>331</v>
      </c>
      <c r="F13" s="81">
        <v>-33372</v>
      </c>
      <c r="G13" s="81">
        <v>-45588</v>
      </c>
      <c r="H13" s="81">
        <v>-119524</v>
      </c>
      <c r="I13" s="81">
        <v>-145617</v>
      </c>
      <c r="J13" s="81">
        <v>-139676</v>
      </c>
      <c r="K13" s="81">
        <v>-132012</v>
      </c>
      <c r="L13" s="81">
        <v>-154893</v>
      </c>
      <c r="M13" s="81">
        <v>-173028</v>
      </c>
      <c r="N13" s="81">
        <v>-260183</v>
      </c>
      <c r="O13" s="81">
        <v>-509781</v>
      </c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2"/>
      <c r="BB13" s="5"/>
      <c r="BC13" s="5"/>
      <c r="BD13" s="5"/>
      <c r="BE13" s="5"/>
      <c r="BF13" s="5"/>
      <c r="BG13" s="5"/>
    </row>
    <row r="14" spans="1:61" ht="30" customHeight="1" x14ac:dyDescent="0.25">
      <c r="A14" s="21" t="s">
        <v>198</v>
      </c>
      <c r="B14" s="5"/>
      <c r="C14" s="5"/>
      <c r="D14" s="5"/>
      <c r="E14" s="83" t="s">
        <v>332</v>
      </c>
      <c r="F14" s="84">
        <f t="shared" ref="F14:O14" si="29">F13/F10</f>
        <v>-5.1626652607484752E-3</v>
      </c>
      <c r="G14" s="84">
        <f t="shared" si="29"/>
        <v>-5.9522985706806078E-3</v>
      </c>
      <c r="H14" s="84">
        <f t="shared" si="29"/>
        <v>-1.2857603578665956E-2</v>
      </c>
      <c r="I14" s="84">
        <f t="shared" si="29"/>
        <v>-1.231166243333582E-2</v>
      </c>
      <c r="J14" s="84">
        <f t="shared" si="29"/>
        <v>-1.0083112259626785E-2</v>
      </c>
      <c r="K14" s="84">
        <f t="shared" si="29"/>
        <v>-8.5064030316642052E-3</v>
      </c>
      <c r="L14" s="84">
        <f t="shared" si="29"/>
        <v>-8.3870189070576143E-3</v>
      </c>
      <c r="M14" s="84">
        <f t="shared" si="29"/>
        <v>-8.169221503803786E-3</v>
      </c>
      <c r="N14" s="84">
        <f t="shared" si="29"/>
        <v>-1.0161142346363408E-2</v>
      </c>
      <c r="O14" s="84">
        <f t="shared" si="29"/>
        <v>-1.6470814554461755E-2</v>
      </c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7"/>
      <c r="BB14" s="41"/>
      <c r="BC14" s="5"/>
      <c r="BD14" s="5"/>
      <c r="BE14" s="5"/>
      <c r="BF14" s="5"/>
      <c r="BG14" s="5"/>
    </row>
    <row r="15" spans="1:61" ht="30" customHeight="1" x14ac:dyDescent="0.25">
      <c r="A15" s="15" t="s">
        <v>305</v>
      </c>
      <c r="B15" s="5"/>
      <c r="C15" s="5"/>
      <c r="D15" s="5"/>
      <c r="E15" s="77" t="s">
        <v>39</v>
      </c>
      <c r="F15" s="78">
        <v>6232919</v>
      </c>
      <c r="G15" s="78">
        <v>7391569</v>
      </c>
      <c r="H15" s="78">
        <v>8897849</v>
      </c>
      <c r="I15" s="78">
        <v>11256565</v>
      </c>
      <c r="J15" s="78">
        <v>13212505</v>
      </c>
      <c r="K15" s="78">
        <v>14801445</v>
      </c>
      <c r="L15" s="78">
        <v>17565600</v>
      </c>
      <c r="M15" s="78">
        <v>20066840</v>
      </c>
      <c r="N15" s="78">
        <v>24127002</v>
      </c>
      <c r="O15" s="78">
        <v>29067380</v>
      </c>
      <c r="P15" s="78">
        <f>'Projeções - Receita'!P22</f>
        <v>33449540.665784445</v>
      </c>
      <c r="Q15" s="78">
        <f>'Projeções - Receita'!Q22</f>
        <v>37882634.275983587</v>
      </c>
      <c r="R15" s="78">
        <f>'Projeções - Receita'!R22</f>
        <v>43302702.237692915</v>
      </c>
      <c r="S15" s="78">
        <f>'Projeções - Receita'!S22</f>
        <v>49095678.766533151</v>
      </c>
      <c r="T15" s="78">
        <f>'Projeções - Receita'!T22</f>
        <v>55616249.927139595</v>
      </c>
      <c r="U15" s="78">
        <f>'Projeções - Receita'!U22</f>
        <v>62622076.867036581</v>
      </c>
      <c r="V15" s="78">
        <f>'Projeções - Receita'!V22</f>
        <v>70543239.227367029</v>
      </c>
      <c r="W15" s="78">
        <f>'Projeções - Receita'!W22</f>
        <v>79175286.450615838</v>
      </c>
      <c r="X15" s="78">
        <f>'Projeções - Receita'!X22</f>
        <v>88024594.715783715</v>
      </c>
      <c r="Y15" s="78">
        <f>'Projeções - Receita'!Y22</f>
        <v>96515903.006294683</v>
      </c>
      <c r="Z15" s="78">
        <f>'Projeções - Receita'!Z22</f>
        <v>105229410.75092967</v>
      </c>
      <c r="AA15" s="78">
        <f>'Projeções - Receita'!AA22</f>
        <v>115484006.19638413</v>
      </c>
      <c r="AB15" s="78">
        <f>'Projeções - Receita'!AB22</f>
        <v>126708626.92590399</v>
      </c>
      <c r="AC15" s="78">
        <f>'Projeções - Receita'!AC22</f>
        <v>138978035.2842021</v>
      </c>
      <c r="AD15" s="78">
        <f>'Projeções - Receita'!AD22</f>
        <v>152384888.5558975</v>
      </c>
      <c r="AE15" s="78">
        <f>'Projeções - Receita'!AE22</f>
        <v>167032943.56563789</v>
      </c>
      <c r="AF15" s="78">
        <f>'Projeções - Receita'!AF22</f>
        <v>183011373.31756106</v>
      </c>
      <c r="AG15" s="78">
        <f>'Projeções - Receita'!AG22</f>
        <v>200421279.51887271</v>
      </c>
      <c r="AH15" s="78">
        <f>'Projeções - Receita'!AH22</f>
        <v>219391576.99799493</v>
      </c>
      <c r="AI15" s="78">
        <f>'Projeções - Receita'!AI22</f>
        <v>240036248.64602631</v>
      </c>
      <c r="AJ15" s="78">
        <f>'Projeções - Receita'!AJ22</f>
        <v>262508295.52498078</v>
      </c>
      <c r="AK15" s="78">
        <f>'Projeções - Receita'!AK22</f>
        <v>286970754.04619551</v>
      </c>
      <c r="AL15" s="78">
        <f>'Projeções - Receita'!AL22</f>
        <v>313596589.04336953</v>
      </c>
      <c r="AM15" s="78">
        <f>'Projeções - Receita'!AM22</f>
        <v>342535043.00984174</v>
      </c>
      <c r="AN15" s="78">
        <f>'Projeções - Receita'!AN22</f>
        <v>373967485.63559836</v>
      </c>
      <c r="AO15" s="78">
        <f>'Projeções - Receita'!AO22</f>
        <v>408112424.96379852</v>
      </c>
      <c r="AP15" s="78">
        <f>'Projeções - Receita'!AP22</f>
        <v>445147429.17705798</v>
      </c>
      <c r="AQ15" s="78">
        <f>'Projeções - Receita'!AQ22</f>
        <v>485268158.24792069</v>
      </c>
      <c r="AR15" s="78">
        <f>'Projeções - Receita'!AR22</f>
        <v>528743673.94044143</v>
      </c>
      <c r="AS15" s="78">
        <f>'Projeções - Receita'!AS22</f>
        <v>575781302.47490466</v>
      </c>
      <c r="AT15" s="78">
        <f>'Projeções - Receita'!AT22</f>
        <v>626713669.18181598</v>
      </c>
      <c r="AU15" s="78">
        <f>'Projeções - Receita'!AU22</f>
        <v>681926887.00046778</v>
      </c>
      <c r="AV15" s="78">
        <f>'Projeções - Receita'!AV22</f>
        <v>741818630.69330072</v>
      </c>
      <c r="AW15" s="78">
        <f>'Projeções - Receita'!AW22</f>
        <v>806646947.25034893</v>
      </c>
      <c r="AX15" s="78">
        <f>'Projeções - Receita'!AX22</f>
        <v>876795213.05659604</v>
      </c>
      <c r="AY15" s="78">
        <f>'Projeções - Receita'!AY22</f>
        <v>952742461.27905583</v>
      </c>
      <c r="AZ15" s="78">
        <f>'Projeções - Receita'!AZ22</f>
        <v>1034778816.7842865</v>
      </c>
      <c r="BA15" s="79">
        <f>'Projeções - Receita'!BA22</f>
        <v>1123252365.8867648</v>
      </c>
      <c r="BB15" s="5"/>
      <c r="BC15" s="5"/>
      <c r="BD15" s="5"/>
      <c r="BE15" s="5"/>
      <c r="BF15" s="5"/>
      <c r="BG15" s="5"/>
    </row>
    <row r="16" spans="1:61" ht="30" customHeight="1" x14ac:dyDescent="0.25">
      <c r="A16" s="21" t="s">
        <v>358</v>
      </c>
      <c r="B16" s="5"/>
      <c r="C16" s="5"/>
      <c r="D16" s="5"/>
      <c r="E16" s="80" t="s">
        <v>77</v>
      </c>
      <c r="F16" s="84"/>
      <c r="G16" s="84">
        <f t="shared" ref="G16:N16" si="30">G15/F15-1</f>
        <v>0.1858920354973328</v>
      </c>
      <c r="H16" s="84">
        <f t="shared" si="30"/>
        <v>0.20378352688042289</v>
      </c>
      <c r="I16" s="84">
        <f t="shared" si="30"/>
        <v>0.26508833764205253</v>
      </c>
      <c r="J16" s="84">
        <f t="shared" si="30"/>
        <v>0.17375993475807228</v>
      </c>
      <c r="K16" s="84">
        <f t="shared" si="30"/>
        <v>0.12026031399798898</v>
      </c>
      <c r="L16" s="84">
        <f t="shared" si="30"/>
        <v>0.18674899646622345</v>
      </c>
      <c r="M16" s="84">
        <f t="shared" si="30"/>
        <v>0.14239422507628552</v>
      </c>
      <c r="N16" s="84">
        <f t="shared" si="30"/>
        <v>0.20233190676758284</v>
      </c>
      <c r="O16" s="84">
        <f>O15/N15-1</f>
        <v>0.20476551541712484</v>
      </c>
      <c r="P16" s="84">
        <f t="shared" ref="P16" si="31">P15/O15-1</f>
        <v>0.15075870841418948</v>
      </c>
      <c r="Q16" s="84">
        <f t="shared" ref="Q16" si="32">Q15/P15-1</f>
        <v>0.13253077686456116</v>
      </c>
      <c r="R16" s="84">
        <f t="shared" ref="R16" si="33">R15/Q15-1</f>
        <v>0.14307526562759354</v>
      </c>
      <c r="S16" s="84">
        <f t="shared" ref="S16" si="34">S15/R15-1</f>
        <v>0.13377863804069312</v>
      </c>
      <c r="T16" s="84">
        <f t="shared" ref="T16" si="35">T15/S15-1</f>
        <v>0.13281354539600132</v>
      </c>
      <c r="U16" s="84">
        <f t="shared" ref="U16" si="36">U15/T15-1</f>
        <v>0.12596726584541407</v>
      </c>
      <c r="V16" s="84">
        <f t="shared" ref="V16" si="37">V15/U15-1</f>
        <v>0.12649153072883856</v>
      </c>
      <c r="W16" s="84">
        <f t="shared" ref="W16:X16" si="38">W15/V15-1</f>
        <v>0.12236533674654448</v>
      </c>
      <c r="X16" s="84">
        <f t="shared" si="38"/>
        <v>0.11176856645397137</v>
      </c>
      <c r="Y16" s="84">
        <f t="shared" ref="Y16:AA16" si="39">Y15/X15-1</f>
        <v>9.6465179055103212E-2</v>
      </c>
      <c r="Z16" s="84">
        <f t="shared" si="39"/>
        <v>9.0280538991244885E-2</v>
      </c>
      <c r="AA16" s="84">
        <f t="shared" si="39"/>
        <v>9.7449898961482706E-2</v>
      </c>
      <c r="AB16" s="84">
        <f t="shared" ref="AB16" si="40">AB15/AA15-1</f>
        <v>9.719632267027567E-2</v>
      </c>
      <c r="AC16" s="84">
        <f t="shared" ref="AC16" si="41">AC15/AB15-1</f>
        <v>9.6831673233054305E-2</v>
      </c>
      <c r="AD16" s="84">
        <f t="shared" ref="AD16" si="42">AD15/AC15-1</f>
        <v>9.6467425548786512E-2</v>
      </c>
      <c r="AE16" s="84">
        <f t="shared" ref="AE16" si="43">AE15/AD15-1</f>
        <v>9.6125377972548831E-2</v>
      </c>
      <c r="AF16" s="84">
        <f t="shared" ref="AF16" si="44">AF15/AE15-1</f>
        <v>9.5660349454622651E-2</v>
      </c>
      <c r="AG16" s="84">
        <f t="shared" ref="AG16" si="45">AG15/AF15-1</f>
        <v>9.5130187188432247E-2</v>
      </c>
      <c r="AH16" s="84">
        <f t="shared" ref="AH16" si="46">AH15/AG15-1</f>
        <v>9.4652112413721401E-2</v>
      </c>
      <c r="AI16" s="84">
        <f t="shared" ref="AI16" si="47">AI15/AH15-1</f>
        <v>9.4099654738431626E-2</v>
      </c>
      <c r="AJ16" s="84">
        <f t="shared" ref="AJ16" si="48">AJ15/AI15-1</f>
        <v>9.3619388761958522E-2</v>
      </c>
      <c r="AK16" s="84">
        <f t="shared" ref="AK16" si="49">AK15/AJ15-1</f>
        <v>9.3187373268692975E-2</v>
      </c>
      <c r="AL16" s="84">
        <f t="shared" ref="AL16" si="50">AL15/AK15-1</f>
        <v>9.2782398978844771E-2</v>
      </c>
      <c r="AM16" s="84">
        <f t="shared" ref="AM16" si="51">AM15/AL15-1</f>
        <v>9.2279237011950066E-2</v>
      </c>
      <c r="AN16" s="84">
        <f t="shared" ref="AN16" si="52">AN15/AM15-1</f>
        <v>9.1764166228252231E-2</v>
      </c>
      <c r="AO16" s="84">
        <f t="shared" ref="AO16" si="53">AO15/AN15-1</f>
        <v>9.1304566946955656E-2</v>
      </c>
      <c r="AP16" s="84">
        <f t="shared" ref="AP16" si="54">AP15/AO15-1</f>
        <v>9.0747063671351436E-2</v>
      </c>
      <c r="AQ16" s="84">
        <f t="shared" ref="AQ16" si="55">AQ15/AP15-1</f>
        <v>9.0129081830335966E-2</v>
      </c>
      <c r="AR16" s="84">
        <f t="shared" ref="AR16" si="56">AR15/AQ15-1</f>
        <v>8.9590703518423132E-2</v>
      </c>
      <c r="AS16" s="84">
        <f t="shared" ref="AS16" si="57">AS15/AR15-1</f>
        <v>8.896111831261666E-2</v>
      </c>
      <c r="AT16" s="84">
        <f t="shared" ref="AT16" si="58">AT15/AS15-1</f>
        <v>8.8457833708712963E-2</v>
      </c>
      <c r="AU16" s="84">
        <f t="shared" ref="AU16" si="59">AU15/AT15-1</f>
        <v>8.809959082388219E-2</v>
      </c>
      <c r="AV16" s="84">
        <f t="shared" ref="AV16" si="60">AV15/AU15-1</f>
        <v>8.7827221414121803E-2</v>
      </c>
      <c r="AW16" s="84">
        <f t="shared" ref="AW16" si="61">AW15/AV15-1</f>
        <v>8.7391060125384001E-2</v>
      </c>
      <c r="AX16" s="84">
        <f t="shared" ref="AX16" si="62">AX15/AW15-1</f>
        <v>8.6962785944166177E-2</v>
      </c>
      <c r="AY16" s="84">
        <f t="shared" ref="AY16" si="63">AY15/AX15-1</f>
        <v>8.6619141039445235E-2</v>
      </c>
      <c r="AZ16" s="84">
        <f t="shared" ref="AZ16" si="64">AZ15/AY15-1</f>
        <v>8.6105488985026346E-2</v>
      </c>
      <c r="BA16" s="97">
        <f t="shared" ref="BA16" si="65">BA15/AZ15-1</f>
        <v>8.5499961602830021E-2</v>
      </c>
      <c r="BB16" s="41"/>
      <c r="BC16" s="5"/>
      <c r="BD16" s="5"/>
      <c r="BE16" s="5"/>
      <c r="BF16" s="5"/>
      <c r="BG16" s="5"/>
    </row>
    <row r="17" spans="1:59" ht="30" customHeight="1" x14ac:dyDescent="0.25">
      <c r="A17" s="21" t="s">
        <v>314</v>
      </c>
      <c r="B17" s="5"/>
      <c r="C17" s="5"/>
      <c r="D17" s="10"/>
      <c r="E17" s="80" t="s">
        <v>40</v>
      </c>
      <c r="F17" s="81">
        <v>-4512743</v>
      </c>
      <c r="G17" s="81">
        <v>-5281377</v>
      </c>
      <c r="H17" s="81">
        <v>-6183289</v>
      </c>
      <c r="I17" s="81">
        <v>-7752422</v>
      </c>
      <c r="J17" s="81">
        <v>-9224505</v>
      </c>
      <c r="K17" s="81">
        <v>-10355923</v>
      </c>
      <c r="L17" s="81">
        <v>-12367239</v>
      </c>
      <c r="M17" s="81">
        <v>-14175708</v>
      </c>
      <c r="N17" s="81">
        <v>-16920834</v>
      </c>
      <c r="O17" s="81">
        <v>-20257912</v>
      </c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2"/>
      <c r="BB17" s="5"/>
      <c r="BC17" s="5"/>
      <c r="BD17" s="5"/>
      <c r="BE17" s="5"/>
      <c r="BF17" s="5"/>
      <c r="BG17" s="5"/>
    </row>
    <row r="18" spans="1:59" ht="30" customHeight="1" x14ac:dyDescent="0.25">
      <c r="A18" s="15"/>
      <c r="B18" s="5"/>
      <c r="C18" s="5"/>
      <c r="D18" s="10"/>
      <c r="E18" s="77" t="s">
        <v>41</v>
      </c>
      <c r="F18" s="88">
        <f t="shared" ref="F18:M18" si="66">F15+F17</f>
        <v>1720176</v>
      </c>
      <c r="G18" s="88">
        <f t="shared" si="66"/>
        <v>2110192</v>
      </c>
      <c r="H18" s="88">
        <f t="shared" si="66"/>
        <v>2714560</v>
      </c>
      <c r="I18" s="88">
        <f t="shared" si="66"/>
        <v>3504143</v>
      </c>
      <c r="J18" s="88">
        <f t="shared" si="66"/>
        <v>3988000</v>
      </c>
      <c r="K18" s="88">
        <f t="shared" si="66"/>
        <v>4445522</v>
      </c>
      <c r="L18" s="88">
        <f t="shared" si="66"/>
        <v>5198361</v>
      </c>
      <c r="M18" s="88">
        <f t="shared" si="66"/>
        <v>5891132</v>
      </c>
      <c r="N18" s="88">
        <f t="shared" ref="N18" si="67">N15+N17</f>
        <v>7206168</v>
      </c>
      <c r="O18" s="88">
        <v>8809468</v>
      </c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9"/>
      <c r="BB18" s="5"/>
      <c r="BC18" s="5"/>
      <c r="BD18" s="5"/>
      <c r="BE18" s="5"/>
      <c r="BF18" s="5"/>
      <c r="BG18" s="5"/>
    </row>
    <row r="19" spans="1:59" ht="30" customHeight="1" x14ac:dyDescent="0.25">
      <c r="A19" s="15"/>
      <c r="B19" s="5"/>
      <c r="C19" s="5"/>
      <c r="D19" s="10"/>
      <c r="E19" s="90" t="s">
        <v>81</v>
      </c>
      <c r="F19" s="85">
        <f t="shared" ref="F19:M19" si="68">F18/F15</f>
        <v>0.27598240888418413</v>
      </c>
      <c r="G19" s="85">
        <f t="shared" si="68"/>
        <v>0.28548634261548528</v>
      </c>
      <c r="H19" s="85">
        <f t="shared" si="68"/>
        <v>0.30508047506762592</v>
      </c>
      <c r="I19" s="85">
        <f t="shared" si="68"/>
        <v>0.31129771826485253</v>
      </c>
      <c r="J19" s="85">
        <f t="shared" si="68"/>
        <v>0.3018352689365113</v>
      </c>
      <c r="K19" s="85">
        <f t="shared" si="68"/>
        <v>0.30034378400217004</v>
      </c>
      <c r="L19" s="85">
        <f t="shared" si="68"/>
        <v>0.29593984833993714</v>
      </c>
      <c r="M19" s="85">
        <f t="shared" si="68"/>
        <v>0.2935754707766644</v>
      </c>
      <c r="N19" s="85">
        <f t="shared" ref="N19:O19" si="69">N18/N15</f>
        <v>0.29867647874360853</v>
      </c>
      <c r="O19" s="85">
        <f t="shared" si="69"/>
        <v>0.30307058978139756</v>
      </c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6"/>
      <c r="BB19" s="5"/>
      <c r="BC19" s="5"/>
      <c r="BD19" s="5"/>
      <c r="BE19" s="5"/>
      <c r="BF19" s="5"/>
      <c r="BG19" s="5"/>
    </row>
    <row r="20" spans="1:59" ht="30" customHeight="1" x14ac:dyDescent="0.25">
      <c r="A20" s="15"/>
      <c r="B20" s="5"/>
      <c r="C20" s="5"/>
      <c r="D20" s="5"/>
      <c r="E20" s="80" t="s">
        <v>42</v>
      </c>
      <c r="F20" s="81">
        <f t="shared" ref="F20:K20" si="70">F21+F23+F25</f>
        <v>-1570342</v>
      </c>
      <c r="G20" s="81">
        <f t="shared" si="70"/>
        <v>-1801066</v>
      </c>
      <c r="H20" s="81">
        <f t="shared" si="70"/>
        <v>-2213697</v>
      </c>
      <c r="I20" s="81">
        <f t="shared" si="70"/>
        <v>-2798605</v>
      </c>
      <c r="J20" s="81">
        <f t="shared" si="70"/>
        <v>-3195416</v>
      </c>
      <c r="K20" s="81">
        <f t="shared" si="70"/>
        <v>-3724012</v>
      </c>
      <c r="L20" s="81">
        <f>L21+L23+L25</f>
        <v>-4079892</v>
      </c>
      <c r="M20" s="81">
        <f t="shared" ref="M20:N20" si="71">M21+M23+M25</f>
        <v>-4967281</v>
      </c>
      <c r="N20" s="81">
        <f t="shared" si="71"/>
        <v>-5838569</v>
      </c>
      <c r="O20" s="81">
        <f t="shared" ref="O20" si="72">O21+O23+O25</f>
        <v>-6969323</v>
      </c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2"/>
      <c r="BB20" s="5"/>
      <c r="BC20" s="5"/>
      <c r="BD20" s="5"/>
      <c r="BE20" s="5"/>
      <c r="BF20" s="5"/>
      <c r="BG20" s="5"/>
    </row>
    <row r="21" spans="1:59" ht="30" customHeight="1" x14ac:dyDescent="0.25">
      <c r="A21" s="15"/>
      <c r="B21" s="5"/>
      <c r="C21" s="5"/>
      <c r="D21" s="5"/>
      <c r="E21" s="91" t="s">
        <v>72</v>
      </c>
      <c r="F21" s="81">
        <v>-1188077</v>
      </c>
      <c r="G21" s="81">
        <v>-1409067</v>
      </c>
      <c r="H21" s="81">
        <v>-1742093</v>
      </c>
      <c r="I21" s="81">
        <v>-2218765</v>
      </c>
      <c r="J21" s="81">
        <v>-2825959</v>
      </c>
      <c r="K21" s="81">
        <v>-3261896</v>
      </c>
      <c r="L21" s="81">
        <v>-3754770</v>
      </c>
      <c r="M21" s="81">
        <v>-4256422</v>
      </c>
      <c r="N21" s="81">
        <v>-4966819</v>
      </c>
      <c r="O21" s="81">
        <v>-5805992</v>
      </c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2"/>
      <c r="BB21" s="5"/>
      <c r="BC21" s="5"/>
      <c r="BD21" s="5"/>
      <c r="BE21" s="5"/>
      <c r="BF21" s="5"/>
      <c r="BG21" s="5"/>
    </row>
    <row r="22" spans="1:59" ht="30" customHeight="1" x14ac:dyDescent="0.25">
      <c r="A22" s="15"/>
      <c r="B22" s="5"/>
      <c r="C22" s="5"/>
      <c r="D22" s="5"/>
      <c r="E22" s="83" t="s">
        <v>62</v>
      </c>
      <c r="F22" s="85">
        <f>F21/F15</f>
        <v>-0.19061325841070612</v>
      </c>
      <c r="G22" s="85">
        <f t="shared" ref="G22:M22" si="73">G21/G15</f>
        <v>-0.19063165073612923</v>
      </c>
      <c r="H22" s="85">
        <f t="shared" si="73"/>
        <v>-0.19578810564216137</v>
      </c>
      <c r="I22" s="85">
        <f t="shared" si="73"/>
        <v>-0.1971085317767898</v>
      </c>
      <c r="J22" s="85">
        <f t="shared" si="73"/>
        <v>-0.21388517922982811</v>
      </c>
      <c r="K22" s="85">
        <f t="shared" si="73"/>
        <v>-0.22037686185369063</v>
      </c>
      <c r="L22" s="85">
        <f t="shared" si="73"/>
        <v>-0.21375700232272168</v>
      </c>
      <c r="M22" s="85">
        <f t="shared" si="73"/>
        <v>-0.21211222095755983</v>
      </c>
      <c r="N22" s="85">
        <f t="shared" ref="N22:O22" si="74">N21/N15</f>
        <v>-0.20586142447370792</v>
      </c>
      <c r="O22" s="85">
        <f t="shared" si="74"/>
        <v>-0.19974252925444261</v>
      </c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6"/>
      <c r="BB22" s="5"/>
      <c r="BC22" s="5"/>
      <c r="BD22" s="5"/>
      <c r="BE22" s="5"/>
      <c r="BF22" s="5"/>
      <c r="BG22" s="5"/>
    </row>
    <row r="23" spans="1:59" ht="30" customHeight="1" x14ac:dyDescent="0.25">
      <c r="A23" s="15"/>
      <c r="B23" s="5"/>
      <c r="C23" s="5"/>
      <c r="D23" s="5"/>
      <c r="E23" s="91" t="s">
        <v>73</v>
      </c>
      <c r="F23" s="81">
        <v>-335199</v>
      </c>
      <c r="G23" s="81">
        <v>-382526</v>
      </c>
      <c r="H23" s="81">
        <v>-462786</v>
      </c>
      <c r="I23" s="81">
        <v>-572163</v>
      </c>
      <c r="J23" s="81">
        <v>-369669</v>
      </c>
      <c r="K23" s="81">
        <v>-402568</v>
      </c>
      <c r="L23" s="81">
        <v>-533393</v>
      </c>
      <c r="M23" s="81">
        <v>-679320</v>
      </c>
      <c r="N23" s="81">
        <v>-912404</v>
      </c>
      <c r="O23" s="81">
        <v>-1249847</v>
      </c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2"/>
      <c r="BB23" s="5"/>
      <c r="BC23" s="5"/>
      <c r="BD23" s="5"/>
      <c r="BE23" s="5"/>
      <c r="BF23" s="5"/>
      <c r="BG23" s="5"/>
    </row>
    <row r="24" spans="1:59" ht="30" customHeight="1" x14ac:dyDescent="0.25">
      <c r="A24" s="15"/>
      <c r="B24" s="5"/>
      <c r="C24" s="5"/>
      <c r="D24" s="5"/>
      <c r="E24" s="83" t="s">
        <v>62</v>
      </c>
      <c r="F24" s="85">
        <f>F23/F15</f>
        <v>-5.3778815351202221E-2</v>
      </c>
      <c r="G24" s="85">
        <f t="shared" ref="G24:M24" si="75">G23/G15</f>
        <v>-5.1751664633043405E-2</v>
      </c>
      <c r="H24" s="85">
        <f t="shared" si="75"/>
        <v>-5.2010997264619795E-2</v>
      </c>
      <c r="I24" s="85">
        <f t="shared" si="75"/>
        <v>-5.0829271629489102E-2</v>
      </c>
      <c r="J24" s="85">
        <f t="shared" si="75"/>
        <v>-2.7978721673142224E-2</v>
      </c>
      <c r="K24" s="85">
        <f t="shared" si="75"/>
        <v>-2.7197885071356207E-2</v>
      </c>
      <c r="L24" s="85">
        <f t="shared" si="75"/>
        <v>-3.0365771735665164E-2</v>
      </c>
      <c r="M24" s="85">
        <f t="shared" si="75"/>
        <v>-3.3852863729416288E-2</v>
      </c>
      <c r="N24" s="85">
        <f>N23/N15</f>
        <v>-3.7816716722616425E-2</v>
      </c>
      <c r="O24" s="85">
        <f>O23/O15</f>
        <v>-4.2998268161767592E-2</v>
      </c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6"/>
      <c r="BB24" s="5"/>
      <c r="BC24" s="5"/>
      <c r="BD24" s="5"/>
      <c r="BE24" s="5"/>
      <c r="BF24" s="5"/>
      <c r="BG24" s="5"/>
    </row>
    <row r="25" spans="1:59" ht="30" customHeight="1" x14ac:dyDescent="0.25">
      <c r="A25" s="15"/>
      <c r="B25" s="5"/>
      <c r="C25" s="5"/>
      <c r="D25" s="5"/>
      <c r="E25" s="91" t="s">
        <v>47</v>
      </c>
      <c r="F25" s="81">
        <v>-47066</v>
      </c>
      <c r="G25" s="81">
        <v>-9473</v>
      </c>
      <c r="H25" s="81">
        <v>-8818</v>
      </c>
      <c r="I25" s="81">
        <v>-7677</v>
      </c>
      <c r="J25" s="81">
        <v>212</v>
      </c>
      <c r="K25" s="81">
        <v>-59548</v>
      </c>
      <c r="L25" s="81">
        <f>355263-146992</f>
        <v>208271</v>
      </c>
      <c r="M25" s="81">
        <f>37911-69450</f>
        <v>-31539</v>
      </c>
      <c r="N25" s="81">
        <f>78083-37429</f>
        <v>40654</v>
      </c>
      <c r="O25" s="81">
        <f>50097+36419</f>
        <v>86516</v>
      </c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2"/>
      <c r="BB25" s="5"/>
      <c r="BC25" s="5"/>
      <c r="BD25" s="5"/>
      <c r="BE25" s="5"/>
      <c r="BF25" s="5"/>
      <c r="BG25" s="5"/>
    </row>
    <row r="26" spans="1:59" ht="30" customHeight="1" x14ac:dyDescent="0.25">
      <c r="A26" s="15"/>
      <c r="B26" s="5"/>
      <c r="C26" s="5"/>
      <c r="D26" s="5"/>
      <c r="E26" s="83" t="s">
        <v>62</v>
      </c>
      <c r="F26" s="85">
        <f>F25/F15</f>
        <v>-7.5511971196802015E-3</v>
      </c>
      <c r="G26" s="85">
        <f t="shared" ref="G26:M26" si="76">G25/G15</f>
        <v>-1.2815952878204885E-3</v>
      </c>
      <c r="H26" s="85">
        <f t="shared" si="76"/>
        <v>-9.9102603337053712E-4</v>
      </c>
      <c r="I26" s="85">
        <f t="shared" si="76"/>
        <v>-6.8200201393586767E-4</v>
      </c>
      <c r="J26" s="85">
        <f t="shared" si="76"/>
        <v>1.6045405470045234E-5</v>
      </c>
      <c r="K26" s="85">
        <f t="shared" si="76"/>
        <v>-4.0231207155787827E-3</v>
      </c>
      <c r="L26" s="85">
        <f t="shared" si="76"/>
        <v>1.1856754110306508E-2</v>
      </c>
      <c r="M26" s="85">
        <f t="shared" si="76"/>
        <v>-1.5716973873315381E-3</v>
      </c>
      <c r="N26" s="85">
        <f t="shared" ref="N26:O26" si="77">N25/N15</f>
        <v>1.6850000675591604E-3</v>
      </c>
      <c r="O26" s="85">
        <f t="shared" si="77"/>
        <v>2.9763948453558594E-3</v>
      </c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6"/>
      <c r="BB26" s="5"/>
      <c r="BC26" s="5"/>
      <c r="BD26" s="5"/>
      <c r="BE26" s="5"/>
      <c r="BF26" s="5"/>
      <c r="BG26" s="5"/>
    </row>
    <row r="27" spans="1:59" ht="30" customHeight="1" x14ac:dyDescent="0.25">
      <c r="A27" s="15"/>
      <c r="B27" s="5"/>
      <c r="C27" s="5"/>
      <c r="D27" s="5"/>
      <c r="E27" s="83" t="s">
        <v>207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f>-7867</f>
        <v>-7867</v>
      </c>
      <c r="N27" s="81">
        <v>-1127</v>
      </c>
      <c r="O27" s="81">
        <v>-821</v>
      </c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6"/>
      <c r="BB27" s="5"/>
      <c r="BC27" s="5"/>
      <c r="BD27" s="5"/>
      <c r="BE27" s="5"/>
      <c r="BF27" s="5"/>
      <c r="BG27" s="5"/>
    </row>
    <row r="28" spans="1:59" ht="30" customHeight="1" x14ac:dyDescent="0.25">
      <c r="A28" s="15"/>
      <c r="B28" s="5"/>
      <c r="C28" s="5"/>
      <c r="D28" s="5"/>
      <c r="E28" s="77" t="s">
        <v>43</v>
      </c>
      <c r="F28" s="88">
        <f>F18+F20+F27</f>
        <v>149834</v>
      </c>
      <c r="G28" s="88">
        <f t="shared" ref="G28:M28" si="78">G18+G20+G27</f>
        <v>309126</v>
      </c>
      <c r="H28" s="88">
        <f t="shared" si="78"/>
        <v>500863</v>
      </c>
      <c r="I28" s="88">
        <f t="shared" si="78"/>
        <v>705538</v>
      </c>
      <c r="J28" s="88">
        <f t="shared" si="78"/>
        <v>792584</v>
      </c>
      <c r="K28" s="88">
        <f t="shared" si="78"/>
        <v>721510</v>
      </c>
      <c r="L28" s="88">
        <f t="shared" si="78"/>
        <v>1118469</v>
      </c>
      <c r="M28" s="88">
        <f t="shared" si="78"/>
        <v>915984</v>
      </c>
      <c r="N28" s="88">
        <f t="shared" ref="N28:O28" si="79">N18+N20+N27</f>
        <v>1366472</v>
      </c>
      <c r="O28" s="88">
        <f t="shared" si="79"/>
        <v>1839324</v>
      </c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92"/>
      <c r="AT28" s="92"/>
      <c r="AU28" s="88"/>
      <c r="AV28" s="88"/>
      <c r="AW28" s="88"/>
      <c r="AX28" s="88"/>
      <c r="AY28" s="92"/>
      <c r="AZ28" s="92"/>
      <c r="BA28" s="89"/>
      <c r="BB28" s="5"/>
      <c r="BC28" s="5"/>
      <c r="BD28" s="5"/>
      <c r="BE28" s="5"/>
      <c r="BF28" s="5"/>
      <c r="BG28" s="5"/>
    </row>
    <row r="29" spans="1:59" ht="30" customHeight="1" x14ac:dyDescent="0.25">
      <c r="A29" s="15"/>
      <c r="B29" s="5"/>
      <c r="C29" s="5"/>
      <c r="D29" s="5"/>
      <c r="E29" s="90" t="s">
        <v>154</v>
      </c>
      <c r="F29" s="84">
        <f>F28/F$15</f>
        <v>2.4039138002595575E-2</v>
      </c>
      <c r="G29" s="84">
        <f t="shared" ref="G29" si="80">G28/G$15</f>
        <v>4.1821431958492167E-2</v>
      </c>
      <c r="H29" s="84">
        <f t="shared" ref="H29" si="81">H28/H$15</f>
        <v>5.6290346127474182E-2</v>
      </c>
      <c r="I29" s="84">
        <f t="shared" ref="I29" si="82">I28/I$15</f>
        <v>6.2677912844637779E-2</v>
      </c>
      <c r="J29" s="84">
        <f t="shared" ref="J29" si="83">J28/J$15</f>
        <v>5.9987413439010998E-2</v>
      </c>
      <c r="K29" s="84">
        <f t="shared" ref="K29" si="84">K28/K$15</f>
        <v>4.8745916361544434E-2</v>
      </c>
      <c r="L29" s="84">
        <f t="shared" ref="L29" si="85">L28/L$15</f>
        <v>6.3673828391856813E-2</v>
      </c>
      <c r="M29" s="84">
        <f t="shared" ref="M29:N29" si="86">M28/M$15</f>
        <v>4.5646648899378278E-2</v>
      </c>
      <c r="N29" s="84">
        <f t="shared" si="86"/>
        <v>5.6636626465235922E-2</v>
      </c>
      <c r="O29" s="84">
        <f t="shared" ref="O29" si="87">O28/O$15</f>
        <v>6.3277942490860883E-2</v>
      </c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93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94"/>
      <c r="AS29" s="95"/>
      <c r="AT29" s="95"/>
      <c r="AU29" s="96"/>
      <c r="AV29" s="84"/>
      <c r="AW29" s="94"/>
      <c r="AX29" s="97"/>
      <c r="AY29" s="95"/>
      <c r="AZ29" s="98"/>
      <c r="BA29" s="99"/>
      <c r="BB29" s="5"/>
      <c r="BC29" s="5"/>
      <c r="BD29" s="5"/>
      <c r="BE29" s="5"/>
      <c r="BF29" s="5"/>
      <c r="BG29" s="5"/>
    </row>
    <row r="30" spans="1:59" ht="30" customHeight="1" x14ac:dyDescent="0.25">
      <c r="A30" s="15"/>
      <c r="B30" s="5"/>
      <c r="C30" s="5"/>
      <c r="D30" s="5"/>
      <c r="E30" s="91" t="s">
        <v>155</v>
      </c>
      <c r="F30" s="81">
        <f>'DRE - Contas Abertas'!F50</f>
        <v>0</v>
      </c>
      <c r="G30" s="81">
        <f>'DRE - Contas Abertas'!G50</f>
        <v>0</v>
      </c>
      <c r="H30" s="81">
        <f>'DRE - Contas Abertas'!H50</f>
        <v>0</v>
      </c>
      <c r="I30" s="81">
        <f>'DRE - Contas Abertas'!I50</f>
        <v>0</v>
      </c>
      <c r="J30" s="81">
        <f>'DRE - Contas Abertas'!J50</f>
        <v>0</v>
      </c>
      <c r="K30" s="81">
        <f>'DRE - Contas Abertas'!K50</f>
        <v>-54803</v>
      </c>
      <c r="L30" s="81">
        <f>'DRE - Contas Abertas'!L50</f>
        <v>232320</v>
      </c>
      <c r="M30" s="81">
        <f>'DRE - Contas Abertas'!M50</f>
        <v>28317</v>
      </c>
      <c r="N30" s="81">
        <f>'DRE - Contas Abertas'!N50</f>
        <v>84578</v>
      </c>
      <c r="O30" s="81">
        <f>'DRE - Contas Abertas'!O50</f>
        <v>91387</v>
      </c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100"/>
      <c r="AD30" s="101"/>
      <c r="AE30" s="102"/>
      <c r="AF30" s="81"/>
      <c r="AG30" s="81"/>
      <c r="AH30" s="103"/>
      <c r="AI30" s="81"/>
      <c r="AJ30" s="104"/>
      <c r="AK30" s="105"/>
      <c r="AL30" s="103"/>
      <c r="AM30" s="102"/>
      <c r="AN30" s="102"/>
      <c r="AO30" s="102"/>
      <c r="AP30" s="81"/>
      <c r="AQ30" s="81"/>
      <c r="AR30" s="103"/>
      <c r="AS30" s="102"/>
      <c r="AT30" s="102"/>
      <c r="AU30" s="102"/>
      <c r="AV30" s="103"/>
      <c r="AW30" s="103"/>
      <c r="AX30" s="100"/>
      <c r="AY30" s="102"/>
      <c r="AZ30" s="103"/>
      <c r="BA30" s="82"/>
      <c r="BB30" s="5"/>
      <c r="BC30" s="5"/>
      <c r="BD30" s="5"/>
      <c r="BE30" s="5"/>
      <c r="BF30" s="5"/>
      <c r="BG30" s="5"/>
    </row>
    <row r="31" spans="1:59" ht="30" customHeight="1" x14ac:dyDescent="0.25">
      <c r="A31" s="15"/>
      <c r="B31" s="5"/>
      <c r="C31" s="5"/>
      <c r="D31" s="5"/>
      <c r="E31" s="77" t="s">
        <v>156</v>
      </c>
      <c r="F31" s="88">
        <f>F28-F30</f>
        <v>149834</v>
      </c>
      <c r="G31" s="88">
        <f t="shared" ref="G31:L31" si="88">G28-G30</f>
        <v>309126</v>
      </c>
      <c r="H31" s="88">
        <f t="shared" si="88"/>
        <v>500863</v>
      </c>
      <c r="I31" s="88">
        <f t="shared" si="88"/>
        <v>705538</v>
      </c>
      <c r="J31" s="88">
        <f t="shared" si="88"/>
        <v>792584</v>
      </c>
      <c r="K31" s="88">
        <f t="shared" si="88"/>
        <v>776313</v>
      </c>
      <c r="L31" s="88">
        <f t="shared" si="88"/>
        <v>886149</v>
      </c>
      <c r="M31" s="88">
        <f t="shared" ref="M31:N31" si="89">M28-M30</f>
        <v>887667</v>
      </c>
      <c r="N31" s="88">
        <f t="shared" si="89"/>
        <v>1281894</v>
      </c>
      <c r="O31" s="88">
        <f t="shared" ref="O31" si="90">O28-O30</f>
        <v>1747937</v>
      </c>
      <c r="P31" s="88">
        <f>P32*P15</f>
        <v>1778702.1572101298</v>
      </c>
      <c r="Q31" s="88">
        <f t="shared" ref="Q31:BA31" si="91">Q32*Q15</f>
        <v>2014434.935915859</v>
      </c>
      <c r="R31" s="88">
        <f t="shared" si="91"/>
        <v>2302650.7494615247</v>
      </c>
      <c r="S31" s="88">
        <f t="shared" si="91"/>
        <v>2610696.2306078691</v>
      </c>
      <c r="T31" s="88">
        <f t="shared" si="91"/>
        <v>2957432.0529468767</v>
      </c>
      <c r="U31" s="88">
        <f t="shared" si="91"/>
        <v>3329971.6825801847</v>
      </c>
      <c r="V31" s="88">
        <f t="shared" si="91"/>
        <v>3751184.8979934379</v>
      </c>
      <c r="W31" s="88">
        <f t="shared" si="91"/>
        <v>4210199.9012349574</v>
      </c>
      <c r="X31" s="88">
        <f t="shared" ref="X31" si="92">X32*X15</f>
        <v>4680767.9086806402</v>
      </c>
      <c r="Y31" s="88">
        <f t="shared" si="91"/>
        <v>5132299.0231068991</v>
      </c>
      <c r="Z31" s="88">
        <f t="shared" si="91"/>
        <v>5149007.4115008228</v>
      </c>
      <c r="AA31" s="106">
        <f t="shared" si="91"/>
        <v>5650777.6635035044</v>
      </c>
      <c r="AB31" s="88">
        <f t="shared" si="91"/>
        <v>6200012.4726233771</v>
      </c>
      <c r="AC31" s="107">
        <f t="shared" si="91"/>
        <v>6800370.0544133037</v>
      </c>
      <c r="AD31" s="108">
        <f t="shared" si="91"/>
        <v>7456384.2463416178</v>
      </c>
      <c r="AE31" s="108">
        <f t="shared" si="91"/>
        <v>8173132.0003297646</v>
      </c>
      <c r="AF31" s="108">
        <f t="shared" si="91"/>
        <v>8954976.6636200678</v>
      </c>
      <c r="AG31" s="108">
        <f t="shared" si="91"/>
        <v>9806865.269898288</v>
      </c>
      <c r="AH31" s="109">
        <f t="shared" si="91"/>
        <v>10735105.783850921</v>
      </c>
      <c r="AI31" s="109">
        <f t="shared" si="91"/>
        <v>11745275.531691834</v>
      </c>
      <c r="AJ31" s="110">
        <f t="shared" si="91"/>
        <v>12844861.047809612</v>
      </c>
      <c r="AK31" s="111">
        <f t="shared" si="91"/>
        <v>14041839.90885634</v>
      </c>
      <c r="AL31" s="109">
        <f t="shared" si="91"/>
        <v>15344675.501676911</v>
      </c>
      <c r="AM31" s="108">
        <f t="shared" si="91"/>
        <v>16760670.44916762</v>
      </c>
      <c r="AN31" s="108">
        <f t="shared" si="91"/>
        <v>18298699.398361992</v>
      </c>
      <c r="AO31" s="108">
        <f t="shared" si="91"/>
        <v>19969454.222621951</v>
      </c>
      <c r="AP31" s="108">
        <f t="shared" si="91"/>
        <v>21781623.556444362</v>
      </c>
      <c r="AQ31" s="109">
        <f t="shared" si="91"/>
        <v>23744781.288360707</v>
      </c>
      <c r="AR31" s="109">
        <f t="shared" si="91"/>
        <v>25872092.948876034</v>
      </c>
      <c r="AS31" s="108">
        <f t="shared" si="91"/>
        <v>28173703.270696014</v>
      </c>
      <c r="AT31" s="108">
        <f t="shared" si="91"/>
        <v>30665888.029573865</v>
      </c>
      <c r="AU31" s="108">
        <f t="shared" si="91"/>
        <v>33367540.217230305</v>
      </c>
      <c r="AV31" s="109">
        <f t="shared" si="91"/>
        <v>36298118.55993361</v>
      </c>
      <c r="AW31" s="109">
        <f t="shared" si="91"/>
        <v>39470249.621443078</v>
      </c>
      <c r="AX31" s="107">
        <f t="shared" si="91"/>
        <v>42902692.490435436</v>
      </c>
      <c r="AY31" s="108">
        <f t="shared" si="91"/>
        <v>46618886.862236418</v>
      </c>
      <c r="AZ31" s="109">
        <f t="shared" si="91"/>
        <v>50633028.911446907</v>
      </c>
      <c r="BA31" s="89">
        <f t="shared" si="91"/>
        <v>54962150.939210594</v>
      </c>
      <c r="BB31" s="5"/>
      <c r="BC31" s="5"/>
      <c r="BD31" s="5"/>
      <c r="BE31" s="5"/>
      <c r="BF31" s="5"/>
      <c r="BG31" s="5"/>
    </row>
    <row r="32" spans="1:59" ht="30" customHeight="1" x14ac:dyDescent="0.25">
      <c r="A32" s="15"/>
      <c r="B32" s="5"/>
      <c r="C32" s="5"/>
      <c r="D32" s="5"/>
      <c r="E32" s="90" t="s">
        <v>157</v>
      </c>
      <c r="F32" s="84">
        <f t="shared" ref="F32:M32" si="93">F31/F$15</f>
        <v>2.4039138002595575E-2</v>
      </c>
      <c r="G32" s="84">
        <f t="shared" si="93"/>
        <v>4.1821431958492167E-2</v>
      </c>
      <c r="H32" s="84">
        <f t="shared" si="93"/>
        <v>5.6290346127474182E-2</v>
      </c>
      <c r="I32" s="84">
        <f t="shared" si="93"/>
        <v>6.2677912844637779E-2</v>
      </c>
      <c r="J32" s="84">
        <f t="shared" si="93"/>
        <v>5.9987413439010998E-2</v>
      </c>
      <c r="K32" s="84">
        <f t="shared" si="93"/>
        <v>5.244846026857513E-2</v>
      </c>
      <c r="L32" s="84">
        <f t="shared" si="93"/>
        <v>5.0447977865828664E-2</v>
      </c>
      <c r="M32" s="84">
        <f t="shared" si="93"/>
        <v>4.4235514909173539E-2</v>
      </c>
      <c r="N32" s="84">
        <f t="shared" ref="N32:O32" si="94">N31/N$15</f>
        <v>5.3131093535782027E-2</v>
      </c>
      <c r="O32" s="84">
        <f t="shared" si="94"/>
        <v>6.0133971482809939E-2</v>
      </c>
      <c r="P32" s="84">
        <f>AVERAGE($O$32,$N$32)+('Projeções - Receita'!P66-'Projeções - Receita'!$O$66)</f>
        <v>5.3175682589553921E-2</v>
      </c>
      <c r="Q32" s="84">
        <f>AVERAGE($O$32,$N$32)+('Projeções - Receita'!Q66-'Projeções - Receita'!$O$66)</f>
        <v>5.3175682589553921E-2</v>
      </c>
      <c r="R32" s="84">
        <f>AVERAGE($O$32,$N$32)+('Projeções - Receita'!R66-'Projeções - Receita'!$O$66)</f>
        <v>5.3175682589553921E-2</v>
      </c>
      <c r="S32" s="84">
        <f>AVERAGE($O$32,$N$32)+('Projeções - Receita'!S66-'Projeções - Receita'!$O$66)</f>
        <v>5.3175682589553921E-2</v>
      </c>
      <c r="T32" s="84">
        <f>AVERAGE($O$32,$N$32)+('Projeções - Receita'!T66-'Projeções - Receita'!$O$66)</f>
        <v>5.3175682589553921E-2</v>
      </c>
      <c r="U32" s="84">
        <f>AVERAGE($O$32,$N$32)+('Projeções - Receita'!U66-'Projeções - Receita'!$O$66)</f>
        <v>5.3175682589553921E-2</v>
      </c>
      <c r="V32" s="84">
        <f>AVERAGE($O$32,$N$32)+('Projeções - Receita'!V66-'Projeções - Receita'!$O$66)</f>
        <v>5.3175682589553921E-2</v>
      </c>
      <c r="W32" s="84">
        <f>AVERAGE($O$32,$N$32)+('Projeções - Receita'!W66-'Projeções - Receita'!$O$66)</f>
        <v>5.3175682589553921E-2</v>
      </c>
      <c r="X32" s="84">
        <f>AVERAGE($O$32,$N$32)+('Projeções - Receita'!X66-'Projeções - Receita'!$O$66)</f>
        <v>5.3175682589553921E-2</v>
      </c>
      <c r="Y32" s="84">
        <f>AVERAGE($O$32,$N$32)+('Projeções - Receita'!Y66-'Projeções - Receita'!$O$66)</f>
        <v>5.3175682589553921E-2</v>
      </c>
      <c r="Z32" s="84">
        <f>AVERAGE($O$32,$N$32)+('Projeções - Receita'!Z66-'Projeções - Receita'!$O$66)</f>
        <v>4.8931257666054481E-2</v>
      </c>
      <c r="AA32" s="84">
        <f>AVERAGE($O$32,$N$32)+('Projeções - Receita'!AA66-'Projeções - Receita'!$O$66)</f>
        <v>4.8931257666054481E-2</v>
      </c>
      <c r="AB32" s="84">
        <f>AVERAGE($O$32,$N$32)+('Projeções - Receita'!AB66-'Projeções - Receita'!$O$66)</f>
        <v>4.8931257666054481E-2</v>
      </c>
      <c r="AC32" s="84">
        <f>AVERAGE($O$32,$N$32)+('Projeções - Receita'!AC66-'Projeções - Receita'!$O$66)</f>
        <v>4.8931257666054481E-2</v>
      </c>
      <c r="AD32" s="84">
        <f>AVERAGE($O$32,$N$32)+('Projeções - Receita'!AD66-'Projeções - Receita'!$O$66)</f>
        <v>4.8931257666054481E-2</v>
      </c>
      <c r="AE32" s="84">
        <f>AVERAGE($O$32,$N$32)+('Projeções - Receita'!AE66-'Projeções - Receita'!$O$66)</f>
        <v>4.8931257666054481E-2</v>
      </c>
      <c r="AF32" s="84">
        <f>AVERAGE($O$32,$N$32)+('Projeções - Receita'!AF66-'Projeções - Receita'!$O$66)</f>
        <v>4.8931257666054481E-2</v>
      </c>
      <c r="AG32" s="84">
        <f>AVERAGE($O$32,$N$32)+('Projeções - Receita'!AG66-'Projeções - Receita'!$O$66)</f>
        <v>4.8931257666054481E-2</v>
      </c>
      <c r="AH32" s="84">
        <f>AVERAGE($O$32,$N$32)+('Projeções - Receita'!AH66-'Projeções - Receita'!$O$66)</f>
        <v>4.8931257666054481E-2</v>
      </c>
      <c r="AI32" s="84">
        <f>AVERAGE($O$32,$N$32)+('Projeções - Receita'!AI66-'Projeções - Receita'!$O$66)</f>
        <v>4.8931257666054481E-2</v>
      </c>
      <c r="AJ32" s="84">
        <f>AVERAGE($O$32,$N$32)+('Projeções - Receita'!AJ66-'Projeções - Receita'!$O$66)</f>
        <v>4.8931257666054481E-2</v>
      </c>
      <c r="AK32" s="84">
        <f>AVERAGE($O$32,$N$32)+('Projeções - Receita'!AK66-'Projeções - Receita'!$O$66)</f>
        <v>4.8931257666054481E-2</v>
      </c>
      <c r="AL32" s="84">
        <f>AVERAGE($O$32,$N$32)+('Projeções - Receita'!AL66-'Projeções - Receita'!$O$66)</f>
        <v>4.8931257666054481E-2</v>
      </c>
      <c r="AM32" s="84">
        <f>AVERAGE($O$32,$N$32)+('Projeções - Receita'!AM66-'Projeções - Receita'!$O$66)</f>
        <v>4.8931257666054481E-2</v>
      </c>
      <c r="AN32" s="84">
        <f>AVERAGE($O$32,$N$32)+('Projeções - Receita'!AN66-'Projeções - Receita'!$O$66)</f>
        <v>4.8931257666054481E-2</v>
      </c>
      <c r="AO32" s="84">
        <f>AVERAGE($O$32,$N$32)+('Projeções - Receita'!AO66-'Projeções - Receita'!$O$66)</f>
        <v>4.8931257666054481E-2</v>
      </c>
      <c r="AP32" s="84">
        <f>AVERAGE($O$32,$N$32)+('Projeções - Receita'!AP66-'Projeções - Receita'!$O$66)</f>
        <v>4.8931257666054481E-2</v>
      </c>
      <c r="AQ32" s="84">
        <f>AVERAGE($O$32,$N$32)+('Projeções - Receita'!AQ66-'Projeções - Receita'!$O$66)</f>
        <v>4.8931257666054481E-2</v>
      </c>
      <c r="AR32" s="84">
        <f>AVERAGE($O$32,$N$32)+('Projeções - Receita'!AR66-'Projeções - Receita'!$O$66)</f>
        <v>4.8931257666054481E-2</v>
      </c>
      <c r="AS32" s="84">
        <f>AVERAGE($O$32,$N$32)+('Projeções - Receita'!AS66-'Projeções - Receita'!$O$66)</f>
        <v>4.8931257666054481E-2</v>
      </c>
      <c r="AT32" s="84">
        <f>AVERAGE($O$32,$N$32)+('Projeções - Receita'!AT66-'Projeções - Receita'!$O$66)</f>
        <v>4.8931257666054481E-2</v>
      </c>
      <c r="AU32" s="84">
        <f>AVERAGE($O$32,$N$32)+('Projeções - Receita'!AU66-'Projeções - Receita'!$O$66)</f>
        <v>4.8931257666054481E-2</v>
      </c>
      <c r="AV32" s="84">
        <f>AVERAGE($O$32,$N$32)+('Projeções - Receita'!AV66-'Projeções - Receita'!$O$66)</f>
        <v>4.8931257666054481E-2</v>
      </c>
      <c r="AW32" s="84">
        <f>AVERAGE($O$32,$N$32)+('Projeções - Receita'!AW66-'Projeções - Receita'!$O$66)</f>
        <v>4.8931257666054481E-2</v>
      </c>
      <c r="AX32" s="84">
        <f>AVERAGE($O$32,$N$32)+('Projeções - Receita'!AX66-'Projeções - Receita'!$O$66)</f>
        <v>4.8931257666054481E-2</v>
      </c>
      <c r="AY32" s="84">
        <f>AVERAGE($O$32,$N$32)+('Projeções - Receita'!AY66-'Projeções - Receita'!$O$66)</f>
        <v>4.8931257666054481E-2</v>
      </c>
      <c r="AZ32" s="84">
        <f>AVERAGE($O$32,$N$32)+('Projeções - Receita'!AZ66-'Projeções - Receita'!$O$66)</f>
        <v>4.8931257666054481E-2</v>
      </c>
      <c r="BA32" s="84">
        <f>AVERAGE($O$32,$N$32)+('Projeções - Receita'!BA66-'Projeções - Receita'!$O$66)</f>
        <v>4.8931257666054481E-2</v>
      </c>
      <c r="BB32" s="5"/>
      <c r="BC32" s="5"/>
      <c r="BD32" s="5"/>
      <c r="BE32" s="5"/>
      <c r="BF32" s="5"/>
      <c r="BG32" s="5"/>
    </row>
    <row r="33" spans="1:61" ht="30" customHeight="1" x14ac:dyDescent="0.25">
      <c r="A33" s="15"/>
      <c r="B33" s="5"/>
      <c r="C33" s="5"/>
      <c r="D33" s="5"/>
      <c r="E33" s="80" t="s">
        <v>44</v>
      </c>
      <c r="F33" s="81">
        <f t="shared" ref="F33:M33" si="95">SUM(F34:F35)</f>
        <v>-10447</v>
      </c>
      <c r="G33" s="81">
        <f t="shared" si="95"/>
        <v>-6902</v>
      </c>
      <c r="H33" s="81">
        <f t="shared" si="95"/>
        <v>-64961</v>
      </c>
      <c r="I33" s="81">
        <f t="shared" si="95"/>
        <v>-110322</v>
      </c>
      <c r="J33" s="81">
        <f t="shared" si="95"/>
        <v>-106040</v>
      </c>
      <c r="K33" s="81">
        <f t="shared" si="95"/>
        <v>-82654</v>
      </c>
      <c r="L33" s="81">
        <f t="shared" si="95"/>
        <v>-334301</v>
      </c>
      <c r="M33" s="81">
        <f t="shared" si="95"/>
        <v>-299616</v>
      </c>
      <c r="N33" s="81">
        <f t="shared" ref="N33:O33" si="96">SUM(N34:N35)</f>
        <v>-379210</v>
      </c>
      <c r="O33" s="81">
        <f t="shared" si="96"/>
        <v>-646115</v>
      </c>
      <c r="P33" s="137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112"/>
      <c r="AB33" s="102"/>
      <c r="AC33" s="100"/>
      <c r="AD33" s="102"/>
      <c r="AE33" s="102"/>
      <c r="AF33" s="102"/>
      <c r="AG33" s="102"/>
      <c r="AH33" s="103"/>
      <c r="AI33" s="103"/>
      <c r="AJ33" s="102"/>
      <c r="AK33" s="103"/>
      <c r="AL33" s="103"/>
      <c r="AM33" s="102"/>
      <c r="AN33" s="102"/>
      <c r="AO33" s="102"/>
      <c r="AP33" s="102"/>
      <c r="AQ33" s="103"/>
      <c r="AR33" s="103"/>
      <c r="AS33" s="102"/>
      <c r="AT33" s="102"/>
      <c r="AU33" s="102"/>
      <c r="AV33" s="103"/>
      <c r="AW33" s="103"/>
      <c r="AX33" s="100"/>
      <c r="AY33" s="102"/>
      <c r="AZ33" s="103"/>
      <c r="BA33" s="82"/>
      <c r="BB33" s="5"/>
      <c r="BC33" s="5"/>
      <c r="BD33" s="5"/>
      <c r="BE33" s="5"/>
      <c r="BF33" s="5"/>
      <c r="BG33" s="5"/>
    </row>
    <row r="34" spans="1:61" ht="30" customHeight="1" x14ac:dyDescent="0.25">
      <c r="A34" s="15"/>
      <c r="B34" s="5"/>
      <c r="C34" s="5"/>
      <c r="D34" s="5"/>
      <c r="E34" s="91" t="s">
        <v>75</v>
      </c>
      <c r="F34" s="81">
        <v>9863</v>
      </c>
      <c r="G34" s="81">
        <v>18347</v>
      </c>
      <c r="H34" s="81">
        <v>88786</v>
      </c>
      <c r="I34" s="81">
        <v>109433</v>
      </c>
      <c r="J34" s="81">
        <v>106883</v>
      </c>
      <c r="K34" s="81">
        <v>71783</v>
      </c>
      <c r="L34" s="81">
        <v>76945</v>
      </c>
      <c r="M34" s="81">
        <v>54182</v>
      </c>
      <c r="N34" s="81">
        <v>80016</v>
      </c>
      <c r="O34" s="81">
        <v>293586</v>
      </c>
      <c r="P34" s="137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112"/>
      <c r="AB34" s="102"/>
      <c r="AC34" s="100"/>
      <c r="AD34" s="102"/>
      <c r="AE34" s="102"/>
      <c r="AF34" s="102"/>
      <c r="AG34" s="102"/>
      <c r="AH34" s="103"/>
      <c r="AI34" s="103"/>
      <c r="AJ34" s="102"/>
      <c r="AK34" s="103"/>
      <c r="AL34" s="103"/>
      <c r="AM34" s="102"/>
      <c r="AN34" s="102"/>
      <c r="AO34" s="102"/>
      <c r="AP34" s="102"/>
      <c r="AQ34" s="103"/>
      <c r="AR34" s="103"/>
      <c r="AS34" s="102"/>
      <c r="AT34" s="102"/>
      <c r="AU34" s="102"/>
      <c r="AV34" s="103"/>
      <c r="AW34" s="103"/>
      <c r="AX34" s="100"/>
      <c r="AY34" s="102"/>
      <c r="AZ34" s="103"/>
      <c r="BA34" s="82"/>
      <c r="BB34" s="5"/>
      <c r="BC34" s="5"/>
      <c r="BD34" s="5"/>
      <c r="BE34" s="5"/>
      <c r="BF34" s="5"/>
      <c r="BG34" s="5"/>
    </row>
    <row r="35" spans="1:61" ht="30" customHeight="1" x14ac:dyDescent="0.25">
      <c r="A35" s="15"/>
      <c r="B35" s="5"/>
      <c r="C35" s="5"/>
      <c r="D35" s="5"/>
      <c r="E35" s="91" t="s">
        <v>74</v>
      </c>
      <c r="F35" s="81">
        <v>-20310</v>
      </c>
      <c r="G35" s="81">
        <v>-25249</v>
      </c>
      <c r="H35" s="81">
        <v>-153747</v>
      </c>
      <c r="I35" s="81">
        <v>-219755</v>
      </c>
      <c r="J35" s="81">
        <v>-212923</v>
      </c>
      <c r="K35" s="81">
        <v>-154437</v>
      </c>
      <c r="L35" s="81">
        <v>-411246</v>
      </c>
      <c r="M35" s="81">
        <v>-353798</v>
      </c>
      <c r="N35" s="81">
        <v>-459226</v>
      </c>
      <c r="O35" s="81">
        <v>-939701</v>
      </c>
      <c r="P35" s="137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112"/>
      <c r="AB35" s="102"/>
      <c r="AC35" s="100"/>
      <c r="AD35" s="102"/>
      <c r="AE35" s="102"/>
      <c r="AF35" s="102"/>
      <c r="AG35" s="102"/>
      <c r="AH35" s="103"/>
      <c r="AI35" s="103"/>
      <c r="AJ35" s="102"/>
      <c r="AK35" s="103"/>
      <c r="AL35" s="103"/>
      <c r="AM35" s="102"/>
      <c r="AN35" s="102"/>
      <c r="AO35" s="102"/>
      <c r="AP35" s="102"/>
      <c r="AQ35" s="103"/>
      <c r="AR35" s="103"/>
      <c r="AS35" s="102"/>
      <c r="AT35" s="102"/>
      <c r="AU35" s="102"/>
      <c r="AV35" s="103"/>
      <c r="AW35" s="103"/>
      <c r="AX35" s="100"/>
      <c r="AY35" s="102"/>
      <c r="AZ35" s="103"/>
      <c r="BA35" s="82"/>
      <c r="BB35" s="5"/>
      <c r="BC35" s="5"/>
      <c r="BD35" s="5"/>
      <c r="BE35" s="5"/>
      <c r="BF35" s="5"/>
      <c r="BG35" s="5"/>
      <c r="BH35" s="5"/>
      <c r="BI35" s="5"/>
    </row>
    <row r="36" spans="1:61" ht="30" customHeight="1" x14ac:dyDescent="0.25">
      <c r="A36" s="15"/>
      <c r="B36" s="5"/>
      <c r="C36" s="5"/>
      <c r="D36" s="5"/>
      <c r="E36" s="77" t="s">
        <v>45</v>
      </c>
      <c r="F36" s="88">
        <f t="shared" ref="F36:O36" si="97">F28+F33</f>
        <v>139387</v>
      </c>
      <c r="G36" s="88">
        <f t="shared" si="97"/>
        <v>302224</v>
      </c>
      <c r="H36" s="88">
        <f t="shared" si="97"/>
        <v>435902</v>
      </c>
      <c r="I36" s="88">
        <f t="shared" si="97"/>
        <v>595216</v>
      </c>
      <c r="J36" s="88">
        <f t="shared" si="97"/>
        <v>686544</v>
      </c>
      <c r="K36" s="88">
        <f t="shared" si="97"/>
        <v>638856</v>
      </c>
      <c r="L36" s="88">
        <f t="shared" si="97"/>
        <v>784168</v>
      </c>
      <c r="M36" s="88">
        <f t="shared" si="97"/>
        <v>616368</v>
      </c>
      <c r="N36" s="88">
        <f t="shared" si="97"/>
        <v>987262</v>
      </c>
      <c r="O36" s="88">
        <f t="shared" si="97"/>
        <v>1193209</v>
      </c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112"/>
      <c r="AB36" s="102"/>
      <c r="AC36" s="100"/>
      <c r="AD36" s="102"/>
      <c r="AE36" s="102"/>
      <c r="AF36" s="102"/>
      <c r="AG36" s="102"/>
      <c r="AH36" s="103"/>
      <c r="AI36" s="103"/>
      <c r="AJ36" s="102"/>
      <c r="AK36" s="103"/>
      <c r="AL36" s="103"/>
      <c r="AM36" s="102"/>
      <c r="AN36" s="102"/>
      <c r="AO36" s="102"/>
      <c r="AP36" s="102"/>
      <c r="AQ36" s="103"/>
      <c r="AR36" s="103"/>
      <c r="AS36" s="102"/>
      <c r="AT36" s="102"/>
      <c r="AU36" s="102"/>
      <c r="AV36" s="103"/>
      <c r="AW36" s="103"/>
      <c r="AX36" s="100"/>
      <c r="AY36" s="102"/>
      <c r="AZ36" s="103"/>
      <c r="BA36" s="82"/>
      <c r="BB36" s="5"/>
      <c r="BC36" s="5"/>
      <c r="BD36" s="5"/>
      <c r="BE36" s="5"/>
      <c r="BF36" s="5"/>
      <c r="BG36" s="5"/>
      <c r="BH36" s="5"/>
      <c r="BI36" s="5"/>
    </row>
    <row r="37" spans="1:61" ht="30" customHeight="1" x14ac:dyDescent="0.25">
      <c r="A37" s="15"/>
      <c r="B37" s="5"/>
      <c r="C37" s="5"/>
      <c r="D37" s="5"/>
      <c r="E37" s="80" t="s">
        <v>64</v>
      </c>
      <c r="F37" s="81">
        <v>-38402</v>
      </c>
      <c r="G37" s="81">
        <v>-80838</v>
      </c>
      <c r="H37" s="81">
        <v>-96117</v>
      </c>
      <c r="I37" s="81">
        <v>-143964</v>
      </c>
      <c r="J37" s="81">
        <v>-173891</v>
      </c>
      <c r="K37" s="81">
        <v>-129543</v>
      </c>
      <c r="L37" s="81">
        <v>-106205</v>
      </c>
      <c r="M37" s="81">
        <v>-120835</v>
      </c>
      <c r="N37" s="81">
        <v>-223129</v>
      </c>
      <c r="O37" s="81">
        <v>-178241</v>
      </c>
      <c r="P37" s="81">
        <f t="shared" ref="P37:BA37" si="98">-P43*P31</f>
        <v>-284475.13079219876</v>
      </c>
      <c r="Q37" s="81">
        <f t="shared" si="98"/>
        <v>-322176.84087473649</v>
      </c>
      <c r="R37" s="81">
        <f t="shared" si="98"/>
        <v>-368272.37796194828</v>
      </c>
      <c r="S37" s="81">
        <f t="shared" si="98"/>
        <v>-417539.35511370515</v>
      </c>
      <c r="T37" s="81">
        <f t="shared" si="98"/>
        <v>-472994.23720871634</v>
      </c>
      <c r="U37" s="81">
        <f t="shared" si="98"/>
        <v>-532576.02803053556</v>
      </c>
      <c r="V37" s="81">
        <f t="shared" si="98"/>
        <v>-599942.3850456028</v>
      </c>
      <c r="W37" s="81">
        <f t="shared" si="98"/>
        <v>-673354.53702023311</v>
      </c>
      <c r="X37" s="81">
        <f t="shared" si="98"/>
        <v>-748614.40833826212</v>
      </c>
      <c r="Y37" s="81">
        <f t="shared" si="98"/>
        <v>-820829.63128184271</v>
      </c>
      <c r="Z37" s="81">
        <f t="shared" si="98"/>
        <v>-967145.19082344242</v>
      </c>
      <c r="AA37" s="112">
        <f t="shared" si="98"/>
        <v>-1061393.3919502711</v>
      </c>
      <c r="AB37" s="102">
        <f t="shared" si="98"/>
        <v>-1164556.9265543679</v>
      </c>
      <c r="AC37" s="100">
        <f t="shared" si="98"/>
        <v>-1277322.9223277702</v>
      </c>
      <c r="AD37" s="102">
        <f t="shared" si="98"/>
        <v>-1400542.976239183</v>
      </c>
      <c r="AE37" s="102">
        <f t="shared" si="98"/>
        <v>-1535170.6991969731</v>
      </c>
      <c r="AF37" s="102">
        <f t="shared" si="98"/>
        <v>-1682025.6647546527</v>
      </c>
      <c r="AG37" s="102">
        <f t="shared" si="98"/>
        <v>-1842037.08109851</v>
      </c>
      <c r="AH37" s="103">
        <f t="shared" si="98"/>
        <v>-2016389.7819688895</v>
      </c>
      <c r="AI37" s="103">
        <f t="shared" si="98"/>
        <v>-2206131.3642702638</v>
      </c>
      <c r="AJ37" s="102">
        <f t="shared" si="98"/>
        <v>-2412668.0341218314</v>
      </c>
      <c r="AK37" s="103">
        <f t="shared" si="98"/>
        <v>-2637498.2307909862</v>
      </c>
      <c r="AL37" s="103">
        <f t="shared" si="98"/>
        <v>-2882211.6439462323</v>
      </c>
      <c r="AM37" s="102">
        <f t="shared" si="98"/>
        <v>-3148179.935356549</v>
      </c>
      <c r="AN37" s="102">
        <f t="shared" si="98"/>
        <v>-3437070.0422610557</v>
      </c>
      <c r="AO37" s="102">
        <f t="shared" si="98"/>
        <v>-3750890.2340360559</v>
      </c>
      <c r="AP37" s="102">
        <f t="shared" si="98"/>
        <v>-4091272.5089283758</v>
      </c>
      <c r="AQ37" s="103">
        <f t="shared" si="98"/>
        <v>-4460015.1436757846</v>
      </c>
      <c r="AR37" s="103">
        <f t="shared" si="98"/>
        <v>-4859591.0381005192</v>
      </c>
      <c r="AS37" s="102">
        <f t="shared" si="98"/>
        <v>-5291905.6913919123</v>
      </c>
      <c r="AT37" s="102">
        <f t="shared" si="98"/>
        <v>-5760016.2050432498</v>
      </c>
      <c r="AU37" s="102">
        <f t="shared" si="98"/>
        <v>-6267471.2758464897</v>
      </c>
      <c r="AV37" s="103">
        <f t="shared" si="98"/>
        <v>-6817925.8632969093</v>
      </c>
      <c r="AW37" s="103">
        <f t="shared" si="98"/>
        <v>-7413751.632346699</v>
      </c>
      <c r="AX37" s="100">
        <f t="shared" si="98"/>
        <v>-8058472.1285936767</v>
      </c>
      <c r="AY37" s="102">
        <f t="shared" si="98"/>
        <v>-8756490.0624627713</v>
      </c>
      <c r="AZ37" s="103">
        <f t="shared" si="98"/>
        <v>-9510471.9210836533</v>
      </c>
      <c r="BA37" s="82">
        <f t="shared" si="98"/>
        <v>-10323616.905161098</v>
      </c>
      <c r="BB37" s="5"/>
      <c r="BC37" s="5"/>
      <c r="BD37" s="5"/>
      <c r="BE37" s="5"/>
      <c r="BF37" s="5"/>
      <c r="BG37" s="5"/>
      <c r="BH37" s="5"/>
      <c r="BI37" s="5"/>
    </row>
    <row r="38" spans="1:61" ht="30" customHeight="1" x14ac:dyDescent="0.25">
      <c r="A38" s="15"/>
      <c r="B38" s="5"/>
      <c r="C38" s="5"/>
      <c r="D38" s="5"/>
      <c r="E38" s="77" t="s">
        <v>46</v>
      </c>
      <c r="F38" s="88">
        <f t="shared" ref="F38:M38" si="99">F36+F37</f>
        <v>100985</v>
      </c>
      <c r="G38" s="88">
        <f t="shared" si="99"/>
        <v>221386</v>
      </c>
      <c r="H38" s="88">
        <f t="shared" si="99"/>
        <v>339785</v>
      </c>
      <c r="I38" s="88">
        <f t="shared" si="99"/>
        <v>451252</v>
      </c>
      <c r="J38" s="88">
        <f t="shared" si="99"/>
        <v>512653</v>
      </c>
      <c r="K38" s="88">
        <f t="shared" si="99"/>
        <v>509313</v>
      </c>
      <c r="L38" s="88">
        <f t="shared" si="99"/>
        <v>677963</v>
      </c>
      <c r="M38" s="88">
        <f t="shared" si="99"/>
        <v>495533</v>
      </c>
      <c r="N38" s="88">
        <f t="shared" ref="N38:O38" si="100">N36+N37</f>
        <v>764133</v>
      </c>
      <c r="O38" s="88">
        <f t="shared" si="100"/>
        <v>1014968</v>
      </c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112"/>
      <c r="AB38" s="102"/>
      <c r="AC38" s="100"/>
      <c r="AD38" s="102"/>
      <c r="AE38" s="102"/>
      <c r="AF38" s="102"/>
      <c r="AG38" s="102"/>
      <c r="AH38" s="103"/>
      <c r="AI38" s="103"/>
      <c r="AJ38" s="102"/>
      <c r="AK38" s="103"/>
      <c r="AL38" s="103"/>
      <c r="AM38" s="102"/>
      <c r="AN38" s="102"/>
      <c r="AO38" s="102"/>
      <c r="AP38" s="102"/>
      <c r="AQ38" s="103"/>
      <c r="AR38" s="103"/>
      <c r="AS38" s="102"/>
      <c r="AT38" s="102"/>
      <c r="AU38" s="102"/>
      <c r="AV38" s="103"/>
      <c r="AW38" s="103"/>
      <c r="AX38" s="100"/>
      <c r="AY38" s="102"/>
      <c r="AZ38" s="103"/>
      <c r="BA38" s="113"/>
      <c r="BB38" s="5"/>
      <c r="BC38" s="5"/>
      <c r="BD38" s="5"/>
      <c r="BE38" s="5"/>
      <c r="BF38" s="5"/>
      <c r="BG38" s="5"/>
      <c r="BH38" s="5"/>
      <c r="BI38" s="5"/>
    </row>
    <row r="39" spans="1:61" ht="30" customHeight="1" thickBot="1" x14ac:dyDescent="0.3">
      <c r="A39" s="15"/>
      <c r="B39" s="5"/>
      <c r="C39" s="5"/>
      <c r="D39" s="5"/>
      <c r="E39" s="251" t="s">
        <v>80</v>
      </c>
      <c r="F39" s="252">
        <f t="shared" ref="F39:N39" si="101">F38/F15</f>
        <v>1.6201879087470894E-2</v>
      </c>
      <c r="G39" s="253">
        <f t="shared" si="101"/>
        <v>2.9951151102019069E-2</v>
      </c>
      <c r="H39" s="252">
        <f t="shared" si="101"/>
        <v>3.8187319204899969E-2</v>
      </c>
      <c r="I39" s="252">
        <f t="shared" si="101"/>
        <v>4.0087895374832379E-2</v>
      </c>
      <c r="J39" s="252">
        <f t="shared" si="101"/>
        <v>3.8800590803939147E-2</v>
      </c>
      <c r="K39" s="252">
        <f t="shared" si="101"/>
        <v>3.4409680946691355E-2</v>
      </c>
      <c r="L39" s="252">
        <f t="shared" si="101"/>
        <v>3.8596062759029014E-2</v>
      </c>
      <c r="M39" s="252">
        <f t="shared" si="101"/>
        <v>2.469412224346235E-2</v>
      </c>
      <c r="N39" s="252">
        <f t="shared" si="101"/>
        <v>3.1671278511934471E-2</v>
      </c>
      <c r="O39" s="252">
        <f t="shared" ref="O39" si="102">O38/O15</f>
        <v>3.4917766926362129E-2</v>
      </c>
      <c r="P39" s="398"/>
      <c r="Q39" s="256"/>
      <c r="R39" s="256"/>
      <c r="S39" s="254"/>
      <c r="T39" s="254"/>
      <c r="U39" s="254"/>
      <c r="V39" s="254"/>
      <c r="W39" s="254"/>
      <c r="X39" s="254"/>
      <c r="Y39" s="254"/>
      <c r="Z39" s="254"/>
      <c r="AA39" s="257"/>
      <c r="AB39" s="258"/>
      <c r="AC39" s="259"/>
      <c r="AD39" s="258"/>
      <c r="AE39" s="258"/>
      <c r="AF39" s="258"/>
      <c r="AG39" s="258"/>
      <c r="AH39" s="260"/>
      <c r="AI39" s="260"/>
      <c r="AJ39" s="258"/>
      <c r="AK39" s="260"/>
      <c r="AL39" s="260"/>
      <c r="AM39" s="258"/>
      <c r="AN39" s="258"/>
      <c r="AO39" s="258"/>
      <c r="AP39" s="258"/>
      <c r="AQ39" s="260"/>
      <c r="AR39" s="260"/>
      <c r="AS39" s="258"/>
      <c r="AT39" s="258"/>
      <c r="AU39" s="258"/>
      <c r="AV39" s="260"/>
      <c r="AW39" s="260"/>
      <c r="AX39" s="259"/>
      <c r="AY39" s="258"/>
      <c r="AZ39" s="260"/>
      <c r="BA39" s="261"/>
      <c r="BB39" s="5"/>
      <c r="BC39" s="5"/>
      <c r="BD39" s="5"/>
      <c r="BE39" s="5"/>
      <c r="BF39" s="5"/>
      <c r="BG39" s="5"/>
    </row>
    <row r="40" spans="1:61" ht="30" customHeight="1" x14ac:dyDescent="0.25">
      <c r="A40" s="15"/>
      <c r="B40" s="5"/>
      <c r="C40" s="5"/>
      <c r="D40" s="5"/>
      <c r="E40" s="114"/>
      <c r="F40" s="115"/>
      <c r="G40" s="115"/>
      <c r="H40" s="115"/>
      <c r="I40" s="115"/>
      <c r="J40" s="115"/>
      <c r="K40" s="115"/>
      <c r="L40" s="115"/>
      <c r="M40" s="115"/>
      <c r="N40" s="5"/>
      <c r="O40" s="5"/>
      <c r="P40" s="25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250"/>
      <c r="AT40" s="250"/>
      <c r="AU40" s="5"/>
      <c r="AV40" s="5"/>
      <c r="AW40" s="5"/>
      <c r="AX40" s="5"/>
      <c r="AY40" s="250"/>
      <c r="AZ40" s="250"/>
      <c r="BA40" s="5"/>
      <c r="BB40" s="5"/>
      <c r="BC40" s="5"/>
      <c r="BD40" s="5"/>
      <c r="BE40" s="5"/>
      <c r="BF40" s="5"/>
      <c r="BG40" s="5"/>
    </row>
    <row r="41" spans="1:61" ht="30" customHeight="1" x14ac:dyDescent="0.25">
      <c r="A41" s="15"/>
      <c r="B41" s="5"/>
      <c r="C41" s="5"/>
      <c r="D41" s="5"/>
      <c r="E41" s="114"/>
      <c r="F41" s="43"/>
      <c r="G41" s="43"/>
      <c r="H41" s="43"/>
      <c r="I41" s="43"/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</row>
    <row r="42" spans="1:61" ht="30" customHeight="1" x14ac:dyDescent="0.25">
      <c r="A42" s="15"/>
      <c r="B42" s="5"/>
      <c r="C42" s="5"/>
      <c r="D42" s="37"/>
      <c r="E42" s="116"/>
      <c r="F42" s="35">
        <f t="shared" ref="F42:BA42" si="103">F9</f>
        <v>2013</v>
      </c>
      <c r="G42" s="35">
        <f t="shared" si="103"/>
        <v>2014</v>
      </c>
      <c r="H42" s="35">
        <f t="shared" si="103"/>
        <v>2015</v>
      </c>
      <c r="I42" s="35">
        <f t="shared" si="103"/>
        <v>2016</v>
      </c>
      <c r="J42" s="35">
        <f t="shared" si="103"/>
        <v>2017</v>
      </c>
      <c r="K42" s="35">
        <f t="shared" si="103"/>
        <v>2018</v>
      </c>
      <c r="L42" s="35">
        <f t="shared" si="103"/>
        <v>2019</v>
      </c>
      <c r="M42" s="35">
        <f t="shared" si="103"/>
        <v>2020</v>
      </c>
      <c r="N42" s="35">
        <f t="shared" si="103"/>
        <v>2021</v>
      </c>
      <c r="O42" s="35">
        <f t="shared" si="103"/>
        <v>2022</v>
      </c>
      <c r="P42" s="70">
        <f t="shared" si="103"/>
        <v>2023</v>
      </c>
      <c r="Q42" s="70">
        <f t="shared" si="103"/>
        <v>2024</v>
      </c>
      <c r="R42" s="70">
        <f t="shared" si="103"/>
        <v>2025</v>
      </c>
      <c r="S42" s="70">
        <f t="shared" si="103"/>
        <v>2026</v>
      </c>
      <c r="T42" s="70">
        <f t="shared" si="103"/>
        <v>2027</v>
      </c>
      <c r="U42" s="70">
        <f t="shared" si="103"/>
        <v>2028</v>
      </c>
      <c r="V42" s="70">
        <f t="shared" si="103"/>
        <v>2029</v>
      </c>
      <c r="W42" s="70">
        <f t="shared" si="103"/>
        <v>2030</v>
      </c>
      <c r="X42" s="70">
        <f t="shared" si="103"/>
        <v>2031</v>
      </c>
      <c r="Y42" s="70">
        <f t="shared" si="103"/>
        <v>2032</v>
      </c>
      <c r="Z42" s="70">
        <f t="shared" si="103"/>
        <v>2033</v>
      </c>
      <c r="AA42" s="117">
        <f t="shared" si="103"/>
        <v>2034</v>
      </c>
      <c r="AB42" s="74">
        <f t="shared" si="103"/>
        <v>2035</v>
      </c>
      <c r="AC42" s="74">
        <f t="shared" si="103"/>
        <v>2036</v>
      </c>
      <c r="AD42" s="74">
        <f t="shared" si="103"/>
        <v>2037</v>
      </c>
      <c r="AE42" s="74">
        <f t="shared" si="103"/>
        <v>2038</v>
      </c>
      <c r="AF42" s="72">
        <f t="shared" si="103"/>
        <v>2039</v>
      </c>
      <c r="AG42" s="73">
        <f t="shared" si="103"/>
        <v>2040</v>
      </c>
      <c r="AH42" s="74">
        <f t="shared" si="103"/>
        <v>2041</v>
      </c>
      <c r="AI42" s="72">
        <f t="shared" si="103"/>
        <v>2042</v>
      </c>
      <c r="AJ42" s="72">
        <f t="shared" si="103"/>
        <v>2043</v>
      </c>
      <c r="AK42" s="73">
        <f t="shared" si="103"/>
        <v>2044</v>
      </c>
      <c r="AL42" s="72">
        <f t="shared" si="103"/>
        <v>2045</v>
      </c>
      <c r="AM42" s="73">
        <f t="shared" si="103"/>
        <v>2046</v>
      </c>
      <c r="AN42" s="72">
        <f t="shared" si="103"/>
        <v>2047</v>
      </c>
      <c r="AO42" s="73">
        <f t="shared" si="103"/>
        <v>2048</v>
      </c>
      <c r="AP42" s="72">
        <f t="shared" si="103"/>
        <v>2049</v>
      </c>
      <c r="AQ42" s="73">
        <f t="shared" si="103"/>
        <v>2050</v>
      </c>
      <c r="AR42" s="74">
        <f t="shared" si="103"/>
        <v>2051</v>
      </c>
      <c r="AS42" s="72">
        <f t="shared" si="103"/>
        <v>2052</v>
      </c>
      <c r="AT42" s="72">
        <f t="shared" si="103"/>
        <v>2053</v>
      </c>
      <c r="AU42" s="73">
        <f t="shared" si="103"/>
        <v>2054</v>
      </c>
      <c r="AV42" s="74">
        <f t="shared" si="103"/>
        <v>2055</v>
      </c>
      <c r="AW42" s="74">
        <f t="shared" si="103"/>
        <v>2056</v>
      </c>
      <c r="AX42" s="72">
        <f t="shared" si="103"/>
        <v>2057</v>
      </c>
      <c r="AY42" s="72">
        <f t="shared" si="103"/>
        <v>2058</v>
      </c>
      <c r="AZ42" s="72">
        <f t="shared" si="103"/>
        <v>2059</v>
      </c>
      <c r="BA42" s="73">
        <f t="shared" si="103"/>
        <v>2060</v>
      </c>
      <c r="BB42" s="118" t="s">
        <v>132</v>
      </c>
      <c r="BC42" s="35" t="s">
        <v>133</v>
      </c>
      <c r="BD42" s="119" t="s">
        <v>61</v>
      </c>
      <c r="BE42" s="5"/>
      <c r="BF42" s="5"/>
      <c r="BG42" s="5"/>
    </row>
    <row r="43" spans="1:61" s="3" customFormat="1" ht="39" customHeight="1" thickBot="1" x14ac:dyDescent="0.3">
      <c r="A43" s="120"/>
      <c r="B43" s="121"/>
      <c r="C43" s="121"/>
      <c r="D43" s="122"/>
      <c r="E43" s="123" t="s">
        <v>53</v>
      </c>
      <c r="F43" s="84">
        <f t="shared" ref="F43:O43" si="104">IFERROR(IF(F28&gt;0,-F37/F28,"-"),"-")</f>
        <v>0.25629696864530083</v>
      </c>
      <c r="G43" s="84">
        <f t="shared" si="104"/>
        <v>0.26150501737155724</v>
      </c>
      <c r="H43" s="84">
        <f t="shared" si="104"/>
        <v>0.19190277580895373</v>
      </c>
      <c r="I43" s="84">
        <f t="shared" si="104"/>
        <v>0.20404854168024969</v>
      </c>
      <c r="J43" s="84">
        <f t="shared" si="104"/>
        <v>0.21939756543155048</v>
      </c>
      <c r="K43" s="84">
        <f t="shared" si="104"/>
        <v>0.17954428906044267</v>
      </c>
      <c r="L43" s="84">
        <f t="shared" si="104"/>
        <v>9.4955693899428595E-2</v>
      </c>
      <c r="M43" s="84">
        <f t="shared" si="104"/>
        <v>0.13191824311341682</v>
      </c>
      <c r="N43" s="84">
        <f t="shared" si="104"/>
        <v>0.16328838058884484</v>
      </c>
      <c r="O43" s="84">
        <f t="shared" si="104"/>
        <v>9.6905711011219337E-2</v>
      </c>
      <c r="P43" s="84">
        <f>(-AVERAGE('DRE - Contas Abertas'!$K$114:$N$114)*2-AVERAGE('DRE - Contas Abertas'!$H$116:$N$116))/3</f>
        <v>0.15993410118667317</v>
      </c>
      <c r="Q43" s="84">
        <f>(-AVERAGE('DRE - Contas Abertas'!$K$114:$N$114)*2-AVERAGE('DRE - Contas Abertas'!$H$116:$N$116))/3</f>
        <v>0.15993410118667317</v>
      </c>
      <c r="R43" s="84">
        <f>(-AVERAGE('DRE - Contas Abertas'!$K$114:$N$114)*2-AVERAGE('DRE - Contas Abertas'!$H$116:$N$116))/3</f>
        <v>0.15993410118667317</v>
      </c>
      <c r="S43" s="84">
        <f>(-AVERAGE('DRE - Contas Abertas'!$K$114:$N$114)*2-AVERAGE('DRE - Contas Abertas'!$H$116:$N$116))/3</f>
        <v>0.15993410118667317</v>
      </c>
      <c r="T43" s="84">
        <f>(-AVERAGE('DRE - Contas Abertas'!$K$114:$N$114)*2-AVERAGE('DRE - Contas Abertas'!$H$116:$N$116))/3</f>
        <v>0.15993410118667317</v>
      </c>
      <c r="U43" s="84">
        <f>(-AVERAGE('DRE - Contas Abertas'!$K$114:$N$114)*2-AVERAGE('DRE - Contas Abertas'!$H$116:$N$116))/3</f>
        <v>0.15993410118667317</v>
      </c>
      <c r="V43" s="84">
        <f>(-AVERAGE('DRE - Contas Abertas'!$K$114:$N$114)*2-AVERAGE('DRE - Contas Abertas'!$H$116:$N$116))/3</f>
        <v>0.15993410118667317</v>
      </c>
      <c r="W43" s="84">
        <f>(-AVERAGE('DRE - Contas Abertas'!$K$114:$N$114)*2-AVERAGE('DRE - Contas Abertas'!$H$116:$N$116))/3</f>
        <v>0.15993410118667317</v>
      </c>
      <c r="X43" s="84">
        <f>(-AVERAGE('DRE - Contas Abertas'!$K$114:$N$114)*2-AVERAGE('DRE - Contas Abertas'!$H$116:$N$116))/3</f>
        <v>0.15993410118667317</v>
      </c>
      <c r="Y43" s="84">
        <f>(-AVERAGE('DRE - Contas Abertas'!$K$114:$N$114)*2-AVERAGE('DRE - Contas Abertas'!$H$116:$N$116))/3</f>
        <v>0.15993410118667317</v>
      </c>
      <c r="Z43" s="84">
        <f>-AVERAGE('DRE - Contas Abertas'!$H$116:$N$116)</f>
        <v>0.18783138448455658</v>
      </c>
      <c r="AA43" s="84">
        <f>-AVERAGE('DRE - Contas Abertas'!$H$116:$N$116)</f>
        <v>0.18783138448455658</v>
      </c>
      <c r="AB43" s="84">
        <f>-AVERAGE('DRE - Contas Abertas'!$H$116:$N$116)</f>
        <v>0.18783138448455658</v>
      </c>
      <c r="AC43" s="84">
        <f>-AVERAGE('DRE - Contas Abertas'!$H$116:$N$116)</f>
        <v>0.18783138448455658</v>
      </c>
      <c r="AD43" s="84">
        <f>-AVERAGE('DRE - Contas Abertas'!$H$116:$N$116)</f>
        <v>0.18783138448455658</v>
      </c>
      <c r="AE43" s="84">
        <f>-AVERAGE('DRE - Contas Abertas'!$H$116:$N$116)</f>
        <v>0.18783138448455658</v>
      </c>
      <c r="AF43" s="84">
        <f>-AVERAGE('DRE - Contas Abertas'!$H$116:$N$116)</f>
        <v>0.18783138448455658</v>
      </c>
      <c r="AG43" s="84">
        <f>-AVERAGE('DRE - Contas Abertas'!$H$116:$N$116)</f>
        <v>0.18783138448455658</v>
      </c>
      <c r="AH43" s="84">
        <f>-AVERAGE('DRE - Contas Abertas'!$H$116:$N$116)</f>
        <v>0.18783138448455658</v>
      </c>
      <c r="AI43" s="84">
        <f>-AVERAGE('DRE - Contas Abertas'!$H$116:$N$116)</f>
        <v>0.18783138448455658</v>
      </c>
      <c r="AJ43" s="84">
        <f>-AVERAGE('DRE - Contas Abertas'!$H$116:$N$116)</f>
        <v>0.18783138448455658</v>
      </c>
      <c r="AK43" s="84">
        <f>-AVERAGE('DRE - Contas Abertas'!$H$116:$N$116)</f>
        <v>0.18783138448455658</v>
      </c>
      <c r="AL43" s="84">
        <f>-AVERAGE('DRE - Contas Abertas'!$H$116:$N$116)</f>
        <v>0.18783138448455658</v>
      </c>
      <c r="AM43" s="84">
        <f>-AVERAGE('DRE - Contas Abertas'!$H$116:$N$116)</f>
        <v>0.18783138448455658</v>
      </c>
      <c r="AN43" s="84">
        <f>-AVERAGE('DRE - Contas Abertas'!$H$116:$N$116)</f>
        <v>0.18783138448455658</v>
      </c>
      <c r="AO43" s="84">
        <f>-AVERAGE('DRE - Contas Abertas'!$H$116:$N$116)</f>
        <v>0.18783138448455658</v>
      </c>
      <c r="AP43" s="84">
        <f>-AVERAGE('DRE - Contas Abertas'!$H$116:$N$116)</f>
        <v>0.18783138448455658</v>
      </c>
      <c r="AQ43" s="84">
        <f>-AVERAGE('DRE - Contas Abertas'!$H$116:$N$116)</f>
        <v>0.18783138448455658</v>
      </c>
      <c r="AR43" s="84">
        <f>-AVERAGE('DRE - Contas Abertas'!$H$116:$N$116)</f>
        <v>0.18783138448455658</v>
      </c>
      <c r="AS43" s="84">
        <f>-AVERAGE('DRE - Contas Abertas'!$H$116:$N$116)</f>
        <v>0.18783138448455658</v>
      </c>
      <c r="AT43" s="84">
        <f>-AVERAGE('DRE - Contas Abertas'!$H$116:$N$116)</f>
        <v>0.18783138448455658</v>
      </c>
      <c r="AU43" s="84">
        <f>-AVERAGE('DRE - Contas Abertas'!$H$116:$N$116)</f>
        <v>0.18783138448455658</v>
      </c>
      <c r="AV43" s="84">
        <f>-AVERAGE('DRE - Contas Abertas'!$H$116:$N$116)</f>
        <v>0.18783138448455658</v>
      </c>
      <c r="AW43" s="84">
        <f>-AVERAGE('DRE - Contas Abertas'!$H$116:$N$116)</f>
        <v>0.18783138448455658</v>
      </c>
      <c r="AX43" s="84">
        <f>-AVERAGE('DRE - Contas Abertas'!$H$116:$N$116)</f>
        <v>0.18783138448455658</v>
      </c>
      <c r="AY43" s="84">
        <f>-AVERAGE('DRE - Contas Abertas'!$H$116:$N$116)</f>
        <v>0.18783138448455658</v>
      </c>
      <c r="AZ43" s="84">
        <f>-AVERAGE('DRE - Contas Abertas'!$H$116:$N$116)</f>
        <v>0.18783138448455658</v>
      </c>
      <c r="BA43" s="84">
        <f>-AVERAGE('DRE - Contas Abertas'!$H$116:$N$116)</f>
        <v>0.18783138448455658</v>
      </c>
      <c r="BB43" s="84"/>
      <c r="BC43" s="124">
        <f>AVERAGE(H57:N58)</f>
        <v>0.17847898692227573</v>
      </c>
      <c r="BD43" s="125">
        <f>(1+'Projeções - Capex'!$Z$26)*(1+'Projeções - Receita'!$BA$60)-1</f>
        <v>8.5565600000000241E-2</v>
      </c>
      <c r="BE43" s="121"/>
      <c r="BF43" s="121"/>
      <c r="BG43" s="5"/>
      <c r="BH43" s="121"/>
      <c r="BI43" s="121"/>
    </row>
    <row r="44" spans="1:61" ht="30" customHeight="1" x14ac:dyDescent="0.25">
      <c r="A44" s="15"/>
      <c r="B44" s="5"/>
      <c r="C44" s="5"/>
      <c r="D44" s="37"/>
      <c r="E44" s="126" t="s">
        <v>153</v>
      </c>
      <c r="F44" s="81">
        <v>0</v>
      </c>
      <c r="G44" s="81">
        <v>0</v>
      </c>
      <c r="H44" s="81">
        <v>0</v>
      </c>
      <c r="I44" s="81">
        <v>0</v>
      </c>
      <c r="J44" s="81">
        <v>0</v>
      </c>
      <c r="K44" s="81">
        <v>0</v>
      </c>
      <c r="L44" s="81">
        <v>533806</v>
      </c>
      <c r="M44" s="81">
        <v>613434</v>
      </c>
      <c r="N44" s="81">
        <v>700296</v>
      </c>
      <c r="O44" s="81">
        <v>815372</v>
      </c>
      <c r="P44" s="81">
        <f t="shared" ref="P44:BA44" si="105">P45*P15</f>
        <v>987056.85594151122</v>
      </c>
      <c r="Q44" s="81">
        <f t="shared" si="105"/>
        <v>1117872.2678689309</v>
      </c>
      <c r="R44" s="81">
        <f t="shared" si="105"/>
        <v>1277812.1395319984</v>
      </c>
      <c r="S44" s="81">
        <f t="shared" si="105"/>
        <v>1448756.1072304535</v>
      </c>
      <c r="T44" s="81">
        <f t="shared" si="105"/>
        <v>1641170.5422458393</v>
      </c>
      <c r="U44" s="81">
        <f t="shared" si="105"/>
        <v>1847904.3082385834</v>
      </c>
      <c r="V44" s="81">
        <f t="shared" si="105"/>
        <v>2081648.5528280973</v>
      </c>
      <c r="W44" s="81">
        <f t="shared" si="105"/>
        <v>2336370.1789828641</v>
      </c>
      <c r="X44" s="81">
        <f t="shared" si="105"/>
        <v>2597502.9245935874</v>
      </c>
      <c r="Y44" s="81">
        <f t="shared" si="105"/>
        <v>2848071.5093106623</v>
      </c>
      <c r="Z44" s="81">
        <f t="shared" si="105"/>
        <v>3105196.9402568368</v>
      </c>
      <c r="AA44" s="81">
        <f t="shared" si="105"/>
        <v>3407798.0683403709</v>
      </c>
      <c r="AB44" s="81">
        <f t="shared" si="105"/>
        <v>3739023.5089859236</v>
      </c>
      <c r="AC44" s="81">
        <f t="shared" si="105"/>
        <v>4101079.4116187561</v>
      </c>
      <c r="AD44" s="81">
        <f t="shared" si="105"/>
        <v>4496699.9844287504</v>
      </c>
      <c r="AE44" s="81">
        <f t="shared" si="105"/>
        <v>4928946.9700611187</v>
      </c>
      <c r="AF44" s="81">
        <f t="shared" si="105"/>
        <v>5400451.7596604684</v>
      </c>
      <c r="AG44" s="81">
        <f t="shared" si="105"/>
        <v>5914197.7464590669</v>
      </c>
      <c r="AH44" s="81">
        <f t="shared" si="105"/>
        <v>6473989.0563938888</v>
      </c>
      <c r="AI44" s="81">
        <f t="shared" si="105"/>
        <v>7083189.1913809385</v>
      </c>
      <c r="AJ44" s="81">
        <f t="shared" si="105"/>
        <v>7746313.0339633329</v>
      </c>
      <c r="AK44" s="81">
        <f t="shared" si="105"/>
        <v>8468171.5981154144</v>
      </c>
      <c r="AL44" s="81">
        <f t="shared" si="105"/>
        <v>9253868.8739530798</v>
      </c>
      <c r="AM44" s="81">
        <f t="shared" si="105"/>
        <v>10107808.833050104</v>
      </c>
      <c r="AN44" s="81">
        <f t="shared" si="105"/>
        <v>11035343.48300951</v>
      </c>
      <c r="AO44" s="81">
        <f t="shared" si="105"/>
        <v>12042920.740836602</v>
      </c>
      <c r="AP44" s="81">
        <f t="shared" si="105"/>
        <v>13135780.43609434</v>
      </c>
      <c r="AQ44" s="81">
        <f t="shared" si="105"/>
        <v>14319696.265924413</v>
      </c>
      <c r="AR44" s="81">
        <f t="shared" si="105"/>
        <v>15602607.928558718</v>
      </c>
      <c r="AS44" s="81">
        <f t="shared" si="105"/>
        <v>16990633.378476601</v>
      </c>
      <c r="AT44" s="81">
        <f t="shared" si="105"/>
        <v>18493588.000475593</v>
      </c>
      <c r="AU44" s="81">
        <f t="shared" si="105"/>
        <v>20122865.536182951</v>
      </c>
      <c r="AV44" s="81">
        <f t="shared" si="105"/>
        <v>21890200.903115891</v>
      </c>
      <c r="AW44" s="81">
        <f t="shared" si="105"/>
        <v>23803208.766396824</v>
      </c>
      <c r="AX44" s="81">
        <f t="shared" si="105"/>
        <v>25873202.115133289</v>
      </c>
      <c r="AY44" s="81">
        <f t="shared" si="105"/>
        <v>28114316.658286095</v>
      </c>
      <c r="AZ44" s="81">
        <f t="shared" si="105"/>
        <v>30535113.641627692</v>
      </c>
      <c r="BA44" s="81">
        <f t="shared" si="105"/>
        <v>33145864.685524907</v>
      </c>
      <c r="BB44" s="127"/>
      <c r="BC44" s="5"/>
      <c r="BD44" s="5"/>
      <c r="BE44" s="5"/>
      <c r="BF44" s="5"/>
      <c r="BG44" s="5"/>
      <c r="BH44" s="5"/>
      <c r="BI44" s="5"/>
    </row>
    <row r="45" spans="1:61" ht="30" customHeight="1" x14ac:dyDescent="0.25">
      <c r="A45" s="15"/>
      <c r="B45" s="5"/>
      <c r="C45" s="5"/>
      <c r="D45" s="37"/>
      <c r="E45" s="128" t="s">
        <v>62</v>
      </c>
      <c r="F45" s="85">
        <f t="shared" ref="F45:O45" si="106">F44/F15</f>
        <v>0</v>
      </c>
      <c r="G45" s="85">
        <f t="shared" si="106"/>
        <v>0</v>
      </c>
      <c r="H45" s="85">
        <f t="shared" si="106"/>
        <v>0</v>
      </c>
      <c r="I45" s="85">
        <f t="shared" si="106"/>
        <v>0</v>
      </c>
      <c r="J45" s="85">
        <f t="shared" si="106"/>
        <v>0</v>
      </c>
      <c r="K45" s="85">
        <f t="shared" si="106"/>
        <v>0</v>
      </c>
      <c r="L45" s="85">
        <f t="shared" si="106"/>
        <v>3.0389283599763173E-2</v>
      </c>
      <c r="M45" s="85">
        <f t="shared" si="106"/>
        <v>3.0569536608653879E-2</v>
      </c>
      <c r="N45" s="85">
        <f t="shared" si="106"/>
        <v>2.9025404814075118E-2</v>
      </c>
      <c r="O45" s="85">
        <f t="shared" si="106"/>
        <v>2.80511005807885E-2</v>
      </c>
      <c r="P45" s="85">
        <f t="shared" ref="P45:BA45" si="107">AVERAGE($L$45:$N$45,$O$45)</f>
        <v>2.9508831400820168E-2</v>
      </c>
      <c r="Q45" s="85">
        <f t="shared" si="107"/>
        <v>2.9508831400820168E-2</v>
      </c>
      <c r="R45" s="85">
        <f t="shared" si="107"/>
        <v>2.9508831400820168E-2</v>
      </c>
      <c r="S45" s="85">
        <f t="shared" si="107"/>
        <v>2.9508831400820168E-2</v>
      </c>
      <c r="T45" s="85">
        <f t="shared" si="107"/>
        <v>2.9508831400820168E-2</v>
      </c>
      <c r="U45" s="85">
        <f t="shared" si="107"/>
        <v>2.9508831400820168E-2</v>
      </c>
      <c r="V45" s="85">
        <f t="shared" si="107"/>
        <v>2.9508831400820168E-2</v>
      </c>
      <c r="W45" s="85">
        <f t="shared" si="107"/>
        <v>2.9508831400820168E-2</v>
      </c>
      <c r="X45" s="85">
        <f t="shared" si="107"/>
        <v>2.9508831400820168E-2</v>
      </c>
      <c r="Y45" s="85">
        <f t="shared" si="107"/>
        <v>2.9508831400820168E-2</v>
      </c>
      <c r="Z45" s="85">
        <f t="shared" si="107"/>
        <v>2.9508831400820168E-2</v>
      </c>
      <c r="AA45" s="85">
        <f t="shared" si="107"/>
        <v>2.9508831400820168E-2</v>
      </c>
      <c r="AB45" s="85">
        <f t="shared" si="107"/>
        <v>2.9508831400820168E-2</v>
      </c>
      <c r="AC45" s="85">
        <f t="shared" si="107"/>
        <v>2.9508831400820168E-2</v>
      </c>
      <c r="AD45" s="85">
        <f t="shared" si="107"/>
        <v>2.9508831400820168E-2</v>
      </c>
      <c r="AE45" s="85">
        <f t="shared" si="107"/>
        <v>2.9508831400820168E-2</v>
      </c>
      <c r="AF45" s="85">
        <f t="shared" si="107"/>
        <v>2.9508831400820168E-2</v>
      </c>
      <c r="AG45" s="85">
        <f t="shared" si="107"/>
        <v>2.9508831400820168E-2</v>
      </c>
      <c r="AH45" s="85">
        <f t="shared" si="107"/>
        <v>2.9508831400820168E-2</v>
      </c>
      <c r="AI45" s="85">
        <f t="shared" si="107"/>
        <v>2.9508831400820168E-2</v>
      </c>
      <c r="AJ45" s="85">
        <f t="shared" si="107"/>
        <v>2.9508831400820168E-2</v>
      </c>
      <c r="AK45" s="85">
        <f t="shared" si="107"/>
        <v>2.9508831400820168E-2</v>
      </c>
      <c r="AL45" s="85">
        <f t="shared" si="107"/>
        <v>2.9508831400820168E-2</v>
      </c>
      <c r="AM45" s="85">
        <f t="shared" si="107"/>
        <v>2.9508831400820168E-2</v>
      </c>
      <c r="AN45" s="85">
        <f t="shared" si="107"/>
        <v>2.9508831400820168E-2</v>
      </c>
      <c r="AO45" s="85">
        <f t="shared" si="107"/>
        <v>2.9508831400820168E-2</v>
      </c>
      <c r="AP45" s="85">
        <f t="shared" si="107"/>
        <v>2.9508831400820168E-2</v>
      </c>
      <c r="AQ45" s="85">
        <f t="shared" si="107"/>
        <v>2.9508831400820168E-2</v>
      </c>
      <c r="AR45" s="85">
        <f t="shared" si="107"/>
        <v>2.9508831400820168E-2</v>
      </c>
      <c r="AS45" s="85">
        <f t="shared" si="107"/>
        <v>2.9508831400820168E-2</v>
      </c>
      <c r="AT45" s="85">
        <f t="shared" si="107"/>
        <v>2.9508831400820168E-2</v>
      </c>
      <c r="AU45" s="85">
        <f t="shared" si="107"/>
        <v>2.9508831400820168E-2</v>
      </c>
      <c r="AV45" s="85">
        <f t="shared" si="107"/>
        <v>2.9508831400820168E-2</v>
      </c>
      <c r="AW45" s="85">
        <f t="shared" si="107"/>
        <v>2.9508831400820168E-2</v>
      </c>
      <c r="AX45" s="85">
        <f t="shared" si="107"/>
        <v>2.9508831400820168E-2</v>
      </c>
      <c r="AY45" s="85">
        <f t="shared" si="107"/>
        <v>2.9508831400820168E-2</v>
      </c>
      <c r="AZ45" s="85">
        <f t="shared" si="107"/>
        <v>2.9508831400820168E-2</v>
      </c>
      <c r="BA45" s="85">
        <f t="shared" si="107"/>
        <v>2.9508831400820168E-2</v>
      </c>
      <c r="BB45" s="127"/>
      <c r="BC45" s="5"/>
      <c r="BD45" s="5"/>
      <c r="BE45" s="5"/>
      <c r="BF45" s="5"/>
      <c r="BG45" s="5"/>
      <c r="BH45" s="5"/>
      <c r="BI45" s="5"/>
    </row>
    <row r="46" spans="1:61" ht="30" customHeight="1" x14ac:dyDescent="0.25">
      <c r="A46" s="15"/>
      <c r="B46" s="5"/>
      <c r="C46" s="5"/>
      <c r="D46" s="37"/>
      <c r="E46" s="129" t="s">
        <v>357</v>
      </c>
      <c r="F46" s="88">
        <f t="shared" ref="F46:BA46" si="108">F31+F37+F44</f>
        <v>111432</v>
      </c>
      <c r="G46" s="88">
        <f t="shared" si="108"/>
        <v>228288</v>
      </c>
      <c r="H46" s="88">
        <f t="shared" si="108"/>
        <v>404746</v>
      </c>
      <c r="I46" s="88">
        <f t="shared" si="108"/>
        <v>561574</v>
      </c>
      <c r="J46" s="88">
        <f t="shared" si="108"/>
        <v>618693</v>
      </c>
      <c r="K46" s="88">
        <f t="shared" si="108"/>
        <v>646770</v>
      </c>
      <c r="L46" s="88">
        <f t="shared" si="108"/>
        <v>1313750</v>
      </c>
      <c r="M46" s="88">
        <f t="shared" si="108"/>
        <v>1380266</v>
      </c>
      <c r="N46" s="88">
        <f t="shared" si="108"/>
        <v>1759061</v>
      </c>
      <c r="O46" s="88">
        <f t="shared" si="108"/>
        <v>2385068</v>
      </c>
      <c r="P46" s="88">
        <f t="shared" si="108"/>
        <v>2481283.8823594423</v>
      </c>
      <c r="Q46" s="88">
        <f t="shared" si="108"/>
        <v>2810130.3629100537</v>
      </c>
      <c r="R46" s="88">
        <f t="shared" si="108"/>
        <v>3212190.5110315746</v>
      </c>
      <c r="S46" s="88">
        <f t="shared" si="108"/>
        <v>3641912.9827246172</v>
      </c>
      <c r="T46" s="88">
        <f t="shared" si="108"/>
        <v>4125608.3579839994</v>
      </c>
      <c r="U46" s="88">
        <f t="shared" si="108"/>
        <v>4645299.9627882326</v>
      </c>
      <c r="V46" s="88">
        <f t="shared" si="108"/>
        <v>5232891.0657759327</v>
      </c>
      <c r="W46" s="88">
        <f t="shared" si="108"/>
        <v>5873215.543197589</v>
      </c>
      <c r="X46" s="88">
        <f t="shared" si="108"/>
        <v>6529656.4249359649</v>
      </c>
      <c r="Y46" s="88">
        <f t="shared" si="108"/>
        <v>7159540.9011357184</v>
      </c>
      <c r="Z46" s="88">
        <f t="shared" si="108"/>
        <v>7287059.1609342173</v>
      </c>
      <c r="AA46" s="88">
        <f t="shared" si="108"/>
        <v>7997182.3398936037</v>
      </c>
      <c r="AB46" s="88">
        <f t="shared" si="108"/>
        <v>8774479.0550549328</v>
      </c>
      <c r="AC46" s="88">
        <f t="shared" si="108"/>
        <v>9624126.5437042899</v>
      </c>
      <c r="AD46" s="88">
        <f t="shared" si="108"/>
        <v>10552541.254531186</v>
      </c>
      <c r="AE46" s="88">
        <f t="shared" si="108"/>
        <v>11566908.27119391</v>
      </c>
      <c r="AF46" s="88">
        <f t="shared" si="108"/>
        <v>12673402.758525884</v>
      </c>
      <c r="AG46" s="88">
        <f t="shared" si="108"/>
        <v>13879025.935258845</v>
      </c>
      <c r="AH46" s="88">
        <f t="shared" si="108"/>
        <v>15192705.058275919</v>
      </c>
      <c r="AI46" s="88">
        <f t="shared" si="108"/>
        <v>16622333.358802509</v>
      </c>
      <c r="AJ46" s="88">
        <f t="shared" si="108"/>
        <v>18178506.047651112</v>
      </c>
      <c r="AK46" s="88">
        <f t="shared" si="108"/>
        <v>19872513.276180767</v>
      </c>
      <c r="AL46" s="88">
        <f t="shared" si="108"/>
        <v>21716332.731683761</v>
      </c>
      <c r="AM46" s="88">
        <f t="shared" si="108"/>
        <v>23720299.346861176</v>
      </c>
      <c r="AN46" s="88">
        <f t="shared" si="108"/>
        <v>25896972.839110445</v>
      </c>
      <c r="AO46" s="88">
        <f t="shared" si="108"/>
        <v>28261484.729422495</v>
      </c>
      <c r="AP46" s="88">
        <f t="shared" si="108"/>
        <v>30826131.483610325</v>
      </c>
      <c r="AQ46" s="88">
        <f t="shared" si="108"/>
        <v>33604462.410609335</v>
      </c>
      <c r="AR46" s="88">
        <f t="shared" si="108"/>
        <v>36615109.839334235</v>
      </c>
      <c r="AS46" s="88">
        <f t="shared" si="108"/>
        <v>39872430.957780704</v>
      </c>
      <c r="AT46" s="88">
        <f t="shared" si="108"/>
        <v>43399459.825006209</v>
      </c>
      <c r="AU46" s="88">
        <f t="shared" si="108"/>
        <v>47222934.477566764</v>
      </c>
      <c r="AV46" s="88">
        <f t="shared" si="108"/>
        <v>51370393.59975259</v>
      </c>
      <c r="AW46" s="88">
        <f t="shared" si="108"/>
        <v>55859706.755493209</v>
      </c>
      <c r="AX46" s="88">
        <f t="shared" si="108"/>
        <v>60717422.476975054</v>
      </c>
      <c r="AY46" s="88">
        <f t="shared" si="108"/>
        <v>65976713.458059743</v>
      </c>
      <c r="AZ46" s="88">
        <f t="shared" si="108"/>
        <v>71657670.631990939</v>
      </c>
      <c r="BA46" s="88">
        <f t="shared" si="108"/>
        <v>77784398.719574407</v>
      </c>
      <c r="BB46" s="130">
        <f>BA46</f>
        <v>77784398.719574407</v>
      </c>
      <c r="BC46" s="5"/>
      <c r="BD46" s="5"/>
      <c r="BE46" s="5"/>
      <c r="BF46" s="5"/>
      <c r="BG46" s="5"/>
      <c r="BH46" s="5"/>
      <c r="BI46" s="5"/>
    </row>
    <row r="47" spans="1:61" ht="30" customHeight="1" x14ac:dyDescent="0.25">
      <c r="A47" s="15"/>
      <c r="B47" s="5"/>
      <c r="C47" s="5"/>
      <c r="D47" s="37"/>
      <c r="E47" s="128" t="s">
        <v>134</v>
      </c>
      <c r="F47" s="85">
        <f t="shared" ref="F47:BA47" si="109">F46/F15</f>
        <v>1.7877979803684278E-2</v>
      </c>
      <c r="G47" s="85">
        <f t="shared" si="109"/>
        <v>3.0884917667683275E-2</v>
      </c>
      <c r="H47" s="85">
        <f t="shared" si="109"/>
        <v>4.5488072454365092E-2</v>
      </c>
      <c r="I47" s="85">
        <f t="shared" si="109"/>
        <v>4.9888576133127645E-2</v>
      </c>
      <c r="J47" s="85">
        <f t="shared" si="109"/>
        <v>4.6826320973956115E-2</v>
      </c>
      <c r="K47" s="85">
        <f t="shared" si="109"/>
        <v>4.3696409370841835E-2</v>
      </c>
      <c r="L47" s="85">
        <f t="shared" si="109"/>
        <v>7.4791068907409941E-2</v>
      </c>
      <c r="M47" s="85">
        <f t="shared" si="109"/>
        <v>6.878342579100645E-2</v>
      </c>
      <c r="N47" s="85">
        <f t="shared" si="109"/>
        <v>7.2908395332333453E-2</v>
      </c>
      <c r="O47" s="85">
        <f t="shared" si="109"/>
        <v>8.2053078055194517E-2</v>
      </c>
      <c r="P47" s="85">
        <f t="shared" si="109"/>
        <v>7.4179908990425966E-2</v>
      </c>
      <c r="Q47" s="85">
        <f t="shared" si="109"/>
        <v>7.4179908990425966E-2</v>
      </c>
      <c r="R47" s="85">
        <f t="shared" si="109"/>
        <v>7.4179908990425952E-2</v>
      </c>
      <c r="S47" s="85">
        <f t="shared" si="109"/>
        <v>7.4179908990425952E-2</v>
      </c>
      <c r="T47" s="85">
        <f t="shared" si="109"/>
        <v>7.4179908990425952E-2</v>
      </c>
      <c r="U47" s="85">
        <f t="shared" si="109"/>
        <v>7.4179908990425966E-2</v>
      </c>
      <c r="V47" s="85">
        <f t="shared" si="109"/>
        <v>7.4179908990425966E-2</v>
      </c>
      <c r="W47" s="85">
        <f t="shared" si="109"/>
        <v>7.4179908990425966E-2</v>
      </c>
      <c r="X47" s="85">
        <f t="shared" si="109"/>
        <v>7.4179908990425952E-2</v>
      </c>
      <c r="Y47" s="85">
        <f t="shared" si="109"/>
        <v>7.4179908990425952E-2</v>
      </c>
      <c r="Z47" s="85">
        <f t="shared" si="109"/>
        <v>6.9249263194889069E-2</v>
      </c>
      <c r="AA47" s="85">
        <f t="shared" si="109"/>
        <v>6.9249263194889055E-2</v>
      </c>
      <c r="AB47" s="85">
        <f t="shared" si="109"/>
        <v>6.9249263194889069E-2</v>
      </c>
      <c r="AC47" s="85">
        <f t="shared" si="109"/>
        <v>6.9249263194889069E-2</v>
      </c>
      <c r="AD47" s="85">
        <f t="shared" si="109"/>
        <v>6.9249263194889069E-2</v>
      </c>
      <c r="AE47" s="85">
        <f t="shared" si="109"/>
        <v>6.9249263194889069E-2</v>
      </c>
      <c r="AF47" s="85">
        <f t="shared" si="109"/>
        <v>6.9249263194889069E-2</v>
      </c>
      <c r="AG47" s="85">
        <f t="shared" si="109"/>
        <v>6.9249263194889069E-2</v>
      </c>
      <c r="AH47" s="85">
        <f t="shared" si="109"/>
        <v>6.9249263194889055E-2</v>
      </c>
      <c r="AI47" s="85">
        <f t="shared" si="109"/>
        <v>6.9249263194889055E-2</v>
      </c>
      <c r="AJ47" s="85">
        <f t="shared" si="109"/>
        <v>6.9249263194889055E-2</v>
      </c>
      <c r="AK47" s="85">
        <f t="shared" si="109"/>
        <v>6.9249263194889055E-2</v>
      </c>
      <c r="AL47" s="85">
        <f t="shared" si="109"/>
        <v>6.9249263194889069E-2</v>
      </c>
      <c r="AM47" s="85">
        <f t="shared" si="109"/>
        <v>6.9249263194889069E-2</v>
      </c>
      <c r="AN47" s="85">
        <f t="shared" si="109"/>
        <v>6.9249263194889055E-2</v>
      </c>
      <c r="AO47" s="85">
        <f t="shared" si="109"/>
        <v>6.9249263194889055E-2</v>
      </c>
      <c r="AP47" s="85">
        <f t="shared" si="109"/>
        <v>6.9249263194889055E-2</v>
      </c>
      <c r="AQ47" s="85">
        <f t="shared" si="109"/>
        <v>6.9249263194889055E-2</v>
      </c>
      <c r="AR47" s="85">
        <f t="shared" si="109"/>
        <v>6.9249263194889069E-2</v>
      </c>
      <c r="AS47" s="85">
        <f t="shared" si="109"/>
        <v>6.9249263194889069E-2</v>
      </c>
      <c r="AT47" s="85">
        <f t="shared" si="109"/>
        <v>6.9249263194889069E-2</v>
      </c>
      <c r="AU47" s="85">
        <f t="shared" si="109"/>
        <v>6.9249263194889055E-2</v>
      </c>
      <c r="AV47" s="85">
        <f t="shared" si="109"/>
        <v>6.9249263194889055E-2</v>
      </c>
      <c r="AW47" s="85">
        <f t="shared" si="109"/>
        <v>6.9249263194889069E-2</v>
      </c>
      <c r="AX47" s="85">
        <f t="shared" si="109"/>
        <v>6.9249263194889069E-2</v>
      </c>
      <c r="AY47" s="85">
        <f t="shared" si="109"/>
        <v>6.9249263194889069E-2</v>
      </c>
      <c r="AZ47" s="85">
        <f t="shared" si="109"/>
        <v>6.9249263194889055E-2</v>
      </c>
      <c r="BA47" s="85">
        <f t="shared" si="109"/>
        <v>6.9249263194889069E-2</v>
      </c>
      <c r="BB47" s="127"/>
      <c r="BC47" s="5"/>
      <c r="BD47" s="5"/>
      <c r="BE47" s="5"/>
      <c r="BF47" s="5"/>
      <c r="BG47" s="5"/>
      <c r="BH47" s="5"/>
      <c r="BI47" s="5"/>
    </row>
    <row r="48" spans="1:61" ht="30" customHeight="1" x14ac:dyDescent="0.25">
      <c r="A48" s="15"/>
      <c r="B48" s="5"/>
      <c r="C48" s="5"/>
      <c r="D48" s="37"/>
      <c r="E48" s="129" t="s">
        <v>55</v>
      </c>
      <c r="F48" s="131">
        <f>IFERROR(SUM(F49,F53)/(F46),0)</f>
        <v>0.70055280350348192</v>
      </c>
      <c r="G48" s="131">
        <f t="shared" ref="G48:W48" si="110">IFERROR(SUM(G49,G53)/(G46),0)</f>
        <v>0.8832976328146902</v>
      </c>
      <c r="H48" s="131">
        <f t="shared" si="110"/>
        <v>0.68766584475201731</v>
      </c>
      <c r="I48" s="131">
        <f t="shared" si="110"/>
        <v>0.87292462792080816</v>
      </c>
      <c r="J48" s="131">
        <f t="shared" si="110"/>
        <v>0.91777181897968785</v>
      </c>
      <c r="K48" s="131">
        <f t="shared" si="110"/>
        <v>0.82700341697976099</v>
      </c>
      <c r="L48" s="131">
        <f t="shared" si="110"/>
        <v>0.58846660323501432</v>
      </c>
      <c r="M48" s="131">
        <f t="shared" si="110"/>
        <v>0.33293944790352004</v>
      </c>
      <c r="N48" s="131">
        <f t="shared" si="110"/>
        <v>0.39297898139973542</v>
      </c>
      <c r="O48" s="131">
        <f t="shared" si="110"/>
        <v>0.54556826331460284</v>
      </c>
      <c r="P48" s="131">
        <f t="shared" si="110"/>
        <v>0.31996330043488891</v>
      </c>
      <c r="Q48" s="131">
        <f t="shared" si="110"/>
        <v>0.28640665055822934</v>
      </c>
      <c r="R48" s="131">
        <f t="shared" si="110"/>
        <v>0.28868512375606392</v>
      </c>
      <c r="S48" s="131">
        <f t="shared" si="110"/>
        <v>0.26819971806085607</v>
      </c>
      <c r="T48" s="131">
        <f t="shared" si="110"/>
        <v>0.26042712040469473</v>
      </c>
      <c r="U48" s="131">
        <f t="shared" si="110"/>
        <v>0.24513321224236709</v>
      </c>
      <c r="V48" s="131">
        <f t="shared" si="110"/>
        <v>0.24104912233760395</v>
      </c>
      <c r="W48" s="131">
        <f t="shared" si="110"/>
        <v>0.23089482855030344</v>
      </c>
      <c r="X48" s="131">
        <f t="shared" ref="X48" si="111">IFERROR(SUM(X49,X53)/(X46),0)</f>
        <v>0.21170690758541086</v>
      </c>
      <c r="Y48" s="131">
        <f>(Y16-'Projeções - Capex'!$Y$26)/('DRE + DCF'!$BC$43-'Projeções - Capex'!$Y$26)</f>
        <v>0.29866154970468883</v>
      </c>
      <c r="Z48" s="131">
        <f>(Z16-'Projeções - Capex'!$Y$26)/('DRE + DCF'!$BC$43-'Projeções - Capex'!$Y$26)</f>
        <v>0.24577379835133578</v>
      </c>
      <c r="AA48" s="131">
        <f>(AA16-'Projeções - Capex'!$Y$26)/('DRE + DCF'!$BC$43-'Projeções - Capex'!$Y$26)</f>
        <v>0.30708235043416665</v>
      </c>
      <c r="AB48" s="131">
        <f>(AB16-'Projeções - Capex'!$Y$26)/('DRE + DCF'!$BC$43-'Projeções - Capex'!$Y$26)</f>
        <v>0.30491390090436549</v>
      </c>
      <c r="AC48" s="131">
        <f>(AC16-'Projeções - Capex'!$Y$26)/('DRE + DCF'!$BC$43-'Projeções - Capex'!$Y$26)</f>
        <v>0.30179561292515</v>
      </c>
      <c r="AD48" s="131">
        <f>(AD16-'Projeções - Capex'!$Y$26)/('DRE + DCF'!$BC$43-'Projeções - Capex'!$Y$26)</f>
        <v>0.29868076052344505</v>
      </c>
      <c r="AE48" s="131">
        <f>(AE16-'Projeções - Capex'!$Y$26)/('DRE + DCF'!$BC$43-'Projeções - Capex'!$Y$26)</f>
        <v>0.29575575163427942</v>
      </c>
      <c r="AF48" s="131">
        <f>(AF16-'Projeções - Capex'!$Y$26)/('DRE + DCF'!$BC$43-'Projeções - Capex'!$Y$26)</f>
        <v>0.29177907516251161</v>
      </c>
      <c r="AG48" s="131">
        <f>(AG16-'Projeções - Capex'!$Y$26)/('DRE + DCF'!$BC$43-'Projeções - Capex'!$Y$26)</f>
        <v>0.28724540952931454</v>
      </c>
      <c r="AH48" s="131">
        <f>(AH16-'Projeções - Capex'!$Y$26)/('DRE + DCF'!$BC$43-'Projeções - Capex'!$Y$26)</f>
        <v>0.28315716841064809</v>
      </c>
      <c r="AI48" s="131">
        <f>(AI16-'Projeções - Capex'!$Y$26)/('DRE + DCF'!$BC$43-'Projeções - Capex'!$Y$26)</f>
        <v>0.27843284430087134</v>
      </c>
      <c r="AJ48" s="131">
        <f>(AJ16-'Projeções - Capex'!$Y$26)/('DRE + DCF'!$BC$43-'Projeções - Capex'!$Y$26)</f>
        <v>0.27432586519053992</v>
      </c>
      <c r="AK48" s="131">
        <f>(AK16-'Projeções - Capex'!$Y$26)/('DRE + DCF'!$BC$43-'Projeções - Capex'!$Y$26)</f>
        <v>0.27063149854143692</v>
      </c>
      <c r="AL48" s="131">
        <f>(AL16-'Projeções - Capex'!$Y$26)/('DRE + DCF'!$BC$43-'Projeções - Capex'!$Y$26)</f>
        <v>0.2671683738769709</v>
      </c>
      <c r="AM48" s="131">
        <f>(AM16-'Projeções - Capex'!$Y$26)/('DRE + DCF'!$BC$43-'Projeções - Capex'!$Y$26)</f>
        <v>0.26286560043812507</v>
      </c>
      <c r="AN48" s="131">
        <f>(AN16-'Projeções - Capex'!$Y$26)/('DRE + DCF'!$BC$43-'Projeções - Capex'!$Y$26)</f>
        <v>0.25846098913393978</v>
      </c>
      <c r="AO48" s="131">
        <f>(AO16-'Projeções - Capex'!$Y$26)/('DRE + DCF'!$BC$43-'Projeções - Capex'!$Y$26)</f>
        <v>0.25453074060526004</v>
      </c>
      <c r="AP48" s="131">
        <f>(AP16-'Projeções - Capex'!$Y$26)/('DRE + DCF'!$BC$43-'Projeções - Capex'!$Y$26)</f>
        <v>0.24976326920605277</v>
      </c>
      <c r="AQ48" s="131">
        <f>(AQ16-'Projeções - Capex'!$Y$26)/('DRE + DCF'!$BC$43-'Projeções - Capex'!$Y$26)</f>
        <v>0.24447861729243378</v>
      </c>
      <c r="AR48" s="131">
        <f>(AR16-'Projeções - Capex'!$Y$26)/('DRE + DCF'!$BC$43-'Projeções - Capex'!$Y$26)</f>
        <v>0.23987469240747927</v>
      </c>
      <c r="AS48" s="131">
        <f>(AS16-'Projeções - Capex'!$Y$26)/('DRE + DCF'!$BC$43-'Projeções - Capex'!$Y$26)</f>
        <v>0.23449081469161598</v>
      </c>
      <c r="AT48" s="131">
        <f>(AT16-'Projeções - Capex'!$Y$26)/('DRE + DCF'!$BC$43-'Projeções - Capex'!$Y$26)</f>
        <v>0.230186992526317</v>
      </c>
      <c r="AU48" s="131">
        <f>(AU16-'Projeções - Capex'!$Y$26)/('DRE + DCF'!$BC$43-'Projeções - Capex'!$Y$26)</f>
        <v>0.22712348997460699</v>
      </c>
      <c r="AV48" s="131">
        <f>(AV16-'Projeções - Capex'!$Y$26)/('DRE + DCF'!$BC$43-'Projeções - Capex'!$Y$26)</f>
        <v>0.22479433169361882</v>
      </c>
      <c r="AW48" s="131">
        <f>(AW16-'Projeções - Capex'!$Y$26)/('DRE + DCF'!$BC$43-'Projeções - Capex'!$Y$26)</f>
        <v>0.22106451240736402</v>
      </c>
      <c r="AX48" s="131">
        <f>(AX16-'Projeções - Capex'!$Y$26)/('DRE + DCF'!$BC$43-'Projeções - Capex'!$Y$26)</f>
        <v>0.21740213946836739</v>
      </c>
      <c r="AY48" s="131">
        <f>(AY16-'Projeções - Capex'!$Y$26)/('DRE + DCF'!$BC$43-'Projeções - Capex'!$Y$26)</f>
        <v>0.21446347107585473</v>
      </c>
      <c r="AZ48" s="131">
        <f>(AZ16-'Projeções - Capex'!$Y$26)/('DRE + DCF'!$BC$43-'Projeções - Capex'!$Y$26)</f>
        <v>0.21007099198964296</v>
      </c>
      <c r="BA48" s="131">
        <f>(BA16-'Projeções - Capex'!$Z$26)/('DRE + DCF'!$BC$43-'Projeções - Capex'!$Z$26)</f>
        <v>0.1858156729295016</v>
      </c>
      <c r="BB48" s="343">
        <f>(BD43-'Projeções - Capex'!$Z$26)/('DRE + DCF'!BC43-'Projeções - Capex'!Z26)</f>
        <v>0.18639044507888058</v>
      </c>
      <c r="BC48" s="5"/>
      <c r="BD48" s="121"/>
      <c r="BE48" s="5"/>
      <c r="BF48" s="5"/>
      <c r="BG48" s="5"/>
      <c r="BH48" s="5"/>
      <c r="BI48" s="5"/>
    </row>
    <row r="49" spans="1:61" s="3" customFormat="1" ht="30" customHeight="1" x14ac:dyDescent="0.25">
      <c r="A49" s="120"/>
      <c r="B49" s="121"/>
      <c r="C49" s="121"/>
      <c r="D49" s="122"/>
      <c r="E49" s="132" t="s">
        <v>56</v>
      </c>
      <c r="F49" s="81">
        <f t="shared" ref="F49:J49" si="112">F50-F51</f>
        <v>78064</v>
      </c>
      <c r="G49" s="81">
        <f t="shared" si="112"/>
        <v>83187</v>
      </c>
      <c r="H49" s="81">
        <f t="shared" si="112"/>
        <v>161641</v>
      </c>
      <c r="I49" s="81">
        <f t="shared" si="112"/>
        <v>214666</v>
      </c>
      <c r="J49" s="81">
        <f t="shared" si="112"/>
        <v>301285</v>
      </c>
      <c r="K49" s="81">
        <f>K50-K51</f>
        <v>288866</v>
      </c>
      <c r="L49" s="81">
        <f t="shared" ref="L49:W49" si="113">L50-L51</f>
        <v>146137</v>
      </c>
      <c r="M49" s="81">
        <f t="shared" si="113"/>
        <v>109153</v>
      </c>
      <c r="N49" s="81">
        <f t="shared" si="113"/>
        <v>370270</v>
      </c>
      <c r="O49" s="81">
        <f t="shared" si="113"/>
        <v>388300</v>
      </c>
      <c r="P49" s="81">
        <f t="shared" si="113"/>
        <v>205710.64192110568</v>
      </c>
      <c r="Q49" s="81">
        <f t="shared" si="113"/>
        <v>209794.25367682381</v>
      </c>
      <c r="R49" s="81">
        <f t="shared" si="113"/>
        <v>199786.14342379454</v>
      </c>
      <c r="S49" s="81">
        <f t="shared" si="113"/>
        <v>199179.75168590248</v>
      </c>
      <c r="T49" s="81">
        <f t="shared" si="113"/>
        <v>199176.36974772578</v>
      </c>
      <c r="U49" s="81">
        <f t="shared" si="113"/>
        <v>198338.40135523281</v>
      </c>
      <c r="V49" s="81">
        <f t="shared" si="113"/>
        <v>198141.15598709672</v>
      </c>
      <c r="W49" s="81">
        <f t="shared" si="113"/>
        <v>197431.72249257588</v>
      </c>
      <c r="X49" s="81">
        <f t="shared" ref="X49" si="114">X50-X51</f>
        <v>194547.45716415625</v>
      </c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127"/>
      <c r="BC49" s="5"/>
      <c r="BD49" s="5"/>
      <c r="BE49" s="121"/>
      <c r="BF49" s="121"/>
      <c r="BG49" s="5"/>
      <c r="BH49" s="121"/>
      <c r="BI49" s="121"/>
    </row>
    <row r="50" spans="1:61" ht="30" customHeight="1" x14ac:dyDescent="0.25">
      <c r="A50" s="15"/>
      <c r="B50" s="5"/>
      <c r="C50" s="5"/>
      <c r="D50" s="37"/>
      <c r="E50" s="126" t="s">
        <v>57</v>
      </c>
      <c r="F50" s="81">
        <f>'Projeções - Capex'!F15</f>
        <v>236800</v>
      </c>
      <c r="G50" s="81">
        <f>'Projeções - Capex'!G15</f>
        <v>271000</v>
      </c>
      <c r="H50" s="81">
        <f>'Projeções - Capex'!H15</f>
        <v>388700</v>
      </c>
      <c r="I50" s="81">
        <f>'Projeções - Capex'!I15</f>
        <v>489100</v>
      </c>
      <c r="J50" s="81">
        <f>'Projeções - Capex'!J15</f>
        <v>639200</v>
      </c>
      <c r="K50" s="81">
        <f>'Projeções - Capex'!K15</f>
        <v>703000</v>
      </c>
      <c r="L50" s="81">
        <f>'Projeções - Capex'!L15</f>
        <v>649100</v>
      </c>
      <c r="M50" s="81">
        <f>'Projeções - Capex'!M15</f>
        <v>673000</v>
      </c>
      <c r="N50" s="81">
        <f>'Projeções - Capex'!N15</f>
        <v>997084</v>
      </c>
      <c r="O50" s="81">
        <f>'Projeções - Capex'!O15</f>
        <v>1088466</v>
      </c>
      <c r="P50" s="81">
        <f>'Projeções - Capex'!P15</f>
        <v>1079174.3759673093</v>
      </c>
      <c r="Q50" s="81">
        <f>'Projeções - Capex'!Q15</f>
        <v>1199018.8149591913</v>
      </c>
      <c r="R50" s="81">
        <f>'Projeções - Capex'!R15</f>
        <v>1330544.2715769764</v>
      </c>
      <c r="S50" s="81">
        <f>'Projeções - Capex'!S15</f>
        <v>1481209.1621768605</v>
      </c>
      <c r="T50" s="81">
        <f>'Projeções - Capex'!T15</f>
        <v>1651476.6515479335</v>
      </c>
      <c r="U50" s="81">
        <f>'Projeções - Capex'!U15</f>
        <v>1833580.9788403371</v>
      </c>
      <c r="V50" s="81">
        <f>'Projeções - Capex'!V15</f>
        <v>2040228.0702112631</v>
      </c>
      <c r="W50" s="81">
        <f>'Projeções - Capex'!W15</f>
        <v>2264926.2222921853</v>
      </c>
      <c r="X50" s="81">
        <f>'Projeções - Capex'!X15</f>
        <v>2493122.8533578389</v>
      </c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127"/>
      <c r="BC50" s="5"/>
      <c r="BD50" s="5"/>
      <c r="BE50" s="5"/>
      <c r="BF50" s="5"/>
      <c r="BG50" s="5"/>
      <c r="BH50" s="5"/>
      <c r="BI50" s="5"/>
    </row>
    <row r="51" spans="1:61" ht="30" customHeight="1" x14ac:dyDescent="0.25">
      <c r="A51" s="15"/>
      <c r="B51" s="5"/>
      <c r="C51" s="5"/>
      <c r="D51" s="37"/>
      <c r="E51" s="126" t="s">
        <v>58</v>
      </c>
      <c r="F51" s="81">
        <v>158736</v>
      </c>
      <c r="G51" s="81">
        <v>187813</v>
      </c>
      <c r="H51" s="81">
        <v>227059</v>
      </c>
      <c r="I51" s="81">
        <v>274434</v>
      </c>
      <c r="J51" s="81">
        <v>337915</v>
      </c>
      <c r="K51" s="81">
        <v>414134</v>
      </c>
      <c r="L51" s="81">
        <v>502963</v>
      </c>
      <c r="M51" s="81">
        <v>563847</v>
      </c>
      <c r="N51" s="81">
        <f>1327110-N44</f>
        <v>626814</v>
      </c>
      <c r="O51" s="81">
        <f>1515538-O44</f>
        <v>700166</v>
      </c>
      <c r="P51" s="81">
        <f t="shared" ref="P51:X51" si="115">P52*P15</f>
        <v>873463.73404620367</v>
      </c>
      <c r="Q51" s="81">
        <f t="shared" si="115"/>
        <v>989224.56128236745</v>
      </c>
      <c r="R51" s="81">
        <f t="shared" si="115"/>
        <v>1130758.1281531819</v>
      </c>
      <c r="S51" s="81">
        <f t="shared" si="115"/>
        <v>1282029.410490958</v>
      </c>
      <c r="T51" s="81">
        <f t="shared" si="115"/>
        <v>1452300.2818002077</v>
      </c>
      <c r="U51" s="81">
        <f t="shared" si="115"/>
        <v>1635242.5774851043</v>
      </c>
      <c r="V51" s="81">
        <f t="shared" si="115"/>
        <v>1842086.9142241664</v>
      </c>
      <c r="W51" s="81">
        <f t="shared" si="115"/>
        <v>2067494.4997996094</v>
      </c>
      <c r="X51" s="81">
        <f t="shared" si="115"/>
        <v>2298575.3961936827</v>
      </c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127"/>
      <c r="BC51" s="5"/>
      <c r="BD51" s="5"/>
      <c r="BE51" s="5"/>
      <c r="BF51" s="5"/>
      <c r="BG51" s="5"/>
      <c r="BH51" s="5"/>
      <c r="BI51" s="5"/>
    </row>
    <row r="52" spans="1:61" ht="30" customHeight="1" x14ac:dyDescent="0.25">
      <c r="A52" s="15"/>
      <c r="B52" s="5"/>
      <c r="C52" s="5"/>
      <c r="D52" s="37"/>
      <c r="E52" s="128" t="s">
        <v>62</v>
      </c>
      <c r="F52" s="85">
        <f t="shared" ref="F52:O52" si="116">F51/F15</f>
        <v>2.5467361279682924E-2</v>
      </c>
      <c r="G52" s="85">
        <f t="shared" si="116"/>
        <v>2.5409084322963096E-2</v>
      </c>
      <c r="H52" s="85">
        <f t="shared" si="116"/>
        <v>2.551841461908378E-2</v>
      </c>
      <c r="I52" s="85">
        <f t="shared" si="116"/>
        <v>2.4379906303565964E-2</v>
      </c>
      <c r="J52" s="85">
        <f t="shared" si="116"/>
        <v>2.5575392402878941E-2</v>
      </c>
      <c r="K52" s="85">
        <f t="shared" si="116"/>
        <v>2.7979295264752867E-2</v>
      </c>
      <c r="L52" s="85">
        <f t="shared" si="116"/>
        <v>2.8633408480211321E-2</v>
      </c>
      <c r="M52" s="85">
        <f t="shared" si="116"/>
        <v>2.8098444996820626E-2</v>
      </c>
      <c r="N52" s="85">
        <f t="shared" si="116"/>
        <v>2.5979771543932394E-2</v>
      </c>
      <c r="O52" s="85">
        <f t="shared" si="116"/>
        <v>2.4087688673695394E-2</v>
      </c>
      <c r="P52" s="85">
        <f t="shared" ref="P52:X52" si="117">AVERAGE($F$52:$N$52,$O$52)</f>
        <v>2.6112876788758725E-2</v>
      </c>
      <c r="Q52" s="85">
        <f t="shared" si="117"/>
        <v>2.6112876788758725E-2</v>
      </c>
      <c r="R52" s="85">
        <f t="shared" si="117"/>
        <v>2.6112876788758725E-2</v>
      </c>
      <c r="S52" s="85">
        <f t="shared" si="117"/>
        <v>2.6112876788758725E-2</v>
      </c>
      <c r="T52" s="85">
        <f t="shared" si="117"/>
        <v>2.6112876788758725E-2</v>
      </c>
      <c r="U52" s="85">
        <f t="shared" si="117"/>
        <v>2.6112876788758725E-2</v>
      </c>
      <c r="V52" s="85">
        <f t="shared" si="117"/>
        <v>2.6112876788758725E-2</v>
      </c>
      <c r="W52" s="85">
        <f t="shared" si="117"/>
        <v>2.6112876788758725E-2</v>
      </c>
      <c r="X52" s="85">
        <f t="shared" si="117"/>
        <v>2.6112876788758725E-2</v>
      </c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127"/>
      <c r="BC52" s="5"/>
      <c r="BD52" s="5"/>
      <c r="BE52" s="5"/>
      <c r="BF52" s="5"/>
      <c r="BG52" s="5"/>
      <c r="BH52" s="5"/>
      <c r="BI52" s="5"/>
    </row>
    <row r="53" spans="1:61" ht="30" customHeight="1" x14ac:dyDescent="0.25">
      <c r="A53" s="15"/>
      <c r="B53" s="5"/>
      <c r="C53" s="5"/>
      <c r="D53" s="37"/>
      <c r="E53" s="132" t="s">
        <v>63</v>
      </c>
      <c r="F53" s="81">
        <v>0</v>
      </c>
      <c r="G53" s="81">
        <f>'Balanço Patrimonial'!G10-'Balanço Patrimonial'!F10</f>
        <v>118459.25</v>
      </c>
      <c r="H53" s="81">
        <f>'Balanço Patrimonial'!H10-'Balanço Patrimonial'!G10</f>
        <v>116689</v>
      </c>
      <c r="I53" s="81">
        <f>'Balanço Patrimonial'!I10-'Balanço Patrimonial'!H10</f>
        <v>275545.77499999991</v>
      </c>
      <c r="J53" s="81">
        <f>'Balanço Patrimonial'!J10-'Balanço Patrimonial'!I10</f>
        <v>266534</v>
      </c>
      <c r="K53" s="81">
        <f>'Balanço Patrimonial'!K10-'Balanço Patrimonial'!J10</f>
        <v>246015</v>
      </c>
      <c r="L53" s="81">
        <f>'Balanço Patrimonial'!L10-'Balanço Patrimonial'!K10</f>
        <v>626961</v>
      </c>
      <c r="M53" s="81">
        <f>'Balanço Patrimonial'!M10-'Balanço Patrimonial'!L10</f>
        <v>350392</v>
      </c>
      <c r="N53" s="81">
        <f>'Balanço Patrimonial'!N10-'Balanço Patrimonial'!M10</f>
        <v>321004</v>
      </c>
      <c r="O53" s="81">
        <f>'Balanço Patrimonial'!O10-'Balanço Patrimonial'!N10</f>
        <v>912917.40664723329</v>
      </c>
      <c r="P53" s="81">
        <f>AVERAGE('Balanço Patrimonial'!$F$11:$N$11)*(P15-O15)</f>
        <v>588209.13839451608</v>
      </c>
      <c r="Q53" s="81">
        <f>AVERAGE('Balanço Patrimonial'!$F$11:$N$11)*(Q15-P15)</f>
        <v>595045.77119622612</v>
      </c>
      <c r="R53" s="81">
        <f>AVERAGE('Balanço Patrimonial'!$F$11:$N$11)*(R15-Q15)</f>
        <v>727525.47178140981</v>
      </c>
      <c r="S53" s="81">
        <f>AVERAGE('Balanço Patrimonial'!$F$11:$N$11)*(S15-R15)</f>
        <v>777580.2834830113</v>
      </c>
      <c r="T53" s="81">
        <f>AVERAGE('Balanço Patrimonial'!$F$11:$N$11)*(T15-S15)</f>
        <v>875243.93483958812</v>
      </c>
      <c r="U53" s="81">
        <f>AVERAGE('Balanço Patrimonial'!$F$11:$N$11)*(U15-T15)</f>
        <v>940378.90035239502</v>
      </c>
      <c r="V53" s="81">
        <f>AVERAGE('Balanço Patrimonial'!$F$11:$N$11)*(V15-U15)</f>
        <v>1063242.6427064808</v>
      </c>
      <c r="W53" s="81">
        <f>AVERAGE('Balanço Patrimonial'!$F$11:$N$11)*(W15-V15)</f>
        <v>1158663.3733930087</v>
      </c>
      <c r="X53" s="81">
        <f>AVERAGE('Balanço Patrimonial'!$F$11:$N$11)*(X15-W15)</f>
        <v>1187825.9121542464</v>
      </c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127"/>
      <c r="BC53" s="5"/>
      <c r="BD53" s="5"/>
      <c r="BE53" s="5"/>
      <c r="BF53" s="5"/>
      <c r="BG53" s="5"/>
      <c r="BH53" s="5"/>
      <c r="BI53" s="5"/>
    </row>
    <row r="54" spans="1:61" ht="30" customHeight="1" x14ac:dyDescent="0.25">
      <c r="A54" s="15"/>
      <c r="B54" s="5"/>
      <c r="C54" s="5"/>
      <c r="D54" s="37"/>
      <c r="E54" s="129" t="s">
        <v>79</v>
      </c>
      <c r="F54" s="88">
        <f>(F46)*(1-F48)</f>
        <v>33368</v>
      </c>
      <c r="G54" s="88">
        <f t="shared" ref="G54:BB54" si="118">(G46)*(1-G48)</f>
        <v>26641.750000000004</v>
      </c>
      <c r="H54" s="88">
        <f t="shared" si="118"/>
        <v>126416</v>
      </c>
      <c r="I54" s="88">
        <f t="shared" si="118"/>
        <v>71362.225000000079</v>
      </c>
      <c r="J54" s="88">
        <f t="shared" si="118"/>
        <v>50873.999999999985</v>
      </c>
      <c r="K54" s="88">
        <f t="shared" si="118"/>
        <v>111888.99999999999</v>
      </c>
      <c r="L54" s="88">
        <f t="shared" si="118"/>
        <v>540651.99999999988</v>
      </c>
      <c r="M54" s="88">
        <f t="shared" si="118"/>
        <v>920721</v>
      </c>
      <c r="N54" s="88">
        <f t="shared" si="118"/>
        <v>1067787</v>
      </c>
      <c r="O54" s="88">
        <f>(O46)*(1-O48)</f>
        <v>1083850.5933527669</v>
      </c>
      <c r="P54" s="88">
        <f t="shared" si="118"/>
        <v>1687364.1020438203</v>
      </c>
      <c r="Q54" s="88">
        <f t="shared" si="118"/>
        <v>2005290.3380370038</v>
      </c>
      <c r="R54" s="88">
        <f t="shared" si="118"/>
        <v>2284878.8958263705</v>
      </c>
      <c r="S54" s="88">
        <f t="shared" si="118"/>
        <v>2665152.9475557036</v>
      </c>
      <c r="T54" s="88">
        <f t="shared" si="118"/>
        <v>3051188.0533966855</v>
      </c>
      <c r="U54" s="88">
        <f t="shared" si="118"/>
        <v>3506582.6610806049</v>
      </c>
      <c r="V54" s="88">
        <f t="shared" si="118"/>
        <v>3971507.2670823555</v>
      </c>
      <c r="W54" s="88">
        <f t="shared" si="118"/>
        <v>4517120.4473120049</v>
      </c>
      <c r="X54" s="88">
        <f t="shared" ref="X54" si="119">(X46)*(1-X48)</f>
        <v>5147283.0556175625</v>
      </c>
      <c r="Y54" s="88">
        <f t="shared" si="118"/>
        <v>5021261.3204284208</v>
      </c>
      <c r="Z54" s="88">
        <f>(Z46)*(1-Z48)</f>
        <v>5496090.9521405175</v>
      </c>
      <c r="AA54" s="88">
        <f t="shared" si="118"/>
        <v>5541388.7901084675</v>
      </c>
      <c r="AB54" s="88">
        <f t="shared" si="118"/>
        <v>6099018.4179744823</v>
      </c>
      <c r="AC54" s="88">
        <f t="shared" si="118"/>
        <v>6719607.3745778482</v>
      </c>
      <c r="AD54" s="88">
        <f t="shared" si="118"/>
        <v>7400700.2071727822</v>
      </c>
      <c r="AE54" s="88">
        <f t="shared" si="118"/>
        <v>8145928.6213621916</v>
      </c>
      <c r="AF54" s="88">
        <f t="shared" si="118"/>
        <v>8975569.0224811789</v>
      </c>
      <c r="AG54" s="88">
        <f t="shared" si="118"/>
        <v>9892339.4466174394</v>
      </c>
      <c r="AH54" s="88">
        <f t="shared" si="118"/>
        <v>10890781.71347638</v>
      </c>
      <c r="AI54" s="88">
        <f t="shared" si="118"/>
        <v>11994129.80279387</v>
      </c>
      <c r="AJ54" s="88">
        <f t="shared" si="118"/>
        <v>13191671.648257758</v>
      </c>
      <c r="AK54" s="88">
        <f t="shared" si="118"/>
        <v>14494385.228463367</v>
      </c>
      <c r="AL54" s="88">
        <f t="shared" si="118"/>
        <v>15914415.429188574</v>
      </c>
      <c r="AM54" s="88">
        <f t="shared" si="118"/>
        <v>17485048.616476446</v>
      </c>
      <c r="AN54" s="88">
        <f t="shared" si="118"/>
        <v>19203615.623539187</v>
      </c>
      <c r="AO54" s="88">
        <f t="shared" si="118"/>
        <v>21068068.09063834</v>
      </c>
      <c r="AP54" s="88">
        <f t="shared" si="118"/>
        <v>23126896.107288182</v>
      </c>
      <c r="AQ54" s="88">
        <f t="shared" si="118"/>
        <v>25388889.905607998</v>
      </c>
      <c r="AR54" s="88">
        <f t="shared" si="118"/>
        <v>27832071.629157867</v>
      </c>
      <c r="AS54" s="88">
        <f t="shared" si="118"/>
        <v>30522712.138755493</v>
      </c>
      <c r="AT54" s="88">
        <f t="shared" si="118"/>
        <v>33409468.690621309</v>
      </c>
      <c r="AU54" s="88">
        <f t="shared" si="118"/>
        <v>36497496.792179607</v>
      </c>
      <c r="AV54" s="88">
        <f t="shared" si="118"/>
        <v>39822620.301658049</v>
      </c>
      <c r="AW54" s="88">
        <f t="shared" si="118"/>
        <v>43511107.918371767</v>
      </c>
      <c r="AX54" s="88">
        <f t="shared" si="118"/>
        <v>47517324.927475937</v>
      </c>
      <c r="AY54" s="88">
        <f t="shared" si="118"/>
        <v>51827118.479667194</v>
      </c>
      <c r="AZ54" s="88">
        <f t="shared" si="118"/>
        <v>56604472.678661495</v>
      </c>
      <c r="BA54" s="88">
        <f t="shared" si="118"/>
        <v>63330838.328080021</v>
      </c>
      <c r="BB54" s="133">
        <f t="shared" si="118"/>
        <v>63286130.022039823</v>
      </c>
      <c r="BC54" s="5"/>
      <c r="BD54" s="121"/>
      <c r="BE54" s="5"/>
      <c r="BF54" s="5"/>
      <c r="BG54" s="5"/>
      <c r="BH54" s="5"/>
      <c r="BI54" s="5"/>
    </row>
    <row r="55" spans="1:61" ht="30" customHeight="1" x14ac:dyDescent="0.25">
      <c r="A55" s="15"/>
      <c r="B55" s="5"/>
      <c r="C55" s="5"/>
      <c r="D55" s="37"/>
      <c r="E55" s="134" t="s">
        <v>338</v>
      </c>
      <c r="F55" s="81"/>
      <c r="G55" s="81"/>
      <c r="H55" s="81"/>
      <c r="I55" s="81"/>
      <c r="J55" s="81"/>
      <c r="K55" s="81"/>
      <c r="L55" s="81"/>
      <c r="M55" s="81"/>
      <c r="N55" s="81"/>
      <c r="O55" s="135"/>
      <c r="P55" s="135">
        <f>WACC!F21</f>
        <v>1.1805739946537419</v>
      </c>
      <c r="Q55" s="135">
        <f>WACC!G21</f>
        <v>1.3842461300482281</v>
      </c>
      <c r="R55" s="135">
        <f>WACC!H21</f>
        <v>1.6018299670389151</v>
      </c>
      <c r="S55" s="135">
        <f>WACC!I21</f>
        <v>1.8447129411270689</v>
      </c>
      <c r="T55" s="135">
        <f>WACC!J21</f>
        <v>2.1164294395222378</v>
      </c>
      <c r="U55" s="135">
        <f>WACC!K21</f>
        <v>2.4210686576171825</v>
      </c>
      <c r="V55" s="135">
        <f>WACC!L21</f>
        <v>2.7654228328268315</v>
      </c>
      <c r="W55" s="135">
        <f>WACC!M21</f>
        <v>3.1573790607271413</v>
      </c>
      <c r="X55" s="135">
        <f>WACC!N21</f>
        <v>3.6029062150932183</v>
      </c>
      <c r="Y55" s="135">
        <f>WACC!O21</f>
        <v>4.1080337733304244</v>
      </c>
      <c r="Z55" s="135">
        <f>WACC!P21</f>
        <v>4.6768804177388894</v>
      </c>
      <c r="AA55" s="135">
        <f>WACC!Q21</f>
        <v>5.32449625507744</v>
      </c>
      <c r="AB55" s="135">
        <f>WACC!R21</f>
        <v>6.061788593696833</v>
      </c>
      <c r="AC55" s="135">
        <f>WACC!S21</f>
        <v>6.9011750960727465</v>
      </c>
      <c r="AD55" s="135">
        <f>WACC!T21</f>
        <v>7.8567929201914692</v>
      </c>
      <c r="AE55" s="135">
        <f>WACC!U21</f>
        <v>8.9447368211102258</v>
      </c>
      <c r="AF55" s="135">
        <f>WACC!V21</f>
        <v>10.18333022285832</v>
      </c>
      <c r="AG55" s="135">
        <f>WACC!W21</f>
        <v>11.593433826140046</v>
      </c>
      <c r="AH55" s="135">
        <f>WACC!X21</f>
        <v>13.198796949487695</v>
      </c>
      <c r="AI55" s="135">
        <f>WACC!Y21</f>
        <v>15.026457521240461</v>
      </c>
      <c r="AJ55" s="135">
        <f>WACC!Z21</f>
        <v>17.107197459114495</v>
      </c>
      <c r="AK55" s="135">
        <f>WACC!AA21</f>
        <v>19.476061106980996</v>
      </c>
      <c r="AL55" s="135">
        <f>WACC!AB21</f>
        <v>22.172945460494621</v>
      </c>
      <c r="AM55" s="135">
        <f>WACC!AC21</f>
        <v>25.243272122300223</v>
      </c>
      <c r="AN55" s="135">
        <f>WACC!AD21</f>
        <v>28.738752304056078</v>
      </c>
      <c r="AO55" s="135">
        <f>WACC!AE21</f>
        <v>32.718257759629509</v>
      </c>
      <c r="AP55" s="135">
        <f>WACC!AF21</f>
        <v>37.248812317940207</v>
      </c>
      <c r="AQ55" s="135">
        <f>WACC!AG21</f>
        <v>42.406720715096093</v>
      </c>
      <c r="AR55" s="135">
        <f>WACC!AH21</f>
        <v>48.278853737895624</v>
      </c>
      <c r="AS55" s="135">
        <f>WACC!AI21</f>
        <v>54.964111323405746</v>
      </c>
      <c r="AT55" s="135">
        <f>WACC!AJ21</f>
        <v>62.575088256505516</v>
      </c>
      <c r="AU55" s="135">
        <f>WACC!AK21</f>
        <v>71.239970519491138</v>
      </c>
      <c r="AV55" s="135">
        <f>WACC!AL21</f>
        <v>81.104694232538122</v>
      </c>
      <c r="AW55" s="135">
        <f>WACC!AM21</f>
        <v>92.335403546437178</v>
      </c>
      <c r="AX55" s="135">
        <f>WACC!AN21</f>
        <v>105.12124888404986</v>
      </c>
      <c r="AY55" s="135">
        <f>WACC!AO21</f>
        <v>119.67757265916822</v>
      </c>
      <c r="AZ55" s="135">
        <f>WACC!AP21</f>
        <v>136.24953612745452</v>
      </c>
      <c r="BA55" s="135">
        <f>WACC!AQ21</f>
        <v>155.1162484537941</v>
      </c>
      <c r="BB55" s="133"/>
      <c r="BC55" s="5"/>
      <c r="BD55" s="121"/>
      <c r="BE55" s="5"/>
      <c r="BF55" s="5"/>
      <c r="BG55" s="5"/>
      <c r="BH55" s="5"/>
      <c r="BI55" s="5"/>
    </row>
    <row r="56" spans="1:61" ht="30" customHeight="1" x14ac:dyDescent="0.25">
      <c r="A56" s="15"/>
      <c r="B56" s="5"/>
      <c r="C56" s="5"/>
      <c r="D56" s="37"/>
      <c r="E56" s="129" t="s">
        <v>339</v>
      </c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>
        <f>P54/P55</f>
        <v>1429274.3273061153</v>
      </c>
      <c r="Q56" s="88">
        <f t="shared" ref="Q56:AZ56" si="120">Q54/Q55</f>
        <v>1448651.5761233431</v>
      </c>
      <c r="R56" s="88">
        <f t="shared" si="120"/>
        <v>1426417.8738334598</v>
      </c>
      <c r="S56" s="88">
        <f t="shared" si="120"/>
        <v>1444752.1281697999</v>
      </c>
      <c r="T56" s="88">
        <f t="shared" si="120"/>
        <v>1441667.7430481499</v>
      </c>
      <c r="U56" s="88">
        <f t="shared" si="120"/>
        <v>1448361.5117845465</v>
      </c>
      <c r="V56" s="88">
        <f t="shared" si="120"/>
        <v>1436130.2076263893</v>
      </c>
      <c r="W56" s="88">
        <f t="shared" si="120"/>
        <v>1430655.0972919029</v>
      </c>
      <c r="X56" s="88">
        <f t="shared" si="120"/>
        <v>1428647.5273918242</v>
      </c>
      <c r="Y56" s="88">
        <f t="shared" si="120"/>
        <v>1222302.8332986741</v>
      </c>
      <c r="Z56" s="88">
        <f t="shared" si="120"/>
        <v>1175161.7448448015</v>
      </c>
      <c r="AA56" s="88">
        <f t="shared" si="120"/>
        <v>1040734.8460099298</v>
      </c>
      <c r="AB56" s="88">
        <f t="shared" si="120"/>
        <v>1006141.7226454188</v>
      </c>
      <c r="AC56" s="88">
        <f t="shared" si="120"/>
        <v>973690.31810274988</v>
      </c>
      <c r="AD56" s="88">
        <f t="shared" si="120"/>
        <v>941949.25109371822</v>
      </c>
      <c r="AE56" s="88">
        <f t="shared" si="120"/>
        <v>910695.17016277229</v>
      </c>
      <c r="AF56" s="88">
        <f t="shared" si="120"/>
        <v>881398.20923551091</v>
      </c>
      <c r="AG56" s="88">
        <f t="shared" si="120"/>
        <v>853270.8768572862</v>
      </c>
      <c r="AH56" s="88">
        <f t="shared" si="120"/>
        <v>825134.42362632148</v>
      </c>
      <c r="AI56" s="88">
        <f t="shared" si="120"/>
        <v>798200.75928339851</v>
      </c>
      <c r="AJ56" s="88">
        <f t="shared" si="120"/>
        <v>771118.21967246919</v>
      </c>
      <c r="AK56" s="88">
        <f t="shared" si="120"/>
        <v>744215.43190106354</v>
      </c>
      <c r="AL56" s="88">
        <f t="shared" si="120"/>
        <v>717740.25050226972</v>
      </c>
      <c r="AM56" s="88">
        <f t="shared" si="120"/>
        <v>692661.73306549806</v>
      </c>
      <c r="AN56" s="88">
        <f t="shared" si="120"/>
        <v>668213.26898136991</v>
      </c>
      <c r="AO56" s="88">
        <f t="shared" si="120"/>
        <v>643923.89855898323</v>
      </c>
      <c r="AP56" s="88">
        <f t="shared" si="120"/>
        <v>620876.06740012858</v>
      </c>
      <c r="AQ56" s="88">
        <f t="shared" si="120"/>
        <v>598699.67489775678</v>
      </c>
      <c r="AR56" s="88">
        <f t="shared" si="120"/>
        <v>576485.75876008382</v>
      </c>
      <c r="AS56" s="88">
        <f t="shared" si="120"/>
        <v>555320.76119927724</v>
      </c>
      <c r="AT56" s="88">
        <f t="shared" si="120"/>
        <v>533910.05304971256</v>
      </c>
      <c r="AU56" s="88">
        <f t="shared" si="120"/>
        <v>512317.68522691837</v>
      </c>
      <c r="AV56" s="88">
        <f t="shared" si="120"/>
        <v>491002.65623936901</v>
      </c>
      <c r="AW56" s="88">
        <f t="shared" si="120"/>
        <v>471228.87047858333</v>
      </c>
      <c r="AX56" s="88">
        <f t="shared" si="120"/>
        <v>452023.97642638528</v>
      </c>
      <c r="AY56" s="88">
        <f t="shared" si="120"/>
        <v>433056.2304038913</v>
      </c>
      <c r="AZ56" s="88">
        <f t="shared" si="120"/>
        <v>415447.08545437461</v>
      </c>
      <c r="BA56" s="88">
        <f>BA54/BA55</f>
        <v>408279.84791641578</v>
      </c>
      <c r="BB56" s="133">
        <f>BB54*(1+BD43)/(WACC!AQ20-BD43)/BA55</f>
        <v>8371458.388613346</v>
      </c>
      <c r="BC56" s="5"/>
      <c r="BD56" s="121"/>
      <c r="BE56" s="5"/>
      <c r="BF56" s="5"/>
      <c r="BG56" s="5"/>
      <c r="BH56" s="5"/>
      <c r="BI56" s="5"/>
    </row>
    <row r="57" spans="1:61" ht="30" customHeight="1" x14ac:dyDescent="0.25">
      <c r="A57" s="15"/>
      <c r="B57" s="5"/>
      <c r="C57" s="5"/>
      <c r="D57" s="37"/>
      <c r="E57" s="136" t="s">
        <v>59</v>
      </c>
      <c r="F57" s="84">
        <f>(F46)/('Balanço Patrimonial'!F47+'Balanço Patrimonial'!F55+'Balanço Patrimonial'!F43+'Balanço Patrimonial'!F49+'Balanço Patrimonial'!F56-'Balanço Patrimonial'!F17)</f>
        <v>4.4828412053814971E-2</v>
      </c>
      <c r="G57" s="84">
        <f>(G46)/('Balanço Patrimonial'!G47+'Balanço Patrimonial'!G55+'Balanço Patrimonial'!G43+'Balanço Patrimonial'!G49+'Balanço Patrimonial'!G56-'Balanço Patrimonial'!G17)</f>
        <v>8.6014983388260247E-2</v>
      </c>
      <c r="H57" s="84">
        <f>(H46)/('Balanço Patrimonial'!H47+'Balanço Patrimonial'!H55+'Balanço Patrimonial'!H43+'Balanço Patrimonial'!H49+'Balanço Patrimonial'!H56-'Balanço Patrimonial'!H17)</f>
        <v>0.13910799139144156</v>
      </c>
      <c r="I57" s="84">
        <f>(I46)/('Balanço Patrimonial'!I47+'Balanço Patrimonial'!I55+'Balanço Patrimonial'!I43+'Balanço Patrimonial'!I49+'Balanço Patrimonial'!I56-'Balanço Patrimonial'!I17)</f>
        <v>0.16763788301999777</v>
      </c>
      <c r="J57" s="84">
        <f>(J46)/('Balanço Patrimonial'!J47+'Balanço Patrimonial'!J55+'Balanço Patrimonial'!J43+'Balanço Patrimonial'!J49+'Balanço Patrimonial'!J56-'Balanço Patrimonial'!J17)</f>
        <v>0.16022786955382237</v>
      </c>
      <c r="K57" s="84">
        <f>(K46)/('Balanço Patrimonial'!K47+'Balanço Patrimonial'!K55+'Balanço Patrimonial'!K43+'Balanço Patrimonial'!K49+'Balanço Patrimonial'!K56-'Balanço Patrimonial'!K17)</f>
        <v>0.1477346418399435</v>
      </c>
      <c r="L57" s="84">
        <f>(L46)/('Balanço Patrimonial'!L47+'Balanço Patrimonial'!L55+'Balanço Patrimonial'!L43+'Balanço Patrimonial'!L49+'Balanço Patrimonial'!L56-'Balanço Patrimonial'!L17)</f>
        <v>0.15663136981480122</v>
      </c>
      <c r="M57" s="84">
        <f>(M46)/('Balanço Patrimonial'!M47+'Balanço Patrimonial'!M55+'Balanço Patrimonial'!M43+'Balanço Patrimonial'!M49+'Balanço Patrimonial'!M56-'Balanço Patrimonial'!M17)</f>
        <v>0.1511574347350228</v>
      </c>
      <c r="N57" s="84">
        <f>(N46)/('Balanço Patrimonial'!N47+'Balanço Patrimonial'!N55+'Balanço Patrimonial'!N43+'Balanço Patrimonial'!N49+'Balanço Patrimonial'!N56-'Balanço Patrimonial'!N17)</f>
        <v>0.17773818971191246</v>
      </c>
      <c r="O57" s="84">
        <f>(O46)/('Balanço Patrimonial'!O47+'Balanço Patrimonial'!O55+'Balanço Patrimonial'!O43+'Balanço Patrimonial'!O49+'Balanço Patrimonial'!O56-'Balanço Patrimonial'!O17)</f>
        <v>0.20995377595298376</v>
      </c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8"/>
      <c r="BC57" s="5"/>
      <c r="BD57" s="5"/>
      <c r="BE57" s="5"/>
      <c r="BF57" s="5"/>
      <c r="BG57" s="5"/>
      <c r="BH57" s="5"/>
      <c r="BI57" s="5"/>
    </row>
    <row r="58" spans="1:61" ht="30" customHeight="1" thickBot="1" x14ac:dyDescent="0.3">
      <c r="A58" s="15"/>
      <c r="B58" s="5"/>
      <c r="C58" s="5"/>
      <c r="D58" s="37"/>
      <c r="E58" s="262" t="s">
        <v>280</v>
      </c>
      <c r="F58" s="252">
        <f>(F46)/('Balanço Patrimonial'!F47+'Balanço Patrimonial'!F55+'Balanço Patrimonial'!F43+'Balanço Patrimonial'!F49+'Balanço Patrimonial'!F56-'Balanço Patrimonial'!F37-'Balanço Patrimonial'!F17)</f>
        <v>7.2638004720733701E-2</v>
      </c>
      <c r="G58" s="252">
        <f>(G46)/('Balanço Patrimonial'!G47+'Balanço Patrimonial'!G55+'Balanço Patrimonial'!G43+'Balanço Patrimonial'!G49+'Balanço Patrimonial'!G56-'Balanço Patrimonial'!G37-'Balanço Patrimonial'!G17)</f>
        <v>0.13409953836759064</v>
      </c>
      <c r="H58" s="252">
        <f>(H46)/('Balanço Patrimonial'!H47+'Balanço Patrimonial'!H55+'Balanço Patrimonial'!H43+'Balanço Patrimonial'!H49+'Balanço Patrimonial'!H56-'Balanço Patrimonial'!H37-'Balanço Patrimonial'!H17)</f>
        <v>0.20998166189585948</v>
      </c>
      <c r="I58" s="252">
        <f>(I46)/('Balanço Patrimonial'!I47+'Balanço Patrimonial'!I55+'Balanço Patrimonial'!I43+'Balanço Patrimonial'!I49+'Balanço Patrimonial'!I56-'Balanço Patrimonial'!I37-'Balanço Patrimonial'!I17)</f>
        <v>0.23706248422254173</v>
      </c>
      <c r="J58" s="252">
        <f>(J46)/('Balanço Patrimonial'!J47+'Balanço Patrimonial'!J55+'Balanço Patrimonial'!J43+'Balanço Patrimonial'!J49+'Balanço Patrimonial'!J56-'Balanço Patrimonial'!J37-'Balanço Patrimonial'!J17)</f>
        <v>0.21472636221939403</v>
      </c>
      <c r="K58" s="252">
        <f>(K46)/('Balanço Patrimonial'!K47+'Balanço Patrimonial'!K55+'Balanço Patrimonial'!K43+'Balanço Patrimonial'!K49+'Balanço Patrimonial'!K56-'Balanço Patrimonial'!K37-'Balanço Patrimonial'!K17)</f>
        <v>0.18962719288601171</v>
      </c>
      <c r="L58" s="252">
        <f>(L46)/('Balanço Patrimonial'!L47+'Balanço Patrimonial'!L55+'Balanço Patrimonial'!L43+'Balanço Patrimonial'!L49+'Balanço Patrimonial'!L56-'Balanço Patrimonial'!L37-'Balanço Patrimonial'!L17)</f>
        <v>0.17741723983745272</v>
      </c>
      <c r="M58" s="252">
        <f>(M46)/('Balanço Patrimonial'!M47+'Balanço Patrimonial'!M55+'Balanço Patrimonial'!M43+'Balanço Patrimonial'!M49+'Balanço Patrimonial'!M56-'Balanço Patrimonial'!M37-'Balanço Patrimonial'!M17)</f>
        <v>0.16938040317529507</v>
      </c>
      <c r="N58" s="252">
        <f>(N46)/('Balanço Patrimonial'!N47+'Balanço Patrimonial'!N55+'Balanço Patrimonial'!N43+'Balanço Patrimonial'!N49+'Balanço Patrimonial'!N56-'Balanço Patrimonial'!N37-'Balanço Patrimonial'!N17)</f>
        <v>0.2002750926083634</v>
      </c>
      <c r="O58" s="252">
        <f>(O46)/('Balanço Patrimonial'!O47+'Balanço Patrimonial'!O55+'Balanço Patrimonial'!O43+'Balanço Patrimonial'!O49+'Balanço Patrimonial'!O56-'Balanço Patrimonial'!O37-'Balanço Patrimonial'!O17)</f>
        <v>0.20995377595298376</v>
      </c>
      <c r="P58" s="263"/>
      <c r="Q58" s="263"/>
      <c r="R58" s="263"/>
      <c r="S58" s="263"/>
      <c r="T58" s="263"/>
      <c r="U58" s="264"/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  <c r="AM58" s="263"/>
      <c r="AN58" s="263"/>
      <c r="AO58" s="263"/>
      <c r="AP58" s="263"/>
      <c r="AQ58" s="264"/>
      <c r="AR58" s="263"/>
      <c r="AS58" s="263"/>
      <c r="AT58" s="263"/>
      <c r="AU58" s="263"/>
      <c r="AV58" s="263"/>
      <c r="AW58" s="263"/>
      <c r="AX58" s="263"/>
      <c r="AY58" s="263"/>
      <c r="AZ58" s="263"/>
      <c r="BA58" s="263"/>
      <c r="BB58" s="265"/>
      <c r="BC58" s="5"/>
      <c r="BD58" s="5"/>
      <c r="BE58" s="5"/>
      <c r="BF58" s="5"/>
      <c r="BG58" s="5"/>
      <c r="BH58" s="5"/>
      <c r="BI58" s="5"/>
    </row>
    <row r="59" spans="1:61" ht="30" customHeight="1" x14ac:dyDescent="0.2">
      <c r="A59" s="15"/>
      <c r="B59" s="5"/>
      <c r="C59" s="5"/>
      <c r="D59" s="5"/>
      <c r="E59" s="139" t="s">
        <v>78</v>
      </c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</row>
    <row r="60" spans="1:61" ht="30" customHeight="1" x14ac:dyDescent="0.25">
      <c r="A60" s="15"/>
      <c r="B60" s="5"/>
      <c r="C60" s="5"/>
      <c r="D60" s="5"/>
      <c r="E60" s="114"/>
      <c r="F60" s="43"/>
      <c r="G60" s="43"/>
      <c r="H60" s="43"/>
      <c r="I60" s="43"/>
      <c r="J60" s="43"/>
      <c r="K60" s="43"/>
      <c r="L60" s="43"/>
      <c r="M60" s="43"/>
      <c r="N60" s="140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140"/>
      <c r="BB60" s="5"/>
      <c r="BC60" s="5"/>
      <c r="BD60" s="5"/>
      <c r="BE60" s="5"/>
      <c r="BF60" s="5"/>
      <c r="BG60" s="5"/>
      <c r="BH60" s="5"/>
      <c r="BI60" s="5"/>
    </row>
    <row r="61" spans="1:61" ht="30" customHeight="1" x14ac:dyDescent="0.25">
      <c r="A61" s="15"/>
      <c r="B61" s="5"/>
      <c r="C61" s="5"/>
      <c r="D61" s="5"/>
      <c r="E61" s="114"/>
      <c r="F61" s="43"/>
      <c r="G61" s="43"/>
      <c r="H61" s="43"/>
      <c r="I61" s="43"/>
      <c r="J61" s="43"/>
      <c r="K61" s="43"/>
      <c r="L61" s="43"/>
      <c r="M61" s="43"/>
      <c r="N61" s="140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</row>
    <row r="62" spans="1:61" ht="30" customHeight="1" x14ac:dyDescent="0.25">
      <c r="A62" s="15"/>
      <c r="B62" s="5"/>
      <c r="C62" s="5"/>
      <c r="D62" s="5"/>
      <c r="E62" s="114"/>
      <c r="F62" s="43"/>
      <c r="G62" s="43"/>
      <c r="H62" s="43"/>
      <c r="I62" s="43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</row>
    <row r="63" spans="1:61" ht="30" customHeight="1" x14ac:dyDescent="0.25">
      <c r="A63" s="15"/>
      <c r="B63" s="5"/>
      <c r="C63" s="5"/>
      <c r="D63" s="5"/>
      <c r="E63" s="114"/>
      <c r="F63" s="43"/>
      <c r="G63" s="43"/>
      <c r="H63" s="43"/>
      <c r="I63" s="43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</row>
    <row r="64" spans="1:61" ht="30" customHeight="1" x14ac:dyDescent="0.25">
      <c r="A64" s="15"/>
      <c r="B64" s="5"/>
      <c r="C64" s="5"/>
      <c r="D64" s="5"/>
      <c r="E64" s="114"/>
      <c r="F64" s="43"/>
      <c r="G64" s="43"/>
      <c r="H64" s="43"/>
      <c r="I64" s="43"/>
      <c r="J64" s="43"/>
      <c r="K64" s="43"/>
      <c r="L64" s="43"/>
      <c r="M64" s="43"/>
      <c r="N64" s="5"/>
      <c r="O64" s="5"/>
      <c r="P64" s="140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</row>
    <row r="65" spans="1:61" ht="30" customHeight="1" x14ac:dyDescent="0.25">
      <c r="A65" s="15"/>
      <c r="B65" s="5"/>
      <c r="C65" s="5"/>
      <c r="D65" s="5"/>
      <c r="E65" s="114"/>
      <c r="F65" s="43"/>
      <c r="G65" s="43"/>
      <c r="H65" s="43"/>
      <c r="I65" s="43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</row>
    <row r="66" spans="1:61" ht="30" customHeight="1" x14ac:dyDescent="0.25">
      <c r="A66" s="15"/>
      <c r="B66" s="5"/>
      <c r="C66" s="5"/>
      <c r="D66" s="5"/>
      <c r="E66" s="114"/>
      <c r="F66" s="43"/>
      <c r="G66" s="43"/>
      <c r="H66" s="43"/>
      <c r="I66" s="43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</row>
    <row r="67" spans="1:61" ht="30" customHeight="1" x14ac:dyDescent="0.25">
      <c r="A67" s="15"/>
      <c r="B67" s="5"/>
      <c r="C67" s="5"/>
      <c r="D67" s="5"/>
      <c r="E67" s="114"/>
      <c r="F67" s="43"/>
      <c r="G67" s="43"/>
      <c r="H67" s="43"/>
      <c r="I67" s="43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</row>
    <row r="68" spans="1:61" ht="30" customHeight="1" x14ac:dyDescent="0.25">
      <c r="A68" s="15"/>
      <c r="B68" s="5"/>
      <c r="C68" s="5"/>
      <c r="D68" s="5"/>
      <c r="E68" s="114"/>
      <c r="F68" s="43"/>
      <c r="G68" s="43"/>
      <c r="H68" s="43"/>
      <c r="I68" s="43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</row>
    <row r="69" spans="1:61" ht="30" customHeight="1" x14ac:dyDescent="0.25">
      <c r="A69" s="15"/>
      <c r="B69" s="5"/>
      <c r="C69" s="5"/>
      <c r="D69" s="5"/>
      <c r="E69" s="114"/>
      <c r="F69" s="43"/>
      <c r="G69" s="43"/>
      <c r="H69" s="43"/>
      <c r="I69" s="43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</row>
    <row r="70" spans="1:61" ht="30" customHeight="1" x14ac:dyDescent="0.25">
      <c r="A70" s="15"/>
      <c r="B70" s="5"/>
      <c r="C70" s="5"/>
      <c r="D70" s="5"/>
      <c r="E70" s="114"/>
      <c r="F70" s="43"/>
      <c r="G70" s="43"/>
      <c r="H70" s="43"/>
      <c r="I70" s="43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</row>
    <row r="71" spans="1:61" ht="30" customHeight="1" x14ac:dyDescent="0.25">
      <c r="A71" s="15"/>
      <c r="B71" s="5"/>
      <c r="C71" s="5"/>
      <c r="D71" s="5"/>
      <c r="E71" s="114"/>
      <c r="F71" s="43"/>
      <c r="G71" s="43"/>
      <c r="H71" s="43"/>
      <c r="I71" s="43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</row>
    <row r="72" spans="1:61" ht="30" customHeight="1" x14ac:dyDescent="0.25">
      <c r="A72" s="15"/>
      <c r="B72" s="5"/>
      <c r="C72" s="5"/>
      <c r="D72" s="5"/>
      <c r="E72" s="114"/>
      <c r="F72" s="43"/>
      <c r="G72" s="43"/>
      <c r="H72" s="43"/>
      <c r="I72" s="43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</row>
    <row r="73" spans="1:61" ht="30" customHeight="1" x14ac:dyDescent="0.25">
      <c r="A73" s="15"/>
      <c r="B73" s="5"/>
      <c r="C73" s="5"/>
      <c r="D73" s="5"/>
      <c r="E73" s="114"/>
      <c r="F73" s="43"/>
      <c r="G73" s="43"/>
      <c r="H73" s="43"/>
      <c r="I73" s="43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</row>
    <row r="74" spans="1:61" ht="30" customHeight="1" x14ac:dyDescent="0.25">
      <c r="A74" s="15"/>
      <c r="B74" s="5"/>
      <c r="C74" s="5"/>
      <c r="D74" s="5"/>
      <c r="E74" s="114"/>
      <c r="F74" s="43"/>
      <c r="G74" s="43"/>
      <c r="H74" s="43"/>
      <c r="I74" s="43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</row>
    <row r="75" spans="1:61" ht="30" customHeight="1" x14ac:dyDescent="0.25">
      <c r="A75" s="15"/>
      <c r="B75" s="5"/>
      <c r="C75" s="5"/>
      <c r="D75" s="5"/>
      <c r="E75" s="114"/>
      <c r="F75" s="43"/>
      <c r="G75" s="43"/>
      <c r="H75" s="43"/>
      <c r="I75" s="43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</row>
    <row r="76" spans="1:61" ht="30" hidden="1" customHeight="1" x14ac:dyDescent="0.25">
      <c r="A76" s="15"/>
      <c r="B76" s="5"/>
      <c r="C76" s="5"/>
      <c r="D76" s="5"/>
      <c r="E76" s="114"/>
      <c r="F76" s="43"/>
      <c r="G76" s="43"/>
      <c r="H76" s="43"/>
      <c r="I76" s="43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</row>
    <row r="77" spans="1:61" ht="30" hidden="1" customHeight="1" x14ac:dyDescent="0.25">
      <c r="A77" s="15"/>
      <c r="B77" s="5"/>
      <c r="C77" s="5"/>
      <c r="D77" s="5"/>
      <c r="E77" s="114"/>
      <c r="F77" s="43"/>
      <c r="G77" s="43"/>
      <c r="H77" s="43"/>
      <c r="I77" s="43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</row>
    <row r="78" spans="1:61" ht="30" hidden="1" customHeight="1" x14ac:dyDescent="0.25">
      <c r="A78" s="15"/>
      <c r="B78" s="5"/>
      <c r="C78" s="5"/>
      <c r="D78" s="5"/>
      <c r="E78" s="114"/>
      <c r="F78" s="43"/>
      <c r="G78" s="43"/>
      <c r="H78" s="43"/>
      <c r="I78" s="43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</row>
    <row r="79" spans="1:61" ht="30" hidden="1" customHeight="1" x14ac:dyDescent="0.25">
      <c r="A79" s="15"/>
      <c r="B79" s="5"/>
      <c r="C79" s="5"/>
      <c r="D79" s="5"/>
      <c r="E79" s="114"/>
      <c r="F79" s="43"/>
      <c r="G79" s="43"/>
      <c r="H79" s="43"/>
      <c r="I79" s="43"/>
      <c r="J79" s="43"/>
      <c r="K79" s="43"/>
      <c r="L79" s="43"/>
      <c r="M79" s="4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</row>
    <row r="80" spans="1:61" ht="30" hidden="1" customHeight="1" x14ac:dyDescent="0.25">
      <c r="A80" s="15"/>
      <c r="B80" s="5"/>
      <c r="C80" s="5"/>
      <c r="D80" s="5"/>
      <c r="E80" s="114"/>
      <c r="F80" s="43"/>
      <c r="G80" s="43"/>
      <c r="H80" s="43"/>
      <c r="I80" s="43"/>
      <c r="J80" s="43"/>
      <c r="K80" s="43"/>
      <c r="L80" s="43"/>
      <c r="M80" s="4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</row>
    <row r="81" spans="1:61" ht="30" hidden="1" customHeight="1" x14ac:dyDescent="0.25">
      <c r="A81" s="15"/>
      <c r="B81" s="5"/>
      <c r="C81" s="5"/>
      <c r="D81" s="5"/>
      <c r="E81" s="114"/>
      <c r="F81" s="43"/>
      <c r="G81" s="43"/>
      <c r="H81" s="43"/>
      <c r="I81" s="43"/>
      <c r="J81" s="43"/>
      <c r="K81" s="43"/>
      <c r="L81" s="43"/>
      <c r="M81" s="4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</row>
    <row r="82" spans="1:61" ht="30" hidden="1" customHeight="1" x14ac:dyDescent="0.25">
      <c r="A82" s="15"/>
      <c r="B82" s="5"/>
      <c r="C82" s="5"/>
      <c r="D82" s="5"/>
      <c r="E82" s="114"/>
      <c r="F82" s="43"/>
      <c r="G82" s="43"/>
      <c r="H82" s="43"/>
      <c r="I82" s="43"/>
      <c r="J82" s="43"/>
      <c r="K82" s="43"/>
      <c r="L82" s="43"/>
      <c r="M82" s="4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</row>
    <row r="83" spans="1:61" ht="30" hidden="1" customHeight="1" x14ac:dyDescent="0.25">
      <c r="A83" s="15"/>
      <c r="B83" s="5"/>
      <c r="C83" s="5"/>
      <c r="D83" s="5"/>
      <c r="E83" s="114"/>
      <c r="F83" s="43"/>
      <c r="G83" s="43"/>
      <c r="H83" s="43"/>
      <c r="I83" s="43"/>
      <c r="J83" s="43"/>
      <c r="K83" s="43"/>
      <c r="L83" s="43"/>
      <c r="M83" s="4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</row>
    <row r="84" spans="1:61" ht="30" hidden="1" customHeight="1" x14ac:dyDescent="0.25">
      <c r="A84" s="15"/>
      <c r="B84" s="5"/>
      <c r="C84" s="5"/>
      <c r="D84" s="5"/>
      <c r="E84" s="114"/>
      <c r="F84" s="43"/>
      <c r="G84" s="43"/>
      <c r="H84" s="43"/>
      <c r="I84" s="43"/>
      <c r="J84" s="43"/>
      <c r="K84" s="43"/>
      <c r="L84" s="43"/>
      <c r="M84" s="4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</row>
    <row r="85" spans="1:61" ht="30" hidden="1" customHeight="1" x14ac:dyDescent="0.25">
      <c r="A85" s="15"/>
      <c r="B85" s="5"/>
      <c r="C85" s="5"/>
      <c r="D85" s="5"/>
      <c r="E85" s="114"/>
      <c r="F85" s="43"/>
      <c r="G85" s="43"/>
      <c r="H85" s="43"/>
      <c r="I85" s="43"/>
      <c r="J85" s="43"/>
      <c r="K85" s="43"/>
      <c r="L85" s="43"/>
      <c r="M85" s="4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</row>
    <row r="86" spans="1:61" ht="30" hidden="1" customHeight="1" x14ac:dyDescent="0.25">
      <c r="A86" s="15"/>
      <c r="B86" s="5"/>
      <c r="C86" s="5"/>
      <c r="D86" s="5"/>
      <c r="E86" s="114"/>
      <c r="F86" s="43"/>
      <c r="G86" s="43"/>
      <c r="H86" s="43"/>
      <c r="I86" s="43"/>
      <c r="J86" s="43"/>
      <c r="K86" s="43"/>
      <c r="L86" s="43"/>
      <c r="M86" s="4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</row>
    <row r="87" spans="1:61" ht="30" hidden="1" customHeight="1" x14ac:dyDescent="0.25">
      <c r="A87" s="15"/>
      <c r="B87" s="5"/>
      <c r="C87" s="5"/>
      <c r="D87" s="5"/>
      <c r="E87" s="114"/>
      <c r="F87" s="43"/>
      <c r="G87" s="43"/>
      <c r="H87" s="43"/>
      <c r="I87" s="43"/>
      <c r="J87" s="43"/>
      <c r="K87" s="43"/>
      <c r="L87" s="43"/>
      <c r="M87" s="4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</row>
    <row r="88" spans="1:61" ht="30" hidden="1" customHeight="1" x14ac:dyDescent="0.25">
      <c r="A88" s="15"/>
      <c r="B88" s="5"/>
      <c r="C88" s="5"/>
      <c r="D88" s="5"/>
      <c r="E88" s="114"/>
      <c r="F88" s="43"/>
      <c r="G88" s="43"/>
      <c r="H88" s="43"/>
      <c r="I88" s="43"/>
      <c r="J88" s="43"/>
      <c r="K88" s="43"/>
      <c r="L88" s="43"/>
      <c r="M88" s="4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</row>
    <row r="89" spans="1:61" ht="30" hidden="1" customHeight="1" x14ac:dyDescent="0.25">
      <c r="A89" s="15"/>
      <c r="B89" s="5"/>
      <c r="C89" s="5"/>
      <c r="D89" s="5"/>
      <c r="E89" s="114"/>
      <c r="F89" s="43"/>
      <c r="G89" s="43"/>
      <c r="H89" s="43"/>
      <c r="I89" s="43"/>
      <c r="J89" s="43"/>
      <c r="K89" s="43"/>
      <c r="L89" s="43"/>
      <c r="M89" s="4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</row>
    <row r="90" spans="1:61" ht="30" hidden="1" customHeight="1" x14ac:dyDescent="0.25">
      <c r="A90" s="15"/>
      <c r="B90" s="5"/>
      <c r="C90" s="5"/>
      <c r="D90" s="5"/>
      <c r="E90" s="114"/>
      <c r="F90" s="43"/>
      <c r="G90" s="43"/>
      <c r="H90" s="43"/>
      <c r="I90" s="43"/>
      <c r="J90" s="43"/>
      <c r="K90" s="43"/>
      <c r="L90" s="43"/>
      <c r="M90" s="4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</row>
    <row r="91" spans="1:61" ht="30" hidden="1" customHeight="1" x14ac:dyDescent="0.25">
      <c r="A91" s="15"/>
      <c r="B91" s="5"/>
      <c r="C91" s="5"/>
      <c r="D91" s="5"/>
      <c r="E91" s="114"/>
      <c r="F91" s="43"/>
      <c r="G91" s="43"/>
      <c r="H91" s="43"/>
      <c r="I91" s="43"/>
      <c r="J91" s="43"/>
      <c r="K91" s="43"/>
      <c r="L91" s="43"/>
      <c r="M91" s="4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</row>
    <row r="92" spans="1:61" ht="30" hidden="1" customHeight="1" x14ac:dyDescent="0.25">
      <c r="A92" s="15"/>
      <c r="B92" s="5"/>
      <c r="C92" s="5"/>
      <c r="D92" s="5"/>
      <c r="E92" s="114"/>
      <c r="F92" s="43"/>
      <c r="G92" s="43"/>
      <c r="H92" s="43"/>
      <c r="I92" s="43"/>
      <c r="J92" s="43"/>
      <c r="K92" s="43"/>
      <c r="L92" s="43"/>
      <c r="M92" s="4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</row>
    <row r="93" spans="1:61" ht="30" hidden="1" customHeight="1" x14ac:dyDescent="0.25">
      <c r="A93" s="15"/>
      <c r="B93" s="5"/>
      <c r="C93" s="5"/>
      <c r="D93" s="5"/>
      <c r="E93" s="114"/>
      <c r="F93" s="43"/>
      <c r="G93" s="43"/>
      <c r="H93" s="43"/>
      <c r="I93" s="43"/>
      <c r="J93" s="43"/>
      <c r="K93" s="43"/>
      <c r="L93" s="43"/>
      <c r="M93" s="4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</row>
    <row r="94" spans="1:61" ht="30" hidden="1" customHeight="1" x14ac:dyDescent="0.25">
      <c r="A94" s="15"/>
      <c r="B94" s="5"/>
      <c r="C94" s="5"/>
      <c r="D94" s="5"/>
      <c r="E94" s="114"/>
      <c r="F94" s="43"/>
      <c r="G94" s="43"/>
      <c r="H94" s="43"/>
      <c r="I94" s="43"/>
      <c r="J94" s="43"/>
      <c r="K94" s="43"/>
      <c r="L94" s="43"/>
      <c r="M94" s="4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</row>
    <row r="95" spans="1:61" ht="30" hidden="1" customHeight="1" x14ac:dyDescent="0.25">
      <c r="A95" s="15"/>
      <c r="B95" s="5"/>
      <c r="C95" s="5"/>
      <c r="D95" s="5"/>
      <c r="E95" s="114"/>
      <c r="F95" s="43"/>
      <c r="G95" s="43"/>
      <c r="H95" s="43"/>
      <c r="I95" s="43"/>
      <c r="J95" s="43"/>
      <c r="K95" s="43"/>
      <c r="L95" s="43"/>
      <c r="M95" s="4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</row>
    <row r="96" spans="1:61" ht="30" hidden="1" customHeight="1" x14ac:dyDescent="0.25">
      <c r="A96" s="15"/>
      <c r="B96" s="5"/>
      <c r="C96" s="5"/>
      <c r="D96" s="5"/>
      <c r="E96" s="114"/>
      <c r="F96" s="43"/>
      <c r="G96" s="43"/>
      <c r="H96" s="43"/>
      <c r="I96" s="43"/>
      <c r="J96" s="43"/>
      <c r="K96" s="43"/>
      <c r="L96" s="43"/>
      <c r="M96" s="4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</row>
    <row r="97" spans="1:61" ht="30" hidden="1" customHeight="1" x14ac:dyDescent="0.25">
      <c r="A97" s="15"/>
      <c r="B97" s="5"/>
      <c r="C97" s="5"/>
      <c r="D97" s="5"/>
      <c r="E97" s="114"/>
      <c r="F97" s="43"/>
      <c r="G97" s="43"/>
      <c r="H97" s="43"/>
      <c r="I97" s="43"/>
      <c r="J97" s="43"/>
      <c r="K97" s="43"/>
      <c r="L97" s="43"/>
      <c r="M97" s="4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</row>
    <row r="98" spans="1:61" ht="30" hidden="1" customHeight="1" x14ac:dyDescent="0.25">
      <c r="A98" s="15"/>
      <c r="B98" s="5"/>
      <c r="C98" s="5"/>
      <c r="D98" s="5"/>
      <c r="E98" s="114"/>
      <c r="F98" s="43"/>
      <c r="G98" s="43"/>
      <c r="H98" s="43"/>
      <c r="I98" s="43"/>
      <c r="J98" s="43"/>
      <c r="K98" s="43"/>
      <c r="L98" s="43"/>
      <c r="M98" s="4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</row>
    <row r="99" spans="1:61" ht="30" hidden="1" customHeight="1" x14ac:dyDescent="0.25">
      <c r="A99" s="15"/>
      <c r="B99" s="5"/>
      <c r="C99" s="5"/>
      <c r="D99" s="5"/>
      <c r="E99" s="114"/>
      <c r="F99" s="43"/>
      <c r="G99" s="43"/>
      <c r="H99" s="43"/>
      <c r="I99" s="43"/>
      <c r="J99" s="43"/>
      <c r="K99" s="43"/>
      <c r="L99" s="43"/>
      <c r="M99" s="4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</row>
    <row r="100" spans="1:61" ht="30" hidden="1" customHeight="1" x14ac:dyDescent="0.25">
      <c r="A100" s="15"/>
      <c r="B100" s="5"/>
      <c r="C100" s="5"/>
      <c r="D100" s="5"/>
      <c r="E100" s="114"/>
      <c r="F100" s="43"/>
      <c r="G100" s="43"/>
      <c r="H100" s="43"/>
      <c r="I100" s="43"/>
      <c r="J100" s="43"/>
      <c r="K100" s="43"/>
      <c r="L100" s="43"/>
      <c r="M100" s="4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</row>
    <row r="101" spans="1:61" ht="30" hidden="1" customHeight="1" x14ac:dyDescent="0.25">
      <c r="A101" s="15"/>
      <c r="B101" s="5"/>
      <c r="C101" s="5"/>
      <c r="D101" s="5"/>
      <c r="E101" s="114"/>
      <c r="F101" s="43"/>
      <c r="G101" s="43"/>
      <c r="H101" s="43"/>
      <c r="I101" s="43"/>
      <c r="J101" s="43"/>
      <c r="K101" s="43"/>
      <c r="L101" s="43"/>
      <c r="M101" s="4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</row>
    <row r="102" spans="1:61" ht="30" hidden="1" customHeight="1" x14ac:dyDescent="0.25">
      <c r="A102" s="15"/>
      <c r="B102" s="5"/>
      <c r="C102" s="5"/>
      <c r="D102" s="5"/>
      <c r="E102" s="114"/>
      <c r="F102" s="43"/>
      <c r="G102" s="43"/>
      <c r="H102" s="43"/>
      <c r="I102" s="43"/>
      <c r="J102" s="43"/>
      <c r="K102" s="43"/>
      <c r="L102" s="43"/>
      <c r="M102" s="4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</row>
    <row r="103" spans="1:61" ht="30" hidden="1" customHeight="1" x14ac:dyDescent="0.25">
      <c r="A103" s="15"/>
      <c r="B103" s="5"/>
      <c r="C103" s="5"/>
      <c r="D103" s="5"/>
      <c r="E103" s="114"/>
      <c r="F103" s="43"/>
      <c r="G103" s="43"/>
      <c r="H103" s="43"/>
      <c r="I103" s="43"/>
      <c r="J103" s="43"/>
      <c r="K103" s="43"/>
      <c r="L103" s="43"/>
      <c r="M103" s="4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</row>
    <row r="104" spans="1:61" ht="30" hidden="1" customHeight="1" x14ac:dyDescent="0.25">
      <c r="A104" s="15"/>
      <c r="B104" s="5"/>
      <c r="C104" s="5"/>
      <c r="D104" s="5"/>
      <c r="E104" s="114"/>
      <c r="F104" s="43"/>
      <c r="G104" s="43"/>
      <c r="H104" s="43"/>
      <c r="I104" s="43"/>
      <c r="J104" s="43"/>
      <c r="K104" s="43"/>
      <c r="L104" s="43"/>
      <c r="M104" s="4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</row>
    <row r="105" spans="1:61" ht="30" hidden="1" customHeight="1" x14ac:dyDescent="0.25">
      <c r="A105" s="15"/>
      <c r="B105" s="5"/>
      <c r="C105" s="5"/>
      <c r="D105" s="5"/>
      <c r="E105" s="114"/>
      <c r="F105" s="43"/>
      <c r="G105" s="43"/>
      <c r="H105" s="43"/>
      <c r="I105" s="43"/>
      <c r="J105" s="43"/>
      <c r="K105" s="43"/>
      <c r="L105" s="43"/>
      <c r="M105" s="4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</row>
    <row r="106" spans="1:61" ht="30" hidden="1" customHeight="1" x14ac:dyDescent="0.25">
      <c r="A106" s="15"/>
      <c r="B106" s="5"/>
      <c r="C106" s="5"/>
      <c r="D106" s="5"/>
      <c r="E106" s="114"/>
      <c r="F106" s="43"/>
      <c r="G106" s="43"/>
      <c r="H106" s="43"/>
      <c r="I106" s="43"/>
      <c r="J106" s="43"/>
      <c r="K106" s="43"/>
      <c r="L106" s="43"/>
      <c r="M106" s="4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</row>
    <row r="107" spans="1:61" ht="30" hidden="1" customHeight="1" x14ac:dyDescent="0.25">
      <c r="A107" s="15"/>
      <c r="B107" s="5"/>
      <c r="C107" s="5"/>
      <c r="D107" s="5"/>
      <c r="E107" s="114"/>
      <c r="F107" s="43"/>
      <c r="G107" s="43"/>
      <c r="H107" s="43"/>
      <c r="I107" s="43"/>
      <c r="J107" s="43"/>
      <c r="K107" s="43"/>
      <c r="L107" s="43"/>
      <c r="M107" s="4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</row>
    <row r="108" spans="1:61" ht="30" hidden="1" customHeight="1" x14ac:dyDescent="0.25">
      <c r="A108" s="15"/>
      <c r="B108" s="5"/>
      <c r="C108" s="5"/>
      <c r="D108" s="5"/>
      <c r="E108" s="114"/>
      <c r="F108" s="43"/>
      <c r="G108" s="43"/>
      <c r="H108" s="43"/>
      <c r="I108" s="43"/>
      <c r="J108" s="43"/>
      <c r="K108" s="43"/>
      <c r="L108" s="43"/>
      <c r="M108" s="4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</row>
    <row r="109" spans="1:61" ht="30" hidden="1" customHeight="1" x14ac:dyDescent="0.25">
      <c r="A109" s="15"/>
      <c r="B109" s="5"/>
      <c r="C109" s="5"/>
      <c r="D109" s="5"/>
      <c r="E109" s="114"/>
      <c r="F109" s="43"/>
      <c r="G109" s="43"/>
      <c r="H109" s="43"/>
      <c r="I109" s="43"/>
      <c r="J109" s="43"/>
      <c r="K109" s="43"/>
      <c r="L109" s="43"/>
      <c r="M109" s="4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</row>
    <row r="110" spans="1:61" ht="30" hidden="1" customHeight="1" x14ac:dyDescent="0.25">
      <c r="A110" s="15"/>
      <c r="B110" s="5"/>
      <c r="C110" s="5"/>
      <c r="D110" s="5"/>
      <c r="E110" s="114"/>
      <c r="F110" s="43"/>
      <c r="G110" s="43"/>
      <c r="H110" s="43"/>
      <c r="I110" s="43"/>
      <c r="J110" s="43"/>
      <c r="K110" s="43"/>
      <c r="L110" s="43"/>
      <c r="M110" s="4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</row>
    <row r="111" spans="1:61" ht="30" hidden="1" customHeight="1" x14ac:dyDescent="0.25">
      <c r="A111" s="15"/>
      <c r="B111" s="5"/>
      <c r="C111" s="5"/>
      <c r="D111" s="5"/>
      <c r="E111" s="114"/>
      <c r="F111" s="43"/>
      <c r="G111" s="43"/>
      <c r="H111" s="43"/>
      <c r="I111" s="43"/>
      <c r="J111" s="43"/>
      <c r="K111" s="43"/>
      <c r="L111" s="43"/>
      <c r="M111" s="4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</row>
    <row r="112" spans="1:61" ht="30" hidden="1" customHeight="1" x14ac:dyDescent="0.25">
      <c r="A112" s="15"/>
      <c r="B112" s="5"/>
      <c r="C112" s="5"/>
      <c r="D112" s="5"/>
      <c r="E112" s="114"/>
      <c r="F112" s="43"/>
      <c r="G112" s="43"/>
      <c r="H112" s="43"/>
      <c r="I112" s="43"/>
      <c r="J112" s="43"/>
      <c r="K112" s="43"/>
      <c r="L112" s="43"/>
      <c r="M112" s="4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</row>
    <row r="113" spans="1:61" ht="30" hidden="1" customHeight="1" x14ac:dyDescent="0.25">
      <c r="A113" s="15"/>
      <c r="B113" s="5"/>
      <c r="C113" s="5"/>
      <c r="D113" s="5"/>
      <c r="E113" s="114"/>
      <c r="F113" s="43"/>
      <c r="G113" s="43"/>
      <c r="H113" s="43"/>
      <c r="I113" s="43"/>
      <c r="J113" s="43"/>
      <c r="K113" s="43"/>
      <c r="L113" s="43"/>
      <c r="M113" s="4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</row>
    <row r="114" spans="1:61" ht="30" hidden="1" customHeight="1" x14ac:dyDescent="0.25">
      <c r="A114" s="15"/>
      <c r="B114" s="5"/>
      <c r="C114" s="5"/>
      <c r="D114" s="5"/>
      <c r="E114" s="114"/>
      <c r="F114" s="43"/>
      <c r="G114" s="43"/>
      <c r="H114" s="43"/>
      <c r="I114" s="43"/>
      <c r="J114" s="43"/>
      <c r="K114" s="43"/>
      <c r="L114" s="43"/>
      <c r="M114" s="4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</row>
    <row r="115" spans="1:61" ht="30" hidden="1" customHeight="1" x14ac:dyDescent="0.25">
      <c r="A115" s="15"/>
      <c r="B115" s="5"/>
      <c r="C115" s="5"/>
      <c r="D115" s="5"/>
      <c r="E115" s="114"/>
      <c r="F115" s="43"/>
      <c r="G115" s="43"/>
      <c r="H115" s="43"/>
      <c r="I115" s="43"/>
      <c r="J115" s="43"/>
      <c r="K115" s="43"/>
      <c r="L115" s="43"/>
      <c r="M115" s="4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</row>
    <row r="116" spans="1:61" ht="30" hidden="1" customHeight="1" x14ac:dyDescent="0.25">
      <c r="A116" s="15"/>
      <c r="B116" s="5"/>
      <c r="C116" s="5"/>
      <c r="D116" s="5"/>
      <c r="E116" s="114"/>
      <c r="F116" s="43"/>
      <c r="G116" s="43"/>
      <c r="H116" s="43"/>
      <c r="I116" s="43"/>
      <c r="J116" s="43"/>
      <c r="K116" s="43"/>
      <c r="L116" s="43"/>
      <c r="M116" s="4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</row>
    <row r="117" spans="1:61" ht="30" hidden="1" customHeight="1" x14ac:dyDescent="0.25">
      <c r="A117" s="15"/>
      <c r="B117" s="5"/>
      <c r="C117" s="5"/>
      <c r="D117" s="5"/>
      <c r="E117" s="114"/>
      <c r="F117" s="43"/>
      <c r="G117" s="43"/>
      <c r="H117" s="43"/>
      <c r="I117" s="43"/>
      <c r="J117" s="43"/>
      <c r="K117" s="43"/>
      <c r="L117" s="43"/>
      <c r="M117" s="4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</row>
    <row r="118" spans="1:61" ht="30" hidden="1" customHeight="1" x14ac:dyDescent="0.25">
      <c r="A118" s="15"/>
      <c r="B118" s="5"/>
      <c r="C118" s="5"/>
      <c r="D118" s="5"/>
      <c r="E118" s="114"/>
      <c r="F118" s="43"/>
      <c r="G118" s="43"/>
      <c r="H118" s="43"/>
      <c r="I118" s="43"/>
      <c r="J118" s="43"/>
      <c r="K118" s="43"/>
      <c r="L118" s="43"/>
      <c r="M118" s="4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</row>
    <row r="119" spans="1:61" ht="30" hidden="1" customHeight="1" x14ac:dyDescent="0.25">
      <c r="A119" s="15"/>
      <c r="B119" s="5"/>
      <c r="C119" s="5"/>
      <c r="D119" s="5"/>
      <c r="E119" s="114"/>
      <c r="F119" s="43"/>
      <c r="G119" s="43"/>
      <c r="H119" s="43"/>
      <c r="I119" s="43"/>
      <c r="J119" s="43"/>
      <c r="K119" s="43"/>
      <c r="L119" s="43"/>
      <c r="M119" s="4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</row>
    <row r="120" spans="1:61" ht="30" hidden="1" customHeight="1" x14ac:dyDescent="0.25">
      <c r="A120" s="15"/>
      <c r="B120" s="5"/>
      <c r="C120" s="5"/>
      <c r="D120" s="5"/>
      <c r="E120" s="114"/>
      <c r="F120" s="43"/>
      <c r="G120" s="43"/>
      <c r="H120" s="43"/>
      <c r="I120" s="43"/>
      <c r="J120" s="43"/>
      <c r="K120" s="43"/>
      <c r="L120" s="43"/>
      <c r="M120" s="4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</row>
    <row r="121" spans="1:61" ht="30" hidden="1" customHeight="1" x14ac:dyDescent="0.25">
      <c r="A121" s="15"/>
      <c r="B121" s="5"/>
      <c r="C121" s="5"/>
      <c r="D121" s="5"/>
      <c r="E121" s="114"/>
      <c r="F121" s="43"/>
      <c r="G121" s="43"/>
      <c r="H121" s="43"/>
      <c r="I121" s="43"/>
      <c r="J121" s="43"/>
      <c r="K121" s="43"/>
      <c r="L121" s="43"/>
      <c r="M121" s="4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</row>
    <row r="122" spans="1:61" ht="30" hidden="1" customHeight="1" x14ac:dyDescent="0.25">
      <c r="A122" s="15"/>
      <c r="B122" s="5"/>
      <c r="C122" s="5"/>
      <c r="D122" s="5"/>
      <c r="E122" s="114"/>
      <c r="F122" s="43"/>
      <c r="G122" s="43"/>
      <c r="H122" s="43"/>
      <c r="I122" s="43"/>
      <c r="J122" s="43"/>
      <c r="K122" s="43"/>
      <c r="L122" s="43"/>
      <c r="M122" s="4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</row>
    <row r="123" spans="1:61" ht="30" hidden="1" customHeight="1" x14ac:dyDescent="0.25">
      <c r="A123" s="15"/>
      <c r="B123" s="5"/>
      <c r="C123" s="5"/>
      <c r="D123" s="5"/>
      <c r="E123" s="114"/>
      <c r="F123" s="43"/>
      <c r="G123" s="43"/>
      <c r="H123" s="43"/>
      <c r="I123" s="43"/>
      <c r="J123" s="43"/>
      <c r="K123" s="43"/>
      <c r="L123" s="43"/>
      <c r="M123" s="4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</row>
    <row r="124" spans="1:61" ht="30" hidden="1" customHeight="1" x14ac:dyDescent="0.25">
      <c r="A124" s="15"/>
      <c r="B124" s="5"/>
      <c r="C124" s="5"/>
      <c r="D124" s="5"/>
      <c r="E124" s="114"/>
      <c r="F124" s="43"/>
      <c r="G124" s="43"/>
      <c r="H124" s="43"/>
      <c r="I124" s="43"/>
      <c r="J124" s="43"/>
      <c r="K124" s="43"/>
      <c r="L124" s="43"/>
      <c r="M124" s="4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</row>
    <row r="125" spans="1:61" ht="30" hidden="1" customHeight="1" x14ac:dyDescent="0.25">
      <c r="A125" s="15"/>
      <c r="B125" s="5"/>
      <c r="C125" s="5"/>
      <c r="D125" s="5"/>
      <c r="E125" s="114"/>
      <c r="F125" s="43"/>
      <c r="G125" s="43"/>
      <c r="H125" s="43"/>
      <c r="I125" s="43"/>
      <c r="J125" s="43"/>
      <c r="K125" s="43"/>
      <c r="L125" s="43"/>
      <c r="M125" s="4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</row>
    <row r="126" spans="1:61" ht="30" hidden="1" customHeight="1" x14ac:dyDescent="0.25">
      <c r="A126" s="15"/>
      <c r="B126" s="5"/>
      <c r="C126" s="5"/>
      <c r="D126" s="5"/>
      <c r="E126" s="114"/>
      <c r="F126" s="43"/>
      <c r="G126" s="43"/>
      <c r="H126" s="43"/>
      <c r="I126" s="43"/>
      <c r="J126" s="43"/>
      <c r="K126" s="43"/>
      <c r="L126" s="43"/>
      <c r="M126" s="4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</row>
    <row r="127" spans="1:61" ht="30" hidden="1" customHeight="1" x14ac:dyDescent="0.25">
      <c r="A127" s="15"/>
      <c r="B127" s="5"/>
      <c r="C127" s="5"/>
      <c r="D127" s="5"/>
      <c r="E127" s="114"/>
      <c r="F127" s="43"/>
      <c r="G127" s="43"/>
      <c r="H127" s="43"/>
      <c r="I127" s="43"/>
      <c r="J127" s="43"/>
      <c r="K127" s="43"/>
      <c r="L127" s="43"/>
      <c r="M127" s="4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</row>
    <row r="128" spans="1:61" ht="30" hidden="1" customHeight="1" x14ac:dyDescent="0.25">
      <c r="A128" s="15"/>
      <c r="B128" s="5"/>
      <c r="C128" s="5"/>
      <c r="D128" s="5"/>
      <c r="E128" s="114"/>
      <c r="F128" s="43"/>
      <c r="G128" s="43"/>
      <c r="H128" s="43"/>
      <c r="I128" s="43"/>
      <c r="J128" s="43"/>
      <c r="K128" s="43"/>
      <c r="L128" s="43"/>
      <c r="M128" s="4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</row>
    <row r="129" spans="1:61" ht="30" hidden="1" customHeight="1" x14ac:dyDescent="0.25">
      <c r="A129" s="15"/>
      <c r="B129" s="5"/>
      <c r="C129" s="5"/>
      <c r="D129" s="5"/>
      <c r="E129" s="114"/>
      <c r="F129" s="43"/>
      <c r="G129" s="43"/>
      <c r="H129" s="43"/>
      <c r="I129" s="43"/>
      <c r="J129" s="43"/>
      <c r="K129" s="43"/>
      <c r="L129" s="43"/>
      <c r="M129" s="4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</row>
    <row r="130" spans="1:61" ht="30" hidden="1" customHeight="1" x14ac:dyDescent="0.25">
      <c r="A130" s="15"/>
      <c r="B130" s="5"/>
      <c r="C130" s="5"/>
      <c r="D130" s="5"/>
      <c r="E130" s="114"/>
      <c r="F130" s="43"/>
      <c r="G130" s="43"/>
      <c r="H130" s="43"/>
      <c r="I130" s="43"/>
      <c r="J130" s="43"/>
      <c r="K130" s="43"/>
      <c r="L130" s="43"/>
      <c r="M130" s="4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</row>
    <row r="131" spans="1:61" ht="30" hidden="1" customHeight="1" x14ac:dyDescent="0.25">
      <c r="A131" s="15"/>
      <c r="B131" s="5"/>
      <c r="C131" s="5"/>
      <c r="D131" s="5"/>
      <c r="E131" s="114"/>
      <c r="F131" s="43"/>
      <c r="G131" s="43"/>
      <c r="H131" s="43"/>
      <c r="I131" s="43"/>
      <c r="J131" s="43"/>
      <c r="K131" s="43"/>
      <c r="L131" s="43"/>
      <c r="M131" s="4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</row>
    <row r="132" spans="1:61" ht="30" hidden="1" customHeight="1" x14ac:dyDescent="0.25">
      <c r="A132" s="15"/>
      <c r="B132" s="5"/>
      <c r="C132" s="5"/>
      <c r="D132" s="5"/>
      <c r="E132" s="114"/>
      <c r="F132" s="43"/>
      <c r="G132" s="43"/>
      <c r="H132" s="43"/>
      <c r="I132" s="43"/>
      <c r="J132" s="43"/>
      <c r="K132" s="43"/>
      <c r="L132" s="43"/>
      <c r="M132" s="4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</row>
    <row r="133" spans="1:61" ht="30" hidden="1" customHeight="1" x14ac:dyDescent="0.25">
      <c r="A133" s="15"/>
      <c r="B133" s="5"/>
      <c r="C133" s="5"/>
      <c r="D133" s="5"/>
      <c r="E133" s="114"/>
      <c r="F133" s="43"/>
      <c r="G133" s="43"/>
      <c r="H133" s="43"/>
      <c r="I133" s="43"/>
      <c r="J133" s="43"/>
      <c r="K133" s="43"/>
      <c r="L133" s="43"/>
      <c r="M133" s="4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</row>
    <row r="134" spans="1:61" ht="30" hidden="1" customHeight="1" x14ac:dyDescent="0.25">
      <c r="A134" s="15"/>
      <c r="B134" s="5"/>
      <c r="C134" s="5"/>
      <c r="D134" s="5"/>
      <c r="E134" s="114"/>
      <c r="F134" s="43"/>
      <c r="G134" s="43"/>
      <c r="H134" s="43"/>
      <c r="I134" s="43"/>
      <c r="J134" s="43"/>
      <c r="K134" s="43"/>
      <c r="L134" s="43"/>
      <c r="M134" s="4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</row>
    <row r="135" spans="1:61" ht="30" hidden="1" customHeight="1" x14ac:dyDescent="0.25">
      <c r="A135" s="15"/>
      <c r="B135" s="5"/>
      <c r="C135" s="5"/>
      <c r="D135" s="5"/>
      <c r="E135" s="114"/>
      <c r="F135" s="43"/>
      <c r="G135" s="43"/>
      <c r="H135" s="43"/>
      <c r="I135" s="43"/>
      <c r="J135" s="43"/>
      <c r="K135" s="43"/>
      <c r="L135" s="43"/>
      <c r="M135" s="4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</row>
    <row r="136" spans="1:61" ht="30" hidden="1" customHeight="1" x14ac:dyDescent="0.25">
      <c r="A136" s="15"/>
      <c r="B136" s="5"/>
      <c r="C136" s="5"/>
      <c r="D136" s="5"/>
      <c r="E136" s="114"/>
      <c r="F136" s="43"/>
      <c r="G136" s="43"/>
      <c r="H136" s="43"/>
      <c r="I136" s="43"/>
      <c r="J136" s="43"/>
      <c r="K136" s="43"/>
      <c r="L136" s="43"/>
      <c r="M136" s="4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</row>
    <row r="137" spans="1:61" ht="30" hidden="1" customHeight="1" x14ac:dyDescent="0.25">
      <c r="A137" s="15"/>
      <c r="B137" s="5"/>
      <c r="C137" s="5"/>
      <c r="D137" s="5"/>
      <c r="E137" s="114"/>
      <c r="F137" s="43"/>
      <c r="G137" s="43"/>
      <c r="H137" s="43"/>
      <c r="I137" s="43"/>
      <c r="J137" s="43"/>
      <c r="K137" s="43"/>
      <c r="L137" s="43"/>
      <c r="M137" s="4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</row>
    <row r="138" spans="1:61" ht="30" hidden="1" customHeight="1" x14ac:dyDescent="0.25">
      <c r="A138" s="15"/>
      <c r="B138" s="5"/>
      <c r="C138" s="5"/>
      <c r="D138" s="5"/>
      <c r="E138" s="114"/>
      <c r="F138" s="43"/>
      <c r="G138" s="43"/>
      <c r="H138" s="43"/>
      <c r="I138" s="43"/>
      <c r="J138" s="43"/>
      <c r="K138" s="43"/>
      <c r="L138" s="43"/>
      <c r="M138" s="4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</row>
    <row r="139" spans="1:61" ht="30" hidden="1" customHeight="1" x14ac:dyDescent="0.25">
      <c r="A139" s="15"/>
      <c r="B139" s="5"/>
      <c r="C139" s="5"/>
      <c r="D139" s="5"/>
      <c r="E139" s="114"/>
      <c r="F139" s="43"/>
      <c r="G139" s="43"/>
      <c r="H139" s="43"/>
      <c r="I139" s="43"/>
      <c r="J139" s="43"/>
      <c r="K139" s="43"/>
      <c r="L139" s="43"/>
      <c r="M139" s="4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</row>
    <row r="140" spans="1:61" ht="30" hidden="1" customHeight="1" x14ac:dyDescent="0.25">
      <c r="A140" s="15"/>
      <c r="B140" s="5"/>
      <c r="C140" s="5"/>
      <c r="D140" s="5"/>
      <c r="E140" s="114"/>
      <c r="F140" s="43"/>
      <c r="G140" s="43"/>
      <c r="H140" s="43"/>
      <c r="I140" s="43"/>
      <c r="J140" s="43"/>
      <c r="K140" s="43"/>
      <c r="L140" s="43"/>
      <c r="M140" s="4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</row>
    <row r="141" spans="1:61" ht="30" hidden="1" customHeight="1" x14ac:dyDescent="0.25">
      <c r="A141" s="15"/>
      <c r="B141" s="5"/>
      <c r="C141" s="5"/>
      <c r="D141" s="5"/>
      <c r="E141" s="114"/>
      <c r="F141" s="43"/>
      <c r="G141" s="43"/>
      <c r="H141" s="43"/>
      <c r="I141" s="43"/>
      <c r="J141" s="43"/>
      <c r="K141" s="43"/>
      <c r="L141" s="43"/>
      <c r="M141" s="4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</row>
    <row r="142" spans="1:61" ht="30" hidden="1" customHeight="1" x14ac:dyDescent="0.25">
      <c r="A142" s="15"/>
      <c r="B142" s="5"/>
      <c r="C142" s="5"/>
      <c r="D142" s="5"/>
      <c r="E142" s="114"/>
      <c r="F142" s="43"/>
      <c r="G142" s="43"/>
      <c r="H142" s="43"/>
      <c r="I142" s="43"/>
      <c r="J142" s="43"/>
      <c r="K142" s="43"/>
      <c r="L142" s="43"/>
      <c r="M142" s="4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</row>
    <row r="143" spans="1:61" ht="30" hidden="1" customHeight="1" x14ac:dyDescent="0.25">
      <c r="A143" s="15"/>
      <c r="B143" s="5"/>
      <c r="C143" s="5"/>
      <c r="D143" s="5"/>
      <c r="E143" s="114"/>
      <c r="F143" s="43"/>
      <c r="G143" s="43"/>
      <c r="H143" s="43"/>
      <c r="I143" s="43"/>
      <c r="J143" s="43"/>
      <c r="K143" s="43"/>
      <c r="L143" s="43"/>
      <c r="M143" s="4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</row>
    <row r="144" spans="1:61" ht="30" hidden="1" customHeight="1" x14ac:dyDescent="0.25">
      <c r="A144" s="15"/>
      <c r="B144" s="5"/>
      <c r="C144" s="5"/>
      <c r="D144" s="5"/>
      <c r="E144" s="114"/>
      <c r="F144" s="43"/>
      <c r="G144" s="43"/>
      <c r="H144" s="43"/>
      <c r="I144" s="43"/>
      <c r="J144" s="43"/>
      <c r="K144" s="43"/>
      <c r="L144" s="43"/>
      <c r="M144" s="4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</row>
    <row r="145" spans="1:62" ht="30" hidden="1" customHeight="1" x14ac:dyDescent="0.25">
      <c r="A145" s="15"/>
      <c r="B145" s="5"/>
      <c r="C145" s="5"/>
      <c r="D145" s="5"/>
      <c r="E145" s="114"/>
      <c r="F145" s="43"/>
      <c r="G145" s="43"/>
      <c r="H145" s="43"/>
      <c r="I145" s="43"/>
      <c r="J145" s="43"/>
      <c r="K145" s="43"/>
      <c r="L145" s="43"/>
      <c r="M145" s="4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</row>
    <row r="146" spans="1:62" ht="30" hidden="1" customHeight="1" x14ac:dyDescent="0.25">
      <c r="A146" s="15"/>
      <c r="B146" s="5"/>
      <c r="C146" s="5"/>
      <c r="D146" s="5"/>
      <c r="E146" s="114"/>
      <c r="F146" s="43"/>
      <c r="G146" s="43"/>
      <c r="H146" s="43"/>
      <c r="I146" s="43"/>
      <c r="J146" s="43"/>
      <c r="K146" s="43"/>
      <c r="L146" s="43"/>
      <c r="M146" s="4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</row>
    <row r="147" spans="1:62" ht="30" hidden="1" customHeight="1" x14ac:dyDescent="0.25">
      <c r="A147" s="15"/>
      <c r="B147" s="5"/>
      <c r="C147" s="5"/>
      <c r="D147" s="5"/>
      <c r="E147" s="114"/>
      <c r="F147" s="43"/>
      <c r="G147" s="43"/>
      <c r="H147" s="43"/>
      <c r="I147" s="43"/>
      <c r="J147" s="43"/>
      <c r="K147" s="43"/>
      <c r="L147" s="43"/>
      <c r="M147" s="4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</row>
    <row r="148" spans="1:62" ht="30" hidden="1" customHeight="1" x14ac:dyDescent="0.25">
      <c r="A148" s="15"/>
      <c r="B148" s="5"/>
      <c r="C148" s="5"/>
      <c r="D148" s="5"/>
      <c r="E148" s="114"/>
      <c r="F148" s="43"/>
      <c r="G148" s="43"/>
      <c r="H148" s="43"/>
      <c r="I148" s="43"/>
      <c r="J148" s="43"/>
      <c r="K148" s="43"/>
      <c r="L148" s="43"/>
      <c r="M148" s="4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</row>
    <row r="149" spans="1:62" ht="30" hidden="1" customHeight="1" x14ac:dyDescent="0.25">
      <c r="A149" s="15"/>
      <c r="B149" s="5"/>
      <c r="C149" s="5"/>
      <c r="D149" s="5"/>
      <c r="E149" s="114"/>
      <c r="F149" s="43"/>
      <c r="G149" s="43"/>
      <c r="H149" s="43"/>
      <c r="I149" s="43"/>
      <c r="J149" s="43"/>
      <c r="K149" s="43"/>
      <c r="L149" s="43"/>
      <c r="M149" s="4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</row>
    <row r="150" spans="1:62" s="4" customFormat="1" ht="30" hidden="1" customHeight="1" x14ac:dyDescent="0.25">
      <c r="A150" s="15"/>
      <c r="B150" s="5"/>
      <c r="C150" s="5"/>
      <c r="D150" s="5"/>
      <c r="E150" s="114"/>
      <c r="F150" s="43"/>
      <c r="G150" s="43"/>
      <c r="H150" s="43"/>
      <c r="I150" s="43"/>
      <c r="J150" s="43"/>
      <c r="K150" s="43"/>
      <c r="L150" s="43"/>
      <c r="M150" s="4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1"/>
    </row>
    <row r="151" spans="1:62" s="4" customFormat="1" ht="30" hidden="1" customHeight="1" x14ac:dyDescent="0.25">
      <c r="A151" s="15"/>
      <c r="B151" s="5"/>
      <c r="C151" s="5"/>
      <c r="D151" s="5"/>
      <c r="E151" s="114"/>
      <c r="F151" s="43"/>
      <c r="G151" s="43"/>
      <c r="H151" s="43"/>
      <c r="I151" s="43"/>
      <c r="J151" s="43"/>
      <c r="K151" s="43"/>
      <c r="L151" s="43"/>
      <c r="M151" s="4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1"/>
    </row>
    <row r="152" spans="1:62" s="4" customFormat="1" ht="30" hidden="1" customHeight="1" x14ac:dyDescent="0.25">
      <c r="A152" s="15"/>
      <c r="B152" s="5"/>
      <c r="C152" s="5"/>
      <c r="D152" s="5"/>
      <c r="E152" s="114"/>
      <c r="F152" s="43"/>
      <c r="G152" s="43"/>
      <c r="H152" s="43"/>
      <c r="I152" s="43"/>
      <c r="J152" s="43"/>
      <c r="K152" s="43"/>
      <c r="L152" s="43"/>
      <c r="M152" s="4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1"/>
    </row>
    <row r="153" spans="1:62" s="4" customFormat="1" ht="30" hidden="1" customHeight="1" x14ac:dyDescent="0.25">
      <c r="A153" s="15"/>
      <c r="B153" s="5"/>
      <c r="C153" s="5"/>
      <c r="D153" s="5"/>
      <c r="E153" s="114"/>
      <c r="F153" s="43"/>
      <c r="G153" s="43"/>
      <c r="H153" s="43"/>
      <c r="I153" s="43"/>
      <c r="J153" s="43"/>
      <c r="K153" s="43"/>
      <c r="L153" s="43"/>
      <c r="M153" s="4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1"/>
    </row>
    <row r="154" spans="1:62" s="4" customFormat="1" ht="30" hidden="1" customHeight="1" x14ac:dyDescent="0.25">
      <c r="A154" s="15"/>
      <c r="B154" s="5"/>
      <c r="C154" s="5"/>
      <c r="D154" s="5"/>
      <c r="E154" s="114"/>
      <c r="F154" s="43"/>
      <c r="G154" s="43"/>
      <c r="H154" s="43"/>
      <c r="I154" s="43"/>
      <c r="J154" s="43"/>
      <c r="K154" s="43"/>
      <c r="L154" s="43"/>
      <c r="M154" s="4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1"/>
    </row>
    <row r="155" spans="1:62" s="4" customFormat="1" ht="30" hidden="1" customHeight="1" x14ac:dyDescent="0.25">
      <c r="A155" s="15"/>
      <c r="B155" s="5"/>
      <c r="C155" s="5"/>
      <c r="D155" s="5"/>
      <c r="E155" s="114"/>
      <c r="F155" s="43"/>
      <c r="G155" s="43"/>
      <c r="H155" s="43"/>
      <c r="I155" s="43"/>
      <c r="J155" s="43"/>
      <c r="K155" s="43"/>
      <c r="L155" s="43"/>
      <c r="M155" s="4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1"/>
    </row>
    <row r="156" spans="1:62" s="4" customFormat="1" ht="30" hidden="1" customHeight="1" x14ac:dyDescent="0.25">
      <c r="A156" s="15"/>
      <c r="B156" s="5"/>
      <c r="C156" s="5"/>
      <c r="D156" s="5"/>
      <c r="E156" s="114"/>
      <c r="F156" s="43"/>
      <c r="G156" s="43"/>
      <c r="H156" s="43"/>
      <c r="I156" s="43"/>
      <c r="J156" s="43"/>
      <c r="K156" s="43"/>
      <c r="L156" s="43"/>
      <c r="M156" s="4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1"/>
    </row>
    <row r="157" spans="1:62" ht="0" hidden="1" customHeight="1" x14ac:dyDescent="0.25">
      <c r="E157" s="114"/>
      <c r="F157" s="43"/>
      <c r="G157" s="43"/>
      <c r="H157" s="43"/>
      <c r="I157" s="43"/>
      <c r="J157" s="43"/>
      <c r="K157" s="43"/>
      <c r="L157" s="43"/>
      <c r="M157" s="4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</row>
    <row r="158" spans="1:62" ht="0" hidden="1" customHeight="1" x14ac:dyDescent="0.25">
      <c r="E158" s="114"/>
      <c r="F158" s="43"/>
      <c r="G158" s="43"/>
      <c r="H158" s="43"/>
      <c r="I158" s="43"/>
      <c r="J158" s="43"/>
      <c r="K158" s="43"/>
      <c r="L158" s="43"/>
      <c r="M158" s="4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</row>
    <row r="159" spans="1:62" ht="0" hidden="1" customHeight="1" x14ac:dyDescent="0.25">
      <c r="E159" s="114"/>
      <c r="F159" s="43"/>
      <c r="G159" s="43"/>
      <c r="H159" s="43"/>
      <c r="I159" s="43"/>
      <c r="J159" s="43"/>
      <c r="K159" s="43"/>
      <c r="L159" s="43"/>
      <c r="M159" s="4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</row>
    <row r="160" spans="1:62" ht="0" hidden="1" customHeight="1" x14ac:dyDescent="0.25">
      <c r="E160" s="114"/>
      <c r="F160" s="43"/>
      <c r="G160" s="43"/>
      <c r="H160" s="43"/>
      <c r="I160" s="43"/>
      <c r="J160" s="43"/>
      <c r="K160" s="43"/>
      <c r="L160" s="43"/>
      <c r="M160" s="4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</row>
    <row r="161" spans="5:56" ht="0" hidden="1" customHeight="1" x14ac:dyDescent="0.25">
      <c r="E161" s="114"/>
      <c r="F161" s="43"/>
      <c r="G161" s="43"/>
      <c r="H161" s="43"/>
      <c r="I161" s="43"/>
      <c r="J161" s="43"/>
      <c r="K161" s="43"/>
      <c r="L161" s="43"/>
      <c r="M161" s="4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</row>
    <row r="162" spans="5:56" ht="0" hidden="1" customHeight="1" x14ac:dyDescent="0.25">
      <c r="F162" s="141"/>
      <c r="G162" s="141"/>
      <c r="H162" s="141"/>
      <c r="I162" s="141"/>
      <c r="J162" s="141"/>
      <c r="K162" s="141"/>
      <c r="L162" s="141"/>
      <c r="M162" s="141"/>
    </row>
  </sheetData>
  <mergeCells count="1">
    <mergeCell ref="J2:Q5"/>
  </mergeCells>
  <conditionalFormatting sqref="F26:M26">
    <cfRule type="colorScale" priority="482">
      <colorScale>
        <cfvo type="min"/>
        <cfvo type="max"/>
        <color rgb="FFD9FBE2"/>
        <color rgb="FF59BF59"/>
      </colorScale>
    </cfRule>
    <cfRule type="colorScale" priority="483">
      <colorScale>
        <cfvo type="min"/>
        <cfvo type="max"/>
        <color rgb="FFCEF6CE"/>
        <color rgb="FF59BF59"/>
      </colorScale>
    </cfRule>
  </conditionalFormatting>
  <conditionalFormatting sqref="F39:M39">
    <cfRule type="colorScale" priority="475">
      <colorScale>
        <cfvo type="min"/>
        <cfvo type="max"/>
        <color rgb="FFCEF6CE"/>
        <color rgb="FF59BF59"/>
      </colorScale>
    </cfRule>
    <cfRule type="colorScale" priority="474">
      <colorScale>
        <cfvo type="min"/>
        <cfvo type="max"/>
        <color rgb="FFD9FBE2"/>
        <color rgb="FF59BF59"/>
      </colorScale>
    </cfRule>
  </conditionalFormatting>
  <conditionalFormatting sqref="F45:M45">
    <cfRule type="colorScale" priority="156">
      <colorScale>
        <cfvo type="min"/>
        <cfvo type="max"/>
        <color rgb="FFCEF6CE"/>
        <color rgb="FF59BF59"/>
      </colorScale>
    </cfRule>
    <cfRule type="colorScale" priority="155">
      <colorScale>
        <cfvo type="min"/>
        <cfvo type="max"/>
        <color rgb="FFCEF6CE"/>
        <color rgb="FF59BF59"/>
      </colorScale>
    </cfRule>
  </conditionalFormatting>
  <conditionalFormatting sqref="F47:M47">
    <cfRule type="colorScale" priority="142">
      <colorScale>
        <cfvo type="min"/>
        <cfvo type="max"/>
        <color rgb="FFCEF6CE"/>
        <color rgb="FF59BF59"/>
      </colorScale>
    </cfRule>
    <cfRule type="colorScale" priority="141">
      <colorScale>
        <cfvo type="min"/>
        <cfvo type="max"/>
        <color rgb="FFCEF6CE"/>
        <color rgb="FF59BF59"/>
      </colorScale>
    </cfRule>
  </conditionalFormatting>
  <conditionalFormatting sqref="F57:O57">
    <cfRule type="colorScale" priority="522">
      <colorScale>
        <cfvo type="min"/>
        <cfvo type="max"/>
        <color rgb="FFCEF6CE"/>
        <color rgb="FF59BF59"/>
      </colorScale>
    </cfRule>
    <cfRule type="colorScale" priority="521">
      <colorScale>
        <cfvo type="min"/>
        <cfvo type="max"/>
        <color rgb="FFCEF6CE"/>
        <color rgb="FF59BF59"/>
      </colorScale>
    </cfRule>
  </conditionalFormatting>
  <conditionalFormatting sqref="F58:O58">
    <cfRule type="colorScale" priority="560">
      <colorScale>
        <cfvo type="min"/>
        <cfvo type="max"/>
        <color rgb="FFCEF6CE"/>
        <color rgb="FF59BF59"/>
      </colorScale>
    </cfRule>
    <cfRule type="cellIs" dxfId="132" priority="114" operator="equal">
      <formula>0</formula>
    </cfRule>
    <cfRule type="colorScale" priority="559">
      <colorScale>
        <cfvo type="min"/>
        <cfvo type="max"/>
        <color rgb="FFD9FBE2"/>
        <color rgb="FF59BF59"/>
      </colorScale>
    </cfRule>
  </conditionalFormatting>
  <conditionalFormatting sqref="F10:W13">
    <cfRule type="cellIs" dxfId="131" priority="44" operator="equal">
      <formula>0</formula>
    </cfRule>
  </conditionalFormatting>
  <conditionalFormatting sqref="F44:W44 Y44:BA44">
    <cfRule type="cellIs" dxfId="130" priority="153" operator="equal">
      <formula>0</formula>
    </cfRule>
  </conditionalFormatting>
  <conditionalFormatting sqref="F14:BA14">
    <cfRule type="cellIs" dxfId="129" priority="52" operator="equal">
      <formula>0</formula>
    </cfRule>
    <cfRule type="colorScale" priority="590">
      <colorScale>
        <cfvo type="min"/>
        <cfvo type="max"/>
        <color rgb="FFCEF6CE"/>
        <color rgb="FF59BF59"/>
      </colorScale>
    </cfRule>
    <cfRule type="colorScale" priority="589">
      <colorScale>
        <cfvo type="min"/>
        <cfvo type="max"/>
        <color rgb="FFCEF6CE"/>
        <color rgb="FF59BF59"/>
      </colorScale>
    </cfRule>
  </conditionalFormatting>
  <conditionalFormatting sqref="F45:BA45">
    <cfRule type="cellIs" dxfId="128" priority="245" operator="equal">
      <formula>0</formula>
    </cfRule>
  </conditionalFormatting>
  <conditionalFormatting sqref="F47:BA47">
    <cfRule type="cellIs" dxfId="127" priority="149" operator="equal">
      <formula>0</formula>
    </cfRule>
  </conditionalFormatting>
  <conditionalFormatting sqref="N16">
    <cfRule type="colorScale" priority="540">
      <colorScale>
        <cfvo type="min"/>
        <cfvo type="max"/>
        <color rgb="FFCEF6CE"/>
        <color rgb="FF59BF59"/>
      </colorScale>
    </cfRule>
    <cfRule type="colorScale" priority="539">
      <colorScale>
        <cfvo type="min"/>
        <cfvo type="max"/>
        <color rgb="FFD9FBE2"/>
        <color rgb="FF59BF59"/>
      </colorScale>
    </cfRule>
  </conditionalFormatting>
  <conditionalFormatting sqref="N47">
    <cfRule type="colorScale" priority="538">
      <colorScale>
        <cfvo type="min"/>
        <cfvo type="max"/>
        <color rgb="FFCEF6CE"/>
        <color rgb="FF59BF59"/>
      </colorScale>
    </cfRule>
    <cfRule type="colorScale" priority="537">
      <colorScale>
        <cfvo type="min"/>
        <cfvo type="max"/>
        <color rgb="FFCEF6CE"/>
        <color rgb="FF59BF59"/>
      </colorScale>
    </cfRule>
  </conditionalFormatting>
  <conditionalFormatting sqref="N12:O12">
    <cfRule type="colorScale" priority="586">
      <colorScale>
        <cfvo type="min"/>
        <cfvo type="max"/>
        <color rgb="FFCEF6CE"/>
        <color rgb="FF59BF59"/>
      </colorScale>
    </cfRule>
    <cfRule type="colorScale" priority="585">
      <colorScale>
        <cfvo type="min"/>
        <cfvo type="max"/>
        <color rgb="FFCEF6CE"/>
        <color rgb="FF59BF59"/>
      </colorScale>
    </cfRule>
  </conditionalFormatting>
  <conditionalFormatting sqref="N14:O14">
    <cfRule type="colorScale" priority="593">
      <colorScale>
        <cfvo type="min"/>
        <cfvo type="max"/>
        <color rgb="FFD9FBE2"/>
        <color rgb="FF59BF59"/>
      </colorScale>
    </cfRule>
    <cfRule type="colorScale" priority="594">
      <colorScale>
        <cfvo type="min"/>
        <cfvo type="max"/>
        <color rgb="FFCEF6CE"/>
        <color rgb="FF59BF59"/>
      </colorScale>
    </cfRule>
  </conditionalFormatting>
  <conditionalFormatting sqref="N19:O19">
    <cfRule type="colorScale" priority="548">
      <colorScale>
        <cfvo type="min"/>
        <cfvo type="max"/>
        <color rgb="FFCEF6CE"/>
        <color rgb="FF59BF59"/>
      </colorScale>
    </cfRule>
    <cfRule type="colorScale" priority="547">
      <colorScale>
        <cfvo type="min"/>
        <cfvo type="max"/>
        <color rgb="FFCEF6CE"/>
        <color rgb="FF59BF59"/>
      </colorScale>
    </cfRule>
  </conditionalFormatting>
  <conditionalFormatting sqref="N22:O22">
    <cfRule type="colorScale" priority="544">
      <colorScale>
        <cfvo type="min"/>
        <cfvo type="max"/>
        <color rgb="FFCEF6CE"/>
        <color rgb="FF59BF59"/>
      </colorScale>
    </cfRule>
    <cfRule type="colorScale" priority="543">
      <colorScale>
        <cfvo type="min"/>
        <cfvo type="max"/>
        <color rgb="FFCEF6CE"/>
        <color rgb="FF59BF59"/>
      </colorScale>
    </cfRule>
  </conditionalFormatting>
  <conditionalFormatting sqref="N24:O24">
    <cfRule type="colorScale" priority="542">
      <colorScale>
        <cfvo type="min"/>
        <cfvo type="max"/>
        <color rgb="FFCEF6CE"/>
        <color rgb="FF59BF59"/>
      </colorScale>
    </cfRule>
    <cfRule type="colorScale" priority="541">
      <colorScale>
        <cfvo type="min"/>
        <cfvo type="max"/>
        <color rgb="FFCEF6CE"/>
        <color rgb="FF59BF59"/>
      </colorScale>
    </cfRule>
  </conditionalFormatting>
  <conditionalFormatting sqref="N26:O26">
    <cfRule type="colorScale" priority="549">
      <colorScale>
        <cfvo type="min"/>
        <cfvo type="max"/>
        <color rgb="FFCEF6CE"/>
        <color rgb="FF59BF59"/>
      </colorScale>
    </cfRule>
    <cfRule type="colorScale" priority="550">
      <colorScale>
        <cfvo type="min"/>
        <cfvo type="max"/>
        <color rgb="FFCEF6CE"/>
        <color rgb="FF59BF59"/>
      </colorScale>
    </cfRule>
  </conditionalFormatting>
  <conditionalFormatting sqref="N28:O39">
    <cfRule type="cellIs" dxfId="126" priority="3" operator="equal">
      <formula>0</formula>
    </cfRule>
  </conditionalFormatting>
  <conditionalFormatting sqref="N29:O29 N32:O32">
    <cfRule type="colorScale" priority="571">
      <colorScale>
        <cfvo type="min"/>
        <cfvo type="max"/>
        <color rgb="FFCEF6CE"/>
        <color rgb="FF59BF59"/>
      </colorScale>
    </cfRule>
    <cfRule type="colorScale" priority="572">
      <colorScale>
        <cfvo type="min"/>
        <cfvo type="max"/>
        <color rgb="FFCEF6CE"/>
        <color rgb="FF59BF59"/>
      </colorScale>
    </cfRule>
  </conditionalFormatting>
  <conditionalFormatting sqref="N39:O39">
    <cfRule type="colorScale" priority="546">
      <colorScale>
        <cfvo type="min"/>
        <cfvo type="max"/>
        <color rgb="FFCEF6CE"/>
        <color rgb="FF59BF59"/>
      </colorScale>
    </cfRule>
    <cfRule type="colorScale" priority="545">
      <colorScale>
        <cfvo type="min"/>
        <cfvo type="max"/>
        <color rgb="FFCEF6CE"/>
        <color rgb="FF59BF59"/>
      </colorScale>
    </cfRule>
  </conditionalFormatting>
  <conditionalFormatting sqref="N45:O45">
    <cfRule type="colorScale" priority="530">
      <colorScale>
        <cfvo type="min"/>
        <cfvo type="max"/>
        <color rgb="FFCEF6CE"/>
        <color rgb="FF59BF59"/>
      </colorScale>
    </cfRule>
    <cfRule type="colorScale" priority="529">
      <colorScale>
        <cfvo type="min"/>
        <cfvo type="max"/>
        <color rgb="FFCEF6CE"/>
        <color rgb="FF59BF59"/>
      </colorScale>
    </cfRule>
  </conditionalFormatting>
  <conditionalFormatting sqref="N57:O57">
    <cfRule type="colorScale" priority="558">
      <colorScale>
        <cfvo type="min"/>
        <cfvo type="max"/>
        <color rgb="FFCEF6CE"/>
        <color rgb="FF59BF59"/>
      </colorScale>
    </cfRule>
    <cfRule type="colorScale" priority="557">
      <colorScale>
        <cfvo type="min"/>
        <cfvo type="max"/>
        <color rgb="FFCEF6CE"/>
        <color rgb="FF59BF59"/>
      </colorScale>
    </cfRule>
  </conditionalFormatting>
  <conditionalFormatting sqref="N58:O58">
    <cfRule type="colorScale" priority="562">
      <colorScale>
        <cfvo type="min"/>
        <cfvo type="max"/>
        <color rgb="FFCEF6CE"/>
        <color rgb="FF59BF59"/>
      </colorScale>
    </cfRule>
    <cfRule type="colorScale" priority="561">
      <colorScale>
        <cfvo type="min"/>
        <cfvo type="max"/>
        <color rgb="FFCEF6CE"/>
        <color rgb="FF59BF59"/>
      </colorScale>
    </cfRule>
  </conditionalFormatting>
  <conditionalFormatting sqref="N57:BA58">
    <cfRule type="cellIs" dxfId="125" priority="83" operator="equal">
      <formula>0</formula>
    </cfRule>
  </conditionalFormatting>
  <conditionalFormatting sqref="O15 N15:N26 O24 O26">
    <cfRule type="cellIs" dxfId="124" priority="127" operator="equal">
      <formula>0</formula>
    </cfRule>
  </conditionalFormatting>
  <conditionalFormatting sqref="O18:O22">
    <cfRule type="cellIs" dxfId="123" priority="1" operator="equal">
      <formula>0</formula>
    </cfRule>
  </conditionalFormatting>
  <conditionalFormatting sqref="O16:BA16 F16:M16">
    <cfRule type="colorScale" priority="466">
      <colorScale>
        <cfvo type="min"/>
        <cfvo type="max"/>
        <color rgb="FFCEF6CE"/>
        <color rgb="FF59BF59"/>
      </colorScale>
    </cfRule>
  </conditionalFormatting>
  <conditionalFormatting sqref="O45:BA45">
    <cfRule type="colorScale" priority="160">
      <colorScale>
        <cfvo type="min"/>
        <cfvo type="max"/>
        <color rgb="FFCEF6CE"/>
        <color rgb="FF59BF59"/>
      </colorScale>
    </cfRule>
    <cfRule type="colorScale" priority="159">
      <colorScale>
        <cfvo type="min"/>
        <cfvo type="max"/>
        <color rgb="FFCEF6CE"/>
        <color rgb="FF59BF59"/>
      </colorScale>
    </cfRule>
  </conditionalFormatting>
  <conditionalFormatting sqref="O47:BA47">
    <cfRule type="colorScale" priority="145">
      <colorScale>
        <cfvo type="min"/>
        <cfvo type="max"/>
        <color rgb="FFCEF6CE"/>
        <color rgb="FF59BF59"/>
      </colorScale>
    </cfRule>
    <cfRule type="colorScale" priority="146">
      <colorScale>
        <cfvo type="min"/>
        <cfvo type="max"/>
        <color rgb="FFCEF6CE"/>
        <color rgb="FF59BF59"/>
      </colorScale>
    </cfRule>
  </conditionalFormatting>
  <conditionalFormatting sqref="P19:W19 F19:M19 Y19:BA19">
    <cfRule type="colorScale" priority="477">
      <colorScale>
        <cfvo type="min"/>
        <cfvo type="max"/>
        <color rgb="FFCEF6CE"/>
        <color rgb="FF59BF59"/>
      </colorScale>
    </cfRule>
    <cfRule type="colorScale" priority="476">
      <colorScale>
        <cfvo type="min"/>
        <cfvo type="max"/>
        <color rgb="FFD9FBE2"/>
        <color rgb="FF59BF59"/>
      </colorScale>
    </cfRule>
  </conditionalFormatting>
  <conditionalFormatting sqref="P22:W22 F22:M22 Y22:BA22">
    <cfRule type="colorScale" priority="472">
      <colorScale>
        <cfvo type="min"/>
        <cfvo type="max"/>
        <color rgb="FFCEF6CE"/>
        <color rgb="FF59BF59"/>
      </colorScale>
    </cfRule>
    <cfRule type="colorScale" priority="473">
      <colorScale>
        <cfvo type="min"/>
        <cfvo type="max"/>
        <color rgb="FFCEF6CE"/>
        <color rgb="FF59BF59"/>
      </colorScale>
    </cfRule>
  </conditionalFormatting>
  <conditionalFormatting sqref="P24:W24 F24:M24 Y24:BA24">
    <cfRule type="colorScale" priority="471">
      <colorScale>
        <cfvo type="min"/>
        <cfvo type="max"/>
        <color rgb="FFCEF6CE"/>
        <color rgb="FF63BE7B"/>
      </colorScale>
    </cfRule>
    <cfRule type="colorScale" priority="470">
      <colorScale>
        <cfvo type="min"/>
        <cfvo type="max"/>
        <color rgb="FFCEF6CE"/>
        <color rgb="FF59BF59"/>
      </colorScale>
    </cfRule>
  </conditionalFormatting>
  <conditionalFormatting sqref="P29:W29 F29:M29 F32:M32 Y29:BA29 P32:BA32">
    <cfRule type="colorScale" priority="488">
      <colorScale>
        <cfvo type="min"/>
        <cfvo type="max"/>
        <color rgb="FFD9FBE2"/>
        <color rgb="FF59BF59"/>
      </colorScale>
    </cfRule>
    <cfRule type="colorScale" priority="489">
      <colorScale>
        <cfvo type="min"/>
        <cfvo type="max"/>
        <color rgb="FFCEF6CE"/>
        <color rgb="FF59BF59"/>
      </colorScale>
    </cfRule>
  </conditionalFormatting>
  <conditionalFormatting sqref="P29:W31 Y29:BA31 F29:M32">
    <cfRule type="cellIs" dxfId="122" priority="163" operator="equal">
      <formula>0</formula>
    </cfRule>
  </conditionalFormatting>
  <conditionalFormatting sqref="P32:BA32">
    <cfRule type="cellIs" dxfId="121" priority="165" operator="equal">
      <formula>0</formula>
    </cfRule>
  </conditionalFormatting>
  <conditionalFormatting sqref="P39:BA39">
    <cfRule type="cellIs" dxfId="120" priority="98" operator="equal">
      <formula>0</formula>
    </cfRule>
  </conditionalFormatting>
  <conditionalFormatting sqref="Q18">
    <cfRule type="cellIs" dxfId="119" priority="2" operator="equal">
      <formula>0</formula>
    </cfRule>
  </conditionalFormatting>
  <conditionalFormatting sqref="X10:X14">
    <cfRule type="cellIs" dxfId="118" priority="43" operator="equal">
      <formula>0</formula>
    </cfRule>
  </conditionalFormatting>
  <conditionalFormatting sqref="X12">
    <cfRule type="colorScale" priority="59">
      <colorScale>
        <cfvo type="min"/>
        <cfvo type="max"/>
        <color rgb="FFCEF6CE"/>
        <color rgb="FF59BF59"/>
      </colorScale>
    </cfRule>
    <cfRule type="colorScale" priority="60">
      <colorScale>
        <cfvo type="min"/>
        <cfvo type="max"/>
        <color rgb="FFCEF6CE"/>
        <color rgb="FF59BF59"/>
      </colorScale>
    </cfRule>
  </conditionalFormatting>
  <conditionalFormatting sqref="X14">
    <cfRule type="colorScale" priority="50">
      <colorScale>
        <cfvo type="min"/>
        <cfvo type="max"/>
        <color rgb="FFCEF6CE"/>
        <color rgb="FF59BF59"/>
      </colorScale>
    </cfRule>
    <cfRule type="colorScale" priority="51">
      <colorScale>
        <cfvo type="min"/>
        <cfvo type="max"/>
        <color rgb="FFCEF6CE"/>
        <color rgb="FF59BF59"/>
      </colorScale>
    </cfRule>
  </conditionalFormatting>
  <conditionalFormatting sqref="X19">
    <cfRule type="colorScale" priority="107">
      <colorScale>
        <cfvo type="min"/>
        <cfvo type="max"/>
        <color rgb="FFCEF6CE"/>
        <color rgb="FF63BE7B"/>
      </colorScale>
    </cfRule>
    <cfRule type="colorScale" priority="106">
      <colorScale>
        <cfvo type="min"/>
        <cfvo type="max"/>
        <color rgb="FFCEF6CE"/>
        <color rgb="FF59BF59"/>
      </colorScale>
    </cfRule>
  </conditionalFormatting>
  <conditionalFormatting sqref="X22">
    <cfRule type="colorScale" priority="104">
      <colorScale>
        <cfvo type="min"/>
        <cfvo type="max"/>
        <color rgb="FFCEF6CE"/>
        <color rgb="FF59BF59"/>
      </colorScale>
    </cfRule>
    <cfRule type="colorScale" priority="105">
      <colorScale>
        <cfvo type="min"/>
        <cfvo type="max"/>
        <color rgb="FFCEF6CE"/>
        <color rgb="FF59BF59"/>
      </colorScale>
    </cfRule>
  </conditionalFormatting>
  <conditionalFormatting sqref="X24">
    <cfRule type="colorScale" priority="102">
      <colorScale>
        <cfvo type="min"/>
        <cfvo type="max"/>
        <color rgb="FFCEF6CE"/>
        <color rgb="FF59BF59"/>
      </colorScale>
    </cfRule>
    <cfRule type="colorScale" priority="103">
      <colorScale>
        <cfvo type="min"/>
        <cfvo type="max"/>
        <color rgb="FFCEF6CE"/>
        <color rgb="FF59BF59"/>
      </colorScale>
    </cfRule>
  </conditionalFormatting>
  <conditionalFormatting sqref="X26:X27">
    <cfRule type="colorScale" priority="109">
      <colorScale>
        <cfvo type="min"/>
        <cfvo type="max"/>
        <color rgb="FFCEF6CE"/>
        <color rgb="FF59BF59"/>
      </colorScale>
    </cfRule>
    <cfRule type="colorScale" priority="108">
      <colorScale>
        <cfvo type="min"/>
        <cfvo type="max"/>
        <color rgb="FFCEF6CE"/>
        <color rgb="FF59BF59"/>
      </colorScale>
    </cfRule>
  </conditionalFormatting>
  <conditionalFormatting sqref="X29:X32">
    <cfRule type="cellIs" dxfId="117" priority="92" operator="equal">
      <formula>0</formula>
    </cfRule>
  </conditionalFormatting>
  <conditionalFormatting sqref="X32 X29">
    <cfRule type="colorScale" priority="506">
      <colorScale>
        <cfvo type="min"/>
        <cfvo type="max"/>
        <color rgb="FFD9FBE2"/>
        <color rgb="FF59BF59"/>
      </colorScale>
    </cfRule>
    <cfRule type="colorScale" priority="507">
      <colorScale>
        <cfvo type="min"/>
        <cfvo type="max"/>
        <color rgb="FFCEF6CE"/>
        <color rgb="FF59BF59"/>
      </colorScale>
    </cfRule>
  </conditionalFormatting>
  <conditionalFormatting sqref="X44:X45">
    <cfRule type="cellIs" dxfId="116" priority="88" operator="equal">
      <formula>0</formula>
    </cfRule>
  </conditionalFormatting>
  <conditionalFormatting sqref="X45">
    <cfRule type="colorScale" priority="91">
      <colorScale>
        <cfvo type="min"/>
        <cfvo type="max"/>
        <color rgb="FFCEF6CE"/>
        <color rgb="FF59BF59"/>
      </colorScale>
    </cfRule>
    <cfRule type="colorScale" priority="90">
      <colorScale>
        <cfvo type="min"/>
        <cfvo type="max"/>
        <color rgb="FFCEF6CE"/>
        <color rgb="FF59BF59"/>
      </colorScale>
    </cfRule>
  </conditionalFormatting>
  <conditionalFormatting sqref="Y10:BA13">
    <cfRule type="cellIs" dxfId="115" priority="45" operator="equal">
      <formula>0</formula>
    </cfRule>
  </conditionalFormatting>
  <conditionalFormatting sqref="Y12:BA12 F12:W12">
    <cfRule type="colorScale" priority="66">
      <colorScale>
        <cfvo type="min"/>
        <cfvo type="max"/>
        <color rgb="FFCEF6CE"/>
        <color rgb="FF59BF59"/>
      </colorScale>
    </cfRule>
    <cfRule type="colorScale" priority="65">
      <colorScale>
        <cfvo type="min"/>
        <cfvo type="max"/>
        <color rgb="FFCEF6CE"/>
        <color rgb="FF59BF59"/>
      </colorScale>
    </cfRule>
  </conditionalFormatting>
  <conditionalFormatting sqref="Y15:BA15">
    <cfRule type="cellIs" dxfId="114" priority="207" operator="equal">
      <formula>0</formula>
    </cfRule>
  </conditionalFormatting>
  <conditionalFormatting sqref="Y26:BA27 P26:W27">
    <cfRule type="colorScale" priority="486">
      <colorScale>
        <cfvo type="min"/>
        <cfvo type="max"/>
        <color rgb="FFD9FBE2"/>
        <color rgb="FF59BF59"/>
      </colorScale>
    </cfRule>
    <cfRule type="colorScale" priority="487">
      <colorScale>
        <cfvo type="min"/>
        <cfvo type="max"/>
        <color rgb="FFCEF6CE"/>
        <color rgb="FF59BF59"/>
      </colorScale>
    </cfRule>
  </conditionalFormatting>
  <conditionalFormatting sqref="AB48">
    <cfRule type="cellIs" dxfId="113" priority="230" operator="equal">
      <formula>0</formula>
    </cfRule>
  </conditionalFormatting>
  <conditionalFormatting sqref="AD43:AD45">
    <cfRule type="cellIs" dxfId="112" priority="222" operator="equal">
      <formula>0</formula>
    </cfRule>
  </conditionalFormatting>
  <conditionalFormatting sqref="BB44:BB58">
    <cfRule type="cellIs" dxfId="111" priority="75" operator="equal">
      <formula>0</formula>
    </cfRule>
  </conditionalFormatting>
  <conditionalFormatting sqref="BB43:BD45">
    <cfRule type="cellIs" dxfId="110" priority="182" operator="equal">
      <formula>0</formula>
    </cfRule>
  </conditionalFormatting>
  <conditionalFormatting sqref="BC47:BD47">
    <cfRule type="cellIs" dxfId="109" priority="147" operator="equal">
      <formula>0</formula>
    </cfRule>
  </conditionalFormatting>
  <hyperlinks>
    <hyperlink ref="A11" location="'Contas Abertas'!A1" display="DRE - Contas Abertas" xr:uid="{00000000-0004-0000-0500-000000000000}"/>
    <hyperlink ref="A12" location="'Balanço Patrimonial'!A1" display="Balanço Patrimonial" xr:uid="{00000000-0004-0000-0500-000001000000}"/>
    <hyperlink ref="A13" location="'Painel de Índices'!A1" display="Painel de Índices" xr:uid="{00000000-0004-0000-0500-000002000000}"/>
    <hyperlink ref="A14" location="'Provisões e Processos'!A1" display="Provisões e Processos" xr:uid="{00000000-0004-0000-0500-000003000000}"/>
    <hyperlink ref="A15" location="'Projeções - Receita'!A1" display="Projeções - Receita" xr:uid="{00000000-0004-0000-0500-000004000000}"/>
    <hyperlink ref="A17" location="'Projeções 2022'!A1" display="Projeções 2022" xr:uid="{00000000-0004-0000-0500-000005000000}"/>
    <hyperlink ref="A8" location="Dashboard!A1" display="Dashboard" xr:uid="{00000000-0004-0000-0500-000006000000}"/>
    <hyperlink ref="A9" location="WACC!A1" display="WACC" xr:uid="{00000000-0004-0000-0500-000007000000}"/>
    <hyperlink ref="A16" location="'Projeções - Capex'!A1" display="Projeções - Capex" xr:uid="{00000000-0004-0000-05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/>
  <dimension ref="A1:AG139"/>
  <sheetViews>
    <sheetView showGridLines="0" topLeftCell="D31" zoomScale="85" zoomScaleNormal="85" workbookViewId="0">
      <selection activeCell="E53" sqref="E53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79.5703125" style="1" bestFit="1" customWidth="1"/>
    <col min="6" max="8" width="15.140625" style="1" bestFit="1" customWidth="1"/>
    <col min="9" max="15" width="16.42578125" style="1" bestFit="1" customWidth="1"/>
    <col min="16" max="16" width="10.28515625" style="1" bestFit="1" customWidth="1"/>
    <col min="17" max="17" width="13" style="1" bestFit="1" customWidth="1"/>
    <col min="18" max="21" width="9.140625" style="1" customWidth="1"/>
    <col min="22" max="33" width="0" style="1" hidden="1" customWidth="1"/>
    <col min="34" max="16384" width="9.140625" style="1" hidden="1"/>
  </cols>
  <sheetData>
    <row r="1" spans="1:21" ht="15" customHeight="1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" customHeight="1" x14ac:dyDescent="0.25">
      <c r="B3" s="5"/>
      <c r="C3" s="5"/>
      <c r="D3" s="5"/>
      <c r="E3" s="10"/>
      <c r="F3" s="405" t="str">
        <f>Dashboard!$I$3</f>
        <v>Raia Drogasil ($RADL3)</v>
      </c>
      <c r="G3" s="405"/>
      <c r="H3" s="405"/>
      <c r="I3" s="405"/>
      <c r="J3" s="405"/>
      <c r="K3" s="40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" customHeight="1" x14ac:dyDescent="0.25">
      <c r="B4" s="5"/>
      <c r="C4" s="5"/>
      <c r="D4" s="5"/>
      <c r="E4" s="32"/>
      <c r="F4" s="405"/>
      <c r="G4" s="405"/>
      <c r="H4" s="405"/>
      <c r="I4" s="405"/>
      <c r="J4" s="405"/>
      <c r="K4" s="405"/>
      <c r="L4" s="32"/>
      <c r="M4" s="32"/>
      <c r="N4" s="32"/>
      <c r="O4" s="32"/>
      <c r="P4" s="5"/>
      <c r="Q4" s="5"/>
      <c r="R4" s="5"/>
      <c r="S4" s="5"/>
      <c r="T4" s="5"/>
      <c r="U4" s="5"/>
    </row>
    <row r="5" spans="1:21" ht="15" customHeight="1" x14ac:dyDescent="0.25">
      <c r="B5" s="5"/>
      <c r="C5" s="5"/>
      <c r="D5" s="5"/>
      <c r="E5" s="32"/>
      <c r="F5" s="407"/>
      <c r="G5" s="407"/>
      <c r="H5" s="407"/>
      <c r="I5" s="407"/>
      <c r="J5" s="407"/>
      <c r="K5" s="407"/>
      <c r="L5" s="32"/>
      <c r="M5" s="32"/>
      <c r="N5" s="32"/>
      <c r="O5" s="32"/>
      <c r="P5" s="5"/>
      <c r="Q5" s="5"/>
      <c r="R5" s="5"/>
      <c r="S5" s="5"/>
      <c r="T5" s="5"/>
      <c r="U5" s="5"/>
    </row>
    <row r="6" spans="1:21" ht="15" customHeight="1" x14ac:dyDescent="0.25">
      <c r="B6" s="5"/>
      <c r="C6" s="5"/>
      <c r="D6" s="5"/>
      <c r="E6" s="23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s="11" customFormat="1" ht="30" customHeight="1" x14ac:dyDescent="0.25">
      <c r="A7" s="9" t="s">
        <v>68</v>
      </c>
      <c r="B7" s="10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10"/>
      <c r="S7" s="10"/>
      <c r="T7" s="10"/>
      <c r="U7" s="10"/>
    </row>
    <row r="8" spans="1:21" ht="30" customHeight="1" x14ac:dyDescent="0.25">
      <c r="A8" s="15" t="s">
        <v>69</v>
      </c>
      <c r="B8" s="5"/>
      <c r="C8" s="5"/>
      <c r="D8" s="5"/>
      <c r="E8" s="53"/>
      <c r="P8" s="5"/>
      <c r="Q8" s="5"/>
      <c r="R8" s="5"/>
      <c r="S8" s="5"/>
      <c r="T8" s="5"/>
      <c r="U8" s="5"/>
    </row>
    <row r="9" spans="1:21" ht="30" customHeight="1" x14ac:dyDescent="0.25">
      <c r="A9" s="15" t="s">
        <v>52</v>
      </c>
      <c r="B9" s="5"/>
      <c r="C9" s="5"/>
      <c r="D9" s="5"/>
      <c r="E9" s="69"/>
      <c r="F9" s="35">
        <v>2013</v>
      </c>
      <c r="G9" s="35">
        <f t="shared" ref="G9:H9" si="0">H9-1</f>
        <v>2014</v>
      </c>
      <c r="H9" s="35">
        <f t="shared" si="0"/>
        <v>2015</v>
      </c>
      <c r="I9" s="35">
        <f>J9-1</f>
        <v>2016</v>
      </c>
      <c r="J9" s="35">
        <v>2017</v>
      </c>
      <c r="K9" s="35">
        <v>2018</v>
      </c>
      <c r="L9" s="35">
        <v>2019</v>
      </c>
      <c r="M9" s="35">
        <v>2020</v>
      </c>
      <c r="N9" s="243">
        <v>2021</v>
      </c>
      <c r="O9" s="361">
        <v>2022</v>
      </c>
      <c r="P9" s="41"/>
      <c r="Q9" s="5"/>
      <c r="R9" s="5"/>
      <c r="S9" s="5"/>
      <c r="T9" s="5"/>
      <c r="U9" s="5"/>
    </row>
    <row r="10" spans="1:21" ht="30" customHeight="1" x14ac:dyDescent="0.25">
      <c r="A10" s="15" t="s">
        <v>70</v>
      </c>
      <c r="B10" s="5"/>
      <c r="C10" s="5"/>
      <c r="D10" s="5"/>
      <c r="E10" s="69" t="s">
        <v>224</v>
      </c>
      <c r="F10" s="81">
        <v>-4512743</v>
      </c>
      <c r="G10" s="81">
        <v>-5281377</v>
      </c>
      <c r="H10" s="81">
        <v>-6183289</v>
      </c>
      <c r="I10" s="81">
        <v>-7752422</v>
      </c>
      <c r="J10" s="81">
        <v>-9224505</v>
      </c>
      <c r="K10" s="81">
        <f>'DRE + DCF'!K17</f>
        <v>-10355923</v>
      </c>
      <c r="L10" s="81">
        <f>'DRE + DCF'!L17</f>
        <v>-12367239</v>
      </c>
      <c r="M10" s="81">
        <f>'DRE + DCF'!M17</f>
        <v>-14175708</v>
      </c>
      <c r="N10" s="81">
        <v>-16901753</v>
      </c>
      <c r="O10" s="345">
        <v>-20223406</v>
      </c>
      <c r="P10" s="41"/>
      <c r="Q10" s="5"/>
      <c r="R10" s="5"/>
      <c r="S10" s="5"/>
      <c r="T10" s="5"/>
      <c r="U10" s="5"/>
    </row>
    <row r="11" spans="1:21" ht="30" customHeight="1" x14ac:dyDescent="0.25">
      <c r="A11" s="244" t="s">
        <v>340</v>
      </c>
      <c r="B11" s="5"/>
      <c r="C11" s="5"/>
      <c r="D11" s="5"/>
      <c r="E11" s="69" t="s">
        <v>225</v>
      </c>
      <c r="F11" s="81">
        <v>-803348</v>
      </c>
      <c r="G11" s="81">
        <v>-942024</v>
      </c>
      <c r="H11" s="81">
        <v>-1144608</v>
      </c>
      <c r="I11" s="81">
        <v>-1455915</v>
      </c>
      <c r="J11" s="81">
        <v>-1626658</v>
      </c>
      <c r="K11" s="81">
        <v>-1839906</v>
      </c>
      <c r="L11" s="81">
        <v>-2167200</v>
      </c>
      <c r="M11" s="81">
        <v>-2396582</v>
      </c>
      <c r="N11" s="81">
        <v>-2890025</v>
      </c>
      <c r="O11" s="345">
        <v>-3565669</v>
      </c>
      <c r="P11" s="41"/>
      <c r="Q11" s="5"/>
      <c r="R11" s="5"/>
      <c r="S11" s="5"/>
      <c r="T11" s="5"/>
      <c r="U11" s="5"/>
    </row>
    <row r="12" spans="1:21" ht="30" customHeight="1" x14ac:dyDescent="0.25">
      <c r="A12" s="15" t="s">
        <v>71</v>
      </c>
      <c r="B12" s="5"/>
      <c r="C12" s="5"/>
      <c r="D12" s="5"/>
      <c r="E12" s="69" t="s">
        <v>248</v>
      </c>
      <c r="F12" s="81">
        <v>0</v>
      </c>
      <c r="G12" s="81">
        <v>0</v>
      </c>
      <c r="H12" s="81">
        <v>0</v>
      </c>
      <c r="I12" s="81">
        <v>0</v>
      </c>
      <c r="J12" s="81">
        <v>-602508</v>
      </c>
      <c r="K12" s="81">
        <v>-699902</v>
      </c>
      <c r="L12" s="81">
        <v>-272414</v>
      </c>
      <c r="M12" s="81">
        <v>-279382</v>
      </c>
      <c r="N12" s="81">
        <v>-324608</v>
      </c>
      <c r="O12" s="345">
        <v>-348735</v>
      </c>
      <c r="P12" s="41"/>
      <c r="Q12" s="5"/>
      <c r="R12" s="5"/>
      <c r="S12" s="5"/>
      <c r="T12" s="5"/>
      <c r="U12" s="5"/>
    </row>
    <row r="13" spans="1:21" ht="30" customHeight="1" x14ac:dyDescent="0.25">
      <c r="A13" s="21" t="s">
        <v>333</v>
      </c>
      <c r="B13" s="5"/>
      <c r="C13" s="5"/>
      <c r="D13" s="5"/>
      <c r="E13" s="69" t="s">
        <v>265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13804</v>
      </c>
      <c r="N13" s="81">
        <v>6390</v>
      </c>
      <c r="O13" s="345">
        <v>1105</v>
      </c>
      <c r="P13" s="41"/>
      <c r="Q13" s="5"/>
      <c r="R13" s="5"/>
      <c r="S13" s="5"/>
      <c r="T13" s="5"/>
      <c r="U13" s="5"/>
    </row>
    <row r="14" spans="1:21" ht="30" customHeight="1" x14ac:dyDescent="0.25">
      <c r="A14" s="21" t="s">
        <v>198</v>
      </c>
      <c r="B14" s="5"/>
      <c r="C14" s="5"/>
      <c r="D14" s="5"/>
      <c r="E14" s="69" t="s">
        <v>226</v>
      </c>
      <c r="F14" s="81">
        <v>-73741</v>
      </c>
      <c r="G14" s="81">
        <v>-77910</v>
      </c>
      <c r="H14" s="81">
        <v>-101919</v>
      </c>
      <c r="I14" s="81">
        <v>-124857</v>
      </c>
      <c r="J14" s="81">
        <v>-150449</v>
      </c>
      <c r="K14" s="81">
        <v>-162044</v>
      </c>
      <c r="L14" s="81">
        <v>-205892</v>
      </c>
      <c r="M14" s="81">
        <v>-292285</v>
      </c>
      <c r="N14" s="81">
        <v>-368999</v>
      </c>
      <c r="O14" s="345">
        <v>-414916</v>
      </c>
      <c r="P14" s="41"/>
      <c r="Q14" s="5"/>
      <c r="R14" s="5"/>
      <c r="S14" s="5"/>
      <c r="T14" s="5"/>
      <c r="U14" s="5"/>
    </row>
    <row r="15" spans="1:21" ht="30" customHeight="1" x14ac:dyDescent="0.25">
      <c r="A15" s="15" t="s">
        <v>305</v>
      </c>
      <c r="B15" s="5"/>
      <c r="C15" s="5"/>
      <c r="D15" s="5"/>
      <c r="E15" s="69" t="s">
        <v>227</v>
      </c>
      <c r="F15" s="81">
        <v>-158736</v>
      </c>
      <c r="G15" s="81">
        <v>-187568</v>
      </c>
      <c r="H15" s="81">
        <v>-227698</v>
      </c>
      <c r="I15" s="81">
        <v>-274434</v>
      </c>
      <c r="J15" s="81">
        <v>-337914</v>
      </c>
      <c r="K15" s="81">
        <v>-414133</v>
      </c>
      <c r="L15" s="81">
        <v>-1012403</v>
      </c>
      <c r="M15" s="81">
        <v>-1148827</v>
      </c>
      <c r="N15" s="81">
        <v>-1292310</v>
      </c>
      <c r="O15" s="345">
        <v>-1473350</v>
      </c>
      <c r="P15" s="41"/>
      <c r="Q15" s="5"/>
      <c r="R15" s="5"/>
      <c r="S15" s="5"/>
      <c r="T15" s="5"/>
      <c r="U15" s="5"/>
    </row>
    <row r="16" spans="1:21" ht="30" customHeight="1" x14ac:dyDescent="0.25">
      <c r="A16" s="21" t="s">
        <v>358</v>
      </c>
      <c r="B16" s="5"/>
      <c r="C16" s="5"/>
      <c r="D16" s="5"/>
      <c r="E16" s="69" t="s">
        <v>264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1">
        <v>0</v>
      </c>
      <c r="L16" s="81">
        <v>-212629</v>
      </c>
      <c r="M16" s="81">
        <v>-249136</v>
      </c>
      <c r="N16" s="81">
        <v>-307876</v>
      </c>
      <c r="O16" s="345">
        <v>-412483</v>
      </c>
      <c r="P16" s="41"/>
      <c r="Q16" s="5"/>
      <c r="R16" s="5"/>
      <c r="S16" s="5"/>
      <c r="T16" s="5"/>
      <c r="U16" s="5"/>
    </row>
    <row r="17" spans="1:21" ht="30" customHeight="1" x14ac:dyDescent="0.25">
      <c r="A17" s="21" t="s">
        <v>314</v>
      </c>
      <c r="B17" s="5"/>
      <c r="C17" s="5"/>
      <c r="D17" s="5"/>
      <c r="E17" s="69" t="s">
        <v>228</v>
      </c>
      <c r="F17" s="81">
        <v>-487451</v>
      </c>
      <c r="G17" s="81">
        <v>-584091</v>
      </c>
      <c r="H17" s="81">
        <v>-730654</v>
      </c>
      <c r="I17" s="81">
        <v>-935722</v>
      </c>
      <c r="J17" s="81">
        <v>-478099</v>
      </c>
      <c r="K17" s="81">
        <v>-548479</v>
      </c>
      <c r="L17" s="81">
        <v>-417625</v>
      </c>
      <c r="M17" s="81">
        <v>-583334</v>
      </c>
      <c r="N17" s="81">
        <v>-720876</v>
      </c>
      <c r="O17" s="345">
        <v>-876297</v>
      </c>
      <c r="P17" s="41"/>
      <c r="Q17" s="5"/>
      <c r="R17" s="5"/>
      <c r="S17" s="5"/>
      <c r="T17" s="5"/>
      <c r="U17" s="5"/>
    </row>
    <row r="18" spans="1:21" ht="30" customHeight="1" x14ac:dyDescent="0.25">
      <c r="A18" s="15"/>
      <c r="B18" s="5"/>
      <c r="C18" s="5"/>
      <c r="D18" s="5"/>
      <c r="E18" s="69" t="s">
        <v>229</v>
      </c>
      <c r="F18" s="81">
        <v>-47066</v>
      </c>
      <c r="G18" s="81">
        <v>-9473</v>
      </c>
      <c r="H18" s="81">
        <v>-8818</v>
      </c>
      <c r="I18" s="81">
        <v>-7677</v>
      </c>
      <c r="J18" s="81">
        <v>212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41"/>
      <c r="Q18" s="5"/>
      <c r="R18" s="5"/>
      <c r="S18" s="5"/>
      <c r="T18" s="5"/>
      <c r="U18" s="5"/>
    </row>
    <row r="19" spans="1:21" ht="30" customHeight="1" x14ac:dyDescent="0.25">
      <c r="A19" s="12"/>
      <c r="B19" s="5"/>
      <c r="C19" s="5"/>
      <c r="D19" s="5"/>
      <c r="E19" s="69" t="s">
        <v>249</v>
      </c>
      <c r="F19" s="81">
        <v>0</v>
      </c>
      <c r="G19" s="81">
        <v>0</v>
      </c>
      <c r="H19" s="81">
        <v>0</v>
      </c>
      <c r="I19" s="81">
        <v>0</v>
      </c>
      <c r="J19" s="81">
        <v>0</v>
      </c>
      <c r="K19" s="81">
        <v>-13913</v>
      </c>
      <c r="L19" s="81">
        <v>-15320</v>
      </c>
      <c r="M19" s="81">
        <v>-20437</v>
      </c>
      <c r="N19" s="81">
        <v>70</v>
      </c>
      <c r="O19" s="81">
        <v>0</v>
      </c>
      <c r="P19" s="41"/>
      <c r="Q19" s="5"/>
      <c r="R19" s="5"/>
      <c r="S19" s="5"/>
      <c r="T19" s="5"/>
      <c r="U19" s="5"/>
    </row>
    <row r="20" spans="1:21" ht="30" customHeight="1" x14ac:dyDescent="0.25">
      <c r="A20" s="15"/>
      <c r="B20" s="5"/>
      <c r="C20" s="5"/>
      <c r="D20" s="5"/>
      <c r="E20" s="69" t="s">
        <v>250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10698</v>
      </c>
      <c r="L20" s="81">
        <v>8193</v>
      </c>
      <c r="M20" s="81">
        <v>5417</v>
      </c>
      <c r="N20" s="81">
        <v>2238</v>
      </c>
      <c r="O20" s="81">
        <v>0</v>
      </c>
      <c r="P20" s="41"/>
      <c r="Q20" s="5"/>
      <c r="R20" s="5"/>
      <c r="S20" s="5"/>
      <c r="T20" s="5"/>
      <c r="U20" s="5"/>
    </row>
    <row r="21" spans="1:21" ht="30" customHeight="1" x14ac:dyDescent="0.25">
      <c r="A21" s="15"/>
      <c r="B21" s="5"/>
      <c r="C21" s="5"/>
      <c r="D21" s="5"/>
      <c r="E21" s="69" t="s">
        <v>252</v>
      </c>
      <c r="F21" s="81">
        <v>0</v>
      </c>
      <c r="G21" s="81">
        <v>0</v>
      </c>
      <c r="H21" s="81">
        <v>0</v>
      </c>
      <c r="I21" s="81">
        <v>0</v>
      </c>
      <c r="J21" s="81">
        <v>0</v>
      </c>
      <c r="K21" s="81">
        <v>0</v>
      </c>
      <c r="L21" s="81">
        <v>-12767</v>
      </c>
      <c r="M21" s="81">
        <v>0</v>
      </c>
      <c r="N21" s="81">
        <v>0</v>
      </c>
      <c r="O21" s="81">
        <v>0</v>
      </c>
      <c r="P21" s="41"/>
      <c r="Q21" s="5"/>
      <c r="R21" s="5"/>
      <c r="S21" s="5"/>
      <c r="T21" s="5"/>
      <c r="U21" s="5"/>
    </row>
    <row r="22" spans="1:21" ht="30" customHeight="1" x14ac:dyDescent="0.25">
      <c r="A22" s="15"/>
      <c r="B22" s="5"/>
      <c r="C22" s="5"/>
      <c r="D22" s="5"/>
      <c r="E22" s="69" t="s">
        <v>251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-1530</v>
      </c>
      <c r="L22" s="81">
        <v>-16922</v>
      </c>
      <c r="M22" s="81">
        <v>-3750</v>
      </c>
      <c r="N22" s="81">
        <v>-23391</v>
      </c>
      <c r="O22" s="345">
        <v>-28345</v>
      </c>
      <c r="P22" s="41"/>
      <c r="Q22" s="5"/>
      <c r="R22" s="5"/>
      <c r="S22" s="5"/>
      <c r="T22" s="5"/>
      <c r="U22" s="5"/>
    </row>
    <row r="23" spans="1:21" ht="30" customHeight="1" x14ac:dyDescent="0.25">
      <c r="A23" s="15"/>
      <c r="B23" s="5"/>
      <c r="C23" s="5"/>
      <c r="D23" s="5"/>
      <c r="E23" s="69" t="s">
        <v>253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K23" s="81">
        <v>-7596</v>
      </c>
      <c r="L23" s="81">
        <v>-16145</v>
      </c>
      <c r="M23" s="81">
        <v>732</v>
      </c>
      <c r="N23" s="81">
        <v>0</v>
      </c>
      <c r="O23" s="81">
        <v>0</v>
      </c>
      <c r="P23" s="41"/>
      <c r="Q23" s="5"/>
      <c r="R23" s="5"/>
      <c r="S23" s="5"/>
      <c r="T23" s="5"/>
      <c r="U23" s="5"/>
    </row>
    <row r="24" spans="1:21" ht="30" customHeight="1" x14ac:dyDescent="0.25">
      <c r="A24" s="15"/>
      <c r="B24" s="5"/>
      <c r="C24" s="5"/>
      <c r="D24" s="5"/>
      <c r="E24" s="69" t="s">
        <v>254</v>
      </c>
      <c r="F24" s="81">
        <v>0</v>
      </c>
      <c r="G24" s="81">
        <v>0</v>
      </c>
      <c r="H24" s="81">
        <v>0</v>
      </c>
      <c r="I24" s="81">
        <v>0</v>
      </c>
      <c r="J24" s="81">
        <v>0</v>
      </c>
      <c r="K24" s="81">
        <v>0</v>
      </c>
      <c r="L24" s="81">
        <v>-95001</v>
      </c>
      <c r="M24" s="81">
        <v>0</v>
      </c>
      <c r="N24" s="81">
        <v>0</v>
      </c>
      <c r="O24" s="81">
        <v>0</v>
      </c>
      <c r="P24" s="41"/>
      <c r="Q24" s="5"/>
      <c r="R24" s="5"/>
      <c r="S24" s="5"/>
      <c r="T24" s="5"/>
      <c r="U24" s="5"/>
    </row>
    <row r="25" spans="1:21" ht="30" customHeight="1" x14ac:dyDescent="0.25">
      <c r="A25" s="15"/>
      <c r="B25" s="5"/>
      <c r="C25" s="5"/>
      <c r="D25" s="5"/>
      <c r="E25" s="69" t="s">
        <v>255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>
        <v>4625</v>
      </c>
      <c r="M25" s="81">
        <v>31059</v>
      </c>
      <c r="N25" s="81">
        <v>1142</v>
      </c>
      <c r="O25" s="81">
        <v>0</v>
      </c>
      <c r="P25" s="41"/>
      <c r="Q25" s="5"/>
      <c r="R25" s="5"/>
      <c r="S25" s="5"/>
      <c r="T25" s="5"/>
      <c r="U25" s="5"/>
    </row>
    <row r="26" spans="1:21" ht="30" customHeight="1" x14ac:dyDescent="0.25">
      <c r="A26" s="15"/>
      <c r="B26" s="5"/>
      <c r="C26" s="5"/>
      <c r="D26" s="5"/>
      <c r="E26" s="69" t="s">
        <v>256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355263</v>
      </c>
      <c r="M26" s="81">
        <v>0</v>
      </c>
      <c r="N26" s="81">
        <v>0</v>
      </c>
      <c r="O26" s="81">
        <v>0</v>
      </c>
      <c r="P26" s="41"/>
      <c r="Q26" s="5"/>
      <c r="R26" s="5"/>
      <c r="S26" s="5"/>
      <c r="T26" s="5"/>
      <c r="U26" s="5"/>
    </row>
    <row r="27" spans="1:21" ht="30" customHeight="1" x14ac:dyDescent="0.25">
      <c r="A27" s="15"/>
      <c r="B27" s="5"/>
      <c r="C27" s="5"/>
      <c r="D27" s="5"/>
      <c r="E27" s="69" t="s">
        <v>276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3410</v>
      </c>
      <c r="O27" s="81">
        <v>0</v>
      </c>
      <c r="P27" s="41"/>
      <c r="Q27" s="5"/>
      <c r="R27" s="5"/>
      <c r="S27" s="5"/>
      <c r="T27" s="5"/>
      <c r="U27" s="5"/>
    </row>
    <row r="28" spans="1:21" ht="30" customHeight="1" x14ac:dyDescent="0.25">
      <c r="A28" s="15"/>
      <c r="B28" s="5"/>
      <c r="C28" s="5"/>
      <c r="D28" s="5"/>
      <c r="E28" s="69" t="s">
        <v>277</v>
      </c>
      <c r="F28" s="81">
        <v>0</v>
      </c>
      <c r="G28" s="81">
        <v>0</v>
      </c>
      <c r="H28" s="81">
        <v>0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13706</v>
      </c>
      <c r="O28" s="345">
        <v>10210</v>
      </c>
      <c r="P28" s="41"/>
      <c r="Q28" s="5"/>
      <c r="R28" s="5"/>
      <c r="S28" s="5"/>
      <c r="T28" s="5"/>
      <c r="U28" s="5"/>
    </row>
    <row r="29" spans="1:21" ht="30" customHeight="1" x14ac:dyDescent="0.25">
      <c r="A29" s="15"/>
      <c r="B29" s="5"/>
      <c r="C29" s="5"/>
      <c r="D29" s="5"/>
      <c r="E29" s="69" t="s">
        <v>348</v>
      </c>
      <c r="F29" s="81">
        <v>0</v>
      </c>
      <c r="G29" s="81">
        <v>0</v>
      </c>
      <c r="H29" s="81">
        <v>0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58044</v>
      </c>
      <c r="O29" s="345">
        <v>15943</v>
      </c>
      <c r="P29" s="41"/>
      <c r="Q29" s="5"/>
      <c r="R29" s="5"/>
      <c r="S29" s="5"/>
      <c r="T29" s="5"/>
      <c r="U29" s="5"/>
    </row>
    <row r="30" spans="1:21" ht="30" customHeight="1" x14ac:dyDescent="0.25">
      <c r="A30" s="15"/>
      <c r="B30" s="5"/>
      <c r="C30" s="5"/>
      <c r="D30" s="5"/>
      <c r="E30" s="69" t="s">
        <v>257</v>
      </c>
      <c r="F30" s="81">
        <v>0</v>
      </c>
      <c r="G30" s="81">
        <v>0</v>
      </c>
      <c r="H30" s="81">
        <v>0</v>
      </c>
      <c r="I30" s="81">
        <v>0</v>
      </c>
      <c r="J30" s="81">
        <v>0</v>
      </c>
      <c r="K30" s="81">
        <v>-47207</v>
      </c>
      <c r="L30" s="81">
        <v>-3655</v>
      </c>
      <c r="M30" s="81">
        <v>1964</v>
      </c>
      <c r="N30" s="81">
        <v>811</v>
      </c>
      <c r="O30" s="81">
        <v>0</v>
      </c>
      <c r="P30" s="41"/>
      <c r="Q30" s="5"/>
      <c r="R30" s="5"/>
      <c r="S30" s="5"/>
      <c r="T30" s="5"/>
      <c r="U30" s="5"/>
    </row>
    <row r="31" spans="1:21" ht="30" customHeight="1" x14ac:dyDescent="0.25">
      <c r="A31" s="15"/>
      <c r="B31" s="5"/>
      <c r="C31" s="5"/>
      <c r="D31" s="5"/>
      <c r="E31" s="69" t="s">
        <v>266</v>
      </c>
      <c r="F31" s="81">
        <v>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1788</v>
      </c>
      <c r="N31" s="81">
        <v>0</v>
      </c>
      <c r="O31" s="81">
        <v>0</v>
      </c>
      <c r="P31" s="41"/>
      <c r="Q31" s="5"/>
      <c r="R31" s="5"/>
      <c r="S31" s="5"/>
      <c r="T31" s="5"/>
      <c r="U31" s="5"/>
    </row>
    <row r="32" spans="1:21" ht="30" customHeight="1" x14ac:dyDescent="0.25">
      <c r="A32" s="15"/>
      <c r="B32" s="5"/>
      <c r="C32" s="5"/>
      <c r="D32" s="5"/>
      <c r="E32" s="69" t="s">
        <v>267</v>
      </c>
      <c r="F32" s="81">
        <v>0</v>
      </c>
      <c r="G32" s="81">
        <v>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1092</v>
      </c>
      <c r="N32" s="81">
        <v>0</v>
      </c>
      <c r="O32" s="81">
        <v>0</v>
      </c>
      <c r="P32" s="41"/>
      <c r="Q32" s="5"/>
      <c r="R32" s="5"/>
      <c r="S32" s="5"/>
      <c r="T32" s="5"/>
      <c r="U32" s="5"/>
    </row>
    <row r="33" spans="1:21" ht="30" customHeight="1" x14ac:dyDescent="0.25">
      <c r="A33" s="15"/>
      <c r="B33" s="5"/>
      <c r="C33" s="5"/>
      <c r="D33" s="5"/>
      <c r="E33" s="69" t="s">
        <v>268</v>
      </c>
      <c r="F33" s="81">
        <v>0</v>
      </c>
      <c r="G33" s="81">
        <v>0</v>
      </c>
      <c r="H33" s="81">
        <v>0</v>
      </c>
      <c r="I33" s="81">
        <v>0</v>
      </c>
      <c r="J33" s="81">
        <v>0</v>
      </c>
      <c r="K33" s="81">
        <v>0</v>
      </c>
      <c r="L33" s="81">
        <v>0</v>
      </c>
      <c r="M33" s="81">
        <v>231</v>
      </c>
      <c r="N33" s="81">
        <v>0</v>
      </c>
      <c r="O33" s="81">
        <v>0</v>
      </c>
      <c r="P33" s="41"/>
      <c r="Q33" s="5"/>
      <c r="R33" s="5"/>
      <c r="S33" s="5"/>
      <c r="T33" s="5"/>
      <c r="U33" s="5"/>
    </row>
    <row r="34" spans="1:21" ht="30" customHeight="1" x14ac:dyDescent="0.25">
      <c r="A34" s="15"/>
      <c r="B34" s="5"/>
      <c r="C34" s="5"/>
      <c r="D34" s="5"/>
      <c r="E34" s="69" t="s">
        <v>269</v>
      </c>
      <c r="F34" s="81">
        <v>0</v>
      </c>
      <c r="G34" s="81">
        <v>0</v>
      </c>
      <c r="H34" s="81">
        <v>0</v>
      </c>
      <c r="I34" s="81">
        <v>0</v>
      </c>
      <c r="J34" s="81">
        <v>0</v>
      </c>
      <c r="K34" s="81">
        <v>0</v>
      </c>
      <c r="L34" s="81">
        <v>0</v>
      </c>
      <c r="M34" s="81">
        <v>-558</v>
      </c>
      <c r="N34" s="81">
        <v>0</v>
      </c>
      <c r="O34" s="81">
        <v>0</v>
      </c>
      <c r="P34" s="41"/>
      <c r="Q34" s="5"/>
      <c r="R34" s="5"/>
      <c r="S34" s="5"/>
      <c r="T34" s="5"/>
      <c r="U34" s="5"/>
    </row>
    <row r="35" spans="1:21" ht="30" customHeight="1" x14ac:dyDescent="0.25">
      <c r="A35" s="15"/>
      <c r="B35" s="5"/>
      <c r="C35" s="5"/>
      <c r="D35" s="5"/>
      <c r="E35" s="69" t="s">
        <v>270</v>
      </c>
      <c r="F35" s="81">
        <v>0</v>
      </c>
      <c r="G35" s="81">
        <v>0</v>
      </c>
      <c r="H35" s="81">
        <v>0</v>
      </c>
      <c r="I35" s="81">
        <v>0</v>
      </c>
      <c r="J35" s="81">
        <v>0</v>
      </c>
      <c r="K35" s="81">
        <v>0</v>
      </c>
      <c r="L35" s="81">
        <v>0</v>
      </c>
      <c r="M35" s="81">
        <v>-2000</v>
      </c>
      <c r="N35" s="81">
        <v>548</v>
      </c>
      <c r="O35" s="81">
        <v>0</v>
      </c>
      <c r="P35" s="41"/>
      <c r="Q35" s="5"/>
      <c r="R35" s="5"/>
      <c r="S35" s="5"/>
      <c r="T35" s="5"/>
      <c r="U35" s="5"/>
    </row>
    <row r="36" spans="1:21" ht="30" customHeight="1" x14ac:dyDescent="0.25">
      <c r="A36" s="15"/>
      <c r="B36" s="5"/>
      <c r="C36" s="5"/>
      <c r="D36" s="5"/>
      <c r="E36" s="69" t="s">
        <v>271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K36" s="81">
        <v>0</v>
      </c>
      <c r="L36" s="81">
        <v>0</v>
      </c>
      <c r="M36" s="81">
        <v>-2026</v>
      </c>
      <c r="N36" s="81">
        <v>-21</v>
      </c>
      <c r="O36" s="81">
        <v>0</v>
      </c>
      <c r="P36" s="41"/>
      <c r="Q36" s="5"/>
      <c r="R36" s="5"/>
      <c r="S36" s="5"/>
      <c r="T36" s="5"/>
      <c r="U36" s="5"/>
    </row>
    <row r="37" spans="1:21" ht="30" customHeight="1" x14ac:dyDescent="0.25">
      <c r="A37" s="15"/>
      <c r="B37" s="5"/>
      <c r="C37" s="5"/>
      <c r="D37" s="5"/>
      <c r="E37" s="69" t="s">
        <v>272</v>
      </c>
      <c r="F37" s="81">
        <v>0</v>
      </c>
      <c r="G37" s="81">
        <v>0</v>
      </c>
      <c r="H37" s="81">
        <v>0</v>
      </c>
      <c r="I37" s="81">
        <v>0</v>
      </c>
      <c r="J37" s="81">
        <v>0</v>
      </c>
      <c r="K37" s="81">
        <v>0</v>
      </c>
      <c r="L37" s="81">
        <v>0</v>
      </c>
      <c r="M37" s="81">
        <v>-4347</v>
      </c>
      <c r="N37" s="81">
        <v>0</v>
      </c>
      <c r="O37" s="81">
        <v>0</v>
      </c>
      <c r="P37" s="41"/>
      <c r="Q37" s="5"/>
      <c r="R37" s="5"/>
      <c r="S37" s="5"/>
      <c r="T37" s="5"/>
      <c r="U37" s="5"/>
    </row>
    <row r="38" spans="1:21" ht="30" customHeight="1" x14ac:dyDescent="0.25">
      <c r="A38" s="15"/>
      <c r="B38" s="5"/>
      <c r="C38" s="5"/>
      <c r="D38" s="5"/>
      <c r="E38" s="69" t="s">
        <v>273</v>
      </c>
      <c r="F38" s="81">
        <v>0</v>
      </c>
      <c r="G38" s="81">
        <v>0</v>
      </c>
      <c r="H38" s="81">
        <v>0</v>
      </c>
      <c r="I38" s="81">
        <v>0</v>
      </c>
      <c r="J38" s="81">
        <v>0</v>
      </c>
      <c r="K38" s="81">
        <v>0</v>
      </c>
      <c r="L38" s="81">
        <v>0</v>
      </c>
      <c r="M38" s="81">
        <v>-11422</v>
      </c>
      <c r="N38" s="81">
        <v>0</v>
      </c>
      <c r="O38" s="81">
        <v>0</v>
      </c>
      <c r="P38" s="41"/>
      <c r="Q38" s="5"/>
      <c r="R38" s="5"/>
      <c r="S38" s="5"/>
      <c r="T38" s="5"/>
      <c r="U38" s="5"/>
    </row>
    <row r="39" spans="1:21" ht="30" customHeight="1" x14ac:dyDescent="0.25">
      <c r="A39" s="15"/>
      <c r="B39" s="5"/>
      <c r="C39" s="5"/>
      <c r="D39" s="5"/>
      <c r="E39" s="69" t="s">
        <v>378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345">
        <v>24115</v>
      </c>
      <c r="P39" s="41"/>
      <c r="Q39" s="5"/>
      <c r="R39" s="5"/>
      <c r="S39" s="5"/>
      <c r="T39" s="5"/>
      <c r="U39" s="5"/>
    </row>
    <row r="40" spans="1:21" ht="30" customHeight="1" x14ac:dyDescent="0.25">
      <c r="A40" s="15"/>
      <c r="B40" s="5"/>
      <c r="C40" s="5"/>
      <c r="D40" s="5"/>
      <c r="E40" s="69" t="s">
        <v>372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345">
        <v>64129</v>
      </c>
      <c r="P40" s="41"/>
      <c r="Q40" s="5"/>
      <c r="R40" s="5"/>
      <c r="S40" s="5"/>
      <c r="T40" s="5"/>
      <c r="U40" s="5"/>
    </row>
    <row r="41" spans="1:21" ht="30" customHeight="1" x14ac:dyDescent="0.25">
      <c r="A41" s="15"/>
      <c r="B41" s="5"/>
      <c r="C41" s="5"/>
      <c r="D41" s="5"/>
      <c r="E41" s="69" t="s">
        <v>370</v>
      </c>
      <c r="F41" s="81">
        <v>0</v>
      </c>
      <c r="G41" s="81">
        <v>0</v>
      </c>
      <c r="H41" s="81">
        <v>0</v>
      </c>
      <c r="I41" s="81">
        <v>0</v>
      </c>
      <c r="J41" s="81">
        <v>0</v>
      </c>
      <c r="K41" s="81">
        <v>0</v>
      </c>
      <c r="L41" s="81">
        <v>0</v>
      </c>
      <c r="M41" s="81">
        <v>0</v>
      </c>
      <c r="N41" s="81">
        <v>0</v>
      </c>
      <c r="O41" s="345">
        <v>-7762</v>
      </c>
      <c r="P41" s="41"/>
      <c r="Q41" s="5"/>
      <c r="R41" s="5"/>
      <c r="S41" s="5"/>
      <c r="T41" s="5"/>
      <c r="U41" s="5"/>
    </row>
    <row r="42" spans="1:21" ht="30" customHeight="1" x14ac:dyDescent="0.25">
      <c r="A42" s="15"/>
      <c r="B42" s="5"/>
      <c r="C42" s="5"/>
      <c r="D42" s="5"/>
      <c r="E42" s="69" t="s">
        <v>274</v>
      </c>
      <c r="F42" s="81">
        <v>0</v>
      </c>
      <c r="G42" s="81">
        <v>0</v>
      </c>
      <c r="H42" s="81">
        <v>0</v>
      </c>
      <c r="I42" s="81">
        <v>0</v>
      </c>
      <c r="J42" s="81">
        <v>0</v>
      </c>
      <c r="K42" s="81">
        <v>0</v>
      </c>
      <c r="L42" s="81">
        <v>0</v>
      </c>
      <c r="M42" s="81">
        <v>-29282</v>
      </c>
      <c r="N42" s="81">
        <v>-15903</v>
      </c>
      <c r="O42" s="345">
        <v>-884</v>
      </c>
      <c r="P42" s="41"/>
      <c r="Q42" s="5"/>
      <c r="R42" s="5"/>
      <c r="S42" s="5"/>
      <c r="T42" s="5"/>
      <c r="U42" s="5"/>
    </row>
    <row r="43" spans="1:21" ht="30" customHeight="1" thickBot="1" x14ac:dyDescent="0.3">
      <c r="A43" s="15"/>
      <c r="B43" s="5"/>
      <c r="C43" s="5"/>
      <c r="D43" s="5"/>
      <c r="E43" s="266" t="s">
        <v>208</v>
      </c>
      <c r="F43" s="267">
        <f>SUM(F10:F42)</f>
        <v>-6083085</v>
      </c>
      <c r="G43" s="267">
        <f t="shared" ref="G43:M43" si="1">SUM(G10:G42)</f>
        <v>-7082443</v>
      </c>
      <c r="H43" s="267">
        <f t="shared" si="1"/>
        <v>-8396986</v>
      </c>
      <c r="I43" s="267">
        <f t="shared" si="1"/>
        <v>-10551027</v>
      </c>
      <c r="J43" s="267">
        <f t="shared" si="1"/>
        <v>-12419921</v>
      </c>
      <c r="K43" s="267">
        <f t="shared" si="1"/>
        <v>-14079935</v>
      </c>
      <c r="L43" s="267">
        <f t="shared" si="1"/>
        <v>-16447131</v>
      </c>
      <c r="M43" s="267">
        <f t="shared" si="1"/>
        <v>-19142989</v>
      </c>
      <c r="N43" s="362">
        <f t="shared" ref="N43:O43" si="2">SUM(N10:N42)</f>
        <v>-22759403</v>
      </c>
      <c r="O43" s="363">
        <f t="shared" si="2"/>
        <v>-27236345</v>
      </c>
      <c r="P43" s="41"/>
      <c r="Q43" s="5"/>
      <c r="R43" s="5"/>
      <c r="S43" s="5"/>
      <c r="T43" s="5"/>
      <c r="U43" s="5"/>
    </row>
    <row r="44" spans="1:21" ht="30" customHeight="1" x14ac:dyDescent="0.25">
      <c r="A44" s="15"/>
      <c r="B44" s="5"/>
      <c r="C44" s="5"/>
      <c r="D44" s="5"/>
      <c r="E44" s="1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5"/>
      <c r="Q44" s="5"/>
      <c r="R44" s="5"/>
      <c r="S44" s="5"/>
      <c r="T44" s="5"/>
      <c r="U44" s="5"/>
    </row>
    <row r="45" spans="1:21" ht="30" customHeight="1" x14ac:dyDescent="0.25">
      <c r="A45" s="15"/>
      <c r="B45" s="5"/>
      <c r="C45" s="5"/>
      <c r="D45" s="5"/>
      <c r="E45" s="54"/>
      <c r="P45" s="140"/>
      <c r="Q45" s="5"/>
      <c r="R45" s="5"/>
      <c r="S45" s="5"/>
      <c r="T45" s="5"/>
      <c r="U45" s="5"/>
    </row>
    <row r="46" spans="1:21" ht="30" customHeight="1" x14ac:dyDescent="0.25">
      <c r="A46" s="15"/>
      <c r="B46" s="5"/>
      <c r="C46" s="5"/>
      <c r="D46" s="5"/>
      <c r="E46" s="69"/>
      <c r="F46" s="35">
        <f t="shared" ref="F46:H46" si="3">G46-1</f>
        <v>2013</v>
      </c>
      <c r="G46" s="35">
        <f t="shared" si="3"/>
        <v>2014</v>
      </c>
      <c r="H46" s="35">
        <f t="shared" si="3"/>
        <v>2015</v>
      </c>
      <c r="I46" s="35">
        <f>J46-1</f>
        <v>2016</v>
      </c>
      <c r="J46" s="35">
        <v>2017</v>
      </c>
      <c r="K46" s="35">
        <v>2018</v>
      </c>
      <c r="L46" s="35">
        <v>2019</v>
      </c>
      <c r="M46" s="35">
        <v>2020</v>
      </c>
      <c r="N46" s="35">
        <v>2021</v>
      </c>
      <c r="O46" s="361">
        <v>2022</v>
      </c>
      <c r="P46" s="41"/>
      <c r="Q46" s="5"/>
      <c r="R46" s="5"/>
      <c r="S46" s="5"/>
      <c r="T46" s="5"/>
      <c r="U46" s="5"/>
    </row>
    <row r="47" spans="1:21" ht="30" customHeight="1" x14ac:dyDescent="0.25">
      <c r="A47" s="15"/>
      <c r="B47" s="5"/>
      <c r="C47" s="5"/>
      <c r="D47" s="5"/>
      <c r="E47" s="77" t="s">
        <v>41</v>
      </c>
      <c r="F47" s="88">
        <f>'DRE + DCF'!F18</f>
        <v>1720176</v>
      </c>
      <c r="G47" s="88">
        <f>'DRE + DCF'!G18</f>
        <v>2110192</v>
      </c>
      <c r="H47" s="88">
        <f>'DRE + DCF'!H18</f>
        <v>2714560</v>
      </c>
      <c r="I47" s="88">
        <f>'DRE + DCF'!I18</f>
        <v>3504143</v>
      </c>
      <c r="J47" s="88">
        <f>'DRE + DCF'!J18</f>
        <v>3988000</v>
      </c>
      <c r="K47" s="88">
        <f>'DRE + DCF'!K18</f>
        <v>4445522</v>
      </c>
      <c r="L47" s="88">
        <f>'DRE + DCF'!L18</f>
        <v>5198361</v>
      </c>
      <c r="M47" s="88">
        <f>'DRE + DCF'!M18</f>
        <v>5891132</v>
      </c>
      <c r="N47" s="88">
        <f>'DRE + DCF'!N18</f>
        <v>7206168</v>
      </c>
      <c r="O47" s="88">
        <v>8809468</v>
      </c>
      <c r="P47" s="41"/>
      <c r="Q47" s="5"/>
      <c r="R47" s="5"/>
      <c r="S47" s="5"/>
      <c r="T47" s="5"/>
      <c r="U47" s="5"/>
    </row>
    <row r="48" spans="1:21" ht="30" customHeight="1" x14ac:dyDescent="0.25">
      <c r="A48" s="15"/>
      <c r="B48" s="5"/>
      <c r="C48" s="5"/>
      <c r="D48" s="5"/>
      <c r="E48" s="69" t="s">
        <v>43</v>
      </c>
      <c r="F48" s="81">
        <f>'DRE + DCF'!F28</f>
        <v>149834</v>
      </c>
      <c r="G48" s="81">
        <f>'DRE + DCF'!G28</f>
        <v>309126</v>
      </c>
      <c r="H48" s="81">
        <f>'DRE + DCF'!H28</f>
        <v>500863</v>
      </c>
      <c r="I48" s="81">
        <f>'DRE + DCF'!I28</f>
        <v>705538</v>
      </c>
      <c r="J48" s="81">
        <f>'DRE + DCF'!J28</f>
        <v>792584</v>
      </c>
      <c r="K48" s="81">
        <f>'DRE + DCF'!K28</f>
        <v>721510</v>
      </c>
      <c r="L48" s="81">
        <f>'DRE + DCF'!L28</f>
        <v>1118469</v>
      </c>
      <c r="M48" s="81">
        <f>'DRE + DCF'!M28</f>
        <v>915984</v>
      </c>
      <c r="N48" s="81">
        <f>'DRE + DCF'!N28</f>
        <v>1366472</v>
      </c>
      <c r="O48" s="81">
        <v>1873830</v>
      </c>
      <c r="P48" s="41"/>
      <c r="Q48" s="5"/>
      <c r="R48" s="5"/>
      <c r="S48" s="5"/>
      <c r="T48" s="5"/>
      <c r="U48" s="5"/>
    </row>
    <row r="49" spans="1:21" ht="30" customHeight="1" x14ac:dyDescent="0.25">
      <c r="A49" s="15"/>
      <c r="B49" s="5"/>
      <c r="C49" s="5"/>
      <c r="D49" s="5"/>
      <c r="E49" s="234" t="s">
        <v>154</v>
      </c>
      <c r="F49" s="84">
        <f>F48/'DRE + DCF'!F15</f>
        <v>2.4039138002595575E-2</v>
      </c>
      <c r="G49" s="84">
        <f>G48/'DRE + DCF'!G15</f>
        <v>4.1821431958492167E-2</v>
      </c>
      <c r="H49" s="84">
        <f>H48/'DRE + DCF'!H15</f>
        <v>5.6290346127474182E-2</v>
      </c>
      <c r="I49" s="84">
        <f>I48/'DRE + DCF'!I15</f>
        <v>6.2677912844637779E-2</v>
      </c>
      <c r="J49" s="84">
        <f>J48/'DRE + DCF'!J15</f>
        <v>5.9987413439010998E-2</v>
      </c>
      <c r="K49" s="84">
        <f>K48/'DRE + DCF'!K15</f>
        <v>4.8745916361544434E-2</v>
      </c>
      <c r="L49" s="84">
        <f>L48/'DRE + DCF'!L15</f>
        <v>6.3673828391856813E-2</v>
      </c>
      <c r="M49" s="84">
        <f>M48/'DRE + DCF'!M15</f>
        <v>4.5646648899378278E-2</v>
      </c>
      <c r="N49" s="84">
        <f>N48/'DRE + DCF'!N15</f>
        <v>5.6636626465235922E-2</v>
      </c>
      <c r="O49" s="84">
        <f>O48/'DRE + DCF'!O15</f>
        <v>6.446504638532953E-2</v>
      </c>
      <c r="P49" s="41"/>
      <c r="Q49" s="5"/>
      <c r="R49" s="5"/>
      <c r="S49" s="5"/>
      <c r="T49" s="5"/>
      <c r="U49" s="5"/>
    </row>
    <row r="50" spans="1:21" ht="30" customHeight="1" x14ac:dyDescent="0.25">
      <c r="A50" s="15"/>
      <c r="B50" s="5"/>
      <c r="C50" s="5"/>
      <c r="D50" s="5"/>
      <c r="E50" s="69" t="s">
        <v>209</v>
      </c>
      <c r="F50" s="81">
        <f t="shared" ref="F50:M50" si="4">F13+F21+F24+F25+F31+F32+F33+F34+F35+F30+F26+F35+F36+F37+F38+F27+F28+F29+F23+F40</f>
        <v>0</v>
      </c>
      <c r="G50" s="81">
        <f t="shared" si="4"/>
        <v>0</v>
      </c>
      <c r="H50" s="81">
        <f t="shared" si="4"/>
        <v>0</v>
      </c>
      <c r="I50" s="81">
        <f t="shared" si="4"/>
        <v>0</v>
      </c>
      <c r="J50" s="81">
        <f t="shared" si="4"/>
        <v>0</v>
      </c>
      <c r="K50" s="81">
        <f t="shared" si="4"/>
        <v>-54803</v>
      </c>
      <c r="L50" s="81">
        <f t="shared" si="4"/>
        <v>232320</v>
      </c>
      <c r="M50" s="81">
        <f t="shared" si="4"/>
        <v>28317</v>
      </c>
      <c r="N50" s="81">
        <f>N13+N21+N24+N25+N31+N32+N33+N34+N35+N30+N26+N35+N36+N37+N38+N27+N28+N29+N23+N40</f>
        <v>84578</v>
      </c>
      <c r="O50" s="81">
        <v>91387</v>
      </c>
      <c r="P50" s="41"/>
      <c r="Q50" s="5"/>
      <c r="R50" s="5"/>
      <c r="S50" s="5"/>
      <c r="T50" s="5"/>
      <c r="U50" s="5"/>
    </row>
    <row r="51" spans="1:21" ht="30" customHeight="1" x14ac:dyDescent="0.25">
      <c r="A51" s="15"/>
      <c r="B51" s="5"/>
      <c r="C51" s="5"/>
      <c r="D51" s="5"/>
      <c r="E51" s="77" t="s">
        <v>210</v>
      </c>
      <c r="F51" s="88">
        <f t="shared" ref="F51:I51" si="5">F48-F50</f>
        <v>149834</v>
      </c>
      <c r="G51" s="88">
        <f t="shared" si="5"/>
        <v>309126</v>
      </c>
      <c r="H51" s="88">
        <f t="shared" si="5"/>
        <v>500863</v>
      </c>
      <c r="I51" s="88">
        <f t="shared" si="5"/>
        <v>705538</v>
      </c>
      <c r="J51" s="88">
        <f t="shared" ref="J51:M51" si="6">J48-J50</f>
        <v>792584</v>
      </c>
      <c r="K51" s="88">
        <f t="shared" si="6"/>
        <v>776313</v>
      </c>
      <c r="L51" s="88">
        <f t="shared" si="6"/>
        <v>886149</v>
      </c>
      <c r="M51" s="88">
        <f t="shared" si="6"/>
        <v>887667</v>
      </c>
      <c r="N51" s="88">
        <f t="shared" ref="N51" si="7">N48-N50</f>
        <v>1281894</v>
      </c>
      <c r="O51" s="88">
        <v>1782443</v>
      </c>
      <c r="P51" s="41"/>
      <c r="Q51" s="5"/>
      <c r="R51" s="5"/>
      <c r="S51" s="5"/>
      <c r="T51" s="5"/>
      <c r="U51" s="5"/>
    </row>
    <row r="52" spans="1:21" ht="30" customHeight="1" x14ac:dyDescent="0.25">
      <c r="A52" s="15"/>
      <c r="B52" s="5"/>
      <c r="C52" s="5"/>
      <c r="D52" s="10"/>
      <c r="E52" s="234" t="s">
        <v>211</v>
      </c>
      <c r="F52" s="84">
        <f>F51/'DRE + DCF'!F15</f>
        <v>2.4039138002595575E-2</v>
      </c>
      <c r="G52" s="84">
        <f>G51/'DRE + DCF'!G15</f>
        <v>4.1821431958492167E-2</v>
      </c>
      <c r="H52" s="84">
        <f>H51/'DRE + DCF'!H15</f>
        <v>5.6290346127474182E-2</v>
      </c>
      <c r="I52" s="84">
        <f>I51/'DRE + DCF'!I15</f>
        <v>6.2677912844637779E-2</v>
      </c>
      <c r="J52" s="84">
        <f>J51/'DRE + DCF'!J15</f>
        <v>5.9987413439010998E-2</v>
      </c>
      <c r="K52" s="84">
        <f>K51/'DRE + DCF'!K15</f>
        <v>5.244846026857513E-2</v>
      </c>
      <c r="L52" s="84">
        <f>L51/'DRE + DCF'!L15</f>
        <v>5.0447977865828664E-2</v>
      </c>
      <c r="M52" s="84">
        <f>M51/'DRE + DCF'!M15</f>
        <v>4.4235514909173539E-2</v>
      </c>
      <c r="N52" s="84">
        <f>N51/'DRE + DCF'!N15</f>
        <v>5.3131093535782027E-2</v>
      </c>
      <c r="O52" s="84">
        <f>O51/'DRE + DCF'!O15</f>
        <v>6.1321075377278586E-2</v>
      </c>
      <c r="P52" s="41"/>
      <c r="Q52" s="5"/>
      <c r="R52" s="5"/>
      <c r="S52" s="5"/>
      <c r="T52" s="5"/>
      <c r="U52" s="5"/>
    </row>
    <row r="53" spans="1:21" ht="30" customHeight="1" x14ac:dyDescent="0.25">
      <c r="A53" s="15"/>
      <c r="B53" s="5"/>
      <c r="C53" s="5"/>
      <c r="D53" s="5"/>
      <c r="E53" s="69" t="s">
        <v>296</v>
      </c>
      <c r="F53" s="81">
        <f>'Projeções - Receita'!F65</f>
        <v>0</v>
      </c>
      <c r="G53" s="81">
        <f>'Projeções - Receita'!G65</f>
        <v>0</v>
      </c>
      <c r="H53" s="81">
        <f>'Projeções - Receita'!H65</f>
        <v>0</v>
      </c>
      <c r="I53" s="81">
        <f>'Projeções - Receita'!I65</f>
        <v>0</v>
      </c>
      <c r="J53" s="81">
        <f>'Projeções - Receita'!J65</f>
        <v>0</v>
      </c>
      <c r="K53" s="81">
        <f>'Projeções - Receita'!K65</f>
        <v>64344.117647058818</v>
      </c>
      <c r="L53" s="81">
        <f>'Projeções - Receita'!L65</f>
        <v>81529.411764705874</v>
      </c>
      <c r="M53" s="81">
        <f>'Projeções - Receita'!M65</f>
        <v>125511.76470588235</v>
      </c>
      <c r="N53" s="81">
        <f>'Projeções - Receita'!N65</f>
        <v>165732.35294117645</v>
      </c>
      <c r="O53" s="81">
        <v>147596.17200850972</v>
      </c>
      <c r="P53" s="41"/>
      <c r="Q53" s="5"/>
      <c r="R53" s="5"/>
      <c r="S53" s="5"/>
      <c r="T53" s="5"/>
      <c r="U53" s="5"/>
    </row>
    <row r="54" spans="1:21" ht="30" customHeight="1" x14ac:dyDescent="0.25">
      <c r="A54" s="15"/>
      <c r="B54" s="5"/>
      <c r="C54" s="5"/>
      <c r="D54" s="5"/>
      <c r="E54" s="77" t="s">
        <v>299</v>
      </c>
      <c r="F54" s="88">
        <f t="shared" ref="F54:O54" si="8">F51-F53</f>
        <v>149834</v>
      </c>
      <c r="G54" s="88">
        <f t="shared" si="8"/>
        <v>309126</v>
      </c>
      <c r="H54" s="88">
        <f t="shared" si="8"/>
        <v>500863</v>
      </c>
      <c r="I54" s="88">
        <f t="shared" si="8"/>
        <v>705538</v>
      </c>
      <c r="J54" s="88">
        <f t="shared" si="8"/>
        <v>792584</v>
      </c>
      <c r="K54" s="88">
        <f t="shared" si="8"/>
        <v>711968.8823529412</v>
      </c>
      <c r="L54" s="88">
        <f t="shared" si="8"/>
        <v>804619.5882352941</v>
      </c>
      <c r="M54" s="88">
        <f t="shared" si="8"/>
        <v>762155.23529411759</v>
      </c>
      <c r="N54" s="88">
        <f t="shared" si="8"/>
        <v>1116161.6470588236</v>
      </c>
      <c r="O54" s="88">
        <f t="shared" si="8"/>
        <v>1634846.8279914903</v>
      </c>
      <c r="P54" s="41"/>
      <c r="Q54" s="5"/>
      <c r="R54" s="5"/>
      <c r="S54" s="5"/>
      <c r="T54" s="5"/>
      <c r="U54" s="5"/>
    </row>
    <row r="55" spans="1:21" ht="30" customHeight="1" thickBot="1" x14ac:dyDescent="0.3">
      <c r="A55" s="15"/>
      <c r="B55" s="5"/>
      <c r="C55" s="5"/>
      <c r="D55" s="10"/>
      <c r="E55" s="268" t="s">
        <v>297</v>
      </c>
      <c r="F55" s="252">
        <f>F54/'DRE + DCF'!F15</f>
        <v>2.4039138002595575E-2</v>
      </c>
      <c r="G55" s="252">
        <f>G54/'DRE + DCF'!G15</f>
        <v>4.1821431958492167E-2</v>
      </c>
      <c r="H55" s="252">
        <f>H54/'DRE + DCF'!H15</f>
        <v>5.6290346127474182E-2</v>
      </c>
      <c r="I55" s="252">
        <f>I54/'DRE + DCF'!I15</f>
        <v>6.2677912844637779E-2</v>
      </c>
      <c r="J55" s="252">
        <f>J54/'DRE + DCF'!J15</f>
        <v>5.9987413439010998E-2</v>
      </c>
      <c r="K55" s="252">
        <f>K54/'DRE + DCF'!K15</f>
        <v>4.8101309186565314E-2</v>
      </c>
      <c r="L55" s="269">
        <f>L54/'DRE + DCF'!L15</f>
        <v>4.5806553048873599E-2</v>
      </c>
      <c r="M55" s="269">
        <f>M54/'DRE + DCF'!M15</f>
        <v>3.798082983140931E-2</v>
      </c>
      <c r="N55" s="364">
        <f>N54/'DRE + DCF'!N15</f>
        <v>4.6261928732746142E-2</v>
      </c>
      <c r="O55" s="364">
        <f>O54/'DRE + DCF'!O15</f>
        <v>5.6243350036759086E-2</v>
      </c>
      <c r="P55" s="41"/>
      <c r="Q55" s="5"/>
      <c r="R55" s="5"/>
      <c r="S55" s="5"/>
      <c r="T55" s="5"/>
      <c r="U55" s="5"/>
    </row>
    <row r="56" spans="1:21" ht="30" customHeight="1" x14ac:dyDescent="0.25">
      <c r="A56" s="15"/>
      <c r="B56" s="5"/>
      <c r="C56" s="5"/>
      <c r="D56" s="5"/>
      <c r="E56" s="1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30" customHeight="1" x14ac:dyDescent="0.25">
      <c r="A57" s="15"/>
      <c r="B57" s="5"/>
      <c r="C57" s="5"/>
      <c r="D57" s="5"/>
      <c r="E57" s="54"/>
      <c r="P57" s="5"/>
      <c r="Q57" s="5"/>
      <c r="R57" s="5"/>
      <c r="S57" s="5"/>
      <c r="T57" s="5"/>
      <c r="U57" s="5"/>
    </row>
    <row r="58" spans="1:21" ht="30" customHeight="1" x14ac:dyDescent="0.25">
      <c r="A58" s="15"/>
      <c r="B58" s="5"/>
      <c r="C58" s="5"/>
      <c r="D58" s="5"/>
      <c r="E58" s="69"/>
      <c r="F58" s="35">
        <f t="shared" ref="F58:H58" si="9">G58-1</f>
        <v>2013</v>
      </c>
      <c r="G58" s="35">
        <f t="shared" si="9"/>
        <v>2014</v>
      </c>
      <c r="H58" s="35">
        <f t="shared" si="9"/>
        <v>2015</v>
      </c>
      <c r="I58" s="35">
        <f>J58-1</f>
        <v>2016</v>
      </c>
      <c r="J58" s="35">
        <v>2017</v>
      </c>
      <c r="K58" s="35">
        <v>2018</v>
      </c>
      <c r="L58" s="35">
        <v>2019</v>
      </c>
      <c r="M58" s="35">
        <v>2020</v>
      </c>
      <c r="N58" s="35">
        <v>2021</v>
      </c>
      <c r="O58" s="361">
        <v>2022</v>
      </c>
      <c r="P58" s="41"/>
      <c r="Q58" s="5"/>
      <c r="R58" s="5"/>
      <c r="S58" s="5"/>
      <c r="T58" s="5"/>
      <c r="U58" s="5"/>
    </row>
    <row r="59" spans="1:21" ht="30" customHeight="1" x14ac:dyDescent="0.25">
      <c r="A59" s="15"/>
      <c r="B59" s="5"/>
      <c r="C59" s="5"/>
      <c r="D59" s="5"/>
      <c r="E59" s="69" t="s">
        <v>230</v>
      </c>
      <c r="F59" s="81">
        <v>555</v>
      </c>
      <c r="G59" s="81">
        <v>243</v>
      </c>
      <c r="H59" s="81">
        <v>1667</v>
      </c>
      <c r="I59" s="81">
        <v>1611</v>
      </c>
      <c r="J59" s="81">
        <v>1107</v>
      </c>
      <c r="K59" s="81">
        <v>1997</v>
      </c>
      <c r="L59" s="81">
        <v>3426</v>
      </c>
      <c r="M59" s="81">
        <v>8563</v>
      </c>
      <c r="N59" s="81">
        <v>503</v>
      </c>
      <c r="O59" s="345">
        <v>8162</v>
      </c>
      <c r="P59" s="41"/>
      <c r="Q59" s="5"/>
      <c r="R59" s="5"/>
      <c r="S59" s="5"/>
      <c r="T59" s="5"/>
      <c r="U59" s="5"/>
    </row>
    <row r="60" spans="1:21" ht="30" customHeight="1" x14ac:dyDescent="0.25">
      <c r="A60" s="15"/>
      <c r="B60" s="5"/>
      <c r="C60" s="5"/>
      <c r="D60" s="5"/>
      <c r="E60" s="69" t="s">
        <v>231</v>
      </c>
      <c r="F60" s="81">
        <v>8204</v>
      </c>
      <c r="G60" s="81">
        <v>16548</v>
      </c>
      <c r="H60" s="81">
        <v>27256</v>
      </c>
      <c r="I60" s="81">
        <v>19863</v>
      </c>
      <c r="J60" s="81">
        <v>24174</v>
      </c>
      <c r="K60" s="81">
        <v>10104</v>
      </c>
      <c r="L60" s="81">
        <v>7070</v>
      </c>
      <c r="M60" s="81">
        <v>6136</v>
      </c>
      <c r="N60" s="81">
        <v>9513</v>
      </c>
      <c r="O60" s="345">
        <v>27799</v>
      </c>
      <c r="P60" s="41"/>
      <c r="Q60" s="5"/>
      <c r="R60" s="5"/>
      <c r="S60" s="5"/>
      <c r="T60" s="5"/>
      <c r="U60" s="5"/>
    </row>
    <row r="61" spans="1:21" ht="30" customHeight="1" x14ac:dyDescent="0.25">
      <c r="A61" s="15"/>
      <c r="B61" s="5"/>
      <c r="C61" s="5"/>
      <c r="D61" s="5"/>
      <c r="E61" s="69" t="s">
        <v>212</v>
      </c>
      <c r="F61" s="81">
        <v>154</v>
      </c>
      <c r="G61" s="81">
        <v>8</v>
      </c>
      <c r="H61" s="81">
        <v>0</v>
      </c>
      <c r="I61" s="81">
        <v>0</v>
      </c>
      <c r="J61" s="81">
        <v>0</v>
      </c>
      <c r="K61" s="81">
        <v>0</v>
      </c>
      <c r="L61" s="81">
        <v>0</v>
      </c>
      <c r="M61" s="81">
        <v>0</v>
      </c>
      <c r="N61" s="81">
        <v>64</v>
      </c>
      <c r="O61" s="345">
        <v>487</v>
      </c>
      <c r="P61" s="41"/>
      <c r="Q61" s="5"/>
      <c r="R61" s="5"/>
      <c r="S61" s="5"/>
      <c r="T61" s="5"/>
      <c r="U61" s="5"/>
    </row>
    <row r="62" spans="1:21" ht="30" customHeight="1" x14ac:dyDescent="0.25">
      <c r="A62" s="15"/>
      <c r="B62" s="5"/>
      <c r="C62" s="5"/>
      <c r="D62" s="5"/>
      <c r="E62" s="69" t="s">
        <v>371</v>
      </c>
      <c r="F62" s="81">
        <v>0</v>
      </c>
      <c r="G62" s="81">
        <v>0</v>
      </c>
      <c r="H62" s="81">
        <v>0</v>
      </c>
      <c r="I62" s="81">
        <v>0</v>
      </c>
      <c r="J62" s="81">
        <v>0</v>
      </c>
      <c r="K62" s="81">
        <v>0</v>
      </c>
      <c r="L62" s="81">
        <v>0</v>
      </c>
      <c r="M62" s="81">
        <v>0</v>
      </c>
      <c r="N62" s="81">
        <v>0</v>
      </c>
      <c r="O62" s="81">
        <v>0</v>
      </c>
      <c r="P62" s="41"/>
      <c r="Q62" s="5"/>
      <c r="R62" s="5"/>
      <c r="S62" s="5"/>
      <c r="T62" s="5"/>
      <c r="U62" s="5"/>
    </row>
    <row r="63" spans="1:21" ht="30" customHeight="1" x14ac:dyDescent="0.25">
      <c r="A63" s="15"/>
      <c r="B63" s="5"/>
      <c r="C63" s="5"/>
      <c r="D63" s="5"/>
      <c r="E63" s="69" t="s">
        <v>232</v>
      </c>
      <c r="F63" s="81">
        <v>945</v>
      </c>
      <c r="G63" s="81">
        <v>1542</v>
      </c>
      <c r="H63" s="81">
        <v>2294</v>
      </c>
      <c r="I63" s="81">
        <v>2642</v>
      </c>
      <c r="J63" s="81">
        <v>3308</v>
      </c>
      <c r="K63" s="81">
        <v>1061</v>
      </c>
      <c r="L63" s="81">
        <v>6222</v>
      </c>
      <c r="M63" s="81">
        <v>1356</v>
      </c>
      <c r="N63" s="81">
        <v>5218</v>
      </c>
      <c r="O63" s="345">
        <v>3986</v>
      </c>
      <c r="P63" s="41"/>
      <c r="Q63" s="5"/>
      <c r="R63" s="5"/>
      <c r="S63" s="5"/>
      <c r="T63" s="5"/>
      <c r="U63" s="5"/>
    </row>
    <row r="64" spans="1:21" ht="30" customHeight="1" x14ac:dyDescent="0.25">
      <c r="A64" s="15"/>
      <c r="B64" s="5"/>
      <c r="C64" s="5"/>
      <c r="D64" s="5"/>
      <c r="E64" s="69" t="s">
        <v>213</v>
      </c>
      <c r="F64" s="81">
        <v>5</v>
      </c>
      <c r="G64" s="81">
        <v>6</v>
      </c>
      <c r="H64" s="81">
        <v>41</v>
      </c>
      <c r="I64" s="81">
        <v>142</v>
      </c>
      <c r="J64" s="81">
        <v>306</v>
      </c>
      <c r="K64" s="81">
        <v>192</v>
      </c>
      <c r="L64" s="81">
        <v>335</v>
      </c>
      <c r="M64" s="81">
        <v>190</v>
      </c>
      <c r="N64" s="81">
        <v>379</v>
      </c>
      <c r="O64" s="345">
        <v>5065</v>
      </c>
      <c r="P64" s="41"/>
      <c r="Q64" s="5"/>
      <c r="R64" s="5"/>
      <c r="S64" s="5"/>
      <c r="T64" s="5"/>
      <c r="U64" s="5"/>
    </row>
    <row r="65" spans="1:21" ht="30" customHeight="1" x14ac:dyDescent="0.25">
      <c r="A65" s="15"/>
      <c r="B65" s="5"/>
      <c r="C65" s="5"/>
      <c r="D65" s="5"/>
      <c r="E65" s="69" t="s">
        <v>240</v>
      </c>
      <c r="F65" s="81">
        <v>0</v>
      </c>
      <c r="G65" s="81">
        <v>0</v>
      </c>
      <c r="H65" s="81">
        <v>-810</v>
      </c>
      <c r="I65" s="81">
        <v>-1188</v>
      </c>
      <c r="J65" s="81">
        <v>-1449</v>
      </c>
      <c r="K65" s="81">
        <v>-716</v>
      </c>
      <c r="L65" s="81">
        <v>-798</v>
      </c>
      <c r="M65" s="81">
        <v>-813</v>
      </c>
      <c r="N65" s="81">
        <v>0</v>
      </c>
      <c r="O65" s="81">
        <v>0</v>
      </c>
      <c r="P65" s="41"/>
      <c r="Q65" s="5"/>
      <c r="R65" s="5"/>
      <c r="S65" s="5"/>
      <c r="T65" s="5"/>
      <c r="U65" s="5"/>
    </row>
    <row r="66" spans="1:21" ht="30" customHeight="1" x14ac:dyDescent="0.25">
      <c r="A66" s="15"/>
      <c r="B66" s="5"/>
      <c r="C66" s="5"/>
      <c r="D66" s="5"/>
      <c r="E66" s="69" t="s">
        <v>241</v>
      </c>
      <c r="F66" s="81">
        <v>0</v>
      </c>
      <c r="G66" s="81">
        <v>0</v>
      </c>
      <c r="H66" s="81">
        <v>58338</v>
      </c>
      <c r="I66" s="81">
        <v>86363</v>
      </c>
      <c r="J66" s="81">
        <v>79437</v>
      </c>
      <c r="K66" s="81">
        <v>59145</v>
      </c>
      <c r="L66" s="81">
        <v>60690</v>
      </c>
      <c r="M66" s="81">
        <v>38750</v>
      </c>
      <c r="N66" s="81">
        <v>64339</v>
      </c>
      <c r="O66" s="345">
        <v>248087</v>
      </c>
      <c r="P66" s="41"/>
      <c r="Q66" s="5"/>
      <c r="R66" s="5"/>
      <c r="S66" s="5"/>
      <c r="T66" s="5"/>
      <c r="U66" s="5"/>
    </row>
    <row r="67" spans="1:21" ht="30" customHeight="1" thickBot="1" x14ac:dyDescent="0.3">
      <c r="A67" s="15"/>
      <c r="B67" s="5"/>
      <c r="C67" s="5"/>
      <c r="D67" s="10"/>
      <c r="E67" s="270" t="s">
        <v>208</v>
      </c>
      <c r="F67" s="273">
        <f t="shared" ref="F67:M67" si="10">SUM(F59:F66)</f>
        <v>9863</v>
      </c>
      <c r="G67" s="274">
        <f t="shared" si="10"/>
        <v>18347</v>
      </c>
      <c r="H67" s="275">
        <f t="shared" si="10"/>
        <v>88786</v>
      </c>
      <c r="I67" s="276">
        <f t="shared" si="10"/>
        <v>109433</v>
      </c>
      <c r="J67" s="274">
        <f t="shared" si="10"/>
        <v>106883</v>
      </c>
      <c r="K67" s="276">
        <f t="shared" si="10"/>
        <v>71783</v>
      </c>
      <c r="L67" s="274">
        <f t="shared" si="10"/>
        <v>76945</v>
      </c>
      <c r="M67" s="276">
        <f t="shared" si="10"/>
        <v>54182</v>
      </c>
      <c r="N67" s="366">
        <f t="shared" ref="N67:O67" si="11">SUM(N59:N66)</f>
        <v>80016</v>
      </c>
      <c r="O67" s="369">
        <f t="shared" si="11"/>
        <v>293586</v>
      </c>
      <c r="P67" s="41"/>
      <c r="Q67" s="5"/>
      <c r="R67" s="5"/>
      <c r="S67" s="5"/>
      <c r="T67" s="5"/>
      <c r="U67" s="5"/>
    </row>
    <row r="68" spans="1:21" ht="30" customHeight="1" x14ac:dyDescent="0.25">
      <c r="A68" s="15"/>
      <c r="B68" s="5"/>
      <c r="C68" s="5"/>
      <c r="D68" s="5"/>
      <c r="E68" s="272"/>
      <c r="F68" s="140"/>
      <c r="G68" s="140"/>
      <c r="H68" s="140"/>
      <c r="I68" s="277"/>
      <c r="J68" s="140"/>
      <c r="K68" s="277"/>
      <c r="L68" s="140"/>
      <c r="M68" s="277"/>
      <c r="N68" s="140"/>
      <c r="O68" s="140"/>
      <c r="P68" s="5"/>
      <c r="Q68" s="5"/>
      <c r="R68" s="5"/>
      <c r="S68" s="5"/>
      <c r="T68" s="5"/>
      <c r="U68" s="5"/>
    </row>
    <row r="69" spans="1:21" ht="30" customHeight="1" x14ac:dyDescent="0.25">
      <c r="A69" s="15"/>
      <c r="B69" s="5"/>
      <c r="C69" s="5"/>
      <c r="D69" s="5"/>
      <c r="E69" s="54"/>
      <c r="P69" s="5"/>
      <c r="Q69" s="5"/>
      <c r="R69" s="5"/>
      <c r="S69" s="5"/>
      <c r="T69" s="5"/>
      <c r="U69" s="5"/>
    </row>
    <row r="70" spans="1:21" ht="30" customHeight="1" x14ac:dyDescent="0.25">
      <c r="A70" s="15"/>
      <c r="B70" s="5"/>
      <c r="C70" s="5"/>
      <c r="D70" s="5"/>
      <c r="E70" s="69"/>
      <c r="F70" s="35">
        <f t="shared" ref="F70:H70" si="12">G70-1</f>
        <v>2013</v>
      </c>
      <c r="G70" s="35">
        <f t="shared" si="12"/>
        <v>2014</v>
      </c>
      <c r="H70" s="35">
        <f t="shared" si="12"/>
        <v>2015</v>
      </c>
      <c r="I70" s="35">
        <f>J70-1</f>
        <v>2016</v>
      </c>
      <c r="J70" s="35">
        <v>2017</v>
      </c>
      <c r="K70" s="35">
        <v>2018</v>
      </c>
      <c r="L70" s="35">
        <v>2019</v>
      </c>
      <c r="M70" s="35">
        <v>2020</v>
      </c>
      <c r="N70" s="35">
        <v>2021</v>
      </c>
      <c r="O70" s="361">
        <v>2022</v>
      </c>
      <c r="P70" s="41"/>
      <c r="Q70" s="5"/>
      <c r="R70" s="5"/>
      <c r="S70" s="5"/>
      <c r="T70" s="5"/>
      <c r="U70" s="5"/>
    </row>
    <row r="71" spans="1:21" ht="30" customHeight="1" x14ac:dyDescent="0.25">
      <c r="A71" s="15"/>
      <c r="B71" s="5"/>
      <c r="C71" s="5"/>
      <c r="D71" s="5"/>
      <c r="E71" s="69" t="s">
        <v>233</v>
      </c>
      <c r="F71" s="81">
        <v>-3</v>
      </c>
      <c r="G71" s="81">
        <v>-62</v>
      </c>
      <c r="H71" s="81">
        <v>-440</v>
      </c>
      <c r="I71" s="81">
        <v>-2129</v>
      </c>
      <c r="J71" s="81">
        <v>-187</v>
      </c>
      <c r="K71" s="81">
        <v>-281</v>
      </c>
      <c r="L71" s="81">
        <v>-42</v>
      </c>
      <c r="M71" s="81">
        <v>-444</v>
      </c>
      <c r="N71" s="100">
        <v>-565</v>
      </c>
      <c r="O71" s="345">
        <v>-94</v>
      </c>
      <c r="P71" s="41"/>
      <c r="Q71" s="5"/>
      <c r="R71" s="5"/>
      <c r="S71" s="5"/>
      <c r="T71" s="5"/>
      <c r="U71" s="5"/>
    </row>
    <row r="72" spans="1:21" ht="30" customHeight="1" x14ac:dyDescent="0.25">
      <c r="A72" s="15"/>
      <c r="B72" s="5"/>
      <c r="C72" s="5"/>
      <c r="D72" s="5"/>
      <c r="E72" s="69" t="s">
        <v>234</v>
      </c>
      <c r="F72" s="81">
        <v>-2182</v>
      </c>
      <c r="G72" s="81">
        <v>-935</v>
      </c>
      <c r="H72" s="81">
        <v>-1321</v>
      </c>
      <c r="I72" s="81">
        <v>-1798</v>
      </c>
      <c r="J72" s="81">
        <v>-1185</v>
      </c>
      <c r="K72" s="81">
        <v>-1246</v>
      </c>
      <c r="L72" s="81">
        <v>-2665</v>
      </c>
      <c r="M72" s="81">
        <v>-1729</v>
      </c>
      <c r="N72" s="81">
        <v>-1624</v>
      </c>
      <c r="O72" s="345">
        <v>-19699</v>
      </c>
      <c r="P72" s="41"/>
      <c r="Q72" s="5"/>
      <c r="R72" s="5"/>
      <c r="S72" s="5"/>
      <c r="T72" s="5"/>
      <c r="U72" s="5"/>
    </row>
    <row r="73" spans="1:21" ht="30" customHeight="1" x14ac:dyDescent="0.25">
      <c r="A73" s="15"/>
      <c r="B73" s="5"/>
      <c r="C73" s="5"/>
      <c r="D73" s="5"/>
      <c r="E73" s="69" t="s">
        <v>275</v>
      </c>
      <c r="F73" s="81">
        <v>0</v>
      </c>
      <c r="G73" s="81">
        <v>0</v>
      </c>
      <c r="H73" s="81">
        <v>0</v>
      </c>
      <c r="I73" s="81">
        <v>0</v>
      </c>
      <c r="J73" s="81">
        <v>-19128</v>
      </c>
      <c r="K73" s="81">
        <v>-36495</v>
      </c>
      <c r="L73" s="81">
        <v>-54191</v>
      </c>
      <c r="M73" s="81">
        <v>-38494</v>
      </c>
      <c r="N73" s="81">
        <v>-58262</v>
      </c>
      <c r="O73" s="345">
        <v>-219274</v>
      </c>
      <c r="P73" s="41"/>
      <c r="Q73" s="5"/>
      <c r="R73" s="5"/>
      <c r="S73" s="5"/>
      <c r="T73" s="5"/>
      <c r="U73" s="5"/>
    </row>
    <row r="74" spans="1:21" ht="30" customHeight="1" x14ac:dyDescent="0.25">
      <c r="A74" s="15"/>
      <c r="B74" s="5"/>
      <c r="C74" s="5"/>
      <c r="D74" s="5"/>
      <c r="E74" s="69" t="s">
        <v>247</v>
      </c>
      <c r="F74" s="81">
        <v>0</v>
      </c>
      <c r="G74" s="81">
        <v>0</v>
      </c>
      <c r="H74" s="81">
        <v>0</v>
      </c>
      <c r="I74" s="81">
        <v>0</v>
      </c>
      <c r="J74" s="81">
        <v>-247</v>
      </c>
      <c r="K74" s="81">
        <v>-582</v>
      </c>
      <c r="L74" s="81">
        <v>-1722</v>
      </c>
      <c r="M74" s="81">
        <v>-3937</v>
      </c>
      <c r="N74" s="81">
        <v>-4315</v>
      </c>
      <c r="O74" s="345">
        <v>-5194</v>
      </c>
      <c r="P74" s="41"/>
      <c r="Q74" s="5"/>
      <c r="R74" s="5"/>
      <c r="S74" s="5"/>
      <c r="T74" s="5"/>
      <c r="U74" s="5"/>
    </row>
    <row r="75" spans="1:21" ht="30" customHeight="1" x14ac:dyDescent="0.25">
      <c r="A75" s="15"/>
      <c r="B75" s="5"/>
      <c r="C75" s="5"/>
      <c r="D75" s="5"/>
      <c r="E75" s="69" t="s">
        <v>246</v>
      </c>
      <c r="F75" s="81">
        <v>-17338</v>
      </c>
      <c r="G75" s="81">
        <v>-23638</v>
      </c>
      <c r="H75" s="81">
        <v>-31624</v>
      </c>
      <c r="I75" s="81">
        <v>-42304</v>
      </c>
      <c r="J75" s="81">
        <v>-45106</v>
      </c>
      <c r="K75" s="81">
        <v>-20731</v>
      </c>
      <c r="L75" s="81">
        <v>-11434</v>
      </c>
      <c r="M75" s="81">
        <v>-20496</v>
      </c>
      <c r="N75" s="81">
        <v>-29511</v>
      </c>
      <c r="O75" s="345">
        <v>-47259</v>
      </c>
      <c r="P75" s="41"/>
      <c r="Q75" s="5"/>
      <c r="R75" s="5"/>
      <c r="S75" s="5"/>
      <c r="T75" s="5"/>
      <c r="U75" s="5"/>
    </row>
    <row r="76" spans="1:21" ht="30" customHeight="1" x14ac:dyDescent="0.25">
      <c r="A76" s="15"/>
      <c r="B76" s="5"/>
      <c r="C76" s="5"/>
      <c r="D76" s="5"/>
      <c r="E76" s="69" t="s">
        <v>258</v>
      </c>
      <c r="F76" s="81">
        <v>0</v>
      </c>
      <c r="G76" s="81">
        <v>0</v>
      </c>
      <c r="H76" s="81">
        <v>0</v>
      </c>
      <c r="I76" s="81">
        <v>0</v>
      </c>
      <c r="J76" s="81">
        <v>0</v>
      </c>
      <c r="K76" s="81">
        <v>0</v>
      </c>
      <c r="L76" s="81">
        <v>-216100</v>
      </c>
      <c r="M76" s="81">
        <v>-228020</v>
      </c>
      <c r="N76" s="81">
        <v>-223757</v>
      </c>
      <c r="O76" s="345">
        <v>-244623</v>
      </c>
      <c r="P76" s="41"/>
      <c r="Q76" s="5"/>
      <c r="R76" s="5"/>
      <c r="S76" s="5"/>
      <c r="T76" s="5"/>
      <c r="U76" s="5"/>
    </row>
    <row r="77" spans="1:21" ht="30" customHeight="1" x14ac:dyDescent="0.25">
      <c r="A77" s="15"/>
      <c r="B77" s="5"/>
      <c r="C77" s="5"/>
      <c r="D77" s="5"/>
      <c r="E77" s="69" t="s">
        <v>235</v>
      </c>
      <c r="F77" s="81">
        <v>-787</v>
      </c>
      <c r="G77" s="81">
        <v>-614</v>
      </c>
      <c r="H77" s="81">
        <v>-5266</v>
      </c>
      <c r="I77" s="81">
        <v>-5335</v>
      </c>
      <c r="J77" s="81">
        <v>-6152</v>
      </c>
      <c r="K77" s="81">
        <v>2635</v>
      </c>
      <c r="L77" s="81">
        <v>-1967</v>
      </c>
      <c r="M77" s="81">
        <v>6977</v>
      </c>
      <c r="N77" s="81">
        <v>-6233</v>
      </c>
      <c r="O77" s="345">
        <v>-9721</v>
      </c>
      <c r="P77" s="41"/>
      <c r="Q77" s="5"/>
      <c r="R77" s="5"/>
      <c r="S77" s="5"/>
      <c r="T77" s="5"/>
      <c r="U77" s="5"/>
    </row>
    <row r="78" spans="1:21" ht="30" customHeight="1" x14ac:dyDescent="0.25">
      <c r="A78" s="15"/>
      <c r="B78" s="5"/>
      <c r="C78" s="5"/>
      <c r="D78" s="5"/>
      <c r="E78" s="235" t="s">
        <v>242</v>
      </c>
      <c r="F78" s="81">
        <v>0</v>
      </c>
      <c r="G78" s="81">
        <v>0</v>
      </c>
      <c r="H78" s="81">
        <v>-1402</v>
      </c>
      <c r="I78" s="81">
        <v>-13596</v>
      </c>
      <c r="J78" s="81">
        <v>-2286</v>
      </c>
      <c r="K78" s="81">
        <v>11135</v>
      </c>
      <c r="L78" s="81">
        <v>-5733</v>
      </c>
      <c r="M78" s="81">
        <v>-4336</v>
      </c>
      <c r="N78" s="81">
        <v>-2849</v>
      </c>
      <c r="O78" s="345">
        <v>-28368</v>
      </c>
      <c r="P78" s="41"/>
      <c r="Q78" s="5"/>
      <c r="R78" s="5"/>
      <c r="S78" s="5"/>
      <c r="T78" s="5"/>
      <c r="U78" s="5"/>
    </row>
    <row r="79" spans="1:21" ht="30" customHeight="1" x14ac:dyDescent="0.25">
      <c r="A79" s="15"/>
      <c r="B79" s="5"/>
      <c r="C79" s="5"/>
      <c r="D79" s="5"/>
      <c r="E79" s="69" t="s">
        <v>243</v>
      </c>
      <c r="F79" s="81">
        <v>0</v>
      </c>
      <c r="G79" s="81">
        <v>0</v>
      </c>
      <c r="H79" s="81">
        <v>-113694</v>
      </c>
      <c r="I79" s="81">
        <v>-154593</v>
      </c>
      <c r="J79" s="81">
        <v>-138632</v>
      </c>
      <c r="K79" s="81">
        <v>-108872</v>
      </c>
      <c r="L79" s="81">
        <v>-117392</v>
      </c>
      <c r="M79" s="81">
        <v>-63319</v>
      </c>
      <c r="N79" s="81">
        <v>-132110</v>
      </c>
      <c r="O79" s="345">
        <v>-365469</v>
      </c>
      <c r="P79" s="41"/>
      <c r="Q79" s="5"/>
      <c r="R79" s="5"/>
      <c r="S79" s="5"/>
      <c r="T79" s="5"/>
      <c r="U79" s="5"/>
    </row>
    <row r="80" spans="1:21" ht="30" customHeight="1" thickBot="1" x14ac:dyDescent="0.3">
      <c r="A80" s="15"/>
      <c r="B80" s="5"/>
      <c r="C80" s="5"/>
      <c r="D80" s="5"/>
      <c r="E80" s="278" t="s">
        <v>208</v>
      </c>
      <c r="F80" s="279">
        <f t="shared" ref="F80:M80" si="13">SUM(F71:F79)</f>
        <v>-20310</v>
      </c>
      <c r="G80" s="279">
        <f t="shared" si="13"/>
        <v>-25249</v>
      </c>
      <c r="H80" s="279">
        <f t="shared" si="13"/>
        <v>-153747</v>
      </c>
      <c r="I80" s="279">
        <f t="shared" si="13"/>
        <v>-219755</v>
      </c>
      <c r="J80" s="279">
        <f t="shared" si="13"/>
        <v>-212923</v>
      </c>
      <c r="K80" s="279">
        <f t="shared" si="13"/>
        <v>-154437</v>
      </c>
      <c r="L80" s="279">
        <f t="shared" si="13"/>
        <v>-411246</v>
      </c>
      <c r="M80" s="279">
        <f t="shared" si="13"/>
        <v>-353798</v>
      </c>
      <c r="N80" s="367">
        <f t="shared" ref="N80:O80" si="14">SUM(N71:N79)</f>
        <v>-459226</v>
      </c>
      <c r="O80" s="369">
        <f t="shared" si="14"/>
        <v>-939701</v>
      </c>
      <c r="P80" s="41"/>
      <c r="Q80" s="5"/>
      <c r="R80" s="5"/>
      <c r="S80" s="5"/>
      <c r="T80" s="5"/>
      <c r="U80" s="5"/>
    </row>
    <row r="81" spans="1:21" ht="30" customHeight="1" x14ac:dyDescent="0.25">
      <c r="A81" s="15"/>
      <c r="B81" s="5"/>
      <c r="C81" s="5"/>
      <c r="D81" s="5"/>
      <c r="E81" s="1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30" customHeight="1" x14ac:dyDescent="0.25">
      <c r="A82" s="15"/>
      <c r="B82" s="5"/>
      <c r="C82" s="5"/>
      <c r="D82" s="5"/>
      <c r="E82" s="54"/>
      <c r="P82" s="5"/>
      <c r="Q82" s="5"/>
      <c r="R82" s="5"/>
      <c r="S82" s="5"/>
      <c r="T82" s="5"/>
      <c r="U82" s="5"/>
    </row>
    <row r="83" spans="1:21" ht="30" customHeight="1" x14ac:dyDescent="0.25">
      <c r="A83" s="15"/>
      <c r="B83" s="5"/>
      <c r="C83" s="5"/>
      <c r="D83" s="5"/>
      <c r="E83" s="69"/>
      <c r="F83" s="35">
        <f t="shared" ref="F83:H83" si="15">G83-1</f>
        <v>2013</v>
      </c>
      <c r="G83" s="35">
        <f t="shared" si="15"/>
        <v>2014</v>
      </c>
      <c r="H83" s="35">
        <f t="shared" si="15"/>
        <v>2015</v>
      </c>
      <c r="I83" s="35">
        <f>J83-1</f>
        <v>2016</v>
      </c>
      <c r="J83" s="35">
        <v>2017</v>
      </c>
      <c r="K83" s="35">
        <v>2018</v>
      </c>
      <c r="L83" s="35">
        <v>2019</v>
      </c>
      <c r="M83" s="35">
        <v>2020</v>
      </c>
      <c r="N83" s="35">
        <v>2021</v>
      </c>
      <c r="O83" s="361" t="s">
        <v>346</v>
      </c>
      <c r="P83" s="41"/>
      <c r="Q83" s="5"/>
      <c r="R83" s="5"/>
      <c r="S83" s="5"/>
      <c r="T83" s="5"/>
      <c r="U83" s="5"/>
    </row>
    <row r="84" spans="1:21" ht="30" customHeight="1" x14ac:dyDescent="0.25">
      <c r="A84" s="15"/>
      <c r="B84" s="5"/>
      <c r="C84" s="5"/>
      <c r="D84" s="5"/>
      <c r="E84" s="77" t="s">
        <v>156</v>
      </c>
      <c r="F84" s="88">
        <f t="shared" ref="F84:O84" si="16">F51</f>
        <v>149834</v>
      </c>
      <c r="G84" s="88">
        <f t="shared" si="16"/>
        <v>309126</v>
      </c>
      <c r="H84" s="88">
        <f t="shared" si="16"/>
        <v>500863</v>
      </c>
      <c r="I84" s="88">
        <f t="shared" si="16"/>
        <v>705538</v>
      </c>
      <c r="J84" s="88">
        <f t="shared" si="16"/>
        <v>792584</v>
      </c>
      <c r="K84" s="88">
        <f t="shared" si="16"/>
        <v>776313</v>
      </c>
      <c r="L84" s="88">
        <f t="shared" si="16"/>
        <v>886149</v>
      </c>
      <c r="M84" s="88">
        <f t="shared" si="16"/>
        <v>887667</v>
      </c>
      <c r="N84" s="88">
        <f t="shared" si="16"/>
        <v>1281894</v>
      </c>
      <c r="O84" s="88">
        <f t="shared" si="16"/>
        <v>1782443</v>
      </c>
      <c r="P84" s="365"/>
      <c r="Q84" s="5"/>
      <c r="R84" s="5"/>
      <c r="S84" s="5"/>
      <c r="T84" s="5"/>
      <c r="U84" s="5"/>
    </row>
    <row r="85" spans="1:21" ht="30" customHeight="1" x14ac:dyDescent="0.25">
      <c r="A85" s="15"/>
      <c r="B85" s="5"/>
      <c r="C85" s="5"/>
      <c r="D85" s="5"/>
      <c r="E85" s="77" t="s">
        <v>214</v>
      </c>
      <c r="F85" s="88">
        <f t="shared" ref="F85:N85" si="17">F84+F67+F80</f>
        <v>139387</v>
      </c>
      <c r="G85" s="88">
        <f t="shared" si="17"/>
        <v>302224</v>
      </c>
      <c r="H85" s="88">
        <f t="shared" si="17"/>
        <v>435902</v>
      </c>
      <c r="I85" s="88">
        <f t="shared" si="17"/>
        <v>595216</v>
      </c>
      <c r="J85" s="88">
        <f t="shared" si="17"/>
        <v>686544</v>
      </c>
      <c r="K85" s="88">
        <f t="shared" si="17"/>
        <v>693659</v>
      </c>
      <c r="L85" s="88">
        <f t="shared" si="17"/>
        <v>551848</v>
      </c>
      <c r="M85" s="88">
        <f t="shared" si="17"/>
        <v>588051</v>
      </c>
      <c r="N85" s="88">
        <f t="shared" si="17"/>
        <v>902684</v>
      </c>
      <c r="O85" s="346">
        <f t="shared" ref="O85" si="18">O84+O67+O80</f>
        <v>1136328</v>
      </c>
      <c r="P85" s="41"/>
      <c r="Q85" s="5"/>
      <c r="R85" s="5"/>
      <c r="S85" s="5"/>
      <c r="T85" s="5"/>
      <c r="U85" s="5"/>
    </row>
    <row r="86" spans="1:21" ht="30" customHeight="1" x14ac:dyDescent="0.25">
      <c r="A86" s="15"/>
      <c r="B86" s="5"/>
      <c r="C86" s="5"/>
      <c r="D86" s="5"/>
      <c r="E86" s="69" t="s">
        <v>209</v>
      </c>
      <c r="F86" s="81">
        <v>0</v>
      </c>
      <c r="G86" s="81">
        <v>0</v>
      </c>
      <c r="H86" s="81">
        <v>0</v>
      </c>
      <c r="I86" s="81">
        <v>0</v>
      </c>
      <c r="J86" s="81">
        <v>0</v>
      </c>
      <c r="K86" s="81">
        <v>0</v>
      </c>
      <c r="L86" s="81">
        <v>0</v>
      </c>
      <c r="M86" s="81">
        <v>0</v>
      </c>
      <c r="N86" s="81">
        <v>0</v>
      </c>
      <c r="O86" s="81">
        <v>0</v>
      </c>
      <c r="P86" s="41"/>
      <c r="Q86" s="5"/>
      <c r="R86" s="5"/>
      <c r="S86" s="5"/>
      <c r="T86" s="5"/>
      <c r="U86" s="5"/>
    </row>
    <row r="87" spans="1:21" ht="30" customHeight="1" x14ac:dyDescent="0.25">
      <c r="A87" s="15"/>
      <c r="B87" s="5"/>
      <c r="C87" s="5"/>
      <c r="D87" s="5"/>
      <c r="E87" s="77" t="s">
        <v>215</v>
      </c>
      <c r="F87" s="88">
        <f t="shared" ref="F87:I89" si="19">F85-F86</f>
        <v>139387</v>
      </c>
      <c r="G87" s="88">
        <f t="shared" si="19"/>
        <v>302224</v>
      </c>
      <c r="H87" s="88">
        <f t="shared" si="19"/>
        <v>435902</v>
      </c>
      <c r="I87" s="88">
        <f t="shared" si="19"/>
        <v>595216</v>
      </c>
      <c r="J87" s="88">
        <f t="shared" ref="J87:M89" si="20">J85-J86</f>
        <v>686544</v>
      </c>
      <c r="K87" s="88">
        <f t="shared" si="20"/>
        <v>693659</v>
      </c>
      <c r="L87" s="88">
        <f t="shared" si="20"/>
        <v>551848</v>
      </c>
      <c r="M87" s="88">
        <f t="shared" si="20"/>
        <v>588051</v>
      </c>
      <c r="N87" s="88">
        <f t="shared" ref="N87:O89" si="21">N85-N86</f>
        <v>902684</v>
      </c>
      <c r="O87" s="346">
        <f t="shared" si="21"/>
        <v>1136328</v>
      </c>
      <c r="P87" s="41"/>
      <c r="Q87" s="5"/>
      <c r="R87" s="5"/>
      <c r="S87" s="5"/>
      <c r="T87" s="5"/>
      <c r="U87" s="5"/>
    </row>
    <row r="88" spans="1:21" ht="30" customHeight="1" x14ac:dyDescent="0.25">
      <c r="A88" s="15"/>
      <c r="B88" s="5"/>
      <c r="C88" s="5"/>
      <c r="D88" s="5"/>
      <c r="E88" s="271" t="s">
        <v>296</v>
      </c>
      <c r="F88" s="105">
        <f t="shared" ref="F88:N88" si="22">F53</f>
        <v>0</v>
      </c>
      <c r="G88" s="105">
        <f t="shared" si="22"/>
        <v>0</v>
      </c>
      <c r="H88" s="105">
        <f t="shared" si="22"/>
        <v>0</v>
      </c>
      <c r="I88" s="105">
        <f t="shared" si="22"/>
        <v>0</v>
      </c>
      <c r="J88" s="105">
        <f t="shared" si="22"/>
        <v>0</v>
      </c>
      <c r="K88" s="105">
        <f t="shared" si="22"/>
        <v>64344.117647058818</v>
      </c>
      <c r="L88" s="105">
        <f t="shared" si="22"/>
        <v>81529.411764705874</v>
      </c>
      <c r="M88" s="105">
        <f t="shared" si="22"/>
        <v>125511.76470588235</v>
      </c>
      <c r="N88" s="105">
        <f t="shared" si="22"/>
        <v>165732.35294117645</v>
      </c>
      <c r="O88" s="374">
        <f t="shared" ref="O88" si="23">O53</f>
        <v>147596.17200850972</v>
      </c>
      <c r="P88" s="41"/>
      <c r="Q88" s="5"/>
      <c r="R88" s="5"/>
      <c r="S88" s="5"/>
      <c r="T88" s="5"/>
      <c r="U88" s="5"/>
    </row>
    <row r="89" spans="1:21" ht="30" customHeight="1" thickBot="1" x14ac:dyDescent="0.3">
      <c r="A89" s="15"/>
      <c r="B89" s="5"/>
      <c r="C89" s="5"/>
      <c r="D89" s="37"/>
      <c r="E89" s="280" t="s">
        <v>298</v>
      </c>
      <c r="F89" s="281">
        <f t="shared" si="19"/>
        <v>139387</v>
      </c>
      <c r="G89" s="281">
        <f t="shared" si="19"/>
        <v>302224</v>
      </c>
      <c r="H89" s="282">
        <f t="shared" si="19"/>
        <v>435902</v>
      </c>
      <c r="I89" s="283">
        <f t="shared" si="19"/>
        <v>595216</v>
      </c>
      <c r="J89" s="281">
        <f t="shared" si="20"/>
        <v>686544</v>
      </c>
      <c r="K89" s="281">
        <f t="shared" si="20"/>
        <v>629314.8823529412</v>
      </c>
      <c r="L89" s="281">
        <f t="shared" si="20"/>
        <v>470318.5882352941</v>
      </c>
      <c r="M89" s="281">
        <f t="shared" si="20"/>
        <v>462539.23529411765</v>
      </c>
      <c r="N89" s="368">
        <f t="shared" si="21"/>
        <v>736951.64705882361</v>
      </c>
      <c r="O89" s="375">
        <f t="shared" si="21"/>
        <v>988731.82799149025</v>
      </c>
      <c r="P89" s="41"/>
      <c r="Q89" s="5"/>
      <c r="R89" s="5"/>
      <c r="S89" s="5"/>
      <c r="T89" s="5"/>
      <c r="U89" s="5"/>
    </row>
    <row r="90" spans="1:21" ht="30" customHeight="1" x14ac:dyDescent="0.25">
      <c r="A90" s="15"/>
      <c r="B90" s="5"/>
      <c r="C90" s="5"/>
      <c r="D90" s="5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5"/>
      <c r="Q90" s="5"/>
      <c r="R90" s="5"/>
      <c r="S90" s="5"/>
      <c r="T90" s="5"/>
      <c r="U90" s="5"/>
    </row>
    <row r="91" spans="1:21" ht="30" customHeight="1" x14ac:dyDescent="0.25">
      <c r="A91" s="15"/>
      <c r="B91" s="5"/>
      <c r="C91" s="5"/>
      <c r="D91" s="5"/>
      <c r="E91" s="54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"/>
      <c r="Q91" s="5"/>
      <c r="R91" s="5"/>
      <c r="S91" s="5"/>
      <c r="T91" s="5"/>
      <c r="U91" s="5"/>
    </row>
    <row r="92" spans="1:21" ht="30" customHeight="1" x14ac:dyDescent="0.25">
      <c r="A92" s="15"/>
      <c r="B92" s="5"/>
      <c r="C92" s="5"/>
      <c r="D92" s="5"/>
      <c r="E92" s="236"/>
      <c r="F92" s="35">
        <f t="shared" ref="F92:H92" si="24">G92-1</f>
        <v>2013</v>
      </c>
      <c r="G92" s="35">
        <f t="shared" si="24"/>
        <v>2014</v>
      </c>
      <c r="H92" s="35">
        <f t="shared" si="24"/>
        <v>2015</v>
      </c>
      <c r="I92" s="35">
        <f>J92-1</f>
        <v>2016</v>
      </c>
      <c r="J92" s="35">
        <v>2017</v>
      </c>
      <c r="K92" s="35">
        <v>2018</v>
      </c>
      <c r="L92" s="35">
        <v>2019</v>
      </c>
      <c r="M92" s="35">
        <v>2020</v>
      </c>
      <c r="N92" s="35">
        <v>2021</v>
      </c>
      <c r="O92" s="361">
        <v>2020</v>
      </c>
      <c r="P92" s="41"/>
      <c r="Q92" s="5"/>
      <c r="R92" s="5"/>
      <c r="S92" s="5"/>
      <c r="T92" s="5"/>
      <c r="U92" s="5"/>
    </row>
    <row r="93" spans="1:21" ht="30" customHeight="1" x14ac:dyDescent="0.25">
      <c r="A93" s="15"/>
      <c r="B93" s="5"/>
      <c r="C93" s="5"/>
      <c r="D93" s="5"/>
      <c r="E93" s="237" t="s">
        <v>216</v>
      </c>
      <c r="F93" s="88">
        <f t="shared" ref="F93:N93" si="25">F87</f>
        <v>139387</v>
      </c>
      <c r="G93" s="88">
        <f t="shared" si="25"/>
        <v>302224</v>
      </c>
      <c r="H93" s="88">
        <f t="shared" si="25"/>
        <v>435902</v>
      </c>
      <c r="I93" s="88">
        <f t="shared" si="25"/>
        <v>595216</v>
      </c>
      <c r="J93" s="88">
        <f t="shared" si="25"/>
        <v>686544</v>
      </c>
      <c r="K93" s="88">
        <f t="shared" si="25"/>
        <v>693659</v>
      </c>
      <c r="L93" s="88">
        <f t="shared" si="25"/>
        <v>551848</v>
      </c>
      <c r="M93" s="88">
        <f t="shared" si="25"/>
        <v>588051</v>
      </c>
      <c r="N93" s="88">
        <f t="shared" si="25"/>
        <v>902684</v>
      </c>
      <c r="O93" s="88">
        <f t="shared" ref="O93" si="26">O87</f>
        <v>1136328</v>
      </c>
      <c r="P93" s="41"/>
      <c r="Q93" s="5"/>
      <c r="R93" s="5"/>
      <c r="S93" s="5"/>
      <c r="T93" s="5"/>
      <c r="U93" s="5"/>
    </row>
    <row r="94" spans="1:21" ht="30" customHeight="1" x14ac:dyDescent="0.25">
      <c r="A94" s="15"/>
      <c r="B94" s="5"/>
      <c r="C94" s="5"/>
      <c r="D94" s="5"/>
      <c r="E94" s="157" t="s">
        <v>217</v>
      </c>
      <c r="F94" s="238">
        <v>0.34</v>
      </c>
      <c r="G94" s="238">
        <v>0.34</v>
      </c>
      <c r="H94" s="238">
        <v>0.34</v>
      </c>
      <c r="I94" s="238">
        <v>0.34</v>
      </c>
      <c r="J94" s="238">
        <v>0.34</v>
      </c>
      <c r="K94" s="238">
        <v>0.34</v>
      </c>
      <c r="L94" s="238">
        <v>0.34</v>
      </c>
      <c r="M94" s="238">
        <v>0.34</v>
      </c>
      <c r="N94" s="238">
        <v>0.34</v>
      </c>
      <c r="O94" s="238">
        <v>0.34</v>
      </c>
      <c r="P94" s="41"/>
      <c r="Q94" s="5"/>
      <c r="R94" s="5"/>
      <c r="S94" s="5"/>
      <c r="T94" s="5"/>
      <c r="U94" s="5"/>
    </row>
    <row r="95" spans="1:21" ht="30" customHeight="1" x14ac:dyDescent="0.25">
      <c r="A95" s="15"/>
      <c r="B95" s="5"/>
      <c r="C95" s="5"/>
      <c r="D95" s="5"/>
      <c r="E95" s="237" t="s">
        <v>218</v>
      </c>
      <c r="F95" s="88">
        <f t="shared" ref="F95:I95" si="27">F94*-F93</f>
        <v>-47391.58</v>
      </c>
      <c r="G95" s="88">
        <f t="shared" si="27"/>
        <v>-102756.16</v>
      </c>
      <c r="H95" s="88">
        <f t="shared" si="27"/>
        <v>-148206.68000000002</v>
      </c>
      <c r="I95" s="88">
        <f t="shared" si="27"/>
        <v>-202373.44</v>
      </c>
      <c r="J95" s="88">
        <f t="shared" ref="J95:K95" si="28">J94*-J93</f>
        <v>-233424.96000000002</v>
      </c>
      <c r="K95" s="88">
        <f t="shared" si="28"/>
        <v>-235844.06000000003</v>
      </c>
      <c r="L95" s="88">
        <f t="shared" ref="L95:O95" si="29">L94*-L93</f>
        <v>-187628.32</v>
      </c>
      <c r="M95" s="88">
        <f t="shared" si="29"/>
        <v>-199937.34000000003</v>
      </c>
      <c r="N95" s="88">
        <f t="shared" si="29"/>
        <v>-306912.56</v>
      </c>
      <c r="O95" s="88">
        <f t="shared" si="29"/>
        <v>-386351.52</v>
      </c>
      <c r="P95" s="41"/>
      <c r="Q95" s="5"/>
      <c r="R95" s="5"/>
      <c r="S95" s="5"/>
      <c r="T95" s="5"/>
      <c r="U95" s="5"/>
    </row>
    <row r="96" spans="1:21" ht="30" customHeight="1" x14ac:dyDescent="0.25">
      <c r="A96" s="15"/>
      <c r="B96" s="5"/>
      <c r="C96" s="5"/>
      <c r="D96" s="5"/>
      <c r="E96" s="237" t="s">
        <v>219</v>
      </c>
      <c r="F96" s="81">
        <v>0</v>
      </c>
      <c r="G96" s="81">
        <v>0</v>
      </c>
      <c r="H96" s="81">
        <v>0</v>
      </c>
      <c r="I96" s="81">
        <v>0</v>
      </c>
      <c r="J96" s="81">
        <v>0</v>
      </c>
      <c r="K96" s="81">
        <v>0</v>
      </c>
      <c r="L96" s="81">
        <v>0</v>
      </c>
      <c r="M96" s="81">
        <v>0</v>
      </c>
      <c r="N96" s="81">
        <v>0</v>
      </c>
      <c r="O96" s="81">
        <v>0</v>
      </c>
      <c r="P96" s="41"/>
      <c r="Q96" s="5"/>
      <c r="R96" s="5"/>
      <c r="S96" s="5"/>
      <c r="T96" s="5"/>
      <c r="U96" s="5"/>
    </row>
    <row r="97" spans="1:21" ht="30" customHeight="1" x14ac:dyDescent="0.25">
      <c r="A97" s="15"/>
      <c r="B97" s="5"/>
      <c r="C97" s="5"/>
      <c r="D97" s="5"/>
      <c r="E97" s="154" t="s">
        <v>236</v>
      </c>
      <c r="F97" s="81">
        <f>38900*34%</f>
        <v>13226.000000000002</v>
      </c>
      <c r="G97" s="81">
        <f>74559*34%</f>
        <v>25350.06</v>
      </c>
      <c r="H97" s="81">
        <f>179210*34%</f>
        <v>60931.4</v>
      </c>
      <c r="I97" s="81">
        <f>194701*34%</f>
        <v>66198.340000000011</v>
      </c>
      <c r="J97" s="81">
        <f>202500*34%</f>
        <v>68850</v>
      </c>
      <c r="K97" s="81">
        <f>209500*34%</f>
        <v>71230</v>
      </c>
      <c r="L97" s="81">
        <f>211501*34%</f>
        <v>71910.340000000011</v>
      </c>
      <c r="M97" s="81">
        <f>193000*34%</f>
        <v>65620</v>
      </c>
      <c r="N97" s="81">
        <f>205000*34%</f>
        <v>69700</v>
      </c>
      <c r="O97" s="81">
        <f>312000*34%</f>
        <v>106080.00000000001</v>
      </c>
      <c r="P97" s="41"/>
      <c r="Q97" s="5"/>
      <c r="R97" s="5"/>
      <c r="S97" s="5"/>
      <c r="T97" s="5"/>
      <c r="U97" s="5"/>
    </row>
    <row r="98" spans="1:21" ht="30" customHeight="1" x14ac:dyDescent="0.25">
      <c r="A98" s="15"/>
      <c r="B98" s="5"/>
      <c r="C98" s="5"/>
      <c r="D98" s="5"/>
      <c r="E98" s="154" t="s">
        <v>237</v>
      </c>
      <c r="F98" s="81">
        <v>-2107</v>
      </c>
      <c r="G98" s="81">
        <v>-2220</v>
      </c>
      <c r="H98" s="81">
        <v>-7054</v>
      </c>
      <c r="I98" s="81">
        <v>-9940</v>
      </c>
      <c r="J98" s="81">
        <v>-11805</v>
      </c>
      <c r="K98" s="81">
        <v>-7479</v>
      </c>
      <c r="L98" s="81">
        <v>-13379</v>
      </c>
      <c r="M98" s="81">
        <v>-29630</v>
      </c>
      <c r="N98" s="81">
        <v>-25781</v>
      </c>
      <c r="O98" s="81">
        <v>-5895</v>
      </c>
      <c r="P98" s="41"/>
      <c r="Q98" s="5"/>
      <c r="R98" s="5"/>
      <c r="S98" s="5"/>
      <c r="T98" s="5"/>
      <c r="U98" s="5"/>
    </row>
    <row r="99" spans="1:21" ht="30" customHeight="1" x14ac:dyDescent="0.25">
      <c r="A99" s="15"/>
      <c r="B99" s="5"/>
      <c r="C99" s="5"/>
      <c r="D99" s="5"/>
      <c r="E99" s="154" t="s">
        <v>207</v>
      </c>
      <c r="F99" s="81">
        <v>0</v>
      </c>
      <c r="G99" s="81">
        <v>0</v>
      </c>
      <c r="H99" s="81">
        <v>0</v>
      </c>
      <c r="I99" s="81">
        <v>0</v>
      </c>
      <c r="J99" s="81">
        <v>0</v>
      </c>
      <c r="K99" s="81">
        <v>0</v>
      </c>
      <c r="L99" s="81">
        <v>0</v>
      </c>
      <c r="M99" s="81">
        <v>-2674</v>
      </c>
      <c r="N99" s="81">
        <v>-383</v>
      </c>
      <c r="O99" s="81">
        <v>-56</v>
      </c>
      <c r="P99" s="41"/>
      <c r="Q99" s="5"/>
      <c r="R99" s="5"/>
      <c r="S99" s="5"/>
      <c r="T99" s="5"/>
      <c r="U99" s="5"/>
    </row>
    <row r="100" spans="1:21" ht="30" customHeight="1" x14ac:dyDescent="0.25">
      <c r="A100" s="15"/>
      <c r="B100" s="5"/>
      <c r="C100" s="5"/>
      <c r="D100" s="5"/>
      <c r="E100" s="154" t="s">
        <v>238</v>
      </c>
      <c r="F100" s="81">
        <v>203</v>
      </c>
      <c r="G100" s="81">
        <v>2810</v>
      </c>
      <c r="H100" s="81">
        <v>3545</v>
      </c>
      <c r="I100" s="81">
        <v>5525</v>
      </c>
      <c r="J100" s="81">
        <v>6669</v>
      </c>
      <c r="K100" s="81">
        <v>5487</v>
      </c>
      <c r="L100" s="81">
        <v>2144</v>
      </c>
      <c r="M100" s="81">
        <v>3714</v>
      </c>
      <c r="N100" s="81">
        <v>4098</v>
      </c>
      <c r="O100" s="81">
        <v>4090</v>
      </c>
      <c r="P100" s="41"/>
      <c r="Q100" s="5"/>
      <c r="R100" s="5"/>
      <c r="S100" s="5"/>
      <c r="T100" s="5"/>
      <c r="U100" s="5"/>
    </row>
    <row r="101" spans="1:21" ht="30" customHeight="1" x14ac:dyDescent="0.25">
      <c r="A101" s="15"/>
      <c r="B101" s="5"/>
      <c r="C101" s="5"/>
      <c r="D101" s="5"/>
      <c r="E101" s="154" t="s">
        <v>259</v>
      </c>
      <c r="F101" s="81">
        <v>0</v>
      </c>
      <c r="G101" s="81">
        <v>0</v>
      </c>
      <c r="H101" s="81">
        <v>0</v>
      </c>
      <c r="I101" s="81">
        <v>0</v>
      </c>
      <c r="J101" s="81">
        <v>0</v>
      </c>
      <c r="K101" s="81">
        <v>21877</v>
      </c>
      <c r="L101" s="81">
        <v>27720</v>
      </c>
      <c r="M101" s="81">
        <v>42674</v>
      </c>
      <c r="N101" s="81">
        <v>56349</v>
      </c>
      <c r="O101" s="81">
        <v>76111</v>
      </c>
      <c r="P101" s="41"/>
      <c r="Q101" s="5"/>
      <c r="R101" s="5"/>
      <c r="S101" s="5"/>
      <c r="T101" s="5"/>
      <c r="U101" s="5"/>
    </row>
    <row r="102" spans="1:21" ht="30" customHeight="1" x14ac:dyDescent="0.25">
      <c r="A102" s="15"/>
      <c r="B102" s="5"/>
      <c r="C102" s="5"/>
      <c r="D102" s="5"/>
      <c r="E102" s="154" t="s">
        <v>278</v>
      </c>
      <c r="F102" s="81">
        <v>0</v>
      </c>
      <c r="G102" s="81">
        <v>0</v>
      </c>
      <c r="H102" s="81">
        <v>0</v>
      </c>
      <c r="I102" s="81">
        <v>0</v>
      </c>
      <c r="J102" s="81">
        <v>0</v>
      </c>
      <c r="K102" s="81">
        <v>0</v>
      </c>
      <c r="L102" s="81">
        <v>0</v>
      </c>
      <c r="M102" s="81">
        <v>0</v>
      </c>
      <c r="N102" s="81">
        <v>-6100</v>
      </c>
      <c r="O102" s="81">
        <v>-13752</v>
      </c>
      <c r="P102" s="41"/>
      <c r="Q102" s="5"/>
      <c r="R102" s="5"/>
      <c r="S102" s="5"/>
      <c r="T102" s="5"/>
      <c r="U102" s="5"/>
    </row>
    <row r="103" spans="1:21" ht="30" customHeight="1" x14ac:dyDescent="0.25">
      <c r="A103" s="15"/>
      <c r="B103" s="5"/>
      <c r="C103" s="5"/>
      <c r="D103" s="5"/>
      <c r="E103" s="154" t="s">
        <v>279</v>
      </c>
      <c r="F103" s="81">
        <v>0</v>
      </c>
      <c r="G103" s="81">
        <v>0</v>
      </c>
      <c r="H103" s="81">
        <v>0</v>
      </c>
      <c r="I103" s="81">
        <v>0</v>
      </c>
      <c r="J103" s="81">
        <v>0</v>
      </c>
      <c r="K103" s="81">
        <v>0</v>
      </c>
      <c r="L103" s="81">
        <v>0</v>
      </c>
      <c r="M103" s="81">
        <v>0</v>
      </c>
      <c r="N103" s="81">
        <v>5</v>
      </c>
      <c r="O103" s="81">
        <v>192</v>
      </c>
      <c r="P103" s="41"/>
      <c r="Q103" s="5"/>
      <c r="R103" s="5"/>
      <c r="S103" s="5"/>
      <c r="T103" s="5"/>
      <c r="U103" s="5"/>
    </row>
    <row r="104" spans="1:21" ht="30" customHeight="1" x14ac:dyDescent="0.25">
      <c r="A104" s="15"/>
      <c r="B104" s="5"/>
      <c r="C104" s="5"/>
      <c r="D104" s="5"/>
      <c r="E104" s="154" t="s">
        <v>260</v>
      </c>
      <c r="F104" s="81">
        <v>0</v>
      </c>
      <c r="G104" s="81">
        <v>0</v>
      </c>
      <c r="H104" s="81">
        <v>0</v>
      </c>
      <c r="I104" s="81">
        <v>0</v>
      </c>
      <c r="J104" s="81">
        <v>0</v>
      </c>
      <c r="K104" s="81">
        <v>0</v>
      </c>
      <c r="L104" s="81">
        <v>113083</v>
      </c>
      <c r="M104" s="81">
        <v>0</v>
      </c>
      <c r="N104" s="81">
        <v>0</v>
      </c>
      <c r="O104" s="81">
        <v>0</v>
      </c>
      <c r="P104" s="41"/>
      <c r="Q104" s="5"/>
      <c r="R104" s="5"/>
      <c r="S104" s="5"/>
      <c r="T104" s="5"/>
      <c r="U104" s="5"/>
    </row>
    <row r="105" spans="1:21" ht="30" customHeight="1" x14ac:dyDescent="0.25">
      <c r="A105" s="15"/>
      <c r="B105" s="5"/>
      <c r="C105" s="5"/>
      <c r="D105" s="5"/>
      <c r="E105" s="154" t="s">
        <v>261</v>
      </c>
      <c r="F105" s="81">
        <v>0</v>
      </c>
      <c r="G105" s="81">
        <v>0</v>
      </c>
      <c r="H105" s="81">
        <v>0</v>
      </c>
      <c r="I105" s="81">
        <v>0</v>
      </c>
      <c r="J105" s="81">
        <v>0</v>
      </c>
      <c r="K105" s="81">
        <v>12975</v>
      </c>
      <c r="L105" s="81">
        <v>60143</v>
      </c>
      <c r="M105" s="81">
        <v>0</v>
      </c>
      <c r="N105" s="81">
        <v>0</v>
      </c>
      <c r="O105" s="81">
        <v>0</v>
      </c>
      <c r="P105" s="41"/>
      <c r="Q105" s="5"/>
      <c r="R105" s="5"/>
      <c r="S105" s="5"/>
      <c r="T105" s="5"/>
      <c r="U105" s="5"/>
    </row>
    <row r="106" spans="1:21" ht="30" customHeight="1" x14ac:dyDescent="0.25">
      <c r="A106" s="15"/>
      <c r="B106" s="5"/>
      <c r="C106" s="5"/>
      <c r="D106" s="5"/>
      <c r="E106" s="154" t="s">
        <v>263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2561</v>
      </c>
      <c r="N106" s="81">
        <v>9288</v>
      </c>
      <c r="O106" s="81">
        <v>15504</v>
      </c>
      <c r="P106" s="41"/>
      <c r="Q106" s="5"/>
      <c r="R106" s="5"/>
      <c r="S106" s="5"/>
      <c r="T106" s="5"/>
      <c r="U106" s="5"/>
    </row>
    <row r="107" spans="1:21" ht="30" customHeight="1" x14ac:dyDescent="0.25">
      <c r="A107" s="15"/>
      <c r="B107" s="5"/>
      <c r="C107" s="5"/>
      <c r="D107" s="5"/>
      <c r="E107" s="154" t="s">
        <v>245</v>
      </c>
      <c r="F107" s="81">
        <v>0</v>
      </c>
      <c r="G107" s="81">
        <v>0</v>
      </c>
      <c r="H107" s="81">
        <v>-2933</v>
      </c>
      <c r="I107" s="81">
        <v>0</v>
      </c>
      <c r="J107" s="81">
        <v>0</v>
      </c>
      <c r="K107" s="81">
        <v>0</v>
      </c>
      <c r="L107" s="81">
        <v>0</v>
      </c>
      <c r="M107" s="81">
        <v>0</v>
      </c>
      <c r="N107" s="81">
        <v>0</v>
      </c>
      <c r="O107" s="81">
        <v>0</v>
      </c>
      <c r="P107" s="41"/>
      <c r="Q107" s="5"/>
      <c r="R107" s="5"/>
      <c r="S107" s="5"/>
      <c r="T107" s="5"/>
      <c r="U107" s="5"/>
    </row>
    <row r="108" spans="1:21" ht="30" customHeight="1" x14ac:dyDescent="0.25">
      <c r="A108" s="15"/>
      <c r="B108" s="5"/>
      <c r="C108" s="5"/>
      <c r="D108" s="5"/>
      <c r="E108" s="154" t="s">
        <v>244</v>
      </c>
      <c r="F108" s="81">
        <v>0</v>
      </c>
      <c r="G108" s="81">
        <v>-1920</v>
      </c>
      <c r="H108" s="81">
        <v>-2455</v>
      </c>
      <c r="I108" s="81">
        <v>-3515</v>
      </c>
      <c r="J108" s="81">
        <v>-4195</v>
      </c>
      <c r="K108" s="81">
        <v>-3320</v>
      </c>
      <c r="L108" s="81">
        <v>1190</v>
      </c>
      <c r="M108" s="81">
        <v>6300</v>
      </c>
      <c r="N108" s="81">
        <v>6269</v>
      </c>
      <c r="O108" s="81">
        <v>5055</v>
      </c>
      <c r="P108" s="41"/>
      <c r="Q108" s="5"/>
      <c r="R108" s="5"/>
      <c r="S108" s="5"/>
      <c r="T108" s="5"/>
      <c r="U108" s="5"/>
    </row>
    <row r="109" spans="1:21" ht="30" customHeight="1" x14ac:dyDescent="0.25">
      <c r="A109" s="15"/>
      <c r="B109" s="5"/>
      <c r="C109" s="5"/>
      <c r="D109" s="5"/>
      <c r="E109" s="154" t="s">
        <v>239</v>
      </c>
      <c r="F109" s="81">
        <v>-2172</v>
      </c>
      <c r="G109" s="81">
        <v>-2102</v>
      </c>
      <c r="H109" s="81">
        <v>0</v>
      </c>
      <c r="I109" s="81">
        <v>0</v>
      </c>
      <c r="J109" s="81">
        <v>0</v>
      </c>
      <c r="K109" s="81">
        <v>0</v>
      </c>
      <c r="L109" s="81">
        <v>0</v>
      </c>
      <c r="M109" s="81">
        <v>0</v>
      </c>
      <c r="N109" s="81">
        <v>0</v>
      </c>
      <c r="O109" s="81">
        <v>0</v>
      </c>
      <c r="P109" s="41"/>
      <c r="Q109" s="5"/>
      <c r="R109" s="5"/>
      <c r="S109" s="5"/>
      <c r="T109" s="5"/>
      <c r="U109" s="5"/>
    </row>
    <row r="110" spans="1:21" ht="30" customHeight="1" x14ac:dyDescent="0.25">
      <c r="A110" s="15"/>
      <c r="B110" s="5"/>
      <c r="C110" s="5"/>
      <c r="D110" s="5"/>
      <c r="E110" s="154" t="s">
        <v>262</v>
      </c>
      <c r="F110" s="81">
        <v>-160</v>
      </c>
      <c r="G110" s="81">
        <v>0</v>
      </c>
      <c r="H110" s="81">
        <v>55</v>
      </c>
      <c r="I110" s="81">
        <v>141</v>
      </c>
      <c r="J110" s="81">
        <v>15</v>
      </c>
      <c r="K110" s="81">
        <v>-127</v>
      </c>
      <c r="L110" s="81">
        <v>-9106</v>
      </c>
      <c r="M110" s="81">
        <v>165</v>
      </c>
      <c r="N110" s="81">
        <v>-905</v>
      </c>
      <c r="O110" s="81">
        <v>40522</v>
      </c>
      <c r="P110" s="41"/>
      <c r="Q110" s="5"/>
      <c r="R110" s="5"/>
      <c r="S110" s="5"/>
      <c r="T110" s="5"/>
      <c r="U110" s="5"/>
    </row>
    <row r="111" spans="1:21" ht="30" customHeight="1" x14ac:dyDescent="0.25">
      <c r="A111" s="15"/>
      <c r="B111" s="5"/>
      <c r="C111" s="5"/>
      <c r="D111" s="239"/>
      <c r="E111" s="237" t="s">
        <v>220</v>
      </c>
      <c r="F111" s="88">
        <f t="shared" ref="F111:N111" si="30">SUM(F95:F110)</f>
        <v>-38401.58</v>
      </c>
      <c r="G111" s="88">
        <f t="shared" si="30"/>
        <v>-80838.100000000006</v>
      </c>
      <c r="H111" s="88">
        <f t="shared" si="30"/>
        <v>-96117.280000000028</v>
      </c>
      <c r="I111" s="88">
        <f t="shared" si="30"/>
        <v>-143964.09999999998</v>
      </c>
      <c r="J111" s="88">
        <f t="shared" si="30"/>
        <v>-173890.96000000002</v>
      </c>
      <c r="K111" s="88">
        <f t="shared" si="30"/>
        <v>-135201.06000000003</v>
      </c>
      <c r="L111" s="88">
        <f t="shared" si="30"/>
        <v>66077.02</v>
      </c>
      <c r="M111" s="88">
        <f t="shared" si="30"/>
        <v>-111207.34000000003</v>
      </c>
      <c r="N111" s="88">
        <f t="shared" si="30"/>
        <v>-194372.56</v>
      </c>
      <c r="O111" s="88">
        <f t="shared" ref="O111" si="31">SUM(O95:O110)</f>
        <v>-158500.52000000002</v>
      </c>
      <c r="P111" s="41"/>
      <c r="Q111" s="5"/>
      <c r="R111" s="5"/>
      <c r="S111" s="5"/>
      <c r="T111" s="5"/>
      <c r="U111" s="5"/>
    </row>
    <row r="112" spans="1:21" ht="30" customHeight="1" x14ac:dyDescent="0.25">
      <c r="A112" s="15"/>
      <c r="B112" s="5"/>
      <c r="C112" s="5"/>
      <c r="D112" s="239"/>
      <c r="E112" s="240" t="s">
        <v>221</v>
      </c>
      <c r="F112" s="187">
        <f t="shared" ref="F112:N112" si="32">F111/F84</f>
        <v>-0.25629416554320117</v>
      </c>
      <c r="G112" s="187">
        <f t="shared" si="32"/>
        <v>-0.2615053408642431</v>
      </c>
      <c r="H112" s="187">
        <f t="shared" si="32"/>
        <v>-0.19190333484405922</v>
      </c>
      <c r="I112" s="187">
        <f t="shared" si="32"/>
        <v>-0.20404868341605978</v>
      </c>
      <c r="J112" s="187">
        <f t="shared" si="32"/>
        <v>-0.21939751496371365</v>
      </c>
      <c r="K112" s="187">
        <f t="shared" si="32"/>
        <v>-0.17415792341491129</v>
      </c>
      <c r="L112" s="187">
        <f t="shared" si="32"/>
        <v>7.4566489382711043E-2</v>
      </c>
      <c r="M112" s="187">
        <f t="shared" si="32"/>
        <v>-0.1252804711676789</v>
      </c>
      <c r="N112" s="187">
        <f t="shared" si="32"/>
        <v>-0.15162919867009284</v>
      </c>
      <c r="O112" s="187">
        <f t="shared" ref="O112" si="33">O111/O84</f>
        <v>-8.892319137273956E-2</v>
      </c>
      <c r="P112" s="41"/>
      <c r="Q112" s="5"/>
      <c r="R112" s="5"/>
      <c r="S112" s="5"/>
      <c r="T112" s="5"/>
      <c r="U112" s="5"/>
    </row>
    <row r="113" spans="1:21" ht="30" customHeight="1" x14ac:dyDescent="0.25">
      <c r="A113" s="15"/>
      <c r="B113" s="5"/>
      <c r="C113" s="5"/>
      <c r="D113" s="239"/>
      <c r="E113" s="237" t="s">
        <v>222</v>
      </c>
      <c r="F113" s="88">
        <f t="shared" ref="F113:N113" si="34">F95+F97+F98+F99+F100+F101+F106+F108+F110</f>
        <v>-36229.58</v>
      </c>
      <c r="G113" s="88">
        <f t="shared" si="34"/>
        <v>-78736.100000000006</v>
      </c>
      <c r="H113" s="88">
        <f t="shared" si="34"/>
        <v>-93184.280000000028</v>
      </c>
      <c r="I113" s="88">
        <f t="shared" si="34"/>
        <v>-143964.09999999998</v>
      </c>
      <c r="J113" s="88">
        <f t="shared" si="34"/>
        <v>-173890.96000000002</v>
      </c>
      <c r="K113" s="88">
        <f t="shared" si="34"/>
        <v>-148176.06000000003</v>
      </c>
      <c r="L113" s="88">
        <f>L95+L97+L98+L99+L100+L101+L106+L108+L110</f>
        <v>-107148.98</v>
      </c>
      <c r="M113" s="88">
        <f t="shared" si="34"/>
        <v>-111207.34000000003</v>
      </c>
      <c r="N113" s="88">
        <f t="shared" si="34"/>
        <v>-188277.56</v>
      </c>
      <c r="O113" s="88">
        <f t="shared" ref="O113" si="35">O95+O97+O98+O99+O100+O101+O106+O108+O110</f>
        <v>-144940.52000000002</v>
      </c>
      <c r="P113" s="41"/>
      <c r="Q113" s="5"/>
      <c r="R113" s="5"/>
      <c r="S113" s="5"/>
      <c r="T113" s="5"/>
      <c r="U113" s="5"/>
    </row>
    <row r="114" spans="1:21" ht="30" customHeight="1" x14ac:dyDescent="0.25">
      <c r="A114" s="15"/>
      <c r="B114" s="5"/>
      <c r="C114" s="5"/>
      <c r="D114" s="5"/>
      <c r="E114" s="240" t="s">
        <v>221</v>
      </c>
      <c r="F114" s="241">
        <f t="shared" ref="F114:N114" si="36">F113/F84</f>
        <v>-0.24179812325640376</v>
      </c>
      <c r="G114" s="241">
        <f t="shared" si="36"/>
        <v>-0.25470552460808865</v>
      </c>
      <c r="H114" s="241">
        <f t="shared" si="36"/>
        <v>-0.18604744211490973</v>
      </c>
      <c r="I114" s="241">
        <f t="shared" si="36"/>
        <v>-0.20404868341605978</v>
      </c>
      <c r="J114" s="241">
        <f t="shared" si="36"/>
        <v>-0.21939751496371365</v>
      </c>
      <c r="K114" s="241">
        <f t="shared" si="36"/>
        <v>-0.19087154279266227</v>
      </c>
      <c r="L114" s="241">
        <f t="shared" si="36"/>
        <v>-0.12091530882503958</v>
      </c>
      <c r="M114" s="241">
        <f t="shared" si="36"/>
        <v>-0.1252804711676789</v>
      </c>
      <c r="N114" s="241">
        <f t="shared" si="36"/>
        <v>-0.14687451536554505</v>
      </c>
      <c r="O114" s="241">
        <f t="shared" ref="O114" si="37">O113/O84</f>
        <v>-8.1315654974661186E-2</v>
      </c>
      <c r="P114" s="41"/>
      <c r="Q114" s="5"/>
      <c r="R114" s="5"/>
      <c r="S114" s="5"/>
      <c r="T114" s="5"/>
      <c r="U114" s="5"/>
    </row>
    <row r="115" spans="1:21" ht="30" customHeight="1" x14ac:dyDescent="0.25">
      <c r="A115" s="15"/>
      <c r="B115" s="5"/>
      <c r="C115" s="5"/>
      <c r="D115" s="5"/>
      <c r="E115" s="237" t="s">
        <v>223</v>
      </c>
      <c r="F115" s="88">
        <f t="shared" ref="F115:N115" si="38">-F89*F94+F97+F98+F110+F99</f>
        <v>-36432.58</v>
      </c>
      <c r="G115" s="88">
        <f t="shared" si="38"/>
        <v>-79626.100000000006</v>
      </c>
      <c r="H115" s="88">
        <f t="shared" si="38"/>
        <v>-94274.280000000028</v>
      </c>
      <c r="I115" s="88">
        <f t="shared" si="38"/>
        <v>-145974.09999999998</v>
      </c>
      <c r="J115" s="88">
        <f t="shared" si="38"/>
        <v>-176364.96000000002</v>
      </c>
      <c r="K115" s="88">
        <f t="shared" si="38"/>
        <v>-150343.06000000003</v>
      </c>
      <c r="L115" s="88">
        <f t="shared" si="38"/>
        <v>-110482.98</v>
      </c>
      <c r="M115" s="88">
        <f t="shared" si="38"/>
        <v>-123782.34000000003</v>
      </c>
      <c r="N115" s="88">
        <f t="shared" si="38"/>
        <v>-207932.56000000006</v>
      </c>
      <c r="O115" s="88">
        <f t="shared" ref="O115" si="39">-O89*O94+O97+O98+O110+O99</f>
        <v>-195517.82151710673</v>
      </c>
      <c r="P115" s="41"/>
      <c r="Q115" s="5"/>
      <c r="R115" s="5"/>
      <c r="S115" s="5"/>
      <c r="T115" s="5"/>
      <c r="U115" s="5"/>
    </row>
    <row r="116" spans="1:21" ht="30" customHeight="1" thickBot="1" x14ac:dyDescent="0.3">
      <c r="A116" s="15"/>
      <c r="B116" s="5"/>
      <c r="C116" s="5"/>
      <c r="D116" s="5"/>
      <c r="E116" s="286" t="s">
        <v>349</v>
      </c>
      <c r="F116" s="285">
        <f t="shared" ref="F116:N116" si="40">F115/F54</f>
        <v>-0.24315295593790462</v>
      </c>
      <c r="G116" s="285">
        <f t="shared" si="40"/>
        <v>-0.25758460951197898</v>
      </c>
      <c r="H116" s="285">
        <f t="shared" si="40"/>
        <v>-0.1882236859181054</v>
      </c>
      <c r="I116" s="285">
        <f t="shared" si="40"/>
        <v>-0.20689757319945909</v>
      </c>
      <c r="J116" s="285">
        <f t="shared" si="40"/>
        <v>-0.2225189506727363</v>
      </c>
      <c r="K116" s="284">
        <f t="shared" si="40"/>
        <v>-0.21116521202884697</v>
      </c>
      <c r="L116" s="285">
        <f t="shared" si="40"/>
        <v>-0.13731082565652325</v>
      </c>
      <c r="M116" s="285">
        <f t="shared" si="40"/>
        <v>-0.16241092925410677</v>
      </c>
      <c r="N116" s="370">
        <f t="shared" si="40"/>
        <v>-0.18629251466211835</v>
      </c>
      <c r="O116" s="371">
        <f t="shared" ref="O116" si="41">O115/O54</f>
        <v>-0.11959396939792359</v>
      </c>
      <c r="P116" s="41"/>
      <c r="Q116" s="5"/>
      <c r="R116" s="5"/>
      <c r="S116" s="5"/>
      <c r="T116" s="5"/>
      <c r="U116" s="5"/>
    </row>
    <row r="117" spans="1:21" ht="30" customHeight="1" x14ac:dyDescent="0.25">
      <c r="A117" s="1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30" customHeight="1" x14ac:dyDescent="0.25">
      <c r="A118" s="1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30" customHeight="1" x14ac:dyDescent="0.25">
      <c r="A119" s="1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30" customHeight="1" x14ac:dyDescent="0.25">
      <c r="A120" s="1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30" customHeight="1" x14ac:dyDescent="0.25">
      <c r="A121" s="1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30" customHeight="1" x14ac:dyDescent="0.25">
      <c r="A122" s="1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30" customHeight="1" x14ac:dyDescent="0.25">
      <c r="A123" s="1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30" customHeight="1" x14ac:dyDescent="0.25">
      <c r="A124" s="1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30" customHeight="1" x14ac:dyDescent="0.25">
      <c r="A125" s="1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30" customHeight="1" x14ac:dyDescent="0.25">
      <c r="A126" s="1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30" customHeight="1" x14ac:dyDescent="0.25">
      <c r="A127" s="1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30" customHeight="1" x14ac:dyDescent="0.25">
      <c r="A128" s="1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30" customHeight="1" x14ac:dyDescent="0.25">
      <c r="A129" s="1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s="4" customFormat="1" ht="30" customHeight="1" x14ac:dyDescent="0.25">
      <c r="A130" s="1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s="4" customFormat="1" ht="30" customHeight="1" x14ac:dyDescent="0.25">
      <c r="A131" s="1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s="4" customFormat="1" ht="30" customHeight="1" x14ac:dyDescent="0.25">
      <c r="A132" s="1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s="4" customFormat="1" ht="30" customHeight="1" x14ac:dyDescent="0.25">
      <c r="A133" s="1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s="4" customFormat="1" ht="30" customHeight="1" x14ac:dyDescent="0.25">
      <c r="A134" s="1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s="4" customFormat="1" ht="30" customHeight="1" x14ac:dyDescent="0.25">
      <c r="A135" s="1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s="4" customFormat="1" ht="30" customHeight="1" x14ac:dyDescent="0.25">
      <c r="A136" s="1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s="4" customFormat="1" ht="30" customHeight="1" x14ac:dyDescent="0.25">
      <c r="A137" s="15"/>
      <c r="B137" s="5"/>
      <c r="C137" s="5"/>
      <c r="D137" s="242"/>
      <c r="E137" s="114"/>
      <c r="F137" s="43"/>
      <c r="G137" s="43"/>
      <c r="H137" s="43"/>
      <c r="I137" s="43"/>
      <c r="J137" s="43"/>
      <c r="K137" s="43"/>
      <c r="L137" s="43"/>
      <c r="M137" s="5"/>
      <c r="N137" s="242"/>
      <c r="O137" s="242"/>
      <c r="P137" s="5"/>
      <c r="Q137" s="5"/>
      <c r="R137" s="5"/>
      <c r="S137" s="5"/>
      <c r="T137" s="5"/>
      <c r="U137" s="5"/>
    </row>
    <row r="138" spans="1:21" s="4" customFormat="1" ht="30" hidden="1" customHeight="1" x14ac:dyDescent="0.25">
      <c r="A138" s="15"/>
      <c r="B138" s="5"/>
      <c r="C138" s="5"/>
      <c r="D138" s="5"/>
      <c r="E138" s="114"/>
      <c r="F138" s="43"/>
      <c r="G138" s="43"/>
      <c r="H138" s="43"/>
      <c r="I138" s="43"/>
      <c r="J138" s="43"/>
      <c r="K138" s="43"/>
      <c r="L138" s="43"/>
      <c r="M138" s="5"/>
      <c r="N138" s="5"/>
      <c r="O138" s="5"/>
      <c r="P138" s="5"/>
      <c r="Q138" s="5"/>
      <c r="R138" s="5"/>
      <c r="S138" s="5"/>
      <c r="T138" s="5"/>
      <c r="U138" s="5"/>
    </row>
    <row r="139" spans="1:21" s="4" customFormat="1" ht="30" hidden="1" customHeight="1" x14ac:dyDescent="0.25">
      <c r="A139" s="15"/>
      <c r="B139" s="5"/>
      <c r="C139" s="5"/>
      <c r="D139" s="5"/>
      <c r="E139" s="1"/>
      <c r="F139" s="141"/>
      <c r="G139" s="141"/>
      <c r="H139" s="141"/>
      <c r="I139" s="141"/>
      <c r="J139" s="141"/>
      <c r="K139" s="141"/>
      <c r="L139" s="141"/>
      <c r="M139" s="1"/>
      <c r="N139" s="5"/>
      <c r="O139" s="5"/>
      <c r="P139" s="5"/>
      <c r="Q139" s="5"/>
      <c r="R139" s="5"/>
      <c r="S139" s="5"/>
      <c r="T139" s="5"/>
      <c r="U139" s="5"/>
    </row>
  </sheetData>
  <mergeCells count="1">
    <mergeCell ref="F3:K5"/>
  </mergeCells>
  <conditionalFormatting sqref="F26:J27">
    <cfRule type="cellIs" dxfId="108" priority="69" operator="equal">
      <formula>0</formula>
    </cfRule>
  </conditionalFormatting>
  <conditionalFormatting sqref="F51:J51 F54:J54 J84:M88 F87:J87">
    <cfRule type="cellIs" dxfId="107" priority="82" operator="equal">
      <formula>0</formula>
    </cfRule>
  </conditionalFormatting>
  <conditionalFormatting sqref="F10:M25">
    <cfRule type="cellIs" dxfId="106" priority="70" operator="equal">
      <formula>0</formula>
    </cfRule>
  </conditionalFormatting>
  <conditionalFormatting sqref="F27:M42">
    <cfRule type="cellIs" dxfId="105" priority="44" operator="equal">
      <formula>0</formula>
    </cfRule>
  </conditionalFormatting>
  <conditionalFormatting sqref="F47:M50 F52:M53 F84:I87">
    <cfRule type="cellIs" dxfId="104" priority="73" operator="equal">
      <formula>0</formula>
    </cfRule>
  </conditionalFormatting>
  <conditionalFormatting sqref="F49:M49">
    <cfRule type="colorScale" priority="75">
      <colorScale>
        <cfvo type="min"/>
        <cfvo type="max"/>
        <color rgb="FFFCFCFF"/>
        <color rgb="FF63BE7B"/>
      </colorScale>
    </cfRule>
    <cfRule type="colorScale" priority="74">
      <colorScale>
        <cfvo type="min"/>
        <cfvo type="max"/>
        <color rgb="FFFCFCFF"/>
        <color rgb="FF63BE7B"/>
      </colorScale>
    </cfRule>
  </conditionalFormatting>
  <conditionalFormatting sqref="F52:M52 F55:O55">
    <cfRule type="colorScale" priority="607">
      <colorScale>
        <cfvo type="min"/>
        <cfvo type="max"/>
        <color rgb="FFFCFCFF"/>
        <color rgb="FF63BE7B"/>
      </colorScale>
    </cfRule>
    <cfRule type="colorScale" priority="606">
      <colorScale>
        <cfvo type="min"/>
        <cfvo type="max"/>
        <color rgb="FFFCFCFF"/>
        <color rgb="FF63BE7B"/>
      </colorScale>
    </cfRule>
  </conditionalFormatting>
  <conditionalFormatting sqref="F43:O43 F50:N50 N52:O52 F53:N53 F84:O85">
    <cfRule type="cellIs" dxfId="103" priority="51" operator="equal">
      <formula>0</formula>
    </cfRule>
  </conditionalFormatting>
  <conditionalFormatting sqref="F47:O55">
    <cfRule type="cellIs" dxfId="102" priority="9" operator="equal">
      <formula>0</formula>
    </cfRule>
  </conditionalFormatting>
  <conditionalFormatting sqref="F59:O66">
    <cfRule type="cellIs" dxfId="101" priority="4" operator="equal">
      <formula>0</formula>
    </cfRule>
  </conditionalFormatting>
  <conditionalFormatting sqref="F71:O79">
    <cfRule type="cellIs" dxfId="100" priority="12" operator="equal">
      <formula>0</formula>
    </cfRule>
  </conditionalFormatting>
  <conditionalFormatting sqref="F88:O88">
    <cfRule type="cellIs" dxfId="99" priority="42" operator="equal">
      <formula>0</formula>
    </cfRule>
  </conditionalFormatting>
  <conditionalFormatting sqref="F96:O110">
    <cfRule type="cellIs" dxfId="98" priority="6" operator="equal">
      <formula>0</formula>
    </cfRule>
  </conditionalFormatting>
  <conditionalFormatting sqref="J49:M49">
    <cfRule type="colorScale" priority="84">
      <colorScale>
        <cfvo type="min"/>
        <cfvo type="max"/>
        <color rgb="FFFCFCFF"/>
        <color rgb="FF63BE7B"/>
      </colorScale>
    </cfRule>
    <cfRule type="colorScale" priority="83">
      <colorScale>
        <cfvo type="min"/>
        <cfvo type="max"/>
        <color rgb="FFFCFCFF"/>
        <color rgb="FF63BE7B"/>
      </colorScale>
    </cfRule>
  </conditionalFormatting>
  <conditionalFormatting sqref="J52:M52 J55:M55">
    <cfRule type="colorScale" priority="509">
      <colorScale>
        <cfvo type="min"/>
        <cfvo type="max"/>
        <color rgb="FFFCFCFF"/>
        <color rgb="FF63BE7B"/>
      </colorScale>
    </cfRule>
    <cfRule type="colorScale" priority="508">
      <colorScale>
        <cfvo type="min"/>
        <cfvo type="max"/>
        <color rgb="FFFCFCFF"/>
        <color rgb="FF63BE7B"/>
      </colorScale>
    </cfRule>
  </conditionalFormatting>
  <conditionalFormatting sqref="K26:M29">
    <cfRule type="cellIs" dxfId="97" priority="45" operator="equal">
      <formula>0</formula>
    </cfRule>
  </conditionalFormatting>
  <conditionalFormatting sqref="N84:N87 O84:O89 F89:N89">
    <cfRule type="cellIs" dxfId="96" priority="58" operator="equal">
      <formula>0</formula>
    </cfRule>
  </conditionalFormatting>
  <conditionalFormatting sqref="N10:O42">
    <cfRule type="cellIs" dxfId="95" priority="1" operator="equal">
      <formula>0</formula>
    </cfRule>
  </conditionalFormatting>
  <conditionalFormatting sqref="N49:O49">
    <cfRule type="colorScale" priority="600">
      <colorScale>
        <cfvo type="min"/>
        <cfvo type="max"/>
        <color rgb="FFFCFCFF"/>
        <color rgb="FF63BE7B"/>
      </colorScale>
    </cfRule>
    <cfRule type="colorScale" priority="601">
      <colorScale>
        <cfvo type="min"/>
        <cfvo type="max"/>
        <color rgb="FFFCFCFF"/>
        <color rgb="FF63BE7B"/>
      </colorScale>
    </cfRule>
  </conditionalFormatting>
  <conditionalFormatting sqref="N52:O52 N55:O55">
    <cfRule type="colorScale" priority="611">
      <colorScale>
        <cfvo type="min"/>
        <cfvo type="max"/>
        <color rgb="FFFCFCFF"/>
        <color rgb="FF63BE7B"/>
      </colorScale>
    </cfRule>
    <cfRule type="colorScale" priority="610">
      <colorScale>
        <cfvo type="min"/>
        <cfvo type="max"/>
        <color rgb="FFFCFCFF"/>
        <color rgb="FF63BE7B"/>
      </colorScale>
    </cfRule>
  </conditionalFormatting>
  <conditionalFormatting sqref="N52:O52">
    <cfRule type="colorScale" priority="605">
      <colorScale>
        <cfvo type="min"/>
        <cfvo type="max"/>
        <color rgb="FFFCFCFF"/>
        <color rgb="FF63BE7B"/>
      </colorScale>
    </cfRule>
    <cfRule type="colorScale" priority="604">
      <colorScale>
        <cfvo type="min"/>
        <cfvo type="max"/>
        <color rgb="FFFCFCFF"/>
        <color rgb="FF63BE7B"/>
      </colorScale>
    </cfRule>
  </conditionalFormatting>
  <conditionalFormatting sqref="N55:O55">
    <cfRule type="colorScale" priority="615">
      <colorScale>
        <cfvo type="min"/>
        <cfvo type="max"/>
        <color rgb="FFFCFCFF"/>
        <color rgb="FF63BE7B"/>
      </colorScale>
    </cfRule>
    <cfRule type="colorScale" priority="614">
      <colorScale>
        <cfvo type="min"/>
        <cfvo type="max"/>
        <color rgb="FFFCFCFF"/>
        <color rgb="FF63BE7B"/>
      </colorScale>
    </cfRule>
  </conditionalFormatting>
  <hyperlinks>
    <hyperlink ref="A12" location="'Balanço Patrimonial'!A1" display="Balanço Patrimonial" xr:uid="{00000000-0004-0000-0600-000000000000}"/>
    <hyperlink ref="A13" location="'Painel de Índices'!A1" display="Painel de Índices" xr:uid="{00000000-0004-0000-0600-000001000000}"/>
    <hyperlink ref="A14" location="'Provisões e Processos'!A1" display="Provisões e Processos" xr:uid="{00000000-0004-0000-0600-000002000000}"/>
    <hyperlink ref="A15" location="'Projeções - Receita'!A1" display="Projeções - Receita" xr:uid="{00000000-0004-0000-0600-000003000000}"/>
    <hyperlink ref="A17" location="'Projeções 2022'!A1" display="Projeções 2022" xr:uid="{00000000-0004-0000-0600-000004000000}"/>
    <hyperlink ref="A8" location="Dashboard!A1" display="Dashboard" xr:uid="{00000000-0004-0000-0600-000005000000}"/>
    <hyperlink ref="A9" location="WACC!A1" display="WACC" xr:uid="{00000000-0004-0000-0600-000006000000}"/>
    <hyperlink ref="A10" location="'DRE + DCF'!A1" display="DRE + DCF" xr:uid="{00000000-0004-0000-0600-000007000000}"/>
    <hyperlink ref="A16" location="'Projeções - Capex'!A1" display="Projeções - Capex" xr:uid="{00000000-0004-0000-06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8"/>
  <dimension ref="A1:BB118"/>
  <sheetViews>
    <sheetView showGridLines="0" topLeftCell="B55" zoomScale="80" zoomScaleNormal="80" workbookViewId="0">
      <selection activeCell="N36" sqref="N36:N37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56.85546875" style="1" customWidth="1"/>
    <col min="6" max="15" width="11.85546875" style="1" customWidth="1"/>
    <col min="16" max="16" width="9.140625" style="1" customWidth="1"/>
    <col min="17" max="17" width="13.28515625" style="1" customWidth="1"/>
    <col min="18" max="27" width="9.140625" style="1" customWidth="1"/>
    <col min="28" max="54" width="9.140625" style="1" hidden="1" customWidth="1"/>
    <col min="55" max="16384" width="0" style="1" hidden="1"/>
  </cols>
  <sheetData>
    <row r="1" spans="1:27" ht="15" customHeight="1" x14ac:dyDescent="0.25">
      <c r="B1" s="5"/>
      <c r="C1" s="5"/>
      <c r="D1" s="5"/>
      <c r="E1" s="5"/>
      <c r="F1" s="5"/>
      <c r="G1" s="5"/>
      <c r="H1" s="32"/>
      <c r="I1" s="32"/>
      <c r="J1" s="32"/>
      <c r="K1" s="32"/>
      <c r="L1" s="32"/>
      <c r="M1" s="32"/>
      <c r="N1" s="3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25">
      <c r="B2" s="5"/>
      <c r="C2" s="5"/>
      <c r="D2" s="5"/>
      <c r="E2" s="5"/>
      <c r="F2" s="5"/>
      <c r="G2" s="6"/>
      <c r="H2" s="32"/>
      <c r="I2" s="32"/>
      <c r="J2" s="32"/>
      <c r="K2" s="32"/>
      <c r="L2" s="32"/>
      <c r="M2" s="32"/>
      <c r="N2" s="3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" customHeight="1" x14ac:dyDescent="0.25">
      <c r="B3" s="5"/>
      <c r="C3" s="5"/>
      <c r="D3" s="5"/>
      <c r="E3" s="5"/>
      <c r="F3" s="405" t="s">
        <v>88</v>
      </c>
      <c r="G3" s="405"/>
      <c r="H3" s="405"/>
      <c r="I3" s="405"/>
      <c r="J3" s="405"/>
      <c r="K3" s="32"/>
      <c r="L3" s="32"/>
      <c r="M3" s="32"/>
      <c r="N3" s="3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" customHeight="1" x14ac:dyDescent="0.25">
      <c r="B4" s="5"/>
      <c r="C4" s="5"/>
      <c r="D4" s="5"/>
      <c r="E4" s="5"/>
      <c r="F4" s="405"/>
      <c r="G4" s="405"/>
      <c r="H4" s="405"/>
      <c r="I4" s="405"/>
      <c r="J4" s="405"/>
      <c r="K4" s="32"/>
      <c r="L4" s="32"/>
      <c r="M4" s="32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" customHeight="1" x14ac:dyDescent="0.25">
      <c r="B5" s="5"/>
      <c r="C5" s="5"/>
      <c r="D5" s="5"/>
      <c r="E5" s="5"/>
      <c r="F5" s="407"/>
      <c r="G5" s="407"/>
      <c r="H5" s="407"/>
      <c r="I5" s="407"/>
      <c r="J5" s="407"/>
      <c r="K5" s="32"/>
      <c r="L5" s="32"/>
      <c r="M5" s="3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" customHeight="1" x14ac:dyDescent="0.25">
      <c r="B6" s="5"/>
      <c r="C6" s="5"/>
      <c r="D6" s="5"/>
      <c r="E6" s="5"/>
      <c r="F6" s="5"/>
      <c r="G6" s="5"/>
      <c r="H6" s="5"/>
      <c r="I6" s="32"/>
      <c r="J6" s="32"/>
      <c r="K6" s="32"/>
      <c r="L6" s="32"/>
      <c r="M6" s="32"/>
      <c r="N6" s="32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s="11" customFormat="1" ht="24.75" customHeight="1" x14ac:dyDescent="0.25">
      <c r="A7" s="9" t="s">
        <v>68</v>
      </c>
      <c r="B7" s="10"/>
      <c r="C7" s="10"/>
      <c r="D7" s="10"/>
      <c r="E7" s="10"/>
      <c r="F7" s="142"/>
      <c r="G7" s="142"/>
      <c r="H7" s="142"/>
      <c r="I7" s="142"/>
      <c r="J7" s="142"/>
      <c r="K7" s="142"/>
      <c r="L7" s="142"/>
      <c r="M7" s="14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30" customHeight="1" x14ac:dyDescent="0.25">
      <c r="A8" s="15" t="s">
        <v>69</v>
      </c>
      <c r="B8" s="5"/>
      <c r="C8" s="5"/>
      <c r="D8" s="10"/>
      <c r="E8" s="54"/>
      <c r="F8" s="53"/>
      <c r="G8" s="53"/>
      <c r="H8" s="5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30" customHeight="1" x14ac:dyDescent="0.25">
      <c r="A9" s="15" t="s">
        <v>52</v>
      </c>
      <c r="B9" s="5"/>
      <c r="C9" s="5"/>
      <c r="D9" s="5"/>
      <c r="E9" s="143" t="s">
        <v>76</v>
      </c>
      <c r="F9" s="35">
        <v>2013</v>
      </c>
      <c r="G9" s="35">
        <v>2014</v>
      </c>
      <c r="H9" s="35">
        <v>2015</v>
      </c>
      <c r="I9" s="35">
        <v>2016</v>
      </c>
      <c r="J9" s="35">
        <v>2017</v>
      </c>
      <c r="K9" s="35">
        <v>2018</v>
      </c>
      <c r="L9" s="35">
        <v>2019</v>
      </c>
      <c r="M9" s="144">
        <v>2020</v>
      </c>
      <c r="N9" s="379">
        <v>2021</v>
      </c>
      <c r="O9" s="387">
        <v>2022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30" customHeight="1" x14ac:dyDescent="0.25">
      <c r="A10" s="15" t="s">
        <v>70</v>
      </c>
      <c r="B10" s="5"/>
      <c r="C10" s="5"/>
      <c r="D10" s="5"/>
      <c r="E10" s="145" t="s">
        <v>65</v>
      </c>
      <c r="F10" s="146">
        <f>SUM(F16,F19:F23)-SUM(F40:F41,F42,F45,F46)</f>
        <v>890918.97500000009</v>
      </c>
      <c r="G10" s="146">
        <f t="shared" ref="G10:M10" si="0">SUM(G16,G19:G23)-SUM(G40:G41,G42,G45,G46)</f>
        <v>1009378.2250000001</v>
      </c>
      <c r="H10" s="146">
        <f t="shared" si="0"/>
        <v>1126067.2250000001</v>
      </c>
      <c r="I10" s="146">
        <f t="shared" si="0"/>
        <v>1401613</v>
      </c>
      <c r="J10" s="146">
        <f t="shared" si="0"/>
        <v>1668147</v>
      </c>
      <c r="K10" s="146">
        <f t="shared" si="0"/>
        <v>1914162</v>
      </c>
      <c r="L10" s="146">
        <f t="shared" si="0"/>
        <v>2541123</v>
      </c>
      <c r="M10" s="147">
        <f t="shared" si="0"/>
        <v>2891515</v>
      </c>
      <c r="N10" s="380">
        <f t="shared" ref="N10:O10" si="1">SUM(N16,N19:N23)-SUM(N40:N41,N42,N45,N46)</f>
        <v>3212519</v>
      </c>
      <c r="O10" s="385">
        <f t="shared" si="1"/>
        <v>4125436.4066472333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30" customHeight="1" x14ac:dyDescent="0.25">
      <c r="A11" s="21" t="s">
        <v>340</v>
      </c>
      <c r="B11" s="5"/>
      <c r="C11" s="5"/>
      <c r="D11" s="5"/>
      <c r="E11" s="145" t="s">
        <v>128</v>
      </c>
      <c r="F11" s="148">
        <f>F10/'DRE + DCF'!F15</f>
        <v>0.14293767895908804</v>
      </c>
      <c r="G11" s="148">
        <f>G10/'DRE + DCF'!G15</f>
        <v>0.13655804674217342</v>
      </c>
      <c r="H11" s="148">
        <f>H10/'DRE + DCF'!H15</f>
        <v>0.1265549937968154</v>
      </c>
      <c r="I11" s="148">
        <f>I10/'DRE + DCF'!I15</f>
        <v>0.12451516070843992</v>
      </c>
      <c r="J11" s="148">
        <f>J10/'DRE + DCF'!J15</f>
        <v>0.12625516508792239</v>
      </c>
      <c r="K11" s="148">
        <f>K10/'DRE + DCF'!K15</f>
        <v>0.12932264383646327</v>
      </c>
      <c r="L11" s="148">
        <f>L10/'DRE + DCF'!L15</f>
        <v>0.14466474245115452</v>
      </c>
      <c r="M11" s="149">
        <f>M10/'DRE + DCF'!M15</f>
        <v>0.14409418722628975</v>
      </c>
      <c r="N11" s="381">
        <f>N10/'DRE + DCF'!N15</f>
        <v>0.13315035991624655</v>
      </c>
      <c r="O11" s="388">
        <f>O10/'DRE + DCF'!O15</f>
        <v>0.14192666854209884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30" customHeight="1" x14ac:dyDescent="0.25">
      <c r="A12" s="12" t="s">
        <v>71</v>
      </c>
      <c r="B12" s="5"/>
      <c r="C12" s="5"/>
      <c r="D12" s="5"/>
      <c r="E12" s="150" t="s">
        <v>0</v>
      </c>
      <c r="F12" s="88">
        <v>3614094</v>
      </c>
      <c r="G12" s="88">
        <v>4079503</v>
      </c>
      <c r="H12" s="88">
        <v>4699201</v>
      </c>
      <c r="I12" s="88">
        <v>5659301</v>
      </c>
      <c r="J12" s="88">
        <v>6464250</v>
      </c>
      <c r="K12" s="88">
        <v>7352005</v>
      </c>
      <c r="L12" s="88">
        <v>12248255</v>
      </c>
      <c r="M12" s="106">
        <v>13828088</v>
      </c>
      <c r="N12" s="382">
        <f>N13+N24</f>
        <v>14775506</v>
      </c>
      <c r="O12" s="130">
        <f>O13+O24</f>
        <v>17243771.186694309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30" customHeight="1" x14ac:dyDescent="0.25">
      <c r="A13" s="21" t="s">
        <v>333</v>
      </c>
      <c r="B13" s="5"/>
      <c r="C13" s="5"/>
      <c r="D13" s="5"/>
      <c r="E13" s="151" t="s">
        <v>6</v>
      </c>
      <c r="F13" s="146">
        <v>1903576</v>
      </c>
      <c r="G13" s="146">
        <v>2272317</v>
      </c>
      <c r="H13" s="146">
        <v>2685844</v>
      </c>
      <c r="I13" s="146">
        <v>3427782</v>
      </c>
      <c r="J13" s="146">
        <v>3928204</v>
      </c>
      <c r="K13" s="146">
        <v>4529825</v>
      </c>
      <c r="L13" s="146">
        <v>5756046</v>
      </c>
      <c r="M13" s="152">
        <v>7020490</v>
      </c>
      <c r="N13" s="383">
        <f>N14+N19+N20+N21+N22+N23</f>
        <v>7718924</v>
      </c>
      <c r="O13" s="385">
        <f>O14+O19+O20+O21+O22+O23</f>
        <v>9577068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30" customHeight="1" x14ac:dyDescent="0.25">
      <c r="A14" s="21" t="s">
        <v>198</v>
      </c>
      <c r="B14" s="5"/>
      <c r="C14" s="5"/>
      <c r="D14" s="5"/>
      <c r="E14" s="153" t="s">
        <v>14</v>
      </c>
      <c r="F14" s="81">
        <v>241885</v>
      </c>
      <c r="G14" s="81">
        <v>281467</v>
      </c>
      <c r="H14" s="81">
        <v>266051</v>
      </c>
      <c r="I14" s="81">
        <v>276632</v>
      </c>
      <c r="J14" s="81">
        <v>264873</v>
      </c>
      <c r="K14" s="81">
        <v>241568</v>
      </c>
      <c r="L14" s="81">
        <v>299226</v>
      </c>
      <c r="M14" s="112">
        <v>880357</v>
      </c>
      <c r="N14" s="384">
        <v>356118</v>
      </c>
      <c r="O14" s="127">
        <v>433541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30" customHeight="1" x14ac:dyDescent="0.25">
      <c r="A15" s="15" t="s">
        <v>305</v>
      </c>
      <c r="B15" s="5"/>
      <c r="C15" s="5"/>
      <c r="D15" s="5"/>
      <c r="E15" s="145" t="s">
        <v>128</v>
      </c>
      <c r="F15" s="148">
        <f>F14/'DRE + DCF'!F15</f>
        <v>3.8807659781877481E-2</v>
      </c>
      <c r="G15" s="148">
        <f>G14/'DRE + DCF'!G15</f>
        <v>3.8079465942887095E-2</v>
      </c>
      <c r="H15" s="148">
        <f>H14/'DRE + DCF'!H15</f>
        <v>2.9900597324139799E-2</v>
      </c>
      <c r="I15" s="148">
        <f>I14/'DRE + DCF'!I15</f>
        <v>2.4575170134050663E-2</v>
      </c>
      <c r="J15" s="148">
        <f>J14/'DRE + DCF'!J15</f>
        <v>2.0047144731449487E-2</v>
      </c>
      <c r="K15" s="148">
        <f>K14/'DRE + DCF'!K15</f>
        <v>1.6320568701231535E-2</v>
      </c>
      <c r="L15" s="148">
        <f>L14/'DRE + DCF'!L15</f>
        <v>1.7034772509905725E-2</v>
      </c>
      <c r="M15" s="149">
        <f>M14/'DRE + DCF'!M15</f>
        <v>4.387123234151466E-2</v>
      </c>
      <c r="N15" s="381">
        <f>N14/'DRE + DCF'!N15</f>
        <v>1.4760143013209846E-2</v>
      </c>
      <c r="O15" s="388">
        <f>O14/'DRE + DCF'!Q15</f>
        <v>1.1444320287801409E-2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30" customHeight="1" x14ac:dyDescent="0.25">
      <c r="A16" s="21" t="s">
        <v>358</v>
      </c>
      <c r="B16" s="5"/>
      <c r="C16" s="5"/>
      <c r="D16" s="5"/>
      <c r="E16" s="154" t="s">
        <v>151</v>
      </c>
      <c r="F16" s="81">
        <f>IF(F15&gt;2.5%,2.5%*'DRE + DCF'!F15,'DRE + DCF'!F15*'Balanço Patrimonial'!F15)</f>
        <v>155822.97500000001</v>
      </c>
      <c r="G16" s="81">
        <f>IF(G15&gt;2.5%,2.5%*'DRE + DCF'!G15,'DRE + DCF'!G15*'Balanço Patrimonial'!G15)</f>
        <v>184789.22500000001</v>
      </c>
      <c r="H16" s="81">
        <f>IF(H15&gt;2.5%,2.5%*'DRE + DCF'!H15,'DRE + DCF'!H15*'Balanço Patrimonial'!H15)</f>
        <v>222446.22500000001</v>
      </c>
      <c r="I16" s="81">
        <f>IF(I15&gt;2.5%,2.5%*'DRE + DCF'!I15,'DRE + DCF'!I15*'Balanço Patrimonial'!I15)</f>
        <v>276632</v>
      </c>
      <c r="J16" s="81">
        <f>IF(J15&gt;2.5%,2.5%*'DRE + DCF'!J15,'DRE + DCF'!J15*'Balanço Patrimonial'!J15)</f>
        <v>264873</v>
      </c>
      <c r="K16" s="81">
        <f>IF(K15&gt;2.5%,2.5%*'DRE + DCF'!K15,'DRE + DCF'!K15*'Balanço Patrimonial'!K15)</f>
        <v>241568</v>
      </c>
      <c r="L16" s="81">
        <f>IF(L15&gt;2.5%,2.5%*'DRE + DCF'!L15,'DRE + DCF'!L15*'Balanço Patrimonial'!L15)</f>
        <v>299226</v>
      </c>
      <c r="M16" s="103">
        <f>IF(M15&gt;2.5%,2.5%*'DRE + DCF'!M15,'DRE + DCF'!M15*'Balanço Patrimonial'!M15)</f>
        <v>501671</v>
      </c>
      <c r="N16" s="100">
        <f>IF(N15&gt;2.5%,2.5%*'DRE + DCF'!N15,'DRE + DCF'!N15*'Balanço Patrimonial'!N15)</f>
        <v>356118</v>
      </c>
      <c r="O16" s="127">
        <f>IF(O15&gt;2.5%,2.5%*'DRE + DCF'!O15,'DRE + DCF'!O15*'Balanço Patrimonial'!O15)</f>
        <v>332656.40664723289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30" customHeight="1" x14ac:dyDescent="0.25">
      <c r="A17" s="21" t="s">
        <v>314</v>
      </c>
      <c r="B17" s="5"/>
      <c r="C17" s="5"/>
      <c r="D17" s="5"/>
      <c r="E17" s="154" t="s">
        <v>152</v>
      </c>
      <c r="F17" s="81">
        <f>F14-F16</f>
        <v>86062.024999999994</v>
      </c>
      <c r="G17" s="81">
        <f>G14-G16</f>
        <v>96677.774999999994</v>
      </c>
      <c r="H17" s="81">
        <f t="shared" ref="H17:M17" si="2">H14-H16</f>
        <v>43604.774999999994</v>
      </c>
      <c r="I17" s="81">
        <f t="shared" si="2"/>
        <v>0</v>
      </c>
      <c r="J17" s="81">
        <f t="shared" si="2"/>
        <v>0</v>
      </c>
      <c r="K17" s="81">
        <f t="shared" si="2"/>
        <v>0</v>
      </c>
      <c r="L17" s="81">
        <f t="shared" si="2"/>
        <v>0</v>
      </c>
      <c r="M17" s="103">
        <f t="shared" si="2"/>
        <v>378686</v>
      </c>
      <c r="N17" s="100">
        <f t="shared" ref="N17" si="3">N14-N16</f>
        <v>0</v>
      </c>
      <c r="O17" s="127">
        <f t="shared" ref="O17" si="4">O14-O16</f>
        <v>100884.59335276711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30" customHeight="1" x14ac:dyDescent="0.25">
      <c r="A18" s="15"/>
      <c r="B18" s="5"/>
      <c r="C18" s="5"/>
      <c r="D18" s="5"/>
      <c r="E18" s="153" t="s">
        <v>12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112">
        <v>0</v>
      </c>
      <c r="N18" s="384">
        <v>0</v>
      </c>
      <c r="O18" s="127">
        <v>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30" customHeight="1" x14ac:dyDescent="0.25">
      <c r="A19" s="15"/>
      <c r="B19" s="5"/>
      <c r="C19" s="5"/>
      <c r="D19" s="5"/>
      <c r="E19" s="153" t="s">
        <v>15</v>
      </c>
      <c r="F19" s="81">
        <v>373260</v>
      </c>
      <c r="G19" s="81">
        <v>482840</v>
      </c>
      <c r="H19" s="81">
        <v>601831</v>
      </c>
      <c r="I19" s="81">
        <v>772241</v>
      </c>
      <c r="J19" s="81">
        <v>930071</v>
      </c>
      <c r="K19" s="81">
        <v>1094236</v>
      </c>
      <c r="L19" s="81">
        <v>1433446</v>
      </c>
      <c r="M19" s="112">
        <v>1816456</v>
      </c>
      <c r="N19" s="384">
        <v>2000871</v>
      </c>
      <c r="O19" s="127">
        <v>2562521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30" customHeight="1" x14ac:dyDescent="0.25">
      <c r="A20" s="15"/>
      <c r="B20" s="5"/>
      <c r="C20" s="5"/>
      <c r="D20" s="5"/>
      <c r="E20" s="153" t="s">
        <v>7</v>
      </c>
      <c r="F20" s="81">
        <v>1132620</v>
      </c>
      <c r="G20" s="81">
        <v>1350971</v>
      </c>
      <c r="H20" s="81">
        <v>1650453</v>
      </c>
      <c r="I20" s="81">
        <v>2149468</v>
      </c>
      <c r="J20" s="81">
        <v>2517594</v>
      </c>
      <c r="K20" s="81">
        <v>3087275</v>
      </c>
      <c r="L20" s="81">
        <v>3851388</v>
      </c>
      <c r="M20" s="112">
        <v>4225408</v>
      </c>
      <c r="N20" s="384">
        <v>5117799</v>
      </c>
      <c r="O20" s="127">
        <v>6126056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30" customHeight="1" x14ac:dyDescent="0.25">
      <c r="A21" s="15"/>
      <c r="B21" s="5"/>
      <c r="C21" s="5"/>
      <c r="D21" s="5"/>
      <c r="E21" s="153" t="s">
        <v>16</v>
      </c>
      <c r="F21" s="81">
        <v>38658</v>
      </c>
      <c r="G21" s="81">
        <v>39429</v>
      </c>
      <c r="H21" s="81">
        <v>59530</v>
      </c>
      <c r="I21" s="81">
        <v>111772</v>
      </c>
      <c r="J21" s="81">
        <v>78777</v>
      </c>
      <c r="K21" s="81">
        <v>84852</v>
      </c>
      <c r="L21" s="81">
        <v>145617</v>
      </c>
      <c r="M21" s="112">
        <v>61531</v>
      </c>
      <c r="N21" s="384">
        <v>195777</v>
      </c>
      <c r="O21" s="127">
        <v>393336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30" customHeight="1" x14ac:dyDescent="0.25">
      <c r="A22" s="15"/>
      <c r="B22" s="5"/>
      <c r="C22" s="5"/>
      <c r="D22" s="5"/>
      <c r="E22" s="153" t="s">
        <v>10</v>
      </c>
      <c r="F22" s="81">
        <v>8200</v>
      </c>
      <c r="G22" s="81">
        <v>9972</v>
      </c>
      <c r="H22" s="81">
        <v>9718</v>
      </c>
      <c r="I22" s="81">
        <v>12558</v>
      </c>
      <c r="J22" s="81">
        <v>17885</v>
      </c>
      <c r="K22" s="81">
        <v>21894</v>
      </c>
      <c r="L22" s="81">
        <v>26369</v>
      </c>
      <c r="M22" s="112">
        <v>36738</v>
      </c>
      <c r="N22" s="384">
        <v>48359</v>
      </c>
      <c r="O22" s="127">
        <v>61614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30" customHeight="1" x14ac:dyDescent="0.25">
      <c r="A23" s="15"/>
      <c r="B23" s="5"/>
      <c r="C23" s="5"/>
      <c r="D23" s="5"/>
      <c r="E23" s="153" t="s">
        <v>8</v>
      </c>
      <c r="F23" s="81">
        <v>108953</v>
      </c>
      <c r="G23" s="81">
        <v>107638</v>
      </c>
      <c r="H23" s="81">
        <v>98261</v>
      </c>
      <c r="I23" s="81">
        <v>105111</v>
      </c>
      <c r="J23" s="81">
        <v>119004</v>
      </c>
      <c r="K23" s="81">
        <v>0</v>
      </c>
      <c r="L23" s="81">
        <v>0</v>
      </c>
      <c r="M23" s="112">
        <v>0</v>
      </c>
      <c r="N23" s="384">
        <v>0</v>
      </c>
      <c r="O23" s="127">
        <v>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30" customHeight="1" x14ac:dyDescent="0.25">
      <c r="A24" s="15"/>
      <c r="B24" s="5"/>
      <c r="C24" s="5"/>
      <c r="D24" s="5"/>
      <c r="E24" s="151" t="s">
        <v>11</v>
      </c>
      <c r="F24" s="146">
        <f t="shared" ref="F24:M24" si="5">SUM(F31,F25,F32,F35)</f>
        <v>1710518</v>
      </c>
      <c r="G24" s="146">
        <f t="shared" si="5"/>
        <v>1807186</v>
      </c>
      <c r="H24" s="146">
        <f t="shared" si="5"/>
        <v>2013357</v>
      </c>
      <c r="I24" s="146">
        <f t="shared" si="5"/>
        <v>2231519</v>
      </c>
      <c r="J24" s="146">
        <f t="shared" si="5"/>
        <v>2536046</v>
      </c>
      <c r="K24" s="146">
        <f t="shared" si="5"/>
        <v>2822180</v>
      </c>
      <c r="L24" s="146">
        <f t="shared" si="5"/>
        <v>6492209</v>
      </c>
      <c r="M24" s="147">
        <f t="shared" si="5"/>
        <v>6807598</v>
      </c>
      <c r="N24" s="380">
        <f>N25+N31+N32+N35</f>
        <v>7056582</v>
      </c>
      <c r="O24" s="385">
        <f>O25+O31+O32+O35</f>
        <v>7666703.186694311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30" customHeight="1" x14ac:dyDescent="0.25">
      <c r="A25" s="15"/>
      <c r="B25" s="5"/>
      <c r="C25" s="5"/>
      <c r="D25" s="5"/>
      <c r="E25" s="153" t="s">
        <v>17</v>
      </c>
      <c r="F25" s="81">
        <f t="shared" ref="F25:N25" si="6">SUM(F26:F30)</f>
        <v>23350</v>
      </c>
      <c r="G25" s="81">
        <f t="shared" si="6"/>
        <v>33549</v>
      </c>
      <c r="H25" s="81">
        <f t="shared" si="6"/>
        <v>44499</v>
      </c>
      <c r="I25" s="81">
        <f t="shared" si="6"/>
        <v>50857</v>
      </c>
      <c r="J25" s="81">
        <f t="shared" si="6"/>
        <v>68754</v>
      </c>
      <c r="K25" s="81">
        <f t="shared" si="6"/>
        <v>72832</v>
      </c>
      <c r="L25" s="81">
        <f t="shared" si="6"/>
        <v>432508</v>
      </c>
      <c r="M25" s="81">
        <f t="shared" si="6"/>
        <v>525424</v>
      </c>
      <c r="N25" s="100">
        <f t="shared" si="6"/>
        <v>239914</v>
      </c>
      <c r="O25" s="127">
        <f t="shared" ref="O25" si="7">SUM(O26:O30)</f>
        <v>349255.45435000001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30" customHeight="1" x14ac:dyDescent="0.25">
      <c r="A26" s="15"/>
      <c r="B26" s="5"/>
      <c r="C26" s="5"/>
      <c r="D26" s="5"/>
      <c r="E26" s="155" t="s">
        <v>13</v>
      </c>
      <c r="F26" s="81">
        <v>10763</v>
      </c>
      <c r="G26" s="81">
        <v>14116</v>
      </c>
      <c r="H26" s="81">
        <v>18730</v>
      </c>
      <c r="I26" s="81">
        <v>23007</v>
      </c>
      <c r="J26" s="81">
        <v>29215</v>
      </c>
      <c r="K26" s="81">
        <v>25770</v>
      </c>
      <c r="L26" s="81">
        <v>30001</v>
      </c>
      <c r="M26" s="103">
        <v>25753</v>
      </c>
      <c r="N26" s="100">
        <v>29951</v>
      </c>
      <c r="O26" s="127">
        <v>137623.45434999999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30" customHeight="1" x14ac:dyDescent="0.25">
      <c r="A27" s="15"/>
      <c r="B27" s="5"/>
      <c r="C27" s="5"/>
      <c r="D27" s="5"/>
      <c r="E27" s="155" t="s">
        <v>9</v>
      </c>
      <c r="F27" s="81">
        <v>11859</v>
      </c>
      <c r="G27" s="81">
        <v>17330</v>
      </c>
      <c r="H27" s="81">
        <v>23156</v>
      </c>
      <c r="I27" s="81">
        <v>22963</v>
      </c>
      <c r="J27" s="81">
        <v>34293</v>
      </c>
      <c r="K27" s="81">
        <v>44345</v>
      </c>
      <c r="L27" s="81">
        <v>68099</v>
      </c>
      <c r="M27" s="112">
        <v>111548</v>
      </c>
      <c r="N27" s="384">
        <v>132929</v>
      </c>
      <c r="O27" s="127">
        <v>121434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30" customHeight="1" x14ac:dyDescent="0.25">
      <c r="A28" s="15"/>
      <c r="B28" s="5"/>
      <c r="C28" s="5"/>
      <c r="D28" s="5"/>
      <c r="E28" s="155" t="s">
        <v>90</v>
      </c>
      <c r="F28" s="81">
        <v>0</v>
      </c>
      <c r="G28" s="81">
        <v>0</v>
      </c>
      <c r="H28" s="81">
        <v>0</v>
      </c>
      <c r="I28" s="81">
        <v>0</v>
      </c>
      <c r="J28" s="81">
        <v>0</v>
      </c>
      <c r="K28" s="81">
        <v>0</v>
      </c>
      <c r="L28" s="81">
        <v>0</v>
      </c>
      <c r="M28" s="112">
        <v>36261</v>
      </c>
      <c r="N28" s="384">
        <v>49047</v>
      </c>
      <c r="O28" s="127">
        <v>10357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30" customHeight="1" x14ac:dyDescent="0.25">
      <c r="A29" s="15"/>
      <c r="B29" s="5"/>
      <c r="C29" s="5"/>
      <c r="D29" s="5"/>
      <c r="E29" s="155" t="s">
        <v>19</v>
      </c>
      <c r="F29" s="81">
        <v>728</v>
      </c>
      <c r="G29" s="81">
        <v>2103</v>
      </c>
      <c r="H29" s="81">
        <v>2613</v>
      </c>
      <c r="I29" s="81">
        <v>4887</v>
      </c>
      <c r="J29" s="81">
        <v>5246</v>
      </c>
      <c r="K29" s="81">
        <f>1589+1128</f>
        <v>2717</v>
      </c>
      <c r="L29" s="81">
        <f>894+587</f>
        <v>1481</v>
      </c>
      <c r="M29" s="103">
        <f>3502+6454</f>
        <v>9956</v>
      </c>
      <c r="N29" s="100">
        <f>571+5189</f>
        <v>5760</v>
      </c>
      <c r="O29" s="127">
        <f>61614+4426</f>
        <v>66040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30" customHeight="1" x14ac:dyDescent="0.25">
      <c r="A30" s="15"/>
      <c r="B30" s="5"/>
      <c r="C30" s="5"/>
      <c r="D30" s="5"/>
      <c r="E30" s="153" t="s">
        <v>93</v>
      </c>
      <c r="F30" s="81">
        <v>0</v>
      </c>
      <c r="G30" s="81">
        <v>0</v>
      </c>
      <c r="H30" s="81">
        <v>0</v>
      </c>
      <c r="I30" s="81">
        <v>0</v>
      </c>
      <c r="J30" s="81">
        <v>0</v>
      </c>
      <c r="K30" s="81">
        <v>0</v>
      </c>
      <c r="L30" s="81">
        <v>332927</v>
      </c>
      <c r="M30" s="103">
        <v>341906</v>
      </c>
      <c r="N30" s="100">
        <v>22227</v>
      </c>
      <c r="O30" s="127">
        <v>13801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30" customHeight="1" x14ac:dyDescent="0.25">
      <c r="A31" s="15"/>
      <c r="B31" s="5"/>
      <c r="C31" s="5"/>
      <c r="D31" s="5"/>
      <c r="E31" s="153" t="s">
        <v>200</v>
      </c>
      <c r="F31" s="81">
        <v>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103">
        <v>0</v>
      </c>
      <c r="N31" s="100">
        <v>830</v>
      </c>
      <c r="O31" s="127">
        <v>4477.8735500000712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30" customHeight="1" x14ac:dyDescent="0.25">
      <c r="A32" s="15"/>
      <c r="B32" s="5"/>
      <c r="C32" s="5"/>
      <c r="D32" s="5"/>
      <c r="E32" s="153" t="s">
        <v>20</v>
      </c>
      <c r="F32" s="81">
        <f>SUM(F33:F34)</f>
        <v>536629</v>
      </c>
      <c r="G32" s="81">
        <f t="shared" ref="G32:M32" si="8">SUM(G33:G34)</f>
        <v>648360</v>
      </c>
      <c r="H32" s="81">
        <f t="shared" si="8"/>
        <v>801985</v>
      </c>
      <c r="I32" s="81">
        <f t="shared" si="8"/>
        <v>1006606</v>
      </c>
      <c r="J32" s="81">
        <f t="shared" si="8"/>
        <v>1276276</v>
      </c>
      <c r="K32" s="81">
        <f t="shared" si="8"/>
        <v>1546960</v>
      </c>
      <c r="L32" s="81">
        <f t="shared" si="8"/>
        <v>4814260</v>
      </c>
      <c r="M32" s="103">
        <f t="shared" si="8"/>
        <v>5020465</v>
      </c>
      <c r="N32" s="100">
        <f t="shared" ref="N32" si="9">SUM(N33:N34)</f>
        <v>5329587</v>
      </c>
      <c r="O32" s="127">
        <v>5574857.1546500009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30" customHeight="1" x14ac:dyDescent="0.25">
      <c r="A33" s="15"/>
      <c r="B33" s="5"/>
      <c r="C33" s="5"/>
      <c r="D33" s="5"/>
      <c r="E33" s="155" t="s">
        <v>21</v>
      </c>
      <c r="F33" s="81">
        <v>536629</v>
      </c>
      <c r="G33" s="81">
        <v>648360</v>
      </c>
      <c r="H33" s="81">
        <v>801985</v>
      </c>
      <c r="I33" s="81">
        <v>1006606</v>
      </c>
      <c r="J33" s="81">
        <v>1276276</v>
      </c>
      <c r="K33" s="81">
        <v>1546960</v>
      </c>
      <c r="L33" s="113">
        <v>1777735</v>
      </c>
      <c r="M33" s="103">
        <v>1859220</v>
      </c>
      <c r="N33" s="100">
        <v>1999020</v>
      </c>
      <c r="O33" s="127">
        <v>2196405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30" customHeight="1" x14ac:dyDescent="0.25">
      <c r="A34" s="15"/>
      <c r="B34" s="5"/>
      <c r="C34" s="5"/>
      <c r="D34" s="5"/>
      <c r="E34" s="155" t="s">
        <v>94</v>
      </c>
      <c r="F34" s="81">
        <v>0</v>
      </c>
      <c r="G34" s="81">
        <v>0</v>
      </c>
      <c r="H34" s="81">
        <v>0</v>
      </c>
      <c r="I34" s="81">
        <v>0</v>
      </c>
      <c r="J34" s="81">
        <v>0</v>
      </c>
      <c r="K34" s="81">
        <v>0</v>
      </c>
      <c r="L34" s="81">
        <v>3036525</v>
      </c>
      <c r="M34" s="103">
        <v>3161245</v>
      </c>
      <c r="N34" s="100">
        <v>3330567</v>
      </c>
      <c r="O34" s="127">
        <v>3378452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30" customHeight="1" x14ac:dyDescent="0.25">
      <c r="A35" s="15"/>
      <c r="B35" s="5"/>
      <c r="C35" s="5"/>
      <c r="D35" s="5"/>
      <c r="E35" s="153" t="s">
        <v>22</v>
      </c>
      <c r="F35" s="81">
        <v>1150539</v>
      </c>
      <c r="G35" s="81">
        <v>1125277</v>
      </c>
      <c r="H35" s="81">
        <v>1166873</v>
      </c>
      <c r="I35" s="81">
        <v>1174056</v>
      </c>
      <c r="J35" s="81">
        <v>1191016</v>
      </c>
      <c r="K35" s="81">
        <v>1202388</v>
      </c>
      <c r="L35" s="81">
        <v>1245441</v>
      </c>
      <c r="M35" s="103">
        <v>1261709</v>
      </c>
      <c r="N35" s="100">
        <v>1486251</v>
      </c>
      <c r="O35" s="127">
        <v>1738112.7041443097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30" customHeight="1" x14ac:dyDescent="0.25">
      <c r="A36" s="15"/>
      <c r="B36" s="5"/>
      <c r="C36" s="5"/>
      <c r="D36" s="5"/>
      <c r="E36" s="155" t="s">
        <v>23</v>
      </c>
      <c r="F36" s="81">
        <f>F35-F37</f>
        <v>198867</v>
      </c>
      <c r="G36" s="81">
        <f t="shared" ref="G36:M36" si="10">G35-G37</f>
        <v>173605</v>
      </c>
      <c r="H36" s="81">
        <f t="shared" si="10"/>
        <v>184822</v>
      </c>
      <c r="I36" s="81">
        <f t="shared" si="10"/>
        <v>193019</v>
      </c>
      <c r="J36" s="81">
        <f t="shared" si="10"/>
        <v>210993</v>
      </c>
      <c r="K36" s="81">
        <f t="shared" si="10"/>
        <v>235216</v>
      </c>
      <c r="L36" s="81">
        <f t="shared" si="10"/>
        <v>262774</v>
      </c>
      <c r="M36" s="103">
        <f t="shared" si="10"/>
        <v>279307</v>
      </c>
      <c r="N36" s="102">
        <f t="shared" ref="N36" si="11">N35-N37</f>
        <v>372553</v>
      </c>
      <c r="O36" s="81">
        <v>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30" customHeight="1" x14ac:dyDescent="0.25">
      <c r="A37" s="15"/>
      <c r="B37" s="5"/>
      <c r="C37" s="5"/>
      <c r="D37" s="5"/>
      <c r="E37" s="155" t="s">
        <v>91</v>
      </c>
      <c r="F37" s="81">
        <v>951672</v>
      </c>
      <c r="G37" s="81">
        <v>951672</v>
      </c>
      <c r="H37" s="81">
        <v>982051</v>
      </c>
      <c r="I37" s="81">
        <v>981037</v>
      </c>
      <c r="J37" s="81">
        <v>980023</v>
      </c>
      <c r="K37" s="81">
        <v>967172</v>
      </c>
      <c r="L37" s="81">
        <v>982667</v>
      </c>
      <c r="M37" s="103">
        <v>982402</v>
      </c>
      <c r="N37" s="102">
        <f>19888+780084+25563+20886+153930+10524+5617+7120+90086</f>
        <v>1113698</v>
      </c>
      <c r="O37" s="81">
        <v>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30" customHeight="1" x14ac:dyDescent="0.25">
      <c r="A38" s="15"/>
      <c r="B38" s="5"/>
      <c r="C38" s="5"/>
      <c r="D38" s="5"/>
      <c r="E38" s="156" t="s">
        <v>1</v>
      </c>
      <c r="F38" s="88">
        <v>1287109</v>
      </c>
      <c r="G38" s="88">
        <v>1620662</v>
      </c>
      <c r="H38" s="88">
        <v>2042403</v>
      </c>
      <c r="I38" s="88">
        <v>2723348</v>
      </c>
      <c r="J38" s="88">
        <v>3213877</v>
      </c>
      <c r="K38" s="88">
        <f t="shared" ref="K38:N38" si="12">K39+K48</f>
        <v>3817238</v>
      </c>
      <c r="L38" s="88">
        <f t="shared" si="12"/>
        <v>8171836</v>
      </c>
      <c r="M38" s="109">
        <f t="shared" si="12"/>
        <v>9402467</v>
      </c>
      <c r="N38" s="107">
        <f t="shared" si="12"/>
        <v>10056704</v>
      </c>
      <c r="O38" s="130">
        <f t="shared" ref="O38" si="13">O39+O48</f>
        <v>11774018.56834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30" customHeight="1" x14ac:dyDescent="0.25">
      <c r="A39" s="15"/>
      <c r="B39" s="5"/>
      <c r="C39" s="5"/>
      <c r="D39" s="5"/>
      <c r="E39" s="151" t="s">
        <v>24</v>
      </c>
      <c r="F39" s="146">
        <v>1020003</v>
      </c>
      <c r="G39" s="146">
        <v>1298611</v>
      </c>
      <c r="H39" s="146">
        <v>1648766</v>
      </c>
      <c r="I39" s="146">
        <v>2184684</v>
      </c>
      <c r="J39" s="146">
        <v>2493779</v>
      </c>
      <c r="K39" s="146">
        <v>2913445</v>
      </c>
      <c r="L39" s="146">
        <v>4078485</v>
      </c>
      <c r="M39" s="147">
        <v>4801303</v>
      </c>
      <c r="N39" s="380">
        <f>SUM(N40:N47)</f>
        <v>5896193</v>
      </c>
      <c r="O39" s="385">
        <f>SUM(O40:O47)</f>
        <v>6358821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30" customHeight="1" x14ac:dyDescent="0.25">
      <c r="A40" s="15"/>
      <c r="B40" s="5"/>
      <c r="C40" s="5"/>
      <c r="D40" s="5"/>
      <c r="E40" s="153" t="s">
        <v>25</v>
      </c>
      <c r="F40" s="81">
        <v>116352</v>
      </c>
      <c r="G40" s="81">
        <v>142635</v>
      </c>
      <c r="H40" s="81">
        <v>165409</v>
      </c>
      <c r="I40" s="81">
        <v>199378</v>
      </c>
      <c r="J40" s="81">
        <v>202799</v>
      </c>
      <c r="K40" s="81">
        <v>237541</v>
      </c>
      <c r="L40" s="81">
        <v>296674</v>
      </c>
      <c r="M40" s="103">
        <v>309160</v>
      </c>
      <c r="N40" s="100">
        <v>420356</v>
      </c>
      <c r="O40" s="127">
        <v>561623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30" customHeight="1" x14ac:dyDescent="0.25">
      <c r="A41" s="15"/>
      <c r="B41" s="5"/>
      <c r="C41" s="5"/>
      <c r="D41" s="5"/>
      <c r="E41" s="153" t="s">
        <v>26</v>
      </c>
      <c r="F41" s="81">
        <v>671455</v>
      </c>
      <c r="G41" s="81">
        <v>886533</v>
      </c>
      <c r="H41" s="81">
        <v>1203382</v>
      </c>
      <c r="I41" s="81">
        <v>1615587</v>
      </c>
      <c r="J41" s="81">
        <v>1815687</v>
      </c>
      <c r="K41" s="81">
        <v>2141274</v>
      </c>
      <c r="L41" s="81">
        <v>2653236</v>
      </c>
      <c r="M41" s="103">
        <v>3106938</v>
      </c>
      <c r="N41" s="100">
        <v>3656607</v>
      </c>
      <c r="O41" s="127">
        <v>4252361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30" customHeight="1" x14ac:dyDescent="0.25">
      <c r="A42" s="15"/>
      <c r="B42" s="5"/>
      <c r="C42" s="5"/>
      <c r="D42" s="5"/>
      <c r="E42" s="153" t="s">
        <v>30</v>
      </c>
      <c r="F42" s="81">
        <v>65920</v>
      </c>
      <c r="G42" s="81">
        <v>43516</v>
      </c>
      <c r="H42" s="81">
        <v>55878</v>
      </c>
      <c r="I42" s="81">
        <v>96731</v>
      </c>
      <c r="J42" s="81">
        <v>130432</v>
      </c>
      <c r="K42" s="81">
        <v>92964</v>
      </c>
      <c r="L42" s="81">
        <v>102671</v>
      </c>
      <c r="M42" s="103">
        <v>138671</v>
      </c>
      <c r="N42" s="100">
        <v>154773</v>
      </c>
      <c r="O42" s="127">
        <v>211508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30" customHeight="1" x14ac:dyDescent="0.25">
      <c r="A43" s="15"/>
      <c r="B43" s="5"/>
      <c r="C43" s="5"/>
      <c r="D43" s="5"/>
      <c r="E43" s="153" t="s">
        <v>29</v>
      </c>
      <c r="F43" s="81">
        <v>83944</v>
      </c>
      <c r="G43" s="81">
        <v>103686</v>
      </c>
      <c r="H43" s="81">
        <v>108192</v>
      </c>
      <c r="I43" s="81">
        <v>132581</v>
      </c>
      <c r="J43" s="81">
        <v>196248</v>
      </c>
      <c r="K43" s="81">
        <v>272939</v>
      </c>
      <c r="L43" s="81">
        <v>228661</v>
      </c>
      <c r="M43" s="103">
        <v>531204</v>
      </c>
      <c r="N43" s="100">
        <v>613831</v>
      </c>
      <c r="O43" s="127">
        <v>186356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30" customHeight="1" x14ac:dyDescent="0.25">
      <c r="A44" s="15"/>
      <c r="B44" s="5"/>
      <c r="C44" s="5"/>
      <c r="D44" s="5"/>
      <c r="E44" s="153" t="s">
        <v>95</v>
      </c>
      <c r="F44" s="81">
        <v>9464</v>
      </c>
      <c r="G44" s="81">
        <v>28664</v>
      </c>
      <c r="H44" s="81">
        <v>24402</v>
      </c>
      <c r="I44" s="81">
        <v>25934</v>
      </c>
      <c r="J44" s="81">
        <v>37474</v>
      </c>
      <c r="K44" s="81">
        <v>24843</v>
      </c>
      <c r="L44" s="81">
        <v>68255</v>
      </c>
      <c r="M44" s="103">
        <v>16492</v>
      </c>
      <c r="N44" s="100">
        <v>76787</v>
      </c>
      <c r="O44" s="127">
        <v>62417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30" customHeight="1" x14ac:dyDescent="0.25">
      <c r="A45" s="15"/>
      <c r="B45" s="5"/>
      <c r="C45" s="5"/>
      <c r="D45" s="5"/>
      <c r="E45" s="153" t="s">
        <v>28</v>
      </c>
      <c r="F45" s="81">
        <v>67956</v>
      </c>
      <c r="G45" s="81">
        <v>88368</v>
      </c>
      <c r="H45" s="81">
        <v>88157</v>
      </c>
      <c r="I45" s="81">
        <v>92970</v>
      </c>
      <c r="J45" s="81">
        <v>108415</v>
      </c>
      <c r="K45" s="81">
        <v>119350</v>
      </c>
      <c r="L45" s="81">
        <f>60814+44213</f>
        <v>105027</v>
      </c>
      <c r="M45" s="103">
        <f>69322+56775</f>
        <v>126097</v>
      </c>
      <c r="N45" s="100">
        <f>84060+82056</f>
        <v>166116</v>
      </c>
      <c r="O45" s="127">
        <f>93940+81917</f>
        <v>175857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30" customHeight="1" x14ac:dyDescent="0.25">
      <c r="A46" s="15"/>
      <c r="B46" s="5"/>
      <c r="C46" s="5"/>
      <c r="D46" s="5"/>
      <c r="E46" s="153" t="s">
        <v>31</v>
      </c>
      <c r="F46" s="81">
        <v>4912</v>
      </c>
      <c r="G46" s="81">
        <v>5209</v>
      </c>
      <c r="H46" s="81">
        <v>3346</v>
      </c>
      <c r="I46" s="81">
        <v>21503</v>
      </c>
      <c r="J46" s="81">
        <v>2724</v>
      </c>
      <c r="K46" s="81">
        <v>24534</v>
      </c>
      <c r="L46" s="81">
        <v>57315</v>
      </c>
      <c r="M46" s="103">
        <v>69423</v>
      </c>
      <c r="N46" s="100">
        <v>108553</v>
      </c>
      <c r="O46" s="127">
        <v>149398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30" customHeight="1" x14ac:dyDescent="0.25">
      <c r="A47" s="15"/>
      <c r="B47" s="5"/>
      <c r="C47" s="5"/>
      <c r="D47" s="5"/>
      <c r="E47" s="153" t="s">
        <v>38</v>
      </c>
      <c r="F47" s="81">
        <v>0</v>
      </c>
      <c r="G47" s="81">
        <v>0</v>
      </c>
      <c r="H47" s="81">
        <v>0</v>
      </c>
      <c r="I47" s="81">
        <v>0</v>
      </c>
      <c r="J47" s="81">
        <v>0</v>
      </c>
      <c r="K47" s="81">
        <v>0</v>
      </c>
      <c r="L47" s="81">
        <v>566646</v>
      </c>
      <c r="M47" s="103">
        <v>503318</v>
      </c>
      <c r="N47" s="100">
        <v>699170</v>
      </c>
      <c r="O47" s="127">
        <v>759301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30" customHeight="1" x14ac:dyDescent="0.25">
      <c r="A48" s="15"/>
      <c r="B48" s="5"/>
      <c r="C48" s="5"/>
      <c r="D48" s="5"/>
      <c r="E48" s="151" t="s">
        <v>2</v>
      </c>
      <c r="F48" s="146">
        <v>267106</v>
      </c>
      <c r="G48" s="146">
        <v>322051</v>
      </c>
      <c r="H48" s="146">
        <v>393637</v>
      </c>
      <c r="I48" s="146">
        <v>538664</v>
      </c>
      <c r="J48" s="146">
        <v>720098</v>
      </c>
      <c r="K48" s="146">
        <v>903793</v>
      </c>
      <c r="L48" s="146">
        <v>4093351</v>
      </c>
      <c r="M48" s="147">
        <v>4601164</v>
      </c>
      <c r="N48" s="380">
        <f>SUM(N49:N51,N53:N55)</f>
        <v>4160511</v>
      </c>
      <c r="O48" s="385">
        <f>SUM(O49:O51,O53:O55)</f>
        <v>5415197.5683399998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30" customHeight="1" x14ac:dyDescent="0.25">
      <c r="A49" s="15"/>
      <c r="B49" s="5"/>
      <c r="C49" s="5"/>
      <c r="D49" s="5"/>
      <c r="E49" s="153" t="s">
        <v>29</v>
      </c>
      <c r="F49" s="81">
        <v>160881</v>
      </c>
      <c r="G49" s="81">
        <v>188200</v>
      </c>
      <c r="H49" s="81">
        <v>188196</v>
      </c>
      <c r="I49" s="81">
        <v>281387</v>
      </c>
      <c r="J49" s="81">
        <v>414711</v>
      </c>
      <c r="K49" s="81">
        <v>570211</v>
      </c>
      <c r="L49" s="81">
        <v>897815</v>
      </c>
      <c r="M49" s="103">
        <v>1122250</v>
      </c>
      <c r="N49" s="100">
        <v>891391</v>
      </c>
      <c r="O49" s="127">
        <v>2131548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30" customHeight="1" x14ac:dyDescent="0.25">
      <c r="A50" s="15"/>
      <c r="B50" s="5"/>
      <c r="C50" s="5"/>
      <c r="D50" s="5"/>
      <c r="E50" s="153" t="s">
        <v>27</v>
      </c>
      <c r="F50" s="81">
        <v>4224</v>
      </c>
      <c r="G50" s="81">
        <v>3792</v>
      </c>
      <c r="H50" s="81">
        <v>36108</v>
      </c>
      <c r="I50" s="81">
        <v>61499</v>
      </c>
      <c r="J50" s="81">
        <v>68503</v>
      </c>
      <c r="K50" s="81">
        <v>46948</v>
      </c>
      <c r="L50" s="81">
        <f>11436+42113</f>
        <v>53549</v>
      </c>
      <c r="M50" s="103">
        <f>13188+46448</f>
        <v>59636</v>
      </c>
      <c r="N50" s="100">
        <f>114898+37943</f>
        <v>152841</v>
      </c>
      <c r="O50" s="127">
        <v>230271.77260999999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0" customHeight="1" x14ac:dyDescent="0.25">
      <c r="A51" s="15"/>
      <c r="B51" s="5"/>
      <c r="C51" s="5"/>
      <c r="D51" s="5"/>
      <c r="E51" s="153" t="s">
        <v>18</v>
      </c>
      <c r="F51" s="81">
        <f>F52</f>
        <v>93980</v>
      </c>
      <c r="G51" s="81">
        <f t="shared" ref="G51:M51" si="14">G52</f>
        <v>125946</v>
      </c>
      <c r="H51" s="81">
        <f t="shared" si="14"/>
        <v>165981</v>
      </c>
      <c r="I51" s="81">
        <f t="shared" si="14"/>
        <v>193187</v>
      </c>
      <c r="J51" s="81">
        <f t="shared" si="14"/>
        <v>228714</v>
      </c>
      <c r="K51" s="81">
        <f t="shared" si="14"/>
        <v>237757</v>
      </c>
      <c r="L51" s="81">
        <f t="shared" si="14"/>
        <v>123986</v>
      </c>
      <c r="M51" s="103">
        <f t="shared" si="14"/>
        <v>74428</v>
      </c>
      <c r="N51" s="100">
        <v>89011</v>
      </c>
      <c r="O51" s="127">
        <v>17659.119899999991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0" customHeight="1" x14ac:dyDescent="0.25">
      <c r="A52" s="15"/>
      <c r="B52" s="5"/>
      <c r="C52" s="5"/>
      <c r="D52" s="5"/>
      <c r="E52" s="155" t="s">
        <v>32</v>
      </c>
      <c r="F52" s="81">
        <v>93980</v>
      </c>
      <c r="G52" s="81">
        <v>125946</v>
      </c>
      <c r="H52" s="81">
        <v>165981</v>
      </c>
      <c r="I52" s="81">
        <v>193187</v>
      </c>
      <c r="J52" s="81">
        <v>228714</v>
      </c>
      <c r="K52" s="81">
        <v>237757</v>
      </c>
      <c r="L52" s="81">
        <v>123986</v>
      </c>
      <c r="M52" s="103">
        <v>74428</v>
      </c>
      <c r="N52" s="100">
        <v>89011</v>
      </c>
      <c r="O52" s="127">
        <v>17659.119899999991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30" customHeight="1" x14ac:dyDescent="0.25">
      <c r="A53" s="15"/>
      <c r="B53" s="5"/>
      <c r="C53" s="5"/>
      <c r="D53" s="5"/>
      <c r="E53" s="153" t="s">
        <v>31</v>
      </c>
      <c r="F53" s="81">
        <v>8021</v>
      </c>
      <c r="G53" s="81">
        <v>4113</v>
      </c>
      <c r="H53" s="81">
        <v>3352</v>
      </c>
      <c r="I53" s="81">
        <v>2591</v>
      </c>
      <c r="J53" s="81">
        <v>8170</v>
      </c>
      <c r="K53" s="81">
        <v>48877</v>
      </c>
      <c r="L53" s="81">
        <v>67114</v>
      </c>
      <c r="M53" s="103">
        <v>75400</v>
      </c>
      <c r="N53" s="100">
        <v>53540</v>
      </c>
      <c r="O53" s="127">
        <v>55011.675830000007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30" customHeight="1" x14ac:dyDescent="0.25">
      <c r="A54" s="15"/>
      <c r="B54" s="5"/>
      <c r="C54" s="5"/>
      <c r="D54" s="5"/>
      <c r="E54" s="153" t="s">
        <v>96</v>
      </c>
      <c r="F54" s="81">
        <v>0</v>
      </c>
      <c r="G54" s="81">
        <v>0</v>
      </c>
      <c r="H54" s="81">
        <v>0</v>
      </c>
      <c r="I54" s="81">
        <v>0</v>
      </c>
      <c r="J54" s="81">
        <v>0</v>
      </c>
      <c r="K54" s="81">
        <v>0</v>
      </c>
      <c r="L54" s="81">
        <v>332900</v>
      </c>
      <c r="M54" s="103">
        <v>341843</v>
      </c>
      <c r="N54" s="100">
        <v>0</v>
      </c>
      <c r="O54" s="127">
        <v>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30" customHeight="1" x14ac:dyDescent="0.25">
      <c r="A55" s="15"/>
      <c r="B55" s="5"/>
      <c r="C55" s="5"/>
      <c r="D55" s="5"/>
      <c r="E55" s="153" t="s">
        <v>38</v>
      </c>
      <c r="F55" s="81">
        <v>0</v>
      </c>
      <c r="G55" s="81">
        <v>0</v>
      </c>
      <c r="H55" s="81">
        <v>0</v>
      </c>
      <c r="I55" s="81">
        <v>0</v>
      </c>
      <c r="J55" s="81">
        <v>0</v>
      </c>
      <c r="K55" s="81">
        <v>0</v>
      </c>
      <c r="L55" s="81">
        <v>2617987</v>
      </c>
      <c r="M55" s="103">
        <v>2927607</v>
      </c>
      <c r="N55" s="100">
        <v>2973728</v>
      </c>
      <c r="O55" s="127">
        <v>2980707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30" customHeight="1" x14ac:dyDescent="0.25">
      <c r="A56" s="15"/>
      <c r="B56" s="5"/>
      <c r="C56" s="5"/>
      <c r="D56" s="5"/>
      <c r="E56" s="156" t="s">
        <v>3</v>
      </c>
      <c r="F56" s="88">
        <f>SUM(F57:F64)</f>
        <v>2326982</v>
      </c>
      <c r="G56" s="88">
        <f t="shared" ref="G56:M56" si="15">SUM(G57:G64)</f>
        <v>2458841</v>
      </c>
      <c r="H56" s="88">
        <f t="shared" si="15"/>
        <v>2656798</v>
      </c>
      <c r="I56" s="88">
        <f t="shared" si="15"/>
        <v>2935955</v>
      </c>
      <c r="J56" s="88">
        <f t="shared" si="15"/>
        <v>3250373</v>
      </c>
      <c r="K56" s="88">
        <f t="shared" si="15"/>
        <v>3534767</v>
      </c>
      <c r="L56" s="88">
        <f t="shared" si="15"/>
        <v>4076419</v>
      </c>
      <c r="M56" s="109">
        <f t="shared" si="15"/>
        <v>4425621</v>
      </c>
      <c r="N56" s="107">
        <f t="shared" ref="N56" si="16">SUM(N57:N64)</f>
        <v>4718802</v>
      </c>
      <c r="O56" s="130">
        <f t="shared" ref="O56" si="17">SUM(O57:O64)</f>
        <v>5402939.7536200006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30" customHeight="1" x14ac:dyDescent="0.25">
      <c r="A57" s="15"/>
      <c r="B57" s="5"/>
      <c r="C57" s="5"/>
      <c r="D57" s="5"/>
      <c r="E57" s="157" t="s">
        <v>4</v>
      </c>
      <c r="F57" s="81">
        <v>908639</v>
      </c>
      <c r="G57" s="81">
        <v>909407</v>
      </c>
      <c r="H57" s="81">
        <v>1808639</v>
      </c>
      <c r="I57" s="81">
        <v>1808639</v>
      </c>
      <c r="J57" s="81">
        <v>1808639</v>
      </c>
      <c r="K57" s="81">
        <v>1808639</v>
      </c>
      <c r="L57" s="81">
        <v>2500000</v>
      </c>
      <c r="M57" s="103">
        <v>2500000</v>
      </c>
      <c r="N57" s="100">
        <v>2500000</v>
      </c>
      <c r="O57" s="127">
        <v>2500000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30" customHeight="1" x14ac:dyDescent="0.25">
      <c r="A58" s="15"/>
      <c r="B58" s="5"/>
      <c r="C58" s="5"/>
      <c r="D58" s="5"/>
      <c r="E58" s="157" t="s">
        <v>37</v>
      </c>
      <c r="F58" s="81">
        <v>1039935</v>
      </c>
      <c r="G58" s="81">
        <v>1019791</v>
      </c>
      <c r="H58" s="81">
        <v>128767</v>
      </c>
      <c r="I58" s="81">
        <v>138553</v>
      </c>
      <c r="J58" s="81">
        <v>151156</v>
      </c>
      <c r="K58" s="81">
        <v>116363</v>
      </c>
      <c r="L58" s="81">
        <v>129768</v>
      </c>
      <c r="M58" s="103">
        <v>148029</v>
      </c>
      <c r="N58" s="100">
        <v>89914</v>
      </c>
      <c r="O58" s="127">
        <v>112761.55773999999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30" customHeight="1" x14ac:dyDescent="0.25">
      <c r="A59" s="15"/>
      <c r="B59" s="5"/>
      <c r="C59" s="5"/>
      <c r="D59" s="5"/>
      <c r="E59" s="157" t="s">
        <v>33</v>
      </c>
      <c r="F59" s="81">
        <v>12941</v>
      </c>
      <c r="G59" s="81">
        <v>12755</v>
      </c>
      <c r="H59" s="81">
        <v>12569</v>
      </c>
      <c r="I59" s="81">
        <v>12383</v>
      </c>
      <c r="J59" s="81">
        <v>12197</v>
      </c>
      <c r="K59" s="81">
        <v>0</v>
      </c>
      <c r="L59" s="81">
        <v>0</v>
      </c>
      <c r="M59" s="103">
        <v>0</v>
      </c>
      <c r="N59" s="102">
        <v>0</v>
      </c>
      <c r="O59" s="399">
        <v>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30" customHeight="1" x14ac:dyDescent="0.25">
      <c r="A60" s="15"/>
      <c r="B60" s="5"/>
      <c r="C60" s="5"/>
      <c r="D60" s="5"/>
      <c r="E60" s="157" t="s">
        <v>34</v>
      </c>
      <c r="F60" s="81">
        <v>357169</v>
      </c>
      <c r="G60" s="81">
        <v>475420</v>
      </c>
      <c r="H60" s="81">
        <v>665821</v>
      </c>
      <c r="I60" s="81">
        <v>919118</v>
      </c>
      <c r="J60" s="81">
        <v>1228149</v>
      </c>
      <c r="K60" s="81">
        <v>1522073</v>
      </c>
      <c r="L60" s="81">
        <v>1371984</v>
      </c>
      <c r="M60" s="103">
        <v>1664172</v>
      </c>
      <c r="N60" s="102">
        <v>2072984</v>
      </c>
      <c r="O60" s="113">
        <v>2716768.20634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30" customHeight="1" x14ac:dyDescent="0.25">
      <c r="A61" s="15"/>
      <c r="B61" s="5"/>
      <c r="C61" s="5"/>
      <c r="D61" s="5"/>
      <c r="E61" s="157" t="s">
        <v>36</v>
      </c>
      <c r="F61" s="81">
        <v>0</v>
      </c>
      <c r="G61" s="81">
        <v>1137</v>
      </c>
      <c r="H61" s="81">
        <v>0</v>
      </c>
      <c r="I61" s="81">
        <v>0</v>
      </c>
      <c r="J61" s="81">
        <v>0</v>
      </c>
      <c r="K61" s="81">
        <v>0</v>
      </c>
      <c r="L61" s="81">
        <v>0</v>
      </c>
      <c r="M61" s="103">
        <v>0</v>
      </c>
      <c r="N61" s="102">
        <v>0</v>
      </c>
      <c r="O61" s="100">
        <v>0</v>
      </c>
      <c r="P61" s="41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30" customHeight="1" x14ac:dyDescent="0.25">
      <c r="A62" s="15"/>
      <c r="B62" s="5"/>
      <c r="C62" s="5"/>
      <c r="D62" s="5"/>
      <c r="E62" s="157" t="s">
        <v>35</v>
      </c>
      <c r="F62" s="81">
        <v>0</v>
      </c>
      <c r="G62" s="81">
        <v>0</v>
      </c>
      <c r="H62" s="81">
        <v>-30230</v>
      </c>
      <c r="I62" s="81">
        <v>-30230</v>
      </c>
      <c r="J62" s="81">
        <v>-30230</v>
      </c>
      <c r="K62" s="81">
        <v>-18208</v>
      </c>
      <c r="L62" s="81">
        <v>-18382</v>
      </c>
      <c r="M62" s="103">
        <v>-18553</v>
      </c>
      <c r="N62" s="102">
        <v>14775</v>
      </c>
      <c r="O62" s="113">
        <v>11331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30" customHeight="1" x14ac:dyDescent="0.25">
      <c r="A63" s="15"/>
      <c r="B63" s="5"/>
      <c r="C63" s="5"/>
      <c r="D63" s="5"/>
      <c r="E63" s="157" t="s">
        <v>92</v>
      </c>
      <c r="F63" s="81">
        <v>8298</v>
      </c>
      <c r="G63" s="81">
        <v>40331</v>
      </c>
      <c r="H63" s="81">
        <v>48243</v>
      </c>
      <c r="I63" s="81">
        <v>61324</v>
      </c>
      <c r="J63" s="81">
        <v>52602</v>
      </c>
      <c r="K63" s="81">
        <v>70990</v>
      </c>
      <c r="L63" s="81">
        <v>41643</v>
      </c>
      <c r="M63" s="103">
        <v>69478</v>
      </c>
      <c r="N63" s="102">
        <v>0</v>
      </c>
      <c r="O63" s="100">
        <v>0</v>
      </c>
      <c r="P63" s="41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30" customHeight="1" thickBot="1" x14ac:dyDescent="0.3">
      <c r="A64" s="15"/>
      <c r="B64" s="5"/>
      <c r="C64" s="5"/>
      <c r="D64" s="5"/>
      <c r="E64" s="287" t="s">
        <v>5</v>
      </c>
      <c r="F64" s="254">
        <v>0</v>
      </c>
      <c r="G64" s="254">
        <v>0</v>
      </c>
      <c r="H64" s="254">
        <v>22989</v>
      </c>
      <c r="I64" s="254">
        <v>26168</v>
      </c>
      <c r="J64" s="254">
        <v>27860</v>
      </c>
      <c r="K64" s="254">
        <v>34910</v>
      </c>
      <c r="L64" s="254">
        <v>51406</v>
      </c>
      <c r="M64" s="260">
        <v>62495</v>
      </c>
      <c r="N64" s="259">
        <v>41129</v>
      </c>
      <c r="O64" s="386">
        <v>62078.989539999995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30" customHeight="1" x14ac:dyDescent="0.25">
      <c r="A65" s="1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30" customHeight="1" x14ac:dyDescent="0.25">
      <c r="A66" s="1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30" customHeight="1" x14ac:dyDescent="0.25">
      <c r="A67" s="1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30" customHeight="1" x14ac:dyDescent="0.25">
      <c r="A68" s="1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30" customHeight="1" x14ac:dyDescent="0.25">
      <c r="A69" s="1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30" customHeight="1" x14ac:dyDescent="0.25">
      <c r="A70" s="1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30" customHeight="1" x14ac:dyDescent="0.25">
      <c r="A71" s="1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30" customHeight="1" x14ac:dyDescent="0.25">
      <c r="A72" s="1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30" customHeight="1" x14ac:dyDescent="0.25">
      <c r="A73" s="1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30" customHeight="1" x14ac:dyDescent="0.25">
      <c r="A74" s="1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30" customHeight="1" x14ac:dyDescent="0.25">
      <c r="A75" s="1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30" customHeight="1" x14ac:dyDescent="0.25">
      <c r="A76" s="1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30" customHeight="1" x14ac:dyDescent="0.25">
      <c r="A77" s="1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30" customHeight="1" x14ac:dyDescent="0.25">
      <c r="A78" s="1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30" customHeight="1" x14ac:dyDescent="0.25">
      <c r="A79" s="1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30" customHeight="1" x14ac:dyDescent="0.25">
      <c r="A80" s="1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30" customHeight="1" x14ac:dyDescent="0.25">
      <c r="A81" s="1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30" customHeight="1" x14ac:dyDescent="0.25">
      <c r="A82" s="1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30" customHeight="1" x14ac:dyDescent="0.25">
      <c r="A83" s="1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30" customHeight="1" x14ac:dyDescent="0.25">
      <c r="A84" s="1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30" customHeight="1" x14ac:dyDescent="0.25">
      <c r="A85" s="1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30" customHeight="1" x14ac:dyDescent="0.25">
      <c r="A86" s="1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30" customHeight="1" x14ac:dyDescent="0.25">
      <c r="A87" s="1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30" customHeight="1" x14ac:dyDescent="0.25">
      <c r="A88" s="1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30" customHeight="1" x14ac:dyDescent="0.25">
      <c r="A89" s="1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30" customHeight="1" x14ac:dyDescent="0.25">
      <c r="A90" s="1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30" customHeight="1" x14ac:dyDescent="0.25">
      <c r="A91" s="1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30" customHeight="1" x14ac:dyDescent="0.25">
      <c r="A92" s="1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30" customHeight="1" x14ac:dyDescent="0.25">
      <c r="A93" s="1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30" customHeight="1" x14ac:dyDescent="0.25">
      <c r="A94" s="1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30" customHeight="1" x14ac:dyDescent="0.25">
      <c r="A95" s="1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30" customHeight="1" x14ac:dyDescent="0.25">
      <c r="A96" s="1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8" ht="30" customHeight="1" x14ac:dyDescent="0.25">
      <c r="A97" s="1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8" ht="30" customHeight="1" x14ac:dyDescent="0.25">
      <c r="A98" s="1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8" ht="30" customHeight="1" x14ac:dyDescent="0.25">
      <c r="A99" s="1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8" ht="30" hidden="1" customHeight="1" x14ac:dyDescent="0.25">
      <c r="A100" s="1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8" ht="30" hidden="1" customHeight="1" x14ac:dyDescent="0.25">
      <c r="A101" s="1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8" ht="30" hidden="1" customHeight="1" x14ac:dyDescent="0.25">
      <c r="A102" s="1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8" ht="30" hidden="1" customHeight="1" x14ac:dyDescent="0.25">
      <c r="A103" s="1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8" ht="30" hidden="1" customHeight="1" x14ac:dyDescent="0.25">
      <c r="A104" s="1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8" ht="30" hidden="1" customHeight="1" x14ac:dyDescent="0.25">
      <c r="A105" s="1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8" ht="30" hidden="1" customHeight="1" x14ac:dyDescent="0.25">
      <c r="A106" s="1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8" ht="30" hidden="1" customHeight="1" x14ac:dyDescent="0.25">
      <c r="A107" s="1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8" ht="30" hidden="1" customHeight="1" x14ac:dyDescent="0.25">
      <c r="A108" s="1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8" ht="30" hidden="1" customHeight="1" x14ac:dyDescent="0.25">
      <c r="A109" s="1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8" s="4" customFormat="1" ht="30" hidden="1" customHeight="1" x14ac:dyDescent="0.25">
      <c r="A110" s="1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1"/>
    </row>
    <row r="111" spans="1:28" s="4" customFormat="1" ht="30" hidden="1" customHeight="1" x14ac:dyDescent="0.25">
      <c r="A111" s="1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1"/>
    </row>
    <row r="112" spans="1:28" s="4" customFormat="1" ht="30" hidden="1" customHeight="1" x14ac:dyDescent="0.25">
      <c r="A112" s="1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1"/>
    </row>
    <row r="113" spans="1:28" s="4" customFormat="1" ht="30" hidden="1" customHeight="1" x14ac:dyDescent="0.25">
      <c r="A113" s="1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1"/>
    </row>
    <row r="114" spans="1:28" s="4" customFormat="1" ht="30" hidden="1" customHeight="1" x14ac:dyDescent="0.25">
      <c r="A114" s="1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1"/>
    </row>
    <row r="115" spans="1:28" s="4" customFormat="1" ht="30" hidden="1" customHeight="1" x14ac:dyDescent="0.25">
      <c r="A115" s="1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1"/>
    </row>
    <row r="116" spans="1:28" s="4" customFormat="1" ht="30" hidden="1" customHeight="1" x14ac:dyDescent="0.25">
      <c r="A116" s="1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1"/>
    </row>
    <row r="117" spans="1:28" ht="0" hidden="1" customHeight="1" x14ac:dyDescent="0.25">
      <c r="E117" s="5"/>
      <c r="F117" s="5"/>
      <c r="G117" s="5"/>
      <c r="H117" s="5"/>
      <c r="I117" s="5"/>
      <c r="J117" s="5"/>
      <c r="K117" s="5"/>
      <c r="L117" s="5"/>
      <c r="M117" s="5"/>
    </row>
    <row r="118" spans="1:28" ht="0" hidden="1" customHeight="1" x14ac:dyDescent="0.25">
      <c r="F118" s="141"/>
      <c r="G118" s="141"/>
      <c r="H118" s="141"/>
      <c r="I118" s="141"/>
      <c r="J118" s="141"/>
      <c r="K118" s="141"/>
      <c r="L118" s="141"/>
    </row>
  </sheetData>
  <mergeCells count="1">
    <mergeCell ref="F3:J5"/>
  </mergeCells>
  <conditionalFormatting sqref="F10:O64">
    <cfRule type="cellIs" dxfId="94" priority="1" operator="equal">
      <formula>0</formula>
    </cfRule>
  </conditionalFormatting>
  <conditionalFormatting sqref="N16:O16">
    <cfRule type="cellIs" dxfId="93" priority="57" operator="equal">
      <formula>0</formula>
    </cfRule>
  </conditionalFormatting>
  <hyperlinks>
    <hyperlink ref="A13" location="'Painel de Índices'!A1" display="Painel de Índices" xr:uid="{00000000-0004-0000-0700-000000000000}"/>
    <hyperlink ref="A14" location="'Provisões e Processos'!A1" display="Provisões e Processos" xr:uid="{00000000-0004-0000-0700-000001000000}"/>
    <hyperlink ref="A15" location="'Projeções - Receita'!A1" display="Projeções - Receita" xr:uid="{00000000-0004-0000-0700-000002000000}"/>
    <hyperlink ref="A17" location="'Projeções 2022'!A1" display="Projeções 2022" xr:uid="{00000000-0004-0000-0700-000003000000}"/>
    <hyperlink ref="A8" location="Dashboard!A1" display="Dashboard" xr:uid="{00000000-0004-0000-0700-000004000000}"/>
    <hyperlink ref="A9" location="WACC!A1" display="WACC" xr:uid="{00000000-0004-0000-0700-000005000000}"/>
    <hyperlink ref="A10" location="'DRE + DCF'!A1" display="DRE + DCF" xr:uid="{00000000-0004-0000-0700-000006000000}"/>
    <hyperlink ref="A11" location="'DRE - Contas Abertas'!A1" display="DRE - Contas Abertas" xr:uid="{00000000-0004-0000-0700-000007000000}"/>
    <hyperlink ref="A16" location="'Projeções - Capex'!A1" display="Projeções - Capex" xr:uid="{00000000-0004-0000-0700-000008000000}"/>
  </hyperlink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24"/>
  <dimension ref="A1:CC139"/>
  <sheetViews>
    <sheetView showGridLines="0" zoomScale="80" zoomScaleNormal="80" workbookViewId="0">
      <selection activeCell="P47" sqref="P47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40.85546875" style="1" bestFit="1" customWidth="1"/>
    <col min="6" max="6" width="13.28515625" style="1" bestFit="1" customWidth="1"/>
    <col min="7" max="7" width="13.42578125" style="1" bestFit="1" customWidth="1"/>
    <col min="8" max="8" width="13" style="1" bestFit="1" customWidth="1"/>
    <col min="9" max="9" width="12.42578125" style="1" bestFit="1" customWidth="1"/>
    <col min="10" max="10" width="12.85546875" style="1" bestFit="1" customWidth="1"/>
    <col min="11" max="11" width="13.42578125" style="1" bestFit="1" customWidth="1"/>
    <col min="12" max="12" width="12.7109375" style="1" bestFit="1" customWidth="1"/>
    <col min="13" max="14" width="13" style="1" bestFit="1" customWidth="1"/>
    <col min="15" max="25" width="9.140625" style="1" customWidth="1"/>
    <col min="26" max="26" width="9.140625" style="1" hidden="1" customWidth="1"/>
    <col min="27" max="30" width="0" style="1" hidden="1" customWidth="1"/>
    <col min="31" max="32" width="9.140625" style="1" hidden="1" customWidth="1"/>
    <col min="33" max="36" width="0" style="1" hidden="1" customWidth="1"/>
    <col min="37" max="38" width="9.140625" style="1" hidden="1" customWidth="1"/>
    <col min="39" max="55" width="0" style="1" hidden="1" customWidth="1"/>
    <col min="56" max="56" width="9.140625" style="1" hidden="1" customWidth="1"/>
    <col min="57" max="60" width="0" style="1" hidden="1" customWidth="1"/>
    <col min="61" max="62" width="9.140625" style="1" hidden="1" customWidth="1"/>
    <col min="63" max="66" width="0" style="1" hidden="1" customWidth="1"/>
    <col min="67" max="68" width="9.140625" style="1" hidden="1" customWidth="1"/>
    <col min="69" max="71" width="0" style="1" hidden="1" customWidth="1"/>
    <col min="72" max="73" width="9.140625" style="1" hidden="1" customWidth="1"/>
    <col min="74" max="77" width="0" style="1" hidden="1" customWidth="1"/>
    <col min="78" max="81" width="9.140625" style="1" hidden="1" customWidth="1"/>
    <col min="82" max="16384" width="0" style="1" hidden="1"/>
  </cols>
  <sheetData>
    <row r="1" spans="1:30" ht="15" customHeight="1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30" ht="15" customHeight="1" x14ac:dyDescent="0.25">
      <c r="B2" s="5"/>
      <c r="C2" s="5"/>
      <c r="D2" s="5"/>
      <c r="E2" s="5"/>
      <c r="F2" s="5"/>
      <c r="G2" s="5"/>
      <c r="H2" s="5"/>
      <c r="I2" s="5"/>
      <c r="J2" s="6"/>
      <c r="K2" s="32"/>
      <c r="L2" s="32"/>
      <c r="M2" s="32"/>
      <c r="N2" s="32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30" ht="15" customHeight="1" x14ac:dyDescent="0.25">
      <c r="B3" s="5"/>
      <c r="C3" s="5"/>
      <c r="D3" s="5"/>
      <c r="E3" s="32"/>
      <c r="F3" s="32"/>
      <c r="G3" s="405" t="s">
        <v>88</v>
      </c>
      <c r="H3" s="405"/>
      <c r="I3" s="405"/>
      <c r="J3" s="405"/>
      <c r="K3" s="405"/>
      <c r="L3" s="405"/>
      <c r="M3" s="32"/>
      <c r="N3" s="32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30" ht="15" customHeight="1" x14ac:dyDescent="0.25">
      <c r="B4" s="5"/>
      <c r="C4" s="5"/>
      <c r="D4" s="5"/>
      <c r="E4" s="32"/>
      <c r="F4" s="32"/>
      <c r="G4" s="405"/>
      <c r="H4" s="405"/>
      <c r="I4" s="405"/>
      <c r="J4" s="405"/>
      <c r="K4" s="405"/>
      <c r="L4" s="405"/>
      <c r="M4" s="32"/>
      <c r="N4" s="32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30" ht="15" customHeight="1" x14ac:dyDescent="0.25">
      <c r="B5" s="5"/>
      <c r="C5" s="5"/>
      <c r="D5" s="5"/>
      <c r="E5" s="32"/>
      <c r="F5" s="32"/>
      <c r="G5" s="407"/>
      <c r="H5" s="407"/>
      <c r="I5" s="407"/>
      <c r="J5" s="407"/>
      <c r="K5" s="407"/>
      <c r="L5" s="407"/>
      <c r="M5" s="32"/>
      <c r="N5" s="32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30" ht="15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30" s="11" customFormat="1" ht="24.75" customHeight="1" x14ac:dyDescent="0.25">
      <c r="A7" s="9" t="s">
        <v>68</v>
      </c>
      <c r="B7" s="10"/>
      <c r="C7" s="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5"/>
      <c r="P7" s="5"/>
      <c r="Q7" s="5"/>
      <c r="R7" s="5"/>
      <c r="S7" s="5"/>
      <c r="T7" s="5"/>
      <c r="U7" s="5"/>
      <c r="V7" s="5"/>
      <c r="W7" s="5"/>
      <c r="X7" s="10"/>
      <c r="Y7" s="10"/>
    </row>
    <row r="8" spans="1:30" ht="30" customHeight="1" x14ac:dyDescent="0.25">
      <c r="A8" s="15" t="s">
        <v>69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30" ht="30" customHeight="1" x14ac:dyDescent="0.25">
      <c r="A9" s="15" t="s">
        <v>52</v>
      </c>
      <c r="B9" s="5"/>
      <c r="C9" s="5"/>
      <c r="D9" s="33"/>
      <c r="E9" s="34"/>
      <c r="F9" s="35">
        <f t="shared" ref="F9:G9" si="0">G9-1</f>
        <v>2013</v>
      </c>
      <c r="G9" s="35">
        <f t="shared" si="0"/>
        <v>2014</v>
      </c>
      <c r="H9" s="35">
        <f>I9-1</f>
        <v>2015</v>
      </c>
      <c r="I9" s="35">
        <v>2016</v>
      </c>
      <c r="J9" s="35">
        <v>2017</v>
      </c>
      <c r="K9" s="35">
        <v>2018</v>
      </c>
      <c r="L9" s="35">
        <v>2019</v>
      </c>
      <c r="M9" s="35">
        <v>2020</v>
      </c>
      <c r="N9" s="35">
        <v>2021</v>
      </c>
      <c r="O9" s="36">
        <v>2022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30" customHeight="1" x14ac:dyDescent="0.25">
      <c r="A10" s="15" t="s">
        <v>70</v>
      </c>
      <c r="B10" s="5"/>
      <c r="C10" s="5"/>
      <c r="D10" s="37"/>
      <c r="E10" s="38" t="s">
        <v>315</v>
      </c>
      <c r="F10" s="39">
        <f>'Balanço Patrimonial'!F12/'Balanço Patrimonial'!F38</f>
        <v>2.8079160350832759</v>
      </c>
      <c r="G10" s="39">
        <f>'Balanço Patrimonial'!G12/'Balanço Patrimonial'!G38</f>
        <v>2.5171831017201614</v>
      </c>
      <c r="H10" s="39">
        <f>'Balanço Patrimonial'!H12/'Balanço Patrimonial'!H38</f>
        <v>2.3008196717298204</v>
      </c>
      <c r="I10" s="39">
        <f>'Balanço Patrimonial'!I12/'Balanço Patrimonial'!I38</f>
        <v>2.0780675110195244</v>
      </c>
      <c r="J10" s="39">
        <f>'Balanço Patrimonial'!J12/'Balanço Patrimonial'!J38</f>
        <v>2.0113557550584544</v>
      </c>
      <c r="K10" s="39">
        <f>'Balanço Patrimonial'!K12/'Balanço Patrimonial'!K38</f>
        <v>1.9260012082034184</v>
      </c>
      <c r="L10" s="39">
        <f>'Balanço Patrimonial'!L12/'Balanço Patrimonial'!L38</f>
        <v>1.4988375929228144</v>
      </c>
      <c r="M10" s="39">
        <f>'Balanço Patrimonial'!M12/'Balanço Patrimonial'!M38</f>
        <v>1.4706872143236451</v>
      </c>
      <c r="N10" s="39">
        <f>'Balanço Patrimonial'!N12/'Balanço Patrimonial'!N38</f>
        <v>1.4692195375343651</v>
      </c>
      <c r="O10" s="40">
        <f>'Balanço Patrimonial'!O12/'Balanço Patrimonial'!O38</f>
        <v>1.4645612359625726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30" customHeight="1" x14ac:dyDescent="0.25">
      <c r="A11" s="21" t="s">
        <v>340</v>
      </c>
      <c r="B11" s="5"/>
      <c r="C11" s="5"/>
      <c r="D11" s="37"/>
      <c r="E11" s="38" t="s">
        <v>316</v>
      </c>
      <c r="F11" s="39">
        <f>'Balanço Patrimonial'!F13/'Balanço Patrimonial'!F39</f>
        <v>1.8662454914348292</v>
      </c>
      <c r="G11" s="39">
        <f>'Balanço Patrimonial'!G13/'Balanço Patrimonial'!G39</f>
        <v>1.7498057539940752</v>
      </c>
      <c r="H11" s="39">
        <f>'Balanço Patrimonial'!H13/'Balanço Patrimonial'!H39</f>
        <v>1.6290025388684628</v>
      </c>
      <c r="I11" s="39">
        <f>'Balanço Patrimonial'!I13/'Balanço Patrimonial'!I39</f>
        <v>1.5690058608018367</v>
      </c>
      <c r="J11" s="39">
        <f>'Balanço Patrimonial'!J13/'Balanço Patrimonial'!J39</f>
        <v>1.5752013309920405</v>
      </c>
      <c r="K11" s="39">
        <f>'Balanço Patrimonial'!K13/'Balanço Patrimonial'!K39</f>
        <v>1.5548002450706981</v>
      </c>
      <c r="L11" s="39">
        <f>'Balanço Patrimonial'!L13/'Balanço Patrimonial'!L39</f>
        <v>1.4113196444267908</v>
      </c>
      <c r="M11" s="39">
        <f>'Balanço Patrimonial'!M13/'Balanço Patrimonial'!M39</f>
        <v>1.462205155558814</v>
      </c>
      <c r="N11" s="39">
        <f>'Balanço Patrimonial'!N13/'Balanço Patrimonial'!N39</f>
        <v>1.3091369295408071</v>
      </c>
      <c r="O11" s="40">
        <f>'Balanço Patrimonial'!O13/'Balanço Patrimonial'!O39</f>
        <v>1.506107500116767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30" customHeight="1" x14ac:dyDescent="0.25">
      <c r="A12" s="15" t="s">
        <v>71</v>
      </c>
      <c r="B12" s="5"/>
      <c r="C12" s="5"/>
      <c r="D12" s="37"/>
      <c r="E12" s="38" t="s">
        <v>317</v>
      </c>
      <c r="F12" s="39">
        <f>('Balanço Patrimonial'!F13-'Balanço Patrimonial'!F20)/'Balanço Patrimonial'!F39</f>
        <v>0.75583699263629622</v>
      </c>
      <c r="G12" s="39">
        <f>('Balanço Patrimonial'!G13-'Balanço Patrimonial'!G20)/'Balanço Patrimonial'!G39</f>
        <v>0.70948575054423535</v>
      </c>
      <c r="H12" s="39">
        <f>('Balanço Patrimonial'!H13-'Balanço Patrimonial'!H20)/'Balanço Patrimonial'!H39</f>
        <v>0.62797934940434241</v>
      </c>
      <c r="I12" s="39">
        <f>('Balanço Patrimonial'!I13-'Balanço Patrimonial'!I20)/'Balanço Patrimonial'!I39</f>
        <v>0.58512535451351322</v>
      </c>
      <c r="J12" s="39">
        <f>('Balanço Patrimonial'!J13-'Balanço Patrimonial'!J20)/'Balanço Patrimonial'!J39</f>
        <v>0.56565156736021915</v>
      </c>
      <c r="K12" s="39">
        <f>('Balanço Patrimonial'!K13-'Balanço Patrimonial'!K20)/'Balanço Patrimonial'!K39</f>
        <v>0.49513548393740059</v>
      </c>
      <c r="L12" s="39">
        <f>('Balanço Patrimonial'!L13-'Balanço Patrimonial'!L20)/'Balanço Patrimonial'!L39</f>
        <v>0.46700134976590574</v>
      </c>
      <c r="M12" s="39">
        <f>('Balanço Patrimonial'!M13-'Balanço Patrimonial'!M20)/'Balanço Patrimonial'!M39</f>
        <v>0.58215072033570892</v>
      </c>
      <c r="N12" s="39">
        <f>('Balanço Patrimonial'!N13-'Balanço Patrimonial'!N20)/'Balanço Patrimonial'!N39</f>
        <v>0.44115330010398235</v>
      </c>
      <c r="O12" s="40">
        <f>('Balanço Patrimonial'!O13-'Balanço Patrimonial'!O20)/'Balanço Patrimonial'!O39</f>
        <v>0.54271255630564219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30" customHeight="1" thickBot="1" x14ac:dyDescent="0.3">
      <c r="A13" s="244" t="s">
        <v>333</v>
      </c>
      <c r="B13" s="5"/>
      <c r="C13" s="5"/>
      <c r="D13" s="37"/>
      <c r="E13" s="288" t="s">
        <v>318</v>
      </c>
      <c r="F13" s="289">
        <f>('Balanço Patrimonial'!F16+'Balanço Patrimonial'!F18)/'Balanço Patrimonial'!F39</f>
        <v>0.15276717323380423</v>
      </c>
      <c r="G13" s="290">
        <f>('Balanço Patrimonial'!G16+'Balanço Patrimonial'!G18)/'Balanço Patrimonial'!G39</f>
        <v>0.14229759720193347</v>
      </c>
      <c r="H13" s="290">
        <f>('Balanço Patrimonial'!H16+'Balanço Patrimonial'!H18)/'Balanço Patrimonial'!H39</f>
        <v>0.13491679534876386</v>
      </c>
      <c r="I13" s="290">
        <f>('Balanço Patrimonial'!I16+'Balanço Patrimonial'!I18)/'Balanço Patrimonial'!I39</f>
        <v>0.12662334690051286</v>
      </c>
      <c r="J13" s="290">
        <f>('Balanço Patrimonial'!J16+'Balanço Patrimonial'!J18)/'Balanço Patrimonial'!J39</f>
        <v>0.10621350167757447</v>
      </c>
      <c r="K13" s="290">
        <f>('Balanço Patrimonial'!K16+'Balanço Patrimonial'!K18)/'Balanço Patrimonial'!K39</f>
        <v>8.2914899714942272E-2</v>
      </c>
      <c r="L13" s="290">
        <f>('Balanço Patrimonial'!L16+'Balanço Patrimonial'!L18)/'Balanço Patrimonial'!L39</f>
        <v>7.3366948756707448E-2</v>
      </c>
      <c r="M13" s="290">
        <f>('Balanço Patrimonial'!M16+'Balanço Patrimonial'!M18)/'Balanço Patrimonial'!M39</f>
        <v>0.10448642795507802</v>
      </c>
      <c r="N13" s="290">
        <f>('Balanço Patrimonial'!N16+'Balanço Patrimonial'!N18)/'Balanço Patrimonial'!N39</f>
        <v>6.0397955087291073E-2</v>
      </c>
      <c r="O13" s="291">
        <f>('Balanço Patrimonial'!O16+'Balanço Patrimonial'!O18)/'Balanço Patrimonial'!O39</f>
        <v>5.2314164315559894E-2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30" customHeight="1" x14ac:dyDescent="0.25">
      <c r="A14" s="21" t="s">
        <v>198</v>
      </c>
      <c r="B14" s="5"/>
      <c r="C14" s="5"/>
      <c r="D14" s="5"/>
      <c r="E14" s="25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30" customHeight="1" x14ac:dyDescent="0.25">
      <c r="A15" s="15" t="s">
        <v>305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30" customHeight="1" x14ac:dyDescent="0.25">
      <c r="A16" s="21" t="s">
        <v>358</v>
      </c>
      <c r="B16" s="5"/>
      <c r="C16" s="5"/>
      <c r="D16" s="5"/>
      <c r="E16" s="10"/>
      <c r="F16" s="43"/>
      <c r="G16" s="43"/>
      <c r="H16" s="43"/>
      <c r="I16" s="43"/>
      <c r="J16" s="43"/>
      <c r="K16" s="43"/>
      <c r="L16" s="43"/>
      <c r="M16" s="43"/>
      <c r="N16" s="4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30" customHeight="1" x14ac:dyDescent="0.25">
      <c r="A17" s="21" t="s">
        <v>314</v>
      </c>
      <c r="B17" s="5"/>
      <c r="C17" s="5"/>
      <c r="D17" s="37"/>
      <c r="E17" s="34"/>
      <c r="F17" s="35">
        <f t="shared" ref="F17" si="1">G17-1</f>
        <v>2013</v>
      </c>
      <c r="G17" s="35">
        <f t="shared" ref="G17" si="2">H17-1</f>
        <v>2014</v>
      </c>
      <c r="H17" s="35">
        <f>I17-1</f>
        <v>2015</v>
      </c>
      <c r="I17" s="35">
        <v>2016</v>
      </c>
      <c r="J17" s="35">
        <v>2017</v>
      </c>
      <c r="K17" s="35">
        <v>2018</v>
      </c>
      <c r="L17" s="35">
        <v>2019</v>
      </c>
      <c r="M17" s="35">
        <v>2020</v>
      </c>
      <c r="N17" s="35">
        <v>2021</v>
      </c>
      <c r="O17" s="36">
        <v>2022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30" customHeight="1" x14ac:dyDescent="0.25">
      <c r="A18" s="15"/>
      <c r="B18" s="5"/>
      <c r="C18" s="5"/>
      <c r="D18" s="37"/>
      <c r="E18" s="38" t="s">
        <v>319</v>
      </c>
      <c r="F18" s="44">
        <f>'DRE + DCF'!F38/'Balanço Patrimonial'!F56</f>
        <v>4.339741347376129E-2</v>
      </c>
      <c r="G18" s="44">
        <f>'DRE + DCF'!G38/'Balanço Patrimonial'!G56</f>
        <v>9.0036728686401432E-2</v>
      </c>
      <c r="H18" s="44">
        <f>'DRE + DCF'!H38/'Balanço Patrimonial'!H56</f>
        <v>0.12789267381261202</v>
      </c>
      <c r="I18" s="44">
        <f>'DRE + DCF'!I38/'Balanço Patrimonial'!I56</f>
        <v>0.15369854101987257</v>
      </c>
      <c r="J18" s="44">
        <f>'DRE + DCF'!J38/'Balanço Patrimonial'!J56</f>
        <v>0.15772128306505132</v>
      </c>
      <c r="K18" s="44">
        <f>'DRE + DCF'!K38/'Balanço Patrimonial'!K56</f>
        <v>0.14408672481099885</v>
      </c>
      <c r="L18" s="44">
        <f>'DRE + DCF'!L38/'Balanço Patrimonial'!L56</f>
        <v>0.16631337455742407</v>
      </c>
      <c r="M18" s="44">
        <f>'DRE + DCF'!M38/'Balanço Patrimonial'!M56</f>
        <v>0.11196914512110277</v>
      </c>
      <c r="N18" s="44">
        <f>'DRE + DCF'!N38/'Balanço Patrimonial'!N56</f>
        <v>0.16193368571090713</v>
      </c>
      <c r="O18" s="45">
        <f>'DRE + DCF'!O38/'Balanço Patrimonial'!O56</f>
        <v>0.18785476912267357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30" customHeight="1" x14ac:dyDescent="0.25">
      <c r="A19" s="15"/>
      <c r="B19" s="5"/>
      <c r="C19" s="5"/>
      <c r="D19" s="37"/>
      <c r="E19" s="38" t="s">
        <v>320</v>
      </c>
      <c r="F19" s="44">
        <f>'DRE + DCF'!F38/'Balanço Patrimonial'!F12</f>
        <v>2.7941995974648141E-2</v>
      </c>
      <c r="G19" s="44">
        <f>'DRE + DCF'!G38/'Balanço Patrimonial'!G12</f>
        <v>5.4267885083060366E-2</v>
      </c>
      <c r="H19" s="44">
        <f>'DRE + DCF'!H38/'Balanço Patrimonial'!H12</f>
        <v>7.2306973036480038E-2</v>
      </c>
      <c r="I19" s="44">
        <f>'DRE + DCF'!I38/'Balanço Patrimonial'!I12</f>
        <v>7.9736349065017045E-2</v>
      </c>
      <c r="J19" s="44">
        <f>'DRE + DCF'!J38/'Balanço Patrimonial'!J12</f>
        <v>7.9305874618091812E-2</v>
      </c>
      <c r="K19" s="44">
        <f>'DRE + DCF'!K38/'Balanço Patrimonial'!K12</f>
        <v>6.9275388142418293E-2</v>
      </c>
      <c r="L19" s="44">
        <f>'DRE + DCF'!L38/'Balanço Patrimonial'!L12</f>
        <v>5.5351803175227816E-2</v>
      </c>
      <c r="M19" s="44">
        <f>'DRE + DCF'!M38/'Balanço Patrimonial'!M12</f>
        <v>3.5835250686862857E-2</v>
      </c>
      <c r="N19" s="44">
        <f>'DRE + DCF'!N38/'Balanço Patrimonial'!N12</f>
        <v>5.1716198416487398E-2</v>
      </c>
      <c r="O19" s="45">
        <f>'DRE + DCF'!O38/'Balanço Patrimonial'!O12</f>
        <v>5.885997842416122E-2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30" customHeight="1" thickBot="1" x14ac:dyDescent="0.3">
      <c r="A20" s="46"/>
      <c r="B20" s="5"/>
      <c r="C20" s="5"/>
      <c r="D20" s="37"/>
      <c r="E20" s="288" t="s">
        <v>59</v>
      </c>
      <c r="F20" s="292">
        <f>'DRE + DCF'!F57</f>
        <v>4.4828412053814971E-2</v>
      </c>
      <c r="G20" s="292">
        <f>'DRE + DCF'!G57</f>
        <v>8.6014983388260247E-2</v>
      </c>
      <c r="H20" s="292">
        <f>'DRE + DCF'!H57</f>
        <v>0.13910799139144156</v>
      </c>
      <c r="I20" s="292">
        <f>'DRE + DCF'!I57</f>
        <v>0.16763788301999777</v>
      </c>
      <c r="J20" s="292">
        <f>'DRE + DCF'!J57</f>
        <v>0.16022786955382237</v>
      </c>
      <c r="K20" s="292">
        <f>'DRE + DCF'!K57</f>
        <v>0.1477346418399435</v>
      </c>
      <c r="L20" s="292">
        <f>'DRE + DCF'!L57</f>
        <v>0.15663136981480122</v>
      </c>
      <c r="M20" s="292">
        <f>'DRE + DCF'!M57</f>
        <v>0.1511574347350228</v>
      </c>
      <c r="N20" s="292">
        <f>'DRE + DCF'!N57</f>
        <v>0.17773818971191246</v>
      </c>
      <c r="O20" s="293">
        <f>'DRE + DCF'!O57</f>
        <v>0.20995377595298376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30" customHeight="1" x14ac:dyDescent="0.25">
      <c r="A21" s="4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30" customHeight="1" x14ac:dyDescent="0.25">
      <c r="A22" s="4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30" customHeight="1" x14ac:dyDescent="0.25">
      <c r="A23" s="4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30" customHeight="1" x14ac:dyDescent="0.25">
      <c r="A24" s="46"/>
      <c r="B24" s="5"/>
      <c r="C24" s="5"/>
      <c r="D24" s="37"/>
      <c r="E24" s="34"/>
      <c r="F24" s="35">
        <f t="shared" ref="F24" si="3">G24-1</f>
        <v>2013</v>
      </c>
      <c r="G24" s="35">
        <f t="shared" ref="G24" si="4">H24-1</f>
        <v>2014</v>
      </c>
      <c r="H24" s="35">
        <f>I24-1</f>
        <v>2015</v>
      </c>
      <c r="I24" s="35">
        <v>2016</v>
      </c>
      <c r="J24" s="35">
        <v>2017</v>
      </c>
      <c r="K24" s="35">
        <v>2018</v>
      </c>
      <c r="L24" s="35">
        <v>2019</v>
      </c>
      <c r="M24" s="35">
        <v>2020</v>
      </c>
      <c r="N24" s="35">
        <v>2021</v>
      </c>
      <c r="O24" s="36">
        <v>2022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30" customHeight="1" x14ac:dyDescent="0.25">
      <c r="A25" s="46"/>
      <c r="B25" s="5"/>
      <c r="C25" s="5"/>
      <c r="D25" s="37"/>
      <c r="E25" s="38" t="s">
        <v>321</v>
      </c>
      <c r="F25" s="47">
        <f>('Balanço Patrimonial'!F43+'Balanço Patrimonial'!F47+'Balanço Patrimonial'!F49+'Balanço Patrimonial'!F55-'Balanço Patrimonial'!F14-'Balanço Patrimonial'!F18)/('DRE + DCF'!F28+'DRE + DCF'!F44+'DRE + DCF'!F51)</f>
        <v>9.5278218880642963E-3</v>
      </c>
      <c r="G25" s="47">
        <f>('Balanço Patrimonial'!G43+'Balanço Patrimonial'!G47+'Balanço Patrimonial'!G49+'Balanço Patrimonial'!G55-'Balanço Patrimonial'!G14-'Balanço Patrimonial'!G18)/('DRE + DCF'!G28+'DRE + DCF'!G44+'DRE + DCF'!G51)</f>
        <v>2.096635603162561E-2</v>
      </c>
      <c r="H25" s="47">
        <f>('Balanço Patrimonial'!H43+'Balanço Patrimonial'!H47+'Balanço Patrimonial'!H49+'Balanço Patrimonial'!H55-'Balanço Patrimonial'!H14-'Balanço Patrimonial'!H18)/('DRE + DCF'!H28+'DRE + DCF'!H44+'DRE + DCF'!H51)</f>
        <v>4.1676168600481921E-2</v>
      </c>
      <c r="I25" s="47">
        <f>('Balanço Patrimonial'!I43+'Balanço Patrimonial'!I47+'Balanço Patrimonial'!I49+'Balanço Patrimonial'!I55-'Balanço Patrimonial'!I14-'Balanço Patrimonial'!I18)/('DRE + DCF'!I28+'DRE + DCF'!I44+'DRE + DCF'!I51)</f>
        <v>0.14014277958962093</v>
      </c>
      <c r="J25" s="47">
        <f>('Balanço Patrimonial'!J43+'Balanço Patrimonial'!J47+'Balanço Patrimonial'!J49+'Balanço Patrimonial'!J55-'Balanço Patrimonial'!J14-'Balanço Patrimonial'!J18)/('DRE + DCF'!J28+'DRE + DCF'!J44+'DRE + DCF'!J51)</f>
        <v>0.30613560914251142</v>
      </c>
      <c r="K25" s="47">
        <f>('Balanço Patrimonial'!K43+'Balanço Patrimonial'!K47+'Balanço Patrimonial'!K49+'Balanço Patrimonial'!K55-'Balanço Patrimonial'!K14-'Balanço Patrimonial'!K18)/('DRE + DCF'!K28+'DRE + DCF'!K44+'DRE + DCF'!K51)</f>
        <v>0.52972762591093692</v>
      </c>
      <c r="L25" s="47">
        <f>('Balanço Patrimonial'!L43+'Balanço Patrimonial'!L47+'Balanço Patrimonial'!L49+'Balanço Patrimonial'!L55-'Balanço Patrimonial'!L14-'Balanço Patrimonial'!L18)/('DRE + DCF'!L28+'DRE + DCF'!L44+'DRE + DCF'!L51)</f>
        <v>1.8614570641386241</v>
      </c>
      <c r="M25" s="47">
        <f>('Balanço Patrimonial'!M43+'Balanço Patrimonial'!M47+'Balanço Patrimonial'!M49+'Balanço Patrimonial'!M55-'Balanço Patrimonial'!M14-'Balanço Patrimonial'!M18)/('DRE + DCF'!M28+'DRE + DCF'!M44+'DRE + DCF'!M51)</f>
        <v>2.0083563237334978</v>
      </c>
      <c r="N25" s="47">
        <f>('Balanço Patrimonial'!N43+'Balanço Patrimonial'!N47+'Balanço Patrimonial'!N49+'Balanço Patrimonial'!N55-'Balanço Patrimonial'!N14-'Balanço Patrimonial'!N18)/('DRE + DCF'!N28+'DRE + DCF'!N44+'DRE + DCF'!N51)</f>
        <v>1.790181995573181</v>
      </c>
      <c r="O25" s="48">
        <f>('Balanço Patrimonial'!O43+'Balanço Patrimonial'!O47+'Balanço Patrimonial'!O49+'Balanço Patrimonial'!O55-'Balanço Patrimonial'!O14-'Balanço Patrimonial'!O18)/('DRE + DCF'!O28+'DRE + DCF'!O44+'DRE + DCF'!O51)</f>
        <v>1.6764835632583397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30" customHeight="1" x14ac:dyDescent="0.25">
      <c r="A26" s="46"/>
      <c r="B26" s="5"/>
      <c r="C26" s="5"/>
      <c r="D26" s="37"/>
      <c r="E26" s="38" t="s">
        <v>322</v>
      </c>
      <c r="F26" s="47">
        <f>-'DRE + DCF'!F28/'DRE + DCF'!F35</f>
        <v>7.3773510585918265</v>
      </c>
      <c r="G26" s="47">
        <f>-'DRE + DCF'!G28/'DRE + DCF'!G35</f>
        <v>12.243098736583628</v>
      </c>
      <c r="H26" s="47">
        <f>-'DRE + DCF'!H28/'DRE + DCF'!H35</f>
        <v>3.2577090935107678</v>
      </c>
      <c r="I26" s="47">
        <f>-'DRE + DCF'!I28/'DRE + DCF'!I35</f>
        <v>3.2105663124843575</v>
      </c>
      <c r="J26" s="47">
        <f>-'DRE + DCF'!J28/'DRE + DCF'!J35</f>
        <v>3.7223972985539375</v>
      </c>
      <c r="K26" s="47">
        <f>-'DRE + DCF'!K28/'DRE + DCF'!K35</f>
        <v>4.6718726729993456</v>
      </c>
      <c r="L26" s="47">
        <f>-'DRE + DCF'!L28/'DRE + DCF'!L35</f>
        <v>2.7197079120526402</v>
      </c>
      <c r="M26" s="47">
        <f>-'DRE + DCF'!M28/'DRE + DCF'!M35</f>
        <v>2.5890027642892273</v>
      </c>
      <c r="N26" s="47">
        <f>-'DRE + DCF'!N28/'DRE + DCF'!N35</f>
        <v>2.9755980715377612</v>
      </c>
      <c r="O26" s="48">
        <f>-'DRE + DCF'!O28/'DRE + DCF'!O35</f>
        <v>1.9573502635412754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30" customHeight="1" x14ac:dyDescent="0.25">
      <c r="A27" s="46"/>
      <c r="B27" s="5"/>
      <c r="C27" s="5"/>
      <c r="D27" s="37"/>
      <c r="E27" s="38" t="s">
        <v>323</v>
      </c>
      <c r="F27" s="47">
        <f>('Balanço Patrimonial'!F43+'Balanço Patrimonial'!F47+'Balanço Patrimonial'!F49+'Balanço Patrimonial'!F55)/'Balanço Patrimonial'!F12</f>
        <v>6.7741735549767104E-2</v>
      </c>
      <c r="G27" s="47">
        <f>('Balanço Patrimonial'!G43+'Balanço Patrimonial'!G47+'Balanço Patrimonial'!G49+'Balanço Patrimonial'!G55)/'Balanço Patrimonial'!G12</f>
        <v>7.1549401973720825E-2</v>
      </c>
      <c r="H27" s="47">
        <f>('Balanço Patrimonial'!H43+'Balanço Patrimonial'!H47+'Balanço Patrimonial'!H49+'Balanço Patrimonial'!H55)/'Balanço Patrimonial'!H12</f>
        <v>6.3071998835546719E-2</v>
      </c>
      <c r="I27" s="47">
        <f>('Balanço Patrimonial'!I43+'Balanço Patrimonial'!I47+'Balanço Patrimonial'!I49+'Balanço Patrimonial'!I55)/'Balanço Patrimonial'!I12</f>
        <v>7.3148256295256245E-2</v>
      </c>
      <c r="J27" s="47">
        <f>('Balanço Patrimonial'!J43+'Balanço Patrimonial'!J47+'Balanço Patrimonial'!J49+'Balanço Patrimonial'!J55)/'Balanço Patrimonial'!J12</f>
        <v>9.451351664926326E-2</v>
      </c>
      <c r="K27" s="47">
        <f>('Balanço Patrimonial'!K43+'Balanço Patrimonial'!K47+'Balanço Patrimonial'!K49+'Balanço Patrimonial'!K55)/'Balanço Patrimonial'!K12</f>
        <v>0.1146830014397433</v>
      </c>
      <c r="L27" s="47">
        <f>('Balanço Patrimonial'!L43+'Balanço Patrimonial'!L47+'Balanço Patrimonial'!L49+'Balanço Patrimonial'!L55)/'Balanço Patrimonial'!L12</f>
        <v>0.3519774041281799</v>
      </c>
      <c r="M27" s="47">
        <f>('Balanço Patrimonial'!M43+'Balanço Patrimonial'!M47+'Balanço Patrimonial'!M49+'Balanço Patrimonial'!M55)/'Balanço Patrimonial'!M12</f>
        <v>0.36768488890148804</v>
      </c>
      <c r="N27" s="47">
        <f>('Balanço Patrimonial'!N43+'Balanço Patrimonial'!N47+'Balanço Patrimonial'!N49+'Balanço Patrimonial'!N55)/'Balanço Patrimonial'!N12</f>
        <v>0.35045297264269665</v>
      </c>
      <c r="O27" s="48">
        <f>('Balanço Patrimonial'!O43+'Balanço Patrimonial'!O47+'Balanço Patrimonial'!O49+'Balanço Patrimonial'!O55)/'Balanço Patrimonial'!O12</f>
        <v>0.35131015915326136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30" customHeight="1" x14ac:dyDescent="0.25">
      <c r="A28" s="46"/>
      <c r="B28" s="5"/>
      <c r="C28" s="5"/>
      <c r="D28" s="37"/>
      <c r="E28" s="42" t="s">
        <v>324</v>
      </c>
      <c r="F28" s="297">
        <f>('Balanço Patrimonial'!F43+'Balanço Patrimonial'!F47+'Balanço Patrimonial'!F49+'Balanço Patrimonial'!F55)/'Balanço Patrimonial'!F56</f>
        <v>0.10521138539103439</v>
      </c>
      <c r="G28" s="298">
        <f>('Balanço Patrimonial'!G43+'Balanço Patrimonial'!G47+'Balanço Patrimonial'!G49+'Balanço Patrimonial'!G55)/'Balanço Patrimonial'!G56</f>
        <v>0.11870877376780362</v>
      </c>
      <c r="H28" s="298">
        <f>('Balanço Patrimonial'!H43+'Balanço Patrimonial'!H47+'Balanço Patrimonial'!H49+'Balanço Patrimonial'!H55)/'Balanço Patrimonial'!H56</f>
        <v>0.1115583495621421</v>
      </c>
      <c r="I28" s="298">
        <f>('Balanço Patrimonial'!I43+'Balanço Patrimonial'!I47+'Balanço Patrimonial'!I49+'Balanço Patrimonial'!I55)/'Balanço Patrimonial'!I56</f>
        <v>0.14099943629926209</v>
      </c>
      <c r="J28" s="298">
        <f>('Balanço Patrimonial'!J43+'Balanço Patrimonial'!J47+'Balanço Patrimonial'!J49+'Balanço Patrimonial'!J55)/'Balanço Patrimonial'!J56</f>
        <v>0.18796581192373921</v>
      </c>
      <c r="K28" s="298">
        <f>('Balanço Patrimonial'!K43+'Balanço Patrimonial'!K47+'Balanço Patrimonial'!K49+'Balanço Patrimonial'!K55)/'Balanço Patrimonial'!K56</f>
        <v>0.23853057358518964</v>
      </c>
      <c r="L28" s="298">
        <f>('Balanço Patrimonial'!L43+'Balanço Patrimonial'!L47+'Balanço Patrimonial'!L49+'Balanço Patrimonial'!L55)/'Balanço Patrimonial'!L56</f>
        <v>1.0575725900600503</v>
      </c>
      <c r="M28" s="298">
        <f>('Balanço Patrimonial'!M43+'Balanço Patrimonial'!M47+'Balanço Patrimonial'!M49+'Balanço Patrimonial'!M55)/'Balanço Patrimonial'!M56</f>
        <v>1.1488509748123483</v>
      </c>
      <c r="N28" s="298">
        <f>('Balanço Patrimonial'!N43+'Balanço Patrimonial'!N47+'Balanço Patrimonial'!N49+'Balanço Patrimonial'!N55)/'Balanço Patrimonial'!N56</f>
        <v>1.0973378412571666</v>
      </c>
      <c r="O28" s="299">
        <f>('Balanço Patrimonial'!O43+'Balanço Patrimonial'!O47+'Balanço Patrimonial'!O49+'Balanço Patrimonial'!O55)/'Balanço Patrimonial'!O56</f>
        <v>1.1212251619021227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30" customHeight="1" thickBot="1" x14ac:dyDescent="0.3">
      <c r="A29" s="15"/>
      <c r="B29" s="5"/>
      <c r="C29" s="5"/>
      <c r="D29" s="5"/>
      <c r="E29" s="294" t="s">
        <v>328</v>
      </c>
      <c r="F29" s="295">
        <f>('Balanço Patrimonial'!F43+'Balanço Patrimonial'!F47+'Balanço Patrimonial'!F49+'Balanço Patrimonial'!F55)/('Balanço Patrimonial'!F43+'Balanço Patrimonial'!F47+'Balanço Patrimonial'!F49+'Balanço Patrimonial'!F55+'Balanço Patrimonial'!F56)</f>
        <v>9.5195712586519904E-2</v>
      </c>
      <c r="G29" s="295">
        <f>('Balanço Patrimonial'!G43+'Balanço Patrimonial'!G47+'Balanço Patrimonial'!G49+'Balanço Patrimonial'!G55)/('Balanço Patrimonial'!G43+'Balanço Patrimonial'!G47+'Balanço Patrimonial'!G49+'Balanço Patrimonial'!G55+'Balanço Patrimonial'!G56)</f>
        <v>0.10611231139985902</v>
      </c>
      <c r="H29" s="295">
        <f>('Balanço Patrimonial'!H43+'Balanço Patrimonial'!H47+'Balanço Patrimonial'!H49+'Balanço Patrimonial'!H55)/('Balanço Patrimonial'!H43+'Balanço Patrimonial'!H47+'Balanço Patrimonial'!H49+'Balanço Patrimonial'!H55+'Balanço Patrimonial'!H56)</f>
        <v>0.10036211738779745</v>
      </c>
      <c r="I29" s="295">
        <f>('Balanço Patrimonial'!I43+'Balanço Patrimonial'!I47+'Balanço Patrimonial'!I49+'Balanço Patrimonial'!I55)/('Balanço Patrimonial'!I43+'Balanço Patrimonial'!I47+'Balanço Patrimonial'!I49+'Balanço Patrimonial'!I55+'Balanço Patrimonial'!I56)</f>
        <v>0.12357537770271138</v>
      </c>
      <c r="J29" s="295">
        <f>('Balanço Patrimonial'!J43+'Balanço Patrimonial'!J47+'Balanço Patrimonial'!J49+'Balanço Patrimonial'!J55)/('Balanço Patrimonial'!J43+'Balanço Patrimonial'!J47+'Balanço Patrimonial'!J49+'Balanço Patrimonial'!J55+'Balanço Patrimonial'!J56)</f>
        <v>0.15822493377932798</v>
      </c>
      <c r="K29" s="295">
        <f>('Balanço Patrimonial'!K43+'Balanço Patrimonial'!K47+'Balanço Patrimonial'!K49+'Balanço Patrimonial'!K55)/('Balanço Patrimonial'!K43+'Balanço Patrimonial'!K47+'Balanço Patrimonial'!K49+'Balanço Patrimonial'!K55+'Balanço Patrimonial'!K56)</f>
        <v>0.19259159093240005</v>
      </c>
      <c r="L29" s="295">
        <f>('Balanço Patrimonial'!L43+'Balanço Patrimonial'!L47+'Balanço Patrimonial'!L49+'Balanço Patrimonial'!L55)/('Balanço Patrimonial'!L43+'Balanço Patrimonial'!L47+'Balanço Patrimonial'!L49+'Balanço Patrimonial'!L55+'Balanço Patrimonial'!L56)</f>
        <v>0.51399041529280143</v>
      </c>
      <c r="M29" s="295">
        <f>('Balanço Patrimonial'!M43+'Balanço Patrimonial'!M47+'Balanço Patrimonial'!M49+'Balanço Patrimonial'!M55)/('Balanço Patrimonial'!M43+'Balanço Patrimonial'!M47+'Balanço Patrimonial'!M49+'Balanço Patrimonial'!M55+'Balanço Patrimonial'!M56)</f>
        <v>0.53463501577287065</v>
      </c>
      <c r="N29" s="295">
        <f>('Balanço Patrimonial'!N43+'Balanço Patrimonial'!N47+'Balanço Patrimonial'!N49+'Balanço Patrimonial'!N55)/('Balanço Patrimonial'!N43+'Balanço Patrimonial'!N47+'Balanço Patrimonial'!N49+'Balanço Patrimonial'!N55+'Balanço Patrimonial'!N56)</f>
        <v>0.52320509346239163</v>
      </c>
      <c r="O29" s="296">
        <f>('Balanço Patrimonial'!O43+'Balanço Patrimonial'!O47+'Balanço Patrimonial'!O49+'Balanço Patrimonial'!O55)/('Balanço Patrimonial'!O43+'Balanço Patrimonial'!O47+'Balanço Patrimonial'!O49+'Balanço Patrimonial'!O55+'Balanço Patrimonial'!O56)</f>
        <v>0.52857432678042982</v>
      </c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30" ht="30" customHeight="1" x14ac:dyDescent="0.25">
      <c r="A30" s="15"/>
      <c r="B30" s="5"/>
      <c r="C30" s="5"/>
      <c r="D30" s="5"/>
      <c r="E30" s="10"/>
      <c r="F30" s="43"/>
      <c r="G30" s="43"/>
      <c r="H30" s="43"/>
      <c r="I30" s="43"/>
      <c r="J30" s="43"/>
      <c r="K30" s="43"/>
      <c r="L30" s="43"/>
      <c r="M30" s="43"/>
      <c r="N30" s="4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30" ht="30" customHeight="1" x14ac:dyDescent="0.25">
      <c r="A31" s="15"/>
      <c r="B31" s="5"/>
      <c r="C31" s="5"/>
      <c r="D31" s="5"/>
      <c r="E31" s="10"/>
      <c r="F31" s="43"/>
      <c r="G31" s="43"/>
      <c r="H31" s="43"/>
      <c r="I31" s="43"/>
      <c r="J31" s="43"/>
      <c r="K31" s="43"/>
      <c r="L31" s="43"/>
      <c r="M31" s="43"/>
      <c r="N31" s="4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30" ht="30" customHeight="1" x14ac:dyDescent="0.25">
      <c r="A32" s="15"/>
      <c r="B32" s="5"/>
      <c r="C32" s="5"/>
      <c r="D32" s="5"/>
      <c r="E32" s="10"/>
      <c r="F32" s="43"/>
      <c r="G32" s="43"/>
      <c r="H32" s="43"/>
      <c r="I32" s="43"/>
      <c r="J32" s="43"/>
      <c r="K32" s="43"/>
      <c r="L32" s="43"/>
      <c r="M32" s="43"/>
      <c r="N32" s="4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30" ht="30" customHeight="1" x14ac:dyDescent="0.25">
      <c r="A33" s="15"/>
      <c r="B33" s="5"/>
      <c r="C33" s="5"/>
      <c r="D33" s="37"/>
      <c r="E33" s="34"/>
      <c r="F33" s="35">
        <f t="shared" ref="F33" si="5">G33-1</f>
        <v>2013</v>
      </c>
      <c r="G33" s="35">
        <f t="shared" ref="G33" si="6">H33-1</f>
        <v>2014</v>
      </c>
      <c r="H33" s="35">
        <f>I33-1</f>
        <v>2015</v>
      </c>
      <c r="I33" s="35">
        <v>2016</v>
      </c>
      <c r="J33" s="35">
        <v>2017</v>
      </c>
      <c r="K33" s="35">
        <v>2018</v>
      </c>
      <c r="L33" s="35">
        <v>2019</v>
      </c>
      <c r="M33" s="35">
        <v>2020</v>
      </c>
      <c r="N33" s="35">
        <v>2021</v>
      </c>
      <c r="O33" s="36">
        <v>2022</v>
      </c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30" ht="30" customHeight="1" x14ac:dyDescent="0.25">
      <c r="A34" s="46"/>
      <c r="B34" s="5"/>
      <c r="C34" s="5"/>
      <c r="D34" s="37"/>
      <c r="E34" s="38" t="s">
        <v>325</v>
      </c>
      <c r="F34" s="49">
        <f>'Balanço Patrimonial'!F19*365/'DRE + DCF'!F10</f>
        <v>21.076381363353896</v>
      </c>
      <c r="G34" s="49">
        <f>AVERAGE('Balanço Patrimonial'!F19:G19)*365/'DRE + DCF'!G10</f>
        <v>20.399594458204778</v>
      </c>
      <c r="H34" s="49">
        <f>AVERAGE('Balanço Patrimonial'!G19:H19)*365/'DRE + DCF'!H10</f>
        <v>21.29441974798133</v>
      </c>
      <c r="I34" s="49">
        <f>AVERAGE('Balanço Patrimonial'!H19:I19)*365/'DRE + DCF'!I10</f>
        <v>21.202007243079429</v>
      </c>
      <c r="J34" s="49">
        <f>AVERAGE('Balanço Patrimonial'!I19:J19)*365/'DRE + DCF'!J10</f>
        <v>22.427188972593981</v>
      </c>
      <c r="K34" s="49">
        <f>AVERAGE('Balanço Patrimonial'!J19:K19)*365/'DRE + DCF'!K10</f>
        <v>23.805197590612828</v>
      </c>
      <c r="L34" s="49">
        <f>AVERAGE('Balanço Patrimonial'!K19:L19)*365/'DRE + DCF'!L10</f>
        <v>24.978199804496196</v>
      </c>
      <c r="M34" s="49">
        <f>AVERAGE('Balanço Patrimonial'!L19:M19)*365/'DRE + DCF'!M10</f>
        <v>28.002539461341662</v>
      </c>
      <c r="N34" s="49">
        <f>AVERAGE('Balanço Patrimonial'!M19:N19)*365/'DRE + DCF'!N10</f>
        <v>27.2073254321189</v>
      </c>
      <c r="O34" s="50">
        <f>AVERAGE('Balanço Patrimonial'!N19:O19)*365/'DRE + DCF'!O10</f>
        <v>26.908040835701733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30" customHeight="1" x14ac:dyDescent="0.25">
      <c r="A35" s="15"/>
      <c r="B35" s="5"/>
      <c r="C35" s="5"/>
      <c r="D35" s="37"/>
      <c r="E35" s="38" t="s">
        <v>326</v>
      </c>
      <c r="F35" s="49">
        <f>'Balanço Patrimonial'!F20*365/-'DRE + DCF'!F17</f>
        <v>91.60865132359632</v>
      </c>
      <c r="G35" s="49">
        <f>AVERAGE('Balanço Patrimonial'!F20:G20)*365/-'DRE + DCF'!G17</f>
        <v>85.82143586795641</v>
      </c>
      <c r="H35" s="49">
        <f>AVERAGE('Balanço Patrimonial'!G20:H20)*365/-'DRE + DCF'!H17</f>
        <v>88.587138657112746</v>
      </c>
      <c r="I35" s="49">
        <f>AVERAGE('Balanço Patrimonial'!H20:I20)*365/-'DRE + DCF'!I17</f>
        <v>89.454054810225756</v>
      </c>
      <c r="J35" s="49">
        <f>AVERAGE('Balanço Patrimonial'!I20:J20)*365/-'DRE + DCF'!J17</f>
        <v>92.334365367030529</v>
      </c>
      <c r="K35" s="49">
        <f>AVERAGE('Balanço Patrimonial'!J20:K20)*365/-'DRE + DCF'!K17</f>
        <v>98.773290656950621</v>
      </c>
      <c r="L35" s="49">
        <f>AVERAGE('Balanço Patrimonial'!K20:L20)*365/-'DRE + DCF'!L17</f>
        <v>102.39197265452701</v>
      </c>
      <c r="M35" s="49">
        <f>AVERAGE('Balanço Patrimonial'!L20:M20)*365/-'DRE + DCF'!M17</f>
        <v>103.98177431420004</v>
      </c>
      <c r="N35" s="49">
        <f>AVERAGE('Balanço Patrimonial'!M20:N20)*365/-'DRE + DCF'!N17</f>
        <v>100.77134953868114</v>
      </c>
      <c r="O35" s="50">
        <f>AVERAGE('Balanço Patrimonial'!N20:O20)*365/-'DRE + DCF'!O17</f>
        <v>101.29393086019921</v>
      </c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30" ht="30" customHeight="1" x14ac:dyDescent="0.25">
      <c r="A36" s="15"/>
      <c r="B36" s="5"/>
      <c r="C36" s="5"/>
      <c r="D36" s="37"/>
      <c r="E36" s="38" t="s">
        <v>337</v>
      </c>
      <c r="F36" s="49">
        <f>('Balanço Patrimonial'!F41+'Balanço Patrimonial'!F40)*365/-('DRE + DCF'!F17+'DRE + DCF'!F20+'DRE + DCF'!F44+'DRE + DCF'!F51)</f>
        <v>48.536903379594953</v>
      </c>
      <c r="G36" s="49">
        <f>(AVERAGE('Balanço Patrimonial'!F41:G41)+AVERAGE('Balanço Patrimonial'!F40:G40))*365/-('DRE + DCF'!G17+'DRE + DCF'!G20+'DRE + DCF'!G44+'DRE + DCF'!G51)</f>
        <v>48.09510263785004</v>
      </c>
      <c r="H36" s="49">
        <f>(AVERAGE('Balanço Patrimonial'!G41:H41)+AVERAGE('Balanço Patrimonial'!G40:H40))*365/-('DRE + DCF'!H17+'DRE + DCF'!H20+'DRE + DCF'!H44+'DRE + DCF'!H51)</f>
        <v>53.565658236603582</v>
      </c>
      <c r="I36" s="49">
        <f>(AVERAGE('Balanço Patrimonial'!H41:I41)+AVERAGE('Balanço Patrimonial'!H40:I40))*365/-('DRE + DCF'!I17+'DRE + DCF'!I20+'DRE + DCF'!I44+'DRE + DCF'!I51)</f>
        <v>56.539698516813893</v>
      </c>
      <c r="J36" s="49">
        <f>(AVERAGE('Balanço Patrimonial'!I41:J41)+AVERAGE('Balanço Patrimonial'!I40:J40))*365/-('DRE + DCF'!J17+'DRE + DCF'!J20+'DRE + DCF'!J44+'DRE + DCF'!J51)</f>
        <v>57.904689626871566</v>
      </c>
      <c r="K36" s="49">
        <f>(AVERAGE('Balanço Patrimonial'!J41:K41)+AVERAGE('Balanço Patrimonial'!J40:K40))*365/-('DRE + DCF'!K17+'DRE + DCF'!K20+'DRE + DCF'!K44+'DRE + DCF'!K51)</f>
        <v>58.723775686474582</v>
      </c>
      <c r="L36" s="49">
        <f>(AVERAGE('Balanço Patrimonial'!K41:L41)+AVERAGE('Balanço Patrimonial'!K40:L40))*365/-('DRE + DCF'!L17+'DRE + DCF'!L20+'DRE + DCF'!L44+'DRE + DCF'!L51)</f>
        <v>63.106389875851065</v>
      </c>
      <c r="M36" s="49">
        <f>(AVERAGE('Balanço Patrimonial'!L41:M41)+AVERAGE('Balanço Patrimonial'!L40:M40))*365/-('DRE + DCF'!M17+'DRE + DCF'!M20+'DRE + DCF'!M44+'DRE + DCF'!M51)</f>
        <v>64.667446448534065</v>
      </c>
      <c r="N36" s="49">
        <f>(AVERAGE('Balanço Patrimonial'!M41:N41)+AVERAGE('Balanço Patrimonial'!M40:N40))*365/-('DRE + DCF'!N17+'DRE + DCF'!N20+'DRE + DCF'!N44+'DRE + DCF'!N51)</f>
        <v>63.804821653940621</v>
      </c>
      <c r="O36" s="50">
        <f>(AVERAGE('Balanço Patrimonial'!N41:O41)+AVERAGE('Balanço Patrimonial'!N40:O40))*365/-('DRE + DCF'!O17+'DRE + DCF'!O20+'DRE + DCF'!O44+'DRE + DCF'!O51)</f>
        <v>63.107379785161591</v>
      </c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30" ht="30" customHeight="1" thickBot="1" x14ac:dyDescent="0.3">
      <c r="A37" s="15"/>
      <c r="B37" s="5"/>
      <c r="C37" s="5"/>
      <c r="D37" s="37"/>
      <c r="E37" s="288" t="s">
        <v>327</v>
      </c>
      <c r="F37" s="300">
        <f>F34+F35-F36</f>
        <v>64.148129307355276</v>
      </c>
      <c r="G37" s="300">
        <f t="shared" ref="G37:N37" si="7">G34+G35-G36</f>
        <v>58.125927688311144</v>
      </c>
      <c r="H37" s="300">
        <f t="shared" si="7"/>
        <v>56.315900168490487</v>
      </c>
      <c r="I37" s="300">
        <f t="shared" si="7"/>
        <v>54.116363536491299</v>
      </c>
      <c r="J37" s="300">
        <f t="shared" si="7"/>
        <v>56.856864712752945</v>
      </c>
      <c r="K37" s="300">
        <f t="shared" si="7"/>
        <v>63.854712561088874</v>
      </c>
      <c r="L37" s="300">
        <f t="shared" si="7"/>
        <v>64.263782583172144</v>
      </c>
      <c r="M37" s="300">
        <f t="shared" si="7"/>
        <v>67.316867327007628</v>
      </c>
      <c r="N37" s="300">
        <f t="shared" si="7"/>
        <v>64.173853316859407</v>
      </c>
      <c r="O37" s="301">
        <f t="shared" ref="O37" si="8">O34+O35-O36</f>
        <v>65.094591910739354</v>
      </c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30" ht="30" customHeight="1" x14ac:dyDescent="0.25">
      <c r="A38" s="15"/>
      <c r="B38" s="5"/>
      <c r="C38" s="5"/>
      <c r="D38" s="5"/>
      <c r="E38" s="10"/>
      <c r="F38" s="43"/>
      <c r="G38" s="43"/>
      <c r="H38" s="43"/>
      <c r="I38" s="43"/>
      <c r="J38" s="43"/>
      <c r="K38" s="43"/>
      <c r="L38" s="43"/>
      <c r="M38" s="43"/>
      <c r="N38" s="4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30" ht="30" customHeight="1" x14ac:dyDescent="0.25">
      <c r="A39" s="15"/>
      <c r="B39" s="5"/>
      <c r="C39" s="5"/>
      <c r="D39" s="5"/>
      <c r="E39" s="10"/>
      <c r="F39" s="43"/>
      <c r="G39" s="43"/>
      <c r="H39" s="43"/>
      <c r="I39" s="43"/>
      <c r="J39" s="43"/>
      <c r="K39" s="43"/>
      <c r="L39" s="43"/>
      <c r="M39" s="43"/>
      <c r="N39" s="4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30" ht="30" customHeight="1" x14ac:dyDescent="0.25">
      <c r="A40" s="15"/>
      <c r="B40" s="5"/>
      <c r="C40" s="5"/>
      <c r="D40" s="5"/>
      <c r="E40" s="10"/>
      <c r="F40" s="43"/>
      <c r="G40" s="43"/>
      <c r="H40" s="43"/>
      <c r="I40" s="43"/>
      <c r="J40" s="43"/>
      <c r="K40" s="43"/>
      <c r="L40" s="43"/>
      <c r="M40" s="43"/>
      <c r="N40" s="4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30" ht="30" customHeight="1" x14ac:dyDescent="0.25">
      <c r="A41" s="15"/>
      <c r="B41" s="5"/>
      <c r="C41" s="5"/>
      <c r="D41" s="37"/>
      <c r="E41" s="34"/>
      <c r="F41" s="35">
        <f t="shared" ref="F41" si="9">G41-1</f>
        <v>2013</v>
      </c>
      <c r="G41" s="35">
        <f t="shared" ref="G41" si="10">H41-1</f>
        <v>2014</v>
      </c>
      <c r="H41" s="35">
        <f>I41-1</f>
        <v>2015</v>
      </c>
      <c r="I41" s="35">
        <v>2016</v>
      </c>
      <c r="J41" s="35">
        <v>2017</v>
      </c>
      <c r="K41" s="35">
        <v>2018</v>
      </c>
      <c r="L41" s="35">
        <v>2019</v>
      </c>
      <c r="M41" s="35">
        <v>2020</v>
      </c>
      <c r="N41" s="35">
        <v>2021</v>
      </c>
      <c r="O41" s="36">
        <v>2022</v>
      </c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30" ht="30" customHeight="1" x14ac:dyDescent="0.25">
      <c r="A42" s="15"/>
      <c r="B42" s="5"/>
      <c r="C42" s="5"/>
      <c r="D42" s="37"/>
      <c r="E42" s="38" t="s">
        <v>336</v>
      </c>
      <c r="F42" s="47">
        <v>0.11774106600000001</v>
      </c>
      <c r="G42" s="47">
        <v>0.226347349</v>
      </c>
      <c r="H42" s="47">
        <v>0.54423761400000004</v>
      </c>
      <c r="I42" s="47">
        <v>0.59118790399999999</v>
      </c>
      <c r="J42" s="47">
        <v>0.61417265600000004</v>
      </c>
      <c r="K42" s="47">
        <v>0.63612183099999997</v>
      </c>
      <c r="L42" s="47">
        <v>0.64160693300000005</v>
      </c>
      <c r="M42" s="47">
        <v>0.12924153820000001</v>
      </c>
      <c r="N42" s="47">
        <v>0.22210839738999999</v>
      </c>
      <c r="O42" s="48">
        <v>1.22210839739</v>
      </c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30" ht="30" customHeight="1" x14ac:dyDescent="0.25">
      <c r="A43" s="15"/>
      <c r="B43" s="5"/>
      <c r="C43" s="5"/>
      <c r="D43" s="37"/>
      <c r="E43" s="38" t="s">
        <v>334</v>
      </c>
      <c r="F43" s="51">
        <v>7.7716875247499997E-3</v>
      </c>
      <c r="G43" s="51">
        <v>9.05389396E-3</v>
      </c>
      <c r="H43" s="51">
        <v>1.5478885494900001E-2</v>
      </c>
      <c r="I43" s="51">
        <v>9.7507488702000007E-3</v>
      </c>
      <c r="J43" s="51">
        <v>6.7901896738500004E-3</v>
      </c>
      <c r="K43" s="51">
        <v>1.12190799118E-2</v>
      </c>
      <c r="L43" s="51">
        <v>5.5874504310699999E-3</v>
      </c>
      <c r="M43" s="51">
        <v>5.1634653695599997E-3</v>
      </c>
      <c r="N43" s="51">
        <v>9.5530493501099992E-3</v>
      </c>
      <c r="O43" s="51">
        <v>1.03E-2</v>
      </c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30" ht="30" customHeight="1" thickBot="1" x14ac:dyDescent="0.3">
      <c r="A44" s="15"/>
      <c r="B44" s="5"/>
      <c r="C44" s="5"/>
      <c r="D44" s="37"/>
      <c r="E44" s="288" t="s">
        <v>335</v>
      </c>
      <c r="F44" s="302">
        <v>0.38520572195399999</v>
      </c>
      <c r="G44" s="302">
        <v>0</v>
      </c>
      <c r="H44" s="302">
        <v>0.52742124273800006</v>
      </c>
      <c r="I44" s="302">
        <v>0.43171738142099997</v>
      </c>
      <c r="J44" s="302">
        <v>0.39500402840200005</v>
      </c>
      <c r="K44" s="302">
        <v>0.411338410682</v>
      </c>
      <c r="L44" s="302">
        <v>0.26816350010400003</v>
      </c>
      <c r="M44" s="302">
        <v>0.43019843762100002</v>
      </c>
      <c r="N44" s="302">
        <v>0.478775271522</v>
      </c>
      <c r="O44" s="303">
        <v>0.40759882920574075</v>
      </c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30" ht="30" customHeight="1" x14ac:dyDescent="0.25">
      <c r="A45" s="15"/>
      <c r="B45" s="5"/>
      <c r="C45" s="5"/>
      <c r="D45" s="5"/>
      <c r="E45" s="10"/>
      <c r="F45" s="43"/>
      <c r="G45" s="43"/>
      <c r="H45" s="43"/>
      <c r="I45" s="43"/>
      <c r="J45" s="43"/>
      <c r="K45" s="43"/>
      <c r="L45" s="43"/>
      <c r="M45" s="43"/>
      <c r="N45" s="4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30" ht="30" customHeight="1" x14ac:dyDescent="0.25">
      <c r="A46" s="15"/>
      <c r="B46" s="5"/>
      <c r="C46" s="5"/>
      <c r="D46" s="5"/>
      <c r="E46" s="10"/>
      <c r="F46" s="43"/>
      <c r="G46" s="43"/>
      <c r="H46" s="43"/>
      <c r="I46" s="43"/>
      <c r="J46" s="43"/>
      <c r="K46" s="43"/>
      <c r="L46" s="43"/>
      <c r="M46" s="43"/>
      <c r="N46" s="4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30" ht="30" customHeight="1" x14ac:dyDescent="0.25">
      <c r="A47" s="15"/>
      <c r="B47" s="5"/>
      <c r="C47" s="5"/>
      <c r="D47" s="5"/>
      <c r="E47" s="10"/>
      <c r="F47" s="43"/>
      <c r="G47" s="43"/>
      <c r="H47" s="43"/>
      <c r="I47" s="43"/>
      <c r="J47" s="43"/>
      <c r="K47" s="43"/>
      <c r="L47" s="43"/>
      <c r="M47" s="43"/>
      <c r="N47" s="4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30" ht="30" customHeight="1" x14ac:dyDescent="0.25">
      <c r="A48" s="15"/>
      <c r="B48" s="5"/>
      <c r="C48" s="5"/>
      <c r="D48" s="5"/>
      <c r="E48" s="10"/>
      <c r="F48" s="43"/>
      <c r="G48" s="43"/>
      <c r="H48" s="43"/>
      <c r="I48" s="43"/>
      <c r="J48" s="43"/>
      <c r="K48" s="43"/>
      <c r="L48" s="43"/>
      <c r="M48" s="43"/>
      <c r="N48" s="4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30" customHeight="1" x14ac:dyDescent="0.25">
      <c r="A49" s="15"/>
      <c r="B49" s="5"/>
      <c r="C49" s="5"/>
      <c r="D49" s="5"/>
      <c r="E49" s="10"/>
      <c r="F49" s="43"/>
      <c r="G49" s="43"/>
      <c r="H49" s="43"/>
      <c r="I49" s="43"/>
      <c r="J49" s="43"/>
      <c r="K49" s="43"/>
      <c r="L49" s="43"/>
      <c r="M49" s="43"/>
      <c r="N49" s="4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30" customHeight="1" x14ac:dyDescent="0.25">
      <c r="A50" s="15"/>
      <c r="B50" s="5"/>
      <c r="C50" s="5"/>
      <c r="D50" s="5"/>
      <c r="E50" s="10"/>
      <c r="F50" s="43"/>
      <c r="G50" s="43"/>
      <c r="H50" s="43"/>
      <c r="I50" s="43"/>
      <c r="J50" s="43"/>
      <c r="K50" s="43"/>
      <c r="L50" s="43"/>
      <c r="M50" s="43"/>
      <c r="N50" s="4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30" customHeight="1" x14ac:dyDescent="0.25">
      <c r="A51" s="15"/>
      <c r="B51" s="5"/>
      <c r="C51" s="5"/>
      <c r="D51" s="5"/>
      <c r="E51" s="10"/>
      <c r="F51" s="43"/>
      <c r="G51" s="43"/>
      <c r="H51" s="43"/>
      <c r="I51" s="43"/>
      <c r="J51" s="43"/>
      <c r="K51" s="43"/>
      <c r="L51" s="43"/>
      <c r="M51" s="43"/>
      <c r="N51" s="4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30" customHeight="1" x14ac:dyDescent="0.25">
      <c r="A52" s="15"/>
      <c r="B52" s="5"/>
      <c r="C52" s="5"/>
      <c r="D52" s="5"/>
      <c r="E52" s="10"/>
      <c r="F52" s="43"/>
      <c r="G52" s="43"/>
      <c r="H52" s="43"/>
      <c r="I52" s="43"/>
      <c r="J52" s="43"/>
      <c r="K52" s="43"/>
      <c r="L52" s="43"/>
      <c r="M52" s="43"/>
      <c r="N52" s="4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30" hidden="1" customHeight="1" x14ac:dyDescent="0.25">
      <c r="A53" s="15"/>
      <c r="B53" s="5"/>
      <c r="C53" s="5"/>
      <c r="D53" s="5"/>
      <c r="E53" s="10"/>
      <c r="F53" s="43"/>
      <c r="G53" s="43"/>
      <c r="H53" s="43"/>
      <c r="I53" s="43"/>
      <c r="J53" s="43"/>
      <c r="K53" s="43"/>
      <c r="L53" s="43"/>
      <c r="M53" s="43"/>
      <c r="N53" s="4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 hidden="1" x14ac:dyDescent="0.25">
      <c r="A54" s="15"/>
      <c r="B54" s="5"/>
      <c r="C54" s="5"/>
      <c r="D54" s="5"/>
      <c r="E54" s="10"/>
      <c r="F54" s="43"/>
      <c r="G54" s="43"/>
      <c r="H54" s="43"/>
      <c r="I54" s="43"/>
      <c r="J54" s="43"/>
      <c r="K54" s="43"/>
      <c r="L54" s="43"/>
      <c r="M54" s="43"/>
      <c r="N54" s="4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46.9" hidden="1" customHeight="1" x14ac:dyDescent="0.25">
      <c r="A55" s="15"/>
      <c r="B55" s="5"/>
      <c r="C55" s="5"/>
      <c r="D55" s="5"/>
      <c r="E55" s="10"/>
      <c r="F55" s="43"/>
      <c r="G55" s="43"/>
      <c r="H55" s="43"/>
      <c r="I55" s="43"/>
      <c r="J55" s="43"/>
      <c r="K55" s="43"/>
      <c r="L55" s="43"/>
      <c r="M55" s="43"/>
      <c r="N55" s="4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46.9" hidden="1" customHeight="1" x14ac:dyDescent="0.25">
      <c r="A56" s="15"/>
      <c r="B56" s="5"/>
      <c r="C56" s="5"/>
      <c r="D56" s="5"/>
      <c r="E56" s="10"/>
      <c r="F56" s="43"/>
      <c r="G56" s="43"/>
      <c r="H56" s="43"/>
      <c r="I56" s="43"/>
      <c r="J56" s="43"/>
      <c r="K56" s="43"/>
      <c r="L56" s="43"/>
      <c r="M56" s="43"/>
      <c r="N56" s="4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30" hidden="1" customHeight="1" x14ac:dyDescent="0.25">
      <c r="A57" s="15"/>
      <c r="B57" s="5"/>
      <c r="C57" s="5"/>
      <c r="D57" s="5"/>
      <c r="E57" s="10"/>
      <c r="F57" s="43"/>
      <c r="G57" s="43"/>
      <c r="H57" s="43"/>
      <c r="I57" s="43"/>
      <c r="J57" s="43"/>
      <c r="K57" s="43"/>
      <c r="L57" s="43"/>
      <c r="M57" s="43"/>
      <c r="N57" s="4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30" hidden="1" customHeight="1" x14ac:dyDescent="0.25">
      <c r="A58" s="15"/>
      <c r="B58" s="5"/>
      <c r="C58" s="5"/>
      <c r="D58" s="5"/>
      <c r="E58" s="10"/>
      <c r="F58" s="43"/>
      <c r="G58" s="43"/>
      <c r="H58" s="43"/>
      <c r="I58" s="43"/>
      <c r="J58" s="43"/>
      <c r="K58" s="43"/>
      <c r="L58" s="43"/>
      <c r="M58" s="43"/>
      <c r="N58" s="4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30" hidden="1" customHeight="1" x14ac:dyDescent="0.25">
      <c r="A59" s="15"/>
      <c r="B59" s="5"/>
      <c r="C59" s="5"/>
      <c r="D59" s="5"/>
      <c r="E59" s="10"/>
      <c r="F59" s="43"/>
      <c r="G59" s="43"/>
      <c r="H59" s="43"/>
      <c r="I59" s="43"/>
      <c r="J59" s="43"/>
      <c r="K59" s="43"/>
      <c r="L59" s="43"/>
      <c r="M59" s="43"/>
      <c r="N59" s="4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30" hidden="1" customHeight="1" x14ac:dyDescent="0.25">
      <c r="A60" s="15"/>
      <c r="B60" s="5"/>
      <c r="C60" s="5"/>
      <c r="D60" s="5"/>
      <c r="E60" s="10"/>
      <c r="F60" s="43"/>
      <c r="G60" s="43"/>
      <c r="H60" s="43"/>
      <c r="I60" s="43"/>
      <c r="J60" s="43"/>
      <c r="K60" s="43"/>
      <c r="L60" s="43"/>
      <c r="M60" s="43"/>
      <c r="N60" s="4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30" hidden="1" customHeight="1" x14ac:dyDescent="0.25">
      <c r="A61" s="15"/>
      <c r="B61" s="5"/>
      <c r="C61" s="5"/>
      <c r="D61" s="5"/>
      <c r="E61" s="10"/>
      <c r="F61" s="43"/>
      <c r="G61" s="43"/>
      <c r="H61" s="43"/>
      <c r="I61" s="43"/>
      <c r="J61" s="43"/>
      <c r="K61" s="43"/>
      <c r="L61" s="43"/>
      <c r="M61" s="43"/>
      <c r="N61" s="4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30" hidden="1" customHeight="1" x14ac:dyDescent="0.25">
      <c r="A62" s="15"/>
      <c r="B62" s="5"/>
      <c r="C62" s="5"/>
      <c r="D62" s="5"/>
      <c r="E62" s="10"/>
      <c r="F62" s="43"/>
      <c r="G62" s="43"/>
      <c r="H62" s="43"/>
      <c r="I62" s="43"/>
      <c r="J62" s="43"/>
      <c r="K62" s="43"/>
      <c r="L62" s="43"/>
      <c r="M62" s="43"/>
      <c r="N62" s="4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30" hidden="1" customHeight="1" x14ac:dyDescent="0.25">
      <c r="A63" s="15"/>
      <c r="B63" s="5"/>
      <c r="C63" s="5"/>
      <c r="D63" s="5"/>
      <c r="E63" s="10"/>
      <c r="F63" s="43"/>
      <c r="G63" s="43"/>
      <c r="H63" s="43"/>
      <c r="I63" s="43"/>
      <c r="J63" s="43"/>
      <c r="K63" s="43"/>
      <c r="L63" s="43"/>
      <c r="M63" s="43"/>
      <c r="N63" s="4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30" hidden="1" customHeight="1" x14ac:dyDescent="0.25">
      <c r="A64" s="15"/>
      <c r="B64" s="5"/>
      <c r="C64" s="5"/>
      <c r="D64" s="5"/>
      <c r="E64" s="10"/>
      <c r="F64" s="43"/>
      <c r="G64" s="43"/>
      <c r="H64" s="43"/>
      <c r="I64" s="43"/>
      <c r="J64" s="43"/>
      <c r="K64" s="43"/>
      <c r="L64" s="43"/>
      <c r="M64" s="43"/>
      <c r="N64" s="4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30" hidden="1" customHeight="1" x14ac:dyDescent="0.25">
      <c r="A65" s="15"/>
      <c r="B65" s="5"/>
      <c r="C65" s="5"/>
      <c r="D65" s="5"/>
      <c r="E65" s="10"/>
      <c r="F65" s="43"/>
      <c r="G65" s="43"/>
      <c r="H65" s="43"/>
      <c r="I65" s="43"/>
      <c r="J65" s="43"/>
      <c r="K65" s="43"/>
      <c r="L65" s="43"/>
      <c r="M65" s="43"/>
      <c r="N65" s="4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30" hidden="1" customHeight="1" x14ac:dyDescent="0.25">
      <c r="A66" s="15"/>
      <c r="B66" s="5"/>
      <c r="C66" s="5"/>
      <c r="D66" s="5"/>
      <c r="E66" s="10"/>
      <c r="F66" s="43"/>
      <c r="G66" s="43"/>
      <c r="H66" s="43"/>
      <c r="I66" s="43"/>
      <c r="J66" s="43"/>
      <c r="K66" s="43"/>
      <c r="L66" s="43"/>
      <c r="M66" s="43"/>
      <c r="N66" s="4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30" hidden="1" customHeight="1" x14ac:dyDescent="0.25">
      <c r="A67" s="15"/>
      <c r="B67" s="5"/>
      <c r="C67" s="5"/>
      <c r="D67" s="5"/>
      <c r="E67" s="10"/>
      <c r="F67" s="43"/>
      <c r="G67" s="43"/>
      <c r="H67" s="43"/>
      <c r="I67" s="43"/>
      <c r="J67" s="43"/>
      <c r="K67" s="43"/>
      <c r="L67" s="43"/>
      <c r="M67" s="43"/>
      <c r="N67" s="4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30" hidden="1" customHeight="1" x14ac:dyDescent="0.25">
      <c r="A68" s="15"/>
      <c r="B68" s="5"/>
      <c r="C68" s="5"/>
      <c r="D68" s="5"/>
      <c r="E68" s="10"/>
      <c r="F68" s="43"/>
      <c r="G68" s="43"/>
      <c r="H68" s="43"/>
      <c r="I68" s="43"/>
      <c r="J68" s="43"/>
      <c r="K68" s="43"/>
      <c r="L68" s="43"/>
      <c r="M68" s="43"/>
      <c r="N68" s="4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30" hidden="1" customHeight="1" x14ac:dyDescent="0.25">
      <c r="A69" s="15"/>
      <c r="B69" s="5"/>
      <c r="C69" s="5"/>
      <c r="D69" s="5"/>
      <c r="E69" s="10"/>
      <c r="F69" s="43"/>
      <c r="G69" s="43"/>
      <c r="H69" s="43"/>
      <c r="I69" s="43"/>
      <c r="J69" s="43"/>
      <c r="K69" s="43"/>
      <c r="L69" s="43"/>
      <c r="M69" s="43"/>
      <c r="N69" s="4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30" hidden="1" customHeight="1" x14ac:dyDescent="0.25">
      <c r="A70" s="15"/>
      <c r="B70" s="5"/>
      <c r="C70" s="5"/>
      <c r="D70" s="5"/>
      <c r="E70" s="10"/>
      <c r="F70" s="43"/>
      <c r="G70" s="43"/>
      <c r="H70" s="43"/>
      <c r="I70" s="43"/>
      <c r="J70" s="43"/>
      <c r="K70" s="43"/>
      <c r="L70" s="43"/>
      <c r="M70" s="43"/>
      <c r="N70" s="4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30" hidden="1" customHeight="1" x14ac:dyDescent="0.25">
      <c r="A71" s="15"/>
      <c r="B71" s="5"/>
      <c r="C71" s="5"/>
      <c r="D71" s="5"/>
      <c r="E71" s="10"/>
      <c r="F71" s="43"/>
      <c r="G71" s="43"/>
      <c r="H71" s="43"/>
      <c r="I71" s="43"/>
      <c r="J71" s="43"/>
      <c r="K71" s="43"/>
      <c r="L71" s="43"/>
      <c r="M71" s="43"/>
      <c r="N71" s="4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30" hidden="1" customHeight="1" x14ac:dyDescent="0.25">
      <c r="A72" s="15"/>
      <c r="B72" s="5"/>
      <c r="C72" s="5"/>
      <c r="D72" s="5"/>
      <c r="E72" s="10"/>
      <c r="F72" s="43"/>
      <c r="G72" s="43"/>
      <c r="H72" s="43"/>
      <c r="I72" s="43"/>
      <c r="J72" s="43"/>
      <c r="K72" s="43"/>
      <c r="L72" s="43"/>
      <c r="M72" s="43"/>
      <c r="N72" s="4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30" hidden="1" customHeight="1" x14ac:dyDescent="0.25">
      <c r="A73" s="15"/>
      <c r="B73" s="5"/>
      <c r="C73" s="5"/>
      <c r="D73" s="5"/>
      <c r="E73" s="10"/>
      <c r="F73" s="43"/>
      <c r="G73" s="43"/>
      <c r="H73" s="43"/>
      <c r="I73" s="43"/>
      <c r="J73" s="43"/>
      <c r="K73" s="43"/>
      <c r="L73" s="43"/>
      <c r="M73" s="43"/>
      <c r="N73" s="4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30" hidden="1" customHeight="1" x14ac:dyDescent="0.25">
      <c r="A74" s="15"/>
      <c r="B74" s="5"/>
      <c r="C74" s="5"/>
      <c r="D74" s="5"/>
      <c r="E74" s="10"/>
      <c r="F74" s="43"/>
      <c r="G74" s="43"/>
      <c r="H74" s="43"/>
      <c r="I74" s="43"/>
      <c r="J74" s="43"/>
      <c r="K74" s="43"/>
      <c r="L74" s="43"/>
      <c r="M74" s="43"/>
      <c r="N74" s="4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30" hidden="1" customHeight="1" x14ac:dyDescent="0.25">
      <c r="A75" s="15"/>
      <c r="B75" s="5"/>
      <c r="C75" s="5"/>
      <c r="D75" s="5"/>
      <c r="E75" s="10"/>
      <c r="F75" s="43"/>
      <c r="G75" s="43"/>
      <c r="H75" s="43"/>
      <c r="I75" s="43"/>
      <c r="J75" s="43"/>
      <c r="K75" s="43"/>
      <c r="L75" s="43"/>
      <c r="M75" s="43"/>
      <c r="N75" s="4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30" hidden="1" customHeight="1" x14ac:dyDescent="0.25">
      <c r="A76" s="15"/>
      <c r="B76" s="5"/>
      <c r="C76" s="5"/>
      <c r="D76" s="5"/>
      <c r="E76" s="10"/>
      <c r="F76" s="43"/>
      <c r="G76" s="43"/>
      <c r="H76" s="43"/>
      <c r="I76" s="43"/>
      <c r="J76" s="43"/>
      <c r="K76" s="43"/>
      <c r="L76" s="43"/>
      <c r="M76" s="43"/>
      <c r="N76" s="4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30" hidden="1" customHeight="1" x14ac:dyDescent="0.25">
      <c r="A77" s="1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30" hidden="1" customHeight="1" x14ac:dyDescent="0.25">
      <c r="A78" s="1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30" hidden="1" customHeight="1" x14ac:dyDescent="0.25">
      <c r="A79" s="1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30" hidden="1" customHeight="1" x14ac:dyDescent="0.25">
      <c r="A80" s="1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30" hidden="1" customHeight="1" x14ac:dyDescent="0.25">
      <c r="A81" s="1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30" hidden="1" customHeight="1" x14ac:dyDescent="0.25">
      <c r="A82" s="1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30" hidden="1" customHeight="1" x14ac:dyDescent="0.25">
      <c r="A83" s="1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30" hidden="1" customHeight="1" x14ac:dyDescent="0.25">
      <c r="A84" s="1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30" hidden="1" customHeight="1" x14ac:dyDescent="0.25">
      <c r="A85" s="1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30" hidden="1" customHeight="1" x14ac:dyDescent="0.25">
      <c r="A86" s="1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30" hidden="1" customHeight="1" x14ac:dyDescent="0.25">
      <c r="A87" s="1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30" hidden="1" customHeight="1" x14ac:dyDescent="0.25">
      <c r="A88" s="1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30" hidden="1" customHeight="1" x14ac:dyDescent="0.25">
      <c r="A89" s="1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30" hidden="1" customHeight="1" x14ac:dyDescent="0.25">
      <c r="A90" s="1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30" hidden="1" customHeight="1" x14ac:dyDescent="0.25">
      <c r="A91" s="1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30" hidden="1" customHeight="1" x14ac:dyDescent="0.25">
      <c r="A92" s="1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30" hidden="1" customHeight="1" x14ac:dyDescent="0.25">
      <c r="A93" s="1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30" hidden="1" customHeight="1" x14ac:dyDescent="0.25">
      <c r="A94" s="1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30" hidden="1" customHeight="1" x14ac:dyDescent="0.25">
      <c r="A95" s="1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30" hidden="1" customHeight="1" x14ac:dyDescent="0.25">
      <c r="A96" s="1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30" hidden="1" customHeight="1" x14ac:dyDescent="0.25">
      <c r="A97" s="1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30" hidden="1" customHeight="1" x14ac:dyDescent="0.25">
      <c r="A98" s="1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30" hidden="1" customHeight="1" x14ac:dyDescent="0.25">
      <c r="A99" s="1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30" hidden="1" customHeight="1" x14ac:dyDescent="0.25">
      <c r="A100" s="1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30" hidden="1" customHeight="1" x14ac:dyDescent="0.25">
      <c r="A101" s="1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30" hidden="1" customHeight="1" x14ac:dyDescent="0.25">
      <c r="A102" s="1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30" hidden="1" customHeight="1" x14ac:dyDescent="0.25">
      <c r="A103" s="1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30" hidden="1" customHeight="1" x14ac:dyDescent="0.25">
      <c r="A104" s="1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30" hidden="1" customHeight="1" x14ac:dyDescent="0.25">
      <c r="A105" s="1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30" hidden="1" customHeight="1" x14ac:dyDescent="0.25">
      <c r="A106" s="1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30" hidden="1" customHeight="1" x14ac:dyDescent="0.25">
      <c r="A107" s="1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30" hidden="1" customHeight="1" x14ac:dyDescent="0.25">
      <c r="A108" s="1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30" hidden="1" customHeight="1" x14ac:dyDescent="0.25">
      <c r="A109" s="1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30" hidden="1" customHeight="1" x14ac:dyDescent="0.25">
      <c r="A110" s="1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30" hidden="1" customHeight="1" x14ac:dyDescent="0.25">
      <c r="A111" s="1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30" hidden="1" customHeight="1" x14ac:dyDescent="0.25">
      <c r="A112" s="1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30" hidden="1" customHeight="1" x14ac:dyDescent="0.25">
      <c r="A113" s="1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30" hidden="1" customHeight="1" x14ac:dyDescent="0.25">
      <c r="A114" s="1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30" hidden="1" customHeight="1" x14ac:dyDescent="0.25">
      <c r="A115" s="1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30" hidden="1" customHeight="1" x14ac:dyDescent="0.25">
      <c r="A116" s="1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30" hidden="1" customHeight="1" x14ac:dyDescent="0.25">
      <c r="A117" s="1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30" hidden="1" customHeight="1" x14ac:dyDescent="0.25">
      <c r="A118" s="1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30" hidden="1" customHeight="1" x14ac:dyDescent="0.25">
      <c r="A119" s="1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30" hidden="1" customHeight="1" x14ac:dyDescent="0.25">
      <c r="A120" s="1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30" hidden="1" customHeight="1" x14ac:dyDescent="0.25">
      <c r="A121" s="1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30" hidden="1" customHeight="1" x14ac:dyDescent="0.25">
      <c r="A122" s="1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30" hidden="1" customHeight="1" x14ac:dyDescent="0.25">
      <c r="A123" s="1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30" hidden="1" customHeight="1" x14ac:dyDescent="0.25">
      <c r="A124" s="1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30" hidden="1" customHeight="1" x14ac:dyDescent="0.25">
      <c r="A125" s="1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30" hidden="1" customHeight="1" x14ac:dyDescent="0.25">
      <c r="A126" s="1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30" hidden="1" customHeight="1" x14ac:dyDescent="0.25">
      <c r="A127" s="1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30" hidden="1" customHeight="1" x14ac:dyDescent="0.25">
      <c r="A128" s="1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6" ht="30" hidden="1" customHeight="1" x14ac:dyDescent="0.25">
      <c r="A129" s="1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6" ht="30" hidden="1" customHeight="1" x14ac:dyDescent="0.25">
      <c r="A130" s="1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6" ht="30" hidden="1" customHeight="1" x14ac:dyDescent="0.25">
      <c r="A131" s="1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6" ht="30" hidden="1" customHeight="1" x14ac:dyDescent="0.25">
      <c r="A132" s="1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6" s="4" customFormat="1" ht="30" hidden="1" customHeight="1" x14ac:dyDescent="0.25">
      <c r="A133" s="1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"/>
    </row>
    <row r="134" spans="1:26" s="4" customFormat="1" ht="30" hidden="1" customHeight="1" x14ac:dyDescent="0.25">
      <c r="A134" s="1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"/>
    </row>
    <row r="135" spans="1:26" s="4" customFormat="1" ht="30" hidden="1" customHeight="1" x14ac:dyDescent="0.25">
      <c r="A135" s="1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"/>
    </row>
    <row r="136" spans="1:26" s="4" customFormat="1" ht="30" hidden="1" customHeight="1" x14ac:dyDescent="0.25">
      <c r="A136" s="1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"/>
    </row>
    <row r="137" spans="1:26" s="4" customFormat="1" ht="30" hidden="1" customHeight="1" x14ac:dyDescent="0.25">
      <c r="A137" s="1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"/>
    </row>
    <row r="138" spans="1:26" s="4" customFormat="1" ht="30" hidden="1" customHeight="1" x14ac:dyDescent="0.25">
      <c r="A138" s="1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"/>
    </row>
    <row r="139" spans="1:26" s="4" customFormat="1" ht="30" hidden="1" customHeight="1" x14ac:dyDescent="0.25">
      <c r="A139" s="1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"/>
    </row>
  </sheetData>
  <mergeCells count="1">
    <mergeCell ref="G3:L5"/>
  </mergeCells>
  <conditionalFormatting sqref="C9:E15">
    <cfRule type="cellIs" dxfId="92" priority="116" operator="equal">
      <formula>0</formula>
    </cfRule>
  </conditionalFormatting>
  <conditionalFormatting sqref="C1:N2 A1:A7 O1:XFD8 B1:B25 C3:E3 C4:D5 C6:N8 X9:XFD33 C16:W16 P17:W17 C17:D21 P18:R20 S18:W33 A20:A23 O21:R23 C24:D29 A24:B1048576 S34:XFD1048576 P41:R41 P42:Q44 C45:Q49 C50:R1048576 C77:Y139">
    <cfRule type="cellIs" dxfId="91" priority="164" operator="equal">
      <formula>0</formula>
    </cfRule>
  </conditionalFormatting>
  <conditionalFormatting sqref="C41:O44">
    <cfRule type="cellIs" dxfId="90" priority="1" operator="equal">
      <formula>0</formula>
    </cfRule>
  </conditionalFormatting>
  <conditionalFormatting sqref="C22:R23">
    <cfRule type="cellIs" dxfId="89" priority="152" operator="equal">
      <formula>0</formula>
    </cfRule>
  </conditionalFormatting>
  <conditionalFormatting sqref="C30:R40">
    <cfRule type="cellIs" dxfId="88" priority="8" operator="equal">
      <formula>0</formula>
    </cfRule>
  </conditionalFormatting>
  <conditionalFormatting sqref="D14:W15">
    <cfRule type="cellIs" dxfId="87" priority="137" operator="equal">
      <formula>0</formula>
    </cfRule>
  </conditionalFormatting>
  <conditionalFormatting sqref="E20:E29">
    <cfRule type="cellIs" dxfId="86" priority="40" operator="equal">
      <formula>0</formula>
    </cfRule>
  </conditionalFormatting>
  <conditionalFormatting sqref="E17:M19">
    <cfRule type="cellIs" dxfId="85" priority="106" operator="equal">
      <formula>0</formula>
    </cfRule>
  </conditionalFormatting>
  <conditionalFormatting sqref="E21:N21">
    <cfRule type="cellIs" dxfId="84" priority="103" operator="equal">
      <formula>0</formula>
    </cfRule>
  </conditionalFormatting>
  <conditionalFormatting sqref="F22:H24">
    <cfRule type="cellIs" dxfId="83" priority="93" operator="equal">
      <formula>0</formula>
    </cfRule>
  </conditionalFormatting>
  <conditionalFormatting sqref="F18:M20">
    <cfRule type="cellIs" dxfId="82" priority="99" operator="equal">
      <formula>0</formula>
    </cfRule>
  </conditionalFormatting>
  <conditionalFormatting sqref="F25:M29">
    <cfRule type="cellIs" dxfId="81" priority="41" operator="equal">
      <formula>0</formula>
    </cfRule>
  </conditionalFormatting>
  <conditionalFormatting sqref="F9:W13">
    <cfRule type="cellIs" dxfId="80" priority="24" operator="equal">
      <formula>0</formula>
    </cfRule>
  </conditionalFormatting>
  <conditionalFormatting sqref="I24:M24">
    <cfRule type="cellIs" dxfId="79" priority="96" operator="equal">
      <formula>0</formula>
    </cfRule>
  </conditionalFormatting>
  <conditionalFormatting sqref="N17:O20">
    <cfRule type="cellIs" dxfId="78" priority="19" operator="equal">
      <formula>0</formula>
    </cfRule>
  </conditionalFormatting>
  <conditionalFormatting sqref="N24:R29">
    <cfRule type="cellIs" dxfId="77" priority="14" operator="equal">
      <formula>0</formula>
    </cfRule>
  </conditionalFormatting>
  <conditionalFormatting sqref="R42:R49">
    <cfRule type="cellIs" dxfId="76" priority="29" operator="equal">
      <formula>0</formula>
    </cfRule>
  </conditionalFormatting>
  <hyperlinks>
    <hyperlink ref="A14" location="'Provisões e Processos'!A1" display="Provisões e Processos" xr:uid="{00000000-0004-0000-0800-000000000000}"/>
    <hyperlink ref="A15" location="'Projeções - Receita'!A1" display="Projeções - Receita" xr:uid="{00000000-0004-0000-0800-000001000000}"/>
    <hyperlink ref="A17" location="'Projeções 2022'!A1" display="Projeções 2022" xr:uid="{00000000-0004-0000-0800-000002000000}"/>
    <hyperlink ref="A8" location="Dashboard!A1" display="Dashboard" xr:uid="{00000000-0004-0000-0800-000003000000}"/>
    <hyperlink ref="A9" location="WACC!A1" display="WACC" xr:uid="{00000000-0004-0000-0800-000004000000}"/>
    <hyperlink ref="A10" location="'DRE + DCF'!A1" display="DRE + DCF" xr:uid="{00000000-0004-0000-0800-000005000000}"/>
    <hyperlink ref="A11" location="'DRE - Contas Abertas'!A1" display="DRE - Contas Abertas" xr:uid="{00000000-0004-0000-0800-000006000000}"/>
    <hyperlink ref="A12" location="'Balanço Patrimonial'!A1" display="Balanço Patrimonial" xr:uid="{00000000-0004-0000-0800-000007000000}"/>
    <hyperlink ref="A16" location="'Projeções - Capex'!A1" display="Projeções - Capex" xr:uid="{00000000-0004-0000-08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1"/>
  <dimension ref="A1:BB113"/>
  <sheetViews>
    <sheetView showGridLines="0" topLeftCell="D37" zoomScale="80" zoomScaleNormal="80" workbookViewId="0">
      <selection activeCell="L21" sqref="L21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15.42578125" style="1" customWidth="1"/>
    <col min="6" max="6" width="60.42578125" style="1" customWidth="1"/>
    <col min="7" max="7" width="18.7109375" style="1" bestFit="1" customWidth="1"/>
    <col min="8" max="8" width="24.140625" style="1" bestFit="1" customWidth="1"/>
    <col min="9" max="9" width="23.7109375" style="1" bestFit="1" customWidth="1"/>
    <col min="10" max="10" width="11.85546875" style="1" customWidth="1"/>
    <col min="11" max="11" width="15.7109375" style="1" customWidth="1"/>
    <col min="12" max="12" width="11.85546875" style="1" customWidth="1"/>
    <col min="13" max="13" width="11.85546875" style="1" hidden="1" customWidth="1"/>
    <col min="14" max="14" width="14" style="1" hidden="1" customWidth="1"/>
    <col min="15" max="24" width="9.140625" style="1" customWidth="1"/>
    <col min="25" max="25" width="9.140625" style="1" hidden="1" customWidth="1"/>
    <col min="26" max="29" width="0" style="1" hidden="1" customWidth="1"/>
    <col min="30" max="31" width="9.140625" style="1" hidden="1" customWidth="1"/>
    <col min="32" max="35" width="0" style="1" hidden="1" customWidth="1"/>
    <col min="36" max="37" width="9.140625" style="1" hidden="1" customWidth="1"/>
    <col min="38" max="41" width="0" style="1" hidden="1" customWidth="1"/>
    <col min="42" max="42" width="9.140625" style="1" hidden="1" customWidth="1"/>
    <col min="43" max="46" width="0" style="1" hidden="1" customWidth="1"/>
    <col min="47" max="48" width="9.140625" style="1" hidden="1" customWidth="1"/>
    <col min="49" max="52" width="0" style="1" hidden="1" customWidth="1"/>
    <col min="53" max="54" width="9.140625" style="1" hidden="1" customWidth="1"/>
    <col min="55" max="16384" width="0" style="1" hidden="1"/>
  </cols>
  <sheetData>
    <row r="1" spans="1:27" ht="15" customHeight="1" x14ac:dyDescent="0.2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24" t="s">
        <v>174</v>
      </c>
      <c r="N1" s="224" t="s">
        <v>171</v>
      </c>
      <c r="O1" s="5"/>
      <c r="P1" s="5"/>
      <c r="Q1" s="5"/>
      <c r="R1" s="5"/>
      <c r="S1" s="5"/>
      <c r="T1" s="5"/>
      <c r="U1" s="5"/>
      <c r="V1" s="5"/>
      <c r="W1" s="5"/>
      <c r="X1" s="5"/>
    </row>
    <row r="2" spans="1:27" ht="15" customHeight="1" x14ac:dyDescent="0.2"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224" t="s">
        <v>172</v>
      </c>
      <c r="N2" s="224" t="s">
        <v>173</v>
      </c>
      <c r="O2" s="5"/>
      <c r="P2" s="5"/>
      <c r="Q2" s="5"/>
      <c r="R2" s="5"/>
      <c r="S2" s="5"/>
      <c r="T2" s="5"/>
      <c r="U2" s="5"/>
      <c r="V2" s="5"/>
      <c r="W2" s="5"/>
      <c r="X2" s="5"/>
    </row>
    <row r="3" spans="1:27" ht="15" customHeight="1" x14ac:dyDescent="0.2">
      <c r="B3" s="5"/>
      <c r="C3" s="5"/>
      <c r="D3" s="5"/>
      <c r="E3" s="5"/>
      <c r="F3" s="405" t="s">
        <v>88</v>
      </c>
      <c r="G3" s="405"/>
      <c r="H3" s="405"/>
      <c r="I3" s="32"/>
      <c r="J3" s="5"/>
      <c r="K3" s="5"/>
      <c r="L3" s="6"/>
      <c r="M3" s="224" t="s">
        <v>175</v>
      </c>
      <c r="N3" s="224" t="s">
        <v>176</v>
      </c>
      <c r="O3" s="5"/>
      <c r="P3" s="5"/>
      <c r="Q3" s="5"/>
      <c r="R3" s="5"/>
      <c r="S3" s="5"/>
      <c r="T3" s="5"/>
      <c r="U3" s="5"/>
      <c r="V3" s="5"/>
      <c r="W3" s="5"/>
      <c r="X3" s="5"/>
    </row>
    <row r="4" spans="1:27" ht="15" customHeight="1" x14ac:dyDescent="0.2">
      <c r="B4" s="5"/>
      <c r="C4" s="5"/>
      <c r="D4" s="5"/>
      <c r="E4" s="5"/>
      <c r="F4" s="405"/>
      <c r="G4" s="405"/>
      <c r="H4" s="405"/>
      <c r="I4" s="32"/>
      <c r="J4" s="5"/>
      <c r="K4" s="5"/>
      <c r="L4" s="6"/>
      <c r="M4" s="224"/>
      <c r="N4" s="224" t="s">
        <v>177</v>
      </c>
      <c r="O4" s="5"/>
      <c r="P4" s="5"/>
      <c r="Q4" s="5"/>
      <c r="R4" s="5"/>
      <c r="S4" s="5"/>
      <c r="T4" s="5"/>
      <c r="U4" s="5"/>
      <c r="V4" s="5"/>
      <c r="W4" s="5"/>
      <c r="X4" s="5"/>
    </row>
    <row r="5" spans="1:27" ht="15" customHeight="1" x14ac:dyDescent="0.25">
      <c r="B5" s="5"/>
      <c r="C5" s="5"/>
      <c r="D5" s="5"/>
      <c r="E5" s="5"/>
      <c r="F5" s="408"/>
      <c r="G5" s="408"/>
      <c r="H5" s="408"/>
      <c r="I5" s="32"/>
      <c r="J5" s="5"/>
      <c r="K5" s="5"/>
      <c r="L5" s="6"/>
      <c r="M5" s="32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7" ht="26.25" x14ac:dyDescent="0.25">
      <c r="B6" s="5"/>
      <c r="C6" s="5"/>
      <c r="D6" s="5"/>
      <c r="E6" s="5"/>
      <c r="F6" s="5"/>
      <c r="G6" s="5"/>
      <c r="H6" s="5"/>
      <c r="I6" s="3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7" s="11" customFormat="1" ht="24.75" customHeight="1" x14ac:dyDescent="0.25">
      <c r="A7" s="9" t="s">
        <v>68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7" ht="30" customHeight="1" x14ac:dyDescent="0.25">
      <c r="A8" s="15" t="s">
        <v>69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"/>
      <c r="V8" s="5"/>
      <c r="W8" s="5"/>
      <c r="X8" s="5"/>
    </row>
    <row r="9" spans="1:27" ht="30" customHeight="1" x14ac:dyDescent="0.2">
      <c r="A9" s="15" t="s">
        <v>52</v>
      </c>
      <c r="B9" s="5"/>
      <c r="C9" s="10"/>
      <c r="D9" s="5"/>
      <c r="E9" s="226"/>
      <c r="F9" s="227"/>
      <c r="G9" s="227"/>
      <c r="H9" s="225"/>
      <c r="I9" s="225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5"/>
      <c r="V9" s="5"/>
      <c r="W9" s="5"/>
      <c r="X9" s="5"/>
      <c r="Y9" s="5"/>
      <c r="Z9" s="5"/>
      <c r="AA9" s="5"/>
    </row>
    <row r="10" spans="1:27" ht="30" customHeight="1" x14ac:dyDescent="0.25">
      <c r="A10" s="15" t="s">
        <v>70</v>
      </c>
      <c r="B10" s="5"/>
      <c r="C10" s="10"/>
      <c r="D10" s="5"/>
      <c r="E10" s="228"/>
      <c r="F10" s="35" t="s">
        <v>158</v>
      </c>
      <c r="G10" s="35" t="s">
        <v>159</v>
      </c>
      <c r="H10" s="35" t="s">
        <v>160</v>
      </c>
      <c r="I10" s="36" t="s">
        <v>161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5"/>
      <c r="V10" s="5"/>
      <c r="W10" s="5"/>
      <c r="X10" s="5"/>
      <c r="Y10" s="5"/>
      <c r="Z10" s="5"/>
      <c r="AA10" s="5"/>
    </row>
    <row r="11" spans="1:27" ht="30" customHeight="1" x14ac:dyDescent="0.25">
      <c r="A11" s="21" t="s">
        <v>340</v>
      </c>
      <c r="B11" s="5"/>
      <c r="C11" s="10"/>
      <c r="D11" s="5"/>
      <c r="E11" s="228" t="s">
        <v>162</v>
      </c>
      <c r="F11" s="81">
        <v>465400</v>
      </c>
      <c r="G11" s="81">
        <v>14342</v>
      </c>
      <c r="H11" s="81">
        <v>184619</v>
      </c>
      <c r="I11" s="231">
        <f>F11-G11-H11</f>
        <v>266439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5"/>
      <c r="V11" s="5"/>
      <c r="W11" s="5"/>
      <c r="X11" s="5"/>
      <c r="Y11" s="5"/>
      <c r="Z11" s="5"/>
      <c r="AA11" s="5"/>
    </row>
    <row r="12" spans="1:27" ht="30" customHeight="1" x14ac:dyDescent="0.25">
      <c r="A12" s="15" t="s">
        <v>71</v>
      </c>
      <c r="B12" s="5"/>
      <c r="C12" s="10"/>
      <c r="D12" s="5"/>
      <c r="E12" s="228" t="s">
        <v>163</v>
      </c>
      <c r="F12" s="81">
        <v>11500</v>
      </c>
      <c r="G12" s="81">
        <v>7673</v>
      </c>
      <c r="H12" s="81">
        <v>4266</v>
      </c>
      <c r="I12" s="231">
        <f>F12-G12-H12</f>
        <v>-439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5"/>
      <c r="V12" s="5"/>
      <c r="W12" s="5"/>
      <c r="X12" s="5"/>
    </row>
    <row r="13" spans="1:27" ht="30" customHeight="1" x14ac:dyDescent="0.25">
      <c r="A13" s="21" t="s">
        <v>333</v>
      </c>
      <c r="B13" s="5"/>
      <c r="C13" s="10"/>
      <c r="D13" s="5"/>
      <c r="E13" s="228" t="s">
        <v>164</v>
      </c>
      <c r="F13" s="81">
        <v>86000</v>
      </c>
      <c r="G13" s="81">
        <v>94267</v>
      </c>
      <c r="H13" s="81">
        <v>4868</v>
      </c>
      <c r="I13" s="231">
        <f>F13-G13-H13</f>
        <v>-13135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5"/>
      <c r="V13" s="5"/>
      <c r="W13" s="5"/>
      <c r="X13" s="5"/>
    </row>
    <row r="14" spans="1:27" ht="30" customHeight="1" x14ac:dyDescent="0.25">
      <c r="A14" s="244" t="s">
        <v>198</v>
      </c>
      <c r="B14" s="5"/>
      <c r="C14" s="10"/>
      <c r="D14" s="5"/>
      <c r="E14" s="228" t="s">
        <v>165</v>
      </c>
      <c r="F14" s="81">
        <v>0</v>
      </c>
      <c r="G14" s="81">
        <v>0</v>
      </c>
      <c r="H14" s="81"/>
      <c r="I14" s="231">
        <f>F14-G14-H14</f>
        <v>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5"/>
      <c r="V14" s="5"/>
      <c r="W14" s="5"/>
      <c r="X14" s="5"/>
    </row>
    <row r="15" spans="1:27" ht="30" customHeight="1" thickBot="1" x14ac:dyDescent="0.3">
      <c r="A15" s="15" t="s">
        <v>305</v>
      </c>
      <c r="B15" s="5"/>
      <c r="C15" s="10"/>
      <c r="D15" s="5"/>
      <c r="E15" s="304" t="s">
        <v>166</v>
      </c>
      <c r="F15" s="256">
        <f>SUM(F11:F14)</f>
        <v>562900</v>
      </c>
      <c r="G15" s="359">
        <f>SUM(G11:G14)</f>
        <v>116282</v>
      </c>
      <c r="H15" s="360">
        <f>SUM(H11:H14)</f>
        <v>193753</v>
      </c>
      <c r="I15" s="305">
        <f>SUM(I11:I14)</f>
        <v>252865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/>
      <c r="V15" s="5"/>
      <c r="W15" s="5"/>
      <c r="X15" s="5"/>
    </row>
    <row r="16" spans="1:27" ht="30" customHeight="1" x14ac:dyDescent="0.25">
      <c r="A16" s="21" t="s">
        <v>358</v>
      </c>
      <c r="B16" s="5"/>
      <c r="C16" s="10"/>
      <c r="D16" s="5"/>
      <c r="E16" s="5"/>
      <c r="F16" s="5"/>
      <c r="G16" s="5"/>
      <c r="H16" s="5"/>
      <c r="I16" s="255"/>
      <c r="J16" s="5"/>
      <c r="K16" s="5"/>
      <c r="L16" s="5"/>
      <c r="M16" s="5"/>
      <c r="N16" s="5"/>
      <c r="O16" s="5"/>
      <c r="P16" s="10"/>
      <c r="Q16" s="10"/>
      <c r="R16" s="10"/>
      <c r="S16" s="10"/>
      <c r="T16" s="10"/>
      <c r="U16" s="5"/>
      <c r="V16" s="5"/>
      <c r="W16" s="5"/>
      <c r="X16" s="5"/>
    </row>
    <row r="17" spans="1:24" ht="30" customHeight="1" x14ac:dyDescent="0.25">
      <c r="A17" s="21" t="s">
        <v>314</v>
      </c>
      <c r="B17" s="5"/>
      <c r="C17" s="10"/>
      <c r="D17" s="5"/>
      <c r="E17" s="5"/>
      <c r="F17" s="5"/>
      <c r="G17" s="5"/>
      <c r="H17" s="5"/>
      <c r="I17" s="5"/>
      <c r="J17" s="5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5"/>
      <c r="V17" s="5"/>
      <c r="W17" s="5"/>
      <c r="X17" s="5"/>
    </row>
    <row r="18" spans="1:24" ht="30" customHeight="1" x14ac:dyDescent="0.2">
      <c r="A18" s="12"/>
      <c r="B18" s="5"/>
      <c r="C18" s="10"/>
      <c r="D18" s="5"/>
      <c r="E18" s="225"/>
      <c r="F18" s="225"/>
      <c r="G18" s="225"/>
      <c r="H18" s="225"/>
      <c r="I18" s="225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5"/>
      <c r="V18" s="5"/>
      <c r="W18" s="5"/>
      <c r="X18" s="5"/>
    </row>
    <row r="19" spans="1:24" ht="30" customHeight="1" x14ac:dyDescent="0.25">
      <c r="A19" s="15"/>
      <c r="B19" s="5"/>
      <c r="C19" s="10"/>
      <c r="D19" s="37"/>
      <c r="E19" s="66" t="s">
        <v>167</v>
      </c>
      <c r="F19" s="35" t="s">
        <v>49</v>
      </c>
      <c r="G19" s="35" t="s">
        <v>168</v>
      </c>
      <c r="H19" s="35" t="s">
        <v>169</v>
      </c>
      <c r="I19" s="36" t="s">
        <v>170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5"/>
      <c r="V19" s="5"/>
      <c r="W19" s="5"/>
      <c r="X19" s="5"/>
    </row>
    <row r="20" spans="1:24" ht="51" x14ac:dyDescent="0.25">
      <c r="A20" s="15"/>
      <c r="B20" s="5"/>
      <c r="C20" s="10"/>
      <c r="D20" s="37"/>
      <c r="E20" s="229" t="s">
        <v>176</v>
      </c>
      <c r="F20" s="230" t="s">
        <v>181</v>
      </c>
      <c r="G20" s="81">
        <v>1000</v>
      </c>
      <c r="H20" s="81" t="s">
        <v>172</v>
      </c>
      <c r="I20" s="232" t="s">
        <v>178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5"/>
      <c r="V20" s="5"/>
      <c r="W20" s="5"/>
      <c r="X20" s="5"/>
    </row>
    <row r="21" spans="1:24" ht="51" x14ac:dyDescent="0.25">
      <c r="A21" s="15"/>
      <c r="B21" s="5"/>
      <c r="C21" s="10"/>
      <c r="D21" s="37"/>
      <c r="E21" s="229" t="s">
        <v>176</v>
      </c>
      <c r="F21" s="230" t="s">
        <v>179</v>
      </c>
      <c r="G21" s="81">
        <v>2000</v>
      </c>
      <c r="H21" s="81" t="s">
        <v>174</v>
      </c>
      <c r="I21" s="232" t="s">
        <v>180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5"/>
      <c r="V21" s="5"/>
      <c r="W21" s="5"/>
      <c r="X21" s="5"/>
    </row>
    <row r="22" spans="1:24" ht="51" x14ac:dyDescent="0.25">
      <c r="A22" s="15"/>
      <c r="B22" s="5"/>
      <c r="C22" s="10"/>
      <c r="D22" s="37"/>
      <c r="E22" s="229" t="s">
        <v>171</v>
      </c>
      <c r="F22" s="230" t="s">
        <v>182</v>
      </c>
      <c r="G22" s="81">
        <v>5004.64185</v>
      </c>
      <c r="H22" s="81" t="s">
        <v>172</v>
      </c>
      <c r="I22" s="231" t="s">
        <v>51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5"/>
      <c r="V22" s="5"/>
      <c r="W22" s="5"/>
      <c r="X22" s="5"/>
    </row>
    <row r="23" spans="1:24" ht="51" x14ac:dyDescent="0.25">
      <c r="A23" s="15"/>
      <c r="B23" s="5"/>
      <c r="C23" s="10"/>
      <c r="D23" s="37"/>
      <c r="E23" s="229" t="s">
        <v>171</v>
      </c>
      <c r="F23" s="230" t="s">
        <v>185</v>
      </c>
      <c r="G23" s="81">
        <v>10466.18441</v>
      </c>
      <c r="H23" s="81" t="s">
        <v>172</v>
      </c>
      <c r="I23" s="232" t="s">
        <v>183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5"/>
      <c r="V23" s="5"/>
      <c r="W23" s="5"/>
      <c r="X23" s="5"/>
    </row>
    <row r="24" spans="1:24" ht="51" x14ac:dyDescent="0.25">
      <c r="A24" s="15"/>
      <c r="B24" s="5"/>
      <c r="C24" s="10"/>
      <c r="D24" s="37"/>
      <c r="E24" s="229" t="s">
        <v>171</v>
      </c>
      <c r="F24" s="230" t="s">
        <v>184</v>
      </c>
      <c r="G24" s="81">
        <v>10466.144410000001</v>
      </c>
      <c r="H24" s="81" t="s">
        <v>172</v>
      </c>
      <c r="I24" s="232" t="s">
        <v>183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5"/>
      <c r="V24" s="5"/>
      <c r="W24" s="5"/>
      <c r="X24" s="5"/>
    </row>
    <row r="25" spans="1:24" ht="38.25" x14ac:dyDescent="0.25">
      <c r="A25" s="15"/>
      <c r="B25" s="5"/>
      <c r="C25" s="5"/>
      <c r="D25" s="37"/>
      <c r="E25" s="229" t="s">
        <v>171</v>
      </c>
      <c r="F25" s="230" t="s">
        <v>186</v>
      </c>
      <c r="G25" s="81">
        <v>12583.95902</v>
      </c>
      <c r="H25" s="81" t="s">
        <v>172</v>
      </c>
      <c r="I25" s="231" t="s">
        <v>187</v>
      </c>
      <c r="J25" s="10"/>
      <c r="K25" s="43"/>
      <c r="L25" s="43"/>
      <c r="M25" s="4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38.25" x14ac:dyDescent="0.25">
      <c r="A26" s="15"/>
      <c r="B26" s="5"/>
      <c r="C26" s="5"/>
      <c r="D26" s="37"/>
      <c r="E26" s="229" t="s">
        <v>171</v>
      </c>
      <c r="F26" s="230" t="s">
        <v>188</v>
      </c>
      <c r="G26" s="81">
        <v>3495.2395200000001</v>
      </c>
      <c r="H26" s="81" t="s">
        <v>172</v>
      </c>
      <c r="I26" s="231" t="s">
        <v>51</v>
      </c>
      <c r="J26" s="10"/>
      <c r="K26" s="43"/>
      <c r="L26" s="43"/>
      <c r="M26" s="4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76.5" x14ac:dyDescent="0.25">
      <c r="A27" s="15"/>
      <c r="B27" s="5"/>
      <c r="C27" s="5"/>
      <c r="D27" s="37"/>
      <c r="E27" s="229" t="s">
        <v>171</v>
      </c>
      <c r="F27" s="230" t="s">
        <v>189</v>
      </c>
      <c r="G27" s="81">
        <v>18116.14099</v>
      </c>
      <c r="H27" s="81" t="s">
        <v>174</v>
      </c>
      <c r="I27" s="231" t="s">
        <v>51</v>
      </c>
      <c r="J27" s="10"/>
      <c r="K27" s="43"/>
      <c r="L27" s="43"/>
      <c r="M27" s="4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51" x14ac:dyDescent="0.25">
      <c r="A28" s="15"/>
      <c r="B28" s="5"/>
      <c r="C28" s="5"/>
      <c r="D28" s="37"/>
      <c r="E28" s="229" t="s">
        <v>171</v>
      </c>
      <c r="F28" s="230" t="s">
        <v>190</v>
      </c>
      <c r="G28" s="81">
        <f>2288.68498</f>
        <v>2288.68498</v>
      </c>
      <c r="H28" s="81" t="s">
        <v>174</v>
      </c>
      <c r="I28" s="232" t="s">
        <v>191</v>
      </c>
      <c r="J28" s="10"/>
      <c r="K28" s="43"/>
      <c r="L28" s="43"/>
      <c r="M28" s="4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38.25" x14ac:dyDescent="0.25">
      <c r="A29" s="15"/>
      <c r="B29" s="5"/>
      <c r="C29" s="5"/>
      <c r="D29" s="37"/>
      <c r="E29" s="229" t="s">
        <v>171</v>
      </c>
      <c r="F29" s="230" t="s">
        <v>192</v>
      </c>
      <c r="G29" s="81">
        <f>4458.31356</f>
        <v>4458.3135599999996</v>
      </c>
      <c r="H29" s="81" t="s">
        <v>174</v>
      </c>
      <c r="I29" s="232" t="s">
        <v>191</v>
      </c>
      <c r="J29" s="10"/>
      <c r="K29" s="43"/>
      <c r="L29" s="43"/>
      <c r="M29" s="4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63.75" x14ac:dyDescent="0.25">
      <c r="A30" s="15"/>
      <c r="B30" s="5"/>
      <c r="C30" s="5"/>
      <c r="D30" s="33"/>
      <c r="E30" s="229" t="s">
        <v>171</v>
      </c>
      <c r="F30" s="230" t="s">
        <v>193</v>
      </c>
      <c r="G30" s="81">
        <f>30521.38235</f>
        <v>30521.38235</v>
      </c>
      <c r="H30" s="81" t="s">
        <v>174</v>
      </c>
      <c r="I30" s="231" t="s">
        <v>51</v>
      </c>
      <c r="J30" s="10"/>
      <c r="K30" s="43"/>
      <c r="L30" s="43"/>
      <c r="M30" s="4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63.75" x14ac:dyDescent="0.25">
      <c r="A31" s="15"/>
      <c r="B31" s="5"/>
      <c r="C31" s="5"/>
      <c r="D31" s="37"/>
      <c r="E31" s="229" t="s">
        <v>171</v>
      </c>
      <c r="F31" s="230" t="s">
        <v>194</v>
      </c>
      <c r="G31" s="81">
        <v>2568.2589200000002</v>
      </c>
      <c r="H31" s="81" t="s">
        <v>174</v>
      </c>
      <c r="I31" s="231" t="s">
        <v>51</v>
      </c>
      <c r="J31" s="43"/>
      <c r="K31" s="43"/>
      <c r="L31" s="43"/>
      <c r="M31" s="4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63.75" x14ac:dyDescent="0.25">
      <c r="A32" s="15"/>
      <c r="B32" s="5"/>
      <c r="C32" s="5"/>
      <c r="D32" s="37"/>
      <c r="E32" s="229" t="s">
        <v>171</v>
      </c>
      <c r="F32" s="230" t="s">
        <v>195</v>
      </c>
      <c r="G32" s="81">
        <f>2735.8431</f>
        <v>2735.8431</v>
      </c>
      <c r="H32" s="81" t="s">
        <v>174</v>
      </c>
      <c r="I32" s="231" t="s">
        <v>51</v>
      </c>
      <c r="J32" s="43"/>
      <c r="K32" s="43"/>
      <c r="L32" s="43"/>
      <c r="M32" s="4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76.5" x14ac:dyDescent="0.25">
      <c r="A33" s="15"/>
      <c r="B33" s="5"/>
      <c r="C33" s="5"/>
      <c r="D33" s="37"/>
      <c r="E33" s="229" t="s">
        <v>171</v>
      </c>
      <c r="F33" s="230" t="s">
        <v>359</v>
      </c>
      <c r="G33" s="81">
        <f>1792.95272</f>
        <v>1792.95272</v>
      </c>
      <c r="H33" s="81" t="s">
        <v>174</v>
      </c>
      <c r="I33" s="231" t="s">
        <v>51</v>
      </c>
      <c r="J33" s="43"/>
      <c r="K33" s="43"/>
      <c r="L33" s="43"/>
      <c r="M33" s="4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63.75" x14ac:dyDescent="0.25">
      <c r="A34" s="15"/>
      <c r="B34" s="5"/>
      <c r="C34" s="5"/>
      <c r="D34" s="37"/>
      <c r="E34" s="229" t="s">
        <v>171</v>
      </c>
      <c r="F34" s="230" t="s">
        <v>196</v>
      </c>
      <c r="G34" s="81">
        <v>7598.0705099999996</v>
      </c>
      <c r="H34" s="81" t="s">
        <v>172</v>
      </c>
      <c r="I34" s="231" t="s">
        <v>51</v>
      </c>
      <c r="J34" s="43"/>
      <c r="K34" s="43"/>
      <c r="L34" s="43"/>
      <c r="M34" s="4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38.25" x14ac:dyDescent="0.25">
      <c r="A35" s="15"/>
      <c r="B35" s="5"/>
      <c r="C35" s="5"/>
      <c r="D35" s="37"/>
      <c r="E35" s="229" t="s">
        <v>176</v>
      </c>
      <c r="F35" s="230" t="s">
        <v>360</v>
      </c>
      <c r="G35" s="81">
        <v>1000</v>
      </c>
      <c r="H35" s="81" t="s">
        <v>175</v>
      </c>
      <c r="I35" s="231" t="s">
        <v>51</v>
      </c>
      <c r="J35" s="43"/>
      <c r="K35" s="43"/>
      <c r="L35" s="43"/>
      <c r="M35" s="4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30" customHeight="1" x14ac:dyDescent="0.25">
      <c r="A36" s="15"/>
      <c r="B36" s="5"/>
      <c r="C36" s="5"/>
      <c r="D36" s="37"/>
      <c r="E36" s="229" t="s">
        <v>176</v>
      </c>
      <c r="F36" s="230" t="s">
        <v>197</v>
      </c>
      <c r="G36" s="81">
        <v>963.06703000000005</v>
      </c>
      <c r="H36" s="81" t="s">
        <v>175</v>
      </c>
      <c r="I36" s="231" t="s">
        <v>51</v>
      </c>
      <c r="J36" s="43"/>
      <c r="K36" s="43"/>
      <c r="L36" s="43"/>
      <c r="M36" s="4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54.75" customHeight="1" x14ac:dyDescent="0.25">
      <c r="A37" s="15"/>
      <c r="B37" s="5"/>
      <c r="C37" s="5"/>
      <c r="D37" s="37"/>
      <c r="E37" s="229" t="s">
        <v>176</v>
      </c>
      <c r="F37" s="230" t="s">
        <v>361</v>
      </c>
      <c r="G37" s="81">
        <v>906.55998</v>
      </c>
      <c r="H37" s="81" t="s">
        <v>175</v>
      </c>
      <c r="I37" s="231"/>
      <c r="J37" s="43"/>
      <c r="K37" s="43"/>
      <c r="L37" s="43"/>
      <c r="M37" s="4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54.75" customHeight="1" x14ac:dyDescent="0.25">
      <c r="A38" s="15"/>
      <c r="B38" s="5"/>
      <c r="C38" s="5"/>
      <c r="D38" s="37"/>
      <c r="E38" s="229" t="s">
        <v>176</v>
      </c>
      <c r="F38" s="230" t="s">
        <v>362</v>
      </c>
      <c r="G38" s="81">
        <v>575.05395999999996</v>
      </c>
      <c r="H38" s="81" t="s">
        <v>175</v>
      </c>
      <c r="I38" s="231"/>
      <c r="J38" s="43"/>
      <c r="K38" s="43"/>
      <c r="L38" s="43"/>
      <c r="M38" s="4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54.75" customHeight="1" x14ac:dyDescent="0.25">
      <c r="A39" s="15"/>
      <c r="B39" s="5"/>
      <c r="C39" s="5"/>
      <c r="D39" s="37"/>
      <c r="E39" s="229" t="s">
        <v>176</v>
      </c>
      <c r="F39" s="230" t="s">
        <v>363</v>
      </c>
      <c r="G39" s="81">
        <v>391.89098000000001</v>
      </c>
      <c r="H39" s="81" t="s">
        <v>175</v>
      </c>
      <c r="I39" s="231"/>
      <c r="J39" s="43"/>
      <c r="K39" s="43"/>
      <c r="L39" s="43"/>
      <c r="M39" s="4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54.75" customHeight="1" x14ac:dyDescent="0.25">
      <c r="A40" s="15"/>
      <c r="B40" s="5"/>
      <c r="C40" s="5"/>
      <c r="D40" s="37"/>
      <c r="E40" s="229" t="s">
        <v>176</v>
      </c>
      <c r="F40" s="230" t="s">
        <v>364</v>
      </c>
      <c r="G40" s="81">
        <v>387.48566</v>
      </c>
      <c r="H40" s="81" t="s">
        <v>175</v>
      </c>
      <c r="I40" s="231"/>
      <c r="J40" s="43"/>
      <c r="K40" s="43"/>
      <c r="L40" s="43"/>
      <c r="M40" s="4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78" customHeight="1" x14ac:dyDescent="0.25">
      <c r="A41" s="15"/>
      <c r="B41" s="5"/>
      <c r="C41" s="5"/>
      <c r="D41" s="37"/>
      <c r="E41" s="229" t="s">
        <v>176</v>
      </c>
      <c r="F41" s="230" t="s">
        <v>365</v>
      </c>
      <c r="G41" s="81">
        <v>873.87111000000004</v>
      </c>
      <c r="H41" s="81" t="s">
        <v>175</v>
      </c>
      <c r="I41" s="231" t="s">
        <v>51</v>
      </c>
      <c r="J41" s="43"/>
      <c r="K41" s="43"/>
      <c r="L41" s="43"/>
      <c r="M41" s="4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27.5" x14ac:dyDescent="0.25">
      <c r="A42" s="15"/>
      <c r="B42" s="5"/>
      <c r="C42" s="5"/>
      <c r="D42" s="37"/>
      <c r="E42" s="347" t="s">
        <v>176</v>
      </c>
      <c r="F42" s="348" t="s">
        <v>366</v>
      </c>
      <c r="G42" s="349">
        <v>765.21689000000003</v>
      </c>
      <c r="H42" s="81" t="s">
        <v>175</v>
      </c>
      <c r="I42" s="350"/>
      <c r="J42" s="43"/>
      <c r="K42" s="43"/>
      <c r="L42" s="43"/>
      <c r="M42" s="4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76.5" x14ac:dyDescent="0.25">
      <c r="A43" s="15"/>
      <c r="B43" s="5"/>
      <c r="C43" s="5"/>
      <c r="D43" s="37"/>
      <c r="E43" s="351" t="s">
        <v>176</v>
      </c>
      <c r="F43" s="352" t="s">
        <v>367</v>
      </c>
      <c r="G43" s="353">
        <v>904.56524999999999</v>
      </c>
      <c r="H43" s="105" t="s">
        <v>175</v>
      </c>
      <c r="I43" s="354"/>
      <c r="J43" s="43"/>
      <c r="K43" s="43"/>
      <c r="L43" s="43"/>
      <c r="M43" s="4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02.75" thickBot="1" x14ac:dyDescent="0.3">
      <c r="A44" s="15"/>
      <c r="B44" s="5"/>
      <c r="C44" s="5"/>
      <c r="D44" s="37"/>
      <c r="E44" s="355" t="s">
        <v>176</v>
      </c>
      <c r="F44" s="356" t="s">
        <v>368</v>
      </c>
      <c r="G44" s="357">
        <v>2302.6751199999999</v>
      </c>
      <c r="H44" s="105" t="s">
        <v>175</v>
      </c>
      <c r="I44" s="358"/>
      <c r="J44" s="43"/>
      <c r="K44" s="43"/>
      <c r="L44" s="43"/>
      <c r="M44" s="4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30" customHeight="1" x14ac:dyDescent="0.25">
      <c r="A45" s="15"/>
      <c r="B45" s="5"/>
      <c r="C45" s="5"/>
      <c r="D45" s="5"/>
      <c r="E45" s="114"/>
      <c r="F45" s="43"/>
      <c r="G45" s="43"/>
      <c r="H45" s="334"/>
      <c r="I45" s="43"/>
      <c r="J45" s="43"/>
      <c r="K45" s="43"/>
      <c r="L45" s="43"/>
      <c r="M45" s="4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30" customHeight="1" x14ac:dyDescent="0.25">
      <c r="A46" s="15"/>
      <c r="B46" s="5"/>
      <c r="C46" s="5"/>
      <c r="D46" s="5"/>
      <c r="E46" s="114"/>
      <c r="F46" s="43"/>
      <c r="G46" s="43"/>
      <c r="H46" s="43"/>
      <c r="I46" s="43"/>
      <c r="J46" s="43"/>
      <c r="K46" s="43"/>
      <c r="L46" s="43"/>
      <c r="M46" s="4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30" customHeight="1" x14ac:dyDescent="0.25">
      <c r="A47" s="15"/>
      <c r="B47" s="5"/>
      <c r="C47" s="5"/>
      <c r="D47" s="5"/>
      <c r="E47" s="114"/>
      <c r="F47" s="43"/>
      <c r="G47" s="43"/>
      <c r="H47" s="43"/>
      <c r="I47" s="43"/>
      <c r="J47" s="43"/>
      <c r="K47" s="43"/>
      <c r="L47" s="43"/>
      <c r="M47" s="4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30" customHeight="1" x14ac:dyDescent="0.25">
      <c r="A48" s="15"/>
      <c r="B48" s="5"/>
      <c r="C48" s="5"/>
      <c r="D48" s="5"/>
      <c r="E48" s="114"/>
      <c r="F48" s="43"/>
      <c r="G48" s="43"/>
      <c r="H48" s="43"/>
      <c r="I48" s="43"/>
      <c r="J48" s="43"/>
      <c r="K48" s="43"/>
      <c r="L48" s="43"/>
      <c r="M48" s="4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30" customHeight="1" x14ac:dyDescent="0.25">
      <c r="A49" s="15"/>
      <c r="B49" s="5"/>
      <c r="C49" s="5"/>
      <c r="D49" s="5"/>
      <c r="E49" s="114"/>
      <c r="F49" s="43"/>
      <c r="G49" s="43"/>
      <c r="H49" s="43"/>
      <c r="I49" s="43"/>
      <c r="J49" s="43"/>
      <c r="K49" s="43"/>
      <c r="L49" s="43"/>
      <c r="M49" s="4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30" customHeight="1" x14ac:dyDescent="0.25">
      <c r="A50" s="15"/>
      <c r="B50" s="5"/>
      <c r="C50" s="5"/>
      <c r="D50" s="5"/>
      <c r="E50" s="114"/>
      <c r="F50" s="43"/>
      <c r="G50" s="43"/>
      <c r="H50" s="43"/>
      <c r="I50" s="43"/>
      <c r="J50" s="43"/>
      <c r="K50" s="43"/>
      <c r="L50" s="43"/>
      <c r="M50" s="4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30" customHeight="1" x14ac:dyDescent="0.25">
      <c r="A51" s="15"/>
      <c r="B51" s="5"/>
      <c r="C51" s="5"/>
      <c r="D51" s="5"/>
      <c r="E51" s="114"/>
      <c r="F51" s="43"/>
      <c r="G51" s="43"/>
      <c r="H51" s="43"/>
      <c r="I51" s="43"/>
      <c r="J51" s="43"/>
      <c r="K51" s="43"/>
      <c r="L51" s="43"/>
      <c r="M51" s="4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30" customHeight="1" x14ac:dyDescent="0.25">
      <c r="A52" s="15"/>
      <c r="B52" s="5"/>
      <c r="C52" s="5"/>
      <c r="D52" s="5"/>
      <c r="E52" s="114"/>
      <c r="F52" s="43"/>
      <c r="G52" s="43"/>
      <c r="H52" s="43"/>
      <c r="I52" s="43"/>
      <c r="J52" s="43"/>
      <c r="K52" s="43"/>
      <c r="L52" s="43"/>
      <c r="M52" s="4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30" customHeight="1" x14ac:dyDescent="0.25">
      <c r="A53" s="15"/>
      <c r="B53" s="5"/>
      <c r="C53" s="5"/>
      <c r="D53" s="5"/>
      <c r="E53" s="114"/>
      <c r="F53" s="43"/>
      <c r="G53" s="43"/>
      <c r="H53" s="43"/>
      <c r="I53" s="43"/>
      <c r="J53" s="43"/>
      <c r="K53" s="43"/>
      <c r="L53" s="43"/>
      <c r="M53" s="4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30" customHeight="1" x14ac:dyDescent="0.25">
      <c r="A54" s="15"/>
      <c r="B54" s="5"/>
      <c r="C54" s="5"/>
      <c r="D54" s="5"/>
      <c r="E54" s="114"/>
      <c r="F54" s="43"/>
      <c r="G54" s="43"/>
      <c r="H54" s="43"/>
      <c r="I54" s="43"/>
      <c r="J54" s="43"/>
      <c r="K54" s="43"/>
      <c r="L54" s="43"/>
      <c r="M54" s="4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30" customHeight="1" x14ac:dyDescent="0.25">
      <c r="A55" s="15"/>
      <c r="B55" s="5"/>
      <c r="C55" s="5"/>
      <c r="D55" s="5"/>
      <c r="E55" s="114"/>
      <c r="F55" s="43"/>
      <c r="G55" s="43"/>
      <c r="H55" s="43"/>
      <c r="I55" s="43"/>
      <c r="J55" s="43"/>
      <c r="K55" s="43"/>
      <c r="L55" s="43"/>
      <c r="M55" s="4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30" customHeight="1" x14ac:dyDescent="0.25">
      <c r="A56" s="15"/>
      <c r="B56" s="5"/>
      <c r="C56" s="5"/>
      <c r="D56" s="5"/>
      <c r="E56" s="114"/>
      <c r="F56" s="43"/>
      <c r="G56" s="43"/>
      <c r="H56" s="43"/>
      <c r="I56" s="43"/>
      <c r="J56" s="43"/>
      <c r="K56" s="43"/>
      <c r="L56" s="43"/>
      <c r="M56" s="4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30" customHeight="1" x14ac:dyDescent="0.25">
      <c r="A57" s="15"/>
      <c r="B57" s="5"/>
      <c r="C57" s="5"/>
      <c r="D57" s="5"/>
      <c r="E57" s="114"/>
      <c r="F57" s="43"/>
      <c r="G57" s="43"/>
      <c r="H57" s="43"/>
      <c r="I57" s="43"/>
      <c r="J57" s="43"/>
      <c r="K57" s="43"/>
      <c r="L57" s="43"/>
      <c r="M57" s="4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30" customHeight="1" x14ac:dyDescent="0.25">
      <c r="A58" s="15"/>
      <c r="B58" s="5"/>
      <c r="C58" s="5"/>
      <c r="D58" s="5"/>
      <c r="E58" s="114"/>
      <c r="F58" s="43"/>
      <c r="G58" s="43"/>
      <c r="H58" s="43"/>
      <c r="I58" s="43"/>
      <c r="J58" s="43"/>
      <c r="K58" s="43"/>
      <c r="L58" s="43"/>
      <c r="M58" s="4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30" customHeight="1" x14ac:dyDescent="0.25">
      <c r="A59" s="15"/>
      <c r="B59" s="5"/>
      <c r="C59" s="5"/>
      <c r="D59" s="5"/>
      <c r="E59" s="114"/>
      <c r="F59" s="43"/>
      <c r="G59" s="43"/>
      <c r="H59" s="43"/>
      <c r="I59" s="43"/>
      <c r="J59" s="43"/>
      <c r="K59" s="43"/>
      <c r="L59" s="43"/>
      <c r="M59" s="4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30" customHeight="1" x14ac:dyDescent="0.25">
      <c r="A60" s="15"/>
      <c r="B60" s="5"/>
      <c r="C60" s="5"/>
      <c r="D60" s="5"/>
      <c r="E60" s="114"/>
      <c r="F60" s="43"/>
      <c r="G60" s="43"/>
      <c r="H60" s="43"/>
      <c r="I60" s="43"/>
      <c r="J60" s="43"/>
      <c r="K60" s="43"/>
      <c r="L60" s="43"/>
      <c r="M60" s="4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30" customHeight="1" x14ac:dyDescent="0.25">
      <c r="A61" s="15"/>
      <c r="B61" s="5"/>
      <c r="C61" s="5"/>
      <c r="D61" s="5"/>
      <c r="E61" s="114"/>
      <c r="F61" s="43"/>
      <c r="G61" s="43"/>
      <c r="H61" s="43"/>
      <c r="I61" s="43"/>
      <c r="J61" s="43"/>
      <c r="K61" s="43"/>
      <c r="L61" s="43"/>
      <c r="M61" s="4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30" customHeight="1" x14ac:dyDescent="0.25">
      <c r="A62" s="15"/>
      <c r="B62" s="5"/>
      <c r="C62" s="5"/>
      <c r="D62" s="5"/>
      <c r="E62" s="114"/>
      <c r="F62" s="43"/>
      <c r="G62" s="43"/>
      <c r="H62" s="43"/>
      <c r="I62" s="43"/>
      <c r="J62" s="43"/>
      <c r="K62" s="43"/>
      <c r="L62" s="43"/>
      <c r="M62" s="4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30" customHeight="1" x14ac:dyDescent="0.25">
      <c r="A63" s="15"/>
      <c r="B63" s="5"/>
      <c r="C63" s="5"/>
      <c r="D63" s="5"/>
      <c r="E63" s="114"/>
      <c r="F63" s="43"/>
      <c r="G63" s="43"/>
      <c r="H63" s="43"/>
      <c r="I63" s="43"/>
      <c r="J63" s="43"/>
      <c r="K63" s="43"/>
      <c r="L63" s="43"/>
      <c r="M63" s="4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30" customHeight="1" x14ac:dyDescent="0.25">
      <c r="A64" s="15"/>
      <c r="B64" s="5"/>
      <c r="C64" s="5"/>
      <c r="D64" s="5"/>
      <c r="E64" s="114"/>
      <c r="F64" s="43"/>
      <c r="G64" s="43"/>
      <c r="H64" s="43"/>
      <c r="I64" s="43"/>
      <c r="J64" s="43"/>
      <c r="K64" s="43"/>
      <c r="L64" s="43"/>
      <c r="M64" s="4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30" customHeight="1" x14ac:dyDescent="0.25">
      <c r="A65" s="15"/>
      <c r="B65" s="5"/>
      <c r="C65" s="5"/>
      <c r="D65" s="5"/>
      <c r="E65" s="114"/>
      <c r="F65" s="43"/>
      <c r="G65" s="43"/>
      <c r="H65" s="43"/>
      <c r="I65" s="43"/>
      <c r="J65" s="43"/>
      <c r="K65" s="43"/>
      <c r="L65" s="43"/>
      <c r="M65" s="4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30" customHeight="1" x14ac:dyDescent="0.25">
      <c r="A66" s="15"/>
      <c r="B66" s="5"/>
      <c r="C66" s="5"/>
      <c r="D66" s="5"/>
      <c r="E66" s="114"/>
      <c r="F66" s="43"/>
      <c r="G66" s="43"/>
      <c r="H66" s="43"/>
      <c r="I66" s="43"/>
      <c r="J66" s="43"/>
      <c r="K66" s="43"/>
      <c r="L66" s="43"/>
      <c r="M66" s="4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30" customHeight="1" x14ac:dyDescent="0.25">
      <c r="A67" s="15"/>
      <c r="B67" s="5"/>
      <c r="C67" s="5"/>
      <c r="D67" s="5"/>
      <c r="E67" s="114"/>
      <c r="F67" s="43"/>
      <c r="G67" s="43"/>
      <c r="H67" s="43"/>
      <c r="I67" s="43"/>
      <c r="J67" s="43"/>
      <c r="K67" s="43"/>
      <c r="L67" s="43"/>
      <c r="M67" s="4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30" customHeight="1" x14ac:dyDescent="0.25">
      <c r="A68" s="15"/>
      <c r="B68" s="5"/>
      <c r="C68" s="5"/>
      <c r="D68" s="5"/>
      <c r="E68" s="114"/>
      <c r="F68" s="43"/>
      <c r="G68" s="43"/>
      <c r="H68" s="43"/>
      <c r="I68" s="43"/>
      <c r="J68" s="43"/>
      <c r="K68" s="43"/>
      <c r="L68" s="43"/>
      <c r="M68" s="4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30" customHeight="1" x14ac:dyDescent="0.25">
      <c r="A69" s="15"/>
      <c r="B69" s="5"/>
      <c r="C69" s="5"/>
      <c r="D69" s="5"/>
      <c r="E69" s="114"/>
      <c r="F69" s="43"/>
      <c r="G69" s="43"/>
      <c r="H69" s="43"/>
      <c r="I69" s="43"/>
      <c r="J69" s="43"/>
      <c r="K69" s="43"/>
      <c r="L69" s="43"/>
      <c r="M69" s="4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30" customHeight="1" x14ac:dyDescent="0.25">
      <c r="A70" s="15"/>
      <c r="B70" s="5"/>
      <c r="C70" s="5"/>
      <c r="D70" s="5"/>
      <c r="E70" s="114"/>
      <c r="F70" s="43"/>
      <c r="G70" s="43"/>
      <c r="H70" s="43"/>
      <c r="I70" s="43"/>
      <c r="J70" s="43"/>
      <c r="K70" s="43"/>
      <c r="L70" s="43"/>
      <c r="M70" s="4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30" customHeight="1" x14ac:dyDescent="0.25">
      <c r="A71" s="15"/>
      <c r="B71" s="5"/>
      <c r="C71" s="5"/>
      <c r="D71" s="5"/>
      <c r="E71" s="114"/>
      <c r="F71" s="43"/>
      <c r="G71" s="43"/>
      <c r="H71" s="43"/>
      <c r="I71" s="43"/>
      <c r="J71" s="43"/>
      <c r="K71" s="43"/>
      <c r="L71" s="43"/>
      <c r="M71" s="4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30" customHeight="1" x14ac:dyDescent="0.25">
      <c r="A72" s="15"/>
      <c r="B72" s="5"/>
      <c r="C72" s="5"/>
      <c r="D72" s="5"/>
      <c r="E72" s="114"/>
      <c r="F72" s="43"/>
      <c r="G72" s="43"/>
      <c r="H72" s="43"/>
      <c r="I72" s="43"/>
      <c r="J72" s="43"/>
      <c r="K72" s="43"/>
      <c r="L72" s="43"/>
      <c r="M72" s="4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30" customHeight="1" x14ac:dyDescent="0.25">
      <c r="A73" s="15"/>
      <c r="B73" s="5"/>
      <c r="C73" s="5"/>
      <c r="D73" s="5"/>
      <c r="E73" s="114"/>
      <c r="F73" s="43"/>
      <c r="G73" s="43"/>
      <c r="H73" s="43"/>
      <c r="I73" s="43"/>
      <c r="J73" s="43"/>
      <c r="K73" s="43"/>
      <c r="L73" s="43"/>
      <c r="M73" s="4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30" customHeight="1" x14ac:dyDescent="0.25">
      <c r="A74" s="15"/>
      <c r="B74" s="5"/>
      <c r="C74" s="5"/>
      <c r="D74" s="5"/>
      <c r="E74" s="114"/>
      <c r="F74" s="43"/>
      <c r="G74" s="43"/>
      <c r="H74" s="43"/>
      <c r="I74" s="43"/>
      <c r="J74" s="43"/>
      <c r="K74" s="43"/>
      <c r="L74" s="43"/>
      <c r="M74" s="4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30" customHeight="1" x14ac:dyDescent="0.25">
      <c r="A75" s="15"/>
      <c r="B75" s="5"/>
      <c r="C75" s="5"/>
      <c r="D75" s="5"/>
      <c r="E75" s="114"/>
      <c r="F75" s="43"/>
      <c r="G75" s="43"/>
      <c r="H75" s="43"/>
      <c r="I75" s="43"/>
      <c r="J75" s="43"/>
      <c r="K75" s="43"/>
      <c r="L75" s="43"/>
      <c r="M75" s="4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30" customHeight="1" x14ac:dyDescent="0.25">
      <c r="A76" s="15"/>
      <c r="B76" s="5"/>
      <c r="C76" s="5"/>
      <c r="D76" s="5"/>
      <c r="E76" s="114"/>
      <c r="F76" s="43"/>
      <c r="G76" s="43"/>
      <c r="H76" s="43"/>
      <c r="I76" s="43"/>
      <c r="J76" s="43"/>
      <c r="K76" s="43"/>
      <c r="L76" s="43"/>
      <c r="M76" s="4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30" customHeight="1" x14ac:dyDescent="0.25">
      <c r="A77" s="15"/>
      <c r="B77" s="5"/>
      <c r="C77" s="5"/>
      <c r="D77" s="5"/>
      <c r="E77" s="114"/>
      <c r="F77" s="43"/>
      <c r="G77" s="43"/>
      <c r="H77" s="43"/>
      <c r="I77" s="43"/>
      <c r="J77" s="43"/>
      <c r="K77" s="43"/>
      <c r="L77" s="43"/>
      <c r="M77" s="4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30" customHeight="1" x14ac:dyDescent="0.25">
      <c r="A78" s="15"/>
      <c r="B78" s="5"/>
      <c r="C78" s="5"/>
      <c r="D78" s="5"/>
      <c r="E78" s="114"/>
      <c r="F78" s="43"/>
      <c r="G78" s="43"/>
      <c r="H78" s="43"/>
      <c r="I78" s="43"/>
      <c r="J78" s="43"/>
      <c r="K78" s="43"/>
      <c r="L78" s="43"/>
      <c r="M78" s="4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30" customHeight="1" x14ac:dyDescent="0.25">
      <c r="A79" s="15"/>
      <c r="B79" s="5"/>
      <c r="C79" s="5"/>
      <c r="D79" s="5"/>
      <c r="E79" s="114"/>
      <c r="F79" s="43"/>
      <c r="G79" s="43"/>
      <c r="H79" s="43"/>
      <c r="I79" s="43"/>
      <c r="J79" s="43"/>
      <c r="K79" s="43"/>
      <c r="L79" s="43"/>
      <c r="M79" s="4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30" customHeight="1" x14ac:dyDescent="0.25">
      <c r="A80" s="15"/>
      <c r="B80" s="5"/>
      <c r="C80" s="5"/>
      <c r="D80" s="5"/>
      <c r="E80" s="114"/>
      <c r="F80" s="43"/>
      <c r="G80" s="43"/>
      <c r="H80" s="43"/>
      <c r="I80" s="43"/>
      <c r="J80" s="43"/>
      <c r="K80" s="43"/>
      <c r="L80" s="43"/>
      <c r="M80" s="4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30" customHeight="1" x14ac:dyDescent="0.25">
      <c r="A81" s="15"/>
      <c r="B81" s="5"/>
      <c r="C81" s="5"/>
      <c r="D81" s="5"/>
      <c r="E81" s="114"/>
      <c r="F81" s="43"/>
      <c r="G81" s="43"/>
      <c r="H81" s="43"/>
      <c r="I81" s="43"/>
      <c r="J81" s="43"/>
      <c r="K81" s="43"/>
      <c r="L81" s="43"/>
      <c r="M81" s="4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30" customHeight="1" x14ac:dyDescent="0.25">
      <c r="A82" s="15"/>
      <c r="B82" s="5"/>
      <c r="C82" s="5"/>
      <c r="D82" s="5"/>
      <c r="E82" s="114"/>
      <c r="F82" s="43"/>
      <c r="G82" s="43"/>
      <c r="H82" s="43"/>
      <c r="I82" s="43"/>
      <c r="J82" s="43"/>
      <c r="K82" s="43"/>
      <c r="L82" s="43"/>
      <c r="M82" s="4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30" customHeight="1" x14ac:dyDescent="0.25">
      <c r="A83" s="15"/>
      <c r="B83" s="5"/>
      <c r="C83" s="5"/>
      <c r="D83" s="5"/>
      <c r="E83" s="114"/>
      <c r="F83" s="43"/>
      <c r="G83" s="43"/>
      <c r="H83" s="43"/>
      <c r="I83" s="43"/>
      <c r="J83" s="43"/>
      <c r="K83" s="43"/>
      <c r="L83" s="43"/>
      <c r="M83" s="4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30" customHeight="1" x14ac:dyDescent="0.25">
      <c r="A84" s="15"/>
      <c r="B84" s="5"/>
      <c r="C84" s="5"/>
      <c r="D84" s="5"/>
      <c r="E84" s="114"/>
      <c r="F84" s="43"/>
      <c r="G84" s="43"/>
      <c r="H84" s="43"/>
      <c r="I84" s="43"/>
      <c r="J84" s="43"/>
      <c r="K84" s="43"/>
      <c r="L84" s="43"/>
      <c r="M84" s="4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30" customHeight="1" x14ac:dyDescent="0.25">
      <c r="A85" s="15"/>
      <c r="B85" s="5"/>
      <c r="C85" s="5"/>
      <c r="D85" s="5"/>
      <c r="E85" s="114"/>
      <c r="F85" s="43"/>
      <c r="G85" s="43"/>
      <c r="H85" s="43"/>
      <c r="I85" s="43"/>
      <c r="J85" s="43"/>
      <c r="K85" s="43"/>
      <c r="L85" s="43"/>
      <c r="M85" s="4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30" customHeight="1" x14ac:dyDescent="0.25">
      <c r="A86" s="15"/>
      <c r="B86" s="5"/>
      <c r="C86" s="5"/>
      <c r="D86" s="5"/>
      <c r="E86" s="114"/>
      <c r="F86" s="43"/>
      <c r="G86" s="43"/>
      <c r="H86" s="43"/>
      <c r="I86" s="43"/>
      <c r="J86" s="43"/>
      <c r="K86" s="43"/>
      <c r="L86" s="43"/>
      <c r="M86" s="4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30" customHeight="1" x14ac:dyDescent="0.25">
      <c r="A87" s="15"/>
      <c r="B87" s="5"/>
      <c r="C87" s="5"/>
      <c r="D87" s="5"/>
      <c r="E87" s="114"/>
      <c r="F87" s="43"/>
      <c r="G87" s="43"/>
      <c r="H87" s="43"/>
      <c r="I87" s="43"/>
      <c r="J87" s="43"/>
      <c r="K87" s="43"/>
      <c r="L87" s="43"/>
      <c r="M87" s="4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30" customHeight="1" x14ac:dyDescent="0.25">
      <c r="A88" s="15"/>
      <c r="B88" s="5"/>
      <c r="C88" s="5"/>
      <c r="D88" s="5"/>
      <c r="E88" s="114"/>
      <c r="F88" s="43"/>
      <c r="G88" s="43"/>
      <c r="H88" s="43"/>
      <c r="I88" s="43"/>
      <c r="J88" s="43"/>
      <c r="K88" s="43"/>
      <c r="L88" s="43"/>
      <c r="M88" s="4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30" customHeight="1" x14ac:dyDescent="0.25">
      <c r="A89" s="15"/>
      <c r="B89" s="5"/>
      <c r="C89" s="5"/>
      <c r="D89" s="5"/>
      <c r="E89" s="114"/>
      <c r="F89" s="43"/>
      <c r="G89" s="43"/>
      <c r="H89" s="43"/>
      <c r="I89" s="43"/>
      <c r="J89" s="43"/>
      <c r="K89" s="43"/>
      <c r="L89" s="43"/>
      <c r="M89" s="4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30" customHeight="1" x14ac:dyDescent="0.25">
      <c r="A90" s="15"/>
      <c r="B90" s="5"/>
      <c r="C90" s="5"/>
      <c r="D90" s="5"/>
      <c r="E90" s="114"/>
      <c r="F90" s="43"/>
      <c r="G90" s="43"/>
      <c r="H90" s="43"/>
      <c r="I90" s="43"/>
      <c r="J90" s="43"/>
      <c r="K90" s="43"/>
      <c r="L90" s="43"/>
      <c r="M90" s="4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30" customHeight="1" x14ac:dyDescent="0.25">
      <c r="A91" s="15"/>
      <c r="B91" s="5"/>
      <c r="C91" s="5"/>
      <c r="D91" s="5"/>
      <c r="E91" s="114"/>
      <c r="F91" s="43"/>
      <c r="G91" s="43"/>
      <c r="H91" s="43"/>
      <c r="I91" s="43"/>
      <c r="J91" s="43"/>
      <c r="K91" s="43"/>
      <c r="L91" s="43"/>
      <c r="M91" s="4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30" customHeight="1" x14ac:dyDescent="0.25">
      <c r="A92" s="15"/>
      <c r="B92" s="5"/>
      <c r="C92" s="5"/>
      <c r="D92" s="5"/>
      <c r="E92" s="114"/>
      <c r="F92" s="43"/>
      <c r="G92" s="43"/>
      <c r="H92" s="43"/>
      <c r="I92" s="43"/>
      <c r="J92" s="43"/>
      <c r="K92" s="43"/>
      <c r="L92" s="43"/>
      <c r="M92" s="4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30" customHeight="1" x14ac:dyDescent="0.25">
      <c r="A93" s="15"/>
      <c r="B93" s="5"/>
      <c r="C93" s="5"/>
      <c r="D93" s="5"/>
      <c r="E93" s="114"/>
      <c r="F93" s="43"/>
      <c r="G93" s="43"/>
      <c r="H93" s="43"/>
      <c r="I93" s="43"/>
      <c r="J93" s="43"/>
      <c r="K93" s="43"/>
      <c r="L93" s="43"/>
      <c r="M93" s="4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30" customHeight="1" x14ac:dyDescent="0.25">
      <c r="A94" s="15"/>
      <c r="B94" s="5"/>
      <c r="C94" s="5"/>
      <c r="D94" s="5"/>
      <c r="E94" s="114"/>
      <c r="F94" s="43"/>
      <c r="G94" s="43"/>
      <c r="H94" s="43"/>
      <c r="I94" s="43"/>
      <c r="J94" s="43"/>
      <c r="K94" s="43"/>
      <c r="L94" s="43"/>
      <c r="M94" s="4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30" customHeight="1" x14ac:dyDescent="0.25">
      <c r="A95" s="15"/>
      <c r="B95" s="5"/>
      <c r="C95" s="5"/>
      <c r="D95" s="5"/>
      <c r="E95" s="114"/>
      <c r="F95" s="43"/>
      <c r="G95" s="43"/>
      <c r="H95" s="43"/>
      <c r="I95" s="43"/>
      <c r="J95" s="43"/>
      <c r="K95" s="43"/>
      <c r="L95" s="43"/>
      <c r="M95" s="4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30" customHeight="1" x14ac:dyDescent="0.25">
      <c r="A96" s="15"/>
      <c r="B96" s="5"/>
      <c r="C96" s="5"/>
      <c r="D96" s="5"/>
      <c r="E96" s="114"/>
      <c r="F96" s="43"/>
      <c r="G96" s="43"/>
      <c r="H96" s="43"/>
      <c r="I96" s="43"/>
      <c r="J96" s="43"/>
      <c r="K96" s="43"/>
      <c r="L96" s="43"/>
      <c r="M96" s="4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5" ht="30" customHeight="1" x14ac:dyDescent="0.25">
      <c r="A97" s="15"/>
      <c r="B97" s="5"/>
      <c r="C97" s="5"/>
      <c r="D97" s="5"/>
      <c r="E97" s="114"/>
      <c r="F97" s="43"/>
      <c r="G97" s="43"/>
      <c r="H97" s="43"/>
      <c r="I97" s="43"/>
      <c r="J97" s="43"/>
      <c r="K97" s="43"/>
      <c r="L97" s="43"/>
      <c r="M97" s="4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5" ht="30" customHeight="1" x14ac:dyDescent="0.25">
      <c r="A98" s="15"/>
      <c r="B98" s="5"/>
      <c r="C98" s="5"/>
      <c r="D98" s="5"/>
      <c r="E98" s="114"/>
      <c r="F98" s="43"/>
      <c r="G98" s="43"/>
      <c r="H98" s="43"/>
      <c r="I98" s="43"/>
      <c r="J98" s="43"/>
      <c r="K98" s="43"/>
      <c r="L98" s="43"/>
      <c r="M98" s="4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5" ht="30" customHeight="1" x14ac:dyDescent="0.25">
      <c r="A99" s="15"/>
      <c r="B99" s="5"/>
      <c r="C99" s="5"/>
      <c r="D99" s="5"/>
      <c r="E99" s="114"/>
      <c r="F99" s="43"/>
      <c r="G99" s="43"/>
      <c r="H99" s="43"/>
      <c r="I99" s="43"/>
      <c r="J99" s="43"/>
      <c r="K99" s="43"/>
      <c r="L99" s="43"/>
      <c r="M99" s="4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5" ht="30" customHeight="1" x14ac:dyDescent="0.25">
      <c r="A100" s="15"/>
      <c r="B100" s="5"/>
      <c r="C100" s="5"/>
      <c r="D100" s="5"/>
      <c r="E100" s="114"/>
      <c r="F100" s="43"/>
      <c r="G100" s="43"/>
      <c r="H100" s="43"/>
      <c r="I100" s="43"/>
      <c r="J100" s="43"/>
      <c r="K100" s="43"/>
      <c r="L100" s="43"/>
      <c r="M100" s="4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5" ht="30" customHeight="1" x14ac:dyDescent="0.25">
      <c r="A101" s="15"/>
      <c r="B101" s="5"/>
      <c r="C101" s="5"/>
      <c r="D101" s="5"/>
      <c r="E101" s="114"/>
      <c r="F101" s="43"/>
      <c r="G101" s="43"/>
      <c r="H101" s="43"/>
      <c r="I101" s="43"/>
      <c r="J101" s="43"/>
      <c r="K101" s="43"/>
      <c r="L101" s="43"/>
      <c r="M101" s="4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5" ht="30" customHeight="1" x14ac:dyDescent="0.25">
      <c r="A102" s="15"/>
      <c r="B102" s="5"/>
      <c r="C102" s="5"/>
      <c r="D102" s="5"/>
      <c r="E102" s="114"/>
      <c r="F102" s="43"/>
      <c r="G102" s="43"/>
      <c r="H102" s="43"/>
      <c r="I102" s="43"/>
      <c r="J102" s="43"/>
      <c r="K102" s="43"/>
      <c r="L102" s="43"/>
      <c r="M102" s="4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5" ht="30" customHeight="1" x14ac:dyDescent="0.25">
      <c r="A103" s="15"/>
      <c r="B103" s="5"/>
      <c r="C103" s="5"/>
      <c r="D103" s="5"/>
      <c r="E103" s="114"/>
      <c r="F103" s="43"/>
      <c r="G103" s="43"/>
      <c r="H103" s="43"/>
      <c r="I103" s="43"/>
      <c r="J103" s="43"/>
      <c r="K103" s="43"/>
      <c r="L103" s="43"/>
      <c r="M103" s="4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5" ht="30" customHeight="1" x14ac:dyDescent="0.25">
      <c r="A104" s="15"/>
      <c r="B104" s="5"/>
      <c r="C104" s="5"/>
      <c r="D104" s="5"/>
      <c r="E104" s="114"/>
      <c r="F104" s="43"/>
      <c r="G104" s="43"/>
      <c r="H104" s="43"/>
      <c r="I104" s="43"/>
      <c r="J104" s="43"/>
      <c r="K104" s="43"/>
      <c r="L104" s="43"/>
      <c r="M104" s="4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5" ht="30" customHeight="1" x14ac:dyDescent="0.25">
      <c r="A105" s="15"/>
      <c r="B105" s="5"/>
      <c r="C105" s="5"/>
      <c r="D105" s="5"/>
      <c r="E105" s="114"/>
      <c r="F105" s="43"/>
      <c r="G105" s="43"/>
      <c r="H105" s="43"/>
      <c r="I105" s="43"/>
      <c r="J105" s="43"/>
      <c r="K105" s="43"/>
      <c r="L105" s="43"/>
      <c r="M105" s="4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5" s="4" customFormat="1" ht="30" customHeight="1" x14ac:dyDescent="0.25">
      <c r="A106" s="15"/>
      <c r="B106" s="5"/>
      <c r="C106" s="5"/>
      <c r="D106" s="5"/>
      <c r="E106" s="114"/>
      <c r="F106" s="43"/>
      <c r="G106" s="43"/>
      <c r="H106" s="43"/>
      <c r="I106" s="43"/>
      <c r="J106" s="43"/>
      <c r="K106" s="43"/>
      <c r="L106" s="43"/>
      <c r="M106" s="4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1"/>
    </row>
    <row r="107" spans="1:25" s="4" customFormat="1" ht="30" customHeight="1" x14ac:dyDescent="0.25">
      <c r="A107" s="15"/>
      <c r="B107" s="5"/>
      <c r="C107" s="5"/>
      <c r="D107" s="5"/>
      <c r="E107" s="114"/>
      <c r="F107" s="43"/>
      <c r="G107" s="43"/>
      <c r="H107" s="43"/>
      <c r="I107" s="43"/>
      <c r="J107" s="43"/>
      <c r="K107" s="43"/>
      <c r="L107" s="43"/>
      <c r="M107" s="4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1"/>
    </row>
    <row r="108" spans="1:25" s="4" customFormat="1" ht="30" customHeight="1" x14ac:dyDescent="0.25">
      <c r="A108" s="15"/>
      <c r="B108" s="5"/>
      <c r="C108" s="5"/>
      <c r="D108" s="5"/>
      <c r="E108" s="114"/>
      <c r="F108" s="43"/>
      <c r="G108" s="43"/>
      <c r="H108" s="43"/>
      <c r="I108" s="43"/>
      <c r="J108" s="43"/>
      <c r="K108" s="43"/>
      <c r="L108" s="43"/>
      <c r="M108" s="4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1"/>
    </row>
    <row r="109" spans="1:25" s="4" customFormat="1" ht="30" customHeight="1" x14ac:dyDescent="0.25">
      <c r="A109" s="15"/>
      <c r="B109" s="5"/>
      <c r="C109" s="5"/>
      <c r="D109" s="5"/>
      <c r="E109" s="114"/>
      <c r="F109" s="43"/>
      <c r="G109" s="43"/>
      <c r="H109" s="43"/>
      <c r="I109" s="43"/>
      <c r="J109" s="43"/>
      <c r="K109" s="43"/>
      <c r="L109" s="43"/>
      <c r="M109" s="4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1"/>
    </row>
    <row r="110" spans="1:25" s="4" customFormat="1" ht="30" customHeight="1" x14ac:dyDescent="0.25">
      <c r="A110" s="15"/>
      <c r="B110" s="5"/>
      <c r="C110" s="5"/>
      <c r="D110" s="5"/>
      <c r="E110" s="114"/>
      <c r="F110" s="43"/>
      <c r="G110" s="43"/>
      <c r="H110" s="43"/>
      <c r="I110" s="43"/>
      <c r="J110" s="43"/>
      <c r="K110" s="43"/>
      <c r="L110" s="43"/>
      <c r="M110" s="4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1"/>
    </row>
    <row r="111" spans="1:25" s="4" customFormat="1" ht="30" customHeight="1" x14ac:dyDescent="0.25">
      <c r="A111" s="15"/>
      <c r="B111" s="5"/>
      <c r="C111" s="5"/>
      <c r="D111" s="5"/>
      <c r="E111" s="114"/>
      <c r="F111" s="43"/>
      <c r="G111" s="43"/>
      <c r="H111" s="43"/>
      <c r="I111" s="43"/>
      <c r="J111" s="43"/>
      <c r="K111" s="43"/>
      <c r="L111" s="43"/>
      <c r="M111" s="4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1"/>
    </row>
    <row r="112" spans="1:25" s="4" customFormat="1" ht="30" customHeight="1" x14ac:dyDescent="0.25">
      <c r="A112" s="15"/>
      <c r="B112" s="5"/>
      <c r="C112" s="5"/>
      <c r="D112" s="5"/>
      <c r="E112" s="114"/>
      <c r="F112" s="43"/>
      <c r="G112" s="43"/>
      <c r="H112" s="43"/>
      <c r="I112" s="43"/>
      <c r="J112" s="43"/>
      <c r="K112" s="43"/>
      <c r="L112" s="43"/>
      <c r="M112" s="4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1"/>
    </row>
    <row r="113" spans="6:13" ht="0" hidden="1" customHeight="1" x14ac:dyDescent="0.25">
      <c r="F113" s="141"/>
      <c r="G113" s="141"/>
      <c r="H113" s="141"/>
      <c r="I113" s="141"/>
      <c r="J113" s="141"/>
      <c r="K113" s="141"/>
      <c r="L113" s="141"/>
      <c r="M113" s="141"/>
    </row>
  </sheetData>
  <mergeCells count="1">
    <mergeCell ref="F3:H5"/>
  </mergeCells>
  <conditionalFormatting sqref="D30 F30:J30">
    <cfRule type="cellIs" dxfId="75" priority="6" operator="equal">
      <formula>0</formula>
    </cfRule>
  </conditionalFormatting>
  <conditionalFormatting sqref="F11:I15">
    <cfRule type="cellIs" dxfId="74" priority="1" operator="equal">
      <formula>0</formula>
    </cfRule>
  </conditionalFormatting>
  <conditionalFormatting sqref="F20:I44">
    <cfRule type="cellIs" dxfId="73" priority="2" operator="equal">
      <formula>0</formula>
    </cfRule>
  </conditionalFormatting>
  <conditionalFormatting sqref="J10:J20 J22:J29">
    <cfRule type="cellIs" dxfId="72" priority="9" operator="equal">
      <formula>0</formula>
    </cfRule>
  </conditionalFormatting>
  <dataValidations count="2">
    <dataValidation type="list" allowBlank="1" sqref="E20:E44" xr:uid="{00000000-0002-0000-0900-000000000000}">
      <formula1>$N$1:$N$4</formula1>
    </dataValidation>
    <dataValidation type="list" allowBlank="1" sqref="H20:H44" xr:uid="{00000000-0002-0000-0900-000001000000}">
      <formula1>$M$1:$M$3</formula1>
    </dataValidation>
  </dataValidations>
  <hyperlinks>
    <hyperlink ref="A15" location="'Projeções - Receita'!A1" display="Projeções - Receita" xr:uid="{00000000-0004-0000-0900-000000000000}"/>
    <hyperlink ref="A17" location="'Projeções 2022'!A1" display="Projeções 2022" xr:uid="{00000000-0004-0000-0900-000001000000}"/>
    <hyperlink ref="A8" location="Dashboard!A1" display="Dashboard" xr:uid="{00000000-0004-0000-0900-000002000000}"/>
    <hyperlink ref="A9" location="WACC!A1" display="WACC" xr:uid="{00000000-0004-0000-0900-000003000000}"/>
    <hyperlink ref="A10" location="'DRE + DCF'!A1" display="DRE + DCF" xr:uid="{00000000-0004-0000-0900-000004000000}"/>
    <hyperlink ref="A11" location="'DRE - Contas Abertas'!A1" display="DRE - Contas Abertas" xr:uid="{00000000-0004-0000-0900-000005000000}"/>
    <hyperlink ref="A12" location="'Balanço Patrimonial'!A1" display="Balanço Patrimonial" xr:uid="{00000000-0004-0000-0900-000006000000}"/>
    <hyperlink ref="A13" location="'Painel de Índices'!A1" display="Painel de Índices" xr:uid="{00000000-0004-0000-0900-000007000000}"/>
    <hyperlink ref="A16" location="'Projeções - Capex'!A1" display="Projeções - Capex" xr:uid="{00000000-0004-0000-0900-000008000000}"/>
  </hyperlink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9"/>
  <dimension ref="A1:CC135"/>
  <sheetViews>
    <sheetView showGridLines="0" topLeftCell="B1" zoomScale="83" zoomScaleNormal="83" workbookViewId="0">
      <selection activeCell="W15" sqref="W15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73.5703125" style="1" bestFit="1" customWidth="1"/>
    <col min="6" max="6" width="12" style="1" bestFit="1" customWidth="1"/>
    <col min="7" max="7" width="13.42578125" style="1" bestFit="1" customWidth="1"/>
    <col min="8" max="9" width="13" style="1" bestFit="1" customWidth="1"/>
    <col min="10" max="10" width="12.85546875" style="1" bestFit="1" customWidth="1"/>
    <col min="11" max="11" width="13.42578125" style="1" bestFit="1" customWidth="1"/>
    <col min="12" max="12" width="12.7109375" style="1" bestFit="1" customWidth="1"/>
    <col min="13" max="14" width="13" style="1" bestFit="1" customWidth="1"/>
    <col min="15" max="15" width="15.28515625" style="1" bestFit="1" customWidth="1"/>
    <col min="16" max="16" width="13.140625" style="1" bestFit="1" customWidth="1"/>
    <col min="17" max="18" width="12.85546875" style="1" bestFit="1" customWidth="1"/>
    <col min="19" max="20" width="13.140625" style="1" bestFit="1" customWidth="1"/>
    <col min="21" max="21" width="13.42578125" style="1" bestFit="1" customWidth="1"/>
    <col min="22" max="22" width="13" style="1" bestFit="1" customWidth="1"/>
    <col min="23" max="24" width="13.140625" style="1" bestFit="1" customWidth="1"/>
    <col min="25" max="25" width="13.42578125" style="11" bestFit="1" customWidth="1"/>
    <col min="26" max="26" width="12.7109375" style="1" bestFit="1" customWidth="1"/>
    <col min="27" max="27" width="13.140625" style="1" bestFit="1" customWidth="1"/>
    <col min="28" max="28" width="12.7109375" style="1" bestFit="1" customWidth="1"/>
    <col min="29" max="29" width="12.85546875" style="1" bestFit="1" customWidth="1"/>
    <col min="30" max="30" width="13.42578125" style="1" bestFit="1" customWidth="1"/>
    <col min="31" max="31" width="12.85546875" style="1" bestFit="1" customWidth="1"/>
    <col min="32" max="32" width="13" style="1" bestFit="1" customWidth="1"/>
    <col min="33" max="33" width="13.140625" style="1" bestFit="1" customWidth="1"/>
    <col min="34" max="34" width="13.42578125" style="1" bestFit="1" customWidth="1"/>
    <col min="35" max="41" width="13.5703125" style="1" bestFit="1" customWidth="1"/>
    <col min="42" max="42" width="13.42578125" style="1" bestFit="1" customWidth="1"/>
    <col min="43" max="47" width="13.5703125" style="1" bestFit="1" customWidth="1"/>
    <col min="48" max="53" width="14.140625" style="1" bestFit="1" customWidth="1"/>
    <col min="54" max="54" width="18.85546875" style="1" bestFit="1" customWidth="1"/>
    <col min="55" max="55" width="64.28515625" style="1" customWidth="1"/>
    <col min="56" max="56" width="82.7109375" style="1" bestFit="1" customWidth="1"/>
    <col min="57" max="57" width="27.140625" style="1" bestFit="1" customWidth="1"/>
    <col min="58" max="68" width="9.140625" style="1" customWidth="1"/>
    <col min="69" max="69" width="9.140625" style="1" hidden="1" customWidth="1"/>
    <col min="70" max="73" width="0" style="1" hidden="1" customWidth="1"/>
    <col min="74" max="75" width="9.140625" style="1" hidden="1" customWidth="1"/>
    <col min="76" max="79" width="0" style="1" hidden="1" customWidth="1"/>
    <col min="80" max="81" width="9.140625" style="1" hidden="1" customWidth="1"/>
    <col min="82" max="16384" width="0" style="1" hidden="1"/>
  </cols>
  <sheetData>
    <row r="1" spans="1:73" ht="15" customHeight="1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10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</row>
    <row r="2" spans="1:73" ht="15" customHeight="1" x14ac:dyDescent="0.25">
      <c r="B2" s="5"/>
      <c r="C2" s="5"/>
      <c r="D2" s="5"/>
      <c r="E2" s="5"/>
      <c r="F2" s="5"/>
      <c r="G2" s="5"/>
      <c r="H2" s="5"/>
      <c r="I2" s="5"/>
      <c r="J2" s="6"/>
      <c r="K2" s="32"/>
      <c r="L2" s="32"/>
      <c r="M2" s="32"/>
      <c r="N2" s="32"/>
      <c r="O2" s="32"/>
      <c r="P2" s="32"/>
      <c r="Q2" s="32"/>
      <c r="R2" s="32"/>
      <c r="S2" s="32"/>
      <c r="T2" s="32"/>
      <c r="U2" s="67"/>
      <c r="V2" s="67"/>
      <c r="W2" s="5"/>
      <c r="X2" s="5"/>
      <c r="Y2" s="10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</row>
    <row r="3" spans="1:73" ht="15" customHeight="1" x14ac:dyDescent="0.25">
      <c r="B3" s="5"/>
      <c r="C3" s="5"/>
      <c r="D3" s="5"/>
      <c r="E3" s="5"/>
      <c r="F3" s="5"/>
      <c r="G3" s="5"/>
      <c r="H3" s="5"/>
      <c r="I3" s="5"/>
      <c r="J3" s="6"/>
      <c r="K3" s="32"/>
      <c r="L3" s="32"/>
      <c r="M3" s="405" t="s">
        <v>88</v>
      </c>
      <c r="N3" s="405"/>
      <c r="O3" s="405"/>
      <c r="P3" s="405"/>
      <c r="Q3" s="405"/>
      <c r="R3" s="405"/>
      <c r="S3" s="32"/>
      <c r="T3" s="32"/>
      <c r="U3" s="67"/>
      <c r="V3" s="67"/>
      <c r="W3" s="5"/>
      <c r="X3" s="405"/>
      <c r="Y3" s="10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</row>
    <row r="4" spans="1:73" ht="15" customHeight="1" x14ac:dyDescent="0.25">
      <c r="B4" s="5"/>
      <c r="C4" s="5"/>
      <c r="D4" s="5"/>
      <c r="E4" s="5"/>
      <c r="F4" s="5"/>
      <c r="G4" s="5"/>
      <c r="H4" s="5"/>
      <c r="I4" s="5"/>
      <c r="J4" s="6"/>
      <c r="K4" s="32"/>
      <c r="L4" s="32"/>
      <c r="M4" s="405"/>
      <c r="N4" s="405"/>
      <c r="O4" s="405"/>
      <c r="P4" s="405"/>
      <c r="Q4" s="405"/>
      <c r="R4" s="405"/>
      <c r="S4" s="32"/>
      <c r="T4" s="32"/>
      <c r="U4" s="67"/>
      <c r="V4" s="67"/>
      <c r="W4" s="5"/>
      <c r="X4" s="405"/>
      <c r="Y4" s="10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</row>
    <row r="5" spans="1:73" ht="15" customHeight="1" x14ac:dyDescent="0.25">
      <c r="B5" s="5"/>
      <c r="C5" s="5"/>
      <c r="D5" s="5"/>
      <c r="E5" s="5"/>
      <c r="F5" s="5"/>
      <c r="G5" s="5"/>
      <c r="H5" s="5"/>
      <c r="I5" s="5"/>
      <c r="J5" s="6"/>
      <c r="K5" s="32"/>
      <c r="L5" s="32"/>
      <c r="M5" s="408"/>
      <c r="N5" s="408"/>
      <c r="O5" s="408"/>
      <c r="P5" s="408"/>
      <c r="Q5" s="408"/>
      <c r="R5" s="408"/>
      <c r="S5" s="32"/>
      <c r="T5" s="32"/>
      <c r="U5" s="67"/>
      <c r="V5" s="67"/>
      <c r="W5" s="5"/>
      <c r="X5" s="5"/>
      <c r="Y5" s="10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73" ht="15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58"/>
      <c r="N6" s="158"/>
      <c r="O6" s="158"/>
      <c r="P6" s="158"/>
      <c r="Q6" s="158"/>
      <c r="R6" s="158"/>
      <c r="S6" s="5"/>
      <c r="T6" s="5"/>
      <c r="U6" s="5"/>
      <c r="V6" s="5"/>
      <c r="W6" s="5"/>
      <c r="X6" s="5"/>
      <c r="Y6" s="10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73" s="11" customFormat="1" ht="24.75" customHeight="1" x14ac:dyDescent="0.25">
      <c r="A7" s="9" t="s">
        <v>68</v>
      </c>
      <c r="B7" s="10"/>
      <c r="C7" s="10"/>
      <c r="D7" s="10"/>
      <c r="E7" s="10"/>
      <c r="F7" s="159"/>
      <c r="G7" s="159"/>
      <c r="H7" s="10"/>
      <c r="I7" s="10"/>
      <c r="J7" s="10"/>
      <c r="K7" s="15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</row>
    <row r="8" spans="1:73" ht="30" customHeight="1" x14ac:dyDescent="0.25">
      <c r="A8" s="15" t="s">
        <v>69</v>
      </c>
      <c r="B8" s="5"/>
      <c r="C8" s="5"/>
      <c r="D8" s="10"/>
      <c r="E8" s="5"/>
      <c r="F8" s="5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</row>
    <row r="9" spans="1:73" ht="30" customHeight="1" x14ac:dyDescent="0.25">
      <c r="A9" s="15" t="s">
        <v>52</v>
      </c>
      <c r="B9" s="5"/>
      <c r="C9" s="5"/>
      <c r="D9" s="37"/>
      <c r="E9" s="35"/>
      <c r="F9" s="35">
        <f t="shared" ref="F9:G9" si="0">G9-1</f>
        <v>2013</v>
      </c>
      <c r="G9" s="35">
        <f t="shared" si="0"/>
        <v>2014</v>
      </c>
      <c r="H9" s="35">
        <f>I9-1</f>
        <v>2015</v>
      </c>
      <c r="I9" s="35">
        <v>2016</v>
      </c>
      <c r="J9" s="35">
        <v>2017</v>
      </c>
      <c r="K9" s="35">
        <v>2018</v>
      </c>
      <c r="L9" s="35">
        <v>2019</v>
      </c>
      <c r="M9" s="35">
        <v>2020</v>
      </c>
      <c r="N9" s="35">
        <v>2021</v>
      </c>
      <c r="O9" s="35">
        <f>N9+1</f>
        <v>2022</v>
      </c>
      <c r="P9" s="70">
        <f t="shared" ref="P9:BA9" si="1">O9+1</f>
        <v>2023</v>
      </c>
      <c r="Q9" s="70">
        <f t="shared" si="1"/>
        <v>2024</v>
      </c>
      <c r="R9" s="70">
        <f t="shared" si="1"/>
        <v>2025</v>
      </c>
      <c r="S9" s="70">
        <f t="shared" si="1"/>
        <v>2026</v>
      </c>
      <c r="T9" s="70">
        <f t="shared" si="1"/>
        <v>2027</v>
      </c>
      <c r="U9" s="70">
        <f t="shared" si="1"/>
        <v>2028</v>
      </c>
      <c r="V9" s="70">
        <f t="shared" si="1"/>
        <v>2029</v>
      </c>
      <c r="W9" s="70">
        <f t="shared" si="1"/>
        <v>2030</v>
      </c>
      <c r="X9" s="70">
        <f t="shared" si="1"/>
        <v>2031</v>
      </c>
      <c r="Y9" s="70">
        <f t="shared" si="1"/>
        <v>2032</v>
      </c>
      <c r="Z9" s="70">
        <f t="shared" si="1"/>
        <v>2033</v>
      </c>
      <c r="AA9" s="70">
        <f t="shared" si="1"/>
        <v>2034</v>
      </c>
      <c r="AB9" s="70">
        <f t="shared" si="1"/>
        <v>2035</v>
      </c>
      <c r="AC9" s="70">
        <f t="shared" si="1"/>
        <v>2036</v>
      </c>
      <c r="AD9" s="70">
        <f t="shared" si="1"/>
        <v>2037</v>
      </c>
      <c r="AE9" s="70">
        <f t="shared" si="1"/>
        <v>2038</v>
      </c>
      <c r="AF9" s="70">
        <f t="shared" si="1"/>
        <v>2039</v>
      </c>
      <c r="AG9" s="70">
        <f t="shared" si="1"/>
        <v>2040</v>
      </c>
      <c r="AH9" s="70">
        <f t="shared" si="1"/>
        <v>2041</v>
      </c>
      <c r="AI9" s="70">
        <f t="shared" si="1"/>
        <v>2042</v>
      </c>
      <c r="AJ9" s="70">
        <f t="shared" si="1"/>
        <v>2043</v>
      </c>
      <c r="AK9" s="70">
        <f t="shared" si="1"/>
        <v>2044</v>
      </c>
      <c r="AL9" s="70">
        <f t="shared" si="1"/>
        <v>2045</v>
      </c>
      <c r="AM9" s="70">
        <f t="shared" si="1"/>
        <v>2046</v>
      </c>
      <c r="AN9" s="70">
        <f t="shared" si="1"/>
        <v>2047</v>
      </c>
      <c r="AO9" s="70">
        <f t="shared" si="1"/>
        <v>2048</v>
      </c>
      <c r="AP9" s="70">
        <f t="shared" si="1"/>
        <v>2049</v>
      </c>
      <c r="AQ9" s="70">
        <f t="shared" si="1"/>
        <v>2050</v>
      </c>
      <c r="AR9" s="70">
        <f t="shared" si="1"/>
        <v>2051</v>
      </c>
      <c r="AS9" s="70">
        <f t="shared" si="1"/>
        <v>2052</v>
      </c>
      <c r="AT9" s="70">
        <f t="shared" si="1"/>
        <v>2053</v>
      </c>
      <c r="AU9" s="70">
        <f t="shared" si="1"/>
        <v>2054</v>
      </c>
      <c r="AV9" s="70">
        <f t="shared" si="1"/>
        <v>2055</v>
      </c>
      <c r="AW9" s="70">
        <f t="shared" si="1"/>
        <v>2056</v>
      </c>
      <c r="AX9" s="70">
        <f t="shared" si="1"/>
        <v>2057</v>
      </c>
      <c r="AY9" s="70">
        <f t="shared" si="1"/>
        <v>2058</v>
      </c>
      <c r="AZ9" s="70">
        <f t="shared" si="1"/>
        <v>2059</v>
      </c>
      <c r="BA9" s="70">
        <f t="shared" si="1"/>
        <v>2060</v>
      </c>
      <c r="BB9" s="70" t="s">
        <v>373</v>
      </c>
      <c r="BC9" s="35" t="s">
        <v>66</v>
      </c>
      <c r="BD9" s="160" t="s">
        <v>67</v>
      </c>
      <c r="BE9" s="161" t="s">
        <v>301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</row>
    <row r="10" spans="1:73" ht="30" customHeight="1" x14ac:dyDescent="0.25">
      <c r="A10" s="15" t="s">
        <v>70</v>
      </c>
      <c r="B10" s="5"/>
      <c r="C10" s="5"/>
      <c r="D10" s="37"/>
      <c r="E10" s="34" t="s">
        <v>304</v>
      </c>
      <c r="F10" s="34">
        <f t="shared" ref="F10:W10" si="2">SUM(F11:F15)</f>
        <v>970</v>
      </c>
      <c r="G10" s="34">
        <f t="shared" si="2"/>
        <v>1094</v>
      </c>
      <c r="H10" s="34">
        <f t="shared" si="2"/>
        <v>1235</v>
      </c>
      <c r="I10" s="34">
        <f t="shared" si="2"/>
        <v>1420</v>
      </c>
      <c r="J10" s="34">
        <f t="shared" si="2"/>
        <v>1610</v>
      </c>
      <c r="K10" s="34">
        <f t="shared" si="2"/>
        <v>1825</v>
      </c>
      <c r="L10" s="34">
        <f t="shared" si="2"/>
        <v>2073</v>
      </c>
      <c r="M10" s="34">
        <f t="shared" si="2"/>
        <v>2303</v>
      </c>
      <c r="N10" s="34">
        <f>SUM(N11:N15)</f>
        <v>2461.2820000000002</v>
      </c>
      <c r="O10" s="34">
        <f t="shared" si="2"/>
        <v>2668.2820000000002</v>
      </c>
      <c r="P10" s="34">
        <f t="shared" si="2"/>
        <v>2880.3065281142613</v>
      </c>
      <c r="Q10" s="34">
        <f t="shared" si="2"/>
        <v>3088.518874162447</v>
      </c>
      <c r="R10" s="34">
        <f t="shared" si="2"/>
        <v>3292.9875808373959</v>
      </c>
      <c r="S10" s="34">
        <f t="shared" si="2"/>
        <v>3493.7799584404561</v>
      </c>
      <c r="T10" s="34">
        <f t="shared" si="2"/>
        <v>3690.9621070397729</v>
      </c>
      <c r="U10" s="34">
        <f t="shared" si="2"/>
        <v>3884.5989382301746</v>
      </c>
      <c r="V10" s="34">
        <f t="shared" si="2"/>
        <v>4074.7541965018145</v>
      </c>
      <c r="W10" s="34">
        <f t="shared" si="2"/>
        <v>4261.490480224611</v>
      </c>
      <c r="X10" s="34">
        <f t="shared" ref="X10" si="3">SUM(X11:X15)</f>
        <v>4444.8692622553863</v>
      </c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51">
        <f t="shared" ref="BB10:BB16" si="4">(O10/F10)^(1/COUNT($G$9:$O$9))-1</f>
        <v>0.11899691195415363</v>
      </c>
      <c r="BC10" s="39"/>
      <c r="BD10" s="162"/>
      <c r="BE10" s="163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</row>
    <row r="11" spans="1:73" ht="30" customHeight="1" x14ac:dyDescent="0.25">
      <c r="A11" s="21" t="s">
        <v>340</v>
      </c>
      <c r="B11" s="5"/>
      <c r="C11" s="5"/>
      <c r="D11" s="37"/>
      <c r="E11" s="81" t="s">
        <v>103</v>
      </c>
      <c r="F11" s="81">
        <v>546</v>
      </c>
      <c r="G11" s="81">
        <v>646</v>
      </c>
      <c r="H11" s="81">
        <v>728</v>
      </c>
      <c r="I11" s="81">
        <v>801</v>
      </c>
      <c r="J11" s="81">
        <v>912</v>
      </c>
      <c r="K11" s="81">
        <v>1024</v>
      </c>
      <c r="L11" s="81">
        <v>1151</v>
      </c>
      <c r="M11" s="81">
        <v>1347</v>
      </c>
      <c r="N11" s="81">
        <f t="shared" ref="N11:O11" si="5">M11+M12-N16</f>
        <v>1478</v>
      </c>
      <c r="O11" s="81">
        <f t="shared" si="5"/>
        <v>1662</v>
      </c>
      <c r="P11" s="81">
        <f t="shared" ref="P11" si="6">O11+O12-P16</f>
        <v>1880.8825281142613</v>
      </c>
      <c r="Q11" s="81">
        <f t="shared" ref="Q11" si="7">P11+P12-Q16</f>
        <v>2068.518874162447</v>
      </c>
      <c r="R11" s="81">
        <f t="shared" ref="R11" si="8">Q11+Q12-R16</f>
        <v>2252.9875808373959</v>
      </c>
      <c r="S11" s="81">
        <f t="shared" ref="S11" si="9">R11+R12-S16</f>
        <v>2453.7799584404561</v>
      </c>
      <c r="T11" s="81">
        <f t="shared" ref="T11" si="10">S11+S12-T16</f>
        <v>2650.9621070397729</v>
      </c>
      <c r="U11" s="81">
        <f t="shared" ref="U11" si="11">T11+T12-U16</f>
        <v>2844.5989382301746</v>
      </c>
      <c r="V11" s="81">
        <f t="shared" ref="V11" si="12">U11+U12-V16</f>
        <v>3034.7541965018145</v>
      </c>
      <c r="W11" s="81">
        <f t="shared" ref="W11:X11" si="13">V11+V12-W16</f>
        <v>3221.490480224611</v>
      </c>
      <c r="X11" s="81">
        <f t="shared" si="13"/>
        <v>3404.8692622553863</v>
      </c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51">
        <f t="shared" si="4"/>
        <v>0.13165846193547237</v>
      </c>
      <c r="BC11" s="164" t="s">
        <v>135</v>
      </c>
      <c r="BD11" s="162"/>
      <c r="BE11" s="163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</row>
    <row r="12" spans="1:73" ht="30" customHeight="1" x14ac:dyDescent="0.25">
      <c r="A12" s="15" t="s">
        <v>71</v>
      </c>
      <c r="B12" s="5"/>
      <c r="C12" s="5"/>
      <c r="D12" s="37"/>
      <c r="E12" s="81" t="s">
        <v>104</v>
      </c>
      <c r="F12" s="81">
        <v>106</v>
      </c>
      <c r="G12" s="81">
        <f t="shared" ref="G12:M12" si="14">F13</f>
        <v>93</v>
      </c>
      <c r="H12" s="81">
        <f t="shared" si="14"/>
        <v>94</v>
      </c>
      <c r="I12" s="81">
        <f t="shared" si="14"/>
        <v>128</v>
      </c>
      <c r="J12" s="81">
        <f t="shared" si="14"/>
        <v>126</v>
      </c>
      <c r="K12" s="81">
        <f t="shared" si="14"/>
        <v>153</v>
      </c>
      <c r="L12" s="81">
        <f t="shared" si="14"/>
        <v>204</v>
      </c>
      <c r="M12" s="81">
        <f t="shared" si="14"/>
        <v>199</v>
      </c>
      <c r="N12" s="81">
        <v>237</v>
      </c>
      <c r="O12" s="81">
        <f t="shared" ref="O12:O14" si="15">N13</f>
        <v>266.858</v>
      </c>
      <c r="P12" s="81">
        <f t="shared" ref="P12:P14" si="16">O13</f>
        <v>239.42400000000001</v>
      </c>
      <c r="Q12" s="81">
        <f t="shared" ref="Q12:Q14" si="17">P13</f>
        <v>240</v>
      </c>
      <c r="R12" s="81">
        <f t="shared" ref="R12:R14" si="18">Q13</f>
        <v>260</v>
      </c>
      <c r="S12" s="81">
        <f t="shared" ref="S12:S14" si="19">R13</f>
        <v>260</v>
      </c>
      <c r="T12" s="81">
        <f t="shared" ref="T12:T14" si="20">S13</f>
        <v>260</v>
      </c>
      <c r="U12" s="81">
        <f t="shared" ref="U12:U14" si="21">T13</f>
        <v>260</v>
      </c>
      <c r="V12" s="81">
        <f t="shared" ref="V12:V14" si="22">U13</f>
        <v>260</v>
      </c>
      <c r="W12" s="81">
        <f t="shared" ref="W12:X14" si="23">V13</f>
        <v>260</v>
      </c>
      <c r="X12" s="81">
        <f t="shared" si="23"/>
        <v>260</v>
      </c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51">
        <f t="shared" si="4"/>
        <v>0.10803303030248523</v>
      </c>
      <c r="BC12" s="164" t="s">
        <v>135</v>
      </c>
      <c r="BD12" s="165"/>
      <c r="BE12" s="163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</row>
    <row r="13" spans="1:73" ht="30" customHeight="1" x14ac:dyDescent="0.25">
      <c r="A13" s="21" t="s">
        <v>333</v>
      </c>
      <c r="B13" s="5"/>
      <c r="C13" s="5"/>
      <c r="D13" s="37"/>
      <c r="E13" s="81" t="s">
        <v>105</v>
      </c>
      <c r="F13" s="81">
        <v>93</v>
      </c>
      <c r="G13" s="81">
        <v>94</v>
      </c>
      <c r="H13" s="81">
        <v>128</v>
      </c>
      <c r="I13" s="81">
        <v>126</v>
      </c>
      <c r="J13" s="81">
        <v>153</v>
      </c>
      <c r="K13" s="81">
        <v>204</v>
      </c>
      <c r="L13" s="81">
        <v>199</v>
      </c>
      <c r="M13" s="81">
        <v>237</v>
      </c>
      <c r="N13" s="81">
        <v>266.858</v>
      </c>
      <c r="O13" s="81">
        <f t="shared" si="15"/>
        <v>239.42400000000001</v>
      </c>
      <c r="P13" s="81">
        <f t="shared" si="16"/>
        <v>240</v>
      </c>
      <c r="Q13" s="81">
        <f t="shared" si="17"/>
        <v>260</v>
      </c>
      <c r="R13" s="81">
        <f t="shared" si="18"/>
        <v>260</v>
      </c>
      <c r="S13" s="81">
        <f t="shared" si="19"/>
        <v>260</v>
      </c>
      <c r="T13" s="81">
        <f t="shared" si="20"/>
        <v>260</v>
      </c>
      <c r="U13" s="81">
        <f t="shared" si="21"/>
        <v>260</v>
      </c>
      <c r="V13" s="81">
        <f t="shared" si="22"/>
        <v>260</v>
      </c>
      <c r="W13" s="81">
        <f t="shared" si="23"/>
        <v>260</v>
      </c>
      <c r="X13" s="81">
        <f t="shared" si="23"/>
        <v>260</v>
      </c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51">
        <f t="shared" si="4"/>
        <v>0.11078917068065919</v>
      </c>
      <c r="BC13" s="164" t="s">
        <v>135</v>
      </c>
      <c r="BD13" s="165"/>
      <c r="BE13" s="163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</row>
    <row r="14" spans="1:73" ht="30" customHeight="1" x14ac:dyDescent="0.25">
      <c r="A14" s="21" t="s">
        <v>198</v>
      </c>
      <c r="B14" s="5"/>
      <c r="C14" s="5"/>
      <c r="D14" s="37"/>
      <c r="E14" s="81" t="s">
        <v>106</v>
      </c>
      <c r="F14" s="81">
        <v>95</v>
      </c>
      <c r="G14" s="81">
        <v>130</v>
      </c>
      <c r="H14" s="81">
        <v>129</v>
      </c>
      <c r="I14" s="81">
        <v>152</v>
      </c>
      <c r="J14" s="81">
        <v>210</v>
      </c>
      <c r="K14" s="81">
        <v>204</v>
      </c>
      <c r="L14" s="81">
        <v>237</v>
      </c>
      <c r="M14" s="81">
        <v>280</v>
      </c>
      <c r="N14" s="81">
        <v>239.42400000000001</v>
      </c>
      <c r="O14" s="81">
        <f t="shared" si="15"/>
        <v>240</v>
      </c>
      <c r="P14" s="81">
        <f t="shared" si="16"/>
        <v>260</v>
      </c>
      <c r="Q14" s="81">
        <f t="shared" si="17"/>
        <v>260</v>
      </c>
      <c r="R14" s="81">
        <f t="shared" si="18"/>
        <v>260</v>
      </c>
      <c r="S14" s="81">
        <f t="shared" si="19"/>
        <v>260</v>
      </c>
      <c r="T14" s="81">
        <f t="shared" si="20"/>
        <v>260</v>
      </c>
      <c r="U14" s="81">
        <f t="shared" si="21"/>
        <v>260</v>
      </c>
      <c r="V14" s="81">
        <f t="shared" si="22"/>
        <v>260</v>
      </c>
      <c r="W14" s="81">
        <f t="shared" si="23"/>
        <v>260</v>
      </c>
      <c r="X14" s="81">
        <f t="shared" si="23"/>
        <v>260</v>
      </c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51">
        <f t="shared" si="4"/>
        <v>0.10846209993346312</v>
      </c>
      <c r="BC14" s="164" t="s">
        <v>135</v>
      </c>
      <c r="BD14" s="165"/>
      <c r="BE14" s="163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</row>
    <row r="15" spans="1:73" ht="30" customHeight="1" x14ac:dyDescent="0.25">
      <c r="A15" s="12" t="s">
        <v>305</v>
      </c>
      <c r="B15" s="5"/>
      <c r="C15" s="5"/>
      <c r="D15" s="37"/>
      <c r="E15" s="81" t="s">
        <v>107</v>
      </c>
      <c r="F15" s="81">
        <v>130</v>
      </c>
      <c r="G15" s="81">
        <v>131</v>
      </c>
      <c r="H15" s="81">
        <v>156</v>
      </c>
      <c r="I15" s="81">
        <v>213</v>
      </c>
      <c r="J15" s="81">
        <v>209</v>
      </c>
      <c r="K15" s="81">
        <v>240</v>
      </c>
      <c r="L15" s="81">
        <v>282</v>
      </c>
      <c r="M15" s="81">
        <v>239.99999999999997</v>
      </c>
      <c r="N15" s="81">
        <v>240</v>
      </c>
      <c r="O15" s="81">
        <v>260</v>
      </c>
      <c r="P15" s="81">
        <v>260</v>
      </c>
      <c r="Q15" s="81">
        <v>260</v>
      </c>
      <c r="R15" s="81">
        <v>260</v>
      </c>
      <c r="S15" s="81">
        <v>260</v>
      </c>
      <c r="T15" s="81">
        <v>260</v>
      </c>
      <c r="U15" s="81">
        <v>260</v>
      </c>
      <c r="V15" s="81">
        <v>260</v>
      </c>
      <c r="W15" s="81">
        <v>260</v>
      </c>
      <c r="X15" s="81">
        <v>260</v>
      </c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51">
        <f t="shared" si="4"/>
        <v>8.0059738892306109E-2</v>
      </c>
      <c r="BC15" s="166" t="s">
        <v>285</v>
      </c>
      <c r="BD15" s="165"/>
      <c r="BE15" s="163">
        <v>4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</row>
    <row r="16" spans="1:73" ht="30" customHeight="1" x14ac:dyDescent="0.25">
      <c r="A16" s="21" t="s">
        <v>358</v>
      </c>
      <c r="B16" s="5"/>
      <c r="C16" s="5"/>
      <c r="D16" s="37"/>
      <c r="E16" s="81" t="s">
        <v>108</v>
      </c>
      <c r="F16" s="81">
        <v>28</v>
      </c>
      <c r="G16" s="81">
        <v>7</v>
      </c>
      <c r="H16" s="81">
        <v>15</v>
      </c>
      <c r="I16" s="81">
        <v>27</v>
      </c>
      <c r="J16" s="81">
        <v>20</v>
      </c>
      <c r="K16" s="81">
        <v>25</v>
      </c>
      <c r="L16" s="81">
        <v>34</v>
      </c>
      <c r="M16" s="81">
        <v>11</v>
      </c>
      <c r="N16" s="81">
        <v>68</v>
      </c>
      <c r="O16" s="81">
        <v>53</v>
      </c>
      <c r="P16" s="81">
        <f t="shared" ref="P16" si="24">P17*O10</f>
        <v>47.975471885738656</v>
      </c>
      <c r="Q16" s="81">
        <f t="shared" ref="Q16" si="25">Q17*P10</f>
        <v>51.787653951814406</v>
      </c>
      <c r="R16" s="81">
        <f t="shared" ref="R16" si="26">R17*Q10</f>
        <v>55.531293325050974</v>
      </c>
      <c r="S16" s="81">
        <f t="shared" ref="S16" si="27">S17*R10</f>
        <v>59.207622396939684</v>
      </c>
      <c r="T16" s="81">
        <f t="shared" ref="T16" si="28">T17*S10</f>
        <v>62.817851400683004</v>
      </c>
      <c r="U16" s="81">
        <f t="shared" ref="U16" si="29">U17*T10</f>
        <v>66.363168809598577</v>
      </c>
      <c r="V16" s="81">
        <f t="shared" ref="V16" si="30">V17*U10</f>
        <v>69.844741728360034</v>
      </c>
      <c r="W16" s="81">
        <f t="shared" ref="W16:X16" si="31">W17*V10</f>
        <v>73.26371627720323</v>
      </c>
      <c r="X16" s="81">
        <f t="shared" si="31"/>
        <v>76.621217969224659</v>
      </c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51">
        <f t="shared" si="4"/>
        <v>7.3472370653908214E-2</v>
      </c>
      <c r="BC16" s="39"/>
      <c r="BD16" s="167" t="s">
        <v>150</v>
      </c>
      <c r="BE16" s="163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</row>
    <row r="17" spans="1:73" ht="30" customHeight="1" thickBot="1" x14ac:dyDescent="0.3">
      <c r="A17" s="21" t="s">
        <v>314</v>
      </c>
      <c r="B17" s="5"/>
      <c r="C17" s="5"/>
      <c r="D17" s="33"/>
      <c r="E17" s="306" t="s">
        <v>109</v>
      </c>
      <c r="F17" s="302">
        <v>3.2399999999999998E-2</v>
      </c>
      <c r="G17" s="302">
        <f t="shared" ref="G17:H17" si="32">G16/F10</f>
        <v>7.2164948453608251E-3</v>
      </c>
      <c r="H17" s="302">
        <f t="shared" si="32"/>
        <v>1.3711151736745886E-2</v>
      </c>
      <c r="I17" s="302">
        <f t="shared" ref="I17" si="33">I16/H10</f>
        <v>2.1862348178137651E-2</v>
      </c>
      <c r="J17" s="302">
        <f t="shared" ref="J17" si="34">J16/I10</f>
        <v>1.4084507042253521E-2</v>
      </c>
      <c r="K17" s="302">
        <f t="shared" ref="K17" si="35">K16/J10</f>
        <v>1.5527950310559006E-2</v>
      </c>
      <c r="L17" s="302">
        <f t="shared" ref="L17" si="36">L16/K10</f>
        <v>1.8630136986301369E-2</v>
      </c>
      <c r="M17" s="302">
        <f t="shared" ref="M17:O17" si="37">M16/L10</f>
        <v>5.3063193439459718E-3</v>
      </c>
      <c r="N17" s="302">
        <f t="shared" si="37"/>
        <v>2.9526704298740773E-2</v>
      </c>
      <c r="O17" s="302">
        <f t="shared" si="37"/>
        <v>2.1533493520856203E-2</v>
      </c>
      <c r="P17" s="302">
        <f>AVERAGE($F$17:$O$17)</f>
        <v>1.7979910626290119E-2</v>
      </c>
      <c r="Q17" s="302">
        <f t="shared" ref="Q17:X17" si="38">AVERAGE($F$17:$O$17)</f>
        <v>1.7979910626290119E-2</v>
      </c>
      <c r="R17" s="302">
        <f t="shared" si="38"/>
        <v>1.7979910626290119E-2</v>
      </c>
      <c r="S17" s="302">
        <f t="shared" si="38"/>
        <v>1.7979910626290119E-2</v>
      </c>
      <c r="T17" s="302">
        <f t="shared" si="38"/>
        <v>1.7979910626290119E-2</v>
      </c>
      <c r="U17" s="302">
        <f t="shared" si="38"/>
        <v>1.7979910626290119E-2</v>
      </c>
      <c r="V17" s="302">
        <f t="shared" si="38"/>
        <v>1.7979910626290119E-2</v>
      </c>
      <c r="W17" s="302">
        <f t="shared" si="38"/>
        <v>1.7979910626290119E-2</v>
      </c>
      <c r="X17" s="302">
        <f t="shared" si="38"/>
        <v>1.7979910626290119E-2</v>
      </c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7"/>
      <c r="AN17" s="302"/>
      <c r="AO17" s="302"/>
      <c r="AP17" s="302"/>
      <c r="AQ17" s="302"/>
      <c r="AR17" s="307"/>
      <c r="AS17" s="302"/>
      <c r="AT17" s="302"/>
      <c r="AU17" s="302"/>
      <c r="AV17" s="302"/>
      <c r="AW17" s="302"/>
      <c r="AX17" s="302"/>
      <c r="AY17" s="302"/>
      <c r="AZ17" s="302"/>
      <c r="BA17" s="302"/>
      <c r="BB17" s="308"/>
      <c r="BC17" s="290" t="s">
        <v>205</v>
      </c>
      <c r="BD17" s="309" t="s">
        <v>286</v>
      </c>
      <c r="BE17" s="310">
        <v>2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</row>
    <row r="18" spans="1:73" ht="30" customHeight="1" x14ac:dyDescent="0.25">
      <c r="A18" s="15"/>
      <c r="B18" s="5"/>
      <c r="C18" s="5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5"/>
      <c r="BN18" s="5"/>
      <c r="BO18" s="5"/>
      <c r="BP18" s="5"/>
      <c r="BQ18" s="5"/>
      <c r="BR18" s="5"/>
      <c r="BS18" s="5"/>
      <c r="BT18" s="5"/>
      <c r="BU18" s="5"/>
    </row>
    <row r="19" spans="1:73" ht="30" customHeight="1" x14ac:dyDescent="0.25">
      <c r="A19" s="15"/>
      <c r="B19" s="5"/>
      <c r="C19" s="5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5"/>
      <c r="BN19" s="5"/>
      <c r="BO19" s="5"/>
      <c r="BP19" s="5"/>
      <c r="BQ19" s="5"/>
      <c r="BR19" s="5"/>
      <c r="BS19" s="5"/>
      <c r="BT19" s="5"/>
      <c r="BU19" s="5"/>
    </row>
    <row r="20" spans="1:73" ht="30" customHeight="1" thickBot="1" x14ac:dyDescent="0.3">
      <c r="A20" s="1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168"/>
      <c r="N20" s="169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43"/>
      <c r="BD20" s="43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</row>
    <row r="21" spans="1:73" ht="30" customHeight="1" x14ac:dyDescent="0.25">
      <c r="A21" s="15"/>
      <c r="B21" s="5"/>
      <c r="C21" s="5"/>
      <c r="D21" s="10"/>
      <c r="E21" s="170"/>
      <c r="F21" s="35">
        <f t="shared" ref="F21:G21" si="39">G21-1</f>
        <v>2013</v>
      </c>
      <c r="G21" s="35">
        <f t="shared" si="39"/>
        <v>2014</v>
      </c>
      <c r="H21" s="35">
        <f>I21-1</f>
        <v>2015</v>
      </c>
      <c r="I21" s="35">
        <v>2016</v>
      </c>
      <c r="J21" s="35">
        <v>2017</v>
      </c>
      <c r="K21" s="35">
        <v>2018</v>
      </c>
      <c r="L21" s="35">
        <v>2019</v>
      </c>
      <c r="M21" s="35">
        <v>2020</v>
      </c>
      <c r="N21" s="35">
        <v>2021</v>
      </c>
      <c r="O21" s="35">
        <f>N21+1</f>
        <v>2022</v>
      </c>
      <c r="P21" s="70">
        <f t="shared" ref="P21:BA21" si="40">O21+1</f>
        <v>2023</v>
      </c>
      <c r="Q21" s="70">
        <f t="shared" si="40"/>
        <v>2024</v>
      </c>
      <c r="R21" s="70">
        <f t="shared" si="40"/>
        <v>2025</v>
      </c>
      <c r="S21" s="70">
        <f t="shared" si="40"/>
        <v>2026</v>
      </c>
      <c r="T21" s="70">
        <f t="shared" si="40"/>
        <v>2027</v>
      </c>
      <c r="U21" s="70">
        <f t="shared" si="40"/>
        <v>2028</v>
      </c>
      <c r="V21" s="70">
        <f t="shared" si="40"/>
        <v>2029</v>
      </c>
      <c r="W21" s="70">
        <f t="shared" si="40"/>
        <v>2030</v>
      </c>
      <c r="X21" s="70">
        <f t="shared" si="40"/>
        <v>2031</v>
      </c>
      <c r="Y21" s="70">
        <f t="shared" si="40"/>
        <v>2032</v>
      </c>
      <c r="Z21" s="70">
        <f t="shared" si="40"/>
        <v>2033</v>
      </c>
      <c r="AA21" s="70">
        <f t="shared" si="40"/>
        <v>2034</v>
      </c>
      <c r="AB21" s="70">
        <f t="shared" si="40"/>
        <v>2035</v>
      </c>
      <c r="AC21" s="70">
        <f t="shared" si="40"/>
        <v>2036</v>
      </c>
      <c r="AD21" s="70">
        <f t="shared" si="40"/>
        <v>2037</v>
      </c>
      <c r="AE21" s="70">
        <f t="shared" si="40"/>
        <v>2038</v>
      </c>
      <c r="AF21" s="70">
        <f t="shared" si="40"/>
        <v>2039</v>
      </c>
      <c r="AG21" s="70">
        <f t="shared" si="40"/>
        <v>2040</v>
      </c>
      <c r="AH21" s="70">
        <f t="shared" si="40"/>
        <v>2041</v>
      </c>
      <c r="AI21" s="70">
        <f t="shared" si="40"/>
        <v>2042</v>
      </c>
      <c r="AJ21" s="70">
        <f t="shared" si="40"/>
        <v>2043</v>
      </c>
      <c r="AK21" s="70">
        <f t="shared" si="40"/>
        <v>2044</v>
      </c>
      <c r="AL21" s="70">
        <f t="shared" si="40"/>
        <v>2045</v>
      </c>
      <c r="AM21" s="70">
        <f t="shared" si="40"/>
        <v>2046</v>
      </c>
      <c r="AN21" s="70">
        <f t="shared" si="40"/>
        <v>2047</v>
      </c>
      <c r="AO21" s="70">
        <f t="shared" si="40"/>
        <v>2048</v>
      </c>
      <c r="AP21" s="70">
        <f t="shared" si="40"/>
        <v>2049</v>
      </c>
      <c r="AQ21" s="70">
        <f t="shared" si="40"/>
        <v>2050</v>
      </c>
      <c r="AR21" s="70">
        <f t="shared" si="40"/>
        <v>2051</v>
      </c>
      <c r="AS21" s="70">
        <f t="shared" si="40"/>
        <v>2052</v>
      </c>
      <c r="AT21" s="70">
        <f t="shared" si="40"/>
        <v>2053</v>
      </c>
      <c r="AU21" s="70">
        <f t="shared" si="40"/>
        <v>2054</v>
      </c>
      <c r="AV21" s="70">
        <f t="shared" si="40"/>
        <v>2055</v>
      </c>
      <c r="AW21" s="70">
        <f t="shared" si="40"/>
        <v>2056</v>
      </c>
      <c r="AX21" s="70">
        <f t="shared" si="40"/>
        <v>2057</v>
      </c>
      <c r="AY21" s="70">
        <f t="shared" si="40"/>
        <v>2058</v>
      </c>
      <c r="AZ21" s="70">
        <f t="shared" si="40"/>
        <v>2059</v>
      </c>
      <c r="BA21" s="70">
        <f t="shared" si="40"/>
        <v>2060</v>
      </c>
      <c r="BB21" s="70" t="s">
        <v>373</v>
      </c>
      <c r="BC21" s="35" t="s">
        <v>66</v>
      </c>
      <c r="BD21" s="160" t="s">
        <v>67</v>
      </c>
      <c r="BE21" s="119" t="s">
        <v>301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</row>
    <row r="22" spans="1:73" ht="30" customHeight="1" x14ac:dyDescent="0.25">
      <c r="A22" s="15"/>
      <c r="B22" s="5"/>
      <c r="C22" s="5"/>
      <c r="D22" s="5"/>
      <c r="E22" s="171" t="s">
        <v>300</v>
      </c>
      <c r="F22" s="81">
        <f>'DRE + DCF'!F15</f>
        <v>6232919</v>
      </c>
      <c r="G22" s="81">
        <f>'DRE + DCF'!G15</f>
        <v>7391569</v>
      </c>
      <c r="H22" s="81">
        <f>'DRE + DCF'!H15</f>
        <v>8897849</v>
      </c>
      <c r="I22" s="81">
        <f>'DRE + DCF'!I15</f>
        <v>11256565</v>
      </c>
      <c r="J22" s="81">
        <f>'DRE + DCF'!J15</f>
        <v>13212505</v>
      </c>
      <c r="K22" s="81">
        <f>'DRE + DCF'!K15</f>
        <v>14801445</v>
      </c>
      <c r="L22" s="81">
        <f>'DRE + DCF'!L15</f>
        <v>17565600</v>
      </c>
      <c r="M22" s="81">
        <f>'DRE + DCF'!M15</f>
        <v>20066840</v>
      </c>
      <c r="N22" s="81">
        <f>'DRE + DCF'!N15</f>
        <v>24127002</v>
      </c>
      <c r="O22" s="81">
        <f>'DRE + DCF'!O15</f>
        <v>29067380</v>
      </c>
      <c r="P22" s="81">
        <f>SUMPRODUCT(P11:P15,'Projeções - Receita'!$I$70:$I$74)*'Projeções - Receita'!P23*(1+(P66-$O$66))</f>
        <v>33449540.665784445</v>
      </c>
      <c r="Q22" s="81">
        <f>SUMPRODUCT(Q11:Q15,'Projeções - Receita'!$I$70:$I$74)*'Projeções - Receita'!Q23*(1+(Q66-$O$66))</f>
        <v>37882634.275983587</v>
      </c>
      <c r="R22" s="81">
        <f>SUMPRODUCT(R11:R15,'Projeções - Receita'!$I$70:$I$74)*'Projeções - Receita'!R23*(1+(R66-$O$66))</f>
        <v>43302702.237692915</v>
      </c>
      <c r="S22" s="81">
        <f>SUMPRODUCT(S11:S15,'Projeções - Receita'!$I$70:$I$74)*'Projeções - Receita'!S23*(1+(S66-$O$66))</f>
        <v>49095678.766533151</v>
      </c>
      <c r="T22" s="81">
        <f>SUMPRODUCT(T11:T15,'Projeções - Receita'!$I$70:$I$74)*'Projeções - Receita'!T23*(1+(T66-$O$66))</f>
        <v>55616249.927139595</v>
      </c>
      <c r="U22" s="81">
        <f>SUMPRODUCT(U11:U15,'Projeções - Receita'!$I$70:$I$74)*'Projeções - Receita'!U23*(1+(U66-$O$66))</f>
        <v>62622076.867036581</v>
      </c>
      <c r="V22" s="81">
        <f>SUMPRODUCT(V11:V15,'Projeções - Receita'!$I$70:$I$74)*'Projeções - Receita'!V23*(1+(V66-$O$66))</f>
        <v>70543239.227367029</v>
      </c>
      <c r="W22" s="81">
        <f>SUMPRODUCT(W11:W15,'Projeções - Receita'!$I$70:$I$74)*'Projeções - Receita'!W23*(1+(W66-$O$66))</f>
        <v>79175286.450615838</v>
      </c>
      <c r="X22" s="81">
        <f>SUMPRODUCT(X11:X15,'Projeções - Receita'!$I$70:$I$74)*'Projeções - Receita'!X23*(1+(X66-$O$66))</f>
        <v>88024594.715783715</v>
      </c>
      <c r="Y22" s="81">
        <f>Y26*Y25*(1+(Y66-$O$66))</f>
        <v>96515903.006294683</v>
      </c>
      <c r="Z22" s="81">
        <f t="shared" ref="Z22:BA22" si="41">Z26*Z25*(1+(Z66-$O$66))</f>
        <v>105229410.75092967</v>
      </c>
      <c r="AA22" s="81">
        <f t="shared" si="41"/>
        <v>115484006.19638413</v>
      </c>
      <c r="AB22" s="81">
        <f t="shared" si="41"/>
        <v>126708626.92590399</v>
      </c>
      <c r="AC22" s="81">
        <f t="shared" si="41"/>
        <v>138978035.2842021</v>
      </c>
      <c r="AD22" s="81">
        <f t="shared" si="41"/>
        <v>152384888.5558975</v>
      </c>
      <c r="AE22" s="81">
        <f t="shared" si="41"/>
        <v>167032943.56563789</v>
      </c>
      <c r="AF22" s="81">
        <f t="shared" si="41"/>
        <v>183011373.31756106</v>
      </c>
      <c r="AG22" s="81">
        <f t="shared" si="41"/>
        <v>200421279.51887271</v>
      </c>
      <c r="AH22" s="81">
        <f t="shared" si="41"/>
        <v>219391576.99799493</v>
      </c>
      <c r="AI22" s="81">
        <f t="shared" si="41"/>
        <v>240036248.64602631</v>
      </c>
      <c r="AJ22" s="81">
        <f t="shared" si="41"/>
        <v>262508295.52498078</v>
      </c>
      <c r="AK22" s="81">
        <f t="shared" si="41"/>
        <v>286970754.04619551</v>
      </c>
      <c r="AL22" s="81">
        <f t="shared" si="41"/>
        <v>313596589.04336953</v>
      </c>
      <c r="AM22" s="81">
        <f t="shared" si="41"/>
        <v>342535043.00984174</v>
      </c>
      <c r="AN22" s="81">
        <f t="shared" si="41"/>
        <v>373967485.63559836</v>
      </c>
      <c r="AO22" s="81">
        <f t="shared" si="41"/>
        <v>408112424.96379852</v>
      </c>
      <c r="AP22" s="81">
        <f t="shared" si="41"/>
        <v>445147429.17705798</v>
      </c>
      <c r="AQ22" s="81">
        <f t="shared" si="41"/>
        <v>485268158.24792069</v>
      </c>
      <c r="AR22" s="81">
        <f t="shared" si="41"/>
        <v>528743673.94044143</v>
      </c>
      <c r="AS22" s="81">
        <f t="shared" si="41"/>
        <v>575781302.47490466</v>
      </c>
      <c r="AT22" s="81">
        <f t="shared" si="41"/>
        <v>626713669.18181598</v>
      </c>
      <c r="AU22" s="81">
        <f t="shared" si="41"/>
        <v>681926887.00046778</v>
      </c>
      <c r="AV22" s="81">
        <f t="shared" si="41"/>
        <v>741818630.69330072</v>
      </c>
      <c r="AW22" s="81">
        <f t="shared" si="41"/>
        <v>806646947.25034893</v>
      </c>
      <c r="AX22" s="81">
        <f t="shared" si="41"/>
        <v>876795213.05659604</v>
      </c>
      <c r="AY22" s="81">
        <f t="shared" si="41"/>
        <v>952742461.27905583</v>
      </c>
      <c r="AZ22" s="81">
        <f t="shared" si="41"/>
        <v>1034778816.7842865</v>
      </c>
      <c r="BA22" s="81">
        <f t="shared" si="41"/>
        <v>1123252365.8867648</v>
      </c>
      <c r="BB22" s="51">
        <f>(O22/F22)^(1/COUNT($G$9:$O$9))-1</f>
        <v>0.18659250430489949</v>
      </c>
      <c r="BC22" s="164"/>
      <c r="BD22" s="165"/>
      <c r="BE22" s="113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</row>
    <row r="23" spans="1:73" ht="45" customHeight="1" x14ac:dyDescent="0.25">
      <c r="A23" s="15"/>
      <c r="B23" s="5"/>
      <c r="C23" s="5"/>
      <c r="D23" s="5"/>
      <c r="E23" s="172" t="s">
        <v>115</v>
      </c>
      <c r="F23" s="81">
        <f>F22/SUMPRODUCT(F11:F15,'Projeções - Receita'!I$70:I$74)</f>
        <v>7285.7030976037404</v>
      </c>
      <c r="G23" s="81">
        <f>G22/SUMPRODUCT(G11:G15,'Projeções - Receita'!$I$70:$I$74)</f>
        <v>7631.9762519359838</v>
      </c>
      <c r="H23" s="81">
        <f>H22/SUMPRODUCT(H11:H15,'Projeções - Receita'!$I$70:$I$74)</f>
        <v>8152.0206323466091</v>
      </c>
      <c r="I23" s="81">
        <f>I22/SUMPRODUCT(I11:I15,'Projeções - Receita'!$I$70:$I$74)</f>
        <v>9079.0464898696591</v>
      </c>
      <c r="J23" s="81">
        <f>J22/SUMPRODUCT(J11:J15,'Projeções - Receita'!$I$70:$I$74)</f>
        <v>9374.8926810231678</v>
      </c>
      <c r="K23" s="81">
        <f>K22/SUMPRODUCT(K11:K15,'Projeções - Receita'!$I$70:$I$74)</f>
        <v>9245.3559114531272</v>
      </c>
      <c r="L23" s="81">
        <f>L22/SUMPRODUCT(L11:L15,'Projeções - Receita'!$I$70:$I$74)</f>
        <v>9669.8118400916028</v>
      </c>
      <c r="M23" s="81">
        <f>M22/SUMPRODUCT(M11:M15,'Projeções - Receita'!$I$70:$I$74)</f>
        <v>9798.500939964355</v>
      </c>
      <c r="N23" s="81">
        <f>N22/SUMPRODUCT(N11:N15,'Projeções - Receita'!$I$70:$I$74)</f>
        <v>10906.266014776957</v>
      </c>
      <c r="O23" s="81">
        <f>O22/SUMPRODUCT(O11:O15,'Projeções - Receita'!$I$70:$I$74)</f>
        <v>12048.62695448251</v>
      </c>
      <c r="P23" s="81">
        <f>O23*(1+$BB$23*P$58/$BB$59)</f>
        <v>12814.566070113457</v>
      </c>
      <c r="Q23" s="81">
        <f t="shared" ref="Q23:X23" si="42">P23*(1+$BB$23*Q$58/$BB$59)</f>
        <v>13460.496817492711</v>
      </c>
      <c r="R23" s="81">
        <f t="shared" si="42"/>
        <v>14351.374155031404</v>
      </c>
      <c r="S23" s="81">
        <f t="shared" si="42"/>
        <v>15259.335222643431</v>
      </c>
      <c r="T23" s="81">
        <f t="shared" si="42"/>
        <v>16291.024338978979</v>
      </c>
      <c r="U23" s="81">
        <f t="shared" si="42"/>
        <v>17361.806194531306</v>
      </c>
      <c r="V23" s="81">
        <f t="shared" si="42"/>
        <v>18581.686693364514</v>
      </c>
      <c r="W23" s="81">
        <f t="shared" si="42"/>
        <v>19880.920403082055</v>
      </c>
      <c r="X23" s="81">
        <f t="shared" si="42"/>
        <v>21133.236271282516</v>
      </c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51">
        <f>(O23/F23)^(1/COUNT($G$9:$O$9))-1</f>
        <v>5.7484498605196777E-2</v>
      </c>
      <c r="BC23" s="164" t="s">
        <v>374</v>
      </c>
      <c r="BD23" s="165" t="s">
        <v>287</v>
      </c>
      <c r="BE23" s="113">
        <v>3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</row>
    <row r="24" spans="1:73" ht="30" customHeight="1" x14ac:dyDescent="0.25">
      <c r="A24" s="15"/>
      <c r="B24" s="5"/>
      <c r="C24" s="5"/>
      <c r="D24" s="5"/>
      <c r="E24" s="172" t="s">
        <v>116</v>
      </c>
      <c r="F24" s="51" t="s">
        <v>118</v>
      </c>
      <c r="G24" s="51">
        <f>G23/F23-1</f>
        <v>4.7527760834247035E-2</v>
      </c>
      <c r="H24" s="51">
        <f t="shared" ref="H24:N24" si="43">H23/G23-1</f>
        <v>6.8140198979092403E-2</v>
      </c>
      <c r="I24" s="51">
        <f t="shared" si="43"/>
        <v>0.11371731001816654</v>
      </c>
      <c r="J24" s="51">
        <f t="shared" si="43"/>
        <v>3.2585601525844332E-2</v>
      </c>
      <c r="K24" s="51">
        <f t="shared" si="43"/>
        <v>-1.381741359367783E-2</v>
      </c>
      <c r="L24" s="51">
        <f t="shared" si="43"/>
        <v>4.5910177250467976E-2</v>
      </c>
      <c r="M24" s="51">
        <f t="shared" si="43"/>
        <v>1.3308335467211441E-2</v>
      </c>
      <c r="N24" s="51">
        <f t="shared" si="43"/>
        <v>0.11305454595553988</v>
      </c>
      <c r="O24" s="51">
        <f t="shared" ref="O24" si="44">O23/N23-1</f>
        <v>0.1047435426715031</v>
      </c>
      <c r="P24" s="51">
        <f t="shared" ref="P24" si="45">P23/O23-1</f>
        <v>6.3570655687533728E-2</v>
      </c>
      <c r="Q24" s="51">
        <f t="shared" ref="Q24" si="46">Q23/P23-1</f>
        <v>5.0405978934059625E-2</v>
      </c>
      <c r="R24" s="51">
        <f t="shared" ref="R24" si="47">R23/Q23-1</f>
        <v>6.6184580674685467E-2</v>
      </c>
      <c r="S24" s="51">
        <f t="shared" ref="S24" si="48">S23/R23-1</f>
        <v>6.326648987084682E-2</v>
      </c>
      <c r="T24" s="51">
        <f t="shared" ref="T24" si="49">T23/S23-1</f>
        <v>6.7610357940404819E-2</v>
      </c>
      <c r="U24" s="51">
        <f t="shared" ref="U24" si="50">U23/T23-1</f>
        <v>6.5728331949655328E-2</v>
      </c>
      <c r="V24" s="51">
        <f t="shared" ref="V24" si="51">V23/U23-1</f>
        <v>7.0262303654642366E-2</v>
      </c>
      <c r="W24" s="51">
        <f t="shared" ref="W24" si="52">W23/V23-1</f>
        <v>6.9920117110869873E-2</v>
      </c>
      <c r="X24" s="51">
        <f t="shared" ref="X24" si="53">X23/W23-1</f>
        <v>6.2990839599474491E-2</v>
      </c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164"/>
      <c r="BD24" s="165"/>
      <c r="BE24" s="113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</row>
    <row r="25" spans="1:73" ht="30" customHeight="1" x14ac:dyDescent="0.25">
      <c r="A25" s="15"/>
      <c r="B25" s="5"/>
      <c r="C25" s="5"/>
      <c r="D25" s="5"/>
      <c r="E25" s="172" t="s">
        <v>119</v>
      </c>
      <c r="F25" s="51">
        <v>9.4E-2</v>
      </c>
      <c r="G25" s="51">
        <v>9.7000000000000003E-2</v>
      </c>
      <c r="H25" s="51">
        <v>0.10299999999999999</v>
      </c>
      <c r="I25" s="51">
        <v>0.115</v>
      </c>
      <c r="J25" s="51">
        <v>0.12</v>
      </c>
      <c r="K25" s="51">
        <v>0.124</v>
      </c>
      <c r="L25" s="51">
        <v>0.13700000000000001</v>
      </c>
      <c r="M25" s="51">
        <v>0.13900000000000001</v>
      </c>
      <c r="N25" s="51">
        <v>0.14199999999999999</v>
      </c>
      <c r="O25" s="51">
        <f>15.1%</f>
        <v>0.151</v>
      </c>
      <c r="P25" s="51">
        <f t="shared" ref="P25:X25" si="54">P22/P26</f>
        <v>0.16019752413137051</v>
      </c>
      <c r="Q25" s="51">
        <f t="shared" si="54"/>
        <v>0.16444127647675413</v>
      </c>
      <c r="R25" s="51">
        <f t="shared" si="54"/>
        <v>0.17249116247237045</v>
      </c>
      <c r="S25" s="51">
        <f t="shared" si="54"/>
        <v>0.17673485487265447</v>
      </c>
      <c r="T25" s="51">
        <f t="shared" si="54"/>
        <v>0.18151157095376927</v>
      </c>
      <c r="U25" s="51">
        <f t="shared" si="54"/>
        <v>0.18456729127394081</v>
      </c>
      <c r="V25" s="51">
        <f t="shared" si="54"/>
        <v>0.18819119130719089</v>
      </c>
      <c r="W25" s="51">
        <f t="shared" si="54"/>
        <v>0.19042687463960128</v>
      </c>
      <c r="X25" s="51">
        <f t="shared" si="54"/>
        <v>0.19101779133461197</v>
      </c>
      <c r="Y25" s="51">
        <f t="shared" ref="Y25:BA25" si="55">X25</f>
        <v>0.19101779133461197</v>
      </c>
      <c r="Z25" s="51">
        <f t="shared" si="55"/>
        <v>0.19101779133461197</v>
      </c>
      <c r="AA25" s="51">
        <f t="shared" si="55"/>
        <v>0.19101779133461197</v>
      </c>
      <c r="AB25" s="51">
        <f t="shared" si="55"/>
        <v>0.19101779133461197</v>
      </c>
      <c r="AC25" s="51">
        <f t="shared" si="55"/>
        <v>0.19101779133461197</v>
      </c>
      <c r="AD25" s="51">
        <f t="shared" si="55"/>
        <v>0.19101779133461197</v>
      </c>
      <c r="AE25" s="51">
        <f t="shared" si="55"/>
        <v>0.19101779133461197</v>
      </c>
      <c r="AF25" s="51">
        <f t="shared" si="55"/>
        <v>0.19101779133461197</v>
      </c>
      <c r="AG25" s="51">
        <f t="shared" si="55"/>
        <v>0.19101779133461197</v>
      </c>
      <c r="AH25" s="51">
        <f t="shared" si="55"/>
        <v>0.19101779133461197</v>
      </c>
      <c r="AI25" s="51">
        <f t="shared" si="55"/>
        <v>0.19101779133461197</v>
      </c>
      <c r="AJ25" s="51">
        <f t="shared" si="55"/>
        <v>0.19101779133461197</v>
      </c>
      <c r="AK25" s="51">
        <f t="shared" si="55"/>
        <v>0.19101779133461197</v>
      </c>
      <c r="AL25" s="51">
        <f t="shared" si="55"/>
        <v>0.19101779133461197</v>
      </c>
      <c r="AM25" s="51">
        <f t="shared" si="55"/>
        <v>0.19101779133461197</v>
      </c>
      <c r="AN25" s="51">
        <f t="shared" si="55"/>
        <v>0.19101779133461197</v>
      </c>
      <c r="AO25" s="51">
        <f t="shared" si="55"/>
        <v>0.19101779133461197</v>
      </c>
      <c r="AP25" s="51">
        <f t="shared" si="55"/>
        <v>0.19101779133461197</v>
      </c>
      <c r="AQ25" s="51">
        <f t="shared" si="55"/>
        <v>0.19101779133461197</v>
      </c>
      <c r="AR25" s="51">
        <f t="shared" si="55"/>
        <v>0.19101779133461197</v>
      </c>
      <c r="AS25" s="51">
        <f t="shared" si="55"/>
        <v>0.19101779133461197</v>
      </c>
      <c r="AT25" s="51">
        <f t="shared" si="55"/>
        <v>0.19101779133461197</v>
      </c>
      <c r="AU25" s="51">
        <f t="shared" si="55"/>
        <v>0.19101779133461197</v>
      </c>
      <c r="AV25" s="51">
        <f t="shared" si="55"/>
        <v>0.19101779133461197</v>
      </c>
      <c r="AW25" s="51">
        <f t="shared" si="55"/>
        <v>0.19101779133461197</v>
      </c>
      <c r="AX25" s="51">
        <f t="shared" si="55"/>
        <v>0.19101779133461197</v>
      </c>
      <c r="AY25" s="51">
        <f t="shared" si="55"/>
        <v>0.19101779133461197</v>
      </c>
      <c r="AZ25" s="51">
        <f t="shared" si="55"/>
        <v>0.19101779133461197</v>
      </c>
      <c r="BA25" s="51">
        <f t="shared" si="55"/>
        <v>0.19101779133461197</v>
      </c>
      <c r="BB25" s="51"/>
      <c r="BC25" s="164" t="s">
        <v>282</v>
      </c>
      <c r="BD25" s="173" t="s">
        <v>288</v>
      </c>
      <c r="BE25" s="113">
        <v>3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</row>
    <row r="26" spans="1:73" ht="38.25" x14ac:dyDescent="0.25">
      <c r="A26" s="15"/>
      <c r="B26" s="5"/>
      <c r="C26" s="5"/>
      <c r="D26" s="5"/>
      <c r="E26" s="172" t="s">
        <v>120</v>
      </c>
      <c r="F26" s="81">
        <f t="shared" ref="F26:O26" si="56">F22/F25</f>
        <v>66307648.936170213</v>
      </c>
      <c r="G26" s="81">
        <f t="shared" si="56"/>
        <v>76201742.268041238</v>
      </c>
      <c r="H26" s="81">
        <f t="shared" si="56"/>
        <v>86386883.495145634</v>
      </c>
      <c r="I26" s="81">
        <f t="shared" si="56"/>
        <v>97883173.913043469</v>
      </c>
      <c r="J26" s="81">
        <f t="shared" si="56"/>
        <v>110104208.33333334</v>
      </c>
      <c r="K26" s="81">
        <f t="shared" si="56"/>
        <v>119366491.93548387</v>
      </c>
      <c r="L26" s="81">
        <f t="shared" si="56"/>
        <v>128216058.39416057</v>
      </c>
      <c r="M26" s="81">
        <f t="shared" si="56"/>
        <v>144365755.39568344</v>
      </c>
      <c r="N26" s="81">
        <f t="shared" si="56"/>
        <v>169908464.78873241</v>
      </c>
      <c r="O26" s="81">
        <f t="shared" si="56"/>
        <v>192499205.29801324</v>
      </c>
      <c r="P26" s="81">
        <f t="shared" ref="P26:BA26" si="57">P51*P56/1000</f>
        <v>208801857.87611824</v>
      </c>
      <c r="Q26" s="81">
        <f t="shared" si="57"/>
        <v>230371808.63369653</v>
      </c>
      <c r="R26" s="81">
        <f t="shared" si="57"/>
        <v>251043019.34673971</v>
      </c>
      <c r="S26" s="81">
        <f t="shared" si="57"/>
        <v>277792848.51258588</v>
      </c>
      <c r="T26" s="81">
        <f>T51*T56/1000</f>
        <v>306406085.49030173</v>
      </c>
      <c r="U26" s="81">
        <f t="shared" si="57"/>
        <v>339291303.64757234</v>
      </c>
      <c r="V26" s="81">
        <f t="shared" si="57"/>
        <v>374848784.03376967</v>
      </c>
      <c r="W26" s="81">
        <f t="shared" si="57"/>
        <v>415777902.14990222</v>
      </c>
      <c r="X26" s="81">
        <f t="shared" ref="X26" si="58">X51*X56/1000</f>
        <v>460818827.9257623</v>
      </c>
      <c r="Y26" s="81">
        <f t="shared" si="57"/>
        <v>507024506.29748535</v>
      </c>
      <c r="Z26" s="81">
        <f t="shared" si="57"/>
        <v>555163475.5026859</v>
      </c>
      <c r="AA26" s="81">
        <f t="shared" si="57"/>
        <v>609264100.09752822</v>
      </c>
      <c r="AB26" s="81">
        <f t="shared" si="57"/>
        <v>668482330.16202271</v>
      </c>
      <c r="AC26" s="81">
        <f t="shared" si="57"/>
        <v>733212592.7183423</v>
      </c>
      <c r="AD26" s="81">
        <f t="shared" si="57"/>
        <v>803943723.91783178</v>
      </c>
      <c r="AE26" s="81">
        <f>AE51*AE56/1000</f>
        <v>881223118.24809182</v>
      </c>
      <c r="AF26" s="81">
        <f t="shared" si="57"/>
        <v>965521229.68719661</v>
      </c>
      <c r="AG26" s="81">
        <f t="shared" si="57"/>
        <v>1057371445.0017449</v>
      </c>
      <c r="AH26" s="81">
        <f t="shared" si="57"/>
        <v>1157453885.8771091</v>
      </c>
      <c r="AI26" s="81">
        <f t="shared" si="57"/>
        <v>1266369896.9138012</v>
      </c>
      <c r="AJ26" s="81">
        <f t="shared" si="57"/>
        <v>1384926672.6094158</v>
      </c>
      <c r="AK26" s="81">
        <f t="shared" si="57"/>
        <v>1513984351.3996379</v>
      </c>
      <c r="AL26" s="81">
        <f t="shared" si="57"/>
        <v>1654455451.5389268</v>
      </c>
      <c r="AM26" s="81">
        <f t="shared" si="57"/>
        <v>1807127338.2772005</v>
      </c>
      <c r="AN26" s="81">
        <f t="shared" si="57"/>
        <v>1972956871.7424881</v>
      </c>
      <c r="AO26" s="81">
        <f t="shared" si="57"/>
        <v>2153096844.5219564</v>
      </c>
      <c r="AP26" s="81">
        <f t="shared" si="57"/>
        <v>2348484060.9623761</v>
      </c>
      <c r="AQ26" s="81">
        <f t="shared" si="57"/>
        <v>2560150773.0700936</v>
      </c>
      <c r="AR26" s="81">
        <f t="shared" si="57"/>
        <v>2789516481.9426785</v>
      </c>
      <c r="AS26" s="81">
        <f t="shared" si="57"/>
        <v>3037674987.7277756</v>
      </c>
      <c r="AT26" s="81">
        <f t="shared" si="57"/>
        <v>3306381136.6533155</v>
      </c>
      <c r="AU26" s="81">
        <f t="shared" si="57"/>
        <v>3597671961.9002748</v>
      </c>
      <c r="AV26" s="81">
        <f t="shared" si="57"/>
        <v>3913645493.8734689</v>
      </c>
      <c r="AW26" s="81">
        <f t="shared" si="57"/>
        <v>4255663122.5380034</v>
      </c>
      <c r="AX26" s="81">
        <f t="shared" si="57"/>
        <v>4625747443.7137566</v>
      </c>
      <c r="AY26" s="81">
        <f t="shared" si="57"/>
        <v>5026425713.9536524</v>
      </c>
      <c r="AZ26" s="81">
        <f t="shared" si="57"/>
        <v>5459228557.9005413</v>
      </c>
      <c r="BA26" s="81">
        <f t="shared" si="57"/>
        <v>5925992389.982111</v>
      </c>
      <c r="BB26" s="51">
        <f>(O26/F26)^(1/COUNT($G$9:$O$9))-1</f>
        <v>0.12571765948004954</v>
      </c>
      <c r="BC26" s="164" t="s">
        <v>289</v>
      </c>
      <c r="BD26" s="165" t="s">
        <v>290</v>
      </c>
      <c r="BE26" s="113">
        <v>3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</row>
    <row r="27" spans="1:73" ht="30" customHeight="1" thickBot="1" x14ac:dyDescent="0.3">
      <c r="A27" s="15"/>
      <c r="B27" s="5"/>
      <c r="C27" s="5"/>
      <c r="D27" s="5"/>
      <c r="E27" s="174" t="s">
        <v>295</v>
      </c>
      <c r="F27" s="311" t="s">
        <v>121</v>
      </c>
      <c r="G27" s="312">
        <f t="shared" ref="G27:AZ27" si="59">G26/F26-1</f>
        <v>0.14921496223452868</v>
      </c>
      <c r="H27" s="312">
        <f t="shared" si="59"/>
        <v>0.13366021463496125</v>
      </c>
      <c r="I27" s="312">
        <f t="shared" si="59"/>
        <v>0.13307911980114251</v>
      </c>
      <c r="J27" s="312">
        <f t="shared" si="59"/>
        <v>0.12485327080981956</v>
      </c>
      <c r="K27" s="312">
        <f t="shared" si="59"/>
        <v>8.4122884514182816E-2</v>
      </c>
      <c r="L27" s="312">
        <f t="shared" si="59"/>
        <v>7.4137777823442885E-2</v>
      </c>
      <c r="M27" s="312">
        <f t="shared" si="59"/>
        <v>0.12595689809677069</v>
      </c>
      <c r="N27" s="312">
        <f t="shared" si="59"/>
        <v>0.17693052845559176</v>
      </c>
      <c r="O27" s="312">
        <f t="shared" si="59"/>
        <v>0.1329582992664351</v>
      </c>
      <c r="P27" s="312">
        <f t="shared" si="59"/>
        <v>8.4689453927180747E-2</v>
      </c>
      <c r="Q27" s="312">
        <f t="shared" si="59"/>
        <v>0.10330344268476632</v>
      </c>
      <c r="R27" s="312">
        <f t="shared" si="59"/>
        <v>8.9729775685841506E-2</v>
      </c>
      <c r="S27" s="312">
        <f t="shared" si="59"/>
        <v>0.10655476195057778</v>
      </c>
      <c r="T27" s="315">
        <f t="shared" si="59"/>
        <v>0.10300206477928642</v>
      </c>
      <c r="U27" s="312">
        <f t="shared" si="59"/>
        <v>0.10732560387842383</v>
      </c>
      <c r="V27" s="312">
        <f t="shared" si="59"/>
        <v>0.1047992683689043</v>
      </c>
      <c r="W27" s="312">
        <f t="shared" si="59"/>
        <v>0.10918834436567182</v>
      </c>
      <c r="X27" s="312">
        <f t="shared" si="59"/>
        <v>0.10832929201615249</v>
      </c>
      <c r="Y27" s="312">
        <f t="shared" si="59"/>
        <v>0.10026864262405266</v>
      </c>
      <c r="Z27" s="312">
        <f t="shared" si="59"/>
        <v>9.4944068003206317E-2</v>
      </c>
      <c r="AA27" s="312">
        <f t="shared" si="59"/>
        <v>9.7449898961482706E-2</v>
      </c>
      <c r="AB27" s="312">
        <f t="shared" si="59"/>
        <v>9.719632267027567E-2</v>
      </c>
      <c r="AC27" s="312">
        <f t="shared" si="59"/>
        <v>9.6831673233054083E-2</v>
      </c>
      <c r="AD27" s="312">
        <f t="shared" si="59"/>
        <v>9.6467425548786512E-2</v>
      </c>
      <c r="AE27" s="315">
        <f t="shared" si="59"/>
        <v>9.6125377972548831E-2</v>
      </c>
      <c r="AF27" s="312">
        <f t="shared" si="59"/>
        <v>9.5660349454622651E-2</v>
      </c>
      <c r="AG27" s="312">
        <f t="shared" si="59"/>
        <v>9.5130187188432247E-2</v>
      </c>
      <c r="AH27" s="312">
        <f t="shared" si="59"/>
        <v>9.4652112413721401E-2</v>
      </c>
      <c r="AI27" s="312">
        <f t="shared" si="59"/>
        <v>9.4099654738431848E-2</v>
      </c>
      <c r="AJ27" s="312">
        <f t="shared" si="59"/>
        <v>9.3619388761958522E-2</v>
      </c>
      <c r="AK27" s="315">
        <f t="shared" si="59"/>
        <v>9.3187373268692753E-2</v>
      </c>
      <c r="AL27" s="312">
        <f t="shared" si="59"/>
        <v>9.2782398978844993E-2</v>
      </c>
      <c r="AM27" s="312">
        <f t="shared" si="59"/>
        <v>9.2279237011950066E-2</v>
      </c>
      <c r="AN27" s="312">
        <f t="shared" si="59"/>
        <v>9.1764166228252009E-2</v>
      </c>
      <c r="AO27" s="312">
        <f t="shared" si="59"/>
        <v>9.1304566946955656E-2</v>
      </c>
      <c r="AP27" s="312">
        <f t="shared" si="59"/>
        <v>9.0747063671351436E-2</v>
      </c>
      <c r="AQ27" s="312">
        <f t="shared" si="59"/>
        <v>9.0129081830335966E-2</v>
      </c>
      <c r="AR27" s="312">
        <f t="shared" si="59"/>
        <v>8.9590703518423132E-2</v>
      </c>
      <c r="AS27" s="312">
        <f t="shared" si="59"/>
        <v>8.896111831261666E-2</v>
      </c>
      <c r="AT27" s="315">
        <f t="shared" si="59"/>
        <v>8.8457833708712963E-2</v>
      </c>
      <c r="AU27" s="312">
        <f t="shared" si="59"/>
        <v>8.8099590823881968E-2</v>
      </c>
      <c r="AV27" s="312">
        <f t="shared" si="59"/>
        <v>8.7827221414122025E-2</v>
      </c>
      <c r="AW27" s="312">
        <f t="shared" si="59"/>
        <v>8.7391060125384001E-2</v>
      </c>
      <c r="AX27" s="312">
        <f t="shared" si="59"/>
        <v>8.6962785944165955E-2</v>
      </c>
      <c r="AY27" s="312">
        <f t="shared" si="59"/>
        <v>8.6619141039445458E-2</v>
      </c>
      <c r="AZ27" s="312">
        <f t="shared" si="59"/>
        <v>8.6105488985026346E-2</v>
      </c>
      <c r="BA27" s="312">
        <f>BA26/AZ26-1</f>
        <v>8.5499961602830021E-2</v>
      </c>
      <c r="BB27" s="312"/>
      <c r="BC27" s="313"/>
      <c r="BD27" s="314"/>
      <c r="BE27" s="261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</row>
    <row r="28" spans="1:73" ht="30" customHeight="1" x14ac:dyDescent="0.25">
      <c r="A28" s="15"/>
      <c r="B28" s="5"/>
      <c r="C28" s="5"/>
      <c r="D28" s="5"/>
      <c r="E28" s="5"/>
      <c r="F28" s="5"/>
      <c r="G28" s="168"/>
      <c r="H28" s="168"/>
      <c r="I28" s="168"/>
      <c r="J28" s="168"/>
      <c r="K28" s="168"/>
      <c r="L28" s="168"/>
      <c r="M28" s="168"/>
      <c r="N28" s="168"/>
      <c r="O28" s="168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</row>
    <row r="29" spans="1:73" ht="30" customHeight="1" x14ac:dyDescent="0.25">
      <c r="A29" s="15"/>
      <c r="B29" s="5"/>
      <c r="C29" s="5"/>
      <c r="D29" s="10"/>
      <c r="E29" s="10"/>
      <c r="F29" s="10"/>
      <c r="G29" s="168"/>
      <c r="H29" s="168"/>
      <c r="I29" s="168"/>
      <c r="J29" s="168"/>
      <c r="K29" s="168"/>
      <c r="L29" s="168"/>
      <c r="M29" s="168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</row>
    <row r="30" spans="1:73" ht="30" customHeight="1" x14ac:dyDescent="0.25">
      <c r="A30" s="15"/>
      <c r="B30" s="5"/>
      <c r="C30" s="5"/>
      <c r="D30" s="10"/>
      <c r="E30" s="10"/>
      <c r="F30" s="10"/>
      <c r="G30" s="168"/>
      <c r="H30" s="168"/>
      <c r="I30" s="168"/>
      <c r="J30" s="168"/>
      <c r="K30" s="168"/>
      <c r="L30" s="168"/>
      <c r="M30" s="168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</row>
    <row r="31" spans="1:73" ht="30" customHeight="1" x14ac:dyDescent="0.25">
      <c r="A31" s="15"/>
      <c r="B31" s="5"/>
      <c r="C31" s="5"/>
      <c r="D31" s="175"/>
      <c r="E31" s="34"/>
      <c r="F31" s="35">
        <f t="shared" ref="F31" si="60">G31-1</f>
        <v>2013</v>
      </c>
      <c r="G31" s="35">
        <f t="shared" ref="G31" si="61">H31-1</f>
        <v>2014</v>
      </c>
      <c r="H31" s="35">
        <f>I31-1</f>
        <v>2015</v>
      </c>
      <c r="I31" s="35">
        <v>2016</v>
      </c>
      <c r="J31" s="35">
        <v>2017</v>
      </c>
      <c r="K31" s="35">
        <v>2018</v>
      </c>
      <c r="L31" s="35">
        <v>2019</v>
      </c>
      <c r="M31" s="35">
        <v>2020</v>
      </c>
      <c r="N31" s="35">
        <v>2021</v>
      </c>
      <c r="O31" s="35">
        <f>N31+1</f>
        <v>2022</v>
      </c>
      <c r="P31" s="70">
        <f t="shared" ref="P31" si="62">O31+1</f>
        <v>2023</v>
      </c>
      <c r="Q31" s="70">
        <f t="shared" ref="Q31" si="63">P31+1</f>
        <v>2024</v>
      </c>
      <c r="R31" s="70">
        <f t="shared" ref="R31" si="64">Q31+1</f>
        <v>2025</v>
      </c>
      <c r="S31" s="70">
        <f t="shared" ref="S31" si="65">R31+1</f>
        <v>2026</v>
      </c>
      <c r="T31" s="70">
        <f t="shared" ref="T31" si="66">S31+1</f>
        <v>2027</v>
      </c>
      <c r="U31" s="70">
        <f t="shared" ref="U31" si="67">T31+1</f>
        <v>2028</v>
      </c>
      <c r="V31" s="70">
        <f t="shared" ref="V31" si="68">U31+1</f>
        <v>2029</v>
      </c>
      <c r="W31" s="70">
        <f t="shared" ref="W31" si="69">V31+1</f>
        <v>2030</v>
      </c>
      <c r="X31" s="70">
        <f t="shared" ref="X31" si="70">W31+1</f>
        <v>2031</v>
      </c>
      <c r="Y31" s="70">
        <f t="shared" ref="Y31" si="71">X31+1</f>
        <v>2032</v>
      </c>
      <c r="Z31" s="70">
        <f t="shared" ref="Z31" si="72">Y31+1</f>
        <v>2033</v>
      </c>
      <c r="AA31" s="70">
        <f t="shared" ref="AA31" si="73">Z31+1</f>
        <v>2034</v>
      </c>
      <c r="AB31" s="70">
        <f t="shared" ref="AB31" si="74">AA31+1</f>
        <v>2035</v>
      </c>
      <c r="AC31" s="70">
        <f t="shared" ref="AC31" si="75">AB31+1</f>
        <v>2036</v>
      </c>
      <c r="AD31" s="70">
        <f t="shared" ref="AD31" si="76">AC31+1</f>
        <v>2037</v>
      </c>
      <c r="AE31" s="70">
        <f t="shared" ref="AE31" si="77">AD31+1</f>
        <v>2038</v>
      </c>
      <c r="AF31" s="70">
        <f t="shared" ref="AF31" si="78">AE31+1</f>
        <v>2039</v>
      </c>
      <c r="AG31" s="70">
        <f t="shared" ref="AG31" si="79">AF31+1</f>
        <v>2040</v>
      </c>
      <c r="AH31" s="70">
        <f t="shared" ref="AH31" si="80">AG31+1</f>
        <v>2041</v>
      </c>
      <c r="AI31" s="70">
        <f t="shared" ref="AI31" si="81">AH31+1</f>
        <v>2042</v>
      </c>
      <c r="AJ31" s="70">
        <f t="shared" ref="AJ31" si="82">AI31+1</f>
        <v>2043</v>
      </c>
      <c r="AK31" s="70">
        <f t="shared" ref="AK31" si="83">AJ31+1</f>
        <v>2044</v>
      </c>
      <c r="AL31" s="70">
        <f t="shared" ref="AL31" si="84">AK31+1</f>
        <v>2045</v>
      </c>
      <c r="AM31" s="70">
        <f t="shared" ref="AM31" si="85">AL31+1</f>
        <v>2046</v>
      </c>
      <c r="AN31" s="70">
        <f t="shared" ref="AN31" si="86">AM31+1</f>
        <v>2047</v>
      </c>
      <c r="AO31" s="70">
        <f t="shared" ref="AO31" si="87">AN31+1</f>
        <v>2048</v>
      </c>
      <c r="AP31" s="70">
        <f t="shared" ref="AP31" si="88">AO31+1</f>
        <v>2049</v>
      </c>
      <c r="AQ31" s="70">
        <f t="shared" ref="AQ31" si="89">AP31+1</f>
        <v>2050</v>
      </c>
      <c r="AR31" s="70">
        <f t="shared" ref="AR31" si="90">AQ31+1</f>
        <v>2051</v>
      </c>
      <c r="AS31" s="70">
        <f t="shared" ref="AS31" si="91">AR31+1</f>
        <v>2052</v>
      </c>
      <c r="AT31" s="70">
        <f t="shared" ref="AT31" si="92">AS31+1</f>
        <v>2053</v>
      </c>
      <c r="AU31" s="70">
        <f t="shared" ref="AU31" si="93">AT31+1</f>
        <v>2054</v>
      </c>
      <c r="AV31" s="70">
        <f t="shared" ref="AV31" si="94">AU31+1</f>
        <v>2055</v>
      </c>
      <c r="AW31" s="70">
        <f t="shared" ref="AW31" si="95">AV31+1</f>
        <v>2056</v>
      </c>
      <c r="AX31" s="70">
        <f t="shared" ref="AX31" si="96">AW31+1</f>
        <v>2057</v>
      </c>
      <c r="AY31" s="70">
        <f t="shared" ref="AY31" si="97">AX31+1</f>
        <v>2058</v>
      </c>
      <c r="AZ31" s="70">
        <f t="shared" ref="AZ31" si="98">AY31+1</f>
        <v>2059</v>
      </c>
      <c r="BA31" s="70">
        <f t="shared" ref="BA31" si="99">AZ31+1</f>
        <v>2060</v>
      </c>
      <c r="BB31" s="70" t="s">
        <v>373</v>
      </c>
      <c r="BC31" s="35" t="s">
        <v>66</v>
      </c>
      <c r="BD31" s="119" t="s">
        <v>142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</row>
    <row r="32" spans="1:73" ht="30" customHeight="1" x14ac:dyDescent="0.25">
      <c r="A32" s="15"/>
      <c r="B32" s="5"/>
      <c r="C32" s="5"/>
      <c r="D32" s="5"/>
      <c r="E32" s="176" t="s">
        <v>123</v>
      </c>
      <c r="F32" s="81">
        <v>63668449</v>
      </c>
      <c r="G32" s="81">
        <v>63155784</v>
      </c>
      <c r="H32" s="81">
        <v>62676386</v>
      </c>
      <c r="I32" s="81">
        <v>62112859</v>
      </c>
      <c r="J32" s="81">
        <v>61500942</v>
      </c>
      <c r="K32" s="81">
        <v>60947256</v>
      </c>
      <c r="L32" s="81">
        <v>60429604</v>
      </c>
      <c r="M32" s="81">
        <v>59976963</v>
      </c>
      <c r="N32" s="81">
        <v>59569226</v>
      </c>
      <c r="O32" s="81">
        <v>59266403</v>
      </c>
      <c r="P32" s="81">
        <v>58989621</v>
      </c>
      <c r="Q32" s="81">
        <v>58717054</v>
      </c>
      <c r="R32" s="81">
        <v>58428570</v>
      </c>
      <c r="S32" s="81">
        <v>58150169</v>
      </c>
      <c r="T32" s="81">
        <v>57920778</v>
      </c>
      <c r="U32" s="81">
        <v>57686808</v>
      </c>
      <c r="V32" s="81">
        <v>57445508</v>
      </c>
      <c r="W32" s="81">
        <v>57221126</v>
      </c>
      <c r="X32" s="81">
        <v>56962970</v>
      </c>
      <c r="Y32" s="81">
        <v>56668546</v>
      </c>
      <c r="Z32" s="81">
        <v>56356837</v>
      </c>
      <c r="AA32" s="81">
        <v>55982588</v>
      </c>
      <c r="AB32" s="81">
        <v>55525986</v>
      </c>
      <c r="AC32" s="81">
        <v>55108663</v>
      </c>
      <c r="AD32" s="81">
        <v>54692729</v>
      </c>
      <c r="AE32" s="81">
        <v>54204578</v>
      </c>
      <c r="AF32" s="81">
        <v>53714348</v>
      </c>
      <c r="AG32" s="81">
        <v>53224403</v>
      </c>
      <c r="AH32" s="81">
        <v>52737405</v>
      </c>
      <c r="AI32" s="81">
        <v>52257663</v>
      </c>
      <c r="AJ32" s="81">
        <v>51789288</v>
      </c>
      <c r="AK32" s="81">
        <v>51333515</v>
      </c>
      <c r="AL32" s="81">
        <v>50891236</v>
      </c>
      <c r="AM32" s="81">
        <v>50462987</v>
      </c>
      <c r="AN32" s="81">
        <v>50049337</v>
      </c>
      <c r="AO32" s="81">
        <v>49650769</v>
      </c>
      <c r="AP32" s="81">
        <v>49265966</v>
      </c>
      <c r="AQ32" s="81">
        <v>48892595</v>
      </c>
      <c r="AR32" s="81">
        <v>48529931</v>
      </c>
      <c r="AS32" s="81">
        <v>48178255</v>
      </c>
      <c r="AT32" s="81">
        <v>47835734</v>
      </c>
      <c r="AU32" s="81">
        <v>47499658</v>
      </c>
      <c r="AV32" s="81">
        <v>47167612</v>
      </c>
      <c r="AW32" s="81">
        <v>46838636</v>
      </c>
      <c r="AX32" s="81">
        <v>46512574</v>
      </c>
      <c r="AY32" s="81">
        <v>46187580</v>
      </c>
      <c r="AZ32" s="81">
        <v>45862027</v>
      </c>
      <c r="BA32" s="81">
        <v>45534890</v>
      </c>
      <c r="BB32" s="51">
        <f t="shared" ref="BB32:BB39" si="100">(O32/F32)^(1/COUNT($G$9:$O$9))-1</f>
        <v>-7.9291248981865348E-3</v>
      </c>
      <c r="BC32" s="164" t="s">
        <v>136</v>
      </c>
      <c r="BD32" s="166" t="s">
        <v>143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</row>
    <row r="33" spans="1:68" s="2" customFormat="1" ht="30" customHeight="1" x14ac:dyDescent="0.25">
      <c r="A33" s="177"/>
      <c r="B33" s="178"/>
      <c r="C33" s="178"/>
      <c r="D33" s="178"/>
      <c r="E33" s="179" t="s">
        <v>97</v>
      </c>
      <c r="F33" s="81">
        <v>34632096</v>
      </c>
      <c r="G33" s="81">
        <v>34516131</v>
      </c>
      <c r="H33" s="81">
        <v>34432620</v>
      </c>
      <c r="I33" s="81">
        <v>34379203</v>
      </c>
      <c r="J33" s="81">
        <v>34365199</v>
      </c>
      <c r="K33" s="81">
        <v>34363373</v>
      </c>
      <c r="L33" s="81">
        <v>34324757</v>
      </c>
      <c r="M33" s="81">
        <v>34219132</v>
      </c>
      <c r="N33" s="81">
        <v>34069012</v>
      </c>
      <c r="O33" s="81">
        <v>33819144</v>
      </c>
      <c r="P33" s="81">
        <v>33529754</v>
      </c>
      <c r="Q33" s="81">
        <v>33195956</v>
      </c>
      <c r="R33" s="81">
        <v>32823772</v>
      </c>
      <c r="S33" s="81">
        <v>32391171</v>
      </c>
      <c r="T33" s="81">
        <v>31855371</v>
      </c>
      <c r="U33" s="81">
        <v>31300728</v>
      </c>
      <c r="V33" s="81">
        <v>30778269</v>
      </c>
      <c r="W33" s="81">
        <v>30295466</v>
      </c>
      <c r="X33" s="81">
        <v>29885083</v>
      </c>
      <c r="Y33" s="81">
        <v>29611803</v>
      </c>
      <c r="Z33" s="81">
        <v>29382523</v>
      </c>
      <c r="AA33" s="81">
        <v>29222922</v>
      </c>
      <c r="AB33" s="81">
        <v>29134898</v>
      </c>
      <c r="AC33" s="81">
        <v>29023585</v>
      </c>
      <c r="AD33" s="81">
        <v>28965811</v>
      </c>
      <c r="AE33" s="81">
        <v>28983683</v>
      </c>
      <c r="AF33" s="81">
        <v>29004640</v>
      </c>
      <c r="AG33" s="81">
        <v>29049807</v>
      </c>
      <c r="AH33" s="81">
        <v>29066935</v>
      </c>
      <c r="AI33" s="81">
        <v>29050739</v>
      </c>
      <c r="AJ33" s="81">
        <v>29016159</v>
      </c>
      <c r="AK33" s="81">
        <v>28916143</v>
      </c>
      <c r="AL33" s="81">
        <v>28728907</v>
      </c>
      <c r="AM33" s="81">
        <v>28573969</v>
      </c>
      <c r="AN33" s="81">
        <v>28413370</v>
      </c>
      <c r="AO33" s="81">
        <v>28172729</v>
      </c>
      <c r="AP33" s="81">
        <v>27921097</v>
      </c>
      <c r="AQ33" s="81">
        <v>27661367</v>
      </c>
      <c r="AR33" s="81">
        <v>27395712</v>
      </c>
      <c r="AS33" s="81">
        <v>27126918</v>
      </c>
      <c r="AT33" s="81">
        <v>26858786</v>
      </c>
      <c r="AU33" s="81">
        <v>26593791</v>
      </c>
      <c r="AV33" s="81">
        <v>26334064</v>
      </c>
      <c r="AW33" s="81">
        <v>26080578</v>
      </c>
      <c r="AX33" s="81">
        <v>25833790</v>
      </c>
      <c r="AY33" s="81">
        <v>25595279</v>
      </c>
      <c r="AZ33" s="81">
        <v>25365447</v>
      </c>
      <c r="BA33" s="81">
        <v>25143734</v>
      </c>
      <c r="BB33" s="51">
        <f t="shared" si="100"/>
        <v>-2.6358366723340243E-3</v>
      </c>
      <c r="BC33" s="164" t="s">
        <v>137</v>
      </c>
      <c r="BD33" s="166" t="s">
        <v>143</v>
      </c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</row>
    <row r="34" spans="1:68" ht="30" customHeight="1" x14ac:dyDescent="0.25">
      <c r="A34" s="15"/>
      <c r="B34" s="5"/>
      <c r="C34" s="5"/>
      <c r="D34" s="5"/>
      <c r="E34" s="180" t="s">
        <v>98</v>
      </c>
      <c r="F34" s="181">
        <v>31889434</v>
      </c>
      <c r="G34" s="181">
        <v>32470602</v>
      </c>
      <c r="H34" s="181">
        <v>32966477</v>
      </c>
      <c r="I34" s="181">
        <v>33379591</v>
      </c>
      <c r="J34" s="181">
        <v>33709762</v>
      </c>
      <c r="K34" s="181">
        <v>33958624</v>
      </c>
      <c r="L34" s="181">
        <v>34130660</v>
      </c>
      <c r="M34" s="181">
        <v>34231961</v>
      </c>
      <c r="N34" s="181">
        <v>34259369</v>
      </c>
      <c r="O34" s="181">
        <v>34206034</v>
      </c>
      <c r="P34" s="181">
        <v>34103867</v>
      </c>
      <c r="Q34" s="181">
        <v>34002064</v>
      </c>
      <c r="R34" s="181">
        <v>33931127</v>
      </c>
      <c r="S34" s="181">
        <v>33888592</v>
      </c>
      <c r="T34" s="181">
        <v>33881086</v>
      </c>
      <c r="U34" s="181">
        <v>33881881</v>
      </c>
      <c r="V34" s="181">
        <v>33846336</v>
      </c>
      <c r="W34" s="181">
        <v>33745687</v>
      </c>
      <c r="X34" s="181">
        <v>33602329</v>
      </c>
      <c r="Y34" s="181">
        <v>33361487</v>
      </c>
      <c r="Z34" s="181">
        <v>33082558</v>
      </c>
      <c r="AA34" s="181">
        <v>32760222</v>
      </c>
      <c r="AB34" s="181">
        <v>32399687</v>
      </c>
      <c r="AC34" s="181">
        <v>31979112</v>
      </c>
      <c r="AD34" s="181">
        <v>31456354</v>
      </c>
      <c r="AE34" s="181">
        <v>30914742</v>
      </c>
      <c r="AF34" s="181">
        <v>30404718</v>
      </c>
      <c r="AG34" s="181">
        <v>29933581</v>
      </c>
      <c r="AH34" s="181">
        <v>29533714</v>
      </c>
      <c r="AI34" s="181">
        <v>29269203</v>
      </c>
      <c r="AJ34" s="181">
        <v>29048194</v>
      </c>
      <c r="AK34" s="181">
        <v>28895868</v>
      </c>
      <c r="AL34" s="181">
        <v>28814233</v>
      </c>
      <c r="AM34" s="181">
        <v>28709421</v>
      </c>
      <c r="AN34" s="181">
        <v>28657232</v>
      </c>
      <c r="AO34" s="181">
        <v>28679614</v>
      </c>
      <c r="AP34" s="181">
        <v>28704731</v>
      </c>
      <c r="AQ34" s="181">
        <v>28753330</v>
      </c>
      <c r="AR34" s="181">
        <v>28773938</v>
      </c>
      <c r="AS34" s="181">
        <v>28761197</v>
      </c>
      <c r="AT34" s="181">
        <v>28730003</v>
      </c>
      <c r="AU34" s="181">
        <v>28633830</v>
      </c>
      <c r="AV34" s="181">
        <v>28451267</v>
      </c>
      <c r="AW34" s="181">
        <v>28300388</v>
      </c>
      <c r="AX34" s="181">
        <v>28143755</v>
      </c>
      <c r="AY34" s="181">
        <v>27907856</v>
      </c>
      <c r="AZ34" s="181">
        <v>27660951</v>
      </c>
      <c r="BA34" s="181">
        <v>27405885</v>
      </c>
      <c r="BB34" s="51">
        <f t="shared" si="100"/>
        <v>7.8223614848500489E-3</v>
      </c>
      <c r="BC34" s="164" t="s">
        <v>138</v>
      </c>
      <c r="BD34" s="166" t="s">
        <v>143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</row>
    <row r="35" spans="1:68" ht="30" customHeight="1" x14ac:dyDescent="0.25">
      <c r="A35" s="15"/>
      <c r="B35" s="5"/>
      <c r="C35" s="5"/>
      <c r="D35" s="5"/>
      <c r="E35" s="179" t="s">
        <v>99</v>
      </c>
      <c r="F35" s="81">
        <v>26135110</v>
      </c>
      <c r="G35" s="81">
        <v>26452554</v>
      </c>
      <c r="H35" s="81">
        <v>26817881</v>
      </c>
      <c r="I35" s="81">
        <v>27225236</v>
      </c>
      <c r="J35" s="81">
        <v>27671879</v>
      </c>
      <c r="K35" s="81">
        <v>28160322</v>
      </c>
      <c r="L35" s="81">
        <v>28689589</v>
      </c>
      <c r="M35" s="81">
        <v>29255478</v>
      </c>
      <c r="N35" s="81">
        <v>29854837</v>
      </c>
      <c r="O35" s="81">
        <v>30488714</v>
      </c>
      <c r="P35" s="81">
        <v>31122631</v>
      </c>
      <c r="Q35" s="81">
        <v>31706146</v>
      </c>
      <c r="R35" s="81">
        <v>32206017</v>
      </c>
      <c r="S35" s="81">
        <v>32624401</v>
      </c>
      <c r="T35" s="81">
        <v>32959248</v>
      </c>
      <c r="U35" s="81">
        <v>33211598</v>
      </c>
      <c r="V35" s="81">
        <v>33388260</v>
      </c>
      <c r="W35" s="81">
        <v>33496182</v>
      </c>
      <c r="X35" s="81">
        <v>33532266</v>
      </c>
      <c r="Y35" s="81">
        <v>33489793</v>
      </c>
      <c r="Z35" s="81">
        <v>33400099</v>
      </c>
      <c r="AA35" s="81">
        <v>33311028</v>
      </c>
      <c r="AB35" s="81">
        <v>33251938</v>
      </c>
      <c r="AC35" s="81">
        <v>33220328</v>
      </c>
      <c r="AD35" s="81">
        <v>33222747</v>
      </c>
      <c r="AE35" s="81">
        <v>33232808</v>
      </c>
      <c r="AF35" s="81">
        <v>33206427</v>
      </c>
      <c r="AG35" s="81">
        <v>33115349</v>
      </c>
      <c r="AH35" s="81">
        <v>32981719</v>
      </c>
      <c r="AI35" s="81">
        <v>32751280</v>
      </c>
      <c r="AJ35" s="81">
        <v>32482719</v>
      </c>
      <c r="AK35" s="81">
        <v>32171354</v>
      </c>
      <c r="AL35" s="81">
        <v>31822586</v>
      </c>
      <c r="AM35" s="81">
        <v>31414749</v>
      </c>
      <c r="AN35" s="81">
        <v>30906579</v>
      </c>
      <c r="AO35" s="81">
        <v>30380075</v>
      </c>
      <c r="AP35" s="81">
        <v>29884643</v>
      </c>
      <c r="AQ35" s="81">
        <v>29427199</v>
      </c>
      <c r="AR35" s="81">
        <v>29039549</v>
      </c>
      <c r="AS35" s="81">
        <v>28784685</v>
      </c>
      <c r="AT35" s="81">
        <v>28572603</v>
      </c>
      <c r="AU35" s="81">
        <v>28428159</v>
      </c>
      <c r="AV35" s="81">
        <v>28353434</v>
      </c>
      <c r="AW35" s="81">
        <v>28255573</v>
      </c>
      <c r="AX35" s="81">
        <v>28208896</v>
      </c>
      <c r="AY35" s="81">
        <v>28235539</v>
      </c>
      <c r="AZ35" s="81">
        <v>28264372</v>
      </c>
      <c r="BA35" s="81">
        <v>28315644</v>
      </c>
      <c r="BB35" s="51">
        <f t="shared" si="100"/>
        <v>1.7267043621645772E-2</v>
      </c>
      <c r="BC35" s="164" t="s">
        <v>139</v>
      </c>
      <c r="BD35" s="166" t="s">
        <v>143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</row>
    <row r="36" spans="1:68" ht="30" customHeight="1" x14ac:dyDescent="0.25">
      <c r="A36" s="15"/>
      <c r="B36" s="5"/>
      <c r="C36" s="5"/>
      <c r="D36" s="5"/>
      <c r="E36" s="179" t="s">
        <v>100</v>
      </c>
      <c r="F36" s="81">
        <v>20431139</v>
      </c>
      <c r="G36" s="81">
        <v>20999638</v>
      </c>
      <c r="H36" s="81">
        <v>21543967</v>
      </c>
      <c r="I36" s="81">
        <v>22065249</v>
      </c>
      <c r="J36" s="81">
        <v>22566087</v>
      </c>
      <c r="K36" s="81">
        <v>23040023</v>
      </c>
      <c r="L36" s="81">
        <v>23477440</v>
      </c>
      <c r="M36" s="81">
        <v>23875081</v>
      </c>
      <c r="N36" s="81">
        <v>24234960</v>
      </c>
      <c r="O36" s="81">
        <v>24554480</v>
      </c>
      <c r="P36" s="81">
        <v>24858410</v>
      </c>
      <c r="Q36" s="81">
        <v>25184028</v>
      </c>
      <c r="R36" s="81">
        <v>25555533</v>
      </c>
      <c r="S36" s="81">
        <v>25967200</v>
      </c>
      <c r="T36" s="81">
        <v>26415495</v>
      </c>
      <c r="U36" s="81">
        <v>26902321</v>
      </c>
      <c r="V36" s="81">
        <v>27427457</v>
      </c>
      <c r="W36" s="81">
        <v>27987154</v>
      </c>
      <c r="X36" s="81">
        <v>28578374</v>
      </c>
      <c r="Y36" s="81">
        <v>29202067</v>
      </c>
      <c r="Z36" s="81">
        <v>29825362</v>
      </c>
      <c r="AA36" s="81">
        <v>30399863</v>
      </c>
      <c r="AB36" s="81">
        <v>30893619</v>
      </c>
      <c r="AC36" s="81">
        <v>31308739</v>
      </c>
      <c r="AD36" s="81">
        <v>31643337</v>
      </c>
      <c r="AE36" s="81">
        <v>31898364</v>
      </c>
      <c r="AF36" s="81">
        <v>32080322</v>
      </c>
      <c r="AG36" s="81">
        <v>32195833</v>
      </c>
      <c r="AH36" s="81">
        <v>32241985</v>
      </c>
      <c r="AI36" s="81">
        <v>32212227</v>
      </c>
      <c r="AJ36" s="81">
        <v>32136945</v>
      </c>
      <c r="AK36" s="81">
        <v>32062295</v>
      </c>
      <c r="AL36" s="81">
        <v>32016505</v>
      </c>
      <c r="AM36" s="81">
        <v>31997056</v>
      </c>
      <c r="AN36" s="81">
        <v>32010164</v>
      </c>
      <c r="AO36" s="81">
        <v>32030082</v>
      </c>
      <c r="AP36" s="81">
        <v>32013579</v>
      </c>
      <c r="AQ36" s="81">
        <v>31933140</v>
      </c>
      <c r="AR36" s="81">
        <v>31810624</v>
      </c>
      <c r="AS36" s="81">
        <v>31592658</v>
      </c>
      <c r="AT36" s="81">
        <v>31337074</v>
      </c>
      <c r="AU36" s="81">
        <v>31040310</v>
      </c>
      <c r="AV36" s="81">
        <v>30708167</v>
      </c>
      <c r="AW36" s="81">
        <v>30319445</v>
      </c>
      <c r="AX36" s="81">
        <v>29834288</v>
      </c>
      <c r="AY36" s="81">
        <v>29332299</v>
      </c>
      <c r="AZ36" s="81">
        <v>28860643</v>
      </c>
      <c r="BA36" s="81">
        <v>28425248</v>
      </c>
      <c r="BB36" s="51">
        <f t="shared" si="100"/>
        <v>2.0636056945533943E-2</v>
      </c>
      <c r="BC36" s="164" t="s">
        <v>140</v>
      </c>
      <c r="BD36" s="166" t="s">
        <v>143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ht="30" customHeight="1" x14ac:dyDescent="0.25">
      <c r="A37" s="15"/>
      <c r="B37" s="5"/>
      <c r="C37" s="5"/>
      <c r="D37" s="5"/>
      <c r="E37" s="179" t="s">
        <v>101</v>
      </c>
      <c r="F37" s="81">
        <v>12945225</v>
      </c>
      <c r="G37" s="81">
        <v>13467240</v>
      </c>
      <c r="H37" s="81">
        <v>13997470</v>
      </c>
      <c r="I37" s="81">
        <v>14534648</v>
      </c>
      <c r="J37" s="81">
        <v>15075632</v>
      </c>
      <c r="K37" s="81">
        <v>15621201</v>
      </c>
      <c r="L37" s="81">
        <v>16173590</v>
      </c>
      <c r="M37" s="81">
        <v>16732972</v>
      </c>
      <c r="N37" s="81">
        <v>17295908</v>
      </c>
      <c r="O37" s="81">
        <v>17860444</v>
      </c>
      <c r="P37" s="81">
        <v>18419294</v>
      </c>
      <c r="Q37" s="81">
        <v>18962399</v>
      </c>
      <c r="R37" s="81">
        <v>19483118</v>
      </c>
      <c r="S37" s="81">
        <v>19982459</v>
      </c>
      <c r="T37" s="81">
        <v>20462533</v>
      </c>
      <c r="U37" s="81">
        <v>20917236</v>
      </c>
      <c r="V37" s="81">
        <v>21338214</v>
      </c>
      <c r="W37" s="81">
        <v>21722494</v>
      </c>
      <c r="X37" s="81">
        <v>22072181</v>
      </c>
      <c r="Y37" s="81">
        <v>22384973</v>
      </c>
      <c r="Z37" s="81">
        <v>22683935</v>
      </c>
      <c r="AA37" s="81">
        <v>23003541</v>
      </c>
      <c r="AB37" s="81">
        <v>23366030</v>
      </c>
      <c r="AC37" s="81">
        <v>23766050</v>
      </c>
      <c r="AD37" s="81">
        <v>24200406</v>
      </c>
      <c r="AE37" s="81">
        <v>24670327</v>
      </c>
      <c r="AF37" s="81">
        <v>25174730</v>
      </c>
      <c r="AG37" s="81">
        <v>25709553</v>
      </c>
      <c r="AH37" s="81">
        <v>26271781</v>
      </c>
      <c r="AI37" s="81">
        <v>26862098</v>
      </c>
      <c r="AJ37" s="81">
        <v>27450279</v>
      </c>
      <c r="AK37" s="81">
        <v>27992225</v>
      </c>
      <c r="AL37" s="81">
        <v>28459010</v>
      </c>
      <c r="AM37" s="81">
        <v>28852689</v>
      </c>
      <c r="AN37" s="81">
        <v>29171691</v>
      </c>
      <c r="AO37" s="81">
        <v>29417024</v>
      </c>
      <c r="AP37" s="81">
        <v>29594679</v>
      </c>
      <c r="AQ37" s="81">
        <v>29710802</v>
      </c>
      <c r="AR37" s="81">
        <v>29762867</v>
      </c>
      <c r="AS37" s="81">
        <v>29744806</v>
      </c>
      <c r="AT37" s="81">
        <v>29685073</v>
      </c>
      <c r="AU37" s="81">
        <v>29626640</v>
      </c>
      <c r="AV37" s="81">
        <v>29595494</v>
      </c>
      <c r="AW37" s="81">
        <v>29589014</v>
      </c>
      <c r="AX37" s="81">
        <v>29612798</v>
      </c>
      <c r="AY37" s="81">
        <v>29642107</v>
      </c>
      <c r="AZ37" s="81">
        <v>29635759</v>
      </c>
      <c r="BA37" s="81">
        <v>29567496</v>
      </c>
      <c r="BB37" s="51">
        <f t="shared" si="100"/>
        <v>3.6409547997436897E-2</v>
      </c>
      <c r="BC37" s="164" t="s">
        <v>141</v>
      </c>
      <c r="BD37" s="166" t="s">
        <v>143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ht="30" customHeight="1" x14ac:dyDescent="0.25">
      <c r="A38" s="15"/>
      <c r="B38" s="5"/>
      <c r="C38" s="5"/>
      <c r="D38" s="5"/>
      <c r="E38" s="182" t="s">
        <v>102</v>
      </c>
      <c r="F38" s="81">
        <v>10302735</v>
      </c>
      <c r="G38" s="81">
        <v>10655592</v>
      </c>
      <c r="H38" s="81">
        <v>11040882</v>
      </c>
      <c r="I38" s="81">
        <v>11459801</v>
      </c>
      <c r="J38" s="81">
        <v>11915240</v>
      </c>
      <c r="K38" s="81">
        <v>12404101</v>
      </c>
      <c r="L38" s="81">
        <v>12921485</v>
      </c>
      <c r="M38" s="81">
        <v>13464105</v>
      </c>
      <c r="N38" s="81">
        <v>14034327</v>
      </c>
      <c r="O38" s="81">
        <v>14633321</v>
      </c>
      <c r="P38" s="81">
        <v>15260692</v>
      </c>
      <c r="Q38" s="81">
        <v>15916815</v>
      </c>
      <c r="R38" s="81">
        <v>16600956</v>
      </c>
      <c r="S38" s="81">
        <v>17312538</v>
      </c>
      <c r="T38" s="81">
        <v>18050723</v>
      </c>
      <c r="U38" s="81">
        <v>18813097</v>
      </c>
      <c r="V38" s="81">
        <v>19597261</v>
      </c>
      <c r="W38" s="81">
        <v>20400353</v>
      </c>
      <c r="X38" s="81">
        <v>21221212</v>
      </c>
      <c r="Y38" s="81">
        <v>22059133</v>
      </c>
      <c r="Z38" s="81">
        <v>22907267</v>
      </c>
      <c r="AA38" s="81">
        <v>23756958</v>
      </c>
      <c r="AB38" s="81">
        <v>24601527</v>
      </c>
      <c r="AC38" s="81">
        <v>25441355</v>
      </c>
      <c r="AD38" s="81">
        <v>26277678</v>
      </c>
      <c r="AE38" s="81">
        <v>27103369</v>
      </c>
      <c r="AF38" s="81">
        <v>27909465</v>
      </c>
      <c r="AG38" s="81">
        <v>28691396</v>
      </c>
      <c r="AH38" s="81">
        <v>29450694</v>
      </c>
      <c r="AI38" s="81">
        <v>30185370</v>
      </c>
      <c r="AJ38" s="81">
        <v>30910481</v>
      </c>
      <c r="AK38" s="81">
        <v>31649596</v>
      </c>
      <c r="AL38" s="81">
        <v>32417148</v>
      </c>
      <c r="AM38" s="81">
        <v>33209386</v>
      </c>
      <c r="AN38" s="81">
        <v>34025297</v>
      </c>
      <c r="AO38" s="81">
        <v>34860189</v>
      </c>
      <c r="AP38" s="81">
        <v>35705769</v>
      </c>
      <c r="AQ38" s="81">
        <v>36554843</v>
      </c>
      <c r="AR38" s="81">
        <v>37406548</v>
      </c>
      <c r="AS38" s="81">
        <v>38260348</v>
      </c>
      <c r="AT38" s="81">
        <v>39103175</v>
      </c>
      <c r="AU38" s="81">
        <v>39917244</v>
      </c>
      <c r="AV38" s="81">
        <v>40690285</v>
      </c>
      <c r="AW38" s="81">
        <v>41421589</v>
      </c>
      <c r="AX38" s="81">
        <v>42109584</v>
      </c>
      <c r="AY38" s="81">
        <v>42751626</v>
      </c>
      <c r="AZ38" s="81">
        <v>43346342</v>
      </c>
      <c r="BA38" s="81">
        <v>43893450</v>
      </c>
      <c r="BB38" s="51">
        <f t="shared" si="100"/>
        <v>3.975798275191611E-2</v>
      </c>
      <c r="BC38" s="164" t="s">
        <v>145</v>
      </c>
      <c r="BD38" s="166" t="s">
        <v>143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s="2" customFormat="1" ht="30" customHeight="1" thickBot="1" x14ac:dyDescent="0.3">
      <c r="A39" s="177"/>
      <c r="B39" s="178"/>
      <c r="C39" s="178"/>
      <c r="D39" s="178"/>
      <c r="E39" s="316" t="s">
        <v>122</v>
      </c>
      <c r="F39" s="254">
        <f t="shared" ref="F39:AZ39" si="101">SUM(F32:F38)</f>
        <v>200004188</v>
      </c>
      <c r="G39" s="254">
        <f t="shared" si="101"/>
        <v>201717541</v>
      </c>
      <c r="H39" s="254">
        <f t="shared" si="101"/>
        <v>203475683</v>
      </c>
      <c r="I39" s="254">
        <f t="shared" si="101"/>
        <v>205156587</v>
      </c>
      <c r="J39" s="254">
        <f t="shared" si="101"/>
        <v>206804741</v>
      </c>
      <c r="K39" s="254">
        <f t="shared" si="101"/>
        <v>208494900</v>
      </c>
      <c r="L39" s="254">
        <f t="shared" si="101"/>
        <v>210147125</v>
      </c>
      <c r="M39" s="254">
        <f t="shared" si="101"/>
        <v>211755692</v>
      </c>
      <c r="N39" s="254">
        <f t="shared" si="101"/>
        <v>213317639</v>
      </c>
      <c r="O39" s="254">
        <f t="shared" si="101"/>
        <v>214828540</v>
      </c>
      <c r="P39" s="254">
        <f t="shared" si="101"/>
        <v>216284269</v>
      </c>
      <c r="Q39" s="254">
        <f t="shared" si="101"/>
        <v>217684462</v>
      </c>
      <c r="R39" s="254">
        <f t="shared" si="101"/>
        <v>219029093</v>
      </c>
      <c r="S39" s="254">
        <f t="shared" si="101"/>
        <v>220316530</v>
      </c>
      <c r="T39" s="256">
        <f t="shared" si="101"/>
        <v>221545234</v>
      </c>
      <c r="U39" s="254">
        <f t="shared" si="101"/>
        <v>222713669</v>
      </c>
      <c r="V39" s="254">
        <f t="shared" si="101"/>
        <v>223821305</v>
      </c>
      <c r="W39" s="254">
        <f t="shared" si="101"/>
        <v>224868462</v>
      </c>
      <c r="X39" s="254">
        <f t="shared" si="101"/>
        <v>225854415</v>
      </c>
      <c r="Y39" s="254">
        <f t="shared" si="101"/>
        <v>226777802</v>
      </c>
      <c r="Z39" s="254">
        <f t="shared" si="101"/>
        <v>227638581</v>
      </c>
      <c r="AA39" s="254">
        <f t="shared" si="101"/>
        <v>228437122</v>
      </c>
      <c r="AB39" s="254">
        <f t="shared" si="101"/>
        <v>229173685</v>
      </c>
      <c r="AC39" s="254">
        <f t="shared" si="101"/>
        <v>229847832</v>
      </c>
      <c r="AD39" s="254">
        <f t="shared" si="101"/>
        <v>230459062</v>
      </c>
      <c r="AE39" s="254">
        <f t="shared" si="101"/>
        <v>231007871</v>
      </c>
      <c r="AF39" s="254">
        <f t="shared" si="101"/>
        <v>231494650</v>
      </c>
      <c r="AG39" s="254">
        <f t="shared" si="101"/>
        <v>231919922</v>
      </c>
      <c r="AH39" s="254">
        <f t="shared" si="101"/>
        <v>232284233</v>
      </c>
      <c r="AI39" s="254">
        <f t="shared" si="101"/>
        <v>232588580</v>
      </c>
      <c r="AJ39" s="254">
        <f t="shared" si="101"/>
        <v>232834065</v>
      </c>
      <c r="AK39" s="254">
        <f t="shared" si="101"/>
        <v>233020996</v>
      </c>
      <c r="AL39" s="256">
        <f t="shared" si="101"/>
        <v>233149625</v>
      </c>
      <c r="AM39" s="254">
        <f t="shared" si="101"/>
        <v>233220257</v>
      </c>
      <c r="AN39" s="254">
        <f t="shared" si="101"/>
        <v>233233670</v>
      </c>
      <c r="AO39" s="254">
        <f t="shared" si="101"/>
        <v>233190482</v>
      </c>
      <c r="AP39" s="254">
        <f t="shared" si="101"/>
        <v>233090464</v>
      </c>
      <c r="AQ39" s="254">
        <f t="shared" si="101"/>
        <v>232933276</v>
      </c>
      <c r="AR39" s="254">
        <f t="shared" si="101"/>
        <v>232719169</v>
      </c>
      <c r="AS39" s="254">
        <f t="shared" si="101"/>
        <v>232448867</v>
      </c>
      <c r="AT39" s="254">
        <f t="shared" si="101"/>
        <v>232122448</v>
      </c>
      <c r="AU39" s="254">
        <f t="shared" si="101"/>
        <v>231739632</v>
      </c>
      <c r="AV39" s="254">
        <f t="shared" si="101"/>
        <v>231300323</v>
      </c>
      <c r="AW39" s="254">
        <f t="shared" si="101"/>
        <v>230805223</v>
      </c>
      <c r="AX39" s="254">
        <f t="shared" si="101"/>
        <v>230255685</v>
      </c>
      <c r="AY39" s="254">
        <f t="shared" si="101"/>
        <v>229652286</v>
      </c>
      <c r="AZ39" s="254">
        <f t="shared" si="101"/>
        <v>228995541</v>
      </c>
      <c r="BA39" s="254">
        <f>SUM(BA32:BA38)</f>
        <v>228286347</v>
      </c>
      <c r="BB39" s="302">
        <f t="shared" si="100"/>
        <v>7.9762997817958148E-3</v>
      </c>
      <c r="BC39" s="317" t="s">
        <v>144</v>
      </c>
      <c r="BD39" s="318" t="s">
        <v>143</v>
      </c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</row>
    <row r="40" spans="1:68" ht="30" customHeight="1" x14ac:dyDescent="0.25">
      <c r="A40" s="15"/>
      <c r="B40" s="5"/>
      <c r="C40" s="5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59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59">
        <f>SUM(AQ37:AQ38)</f>
        <v>66265645</v>
      </c>
      <c r="AR40" s="390">
        <f>AQ40/AQ39</f>
        <v>0.28448337711954902</v>
      </c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5"/>
      <c r="BD40" s="25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ht="30" customHeight="1" x14ac:dyDescent="0.25">
      <c r="A41" s="15"/>
      <c r="B41" s="5"/>
      <c r="C41" s="5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ht="30" customHeight="1" x14ac:dyDescent="0.25">
      <c r="A42" s="15"/>
      <c r="B42" s="5"/>
      <c r="C42" s="5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ht="30" customHeight="1" x14ac:dyDescent="0.25">
      <c r="A43" s="15"/>
      <c r="B43" s="5"/>
      <c r="C43" s="5"/>
      <c r="D43" s="175"/>
      <c r="E43" s="34"/>
      <c r="F43" s="35">
        <f t="shared" ref="F43" si="102">G43-1</f>
        <v>2013</v>
      </c>
      <c r="G43" s="35">
        <f t="shared" ref="G43" si="103">H43-1</f>
        <v>2014</v>
      </c>
      <c r="H43" s="35">
        <f>I43-1</f>
        <v>2015</v>
      </c>
      <c r="I43" s="35">
        <v>2016</v>
      </c>
      <c r="J43" s="35">
        <v>2017</v>
      </c>
      <c r="K43" s="35">
        <v>2018</v>
      </c>
      <c r="L43" s="35">
        <v>2019</v>
      </c>
      <c r="M43" s="35">
        <v>2020</v>
      </c>
      <c r="N43" s="35">
        <v>2021</v>
      </c>
      <c r="O43" s="35">
        <f>N43+1</f>
        <v>2022</v>
      </c>
      <c r="P43" s="70">
        <f t="shared" ref="P43" si="104">O43+1</f>
        <v>2023</v>
      </c>
      <c r="Q43" s="70">
        <f t="shared" ref="Q43" si="105">P43+1</f>
        <v>2024</v>
      </c>
      <c r="R43" s="70">
        <f t="shared" ref="R43" si="106">Q43+1</f>
        <v>2025</v>
      </c>
      <c r="S43" s="70">
        <f t="shared" ref="S43" si="107">R43+1</f>
        <v>2026</v>
      </c>
      <c r="T43" s="70">
        <f t="shared" ref="T43" si="108">S43+1</f>
        <v>2027</v>
      </c>
      <c r="U43" s="70">
        <f t="shared" ref="U43" si="109">T43+1</f>
        <v>2028</v>
      </c>
      <c r="V43" s="70">
        <f t="shared" ref="V43" si="110">U43+1</f>
        <v>2029</v>
      </c>
      <c r="W43" s="70">
        <f t="shared" ref="W43" si="111">V43+1</f>
        <v>2030</v>
      </c>
      <c r="X43" s="70">
        <f t="shared" ref="X43" si="112">W43+1</f>
        <v>2031</v>
      </c>
      <c r="Y43" s="70">
        <f t="shared" ref="Y43" si="113">X43+1</f>
        <v>2032</v>
      </c>
      <c r="Z43" s="70">
        <f t="shared" ref="Z43" si="114">Y43+1</f>
        <v>2033</v>
      </c>
      <c r="AA43" s="70">
        <f t="shared" ref="AA43" si="115">Z43+1</f>
        <v>2034</v>
      </c>
      <c r="AB43" s="70">
        <f t="shared" ref="AB43" si="116">AA43+1</f>
        <v>2035</v>
      </c>
      <c r="AC43" s="70">
        <f t="shared" ref="AC43" si="117">AB43+1</f>
        <v>2036</v>
      </c>
      <c r="AD43" s="70">
        <f t="shared" ref="AD43" si="118">AC43+1</f>
        <v>2037</v>
      </c>
      <c r="AE43" s="70">
        <f t="shared" ref="AE43" si="119">AD43+1</f>
        <v>2038</v>
      </c>
      <c r="AF43" s="70">
        <f t="shared" ref="AF43" si="120">AE43+1</f>
        <v>2039</v>
      </c>
      <c r="AG43" s="70">
        <f t="shared" ref="AG43" si="121">AF43+1</f>
        <v>2040</v>
      </c>
      <c r="AH43" s="70">
        <f t="shared" ref="AH43" si="122">AG43+1</f>
        <v>2041</v>
      </c>
      <c r="AI43" s="70">
        <f t="shared" ref="AI43" si="123">AH43+1</f>
        <v>2042</v>
      </c>
      <c r="AJ43" s="70">
        <f t="shared" ref="AJ43" si="124">AI43+1</f>
        <v>2043</v>
      </c>
      <c r="AK43" s="70">
        <f t="shared" ref="AK43" si="125">AJ43+1</f>
        <v>2044</v>
      </c>
      <c r="AL43" s="70">
        <f t="shared" ref="AL43" si="126">AK43+1</f>
        <v>2045</v>
      </c>
      <c r="AM43" s="70">
        <f t="shared" ref="AM43" si="127">AL43+1</f>
        <v>2046</v>
      </c>
      <c r="AN43" s="70">
        <f t="shared" ref="AN43" si="128">AM43+1</f>
        <v>2047</v>
      </c>
      <c r="AO43" s="70">
        <f t="shared" ref="AO43" si="129">AN43+1</f>
        <v>2048</v>
      </c>
      <c r="AP43" s="70">
        <f t="shared" ref="AP43" si="130">AO43+1</f>
        <v>2049</v>
      </c>
      <c r="AQ43" s="70">
        <f t="shared" ref="AQ43" si="131">AP43+1</f>
        <v>2050</v>
      </c>
      <c r="AR43" s="70">
        <f t="shared" ref="AR43" si="132">AQ43+1</f>
        <v>2051</v>
      </c>
      <c r="AS43" s="70">
        <f t="shared" ref="AS43" si="133">AR43+1</f>
        <v>2052</v>
      </c>
      <c r="AT43" s="70">
        <f t="shared" ref="AT43" si="134">AS43+1</f>
        <v>2053</v>
      </c>
      <c r="AU43" s="70">
        <f t="shared" ref="AU43" si="135">AT43+1</f>
        <v>2054</v>
      </c>
      <c r="AV43" s="70">
        <f t="shared" ref="AV43" si="136">AU43+1</f>
        <v>2055</v>
      </c>
      <c r="AW43" s="70">
        <f t="shared" ref="AW43" si="137">AV43+1</f>
        <v>2056</v>
      </c>
      <c r="AX43" s="70">
        <f t="shared" ref="AX43" si="138">AW43+1</f>
        <v>2057</v>
      </c>
      <c r="AY43" s="70">
        <f t="shared" ref="AY43" si="139">AX43+1</f>
        <v>2058</v>
      </c>
      <c r="AZ43" s="70">
        <f t="shared" ref="AZ43" si="140">AY43+1</f>
        <v>2059</v>
      </c>
      <c r="BA43" s="70">
        <f t="shared" ref="BA43" si="141">AZ43+1</f>
        <v>2060</v>
      </c>
      <c r="BB43" s="70" t="s">
        <v>373</v>
      </c>
      <c r="BC43" s="35" t="s">
        <v>66</v>
      </c>
      <c r="BD43" s="119" t="s">
        <v>67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 ht="25.5" x14ac:dyDescent="0.25">
      <c r="A44" s="15"/>
      <c r="B44" s="5"/>
      <c r="C44" s="5"/>
      <c r="D44" s="5"/>
      <c r="E44" s="176" t="s">
        <v>123</v>
      </c>
      <c r="F44" s="81">
        <f>F32*'Projeções - Receita'!$F70</f>
        <v>14406125.001300391</v>
      </c>
      <c r="G44" s="81">
        <f>G32*'Projeções - Receita'!$F70</f>
        <v>14290125.378413524</v>
      </c>
      <c r="H44" s="81">
        <f>H32*'Projeções - Receita'!$F70</f>
        <v>14181653.009102732</v>
      </c>
      <c r="I44" s="81">
        <f>I32*'Projeções - Receita'!$F70</f>
        <v>14054144.949284786</v>
      </c>
      <c r="J44" s="81">
        <f>J32*'Projeções - Receita'!$F70</f>
        <v>13915687.786736021</v>
      </c>
      <c r="K44" s="81">
        <f>K32*'Projeções - Receita'!$F70</f>
        <v>13790406.42912874</v>
      </c>
      <c r="L44" s="81">
        <f>L32*'Projeções - Receita'!$F70</f>
        <v>13673278.408322498</v>
      </c>
      <c r="M44" s="81">
        <f>M32*'Projeções - Receita'!$F70</f>
        <v>13570860.288686607</v>
      </c>
      <c r="N44" s="81">
        <f>N32*'Projeções - Receita'!$F70</f>
        <v>13478602.501950586</v>
      </c>
      <c r="O44" s="81">
        <f>O32*'Projeções - Receita'!$F70</f>
        <v>13410083.383615086</v>
      </c>
      <c r="P44" s="81">
        <f>P32*'Projeções - Receita'!$F70</f>
        <v>13347456.507152146</v>
      </c>
      <c r="Q44" s="81">
        <f>Q32*'Projeções - Receita'!$F70</f>
        <v>13285783.349804942</v>
      </c>
      <c r="R44" s="81">
        <f>R32*'Projeções - Receita'!$F70</f>
        <v>13220508.686605982</v>
      </c>
      <c r="S44" s="81">
        <f>S32*'Projeções - Receita'!$F70</f>
        <v>13157515.482444733</v>
      </c>
      <c r="T44" s="81">
        <f>T32*'Projeções - Receita'!$F70</f>
        <v>13105611.667100132</v>
      </c>
      <c r="U44" s="81">
        <f>U32*'Projeções - Receita'!$F70</f>
        <v>13052671.77113134</v>
      </c>
      <c r="V44" s="81">
        <f>V32*'Projeções - Receita'!$F70</f>
        <v>12998073.331599481</v>
      </c>
      <c r="W44" s="81">
        <f>W32*'Projeções - Receita'!$F70</f>
        <v>12947302.892067621</v>
      </c>
      <c r="X44" s="81">
        <f>X32*'Projeções - Receita'!$F70</f>
        <v>12888890.481144344</v>
      </c>
      <c r="Y44" s="81">
        <f>Y32*'Projeções - Receita'!$F70</f>
        <v>12822271.786736021</v>
      </c>
      <c r="Z44" s="81">
        <f>Z32*'Projeções - Receita'!$F70</f>
        <v>12751742.052015606</v>
      </c>
      <c r="AA44" s="81">
        <f>AA32*'Projeções - Receita'!$F70</f>
        <v>12667061.524057219</v>
      </c>
      <c r="AB44" s="81">
        <f>AB32*'Projeções - Receita'!$F70</f>
        <v>12563747.157347204</v>
      </c>
      <c r="AC44" s="81">
        <f>AC32*'Projeções - Receita'!$F70</f>
        <v>12469320.366710015</v>
      </c>
      <c r="AD44" s="81">
        <f>AD32*'Projeções - Receita'!$F70</f>
        <v>12375207.862158649</v>
      </c>
      <c r="AE44" s="81">
        <f>AE32*'Projeções - Receita'!$F70</f>
        <v>12264754.970091028</v>
      </c>
      <c r="AF44" s="81">
        <f>AF32*'Projeções - Receita'!$F70</f>
        <v>12153831.667100132</v>
      </c>
      <c r="AG44" s="81">
        <f>AG32*'Projeções - Receita'!$F70</f>
        <v>12042972.850455137</v>
      </c>
      <c r="AH44" s="81">
        <f>AH32*'Projeções - Receita'!$F70</f>
        <v>11932780.845253577</v>
      </c>
      <c r="AI44" s="81">
        <f>AI32*'Projeções - Receita'!$F70</f>
        <v>11824230.639791938</v>
      </c>
      <c r="AJ44" s="81">
        <f>AJ32*'Projeções - Receita'!$F70</f>
        <v>11718252.421326399</v>
      </c>
      <c r="AK44" s="81">
        <f>AK32*'Projeções - Receita'!$F70</f>
        <v>11615125.630689207</v>
      </c>
      <c r="AL44" s="81">
        <f>AL32*'Projeções - Receita'!$F70</f>
        <v>11515052.098829649</v>
      </c>
      <c r="AM44" s="81">
        <f>AM32*'Projeções - Receita'!$F70</f>
        <v>11418153.1053316</v>
      </c>
      <c r="AN44" s="81">
        <f>AN32*'Projeções - Receita'!$F70</f>
        <v>11324557.396618987</v>
      </c>
      <c r="AO44" s="81">
        <f>AO32*'Projeções - Receita'!$F70</f>
        <v>11234374.260078024</v>
      </c>
      <c r="AP44" s="81">
        <f>AP32*'Projeções - Receita'!$F70</f>
        <v>11147305.700910274</v>
      </c>
      <c r="AQ44" s="81">
        <f>AQ32*'Projeções - Receita'!$F70</f>
        <v>11062823.836150846</v>
      </c>
      <c r="AR44" s="81">
        <f>AR32*'Projeções - Receita'!$F70</f>
        <v>10980764.621586477</v>
      </c>
      <c r="AS44" s="81">
        <f>AS32*'Projeções - Receita'!$F70</f>
        <v>10901191.638491549</v>
      </c>
      <c r="AT44" s="81">
        <f>AT32*'Projeções - Receita'!$F70</f>
        <v>10823690.137841353</v>
      </c>
      <c r="AU44" s="81">
        <f>AU32*'Projeções - Receita'!$F70</f>
        <v>10747646.933680104</v>
      </c>
      <c r="AV44" s="81">
        <f>AV32*'Projeções - Receita'!$F70</f>
        <v>10672515.589076724</v>
      </c>
      <c r="AW44" s="81">
        <f>AW32*'Projeções - Receita'!$F70</f>
        <v>10598078.886866061</v>
      </c>
      <c r="AX44" s="81">
        <f>AX32*'Projeções - Receita'!$F70</f>
        <v>10524301.529258778</v>
      </c>
      <c r="AY44" s="81">
        <f>AY32*'Projeções - Receita'!$F70</f>
        <v>10450765.825747725</v>
      </c>
      <c r="AZ44" s="81">
        <f>AZ32*'Projeções - Receita'!$F70</f>
        <v>10377103.638491549</v>
      </c>
      <c r="BA44" s="81">
        <f>BA32*'Projeções - Receita'!$F70</f>
        <v>10303083.042912874</v>
      </c>
      <c r="BB44" s="51">
        <f t="shared" ref="BB44:BB51" si="142">(O44/F44)^(1/COUNT($G$9:$O$9))-1</f>
        <v>-7.9291248981865348E-3</v>
      </c>
      <c r="BC44" s="164" t="s">
        <v>309</v>
      </c>
      <c r="BD44" s="166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 s="2" customFormat="1" ht="25.5" x14ac:dyDescent="0.25">
      <c r="A45" s="177"/>
      <c r="B45" s="178"/>
      <c r="C45" s="178"/>
      <c r="D45" s="178"/>
      <c r="E45" s="179" t="s">
        <v>97</v>
      </c>
      <c r="F45" s="81">
        <f>F33*'Projeções - Receita'!$F71</f>
        <v>10117916.213263979</v>
      </c>
      <c r="G45" s="81">
        <f>G33*'Projeções - Receita'!$F71</f>
        <v>10084036.538361508</v>
      </c>
      <c r="H45" s="81">
        <f>H33*'Projeções - Receita'!$F71</f>
        <v>10059638.439531859</v>
      </c>
      <c r="I45" s="81">
        <f>I33*'Projeções - Receita'!$F71</f>
        <v>10044032.432596445</v>
      </c>
      <c r="J45" s="81">
        <f>J33*'Projeções - Receita'!$F71</f>
        <v>10039941.103597745</v>
      </c>
      <c r="K45" s="81">
        <f>K33*'Projeções - Receita'!$F71</f>
        <v>10039407.62982228</v>
      </c>
      <c r="L45" s="81">
        <f>L33*'Projeções - Receita'!$F71</f>
        <v>10028125.798872994</v>
      </c>
      <c r="M45" s="81">
        <f>M33*'Projeções - Receita'!$F71</f>
        <v>9997266.9995665364</v>
      </c>
      <c r="N45" s="81">
        <f>N33*'Projeções - Receita'!$F71</f>
        <v>9953408.7941048983</v>
      </c>
      <c r="O45" s="81">
        <f>O33*'Projeções - Receita'!$F71</f>
        <v>9880408.7802340705</v>
      </c>
      <c r="P45" s="81">
        <f>P33*'Projeções - Receita'!$F71</f>
        <v>9795862.2436064146</v>
      </c>
      <c r="Q45" s="81">
        <f>Q33*'Projeções - Receita'!$F71</f>
        <v>9698341.7182488088</v>
      </c>
      <c r="R45" s="81">
        <f>R33*'Projeções - Receita'!$F71</f>
        <v>9589606.5574338976</v>
      </c>
      <c r="S45" s="81">
        <f>S33*'Projeções - Receita'!$F71</f>
        <v>9463220.309492847</v>
      </c>
      <c r="T45" s="81">
        <f>T33*'Projeções - Receita'!$F71</f>
        <v>9306684.0286085829</v>
      </c>
      <c r="U45" s="81">
        <f>U33*'Projeções - Receita'!$F71</f>
        <v>9144642.6840052009</v>
      </c>
      <c r="V45" s="81">
        <f>V33*'Projeções - Receita'!$F71</f>
        <v>8992004.0338101424</v>
      </c>
      <c r="W45" s="81">
        <f>W33*'Projeções - Receita'!$F71</f>
        <v>8850951.0550498478</v>
      </c>
      <c r="X45" s="81">
        <f>X33*'Projeções - Receita'!$F71</f>
        <v>8731055.8916341569</v>
      </c>
      <c r="Y45" s="81">
        <f>Y33*'Projeções - Receita'!$F71</f>
        <v>8651215.9609882962</v>
      </c>
      <c r="Z45" s="81">
        <f>Z33*'Projeções - Receita'!$F71</f>
        <v>8584230.8201126996</v>
      </c>
      <c r="AA45" s="81">
        <f>AA33*'Projeções - Receita'!$F71</f>
        <v>8537602.6996098831</v>
      </c>
      <c r="AB45" s="81">
        <f>AB33*'Projeções - Receita'!$F71</f>
        <v>8511886.1083658431</v>
      </c>
      <c r="AC45" s="81">
        <f>AC33*'Projeções - Receita'!$F71</f>
        <v>8479365.535327265</v>
      </c>
      <c r="AD45" s="81">
        <f>AD33*'Projeções - Receita'!$F71</f>
        <v>8462486.6120502818</v>
      </c>
      <c r="AE45" s="81">
        <f>AE33*'Projeções - Receita'!$F71</f>
        <v>8467707.9939315133</v>
      </c>
      <c r="AF45" s="81">
        <f>AF33*'Projeções - Receita'!$F71</f>
        <v>8473830.6718682274</v>
      </c>
      <c r="AG45" s="81">
        <f>AG33*'Projeções - Receita'!$F71</f>
        <v>8487026.4057217166</v>
      </c>
      <c r="AH45" s="81">
        <f>AH33*'Projeções - Receita'!$F71</f>
        <v>8492030.424794104</v>
      </c>
      <c r="AI45" s="81">
        <f>AI33*'Projeções - Receita'!$F71</f>
        <v>8487298.6935413964</v>
      </c>
      <c r="AJ45" s="81">
        <f>AJ33*'Projeções - Receita'!$F71</f>
        <v>8477195.9973992202</v>
      </c>
      <c r="AK45" s="81">
        <f>AK33*'Projeções - Receita'!$F71</f>
        <v>8447975.8916341569</v>
      </c>
      <c r="AL45" s="81">
        <f>AL33*'Projeções - Receita'!$F71</f>
        <v>8393274.0866926741</v>
      </c>
      <c r="AM45" s="81">
        <f>AM33*'Projeções - Receita'!$F71</f>
        <v>8348008.2817511922</v>
      </c>
      <c r="AN45" s="81">
        <f>AN33*'Projeções - Receita'!$F71</f>
        <v>8301088.5912440401</v>
      </c>
      <c r="AO45" s="81">
        <f>AO33*'Projeções - Receita'!$F71</f>
        <v>8230784.2852188991</v>
      </c>
      <c r="AP45" s="81">
        <f>AP33*'Projeções - Receita'!$F71</f>
        <v>8157268.9111400088</v>
      </c>
      <c r="AQ45" s="81">
        <f>AQ33*'Projeções - Receita'!$F71</f>
        <v>8081387.6714347638</v>
      </c>
      <c r="AR45" s="81">
        <f>AR33*'Projeções - Receita'!$F71</f>
        <v>8003775.4174252274</v>
      </c>
      <c r="AS45" s="81">
        <f>AS33*'Projeções - Receita'!$F71</f>
        <v>7925246.0910273083</v>
      </c>
      <c r="AT45" s="81">
        <f>AT33*'Projeções - Receita'!$F71</f>
        <v>7846910.1707845684</v>
      </c>
      <c r="AU45" s="81">
        <f>AU33*'Projeções - Receita'!$F71</f>
        <v>7769490.738621586</v>
      </c>
      <c r="AV45" s="81">
        <f>AV33*'Projeções - Receita'!$F71</f>
        <v>7693610.3753792802</v>
      </c>
      <c r="AW45" s="81">
        <f>AW33*'Projeções - Receita'!$F71</f>
        <v>7619553.3472041609</v>
      </c>
      <c r="AX45" s="81">
        <f>AX33*'Projeções - Receita'!$F71</f>
        <v>7547453.1686172513</v>
      </c>
      <c r="AY45" s="81">
        <f>AY33*'Projeções - Receita'!$F71</f>
        <v>7477771.1512787165</v>
      </c>
      <c r="AZ45" s="81">
        <f>AZ33*'Projeções - Receita'!$F71</f>
        <v>7410624.7412223667</v>
      </c>
      <c r="BA45" s="81">
        <f>BA33*'Projeções - Receita'!$F71</f>
        <v>7345850.3320329431</v>
      </c>
      <c r="BB45" s="51">
        <f t="shared" si="142"/>
        <v>-2.6358366723340243E-3</v>
      </c>
      <c r="BC45" s="164" t="s">
        <v>309</v>
      </c>
      <c r="BD45" s="166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</row>
    <row r="46" spans="1:68" ht="25.5" x14ac:dyDescent="0.25">
      <c r="A46" s="15"/>
      <c r="B46" s="5"/>
      <c r="C46" s="5"/>
      <c r="D46" s="5"/>
      <c r="E46" s="180" t="s">
        <v>98</v>
      </c>
      <c r="F46" s="81">
        <f>F34*'Projeções - Receita'!$F72</f>
        <v>11362425.1183355</v>
      </c>
      <c r="G46" s="81">
        <f>G34*'Projeções - Receita'!$F72</f>
        <v>11569499.282184655</v>
      </c>
      <c r="H46" s="81">
        <f>H34*'Projeções - Receita'!$F72</f>
        <v>11746182.962288687</v>
      </c>
      <c r="I46" s="81">
        <f>I34*'Projeções - Receita'!$F72</f>
        <v>11893378.327698309</v>
      </c>
      <c r="J46" s="81">
        <f>J34*'Projeções - Receita'!$F72</f>
        <v>12011020.530559167</v>
      </c>
      <c r="K46" s="81">
        <f>K34*'Projeções - Receita'!$F72</f>
        <v>12099691.7763329</v>
      </c>
      <c r="L46" s="81">
        <f>L34*'Projeções - Receita'!$F72</f>
        <v>12160989.388816645</v>
      </c>
      <c r="M46" s="81">
        <f>M34*'Projeções - Receita'!$F72</f>
        <v>12197083.633289987</v>
      </c>
      <c r="N46" s="81">
        <f>N34*'Projeções - Receita'!$F72</f>
        <v>12206849.292587776</v>
      </c>
      <c r="O46" s="81">
        <f>O34*'Projeções - Receita'!$F72</f>
        <v>12187845.66449935</v>
      </c>
      <c r="P46" s="81">
        <f>P34*'Projeções - Receita'!$F72</f>
        <v>12151442.858257478</v>
      </c>
      <c r="Q46" s="81">
        <f>Q34*'Projeções - Receita'!$F72</f>
        <v>12115169.747724317</v>
      </c>
      <c r="R46" s="81">
        <f>R34*'Projeções - Receita'!$F72</f>
        <v>12089894.405721717</v>
      </c>
      <c r="S46" s="81">
        <f>S34*'Projeções - Receita'!$F72</f>
        <v>12074738.892067621</v>
      </c>
      <c r="T46" s="81">
        <f>T34*'Projeções - Receita'!$F72</f>
        <v>12072064.452535762</v>
      </c>
      <c r="U46" s="81">
        <f>U34*'Projeções - Receita'!$F72</f>
        <v>12072347.716514954</v>
      </c>
      <c r="V46" s="81">
        <f>V34*'Projeções - Receita'!$F72</f>
        <v>12059682.788036412</v>
      </c>
      <c r="W46" s="81">
        <f>W34*'Projeções - Receita'!$F72</f>
        <v>12023820.855656696</v>
      </c>
      <c r="X46" s="81">
        <f>X34*'Projeções - Receita'!$F72</f>
        <v>11972741.412223667</v>
      </c>
      <c r="Y46" s="81">
        <f>Y34*'Projeções - Receita'!$F72</f>
        <v>11886927.747724317</v>
      </c>
      <c r="Z46" s="81">
        <f>Z34*'Projeções - Receita'!$F72</f>
        <v>11787543.422626788</v>
      </c>
      <c r="AA46" s="81">
        <f>AA34*'Projeções - Receita'!$F72</f>
        <v>11672692.884265279</v>
      </c>
      <c r="AB46" s="81">
        <f>AB34*'Projeções - Receita'!$F72</f>
        <v>11544231.77893368</v>
      </c>
      <c r="AC46" s="81">
        <f>AC34*'Projeções - Receita'!$F72</f>
        <v>11394378.007802341</v>
      </c>
      <c r="AD46" s="81">
        <f>AD34*'Projeções - Receita'!$F72</f>
        <v>11208115.729518855</v>
      </c>
      <c r="AE46" s="81">
        <f>AE34*'Projeções - Receita'!$F72</f>
        <v>11015135.641092328</v>
      </c>
      <c r="AF46" s="81">
        <f>AF34*'Projeções - Receita'!$F72</f>
        <v>10833410.574772432</v>
      </c>
      <c r="AG46" s="81">
        <f>AG34*'Projeções - Receita'!$F72</f>
        <v>10665541.21456437</v>
      </c>
      <c r="AH46" s="81">
        <f>AH34*'Projeções - Receita'!$F72</f>
        <v>10523065.846553966</v>
      </c>
      <c r="AI46" s="81">
        <f>AI34*'Projeções - Receita'!$F72</f>
        <v>10428818.754226267</v>
      </c>
      <c r="AJ46" s="81">
        <f>AJ34*'Projeções - Receita'!$F72</f>
        <v>10350071.724317295</v>
      </c>
      <c r="AK46" s="81">
        <f>AK34*'Projeções - Receita'!$F72</f>
        <v>10295796.920676203</v>
      </c>
      <c r="AL46" s="81">
        <f>AL34*'Projeções - Receita'!$F72</f>
        <v>10266709.807542263</v>
      </c>
      <c r="AM46" s="81">
        <f>AM34*'Projeções - Receita'!$F72</f>
        <v>10229364.569570871</v>
      </c>
      <c r="AN46" s="81">
        <f>AN34*'Projeções - Receita'!$F72</f>
        <v>10210769.269180754</v>
      </c>
      <c r="AO46" s="81">
        <f>AO34*'Projeções - Receita'!$F72</f>
        <v>10218744.130039012</v>
      </c>
      <c r="AP46" s="81">
        <f>AP34*'Projeções - Receita'!$F72</f>
        <v>10227693.490247075</v>
      </c>
      <c r="AQ46" s="81">
        <f>AQ34*'Projeções - Receita'!$F72</f>
        <v>10245009.648894668</v>
      </c>
      <c r="AR46" s="81">
        <f>AR34*'Projeções - Receita'!$F72</f>
        <v>10252352.421326397</v>
      </c>
      <c r="AS46" s="81">
        <f>AS34*'Projeções - Receita'!$F72</f>
        <v>10247812.715214564</v>
      </c>
      <c r="AT46" s="81">
        <f>AT34*'Projeções - Receita'!$F72</f>
        <v>10236698.078023408</v>
      </c>
      <c r="AU46" s="81">
        <f>AU34*'Projeções - Receita'!$F72</f>
        <v>10202430.975292588</v>
      </c>
      <c r="AV46" s="81">
        <f>AV34*'Projeções - Receita'!$F72</f>
        <v>10137382.520156046</v>
      </c>
      <c r="AW46" s="81">
        <f>AW34*'Projeções - Receita'!$F72</f>
        <v>10083623.292587776</v>
      </c>
      <c r="AX46" s="81">
        <f>AX34*'Projeções - Receita'!$F72</f>
        <v>10027813.875162549</v>
      </c>
      <c r="AY46" s="81">
        <f>AY34*'Projeções - Receita'!$F72</f>
        <v>9943761.4356306884</v>
      </c>
      <c r="AZ46" s="81">
        <f>AZ34*'Projeções - Receita'!$F72</f>
        <v>9855787.4824447334</v>
      </c>
      <c r="BA46" s="81">
        <f>BA34*'Projeções - Receita'!$F72</f>
        <v>9764905.7087126132</v>
      </c>
      <c r="BB46" s="51">
        <f t="shared" si="142"/>
        <v>7.8223614848500489E-3</v>
      </c>
      <c r="BC46" s="164" t="s">
        <v>309</v>
      </c>
      <c r="BD46" s="166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</row>
    <row r="47" spans="1:68" ht="25.5" x14ac:dyDescent="0.25">
      <c r="A47" s="15"/>
      <c r="B47" s="5"/>
      <c r="C47" s="5"/>
      <c r="D47" s="5"/>
      <c r="E47" s="179" t="s">
        <v>99</v>
      </c>
      <c r="F47" s="81">
        <f>F35*'Projeções - Receita'!$F73</f>
        <v>12699375.080190724</v>
      </c>
      <c r="G47" s="81">
        <f>G35*'Projeções - Receita'!$F73</f>
        <v>12853625.068920676</v>
      </c>
      <c r="H47" s="81">
        <f>H35*'Projeções - Receita'!$F73</f>
        <v>13031142.003034243</v>
      </c>
      <c r="I47" s="81">
        <f>I35*'Projeções - Receita'!$F73</f>
        <v>13229080.86519289</v>
      </c>
      <c r="J47" s="81">
        <f>J35*'Projeções - Receita'!$F73</f>
        <v>13446110.255309926</v>
      </c>
      <c r="K47" s="81">
        <f>K35*'Projeções - Receita'!$F73</f>
        <v>13683450.78543563</v>
      </c>
      <c r="L47" s="81">
        <f>L35*'Projeções - Receita'!$F73</f>
        <v>13940628.205028174</v>
      </c>
      <c r="M47" s="81">
        <f>M35*'Projeções - Receita'!$F73</f>
        <v>14215600.710013004</v>
      </c>
      <c r="N47" s="81">
        <f>N35*'Projeções - Receita'!$F73</f>
        <v>14506836.704377979</v>
      </c>
      <c r="O47" s="81">
        <f>O35*'Projeções - Receita'!$F73</f>
        <v>14814845.42436064</v>
      </c>
      <c r="P47" s="81">
        <f>P35*'Projeções - Receita'!$F73</f>
        <v>15122873.580840919</v>
      </c>
      <c r="Q47" s="81">
        <f>Q35*'Projeções - Receita'!$F73</f>
        <v>15406410.778500216</v>
      </c>
      <c r="R47" s="81">
        <f>R35*'Projeções - Receita'!$F73</f>
        <v>15649304.315994797</v>
      </c>
      <c r="S47" s="81">
        <f>S35*'Projeções - Receita'!$F73</f>
        <v>15852602.306458604</v>
      </c>
      <c r="T47" s="81">
        <f>T35*'Projeções - Receita'!$F73</f>
        <v>16015308.629388817</v>
      </c>
      <c r="U47" s="81">
        <f>U35*'Projeções - Receita'!$F73</f>
        <v>16137928.633723449</v>
      </c>
      <c r="V47" s="81">
        <f>V35*'Projeções - Receita'!$F73</f>
        <v>16223770.89726918</v>
      </c>
      <c r="W47" s="81">
        <f>W35*'Projeções - Receita'!$F73</f>
        <v>16276211.539661897</v>
      </c>
      <c r="X47" s="81">
        <f>X35*'Projeções - Receita'!$F73</f>
        <v>16293745.204161247</v>
      </c>
      <c r="Y47" s="81">
        <f>Y35*'Projeções - Receita'!$F73</f>
        <v>16273107.045080191</v>
      </c>
      <c r="Z47" s="81">
        <f>Z35*'Projeções - Receita'!$F73</f>
        <v>16229523.614651062</v>
      </c>
      <c r="AA47" s="81">
        <f>AA35*'Projeções - Receita'!$F73</f>
        <v>16186242.907672301</v>
      </c>
      <c r="AB47" s="81">
        <f>AB35*'Projeções - Receita'!$F73</f>
        <v>16157530.341569137</v>
      </c>
      <c r="AC47" s="81">
        <f>AC35*'Projeções - Receita'!$F73</f>
        <v>16142170.649328131</v>
      </c>
      <c r="AD47" s="81">
        <f>AD35*'Projeções - Receita'!$F73</f>
        <v>16143346.071521455</v>
      </c>
      <c r="AE47" s="81">
        <f>AE35*'Projeções - Receita'!$F73</f>
        <v>16148234.836584307</v>
      </c>
      <c r="AF47" s="81">
        <f>AF35*'Projeções - Receita'!$F73</f>
        <v>16135415.980494147</v>
      </c>
      <c r="AG47" s="81">
        <f>AG35*'Projeções - Receita'!$F73</f>
        <v>16091160.047247507</v>
      </c>
      <c r="AH47" s="81">
        <f>AH35*'Projeções - Receita'!$F73</f>
        <v>16026227.567837017</v>
      </c>
      <c r="AI47" s="81">
        <f>AI35*'Projeções - Receita'!$F73</f>
        <v>15914254.390983962</v>
      </c>
      <c r="AJ47" s="81">
        <f>AJ35*'Projeções - Receita'!$F73</f>
        <v>15783757.260078022</v>
      </c>
      <c r="AK47" s="81">
        <f>AK35*'Projeções - Receita'!$F73</f>
        <v>15632461.133073255</v>
      </c>
      <c r="AL47" s="81">
        <f>AL35*'Projeções - Receita'!$F73</f>
        <v>15462990.423060251</v>
      </c>
      <c r="AM47" s="81">
        <f>AM35*'Projeções - Receita'!$F73</f>
        <v>15264817.351105331</v>
      </c>
      <c r="AN47" s="81">
        <f>AN35*'Projeções - Receita'!$F73</f>
        <v>15017891.22626788</v>
      </c>
      <c r="AO47" s="81">
        <f>AO35*'Projeções - Receita'!$F73</f>
        <v>14762056.382748157</v>
      </c>
      <c r="AP47" s="81">
        <f>AP35*'Projeções - Receita'!$F73</f>
        <v>14521319.810576506</v>
      </c>
      <c r="AQ47" s="81">
        <f>AQ35*'Projeções - Receita'!$F73</f>
        <v>14299042.080190724</v>
      </c>
      <c r="AR47" s="81">
        <f>AR35*'Projeções - Receita'!$F73</f>
        <v>14110678.122670135</v>
      </c>
      <c r="AS47" s="81">
        <f>AS35*'Projeções - Receita'!$F73</f>
        <v>13986836.534460338</v>
      </c>
      <c r="AT47" s="81">
        <f>AT35*'Projeções - Receita'!$F73</f>
        <v>13883783.252275683</v>
      </c>
      <c r="AU47" s="81">
        <f>AU35*'Projeções - Receita'!$F73</f>
        <v>13813596.115734721</v>
      </c>
      <c r="AV47" s="81">
        <f>AV35*'Projeções - Receita'!$F73</f>
        <v>13777286.30862592</v>
      </c>
      <c r="AW47" s="81">
        <f>AW35*'Projeções - Receita'!$F73</f>
        <v>13729734.431296054</v>
      </c>
      <c r="AX47" s="81">
        <f>AX35*'Projeções - Receita'!$F73</f>
        <v>13707053.496315561</v>
      </c>
      <c r="AY47" s="81">
        <f>AY35*'Projeções - Receita'!$F73</f>
        <v>13719999.661465107</v>
      </c>
      <c r="AZ47" s="81">
        <f>AZ35*'Projeções - Receita'!$F73</f>
        <v>13734009.974859124</v>
      </c>
      <c r="BA47" s="81">
        <f>BA35*'Projeções - Receita'!$F73</f>
        <v>13758923.677503251</v>
      </c>
      <c r="BB47" s="51">
        <f t="shared" si="142"/>
        <v>1.7267043621645772E-2</v>
      </c>
      <c r="BC47" s="164" t="s">
        <v>309</v>
      </c>
      <c r="BD47" s="166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</row>
    <row r="48" spans="1:68" ht="25.5" x14ac:dyDescent="0.25">
      <c r="A48" s="15"/>
      <c r="B48" s="5"/>
      <c r="C48" s="5"/>
      <c r="D48" s="5"/>
      <c r="E48" s="179" t="s">
        <v>100</v>
      </c>
      <c r="F48" s="81">
        <f>F36*'Projeções - Receita'!$F74</f>
        <v>13346218.670567835</v>
      </c>
      <c r="G48" s="81">
        <f>G36*'Projeções - Receita'!$F74</f>
        <v>13717578.875596011</v>
      </c>
      <c r="H48" s="81">
        <f>H36*'Projeções - Receita'!$F74</f>
        <v>14073150.528391849</v>
      </c>
      <c r="I48" s="81">
        <f>I36*'Projeções - Receita'!$F74</f>
        <v>14413667.205461636</v>
      </c>
      <c r="J48" s="81">
        <f>J36*'Projeções - Receita'!$F74</f>
        <v>14740829.262678802</v>
      </c>
      <c r="K48" s="81">
        <f>K36*'Projeções - Receita'!$F74</f>
        <v>15050418.145210229</v>
      </c>
      <c r="L48" s="81">
        <f>L36*'Projeções - Receita'!$F74</f>
        <v>15336151.74685739</v>
      </c>
      <c r="M48" s="81">
        <f>M36*'Projeções - Receita'!$F74</f>
        <v>15595902.499783266</v>
      </c>
      <c r="N48" s="81">
        <f>N36*'Projeções - Receita'!$F74</f>
        <v>15830986.007802339</v>
      </c>
      <c r="O48" s="81">
        <f>O36*'Projeções - Receita'!$F74</f>
        <v>16039705.834416989</v>
      </c>
      <c r="P48" s="81">
        <f>P36*'Projeções - Receita'!$F74</f>
        <v>16238241.816211529</v>
      </c>
      <c r="Q48" s="81">
        <f>Q36*'Projeções - Receita'!$F74</f>
        <v>16450945.035110531</v>
      </c>
      <c r="R48" s="81">
        <f>R36*'Projeções - Receita'!$F74</f>
        <v>16693622.986996097</v>
      </c>
      <c r="S48" s="81">
        <f>S36*'Projeções - Receita'!$F74</f>
        <v>16962535.934113566</v>
      </c>
      <c r="T48" s="81">
        <f>T36*'Projeções - Receita'!$F74</f>
        <v>17255375.364109229</v>
      </c>
      <c r="U48" s="81">
        <f>U36*'Projeções - Receita'!$F74</f>
        <v>17573384.372345034</v>
      </c>
      <c r="V48" s="81">
        <f>V36*'Projeções - Receita'!$F74</f>
        <v>17916418.595145207</v>
      </c>
      <c r="W48" s="81">
        <f>W36*'Projeções - Receita'!$F74</f>
        <v>18282029.07585609</v>
      </c>
      <c r="X48" s="81">
        <f>X36*'Projeções - Receita'!$F74</f>
        <v>18668231.303857822</v>
      </c>
      <c r="Y48" s="81">
        <f>Y36*'Projeções - Receita'!$F74</f>
        <v>19075645.846987426</v>
      </c>
      <c r="Z48" s="81">
        <f>Z36*'Projeções - Receita'!$F74</f>
        <v>19482800.404854789</v>
      </c>
      <c r="AA48" s="81">
        <f>AA36*'Projeções - Receita'!$F74</f>
        <v>19858081.292154312</v>
      </c>
      <c r="AB48" s="81">
        <f>AB36*'Projeções - Receita'!$F74</f>
        <v>20180617.179453835</v>
      </c>
      <c r="AC48" s="81">
        <f>AC36*'Projeções - Receita'!$F74</f>
        <v>20451785.727351535</v>
      </c>
      <c r="AD48" s="81">
        <f>AD36*'Projeções - Receita'!$F74</f>
        <v>20670354.945383612</v>
      </c>
      <c r="AE48" s="81">
        <f>AE36*'Projeções - Receita'!$F74</f>
        <v>20836946.054616384</v>
      </c>
      <c r="AF48" s="81">
        <f>AF36*'Projeções - Receita'!$F74</f>
        <v>20955806.351972256</v>
      </c>
      <c r="AG48" s="81">
        <f>AG36*'Projeções - Receita'!$F74</f>
        <v>21031261.521889899</v>
      </c>
      <c r="AH48" s="81">
        <f>AH36*'Projeções - Receita'!$F74</f>
        <v>21061409.360641524</v>
      </c>
      <c r="AI48" s="81">
        <f>AI36*'Projeções - Receita'!$F74</f>
        <v>21041970.563068919</v>
      </c>
      <c r="AJ48" s="81">
        <f>AJ36*'Projeções - Receita'!$F74</f>
        <v>20992794.154746421</v>
      </c>
      <c r="AK48" s="81">
        <f>AK36*'Projeções - Receita'!$F74</f>
        <v>20944030.587342866</v>
      </c>
      <c r="AL48" s="81">
        <f>AL36*'Projeções - Receita'!$F74</f>
        <v>20914119.21759861</v>
      </c>
      <c r="AM48" s="81">
        <f>AM36*'Projeções - Receita'!$F74</f>
        <v>20901414.560901601</v>
      </c>
      <c r="AN48" s="81">
        <f>AN36*'Projeções - Receita'!$F74</f>
        <v>20909977.090593841</v>
      </c>
      <c r="AO48" s="81">
        <f>AO36*'Projeções - Receita'!$F74</f>
        <v>20922988.111833546</v>
      </c>
      <c r="AP48" s="81">
        <f>AP36*'Projeções - Receita'!$F74</f>
        <v>20912207.868660595</v>
      </c>
      <c r="AQ48" s="81">
        <f>AQ36*'Projeções - Receita'!$F74</f>
        <v>20859662.756827045</v>
      </c>
      <c r="AR48" s="81">
        <f>AR36*'Projeções - Receita'!$F74</f>
        <v>20779631.715648025</v>
      </c>
      <c r="AS48" s="81">
        <f>AS36*'Projeções - Receita'!$F74</f>
        <v>20637249.937581271</v>
      </c>
      <c r="AT48" s="81">
        <f>AT36*'Projeções - Receita'!$F74</f>
        <v>20470294.979627218</v>
      </c>
      <c r="AU48" s="81">
        <f>AU36*'Projeções - Receita'!$F74</f>
        <v>20276440.039011702</v>
      </c>
      <c r="AV48" s="81">
        <f>AV36*'Projeções - Receita'!$F74</f>
        <v>20059474.498916339</v>
      </c>
      <c r="AW48" s="81">
        <f>AW36*'Projeções - Receita'!$F74</f>
        <v>19805549.898136105</v>
      </c>
      <c r="AX48" s="81">
        <f>AX36*'Projeções - Receita'!$F74</f>
        <v>19488631.129605547</v>
      </c>
      <c r="AY48" s="81">
        <f>AY36*'Projeções - Receita'!$F74</f>
        <v>19160717.205461636</v>
      </c>
      <c r="AZ48" s="81">
        <f>AZ36*'Projeções - Receita'!$F74</f>
        <v>18852617.685739052</v>
      </c>
      <c r="BA48" s="81">
        <f>BA36*'Projeções - Receita'!$F74</f>
        <v>18568204.913740788</v>
      </c>
      <c r="BB48" s="51">
        <f t="shared" si="142"/>
        <v>2.0636056945533943E-2</v>
      </c>
      <c r="BC48" s="164" t="s">
        <v>309</v>
      </c>
      <c r="BD48" s="166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</row>
    <row r="49" spans="1:68" ht="25.5" x14ac:dyDescent="0.25">
      <c r="A49" s="15"/>
      <c r="B49" s="5"/>
      <c r="C49" s="5"/>
      <c r="D49" s="5"/>
      <c r="E49" s="179" t="s">
        <v>101</v>
      </c>
      <c r="F49" s="81">
        <f>F37*'Projeções - Receita'!$F75</f>
        <v>12501933.810143042</v>
      </c>
      <c r="G49" s="81">
        <f>G37*'Projeções - Receita'!$F75</f>
        <v>13006073.133940183</v>
      </c>
      <c r="H49" s="81">
        <f>H37*'Projeções - Receita'!$F75</f>
        <v>13518146.14651062</v>
      </c>
      <c r="I49" s="81">
        <f>I37*'Projeções - Receita'!$F75</f>
        <v>14036929.234503685</v>
      </c>
      <c r="J49" s="81">
        <f>J37*'Projeções - Receita'!$F75</f>
        <v>14559387.991330732</v>
      </c>
      <c r="K49" s="81">
        <f>K37*'Projeções - Receita'!$F75</f>
        <v>15086274.741222367</v>
      </c>
      <c r="L49" s="81">
        <f>L37*'Projeções - Receita'!$F75</f>
        <v>15619747.949718248</v>
      </c>
      <c r="M49" s="81">
        <f>M37*'Projeções - Receita'!$F75</f>
        <v>16159974.692674469</v>
      </c>
      <c r="N49" s="81">
        <f>N37*'Projeções - Receita'!$F75</f>
        <v>16703633.733853489</v>
      </c>
      <c r="O49" s="81">
        <f>O37*'Projeções - Receita'!$F75</f>
        <v>17248837.985262245</v>
      </c>
      <c r="P49" s="81">
        <f>P37*'Projeções - Receita'!$F75</f>
        <v>17788550.945817079</v>
      </c>
      <c r="Q49" s="81">
        <f>Q37*'Projeções - Receita'!$F75</f>
        <v>18313058.071954921</v>
      </c>
      <c r="R49" s="81">
        <f>R37*'Projeções - Receita'!$F75</f>
        <v>18815945.775465973</v>
      </c>
      <c r="S49" s="81">
        <f>S37*'Projeções - Receita'!$F75</f>
        <v>19298187.538794972</v>
      </c>
      <c r="T49" s="81">
        <f>T37*'Projeções - Receita'!$F75</f>
        <v>19761822.073688772</v>
      </c>
      <c r="U49" s="81">
        <f>U37*'Projeções - Receita'!$F75</f>
        <v>20200954.403120935</v>
      </c>
      <c r="V49" s="81">
        <f>V37*'Projeções - Receita'!$F75</f>
        <v>20607516.598179452</v>
      </c>
      <c r="W49" s="81">
        <f>W37*'Projeções - Receita'!$F75</f>
        <v>20978637.465106197</v>
      </c>
      <c r="X49" s="81">
        <f>X37*'Projeções - Receita'!$F75</f>
        <v>21316349.921109665</v>
      </c>
      <c r="Y49" s="81">
        <f>Y37*'Projeções - Receita'!$F75</f>
        <v>21618430.794971824</v>
      </c>
      <c r="Z49" s="81">
        <f>Z37*'Projeções - Receita'!$F75</f>
        <v>21907155.257910706</v>
      </c>
      <c r="AA49" s="81">
        <f>AA37*'Projeções - Receita'!$F75</f>
        <v>22215816.795838751</v>
      </c>
      <c r="AB49" s="81">
        <f>AB37*'Projeções - Receita'!$F75</f>
        <v>22565892.86519289</v>
      </c>
      <c r="AC49" s="81">
        <f>AC37*'Projeções - Receita'!$F75</f>
        <v>22952214.737754658</v>
      </c>
      <c r="AD49" s="81">
        <f>AD37*'Projeções - Receita'!$F75</f>
        <v>23371696.821846552</v>
      </c>
      <c r="AE49" s="81">
        <f>AE37*'Projeções - Receita'!$F75</f>
        <v>23825526.032076288</v>
      </c>
      <c r="AF49" s="81">
        <f>AF37*'Projeções - Receita'!$F75</f>
        <v>24312656.454269614</v>
      </c>
      <c r="AG49" s="81">
        <f>AG37*'Projeções - Receita'!$F75</f>
        <v>24829165.185955785</v>
      </c>
      <c r="AH49" s="81">
        <f>AH37*'Projeções - Receita'!$F75</f>
        <v>25372140.471608147</v>
      </c>
      <c r="AI49" s="81">
        <f>AI37*'Projeções - Receita'!$F75</f>
        <v>25942242.888599914</v>
      </c>
      <c r="AJ49" s="81">
        <f>AJ37*'Projeções - Receita'!$F75</f>
        <v>26510282.449934982</v>
      </c>
      <c r="AK49" s="81">
        <f>AK37*'Projeções - Receita'!$F75</f>
        <v>27033670.264412656</v>
      </c>
      <c r="AL49" s="81">
        <f>AL37*'Projeções - Receita'!$F75</f>
        <v>27484470.862592112</v>
      </c>
      <c r="AM49" s="81">
        <f>AM37*'Projeções - Receita'!$F75</f>
        <v>27864668.873862159</v>
      </c>
      <c r="AN49" s="81">
        <f>AN37*'Projeções - Receita'!$F75</f>
        <v>28172747.094928477</v>
      </c>
      <c r="AO49" s="81">
        <f>AO37*'Projeções - Receita'!$F75</f>
        <v>28409679.008235805</v>
      </c>
      <c r="AP49" s="81">
        <f>AP37*'Projeções - Receita'!$F75</f>
        <v>28581250.460338101</v>
      </c>
      <c r="AQ49" s="81">
        <f>AQ37*'Projeções - Receita'!$F75</f>
        <v>28693396.990030341</v>
      </c>
      <c r="AR49" s="81">
        <f>AR37*'Projeções - Receita'!$F75</f>
        <v>28743679.096662331</v>
      </c>
      <c r="AS49" s="81">
        <f>AS37*'Projeções - Receita'!$F75</f>
        <v>28726236.570437796</v>
      </c>
      <c r="AT49" s="81">
        <f>AT37*'Projeções - Receita'!$F75</f>
        <v>28668549.043779802</v>
      </c>
      <c r="AU49" s="81">
        <f>AU37*'Projeções - Receita'!$F75</f>
        <v>28612117.000433464</v>
      </c>
      <c r="AV49" s="81">
        <f>AV37*'Projeções - Receita'!$F75</f>
        <v>28582037.551798873</v>
      </c>
      <c r="AW49" s="81">
        <f>AW37*'Projeções - Receita'!$F75</f>
        <v>28575779.450368445</v>
      </c>
      <c r="AX49" s="81">
        <f>AX37*'Projeções - Receita'!$F75</f>
        <v>28598749.000433464</v>
      </c>
      <c r="AY49" s="81">
        <f>AY37*'Projeções - Receita'!$F75</f>
        <v>28627054.354573037</v>
      </c>
      <c r="AZ49" s="81">
        <f>AZ37*'Projeções - Receita'!$F75</f>
        <v>28620923.732986562</v>
      </c>
      <c r="BA49" s="81">
        <f>BA37*'Projeções - Receita'!$F75</f>
        <v>28554998.304291286</v>
      </c>
      <c r="BB49" s="51">
        <f t="shared" si="142"/>
        <v>3.6409547997436897E-2</v>
      </c>
      <c r="BC49" s="164" t="s">
        <v>309</v>
      </c>
      <c r="BD49" s="166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</row>
    <row r="50" spans="1:68" ht="25.5" x14ac:dyDescent="0.25">
      <c r="A50" s="15"/>
      <c r="B50" s="5"/>
      <c r="C50" s="5"/>
      <c r="D50" s="5"/>
      <c r="E50" s="182" t="s">
        <v>102</v>
      </c>
      <c r="F50" s="81">
        <f>F38*'Projeções - Receita'!$F76</f>
        <v>10302735</v>
      </c>
      <c r="G50" s="81">
        <f>G38*'Projeções - Receita'!$F76</f>
        <v>10655592</v>
      </c>
      <c r="H50" s="81">
        <f>H38*'Projeções - Receita'!$F76</f>
        <v>11040882</v>
      </c>
      <c r="I50" s="81">
        <f>I38*'Projeções - Receita'!$F76</f>
        <v>11459801</v>
      </c>
      <c r="J50" s="81">
        <f>J38*'Projeções - Receita'!$F76</f>
        <v>11915240</v>
      </c>
      <c r="K50" s="81">
        <f>K38*'Projeções - Receita'!$F76</f>
        <v>12404101</v>
      </c>
      <c r="L50" s="81">
        <f>L38*'Projeções - Receita'!$F76</f>
        <v>12921485</v>
      </c>
      <c r="M50" s="81">
        <f>M38*'Projeções - Receita'!$F76</f>
        <v>13464105</v>
      </c>
      <c r="N50" s="81">
        <f>N38*'Projeções - Receita'!$F76</f>
        <v>14034327</v>
      </c>
      <c r="O50" s="81">
        <f>O38*'Projeções - Receita'!$F76</f>
        <v>14633321</v>
      </c>
      <c r="P50" s="81">
        <f>P38*'Projeções - Receita'!$F76</f>
        <v>15260692</v>
      </c>
      <c r="Q50" s="81">
        <f>Q38*'Projeções - Receita'!$F76</f>
        <v>15916815</v>
      </c>
      <c r="R50" s="81">
        <f>R38*'Projeções - Receita'!$F76</f>
        <v>16600956</v>
      </c>
      <c r="S50" s="81">
        <f>S38*'Projeções - Receita'!$F76</f>
        <v>17312538</v>
      </c>
      <c r="T50" s="81">
        <f>T38*'Projeções - Receita'!$F76</f>
        <v>18050723</v>
      </c>
      <c r="U50" s="81">
        <f>U38*'Projeções - Receita'!$F76</f>
        <v>18813097</v>
      </c>
      <c r="V50" s="81">
        <f>V38*'Projeções - Receita'!$F76</f>
        <v>19597261</v>
      </c>
      <c r="W50" s="81">
        <f>W38*'Projeções - Receita'!$F76</f>
        <v>20400353</v>
      </c>
      <c r="X50" s="81">
        <f>X38*'Projeções - Receita'!$F76</f>
        <v>21221212</v>
      </c>
      <c r="Y50" s="81">
        <f>Y38*'Projeções - Receita'!$F76</f>
        <v>22059133</v>
      </c>
      <c r="Z50" s="81">
        <f>Z38*'Projeções - Receita'!$F76</f>
        <v>22907267</v>
      </c>
      <c r="AA50" s="81">
        <f>AA38*'Projeções - Receita'!$F76</f>
        <v>23756958</v>
      </c>
      <c r="AB50" s="81">
        <f>AB38*'Projeções - Receita'!$F76</f>
        <v>24601527</v>
      </c>
      <c r="AC50" s="81">
        <f>AC38*'Projeções - Receita'!$F76</f>
        <v>25441355</v>
      </c>
      <c r="AD50" s="81">
        <f>AD38*'Projeções - Receita'!$F76</f>
        <v>26277678</v>
      </c>
      <c r="AE50" s="81">
        <f>AE38*'Projeções - Receita'!$F76</f>
        <v>27103369</v>
      </c>
      <c r="AF50" s="81">
        <f>AF38*'Projeções - Receita'!$F76</f>
        <v>27909465</v>
      </c>
      <c r="AG50" s="81">
        <f>AG38*'Projeções - Receita'!$F76</f>
        <v>28691396</v>
      </c>
      <c r="AH50" s="81">
        <f>AH38*'Projeções - Receita'!$F76</f>
        <v>29450694</v>
      </c>
      <c r="AI50" s="81">
        <f>AI38*'Projeções - Receita'!$F76</f>
        <v>30185370</v>
      </c>
      <c r="AJ50" s="81">
        <f>AJ38*'Projeções - Receita'!$F76</f>
        <v>30910481</v>
      </c>
      <c r="AK50" s="81">
        <f>AK38*'Projeções - Receita'!$F76</f>
        <v>31649596</v>
      </c>
      <c r="AL50" s="81">
        <f>AL38*'Projeções - Receita'!$F76</f>
        <v>32417148</v>
      </c>
      <c r="AM50" s="81">
        <f>AM38*'Projeções - Receita'!$F76</f>
        <v>33209386</v>
      </c>
      <c r="AN50" s="81">
        <f>AN38*'Projeções - Receita'!$F76</f>
        <v>34025297</v>
      </c>
      <c r="AO50" s="81">
        <f>AO38*'Projeções - Receita'!$F76</f>
        <v>34860189</v>
      </c>
      <c r="AP50" s="81">
        <f>AP38*'Projeções - Receita'!$F76</f>
        <v>35705769</v>
      </c>
      <c r="AQ50" s="81">
        <f>AQ38*'Projeções - Receita'!$F76</f>
        <v>36554843</v>
      </c>
      <c r="AR50" s="81">
        <f>AR38*'Projeções - Receita'!$F76</f>
        <v>37406548</v>
      </c>
      <c r="AS50" s="81">
        <f>AS38*'Projeções - Receita'!$F76</f>
        <v>38260348</v>
      </c>
      <c r="AT50" s="81">
        <f>AT38*'Projeções - Receita'!$F76</f>
        <v>39103175</v>
      </c>
      <c r="AU50" s="81">
        <f>AU38*'Projeções - Receita'!$F76</f>
        <v>39917244</v>
      </c>
      <c r="AV50" s="81">
        <f>AV38*'Projeções - Receita'!$F76</f>
        <v>40690285</v>
      </c>
      <c r="AW50" s="81">
        <f>AW38*'Projeções - Receita'!$F76</f>
        <v>41421589</v>
      </c>
      <c r="AX50" s="81">
        <f>AX38*'Projeções - Receita'!$F76</f>
        <v>42109584</v>
      </c>
      <c r="AY50" s="81">
        <f>AY38*'Projeções - Receita'!$F76</f>
        <v>42751626</v>
      </c>
      <c r="AZ50" s="81">
        <f>AZ38*'Projeções - Receita'!$F76</f>
        <v>43346342</v>
      </c>
      <c r="BA50" s="81">
        <f>BA38*'Projeções - Receita'!$F76</f>
        <v>43893450</v>
      </c>
      <c r="BB50" s="51">
        <f t="shared" si="142"/>
        <v>3.975798275191611E-2</v>
      </c>
      <c r="BC50" s="164" t="s">
        <v>309</v>
      </c>
      <c r="BD50" s="166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</row>
    <row r="51" spans="1:68" s="2" customFormat="1" ht="30" customHeight="1" thickBot="1" x14ac:dyDescent="0.3">
      <c r="A51" s="177"/>
      <c r="B51" s="178"/>
      <c r="C51" s="178"/>
      <c r="D51" s="178"/>
      <c r="E51" s="316" t="s">
        <v>122</v>
      </c>
      <c r="F51" s="254">
        <f t="shared" ref="F51" si="143">SUM(F44:F50)</f>
        <v>84736728.893801466</v>
      </c>
      <c r="G51" s="254">
        <f t="shared" ref="G51" si="144">SUM(G44:G50)</f>
        <v>86176530.277416557</v>
      </c>
      <c r="H51" s="254">
        <f t="shared" ref="H51" si="145">SUM(H44:H50)</f>
        <v>87650795.08885999</v>
      </c>
      <c r="I51" s="254">
        <f t="shared" ref="I51" si="146">SUM(I44:I50)</f>
        <v>89131034.014737755</v>
      </c>
      <c r="J51" s="254">
        <f t="shared" ref="J51" si="147">SUM(J44:J50)</f>
        <v>90628216.930212393</v>
      </c>
      <c r="K51" s="254">
        <f t="shared" ref="K51" si="148">SUM(K44:K50)</f>
        <v>92153750.50715214</v>
      </c>
      <c r="L51" s="254">
        <f t="shared" ref="L51" si="149">SUM(L44:L50)</f>
        <v>93680406.497615948</v>
      </c>
      <c r="M51" s="254">
        <f t="shared" ref="M51" si="150">SUM(M44:M50)</f>
        <v>95200793.824013874</v>
      </c>
      <c r="N51" s="254">
        <f t="shared" ref="N51" si="151">SUM(N44:N50)</f>
        <v>96714644.034677058</v>
      </c>
      <c r="O51" s="254">
        <f t="shared" ref="O51" si="152">SUM(O44:O50)</f>
        <v>98215048.072388381</v>
      </c>
      <c r="P51" s="254">
        <f t="shared" ref="P51" si="153">SUM(P44:P50)</f>
        <v>99705119.951885566</v>
      </c>
      <c r="Q51" s="254">
        <f t="shared" ref="Q51" si="154">SUM(Q44:Q50)</f>
        <v>101186523.70134374</v>
      </c>
      <c r="R51" s="254">
        <f t="shared" ref="R51" si="155">SUM(R44:R50)</f>
        <v>102659838.72821847</v>
      </c>
      <c r="S51" s="254">
        <f t="shared" ref="S51" si="156">SUM(S44:S50)</f>
        <v>104121338.46337235</v>
      </c>
      <c r="T51" s="254">
        <f t="shared" ref="T51" si="157">SUM(T44:T50)</f>
        <v>105567589.2154313</v>
      </c>
      <c r="U51" s="256">
        <f t="shared" ref="U51" si="158">SUM(U44:U50)</f>
        <v>106995026.58084092</v>
      </c>
      <c r="V51" s="254">
        <f t="shared" ref="V51" si="159">SUM(V44:V50)</f>
        <v>108394727.24403986</v>
      </c>
      <c r="W51" s="254">
        <f t="shared" ref="W51" si="160">SUM(W44:W50)</f>
        <v>109759305.88339835</v>
      </c>
      <c r="X51" s="254">
        <f t="shared" ref="X51" si="161">SUM(X44:X50)</f>
        <v>111092226.21413091</v>
      </c>
      <c r="Y51" s="254">
        <f t="shared" ref="Y51" si="162">SUM(Y44:Y50)</f>
        <v>112386732.18248808</v>
      </c>
      <c r="Z51" s="254">
        <f t="shared" ref="Z51" si="163">SUM(Z44:Z50)</f>
        <v>113650262.57217166</v>
      </c>
      <c r="AA51" s="254">
        <f t="shared" ref="AA51" si="164">SUM(AA44:AA50)</f>
        <v>114894456.10359773</v>
      </c>
      <c r="AB51" s="254">
        <f t="shared" ref="AB51" si="165">SUM(AB44:AB50)</f>
        <v>116125432.43086259</v>
      </c>
      <c r="AC51" s="254">
        <f t="shared" ref="AC51" si="166">SUM(AC44:AC50)</f>
        <v>117330590.02427395</v>
      </c>
      <c r="AD51" s="254">
        <f t="shared" ref="AD51" si="167">SUM(AD44:AD50)</f>
        <v>118508886.0424794</v>
      </c>
      <c r="AE51" s="254">
        <f t="shared" ref="AE51" si="168">SUM(AE44:AE50)</f>
        <v>119661674.52839185</v>
      </c>
      <c r="AF51" s="254">
        <f t="shared" ref="AF51" si="169">SUM(AF44:AF50)</f>
        <v>120774416.70047681</v>
      </c>
      <c r="AG51" s="254">
        <f t="shared" ref="AG51" si="170">SUM(AG44:AG50)</f>
        <v>121838523.2258344</v>
      </c>
      <c r="AH51" s="254">
        <f t="shared" ref="AH51" si="171">SUM(AH44:AH50)</f>
        <v>122858348.51668833</v>
      </c>
      <c r="AI51" s="254">
        <f t="shared" ref="AI51" si="172">SUM(AI44:AI50)</f>
        <v>123824185.93021239</v>
      </c>
      <c r="AJ51" s="254">
        <f t="shared" ref="AJ51" si="173">SUM(AJ44:AJ50)</f>
        <v>124742835.00780234</v>
      </c>
      <c r="AK51" s="254">
        <f t="shared" ref="AK51" si="174">SUM(AK44:AK50)</f>
        <v>125618656.42782834</v>
      </c>
      <c r="AL51" s="256">
        <f t="shared" ref="AL51" si="175">SUM(AL44:AL50)</f>
        <v>126453764.49631557</v>
      </c>
      <c r="AM51" s="254">
        <f t="shared" ref="AM51" si="176">SUM(AM44:AM50)</f>
        <v>127235812.74252276</v>
      </c>
      <c r="AN51" s="254">
        <f t="shared" ref="AN51" si="177">SUM(AN44:AN50)</f>
        <v>127962327.66883397</v>
      </c>
      <c r="AO51" s="254">
        <f t="shared" ref="AO51" si="178">SUM(AO44:AO50)</f>
        <v>128638815.17815346</v>
      </c>
      <c r="AP51" s="254">
        <f t="shared" ref="AP51" si="179">SUM(AP44:AP50)</f>
        <v>129252815.24187256</v>
      </c>
      <c r="AQ51" s="254">
        <f t="shared" ref="AQ51" si="180">SUM(AQ44:AQ50)</f>
        <v>129796165.98352838</v>
      </c>
      <c r="AR51" s="254">
        <f t="shared" ref="AR51" si="181">SUM(AR44:AR50)</f>
        <v>130277429.3953186</v>
      </c>
      <c r="AS51" s="254">
        <f t="shared" ref="AS51" si="182">SUM(AS44:AS50)</f>
        <v>130684921.48721282</v>
      </c>
      <c r="AT51" s="254">
        <f t="shared" ref="AT51" si="183">SUM(AT44:AT50)</f>
        <v>131033100.66233204</v>
      </c>
      <c r="AU51" s="256">
        <f t="shared" ref="AU51" si="184">SUM(AU44:AU50)</f>
        <v>131338965.80277416</v>
      </c>
      <c r="AV51" s="254">
        <f t="shared" ref="AV51" si="185">SUM(AV44:AV50)</f>
        <v>131612591.84395319</v>
      </c>
      <c r="AW51" s="254">
        <f t="shared" ref="AW51" si="186">SUM(AW44:AW50)</f>
        <v>131833908.30645861</v>
      </c>
      <c r="AX51" s="254">
        <f t="shared" ref="AX51" si="187">SUM(AX44:AX50)</f>
        <v>132003586.19939315</v>
      </c>
      <c r="AY51" s="254">
        <f t="shared" ref="AY51" si="188">SUM(AY44:AY50)</f>
        <v>132131695.63415691</v>
      </c>
      <c r="AZ51" s="254">
        <f t="shared" ref="AZ51" si="189">SUM(AZ44:AZ50)</f>
        <v>132197409.25574338</v>
      </c>
      <c r="BA51" s="256">
        <f>SUM(BA44:BA50)</f>
        <v>132189415.97919375</v>
      </c>
      <c r="BB51" s="302">
        <f t="shared" si="142"/>
        <v>1.6536381535636524E-2</v>
      </c>
      <c r="BC51" s="317"/>
      <c r="BD51" s="319"/>
      <c r="BE51" s="183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</row>
    <row r="52" spans="1:68" ht="30" customHeight="1" x14ac:dyDescent="0.25">
      <c r="A52" s="15"/>
      <c r="B52" s="5"/>
      <c r="C52" s="5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</row>
    <row r="53" spans="1:68" ht="30" customHeight="1" x14ac:dyDescent="0.25">
      <c r="A53" s="15"/>
      <c r="B53" s="5"/>
      <c r="C53" s="5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</row>
    <row r="54" spans="1:68" ht="30" customHeight="1" x14ac:dyDescent="0.25">
      <c r="A54" s="15"/>
      <c r="B54" s="5"/>
      <c r="C54" s="5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</row>
    <row r="55" spans="1:68" ht="30" customHeight="1" x14ac:dyDescent="0.25">
      <c r="A55" s="15"/>
      <c r="B55" s="5"/>
      <c r="C55" s="5"/>
      <c r="D55" s="175"/>
      <c r="E55" s="34"/>
      <c r="F55" s="35">
        <f t="shared" ref="F55" si="190">G55-1</f>
        <v>2013</v>
      </c>
      <c r="G55" s="35">
        <f t="shared" ref="G55" si="191">H55-1</f>
        <v>2014</v>
      </c>
      <c r="H55" s="35">
        <f>I55-1</f>
        <v>2015</v>
      </c>
      <c r="I55" s="35">
        <v>2016</v>
      </c>
      <c r="J55" s="35">
        <v>2017</v>
      </c>
      <c r="K55" s="35">
        <v>2018</v>
      </c>
      <c r="L55" s="35">
        <v>2019</v>
      </c>
      <c r="M55" s="35">
        <v>2020</v>
      </c>
      <c r="N55" s="35">
        <v>2021</v>
      </c>
      <c r="O55" s="35">
        <f>N55+1</f>
        <v>2022</v>
      </c>
      <c r="P55" s="70">
        <f t="shared" ref="P55" si="192">O55+1</f>
        <v>2023</v>
      </c>
      <c r="Q55" s="70">
        <f t="shared" ref="Q55" si="193">P55+1</f>
        <v>2024</v>
      </c>
      <c r="R55" s="70">
        <f t="shared" ref="R55" si="194">Q55+1</f>
        <v>2025</v>
      </c>
      <c r="S55" s="70">
        <f t="shared" ref="S55" si="195">R55+1</f>
        <v>2026</v>
      </c>
      <c r="T55" s="70">
        <f t="shared" ref="T55" si="196">S55+1</f>
        <v>2027</v>
      </c>
      <c r="U55" s="70">
        <f t="shared" ref="U55" si="197">T55+1</f>
        <v>2028</v>
      </c>
      <c r="V55" s="70">
        <f t="shared" ref="V55" si="198">U55+1</f>
        <v>2029</v>
      </c>
      <c r="W55" s="70">
        <f t="shared" ref="W55" si="199">V55+1</f>
        <v>2030</v>
      </c>
      <c r="X55" s="70">
        <f t="shared" ref="X55" si="200">W55+1</f>
        <v>2031</v>
      </c>
      <c r="Y55" s="70">
        <f t="shared" ref="Y55" si="201">X55+1</f>
        <v>2032</v>
      </c>
      <c r="Z55" s="70">
        <f t="shared" ref="Z55" si="202">Y55+1</f>
        <v>2033</v>
      </c>
      <c r="AA55" s="70">
        <f t="shared" ref="AA55" si="203">Z55+1</f>
        <v>2034</v>
      </c>
      <c r="AB55" s="70">
        <f t="shared" ref="AB55" si="204">AA55+1</f>
        <v>2035</v>
      </c>
      <c r="AC55" s="70">
        <f t="shared" ref="AC55" si="205">AB55+1</f>
        <v>2036</v>
      </c>
      <c r="AD55" s="70">
        <f t="shared" ref="AD55" si="206">AC55+1</f>
        <v>2037</v>
      </c>
      <c r="AE55" s="70">
        <f t="shared" ref="AE55" si="207">AD55+1</f>
        <v>2038</v>
      </c>
      <c r="AF55" s="70">
        <f t="shared" ref="AF55" si="208">AE55+1</f>
        <v>2039</v>
      </c>
      <c r="AG55" s="70">
        <f t="shared" ref="AG55" si="209">AF55+1</f>
        <v>2040</v>
      </c>
      <c r="AH55" s="70">
        <f t="shared" ref="AH55" si="210">AG55+1</f>
        <v>2041</v>
      </c>
      <c r="AI55" s="70">
        <f t="shared" ref="AI55" si="211">AH55+1</f>
        <v>2042</v>
      </c>
      <c r="AJ55" s="70">
        <f t="shared" ref="AJ55" si="212">AI55+1</f>
        <v>2043</v>
      </c>
      <c r="AK55" s="70">
        <f t="shared" ref="AK55" si="213">AJ55+1</f>
        <v>2044</v>
      </c>
      <c r="AL55" s="70">
        <f t="shared" ref="AL55" si="214">AK55+1</f>
        <v>2045</v>
      </c>
      <c r="AM55" s="70">
        <f t="shared" ref="AM55" si="215">AL55+1</f>
        <v>2046</v>
      </c>
      <c r="AN55" s="70">
        <f t="shared" ref="AN55" si="216">AM55+1</f>
        <v>2047</v>
      </c>
      <c r="AO55" s="70">
        <f t="shared" ref="AO55" si="217">AN55+1</f>
        <v>2048</v>
      </c>
      <c r="AP55" s="70">
        <f t="shared" ref="AP55" si="218">AO55+1</f>
        <v>2049</v>
      </c>
      <c r="AQ55" s="70">
        <f t="shared" ref="AQ55" si="219">AP55+1</f>
        <v>2050</v>
      </c>
      <c r="AR55" s="70">
        <f t="shared" ref="AR55" si="220">AQ55+1</f>
        <v>2051</v>
      </c>
      <c r="AS55" s="70">
        <f t="shared" ref="AS55" si="221">AR55+1</f>
        <v>2052</v>
      </c>
      <c r="AT55" s="70">
        <f t="shared" ref="AT55" si="222">AS55+1</f>
        <v>2053</v>
      </c>
      <c r="AU55" s="70">
        <f t="shared" ref="AU55" si="223">AT55+1</f>
        <v>2054</v>
      </c>
      <c r="AV55" s="70">
        <f t="shared" ref="AV55" si="224">AU55+1</f>
        <v>2055</v>
      </c>
      <c r="AW55" s="70">
        <f t="shared" ref="AW55" si="225">AV55+1</f>
        <v>2056</v>
      </c>
      <c r="AX55" s="70">
        <f t="shared" ref="AX55" si="226">AW55+1</f>
        <v>2057</v>
      </c>
      <c r="AY55" s="70">
        <f t="shared" ref="AY55" si="227">AX55+1</f>
        <v>2058</v>
      </c>
      <c r="AZ55" s="70">
        <f t="shared" ref="AZ55" si="228">AY55+1</f>
        <v>2059</v>
      </c>
      <c r="BA55" s="70">
        <f t="shared" ref="BA55" si="229">AZ55+1</f>
        <v>2060</v>
      </c>
      <c r="BB55" s="70" t="s">
        <v>373</v>
      </c>
      <c r="BC55" s="35" t="s">
        <v>66</v>
      </c>
      <c r="BD55" s="160" t="s">
        <v>67</v>
      </c>
      <c r="BE55" s="119" t="s">
        <v>301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</row>
    <row r="56" spans="1:68" ht="30" customHeight="1" x14ac:dyDescent="0.25">
      <c r="A56" s="15"/>
      <c r="B56" s="5"/>
      <c r="C56" s="5"/>
      <c r="D56" s="175"/>
      <c r="E56" s="184" t="s">
        <v>307</v>
      </c>
      <c r="F56" s="185">
        <f>F26*1000/F51</f>
        <v>782.51367266338559</v>
      </c>
      <c r="G56" s="185">
        <f t="shared" ref="G56:O56" si="230">G26*1000/G51</f>
        <v>884.25168688893814</v>
      </c>
      <c r="H56" s="185">
        <f t="shared" si="230"/>
        <v>985.58014684940383</v>
      </c>
      <c r="I56" s="185">
        <f t="shared" si="230"/>
        <v>1098.194080154602</v>
      </c>
      <c r="J56" s="185">
        <f t="shared" si="230"/>
        <v>1214.8998630097544</v>
      </c>
      <c r="K56" s="185">
        <f t="shared" si="230"/>
        <v>1295.2971667302866</v>
      </c>
      <c r="L56" s="185">
        <f t="shared" si="230"/>
        <v>1368.6539500383521</v>
      </c>
      <c r="M56" s="185">
        <f t="shared" si="230"/>
        <v>1516.4343656897952</v>
      </c>
      <c r="N56" s="185">
        <f t="shared" si="230"/>
        <v>1756.8018420024553</v>
      </c>
      <c r="O56" s="185">
        <f t="shared" si="230"/>
        <v>1959.9766947742439</v>
      </c>
      <c r="P56" s="185">
        <f t="shared" ref="P56" si="231">O56*(1+P57)</f>
        <v>2094.1939388556898</v>
      </c>
      <c r="Q56" s="185">
        <f t="shared" ref="Q56" si="232">P56*(1+Q57)</f>
        <v>2276.7044484465991</v>
      </c>
      <c r="R56" s="185">
        <f t="shared" ref="R56" si="233">Q56*(1+R57)</f>
        <v>2445.3868470546763</v>
      </c>
      <c r="S56" s="185">
        <f t="shared" ref="S56" si="234">R56*(1+S57)</f>
        <v>2667.9723158793954</v>
      </c>
      <c r="T56" s="185">
        <f t="shared" ref="T56" si="235">S56*(1+T57)</f>
        <v>2902.4636042888146</v>
      </c>
      <c r="U56" s="185">
        <f t="shared" ref="U56" si="236">T56*(1+U57)</f>
        <v>3171.0941572711154</v>
      </c>
      <c r="V56" s="185">
        <f t="shared" ref="V56" si="237">U56*(1+V57)</f>
        <v>3458.1828246113409</v>
      </c>
      <c r="W56" s="185">
        <f t="shared" ref="W56" si="238">V56*(1+W57)</f>
        <v>3788.0879329867439</v>
      </c>
      <c r="X56" s="185">
        <f t="shared" ref="X56" si="239">W56*(1+X57)</f>
        <v>4148.0744749639935</v>
      </c>
      <c r="Y56" s="185">
        <f t="shared" ref="Y56" si="240">X56*(1+Y57)</f>
        <v>4511.4267178282553</v>
      </c>
      <c r="Z56" s="185">
        <f t="shared" ref="Z56" si="241">Y56*(1+Z57)</f>
        <v>4884.8411164042745</v>
      </c>
      <c r="AA56" s="185">
        <f t="shared" ref="AA56" si="242">Z56*(1+AA57)</f>
        <v>5302.8154774340774</v>
      </c>
      <c r="AB56" s="185">
        <f t="shared" ref="AB56" si="243">AA56*(1+AB57)</f>
        <v>5756.5540654500119</v>
      </c>
      <c r="AC56" s="185">
        <f t="shared" ref="AC56" si="244">AB56*(1+AC57)</f>
        <v>6249.1170679926827</v>
      </c>
      <c r="AD56" s="185">
        <f t="shared" ref="AD56" si="245">AC56*(1+AD57)</f>
        <v>6783.8265193857187</v>
      </c>
      <c r="AE56" s="185">
        <f t="shared" ref="AE56" si="246">AD56*(1+AE57)</f>
        <v>7364.2887058128708</v>
      </c>
      <c r="AF56" s="185">
        <f t="shared" ref="AF56" si="247">AE56*(1+AF57)</f>
        <v>7994.4184874989742</v>
      </c>
      <c r="AG56" s="185">
        <f t="shared" ref="AG56" si="248">AF56*(1+AG57)</f>
        <v>8678.4657020329178</v>
      </c>
      <c r="AH56" s="185">
        <f t="shared" ref="AH56" si="249">AG56*(1+AH57)</f>
        <v>9421.0438269067872</v>
      </c>
      <c r="AI56" s="185">
        <f t="shared" ref="AI56" si="250">AH56*(1+AI57)</f>
        <v>10227.161094582365</v>
      </c>
      <c r="AJ56" s="185">
        <f t="shared" ref="AJ56" si="251">AI56*(1+AJ57)</f>
        <v>11102.254269936964</v>
      </c>
      <c r="AK56" s="185">
        <f t="shared" ref="AK56" si="252">AJ56*(1+AK57)</f>
        <v>12052.225317896686</v>
      </c>
      <c r="AL56" s="185">
        <f t="shared" ref="AL56" si="253">AK56*(1+AL57)</f>
        <v>13083.481208557709</v>
      </c>
      <c r="AM56" s="185">
        <f t="shared" ref="AM56" si="254">AL56*(1+AM57)</f>
        <v>14202.977128256678</v>
      </c>
      <c r="AN56" s="185">
        <f t="shared" ref="AN56" si="255">AM56*(1+AN57)</f>
        <v>15418.26338802224</v>
      </c>
      <c r="AO56" s="185">
        <f t="shared" ref="AO56" si="256">AN56*(1+AO57)</f>
        <v>16737.5363457764</v>
      </c>
      <c r="AP56" s="185">
        <f t="shared" ref="AP56" si="257">AO56*(1+AP57)</f>
        <v>18169.693685724567</v>
      </c>
      <c r="AQ56" s="185">
        <f t="shared" ref="AQ56" si="258">AP56*(1+AQ57)</f>
        <v>19724.394427759806</v>
      </c>
      <c r="AR56" s="185">
        <f t="shared" ref="AR56" si="259">AQ56*(1+AR57)</f>
        <v>21412.124071607734</v>
      </c>
      <c r="AS56" s="185">
        <f t="shared" ref="AS56" si="260">AR56*(1+AS57)</f>
        <v>23244.265315069297</v>
      </c>
      <c r="AT56" s="185">
        <f t="shared" ref="AT56" si="261">AS56*(1+AT57)</f>
        <v>25233.174823312394</v>
      </c>
      <c r="AU56" s="185">
        <f t="shared" ref="AU56" si="262">AT56*(1+AU57)</f>
        <v>27392.26656697402</v>
      </c>
      <c r="AV56" s="185">
        <f t="shared" ref="AV56" si="263">AU56*(1+AV57)</f>
        <v>29736.1022911371</v>
      </c>
      <c r="AW56" s="185">
        <f t="shared" ref="AW56" si="264">AV56*(1+AW57)</f>
        <v>32280.489725339627</v>
      </c>
      <c r="AX56" s="185">
        <f t="shared" ref="AX56" si="265">AW56*(1+AX57)</f>
        <v>35042.589196982153</v>
      </c>
      <c r="AY56" s="185">
        <f t="shared" ref="AY56" si="266">AX56*(1+AY57)</f>
        <v>38041.029367175455</v>
      </c>
      <c r="AZ56" s="185">
        <f t="shared" ref="AZ56" si="267">AY56*(1+AZ57)</f>
        <v>41296.032869595452</v>
      </c>
      <c r="BA56" s="185">
        <f t="shared" ref="BA56" si="268">AZ56*(1+BA57)</f>
        <v>44829.552699702115</v>
      </c>
      <c r="BB56" s="135"/>
      <c r="BC56" s="164" t="s">
        <v>308</v>
      </c>
      <c r="BD56" s="165" t="s">
        <v>284</v>
      </c>
      <c r="BE56" s="113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</row>
    <row r="57" spans="1:68" ht="30" customHeight="1" x14ac:dyDescent="0.25">
      <c r="A57" s="15"/>
      <c r="B57" s="5"/>
      <c r="C57" s="5"/>
      <c r="D57" s="175"/>
      <c r="E57" s="186" t="s">
        <v>302</v>
      </c>
      <c r="F57" s="187" t="s">
        <v>121</v>
      </c>
      <c r="G57" s="187">
        <f>G56/F56-1</f>
        <v>0.13001435985044729</v>
      </c>
      <c r="H57" s="187">
        <f t="shared" ref="H57:O57" si="269">H56/G56-1</f>
        <v>0.11459232870334635</v>
      </c>
      <c r="I57" s="187">
        <f t="shared" si="269"/>
        <v>0.11426156834143852</v>
      </c>
      <c r="J57" s="187">
        <f t="shared" si="269"/>
        <v>0.10627063554988636</v>
      </c>
      <c r="K57" s="187">
        <f t="shared" si="269"/>
        <v>6.6176074397900075E-2</v>
      </c>
      <c r="L57" s="187">
        <f t="shared" si="269"/>
        <v>5.6633168968662106E-2</v>
      </c>
      <c r="M57" s="187">
        <f t="shared" si="269"/>
        <v>0.10797500394259774</v>
      </c>
      <c r="N57" s="187">
        <f t="shared" si="269"/>
        <v>0.15850832832011275</v>
      </c>
      <c r="O57" s="187">
        <f t="shared" si="269"/>
        <v>0.11565040969003304</v>
      </c>
      <c r="P57" s="187">
        <f t="shared" ref="P57:AZ57" si="270">(1+O58)*(1+P60)-1</f>
        <v>6.8479000000000179E-2</v>
      </c>
      <c r="Q57" s="187">
        <f t="shared" si="270"/>
        <v>8.7150719999999904E-2</v>
      </c>
      <c r="R57" s="187">
        <f>(1+Q58)*(1+R60)-1</f>
        <v>7.4090599999999895E-2</v>
      </c>
      <c r="S57" s="187">
        <f t="shared" si="270"/>
        <v>9.1022600000000065E-2</v>
      </c>
      <c r="T57" s="187">
        <f t="shared" si="270"/>
        <v>8.7891200000000058E-2</v>
      </c>
      <c r="U57" s="187">
        <f t="shared" si="270"/>
        <v>9.2552599999999874E-2</v>
      </c>
      <c r="V57" s="187">
        <f t="shared" si="270"/>
        <v>9.0532999999999975E-2</v>
      </c>
      <c r="W57" s="187">
        <f t="shared" si="270"/>
        <v>9.5398400000000105E-2</v>
      </c>
      <c r="X57" s="187">
        <f t="shared" si="270"/>
        <v>9.5031199999999982E-2</v>
      </c>
      <c r="Y57" s="187">
        <f t="shared" si="270"/>
        <v>8.7595400000000101E-2</v>
      </c>
      <c r="Z57" s="187">
        <f t="shared" si="270"/>
        <v>8.2770800000000033E-2</v>
      </c>
      <c r="AA57" s="187">
        <f t="shared" si="270"/>
        <v>8.5565600000000241E-2</v>
      </c>
      <c r="AB57" s="187">
        <f t="shared" si="270"/>
        <v>8.5565600000000241E-2</v>
      </c>
      <c r="AC57" s="187">
        <f t="shared" si="270"/>
        <v>8.5565600000000241E-2</v>
      </c>
      <c r="AD57" s="187">
        <f t="shared" si="270"/>
        <v>8.5565600000000241E-2</v>
      </c>
      <c r="AE57" s="187">
        <f t="shared" si="270"/>
        <v>8.5565600000000241E-2</v>
      </c>
      <c r="AF57" s="187">
        <f t="shared" si="270"/>
        <v>8.5565600000000241E-2</v>
      </c>
      <c r="AG57" s="187">
        <f t="shared" si="270"/>
        <v>8.5565600000000241E-2</v>
      </c>
      <c r="AH57" s="187">
        <f t="shared" si="270"/>
        <v>8.5565600000000241E-2</v>
      </c>
      <c r="AI57" s="187">
        <f t="shared" si="270"/>
        <v>8.5565600000000241E-2</v>
      </c>
      <c r="AJ57" s="187">
        <f t="shared" si="270"/>
        <v>8.5565600000000241E-2</v>
      </c>
      <c r="AK57" s="187">
        <f t="shared" si="270"/>
        <v>8.5565600000000241E-2</v>
      </c>
      <c r="AL57" s="187">
        <f t="shared" si="270"/>
        <v>8.5565600000000241E-2</v>
      </c>
      <c r="AM57" s="187">
        <f t="shared" si="270"/>
        <v>8.5565600000000241E-2</v>
      </c>
      <c r="AN57" s="187">
        <f t="shared" si="270"/>
        <v>8.5565600000000241E-2</v>
      </c>
      <c r="AO57" s="187">
        <f t="shared" si="270"/>
        <v>8.5565600000000241E-2</v>
      </c>
      <c r="AP57" s="187">
        <f t="shared" si="270"/>
        <v>8.5565600000000241E-2</v>
      </c>
      <c r="AQ57" s="187">
        <f t="shared" si="270"/>
        <v>8.5565600000000241E-2</v>
      </c>
      <c r="AR57" s="187">
        <f t="shared" si="270"/>
        <v>8.5565600000000241E-2</v>
      </c>
      <c r="AS57" s="187">
        <f t="shared" si="270"/>
        <v>8.5565600000000241E-2</v>
      </c>
      <c r="AT57" s="187">
        <f t="shared" si="270"/>
        <v>8.5565600000000241E-2</v>
      </c>
      <c r="AU57" s="187">
        <f t="shared" si="270"/>
        <v>8.5565600000000241E-2</v>
      </c>
      <c r="AV57" s="187">
        <f t="shared" si="270"/>
        <v>8.5565600000000241E-2</v>
      </c>
      <c r="AW57" s="187">
        <f t="shared" si="270"/>
        <v>8.5565600000000241E-2</v>
      </c>
      <c r="AX57" s="187">
        <f t="shared" si="270"/>
        <v>8.5565600000000241E-2</v>
      </c>
      <c r="AY57" s="187">
        <f t="shared" si="270"/>
        <v>8.5565600000000241E-2</v>
      </c>
      <c r="AZ57" s="187">
        <f t="shared" si="270"/>
        <v>8.5565600000000241E-2</v>
      </c>
      <c r="BA57" s="187">
        <f t="shared" ref="BA57" si="271">(1+AZ58)*(1+BA60)-1</f>
        <v>8.5565600000000241E-2</v>
      </c>
      <c r="BB57" s="188"/>
      <c r="BC57" s="166" t="s">
        <v>283</v>
      </c>
      <c r="BD57" s="165"/>
      <c r="BE57" s="113">
        <v>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</row>
    <row r="58" spans="1:68" ht="30" customHeight="1" x14ac:dyDescent="0.25">
      <c r="A58" s="15"/>
      <c r="B58" s="5"/>
      <c r="C58" s="5"/>
      <c r="D58" s="175"/>
      <c r="E58" s="186" t="s">
        <v>117</v>
      </c>
      <c r="F58" s="187">
        <v>5.91E-2</v>
      </c>
      <c r="G58" s="187">
        <v>6.4000000000000001E-2</v>
      </c>
      <c r="H58" s="187">
        <v>0.1067</v>
      </c>
      <c r="I58" s="187">
        <v>6.2799999999999995E-2</v>
      </c>
      <c r="J58" s="187">
        <v>2.9399999999999999E-2</v>
      </c>
      <c r="K58" s="187">
        <v>3.7400000000000003E-2</v>
      </c>
      <c r="L58" s="187">
        <v>4.2999999999999997E-2</v>
      </c>
      <c r="M58" s="187">
        <v>4.5199999999999997E-2</v>
      </c>
      <c r="N58" s="187">
        <v>0.10059999999999999</v>
      </c>
      <c r="O58" s="187">
        <v>5.79E-2</v>
      </c>
      <c r="P58" s="187">
        <f>WACC!F12</f>
        <v>6.6879999999999995E-2</v>
      </c>
      <c r="Q58" s="187">
        <f>WACC!G12</f>
        <v>5.3030000000000001E-2</v>
      </c>
      <c r="R58" s="187">
        <f>WACC!H12</f>
        <v>6.9629999999999997E-2</v>
      </c>
      <c r="S58" s="187">
        <f>WACC!I12</f>
        <v>6.6559999999999994E-2</v>
      </c>
      <c r="T58" s="187">
        <f>WACC!J12</f>
        <v>7.1129999999999999E-2</v>
      </c>
      <c r="U58" s="187">
        <f>WACC!K12</f>
        <v>6.9150000000000003E-2</v>
      </c>
      <c r="V58" s="187">
        <f>WACC!L12</f>
        <v>7.392E-2</v>
      </c>
      <c r="W58" s="187">
        <f>WACC!M12</f>
        <v>7.356E-2</v>
      </c>
      <c r="X58" s="187">
        <f>WACC!N12</f>
        <v>6.6269999999999996E-2</v>
      </c>
      <c r="Y58" s="187">
        <f>WACC!O12</f>
        <v>6.1539999999999997E-2</v>
      </c>
      <c r="Z58" s="187">
        <f>WACC!P12</f>
        <v>6.4280000000000004E-2</v>
      </c>
      <c r="AA58" s="187">
        <f>WACC!Q12</f>
        <v>6.4280000000000004E-2</v>
      </c>
      <c r="AB58" s="187">
        <f>WACC!R12</f>
        <v>6.4280000000000004E-2</v>
      </c>
      <c r="AC58" s="187">
        <f>WACC!S12</f>
        <v>6.4280000000000004E-2</v>
      </c>
      <c r="AD58" s="187">
        <f>WACC!T12</f>
        <v>6.4280000000000004E-2</v>
      </c>
      <c r="AE58" s="187">
        <f>WACC!U12</f>
        <v>6.4280000000000004E-2</v>
      </c>
      <c r="AF58" s="187">
        <f>WACC!V12</f>
        <v>6.4280000000000004E-2</v>
      </c>
      <c r="AG58" s="187">
        <f>WACC!W12</f>
        <v>6.4280000000000004E-2</v>
      </c>
      <c r="AH58" s="187">
        <f>WACC!X12</f>
        <v>6.4280000000000004E-2</v>
      </c>
      <c r="AI58" s="187">
        <f>WACC!Y12</f>
        <v>6.4280000000000004E-2</v>
      </c>
      <c r="AJ58" s="187">
        <f>WACC!Z12</f>
        <v>6.4280000000000004E-2</v>
      </c>
      <c r="AK58" s="187">
        <f>WACC!AA12</f>
        <v>6.4280000000000004E-2</v>
      </c>
      <c r="AL58" s="187">
        <f>WACC!AB12</f>
        <v>6.4280000000000004E-2</v>
      </c>
      <c r="AM58" s="187">
        <f>WACC!AC12</f>
        <v>6.4280000000000004E-2</v>
      </c>
      <c r="AN58" s="187">
        <f>WACC!AD12</f>
        <v>6.4280000000000004E-2</v>
      </c>
      <c r="AO58" s="187">
        <f>WACC!AE12</f>
        <v>6.4280000000000004E-2</v>
      </c>
      <c r="AP58" s="187">
        <f>WACC!AF12</f>
        <v>6.4280000000000004E-2</v>
      </c>
      <c r="AQ58" s="187">
        <f>WACC!AG12</f>
        <v>6.4280000000000004E-2</v>
      </c>
      <c r="AR58" s="187">
        <f>WACC!AH12</f>
        <v>6.4280000000000004E-2</v>
      </c>
      <c r="AS58" s="187">
        <f>WACC!AI12</f>
        <v>6.4280000000000004E-2</v>
      </c>
      <c r="AT58" s="187">
        <f>WACC!AJ12</f>
        <v>6.4280000000000004E-2</v>
      </c>
      <c r="AU58" s="187">
        <f>WACC!AK12</f>
        <v>6.4280000000000004E-2</v>
      </c>
      <c r="AV58" s="187">
        <f>WACC!AL12</f>
        <v>6.4280000000000004E-2</v>
      </c>
      <c r="AW58" s="187">
        <f>WACC!AM12</f>
        <v>6.4280000000000004E-2</v>
      </c>
      <c r="AX58" s="187">
        <f>WACC!AN12</f>
        <v>6.4280000000000004E-2</v>
      </c>
      <c r="AY58" s="187">
        <f>WACC!AO12</f>
        <v>6.4280000000000004E-2</v>
      </c>
      <c r="AZ58" s="187">
        <f>WACC!AP12</f>
        <v>6.4280000000000004E-2</v>
      </c>
      <c r="BA58" s="187">
        <f>WACC!AQ12</f>
        <v>6.4280000000000004E-2</v>
      </c>
      <c r="BB58" s="187"/>
      <c r="BC58" s="164" t="s">
        <v>350</v>
      </c>
      <c r="BD58" s="165"/>
      <c r="BE58" s="113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</row>
    <row r="59" spans="1:68" ht="30" customHeight="1" x14ac:dyDescent="0.25">
      <c r="A59" s="15"/>
      <c r="B59" s="5"/>
      <c r="C59" s="5"/>
      <c r="D59" s="175"/>
      <c r="E59" s="186" t="s">
        <v>206</v>
      </c>
      <c r="F59" s="189">
        <f>(1+F58)</f>
        <v>1.0590999999999999</v>
      </c>
      <c r="G59" s="189">
        <f>F59*(1+G58)</f>
        <v>1.1268824</v>
      </c>
      <c r="H59" s="189">
        <f t="shared" ref="H59:BA59" si="272">G59*(1+H58)</f>
        <v>1.2471207520800001</v>
      </c>
      <c r="I59" s="189">
        <f t="shared" si="272"/>
        <v>1.3254399353106241</v>
      </c>
      <c r="J59" s="189">
        <f t="shared" si="272"/>
        <v>1.3644078694087565</v>
      </c>
      <c r="K59" s="189">
        <f t="shared" si="272"/>
        <v>1.4154367237246441</v>
      </c>
      <c r="L59" s="189">
        <f t="shared" si="272"/>
        <v>1.4763005028448037</v>
      </c>
      <c r="M59" s="189">
        <f t="shared" si="272"/>
        <v>1.5430292855733887</v>
      </c>
      <c r="N59" s="189">
        <f t="shared" si="272"/>
        <v>1.6982580317020717</v>
      </c>
      <c r="O59" s="189">
        <f t="shared" si="272"/>
        <v>1.7965871717376218</v>
      </c>
      <c r="P59" s="189">
        <f t="shared" si="272"/>
        <v>1.916742921783434</v>
      </c>
      <c r="Q59" s="189">
        <f t="shared" si="272"/>
        <v>2.0183877989256094</v>
      </c>
      <c r="R59" s="189">
        <f t="shared" si="272"/>
        <v>2.1589281413647998</v>
      </c>
      <c r="S59" s="189">
        <f t="shared" si="272"/>
        <v>2.3026263984540409</v>
      </c>
      <c r="T59" s="189">
        <f t="shared" si="272"/>
        <v>2.4664122141760765</v>
      </c>
      <c r="U59" s="189">
        <f t="shared" si="272"/>
        <v>2.6369646187863522</v>
      </c>
      <c r="V59" s="189">
        <f t="shared" si="272"/>
        <v>2.8318890434070392</v>
      </c>
      <c r="W59" s="189">
        <f t="shared" si="272"/>
        <v>3.0402028014400613</v>
      </c>
      <c r="X59" s="189">
        <f t="shared" si="272"/>
        <v>3.2416770410914943</v>
      </c>
      <c r="Y59" s="189">
        <f t="shared" si="272"/>
        <v>3.4411698462002649</v>
      </c>
      <c r="Z59" s="189">
        <f t="shared" si="272"/>
        <v>3.6623682439140182</v>
      </c>
      <c r="AA59" s="189">
        <f t="shared" si="272"/>
        <v>3.8977852746328119</v>
      </c>
      <c r="AB59" s="189">
        <f t="shared" si="272"/>
        <v>4.1483349120862094</v>
      </c>
      <c r="AC59" s="189">
        <f t="shared" si="272"/>
        <v>4.4149898802351117</v>
      </c>
      <c r="AD59" s="189">
        <f t="shared" si="272"/>
        <v>4.6987854297366249</v>
      </c>
      <c r="AE59" s="189">
        <f t="shared" si="272"/>
        <v>5.0008233571600957</v>
      </c>
      <c r="AF59" s="189">
        <f t="shared" si="272"/>
        <v>5.3222762825583469</v>
      </c>
      <c r="AG59" s="189">
        <f t="shared" si="272"/>
        <v>5.6643922020011983</v>
      </c>
      <c r="AH59" s="189">
        <f t="shared" si="272"/>
        <v>6.0284993327458363</v>
      </c>
      <c r="AI59" s="189">
        <f t="shared" si="272"/>
        <v>6.4160112698547396</v>
      </c>
      <c r="AJ59" s="189">
        <f t="shared" si="272"/>
        <v>6.8284324742810032</v>
      </c>
      <c r="AK59" s="189">
        <f t="shared" si="272"/>
        <v>7.2673641137277869</v>
      </c>
      <c r="AL59" s="189">
        <f t="shared" si="272"/>
        <v>7.7345102789582096</v>
      </c>
      <c r="AM59" s="189">
        <f t="shared" si="272"/>
        <v>8.2316845996896451</v>
      </c>
      <c r="AN59" s="189">
        <f t="shared" si="272"/>
        <v>8.760817285757696</v>
      </c>
      <c r="AO59" s="189">
        <f t="shared" si="272"/>
        <v>9.323962620886201</v>
      </c>
      <c r="AP59" s="189">
        <f t="shared" si="272"/>
        <v>9.9233069381567667</v>
      </c>
      <c r="AQ59" s="189">
        <f t="shared" si="272"/>
        <v>10.561177108141484</v>
      </c>
      <c r="AR59" s="189">
        <f t="shared" si="272"/>
        <v>11.24004957265282</v>
      </c>
      <c r="AS59" s="189">
        <f t="shared" si="272"/>
        <v>11.962559959182945</v>
      </c>
      <c r="AT59" s="189">
        <f t="shared" si="272"/>
        <v>12.731513313359226</v>
      </c>
      <c r="AU59" s="189">
        <f t="shared" si="272"/>
        <v>13.54989498914196</v>
      </c>
      <c r="AV59" s="189">
        <f t="shared" si="272"/>
        <v>14.420882239044007</v>
      </c>
      <c r="AW59" s="189">
        <f t="shared" si="272"/>
        <v>15.347856549369757</v>
      </c>
      <c r="AX59" s="189">
        <f t="shared" si="272"/>
        <v>16.334416768363248</v>
      </c>
      <c r="AY59" s="189">
        <f t="shared" si="272"/>
        <v>17.384393078233639</v>
      </c>
      <c r="AZ59" s="189">
        <f t="shared" si="272"/>
        <v>18.501861865302498</v>
      </c>
      <c r="BA59" s="189">
        <f t="shared" si="272"/>
        <v>19.691161546004146</v>
      </c>
      <c r="BB59" s="51">
        <f t="shared" ref="BB59" si="273">(O59/F59)^(1/COUNT($G$9:$O$9))-1</f>
        <v>6.0477011368462064E-2</v>
      </c>
      <c r="BC59" s="164"/>
      <c r="BD59" s="165"/>
      <c r="BE59" s="113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</row>
    <row r="60" spans="1:68" ht="45.6" customHeight="1" thickBot="1" x14ac:dyDescent="0.3">
      <c r="A60" s="15"/>
      <c r="B60" s="5"/>
      <c r="C60" s="5"/>
      <c r="D60" s="175"/>
      <c r="E60" s="320" t="s">
        <v>124</v>
      </c>
      <c r="F60" s="285">
        <v>0.03</v>
      </c>
      <c r="G60" s="285">
        <v>5.0000000000000001E-3</v>
      </c>
      <c r="H60" s="285">
        <v>-3.5499999999999997E-2</v>
      </c>
      <c r="I60" s="285">
        <v>-3.2800000000000003E-2</v>
      </c>
      <c r="J60" s="285">
        <v>1.32E-2</v>
      </c>
      <c r="K60" s="285">
        <v>1.32E-2</v>
      </c>
      <c r="L60" s="285">
        <v>1.14E-2</v>
      </c>
      <c r="M60" s="285">
        <v>-3.3000000000000002E-2</v>
      </c>
      <c r="N60" s="285">
        <v>0.05</v>
      </c>
      <c r="O60" s="284">
        <v>2.9000000000000001E-2</v>
      </c>
      <c r="P60" s="285">
        <v>0.01</v>
      </c>
      <c r="Q60" s="285">
        <v>1.9E-2</v>
      </c>
      <c r="R60" s="285">
        <v>0.02</v>
      </c>
      <c r="S60" s="285">
        <v>0.02</v>
      </c>
      <c r="T60" s="285">
        <v>0.02</v>
      </c>
      <c r="U60" s="285">
        <v>0.02</v>
      </c>
      <c r="V60" s="285">
        <v>0.02</v>
      </c>
      <c r="W60" s="285">
        <v>0.02</v>
      </c>
      <c r="X60" s="285">
        <v>0.02</v>
      </c>
      <c r="Y60" s="285">
        <v>0.02</v>
      </c>
      <c r="Z60" s="285">
        <f t="shared" ref="Z60:BA60" si="274">Y60</f>
        <v>0.02</v>
      </c>
      <c r="AA60" s="285">
        <f t="shared" si="274"/>
        <v>0.02</v>
      </c>
      <c r="AB60" s="285">
        <f t="shared" si="274"/>
        <v>0.02</v>
      </c>
      <c r="AC60" s="285">
        <f t="shared" si="274"/>
        <v>0.02</v>
      </c>
      <c r="AD60" s="285">
        <f t="shared" si="274"/>
        <v>0.02</v>
      </c>
      <c r="AE60" s="285">
        <f t="shared" si="274"/>
        <v>0.02</v>
      </c>
      <c r="AF60" s="285">
        <f t="shared" si="274"/>
        <v>0.02</v>
      </c>
      <c r="AG60" s="285">
        <f t="shared" si="274"/>
        <v>0.02</v>
      </c>
      <c r="AH60" s="284">
        <f t="shared" si="274"/>
        <v>0.02</v>
      </c>
      <c r="AI60" s="285">
        <f t="shared" si="274"/>
        <v>0.02</v>
      </c>
      <c r="AJ60" s="285">
        <f t="shared" si="274"/>
        <v>0.02</v>
      </c>
      <c r="AK60" s="285">
        <f t="shared" si="274"/>
        <v>0.02</v>
      </c>
      <c r="AL60" s="285">
        <f t="shared" si="274"/>
        <v>0.02</v>
      </c>
      <c r="AM60" s="285">
        <f t="shared" si="274"/>
        <v>0.02</v>
      </c>
      <c r="AN60" s="285">
        <f t="shared" si="274"/>
        <v>0.02</v>
      </c>
      <c r="AO60" s="285">
        <f t="shared" si="274"/>
        <v>0.02</v>
      </c>
      <c r="AP60" s="285">
        <f t="shared" si="274"/>
        <v>0.02</v>
      </c>
      <c r="AQ60" s="285">
        <f t="shared" si="274"/>
        <v>0.02</v>
      </c>
      <c r="AR60" s="285">
        <f t="shared" si="274"/>
        <v>0.02</v>
      </c>
      <c r="AS60" s="285">
        <f t="shared" si="274"/>
        <v>0.02</v>
      </c>
      <c r="AT60" s="285">
        <f t="shared" si="274"/>
        <v>0.02</v>
      </c>
      <c r="AU60" s="285">
        <f t="shared" si="274"/>
        <v>0.02</v>
      </c>
      <c r="AV60" s="284">
        <f t="shared" si="274"/>
        <v>0.02</v>
      </c>
      <c r="AW60" s="285">
        <f t="shared" si="274"/>
        <v>0.02</v>
      </c>
      <c r="AX60" s="285">
        <f t="shared" si="274"/>
        <v>0.02</v>
      </c>
      <c r="AY60" s="285">
        <f t="shared" si="274"/>
        <v>0.02</v>
      </c>
      <c r="AZ60" s="285">
        <f t="shared" si="274"/>
        <v>0.02</v>
      </c>
      <c r="BA60" s="285">
        <f t="shared" si="274"/>
        <v>0.02</v>
      </c>
      <c r="BB60" s="285"/>
      <c r="BC60" s="317" t="s">
        <v>306</v>
      </c>
      <c r="BD60" s="314"/>
      <c r="BE60" s="261">
        <v>3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</row>
    <row r="61" spans="1:68" ht="30" customHeight="1" x14ac:dyDescent="0.25">
      <c r="A61" s="15"/>
      <c r="B61" s="5"/>
      <c r="C61" s="5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</row>
    <row r="62" spans="1:68" ht="30" customHeight="1" x14ac:dyDescent="0.25">
      <c r="A62" s="15"/>
      <c r="B62" s="5"/>
      <c r="C62" s="5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</row>
    <row r="63" spans="1:68" ht="30" customHeight="1" x14ac:dyDescent="0.25">
      <c r="A63" s="15"/>
      <c r="B63" s="5"/>
      <c r="C63" s="5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</row>
    <row r="64" spans="1:68" ht="30" customHeight="1" x14ac:dyDescent="0.25">
      <c r="A64" s="15"/>
      <c r="B64" s="5"/>
      <c r="C64" s="5"/>
      <c r="D64" s="175"/>
      <c r="E64" s="34"/>
      <c r="F64" s="35">
        <f t="shared" ref="F64" si="275">G64-1</f>
        <v>2013</v>
      </c>
      <c r="G64" s="35">
        <f t="shared" ref="G64" si="276">H64-1</f>
        <v>2014</v>
      </c>
      <c r="H64" s="35">
        <f>I64-1</f>
        <v>2015</v>
      </c>
      <c r="I64" s="35">
        <v>2016</v>
      </c>
      <c r="J64" s="35">
        <v>2017</v>
      </c>
      <c r="K64" s="35">
        <v>2018</v>
      </c>
      <c r="L64" s="35">
        <v>2019</v>
      </c>
      <c r="M64" s="35">
        <v>2020</v>
      </c>
      <c r="N64" s="35">
        <v>2021</v>
      </c>
      <c r="O64" s="243">
        <f>N64+1</f>
        <v>2022</v>
      </c>
      <c r="P64" s="190">
        <f t="shared" ref="P64" si="277">O64+1</f>
        <v>2023</v>
      </c>
      <c r="Q64" s="191">
        <f t="shared" ref="Q64" si="278">P64+1</f>
        <v>2024</v>
      </c>
      <c r="R64" s="191">
        <f t="shared" ref="R64" si="279">Q64+1</f>
        <v>2025</v>
      </c>
      <c r="S64" s="191">
        <f t="shared" ref="S64" si="280">R64+1</f>
        <v>2026</v>
      </c>
      <c r="T64" s="191">
        <f t="shared" ref="T64" si="281">S64+1</f>
        <v>2027</v>
      </c>
      <c r="U64" s="191">
        <f t="shared" ref="U64" si="282">T64+1</f>
        <v>2028</v>
      </c>
      <c r="V64" s="191">
        <f t="shared" ref="V64" si="283">U64+1</f>
        <v>2029</v>
      </c>
      <c r="W64" s="191">
        <f t="shared" ref="W64" si="284">V64+1</f>
        <v>2030</v>
      </c>
      <c r="X64" s="191">
        <f t="shared" ref="X64" si="285">W64+1</f>
        <v>2031</v>
      </c>
      <c r="Y64" s="191">
        <f t="shared" ref="Y64" si="286">X64+1</f>
        <v>2032</v>
      </c>
      <c r="Z64" s="191">
        <f t="shared" ref="Z64" si="287">Y64+1</f>
        <v>2033</v>
      </c>
      <c r="AA64" s="191">
        <f t="shared" ref="AA64" si="288">Z64+1</f>
        <v>2034</v>
      </c>
      <c r="AB64" s="191">
        <f t="shared" ref="AB64" si="289">AA64+1</f>
        <v>2035</v>
      </c>
      <c r="AC64" s="191">
        <f t="shared" ref="AC64" si="290">AB64+1</f>
        <v>2036</v>
      </c>
      <c r="AD64" s="191">
        <f t="shared" ref="AD64" si="291">AC64+1</f>
        <v>2037</v>
      </c>
      <c r="AE64" s="191">
        <f t="shared" ref="AE64" si="292">AD64+1</f>
        <v>2038</v>
      </c>
      <c r="AF64" s="191">
        <f t="shared" ref="AF64" si="293">AE64+1</f>
        <v>2039</v>
      </c>
      <c r="AG64" s="191">
        <f t="shared" ref="AG64" si="294">AF64+1</f>
        <v>2040</v>
      </c>
      <c r="AH64" s="191">
        <f t="shared" ref="AH64" si="295">AG64+1</f>
        <v>2041</v>
      </c>
      <c r="AI64" s="191">
        <f t="shared" ref="AI64" si="296">AH64+1</f>
        <v>2042</v>
      </c>
      <c r="AJ64" s="191">
        <f t="shared" ref="AJ64" si="297">AI64+1</f>
        <v>2043</v>
      </c>
      <c r="AK64" s="191">
        <f t="shared" ref="AK64" si="298">AJ64+1</f>
        <v>2044</v>
      </c>
      <c r="AL64" s="191">
        <f t="shared" ref="AL64" si="299">AK64+1</f>
        <v>2045</v>
      </c>
      <c r="AM64" s="191">
        <f t="shared" ref="AM64" si="300">AL64+1</f>
        <v>2046</v>
      </c>
      <c r="AN64" s="191">
        <f t="shared" ref="AN64" si="301">AM64+1</f>
        <v>2047</v>
      </c>
      <c r="AO64" s="191">
        <f t="shared" ref="AO64" si="302">AN64+1</f>
        <v>2048</v>
      </c>
      <c r="AP64" s="191">
        <f t="shared" ref="AP64" si="303">AO64+1</f>
        <v>2049</v>
      </c>
      <c r="AQ64" s="191">
        <f t="shared" ref="AQ64" si="304">AP64+1</f>
        <v>2050</v>
      </c>
      <c r="AR64" s="191">
        <f t="shared" ref="AR64" si="305">AQ64+1</f>
        <v>2051</v>
      </c>
      <c r="AS64" s="191">
        <f t="shared" ref="AS64" si="306">AR64+1</f>
        <v>2052</v>
      </c>
      <c r="AT64" s="191">
        <f t="shared" ref="AT64" si="307">AS64+1</f>
        <v>2053</v>
      </c>
      <c r="AU64" s="191">
        <f t="shared" ref="AU64" si="308">AT64+1</f>
        <v>2054</v>
      </c>
      <c r="AV64" s="191">
        <f t="shared" ref="AV64" si="309">AU64+1</f>
        <v>2055</v>
      </c>
      <c r="AW64" s="191">
        <f t="shared" ref="AW64" si="310">AV64+1</f>
        <v>2056</v>
      </c>
      <c r="AX64" s="191">
        <f t="shared" ref="AX64" si="311">AW64+1</f>
        <v>2057</v>
      </c>
      <c r="AY64" s="191">
        <f t="shared" ref="AY64" si="312">AX64+1</f>
        <v>2058</v>
      </c>
      <c r="AZ64" s="191">
        <f t="shared" ref="AZ64" si="313">AY64+1</f>
        <v>2059</v>
      </c>
      <c r="BA64" s="191">
        <f t="shared" ref="BA64" si="314">AZ64+1</f>
        <v>2060</v>
      </c>
      <c r="BB64" s="191"/>
      <c r="BC64" s="192" t="s">
        <v>66</v>
      </c>
      <c r="BD64" s="193" t="s">
        <v>67</v>
      </c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</row>
    <row r="65" spans="1:68" ht="30" customHeight="1" x14ac:dyDescent="0.25">
      <c r="A65" s="15"/>
      <c r="B65" s="5"/>
      <c r="C65" s="5"/>
      <c r="D65" s="175"/>
      <c r="E65" s="194" t="s">
        <v>303</v>
      </c>
      <c r="F65" s="195">
        <v>0</v>
      </c>
      <c r="G65" s="192">
        <v>0</v>
      </c>
      <c r="H65" s="192">
        <v>0</v>
      </c>
      <c r="I65" s="192">
        <v>0</v>
      </c>
      <c r="J65" s="196">
        <v>0</v>
      </c>
      <c r="K65" s="81">
        <f>'DRE - Contas Abertas'!K101/34%</f>
        <v>64344.117647058818</v>
      </c>
      <c r="L65" s="81">
        <f>'DRE - Contas Abertas'!L101/34%</f>
        <v>81529.411764705874</v>
      </c>
      <c r="M65" s="81">
        <f>'DRE - Contas Abertas'!M101/34%</f>
        <v>125511.76470588235</v>
      </c>
      <c r="N65" s="81">
        <f>'DRE - Contas Abertas'!N101/34%</f>
        <v>165732.35294117645</v>
      </c>
      <c r="O65" s="81">
        <f>'DRE - Contas Abertas'!O101/34%</f>
        <v>223855.88235294117</v>
      </c>
      <c r="P65" s="81">
        <f>SUMPRODUCT(P11:P15,'Projeções - Receita'!$I$70:$I$74)*'Projeções - Receita'!P23*P66</f>
        <v>142466.54956188268</v>
      </c>
      <c r="Q65" s="81">
        <f>SUMPRODUCT(Q11:Q15,'Projeções - Receita'!$I$70:$I$74)*'Projeções - Receita'!Q23*Q66</f>
        <v>161347.75205253251</v>
      </c>
      <c r="R65" s="81">
        <f>SUMPRODUCT(R11:R15,'Projeções - Receita'!$I$70:$I$74)*'Projeções - Receita'!R23*R66</f>
        <v>184432.6245358637</v>
      </c>
      <c r="S65" s="81">
        <f>SUMPRODUCT(S11:S15,'Projeções - Receita'!$I$70:$I$74)*'Projeções - Receita'!S23*S66</f>
        <v>209105.76985654206</v>
      </c>
      <c r="T65" s="81">
        <f>SUMPRODUCT(T11:T15,'Projeções - Receita'!$I$70:$I$74)*'Projeções - Receita'!T23*T66</f>
        <v>236877.84851394969</v>
      </c>
      <c r="U65" s="81">
        <f>SUMPRODUCT(U11:U15,'Projeções - Receita'!$I$70:$I$74)*'Projeções - Receita'!U23*U66</f>
        <v>266716.7034305961</v>
      </c>
      <c r="V65" s="81">
        <f>SUMPRODUCT(V11:V15,'Projeções - Receita'!$I$70:$I$74)*'Projeções - Receita'!V23*V66</f>
        <v>300454.10751848185</v>
      </c>
      <c r="W65" s="81">
        <f>SUMPRODUCT(W11:W15,'Projeções - Receita'!$I$70:$I$74)*'Projeções - Receita'!W23*W66</f>
        <v>337219.27556186338</v>
      </c>
      <c r="X65" s="81">
        <f>SUMPRODUCT(X11:X15,'Projeções - Receita'!$I$70:$I$74)*'Projeções - Receita'!X23*X66</f>
        <v>374909.79057205957</v>
      </c>
      <c r="Y65" s="81">
        <f>Y26*Y25*Y66</f>
        <v>411075.5306491045</v>
      </c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197"/>
      <c r="BC65" s="198"/>
      <c r="BD65" s="199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</row>
    <row r="66" spans="1:68" ht="30" customHeight="1" thickBot="1" x14ac:dyDescent="0.3">
      <c r="A66" s="15"/>
      <c r="B66" s="5"/>
      <c r="C66" s="5"/>
      <c r="D66" s="175"/>
      <c r="E66" s="321" t="s">
        <v>128</v>
      </c>
      <c r="F66" s="322">
        <f t="shared" ref="F66:O66" si="315">F65/F22</f>
        <v>0</v>
      </c>
      <c r="G66" s="284">
        <f t="shared" si="315"/>
        <v>0</v>
      </c>
      <c r="H66" s="285">
        <f t="shared" si="315"/>
        <v>0</v>
      </c>
      <c r="I66" s="285">
        <f t="shared" si="315"/>
        <v>0</v>
      </c>
      <c r="J66" s="285">
        <f t="shared" si="315"/>
        <v>0</v>
      </c>
      <c r="K66" s="285">
        <f t="shared" si="315"/>
        <v>4.3471510820098187E-3</v>
      </c>
      <c r="L66" s="285">
        <f t="shared" si="315"/>
        <v>4.6414248169550643E-3</v>
      </c>
      <c r="M66" s="285">
        <f t="shared" si="315"/>
        <v>6.2546850777642294E-3</v>
      </c>
      <c r="N66" s="285">
        <f t="shared" si="315"/>
        <v>6.8691648030358866E-3</v>
      </c>
      <c r="O66" s="285">
        <f t="shared" si="315"/>
        <v>7.7012748432415019E-3</v>
      </c>
      <c r="P66" s="284">
        <f>AVERAGE($L$66:$O$66)*2/3</f>
        <v>4.2444249234994463E-3</v>
      </c>
      <c r="Q66" s="284">
        <f t="shared" ref="Q66:Y66" si="316">AVERAGE($L$66:$O$66)*2/3</f>
        <v>4.2444249234994463E-3</v>
      </c>
      <c r="R66" s="284">
        <f t="shared" si="316"/>
        <v>4.2444249234994463E-3</v>
      </c>
      <c r="S66" s="284">
        <f t="shared" si="316"/>
        <v>4.2444249234994463E-3</v>
      </c>
      <c r="T66" s="284">
        <f t="shared" si="316"/>
        <v>4.2444249234994463E-3</v>
      </c>
      <c r="U66" s="284">
        <f t="shared" si="316"/>
        <v>4.2444249234994463E-3</v>
      </c>
      <c r="V66" s="284">
        <f t="shared" si="316"/>
        <v>4.2444249234994463E-3</v>
      </c>
      <c r="W66" s="284">
        <f t="shared" si="316"/>
        <v>4.2444249234994463E-3</v>
      </c>
      <c r="X66" s="284">
        <f t="shared" si="316"/>
        <v>4.2444249234994463E-3</v>
      </c>
      <c r="Y66" s="284">
        <f t="shared" si="316"/>
        <v>4.2444249234994463E-3</v>
      </c>
      <c r="Z66" s="285"/>
      <c r="AA66" s="285"/>
      <c r="AB66" s="285"/>
      <c r="AC66" s="285"/>
      <c r="AD66" s="285"/>
      <c r="AE66" s="285"/>
      <c r="AF66" s="285"/>
      <c r="AG66" s="285"/>
      <c r="AH66" s="285"/>
      <c r="AI66" s="285"/>
      <c r="AJ66" s="285"/>
      <c r="AK66" s="285"/>
      <c r="AL66" s="285"/>
      <c r="AM66" s="285"/>
      <c r="AN66" s="285"/>
      <c r="AO66" s="285"/>
      <c r="AP66" s="284"/>
      <c r="AQ66" s="285"/>
      <c r="AR66" s="285"/>
      <c r="AS66" s="285"/>
      <c r="AT66" s="285"/>
      <c r="AU66" s="285"/>
      <c r="AV66" s="285"/>
      <c r="AW66" s="285"/>
      <c r="AX66" s="285"/>
      <c r="AY66" s="285"/>
      <c r="AZ66" s="285"/>
      <c r="BA66" s="285"/>
      <c r="BB66" s="285"/>
      <c r="BC66" s="323"/>
      <c r="BD66" s="319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1:68" ht="30" customHeight="1" x14ac:dyDescent="0.25">
      <c r="A67" s="15"/>
      <c r="B67" s="5"/>
      <c r="C67" s="5"/>
      <c r="D67" s="10"/>
      <c r="E67" s="272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378" t="e">
        <f>SUM('DRE - Contas Abertas'!O53:O53)/SUM('DRE + DCF'!#REF!)</f>
        <v>#REF!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</row>
    <row r="68" spans="1:68" ht="30" customHeight="1" thickBot="1" x14ac:dyDescent="0.3">
      <c r="A68" s="15"/>
      <c r="B68" s="5"/>
      <c r="C68" s="5"/>
      <c r="D68" s="5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5"/>
      <c r="Q68" s="5"/>
      <c r="R68" s="5"/>
      <c r="S68" s="5"/>
      <c r="T68" s="5"/>
      <c r="U68" s="5"/>
      <c r="V68" s="5"/>
      <c r="W68" s="5"/>
      <c r="X68" s="5"/>
      <c r="Y68" s="10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</row>
    <row r="69" spans="1:68" ht="30" customHeight="1" thickBot="1" x14ac:dyDescent="0.3">
      <c r="A69" s="15"/>
      <c r="B69" s="5"/>
      <c r="C69" s="5"/>
      <c r="D69" s="5"/>
      <c r="E69" s="200"/>
      <c r="F69" s="201"/>
      <c r="G69" s="202"/>
      <c r="H69" s="409"/>
      <c r="I69" s="410"/>
      <c r="J69" s="43"/>
      <c r="K69" s="43"/>
      <c r="L69" s="43"/>
      <c r="M69" s="5"/>
      <c r="N69" s="43"/>
      <c r="O69" s="43"/>
      <c r="P69" s="5"/>
      <c r="Q69" s="5"/>
      <c r="R69" s="5"/>
      <c r="S69" s="5"/>
      <c r="T69" s="5"/>
      <c r="U69" s="5"/>
      <c r="V69" s="5"/>
      <c r="W69" s="5"/>
      <c r="X69" s="5"/>
      <c r="Y69" s="10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</row>
    <row r="70" spans="1:68" ht="30" customHeight="1" x14ac:dyDescent="0.25">
      <c r="A70" s="15"/>
      <c r="B70" s="5"/>
      <c r="C70" s="5"/>
      <c r="D70" s="37"/>
      <c r="E70" s="340" t="s">
        <v>123</v>
      </c>
      <c r="F70" s="203">
        <v>0.22626788036410925</v>
      </c>
      <c r="G70" s="204"/>
      <c r="H70" s="205" t="s">
        <v>110</v>
      </c>
      <c r="I70" s="206">
        <v>1</v>
      </c>
      <c r="J70" s="43"/>
      <c r="K70" s="43"/>
      <c r="L70" s="43"/>
      <c r="M70" s="5"/>
      <c r="N70" s="43"/>
      <c r="O70" s="43"/>
      <c r="P70" s="5"/>
      <c r="Q70" s="5"/>
      <c r="R70" s="5"/>
      <c r="S70" s="5"/>
      <c r="T70" s="5"/>
      <c r="U70" s="5"/>
      <c r="V70" s="5"/>
      <c r="W70" s="5"/>
      <c r="X70" s="5"/>
      <c r="Y70" s="10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</row>
    <row r="71" spans="1:68" ht="30" customHeight="1" x14ac:dyDescent="0.25">
      <c r="A71" s="15"/>
      <c r="B71" s="5"/>
      <c r="C71" s="5"/>
      <c r="D71" s="37"/>
      <c r="E71" s="66" t="s">
        <v>97</v>
      </c>
      <c r="F71" s="207">
        <v>0.29215431296055483</v>
      </c>
      <c r="G71" s="204"/>
      <c r="H71" s="88" t="s">
        <v>111</v>
      </c>
      <c r="I71" s="138">
        <v>0.96</v>
      </c>
      <c r="J71" s="43"/>
      <c r="K71" s="43"/>
      <c r="L71" s="43"/>
      <c r="M71" s="5"/>
      <c r="N71" s="43"/>
      <c r="O71" s="43"/>
      <c r="P71" s="5"/>
      <c r="Q71" s="5"/>
      <c r="R71" s="5"/>
      <c r="S71" s="5"/>
      <c r="T71" s="5"/>
      <c r="U71" s="5"/>
      <c r="V71" s="5"/>
      <c r="W71" s="5"/>
      <c r="X71" s="5"/>
      <c r="Y71" s="10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</row>
    <row r="72" spans="1:68" ht="30" customHeight="1" x14ac:dyDescent="0.25">
      <c r="A72" s="15"/>
      <c r="B72" s="5"/>
      <c r="C72" s="5"/>
      <c r="D72" s="37"/>
      <c r="E72" s="341" t="s">
        <v>98</v>
      </c>
      <c r="F72" s="208">
        <v>0.35630689206762028</v>
      </c>
      <c r="G72" s="204"/>
      <c r="H72" s="88" t="s">
        <v>112</v>
      </c>
      <c r="I72" s="138">
        <v>0.83</v>
      </c>
      <c r="J72" s="43"/>
      <c r="K72" s="43"/>
      <c r="L72" s="43"/>
      <c r="M72" s="5"/>
      <c r="N72" s="43"/>
      <c r="O72" s="43"/>
      <c r="P72" s="5"/>
      <c r="Q72" s="5"/>
      <c r="R72" s="5"/>
      <c r="S72" s="5"/>
      <c r="T72" s="5"/>
      <c r="U72" s="5"/>
      <c r="V72" s="5"/>
      <c r="W72" s="5"/>
      <c r="X72" s="5"/>
      <c r="Y72" s="10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</row>
    <row r="73" spans="1:68" ht="30" customHeight="1" x14ac:dyDescent="0.25">
      <c r="A73" s="15"/>
      <c r="B73" s="5"/>
      <c r="C73" s="5"/>
      <c r="D73" s="37"/>
      <c r="E73" s="66" t="s">
        <v>99</v>
      </c>
      <c r="F73" s="208">
        <v>0.48591244039878628</v>
      </c>
      <c r="G73" s="204"/>
      <c r="H73" s="88" t="s">
        <v>113</v>
      </c>
      <c r="I73" s="138">
        <v>0.69</v>
      </c>
      <c r="J73" s="43"/>
      <c r="K73" s="43"/>
      <c r="L73" s="43"/>
      <c r="M73" s="5"/>
      <c r="N73" s="43"/>
      <c r="O73" s="43"/>
      <c r="P73" s="5"/>
      <c r="Q73" s="5"/>
      <c r="R73" s="5"/>
      <c r="S73" s="5"/>
      <c r="T73" s="5"/>
      <c r="U73" s="5"/>
      <c r="V73" s="5"/>
      <c r="W73" s="5"/>
      <c r="X73" s="5"/>
      <c r="Y73" s="10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</row>
    <row r="74" spans="1:68" ht="30" customHeight="1" thickBot="1" x14ac:dyDescent="0.3">
      <c r="A74" s="15"/>
      <c r="B74" s="5"/>
      <c r="C74" s="5"/>
      <c r="D74" s="37"/>
      <c r="E74" s="66" t="s">
        <v>100</v>
      </c>
      <c r="F74" s="208">
        <v>0.65322930212397046</v>
      </c>
      <c r="G74" s="204"/>
      <c r="H74" s="209" t="s">
        <v>114</v>
      </c>
      <c r="I74" s="210">
        <v>0.5</v>
      </c>
      <c r="J74" s="43"/>
      <c r="K74" s="43"/>
      <c r="L74" s="43"/>
      <c r="M74" s="5"/>
      <c r="N74" s="43"/>
      <c r="O74" s="43"/>
      <c r="P74" s="5"/>
      <c r="Q74" s="5"/>
      <c r="R74" s="5"/>
      <c r="S74" s="5"/>
      <c r="T74" s="5"/>
      <c r="U74" s="5"/>
      <c r="V74" s="5"/>
      <c r="W74" s="5"/>
      <c r="X74" s="5"/>
      <c r="Y74" s="10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</row>
    <row r="75" spans="1:68" ht="30" customHeight="1" x14ac:dyDescent="0.25">
      <c r="A75" s="15"/>
      <c r="B75" s="5"/>
      <c r="C75" s="5"/>
      <c r="D75" s="37"/>
      <c r="E75" s="66" t="s">
        <v>101</v>
      </c>
      <c r="F75" s="208">
        <v>0.96575639358474208</v>
      </c>
      <c r="G75" s="43"/>
      <c r="H75" s="211"/>
      <c r="I75" s="43"/>
      <c r="J75" s="43"/>
      <c r="K75" s="43"/>
      <c r="L75" s="43"/>
      <c r="M75" s="5"/>
      <c r="N75" s="43"/>
      <c r="O75" s="43"/>
      <c r="P75" s="5"/>
      <c r="Q75" s="5"/>
      <c r="R75" s="5"/>
      <c r="S75" s="5"/>
      <c r="T75" s="5"/>
      <c r="U75" s="5"/>
      <c r="V75" s="5"/>
      <c r="W75" s="5"/>
      <c r="X75" s="5"/>
      <c r="Y75" s="10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</row>
    <row r="76" spans="1:68" ht="30" customHeight="1" thickBot="1" x14ac:dyDescent="0.3">
      <c r="A76" s="15"/>
      <c r="B76" s="5"/>
      <c r="C76" s="5"/>
      <c r="D76" s="37"/>
      <c r="E76" s="342" t="s">
        <v>102</v>
      </c>
      <c r="F76" s="212">
        <v>1</v>
      </c>
      <c r="G76" s="43"/>
      <c r="H76" s="43"/>
      <c r="I76" s="43"/>
      <c r="J76" s="43"/>
      <c r="K76" s="43"/>
      <c r="L76" s="43"/>
      <c r="M76" s="5"/>
      <c r="N76" s="43"/>
      <c r="O76" s="43"/>
      <c r="P76" s="5"/>
      <c r="Q76" s="5"/>
      <c r="R76" s="5"/>
      <c r="S76" s="5"/>
      <c r="T76" s="5"/>
      <c r="U76" s="5"/>
      <c r="V76" s="5"/>
      <c r="W76" s="5"/>
      <c r="X76" s="5"/>
      <c r="Y76" s="10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</row>
    <row r="77" spans="1:68" ht="30" customHeight="1" x14ac:dyDescent="0.25">
      <c r="A77" s="15"/>
      <c r="B77" s="5"/>
      <c r="C77" s="5"/>
      <c r="D77" s="5"/>
      <c r="E77" s="21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5"/>
      <c r="Q77" s="5"/>
      <c r="R77" s="5"/>
      <c r="S77" s="5"/>
      <c r="T77" s="5"/>
      <c r="U77" s="5"/>
      <c r="V77" s="5"/>
      <c r="W77" s="5"/>
      <c r="X77" s="5"/>
      <c r="Y77" s="10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</row>
    <row r="78" spans="1:68" ht="30" customHeight="1" x14ac:dyDescent="0.25">
      <c r="A78" s="15"/>
      <c r="B78" s="5"/>
      <c r="C78" s="5"/>
      <c r="D78" s="5"/>
      <c r="E78" s="5"/>
      <c r="F78" s="5"/>
      <c r="G78" s="5"/>
      <c r="H78" s="43"/>
      <c r="I78" s="43"/>
      <c r="J78" s="43"/>
      <c r="K78" s="43"/>
      <c r="L78" s="43"/>
      <c r="M78" s="43"/>
      <c r="N78" s="43"/>
      <c r="O78" s="43"/>
      <c r="P78" s="5"/>
      <c r="Q78" s="5"/>
      <c r="R78" s="5"/>
      <c r="S78" s="5"/>
      <c r="T78" s="5"/>
      <c r="U78" s="5"/>
      <c r="V78" s="5"/>
      <c r="W78" s="5"/>
      <c r="X78" s="5"/>
      <c r="Y78" s="10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</row>
    <row r="79" spans="1:68" ht="30" customHeight="1" x14ac:dyDescent="0.25">
      <c r="A79" s="15"/>
      <c r="B79" s="5"/>
      <c r="C79" s="5"/>
      <c r="D79" s="5"/>
      <c r="E79" s="114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5"/>
      <c r="Q79" s="5"/>
      <c r="R79" s="5"/>
      <c r="S79" s="5"/>
      <c r="T79" s="5"/>
      <c r="U79" s="5"/>
      <c r="V79" s="5"/>
      <c r="W79" s="5"/>
      <c r="X79" s="5"/>
      <c r="Y79" s="10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</row>
    <row r="80" spans="1:68" ht="30" customHeight="1" x14ac:dyDescent="0.25">
      <c r="A80" s="15"/>
      <c r="B80" s="5"/>
      <c r="C80" s="5"/>
      <c r="D80" s="5"/>
      <c r="E80" s="114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5"/>
      <c r="Q80" s="5"/>
      <c r="R80" s="5"/>
      <c r="S80" s="5"/>
      <c r="T80" s="5"/>
      <c r="U80" s="5"/>
      <c r="V80" s="5"/>
      <c r="W80" s="5"/>
      <c r="X80" s="5"/>
      <c r="Y80" s="10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</row>
    <row r="81" spans="1:68" ht="30" customHeight="1" x14ac:dyDescent="0.25">
      <c r="A81" s="15"/>
      <c r="B81" s="5"/>
      <c r="C81" s="5"/>
      <c r="D81" s="5"/>
      <c r="E81" s="114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5"/>
      <c r="Q81" s="5"/>
      <c r="R81" s="5"/>
      <c r="S81" s="5"/>
      <c r="T81" s="5"/>
      <c r="U81" s="5"/>
      <c r="V81" s="5"/>
      <c r="W81" s="5"/>
      <c r="X81" s="5"/>
      <c r="Y81" s="10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</row>
    <row r="82" spans="1:68" ht="30" customHeight="1" x14ac:dyDescent="0.25">
      <c r="A82" s="15"/>
      <c r="B82" s="5"/>
      <c r="C82" s="5"/>
      <c r="D82" s="5"/>
      <c r="E82" s="114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5"/>
      <c r="Q82" s="5"/>
      <c r="R82" s="5"/>
      <c r="S82" s="5"/>
      <c r="T82" s="5"/>
      <c r="U82" s="5"/>
      <c r="V82" s="5"/>
      <c r="W82" s="5"/>
      <c r="X82" s="5"/>
      <c r="Y82" s="10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</row>
    <row r="83" spans="1:68" ht="30" customHeight="1" x14ac:dyDescent="0.25">
      <c r="A83" s="15"/>
      <c r="B83" s="5"/>
      <c r="C83" s="5"/>
      <c r="D83" s="5"/>
      <c r="E83" s="114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5"/>
      <c r="Q83" s="5"/>
      <c r="R83" s="5"/>
      <c r="S83" s="5"/>
      <c r="T83" s="5"/>
      <c r="U83" s="5"/>
      <c r="V83" s="5"/>
      <c r="W83" s="5"/>
      <c r="X83" s="5"/>
      <c r="Y83" s="10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</row>
    <row r="84" spans="1:68" ht="30" customHeight="1" x14ac:dyDescent="0.25">
      <c r="A84" s="15"/>
      <c r="B84" s="5"/>
      <c r="C84" s="5"/>
      <c r="D84" s="5"/>
      <c r="E84" s="114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5"/>
      <c r="Q84" s="5"/>
      <c r="R84" s="5"/>
      <c r="S84" s="5"/>
      <c r="T84" s="5"/>
      <c r="U84" s="5"/>
      <c r="V84" s="5"/>
      <c r="W84" s="5"/>
      <c r="X84" s="5"/>
      <c r="Y84" s="10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</row>
    <row r="85" spans="1:68" ht="30" customHeight="1" x14ac:dyDescent="0.25">
      <c r="A85" s="15"/>
      <c r="B85" s="5"/>
      <c r="C85" s="5"/>
      <c r="D85" s="5"/>
      <c r="E85" s="114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5"/>
      <c r="Q85" s="5"/>
      <c r="R85" s="5"/>
      <c r="S85" s="5"/>
      <c r="T85" s="5"/>
      <c r="U85" s="5"/>
      <c r="V85" s="5"/>
      <c r="W85" s="5"/>
      <c r="X85" s="5"/>
      <c r="Y85" s="10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</row>
    <row r="86" spans="1:68" ht="30" customHeight="1" x14ac:dyDescent="0.25">
      <c r="A86" s="15"/>
      <c r="B86" s="5"/>
      <c r="C86" s="5"/>
      <c r="D86" s="5"/>
      <c r="E86" s="114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5"/>
      <c r="Q86" s="5"/>
      <c r="R86" s="5"/>
      <c r="S86" s="5"/>
      <c r="T86" s="5"/>
      <c r="U86" s="5"/>
      <c r="V86" s="5"/>
      <c r="W86" s="5"/>
      <c r="X86" s="5"/>
      <c r="Y86" s="10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</row>
    <row r="87" spans="1:68" ht="30" customHeight="1" x14ac:dyDescent="0.25">
      <c r="A87" s="15"/>
      <c r="B87" s="5"/>
      <c r="C87" s="5"/>
      <c r="D87" s="5"/>
      <c r="E87" s="114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5"/>
      <c r="Q87" s="5"/>
      <c r="R87" s="5"/>
      <c r="S87" s="5"/>
      <c r="T87" s="5"/>
      <c r="U87" s="5"/>
      <c r="V87" s="5"/>
      <c r="W87" s="5"/>
      <c r="X87" s="5"/>
      <c r="Y87" s="10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</row>
    <row r="88" spans="1:68" ht="30" customHeight="1" x14ac:dyDescent="0.25">
      <c r="A88" s="15"/>
      <c r="B88" s="5"/>
      <c r="C88" s="5"/>
      <c r="D88" s="5"/>
      <c r="E88" s="114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5"/>
      <c r="Q88" s="5"/>
      <c r="R88" s="5"/>
      <c r="S88" s="5"/>
      <c r="T88" s="5"/>
      <c r="U88" s="5"/>
      <c r="V88" s="5"/>
      <c r="W88" s="5"/>
      <c r="X88" s="5"/>
      <c r="Y88" s="10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</row>
    <row r="89" spans="1:68" ht="30" customHeight="1" x14ac:dyDescent="0.25">
      <c r="A89" s="15"/>
      <c r="B89" s="5"/>
      <c r="C89" s="5"/>
      <c r="D89" s="5"/>
      <c r="E89" s="114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5"/>
      <c r="Q89" s="5"/>
      <c r="R89" s="5"/>
      <c r="S89" s="5"/>
      <c r="T89" s="5"/>
      <c r="U89" s="5"/>
      <c r="V89" s="5"/>
      <c r="W89" s="5"/>
      <c r="X89" s="5"/>
      <c r="Y89" s="10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</row>
    <row r="90" spans="1:68" ht="30" customHeight="1" x14ac:dyDescent="0.25">
      <c r="A90" s="15"/>
      <c r="B90" s="5"/>
      <c r="C90" s="5"/>
      <c r="D90" s="5"/>
      <c r="E90" s="114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5"/>
      <c r="Q90" s="5"/>
      <c r="R90" s="5"/>
      <c r="S90" s="5"/>
      <c r="T90" s="5"/>
      <c r="U90" s="5"/>
      <c r="V90" s="5"/>
      <c r="W90" s="5"/>
      <c r="X90" s="5"/>
      <c r="Y90" s="10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</row>
    <row r="91" spans="1:68" ht="30" customHeight="1" x14ac:dyDescent="0.25">
      <c r="A91" s="15"/>
      <c r="B91" s="5"/>
      <c r="C91" s="5"/>
      <c r="D91" s="5"/>
      <c r="E91" s="114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5"/>
      <c r="Q91" s="5"/>
      <c r="R91" s="5"/>
      <c r="S91" s="5"/>
      <c r="T91" s="5"/>
      <c r="U91" s="5"/>
      <c r="V91" s="5"/>
      <c r="W91" s="5"/>
      <c r="X91" s="5"/>
      <c r="Y91" s="10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</row>
    <row r="92" spans="1:68" ht="30" customHeight="1" x14ac:dyDescent="0.25">
      <c r="A92" s="15"/>
      <c r="B92" s="5"/>
      <c r="C92" s="5"/>
      <c r="D92" s="5"/>
      <c r="E92" s="114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5"/>
      <c r="Q92" s="5"/>
      <c r="R92" s="5"/>
      <c r="S92" s="5"/>
      <c r="T92" s="5"/>
      <c r="U92" s="5"/>
      <c r="V92" s="5"/>
      <c r="W92" s="5"/>
      <c r="X92" s="5"/>
      <c r="Y92" s="10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</row>
    <row r="93" spans="1:68" ht="30" customHeight="1" x14ac:dyDescent="0.25">
      <c r="A93" s="15"/>
      <c r="B93" s="5"/>
      <c r="C93" s="5"/>
      <c r="D93" s="5"/>
      <c r="E93" s="114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5"/>
      <c r="Q93" s="5"/>
      <c r="R93" s="5"/>
      <c r="S93" s="5"/>
      <c r="T93" s="5"/>
      <c r="U93" s="5"/>
      <c r="V93" s="5"/>
      <c r="W93" s="5"/>
      <c r="X93" s="5"/>
      <c r="Y93" s="10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</row>
    <row r="94" spans="1:68" ht="30" customHeight="1" x14ac:dyDescent="0.25">
      <c r="A94" s="15"/>
      <c r="B94" s="5"/>
      <c r="C94" s="5"/>
      <c r="D94" s="5"/>
      <c r="E94" s="114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5"/>
      <c r="Q94" s="5"/>
      <c r="R94" s="5"/>
      <c r="S94" s="5"/>
      <c r="T94" s="5"/>
      <c r="U94" s="5"/>
      <c r="V94" s="5"/>
      <c r="W94" s="5"/>
      <c r="X94" s="5"/>
      <c r="Y94" s="10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</row>
    <row r="95" spans="1:68" ht="30" customHeight="1" x14ac:dyDescent="0.25">
      <c r="A95" s="15"/>
      <c r="B95" s="5"/>
      <c r="C95" s="5"/>
      <c r="D95" s="5"/>
      <c r="E95" s="114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5"/>
      <c r="Q95" s="5"/>
      <c r="R95" s="5"/>
      <c r="S95" s="5"/>
      <c r="T95" s="5"/>
      <c r="U95" s="5"/>
      <c r="V95" s="5"/>
      <c r="W95" s="5"/>
      <c r="X95" s="5"/>
      <c r="Y95" s="10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</row>
    <row r="96" spans="1:68" ht="30" customHeight="1" x14ac:dyDescent="0.25">
      <c r="A96" s="15"/>
      <c r="B96" s="5"/>
      <c r="C96" s="5"/>
      <c r="D96" s="5"/>
      <c r="E96" s="114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5"/>
      <c r="Q96" s="5"/>
      <c r="R96" s="5"/>
      <c r="S96" s="5"/>
      <c r="T96" s="5"/>
      <c r="U96" s="5"/>
      <c r="V96" s="5"/>
      <c r="W96" s="5"/>
      <c r="X96" s="5"/>
      <c r="Y96" s="10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</row>
    <row r="97" spans="1:68" ht="30" customHeight="1" x14ac:dyDescent="0.25">
      <c r="A97" s="15"/>
      <c r="B97" s="5"/>
      <c r="C97" s="5"/>
      <c r="D97" s="5"/>
      <c r="E97" s="114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5"/>
      <c r="Q97" s="5"/>
      <c r="R97" s="5"/>
      <c r="S97" s="5"/>
      <c r="T97" s="5"/>
      <c r="U97" s="5"/>
      <c r="V97" s="5"/>
      <c r="W97" s="5"/>
      <c r="X97" s="5"/>
      <c r="Y97" s="10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</row>
    <row r="98" spans="1:68" ht="30" customHeight="1" x14ac:dyDescent="0.25">
      <c r="A98" s="15"/>
      <c r="B98" s="5"/>
      <c r="C98" s="5"/>
      <c r="D98" s="5"/>
      <c r="E98" s="114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5"/>
      <c r="Q98" s="5"/>
      <c r="R98" s="5"/>
      <c r="S98" s="5"/>
      <c r="T98" s="5"/>
      <c r="U98" s="5"/>
      <c r="V98" s="5"/>
      <c r="W98" s="5"/>
      <c r="X98" s="5"/>
      <c r="Y98" s="10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</row>
    <row r="99" spans="1:68" ht="30" customHeight="1" x14ac:dyDescent="0.25">
      <c r="A99" s="15"/>
      <c r="B99" s="5"/>
      <c r="C99" s="5"/>
      <c r="D99" s="5"/>
      <c r="E99" s="114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5"/>
      <c r="Q99" s="5"/>
      <c r="R99" s="5"/>
      <c r="S99" s="5"/>
      <c r="T99" s="5"/>
      <c r="U99" s="5"/>
      <c r="V99" s="5"/>
      <c r="W99" s="5"/>
      <c r="X99" s="5"/>
      <c r="Y99" s="10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</row>
    <row r="100" spans="1:68" ht="30" customHeight="1" x14ac:dyDescent="0.25">
      <c r="A100" s="15"/>
      <c r="B100" s="5"/>
      <c r="C100" s="5"/>
      <c r="D100" s="5"/>
      <c r="E100" s="114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5"/>
      <c r="Q100" s="5"/>
      <c r="R100" s="5"/>
      <c r="S100" s="5"/>
      <c r="T100" s="5"/>
      <c r="U100" s="5"/>
      <c r="V100" s="5"/>
      <c r="W100" s="5"/>
      <c r="X100" s="5"/>
      <c r="Y100" s="10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</row>
    <row r="101" spans="1:68" ht="30" customHeight="1" x14ac:dyDescent="0.25">
      <c r="A101" s="15"/>
      <c r="B101" s="5"/>
      <c r="C101" s="5"/>
      <c r="D101" s="5"/>
      <c r="E101" s="114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5"/>
      <c r="Q101" s="5"/>
      <c r="R101" s="5"/>
      <c r="S101" s="5"/>
      <c r="T101" s="5"/>
      <c r="U101" s="5"/>
      <c r="V101" s="5"/>
      <c r="W101" s="5"/>
      <c r="X101" s="5"/>
      <c r="Y101" s="10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</row>
    <row r="102" spans="1:68" ht="30" customHeight="1" x14ac:dyDescent="0.25">
      <c r="A102" s="15"/>
      <c r="B102" s="5"/>
      <c r="C102" s="5"/>
      <c r="D102" s="5"/>
      <c r="E102" s="114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5"/>
      <c r="Q102" s="5"/>
      <c r="R102" s="5"/>
      <c r="S102" s="5"/>
      <c r="T102" s="5"/>
      <c r="U102" s="5"/>
      <c r="V102" s="5"/>
      <c r="W102" s="5"/>
      <c r="X102" s="5"/>
      <c r="Y102" s="10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</row>
    <row r="103" spans="1:68" ht="30" customHeight="1" x14ac:dyDescent="0.25">
      <c r="A103" s="15"/>
      <c r="B103" s="5"/>
      <c r="C103" s="5"/>
      <c r="D103" s="5"/>
      <c r="E103" s="114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5"/>
      <c r="Q103" s="5"/>
      <c r="R103" s="5"/>
      <c r="S103" s="5"/>
      <c r="T103" s="5"/>
      <c r="U103" s="5"/>
      <c r="V103" s="5"/>
      <c r="W103" s="5"/>
      <c r="X103" s="5"/>
      <c r="Y103" s="10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</row>
    <row r="104" spans="1:68" ht="30" customHeight="1" x14ac:dyDescent="0.25">
      <c r="A104" s="15"/>
      <c r="B104" s="5"/>
      <c r="C104" s="5"/>
      <c r="D104" s="5"/>
      <c r="E104" s="114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5"/>
      <c r="Q104" s="5"/>
      <c r="R104" s="5"/>
      <c r="S104" s="5"/>
      <c r="T104" s="5"/>
      <c r="U104" s="5"/>
      <c r="V104" s="5"/>
      <c r="W104" s="5"/>
      <c r="X104" s="5"/>
      <c r="Y104" s="10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</row>
    <row r="105" spans="1:68" ht="30" customHeight="1" x14ac:dyDescent="0.25">
      <c r="A105" s="15"/>
      <c r="B105" s="5"/>
      <c r="C105" s="5"/>
      <c r="D105" s="5"/>
      <c r="E105" s="114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5"/>
      <c r="Q105" s="5"/>
      <c r="R105" s="5"/>
      <c r="S105" s="5"/>
      <c r="T105" s="5"/>
      <c r="U105" s="5"/>
      <c r="V105" s="5"/>
      <c r="W105" s="5"/>
      <c r="X105" s="5"/>
      <c r="Y105" s="10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</row>
    <row r="106" spans="1:68" ht="30" customHeight="1" x14ac:dyDescent="0.25">
      <c r="A106" s="15"/>
      <c r="B106" s="5"/>
      <c r="C106" s="5"/>
      <c r="D106" s="5"/>
      <c r="E106" s="114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5"/>
      <c r="Q106" s="5"/>
      <c r="R106" s="5"/>
      <c r="S106" s="5"/>
      <c r="T106" s="5"/>
      <c r="U106" s="5"/>
      <c r="V106" s="5"/>
      <c r="W106" s="5"/>
      <c r="X106" s="5"/>
      <c r="Y106" s="10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</row>
    <row r="107" spans="1:68" ht="30" customHeight="1" x14ac:dyDescent="0.25">
      <c r="A107" s="15"/>
      <c r="B107" s="5"/>
      <c r="C107" s="5"/>
      <c r="D107" s="5"/>
      <c r="E107" s="114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5"/>
      <c r="Q107" s="5"/>
      <c r="R107" s="5"/>
      <c r="S107" s="5"/>
      <c r="T107" s="5"/>
      <c r="U107" s="5"/>
      <c r="V107" s="5"/>
      <c r="W107" s="5"/>
      <c r="X107" s="5"/>
      <c r="Y107" s="10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</row>
    <row r="108" spans="1:68" ht="30" customHeight="1" x14ac:dyDescent="0.25">
      <c r="A108" s="15"/>
      <c r="B108" s="5"/>
      <c r="C108" s="5"/>
      <c r="D108" s="5"/>
      <c r="E108" s="114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5"/>
      <c r="Q108" s="5"/>
      <c r="R108" s="5"/>
      <c r="S108" s="5"/>
      <c r="T108" s="5"/>
      <c r="U108" s="5"/>
      <c r="V108" s="5"/>
      <c r="W108" s="5"/>
      <c r="X108" s="5"/>
      <c r="Y108" s="10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</row>
    <row r="109" spans="1:68" ht="30" customHeight="1" x14ac:dyDescent="0.25">
      <c r="A109" s="15"/>
      <c r="B109" s="5"/>
      <c r="C109" s="5"/>
      <c r="D109" s="5"/>
      <c r="E109" s="114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5"/>
      <c r="Q109" s="5"/>
      <c r="R109" s="5"/>
      <c r="S109" s="5"/>
      <c r="T109" s="5"/>
      <c r="U109" s="5"/>
      <c r="V109" s="5"/>
      <c r="W109" s="5"/>
      <c r="X109" s="5"/>
      <c r="Y109" s="10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</row>
    <row r="110" spans="1:68" ht="30" customHeight="1" x14ac:dyDescent="0.25">
      <c r="A110" s="15"/>
      <c r="B110" s="5"/>
      <c r="C110" s="5"/>
      <c r="D110" s="5"/>
      <c r="E110" s="114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5"/>
      <c r="Q110" s="5"/>
      <c r="R110" s="5"/>
      <c r="S110" s="5"/>
      <c r="T110" s="5"/>
      <c r="U110" s="5"/>
      <c r="V110" s="5"/>
      <c r="W110" s="5"/>
      <c r="X110" s="5"/>
      <c r="Y110" s="10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</row>
    <row r="111" spans="1:68" ht="30" customHeight="1" x14ac:dyDescent="0.25">
      <c r="A111" s="15"/>
      <c r="B111" s="5"/>
      <c r="C111" s="5"/>
      <c r="D111" s="5"/>
      <c r="E111" s="114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5"/>
      <c r="Q111" s="5"/>
      <c r="R111" s="5"/>
      <c r="S111" s="5"/>
      <c r="T111" s="5"/>
      <c r="U111" s="5"/>
      <c r="V111" s="5"/>
      <c r="W111" s="5"/>
      <c r="X111" s="5"/>
      <c r="Y111" s="10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</row>
    <row r="112" spans="1:68" ht="30" customHeight="1" x14ac:dyDescent="0.25">
      <c r="A112" s="15"/>
      <c r="B112" s="5"/>
      <c r="C112" s="5"/>
      <c r="D112" s="5"/>
      <c r="E112" s="114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5"/>
      <c r="Q112" s="5"/>
      <c r="R112" s="5"/>
      <c r="S112" s="5"/>
      <c r="T112" s="5"/>
      <c r="U112" s="5"/>
      <c r="V112" s="5"/>
      <c r="W112" s="5"/>
      <c r="X112" s="5"/>
      <c r="Y112" s="10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</row>
    <row r="113" spans="1:69" ht="30" customHeight="1" x14ac:dyDescent="0.25">
      <c r="A113" s="15"/>
      <c r="B113" s="5"/>
      <c r="C113" s="5"/>
      <c r="D113" s="5"/>
      <c r="E113" s="114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5"/>
      <c r="Q113" s="5"/>
      <c r="R113" s="5"/>
      <c r="S113" s="5"/>
      <c r="T113" s="5"/>
      <c r="U113" s="5"/>
      <c r="V113" s="5"/>
      <c r="W113" s="5"/>
      <c r="X113" s="5"/>
      <c r="Y113" s="10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</row>
    <row r="114" spans="1:69" ht="30" customHeight="1" x14ac:dyDescent="0.25">
      <c r="A114" s="15"/>
      <c r="B114" s="5"/>
      <c r="C114" s="5"/>
      <c r="D114" s="5"/>
      <c r="E114" s="114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5"/>
      <c r="Q114" s="5"/>
      <c r="R114" s="5"/>
      <c r="S114" s="5"/>
      <c r="T114" s="5"/>
      <c r="U114" s="5"/>
      <c r="V114" s="5"/>
      <c r="W114" s="5"/>
      <c r="X114" s="5"/>
      <c r="Y114" s="10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</row>
    <row r="115" spans="1:69" ht="30" customHeight="1" x14ac:dyDescent="0.25">
      <c r="A115" s="15"/>
      <c r="B115" s="5"/>
      <c r="C115" s="5"/>
      <c r="D115" s="5"/>
      <c r="E115" s="114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5"/>
      <c r="Q115" s="5"/>
      <c r="R115" s="5"/>
      <c r="S115" s="5"/>
      <c r="T115" s="5"/>
      <c r="U115" s="5"/>
      <c r="V115" s="5"/>
      <c r="W115" s="5"/>
      <c r="X115" s="5"/>
      <c r="Y115" s="10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</row>
    <row r="116" spans="1:69" ht="30" customHeight="1" x14ac:dyDescent="0.25">
      <c r="A116" s="15"/>
      <c r="B116" s="5"/>
      <c r="C116" s="5"/>
      <c r="D116" s="5"/>
      <c r="E116" s="114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5"/>
      <c r="Q116" s="5"/>
      <c r="R116" s="5"/>
      <c r="S116" s="5"/>
      <c r="T116" s="5"/>
      <c r="U116" s="5"/>
      <c r="V116" s="5"/>
      <c r="W116" s="5"/>
      <c r="X116" s="5"/>
      <c r="Y116" s="10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</row>
    <row r="117" spans="1:69" ht="30" customHeight="1" x14ac:dyDescent="0.25">
      <c r="A117" s="15"/>
      <c r="B117" s="5"/>
      <c r="C117" s="5"/>
      <c r="D117" s="5"/>
      <c r="E117" s="114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5"/>
      <c r="Q117" s="5"/>
      <c r="R117" s="5"/>
      <c r="S117" s="5"/>
      <c r="T117" s="5"/>
      <c r="U117" s="5"/>
      <c r="V117" s="5"/>
      <c r="W117" s="5"/>
      <c r="X117" s="5"/>
      <c r="Y117" s="10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</row>
    <row r="118" spans="1:69" ht="30" customHeight="1" x14ac:dyDescent="0.25">
      <c r="A118" s="15"/>
      <c r="B118" s="5"/>
      <c r="C118" s="5"/>
      <c r="D118" s="5"/>
      <c r="E118" s="114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5"/>
      <c r="Q118" s="5"/>
      <c r="R118" s="5"/>
      <c r="S118" s="5"/>
      <c r="T118" s="5"/>
      <c r="U118" s="5"/>
      <c r="V118" s="5"/>
      <c r="W118" s="5"/>
      <c r="X118" s="5"/>
      <c r="Y118" s="10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</row>
    <row r="119" spans="1:69" ht="30" customHeight="1" x14ac:dyDescent="0.25">
      <c r="A119" s="15"/>
      <c r="B119" s="5"/>
      <c r="C119" s="5"/>
      <c r="D119" s="5"/>
      <c r="E119" s="114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5"/>
      <c r="Q119" s="5"/>
      <c r="R119" s="5"/>
      <c r="S119" s="5"/>
      <c r="T119" s="5"/>
      <c r="U119" s="5"/>
      <c r="V119" s="5"/>
      <c r="W119" s="5"/>
      <c r="X119" s="5"/>
      <c r="Y119" s="10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</row>
    <row r="120" spans="1:69" ht="30" customHeight="1" x14ac:dyDescent="0.25">
      <c r="A120" s="15"/>
      <c r="B120" s="5"/>
      <c r="C120" s="5"/>
      <c r="D120" s="5"/>
      <c r="E120" s="114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5"/>
      <c r="Q120" s="5"/>
      <c r="R120" s="5"/>
      <c r="S120" s="5"/>
      <c r="T120" s="5"/>
      <c r="U120" s="5"/>
      <c r="V120" s="5"/>
      <c r="W120" s="5"/>
      <c r="X120" s="5"/>
      <c r="Y120" s="10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</row>
    <row r="121" spans="1:69" ht="30" customHeight="1" x14ac:dyDescent="0.25">
      <c r="A121" s="15"/>
      <c r="B121" s="5"/>
      <c r="C121" s="5"/>
      <c r="D121" s="5"/>
      <c r="E121" s="114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5"/>
      <c r="Q121" s="5"/>
      <c r="R121" s="5"/>
      <c r="S121" s="5"/>
      <c r="T121" s="5"/>
      <c r="U121" s="5"/>
      <c r="V121" s="5"/>
      <c r="W121" s="5"/>
      <c r="X121" s="5"/>
      <c r="Y121" s="10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</row>
    <row r="122" spans="1:69" ht="30" customHeight="1" x14ac:dyDescent="0.25">
      <c r="A122" s="15"/>
      <c r="B122" s="5"/>
      <c r="C122" s="5"/>
      <c r="D122" s="5"/>
      <c r="E122" s="114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5"/>
      <c r="Q122" s="5"/>
      <c r="R122" s="5"/>
      <c r="S122" s="5"/>
      <c r="T122" s="5"/>
      <c r="U122" s="5"/>
      <c r="V122" s="5"/>
      <c r="W122" s="5"/>
      <c r="X122" s="5"/>
      <c r="Y122" s="10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</row>
    <row r="123" spans="1:69" ht="30" customHeight="1" x14ac:dyDescent="0.25">
      <c r="A123" s="15"/>
      <c r="B123" s="5"/>
      <c r="C123" s="5"/>
      <c r="D123" s="5"/>
      <c r="E123" s="114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5"/>
      <c r="Q123" s="5"/>
      <c r="R123" s="5"/>
      <c r="S123" s="5"/>
      <c r="T123" s="5"/>
      <c r="U123" s="5"/>
      <c r="V123" s="5"/>
      <c r="W123" s="5"/>
      <c r="X123" s="5"/>
      <c r="Y123" s="10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</row>
    <row r="124" spans="1:69" ht="30" customHeight="1" x14ac:dyDescent="0.25">
      <c r="A124" s="15"/>
      <c r="B124" s="5"/>
      <c r="C124" s="5"/>
      <c r="D124" s="5"/>
      <c r="E124" s="114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5"/>
      <c r="Q124" s="5"/>
      <c r="R124" s="5"/>
      <c r="S124" s="5"/>
      <c r="T124" s="5"/>
      <c r="U124" s="5"/>
      <c r="V124" s="5"/>
      <c r="W124" s="5"/>
      <c r="X124" s="5"/>
      <c r="Y124" s="10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</row>
    <row r="125" spans="1:69" ht="30" customHeight="1" x14ac:dyDescent="0.25">
      <c r="A125" s="15"/>
      <c r="B125" s="5"/>
      <c r="C125" s="5"/>
      <c r="D125" s="5"/>
      <c r="E125" s="114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5"/>
      <c r="Q125" s="5"/>
      <c r="R125" s="5"/>
      <c r="S125" s="5"/>
      <c r="T125" s="5"/>
      <c r="U125" s="5"/>
      <c r="V125" s="5"/>
      <c r="W125" s="5"/>
      <c r="X125" s="5"/>
      <c r="Y125" s="10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</row>
    <row r="126" spans="1:69" ht="30" customHeight="1" x14ac:dyDescent="0.25">
      <c r="A126" s="15"/>
      <c r="B126" s="5"/>
      <c r="C126" s="5"/>
      <c r="D126" s="5"/>
      <c r="E126" s="114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5"/>
      <c r="Q126" s="5"/>
      <c r="R126" s="5"/>
      <c r="S126" s="5"/>
      <c r="T126" s="5"/>
      <c r="U126" s="5"/>
      <c r="V126" s="5"/>
      <c r="W126" s="5"/>
      <c r="X126" s="5"/>
      <c r="Y126" s="10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</row>
    <row r="127" spans="1:69" ht="30" customHeight="1" x14ac:dyDescent="0.25">
      <c r="A127" s="15"/>
      <c r="B127" s="5"/>
      <c r="C127" s="5"/>
      <c r="D127" s="5"/>
      <c r="E127" s="114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5"/>
      <c r="Q127" s="5"/>
      <c r="R127" s="5"/>
      <c r="S127" s="5"/>
      <c r="T127" s="5"/>
      <c r="U127" s="5"/>
      <c r="V127" s="5"/>
      <c r="W127" s="5"/>
      <c r="X127" s="5"/>
      <c r="Y127" s="10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</row>
    <row r="128" spans="1:69" s="4" customFormat="1" ht="30" customHeight="1" x14ac:dyDescent="0.25">
      <c r="A128" s="15"/>
      <c r="B128" s="5"/>
      <c r="C128" s="5"/>
      <c r="D128" s="5"/>
      <c r="E128" s="114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5"/>
      <c r="Q128" s="5"/>
      <c r="R128" s="5"/>
      <c r="S128" s="5"/>
      <c r="T128" s="5"/>
      <c r="U128" s="5"/>
      <c r="V128" s="5"/>
      <c r="W128" s="5"/>
      <c r="X128" s="5"/>
      <c r="Y128" s="10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1"/>
    </row>
    <row r="129" spans="1:69" s="4" customFormat="1" ht="30" customHeight="1" x14ac:dyDescent="0.25">
      <c r="A129" s="15"/>
      <c r="B129" s="5"/>
      <c r="C129" s="5"/>
      <c r="D129" s="5"/>
      <c r="E129" s="114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5"/>
      <c r="Q129" s="5"/>
      <c r="R129" s="5"/>
      <c r="S129" s="5"/>
      <c r="T129" s="5"/>
      <c r="U129" s="5"/>
      <c r="V129" s="5"/>
      <c r="W129" s="5"/>
      <c r="X129" s="5"/>
      <c r="Y129" s="10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1"/>
    </row>
    <row r="130" spans="1:69" s="4" customFormat="1" ht="30" customHeight="1" x14ac:dyDescent="0.25">
      <c r="A130" s="15"/>
      <c r="B130" s="5"/>
      <c r="C130" s="5"/>
      <c r="D130" s="5"/>
      <c r="E130" s="114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5"/>
      <c r="Q130" s="5"/>
      <c r="R130" s="5"/>
      <c r="S130" s="5"/>
      <c r="T130" s="5"/>
      <c r="U130" s="5"/>
      <c r="V130" s="5"/>
      <c r="W130" s="5"/>
      <c r="X130" s="5"/>
      <c r="Y130" s="10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1"/>
    </row>
    <row r="131" spans="1:69" s="4" customFormat="1" ht="30" customHeight="1" x14ac:dyDescent="0.25">
      <c r="A131" s="15"/>
      <c r="B131" s="5"/>
      <c r="C131" s="5"/>
      <c r="D131" s="5"/>
      <c r="E131" s="114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5"/>
      <c r="Q131" s="5"/>
      <c r="R131" s="5"/>
      <c r="S131" s="5"/>
      <c r="T131" s="5"/>
      <c r="U131" s="5"/>
      <c r="V131" s="5"/>
      <c r="W131" s="5"/>
      <c r="X131" s="5"/>
      <c r="Y131" s="10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1"/>
    </row>
    <row r="132" spans="1:69" s="4" customFormat="1" ht="30" customHeight="1" x14ac:dyDescent="0.25">
      <c r="A132" s="15"/>
      <c r="B132" s="5"/>
      <c r="C132" s="5"/>
      <c r="D132" s="5"/>
      <c r="E132" s="114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5"/>
      <c r="Q132" s="5"/>
      <c r="R132" s="5"/>
      <c r="S132" s="5"/>
      <c r="T132" s="5"/>
      <c r="U132" s="5"/>
      <c r="V132" s="5"/>
      <c r="W132" s="5"/>
      <c r="X132" s="5"/>
      <c r="Y132" s="10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1"/>
    </row>
    <row r="133" spans="1:69" s="4" customFormat="1" ht="30" customHeight="1" x14ac:dyDescent="0.25">
      <c r="A133" s="15"/>
      <c r="B133" s="5"/>
      <c r="C133" s="5"/>
      <c r="D133" s="5"/>
      <c r="E133" s="114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5"/>
      <c r="Q133" s="5"/>
      <c r="R133" s="5"/>
      <c r="S133" s="5"/>
      <c r="T133" s="5"/>
      <c r="U133" s="5"/>
      <c r="V133" s="5"/>
      <c r="W133" s="5"/>
      <c r="X133" s="5"/>
      <c r="Y133" s="10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1"/>
    </row>
    <row r="134" spans="1:69" s="4" customFormat="1" ht="30" customHeight="1" x14ac:dyDescent="0.25">
      <c r="A134" s="15"/>
      <c r="B134" s="5"/>
      <c r="C134" s="5"/>
      <c r="D134" s="5"/>
      <c r="E134" s="114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5"/>
      <c r="Q134" s="5"/>
      <c r="R134" s="5"/>
      <c r="S134" s="5"/>
      <c r="T134" s="5"/>
      <c r="U134" s="5"/>
      <c r="V134" s="5"/>
      <c r="W134" s="5"/>
      <c r="X134" s="5"/>
      <c r="Y134" s="10"/>
      <c r="Z134" s="1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1"/>
    </row>
    <row r="135" spans="1:69" ht="0" hidden="1" customHeight="1" x14ac:dyDescent="0.25"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</row>
  </sheetData>
  <mergeCells count="3">
    <mergeCell ref="X3:X4"/>
    <mergeCell ref="M3:R5"/>
    <mergeCell ref="H69:I69"/>
  </mergeCells>
  <conditionalFormatting sqref="A20:A54 C45:BB54 BC52:XFD54">
    <cfRule type="cellIs" dxfId="71" priority="287" operator="equal">
      <formula>0</formula>
    </cfRule>
  </conditionalFormatting>
  <conditionalFormatting sqref="A65:BB65">
    <cfRule type="cellIs" dxfId="70" priority="48" operator="equal">
      <formula>0</formula>
    </cfRule>
  </conditionalFormatting>
  <conditionalFormatting sqref="B1:B54">
    <cfRule type="cellIs" dxfId="69" priority="96" operator="equal">
      <formula>0</formula>
    </cfRule>
  </conditionalFormatting>
  <conditionalFormatting sqref="C1:AW2 A1:A7 C3:M3 S3:W4 Y3:AW4 C4:L5 S5:AW5 C6:AW8 E8:BC8 BC9:BD12 BF9:XFD12 C9:E27 I10:W11 N11:W15 BC13:XFD20 I16:W16 BC21:BD28 BF21:XFD28 O22:X25 Y25:BB25 BE28:BF28 C28:BB30 BC29:XFD42 C33:BB42 BF55:XFD58 A55:B64 BE59:XFD60 C61:XFD63 BE64:XFD67 A66:B1048576 C68:I78 L68:XFD78 J68:L80 C79:XFD1048576">
    <cfRule type="cellIs" dxfId="68" priority="346" operator="equal">
      <formula>0</formula>
    </cfRule>
  </conditionalFormatting>
  <conditionalFormatting sqref="C31:BA32">
    <cfRule type="cellIs" dxfId="67" priority="111" operator="equal">
      <formula>0</formula>
    </cfRule>
  </conditionalFormatting>
  <conditionalFormatting sqref="C43:BA44">
    <cfRule type="cellIs" dxfId="66" priority="110" operator="equal">
      <formula>0</formula>
    </cfRule>
  </conditionalFormatting>
  <conditionalFormatting sqref="C64:BB64">
    <cfRule type="cellIs" dxfId="65" priority="78" operator="equal">
      <formula>0</formula>
    </cfRule>
  </conditionalFormatting>
  <conditionalFormatting sqref="C55:BD60">
    <cfRule type="cellIs" dxfId="64" priority="10" operator="equal">
      <formula>0</formula>
    </cfRule>
  </conditionalFormatting>
  <conditionalFormatting sqref="C66:BD67">
    <cfRule type="cellIs" dxfId="63" priority="74" operator="equal">
      <formula>0</formula>
    </cfRule>
  </conditionalFormatting>
  <conditionalFormatting sqref="D18:BL19">
    <cfRule type="cellIs" dxfId="62" priority="332" operator="equal">
      <formula>0</formula>
    </cfRule>
  </conditionalFormatting>
  <conditionalFormatting sqref="F9:F20">
    <cfRule type="cellIs" dxfId="61" priority="339" operator="equal">
      <formula>0</formula>
    </cfRule>
  </conditionalFormatting>
  <conditionalFormatting sqref="F21:G27">
    <cfRule type="cellIs" dxfId="60" priority="319" operator="equal">
      <formula>0</formula>
    </cfRule>
  </conditionalFormatting>
  <conditionalFormatting sqref="F22:M22">
    <cfRule type="cellIs" dxfId="59" priority="341" operator="equal">
      <formula>0</formula>
    </cfRule>
  </conditionalFormatting>
  <conditionalFormatting sqref="F26:M27">
    <cfRule type="cellIs" dxfId="58" priority="306" operator="equal">
      <formula>0</formula>
    </cfRule>
  </conditionalFormatting>
  <conditionalFormatting sqref="F23:BA23">
    <cfRule type="cellIs" dxfId="57" priority="307" operator="equal">
      <formula>0</formula>
    </cfRule>
  </conditionalFormatting>
  <conditionalFormatting sqref="F45:BB50">
    <cfRule type="cellIs" dxfId="56" priority="281" operator="equal">
      <formula>0</formula>
    </cfRule>
  </conditionalFormatting>
  <conditionalFormatting sqref="G9">
    <cfRule type="cellIs" dxfId="55" priority="342" operator="equal">
      <formula>0</formula>
    </cfRule>
  </conditionalFormatting>
  <conditionalFormatting sqref="G17:N19">
    <cfRule type="cellIs" dxfId="54" priority="127" operator="equal">
      <formula>0</formula>
    </cfRule>
  </conditionalFormatting>
  <conditionalFormatting sqref="G10:W16">
    <cfRule type="cellIs" dxfId="53" priority="335" operator="equal">
      <formula>0</formula>
    </cfRule>
  </conditionalFormatting>
  <conditionalFormatting sqref="G24:X24">
    <cfRule type="cellIs" dxfId="52" priority="118" operator="equal">
      <formula>0</formula>
    </cfRule>
  </conditionalFormatting>
  <conditionalFormatting sqref="H9:H27">
    <cfRule type="cellIs" dxfId="51" priority="320" operator="equal">
      <formula>0</formula>
    </cfRule>
  </conditionalFormatting>
  <conditionalFormatting sqref="H10:W10">
    <cfRule type="cellIs" dxfId="50" priority="343" operator="equal">
      <formula>0</formula>
    </cfRule>
  </conditionalFormatting>
  <conditionalFormatting sqref="I12:M15">
    <cfRule type="cellIs" dxfId="49" priority="344" operator="equal">
      <formula>0</formula>
    </cfRule>
  </conditionalFormatting>
  <conditionalFormatting sqref="I22:N27">
    <cfRule type="cellIs" dxfId="48" priority="112" operator="equal">
      <formula>0</formula>
    </cfRule>
  </conditionalFormatting>
  <conditionalFormatting sqref="I21:BA21">
    <cfRule type="cellIs" dxfId="47" priority="317" operator="equal">
      <formula>0</formula>
    </cfRule>
  </conditionalFormatting>
  <conditionalFormatting sqref="N26:BB26">
    <cfRule type="cellIs" dxfId="46" priority="28" operator="equal">
      <formula>0</formula>
    </cfRule>
  </conditionalFormatting>
  <conditionalFormatting sqref="O17:X17">
    <cfRule type="cellIs" dxfId="45" priority="1" operator="equal">
      <formula>0</formula>
    </cfRule>
  </conditionalFormatting>
  <conditionalFormatting sqref="O27:BB27">
    <cfRule type="cellIs" dxfId="44" priority="97" operator="equal">
      <formula>0</formula>
    </cfRule>
  </conditionalFormatting>
  <conditionalFormatting sqref="P15:X15">
    <cfRule type="cellIs" dxfId="43" priority="336" operator="equal">
      <formula>0</formula>
    </cfRule>
  </conditionalFormatting>
  <conditionalFormatting sqref="X3">
    <cfRule type="cellIs" dxfId="42" priority="345" operator="equal">
      <formula>0</formula>
    </cfRule>
  </conditionalFormatting>
  <conditionalFormatting sqref="X23:X24">
    <cfRule type="cellIs" dxfId="41" priority="98" operator="equal">
      <formula>0</formula>
    </cfRule>
  </conditionalFormatting>
  <conditionalFormatting sqref="X10:Y19">
    <cfRule type="cellIs" dxfId="40" priority="120" operator="equal">
      <formula>0</formula>
    </cfRule>
  </conditionalFormatting>
  <conditionalFormatting sqref="Y22:BA24">
    <cfRule type="cellIs" dxfId="39" priority="310" operator="equal">
      <formula>0</formula>
    </cfRule>
  </conditionalFormatting>
  <conditionalFormatting sqref="Z10:BA16">
    <cfRule type="cellIs" dxfId="38" priority="325" operator="equal">
      <formula>0</formula>
    </cfRule>
  </conditionalFormatting>
  <conditionalFormatting sqref="Z17:BB19">
    <cfRule type="cellIs" dxfId="37" priority="322" operator="equal">
      <formula>0</formula>
    </cfRule>
  </conditionalFormatting>
  <conditionalFormatting sqref="AX64:BD65">
    <cfRule type="cellIs" dxfId="36" priority="49" operator="equal">
      <formula>0</formula>
    </cfRule>
  </conditionalFormatting>
  <conditionalFormatting sqref="AX1:XFD8 I9:BA9 C20:BB20">
    <cfRule type="cellIs" dxfId="35" priority="331" operator="equal">
      <formula>0</formula>
    </cfRule>
  </conditionalFormatting>
  <conditionalFormatting sqref="BB9:BB16">
    <cfRule type="cellIs" dxfId="34" priority="4" operator="equal">
      <formula>0</formula>
    </cfRule>
  </conditionalFormatting>
  <conditionalFormatting sqref="BB21:BB24">
    <cfRule type="cellIs" dxfId="33" priority="143" operator="equal">
      <formula>0</formula>
    </cfRule>
  </conditionalFormatting>
  <conditionalFormatting sqref="BB31:BB39">
    <cfRule type="cellIs" dxfId="32" priority="22" operator="equal">
      <formula>0</formula>
    </cfRule>
  </conditionalFormatting>
  <conditionalFormatting sqref="BB43:XFD51">
    <cfRule type="cellIs" dxfId="31" priority="16" operator="equal">
      <formula>0</formula>
    </cfRule>
  </conditionalFormatting>
  <conditionalFormatting sqref="BE10">
    <cfRule type="colorScale" priority="69">
      <colorScale>
        <cfvo type="min"/>
        <cfvo type="max"/>
        <color rgb="FFD9FBE2"/>
        <color rgb="FF00C556"/>
      </colorScale>
    </cfRule>
    <cfRule type="colorScale" priority="70">
      <colorScale>
        <cfvo type="min"/>
        <cfvo type="max"/>
        <color rgb="FFFCFCFF"/>
        <color rgb="FF63BE7B"/>
      </colorScale>
    </cfRule>
  </conditionalFormatting>
  <conditionalFormatting sqref="BE11:BE17">
    <cfRule type="colorScale" priority="71">
      <colorScale>
        <cfvo type="min"/>
        <cfvo type="max"/>
        <color rgb="FFD9FBE2"/>
        <color rgb="FF00C556"/>
      </colorScale>
    </cfRule>
    <cfRule type="colorScale" priority="72">
      <colorScale>
        <cfvo type="min"/>
        <cfvo type="max"/>
        <color rgb="FFFCFCFF"/>
        <color rgb="FF63BE7B"/>
      </colorScale>
    </cfRule>
  </conditionalFormatting>
  <conditionalFormatting sqref="BE22">
    <cfRule type="colorScale" priority="66">
      <colorScale>
        <cfvo type="min"/>
        <cfvo type="max"/>
        <color rgb="FFFCFCFF"/>
        <color rgb="FF63BE7B"/>
      </colorScale>
    </cfRule>
    <cfRule type="colorScale" priority="65">
      <colorScale>
        <cfvo type="min"/>
        <cfvo type="max"/>
        <color rgb="FFD9FBE2"/>
        <color rgb="FF00C556"/>
      </colorScale>
    </cfRule>
  </conditionalFormatting>
  <conditionalFormatting sqref="BE23">
    <cfRule type="cellIs" dxfId="30" priority="64" operator="equal">
      <formula>0</formula>
    </cfRule>
    <cfRule type="colorScale" priority="63">
      <colorScale>
        <cfvo type="min"/>
        <cfvo type="max"/>
        <color rgb="FFFCFCFF"/>
        <color rgb="FF63BE7B"/>
      </colorScale>
    </cfRule>
    <cfRule type="colorScale" priority="62">
      <colorScale>
        <cfvo type="min"/>
        <cfvo type="max"/>
        <color rgb="FFD9FBE2"/>
        <color rgb="FF00C556"/>
      </colorScale>
    </cfRule>
  </conditionalFormatting>
  <conditionalFormatting sqref="BE25">
    <cfRule type="colorScale" priority="59">
      <colorScale>
        <cfvo type="min"/>
        <cfvo type="max"/>
        <color rgb="FFD9FBE2"/>
        <color rgb="FF00C556"/>
      </colorScale>
    </cfRule>
    <cfRule type="colorScale" priority="60">
      <colorScale>
        <cfvo type="min"/>
        <cfvo type="max"/>
        <color rgb="FFFCFCFF"/>
        <color rgb="FF63BE7B"/>
      </colorScale>
    </cfRule>
  </conditionalFormatting>
  <conditionalFormatting sqref="BE25:BE28">
    <cfRule type="cellIs" dxfId="29" priority="61" operator="equal">
      <formula>0</formula>
    </cfRule>
  </conditionalFormatting>
  <conditionalFormatting sqref="BE26:BE28 BE24">
    <cfRule type="colorScale" priority="68">
      <colorScale>
        <cfvo type="min"/>
        <cfvo type="max"/>
        <color rgb="FFFCFCFF"/>
        <color rgb="FF63BE7B"/>
      </colorScale>
    </cfRule>
    <cfRule type="colorScale" priority="67">
      <colorScale>
        <cfvo type="min"/>
        <cfvo type="max"/>
        <color rgb="FFD9FBE2"/>
        <color rgb="FF00C556"/>
      </colorScale>
    </cfRule>
  </conditionalFormatting>
  <conditionalFormatting sqref="BE56">
    <cfRule type="colorScale" priority="55">
      <colorScale>
        <cfvo type="min"/>
        <cfvo type="max"/>
        <color rgb="FFD9FBE2"/>
        <color rgb="FF00C556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BE57">
    <cfRule type="colorScale" priority="52">
      <colorScale>
        <cfvo type="min"/>
        <cfvo type="max"/>
        <color rgb="FFD9FBE2"/>
        <color rgb="FF00C556"/>
      </colorScale>
    </cfRule>
    <cfRule type="cellIs" dxfId="28" priority="54" operator="equal">
      <formula>0</formula>
    </cfRule>
    <cfRule type="colorScale" priority="53">
      <colorScale>
        <cfvo type="min"/>
        <cfvo type="max"/>
        <color rgb="FFFCFCFF"/>
        <color rgb="FF63BE7B"/>
      </colorScale>
    </cfRule>
  </conditionalFormatting>
  <conditionalFormatting sqref="BE58:BE60">
    <cfRule type="colorScale" priority="58">
      <colorScale>
        <cfvo type="min"/>
        <cfvo type="max"/>
        <color rgb="FFFCFCFF"/>
        <color rgb="FF63BE7B"/>
      </colorScale>
    </cfRule>
    <cfRule type="colorScale" priority="57">
      <colorScale>
        <cfvo type="min"/>
        <cfvo type="max"/>
        <color rgb="FFD9FBE2"/>
        <color rgb="FF00C556"/>
      </colorScale>
    </cfRule>
  </conditionalFormatting>
  <hyperlinks>
    <hyperlink ref="A17" location="'Projeções 2022'!A1" display="Projeções 2022" xr:uid="{00000000-0004-0000-0A00-000000000000}"/>
    <hyperlink ref="A8" location="Dashboard!A1" display="Dashboard" xr:uid="{00000000-0004-0000-0A00-000001000000}"/>
    <hyperlink ref="A9" location="WACC!A1" display="WACC" xr:uid="{00000000-0004-0000-0A00-000002000000}"/>
    <hyperlink ref="A10" location="'DRE + DCF'!A1" display="DRE + DCF" xr:uid="{00000000-0004-0000-0A00-000003000000}"/>
    <hyperlink ref="A11" location="'DRE - Contas Abertas'!A1" display="DRE - Contas Abertas" xr:uid="{00000000-0004-0000-0A00-000004000000}"/>
    <hyperlink ref="A12" location="'Balanço Patrimonial'!A1" display="Balanço Patrimonial" xr:uid="{00000000-0004-0000-0A00-000005000000}"/>
    <hyperlink ref="A13" location="'Painel de Índices'!A1" display="Painel de Índices" xr:uid="{00000000-0004-0000-0A00-000006000000}"/>
    <hyperlink ref="A14" location="'Provisões e Processos'!A1" display="Provisões e Processos" xr:uid="{00000000-0004-0000-0A00-000007000000}"/>
    <hyperlink ref="A16" location="'Projeções - Capex'!A1" display="Projeções - Capex" xr:uid="{00000000-0004-0000-0A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22"/>
  <dimension ref="A1:CG142"/>
  <sheetViews>
    <sheetView showGridLines="0" zoomScale="80" zoomScaleNormal="80" workbookViewId="0">
      <selection activeCell="H30" sqref="H30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61.42578125" style="1" bestFit="1" customWidth="1"/>
    <col min="6" max="6" width="12" style="1" bestFit="1" customWidth="1"/>
    <col min="7" max="7" width="13.42578125" style="1" bestFit="1" customWidth="1"/>
    <col min="8" max="8" width="13" style="1" bestFit="1" customWidth="1"/>
    <col min="9" max="9" width="12.42578125" style="1" bestFit="1" customWidth="1"/>
    <col min="10" max="10" width="12.85546875" style="1" bestFit="1" customWidth="1"/>
    <col min="11" max="11" width="13.42578125" style="1" bestFit="1" customWidth="1"/>
    <col min="12" max="12" width="12.7109375" style="1" bestFit="1" customWidth="1"/>
    <col min="13" max="14" width="13" style="1" bestFit="1" customWidth="1"/>
    <col min="15" max="15" width="15.28515625" style="1" bestFit="1" customWidth="1"/>
    <col min="16" max="16" width="13.140625" style="1" bestFit="1" customWidth="1"/>
    <col min="17" max="18" width="12.85546875" style="1" bestFit="1" customWidth="1"/>
    <col min="19" max="20" width="13.140625" style="1" bestFit="1" customWidth="1"/>
    <col min="21" max="21" width="48.7109375" style="1" customWidth="1"/>
    <col min="22" max="22" width="23.7109375" style="1" customWidth="1"/>
    <col min="23" max="23" width="20.85546875" style="1" bestFit="1" customWidth="1"/>
    <col min="24" max="24" width="13.140625" style="1" bestFit="1" customWidth="1"/>
    <col min="25" max="25" width="55.5703125" style="1" customWidth="1"/>
    <col min="26" max="26" width="82.7109375" style="1" bestFit="1" customWidth="1"/>
    <col min="27" max="27" width="30.7109375" style="1" bestFit="1" customWidth="1"/>
    <col min="28" max="38" width="9.140625" style="1" customWidth="1"/>
    <col min="39" max="39" width="9.140625" style="1" hidden="1" customWidth="1"/>
    <col min="40" max="43" width="0" style="1" hidden="1" customWidth="1"/>
    <col min="44" max="45" width="9.140625" style="1" hidden="1" customWidth="1"/>
    <col min="46" max="49" width="0" style="1" hidden="1" customWidth="1"/>
    <col min="50" max="51" width="9.140625" style="1" hidden="1" customWidth="1"/>
    <col min="52" max="68" width="0" style="1" hidden="1" customWidth="1"/>
    <col min="69" max="69" width="9.140625" style="1" hidden="1" customWidth="1"/>
    <col min="70" max="73" width="0" style="1" hidden="1" customWidth="1"/>
    <col min="74" max="75" width="9.140625" style="1" hidden="1" customWidth="1"/>
    <col min="76" max="79" width="0" style="1" hidden="1" customWidth="1"/>
    <col min="80" max="81" width="9.140625" style="1" hidden="1" customWidth="1"/>
    <col min="82" max="83" width="0" style="1" hidden="1" customWidth="1"/>
    <col min="84" max="85" width="9.140625" style="1" hidden="1" customWidth="1"/>
    <col min="86" max="16384" width="0" style="1" hidden="1"/>
  </cols>
  <sheetData>
    <row r="1" spans="1:43" ht="15" customHeight="1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43" ht="15" customHeight="1" x14ac:dyDescent="0.25">
      <c r="B2" s="5"/>
      <c r="C2" s="5"/>
      <c r="D2" s="5"/>
      <c r="E2" s="5"/>
      <c r="F2" s="5"/>
      <c r="G2" s="5"/>
      <c r="H2" s="5"/>
      <c r="I2" s="5"/>
      <c r="J2" s="6"/>
      <c r="K2" s="32"/>
      <c r="L2" s="32"/>
      <c r="M2" s="32"/>
      <c r="N2" s="32"/>
      <c r="O2" s="32"/>
      <c r="P2" s="32"/>
      <c r="Q2" s="32"/>
      <c r="R2" s="32"/>
      <c r="S2" s="32"/>
      <c r="T2" s="32"/>
      <c r="U2" s="67"/>
      <c r="V2" s="67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43" ht="15" customHeight="1" x14ac:dyDescent="0.25">
      <c r="B3" s="5"/>
      <c r="C3" s="5"/>
      <c r="D3" s="5"/>
      <c r="E3" s="5"/>
      <c r="F3" s="5"/>
      <c r="G3" s="5"/>
      <c r="H3" s="5"/>
      <c r="I3" s="5"/>
      <c r="J3" s="6"/>
      <c r="K3" s="32"/>
      <c r="L3" s="32"/>
      <c r="M3" s="405" t="s">
        <v>88</v>
      </c>
      <c r="N3" s="405"/>
      <c r="O3" s="405"/>
      <c r="P3" s="405"/>
      <c r="Q3" s="405"/>
      <c r="R3" s="405"/>
      <c r="S3" s="32"/>
      <c r="T3" s="32"/>
      <c r="U3" s="67"/>
      <c r="V3" s="67"/>
      <c r="W3" s="5"/>
      <c r="X3" s="40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43" ht="15" customHeight="1" x14ac:dyDescent="0.25">
      <c r="B4" s="5"/>
      <c r="C4" s="5"/>
      <c r="D4" s="5"/>
      <c r="E4" s="5"/>
      <c r="F4" s="5"/>
      <c r="G4" s="5"/>
      <c r="H4" s="5"/>
      <c r="I4" s="5"/>
      <c r="J4" s="6"/>
      <c r="K4" s="32"/>
      <c r="L4" s="32"/>
      <c r="M4" s="405"/>
      <c r="N4" s="405"/>
      <c r="O4" s="405"/>
      <c r="P4" s="405"/>
      <c r="Q4" s="405"/>
      <c r="R4" s="405"/>
      <c r="S4" s="32"/>
      <c r="T4" s="32"/>
      <c r="U4" s="67"/>
      <c r="V4" s="67"/>
      <c r="W4" s="5"/>
      <c r="X4" s="40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43" ht="15" customHeight="1" x14ac:dyDescent="0.25">
      <c r="B5" s="5"/>
      <c r="C5" s="5"/>
      <c r="D5" s="5"/>
      <c r="E5" s="5"/>
      <c r="F5" s="5"/>
      <c r="G5" s="5"/>
      <c r="H5" s="5"/>
      <c r="I5" s="5"/>
      <c r="J5" s="6"/>
      <c r="K5" s="32"/>
      <c r="L5" s="32"/>
      <c r="M5" s="408"/>
      <c r="N5" s="408"/>
      <c r="O5" s="408"/>
      <c r="P5" s="408"/>
      <c r="Q5" s="408"/>
      <c r="R5" s="408"/>
      <c r="S5" s="32"/>
      <c r="T5" s="32"/>
      <c r="U5" s="67"/>
      <c r="V5" s="67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43" ht="15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58"/>
      <c r="N6" s="158"/>
      <c r="O6" s="158"/>
      <c r="P6" s="158"/>
      <c r="Q6" s="158"/>
      <c r="R6" s="158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43" s="11" customFormat="1" ht="24.75" customHeight="1" x14ac:dyDescent="0.25">
      <c r="A7" s="9" t="s">
        <v>68</v>
      </c>
      <c r="B7" s="10"/>
      <c r="C7" s="5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10"/>
      <c r="AL7" s="10"/>
    </row>
    <row r="8" spans="1:43" ht="30" customHeight="1" x14ac:dyDescent="0.25">
      <c r="A8" s="15" t="s">
        <v>69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43" ht="30" customHeight="1" x14ac:dyDescent="0.25">
      <c r="A9" s="15" t="s">
        <v>52</v>
      </c>
      <c r="B9" s="5"/>
      <c r="C9" s="5"/>
      <c r="D9" s="33"/>
      <c r="E9" s="214"/>
      <c r="F9" s="35">
        <f t="shared" ref="F9:G9" si="0">G9-1</f>
        <v>2013</v>
      </c>
      <c r="G9" s="35">
        <f t="shared" si="0"/>
        <v>2014</v>
      </c>
      <c r="H9" s="35">
        <f>I9-1</f>
        <v>2015</v>
      </c>
      <c r="I9" s="35">
        <v>2016</v>
      </c>
      <c r="J9" s="35">
        <v>2017</v>
      </c>
      <c r="K9" s="35">
        <v>2018</v>
      </c>
      <c r="L9" s="35">
        <v>2019</v>
      </c>
      <c r="M9" s="35">
        <v>2020</v>
      </c>
      <c r="N9" s="35">
        <v>2021</v>
      </c>
      <c r="O9" s="35">
        <f>N9+1</f>
        <v>2022</v>
      </c>
      <c r="P9" s="70">
        <f t="shared" ref="P9:X9" si="1">O9+1</f>
        <v>2023</v>
      </c>
      <c r="Q9" s="70">
        <f t="shared" si="1"/>
        <v>2024</v>
      </c>
      <c r="R9" s="70">
        <f t="shared" si="1"/>
        <v>2025</v>
      </c>
      <c r="S9" s="70">
        <f t="shared" si="1"/>
        <v>2026</v>
      </c>
      <c r="T9" s="70">
        <f t="shared" si="1"/>
        <v>2027</v>
      </c>
      <c r="U9" s="70">
        <f t="shared" si="1"/>
        <v>2028</v>
      </c>
      <c r="V9" s="70">
        <f t="shared" si="1"/>
        <v>2029</v>
      </c>
      <c r="W9" s="70">
        <f t="shared" si="1"/>
        <v>2030</v>
      </c>
      <c r="X9" s="70">
        <f t="shared" si="1"/>
        <v>2031</v>
      </c>
      <c r="Y9" s="35" t="s">
        <v>66</v>
      </c>
      <c r="Z9" s="215" t="s">
        <v>67</v>
      </c>
      <c r="AA9" s="119" t="s">
        <v>301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spans="1:43" ht="30" customHeight="1" x14ac:dyDescent="0.25">
      <c r="A10" s="15" t="s">
        <v>70</v>
      </c>
      <c r="B10" s="5"/>
      <c r="C10" s="5"/>
      <c r="D10" s="37"/>
      <c r="E10" s="216" t="s">
        <v>125</v>
      </c>
      <c r="F10" s="181">
        <v>151900</v>
      </c>
      <c r="G10" s="181">
        <v>172900</v>
      </c>
      <c r="H10" s="181">
        <v>229800</v>
      </c>
      <c r="I10" s="181">
        <v>315100</v>
      </c>
      <c r="J10" s="181">
        <v>360700</v>
      </c>
      <c r="K10" s="181">
        <v>441300</v>
      </c>
      <c r="L10" s="181">
        <v>361400</v>
      </c>
      <c r="M10" s="181">
        <v>337900</v>
      </c>
      <c r="N10" s="181">
        <v>377500</v>
      </c>
      <c r="O10" s="392">
        <v>431800</v>
      </c>
      <c r="P10" s="181">
        <f>P20*'Projeções - Receita'!P15</f>
        <v>460678.78399999999</v>
      </c>
      <c r="Q10" s="181">
        <f>Q20*'Projeções - Receita'!Q15</f>
        <v>485108.57991551992</v>
      </c>
      <c r="R10" s="181">
        <f>R20*'Projeções - Receita'!R15</f>
        <v>518886.69033503765</v>
      </c>
      <c r="S10" s="181">
        <f>S20*'Projeções - Receita'!S15</f>
        <v>553423.78844373766</v>
      </c>
      <c r="T10" s="181">
        <f>T20*'Projeções - Receita'!T15</f>
        <v>592788.82251574064</v>
      </c>
      <c r="U10" s="181">
        <f>U20*'Projeções - Receita'!U15</f>
        <v>633780.16959270416</v>
      </c>
      <c r="V10" s="181">
        <f>V20*'Projeções - Receita'!V15</f>
        <v>680629.19972899673</v>
      </c>
      <c r="W10" s="181">
        <f>W20*'Projeções - Receita'!W15</f>
        <v>730696.28366106178</v>
      </c>
      <c r="X10" s="181">
        <f>X20*'Projeções - Receita'!X15</f>
        <v>779119.52637928037</v>
      </c>
      <c r="Y10" s="164" t="s">
        <v>146</v>
      </c>
      <c r="Z10" s="165"/>
      <c r="AA10" s="113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1:43" ht="30" customHeight="1" x14ac:dyDescent="0.25">
      <c r="A11" s="21" t="s">
        <v>340</v>
      </c>
      <c r="B11" s="5"/>
      <c r="C11" s="5"/>
      <c r="D11" s="37"/>
      <c r="E11" s="216" t="s">
        <v>126</v>
      </c>
      <c r="F11" s="181">
        <v>43800</v>
      </c>
      <c r="G11" s="181">
        <v>39800</v>
      </c>
      <c r="H11" s="181">
        <v>56100</v>
      </c>
      <c r="I11" s="181">
        <v>73300</v>
      </c>
      <c r="J11" s="181">
        <v>111300</v>
      </c>
      <c r="K11" s="181">
        <v>128900</v>
      </c>
      <c r="L11" s="181">
        <v>72900</v>
      </c>
      <c r="M11" s="181">
        <v>125300</v>
      </c>
      <c r="N11" s="181">
        <v>155300</v>
      </c>
      <c r="O11" s="392">
        <v>166400</v>
      </c>
      <c r="P11" s="181">
        <f>P21*'Projeções - Receita'!P11</f>
        <v>200909.07240994705</v>
      </c>
      <c r="Q11" s="181">
        <f>Q21*'Projeções - Receita'!Q11</f>
        <v>232668.77771137544</v>
      </c>
      <c r="R11" s="181">
        <f>R21*'Projeções - Receita'!R11</f>
        <v>271063.46978486516</v>
      </c>
      <c r="S11" s="181">
        <f>S21*'Projeções - Receita'!S11</f>
        <v>314871.31831250311</v>
      </c>
      <c r="T11" s="181">
        <f>T21*'Projeções - Receita'!T11</f>
        <v>364370.48488811951</v>
      </c>
      <c r="U11" s="181">
        <f>U21*'Projeções - Receita'!U11</f>
        <v>418022.20763268118</v>
      </c>
      <c r="V11" s="181">
        <f>V21*'Projeções - Receita'!V11</f>
        <v>478931.8968579885</v>
      </c>
      <c r="W11" s="181">
        <f>W21*'Projeções - Receita'!W11</f>
        <v>545799.85421775084</v>
      </c>
      <c r="X11" s="181">
        <f>X21*'Projeções - Receita'!X11</f>
        <v>615097.82899032533</v>
      </c>
      <c r="Y11" s="164" t="s">
        <v>147</v>
      </c>
      <c r="Z11" s="165" t="s">
        <v>148</v>
      </c>
      <c r="AA11" s="113">
        <v>3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spans="1:43" ht="30" customHeight="1" x14ac:dyDescent="0.25">
      <c r="A12" s="15" t="s">
        <v>71</v>
      </c>
      <c r="B12" s="5"/>
      <c r="C12" s="5"/>
      <c r="D12" s="37"/>
      <c r="E12" s="216" t="s">
        <v>127</v>
      </c>
      <c r="F12" s="181">
        <v>41100</v>
      </c>
      <c r="G12" s="181">
        <v>58300</v>
      </c>
      <c r="H12" s="181">
        <v>102800</v>
      </c>
      <c r="I12" s="181">
        <v>100700</v>
      </c>
      <c r="J12" s="181">
        <v>167200</v>
      </c>
      <c r="K12" s="181">
        <v>132800</v>
      </c>
      <c r="L12" s="181">
        <v>214800</v>
      </c>
      <c r="M12" s="181">
        <v>209800</v>
      </c>
      <c r="N12" s="181">
        <f>218600+77100+19300</f>
        <v>315000</v>
      </c>
      <c r="O12" s="392">
        <v>412666</v>
      </c>
      <c r="P12" s="181">
        <f>P13*'DRE + DCF'!P15</f>
        <v>417586.51955736242</v>
      </c>
      <c r="Q12" s="181">
        <f>Q13*'DRE + DCF'!Q15</f>
        <v>472929.58540246793</v>
      </c>
      <c r="R12" s="181">
        <f>R13*'DRE + DCF'!R15</f>
        <v>540594.11145707371</v>
      </c>
      <c r="S12" s="181">
        <f>S13*'DRE + DCF'!S15</f>
        <v>612914.05542061967</v>
      </c>
      <c r="T12" s="181">
        <f>T13*'DRE + DCF'!T15</f>
        <v>694317.34414407343</v>
      </c>
      <c r="U12" s="181">
        <f>U13*'DRE + DCF'!U15</f>
        <v>781778.60161495174</v>
      </c>
      <c r="V12" s="181">
        <f>V13*'DRE + DCF'!V15</f>
        <v>880666.97362427786</v>
      </c>
      <c r="W12" s="181">
        <f>W13*'DRE + DCF'!W15</f>
        <v>988430.0844133728</v>
      </c>
      <c r="X12" s="181">
        <f>X13*'DRE + DCF'!X15</f>
        <v>1098905.4979882333</v>
      </c>
      <c r="Y12" s="164"/>
      <c r="Z12" s="165"/>
      <c r="AA12" s="113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1:43" ht="30" customHeight="1" x14ac:dyDescent="0.25">
      <c r="A13" s="21" t="s">
        <v>333</v>
      </c>
      <c r="B13" s="5"/>
      <c r="C13" s="5"/>
      <c r="D13" s="37"/>
      <c r="E13" s="186" t="s">
        <v>128</v>
      </c>
      <c r="F13" s="187">
        <f>F12/'DRE + DCF'!F15</f>
        <v>6.5940211961682798E-3</v>
      </c>
      <c r="G13" s="187">
        <f>G12/'DRE + DCF'!G15</f>
        <v>7.8873646447729841E-3</v>
      </c>
      <c r="H13" s="187">
        <f>H12/'DRE + DCF'!H15</f>
        <v>1.15533540746758E-2</v>
      </c>
      <c r="I13" s="187">
        <f>I12/'DRE + DCF'!I15</f>
        <v>8.9458906869013775E-3</v>
      </c>
      <c r="J13" s="187">
        <f>J12/'DRE + DCF'!J15</f>
        <v>1.2654678276375297E-2</v>
      </c>
      <c r="K13" s="187">
        <f>K12/'DRE + DCF'!K15</f>
        <v>8.97209698107178E-3</v>
      </c>
      <c r="L13" s="187">
        <f>L12/'DRE + DCF'!L15</f>
        <v>1.2228446509085941E-2</v>
      </c>
      <c r="M13" s="187">
        <f>M12/'DRE + DCF'!M15</f>
        <v>1.0455059192179735E-2</v>
      </c>
      <c r="N13" s="187">
        <f>N12/'DRE + DCF'!N15</f>
        <v>1.3055911380949858E-2</v>
      </c>
      <c r="O13" s="393">
        <f>O12/'DRE + DCF'!O15</f>
        <v>1.4196876361061782E-2</v>
      </c>
      <c r="P13" s="187">
        <f t="shared" ref="P13:X13" si="2">AVERAGE($L$13:$N$13,$O$13)</f>
        <v>1.2484073360819329E-2</v>
      </c>
      <c r="Q13" s="187">
        <f t="shared" si="2"/>
        <v>1.2484073360819329E-2</v>
      </c>
      <c r="R13" s="187">
        <f t="shared" si="2"/>
        <v>1.2484073360819329E-2</v>
      </c>
      <c r="S13" s="187">
        <f t="shared" si="2"/>
        <v>1.2484073360819329E-2</v>
      </c>
      <c r="T13" s="187">
        <f t="shared" si="2"/>
        <v>1.2484073360819329E-2</v>
      </c>
      <c r="U13" s="187">
        <f t="shared" si="2"/>
        <v>1.2484073360819329E-2</v>
      </c>
      <c r="V13" s="187">
        <f t="shared" si="2"/>
        <v>1.2484073360819329E-2</v>
      </c>
      <c r="W13" s="187">
        <f t="shared" si="2"/>
        <v>1.2484073360819329E-2</v>
      </c>
      <c r="X13" s="187">
        <f t="shared" si="2"/>
        <v>1.2484073360819329E-2</v>
      </c>
      <c r="Y13" s="164" t="s">
        <v>291</v>
      </c>
      <c r="Z13" s="165" t="s">
        <v>292</v>
      </c>
      <c r="AA13" s="113">
        <v>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30" customHeight="1" x14ac:dyDescent="0.25">
      <c r="A14" s="21" t="s">
        <v>198</v>
      </c>
      <c r="B14" s="5"/>
      <c r="C14" s="5"/>
      <c r="D14" s="37"/>
      <c r="E14" s="216" t="s">
        <v>281</v>
      </c>
      <c r="F14" s="181">
        <v>0</v>
      </c>
      <c r="G14" s="181">
        <v>0</v>
      </c>
      <c r="H14" s="181">
        <v>0</v>
      </c>
      <c r="I14" s="181">
        <v>0</v>
      </c>
      <c r="J14" s="181">
        <v>0</v>
      </c>
      <c r="K14" s="181">
        <v>0</v>
      </c>
      <c r="L14" s="181">
        <v>0</v>
      </c>
      <c r="M14" s="181">
        <v>0</v>
      </c>
      <c r="N14" s="181">
        <f>137400+11884</f>
        <v>149284</v>
      </c>
      <c r="O14" s="392">
        <v>77600</v>
      </c>
      <c r="P14" s="181">
        <v>0</v>
      </c>
      <c r="Q14" s="181">
        <f>(11884/2)*(1+WACC!H10)^3</f>
        <v>8311.8719298278356</v>
      </c>
      <c r="R14" s="181">
        <v>0</v>
      </c>
      <c r="S14" s="181">
        <v>0</v>
      </c>
      <c r="T14" s="181">
        <v>0</v>
      </c>
      <c r="U14" s="181">
        <v>0</v>
      </c>
      <c r="V14" s="181">
        <v>0</v>
      </c>
      <c r="W14" s="181">
        <v>0</v>
      </c>
      <c r="X14" s="181">
        <v>0</v>
      </c>
      <c r="Y14" s="164"/>
      <c r="Z14" s="165"/>
      <c r="AA14" s="113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30" customHeight="1" thickBot="1" x14ac:dyDescent="0.3">
      <c r="A15" s="15" t="s">
        <v>305</v>
      </c>
      <c r="B15" s="5"/>
      <c r="C15" s="5"/>
      <c r="D15" s="37"/>
      <c r="E15" s="324" t="s">
        <v>129</v>
      </c>
      <c r="F15" s="325">
        <f>SUM(F10:F12,F14)</f>
        <v>236800</v>
      </c>
      <c r="G15" s="325">
        <f t="shared" ref="G15:X15" si="3">SUM(G10:G12,G14)</f>
        <v>271000</v>
      </c>
      <c r="H15" s="325">
        <f t="shared" si="3"/>
        <v>388700</v>
      </c>
      <c r="I15" s="325">
        <f t="shared" si="3"/>
        <v>489100</v>
      </c>
      <c r="J15" s="325">
        <f t="shared" si="3"/>
        <v>639200</v>
      </c>
      <c r="K15" s="325">
        <f t="shared" si="3"/>
        <v>703000</v>
      </c>
      <c r="L15" s="325">
        <f t="shared" si="3"/>
        <v>649100</v>
      </c>
      <c r="M15" s="325">
        <f t="shared" si="3"/>
        <v>673000</v>
      </c>
      <c r="N15" s="325">
        <f t="shared" si="3"/>
        <v>997084</v>
      </c>
      <c r="O15" s="394">
        <f t="shared" si="3"/>
        <v>1088466</v>
      </c>
      <c r="P15" s="325">
        <f t="shared" si="3"/>
        <v>1079174.3759673093</v>
      </c>
      <c r="Q15" s="325">
        <f>SUM(Q10:Q12,Q14)</f>
        <v>1199018.8149591913</v>
      </c>
      <c r="R15" s="326">
        <f t="shared" si="3"/>
        <v>1330544.2715769764</v>
      </c>
      <c r="S15" s="325">
        <f t="shared" si="3"/>
        <v>1481209.1621768605</v>
      </c>
      <c r="T15" s="325">
        <f t="shared" si="3"/>
        <v>1651476.6515479335</v>
      </c>
      <c r="U15" s="325">
        <f t="shared" si="3"/>
        <v>1833580.9788403371</v>
      </c>
      <c r="V15" s="325">
        <f t="shared" si="3"/>
        <v>2040228.0702112631</v>
      </c>
      <c r="W15" s="325">
        <f t="shared" si="3"/>
        <v>2264926.2222921853</v>
      </c>
      <c r="X15" s="325">
        <f t="shared" si="3"/>
        <v>2493122.8533578389</v>
      </c>
      <c r="Y15" s="317"/>
      <c r="Z15" s="314"/>
      <c r="AA15" s="261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30" customHeight="1" x14ac:dyDescent="0.25">
      <c r="A16" s="244" t="s">
        <v>358</v>
      </c>
      <c r="B16" s="5"/>
      <c r="C16" s="5"/>
      <c r="D16" s="5"/>
      <c r="E16" s="114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30" customHeight="1" x14ac:dyDescent="0.25">
      <c r="A17" s="21" t="s">
        <v>314</v>
      </c>
      <c r="B17" s="5"/>
      <c r="C17" s="5"/>
      <c r="D17" s="5"/>
      <c r="E17" s="114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30" customHeight="1" x14ac:dyDescent="0.25">
      <c r="A18" s="15"/>
      <c r="B18" s="5"/>
      <c r="C18" s="5"/>
      <c r="D18" s="5"/>
      <c r="E18" s="114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30" customHeight="1" x14ac:dyDescent="0.25">
      <c r="A19" s="15"/>
      <c r="B19" s="5"/>
      <c r="C19" s="5"/>
      <c r="D19" s="5"/>
      <c r="E19" s="217"/>
      <c r="F19" s="35">
        <f t="shared" ref="F19:G19" si="4">G19-1</f>
        <v>2013</v>
      </c>
      <c r="G19" s="35">
        <f t="shared" si="4"/>
        <v>2014</v>
      </c>
      <c r="H19" s="35">
        <f>I19-1</f>
        <v>2015</v>
      </c>
      <c r="I19" s="35">
        <v>2016</v>
      </c>
      <c r="J19" s="35">
        <v>2017</v>
      </c>
      <c r="K19" s="35">
        <v>2018</v>
      </c>
      <c r="L19" s="35">
        <v>2019</v>
      </c>
      <c r="M19" s="35">
        <v>2020</v>
      </c>
      <c r="N19" s="35">
        <v>2021</v>
      </c>
      <c r="O19" s="35">
        <f>N19+1</f>
        <v>2022</v>
      </c>
      <c r="P19" s="70">
        <f t="shared" ref="P19:X19" si="5">O19+1</f>
        <v>2023</v>
      </c>
      <c r="Q19" s="70">
        <f t="shared" si="5"/>
        <v>2024</v>
      </c>
      <c r="R19" s="70">
        <f t="shared" si="5"/>
        <v>2025</v>
      </c>
      <c r="S19" s="70">
        <f t="shared" si="5"/>
        <v>2026</v>
      </c>
      <c r="T19" s="70">
        <f t="shared" si="5"/>
        <v>2027</v>
      </c>
      <c r="U19" s="70">
        <f t="shared" si="5"/>
        <v>2028</v>
      </c>
      <c r="V19" s="70">
        <f t="shared" si="5"/>
        <v>2029</v>
      </c>
      <c r="W19" s="70">
        <f t="shared" si="5"/>
        <v>2030</v>
      </c>
      <c r="X19" s="70">
        <f t="shared" si="5"/>
        <v>2031</v>
      </c>
      <c r="Y19" s="35" t="s">
        <v>66</v>
      </c>
      <c r="Z19" s="119" t="s">
        <v>67</v>
      </c>
      <c r="AA19" s="119" t="s">
        <v>301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ht="45" customHeight="1" x14ac:dyDescent="0.25">
      <c r="A20" s="15"/>
      <c r="B20" s="5"/>
      <c r="C20" s="5"/>
      <c r="D20" s="5"/>
      <c r="E20" s="182" t="s">
        <v>130</v>
      </c>
      <c r="F20" s="181">
        <f>F10/'Projeções - Receita'!F15</f>
        <v>1168.4615384615386</v>
      </c>
      <c r="G20" s="181">
        <f>G10/'Projeções - Receita'!G15</f>
        <v>1319.8473282442749</v>
      </c>
      <c r="H20" s="181">
        <f>H10/'Projeções - Receita'!H15</f>
        <v>1473.0769230769231</v>
      </c>
      <c r="I20" s="181">
        <f>I10/'Projeções - Receita'!I15</f>
        <v>1479.3427230046948</v>
      </c>
      <c r="J20" s="181">
        <f>J10/'Projeções - Receita'!J15</f>
        <v>1725.8373205741627</v>
      </c>
      <c r="K20" s="181">
        <f>K10/'Projeções - Receita'!K15</f>
        <v>1838.75</v>
      </c>
      <c r="L20" s="181">
        <f>L10/'Projeções - Receita'!L15</f>
        <v>1281.5602836879432</v>
      </c>
      <c r="M20" s="181">
        <f>M10/'Projeções - Receita'!M15</f>
        <v>1407.9166666666667</v>
      </c>
      <c r="N20" s="181">
        <f>N10/'Projeções - Receita'!N15</f>
        <v>1572.9166666666667</v>
      </c>
      <c r="O20" s="181">
        <f>O10/'Projeções - Receita'!O15</f>
        <v>1660.7692307692307</v>
      </c>
      <c r="P20" s="181">
        <f t="shared" ref="P20:X20" si="6">O20*(1+P26)</f>
        <v>1771.8414769230769</v>
      </c>
      <c r="Q20" s="181">
        <f t="shared" si="6"/>
        <v>1865.8022304443075</v>
      </c>
      <c r="R20" s="181">
        <f t="shared" si="6"/>
        <v>1995.7180397501447</v>
      </c>
      <c r="S20" s="181">
        <f t="shared" si="6"/>
        <v>2128.5530324759143</v>
      </c>
      <c r="T20" s="181">
        <f t="shared" si="6"/>
        <v>2279.9570096759257</v>
      </c>
      <c r="U20" s="181">
        <f t="shared" si="6"/>
        <v>2437.6160368950159</v>
      </c>
      <c r="V20" s="181">
        <f t="shared" si="6"/>
        <v>2617.8046143422953</v>
      </c>
      <c r="W20" s="181">
        <f t="shared" si="6"/>
        <v>2810.3703217733146</v>
      </c>
      <c r="X20" s="181">
        <f t="shared" si="6"/>
        <v>2996.6135629972323</v>
      </c>
      <c r="Y20" s="164" t="s">
        <v>293</v>
      </c>
      <c r="Z20" s="166" t="s">
        <v>149</v>
      </c>
      <c r="AA20" s="113">
        <v>3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1:43" ht="42" customHeight="1" thickBot="1" x14ac:dyDescent="0.3">
      <c r="A21" s="15"/>
      <c r="B21" s="5"/>
      <c r="C21" s="5"/>
      <c r="D21" s="5"/>
      <c r="E21" s="328" t="s">
        <v>131</v>
      </c>
      <c r="F21" s="325">
        <f>F11/'Projeções - Receita'!F11</f>
        <v>80.219780219780219</v>
      </c>
      <c r="G21" s="325">
        <f>G11/'Projeções - Receita'!G11</f>
        <v>61.609907120743031</v>
      </c>
      <c r="H21" s="325">
        <f>H11/'Projeções - Receita'!H11</f>
        <v>77.060439560439562</v>
      </c>
      <c r="I21" s="325">
        <f>I11/'Projeções - Receita'!I11</f>
        <v>91.510611735330841</v>
      </c>
      <c r="J21" s="325">
        <f>J11/'Projeções - Receita'!J11</f>
        <v>122.03947368421052</v>
      </c>
      <c r="K21" s="325">
        <f>K11/'Projeções - Receita'!K11</f>
        <v>125.87890625</v>
      </c>
      <c r="L21" s="325">
        <f>L11/'Projeções - Receita'!L11</f>
        <v>63.336229365768894</v>
      </c>
      <c r="M21" s="325">
        <f>M11/'Projeções - Receita'!M11</f>
        <v>93.021529324424648</v>
      </c>
      <c r="N21" s="325">
        <f>N11/'Projeções - Receita'!N11</f>
        <v>105.0744248985115</v>
      </c>
      <c r="O21" s="325">
        <f>O11/'Projeções - Receita'!O11</f>
        <v>100.12033694344164</v>
      </c>
      <c r="P21" s="325">
        <f>O21*(1+'Projeções - Receita'!P58)</f>
        <v>106.81638507821903</v>
      </c>
      <c r="Q21" s="325">
        <f>P21*(1+'Projeções - Receita'!Q58)</f>
        <v>112.48085797891697</v>
      </c>
      <c r="R21" s="325">
        <f>Q21*(1+'Projeções - Receita'!R58)</f>
        <v>120.31290011998897</v>
      </c>
      <c r="S21" s="325">
        <f>R21*(1+'Projeções - Receita'!S58)</f>
        <v>128.32092675197543</v>
      </c>
      <c r="T21" s="325">
        <f>S21*(1+'Projeções - Receita'!T58)</f>
        <v>137.44839427184343</v>
      </c>
      <c r="U21" s="325">
        <f>T21*(1+'Projeções - Receita'!U58)</f>
        <v>146.95295073574141</v>
      </c>
      <c r="V21" s="325">
        <f>U21*(1+'Projeções - Receita'!V58)</f>
        <v>157.81571285412741</v>
      </c>
      <c r="W21" s="325">
        <f>V21*(1+'Projeções - Receita'!W58)</f>
        <v>169.42463669167702</v>
      </c>
      <c r="X21" s="325">
        <f>W21*(1+'Projeções - Receita'!X58)</f>
        <v>180.65240736523447</v>
      </c>
      <c r="Y21" s="317" t="s">
        <v>294</v>
      </c>
      <c r="Z21" s="327" t="s">
        <v>149</v>
      </c>
      <c r="AA21" s="261">
        <v>3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spans="1:43" ht="30" customHeight="1" x14ac:dyDescent="0.25">
      <c r="A22" s="1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spans="1:43" ht="30" customHeight="1" x14ac:dyDescent="0.25">
      <c r="A23" s="15"/>
      <c r="B23" s="5"/>
      <c r="C23" s="5"/>
      <c r="D23" s="5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43" ht="30" customHeight="1" x14ac:dyDescent="0.25">
      <c r="A24" s="15"/>
      <c r="B24" s="5"/>
      <c r="C24" s="5"/>
      <c r="D24" s="5"/>
      <c r="E24" s="54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43" ht="30" customHeight="1" x14ac:dyDescent="0.25">
      <c r="A25" s="15"/>
      <c r="B25" s="5"/>
      <c r="C25" s="5"/>
      <c r="D25" s="37"/>
      <c r="E25" s="218"/>
      <c r="F25" s="192">
        <v>2013</v>
      </c>
      <c r="G25" s="192">
        <v>2014</v>
      </c>
      <c r="H25" s="192">
        <v>2015</v>
      </c>
      <c r="I25" s="192">
        <v>2016</v>
      </c>
      <c r="J25" s="192">
        <f>I25+1</f>
        <v>2017</v>
      </c>
      <c r="K25" s="192">
        <f>J25+1</f>
        <v>2018</v>
      </c>
      <c r="L25" s="192">
        <f>K25+1</f>
        <v>2019</v>
      </c>
      <c r="M25" s="192">
        <f>L25+1</f>
        <v>2020</v>
      </c>
      <c r="N25" s="192">
        <v>2021</v>
      </c>
      <c r="O25" s="192">
        <v>2022</v>
      </c>
      <c r="P25" s="191">
        <v>2023</v>
      </c>
      <c r="Q25" s="191">
        <v>2024</v>
      </c>
      <c r="R25" s="191">
        <f>Q25+1</f>
        <v>2025</v>
      </c>
      <c r="S25" s="191">
        <f t="shared" ref="S25:Z25" si="7">R25+1</f>
        <v>2026</v>
      </c>
      <c r="T25" s="191">
        <f t="shared" si="7"/>
        <v>2027</v>
      </c>
      <c r="U25" s="191">
        <f t="shared" si="7"/>
        <v>2028</v>
      </c>
      <c r="V25" s="191">
        <f t="shared" si="7"/>
        <v>2029</v>
      </c>
      <c r="W25" s="191">
        <f t="shared" si="7"/>
        <v>2030</v>
      </c>
      <c r="X25" s="191">
        <f t="shared" si="7"/>
        <v>2031</v>
      </c>
      <c r="Y25" s="376">
        <f t="shared" si="7"/>
        <v>2032</v>
      </c>
      <c r="Z25" s="191">
        <f t="shared" si="7"/>
        <v>2033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43" ht="30" customHeight="1" thickBot="1" x14ac:dyDescent="0.3">
      <c r="A26" s="15"/>
      <c r="B26" s="5"/>
      <c r="C26" s="5"/>
      <c r="D26" s="37"/>
      <c r="E26" s="372" t="s">
        <v>117</v>
      </c>
      <c r="F26" s="344">
        <f>'Projeções - Receita'!F58</f>
        <v>5.91E-2</v>
      </c>
      <c r="G26" s="344">
        <f>'Projeções - Receita'!G58</f>
        <v>6.4000000000000001E-2</v>
      </c>
      <c r="H26" s="344">
        <f>'Projeções - Receita'!H58</f>
        <v>0.1067</v>
      </c>
      <c r="I26" s="344">
        <f>'Projeções - Receita'!I58</f>
        <v>6.2799999999999995E-2</v>
      </c>
      <c r="J26" s="344">
        <f>'Projeções - Receita'!J58</f>
        <v>2.9399999999999999E-2</v>
      </c>
      <c r="K26" s="344">
        <f>'Projeções - Receita'!K58</f>
        <v>3.7400000000000003E-2</v>
      </c>
      <c r="L26" s="344">
        <f>'Projeções - Receita'!L58</f>
        <v>4.2999999999999997E-2</v>
      </c>
      <c r="M26" s="344">
        <f>'Projeções - Receita'!M58</f>
        <v>4.5199999999999997E-2</v>
      </c>
      <c r="N26" s="344">
        <f>'Projeções - Receita'!N58</f>
        <v>0.10059999999999999</v>
      </c>
      <c r="O26" s="344">
        <v>5.79E-2</v>
      </c>
      <c r="P26" s="344">
        <f>WACC!F12</f>
        <v>6.6879999999999995E-2</v>
      </c>
      <c r="Q26" s="344">
        <f>WACC!G12</f>
        <v>5.3030000000000001E-2</v>
      </c>
      <c r="R26" s="344">
        <f>WACC!H12</f>
        <v>6.9629999999999997E-2</v>
      </c>
      <c r="S26" s="344">
        <f>WACC!I12</f>
        <v>6.6559999999999994E-2</v>
      </c>
      <c r="T26" s="344">
        <f>WACC!J12</f>
        <v>7.1129999999999999E-2</v>
      </c>
      <c r="U26" s="344">
        <f>WACC!K12</f>
        <v>6.9150000000000003E-2</v>
      </c>
      <c r="V26" s="344">
        <f>WACC!L12</f>
        <v>7.392E-2</v>
      </c>
      <c r="W26" s="344">
        <f>WACC!M12</f>
        <v>7.356E-2</v>
      </c>
      <c r="X26" s="344">
        <f>WACC!N12</f>
        <v>6.6269999999999996E-2</v>
      </c>
      <c r="Y26" s="344">
        <f>WACC!O12</f>
        <v>6.1539999999999997E-2</v>
      </c>
      <c r="Z26" s="344">
        <f>WACC!P12</f>
        <v>6.4280000000000004E-2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43" s="2" customFormat="1" ht="30" customHeight="1" x14ac:dyDescent="0.25">
      <c r="A27" s="177"/>
      <c r="B27" s="178"/>
      <c r="C27" s="5"/>
      <c r="D27" s="5"/>
      <c r="E27" s="25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178"/>
      <c r="AL27" s="178"/>
    </row>
    <row r="28" spans="1:43" ht="30" customHeight="1" x14ac:dyDescent="0.25">
      <c r="A28" s="15"/>
      <c r="B28" s="5"/>
      <c r="C28" s="5"/>
      <c r="D28" s="5"/>
      <c r="E28" s="114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43" ht="30" customHeight="1" x14ac:dyDescent="0.25">
      <c r="A29" s="15"/>
      <c r="B29" s="5"/>
      <c r="C29" s="5"/>
      <c r="D29" s="5"/>
      <c r="E29" s="114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43" ht="30" customHeight="1" x14ac:dyDescent="0.25">
      <c r="A30" s="15"/>
      <c r="B30" s="5"/>
      <c r="C30" s="5"/>
      <c r="D30" s="5"/>
      <c r="E30" s="114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43" ht="30" customHeight="1" x14ac:dyDescent="0.25">
      <c r="A31" s="15"/>
      <c r="B31" s="5"/>
      <c r="C31" s="5"/>
      <c r="D31" s="5"/>
      <c r="E31" s="114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43" ht="30" customHeight="1" x14ac:dyDescent="0.25">
      <c r="A32" s="15"/>
      <c r="B32" s="5"/>
      <c r="C32" s="5"/>
      <c r="D32" s="5"/>
      <c r="E32" s="114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30" customHeight="1" x14ac:dyDescent="0.25">
      <c r="A33" s="15"/>
      <c r="B33" s="5"/>
      <c r="C33" s="5"/>
      <c r="D33" s="5"/>
      <c r="E33" s="114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30" customHeight="1" x14ac:dyDescent="0.25">
      <c r="A34" s="15"/>
      <c r="B34" s="5"/>
      <c r="C34" s="5"/>
      <c r="D34" s="5"/>
      <c r="E34" s="114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30" customHeight="1" x14ac:dyDescent="0.25">
      <c r="A35" s="15"/>
      <c r="B35" s="5"/>
      <c r="C35" s="5"/>
      <c r="D35" s="5"/>
      <c r="E35" s="114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30" customHeight="1" x14ac:dyDescent="0.25">
      <c r="A36" s="15"/>
      <c r="B36" s="5"/>
      <c r="C36" s="5"/>
      <c r="D36" s="5"/>
      <c r="E36" s="114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30" customHeight="1" x14ac:dyDescent="0.25">
      <c r="A37" s="15"/>
      <c r="B37" s="5"/>
      <c r="C37" s="5"/>
      <c r="D37" s="5"/>
      <c r="E37" s="114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30" customHeight="1" x14ac:dyDescent="0.25">
      <c r="A38" s="15"/>
      <c r="B38" s="5"/>
      <c r="C38" s="5"/>
      <c r="D38" s="5"/>
      <c r="E38" s="114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30" customHeight="1" x14ac:dyDescent="0.25">
      <c r="A39" s="15"/>
      <c r="B39" s="5"/>
      <c r="C39" s="5"/>
      <c r="D39" s="5"/>
      <c r="E39" s="114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30" customHeight="1" x14ac:dyDescent="0.25">
      <c r="A40" s="15"/>
      <c r="B40" s="5"/>
      <c r="C40" s="5"/>
      <c r="D40" s="5"/>
      <c r="E40" s="114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30" customHeight="1" x14ac:dyDescent="0.25">
      <c r="A41" s="15"/>
      <c r="B41" s="5"/>
      <c r="C41" s="5"/>
      <c r="D41" s="5"/>
      <c r="E41" s="114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30" customHeight="1" x14ac:dyDescent="0.25">
      <c r="A42" s="15"/>
      <c r="B42" s="5"/>
      <c r="C42" s="5"/>
      <c r="D42" s="5"/>
      <c r="E42" s="114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30" customHeight="1" x14ac:dyDescent="0.25">
      <c r="A43" s="15"/>
      <c r="B43" s="5"/>
      <c r="C43" s="5"/>
      <c r="D43" s="5"/>
      <c r="E43" s="114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30" customHeight="1" x14ac:dyDescent="0.25">
      <c r="A44" s="15"/>
      <c r="B44" s="5"/>
      <c r="C44" s="5"/>
      <c r="D44" s="5"/>
      <c r="E44" s="114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30" customHeight="1" x14ac:dyDescent="0.25">
      <c r="A45" s="15"/>
      <c r="B45" s="5"/>
      <c r="C45" s="5"/>
      <c r="D45" s="5"/>
      <c r="E45" s="114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30" customHeight="1" x14ac:dyDescent="0.25">
      <c r="A46" s="15"/>
      <c r="B46" s="5"/>
      <c r="C46" s="5"/>
      <c r="D46" s="5"/>
      <c r="E46" s="114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30" customHeight="1" x14ac:dyDescent="0.25">
      <c r="A47" s="15"/>
      <c r="B47" s="5"/>
      <c r="C47" s="5"/>
      <c r="D47" s="5"/>
      <c r="E47" s="114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30" customHeight="1" x14ac:dyDescent="0.25">
      <c r="A48" s="15"/>
      <c r="B48" s="5"/>
      <c r="C48" s="5"/>
      <c r="D48" s="5"/>
      <c r="E48" s="114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30" customHeight="1" x14ac:dyDescent="0.25">
      <c r="A49" s="15"/>
      <c r="B49" s="5"/>
      <c r="C49" s="5"/>
      <c r="D49" s="5"/>
      <c r="E49" s="114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30" customHeight="1" x14ac:dyDescent="0.25">
      <c r="A50" s="15"/>
      <c r="B50" s="5"/>
      <c r="C50" s="5"/>
      <c r="D50" s="5"/>
      <c r="E50" s="114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30" customHeight="1" x14ac:dyDescent="0.25">
      <c r="A51" s="15"/>
      <c r="B51" s="5"/>
      <c r="C51" s="5"/>
      <c r="D51" s="5"/>
      <c r="E51" s="114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30" customHeight="1" x14ac:dyDescent="0.25">
      <c r="A52" s="15"/>
      <c r="B52" s="5"/>
      <c r="C52" s="5"/>
      <c r="D52" s="5"/>
      <c r="E52" s="114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30" customHeight="1" x14ac:dyDescent="0.25">
      <c r="A53" s="15"/>
      <c r="B53" s="5"/>
      <c r="C53" s="5"/>
      <c r="D53" s="5"/>
      <c r="E53" s="114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30" customHeight="1" x14ac:dyDescent="0.25">
      <c r="A54" s="15"/>
      <c r="B54" s="5"/>
      <c r="C54" s="5"/>
      <c r="D54" s="5"/>
      <c r="E54" s="114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30" customHeight="1" x14ac:dyDescent="0.25">
      <c r="A55" s="15"/>
      <c r="B55" s="5"/>
      <c r="C55" s="5"/>
      <c r="D55" s="5"/>
      <c r="E55" s="114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30" customHeight="1" x14ac:dyDescent="0.25">
      <c r="A56" s="15"/>
      <c r="B56" s="5"/>
      <c r="C56" s="5"/>
      <c r="D56" s="5"/>
      <c r="E56" s="114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30" customHeight="1" x14ac:dyDescent="0.25">
      <c r="A57" s="15"/>
      <c r="B57" s="5"/>
      <c r="C57" s="5"/>
      <c r="D57" s="5"/>
      <c r="E57" s="114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30" customHeight="1" x14ac:dyDescent="0.25">
      <c r="A58" s="15"/>
      <c r="B58" s="5"/>
      <c r="C58" s="5"/>
      <c r="D58" s="5"/>
      <c r="E58" s="114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30" customHeight="1" x14ac:dyDescent="0.25">
      <c r="A59" s="15"/>
      <c r="B59" s="5"/>
      <c r="C59" s="5"/>
      <c r="D59" s="5"/>
      <c r="E59" s="114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30" customHeight="1" x14ac:dyDescent="0.25">
      <c r="A60" s="15"/>
      <c r="B60" s="5"/>
      <c r="C60" s="5"/>
      <c r="D60" s="5"/>
      <c r="E60" s="114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30" customHeight="1" x14ac:dyDescent="0.25">
      <c r="A61" s="15"/>
      <c r="B61" s="5"/>
      <c r="C61" s="5"/>
      <c r="D61" s="5"/>
      <c r="E61" s="114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30" customHeight="1" x14ac:dyDescent="0.25">
      <c r="A62" s="15"/>
      <c r="B62" s="5"/>
      <c r="C62" s="5"/>
      <c r="D62" s="5"/>
      <c r="E62" s="114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ht="30" customHeight="1" x14ac:dyDescent="0.25">
      <c r="A63" s="15"/>
      <c r="B63" s="5"/>
      <c r="C63" s="5"/>
      <c r="D63" s="5"/>
      <c r="E63" s="114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ht="30" customHeight="1" x14ac:dyDescent="0.25">
      <c r="A64" s="15"/>
      <c r="B64" s="5"/>
      <c r="C64" s="5"/>
      <c r="D64" s="5"/>
      <c r="E64" s="114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spans="1:38" ht="30" customHeight="1" x14ac:dyDescent="0.25">
      <c r="A65" s="15"/>
      <c r="B65" s="5"/>
      <c r="C65" s="5"/>
      <c r="D65" s="5"/>
      <c r="E65" s="114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 ht="30" customHeight="1" x14ac:dyDescent="0.25">
      <c r="A66" s="15"/>
      <c r="B66" s="5"/>
      <c r="C66" s="5"/>
      <c r="D66" s="5"/>
      <c r="E66" s="114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spans="1:38" ht="30" customHeight="1" x14ac:dyDescent="0.25">
      <c r="A67" s="15"/>
      <c r="B67" s="5"/>
      <c r="C67" s="5"/>
      <c r="D67" s="5"/>
      <c r="E67" s="114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 ht="30" customHeight="1" x14ac:dyDescent="0.25">
      <c r="A68" s="15"/>
      <c r="B68" s="5"/>
      <c r="C68" s="5"/>
      <c r="D68" s="5"/>
      <c r="E68" s="114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 ht="30" customHeight="1" x14ac:dyDescent="0.25">
      <c r="A69" s="15"/>
      <c r="B69" s="5"/>
      <c r="C69" s="5"/>
      <c r="D69" s="5"/>
      <c r="E69" s="114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spans="1:38" ht="30" hidden="1" customHeight="1" x14ac:dyDescent="0.25">
      <c r="A70" s="15"/>
      <c r="B70" s="5"/>
      <c r="C70" s="5"/>
      <c r="D70" s="5"/>
      <c r="E70" s="114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 spans="1:38" ht="30" hidden="1" customHeight="1" x14ac:dyDescent="0.25">
      <c r="A71" s="15"/>
      <c r="B71" s="5"/>
      <c r="C71" s="5"/>
      <c r="D71" s="5"/>
      <c r="E71" s="114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ht="30" hidden="1" customHeight="1" x14ac:dyDescent="0.25">
      <c r="A72" s="15"/>
      <c r="B72" s="5"/>
      <c r="C72" s="5"/>
      <c r="D72" s="5"/>
      <c r="E72" s="114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spans="1:38" ht="30" hidden="1" customHeight="1" x14ac:dyDescent="0.25">
      <c r="A73" s="15"/>
      <c r="B73" s="5"/>
      <c r="C73" s="5"/>
      <c r="D73" s="5"/>
      <c r="E73" s="114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ht="30" hidden="1" customHeight="1" x14ac:dyDescent="0.25">
      <c r="A74" s="15"/>
      <c r="B74" s="5"/>
      <c r="C74" s="5"/>
      <c r="D74" s="5"/>
      <c r="E74" s="114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ht="30" hidden="1" customHeight="1" x14ac:dyDescent="0.25">
      <c r="A75" s="15"/>
      <c r="B75" s="5"/>
      <c r="C75" s="5"/>
      <c r="D75" s="5"/>
      <c r="E75" s="114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 ht="30" hidden="1" customHeight="1" x14ac:dyDescent="0.25">
      <c r="A76" s="15"/>
      <c r="B76" s="5"/>
      <c r="C76" s="5"/>
      <c r="D76" s="5"/>
      <c r="E76" s="114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1:38" ht="30" hidden="1" customHeight="1" x14ac:dyDescent="0.25">
      <c r="A77" s="15"/>
      <c r="B77" s="5"/>
      <c r="C77" s="5"/>
      <c r="D77" s="5"/>
      <c r="E77" s="114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spans="1:38" ht="30" hidden="1" customHeight="1" x14ac:dyDescent="0.25">
      <c r="A78" s="15"/>
      <c r="B78" s="5"/>
      <c r="C78" s="5"/>
      <c r="D78" s="5"/>
      <c r="E78" s="114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 spans="1:38" ht="30" hidden="1" customHeight="1" x14ac:dyDescent="0.25">
      <c r="A79" s="15"/>
      <c r="B79" s="5"/>
      <c r="C79" s="5"/>
      <c r="D79" s="5"/>
      <c r="E79" s="114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spans="1:38" ht="30" hidden="1" customHeight="1" x14ac:dyDescent="0.25">
      <c r="A80" s="15"/>
      <c r="B80" s="5"/>
      <c r="C80" s="5"/>
      <c r="D80" s="5"/>
      <c r="E80" s="114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:38" ht="30" hidden="1" customHeight="1" x14ac:dyDescent="0.25">
      <c r="A81" s="1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1:38" ht="30" hidden="1" customHeight="1" x14ac:dyDescent="0.25">
      <c r="A82" s="1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spans="1:38" ht="30" hidden="1" customHeight="1" x14ac:dyDescent="0.25">
      <c r="A83" s="1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30" hidden="1" customHeight="1" x14ac:dyDescent="0.25">
      <c r="A84" s="1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38" ht="30" hidden="1" customHeight="1" x14ac:dyDescent="0.25">
      <c r="A85" s="1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38" ht="30" hidden="1" customHeight="1" x14ac:dyDescent="0.25">
      <c r="A86" s="1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1:38" ht="30" hidden="1" customHeight="1" x14ac:dyDescent="0.25">
      <c r="A87" s="1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1:38" ht="30" hidden="1" customHeight="1" x14ac:dyDescent="0.25">
      <c r="A88" s="1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1:38" ht="30" hidden="1" customHeight="1" x14ac:dyDescent="0.25">
      <c r="A89" s="1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38" ht="30" hidden="1" customHeight="1" x14ac:dyDescent="0.25">
      <c r="A90" s="1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38" ht="30" hidden="1" customHeight="1" x14ac:dyDescent="0.25">
      <c r="A91" s="1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spans="1:38" ht="30" hidden="1" customHeight="1" x14ac:dyDescent="0.25">
      <c r="A92" s="1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1:38" ht="30" hidden="1" customHeight="1" x14ac:dyDescent="0.25">
      <c r="A93" s="1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38" ht="30" hidden="1" customHeight="1" x14ac:dyDescent="0.25">
      <c r="A94" s="1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spans="1:38" ht="30" hidden="1" customHeight="1" x14ac:dyDescent="0.25">
      <c r="A95" s="1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:38" ht="30" hidden="1" customHeight="1" x14ac:dyDescent="0.25">
      <c r="A96" s="1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1:38" ht="30" hidden="1" customHeight="1" x14ac:dyDescent="0.25">
      <c r="A97" s="1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1:38" ht="30" hidden="1" customHeight="1" x14ac:dyDescent="0.25">
      <c r="A98" s="1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1:38" ht="30" hidden="1" customHeight="1" x14ac:dyDescent="0.25">
      <c r="A99" s="1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1:38" ht="30" hidden="1" customHeight="1" x14ac:dyDescent="0.25">
      <c r="A100" s="1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:38" ht="30" hidden="1" customHeight="1" x14ac:dyDescent="0.25">
      <c r="A101" s="1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:38" ht="30" hidden="1" customHeight="1" x14ac:dyDescent="0.25">
      <c r="A102" s="1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1:38" ht="30" hidden="1" customHeight="1" x14ac:dyDescent="0.25">
      <c r="A103" s="1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:38" ht="30" hidden="1" customHeight="1" x14ac:dyDescent="0.25">
      <c r="A104" s="1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 ht="30" hidden="1" customHeight="1" x14ac:dyDescent="0.25">
      <c r="A105" s="1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:38" ht="30" hidden="1" customHeight="1" x14ac:dyDescent="0.25">
      <c r="A106" s="1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 spans="1:38" ht="30" hidden="1" customHeight="1" x14ac:dyDescent="0.25">
      <c r="A107" s="1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 spans="1:38" ht="30" hidden="1" customHeight="1" x14ac:dyDescent="0.25">
      <c r="A108" s="1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 spans="1:38" ht="30" hidden="1" customHeight="1" x14ac:dyDescent="0.25">
      <c r="A109" s="1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:38" ht="30" hidden="1" customHeight="1" x14ac:dyDescent="0.25">
      <c r="A110" s="1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:38" ht="30" hidden="1" customHeight="1" x14ac:dyDescent="0.25">
      <c r="A111" s="1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:38" ht="30" hidden="1" customHeight="1" x14ac:dyDescent="0.25">
      <c r="A112" s="1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ht="30" hidden="1" customHeight="1" x14ac:dyDescent="0.25">
      <c r="A113" s="1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:38" ht="30" hidden="1" customHeight="1" x14ac:dyDescent="0.25">
      <c r="A114" s="1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:38" ht="30" hidden="1" customHeight="1" x14ac:dyDescent="0.25">
      <c r="A115" s="1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ht="30" hidden="1" customHeight="1" x14ac:dyDescent="0.25">
      <c r="A116" s="1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 ht="30" hidden="1" customHeight="1" x14ac:dyDescent="0.25">
      <c r="A117" s="1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 ht="30" hidden="1" customHeight="1" x14ac:dyDescent="0.25">
      <c r="A118" s="1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spans="1:38" ht="30" hidden="1" customHeight="1" x14ac:dyDescent="0.25">
      <c r="A119" s="1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spans="1:38" ht="30" hidden="1" customHeight="1" x14ac:dyDescent="0.25">
      <c r="A120" s="1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spans="1:38" ht="30" hidden="1" customHeight="1" x14ac:dyDescent="0.25">
      <c r="A121" s="1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:38" ht="30" hidden="1" customHeight="1" x14ac:dyDescent="0.25">
      <c r="A122" s="1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 ht="30" hidden="1" customHeight="1" x14ac:dyDescent="0.25">
      <c r="A123" s="1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 ht="30" hidden="1" customHeight="1" x14ac:dyDescent="0.25">
      <c r="A124" s="1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 ht="30" hidden="1" customHeight="1" x14ac:dyDescent="0.25">
      <c r="A125" s="1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 ht="30" hidden="1" customHeight="1" x14ac:dyDescent="0.25">
      <c r="A126" s="1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 ht="30" hidden="1" customHeight="1" x14ac:dyDescent="0.25">
      <c r="A127" s="1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 ht="30" hidden="1" customHeight="1" x14ac:dyDescent="0.25">
      <c r="A128" s="1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9" ht="30" hidden="1" customHeight="1" x14ac:dyDescent="0.25">
      <c r="A129" s="1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9" ht="30" hidden="1" customHeight="1" x14ac:dyDescent="0.25">
      <c r="A130" s="1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9" ht="30" hidden="1" customHeight="1" x14ac:dyDescent="0.25">
      <c r="A131" s="1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9" ht="30" hidden="1" customHeight="1" x14ac:dyDescent="0.25">
      <c r="A132" s="1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9" ht="30" hidden="1" customHeight="1" x14ac:dyDescent="0.25">
      <c r="A133" s="1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 spans="1:39" ht="30" hidden="1" customHeight="1" x14ac:dyDescent="0.25">
      <c r="A134" s="1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9" ht="30" hidden="1" customHeight="1" x14ac:dyDescent="0.25">
      <c r="A135" s="1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 spans="1:39" s="4" customFormat="1" ht="30" hidden="1" customHeight="1" x14ac:dyDescent="0.25">
      <c r="A136" s="1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1"/>
    </row>
    <row r="137" spans="1:39" s="4" customFormat="1" ht="30" hidden="1" customHeight="1" x14ac:dyDescent="0.25">
      <c r="A137" s="1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1"/>
    </row>
    <row r="138" spans="1:39" s="4" customFormat="1" ht="30" hidden="1" customHeight="1" x14ac:dyDescent="0.25">
      <c r="A138" s="1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1"/>
    </row>
    <row r="139" spans="1:39" s="4" customFormat="1" ht="30" hidden="1" customHeight="1" x14ac:dyDescent="0.25">
      <c r="A139" s="1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1"/>
    </row>
    <row r="140" spans="1:39" s="4" customFormat="1" ht="30" hidden="1" customHeight="1" x14ac:dyDescent="0.25">
      <c r="A140" s="1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1"/>
    </row>
    <row r="141" spans="1:39" s="4" customFormat="1" ht="30" hidden="1" customHeight="1" x14ac:dyDescent="0.25">
      <c r="A141" s="1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1"/>
    </row>
    <row r="142" spans="1:39" s="4" customFormat="1" ht="30" hidden="1" customHeight="1" x14ac:dyDescent="0.25">
      <c r="A142" s="1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1"/>
    </row>
  </sheetData>
  <mergeCells count="2">
    <mergeCell ref="M3:R5"/>
    <mergeCell ref="X3:X4"/>
  </mergeCells>
  <conditionalFormatting sqref="A23:N26">
    <cfRule type="cellIs" dxfId="27" priority="8" operator="equal">
      <formula>0</formula>
    </cfRule>
  </conditionalFormatting>
  <conditionalFormatting sqref="C9:E15">
    <cfRule type="cellIs" dxfId="26" priority="150" operator="equal">
      <formula>0</formula>
    </cfRule>
  </conditionalFormatting>
  <conditionalFormatting sqref="C19:E22">
    <cfRule type="cellIs" dxfId="25" priority="165" operator="equal">
      <formula>0</formula>
    </cfRule>
  </conditionalFormatting>
  <conditionalFormatting sqref="C1:X2 A1:A7 Y1:XFD8 B1:B22 C3:M3 S3:W4 C4:L5 S5:X5 C6:X6 C7:AJ8 AB9:AJ14 AK9:XFD1048576 AA13:AA14 AA15:AJ15 C16:AJ18 AB19:AJ26 A20:A22 E22:N22 O22:AA26 A27:AJ1048576 O81:AL142">
    <cfRule type="cellIs" dxfId="24" priority="241" operator="equal">
      <formula>0</formula>
    </cfRule>
  </conditionalFormatting>
  <conditionalFormatting sqref="F14:W15">
    <cfRule type="cellIs" dxfId="23" priority="151" operator="equal">
      <formula>0</formula>
    </cfRule>
  </conditionalFormatting>
  <conditionalFormatting sqref="F9:X13">
    <cfRule type="cellIs" dxfId="22" priority="3" operator="equal">
      <formula>0</formula>
    </cfRule>
  </conditionalFormatting>
  <conditionalFormatting sqref="F19:Z19">
    <cfRule type="cellIs" dxfId="21" priority="154" operator="equal">
      <formula>0</formula>
    </cfRule>
  </conditionalFormatting>
  <conditionalFormatting sqref="F20:AA21">
    <cfRule type="cellIs" dxfId="20" priority="11" operator="equal">
      <formula>0</formula>
    </cfRule>
  </conditionalFormatting>
  <conditionalFormatting sqref="X3">
    <cfRule type="cellIs" dxfId="19" priority="240" operator="equal">
      <formula>0</formula>
    </cfRule>
  </conditionalFormatting>
  <conditionalFormatting sqref="X10:X15">
    <cfRule type="cellIs" dxfId="18" priority="57" operator="equal">
      <formula>0</formula>
    </cfRule>
  </conditionalFormatting>
  <conditionalFormatting sqref="Y9:Z15">
    <cfRule type="cellIs" dxfId="17" priority="149" operator="equal">
      <formula>0</formula>
    </cfRule>
  </conditionalFormatting>
  <conditionalFormatting sqref="AA10">
    <cfRule type="colorScale" priority="12">
      <colorScale>
        <cfvo type="min"/>
        <cfvo type="max"/>
        <color rgb="FFD9FBE2"/>
        <color rgb="FF00C556"/>
      </colorScale>
    </cfRule>
    <cfRule type="colorScale" priority="13">
      <colorScale>
        <cfvo type="min"/>
        <cfvo type="max"/>
        <color rgb="FFFCFCFF"/>
        <color rgb="FF63BE7B"/>
      </colorScale>
    </cfRule>
  </conditionalFormatting>
  <conditionalFormatting sqref="AA11">
    <cfRule type="colorScale" priority="14">
      <colorScale>
        <cfvo type="min"/>
        <cfvo type="max"/>
        <color rgb="FFD9FBE2"/>
        <color rgb="FF00C556"/>
      </colorScale>
    </cfRule>
    <cfRule type="colorScale" priority="15">
      <colorScale>
        <cfvo type="min"/>
        <cfvo type="max"/>
        <color rgb="FFFCFCFF"/>
        <color rgb="FF63BE7B"/>
      </colorScale>
    </cfRule>
    <cfRule type="cellIs" dxfId="16" priority="16" operator="equal">
      <formula>0</formula>
    </cfRule>
  </conditionalFormatting>
  <conditionalFormatting sqref="AA12:AA15">
    <cfRule type="colorScale" priority="17">
      <colorScale>
        <cfvo type="min"/>
        <cfvo type="max"/>
        <color rgb="FFD9FBE2"/>
        <color rgb="FF00C556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AA20:AA21">
    <cfRule type="colorScale" priority="9">
      <colorScale>
        <cfvo type="min"/>
        <cfvo type="max"/>
        <color rgb="FFD9FBE2"/>
        <color rgb="FF00C556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hyperlinks>
    <hyperlink ref="A17" location="'Projeções 2022'!A1" display="Projeções 2022" xr:uid="{00000000-0004-0000-0B00-000000000000}"/>
    <hyperlink ref="A8" location="Dashboard!A1" display="Dashboard" xr:uid="{00000000-0004-0000-0B00-000001000000}"/>
    <hyperlink ref="A9" location="WACC!A1" display="WACC" xr:uid="{00000000-0004-0000-0B00-000002000000}"/>
    <hyperlink ref="A10" location="'DRE + DCF'!A1" display="DRE + DCF" xr:uid="{00000000-0004-0000-0B00-000003000000}"/>
    <hyperlink ref="A11" location="'DRE - Contas Abertas'!A1" display="DRE - Contas Abertas" xr:uid="{00000000-0004-0000-0B00-000004000000}"/>
    <hyperlink ref="A12" location="'Balanço Patrimonial'!A1" display="Balanço Patrimonial" xr:uid="{00000000-0004-0000-0B00-000005000000}"/>
    <hyperlink ref="A13" location="'Painel de Índices'!A1" display="Painel de Índices" xr:uid="{00000000-0004-0000-0B00-000006000000}"/>
    <hyperlink ref="A14" location="'Provisões e Processos'!A1" display="Provisões e Processos" xr:uid="{00000000-0004-0000-0B00-000007000000}"/>
    <hyperlink ref="A15" location="'Projeções - Receita'!A1" display="Projeções - Receita" xr:uid="{00000000-0004-0000-0B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23"/>
  <dimension ref="A1:CC140"/>
  <sheetViews>
    <sheetView showGridLines="0" zoomScale="80" zoomScaleNormal="80" workbookViewId="0">
      <selection activeCell="I44" sqref="I44"/>
    </sheetView>
  </sheetViews>
  <sheetFormatPr defaultColWidth="0" defaultRowHeight="0" customHeight="1" zeroHeight="1" x14ac:dyDescent="0.25"/>
  <cols>
    <col min="1" max="1" width="39.140625" style="4" customWidth="1"/>
    <col min="2" max="4" width="9.140625" style="1" customWidth="1"/>
    <col min="5" max="5" width="34.28515625" style="1" bestFit="1" customWidth="1"/>
    <col min="6" max="9" width="12.28515625" style="1" bestFit="1" customWidth="1"/>
    <col min="10" max="10" width="12.85546875" style="1" bestFit="1" customWidth="1"/>
    <col min="11" max="11" width="11.85546875" style="1" bestFit="1" customWidth="1"/>
    <col min="12" max="15" width="12.28515625" style="1" bestFit="1" customWidth="1"/>
    <col min="16" max="21" width="9.140625" style="1" customWidth="1"/>
    <col min="22" max="22" width="9.140625" style="1" hidden="1" customWidth="1"/>
    <col min="23" max="26" width="0" style="1" hidden="1" customWidth="1"/>
    <col min="27" max="28" width="9.140625" style="1" hidden="1" customWidth="1"/>
    <col min="29" max="32" width="0" style="1" hidden="1" customWidth="1"/>
    <col min="33" max="34" width="9.140625" style="1" hidden="1" customWidth="1"/>
    <col min="35" max="51" width="0" style="1" hidden="1" customWidth="1"/>
    <col min="52" max="52" width="9.140625" style="1" hidden="1" customWidth="1"/>
    <col min="53" max="56" width="0" style="1" hidden="1" customWidth="1"/>
    <col min="57" max="58" width="9.140625" style="1" hidden="1" customWidth="1"/>
    <col min="59" max="62" width="0" style="1" hidden="1" customWidth="1"/>
    <col min="63" max="64" width="9.140625" style="1" hidden="1" customWidth="1"/>
    <col min="65" max="68" width="0" style="1" hidden="1" customWidth="1"/>
    <col min="69" max="69" width="9.140625" style="1" hidden="1" customWidth="1"/>
    <col min="70" max="73" width="0" style="1" hidden="1" customWidth="1"/>
    <col min="74" max="75" width="9.140625" style="1" hidden="1" customWidth="1"/>
    <col min="76" max="79" width="0" style="1" hidden="1" customWidth="1"/>
    <col min="80" max="81" width="9.140625" style="1" hidden="1" customWidth="1"/>
    <col min="82" max="16384" width="0" style="1" hidden="1"/>
  </cols>
  <sheetData>
    <row r="1" spans="1:26" ht="15" customHeight="1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6" ht="15" customHeight="1" x14ac:dyDescent="0.25">
      <c r="B2" s="5"/>
      <c r="C2" s="5"/>
      <c r="D2" s="5"/>
      <c r="E2" s="5"/>
      <c r="F2" s="5"/>
      <c r="G2" s="5"/>
      <c r="H2" s="5"/>
      <c r="I2" s="5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6" ht="15" customHeight="1" x14ac:dyDescent="0.25">
      <c r="B3" s="5"/>
      <c r="C3" s="5"/>
      <c r="D3" s="5"/>
      <c r="E3" s="32"/>
      <c r="F3" s="405" t="s">
        <v>88</v>
      </c>
      <c r="G3" s="405"/>
      <c r="H3" s="405"/>
      <c r="I3" s="405"/>
      <c r="J3" s="405"/>
      <c r="K3" s="405"/>
      <c r="L3" s="405"/>
      <c r="M3" s="32"/>
      <c r="N3" s="32"/>
      <c r="O3" s="32"/>
      <c r="P3" s="5"/>
      <c r="Q3" s="5"/>
      <c r="R3" s="5"/>
      <c r="S3" s="5"/>
      <c r="T3" s="5"/>
      <c r="U3" s="5"/>
    </row>
    <row r="4" spans="1:26" ht="15" customHeight="1" x14ac:dyDescent="0.25">
      <c r="B4" s="5"/>
      <c r="C4" s="5"/>
      <c r="D4" s="5"/>
      <c r="E4" s="32"/>
      <c r="F4" s="405"/>
      <c r="G4" s="405"/>
      <c r="H4" s="405"/>
      <c r="I4" s="405"/>
      <c r="J4" s="405"/>
      <c r="K4" s="405"/>
      <c r="L4" s="405"/>
      <c r="M4" s="32"/>
      <c r="N4" s="32"/>
      <c r="O4" s="32"/>
      <c r="P4" s="5"/>
      <c r="Q4" s="5"/>
      <c r="R4" s="5"/>
      <c r="S4" s="5"/>
      <c r="T4" s="5"/>
      <c r="U4" s="5"/>
    </row>
    <row r="5" spans="1:26" ht="15" customHeight="1" x14ac:dyDescent="0.25">
      <c r="B5" s="5"/>
      <c r="C5" s="5"/>
      <c r="D5" s="5"/>
      <c r="E5" s="32"/>
      <c r="F5" s="407"/>
      <c r="G5" s="407"/>
      <c r="H5" s="407"/>
      <c r="I5" s="407"/>
      <c r="J5" s="407"/>
      <c r="K5" s="407"/>
      <c r="L5" s="407"/>
      <c r="M5" s="32"/>
      <c r="N5" s="32"/>
      <c r="O5" s="32"/>
      <c r="P5" s="5"/>
      <c r="Q5" s="5"/>
      <c r="R5" s="5"/>
      <c r="S5" s="5"/>
      <c r="T5" s="5"/>
      <c r="U5" s="5"/>
    </row>
    <row r="6" spans="1:26" ht="15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6" s="11" customFormat="1" ht="24.75" customHeight="1" x14ac:dyDescent="0.25">
      <c r="A7" s="9" t="s">
        <v>68</v>
      </c>
      <c r="B7" s="10"/>
      <c r="C7" s="5"/>
      <c r="D7" s="10"/>
      <c r="E7" s="10"/>
      <c r="F7" s="10"/>
      <c r="G7" s="10"/>
      <c r="H7" s="10"/>
      <c r="I7" s="10"/>
      <c r="J7" s="10"/>
      <c r="K7" s="5"/>
      <c r="L7" s="5"/>
      <c r="M7" s="5"/>
      <c r="N7" s="5"/>
      <c r="O7" s="5"/>
      <c r="P7" s="5"/>
      <c r="Q7" s="5"/>
      <c r="R7" s="5"/>
      <c r="S7" s="5"/>
      <c r="T7" s="10"/>
      <c r="U7" s="10"/>
    </row>
    <row r="8" spans="1:26" ht="30" customHeight="1" x14ac:dyDescent="0.25">
      <c r="A8" s="15" t="s">
        <v>69</v>
      </c>
      <c r="B8" s="5"/>
      <c r="C8" s="5"/>
      <c r="D8" s="10"/>
      <c r="E8" s="10"/>
      <c r="F8" s="10"/>
      <c r="G8" s="10"/>
      <c r="H8" s="10"/>
      <c r="I8" s="10"/>
      <c r="J8" s="10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6" ht="30" customHeight="1" x14ac:dyDescent="0.25">
      <c r="A9" s="15" t="s">
        <v>52</v>
      </c>
      <c r="B9" s="5"/>
      <c r="C9" s="5"/>
      <c r="D9" s="175"/>
      <c r="E9" s="34"/>
      <c r="F9" s="243" t="s">
        <v>347</v>
      </c>
      <c r="G9" s="118" t="s">
        <v>369</v>
      </c>
      <c r="H9" s="243" t="s">
        <v>375</v>
      </c>
      <c r="I9" s="118" t="s">
        <v>310</v>
      </c>
      <c r="J9" s="36" t="s">
        <v>311</v>
      </c>
      <c r="K9" s="41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 x14ac:dyDescent="0.25">
      <c r="A10" s="15" t="s">
        <v>70</v>
      </c>
      <c r="B10" s="5"/>
      <c r="C10" s="5"/>
      <c r="D10" s="219"/>
      <c r="E10" s="220" t="s">
        <v>39</v>
      </c>
      <c r="F10" s="247" t="e">
        <f>'DRE + DCF'!#REF!</f>
        <v>#REF!</v>
      </c>
      <c r="G10" s="247" t="e">
        <f>'DRE + DCF'!#REF!</f>
        <v>#REF!</v>
      </c>
      <c r="H10" s="247" t="e">
        <f>'DRE + DCF'!#REF!</f>
        <v>#REF!</v>
      </c>
      <c r="I10" s="245" t="e">
        <f>AVERAGE(O$23:O$27,O$31)*($F$10+$G$10+H10)/AVERAGE(SUM($L$23:$N$23),SUM($L$24:$N$24),SUM($L$25:$N$25),SUM($L$26:$N$26),SUM($L$27:$N$27),SUM($L$31:$N$31))</f>
        <v>#REF!</v>
      </c>
      <c r="J10" s="221" t="e">
        <f>SUM(F10:I10)</f>
        <v>#REF!</v>
      </c>
      <c r="K10" s="37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0" customHeight="1" x14ac:dyDescent="0.25">
      <c r="A11" s="21" t="s">
        <v>340</v>
      </c>
      <c r="B11" s="5"/>
      <c r="C11" s="5"/>
      <c r="D11" s="219"/>
      <c r="E11" s="80" t="s">
        <v>312</v>
      </c>
      <c r="F11" s="181" t="e">
        <f>F12-F10</f>
        <v>#REF!</v>
      </c>
      <c r="G11" s="181" t="e">
        <f t="shared" ref="G11:J11" si="0">G12-G10</f>
        <v>#REF!</v>
      </c>
      <c r="H11" s="181" t="e">
        <f t="shared" si="0"/>
        <v>#REF!</v>
      </c>
      <c r="I11" s="181" t="e">
        <f t="shared" si="0"/>
        <v>#REF!</v>
      </c>
      <c r="J11" s="222" t="e">
        <f t="shared" si="0"/>
        <v>#REF!</v>
      </c>
      <c r="K11" s="4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 x14ac:dyDescent="0.25">
      <c r="A12" s="15" t="s">
        <v>71</v>
      </c>
      <c r="B12" s="5"/>
      <c r="C12" s="5"/>
      <c r="D12" s="219"/>
      <c r="E12" s="220" t="s">
        <v>156</v>
      </c>
      <c r="F12" s="78" t="e">
        <f>'DRE + DCF'!#REF!</f>
        <v>#REF!</v>
      </c>
      <c r="G12" s="78" t="e">
        <f>'DRE + DCF'!#REF!</f>
        <v>#REF!</v>
      </c>
      <c r="H12" s="247" t="e">
        <f>'DRE + DCF'!#REF!</f>
        <v>#REF!</v>
      </c>
      <c r="I12" s="247" t="e">
        <f>AVERAGE(O$36:O$40,O$44)*($F$12+$G$12+$H$12)/AVERAGE(SUM($L$36:$N$36),SUM($L$37:$N$37),SUM($L$38:$N$38),SUM($L$39:$N$39),SUM($L$40:$N$40),SUM($L$44:$N$44))</f>
        <v>#REF!</v>
      </c>
      <c r="J12" s="246" t="e">
        <f>SUM(F12:I12)</f>
        <v>#REF!</v>
      </c>
      <c r="K12" s="41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" customHeight="1" x14ac:dyDescent="0.25">
      <c r="A13" s="21" t="s">
        <v>333</v>
      </c>
      <c r="B13" s="5"/>
      <c r="C13" s="5"/>
      <c r="D13" s="219"/>
      <c r="E13" s="90" t="s">
        <v>154</v>
      </c>
      <c r="F13" s="84" t="e">
        <f>F12/F10</f>
        <v>#REF!</v>
      </c>
      <c r="G13" s="84" t="e">
        <f>G12/G10</f>
        <v>#REF!</v>
      </c>
      <c r="H13" s="84" t="e">
        <f>H12/H10</f>
        <v>#REF!</v>
      </c>
      <c r="I13" s="84" t="e">
        <f>I12/I10</f>
        <v>#REF!</v>
      </c>
      <c r="J13" s="84" t="e">
        <f>J12/J10</f>
        <v>#REF!</v>
      </c>
      <c r="K13" s="4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0" customHeight="1" x14ac:dyDescent="0.25">
      <c r="A14" s="21" t="s">
        <v>198</v>
      </c>
      <c r="B14" s="5"/>
      <c r="C14" s="5"/>
      <c r="D14" s="5"/>
      <c r="E14" s="80" t="s">
        <v>64</v>
      </c>
      <c r="F14" s="181" t="e">
        <f>'DRE + DCF'!#REF!</f>
        <v>#REF!</v>
      </c>
      <c r="G14" s="181" t="e">
        <f>'DRE + DCF'!#REF!</f>
        <v>#REF!</v>
      </c>
      <c r="H14" s="181" t="e">
        <f>'DRE + DCF'!#REF!</f>
        <v>#REF!</v>
      </c>
      <c r="I14" s="181" t="e">
        <f>($J14-$F14-$G14-$H$14)</f>
        <v>#REF!</v>
      </c>
      <c r="J14" s="181">
        <f>'DRE + DCF'!O37</f>
        <v>-178241</v>
      </c>
      <c r="K14" s="4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" customHeight="1" x14ac:dyDescent="0.25">
      <c r="A15" s="15" t="s">
        <v>305</v>
      </c>
      <c r="B15" s="5"/>
      <c r="C15" s="5"/>
      <c r="D15" s="5"/>
      <c r="E15" s="80" t="s">
        <v>313</v>
      </c>
      <c r="F15" s="181" t="e">
        <f>'DRE + DCF'!#REF!</f>
        <v>#REF!</v>
      </c>
      <c r="G15" s="181" t="e">
        <f>'DRE + DCF'!#REF!</f>
        <v>#REF!</v>
      </c>
      <c r="H15" s="181" t="e">
        <f>'DRE + DCF'!#REF!</f>
        <v>#REF!</v>
      </c>
      <c r="I15" s="181" t="e">
        <f>($J15-$F15-$G15-$H$15)</f>
        <v>#REF!</v>
      </c>
      <c r="J15" s="181">
        <f>'DRE + DCF'!O44</f>
        <v>815372</v>
      </c>
      <c r="K15" s="4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0" customHeight="1" thickBot="1" x14ac:dyDescent="0.3">
      <c r="A16" s="21" t="s">
        <v>358</v>
      </c>
      <c r="B16" s="5"/>
      <c r="C16" s="5"/>
      <c r="D16" s="5"/>
      <c r="E16" s="329" t="s">
        <v>54</v>
      </c>
      <c r="F16" s="330" t="e">
        <f>F12+F14+F15</f>
        <v>#REF!</v>
      </c>
      <c r="G16" s="330" t="e">
        <f t="shared" ref="G16:I16" si="1">G12+G14+G15</f>
        <v>#REF!</v>
      </c>
      <c r="H16" s="330" t="e">
        <f>H12+H14+H15</f>
        <v>#REF!</v>
      </c>
      <c r="I16" s="330" t="e">
        <f t="shared" si="1"/>
        <v>#REF!</v>
      </c>
      <c r="J16" s="331">
        <f>'DRE + DCF'!O46</f>
        <v>2385068</v>
      </c>
      <c r="K16" s="4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0" customHeight="1" x14ac:dyDescent="0.25">
      <c r="A17" s="244" t="s">
        <v>314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" customHeight="1" x14ac:dyDescent="0.25">
      <c r="A18" s="1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0" customHeight="1" x14ac:dyDescent="0.25">
      <c r="A19" s="1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x14ac:dyDescent="0.25">
      <c r="A20" s="1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x14ac:dyDescent="0.25">
      <c r="A21" s="1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" customHeight="1" x14ac:dyDescent="0.25">
      <c r="A22" s="15"/>
      <c r="B22" s="5"/>
      <c r="C22" s="5"/>
      <c r="D22" s="37"/>
      <c r="E22" s="220"/>
      <c r="F22" s="78" t="s">
        <v>201</v>
      </c>
      <c r="G22" s="78" t="s">
        <v>202</v>
      </c>
      <c r="H22" s="78" t="s">
        <v>203</v>
      </c>
      <c r="I22" s="221" t="s">
        <v>204</v>
      </c>
      <c r="J22" s="5"/>
      <c r="K22" s="220"/>
      <c r="L22" s="78" t="s">
        <v>201</v>
      </c>
      <c r="M22" s="78" t="s">
        <v>202</v>
      </c>
      <c r="N22" s="78" t="s">
        <v>203</v>
      </c>
      <c r="O22" s="221" t="s">
        <v>204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0" customHeight="1" x14ac:dyDescent="0.25">
      <c r="A23" s="15"/>
      <c r="B23" s="5"/>
      <c r="C23" s="5"/>
      <c r="D23" s="5"/>
      <c r="E23" s="220">
        <v>2013</v>
      </c>
      <c r="F23" s="181">
        <v>1383771</v>
      </c>
      <c r="G23" s="181">
        <v>1543860</v>
      </c>
      <c r="H23" s="181">
        <v>1618271</v>
      </c>
      <c r="I23" s="222">
        <v>1671989</v>
      </c>
      <c r="J23" s="5"/>
      <c r="K23" s="220">
        <v>2013</v>
      </c>
      <c r="L23" s="44">
        <f>F23/SUM($F23:$I23)</f>
        <v>0.22254668021681306</v>
      </c>
      <c r="M23" s="44">
        <f t="shared" ref="M23:O23" si="2">G23/SUM($F23:$I23)</f>
        <v>0.24829319137308775</v>
      </c>
      <c r="N23" s="44">
        <f t="shared" si="2"/>
        <v>0.26026043235560098</v>
      </c>
      <c r="O23" s="208">
        <f t="shared" si="2"/>
        <v>0.26889969605449821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s="2" customFormat="1" ht="30" customHeight="1" x14ac:dyDescent="0.25">
      <c r="A24" s="177"/>
      <c r="B24" s="178"/>
      <c r="C24" s="5"/>
      <c r="D24" s="5"/>
      <c r="E24" s="220">
        <v>2014</v>
      </c>
      <c r="F24" s="181">
        <v>1676685.13</v>
      </c>
      <c r="G24" s="181">
        <v>1808818.19</v>
      </c>
      <c r="H24" s="181">
        <v>1943551.16</v>
      </c>
      <c r="I24" s="222">
        <v>2041595.31</v>
      </c>
      <c r="J24" s="5"/>
      <c r="K24" s="220">
        <v>2014</v>
      </c>
      <c r="L24" s="44">
        <f t="shared" ref="L24:L31" si="3">F24/SUM($F24:$I24)</f>
        <v>0.22443631774097661</v>
      </c>
      <c r="M24" s="44">
        <f t="shared" ref="M24:M31" si="4">G24/SUM($F24:$I24)</f>
        <v>0.24212327452710108</v>
      </c>
      <c r="N24" s="44">
        <f t="shared" ref="N24:N31" si="5">H24/SUM($F24:$I24)</f>
        <v>0.26015824789452485</v>
      </c>
      <c r="O24" s="208">
        <f t="shared" ref="O24:O31" si="6">I24/SUM($F24:$I24)</f>
        <v>0.27328215983739751</v>
      </c>
      <c r="P24" s="5"/>
      <c r="Q24" s="5"/>
      <c r="R24" s="5"/>
      <c r="S24" s="5"/>
      <c r="T24" s="178"/>
      <c r="U24" s="178"/>
    </row>
    <row r="25" spans="1:26" ht="30" customHeight="1" x14ac:dyDescent="0.25">
      <c r="A25" s="15"/>
      <c r="B25" s="5"/>
      <c r="C25" s="5"/>
      <c r="D25" s="5"/>
      <c r="E25" s="220">
        <v>2015</v>
      </c>
      <c r="F25" s="181">
        <v>2003991</v>
      </c>
      <c r="G25" s="181">
        <v>2226202</v>
      </c>
      <c r="H25" s="181">
        <v>2331823.92</v>
      </c>
      <c r="I25" s="222">
        <v>2459938</v>
      </c>
      <c r="J25" s="41"/>
      <c r="K25" s="220">
        <v>2015</v>
      </c>
      <c r="L25" s="44">
        <f t="shared" si="3"/>
        <v>0.22212380994694661</v>
      </c>
      <c r="M25" s="44">
        <f t="shared" si="4"/>
        <v>0.24675383769264056</v>
      </c>
      <c r="N25" s="44">
        <f t="shared" si="5"/>
        <v>0.25846104759743133</v>
      </c>
      <c r="O25" s="208">
        <f t="shared" si="6"/>
        <v>0.27266130476298145</v>
      </c>
      <c r="P25" s="5"/>
      <c r="Q25" s="5"/>
      <c r="R25" s="5"/>
      <c r="S25" s="5"/>
      <c r="T25" s="5"/>
      <c r="U25" s="5"/>
    </row>
    <row r="26" spans="1:26" ht="30" customHeight="1" x14ac:dyDescent="0.25">
      <c r="A26" s="15"/>
      <c r="B26" s="5"/>
      <c r="C26" s="5"/>
      <c r="D26" s="5"/>
      <c r="E26" s="220">
        <v>2016</v>
      </c>
      <c r="F26" s="181">
        <v>2515427.2800000003</v>
      </c>
      <c r="G26" s="181">
        <v>2783211.45</v>
      </c>
      <c r="H26" s="181">
        <v>2900929.88</v>
      </c>
      <c r="I26" s="222">
        <v>3056996.79</v>
      </c>
      <c r="J26" s="5"/>
      <c r="K26" s="220">
        <v>2016</v>
      </c>
      <c r="L26" s="44">
        <f t="shared" si="3"/>
        <v>0.22346312490664338</v>
      </c>
      <c r="M26" s="44">
        <f t="shared" si="4"/>
        <v>0.24725227910104799</v>
      </c>
      <c r="N26" s="44">
        <f t="shared" si="5"/>
        <v>0.25771003649123736</v>
      </c>
      <c r="O26" s="208">
        <f t="shared" si="6"/>
        <v>0.27157455950107123</v>
      </c>
      <c r="P26" s="5"/>
      <c r="Q26" s="5"/>
      <c r="R26" s="5"/>
      <c r="S26" s="5"/>
      <c r="T26" s="5"/>
      <c r="U26" s="5"/>
    </row>
    <row r="27" spans="1:26" ht="30" customHeight="1" x14ac:dyDescent="0.25">
      <c r="A27" s="15"/>
      <c r="B27" s="5"/>
      <c r="C27" s="5"/>
      <c r="D27" s="5"/>
      <c r="E27" s="220">
        <v>2017</v>
      </c>
      <c r="F27" s="181">
        <v>3057110.44</v>
      </c>
      <c r="G27" s="181">
        <v>3237258.09</v>
      </c>
      <c r="H27" s="181">
        <v>3416840.08</v>
      </c>
      <c r="I27" s="222">
        <v>3501296.2800000003</v>
      </c>
      <c r="J27" s="5"/>
      <c r="K27" s="220">
        <v>2017</v>
      </c>
      <c r="L27" s="44">
        <f t="shared" si="3"/>
        <v>0.23138008011741973</v>
      </c>
      <c r="M27" s="44">
        <f t="shared" si="4"/>
        <v>0.2450147127249237</v>
      </c>
      <c r="N27" s="44">
        <f t="shared" si="5"/>
        <v>0.25860653286009871</v>
      </c>
      <c r="O27" s="208">
        <f t="shared" si="6"/>
        <v>0.2649986742975578</v>
      </c>
      <c r="P27" s="5"/>
      <c r="Q27" s="5"/>
      <c r="R27" s="5"/>
      <c r="S27" s="5"/>
      <c r="T27" s="5"/>
      <c r="U27" s="5"/>
    </row>
    <row r="28" spans="1:26" ht="30" customHeight="1" x14ac:dyDescent="0.25">
      <c r="A28" s="15"/>
      <c r="B28" s="5"/>
      <c r="C28" s="5"/>
      <c r="D28" s="5"/>
      <c r="E28" s="220">
        <v>2018</v>
      </c>
      <c r="F28" s="181">
        <v>3433577.7097100005</v>
      </c>
      <c r="G28" s="181">
        <v>3613988.8577199997</v>
      </c>
      <c r="H28" s="181">
        <v>3756813.8934499999</v>
      </c>
      <c r="I28" s="222">
        <v>3997064.2732000011</v>
      </c>
      <c r="J28" s="5"/>
      <c r="K28" s="220">
        <v>2018</v>
      </c>
      <c r="L28" s="44">
        <f t="shared" si="3"/>
        <v>0.23197584907399366</v>
      </c>
      <c r="M28" s="44">
        <f t="shared" si="4"/>
        <v>0.24416460167559656</v>
      </c>
      <c r="N28" s="44">
        <f t="shared" si="5"/>
        <v>0.25381399998069232</v>
      </c>
      <c r="O28" s="208">
        <f t="shared" si="6"/>
        <v>0.27004554926971747</v>
      </c>
      <c r="P28" s="5"/>
      <c r="Q28" s="5"/>
      <c r="R28" s="5"/>
      <c r="S28" s="5"/>
      <c r="T28" s="5"/>
      <c r="U28" s="5"/>
    </row>
    <row r="29" spans="1:26" ht="30" customHeight="1" x14ac:dyDescent="0.25">
      <c r="A29" s="15"/>
      <c r="B29" s="5"/>
      <c r="C29" s="5"/>
      <c r="D29" s="5"/>
      <c r="E29" s="220">
        <v>2019</v>
      </c>
      <c r="F29" s="181">
        <v>3953351.4767400008</v>
      </c>
      <c r="G29" s="181">
        <v>4225493.9540999997</v>
      </c>
      <c r="H29" s="181">
        <v>4538935.9971799962</v>
      </c>
      <c r="I29" s="222">
        <v>4785114.6121800002</v>
      </c>
      <c r="J29" s="5"/>
      <c r="K29" s="220">
        <v>2019</v>
      </c>
      <c r="L29" s="44">
        <f t="shared" si="3"/>
        <v>0.22586842015516126</v>
      </c>
      <c r="M29" s="44">
        <f t="shared" si="4"/>
        <v>0.24141684578340886</v>
      </c>
      <c r="N29" s="44">
        <f t="shared" si="5"/>
        <v>0.25932485611267636</v>
      </c>
      <c r="O29" s="208">
        <f t="shared" si="6"/>
        <v>0.27338987794875363</v>
      </c>
      <c r="P29" s="5"/>
      <c r="Q29" s="5"/>
      <c r="R29" s="5"/>
      <c r="S29" s="5"/>
      <c r="T29" s="5"/>
      <c r="U29" s="5"/>
    </row>
    <row r="30" spans="1:26" ht="30" customHeight="1" x14ac:dyDescent="0.25">
      <c r="A30" s="15"/>
      <c r="B30" s="5"/>
      <c r="C30" s="5"/>
      <c r="D30" s="5"/>
      <c r="E30" s="220">
        <v>2020</v>
      </c>
      <c r="F30" s="181">
        <v>4949871.3009600006</v>
      </c>
      <c r="G30" s="181">
        <v>4469774.3854200002</v>
      </c>
      <c r="H30" s="181">
        <v>5093451.5568399997</v>
      </c>
      <c r="I30" s="222">
        <v>5553741.1602100013</v>
      </c>
      <c r="J30" s="5"/>
      <c r="K30" s="220">
        <v>2020</v>
      </c>
      <c r="L30" s="44">
        <f t="shared" si="3"/>
        <v>0.24666921621863086</v>
      </c>
      <c r="M30" s="44">
        <f t="shared" si="4"/>
        <v>0.2227443255164693</v>
      </c>
      <c r="N30" s="44">
        <f t="shared" si="5"/>
        <v>0.25382431723621102</v>
      </c>
      <c r="O30" s="208">
        <f t="shared" si="6"/>
        <v>0.27676214102868874</v>
      </c>
      <c r="P30" s="5"/>
      <c r="Q30" s="5"/>
      <c r="R30" s="5"/>
      <c r="S30" s="5"/>
      <c r="T30" s="5"/>
      <c r="U30" s="5"/>
    </row>
    <row r="31" spans="1:26" ht="30" customHeight="1" thickBot="1" x14ac:dyDescent="0.3">
      <c r="A31" s="15"/>
      <c r="B31" s="5"/>
      <c r="C31" s="5"/>
      <c r="D31" s="5"/>
      <c r="E31" s="329">
        <v>2021</v>
      </c>
      <c r="F31" s="325">
        <v>5620051.4272099994</v>
      </c>
      <c r="G31" s="325">
        <v>5868264.9970900016</v>
      </c>
      <c r="H31" s="325">
        <v>6164862.76719</v>
      </c>
      <c r="I31" s="332">
        <v>6473825</v>
      </c>
      <c r="J31" s="5"/>
      <c r="K31" s="329">
        <v>2021</v>
      </c>
      <c r="L31" s="292">
        <f t="shared" si="3"/>
        <v>0.23293614833425053</v>
      </c>
      <c r="M31" s="292">
        <f t="shared" si="4"/>
        <v>0.2432239390566292</v>
      </c>
      <c r="N31" s="292">
        <f t="shared" si="5"/>
        <v>0.25551712588355457</v>
      </c>
      <c r="O31" s="333">
        <f t="shared" si="6"/>
        <v>0.26832278672556564</v>
      </c>
      <c r="P31" s="5"/>
      <c r="Q31" s="5"/>
      <c r="R31" s="5"/>
      <c r="S31" s="5"/>
      <c r="T31" s="5"/>
      <c r="U31" s="5"/>
    </row>
    <row r="32" spans="1:26" ht="30" customHeight="1" x14ac:dyDescent="0.25">
      <c r="A32" s="1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30" customHeight="1" x14ac:dyDescent="0.25">
      <c r="A33" s="1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45.6" customHeight="1" x14ac:dyDescent="0.25">
      <c r="A34" s="15"/>
      <c r="B34" s="5"/>
      <c r="C34" s="5"/>
      <c r="D34" s="5"/>
      <c r="E34" s="114"/>
      <c r="F34" s="43"/>
      <c r="G34" s="43"/>
      <c r="H34" s="43"/>
      <c r="I34" s="43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30" customHeight="1" x14ac:dyDescent="0.25">
      <c r="A35" s="15"/>
      <c r="B35" s="5"/>
      <c r="C35" s="5"/>
      <c r="D35" s="5"/>
      <c r="E35" s="220"/>
      <c r="F35" s="78" t="s">
        <v>201</v>
      </c>
      <c r="G35" s="78" t="s">
        <v>202</v>
      </c>
      <c r="H35" s="78" t="s">
        <v>203</v>
      </c>
      <c r="I35" s="221" t="s">
        <v>204</v>
      </c>
      <c r="J35" s="5"/>
      <c r="K35" s="220"/>
      <c r="L35" s="78" t="s">
        <v>201</v>
      </c>
      <c r="M35" s="78" t="s">
        <v>202</v>
      </c>
      <c r="N35" s="78" t="s">
        <v>203</v>
      </c>
      <c r="O35" s="221" t="s">
        <v>204</v>
      </c>
      <c r="P35" s="5"/>
      <c r="Q35" s="5"/>
      <c r="R35" s="5"/>
      <c r="S35" s="5"/>
      <c r="T35" s="5"/>
      <c r="U35" s="5"/>
    </row>
    <row r="36" spans="1:21" ht="30" customHeight="1" x14ac:dyDescent="0.25">
      <c r="A36" s="15"/>
      <c r="B36" s="5"/>
      <c r="C36" s="5"/>
      <c r="D36" s="5"/>
      <c r="E36" s="220">
        <v>2013</v>
      </c>
      <c r="F36" s="181">
        <v>24401</v>
      </c>
      <c r="G36" s="181">
        <v>56334</v>
      </c>
      <c r="H36" s="181">
        <v>29409</v>
      </c>
      <c r="I36" s="222">
        <v>39690</v>
      </c>
      <c r="J36" s="5"/>
      <c r="K36" s="220">
        <v>2013</v>
      </c>
      <c r="L36" s="44">
        <f>F36/SUM($F36:$I36)</f>
        <v>0.16285355793745077</v>
      </c>
      <c r="M36" s="44">
        <f t="shared" ref="M36:M44" si="7">G36/SUM($F36:$I36)</f>
        <v>0.37597608019541628</v>
      </c>
      <c r="N36" s="44">
        <f t="shared" ref="N36:N44" si="8">H36/SUM($F36:$I36)</f>
        <v>0.19627721344955085</v>
      </c>
      <c r="O36" s="45">
        <f t="shared" ref="O36:O44" si="9">I36/SUM($F36:$I36)</f>
        <v>0.2648931484175821</v>
      </c>
      <c r="P36" s="223"/>
      <c r="Q36" s="5"/>
      <c r="R36" s="5"/>
      <c r="S36" s="5"/>
      <c r="T36" s="5"/>
      <c r="U36" s="5"/>
    </row>
    <row r="37" spans="1:21" ht="30" customHeight="1" x14ac:dyDescent="0.25">
      <c r="A37" s="15"/>
      <c r="B37" s="5"/>
      <c r="C37" s="5"/>
      <c r="D37" s="5"/>
      <c r="E37" s="220">
        <v>2014</v>
      </c>
      <c r="F37" s="181">
        <v>42329</v>
      </c>
      <c r="G37" s="181">
        <v>85756</v>
      </c>
      <c r="H37" s="181">
        <v>88893</v>
      </c>
      <c r="I37" s="222">
        <v>92148</v>
      </c>
      <c r="J37" s="5"/>
      <c r="K37" s="220">
        <v>2014</v>
      </c>
      <c r="L37" s="44">
        <f t="shared" ref="L37:L44" si="10">F37/SUM($F37:$I37)</f>
        <v>0.13693121898513874</v>
      </c>
      <c r="M37" s="44">
        <f t="shared" si="7"/>
        <v>0.27741438766069498</v>
      </c>
      <c r="N37" s="44">
        <f t="shared" si="8"/>
        <v>0.2875623532151938</v>
      </c>
      <c r="O37" s="45">
        <f t="shared" si="9"/>
        <v>0.29809204013897245</v>
      </c>
      <c r="P37" s="223"/>
      <c r="Q37" s="5"/>
      <c r="R37" s="5"/>
      <c r="S37" s="5"/>
      <c r="T37" s="5"/>
      <c r="U37" s="5"/>
    </row>
    <row r="38" spans="1:21" ht="30" customHeight="1" x14ac:dyDescent="0.25">
      <c r="A38" s="15"/>
      <c r="B38" s="5"/>
      <c r="C38" s="5"/>
      <c r="D38" s="5"/>
      <c r="E38" s="220">
        <v>2015</v>
      </c>
      <c r="F38" s="181">
        <v>98843</v>
      </c>
      <c r="G38" s="181">
        <v>161588</v>
      </c>
      <c r="H38" s="181">
        <v>123545</v>
      </c>
      <c r="I38" s="222">
        <v>117233</v>
      </c>
      <c r="J38" s="41"/>
      <c r="K38" s="220">
        <v>2015</v>
      </c>
      <c r="L38" s="44">
        <f t="shared" si="10"/>
        <v>0.19720914827946026</v>
      </c>
      <c r="M38" s="44">
        <f t="shared" si="7"/>
        <v>0.32239644539503481</v>
      </c>
      <c r="N38" s="44">
        <f t="shared" si="8"/>
        <v>0.24649397756225447</v>
      </c>
      <c r="O38" s="45">
        <f t="shared" si="9"/>
        <v>0.23390042876325046</v>
      </c>
      <c r="P38" s="223"/>
      <c r="Q38" s="5"/>
      <c r="R38" s="5"/>
      <c r="S38" s="5"/>
      <c r="T38" s="5"/>
      <c r="U38" s="5"/>
    </row>
    <row r="39" spans="1:21" ht="30" customHeight="1" x14ac:dyDescent="0.25">
      <c r="A39" s="15"/>
      <c r="B39" s="5"/>
      <c r="C39" s="5"/>
      <c r="D39" s="5"/>
      <c r="E39" s="220">
        <v>2016</v>
      </c>
      <c r="F39" s="181">
        <v>129909.20000000023</v>
      </c>
      <c r="G39" s="181">
        <v>238201.43000000028</v>
      </c>
      <c r="H39" s="181">
        <v>183505.24999999983</v>
      </c>
      <c r="I39" s="222">
        <v>153922.80999999991</v>
      </c>
      <c r="J39" s="5"/>
      <c r="K39" s="220">
        <v>2016</v>
      </c>
      <c r="L39" s="44">
        <f t="shared" si="10"/>
        <v>0.18412767696694304</v>
      </c>
      <c r="M39" s="44">
        <f t="shared" si="7"/>
        <v>0.33761639634532331</v>
      </c>
      <c r="N39" s="44">
        <f t="shared" si="8"/>
        <v>0.26009239833466785</v>
      </c>
      <c r="O39" s="45">
        <f t="shared" si="9"/>
        <v>0.21816352835306571</v>
      </c>
      <c r="P39" s="223"/>
      <c r="Q39" s="5"/>
      <c r="R39" s="5"/>
      <c r="S39" s="5"/>
      <c r="T39" s="5"/>
      <c r="U39" s="5"/>
    </row>
    <row r="40" spans="1:21" ht="30" customHeight="1" x14ac:dyDescent="0.25">
      <c r="A40" s="15"/>
      <c r="B40" s="5"/>
      <c r="C40" s="5"/>
      <c r="D40" s="5"/>
      <c r="E40" s="220">
        <v>2017</v>
      </c>
      <c r="F40" s="181">
        <v>164336.14999999973</v>
      </c>
      <c r="G40" s="181">
        <v>219575.64999999959</v>
      </c>
      <c r="H40" s="181">
        <v>209702.94000000021</v>
      </c>
      <c r="I40" s="222">
        <v>198968.08000000042</v>
      </c>
      <c r="J40" s="5"/>
      <c r="K40" s="220">
        <v>2017</v>
      </c>
      <c r="L40" s="44">
        <f t="shared" si="10"/>
        <v>0.20734255885082109</v>
      </c>
      <c r="M40" s="44">
        <f t="shared" si="7"/>
        <v>0.27703811445219012</v>
      </c>
      <c r="N40" s="44">
        <f t="shared" si="8"/>
        <v>0.26458173796903672</v>
      </c>
      <c r="O40" s="45">
        <f t="shared" si="9"/>
        <v>0.25103758872795201</v>
      </c>
      <c r="P40" s="223"/>
      <c r="Q40" s="5"/>
      <c r="R40" s="5"/>
      <c r="S40" s="5"/>
      <c r="T40" s="5"/>
      <c r="U40" s="5"/>
    </row>
    <row r="41" spans="1:21" ht="30" customHeight="1" x14ac:dyDescent="0.25">
      <c r="A41" s="15"/>
      <c r="B41" s="5"/>
      <c r="C41" s="5"/>
      <c r="D41" s="5"/>
      <c r="E41" s="220">
        <v>2018</v>
      </c>
      <c r="F41" s="181">
        <v>176147</v>
      </c>
      <c r="G41" s="181">
        <v>210140</v>
      </c>
      <c r="H41" s="181">
        <v>186230</v>
      </c>
      <c r="I41" s="222">
        <v>148993</v>
      </c>
      <c r="J41" s="5"/>
      <c r="K41" s="220">
        <v>2018</v>
      </c>
      <c r="L41" s="44">
        <f t="shared" si="10"/>
        <v>0.2441366024032931</v>
      </c>
      <c r="M41" s="44">
        <f t="shared" si="7"/>
        <v>0.29125029452121248</v>
      </c>
      <c r="N41" s="44">
        <f t="shared" si="8"/>
        <v>0.25811146068661556</v>
      </c>
      <c r="O41" s="45">
        <f t="shared" si="9"/>
        <v>0.20650164238887889</v>
      </c>
      <c r="P41" s="223"/>
      <c r="Q41" s="5"/>
      <c r="R41" s="5"/>
      <c r="S41" s="5"/>
      <c r="T41" s="5"/>
      <c r="U41" s="5"/>
    </row>
    <row r="42" spans="1:21" ht="30" customHeight="1" x14ac:dyDescent="0.25">
      <c r="A42" s="15"/>
      <c r="B42" s="5"/>
      <c r="C42" s="5"/>
      <c r="D42" s="5"/>
      <c r="E42" s="220">
        <v>2019</v>
      </c>
      <c r="F42" s="181">
        <v>156371</v>
      </c>
      <c r="G42" s="181">
        <v>236052</v>
      </c>
      <c r="H42" s="181">
        <v>491930</v>
      </c>
      <c r="I42" s="222">
        <v>234116</v>
      </c>
      <c r="J42" s="5"/>
      <c r="K42" s="220">
        <v>2019</v>
      </c>
      <c r="L42" s="44">
        <f t="shared" si="10"/>
        <v>0.13980807693373709</v>
      </c>
      <c r="M42" s="44">
        <f t="shared" si="7"/>
        <v>0.21104921101970639</v>
      </c>
      <c r="N42" s="44">
        <f t="shared" si="8"/>
        <v>0.43982443858524467</v>
      </c>
      <c r="O42" s="45">
        <f t="shared" si="9"/>
        <v>0.20931827346131185</v>
      </c>
      <c r="P42" s="223"/>
      <c r="Q42" s="5"/>
      <c r="R42" s="5"/>
      <c r="S42" s="5"/>
      <c r="T42" s="5"/>
      <c r="U42" s="5"/>
    </row>
    <row r="43" spans="1:21" ht="30" customHeight="1" x14ac:dyDescent="0.25">
      <c r="A43" s="15"/>
      <c r="B43" s="5"/>
      <c r="C43" s="5"/>
      <c r="D43" s="5"/>
      <c r="E43" s="220">
        <v>2020</v>
      </c>
      <c r="F43" s="181">
        <v>241825.83797305246</v>
      </c>
      <c r="G43" s="181">
        <v>122127.56108000065</v>
      </c>
      <c r="H43" s="181">
        <v>278968.93460999976</v>
      </c>
      <c r="I43" s="222">
        <v>273061.44079000107</v>
      </c>
      <c r="J43" s="5"/>
      <c r="K43" s="220">
        <v>2020</v>
      </c>
      <c r="L43" s="44">
        <f t="shared" si="10"/>
        <v>0.26400668299768726</v>
      </c>
      <c r="M43" s="44">
        <f t="shared" si="7"/>
        <v>0.1333293934741635</v>
      </c>
      <c r="N43" s="44">
        <f t="shared" si="8"/>
        <v>0.30455663341479583</v>
      </c>
      <c r="O43" s="45">
        <f t="shared" si="9"/>
        <v>0.29810729011335346</v>
      </c>
      <c r="P43" s="223"/>
      <c r="Q43" s="5"/>
      <c r="R43" s="5"/>
      <c r="S43" s="5"/>
      <c r="T43" s="5"/>
      <c r="U43" s="5"/>
    </row>
    <row r="44" spans="1:21" ht="30" customHeight="1" thickBot="1" x14ac:dyDescent="0.3">
      <c r="A44" s="15"/>
      <c r="B44" s="5"/>
      <c r="C44" s="5"/>
      <c r="D44" s="5"/>
      <c r="E44" s="329">
        <v>2021</v>
      </c>
      <c r="F44" s="325">
        <v>318094.10423999891</v>
      </c>
      <c r="G44" s="325">
        <v>433420.21604000183</v>
      </c>
      <c r="H44" s="325">
        <v>322274.80242999835</v>
      </c>
      <c r="I44" s="332">
        <v>292667.20124466775</v>
      </c>
      <c r="J44" s="5"/>
      <c r="K44" s="329">
        <v>2021</v>
      </c>
      <c r="L44" s="292">
        <f t="shared" si="10"/>
        <v>0.23278761176895976</v>
      </c>
      <c r="M44" s="292">
        <f t="shared" si="7"/>
        <v>0.31718556125207031</v>
      </c>
      <c r="N44" s="292">
        <f t="shared" si="8"/>
        <v>0.23584713011338812</v>
      </c>
      <c r="O44" s="293">
        <f t="shared" si="9"/>
        <v>0.21417969686558175</v>
      </c>
      <c r="P44" s="223"/>
      <c r="Q44" s="5"/>
      <c r="R44" s="5"/>
      <c r="S44" s="5"/>
      <c r="T44" s="5"/>
      <c r="U44" s="5"/>
    </row>
    <row r="45" spans="1:21" ht="30" customHeight="1" x14ac:dyDescent="0.25">
      <c r="A45" s="15"/>
      <c r="B45" s="5"/>
      <c r="C45" s="5"/>
      <c r="D45" s="5"/>
      <c r="E45" s="114"/>
      <c r="F45" s="334"/>
      <c r="G45" s="334"/>
      <c r="H45" s="334"/>
      <c r="I45" s="334"/>
      <c r="J45" s="4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5">
      <c r="A46" s="15"/>
      <c r="B46" s="5"/>
      <c r="C46" s="5"/>
      <c r="D46" s="5"/>
      <c r="E46" s="114"/>
      <c r="F46" s="43"/>
      <c r="G46" s="43"/>
      <c r="H46" s="43"/>
      <c r="I46" s="43"/>
      <c r="J46" s="4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5">
      <c r="A47" s="15"/>
      <c r="B47" s="5"/>
      <c r="C47" s="5"/>
      <c r="D47" s="5"/>
      <c r="E47" s="114"/>
      <c r="F47" s="43"/>
      <c r="G47" s="43"/>
      <c r="H47" s="43"/>
      <c r="I47" s="43"/>
      <c r="J47" s="4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5">
      <c r="A48" s="15"/>
      <c r="B48" s="5"/>
      <c r="C48" s="5"/>
      <c r="D48" s="5"/>
      <c r="E48" s="114"/>
      <c r="F48" s="43"/>
      <c r="G48" s="43"/>
      <c r="H48" s="43"/>
      <c r="I48" s="43"/>
      <c r="J48" s="4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30" customHeight="1" x14ac:dyDescent="0.25">
      <c r="A49" s="15"/>
      <c r="B49" s="5"/>
      <c r="C49" s="5"/>
      <c r="D49" s="5"/>
      <c r="E49" s="114"/>
      <c r="F49" s="43"/>
      <c r="G49" s="43"/>
      <c r="H49" s="43"/>
      <c r="I49" s="43"/>
      <c r="J49" s="4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30" customHeight="1" x14ac:dyDescent="0.25">
      <c r="A50" s="15"/>
      <c r="B50" s="5"/>
      <c r="C50" s="5"/>
      <c r="D50" s="5"/>
      <c r="E50" s="114"/>
      <c r="F50" s="43"/>
      <c r="G50" s="43"/>
      <c r="H50" s="43"/>
      <c r="I50" s="43"/>
      <c r="J50" s="4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30" customHeight="1" x14ac:dyDescent="0.25">
      <c r="A51" s="15"/>
      <c r="B51" s="5"/>
      <c r="C51" s="5"/>
      <c r="D51" s="5"/>
      <c r="E51" s="114"/>
      <c r="F51" s="43"/>
      <c r="G51" s="43"/>
      <c r="H51" s="43"/>
      <c r="I51" s="43"/>
      <c r="J51" s="4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30" customHeight="1" x14ac:dyDescent="0.25">
      <c r="A52" s="15"/>
      <c r="B52" s="5"/>
      <c r="C52" s="5"/>
      <c r="D52" s="5"/>
      <c r="E52" s="114"/>
      <c r="F52" s="43"/>
      <c r="G52" s="43"/>
      <c r="H52" s="43"/>
      <c r="I52" s="43"/>
      <c r="J52" s="4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30" customHeight="1" x14ac:dyDescent="0.25">
      <c r="A53" s="15"/>
      <c r="B53" s="5"/>
      <c r="C53" s="5"/>
      <c r="D53" s="5"/>
      <c r="E53" s="114"/>
      <c r="F53" s="43"/>
      <c r="G53" s="43"/>
      <c r="H53" s="43"/>
      <c r="I53" s="43"/>
      <c r="J53" s="4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30" customHeight="1" x14ac:dyDescent="0.25">
      <c r="A54" s="15"/>
      <c r="B54" s="5"/>
      <c r="C54" s="5"/>
      <c r="D54" s="5"/>
      <c r="E54" s="114"/>
      <c r="F54" s="43"/>
      <c r="G54" s="43"/>
      <c r="H54" s="43"/>
      <c r="I54" s="43"/>
      <c r="J54" s="4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5" hidden="1" x14ac:dyDescent="0.25">
      <c r="A55" s="15"/>
      <c r="B55" s="5"/>
      <c r="C55" s="5"/>
      <c r="D55" s="5"/>
      <c r="E55" s="114"/>
      <c r="F55" s="43"/>
      <c r="G55" s="43"/>
      <c r="H55" s="43"/>
      <c r="I55" s="43"/>
      <c r="J55" s="43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46.9" customHeight="1" x14ac:dyDescent="0.25">
      <c r="A56" s="15"/>
      <c r="B56" s="5"/>
      <c r="C56" s="5"/>
      <c r="D56" s="5"/>
      <c r="E56" s="114"/>
      <c r="F56" s="43"/>
      <c r="G56" s="43"/>
      <c r="H56" s="43"/>
      <c r="I56" s="43"/>
      <c r="J56" s="43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46.9" customHeight="1" x14ac:dyDescent="0.25">
      <c r="A57" s="15"/>
      <c r="B57" s="5"/>
      <c r="C57" s="5"/>
      <c r="D57" s="5"/>
      <c r="E57" s="114"/>
      <c r="F57" s="43"/>
      <c r="G57" s="43"/>
      <c r="H57" s="43"/>
      <c r="I57" s="43"/>
      <c r="J57" s="43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30" customHeight="1" x14ac:dyDescent="0.25">
      <c r="A58" s="15"/>
      <c r="B58" s="5"/>
      <c r="C58" s="5"/>
      <c r="D58" s="5"/>
      <c r="E58" s="114"/>
      <c r="F58" s="43"/>
      <c r="G58" s="43"/>
      <c r="H58" s="43"/>
      <c r="I58" s="43"/>
      <c r="J58" s="43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30" customHeight="1" x14ac:dyDescent="0.25">
      <c r="A59" s="15"/>
      <c r="B59" s="5"/>
      <c r="C59" s="5"/>
      <c r="D59" s="5"/>
      <c r="E59" s="114"/>
      <c r="F59" s="43"/>
      <c r="G59" s="43"/>
      <c r="H59" s="43"/>
      <c r="I59" s="43"/>
      <c r="J59" s="43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30" customHeight="1" x14ac:dyDescent="0.25">
      <c r="A60" s="15"/>
      <c r="B60" s="5"/>
      <c r="C60" s="5"/>
      <c r="D60" s="5"/>
      <c r="E60" s="114"/>
      <c r="F60" s="43"/>
      <c r="G60" s="43"/>
      <c r="H60" s="43"/>
      <c r="I60" s="43"/>
      <c r="J60" s="43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30" customHeight="1" x14ac:dyDescent="0.25">
      <c r="A61" s="15"/>
      <c r="B61" s="5"/>
      <c r="C61" s="5"/>
      <c r="D61" s="5"/>
      <c r="E61" s="114"/>
      <c r="F61" s="43"/>
      <c r="G61" s="43"/>
      <c r="H61" s="43"/>
      <c r="I61" s="43"/>
      <c r="J61" s="43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30" customHeight="1" x14ac:dyDescent="0.25">
      <c r="A62" s="15"/>
      <c r="B62" s="5"/>
      <c r="C62" s="5"/>
      <c r="D62" s="5"/>
      <c r="E62" s="114"/>
      <c r="F62" s="43"/>
      <c r="G62" s="43"/>
      <c r="H62" s="43"/>
      <c r="I62" s="43"/>
      <c r="J62" s="43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30" customHeight="1" x14ac:dyDescent="0.25">
      <c r="A63" s="15"/>
      <c r="B63" s="5"/>
      <c r="C63" s="5"/>
      <c r="D63" s="5"/>
      <c r="E63" s="114"/>
      <c r="F63" s="43"/>
      <c r="G63" s="43"/>
      <c r="H63" s="43"/>
      <c r="I63" s="43"/>
      <c r="J63" s="43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30" customHeight="1" x14ac:dyDescent="0.25">
      <c r="A64" s="15"/>
      <c r="B64" s="5"/>
      <c r="C64" s="5"/>
      <c r="D64" s="5"/>
      <c r="E64" s="114"/>
      <c r="F64" s="43"/>
      <c r="G64" s="43"/>
      <c r="H64" s="43"/>
      <c r="I64" s="43"/>
      <c r="J64" s="43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30" customHeight="1" x14ac:dyDescent="0.25">
      <c r="A65" s="15"/>
      <c r="B65" s="5"/>
      <c r="C65" s="5"/>
      <c r="D65" s="5"/>
      <c r="E65" s="114"/>
      <c r="F65" s="43"/>
      <c r="G65" s="43"/>
      <c r="H65" s="43"/>
      <c r="I65" s="43"/>
      <c r="J65" s="43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30" customHeight="1" x14ac:dyDescent="0.25">
      <c r="A66" s="15"/>
      <c r="B66" s="5"/>
      <c r="C66" s="5"/>
      <c r="D66" s="5"/>
      <c r="E66" s="114"/>
      <c r="F66" s="43"/>
      <c r="G66" s="43"/>
      <c r="H66" s="43"/>
      <c r="I66" s="43"/>
      <c r="J66" s="43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30" customHeight="1" x14ac:dyDescent="0.25">
      <c r="A67" s="15"/>
      <c r="B67" s="5"/>
      <c r="C67" s="5"/>
      <c r="D67" s="5"/>
      <c r="E67" s="114"/>
      <c r="F67" s="43"/>
      <c r="G67" s="43"/>
      <c r="H67" s="43"/>
      <c r="I67" s="43"/>
      <c r="J67" s="4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30" customHeight="1" x14ac:dyDescent="0.25">
      <c r="A68" s="15"/>
      <c r="B68" s="5"/>
      <c r="C68" s="5"/>
      <c r="D68" s="5"/>
      <c r="E68" s="114"/>
      <c r="F68" s="43"/>
      <c r="G68" s="43"/>
      <c r="H68" s="43"/>
      <c r="I68" s="43"/>
      <c r="J68" s="43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30" customHeight="1" x14ac:dyDescent="0.25">
      <c r="A69" s="15"/>
      <c r="B69" s="5"/>
      <c r="C69" s="5"/>
      <c r="D69" s="5"/>
      <c r="E69" s="114"/>
      <c r="F69" s="43"/>
      <c r="G69" s="43"/>
      <c r="H69" s="43"/>
      <c r="I69" s="43"/>
      <c r="J69" s="43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30" customHeight="1" x14ac:dyDescent="0.25">
      <c r="A70" s="15"/>
      <c r="B70" s="5"/>
      <c r="C70" s="5"/>
      <c r="D70" s="5"/>
      <c r="E70" s="114"/>
      <c r="F70" s="43"/>
      <c r="G70" s="43"/>
      <c r="H70" s="43"/>
      <c r="I70" s="43"/>
      <c r="J70" s="43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30" customHeight="1" x14ac:dyDescent="0.25">
      <c r="A71" s="15"/>
      <c r="B71" s="5"/>
      <c r="C71" s="5"/>
      <c r="D71" s="5"/>
      <c r="E71" s="114"/>
      <c r="F71" s="43"/>
      <c r="G71" s="43"/>
      <c r="H71" s="43"/>
      <c r="I71" s="43"/>
      <c r="J71" s="43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30" customHeight="1" x14ac:dyDescent="0.25">
      <c r="A72" s="15"/>
      <c r="B72" s="5"/>
      <c r="C72" s="5"/>
      <c r="D72" s="5"/>
      <c r="E72" s="114"/>
      <c r="F72" s="43"/>
      <c r="G72" s="43"/>
      <c r="H72" s="43"/>
      <c r="I72" s="43"/>
      <c r="J72" s="43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30" customHeight="1" x14ac:dyDescent="0.25">
      <c r="A73" s="15"/>
      <c r="B73" s="5"/>
      <c r="C73" s="5"/>
      <c r="D73" s="5"/>
      <c r="E73" s="114"/>
      <c r="F73" s="43"/>
      <c r="G73" s="43"/>
      <c r="H73" s="43"/>
      <c r="I73" s="43"/>
      <c r="J73" s="43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30" customHeight="1" x14ac:dyDescent="0.25">
      <c r="A74" s="15"/>
      <c r="B74" s="5"/>
      <c r="C74" s="5"/>
      <c r="D74" s="5"/>
      <c r="E74" s="114"/>
      <c r="F74" s="43"/>
      <c r="G74" s="43"/>
      <c r="H74" s="43"/>
      <c r="I74" s="43"/>
      <c r="J74" s="43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30" customHeight="1" x14ac:dyDescent="0.25">
      <c r="A75" s="15"/>
      <c r="B75" s="5"/>
      <c r="C75" s="5"/>
      <c r="D75" s="5"/>
      <c r="E75" s="114"/>
      <c r="F75" s="43"/>
      <c r="G75" s="43"/>
      <c r="H75" s="43"/>
      <c r="I75" s="43"/>
      <c r="J75" s="43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30" customHeight="1" x14ac:dyDescent="0.25">
      <c r="A76" s="15"/>
      <c r="B76" s="5"/>
      <c r="C76" s="5"/>
      <c r="D76" s="5"/>
      <c r="E76" s="114"/>
      <c r="F76" s="43"/>
      <c r="G76" s="43"/>
      <c r="H76" s="43"/>
      <c r="I76" s="43"/>
      <c r="J76" s="43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30" customHeight="1" x14ac:dyDescent="0.25">
      <c r="A77" s="15"/>
      <c r="B77" s="5"/>
      <c r="C77" s="5"/>
      <c r="D77" s="5"/>
      <c r="E77" s="114"/>
      <c r="F77" s="43"/>
      <c r="G77" s="43"/>
      <c r="H77" s="43"/>
      <c r="I77" s="43"/>
      <c r="J77" s="43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30" customHeight="1" x14ac:dyDescent="0.25">
      <c r="A78" s="15"/>
      <c r="B78" s="5"/>
      <c r="C78" s="5"/>
      <c r="D78" s="5"/>
      <c r="E78" s="114"/>
      <c r="F78" s="43"/>
      <c r="G78" s="43"/>
      <c r="H78" s="43"/>
      <c r="I78" s="43"/>
      <c r="J78" s="43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30" customHeight="1" x14ac:dyDescent="0.25">
      <c r="A79" s="15"/>
      <c r="B79" s="5"/>
      <c r="C79" s="5"/>
      <c r="D79" s="5"/>
      <c r="F79" s="141"/>
      <c r="G79" s="141"/>
      <c r="H79" s="141"/>
      <c r="I79" s="141"/>
      <c r="J79" s="14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30" customHeight="1" x14ac:dyDescent="0.25">
      <c r="A80" s="15"/>
      <c r="B80" s="5"/>
      <c r="T80" s="5"/>
      <c r="U80" s="5"/>
    </row>
    <row r="81" spans="1:21" ht="30" customHeight="1" x14ac:dyDescent="0.25">
      <c r="A81" s="15"/>
      <c r="B81" s="5"/>
      <c r="T81" s="5"/>
      <c r="U81" s="5"/>
    </row>
    <row r="82" spans="1:21" ht="30" customHeight="1" x14ac:dyDescent="0.25">
      <c r="A82" s="15"/>
      <c r="B82" s="5"/>
      <c r="T82" s="5"/>
      <c r="U82" s="5"/>
    </row>
    <row r="83" spans="1:21" ht="30" customHeight="1" x14ac:dyDescent="0.25">
      <c r="A83" s="15"/>
      <c r="B83" s="5"/>
      <c r="T83" s="5"/>
      <c r="U83" s="5"/>
    </row>
    <row r="84" spans="1:21" ht="30" customHeight="1" x14ac:dyDescent="0.25">
      <c r="A84" s="15"/>
      <c r="B84" s="5"/>
      <c r="T84" s="5"/>
      <c r="U84" s="5"/>
    </row>
    <row r="85" spans="1:21" ht="30" customHeight="1" x14ac:dyDescent="0.25">
      <c r="A85" s="15"/>
      <c r="B85" s="5"/>
      <c r="T85" s="5"/>
      <c r="U85" s="5"/>
    </row>
    <row r="86" spans="1:21" ht="30" customHeight="1" x14ac:dyDescent="0.25">
      <c r="A86" s="15"/>
      <c r="B86" s="5"/>
      <c r="T86" s="5"/>
      <c r="U86" s="5"/>
    </row>
    <row r="87" spans="1:21" ht="30" customHeight="1" x14ac:dyDescent="0.25">
      <c r="A87" s="15"/>
      <c r="B87" s="5"/>
      <c r="T87" s="5"/>
      <c r="U87" s="5"/>
    </row>
    <row r="88" spans="1:21" ht="30" customHeight="1" x14ac:dyDescent="0.25">
      <c r="A88" s="15"/>
      <c r="B88" s="5"/>
      <c r="T88" s="5"/>
      <c r="U88" s="5"/>
    </row>
    <row r="89" spans="1:21" ht="30" customHeight="1" x14ac:dyDescent="0.25">
      <c r="A89" s="15"/>
      <c r="B89" s="5"/>
      <c r="T89" s="5"/>
      <c r="U89" s="5"/>
    </row>
    <row r="90" spans="1:21" ht="30" customHeight="1" x14ac:dyDescent="0.25">
      <c r="A90" s="15"/>
      <c r="B90" s="5"/>
      <c r="T90" s="5"/>
      <c r="U90" s="5"/>
    </row>
    <row r="91" spans="1:21" ht="30" customHeight="1" x14ac:dyDescent="0.25">
      <c r="A91" s="15"/>
      <c r="B91" s="5"/>
      <c r="T91" s="5"/>
      <c r="U91" s="5"/>
    </row>
    <row r="92" spans="1:21" ht="30" customHeight="1" x14ac:dyDescent="0.25">
      <c r="A92" s="15"/>
      <c r="B92" s="5"/>
      <c r="T92" s="5"/>
      <c r="U92" s="5"/>
    </row>
    <row r="93" spans="1:21" ht="30" customHeight="1" x14ac:dyDescent="0.25">
      <c r="A93" s="15"/>
      <c r="B93" s="5"/>
      <c r="T93" s="5"/>
      <c r="U93" s="5"/>
    </row>
    <row r="94" spans="1:21" ht="30" customHeight="1" x14ac:dyDescent="0.25">
      <c r="A94" s="15"/>
      <c r="B94" s="5"/>
      <c r="T94" s="5"/>
      <c r="U94" s="5"/>
    </row>
    <row r="95" spans="1:21" ht="30" customHeight="1" x14ac:dyDescent="0.25">
      <c r="A95" s="15"/>
      <c r="B95" s="5"/>
      <c r="T95" s="5"/>
      <c r="U95" s="5"/>
    </row>
    <row r="96" spans="1:21" ht="30" customHeight="1" x14ac:dyDescent="0.25">
      <c r="A96" s="15"/>
      <c r="B96" s="5"/>
      <c r="T96" s="5"/>
      <c r="U96" s="5"/>
    </row>
    <row r="97" spans="1:21" ht="30" customHeight="1" x14ac:dyDescent="0.25">
      <c r="A97" s="15"/>
      <c r="B97" s="5"/>
      <c r="T97" s="5"/>
      <c r="U97" s="5"/>
    </row>
    <row r="98" spans="1:21" ht="30" customHeight="1" x14ac:dyDescent="0.25">
      <c r="A98" s="15"/>
      <c r="B98" s="5"/>
      <c r="T98" s="5"/>
      <c r="U98" s="5"/>
    </row>
    <row r="99" spans="1:21" ht="30" customHeight="1" x14ac:dyDescent="0.25">
      <c r="A99" s="15"/>
      <c r="B99" s="5"/>
      <c r="T99" s="5"/>
      <c r="U99" s="5"/>
    </row>
    <row r="100" spans="1:21" ht="30" customHeight="1" x14ac:dyDescent="0.25">
      <c r="A100" s="15"/>
      <c r="B100" s="5"/>
      <c r="T100" s="5"/>
      <c r="U100" s="5"/>
    </row>
    <row r="101" spans="1:21" ht="30" customHeight="1" x14ac:dyDescent="0.25">
      <c r="A101" s="15"/>
      <c r="B101" s="5"/>
      <c r="T101" s="5"/>
      <c r="U101" s="5"/>
    </row>
    <row r="102" spans="1:21" ht="30" customHeight="1" x14ac:dyDescent="0.25">
      <c r="A102" s="15"/>
      <c r="B102" s="5"/>
      <c r="T102" s="5"/>
      <c r="U102" s="5"/>
    </row>
    <row r="103" spans="1:21" ht="30" customHeight="1" x14ac:dyDescent="0.25">
      <c r="A103" s="15"/>
      <c r="B103" s="5"/>
      <c r="T103" s="5"/>
      <c r="U103" s="5"/>
    </row>
    <row r="104" spans="1:21" ht="30" customHeight="1" x14ac:dyDescent="0.25">
      <c r="A104" s="15"/>
      <c r="B104" s="5"/>
      <c r="T104" s="5"/>
      <c r="U104" s="5"/>
    </row>
    <row r="105" spans="1:21" ht="30" customHeight="1" x14ac:dyDescent="0.25">
      <c r="A105" s="15"/>
      <c r="B105" s="5"/>
      <c r="T105" s="5"/>
      <c r="U105" s="5"/>
    </row>
    <row r="106" spans="1:21" ht="30" customHeight="1" x14ac:dyDescent="0.25">
      <c r="A106" s="15"/>
      <c r="B106" s="5"/>
      <c r="T106" s="5"/>
      <c r="U106" s="5"/>
    </row>
    <row r="107" spans="1:21" ht="30" customHeight="1" x14ac:dyDescent="0.25">
      <c r="A107" s="15"/>
      <c r="B107" s="5"/>
      <c r="T107" s="5"/>
      <c r="U107" s="5"/>
    </row>
    <row r="108" spans="1:21" ht="30" customHeight="1" x14ac:dyDescent="0.25">
      <c r="A108" s="15"/>
      <c r="B108" s="5"/>
      <c r="T108" s="5"/>
      <c r="U108" s="5"/>
    </row>
    <row r="109" spans="1:21" ht="30" customHeight="1" x14ac:dyDescent="0.25">
      <c r="A109" s="15"/>
      <c r="B109" s="5"/>
      <c r="T109" s="5"/>
      <c r="U109" s="5"/>
    </row>
    <row r="110" spans="1:21" ht="30" customHeight="1" x14ac:dyDescent="0.25">
      <c r="A110" s="15"/>
      <c r="B110" s="5"/>
      <c r="T110" s="5"/>
      <c r="U110" s="5"/>
    </row>
    <row r="111" spans="1:21" ht="30" customHeight="1" x14ac:dyDescent="0.25">
      <c r="A111" s="15"/>
      <c r="B111" s="5"/>
      <c r="T111" s="5"/>
      <c r="U111" s="5"/>
    </row>
    <row r="112" spans="1:21" ht="30" customHeight="1" x14ac:dyDescent="0.25">
      <c r="A112" s="15"/>
      <c r="B112" s="5"/>
      <c r="T112" s="5"/>
      <c r="U112" s="5"/>
    </row>
    <row r="113" spans="1:21" ht="30" customHeight="1" x14ac:dyDescent="0.25">
      <c r="A113" s="15"/>
      <c r="B113" s="5"/>
      <c r="T113" s="5"/>
      <c r="U113" s="5"/>
    </row>
    <row r="114" spans="1:21" ht="30" customHeight="1" x14ac:dyDescent="0.25">
      <c r="A114" s="15"/>
      <c r="B114" s="5"/>
      <c r="T114" s="5"/>
      <c r="U114" s="5"/>
    </row>
    <row r="115" spans="1:21" ht="30" customHeight="1" x14ac:dyDescent="0.25">
      <c r="A115" s="15"/>
      <c r="B115" s="5"/>
      <c r="T115" s="5"/>
      <c r="U115" s="5"/>
    </row>
    <row r="116" spans="1:21" ht="30" customHeight="1" x14ac:dyDescent="0.25">
      <c r="A116" s="15"/>
      <c r="B116" s="5"/>
      <c r="T116" s="5"/>
      <c r="U116" s="5"/>
    </row>
    <row r="117" spans="1:21" ht="30" customHeight="1" x14ac:dyDescent="0.25">
      <c r="A117" s="15"/>
      <c r="B117" s="5"/>
      <c r="T117" s="5"/>
      <c r="U117" s="5"/>
    </row>
    <row r="118" spans="1:21" ht="30" customHeight="1" x14ac:dyDescent="0.25">
      <c r="A118" s="15"/>
      <c r="B118" s="5"/>
      <c r="T118" s="5"/>
      <c r="U118" s="5"/>
    </row>
    <row r="119" spans="1:21" ht="30" customHeight="1" x14ac:dyDescent="0.25">
      <c r="A119" s="15"/>
      <c r="B119" s="5"/>
      <c r="T119" s="5"/>
      <c r="U119" s="5"/>
    </row>
    <row r="120" spans="1:21" ht="30" customHeight="1" x14ac:dyDescent="0.25">
      <c r="A120" s="15"/>
      <c r="B120" s="5"/>
      <c r="T120" s="5"/>
      <c r="U120" s="5"/>
    </row>
    <row r="121" spans="1:21" ht="30" customHeight="1" x14ac:dyDescent="0.25">
      <c r="A121" s="15"/>
      <c r="B121" s="5"/>
      <c r="T121" s="5"/>
      <c r="U121" s="5"/>
    </row>
    <row r="122" spans="1:21" ht="30" customHeight="1" x14ac:dyDescent="0.25">
      <c r="A122" s="15"/>
      <c r="B122" s="5"/>
      <c r="T122" s="5"/>
      <c r="U122" s="5"/>
    </row>
    <row r="123" spans="1:21" ht="30" customHeight="1" x14ac:dyDescent="0.25">
      <c r="A123" s="15"/>
      <c r="B123" s="5"/>
      <c r="T123" s="5"/>
      <c r="U123" s="5"/>
    </row>
    <row r="124" spans="1:21" ht="30" customHeight="1" x14ac:dyDescent="0.25">
      <c r="A124" s="15"/>
      <c r="B124" s="5"/>
      <c r="T124" s="5"/>
      <c r="U124" s="5"/>
    </row>
    <row r="125" spans="1:21" ht="30" customHeight="1" x14ac:dyDescent="0.25">
      <c r="A125" s="15"/>
      <c r="B125" s="5"/>
      <c r="T125" s="5"/>
      <c r="U125" s="5"/>
    </row>
    <row r="126" spans="1:21" ht="30" customHeight="1" x14ac:dyDescent="0.25">
      <c r="A126" s="15"/>
      <c r="B126" s="5"/>
      <c r="T126" s="5"/>
      <c r="U126" s="5"/>
    </row>
    <row r="127" spans="1:21" ht="30" customHeight="1" x14ac:dyDescent="0.25">
      <c r="A127" s="15"/>
      <c r="B127" s="5"/>
      <c r="T127" s="5"/>
      <c r="U127" s="5"/>
    </row>
    <row r="128" spans="1:21" ht="30" customHeight="1" x14ac:dyDescent="0.25">
      <c r="A128" s="15"/>
      <c r="B128" s="5"/>
      <c r="T128" s="5"/>
      <c r="U128" s="5"/>
    </row>
    <row r="129" spans="1:22" ht="30" customHeight="1" x14ac:dyDescent="0.25">
      <c r="A129" s="15"/>
      <c r="B129" s="5"/>
      <c r="T129" s="5"/>
      <c r="U129" s="5"/>
    </row>
    <row r="130" spans="1:22" ht="30" customHeight="1" x14ac:dyDescent="0.25">
      <c r="A130" s="15"/>
      <c r="B130" s="5"/>
      <c r="T130" s="5"/>
      <c r="U130" s="5"/>
    </row>
    <row r="131" spans="1:22" ht="30" customHeight="1" x14ac:dyDescent="0.25">
      <c r="A131" s="15"/>
      <c r="B131" s="5"/>
      <c r="T131" s="5"/>
      <c r="U131" s="5"/>
    </row>
    <row r="132" spans="1:22" ht="30" customHeight="1" x14ac:dyDescent="0.25">
      <c r="A132" s="15"/>
      <c r="B132" s="5"/>
      <c r="T132" s="5"/>
      <c r="U132" s="5"/>
    </row>
    <row r="133" spans="1:22" ht="30" customHeight="1" x14ac:dyDescent="0.25">
      <c r="A133" s="15"/>
      <c r="B133" s="5"/>
      <c r="T133" s="5"/>
      <c r="U133" s="5"/>
    </row>
    <row r="134" spans="1:22" s="4" customFormat="1" ht="30" customHeight="1" x14ac:dyDescent="0.25">
      <c r="A134" s="15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5"/>
      <c r="U134" s="5"/>
      <c r="V134" s="1"/>
    </row>
    <row r="135" spans="1:22" s="4" customFormat="1" ht="30" customHeight="1" x14ac:dyDescent="0.25">
      <c r="A135" s="15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5"/>
      <c r="U135" s="5"/>
      <c r="V135" s="1"/>
    </row>
    <row r="136" spans="1:22" s="4" customFormat="1" ht="30" customHeight="1" x14ac:dyDescent="0.25">
      <c r="A136" s="15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5"/>
      <c r="U136" s="5"/>
      <c r="V136" s="1"/>
    </row>
    <row r="137" spans="1:22" s="4" customFormat="1" ht="30" customHeight="1" x14ac:dyDescent="0.25">
      <c r="A137" s="15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5"/>
      <c r="U137" s="5"/>
      <c r="V137" s="1"/>
    </row>
    <row r="138" spans="1:22" s="4" customFormat="1" ht="30" customHeight="1" x14ac:dyDescent="0.25">
      <c r="A138" s="15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5"/>
      <c r="U138" s="5"/>
      <c r="V138" s="1"/>
    </row>
    <row r="139" spans="1:22" s="4" customFormat="1" ht="30" customHeight="1" x14ac:dyDescent="0.25">
      <c r="A139" s="15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5"/>
      <c r="U139" s="5"/>
      <c r="V139" s="1"/>
    </row>
    <row r="140" spans="1:22" s="4" customFormat="1" ht="30" customHeight="1" x14ac:dyDescent="0.25">
      <c r="A140" s="15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5"/>
      <c r="U140" s="5"/>
      <c r="V140" s="1"/>
    </row>
  </sheetData>
  <mergeCells count="1">
    <mergeCell ref="F3:L5"/>
  </mergeCells>
  <conditionalFormatting sqref="C32:M33">
    <cfRule type="cellIs" dxfId="15" priority="46" operator="equal">
      <formula>0</formula>
    </cfRule>
  </conditionalFormatting>
  <conditionalFormatting sqref="C1:XFD2 A1:A7 B1:B23 C3:D5 P3:XFD5 C6:XFD8 K9:XFD21 C9:D23 D17:M21 A20:A23 A24:D1048576 E27:E33 K32:XFD34 E34:J34 E45:XFD1048576">
    <cfRule type="cellIs" dxfId="14" priority="136" operator="equal">
      <formula>0</formula>
    </cfRule>
  </conditionalFormatting>
  <conditionalFormatting sqref="E40:E44">
    <cfRule type="cellIs" dxfId="13" priority="35" operator="equal">
      <formula>0</formula>
    </cfRule>
  </conditionalFormatting>
  <conditionalFormatting sqref="E3:F3">
    <cfRule type="cellIs" dxfId="12" priority="5" operator="equal">
      <formula>0</formula>
    </cfRule>
  </conditionalFormatting>
  <conditionalFormatting sqref="E9:J9">
    <cfRule type="cellIs" dxfId="11" priority="128" operator="equal">
      <formula>0</formula>
    </cfRule>
  </conditionalFormatting>
  <conditionalFormatting sqref="E17:J20">
    <cfRule type="cellIs" dxfId="10" priority="118" operator="equal">
      <formula>0</formula>
    </cfRule>
  </conditionalFormatting>
  <conditionalFormatting sqref="F13:I13">
    <cfRule type="colorScale" priority="89">
      <colorScale>
        <cfvo type="min"/>
        <cfvo type="max"/>
        <color rgb="FFD9FBE2"/>
        <color rgb="FF00C556"/>
      </colorScale>
    </cfRule>
    <cfRule type="colorScale" priority="90">
      <colorScale>
        <cfvo type="min"/>
        <cfvo type="max"/>
        <color rgb="FFFCFCFF"/>
        <color rgb="FF63BE7B"/>
      </colorScale>
    </cfRule>
  </conditionalFormatting>
  <conditionalFormatting sqref="F22:I31">
    <cfRule type="cellIs" dxfId="9" priority="41" operator="equal">
      <formula>0</formula>
    </cfRule>
  </conditionalFormatting>
  <conditionalFormatting sqref="F35:I44">
    <cfRule type="cellIs" dxfId="8" priority="12" operator="equal">
      <formula>0</formula>
    </cfRule>
  </conditionalFormatting>
  <conditionalFormatting sqref="F10:J12">
    <cfRule type="cellIs" dxfId="7" priority="134" operator="equal">
      <formula>0</formula>
    </cfRule>
  </conditionalFormatting>
  <conditionalFormatting sqref="F13:J13">
    <cfRule type="cellIs" dxfId="6" priority="85" operator="equal">
      <formula>0</formula>
    </cfRule>
  </conditionalFormatting>
  <conditionalFormatting sqref="F14:J16">
    <cfRule type="cellIs" dxfId="5" priority="1" operator="equal">
      <formula>0</formula>
    </cfRule>
  </conditionalFormatting>
  <conditionalFormatting sqref="J13">
    <cfRule type="colorScale" priority="86">
      <colorScale>
        <cfvo type="min"/>
        <cfvo type="max"/>
        <color rgb="FFD9FBE2"/>
        <color rgb="FF00C556"/>
      </colorScale>
    </cfRule>
    <cfRule type="colorScale" priority="87">
      <colorScale>
        <cfvo type="min"/>
        <cfvo type="max"/>
        <color rgb="FFFCFCFF"/>
        <color rgb="FF63BE7B"/>
      </colorScale>
    </cfRule>
  </conditionalFormatting>
  <conditionalFormatting sqref="J19:J44">
    <cfRule type="cellIs" dxfId="4" priority="14" operator="equal">
      <formula>0</formula>
    </cfRule>
  </conditionalFormatting>
  <conditionalFormatting sqref="K27:K31">
    <cfRule type="cellIs" dxfId="3" priority="40" operator="equal">
      <formula>0</formula>
    </cfRule>
  </conditionalFormatting>
  <conditionalFormatting sqref="K40:K44">
    <cfRule type="cellIs" dxfId="2" priority="11" operator="equal">
      <formula>0</formula>
    </cfRule>
  </conditionalFormatting>
  <conditionalFormatting sqref="L22:XFD31">
    <cfRule type="cellIs" dxfId="1" priority="36" operator="equal">
      <formula>0</formula>
    </cfRule>
  </conditionalFormatting>
  <conditionalFormatting sqref="L35:XFD44">
    <cfRule type="cellIs" dxfId="0" priority="7" operator="equal">
      <formula>0</formula>
    </cfRule>
  </conditionalFormatting>
  <hyperlinks>
    <hyperlink ref="A8" location="Dashboard!A1" display="Dashboard" xr:uid="{00000000-0004-0000-0C00-000000000000}"/>
    <hyperlink ref="A9" location="WACC!A1" display="WACC" xr:uid="{00000000-0004-0000-0C00-000001000000}"/>
    <hyperlink ref="A10" location="'DRE + DCF'!A1" display="DRE + DCF" xr:uid="{00000000-0004-0000-0C00-000002000000}"/>
    <hyperlink ref="A11" location="'DRE - Contas Abertas'!A1" display="DRE - Contas Abertas" xr:uid="{00000000-0004-0000-0C00-000003000000}"/>
    <hyperlink ref="A12" location="'Balanço Patrimonial'!A1" display="Balanço Patrimonial" xr:uid="{00000000-0004-0000-0C00-000004000000}"/>
    <hyperlink ref="A13" location="'Painel de Índices'!A1" display="Painel de Índices" xr:uid="{00000000-0004-0000-0C00-000005000000}"/>
    <hyperlink ref="A14" location="'Provisões e Processos'!A1" display="Provisões e Processos" xr:uid="{00000000-0004-0000-0C00-000006000000}"/>
    <hyperlink ref="A15" location="'Projeções - Receita'!A1" display="Projeções - Receita" xr:uid="{00000000-0004-0000-0C00-000007000000}"/>
    <hyperlink ref="A16" location="'Projeções - Capex'!A1" display="Projeções - Capex" xr:uid="{00000000-0004-0000-0C00-000008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4E4790C582D344A3F9EDD850BF11E4" ma:contentTypeVersion="11" ma:contentTypeDescription="Crie um novo documento." ma:contentTypeScope="" ma:versionID="9459f367d23bc178adc278cc608d3005">
  <xsd:schema xmlns:xsd="http://www.w3.org/2001/XMLSchema" xmlns:xs="http://www.w3.org/2001/XMLSchema" xmlns:p="http://schemas.microsoft.com/office/2006/metadata/properties" xmlns:ns2="d90828d2-d74b-45ef-89ac-97d68c70f74e" xmlns:ns3="48cf7b68-070d-4812-a015-43016722d3f1" targetNamespace="http://schemas.microsoft.com/office/2006/metadata/properties" ma:root="true" ma:fieldsID="2fb98eb879530e248428ec9f03752433" ns2:_="" ns3:_="">
    <xsd:import namespace="d90828d2-d74b-45ef-89ac-97d68c70f74e"/>
    <xsd:import namespace="48cf7b68-070d-4812-a015-43016722d3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828d2-d74b-45ef-89ac-97d68c70f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1b8996-0338-4ab5-869f-20b64aa0ad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cf7b68-070d-4812-a015-43016722d3f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08ccb2b-b979-4375-b1a3-d0b8ae88e056}" ma:internalName="TaxCatchAll" ma:showField="CatchAllData" ma:web="48cf7b68-070d-4812-a015-43016722d3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cf7b68-070d-4812-a015-43016722d3f1" xsi:nil="true"/>
    <lcf76f155ced4ddcb4097134ff3c332f xmlns="d90828d2-d74b-45ef-89ac-97d68c70f7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5D9EA7-1CD5-4AD9-9715-9B32662FA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0828d2-d74b-45ef-89ac-97d68c70f74e"/>
    <ds:schemaRef ds:uri="48cf7b68-070d-4812-a015-43016722d3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AD0A7-74E7-4B09-8273-4144CC9B3A77}">
  <ds:schemaRefs>
    <ds:schemaRef ds:uri="http://schemas.microsoft.com/office/2006/metadata/properties"/>
    <ds:schemaRef ds:uri="http://schemas.microsoft.com/office/infopath/2007/PartnerControls"/>
    <ds:schemaRef ds:uri="48cf7b68-070d-4812-a015-43016722d3f1"/>
    <ds:schemaRef ds:uri="d90828d2-d74b-45ef-89ac-97d68c70f74e"/>
  </ds:schemaRefs>
</ds:datastoreItem>
</file>

<file path=customXml/itemProps3.xml><?xml version="1.0" encoding="utf-8"?>
<ds:datastoreItem xmlns:ds="http://schemas.openxmlformats.org/officeDocument/2006/customXml" ds:itemID="{8C9AA8B8-AAE3-4B55-AD5D-505CAF4C36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Dashboard</vt:lpstr>
      <vt:lpstr>WACC</vt:lpstr>
      <vt:lpstr>DRE + DCF</vt:lpstr>
      <vt:lpstr>DRE - Contas Abertas</vt:lpstr>
      <vt:lpstr>Balanço Patrimonial</vt:lpstr>
      <vt:lpstr>Painel de Índices</vt:lpstr>
      <vt:lpstr>Provisões e Processos</vt:lpstr>
      <vt:lpstr>Projeções - Receita</vt:lpstr>
      <vt:lpstr>Projeções - Capex</vt:lpstr>
      <vt:lpstr>Projeções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Lacombe</dc:creator>
  <cp:lastModifiedBy>Gabriel Lacombe</cp:lastModifiedBy>
  <dcterms:created xsi:type="dcterms:W3CDTF">2015-06-05T18:17:20Z</dcterms:created>
  <dcterms:modified xsi:type="dcterms:W3CDTF">2025-12-19T19:27:52Z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1336674740</vt:lpwstr>
  </property>
  <property fmtid="{D5CDD505-2E9C-101B-9397-08002B2CF9AE}" pid="3" name="EcoUpdateMessage">
    <vt:lpwstr>2022/05/10-18:32:20</vt:lpwstr>
  </property>
  <property fmtid="{D5CDD505-2E9C-101B-9397-08002B2CF9AE}" pid="4" name="EcoUpdateStatus">
    <vt:lpwstr>2022-05-09=BRA:St,ME,Fd,TP;USA:St,ME,TP;ARG:St,ME,Fd,TP;MEX:St,ME,Fd,TP;CHL:St,ME,Fd;COL:St,ME,Fd;PER:St,ME,Fd|2021-11-17=CHL:TP|2014-02-26=VEN:St|2002-11-08=JPN:St|2022-05-06=GBR:St,ME|2016-08-18=NNN:St|2022-05-05=PER:TP|2007-01-31=ESP:St|2003-01-29=CHN:</vt:lpwstr>
  </property>
  <property fmtid="{D5CDD505-2E9C-101B-9397-08002B2CF9AE}" pid="5" name="ContentTypeId">
    <vt:lpwstr>0x010100634E4790C582D344A3F9EDD850BF11E4</vt:lpwstr>
  </property>
</Properties>
</file>