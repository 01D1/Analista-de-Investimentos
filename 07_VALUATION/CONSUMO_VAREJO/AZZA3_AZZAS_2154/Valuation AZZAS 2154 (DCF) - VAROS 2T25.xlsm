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EstaPastaDeTrabalho" defaultThemeVersion="124226"/>
  <mc:AlternateContent xmlns:mc="http://schemas.openxmlformats.org/markup-compatibility/2006">
    <mc:Choice Requires="x15">
      <x15ac:absPath xmlns:x15ac="http://schemas.microsoft.com/office/spreadsheetml/2010/11/ac" url="https://varosmf-my.sharepoint.com/personal/gabriel_lacombe_varos_com_br1/Documents/Área de Trabalho/"/>
    </mc:Choice>
  </mc:AlternateContent>
  <xr:revisionPtr revIDLastSave="39" documentId="13_ncr:1_{F6C46207-275D-42AF-B8FF-5C4D5EAFBBCA}" xr6:coauthVersionLast="47" xr6:coauthVersionMax="47" xr10:uidLastSave="{B0BCCC67-0477-46E9-9E72-3883AC25F88E}"/>
  <bookViews>
    <workbookView xWindow="28680" yWindow="-120" windowWidth="29040" windowHeight="15720" tabRatio="783" firstSheet="1" activeTab="1" xr2:uid="{A60F31E2-1F0C-41FE-A1DC-6C9DC16B3D30}"/>
  </bookViews>
  <sheets>
    <sheet name="CB_DATA_" sheetId="36" state="veryHidden" r:id="rId1"/>
    <sheet name="Dashboard" sheetId="28" r:id="rId2"/>
    <sheet name="DRE + DCF" sheetId="12" r:id="rId3"/>
    <sheet name="Custos e Despesas" sheetId="29" r:id="rId4"/>
    <sheet name="DRE Pro Forma" sheetId="30" r:id="rId5"/>
    <sheet name="Balanço Patrimonial" sheetId="26" r:id="rId6"/>
    <sheet name="B.P Pro Forma" sheetId="31" r:id="rId7"/>
    <sheet name="DFC" sheetId="25" r:id="rId8"/>
    <sheet name="Projeções - Receita Líquida" sheetId="20" r:id="rId9"/>
    <sheet name="Painel de Índices" sheetId="16" r:id="rId10"/>
    <sheet name="Sazonalidade" sheetId="33" r:id="rId11"/>
    <sheet name="Internacional" sheetId="35" r:id="rId12"/>
  </sheets>
  <definedNames>
    <definedName name="_xleta.MMULT" hidden="1" xlm="1">#NAME?</definedName>
    <definedName name="_xleta.OFFSET" hidden="1" xlm="1">#NAME?</definedName>
    <definedName name="_xleta.SUM" hidden="1" xlm="1">#NAME?</definedName>
    <definedName name="CB_259386cfc2194487bec0839a7dea276e" localSheetId="2" hidden="1">'DRE + DCF'!$V$13</definedName>
    <definedName name="CB_4ff990382f794d1daa3cc0a90bafc5d3" localSheetId="2" hidden="1">'DRE + DCF'!$AD$4</definedName>
    <definedName name="CB_62111d6419f4425699fe83309a5e61bb" localSheetId="0" hidden="1">#N/A</definedName>
    <definedName name="CB_6b5d17c967cc44bf9a7191b8927b5859" localSheetId="2" hidden="1">'DRE + DCF'!$V$15</definedName>
    <definedName name="CB_905bfceeb5284ed4affbd8a15c031501" localSheetId="1" hidden="1">Dashboard!$C$14</definedName>
    <definedName name="CB_Block_00000000000000000000000000000000" localSheetId="0" hidden="1">"'7.0.0.0"</definedName>
    <definedName name="CB_Block_00000000000000000000000000000000" localSheetId="1" hidden="1">"'7.0.0.0"</definedName>
    <definedName name="CB_Block_00000000000000000000000000000000" localSheetId="2" hidden="1">"'7.0.0.0"</definedName>
    <definedName name="CB_Block_00000000000000000000000000000001" localSheetId="0" hidden="1">"'638902096388432369"</definedName>
    <definedName name="CB_Block_00000000000000000000000000000001" localSheetId="1" hidden="1">"'638902096389050005"</definedName>
    <definedName name="CB_Block_00000000000000000000000000000001" localSheetId="2" hidden="1">"'638902096388637751"</definedName>
    <definedName name="CB_Block_00000000000000000000000000000003" localSheetId="0" hidden="1">"'11.1.5072.0"</definedName>
    <definedName name="CB_Block_00000000000000000000000000000003" localSheetId="1" hidden="1">"'11.1.5072.0"</definedName>
    <definedName name="CB_Block_00000000000000000000000000000003" localSheetId="2" hidden="1">"'11.1.5072.0"</definedName>
    <definedName name="CB_BlockExt_00000000000000000000000000000003" localSheetId="0" hidden="1">"'11.1.3.0.000"</definedName>
    <definedName name="CB_BlockExt_00000000000000000000000000000003" localSheetId="1" hidden="1">"'11.1.3.0.000"</definedName>
    <definedName name="CB_BlockExt_00000000000000000000000000000003" localSheetId="2" hidden="1">"'11.1.3.0.000"</definedName>
    <definedName name="CBWorkbookPriority" localSheetId="0" hidden="1">-96358301</definedName>
    <definedName name="CBx_12ebe2d63e9247a49b48436b0b5db6c7" localSheetId="0" hidden="1">"'CB_DATA_'!$A$1"</definedName>
    <definedName name="CBx_c002f6278d9344f4a7f74bd3ba400f12" localSheetId="0" hidden="1">"'DRE + DCF'!$A$1"</definedName>
    <definedName name="CBx_faf937c1d1ae4b3eb7c91ca4f03fb62b" localSheetId="0" hidden="1">"'Dashboard'!$A$1"</definedName>
    <definedName name="CBx_Sheet_Guid" localSheetId="0" hidden="1">"'12ebe2d6-3e92-47a4-9b48-436b0b5db6c7"</definedName>
    <definedName name="CBx_Sheet_Guid" localSheetId="1" hidden="1">"'faf937c1-d1ae-4b3e-b7c9-1ca4f03fb62b"</definedName>
    <definedName name="CBx_Sheet_Guid" localSheetId="2" hidden="1">"'c002f627-8d93-44f4-a7f7-4bd3ba400f12"</definedName>
    <definedName name="CBx_SheetRef" localSheetId="0" hidden="1">CB_DATA_!$A$14</definedName>
    <definedName name="CBx_SheetRef" localSheetId="1" hidden="1">CB_DATA_!$B$14</definedName>
    <definedName name="CBx_SheetRef" localSheetId="2" hidden="1">CB_DATA_!$C$14</definedName>
    <definedName name="CBx_StorageType" localSheetId="0" hidden="1">2</definedName>
    <definedName name="CBx_StorageType" localSheetId="1" hidden="1">2</definedName>
    <definedName name="CBx_StorageType" localSheetId="2" hidden="1">2</definedName>
    <definedName name="solver_adj" localSheetId="2" hidden="1">'DRE + DCF'!$T$94</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2147483647</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0</definedName>
    <definedName name="solver_nwt" localSheetId="2" hidden="1">1</definedName>
    <definedName name="solver_opt" localSheetId="2" hidden="1">'DRE + DCF'!$T$108</definedName>
    <definedName name="solver_pre" localSheetId="2" hidden="1">0.000001</definedName>
    <definedName name="solver_rbv" localSheetId="2" hidden="1">1</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3</definedName>
    <definedName name="solver_val" localSheetId="2" hidden="1">0</definedName>
    <definedName name="solver_ver" localSheetId="2" hidden="1">3</definedName>
  </definedNames>
  <calcPr calcId="191029"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D51" i="20" l="1"/>
  <c r="AD53" i="20"/>
  <c r="AD59" i="20"/>
  <c r="AD61" i="20"/>
  <c r="AD63" i="20"/>
  <c r="AD65" i="20"/>
  <c r="AD73" i="20"/>
  <c r="AD75" i="20"/>
  <c r="AD82" i="20"/>
  <c r="AD84" i="20"/>
  <c r="V15" i="12"/>
  <c r="T102" i="20"/>
  <c r="T98" i="20"/>
  <c r="AC83" i="20"/>
  <c r="T79" i="20"/>
  <c r="U79" i="20" s="1"/>
  <c r="P2" i="36"/>
  <c r="S78" i="20" l="1"/>
  <c r="S82" i="20" s="1"/>
  <c r="W15" i="12" l="1"/>
  <c r="X15" i="12" s="1"/>
  <c r="C8" i="28" l="1"/>
  <c r="C10" i="28" l="1"/>
  <c r="S84" i="12"/>
  <c r="S86" i="12"/>
  <c r="S88" i="12"/>
  <c r="T106" i="20" l="1"/>
  <c r="U105" i="20"/>
  <c r="T96" i="20"/>
  <c r="U96" i="20" s="1"/>
  <c r="T90" i="20"/>
  <c r="U90" i="20" s="1"/>
  <c r="T87" i="20"/>
  <c r="U87" i="20" s="1"/>
  <c r="T84" i="20"/>
  <c r="U84" i="20" s="1"/>
  <c r="T77" i="20"/>
  <c r="U77" i="20" s="1"/>
  <c r="T75" i="20"/>
  <c r="U75" i="20" s="1"/>
  <c r="T68" i="20"/>
  <c r="U68" i="20" s="1"/>
  <c r="U65" i="20"/>
  <c r="T63" i="20"/>
  <c r="U63" i="20" s="1"/>
  <c r="T61" i="20"/>
  <c r="U61" i="20" s="1"/>
  <c r="T56" i="20"/>
  <c r="U56" i="20" s="1"/>
  <c r="T53" i="20"/>
  <c r="U53" i="20" s="1"/>
  <c r="T41" i="20"/>
  <c r="U41" i="20" s="1"/>
  <c r="U39" i="20" l="1"/>
  <c r="T37" i="20"/>
  <c r="U37" i="20" s="1"/>
  <c r="T35" i="20"/>
  <c r="U35" i="20" s="1"/>
  <c r="T26" i="20"/>
  <c r="U26" i="20" s="1"/>
  <c r="T24" i="20"/>
  <c r="U24" i="20" s="1"/>
  <c r="T12" i="20"/>
  <c r="U12" i="20" s="1"/>
  <c r="P57" i="33"/>
  <c r="P56" i="33"/>
  <c r="P55" i="33"/>
  <c r="P54" i="33"/>
  <c r="P53" i="33"/>
  <c r="P51" i="33"/>
  <c r="P50" i="33"/>
  <c r="P49" i="33"/>
  <c r="P48" i="33"/>
  <c r="P47" i="33"/>
  <c r="P45" i="33"/>
  <c r="P44" i="33"/>
  <c r="P43" i="33"/>
  <c r="P42" i="33"/>
  <c r="P41" i="33"/>
  <c r="P36" i="33"/>
  <c r="P37" i="33"/>
  <c r="P38" i="33"/>
  <c r="P39" i="33"/>
  <c r="P35" i="33"/>
  <c r="S101" i="20"/>
  <c r="T93" i="20"/>
  <c r="U93" i="20" s="1"/>
  <c r="S92" i="20"/>
  <c r="S91" i="20"/>
  <c r="S94" i="20" s="1"/>
  <c r="S89" i="20"/>
  <c r="T70" i="20"/>
  <c r="S69" i="20"/>
  <c r="S73" i="20" s="1"/>
  <c r="U88" i="20"/>
  <c r="S67" i="20"/>
  <c r="S59" i="20"/>
  <c r="T45" i="20"/>
  <c r="T43" i="20"/>
  <c r="S42" i="20"/>
  <c r="S51" i="20" s="1"/>
  <c r="S40" i="20"/>
  <c r="T30" i="20"/>
  <c r="T28" i="20"/>
  <c r="S27" i="20"/>
  <c r="S34" i="20" s="1"/>
  <c r="S11" i="20"/>
  <c r="T20" i="20"/>
  <c r="S13" i="20"/>
  <c r="S22" i="20" s="1"/>
  <c r="S36" i="16"/>
  <c r="S30" i="16"/>
  <c r="S24" i="16"/>
  <c r="S23" i="16"/>
  <c r="S20" i="16"/>
  <c r="S22" i="16" s="1"/>
  <c r="S16" i="16"/>
  <c r="S13" i="16"/>
  <c r="S12" i="16"/>
  <c r="S11" i="16"/>
  <c r="S10" i="16"/>
  <c r="S9" i="16"/>
  <c r="S8" i="16"/>
  <c r="S66" i="12"/>
  <c r="U66" i="12" s="1"/>
  <c r="S60" i="12"/>
  <c r="U60" i="12" s="1"/>
  <c r="S58" i="12"/>
  <c r="S52" i="12"/>
  <c r="S23" i="12"/>
  <c r="S48" i="12" s="1"/>
  <c r="S38" i="12"/>
  <c r="S36" i="12"/>
  <c r="S35" i="12"/>
  <c r="S44" i="12"/>
  <c r="S43" i="12"/>
  <c r="S42" i="12"/>
  <c r="S41" i="12"/>
  <c r="S40" i="12"/>
  <c r="S33" i="12"/>
  <c r="S32" i="12"/>
  <c r="S31" i="12"/>
  <c r="S30" i="12"/>
  <c r="S112" i="20"/>
  <c r="S32" i="29"/>
  <c r="S31" i="29"/>
  <c r="S34" i="29"/>
  <c r="S29" i="29"/>
  <c r="S28" i="29"/>
  <c r="S27" i="29"/>
  <c r="S26" i="29"/>
  <c r="S25" i="29"/>
  <c r="S24" i="29"/>
  <c r="S20" i="29"/>
  <c r="S19" i="29"/>
  <c r="S17" i="29"/>
  <c r="S16" i="29"/>
  <c r="S15" i="29"/>
  <c r="S14" i="29"/>
  <c r="S11" i="29"/>
  <c r="S10" i="29"/>
  <c r="S9" i="29"/>
  <c r="S41" i="29"/>
  <c r="S21" i="12" s="1"/>
  <c r="S18" i="12"/>
  <c r="S14" i="12" s="1"/>
  <c r="S15" i="12" s="1"/>
  <c r="T15" i="12" s="1"/>
  <c r="S12" i="12"/>
  <c r="S13" i="12" s="1"/>
  <c r="T13" i="12" s="1"/>
  <c r="S115" i="26"/>
  <c r="S85" i="26"/>
  <c r="S57" i="26"/>
  <c r="S25" i="26"/>
  <c r="S9" i="26"/>
  <c r="P12" i="28"/>
  <c r="P13" i="28" s="1"/>
  <c r="P14" i="28" s="1"/>
  <c r="P15" i="28" s="1"/>
  <c r="P10" i="28"/>
  <c r="P9" i="28" s="1"/>
  <c r="P8" i="28" s="1"/>
  <c r="P7" i="28" s="1"/>
  <c r="L6" i="28"/>
  <c r="M6" i="28" s="1"/>
  <c r="N6" i="28" s="1"/>
  <c r="O6" i="28" s="1"/>
  <c r="F10" i="28"/>
  <c r="F9" i="28" s="1"/>
  <c r="F8" i="28" s="1"/>
  <c r="F7" i="28" s="1"/>
  <c r="AC64" i="20"/>
  <c r="S59" i="12" l="1"/>
  <c r="S34" i="12"/>
  <c r="S27" i="16" s="1"/>
  <c r="S21" i="29"/>
  <c r="S8" i="29" s="1"/>
  <c r="S29" i="12"/>
  <c r="S8" i="20"/>
  <c r="S28" i="16"/>
  <c r="S29" i="16" s="1"/>
  <c r="S21" i="16"/>
  <c r="S23" i="29"/>
  <c r="S20" i="12"/>
  <c r="S56" i="26"/>
  <c r="S8" i="26"/>
  <c r="F12" i="28"/>
  <c r="F13" i="28" s="1"/>
  <c r="F14" i="28" s="1"/>
  <c r="J6" i="28"/>
  <c r="I6" i="28" s="1"/>
  <c r="H6" i="28" s="1"/>
  <c r="G6" i="28" s="1"/>
  <c r="Z97" i="20"/>
  <c r="AA97" i="20"/>
  <c r="AB97" i="20"/>
  <c r="AC97" i="20"/>
  <c r="Z76" i="20"/>
  <c r="AA76" i="20"/>
  <c r="AB76" i="20"/>
  <c r="AC76" i="20"/>
  <c r="S109" i="20" l="1"/>
  <c r="S110" i="20" s="1"/>
  <c r="S8" i="12"/>
  <c r="S9" i="12" s="1"/>
  <c r="S28" i="12"/>
  <c r="S45" i="12" s="1"/>
  <c r="S47" i="12" s="1"/>
  <c r="S22" i="12"/>
  <c r="S25" i="12" s="1"/>
  <c r="S26" i="12"/>
  <c r="S57" i="12"/>
  <c r="S113" i="20"/>
  <c r="S27" i="12"/>
  <c r="C36" i="16"/>
  <c r="D36" i="16"/>
  <c r="E36" i="16"/>
  <c r="F36" i="16"/>
  <c r="G36" i="16"/>
  <c r="H36" i="16"/>
  <c r="I36" i="16"/>
  <c r="J36" i="16"/>
  <c r="K36" i="16"/>
  <c r="L36" i="16"/>
  <c r="M36" i="16"/>
  <c r="N36" i="16"/>
  <c r="O36" i="16"/>
  <c r="P36" i="16"/>
  <c r="Q36" i="16"/>
  <c r="R36" i="16"/>
  <c r="N16" i="35"/>
  <c r="N11" i="35"/>
  <c r="C11" i="36"/>
  <c r="B11" i="36"/>
  <c r="A11" i="36"/>
  <c r="U52" i="12"/>
  <c r="S71" i="12" l="1"/>
  <c r="S72" i="12" s="1"/>
  <c r="S49" i="12"/>
  <c r="S69" i="12"/>
  <c r="S70" i="12" s="1"/>
  <c r="S68" i="12"/>
  <c r="V52" i="12"/>
  <c r="T52" i="12"/>
  <c r="S26" i="16"/>
  <c r="S51" i="12"/>
  <c r="T99" i="12"/>
  <c r="V97" i="12"/>
  <c r="V99" i="12" s="1"/>
  <c r="T67" i="12"/>
  <c r="U67" i="12" s="1"/>
  <c r="V67" i="12"/>
  <c r="W67" i="12"/>
  <c r="X67" i="12"/>
  <c r="Y67" i="12"/>
  <c r="Z67" i="12"/>
  <c r="AA67" i="12"/>
  <c r="AB67" i="12"/>
  <c r="Y100" i="12" l="1"/>
  <c r="Z100" i="12"/>
  <c r="AB100" i="12"/>
  <c r="W100" i="12"/>
  <c r="T100" i="12"/>
  <c r="AC100" i="12"/>
  <c r="X100" i="12"/>
  <c r="AA100" i="12"/>
  <c r="V100" i="12"/>
  <c r="J14" i="35"/>
  <c r="K14" i="35" s="1"/>
  <c r="L14" i="35" s="1"/>
  <c r="J9" i="35"/>
  <c r="K9" i="35" s="1"/>
  <c r="L9" i="35" s="1"/>
  <c r="F30" i="35"/>
  <c r="F31" i="35" s="1"/>
  <c r="F29" i="35"/>
  <c r="D27" i="35"/>
  <c r="E27" i="35"/>
  <c r="C27" i="35"/>
  <c r="F36" i="35" l="1"/>
  <c r="C19" i="35"/>
  <c r="D19" i="35"/>
  <c r="E19" i="35"/>
  <c r="E20" i="35" s="1"/>
  <c r="F19" i="35"/>
  <c r="F20" i="35" s="1"/>
  <c r="E29" i="35"/>
  <c r="D29" i="35"/>
  <c r="C29" i="35"/>
  <c r="D25" i="35"/>
  <c r="E25" i="35" s="1"/>
  <c r="F25" i="35" s="1"/>
  <c r="D16" i="35"/>
  <c r="E16" i="35" s="1"/>
  <c r="F16" i="35" s="1"/>
  <c r="C10" i="35"/>
  <c r="C12" i="35" s="1"/>
  <c r="C13" i="35" s="1"/>
  <c r="F10" i="35"/>
  <c r="F11" i="35" s="1"/>
  <c r="E10" i="35"/>
  <c r="E12" i="35" s="1"/>
  <c r="E13" i="35" s="1"/>
  <c r="D10" i="35"/>
  <c r="D11" i="35" s="1"/>
  <c r="D7" i="35"/>
  <c r="E7" i="35" s="1"/>
  <c r="F7" i="35" s="1"/>
  <c r="E36" i="35" l="1"/>
  <c r="D36" i="35"/>
  <c r="D20" i="35"/>
  <c r="D21" i="35"/>
  <c r="F12" i="35"/>
  <c r="F13" i="35" s="1"/>
  <c r="C20" i="35"/>
  <c r="C36" i="35" s="1"/>
  <c r="C21" i="35"/>
  <c r="C22" i="35" s="1"/>
  <c r="E21" i="35"/>
  <c r="E22" i="35" s="1"/>
  <c r="F21" i="35"/>
  <c r="C11" i="35"/>
  <c r="E30" i="35"/>
  <c r="E31" i="35" s="1"/>
  <c r="C30" i="35"/>
  <c r="C31" i="35" s="1"/>
  <c r="D30" i="35"/>
  <c r="D31" i="35" s="1"/>
  <c r="D22" i="35"/>
  <c r="F22" i="35"/>
  <c r="F37" i="35" s="1"/>
  <c r="E11" i="35"/>
  <c r="D12" i="35"/>
  <c r="D13" i="35" s="1"/>
  <c r="D37" i="35" l="1"/>
  <c r="E37" i="35"/>
  <c r="C37" i="35"/>
  <c r="P10" i="30"/>
  <c r="Q10" i="30"/>
  <c r="R10" i="30"/>
  <c r="O10" i="30"/>
  <c r="Z117" i="20"/>
  <c r="AA117" i="20" s="1"/>
  <c r="AB117" i="20" s="1"/>
  <c r="V94" i="12" l="1"/>
  <c r="W94" i="12" l="1"/>
  <c r="R41" i="29"/>
  <c r="R23" i="29"/>
  <c r="R75" i="12"/>
  <c r="S75" i="12" s="1"/>
  <c r="T68" i="12"/>
  <c r="U61" i="12"/>
  <c r="R34" i="12"/>
  <c r="R27" i="16" s="1"/>
  <c r="R29" i="12"/>
  <c r="R23" i="12"/>
  <c r="R48" i="12" s="1"/>
  <c r="R21" i="12"/>
  <c r="U21" i="12" s="1"/>
  <c r="D14" i="12"/>
  <c r="D15" i="12" s="1"/>
  <c r="E14" i="12"/>
  <c r="E15" i="12" s="1"/>
  <c r="F14" i="12"/>
  <c r="F15" i="12" s="1"/>
  <c r="G14" i="12"/>
  <c r="G15" i="12" s="1"/>
  <c r="H14" i="12"/>
  <c r="H15" i="12" s="1"/>
  <c r="I14" i="12"/>
  <c r="I15" i="12" s="1"/>
  <c r="J14" i="12"/>
  <c r="K14" i="12"/>
  <c r="L14" i="12"/>
  <c r="M14" i="12"/>
  <c r="C14" i="12"/>
  <c r="C15" i="12" s="1"/>
  <c r="R18" i="12"/>
  <c r="R14" i="12" s="1"/>
  <c r="R101" i="20"/>
  <c r="AC95" i="20"/>
  <c r="T92" i="20"/>
  <c r="T91" i="20" s="1"/>
  <c r="R91" i="20"/>
  <c r="R94" i="20" s="1"/>
  <c r="Q85" i="20"/>
  <c r="P85" i="20"/>
  <c r="T81" i="20"/>
  <c r="T80" i="20"/>
  <c r="R78" i="20"/>
  <c r="R82" i="20" s="1"/>
  <c r="T71" i="20"/>
  <c r="U71" i="20" s="1"/>
  <c r="T72" i="20"/>
  <c r="R69" i="20"/>
  <c r="R73" i="20" s="1"/>
  <c r="T50" i="20"/>
  <c r="T49" i="20"/>
  <c r="T48" i="20"/>
  <c r="T47" i="20"/>
  <c r="T46" i="20"/>
  <c r="T44" i="20"/>
  <c r="AC36" i="20"/>
  <c r="T33" i="20"/>
  <c r="T32" i="20"/>
  <c r="T31" i="20"/>
  <c r="T29" i="20"/>
  <c r="T21" i="20"/>
  <c r="T19" i="20"/>
  <c r="T18" i="20"/>
  <c r="T17" i="20"/>
  <c r="T16" i="20"/>
  <c r="T15" i="20"/>
  <c r="R89" i="20"/>
  <c r="S76" i="12" l="1"/>
  <c r="T75" i="12"/>
  <c r="U75" i="12" s="1"/>
  <c r="S80" i="12"/>
  <c r="S74" i="12"/>
  <c r="X94" i="12"/>
  <c r="R80" i="12"/>
  <c r="R21" i="29"/>
  <c r="R8" i="29" s="1"/>
  <c r="R59" i="12"/>
  <c r="R28" i="12"/>
  <c r="T78" i="20"/>
  <c r="T69" i="20"/>
  <c r="U92" i="20"/>
  <c r="V92" i="20" s="1"/>
  <c r="W92" i="20" s="1"/>
  <c r="X92" i="20" s="1"/>
  <c r="Y92" i="20" s="1"/>
  <c r="Z92" i="20" s="1"/>
  <c r="AA92" i="20" s="1"/>
  <c r="T42" i="20"/>
  <c r="T27" i="20"/>
  <c r="R67" i="20"/>
  <c r="R56" i="33"/>
  <c r="L53" i="33"/>
  <c r="M53" i="33"/>
  <c r="N53" i="33"/>
  <c r="L54" i="33"/>
  <c r="M54" i="33"/>
  <c r="N54" i="33"/>
  <c r="L55" i="33"/>
  <c r="M55" i="33"/>
  <c r="N55" i="33"/>
  <c r="L56" i="33"/>
  <c r="M56" i="33"/>
  <c r="N56" i="33"/>
  <c r="L57" i="33"/>
  <c r="M57" i="33"/>
  <c r="N57" i="33"/>
  <c r="K57" i="33"/>
  <c r="K56" i="33"/>
  <c r="K55" i="33"/>
  <c r="K54" i="33"/>
  <c r="K53" i="33"/>
  <c r="H53" i="33"/>
  <c r="I53" i="33"/>
  <c r="J53" i="33"/>
  <c r="H54" i="33"/>
  <c r="I54" i="33"/>
  <c r="J54" i="33"/>
  <c r="H55" i="33"/>
  <c r="I55" i="33"/>
  <c r="J55" i="33"/>
  <c r="H56" i="33"/>
  <c r="I56" i="33"/>
  <c r="J56" i="33"/>
  <c r="H57" i="33"/>
  <c r="I57" i="33"/>
  <c r="J57" i="33"/>
  <c r="G57" i="33"/>
  <c r="G56" i="33"/>
  <c r="G55" i="33"/>
  <c r="G54" i="33"/>
  <c r="G53" i="33"/>
  <c r="D53" i="33"/>
  <c r="R53" i="33" s="1"/>
  <c r="E53" i="33"/>
  <c r="F53" i="33"/>
  <c r="T53" i="33" s="1"/>
  <c r="D54" i="33"/>
  <c r="R54" i="33" s="1"/>
  <c r="E54" i="33"/>
  <c r="S54" i="33" s="1"/>
  <c r="F54" i="33"/>
  <c r="T54" i="33" s="1"/>
  <c r="D55" i="33"/>
  <c r="R55" i="33" s="1"/>
  <c r="E55" i="33"/>
  <c r="S55" i="33" s="1"/>
  <c r="F55" i="33"/>
  <c r="D56" i="33"/>
  <c r="E56" i="33"/>
  <c r="F56" i="33"/>
  <c r="T56" i="33" s="1"/>
  <c r="D57" i="33"/>
  <c r="R57" i="33" s="1"/>
  <c r="E57" i="33"/>
  <c r="S57" i="33" s="1"/>
  <c r="F57" i="33"/>
  <c r="T57" i="33" s="1"/>
  <c r="C57" i="33"/>
  <c r="Q57" i="33" s="1"/>
  <c r="C56" i="33"/>
  <c r="Q56" i="33" s="1"/>
  <c r="C55" i="33"/>
  <c r="C54" i="33"/>
  <c r="Q54" i="33" s="1"/>
  <c r="C53" i="33"/>
  <c r="Q53" i="33" s="1"/>
  <c r="L47" i="33"/>
  <c r="M47" i="33"/>
  <c r="N47" i="33"/>
  <c r="L48" i="33"/>
  <c r="M48" i="33"/>
  <c r="N48" i="33"/>
  <c r="L49" i="33"/>
  <c r="M49" i="33"/>
  <c r="N49" i="33"/>
  <c r="L50" i="33"/>
  <c r="M50" i="33"/>
  <c r="N50" i="33"/>
  <c r="L51" i="33"/>
  <c r="M51" i="33"/>
  <c r="N51" i="33"/>
  <c r="K51" i="33"/>
  <c r="K50" i="33"/>
  <c r="K49" i="33"/>
  <c r="K48" i="33"/>
  <c r="K47" i="33"/>
  <c r="H47" i="33"/>
  <c r="I47" i="33"/>
  <c r="J47" i="33"/>
  <c r="H48" i="33"/>
  <c r="I48" i="33"/>
  <c r="J48" i="33"/>
  <c r="H49" i="33"/>
  <c r="I49" i="33"/>
  <c r="J49" i="33"/>
  <c r="H50" i="33"/>
  <c r="I50" i="33"/>
  <c r="J50" i="33"/>
  <c r="H51" i="33"/>
  <c r="I51" i="33"/>
  <c r="J51" i="33"/>
  <c r="G51" i="33"/>
  <c r="G50" i="33"/>
  <c r="G49" i="33"/>
  <c r="G48" i="33"/>
  <c r="G47" i="33"/>
  <c r="D47" i="33"/>
  <c r="R47" i="33" s="1"/>
  <c r="E47" i="33"/>
  <c r="S47" i="33" s="1"/>
  <c r="F47" i="33"/>
  <c r="T47" i="33" s="1"/>
  <c r="D48" i="33"/>
  <c r="R48" i="33" s="1"/>
  <c r="E48" i="33"/>
  <c r="S48" i="33" s="1"/>
  <c r="F48" i="33"/>
  <c r="T48" i="33" s="1"/>
  <c r="D49" i="33"/>
  <c r="E49" i="33"/>
  <c r="S49" i="33" s="1"/>
  <c r="F49" i="33"/>
  <c r="T49" i="33" s="1"/>
  <c r="D50" i="33"/>
  <c r="R50" i="33" s="1"/>
  <c r="E50" i="33"/>
  <c r="S50" i="33" s="1"/>
  <c r="F50" i="33"/>
  <c r="T50" i="33" s="1"/>
  <c r="D51" i="33"/>
  <c r="E51" i="33"/>
  <c r="F51" i="33"/>
  <c r="C51" i="33"/>
  <c r="Q51" i="33" s="1"/>
  <c r="C50" i="33"/>
  <c r="Q50" i="33" s="1"/>
  <c r="C49" i="33"/>
  <c r="Q49" i="33" s="1"/>
  <c r="C48" i="33"/>
  <c r="Q48" i="33" s="1"/>
  <c r="C47" i="33"/>
  <c r="L41" i="33"/>
  <c r="M41" i="33"/>
  <c r="N41" i="33"/>
  <c r="L42" i="33"/>
  <c r="M42" i="33"/>
  <c r="N42" i="33"/>
  <c r="L43" i="33"/>
  <c r="M43" i="33"/>
  <c r="N43" i="33"/>
  <c r="L44" i="33"/>
  <c r="M44" i="33"/>
  <c r="N44" i="33"/>
  <c r="L45" i="33"/>
  <c r="M45" i="33"/>
  <c r="N45" i="33"/>
  <c r="K45" i="33"/>
  <c r="K44" i="33"/>
  <c r="K43" i="33"/>
  <c r="K42" i="33"/>
  <c r="K41" i="33"/>
  <c r="H41" i="33"/>
  <c r="I41" i="33"/>
  <c r="J41" i="33"/>
  <c r="H42" i="33"/>
  <c r="I42" i="33"/>
  <c r="J42" i="33"/>
  <c r="H43" i="33"/>
  <c r="I43" i="33"/>
  <c r="J43" i="33"/>
  <c r="H44" i="33"/>
  <c r="I44" i="33"/>
  <c r="J44" i="33"/>
  <c r="H45" i="33"/>
  <c r="I45" i="33"/>
  <c r="J45" i="33"/>
  <c r="G45" i="33"/>
  <c r="G44" i="33"/>
  <c r="Q44" i="33" s="1"/>
  <c r="G43" i="33"/>
  <c r="G42" i="33"/>
  <c r="Q42" i="33" s="1"/>
  <c r="G41" i="33"/>
  <c r="D41" i="33"/>
  <c r="R41" i="33" s="1"/>
  <c r="E41" i="33"/>
  <c r="F41" i="33"/>
  <c r="T41" i="33" s="1"/>
  <c r="D42" i="33"/>
  <c r="R42" i="33" s="1"/>
  <c r="E42" i="33"/>
  <c r="S42" i="33" s="1"/>
  <c r="F42" i="33"/>
  <c r="T42" i="33" s="1"/>
  <c r="D43" i="33"/>
  <c r="R43" i="33" s="1"/>
  <c r="E43" i="33"/>
  <c r="S43" i="33" s="1"/>
  <c r="F43" i="33"/>
  <c r="D44" i="33"/>
  <c r="E44" i="33"/>
  <c r="F44" i="33"/>
  <c r="T44" i="33" s="1"/>
  <c r="D45" i="33"/>
  <c r="R45" i="33" s="1"/>
  <c r="E45" i="33"/>
  <c r="S45" i="33" s="1"/>
  <c r="F45" i="33"/>
  <c r="T45" i="33" s="1"/>
  <c r="C45" i="33"/>
  <c r="Q45" i="33" s="1"/>
  <c r="C44" i="33"/>
  <c r="C43" i="33"/>
  <c r="C42" i="33"/>
  <c r="D35" i="33"/>
  <c r="E35" i="33"/>
  <c r="F35" i="33"/>
  <c r="T35" i="33" s="1"/>
  <c r="D36" i="33"/>
  <c r="E36" i="33"/>
  <c r="F36" i="33"/>
  <c r="D37" i="33"/>
  <c r="E37" i="33"/>
  <c r="F37" i="33"/>
  <c r="D38" i="33"/>
  <c r="E38" i="33"/>
  <c r="F38" i="33"/>
  <c r="D39" i="33"/>
  <c r="E39" i="33"/>
  <c r="F39" i="33"/>
  <c r="C39" i="33"/>
  <c r="C38" i="33"/>
  <c r="C37" i="33"/>
  <c r="C36" i="33"/>
  <c r="C41" i="33"/>
  <c r="Q41" i="33" s="1"/>
  <c r="L35" i="33"/>
  <c r="M35" i="33"/>
  <c r="N35" i="33"/>
  <c r="L36" i="33"/>
  <c r="M36" i="33"/>
  <c r="N36" i="33"/>
  <c r="L37" i="33"/>
  <c r="M37" i="33"/>
  <c r="N37" i="33"/>
  <c r="L38" i="33"/>
  <c r="M38" i="33"/>
  <c r="N38" i="33"/>
  <c r="L39" i="33"/>
  <c r="M39" i="33"/>
  <c r="N39" i="33"/>
  <c r="K39" i="33"/>
  <c r="K38" i="33"/>
  <c r="K37" i="33"/>
  <c r="H35" i="33"/>
  <c r="I35" i="33"/>
  <c r="J35" i="33"/>
  <c r="H36" i="33"/>
  <c r="I36" i="33"/>
  <c r="S36" i="33" s="1"/>
  <c r="J36" i="33"/>
  <c r="H37" i="33"/>
  <c r="I37" i="33"/>
  <c r="J37" i="33"/>
  <c r="H38" i="33"/>
  <c r="I38" i="33"/>
  <c r="J38" i="33"/>
  <c r="H39" i="33"/>
  <c r="R39" i="33" s="1"/>
  <c r="I39" i="33"/>
  <c r="J39" i="33"/>
  <c r="G39" i="33"/>
  <c r="G38" i="33"/>
  <c r="G37" i="33"/>
  <c r="Q37" i="33" s="1"/>
  <c r="K36" i="33"/>
  <c r="G36" i="33"/>
  <c r="K35" i="33"/>
  <c r="G35" i="33"/>
  <c r="C35" i="33"/>
  <c r="U49" i="20"/>
  <c r="U47" i="20"/>
  <c r="U46" i="20"/>
  <c r="U44" i="20"/>
  <c r="U43" i="20"/>
  <c r="U32" i="20"/>
  <c r="U30" i="20"/>
  <c r="V30" i="20" s="1"/>
  <c r="W30" i="20" s="1"/>
  <c r="X30" i="20" s="1"/>
  <c r="Y30" i="20" s="1"/>
  <c r="Z30" i="20" s="1"/>
  <c r="AA30" i="20" s="1"/>
  <c r="AB30" i="20" s="1"/>
  <c r="AC30" i="20" s="1"/>
  <c r="U28" i="20"/>
  <c r="R27" i="20"/>
  <c r="R34" i="20" s="1"/>
  <c r="T80" i="12" l="1"/>
  <c r="U80" i="12" s="1"/>
  <c r="S81" i="12"/>
  <c r="Y94" i="12"/>
  <c r="R38" i="33"/>
  <c r="S35" i="33"/>
  <c r="T43" i="33"/>
  <c r="R51" i="33"/>
  <c r="T55" i="33"/>
  <c r="Q38" i="33"/>
  <c r="U36" i="20" s="1"/>
  <c r="T37" i="33"/>
  <c r="R35" i="33"/>
  <c r="Q47" i="33"/>
  <c r="S44" i="33"/>
  <c r="T51" i="33"/>
  <c r="R49" i="33"/>
  <c r="S56" i="33"/>
  <c r="U102" i="20" s="1"/>
  <c r="Q43" i="33"/>
  <c r="R44" i="33"/>
  <c r="S41" i="33"/>
  <c r="S51" i="33"/>
  <c r="Q55" i="33"/>
  <c r="U98" i="20" s="1"/>
  <c r="S53" i="33"/>
  <c r="S38" i="33"/>
  <c r="T38" i="33"/>
  <c r="Q35" i="33"/>
  <c r="S39" i="33"/>
  <c r="Q39" i="33"/>
  <c r="T39" i="33"/>
  <c r="R37" i="33"/>
  <c r="T36" i="33"/>
  <c r="Q36" i="33"/>
  <c r="R36" i="33"/>
  <c r="U25" i="20" s="1"/>
  <c r="S37" i="33"/>
  <c r="T34" i="20" s="1"/>
  <c r="U85" i="20" l="1"/>
  <c r="U64" i="20"/>
  <c r="Z94" i="12"/>
  <c r="T101" i="20"/>
  <c r="T94" i="20"/>
  <c r="T73" i="20"/>
  <c r="T67" i="20"/>
  <c r="T51" i="20"/>
  <c r="T59" i="20"/>
  <c r="T82" i="20"/>
  <c r="U21" i="20"/>
  <c r="U20" i="20"/>
  <c r="U19" i="20"/>
  <c r="U18" i="20"/>
  <c r="U17" i="20"/>
  <c r="U16" i="20"/>
  <c r="U15" i="20"/>
  <c r="U14" i="20"/>
  <c r="R13" i="20"/>
  <c r="T13" i="20" s="1"/>
  <c r="T22" i="20" s="1"/>
  <c r="R42" i="20"/>
  <c r="R51" i="20" s="1"/>
  <c r="R40" i="20"/>
  <c r="R11" i="20"/>
  <c r="J50" i="12"/>
  <c r="P18" i="12"/>
  <c r="P14" i="12" s="1"/>
  <c r="Q12" i="12"/>
  <c r="P12" i="12"/>
  <c r="O12" i="12"/>
  <c r="N12" i="12"/>
  <c r="M12" i="12"/>
  <c r="L12" i="12"/>
  <c r="L20" i="12" s="1"/>
  <c r="L57" i="12" s="1"/>
  <c r="K12" i="12"/>
  <c r="K20" i="12" s="1"/>
  <c r="J12" i="12"/>
  <c r="I12" i="12"/>
  <c r="H12" i="12"/>
  <c r="G12" i="12"/>
  <c r="F12" i="12"/>
  <c r="F20" i="12" s="1"/>
  <c r="F57" i="12" s="1"/>
  <c r="E12" i="12"/>
  <c r="D12" i="12"/>
  <c r="D20" i="12" s="1"/>
  <c r="D57" i="12" s="1"/>
  <c r="C12" i="12"/>
  <c r="C20" i="12" s="1"/>
  <c r="J7" i="12"/>
  <c r="K7" i="12" s="1"/>
  <c r="L7" i="12" s="1"/>
  <c r="M7" i="12" s="1"/>
  <c r="N7" i="12" s="1"/>
  <c r="O7" i="12" s="1"/>
  <c r="P7" i="12" s="1"/>
  <c r="Q7" i="12" s="1"/>
  <c r="U7" i="12" s="1"/>
  <c r="V7" i="12" s="1"/>
  <c r="W7" i="12" s="1"/>
  <c r="X7" i="12" s="1"/>
  <c r="Y7" i="12" s="1"/>
  <c r="Z7" i="12" s="1"/>
  <c r="AA7" i="12" s="1"/>
  <c r="AB7" i="12" s="1"/>
  <c r="K59" i="12"/>
  <c r="L59" i="12"/>
  <c r="M59" i="12"/>
  <c r="N59" i="12"/>
  <c r="O59" i="12"/>
  <c r="P59" i="12"/>
  <c r="Q59" i="12"/>
  <c r="T59" i="12" s="1"/>
  <c r="U59" i="12" s="1"/>
  <c r="V59" i="12" s="1"/>
  <c r="J59" i="12"/>
  <c r="P33" i="30"/>
  <c r="Q33" i="30"/>
  <c r="R33" i="30"/>
  <c r="O33" i="30"/>
  <c r="R31" i="30"/>
  <c r="P27" i="30"/>
  <c r="Q27" i="30"/>
  <c r="R27" i="30"/>
  <c r="O27" i="30"/>
  <c r="R16" i="30"/>
  <c r="R18" i="30"/>
  <c r="R20" i="16"/>
  <c r="T93" i="12" s="1"/>
  <c r="R24" i="16"/>
  <c r="R28" i="16"/>
  <c r="R29" i="16" s="1"/>
  <c r="R30" i="16"/>
  <c r="R43" i="31"/>
  <c r="R36" i="31"/>
  <c r="R30" i="31"/>
  <c r="R18" i="31"/>
  <c r="R9" i="31"/>
  <c r="R115" i="26"/>
  <c r="R13" i="16" s="1"/>
  <c r="R85" i="26"/>
  <c r="R57" i="26"/>
  <c r="R11" i="16" s="1"/>
  <c r="R25" i="26"/>
  <c r="R9" i="26"/>
  <c r="R8" i="16" s="1"/>
  <c r="P12" i="31"/>
  <c r="P13" i="31" s="1"/>
  <c r="Q12" i="31"/>
  <c r="Q13" i="31" s="1"/>
  <c r="O12" i="31"/>
  <c r="O13" i="31" s="1"/>
  <c r="P18" i="31"/>
  <c r="Q18" i="31"/>
  <c r="P9" i="31"/>
  <c r="Q9" i="31"/>
  <c r="R9" i="16" l="1"/>
  <c r="K74" i="12"/>
  <c r="K57" i="12"/>
  <c r="C74" i="12"/>
  <c r="C57" i="12"/>
  <c r="R23" i="16"/>
  <c r="R10" i="16"/>
  <c r="R12" i="16"/>
  <c r="R22" i="16"/>
  <c r="AA94" i="12"/>
  <c r="R22" i="20"/>
  <c r="R8" i="20"/>
  <c r="I20" i="12"/>
  <c r="E20" i="12"/>
  <c r="M20" i="12"/>
  <c r="G20" i="12"/>
  <c r="H20" i="12"/>
  <c r="P20" i="12"/>
  <c r="P57" i="12" s="1"/>
  <c r="J20" i="12"/>
  <c r="F74" i="12"/>
  <c r="D74" i="12"/>
  <c r="L74" i="12"/>
  <c r="R29" i="31"/>
  <c r="R8" i="31"/>
  <c r="R56" i="26"/>
  <c r="R8" i="26"/>
  <c r="R16" i="16" s="1"/>
  <c r="Q8" i="31"/>
  <c r="P8" i="31"/>
  <c r="P30" i="31"/>
  <c r="Q30" i="31"/>
  <c r="P36" i="31"/>
  <c r="Q36" i="31"/>
  <c r="P43" i="31"/>
  <c r="Q43" i="31"/>
  <c r="O18" i="31"/>
  <c r="O30" i="31"/>
  <c r="O43" i="31"/>
  <c r="O36" i="31"/>
  <c r="O29" i="31" s="1"/>
  <c r="O9" i="31"/>
  <c r="P7" i="31"/>
  <c r="E74" i="12" l="1"/>
  <c r="E57" i="12"/>
  <c r="I74" i="12"/>
  <c r="I57" i="12"/>
  <c r="J74" i="12"/>
  <c r="J57" i="12"/>
  <c r="H74" i="12"/>
  <c r="H57" i="12"/>
  <c r="G74" i="12"/>
  <c r="G57" i="12"/>
  <c r="M74" i="12"/>
  <c r="M57" i="12"/>
  <c r="R21" i="16"/>
  <c r="AB94" i="12"/>
  <c r="R113" i="20"/>
  <c r="T113" i="20" s="1"/>
  <c r="R8" i="12"/>
  <c r="U13" i="20"/>
  <c r="U22" i="20" s="1"/>
  <c r="W59" i="12"/>
  <c r="O8" i="31"/>
  <c r="P29" i="31"/>
  <c r="Q29" i="31"/>
  <c r="AC94" i="12" l="1"/>
  <c r="U113" i="20"/>
  <c r="V113" i="20" s="1"/>
  <c r="W113" i="20" s="1"/>
  <c r="X113" i="20" s="1"/>
  <c r="Y113" i="20" s="1"/>
  <c r="X59" i="12"/>
  <c r="AA113" i="20" l="1"/>
  <c r="AB113" i="20"/>
  <c r="AC113" i="20"/>
  <c r="Z113" i="20"/>
  <c r="Y59" i="12"/>
  <c r="Z59" i="12" l="1"/>
  <c r="AA59" i="12" l="1"/>
  <c r="AB59" i="12" l="1"/>
  <c r="P18" i="30" l="1"/>
  <c r="Q18" i="30"/>
  <c r="O18" i="30"/>
  <c r="U106" i="20"/>
  <c r="U104" i="20"/>
  <c r="T104" i="20" s="1"/>
  <c r="Q97" i="20"/>
  <c r="V97" i="20" s="1"/>
  <c r="P97" i="20"/>
  <c r="V93" i="20"/>
  <c r="W93" i="20" s="1"/>
  <c r="X93" i="20" s="1"/>
  <c r="Y93" i="20" s="1"/>
  <c r="Z93" i="20" s="1"/>
  <c r="AA93" i="20" s="1"/>
  <c r="AB93" i="20" s="1"/>
  <c r="AC93" i="20" s="1"/>
  <c r="AB92" i="20"/>
  <c r="AC92" i="20" s="1"/>
  <c r="V87" i="20"/>
  <c r="W87" i="20" s="1"/>
  <c r="X87" i="20" s="1"/>
  <c r="Y87" i="20" s="1"/>
  <c r="Z87" i="20" s="1"/>
  <c r="AA87" i="20" s="1"/>
  <c r="AB87" i="20" s="1"/>
  <c r="AC87" i="20" s="1"/>
  <c r="U81" i="20"/>
  <c r="V81" i="20" s="1"/>
  <c r="W81" i="20" s="1"/>
  <c r="X81" i="20" s="1"/>
  <c r="Y81" i="20" s="1"/>
  <c r="Z81" i="20" s="1"/>
  <c r="AA81" i="20" s="1"/>
  <c r="AB81" i="20" s="1"/>
  <c r="AC81" i="20" s="1"/>
  <c r="U80" i="20"/>
  <c r="V80" i="20" s="1"/>
  <c r="W80" i="20" s="1"/>
  <c r="X80" i="20" s="1"/>
  <c r="Y80" i="20" s="1"/>
  <c r="Z80" i="20" s="1"/>
  <c r="AA80" i="20" s="1"/>
  <c r="AB80" i="20" s="1"/>
  <c r="AC80" i="20" s="1"/>
  <c r="W97" i="20" l="1"/>
  <c r="X97" i="20" s="1"/>
  <c r="Y97" i="20" s="1"/>
  <c r="V104" i="20"/>
  <c r="W104" i="20" s="1"/>
  <c r="X104" i="20" s="1"/>
  <c r="Y104" i="20" s="1"/>
  <c r="Z104" i="20" s="1"/>
  <c r="AA104" i="20" s="1"/>
  <c r="AB104" i="20" s="1"/>
  <c r="AC104" i="20" s="1"/>
  <c r="T89" i="20"/>
  <c r="V106" i="20"/>
  <c r="W106" i="20" s="1"/>
  <c r="X106" i="20" s="1"/>
  <c r="Y106" i="20" s="1"/>
  <c r="Z106" i="20" s="1"/>
  <c r="AA106" i="20" s="1"/>
  <c r="AB106" i="20" s="1"/>
  <c r="AC106" i="20" s="1"/>
  <c r="AC91" i="20"/>
  <c r="X91" i="20"/>
  <c r="W91" i="20"/>
  <c r="U91" i="20"/>
  <c r="V91" i="20"/>
  <c r="AB91" i="20"/>
  <c r="Z91" i="20"/>
  <c r="Y91" i="20"/>
  <c r="AA91" i="20"/>
  <c r="V79" i="20"/>
  <c r="W79" i="20" s="1"/>
  <c r="X79" i="20" s="1"/>
  <c r="Y79" i="20" s="1"/>
  <c r="Z79" i="20" s="1"/>
  <c r="AA79" i="20" s="1"/>
  <c r="AB79" i="20" s="1"/>
  <c r="AC79" i="20" s="1"/>
  <c r="AC74" i="20"/>
  <c r="Q76" i="20"/>
  <c r="P76" i="20"/>
  <c r="W72" i="20"/>
  <c r="X72" i="20" s="1"/>
  <c r="Y72" i="20" s="1"/>
  <c r="Z72" i="20" s="1"/>
  <c r="AA72" i="20" s="1"/>
  <c r="AB72" i="20" s="1"/>
  <c r="AC72" i="20" s="1"/>
  <c r="V71" i="20"/>
  <c r="W71" i="20" s="1"/>
  <c r="X71" i="20" s="1"/>
  <c r="Y71" i="20" s="1"/>
  <c r="Z71" i="20" s="1"/>
  <c r="AA71" i="20" s="1"/>
  <c r="AB71" i="20" s="1"/>
  <c r="AC71" i="20" s="1"/>
  <c r="U70" i="20"/>
  <c r="Q64" i="20"/>
  <c r="P64" i="20"/>
  <c r="AC62" i="20"/>
  <c r="Q62" i="20"/>
  <c r="P62" i="20"/>
  <c r="U38" i="20"/>
  <c r="T38" i="20" s="1"/>
  <c r="Y57" i="20"/>
  <c r="Y56" i="20" s="1"/>
  <c r="Z57" i="20"/>
  <c r="Z56" i="20" s="1"/>
  <c r="AA57" i="20"/>
  <c r="AA56" i="20" s="1"/>
  <c r="AB57" i="20"/>
  <c r="AB56" i="20" s="1"/>
  <c r="AC57" i="20"/>
  <c r="AC56" i="20" s="1"/>
  <c r="U58" i="20"/>
  <c r="U57" i="20" s="1"/>
  <c r="U59" i="20" s="1"/>
  <c r="Q54" i="20"/>
  <c r="P54" i="20"/>
  <c r="AC52" i="20"/>
  <c r="U45" i="20"/>
  <c r="V45" i="20" s="1"/>
  <c r="W45" i="20" s="1"/>
  <c r="X45" i="20" s="1"/>
  <c r="Y45" i="20" s="1"/>
  <c r="Z45" i="20" s="1"/>
  <c r="AA45" i="20" s="1"/>
  <c r="AB45" i="20" s="1"/>
  <c r="AC45" i="20" s="1"/>
  <c r="U50" i="20"/>
  <c r="V50" i="20" s="1"/>
  <c r="W50" i="20" s="1"/>
  <c r="X50" i="20" s="1"/>
  <c r="Y50" i="20" s="1"/>
  <c r="Z50" i="20" s="1"/>
  <c r="AA50" i="20" s="1"/>
  <c r="AB50" i="20" s="1"/>
  <c r="AC50" i="20" s="1"/>
  <c r="V49" i="20"/>
  <c r="W49" i="20" s="1"/>
  <c r="X49" i="20" s="1"/>
  <c r="Y49" i="20" s="1"/>
  <c r="Z49" i="20" s="1"/>
  <c r="AA49" i="20" s="1"/>
  <c r="AB49" i="20" s="1"/>
  <c r="AC49" i="20" s="1"/>
  <c r="V47" i="20"/>
  <c r="W47" i="20" s="1"/>
  <c r="X47" i="20" s="1"/>
  <c r="Y47" i="20" s="1"/>
  <c r="Z47" i="20" s="1"/>
  <c r="AA47" i="20" s="1"/>
  <c r="AB47" i="20" s="1"/>
  <c r="AC47" i="20" s="1"/>
  <c r="U48" i="20"/>
  <c r="V48" i="20" s="1"/>
  <c r="W48" i="20" s="1"/>
  <c r="X48" i="20" s="1"/>
  <c r="Y48" i="20" s="1"/>
  <c r="Z48" i="20" s="1"/>
  <c r="AA48" i="20" s="1"/>
  <c r="AB48" i="20" s="1"/>
  <c r="AC48" i="20" s="1"/>
  <c r="V46" i="20"/>
  <c r="W46" i="20" s="1"/>
  <c r="X46" i="20" s="1"/>
  <c r="Y46" i="20" s="1"/>
  <c r="Z46" i="20" s="1"/>
  <c r="AA46" i="20" s="1"/>
  <c r="AB46" i="20" s="1"/>
  <c r="AC46" i="20" s="1"/>
  <c r="V44" i="20"/>
  <c r="W44" i="20" s="1"/>
  <c r="X44" i="20" s="1"/>
  <c r="Y44" i="20" s="1"/>
  <c r="Z44" i="20" s="1"/>
  <c r="AA44" i="20" s="1"/>
  <c r="AB44" i="20" s="1"/>
  <c r="AC44" i="20" s="1"/>
  <c r="V43" i="20"/>
  <c r="W43" i="20" s="1"/>
  <c r="X43" i="20" s="1"/>
  <c r="Y43" i="20" s="1"/>
  <c r="Z43" i="20" s="1"/>
  <c r="AA43" i="20" s="1"/>
  <c r="AB43" i="20" s="1"/>
  <c r="AC43" i="20" s="1"/>
  <c r="Q36" i="20"/>
  <c r="P36" i="20"/>
  <c r="V37" i="20"/>
  <c r="W37" i="20" s="1"/>
  <c r="X37" i="20" s="1"/>
  <c r="Y37" i="20" s="1"/>
  <c r="Z37" i="20" s="1"/>
  <c r="AA37" i="20" s="1"/>
  <c r="AB37" i="20" s="1"/>
  <c r="AC37" i="20" s="1"/>
  <c r="V32" i="20"/>
  <c r="W32" i="20" s="1"/>
  <c r="X32" i="20" s="1"/>
  <c r="Y32" i="20" s="1"/>
  <c r="Z32" i="20" s="1"/>
  <c r="AA32" i="20" s="1"/>
  <c r="AB32" i="20" s="1"/>
  <c r="AC32" i="20" s="1"/>
  <c r="U29" i="20"/>
  <c r="V29" i="20" s="1"/>
  <c r="W29" i="20" s="1"/>
  <c r="X29" i="20" s="1"/>
  <c r="Y29" i="20" s="1"/>
  <c r="Z29" i="20" s="1"/>
  <c r="AA29" i="20" s="1"/>
  <c r="AB29" i="20" s="1"/>
  <c r="AC29" i="20" s="1"/>
  <c r="AC23" i="20"/>
  <c r="AC25" i="20"/>
  <c r="Q25" i="20"/>
  <c r="P25" i="20"/>
  <c r="V15" i="20"/>
  <c r="W15" i="20" s="1"/>
  <c r="X15" i="20" s="1"/>
  <c r="V16" i="20"/>
  <c r="W16" i="20" s="1"/>
  <c r="X16" i="20" s="1"/>
  <c r="Y16" i="20" s="1"/>
  <c r="Z16" i="20" s="1"/>
  <c r="AA16" i="20" s="1"/>
  <c r="AB16" i="20" s="1"/>
  <c r="AC16" i="20" s="1"/>
  <c r="V17" i="20"/>
  <c r="W17" i="20" s="1"/>
  <c r="X17" i="20" s="1"/>
  <c r="Y17" i="20" s="1"/>
  <c r="Z17" i="20" s="1"/>
  <c r="AA17" i="20" s="1"/>
  <c r="AB17" i="20" s="1"/>
  <c r="AC17" i="20" s="1"/>
  <c r="V18" i="20"/>
  <c r="W18" i="20" s="1"/>
  <c r="X18" i="20" s="1"/>
  <c r="Y18" i="20" s="1"/>
  <c r="Z18" i="20" s="1"/>
  <c r="AA18" i="20" s="1"/>
  <c r="AB18" i="20" s="1"/>
  <c r="AC18" i="20" s="1"/>
  <c r="V19" i="20"/>
  <c r="W19" i="20" s="1"/>
  <c r="X19" i="20" s="1"/>
  <c r="Y19" i="20" s="1"/>
  <c r="Z19" i="20" s="1"/>
  <c r="AA19" i="20" s="1"/>
  <c r="AB19" i="20" s="1"/>
  <c r="AC19" i="20" s="1"/>
  <c r="V20" i="20"/>
  <c r="W20" i="20" s="1"/>
  <c r="X20" i="20" s="1"/>
  <c r="Y20" i="20" s="1"/>
  <c r="Z20" i="20" s="1"/>
  <c r="AA20" i="20" s="1"/>
  <c r="AB20" i="20" s="1"/>
  <c r="AC20" i="20" s="1"/>
  <c r="V21" i="20"/>
  <c r="W21" i="20" s="1"/>
  <c r="X21" i="20" s="1"/>
  <c r="Y21" i="20" s="1"/>
  <c r="Z21" i="20" s="1"/>
  <c r="AA21" i="20" s="1"/>
  <c r="AB21" i="20" s="1"/>
  <c r="AC21" i="20" s="1"/>
  <c r="P99" i="20"/>
  <c r="P101" i="20" s="1"/>
  <c r="Q99" i="20"/>
  <c r="O99" i="20"/>
  <c r="O101" i="20" s="1"/>
  <c r="P91" i="20"/>
  <c r="P94" i="20" s="1"/>
  <c r="Q91" i="20"/>
  <c r="Q94" i="20" s="1"/>
  <c r="O91" i="20"/>
  <c r="O94" i="20" s="1"/>
  <c r="Q78" i="20"/>
  <c r="P78" i="20"/>
  <c r="P82" i="20" s="1"/>
  <c r="O78" i="20"/>
  <c r="O82" i="20" s="1"/>
  <c r="P69" i="20"/>
  <c r="P73" i="20" s="1"/>
  <c r="Q69" i="20"/>
  <c r="Q73" i="20" s="1"/>
  <c r="O69" i="20"/>
  <c r="O73" i="20" s="1"/>
  <c r="P57" i="20"/>
  <c r="P59" i="20" s="1"/>
  <c r="Q57" i="20"/>
  <c r="O57" i="20"/>
  <c r="O59" i="20" s="1"/>
  <c r="P42" i="20"/>
  <c r="P51" i="20" s="1"/>
  <c r="Q42" i="20"/>
  <c r="Q51" i="20" s="1"/>
  <c r="O42" i="20"/>
  <c r="O51" i="20" s="1"/>
  <c r="P27" i="20"/>
  <c r="P34" i="20" s="1"/>
  <c r="Q27" i="20"/>
  <c r="Q34" i="20" s="1"/>
  <c r="O27" i="20"/>
  <c r="O34" i="20" s="1"/>
  <c r="P13" i="20"/>
  <c r="P22" i="20" s="1"/>
  <c r="Q13" i="20"/>
  <c r="Q22" i="20" s="1"/>
  <c r="U23" i="20" s="1"/>
  <c r="O13" i="20"/>
  <c r="O22" i="20" s="1"/>
  <c r="Q89" i="20"/>
  <c r="P89" i="20"/>
  <c r="O89" i="20"/>
  <c r="Q67" i="20"/>
  <c r="P67" i="20"/>
  <c r="O67" i="20"/>
  <c r="Q40" i="20"/>
  <c r="Q55" i="20" s="1"/>
  <c r="P40" i="20"/>
  <c r="O40" i="20"/>
  <c r="Q11" i="20"/>
  <c r="P11" i="20"/>
  <c r="O11" i="20"/>
  <c r="J10" i="20"/>
  <c r="K10" i="20" s="1"/>
  <c r="L10" i="20" s="1"/>
  <c r="M10" i="20" s="1"/>
  <c r="N10" i="20" s="1"/>
  <c r="Q82" i="20" l="1"/>
  <c r="Q83" i="20" s="1"/>
  <c r="U78" i="20"/>
  <c r="U82" i="20" s="1"/>
  <c r="P95" i="20"/>
  <c r="Q95" i="20"/>
  <c r="V70" i="20"/>
  <c r="U69" i="20"/>
  <c r="Q59" i="20"/>
  <c r="V59" i="20" s="1"/>
  <c r="W59" i="20" s="1"/>
  <c r="R57" i="20"/>
  <c r="R59" i="20" s="1"/>
  <c r="V38" i="20"/>
  <c r="W38" i="20" s="1"/>
  <c r="X38" i="20" s="1"/>
  <c r="Y38" i="20" s="1"/>
  <c r="Z38" i="20" s="1"/>
  <c r="AA38" i="20" s="1"/>
  <c r="AB38" i="20" s="1"/>
  <c r="AC38" i="20" s="1"/>
  <c r="T11" i="20"/>
  <c r="Q8" i="20"/>
  <c r="O8" i="20"/>
  <c r="P8" i="20"/>
  <c r="Q101" i="20"/>
  <c r="U99" i="20"/>
  <c r="U101" i="20" s="1"/>
  <c r="P74" i="20"/>
  <c r="P83" i="20"/>
  <c r="Q74" i="20"/>
  <c r="P60" i="20"/>
  <c r="V58" i="20"/>
  <c r="P52" i="20"/>
  <c r="Q52" i="20"/>
  <c r="U42" i="20"/>
  <c r="AC42" i="20"/>
  <c r="V42" i="20"/>
  <c r="AB42" i="20"/>
  <c r="AA42" i="20"/>
  <c r="Z42" i="20"/>
  <c r="Y42" i="20"/>
  <c r="X42" i="20"/>
  <c r="W42" i="20"/>
  <c r="U27" i="20"/>
  <c r="V28" i="20"/>
  <c r="Q23" i="20"/>
  <c r="P23" i="20"/>
  <c r="V14" i="20"/>
  <c r="W14" i="20" s="1"/>
  <c r="X14" i="20" s="1"/>
  <c r="Y14" i="20" s="1"/>
  <c r="Z14" i="20" s="1"/>
  <c r="AA14" i="20" s="1"/>
  <c r="AB14" i="20" s="1"/>
  <c r="AC14" i="20" s="1"/>
  <c r="Y15" i="20"/>
  <c r="Z15" i="20" s="1"/>
  <c r="AA15" i="20" s="1"/>
  <c r="AB15" i="20" s="1"/>
  <c r="AC15" i="20" s="1"/>
  <c r="U83" i="20" l="1"/>
  <c r="P9" i="20"/>
  <c r="Q9" i="20"/>
  <c r="Q60" i="20"/>
  <c r="U60" i="20"/>
  <c r="W70" i="20"/>
  <c r="V69" i="20"/>
  <c r="V99" i="20"/>
  <c r="V78" i="20"/>
  <c r="W58" i="20"/>
  <c r="V57" i="20"/>
  <c r="V56" i="20" s="1"/>
  <c r="W28" i="20"/>
  <c r="V27" i="20"/>
  <c r="AC13" i="20"/>
  <c r="AA13" i="20"/>
  <c r="Z13" i="20"/>
  <c r="X13" i="20"/>
  <c r="AB13" i="20"/>
  <c r="Y13" i="20"/>
  <c r="W13" i="20"/>
  <c r="V13" i="20"/>
  <c r="Q88" i="12"/>
  <c r="P88" i="12"/>
  <c r="O88" i="12"/>
  <c r="N88" i="12"/>
  <c r="M88" i="12"/>
  <c r="L88" i="12"/>
  <c r="K88" i="12"/>
  <c r="J88" i="12"/>
  <c r="I88" i="12"/>
  <c r="H88" i="12"/>
  <c r="G88" i="12"/>
  <c r="F88" i="12"/>
  <c r="E88" i="12"/>
  <c r="D88" i="12"/>
  <c r="Q86" i="12"/>
  <c r="P86" i="12"/>
  <c r="O86" i="12"/>
  <c r="N86" i="12"/>
  <c r="M86" i="12"/>
  <c r="L86" i="12"/>
  <c r="K86" i="12"/>
  <c r="J86" i="12"/>
  <c r="I86" i="12"/>
  <c r="H86" i="12"/>
  <c r="G86" i="12"/>
  <c r="F86" i="12"/>
  <c r="E86" i="12"/>
  <c r="D86" i="12"/>
  <c r="D84" i="12"/>
  <c r="E84" i="12"/>
  <c r="F84" i="12"/>
  <c r="G84" i="12"/>
  <c r="H84" i="12"/>
  <c r="I84" i="12"/>
  <c r="J84" i="12"/>
  <c r="K84" i="12"/>
  <c r="L84" i="12"/>
  <c r="M84" i="12"/>
  <c r="N84" i="12"/>
  <c r="O84" i="12"/>
  <c r="P84" i="12"/>
  <c r="Q84" i="12"/>
  <c r="C84" i="12"/>
  <c r="C82" i="12" s="1"/>
  <c r="F82" i="12" l="1"/>
  <c r="E82" i="12"/>
  <c r="D82" i="12"/>
  <c r="O82" i="12"/>
  <c r="N82" i="12"/>
  <c r="J82" i="12"/>
  <c r="Q82" i="12"/>
  <c r="M82" i="12"/>
  <c r="K82" i="12"/>
  <c r="P82" i="12"/>
  <c r="L82" i="12"/>
  <c r="X70" i="20"/>
  <c r="W69" i="20"/>
  <c r="W99" i="20"/>
  <c r="W78" i="20"/>
  <c r="X58" i="20"/>
  <c r="X57" i="20" s="1"/>
  <c r="X56" i="20" s="1"/>
  <c r="W57" i="20"/>
  <c r="W56" i="20" s="1"/>
  <c r="X28" i="20"/>
  <c r="W27" i="20"/>
  <c r="O31" i="30"/>
  <c r="P31" i="30"/>
  <c r="Q31" i="30"/>
  <c r="P16" i="30"/>
  <c r="Q16" i="30"/>
  <c r="O16" i="30"/>
  <c r="Y70" i="20" l="1"/>
  <c r="X69" i="20"/>
  <c r="X99" i="20"/>
  <c r="X78" i="20"/>
  <c r="Y28" i="20"/>
  <c r="X27" i="20"/>
  <c r="P109" i="20"/>
  <c r="Q109" i="20"/>
  <c r="O109" i="20"/>
  <c r="J7" i="30"/>
  <c r="K7" i="30" s="1"/>
  <c r="L7" i="30" s="1"/>
  <c r="M7" i="30" s="1"/>
  <c r="N7" i="30" s="1"/>
  <c r="O7" i="30" s="1"/>
  <c r="P7" i="30" s="1"/>
  <c r="Q7" i="30" s="1"/>
  <c r="Z70" i="20" l="1"/>
  <c r="Y69" i="20"/>
  <c r="Y99" i="20"/>
  <c r="Y78" i="20"/>
  <c r="Z28" i="20"/>
  <c r="Y27" i="20"/>
  <c r="O118" i="20"/>
  <c r="AA70" i="20" l="1"/>
  <c r="Z69" i="20"/>
  <c r="Z99" i="20"/>
  <c r="Z78" i="20"/>
  <c r="Q118" i="20"/>
  <c r="P118" i="20"/>
  <c r="P119" i="20" s="1"/>
  <c r="AA28" i="20"/>
  <c r="Z27" i="20"/>
  <c r="Q110" i="20"/>
  <c r="P110" i="20"/>
  <c r="O110" i="20"/>
  <c r="O113" i="20"/>
  <c r="Q113" i="20"/>
  <c r="P113" i="20"/>
  <c r="D32" i="16"/>
  <c r="E32" i="16"/>
  <c r="F32" i="16"/>
  <c r="G32" i="16"/>
  <c r="H32" i="16"/>
  <c r="I32" i="16"/>
  <c r="J32" i="16"/>
  <c r="K32" i="16"/>
  <c r="L32" i="16"/>
  <c r="M32" i="16"/>
  <c r="N32" i="16"/>
  <c r="O32" i="16"/>
  <c r="P32" i="16"/>
  <c r="Q32" i="16"/>
  <c r="C32" i="16"/>
  <c r="D31" i="16"/>
  <c r="E31" i="16"/>
  <c r="F31" i="16"/>
  <c r="G31" i="16"/>
  <c r="H31" i="16"/>
  <c r="I31" i="16"/>
  <c r="J31" i="16"/>
  <c r="K31" i="16"/>
  <c r="L31" i="16"/>
  <c r="M31" i="16"/>
  <c r="N31" i="16"/>
  <c r="O31" i="16"/>
  <c r="P31" i="16"/>
  <c r="Q31" i="16"/>
  <c r="C31" i="16"/>
  <c r="P9" i="12"/>
  <c r="Q9" i="12"/>
  <c r="D9" i="12"/>
  <c r="E9" i="12"/>
  <c r="F9" i="12"/>
  <c r="G9" i="12"/>
  <c r="H9" i="12"/>
  <c r="I9" i="12"/>
  <c r="J9" i="12"/>
  <c r="K9" i="12"/>
  <c r="L9" i="12"/>
  <c r="M9" i="12"/>
  <c r="N9" i="12"/>
  <c r="O9" i="12"/>
  <c r="C9" i="12"/>
  <c r="Q119" i="20" l="1"/>
  <c r="AB70" i="20"/>
  <c r="AC70" i="20" s="1"/>
  <c r="AA69" i="20"/>
  <c r="AA99" i="20"/>
  <c r="AA78" i="20"/>
  <c r="AB28" i="20"/>
  <c r="AA27" i="20"/>
  <c r="D30" i="16"/>
  <c r="E30" i="16"/>
  <c r="F30" i="16"/>
  <c r="G30" i="16"/>
  <c r="H30" i="16"/>
  <c r="I30" i="16"/>
  <c r="J30" i="16"/>
  <c r="K30" i="16"/>
  <c r="L30" i="16"/>
  <c r="M30" i="16"/>
  <c r="N30" i="16"/>
  <c r="O30" i="16"/>
  <c r="P30" i="16"/>
  <c r="Q30" i="16"/>
  <c r="C30" i="16"/>
  <c r="AB99" i="20" l="1"/>
  <c r="AB78" i="20"/>
  <c r="AB69" i="20"/>
  <c r="AC28" i="20"/>
  <c r="AC27" i="20" s="1"/>
  <c r="AB27" i="20"/>
  <c r="H82" i="12"/>
  <c r="I82" i="12"/>
  <c r="G82" i="12"/>
  <c r="Q75" i="12"/>
  <c r="P75" i="12"/>
  <c r="O80" i="12"/>
  <c r="N80" i="12"/>
  <c r="M80" i="12"/>
  <c r="L80" i="12"/>
  <c r="K80" i="12"/>
  <c r="J80" i="12"/>
  <c r="I80" i="12"/>
  <c r="H80" i="12"/>
  <c r="G80" i="12"/>
  <c r="F80" i="12"/>
  <c r="E80" i="12"/>
  <c r="D80" i="12"/>
  <c r="C80" i="12"/>
  <c r="C78" i="12" s="1"/>
  <c r="Q80" i="12" l="1"/>
  <c r="Q76" i="12"/>
  <c r="P80" i="12"/>
  <c r="P74" i="12"/>
  <c r="AC99" i="20"/>
  <c r="AC78" i="20"/>
  <c r="AC69" i="20"/>
  <c r="D20" i="16"/>
  <c r="E20" i="16"/>
  <c r="F20" i="16"/>
  <c r="G20" i="16"/>
  <c r="H20" i="16"/>
  <c r="I20" i="16"/>
  <c r="J20" i="16"/>
  <c r="K20" i="16"/>
  <c r="L20" i="16"/>
  <c r="M20" i="16"/>
  <c r="N20" i="16"/>
  <c r="O20" i="16"/>
  <c r="P20" i="16"/>
  <c r="Q20" i="16"/>
  <c r="C20" i="16"/>
  <c r="K24" i="16" l="1"/>
  <c r="C24" i="16"/>
  <c r="J24" i="16"/>
  <c r="I24" i="16"/>
  <c r="P24" i="16"/>
  <c r="H24" i="16"/>
  <c r="O24" i="16"/>
  <c r="G24" i="16"/>
  <c r="Q24" i="16"/>
  <c r="N24" i="16"/>
  <c r="F24" i="16"/>
  <c r="M24" i="16"/>
  <c r="E24" i="16"/>
  <c r="L24" i="16"/>
  <c r="D24" i="16"/>
  <c r="D29" i="12"/>
  <c r="E29" i="12"/>
  <c r="F29" i="12"/>
  <c r="G29" i="12"/>
  <c r="H29" i="12"/>
  <c r="I29" i="12"/>
  <c r="J29" i="12"/>
  <c r="K29" i="12"/>
  <c r="L29" i="12"/>
  <c r="M29" i="12"/>
  <c r="N29" i="12"/>
  <c r="O29" i="12"/>
  <c r="P29" i="12"/>
  <c r="Q29" i="12"/>
  <c r="C29" i="12"/>
  <c r="D34" i="12"/>
  <c r="D27" i="16" s="1"/>
  <c r="E34" i="12"/>
  <c r="E27" i="16" s="1"/>
  <c r="F34" i="12"/>
  <c r="F27" i="16" s="1"/>
  <c r="G34" i="12"/>
  <c r="G27" i="16" s="1"/>
  <c r="H34" i="12"/>
  <c r="H27" i="16" s="1"/>
  <c r="I34" i="12"/>
  <c r="I27" i="16" s="1"/>
  <c r="J34" i="12"/>
  <c r="J27" i="16" s="1"/>
  <c r="K34" i="12"/>
  <c r="K27" i="16" s="1"/>
  <c r="L34" i="12"/>
  <c r="L27" i="16" s="1"/>
  <c r="M34" i="12"/>
  <c r="M27" i="16" s="1"/>
  <c r="N34" i="12"/>
  <c r="N27" i="16" s="1"/>
  <c r="O34" i="12"/>
  <c r="O27" i="16" s="1"/>
  <c r="P34" i="12"/>
  <c r="P27" i="16" s="1"/>
  <c r="Q34" i="12"/>
  <c r="Q27" i="16" s="1"/>
  <c r="C34" i="12"/>
  <c r="C27" i="16" s="1"/>
  <c r="F28" i="12" l="1"/>
  <c r="F45" i="12" s="1"/>
  <c r="F71" i="12" s="1"/>
  <c r="D28" i="12"/>
  <c r="D45" i="12" s="1"/>
  <c r="D71" i="12" s="1"/>
  <c r="N28" i="12"/>
  <c r="P28" i="12"/>
  <c r="P45" i="12" s="1"/>
  <c r="P71" i="12" s="1"/>
  <c r="L28" i="12"/>
  <c r="L45" i="12" s="1"/>
  <c r="L71" i="12" s="1"/>
  <c r="H28" i="12"/>
  <c r="H45" i="12" s="1"/>
  <c r="H71" i="12" s="1"/>
  <c r="G28" i="12"/>
  <c r="G45" i="12" s="1"/>
  <c r="G71" i="12" s="1"/>
  <c r="M28" i="12"/>
  <c r="M45" i="12" s="1"/>
  <c r="M71" i="12" s="1"/>
  <c r="E28" i="12"/>
  <c r="E45" i="12" s="1"/>
  <c r="E71" i="12" s="1"/>
  <c r="O28" i="12"/>
  <c r="K28" i="12"/>
  <c r="K45" i="12" s="1"/>
  <c r="K71" i="12" s="1"/>
  <c r="C28" i="12"/>
  <c r="C45" i="12" s="1"/>
  <c r="C71" i="12" s="1"/>
  <c r="J28" i="12"/>
  <c r="J45" i="12" s="1"/>
  <c r="J71" i="12" s="1"/>
  <c r="Q28" i="12"/>
  <c r="I28" i="12"/>
  <c r="I45" i="12" s="1"/>
  <c r="I71" i="12" s="1"/>
  <c r="G28" i="16"/>
  <c r="G29" i="16" s="1"/>
  <c r="E28" i="16"/>
  <c r="E29" i="16" s="1"/>
  <c r="K28" i="16"/>
  <c r="K29" i="16" s="1"/>
  <c r="P28" i="16"/>
  <c r="P29" i="16" s="1"/>
  <c r="J28" i="16"/>
  <c r="J29" i="16" s="1"/>
  <c r="D28" i="16"/>
  <c r="D29" i="16" s="1"/>
  <c r="C28" i="16"/>
  <c r="C29" i="16" s="1"/>
  <c r="O28" i="16"/>
  <c r="O29" i="16" s="1"/>
  <c r="L28" i="16"/>
  <c r="L29" i="16" s="1"/>
  <c r="Q28" i="16"/>
  <c r="Q29" i="16" s="1"/>
  <c r="M28" i="16"/>
  <c r="M29" i="16" s="1"/>
  <c r="I28" i="16"/>
  <c r="I29" i="16" s="1"/>
  <c r="F28" i="16"/>
  <c r="F29" i="16" s="1"/>
  <c r="N28" i="16"/>
  <c r="N29" i="16" s="1"/>
  <c r="H28" i="16"/>
  <c r="H29" i="16" s="1"/>
  <c r="J15" i="12"/>
  <c r="K15" i="12"/>
  <c r="L15" i="12"/>
  <c r="M15" i="12"/>
  <c r="K21" i="12"/>
  <c r="D41" i="29"/>
  <c r="D21" i="12" s="1"/>
  <c r="E41" i="29"/>
  <c r="E21" i="12" s="1"/>
  <c r="F41" i="29"/>
  <c r="F21" i="12" s="1"/>
  <c r="G41" i="29"/>
  <c r="G21" i="12" s="1"/>
  <c r="H41" i="29"/>
  <c r="H21" i="12" s="1"/>
  <c r="I41" i="29"/>
  <c r="I21" i="12" s="1"/>
  <c r="J41" i="29"/>
  <c r="J21" i="12" s="1"/>
  <c r="K41" i="29"/>
  <c r="L41" i="29"/>
  <c r="L21" i="12" s="1"/>
  <c r="M41" i="29"/>
  <c r="M21" i="12" s="1"/>
  <c r="N41" i="29"/>
  <c r="N21" i="12" s="1"/>
  <c r="O41" i="29"/>
  <c r="O21" i="12" s="1"/>
  <c r="P41" i="29"/>
  <c r="P21" i="12" s="1"/>
  <c r="Q41" i="29"/>
  <c r="Q21" i="12" s="1"/>
  <c r="C41" i="29"/>
  <c r="C21" i="12" s="1"/>
  <c r="C23" i="29"/>
  <c r="D23" i="29"/>
  <c r="E23" i="29"/>
  <c r="F23" i="29"/>
  <c r="G23" i="29"/>
  <c r="H23" i="29"/>
  <c r="I23" i="29"/>
  <c r="J23" i="29"/>
  <c r="L23" i="29"/>
  <c r="M23" i="29"/>
  <c r="N23" i="29"/>
  <c r="O23" i="29"/>
  <c r="P23" i="29"/>
  <c r="Q23" i="29"/>
  <c r="K23" i="29"/>
  <c r="O8" i="29"/>
  <c r="N8" i="29"/>
  <c r="L8" i="29"/>
  <c r="P21" i="29"/>
  <c r="P8" i="29" s="1"/>
  <c r="D8" i="29"/>
  <c r="E8" i="29"/>
  <c r="F8" i="29"/>
  <c r="G8" i="29"/>
  <c r="H8" i="29"/>
  <c r="I8" i="29"/>
  <c r="J8" i="29"/>
  <c r="K8" i="29"/>
  <c r="M21" i="29"/>
  <c r="M8" i="29" s="1"/>
  <c r="C8" i="29"/>
  <c r="J7" i="29"/>
  <c r="K7" i="29" s="1"/>
  <c r="L7" i="29" s="1"/>
  <c r="M7" i="29" s="1"/>
  <c r="N7" i="29" s="1"/>
  <c r="O7" i="29" s="1"/>
  <c r="P7" i="29" s="1"/>
  <c r="Q7" i="29" s="1"/>
  <c r="E10" i="26" l="1"/>
  <c r="E33" i="16"/>
  <c r="E34" i="16" s="1"/>
  <c r="L10" i="26"/>
  <c r="L33" i="16"/>
  <c r="L34" i="16" s="1"/>
  <c r="D10" i="26"/>
  <c r="D33" i="16"/>
  <c r="D34" i="16" s="1"/>
  <c r="M10" i="26"/>
  <c r="M33" i="16"/>
  <c r="M34" i="16" s="1"/>
  <c r="K10" i="26"/>
  <c r="K33" i="16"/>
  <c r="K34" i="16" s="1"/>
  <c r="J33" i="16"/>
  <c r="J34" i="16" s="1"/>
  <c r="I33" i="16"/>
  <c r="I34" i="16" s="1"/>
  <c r="I10" i="26"/>
  <c r="H33" i="16"/>
  <c r="H34" i="16" s="1"/>
  <c r="H10" i="26"/>
  <c r="G10" i="26"/>
  <c r="G33" i="16"/>
  <c r="G34" i="16" s="1"/>
  <c r="C33" i="16"/>
  <c r="C34" i="16" s="1"/>
  <c r="C10" i="26"/>
  <c r="F10" i="26"/>
  <c r="F33" i="16"/>
  <c r="F34" i="16" s="1"/>
  <c r="P15" i="12"/>
  <c r="C41" i="25"/>
  <c r="D41" i="25"/>
  <c r="E41" i="25"/>
  <c r="F41" i="25"/>
  <c r="G41" i="25"/>
  <c r="H41" i="25"/>
  <c r="M11" i="26" l="1"/>
  <c r="M35" i="16"/>
  <c r="M37" i="16" s="1"/>
  <c r="M38" i="16" s="1"/>
  <c r="D11" i="26"/>
  <c r="D35" i="16"/>
  <c r="D37" i="16" s="1"/>
  <c r="D38" i="16" s="1"/>
  <c r="F11" i="26"/>
  <c r="F35" i="16"/>
  <c r="F37" i="16" s="1"/>
  <c r="F38" i="16" s="1"/>
  <c r="L35" i="16"/>
  <c r="L37" i="16" s="1"/>
  <c r="L38" i="16" s="1"/>
  <c r="L11" i="26"/>
  <c r="C35" i="16"/>
  <c r="C37" i="16" s="1"/>
  <c r="C38" i="16" s="1"/>
  <c r="C11" i="26"/>
  <c r="H11" i="26"/>
  <c r="H35" i="16"/>
  <c r="H37" i="16" s="1"/>
  <c r="H38" i="16" s="1"/>
  <c r="I35" i="16"/>
  <c r="I37" i="16" s="1"/>
  <c r="I38" i="16" s="1"/>
  <c r="I11" i="26"/>
  <c r="P33" i="16"/>
  <c r="P34" i="16" s="1"/>
  <c r="P10" i="26"/>
  <c r="G11" i="26"/>
  <c r="G35" i="16"/>
  <c r="G37" i="16" s="1"/>
  <c r="G38" i="16" s="1"/>
  <c r="K11" i="26"/>
  <c r="K35" i="16"/>
  <c r="K37" i="16" s="1"/>
  <c r="K38" i="16" s="1"/>
  <c r="E11" i="26"/>
  <c r="E35" i="16"/>
  <c r="E37" i="16" s="1"/>
  <c r="E38" i="16" s="1"/>
  <c r="I41" i="25"/>
  <c r="J41" i="25"/>
  <c r="N25" i="25"/>
  <c r="P38" i="25"/>
  <c r="O38" i="25"/>
  <c r="N38" i="25"/>
  <c r="M38" i="25"/>
  <c r="L38" i="25"/>
  <c r="K38" i="25"/>
  <c r="J38" i="25"/>
  <c r="I38" i="25"/>
  <c r="H38" i="25"/>
  <c r="G38" i="25"/>
  <c r="F38" i="25"/>
  <c r="E38" i="25"/>
  <c r="D38" i="25"/>
  <c r="C38" i="25"/>
  <c r="P48" i="25"/>
  <c r="O48" i="25"/>
  <c r="N48" i="25"/>
  <c r="M48" i="25"/>
  <c r="L48" i="25"/>
  <c r="K48" i="25"/>
  <c r="J48" i="25"/>
  <c r="I48" i="25"/>
  <c r="H48" i="25"/>
  <c r="G48" i="25"/>
  <c r="F48" i="25"/>
  <c r="E48" i="25"/>
  <c r="D48" i="25"/>
  <c r="C48" i="25"/>
  <c r="P25" i="25"/>
  <c r="O25" i="25"/>
  <c r="M25" i="25"/>
  <c r="L25" i="25"/>
  <c r="K25" i="25"/>
  <c r="J25" i="25"/>
  <c r="I25" i="25"/>
  <c r="H25" i="25"/>
  <c r="G25" i="25"/>
  <c r="F25" i="25"/>
  <c r="E25" i="25"/>
  <c r="D25" i="25"/>
  <c r="C25" i="25"/>
  <c r="P10" i="25"/>
  <c r="O10" i="25"/>
  <c r="N10" i="25"/>
  <c r="M10" i="25"/>
  <c r="L10" i="25"/>
  <c r="K10" i="25"/>
  <c r="J10" i="25"/>
  <c r="I10" i="25"/>
  <c r="H10" i="25"/>
  <c r="G10" i="25"/>
  <c r="F10" i="25"/>
  <c r="E10" i="25"/>
  <c r="D10" i="25"/>
  <c r="C10" i="25"/>
  <c r="Q48" i="25"/>
  <c r="Q38" i="25"/>
  <c r="Q25" i="25"/>
  <c r="Q10" i="25"/>
  <c r="P85" i="26"/>
  <c r="Q85" i="26"/>
  <c r="C85" i="26"/>
  <c r="D85" i="26"/>
  <c r="E85" i="26"/>
  <c r="F85" i="26"/>
  <c r="G85" i="26"/>
  <c r="H85" i="26"/>
  <c r="I85" i="26"/>
  <c r="J85" i="26"/>
  <c r="K85" i="26"/>
  <c r="L85" i="26"/>
  <c r="M85" i="26"/>
  <c r="N85" i="26"/>
  <c r="O85" i="26"/>
  <c r="Q115" i="26"/>
  <c r="P115" i="26"/>
  <c r="O115" i="26"/>
  <c r="N115" i="26"/>
  <c r="M115" i="26"/>
  <c r="L115" i="26"/>
  <c r="K115" i="26"/>
  <c r="C115" i="26"/>
  <c r="D115" i="26"/>
  <c r="E115" i="26"/>
  <c r="F115" i="26"/>
  <c r="G115" i="26"/>
  <c r="H115" i="26"/>
  <c r="I115" i="26"/>
  <c r="J115" i="26"/>
  <c r="J25" i="26"/>
  <c r="K25" i="26"/>
  <c r="L25" i="26"/>
  <c r="M25" i="26"/>
  <c r="N25" i="26"/>
  <c r="O25" i="26"/>
  <c r="P25" i="26"/>
  <c r="Q25" i="26"/>
  <c r="D25" i="26"/>
  <c r="E25" i="26"/>
  <c r="F25" i="26"/>
  <c r="G25" i="26"/>
  <c r="H25" i="26"/>
  <c r="I25" i="26"/>
  <c r="P11" i="26" l="1"/>
  <c r="P35" i="16"/>
  <c r="P37" i="16" s="1"/>
  <c r="P38" i="16" s="1"/>
  <c r="N23" i="16"/>
  <c r="N22" i="16"/>
  <c r="O23" i="16"/>
  <c r="O22" i="16"/>
  <c r="P22" i="16"/>
  <c r="P23" i="16"/>
  <c r="D23" i="16"/>
  <c r="D22" i="16"/>
  <c r="C23" i="16"/>
  <c r="C22" i="16"/>
  <c r="E23" i="16"/>
  <c r="E22" i="16"/>
  <c r="Q22" i="16"/>
  <c r="Q23" i="16"/>
  <c r="J23" i="16"/>
  <c r="J22" i="16"/>
  <c r="K22" i="16"/>
  <c r="K23" i="16"/>
  <c r="G22" i="16"/>
  <c r="G23" i="16"/>
  <c r="F23" i="16"/>
  <c r="F22" i="16"/>
  <c r="I23" i="16"/>
  <c r="I22" i="16"/>
  <c r="L23" i="16"/>
  <c r="L22" i="16"/>
  <c r="H23" i="16"/>
  <c r="H22" i="16"/>
  <c r="M22" i="16"/>
  <c r="M23" i="16"/>
  <c r="D8" i="25"/>
  <c r="D64" i="25" s="1"/>
  <c r="D66" i="25" s="1"/>
  <c r="F8" i="25"/>
  <c r="H8" i="25"/>
  <c r="J8" i="25"/>
  <c r="J64" i="25" s="1"/>
  <c r="J66" i="25" s="1"/>
  <c r="M8" i="25"/>
  <c r="M64" i="25" s="1"/>
  <c r="M66" i="25" s="1"/>
  <c r="E8" i="25"/>
  <c r="L8" i="25"/>
  <c r="L64" i="25" s="1"/>
  <c r="L66" i="25" s="1"/>
  <c r="Q8" i="25"/>
  <c r="N8" i="25"/>
  <c r="O8" i="25"/>
  <c r="P8" i="25"/>
  <c r="P64" i="25" s="1"/>
  <c r="P66" i="25" s="1"/>
  <c r="G8" i="25"/>
  <c r="G64" i="25" s="1"/>
  <c r="G66" i="25" s="1"/>
  <c r="C8" i="25"/>
  <c r="K8" i="25"/>
  <c r="I8" i="25"/>
  <c r="D9" i="26"/>
  <c r="E9" i="26"/>
  <c r="F9" i="26"/>
  <c r="G9" i="26"/>
  <c r="H9" i="26"/>
  <c r="I9" i="26"/>
  <c r="J9" i="26"/>
  <c r="K9" i="26"/>
  <c r="L9" i="26"/>
  <c r="M9" i="26"/>
  <c r="N9" i="26"/>
  <c r="O9" i="26"/>
  <c r="P9" i="26"/>
  <c r="Q9" i="26"/>
  <c r="D57" i="26"/>
  <c r="D11" i="16" s="1"/>
  <c r="E57" i="26"/>
  <c r="E11" i="16" s="1"/>
  <c r="F57" i="26"/>
  <c r="F11" i="16" s="1"/>
  <c r="G57" i="26"/>
  <c r="G11" i="16" s="1"/>
  <c r="H57" i="26"/>
  <c r="H11" i="16" s="1"/>
  <c r="I57" i="26"/>
  <c r="I11" i="16" s="1"/>
  <c r="J57" i="26"/>
  <c r="J11" i="16" s="1"/>
  <c r="K57" i="26"/>
  <c r="K11" i="16" s="1"/>
  <c r="L57" i="26"/>
  <c r="L11" i="16" s="1"/>
  <c r="M57" i="26"/>
  <c r="M11" i="16" s="1"/>
  <c r="N57" i="26"/>
  <c r="N11" i="16" s="1"/>
  <c r="O57" i="26"/>
  <c r="P57" i="26"/>
  <c r="Q57" i="26"/>
  <c r="Q11" i="16" s="1"/>
  <c r="C26" i="26"/>
  <c r="C25" i="26" s="1"/>
  <c r="C57" i="26"/>
  <c r="C11" i="16" s="1"/>
  <c r="C9" i="26"/>
  <c r="Q18" i="12"/>
  <c r="O18" i="12"/>
  <c r="O14" i="12" s="1"/>
  <c r="N18" i="12"/>
  <c r="N14" i="12" s="1"/>
  <c r="J10" i="26"/>
  <c r="Q14" i="12" l="1"/>
  <c r="Q20" i="12" s="1"/>
  <c r="Q57" i="12" s="1"/>
  <c r="U57" i="12" s="1"/>
  <c r="N20" i="12"/>
  <c r="N57" i="12" s="1"/>
  <c r="O20" i="12"/>
  <c r="O57" i="12" s="1"/>
  <c r="J35" i="16"/>
  <c r="J37" i="16" s="1"/>
  <c r="J38" i="16" s="1"/>
  <c r="J11" i="26"/>
  <c r="P56" i="26"/>
  <c r="P11" i="16"/>
  <c r="N8" i="16"/>
  <c r="N9" i="16"/>
  <c r="N10" i="16"/>
  <c r="O56" i="26"/>
  <c r="O11" i="16"/>
  <c r="K10" i="16"/>
  <c r="K9" i="16"/>
  <c r="K8" i="16"/>
  <c r="M10" i="16"/>
  <c r="M8" i="16"/>
  <c r="M9" i="16"/>
  <c r="C9" i="16"/>
  <c r="C10" i="16"/>
  <c r="C8" i="16"/>
  <c r="J9" i="16"/>
  <c r="J10" i="16"/>
  <c r="J8" i="16"/>
  <c r="F8" i="16"/>
  <c r="F9" i="16"/>
  <c r="F10" i="16"/>
  <c r="L8" i="16"/>
  <c r="L10" i="16"/>
  <c r="L9" i="16"/>
  <c r="Q9" i="16"/>
  <c r="Q8" i="16"/>
  <c r="Q10" i="16"/>
  <c r="I9" i="16"/>
  <c r="I8" i="16"/>
  <c r="I10" i="16"/>
  <c r="D8" i="16"/>
  <c r="D9" i="16"/>
  <c r="D10" i="16"/>
  <c r="P9" i="16"/>
  <c r="P8" i="16"/>
  <c r="P10" i="16"/>
  <c r="H10" i="16"/>
  <c r="H9" i="16"/>
  <c r="H8" i="16"/>
  <c r="E10" i="16"/>
  <c r="E9" i="16"/>
  <c r="E8" i="16"/>
  <c r="O8" i="16"/>
  <c r="O10" i="16"/>
  <c r="O9" i="16"/>
  <c r="G8" i="16"/>
  <c r="G10" i="16"/>
  <c r="G9" i="16"/>
  <c r="Q21" i="29"/>
  <c r="Q8" i="29" s="1"/>
  <c r="Q15" i="12"/>
  <c r="E64" i="25"/>
  <c r="E66" i="25" s="1"/>
  <c r="F64" i="25"/>
  <c r="F66" i="25" s="1"/>
  <c r="H64" i="25"/>
  <c r="H66" i="25" s="1"/>
  <c r="Q64" i="25"/>
  <c r="Q66" i="25" s="1"/>
  <c r="I64" i="25"/>
  <c r="I66" i="25" s="1"/>
  <c r="K64" i="25"/>
  <c r="K66" i="25" s="1"/>
  <c r="C64" i="25"/>
  <c r="C66" i="25" s="1"/>
  <c r="N64" i="25"/>
  <c r="N66" i="25" s="1"/>
  <c r="O64" i="25"/>
  <c r="O66" i="25" s="1"/>
  <c r="P8" i="26"/>
  <c r="P21" i="16" s="1"/>
  <c r="Q56" i="26"/>
  <c r="O8" i="26"/>
  <c r="O21" i="16" s="1"/>
  <c r="G8" i="26"/>
  <c r="G21" i="16" s="1"/>
  <c r="N56" i="26"/>
  <c r="F56" i="26"/>
  <c r="K8" i="26"/>
  <c r="K21" i="16" s="1"/>
  <c r="J8" i="26"/>
  <c r="J21" i="16" s="1"/>
  <c r="Q8" i="26"/>
  <c r="Q21" i="16" s="1"/>
  <c r="I8" i="26"/>
  <c r="I21" i="16" s="1"/>
  <c r="H8" i="26"/>
  <c r="H21" i="16" s="1"/>
  <c r="N8" i="26"/>
  <c r="N21" i="16" s="1"/>
  <c r="J56" i="26"/>
  <c r="F8" i="26"/>
  <c r="F21" i="16" s="1"/>
  <c r="M8" i="26"/>
  <c r="M21" i="16" s="1"/>
  <c r="E8" i="26"/>
  <c r="E21" i="16" s="1"/>
  <c r="L8" i="26"/>
  <c r="L21" i="16" s="1"/>
  <c r="D8" i="26"/>
  <c r="D21" i="16" s="1"/>
  <c r="K56" i="26"/>
  <c r="I56" i="26"/>
  <c r="G56" i="26"/>
  <c r="L56" i="26"/>
  <c r="D56" i="26"/>
  <c r="H56" i="26"/>
  <c r="M56" i="26"/>
  <c r="E56" i="26"/>
  <c r="V57" i="12" l="1"/>
  <c r="W57" i="12" s="1"/>
  <c r="X57" i="12" s="1"/>
  <c r="T57" i="12"/>
  <c r="Q45" i="12"/>
  <c r="Q71" i="12" s="1"/>
  <c r="Q74" i="12"/>
  <c r="O33" i="16"/>
  <c r="O34" i="16" s="1"/>
  <c r="O10" i="26"/>
  <c r="O35" i="16" s="1"/>
  <c r="O37" i="16" s="1"/>
  <c r="O38" i="16" s="1"/>
  <c r="O15" i="12"/>
  <c r="N74" i="12"/>
  <c r="N45" i="12"/>
  <c r="N71" i="12" s="1"/>
  <c r="O74" i="12"/>
  <c r="O45" i="12"/>
  <c r="O71" i="12" s="1"/>
  <c r="N15" i="12"/>
  <c r="N33" i="16"/>
  <c r="N34" i="16" s="1"/>
  <c r="N10" i="26"/>
  <c r="N11" i="26" s="1"/>
  <c r="Q33" i="16"/>
  <c r="Q34" i="16" s="1"/>
  <c r="Q10" i="26"/>
  <c r="J16" i="28"/>
  <c r="I16" i="28" s="1"/>
  <c r="H16" i="28" s="1"/>
  <c r="G16" i="28" s="1"/>
  <c r="L16" i="28"/>
  <c r="M16" i="28" s="1"/>
  <c r="N16" i="28" s="1"/>
  <c r="O16" i="28" s="1"/>
  <c r="O11" i="26" l="1"/>
  <c r="Y57" i="12"/>
  <c r="N35" i="16"/>
  <c r="N37" i="16" s="1"/>
  <c r="N38" i="16" s="1"/>
  <c r="Q35" i="16"/>
  <c r="Q37" i="16" s="1"/>
  <c r="Q38" i="16" s="1"/>
  <c r="Q11" i="26"/>
  <c r="Z57" i="12" l="1"/>
  <c r="Q79" i="12"/>
  <c r="Q78" i="12" s="1"/>
  <c r="AA57" i="12" l="1"/>
  <c r="V93" i="12"/>
  <c r="W97" i="12"/>
  <c r="W99" i="12" s="1"/>
  <c r="AB57" i="12" l="1"/>
  <c r="W93" i="12"/>
  <c r="X97" i="12"/>
  <c r="X99" i="12" s="1"/>
  <c r="AC57" i="12" l="1"/>
  <c r="X93" i="12"/>
  <c r="Y97" i="12"/>
  <c r="Y99" i="12" s="1"/>
  <c r="Y93" i="12" l="1"/>
  <c r="Z97" i="12"/>
  <c r="Z99" i="12" s="1"/>
  <c r="Z93" i="12" l="1"/>
  <c r="AA97" i="12"/>
  <c r="AA99" i="12" s="1"/>
  <c r="AA93" i="12" l="1"/>
  <c r="AB97" i="12"/>
  <c r="AB99" i="12" s="1"/>
  <c r="AB93" i="12" l="1"/>
  <c r="AC97" i="12"/>
  <c r="AC99" i="12" s="1"/>
  <c r="H7" i="16"/>
  <c r="G7" i="16" s="1"/>
  <c r="F7" i="16" s="1"/>
  <c r="E7" i="16" s="1"/>
  <c r="D7" i="16" s="1"/>
  <c r="C7" i="16" s="1"/>
  <c r="AC93" i="12" l="1"/>
  <c r="Q48" i="12"/>
  <c r="Q13" i="12" l="1"/>
  <c r="Q81" i="12"/>
  <c r="Q18" i="16" l="1"/>
  <c r="Q19" i="16"/>
  <c r="Q25" i="16" s="1"/>
  <c r="Q26" i="12"/>
  <c r="Q22" i="12"/>
  <c r="Q47" i="12"/>
  <c r="Q51" i="12" l="1"/>
  <c r="Q24" i="12"/>
  <c r="U25" i="12" s="1"/>
  <c r="Q68" i="12"/>
  <c r="Q69" i="12"/>
  <c r="Q70" i="12" s="1"/>
  <c r="Q26" i="16"/>
  <c r="Q27" i="12"/>
  <c r="Q25" i="12"/>
  <c r="Q49" i="12"/>
  <c r="Q72" i="12" l="1"/>
  <c r="Q12" i="16"/>
  <c r="Q13" i="16"/>
  <c r="Q16" i="16"/>
  <c r="C56" i="26" l="1"/>
  <c r="C8" i="26" l="1"/>
  <c r="C21" i="16" s="1"/>
  <c r="D48" i="12"/>
  <c r="E48" i="12"/>
  <c r="F48" i="12"/>
  <c r="G48" i="12"/>
  <c r="H48" i="12"/>
  <c r="I48" i="12"/>
  <c r="J48" i="12"/>
  <c r="K48" i="12"/>
  <c r="L48" i="12"/>
  <c r="M48" i="12"/>
  <c r="N48" i="12"/>
  <c r="O48" i="12"/>
  <c r="P48" i="12"/>
  <c r="C48" i="12"/>
  <c r="D13" i="12" l="1"/>
  <c r="D81" i="12"/>
  <c r="N81" i="12"/>
  <c r="M81" i="12"/>
  <c r="L81" i="12"/>
  <c r="C13" i="12"/>
  <c r="C81" i="12"/>
  <c r="I81" i="12"/>
  <c r="F13" i="12"/>
  <c r="F81" i="12"/>
  <c r="E13" i="12"/>
  <c r="E81" i="12"/>
  <c r="K81" i="12"/>
  <c r="J81" i="12"/>
  <c r="P81" i="12"/>
  <c r="H13" i="12"/>
  <c r="H81" i="12"/>
  <c r="O81" i="12"/>
  <c r="G13" i="12"/>
  <c r="G81" i="12"/>
  <c r="J44" i="16"/>
  <c r="K44" i="16" s="1"/>
  <c r="L44" i="16" s="1"/>
  <c r="M44" i="16" s="1"/>
  <c r="N44" i="16" s="1"/>
  <c r="O44" i="16" s="1"/>
  <c r="P44" i="16" s="1"/>
  <c r="Q44" i="16" s="1"/>
  <c r="R44" i="16" s="1"/>
  <c r="S44" i="16" s="1"/>
  <c r="T44" i="16" s="1"/>
  <c r="U44" i="16" s="1"/>
  <c r="V44" i="16" s="1"/>
  <c r="W44" i="16" s="1"/>
  <c r="X44" i="16" s="1"/>
  <c r="Y44" i="16" s="1"/>
  <c r="Z44" i="16" s="1"/>
  <c r="J7" i="16"/>
  <c r="K7" i="16" s="1"/>
  <c r="L7" i="16" s="1"/>
  <c r="M7" i="16" s="1"/>
  <c r="N7" i="16" s="1"/>
  <c r="O7" i="16" s="1"/>
  <c r="P7" i="16" s="1"/>
  <c r="J108" i="20"/>
  <c r="K108" i="20" s="1"/>
  <c r="L108" i="20" s="1"/>
  <c r="M108" i="20" s="1"/>
  <c r="N108" i="20" s="1"/>
  <c r="J7" i="20"/>
  <c r="J7" i="25"/>
  <c r="K7" i="25" s="1"/>
  <c r="L7" i="25" s="1"/>
  <c r="M7" i="25" s="1"/>
  <c r="N7" i="25" s="1"/>
  <c r="O7" i="25" s="1"/>
  <c r="P7" i="25" s="1"/>
  <c r="J7" i="26"/>
  <c r="K7" i="26" s="1"/>
  <c r="L7" i="26" s="1"/>
  <c r="M7" i="26" s="1"/>
  <c r="N7" i="26" s="1"/>
  <c r="O7" i="26" s="1"/>
  <c r="P7" i="26" s="1"/>
  <c r="O18" i="16" l="1"/>
  <c r="O19" i="16"/>
  <c r="O25" i="16" s="1"/>
  <c r="P18" i="16"/>
  <c r="P19" i="16"/>
  <c r="P25" i="16" s="1"/>
  <c r="J19" i="16"/>
  <c r="J25" i="16" s="1"/>
  <c r="J18" i="16"/>
  <c r="K18" i="16"/>
  <c r="K19" i="16"/>
  <c r="K25" i="16" s="1"/>
  <c r="I19" i="16"/>
  <c r="I25" i="16" s="1"/>
  <c r="I18" i="16"/>
  <c r="L19" i="16"/>
  <c r="L25" i="16" s="1"/>
  <c r="L18" i="16"/>
  <c r="M19" i="16"/>
  <c r="M25" i="16" s="1"/>
  <c r="M18" i="16"/>
  <c r="N19" i="16"/>
  <c r="N25" i="16" s="1"/>
  <c r="N18" i="16"/>
  <c r="H79" i="12"/>
  <c r="H78" i="12" s="1"/>
  <c r="E79" i="12"/>
  <c r="E78" i="12" s="1"/>
  <c r="J79" i="12"/>
  <c r="J78" i="12" s="1"/>
  <c r="D79" i="12"/>
  <c r="D78" i="12" s="1"/>
  <c r="L79" i="12"/>
  <c r="L78" i="12" s="1"/>
  <c r="G79" i="12"/>
  <c r="G78" i="12" s="1"/>
  <c r="O79" i="12"/>
  <c r="O78" i="12" s="1"/>
  <c r="P79" i="12"/>
  <c r="P78" i="12" s="1"/>
  <c r="K79" i="12"/>
  <c r="K78" i="12" s="1"/>
  <c r="N79" i="12"/>
  <c r="N78" i="12" s="1"/>
  <c r="M79" i="12"/>
  <c r="M78" i="12" s="1"/>
  <c r="I79" i="12"/>
  <c r="I78" i="12" s="1"/>
  <c r="F79" i="12"/>
  <c r="F78" i="12" s="1"/>
  <c r="K7" i="20"/>
  <c r="L7" i="20" s="1"/>
  <c r="K26" i="12"/>
  <c r="J26" i="12"/>
  <c r="N26" i="12"/>
  <c r="M26" i="12"/>
  <c r="P22" i="12"/>
  <c r="P51" i="12" s="1"/>
  <c r="P26" i="12"/>
  <c r="L22" i="12"/>
  <c r="L51" i="12" s="1"/>
  <c r="L26" i="12"/>
  <c r="O22" i="12"/>
  <c r="O51" i="12" s="1"/>
  <c r="O26" i="12"/>
  <c r="I22" i="12"/>
  <c r="I51" i="12" s="1"/>
  <c r="I26" i="12"/>
  <c r="K22" i="12"/>
  <c r="K51" i="12" s="1"/>
  <c r="M22" i="12"/>
  <c r="M51" i="12" s="1"/>
  <c r="N22" i="12"/>
  <c r="N51" i="12" s="1"/>
  <c r="J22" i="12"/>
  <c r="J51" i="12" s="1"/>
  <c r="O76" i="12"/>
  <c r="P76" i="12"/>
  <c r="L76" i="12"/>
  <c r="M76" i="12"/>
  <c r="N76" i="12"/>
  <c r="L26" i="16" l="1"/>
  <c r="N26" i="16"/>
  <c r="M26" i="16"/>
  <c r="P26" i="16"/>
  <c r="K26" i="16"/>
  <c r="O26" i="16"/>
  <c r="J26" i="16"/>
  <c r="I26" i="16"/>
  <c r="E18" i="16"/>
  <c r="E19" i="16"/>
  <c r="E25" i="16" s="1"/>
  <c r="H18" i="16"/>
  <c r="H19" i="16"/>
  <c r="H25" i="16" s="1"/>
  <c r="F18" i="16"/>
  <c r="F19" i="16"/>
  <c r="F25" i="16" s="1"/>
  <c r="C18" i="16"/>
  <c r="C19" i="16"/>
  <c r="C25" i="16" s="1"/>
  <c r="D18" i="16"/>
  <c r="D19" i="16"/>
  <c r="D25" i="16" s="1"/>
  <c r="G18" i="16"/>
  <c r="G19" i="16"/>
  <c r="G25" i="16" s="1"/>
  <c r="K47" i="12"/>
  <c r="P47" i="12"/>
  <c r="J47" i="12"/>
  <c r="L47" i="12"/>
  <c r="O47" i="12"/>
  <c r="N47" i="12"/>
  <c r="I47" i="12"/>
  <c r="M47" i="12"/>
  <c r="H26" i="12"/>
  <c r="E26" i="12"/>
  <c r="F26" i="12"/>
  <c r="N25" i="12"/>
  <c r="M25" i="12"/>
  <c r="J25" i="12"/>
  <c r="K25" i="12"/>
  <c r="H22" i="12"/>
  <c r="F22" i="12"/>
  <c r="G22" i="12"/>
  <c r="C26" i="12"/>
  <c r="C22" i="12"/>
  <c r="D26" i="12"/>
  <c r="G26" i="12"/>
  <c r="E22" i="12"/>
  <c r="D22" i="12"/>
  <c r="M7" i="20"/>
  <c r="L27" i="12"/>
  <c r="L25" i="12"/>
  <c r="I27" i="12"/>
  <c r="I25" i="12"/>
  <c r="O27" i="12"/>
  <c r="O25" i="12"/>
  <c r="P27" i="12"/>
  <c r="P25" i="12"/>
  <c r="N27" i="12"/>
  <c r="K27" i="12"/>
  <c r="J27" i="12"/>
  <c r="M27" i="12"/>
  <c r="M13" i="12"/>
  <c r="N13" i="12"/>
  <c r="I13" i="12"/>
  <c r="O13" i="12"/>
  <c r="K13" i="12"/>
  <c r="L68" i="12" l="1"/>
  <c r="L69" i="12"/>
  <c r="L70" i="12" s="1"/>
  <c r="K68" i="12"/>
  <c r="K69" i="12"/>
  <c r="K70" i="12" s="1"/>
  <c r="I69" i="12"/>
  <c r="I70" i="12" s="1"/>
  <c r="I68" i="12"/>
  <c r="N68" i="12"/>
  <c r="N69" i="12"/>
  <c r="N70" i="12" s="1"/>
  <c r="J69" i="12"/>
  <c r="J70" i="12" s="1"/>
  <c r="J68" i="12"/>
  <c r="P68" i="12"/>
  <c r="P69" i="12"/>
  <c r="P70" i="12" s="1"/>
  <c r="M68" i="12"/>
  <c r="M69" i="12"/>
  <c r="M70" i="12" s="1"/>
  <c r="O69" i="12"/>
  <c r="O70" i="12" s="1"/>
  <c r="O68" i="12"/>
  <c r="C26" i="16"/>
  <c r="C51" i="12"/>
  <c r="F26" i="16"/>
  <c r="F51" i="12"/>
  <c r="D26" i="16"/>
  <c r="D51" i="12"/>
  <c r="H26" i="16"/>
  <c r="E26" i="16"/>
  <c r="E51" i="12"/>
  <c r="G26" i="16"/>
  <c r="P49" i="12"/>
  <c r="I49" i="12"/>
  <c r="K49" i="12"/>
  <c r="N49" i="12"/>
  <c r="O49" i="12"/>
  <c r="M49" i="12"/>
  <c r="L49" i="12"/>
  <c r="J49" i="12"/>
  <c r="L72" i="12"/>
  <c r="L12" i="16"/>
  <c r="L13" i="16"/>
  <c r="L16" i="16"/>
  <c r="N72" i="12"/>
  <c r="N12" i="16"/>
  <c r="N13" i="16"/>
  <c r="N16" i="16"/>
  <c r="K72" i="12"/>
  <c r="K13" i="16"/>
  <c r="K16" i="16"/>
  <c r="K12" i="16"/>
  <c r="P72" i="12"/>
  <c r="P12" i="16"/>
  <c r="P13" i="16"/>
  <c r="P16" i="16"/>
  <c r="O72" i="12"/>
  <c r="O12" i="16"/>
  <c r="O13" i="16"/>
  <c r="O16" i="16"/>
  <c r="M72" i="12"/>
  <c r="M12" i="16"/>
  <c r="M13" i="16"/>
  <c r="M16" i="16"/>
  <c r="J72" i="12"/>
  <c r="J16" i="16"/>
  <c r="J12" i="16"/>
  <c r="J13" i="16"/>
  <c r="I72" i="12"/>
  <c r="I12" i="16"/>
  <c r="I16" i="16"/>
  <c r="I13" i="16"/>
  <c r="D15" i="16"/>
  <c r="D14" i="16"/>
  <c r="D91" i="12" s="1"/>
  <c r="C15" i="16"/>
  <c r="C14" i="16"/>
  <c r="C91" i="12" s="1"/>
  <c r="H15" i="16"/>
  <c r="H14" i="16"/>
  <c r="H91" i="12" s="1"/>
  <c r="E15" i="16"/>
  <c r="E14" i="16"/>
  <c r="E91" i="12" s="1"/>
  <c r="F15" i="16"/>
  <c r="F14" i="16"/>
  <c r="F91" i="12" s="1"/>
  <c r="G15" i="16"/>
  <c r="G14" i="16"/>
  <c r="G91" i="12" s="1"/>
  <c r="C47" i="12"/>
  <c r="F47" i="12"/>
  <c r="G47" i="12"/>
  <c r="H47" i="12"/>
  <c r="E47" i="12"/>
  <c r="D47" i="12"/>
  <c r="H27" i="12"/>
  <c r="C25" i="12"/>
  <c r="H25" i="12"/>
  <c r="C27" i="12"/>
  <c r="C77" i="12"/>
  <c r="C90" i="12" s="1"/>
  <c r="F25" i="12"/>
  <c r="H77" i="12"/>
  <c r="H90" i="12" s="1"/>
  <c r="E77" i="12"/>
  <c r="E90" i="12" s="1"/>
  <c r="G77" i="12"/>
  <c r="G90" i="12" s="1"/>
  <c r="F27" i="12"/>
  <c r="E25" i="12"/>
  <c r="G27" i="12"/>
  <c r="F77" i="12"/>
  <c r="F90" i="12" s="1"/>
  <c r="D77" i="12"/>
  <c r="D90" i="12" s="1"/>
  <c r="G25" i="12"/>
  <c r="E27" i="12"/>
  <c r="D25" i="12"/>
  <c r="D27" i="12"/>
  <c r="N7" i="20"/>
  <c r="J13" i="12"/>
  <c r="P13" i="12"/>
  <c r="L13" i="12"/>
  <c r="C69" i="12" l="1"/>
  <c r="C68" i="12"/>
  <c r="C70" i="12" s="1"/>
  <c r="D69" i="12"/>
  <c r="D68" i="12"/>
  <c r="D70" i="12" s="1"/>
  <c r="F68" i="12"/>
  <c r="F69" i="12"/>
  <c r="F70" i="12" s="1"/>
  <c r="E68" i="12"/>
  <c r="E69" i="12"/>
  <c r="E70" i="12" s="1"/>
  <c r="H69" i="12"/>
  <c r="H70" i="12" s="1"/>
  <c r="H68" i="12"/>
  <c r="G68" i="12"/>
  <c r="G69" i="12"/>
  <c r="G70" i="12" s="1"/>
  <c r="G49" i="12"/>
  <c r="F49" i="12"/>
  <c r="D49" i="12"/>
  <c r="C49" i="12"/>
  <c r="E49" i="12"/>
  <c r="H49" i="12"/>
  <c r="H72" i="12"/>
  <c r="H12" i="16"/>
  <c r="H13" i="16"/>
  <c r="H16" i="16"/>
  <c r="E72" i="12"/>
  <c r="E12" i="16"/>
  <c r="E13" i="16"/>
  <c r="E16" i="16"/>
  <c r="G72" i="12"/>
  <c r="G12" i="16"/>
  <c r="G13" i="16"/>
  <c r="G16" i="16"/>
  <c r="D72" i="12"/>
  <c r="D12" i="16"/>
  <c r="D13" i="16"/>
  <c r="D16" i="16"/>
  <c r="F72" i="12"/>
  <c r="F12" i="16"/>
  <c r="F13" i="16"/>
  <c r="F16" i="16"/>
  <c r="C72" i="12"/>
  <c r="C16" i="16"/>
  <c r="C13" i="16"/>
  <c r="C12" i="16"/>
  <c r="J14" i="16"/>
  <c r="J91" i="12" s="1"/>
  <c r="J15" i="16"/>
  <c r="K15" i="16"/>
  <c r="K14" i="16"/>
  <c r="K91" i="12" s="1"/>
  <c r="L15" i="16"/>
  <c r="L14" i="16"/>
  <c r="L91" i="12" s="1"/>
  <c r="P14" i="16"/>
  <c r="P91" i="12" s="1"/>
  <c r="P15" i="16"/>
  <c r="K77" i="12"/>
  <c r="K90" i="12" s="1"/>
  <c r="L77" i="12"/>
  <c r="L90" i="12" s="1"/>
  <c r="J77" i="12"/>
  <c r="J90" i="12" s="1"/>
  <c r="P77" i="12"/>
  <c r="P90" i="12" s="1"/>
  <c r="O7" i="20"/>
  <c r="P7" i="20" s="1"/>
  <c r="V83" i="20" l="1"/>
  <c r="T70" i="12"/>
  <c r="Q7" i="20"/>
  <c r="I14" i="16"/>
  <c r="I91" i="12" s="1"/>
  <c r="I15" i="16"/>
  <c r="O14" i="16"/>
  <c r="O91" i="12" s="1"/>
  <c r="O15" i="16"/>
  <c r="M15" i="16"/>
  <c r="M14" i="16"/>
  <c r="M91" i="12" s="1"/>
  <c r="N14" i="16"/>
  <c r="N91" i="12" s="1"/>
  <c r="N15" i="16"/>
  <c r="I77" i="12"/>
  <c r="I90" i="12" s="1"/>
  <c r="N77" i="12"/>
  <c r="N90" i="12" s="1"/>
  <c r="M77" i="12"/>
  <c r="M90" i="12" s="1"/>
  <c r="O77" i="12"/>
  <c r="O90" i="12" s="1"/>
  <c r="W83" i="20" l="1"/>
  <c r="X83" i="20"/>
  <c r="Y83" i="20" s="1"/>
  <c r="Z83" i="20" s="1"/>
  <c r="AA83" i="20" s="1"/>
  <c r="AB83" i="20" s="1"/>
  <c r="V64" i="20"/>
  <c r="V60" i="20"/>
  <c r="W60" i="20" s="1"/>
  <c r="AD101" i="20"/>
  <c r="V101" i="20" s="1"/>
  <c r="W101" i="20" s="1"/>
  <c r="X101" i="20" s="1"/>
  <c r="Y101" i="20" s="1"/>
  <c r="Z101" i="20" s="1"/>
  <c r="AA101" i="20" s="1"/>
  <c r="AB101" i="20" s="1"/>
  <c r="AC101" i="20" s="1"/>
  <c r="AD102" i="20"/>
  <c r="V102" i="20" s="1"/>
  <c r="W102" i="20" s="1"/>
  <c r="X102" i="20" s="1"/>
  <c r="Y102" i="20" s="1"/>
  <c r="Z102" i="20" s="1"/>
  <c r="AA102" i="20" s="1"/>
  <c r="AB102" i="20" s="1"/>
  <c r="AC102" i="20" s="1"/>
  <c r="AD96" i="20"/>
  <c r="AD22" i="20"/>
  <c r="V23" i="20" s="1"/>
  <c r="W23" i="20" s="1"/>
  <c r="X23" i="20" s="1"/>
  <c r="Y23" i="20" s="1"/>
  <c r="Z23" i="20" s="1"/>
  <c r="AA23" i="20" s="1"/>
  <c r="AB23" i="20" s="1"/>
  <c r="AD24" i="20"/>
  <c r="V25" i="20" s="1"/>
  <c r="W25" i="20" s="1"/>
  <c r="X25" i="20" s="1"/>
  <c r="Y25" i="20" s="1"/>
  <c r="Z25" i="20" s="1"/>
  <c r="AA25" i="20" s="1"/>
  <c r="AB25" i="20" s="1"/>
  <c r="V62" i="20"/>
  <c r="W62" i="20" s="1"/>
  <c r="X62" i="20" s="1"/>
  <c r="Y62" i="20" s="1"/>
  <c r="Z62" i="20" s="1"/>
  <c r="AA62" i="20" s="1"/>
  <c r="AB62" i="20" s="1"/>
  <c r="AD35" i="20"/>
  <c r="V36" i="20" s="1"/>
  <c r="AD8" i="20"/>
  <c r="U76" i="20"/>
  <c r="AD39" i="20"/>
  <c r="AD37" i="20"/>
  <c r="AD38" i="20"/>
  <c r="V63" i="20" l="1"/>
  <c r="W64" i="20"/>
  <c r="X64" i="20" s="1"/>
  <c r="Y64" i="20" s="1"/>
  <c r="Z64" i="20" s="1"/>
  <c r="AA64" i="20" s="1"/>
  <c r="AB64" i="20" s="1"/>
  <c r="V76" i="20"/>
  <c r="W76" i="20" s="1"/>
  <c r="X76" i="20" s="1"/>
  <c r="Y76" i="20" s="1"/>
  <c r="W85" i="20"/>
  <c r="Z85" i="20"/>
  <c r="X85" i="20"/>
  <c r="AA85" i="20"/>
  <c r="Y85" i="20"/>
  <c r="AB85" i="20"/>
  <c r="AC85" i="20"/>
  <c r="V85" i="20"/>
  <c r="V84" i="20" s="1"/>
  <c r="W84" i="20" s="1"/>
  <c r="X84" i="20" s="1"/>
  <c r="Y84" i="20" s="1"/>
  <c r="Z84" i="20" s="1"/>
  <c r="AA84" i="20" s="1"/>
  <c r="AB84" i="20" s="1"/>
  <c r="AC84" i="20" s="1"/>
  <c r="X54" i="20"/>
  <c r="AB54" i="20"/>
  <c r="V54" i="20"/>
  <c r="AC54" i="20"/>
  <c r="W54" i="20"/>
  <c r="Z54" i="20"/>
  <c r="AA54" i="20"/>
  <c r="Y54" i="20"/>
  <c r="W36" i="20"/>
  <c r="X36" i="20" s="1"/>
  <c r="Y36" i="20" s="1"/>
  <c r="Z36" i="20" s="1"/>
  <c r="AA36" i="20" s="1"/>
  <c r="AB36" i="20" s="1"/>
  <c r="U7" i="20"/>
  <c r="W63" i="20" l="1"/>
  <c r="X63" i="20" s="1"/>
  <c r="Y63" i="20" s="1"/>
  <c r="Z63" i="20" s="1"/>
  <c r="AA63" i="20" s="1"/>
  <c r="AB63" i="20" s="1"/>
  <c r="AC63" i="20" s="1"/>
  <c r="V98" i="20"/>
  <c r="V75" i="20"/>
  <c r="W75" i="20" s="1"/>
  <c r="X75" i="20" s="1"/>
  <c r="Y75" i="20" s="1"/>
  <c r="Z75" i="20" s="1"/>
  <c r="AA75" i="20" s="1"/>
  <c r="AB75" i="20" s="1"/>
  <c r="AC75" i="20" s="1"/>
  <c r="V22" i="20"/>
  <c r="V12" i="20" s="1"/>
  <c r="V35" i="20"/>
  <c r="W35" i="20" s="1"/>
  <c r="X35" i="20" s="1"/>
  <c r="Y35" i="20" s="1"/>
  <c r="Z35" i="20" s="1"/>
  <c r="AA35" i="20" s="1"/>
  <c r="AB35" i="20" s="1"/>
  <c r="AC35" i="20" s="1"/>
  <c r="V24" i="20"/>
  <c r="W24" i="20" s="1"/>
  <c r="X24" i="20" s="1"/>
  <c r="Q14" i="16"/>
  <c r="Q91" i="12" s="1"/>
  <c r="Q15" i="16"/>
  <c r="Q77" i="12"/>
  <c r="Q90" i="12" s="1"/>
  <c r="V7" i="20"/>
  <c r="W7" i="20" s="1"/>
  <c r="X7" i="20" s="1"/>
  <c r="Y7" i="20" s="1"/>
  <c r="Z7" i="20" s="1"/>
  <c r="AA7" i="20" s="1"/>
  <c r="AB7" i="20" s="1"/>
  <c r="AC7" i="20" s="1"/>
  <c r="W98" i="20" l="1"/>
  <c r="W22" i="20"/>
  <c r="X22" i="20" s="1"/>
  <c r="X12" i="20" s="1"/>
  <c r="Y24" i="20" l="1"/>
  <c r="Z24" i="20" s="1"/>
  <c r="X98" i="20"/>
  <c r="Y22" i="20"/>
  <c r="Z22" i="20" s="1"/>
  <c r="W12" i="20"/>
  <c r="Y98" i="20" l="1"/>
  <c r="Y12" i="20"/>
  <c r="AA22" i="20"/>
  <c r="Z12" i="20"/>
  <c r="AA24" i="20" l="1"/>
  <c r="AB24" i="20" s="1"/>
  <c r="AC24" i="20" s="1"/>
  <c r="Z98" i="20"/>
  <c r="AB22" i="20"/>
  <c r="AA12" i="20"/>
  <c r="AA98" i="20" l="1"/>
  <c r="AC22" i="20"/>
  <c r="AC12" i="20" s="1"/>
  <c r="AB12" i="20"/>
  <c r="AC98" i="20" l="1"/>
  <c r="AB98" i="20"/>
  <c r="U34" i="20" l="1"/>
  <c r="U11" i="20"/>
  <c r="AD34" i="20" l="1"/>
  <c r="V34" i="20" s="1"/>
  <c r="W34" i="20" l="1"/>
  <c r="X34" i="20" s="1"/>
  <c r="Y34" i="20" s="1"/>
  <c r="Z34" i="20" s="1"/>
  <c r="AA34" i="20" s="1"/>
  <c r="AB34" i="20" s="1"/>
  <c r="AC34" i="20" s="1"/>
  <c r="V26" i="20"/>
  <c r="V11" i="20" s="1"/>
  <c r="W26" i="20" l="1"/>
  <c r="W11" i="20" s="1"/>
  <c r="X26" i="20"/>
  <c r="X11" i="20" s="1"/>
  <c r="Y26" i="20" l="1"/>
  <c r="Y11" i="20" s="1"/>
  <c r="Z26" i="20" l="1"/>
  <c r="Z11" i="20" s="1"/>
  <c r="AA26" i="20" l="1"/>
  <c r="AA11" i="20" s="1"/>
  <c r="AC26" i="20" l="1"/>
  <c r="AC11" i="20" s="1"/>
  <c r="AB26" i="20"/>
  <c r="AB11" i="20" s="1"/>
  <c r="U51" i="20"/>
  <c r="V52" i="20" s="1"/>
  <c r="W52" i="20" l="1"/>
  <c r="X52" i="20" s="1"/>
  <c r="Y52" i="20" s="1"/>
  <c r="Z52" i="20" s="1"/>
  <c r="AA52" i="20" s="1"/>
  <c r="AB52" i="20" s="1"/>
  <c r="U52" i="20"/>
  <c r="V51" i="20" l="1"/>
  <c r="W51" i="20" l="1"/>
  <c r="V41" i="20"/>
  <c r="X51" i="20" l="1"/>
  <c r="W41" i="20"/>
  <c r="Y51" i="20" l="1"/>
  <c r="X41" i="20"/>
  <c r="Z51" i="20" l="1"/>
  <c r="Y41" i="20"/>
  <c r="Z41" i="20" l="1"/>
  <c r="AA51" i="20"/>
  <c r="U62" i="20"/>
  <c r="AB51" i="20" l="1"/>
  <c r="AA41" i="20"/>
  <c r="V61" i="20"/>
  <c r="AC51" i="20" l="1"/>
  <c r="AC41" i="20" s="1"/>
  <c r="AB41" i="20"/>
  <c r="W61" i="20"/>
  <c r="X61" i="20" l="1"/>
  <c r="Y61" i="20" l="1"/>
  <c r="Z61" i="20" l="1"/>
  <c r="AA61" i="20" l="1"/>
  <c r="AB61" i="20" l="1"/>
  <c r="AC61" i="20" l="1"/>
  <c r="V53" i="20" l="1"/>
  <c r="W53" i="20" l="1"/>
  <c r="X53" i="20" l="1"/>
  <c r="Y53" i="20" l="1"/>
  <c r="Z53" i="20" l="1"/>
  <c r="AA53" i="20" l="1"/>
  <c r="AB53" i="20" l="1"/>
  <c r="AC53" i="20" l="1"/>
  <c r="U73" i="20"/>
  <c r="U67" i="20"/>
  <c r="U74" i="20" l="1"/>
  <c r="V74" i="20" l="1"/>
  <c r="V73" i="20" s="1"/>
  <c r="V68" i="20" s="1"/>
  <c r="W74" i="20" l="1"/>
  <c r="X74" i="20" l="1"/>
  <c r="Y74" i="20" s="1"/>
  <c r="Z74" i="20" s="1"/>
  <c r="AA74" i="20" s="1"/>
  <c r="AB74" i="20" s="1"/>
  <c r="W73" i="20"/>
  <c r="W68" i="20" s="1"/>
  <c r="X73" i="20" l="1"/>
  <c r="X68" i="20" s="1"/>
  <c r="Y73" i="20" l="1"/>
  <c r="Y68" i="20" s="1"/>
  <c r="Z73" i="20" l="1"/>
  <c r="AA73" i="20" s="1"/>
  <c r="Z68" i="20" l="1"/>
  <c r="AB73" i="20"/>
  <c r="AA68" i="20"/>
  <c r="AC73" i="20" l="1"/>
  <c r="AC68" i="20" s="1"/>
  <c r="AB68" i="20"/>
  <c r="V82" i="20" l="1"/>
  <c r="V77" i="20" l="1"/>
  <c r="V67" i="20" s="1"/>
  <c r="W82" i="20"/>
  <c r="W77" i="20" s="1"/>
  <c r="W67" i="20" l="1"/>
  <c r="X82" i="20"/>
  <c r="Y82" i="20" l="1"/>
  <c r="X77" i="20"/>
  <c r="X67" i="20" s="1"/>
  <c r="Y77" i="20" l="1"/>
  <c r="Y67" i="20" s="1"/>
  <c r="Z82" i="20"/>
  <c r="Z77" i="20" l="1"/>
  <c r="Z67" i="20" s="1"/>
  <c r="AA82" i="20"/>
  <c r="AB82" i="20" l="1"/>
  <c r="AA77" i="20"/>
  <c r="AA67" i="20" s="1"/>
  <c r="AC82" i="20" l="1"/>
  <c r="AC77" i="20" s="1"/>
  <c r="AC67" i="20" s="1"/>
  <c r="AB77" i="20"/>
  <c r="AB67" i="20" s="1"/>
  <c r="U94" i="20"/>
  <c r="AD94" i="20" l="1"/>
  <c r="V95" i="20" s="1"/>
  <c r="W95" i="20" s="1"/>
  <c r="U95" i="20"/>
  <c r="V94" i="20" l="1"/>
  <c r="X95" i="20"/>
  <c r="Y95" i="20" s="1"/>
  <c r="Z95" i="20" s="1"/>
  <c r="AA95" i="20" s="1"/>
  <c r="AB95" i="20" s="1"/>
  <c r="V90" i="20" l="1"/>
  <c r="W94" i="20"/>
  <c r="W90" i="20" l="1"/>
  <c r="X94" i="20"/>
  <c r="X90" i="20" l="1"/>
  <c r="Y94" i="20"/>
  <c r="Z94" i="20" l="1"/>
  <c r="Y90" i="20"/>
  <c r="U89" i="20"/>
  <c r="U97" i="20"/>
  <c r="AA94" i="20" l="1"/>
  <c r="Z90" i="20"/>
  <c r="V96" i="20" l="1"/>
  <c r="V89" i="20" s="1"/>
  <c r="AA90" i="20"/>
  <c r="AB94" i="20"/>
  <c r="AB90" i="20" l="1"/>
  <c r="AC94" i="20"/>
  <c r="AC90" i="20" s="1"/>
  <c r="W96" i="20"/>
  <c r="W89" i="20" l="1"/>
  <c r="X96" i="20"/>
  <c r="Y96" i="20" l="1"/>
  <c r="X89" i="20"/>
  <c r="Y89" i="20" l="1"/>
  <c r="Z96" i="20"/>
  <c r="Z89" i="20" l="1"/>
  <c r="AA96" i="20"/>
  <c r="AA89" i="20" l="1"/>
  <c r="AB96" i="20"/>
  <c r="AB89" i="20" l="1"/>
  <c r="AC96" i="20"/>
  <c r="AC89" i="20" s="1"/>
  <c r="W52" i="12" l="1"/>
  <c r="X52" i="12" l="1"/>
  <c r="Y52" i="12" l="1"/>
  <c r="Z52" i="12" l="1"/>
  <c r="AA52" i="12" l="1"/>
  <c r="AB52" i="12" l="1"/>
  <c r="U40" i="20" l="1"/>
  <c r="U8" i="20" s="1"/>
  <c r="U8" i="12" s="1"/>
  <c r="V65" i="20"/>
  <c r="V40" i="20" s="1"/>
  <c r="V8" i="20" s="1"/>
  <c r="T65" i="20"/>
  <c r="T40" i="20" s="1"/>
  <c r="T8" i="20" s="1"/>
  <c r="T112" i="20" s="1"/>
  <c r="T58" i="12" s="1"/>
  <c r="U58" i="12" s="1"/>
  <c r="W65" i="20" l="1"/>
  <c r="W40" i="20" s="1"/>
  <c r="W8" i="20" s="1"/>
  <c r="V9" i="20"/>
  <c r="V112" i="20"/>
  <c r="V58" i="12" s="1"/>
  <c r="V8" i="12"/>
  <c r="R31" i="16"/>
  <c r="U9" i="20"/>
  <c r="X65" i="20"/>
  <c r="U112" i="20"/>
  <c r="U115" i="20" s="1"/>
  <c r="T8" i="12"/>
  <c r="T115" i="20"/>
  <c r="W8" i="12" l="1"/>
  <c r="W9" i="20"/>
  <c r="W112" i="20"/>
  <c r="W58" i="12" s="1"/>
  <c r="V115" i="20"/>
  <c r="S31" i="16"/>
  <c r="Y65" i="20"/>
  <c r="X40" i="20"/>
  <c r="X8" i="20" s="1"/>
  <c r="W115" i="20" l="1"/>
  <c r="X112" i="20"/>
  <c r="X58" i="12" s="1"/>
  <c r="X8" i="12"/>
  <c r="X9" i="20"/>
  <c r="Y40" i="20"/>
  <c r="Y8" i="20" s="1"/>
  <c r="Z65" i="20"/>
  <c r="X115" i="20" l="1"/>
  <c r="Y8" i="12"/>
  <c r="Y9" i="20"/>
  <c r="Y112" i="20"/>
  <c r="Y58" i="12" s="1"/>
  <c r="Z40" i="20"/>
  <c r="Z8" i="20" s="1"/>
  <c r="AA65" i="20"/>
  <c r="Y115" i="20" l="1"/>
  <c r="Y116" i="20" s="1"/>
  <c r="AB65" i="20"/>
  <c r="AA40" i="20"/>
  <c r="AA8" i="20" s="1"/>
  <c r="Z112" i="20"/>
  <c r="Z58" i="12" s="1"/>
  <c r="Z9" i="20"/>
  <c r="Z8" i="12"/>
  <c r="AC65" i="20" l="1"/>
  <c r="AC40" i="20" s="1"/>
  <c r="AC8" i="20" s="1"/>
  <c r="AB40" i="20"/>
  <c r="AB8" i="20" s="1"/>
  <c r="AA8" i="12"/>
  <c r="AA112" i="20"/>
  <c r="AA58" i="12" s="1"/>
  <c r="AA9" i="20"/>
  <c r="Z115" i="20"/>
  <c r="AA115" i="20" l="1"/>
  <c r="AA116" i="20" s="1"/>
  <c r="AC112" i="20"/>
  <c r="AC58" i="12" s="1"/>
  <c r="AC9" i="20"/>
  <c r="AC8" i="12"/>
  <c r="Z116" i="20"/>
  <c r="AB8" i="12"/>
  <c r="AB112" i="20"/>
  <c r="AB58" i="12" s="1"/>
  <c r="AB9" i="20"/>
  <c r="AC115" i="20" l="1"/>
  <c r="AC116" i="20" s="1"/>
  <c r="AB115" i="20"/>
  <c r="AB116" i="20" l="1"/>
  <c r="R10" i="12"/>
  <c r="R84" i="12" s="1"/>
  <c r="R109" i="20"/>
  <c r="R110" i="20" s="1"/>
  <c r="T110" i="20" s="1"/>
  <c r="T109" i="20" l="1"/>
  <c r="U109" i="20" s="1"/>
  <c r="U110" i="20"/>
  <c r="V110" i="20" s="1"/>
  <c r="T84" i="12"/>
  <c r="R88" i="12"/>
  <c r="T88" i="12" s="1"/>
  <c r="R76" i="12"/>
  <c r="R81" i="12"/>
  <c r="R86" i="12"/>
  <c r="T86" i="12" s="1"/>
  <c r="R9" i="12"/>
  <c r="R12" i="12"/>
  <c r="R15" i="12"/>
  <c r="U88" i="12" l="1"/>
  <c r="V88" i="12" s="1"/>
  <c r="V109" i="20"/>
  <c r="W110" i="20"/>
  <c r="U86" i="12"/>
  <c r="V86" i="12" s="1"/>
  <c r="R82" i="12"/>
  <c r="T82" i="12" s="1"/>
  <c r="U84" i="12"/>
  <c r="V84" i="12" s="1"/>
  <c r="R20" i="12"/>
  <c r="R13" i="12"/>
  <c r="T118" i="20"/>
  <c r="T10" i="12" s="1"/>
  <c r="T76" i="12" l="1"/>
  <c r="T81" i="12"/>
  <c r="T9" i="12"/>
  <c r="W109" i="20"/>
  <c r="X110" i="20"/>
  <c r="W84" i="12"/>
  <c r="U9" i="12"/>
  <c r="U118" i="20"/>
  <c r="U10" i="12" s="1"/>
  <c r="W86" i="12"/>
  <c r="T12" i="12"/>
  <c r="U12" i="12" s="1"/>
  <c r="T85" i="12"/>
  <c r="U85" i="12" s="1"/>
  <c r="R45" i="12"/>
  <c r="R26" i="12"/>
  <c r="R74" i="12"/>
  <c r="R57" i="12"/>
  <c r="R22" i="12"/>
  <c r="V9" i="12"/>
  <c r="V118" i="20"/>
  <c r="T83" i="12"/>
  <c r="U83" i="12" s="1"/>
  <c r="W88" i="12"/>
  <c r="T14" i="12"/>
  <c r="U14" i="12" s="1"/>
  <c r="T87" i="12"/>
  <c r="U87" i="12" s="1"/>
  <c r="X84" i="12" l="1"/>
  <c r="V119" i="20"/>
  <c r="V10" i="12"/>
  <c r="X109" i="20"/>
  <c r="Y110" i="20"/>
  <c r="R25" i="12"/>
  <c r="R51" i="12"/>
  <c r="R27" i="12"/>
  <c r="R26" i="16"/>
  <c r="T11" i="12"/>
  <c r="U11" i="12" s="1"/>
  <c r="U20" i="12"/>
  <c r="T20" i="12"/>
  <c r="W9" i="12"/>
  <c r="W118" i="20"/>
  <c r="X86" i="12"/>
  <c r="U119" i="20"/>
  <c r="U15" i="12"/>
  <c r="X88" i="12"/>
  <c r="R71" i="12"/>
  <c r="R72" i="12" s="1"/>
  <c r="R47" i="12"/>
  <c r="U13" i="12" l="1"/>
  <c r="W13" i="12" s="1"/>
  <c r="X13" i="12" s="1"/>
  <c r="X118" i="20"/>
  <c r="X9" i="12"/>
  <c r="R32" i="16"/>
  <c r="R33" i="16"/>
  <c r="W10" i="12"/>
  <c r="W119" i="20"/>
  <c r="Y88" i="12"/>
  <c r="T69" i="12"/>
  <c r="T26" i="12"/>
  <c r="T22" i="12"/>
  <c r="U76" i="12"/>
  <c r="V76" i="12" s="1"/>
  <c r="R12" i="31"/>
  <c r="U81" i="12"/>
  <c r="V81" i="12" s="1"/>
  <c r="U56" i="12"/>
  <c r="R19" i="16"/>
  <c r="R25" i="16" s="1"/>
  <c r="U26" i="12"/>
  <c r="U22" i="12"/>
  <c r="U24" i="12" s="1"/>
  <c r="V25" i="12" s="1"/>
  <c r="R18" i="16"/>
  <c r="V12" i="12"/>
  <c r="V83" i="12"/>
  <c r="V87" i="12"/>
  <c r="V14" i="12"/>
  <c r="V85" i="12"/>
  <c r="Y84" i="12"/>
  <c r="Y109" i="20"/>
  <c r="Z110" i="20"/>
  <c r="R68" i="12"/>
  <c r="R69" i="12"/>
  <c r="R70" i="12" s="1"/>
  <c r="R49" i="12"/>
  <c r="Y86" i="12"/>
  <c r="U69" i="12" l="1"/>
  <c r="U70" i="12" s="1"/>
  <c r="V70" i="12" s="1"/>
  <c r="W70" i="12" s="1"/>
  <c r="X70" i="12" s="1"/>
  <c r="Y70" i="12" s="1"/>
  <c r="Z70" i="12" s="1"/>
  <c r="AA70" i="12" s="1"/>
  <c r="AB70" i="12" s="1"/>
  <c r="AC70" i="12" s="1"/>
  <c r="R10" i="26"/>
  <c r="R13" i="31"/>
  <c r="V56" i="12"/>
  <c r="W56" i="12" s="1"/>
  <c r="X56" i="12" s="1"/>
  <c r="Y56" i="12" s="1"/>
  <c r="Z56" i="12" s="1"/>
  <c r="AA56" i="12" s="1"/>
  <c r="AB56" i="12" s="1"/>
  <c r="AC56" i="12" s="1"/>
  <c r="T56" i="12"/>
  <c r="T50" i="12" s="1"/>
  <c r="U50" i="12" s="1"/>
  <c r="Z88" i="12"/>
  <c r="Z84" i="12"/>
  <c r="V75" i="12"/>
  <c r="W76" i="12"/>
  <c r="W12" i="12"/>
  <c r="W83" i="12"/>
  <c r="W87" i="12"/>
  <c r="W85" i="12"/>
  <c r="W14" i="12"/>
  <c r="Z109" i="20"/>
  <c r="AA110" i="20"/>
  <c r="V20" i="12"/>
  <c r="V11" i="12"/>
  <c r="W81" i="12"/>
  <c r="V80" i="12"/>
  <c r="R34" i="16"/>
  <c r="Z86" i="12"/>
  <c r="Y9" i="12"/>
  <c r="Y118" i="20"/>
  <c r="X119" i="20"/>
  <c r="X10" i="12"/>
  <c r="T51" i="12" l="1"/>
  <c r="T74" i="12"/>
  <c r="AA84" i="12"/>
  <c r="AA86" i="12"/>
  <c r="AA88" i="12"/>
  <c r="W11" i="12"/>
  <c r="W20" i="12"/>
  <c r="Z118" i="20"/>
  <c r="Z9" i="12"/>
  <c r="Y10" i="12"/>
  <c r="Y119" i="20"/>
  <c r="W75" i="12"/>
  <c r="X76" i="12"/>
  <c r="X14" i="12"/>
  <c r="Y14" i="12" s="1"/>
  <c r="X12" i="12"/>
  <c r="X83" i="12"/>
  <c r="X85" i="12"/>
  <c r="X87" i="12"/>
  <c r="X81" i="12"/>
  <c r="W80" i="12"/>
  <c r="S33" i="16"/>
  <c r="S32" i="16"/>
  <c r="V69" i="12"/>
  <c r="V50" i="12" s="1"/>
  <c r="V74" i="12" s="1"/>
  <c r="V26" i="12"/>
  <c r="S19" i="16"/>
  <c r="S25" i="16" s="1"/>
  <c r="S18" i="16"/>
  <c r="V22" i="12"/>
  <c r="V24" i="12" s="1"/>
  <c r="W25" i="12" s="1"/>
  <c r="AB110" i="20"/>
  <c r="AA109" i="20"/>
  <c r="S10" i="26"/>
  <c r="R11" i="26"/>
  <c r="R35" i="16"/>
  <c r="R37" i="16" s="1"/>
  <c r="R79" i="12" s="1"/>
  <c r="S34" i="16" l="1"/>
  <c r="AB84" i="12"/>
  <c r="X80" i="12"/>
  <c r="Y81" i="12"/>
  <c r="AB86" i="12"/>
  <c r="S11" i="26"/>
  <c r="C11" i="28" s="1"/>
  <c r="Q72" i="25" s="1"/>
  <c r="Q73" i="25" s="1"/>
  <c r="S35" i="16"/>
  <c r="S37" i="16" s="1"/>
  <c r="V51" i="12"/>
  <c r="X11" i="12"/>
  <c r="Y11" i="12" s="1"/>
  <c r="X20" i="12"/>
  <c r="W26" i="12"/>
  <c r="W22" i="12"/>
  <c r="W24" i="12" s="1"/>
  <c r="X25" i="12" s="1"/>
  <c r="W69" i="12"/>
  <c r="W50" i="12" s="1"/>
  <c r="R78" i="12"/>
  <c r="R77" i="12" s="1"/>
  <c r="R90" i="12" s="1"/>
  <c r="R38" i="16"/>
  <c r="S15" i="16"/>
  <c r="S14" i="16"/>
  <c r="S91" i="12" s="1"/>
  <c r="Y83" i="12"/>
  <c r="Y87" i="12"/>
  <c r="Y85" i="12"/>
  <c r="Z10" i="12"/>
  <c r="Z119" i="20"/>
  <c r="AA118" i="20"/>
  <c r="AA9" i="12"/>
  <c r="Y15" i="12"/>
  <c r="Z14" i="12"/>
  <c r="AB109" i="20"/>
  <c r="AC110" i="20"/>
  <c r="AC109" i="20" s="1"/>
  <c r="X75" i="12"/>
  <c r="Y76" i="12"/>
  <c r="AB88" i="12"/>
  <c r="U51" i="12"/>
  <c r="U74" i="12"/>
  <c r="W51" i="12" l="1"/>
  <c r="S79" i="12"/>
  <c r="S78" i="12" s="1"/>
  <c r="S77" i="12" s="1"/>
  <c r="S90" i="12" s="1"/>
  <c r="S38" i="16"/>
  <c r="T38" i="16" s="1"/>
  <c r="T37" i="16" s="1"/>
  <c r="U79" i="12" s="1"/>
  <c r="AB9" i="12"/>
  <c r="AB118" i="20"/>
  <c r="Z15" i="12"/>
  <c r="AA14" i="12"/>
  <c r="W74" i="12"/>
  <c r="AA119" i="20"/>
  <c r="AA10" i="12"/>
  <c r="X69" i="12"/>
  <c r="X50" i="12" s="1"/>
  <c r="X74" i="12" s="1"/>
  <c r="X26" i="12"/>
  <c r="X22" i="12"/>
  <c r="X24" i="12" s="1"/>
  <c r="Y25" i="12" s="1"/>
  <c r="AC86" i="12"/>
  <c r="AC88" i="12"/>
  <c r="Z81" i="12"/>
  <c r="Y80" i="12"/>
  <c r="Y75" i="12"/>
  <c r="Z76" i="12"/>
  <c r="Y12" i="12"/>
  <c r="Z11" i="12"/>
  <c r="R15" i="16"/>
  <c r="R14" i="16"/>
  <c r="R91" i="12" s="1"/>
  <c r="Z87" i="12"/>
  <c r="Z83" i="12"/>
  <c r="Z85" i="12"/>
  <c r="Y79" i="12"/>
  <c r="X79" i="12"/>
  <c r="X78" i="12" s="1"/>
  <c r="Z79" i="12"/>
  <c r="AA79" i="12"/>
  <c r="W79" i="12"/>
  <c r="W78" i="12" s="1"/>
  <c r="AC79" i="12"/>
  <c r="AB79" i="12"/>
  <c r="V79" i="12"/>
  <c r="V78" i="12" s="1"/>
  <c r="AC118" i="20"/>
  <c r="AC9" i="12"/>
  <c r="AC84" i="12"/>
  <c r="Y78" i="12" l="1"/>
  <c r="X77" i="12"/>
  <c r="AA11" i="12"/>
  <c r="Z12" i="12"/>
  <c r="W90" i="12"/>
  <c r="W101" i="12" s="1"/>
  <c r="AC10" i="12"/>
  <c r="AC85" i="12" s="1"/>
  <c r="AC119" i="20"/>
  <c r="AC87" i="12"/>
  <c r="AA15" i="12"/>
  <c r="AB14" i="12"/>
  <c r="AA83" i="12"/>
  <c r="AA87" i="12"/>
  <c r="AA85" i="12"/>
  <c r="U78" i="12"/>
  <c r="T78" i="12"/>
  <c r="Y20" i="12"/>
  <c r="Y13" i="12"/>
  <c r="AB10" i="12"/>
  <c r="AB119" i="20"/>
  <c r="V77" i="12"/>
  <c r="V90" i="12"/>
  <c r="V101" i="12" s="1"/>
  <c r="W77" i="12"/>
  <c r="Z75" i="12"/>
  <c r="AA76" i="12"/>
  <c r="X90" i="12"/>
  <c r="X101" i="12" s="1"/>
  <c r="Z80" i="12"/>
  <c r="AA81" i="12"/>
  <c r="X51" i="12"/>
  <c r="AC83" i="12" l="1"/>
  <c r="T77" i="12"/>
  <c r="T90" i="12"/>
  <c r="T101" i="12" s="1"/>
  <c r="AB83" i="12"/>
  <c r="AB87" i="12"/>
  <c r="AB85" i="12"/>
  <c r="U77" i="12"/>
  <c r="U91" i="12" s="1"/>
  <c r="V91" i="12" s="1"/>
  <c r="W91" i="12" s="1"/>
  <c r="X91" i="12" s="1"/>
  <c r="U90" i="12"/>
  <c r="AA75" i="12"/>
  <c r="AB76" i="12"/>
  <c r="AB15" i="12"/>
  <c r="AC14" i="12"/>
  <c r="AC15" i="12" s="1"/>
  <c r="Z20" i="12"/>
  <c r="Z13" i="12"/>
  <c r="AB81" i="12"/>
  <c r="AA80" i="12"/>
  <c r="AB11" i="12"/>
  <c r="AA12" i="12"/>
  <c r="Z78" i="12"/>
  <c r="Y69" i="12"/>
  <c r="Y50" i="12" s="1"/>
  <c r="Y74" i="12" s="1"/>
  <c r="Y26" i="12"/>
  <c r="Y22" i="12"/>
  <c r="Y24" i="12" s="1"/>
  <c r="Z25" i="12" s="1"/>
  <c r="AB12" i="12" l="1"/>
  <c r="AC11" i="12"/>
  <c r="AC12" i="12" s="1"/>
  <c r="Y90" i="12"/>
  <c r="Y101" i="12" s="1"/>
  <c r="Y77" i="12"/>
  <c r="Y91" i="12" s="1"/>
  <c r="Z22" i="12"/>
  <c r="Z24" i="12" s="1"/>
  <c r="AA25" i="12" s="1"/>
  <c r="Z69" i="12"/>
  <c r="Z50" i="12" s="1"/>
  <c r="Z26" i="12"/>
  <c r="AC81" i="12"/>
  <c r="AC80" i="12" s="1"/>
  <c r="AB80" i="12"/>
  <c r="Y51" i="12"/>
  <c r="AA78" i="12"/>
  <c r="AA13" i="12"/>
  <c r="AA20" i="12"/>
  <c r="AC76" i="12"/>
  <c r="AC75" i="12" s="1"/>
  <c r="AB75" i="12"/>
  <c r="Z51" i="12" l="1"/>
  <c r="Z74" i="12"/>
  <c r="AC13" i="12"/>
  <c r="AC20" i="12"/>
  <c r="AB78" i="12"/>
  <c r="AA69" i="12"/>
  <c r="AA50" i="12" s="1"/>
  <c r="AA26" i="12"/>
  <c r="AA22" i="12"/>
  <c r="AA24" i="12" s="1"/>
  <c r="AB25" i="12" s="1"/>
  <c r="AC82" i="12"/>
  <c r="AB20" i="12"/>
  <c r="AB13" i="12"/>
  <c r="AA51" i="12" l="1"/>
  <c r="AB22" i="12"/>
  <c r="AB24" i="12" s="1"/>
  <c r="AC25" i="12" s="1"/>
  <c r="AB69" i="12"/>
  <c r="AB50" i="12" s="1"/>
  <c r="AB26" i="12"/>
  <c r="AC78" i="12"/>
  <c r="AC22" i="12"/>
  <c r="AC24" i="12" s="1"/>
  <c r="AC69" i="12"/>
  <c r="AC50" i="12" s="1"/>
  <c r="AC74" i="12" s="1"/>
  <c r="AC26" i="12"/>
  <c r="AA74" i="12"/>
  <c r="Z90" i="12"/>
  <c r="Z101" i="12" s="1"/>
  <c r="Z77" i="12"/>
  <c r="Z91" i="12" s="1"/>
  <c r="AB51" i="12" l="1"/>
  <c r="AC77" i="12"/>
  <c r="AD74" i="12" s="1"/>
  <c r="AD90" i="12" s="1"/>
  <c r="AD101" i="12" s="1"/>
  <c r="AB74" i="12"/>
  <c r="AA90" i="12"/>
  <c r="AA101" i="12" s="1"/>
  <c r="AA77" i="12"/>
  <c r="AA91" i="12" s="1"/>
  <c r="AC90" i="12"/>
  <c r="AC101" i="12" s="1"/>
  <c r="AC51" i="12"/>
  <c r="AB90" i="12" l="1"/>
  <c r="AB101" i="12" s="1"/>
  <c r="C9" i="28" s="1"/>
  <c r="C13" i="28" s="1"/>
  <c r="C14" i="28" s="1"/>
  <c r="AB77" i="12"/>
  <c r="AB91" i="12" s="1"/>
  <c r="AC91" i="12" s="1"/>
  <c r="AD5" i="12" l="1"/>
  <c r="AD69" i="20"/>
  <c r="C16" i="28"/>
  <c r="AE10" i="12"/>
  <c r="F6" i="2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tc={418F2194-57B3-4731-90DA-C2F63D0549FE}</author>
    <author>tc={455DA56B-230A-4265-8E84-C4D44F56B119}</author>
  </authors>
  <commentList>
    <comment ref="B67" authorId="0" shapeId="0" xr:uid="{418F2194-57B3-4731-90DA-C2F63D0549FE}">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Empresa tem R$ 892.068 de compensação de prejuízo fiscal para abater de IRPJ. Estamos dividindo igualmente entre os anos ao invés de seguir o cronograma da empresa por conservadorismo.
</t>
      </text>
    </comment>
    <comment ref="Q82" authorId="1" shapeId="0" xr:uid="{455DA56B-230A-4265-8E84-C4D44F56B119}">
      <text>
        <t>[Comentário encadeado]
Sua versão do Excel permite que você leia este comentário encadeado, no entanto, as edições serão removidas se o arquivo for aberto em uma versão mais recente do Excel. Saiba mais: https://go.microsoft.com/fwlink/?linkid=870924
Comentário:
    proforma</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tc={DBBE14B4-CD3E-4E31-B160-2A81C2A3703E}</author>
  </authors>
  <commentList>
    <comment ref="P18" authorId="0" shapeId="0" xr:uid="{DBBE14B4-CD3E-4E31-B160-2A81C2A3703E}">
      <text>
        <t>[Comentário encadeado]
Sua versão do Excel permite que você leia este comentário encadeado, no entanto, as edições serão removidas se o arquivo for aberto em uma versão mais recente do Excel. Saiba mais: https://go.microsoft.com/fwlink/?linkid=870924
Comentário:
    Ex impairment</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tc={E6640A13-2711-4B60-8C13-DA3456E81C5F}</author>
    <author>tc={EF9002ED-A5EF-4807-93DA-EC4626253C49}</author>
    <author>tc={213CFB5A-42E4-4EB9-B30F-B41C563B7229}</author>
    <author>tc={B8981D0F-C621-4A11-8D3D-5029E7F1DEFC}</author>
  </authors>
  <commentList>
    <comment ref="O7" authorId="0" shapeId="0" xr:uid="{E6640A13-2711-4B60-8C13-DA3456E81C5F}">
      <text>
        <t>[Comentário encadeado]
Sua versão do Excel permite que você leia este comentário encadeado, no entanto, as edições serão removidas se o arquivo for aberto em uma versão mais recente do Excel. Saiba mais: https://go.microsoft.com/fwlink/?linkid=870924
Comentário:
    Consideram Grupo SOMA</t>
      </text>
    </comment>
    <comment ref="P7" authorId="1" shapeId="0" xr:uid="{EF9002ED-A5EF-4807-93DA-EC4626253C49}">
      <text>
        <t>[Comentário encadeado]
Sua versão do Excel permite que você leia este comentário encadeado, no entanto, as edições serão removidas se o arquivo for aberto em uma versão mais recente do Excel. Saiba mais: https://go.microsoft.com/fwlink/?linkid=870924
Comentário:
    Consideram Grupo SOMA</t>
      </text>
    </comment>
    <comment ref="Q7" authorId="2" shapeId="0" xr:uid="{213CFB5A-42E4-4EB9-B30F-B41C563B7229}">
      <text>
        <t>[Comentário encadeado]
Sua versão do Excel permite que você leia este comentário encadeado, no entanto, as edições serão removidas se o arquivo for aberto em uma versão mais recente do Excel. Saiba mais: https://go.microsoft.com/fwlink/?linkid=870924
Comentário:
    Consideram Grupo SOMA</t>
      </text>
    </comment>
    <comment ref="B114" authorId="3" shapeId="0" xr:uid="{B8981D0F-C621-4A11-8D3D-5029E7F1DEFC}">
      <text>
        <t>[Comentário encadeado]
Sua versão do Excel permite que você leia este comentário encadeado, no entanto, as edições serão removidas se o arquivo for aberto em uma versão mais recente do Excel. Saiba mais: https://go.microsoft.com/fwlink/?linkid=870924
Comentário:
    Com base na transição gradativa do ICMS para o IBS/CBS</t>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2"/>
        </ext>
      </extLst>
    </bk>
  </futureMetadata>
  <valueMetadata count="1">
    <bk>
      <rc t="1" v="0"/>
    </bk>
  </valueMetadata>
</metadata>
</file>

<file path=xl/sharedStrings.xml><?xml version="1.0" encoding="utf-8"?>
<sst xmlns="http://schemas.openxmlformats.org/spreadsheetml/2006/main" count="750" uniqueCount="460">
  <si>
    <t>Receita Líquida</t>
  </si>
  <si>
    <t>Lucro Líquido</t>
  </si>
  <si>
    <t>Ativo Circulante</t>
  </si>
  <si>
    <t>Aplicações Financeiras</t>
  </si>
  <si>
    <t>Contas a Receber</t>
  </si>
  <si>
    <t>Estoques</t>
  </si>
  <si>
    <t>Tributos a Recuperar</t>
  </si>
  <si>
    <t>Ativo Total</t>
  </si>
  <si>
    <t>Passivo Total</t>
  </si>
  <si>
    <t>Imobilizado</t>
  </si>
  <si>
    <t>Intangível</t>
  </si>
  <si>
    <t>Passivo Circulante</t>
  </si>
  <si>
    <t>Fornecedores</t>
  </si>
  <si>
    <t>Passivo Não Circulante</t>
  </si>
  <si>
    <t>Custos das Vendas e Serviços</t>
  </si>
  <si>
    <t>Lucro Bruto</t>
  </si>
  <si>
    <t>Despesas com Vendas</t>
  </si>
  <si>
    <t>Despesas Gerais e Administrativas</t>
  </si>
  <si>
    <t>EBIT</t>
  </si>
  <si>
    <t>EBIT Recorrente</t>
  </si>
  <si>
    <t>Resultado Financeiro</t>
  </si>
  <si>
    <t>Receitas Financeiras</t>
  </si>
  <si>
    <t>Despesas Financeiras</t>
  </si>
  <si>
    <t>Eventos Não Recorrentes</t>
  </si>
  <si>
    <t>Depreciação e Amortização</t>
  </si>
  <si>
    <t>Outros</t>
  </si>
  <si>
    <t xml:space="preserve">IRPJ + CSLL - Ex. Não-Recorrentes </t>
  </si>
  <si>
    <t>IRPJ + CSLL - Ex. Não-Recorrentes e Incentivos</t>
  </si>
  <si>
    <t>IRPJ + CSLL</t>
  </si>
  <si>
    <t>WACC</t>
  </si>
  <si>
    <t>Liquidez Geral</t>
  </si>
  <si>
    <t>Liquidez Corrente</t>
  </si>
  <si>
    <t>Liquidez Seca</t>
  </si>
  <si>
    <t>Liquidez Imediata</t>
  </si>
  <si>
    <t>Ciclo de Caixa</t>
  </si>
  <si>
    <t>Dividend Yield (12 meses)</t>
  </si>
  <si>
    <t>Payout</t>
  </si>
  <si>
    <t>Proventos por Ação</t>
  </si>
  <si>
    <t>Retorno Sobre o Equity (ROE)</t>
  </si>
  <si>
    <t>Retorno Sobre o Ativo (ROA)</t>
  </si>
  <si>
    <t>Retorno Sobre o Capital Investido (ROIC)</t>
  </si>
  <si>
    <t>Dívida Bruta/Ativo</t>
  </si>
  <si>
    <t>Dívida Bruta/Patrimônio Líquido</t>
  </si>
  <si>
    <t>Dívida Bruta/(Dívida Bruta + Patrimônio Líquido)</t>
  </si>
  <si>
    <t>NOPAT</t>
  </si>
  <si>
    <t>Taxa de Reinvestimento</t>
  </si>
  <si>
    <t>Fluxo de Caixa Livre para Firma (FCFF)</t>
  </si>
  <si>
    <t>Ativo Não Circulante</t>
  </si>
  <si>
    <t>Custo da Dívida</t>
  </si>
  <si>
    <t>CAPEX</t>
  </si>
  <si>
    <t>Capital de Giro</t>
  </si>
  <si>
    <t>Variações nos Ativos e Passivos</t>
  </si>
  <si>
    <t>Contas a Receber de Clientes</t>
  </si>
  <si>
    <t>Depósitos Judiciais</t>
  </si>
  <si>
    <t>Dívida Bruta</t>
  </si>
  <si>
    <t>Reinvestimento</t>
  </si>
  <si>
    <t>Provisões</t>
  </si>
  <si>
    <t>Ajuste para Reconciliar o Resultado Antes dos Impostos com o Fluxo de Caixa</t>
  </si>
  <si>
    <t>Fluxo de Caixa Originado das Atividades Operacionais</t>
  </si>
  <si>
    <t>Fluxo de Caixa Aplicado em Atividades de Investimento</t>
  </si>
  <si>
    <t>Fluxo de Caixa Originado das Atividades de Financiamento</t>
  </si>
  <si>
    <t>Aumento Líquido de Caixa e Equivalentes de Caixa</t>
  </si>
  <si>
    <t>Alíquota Efetiva (% EBIT Recorrente) - Ex. Não-Recorrentes</t>
  </si>
  <si>
    <t>LAIR</t>
  </si>
  <si>
    <t>Retorno Sobre o Equity - Ex. Cash (ROE Noncash)</t>
  </si>
  <si>
    <t>Prazo Médio de Recebimento (PMR)</t>
  </si>
  <si>
    <t>Prazo Médio de Estoques (PME)</t>
  </si>
  <si>
    <t>Prazo Médio de Pagamento (PMP)</t>
  </si>
  <si>
    <t>Dívida Líquida</t>
  </si>
  <si>
    <t>Dívida Líquida/EBITDA Recorrente</t>
  </si>
  <si>
    <t>Cobertura de Juros - Competência</t>
  </si>
  <si>
    <t>Cobertura de Juros - Caixa</t>
  </si>
  <si>
    <t>Premissa</t>
  </si>
  <si>
    <t>EBITDA</t>
  </si>
  <si>
    <t>EBITDA - Recorrente</t>
  </si>
  <si>
    <t>Ativo Operacional</t>
  </si>
  <si>
    <t>Passivo Operacional</t>
  </si>
  <si>
    <t>Receita Bruta</t>
  </si>
  <si>
    <t>Deduções</t>
  </si>
  <si>
    <t>Rendimento do Caixa</t>
  </si>
  <si>
    <t>Custo da Dívida - After Tax</t>
  </si>
  <si>
    <t>Inflação Implícita</t>
  </si>
  <si>
    <t>Crescimento PIB Real</t>
  </si>
  <si>
    <t>Saldo em Tesouraria</t>
  </si>
  <si>
    <t>Despesas/Receitas Operacionais</t>
  </si>
  <si>
    <t>Margem Bruta</t>
  </si>
  <si>
    <t>Margem EBIT</t>
  </si>
  <si>
    <t>Margem EBIT Recorrente</t>
  </si>
  <si>
    <t>Ticker</t>
  </si>
  <si>
    <t>Ativos Não-Operacionais</t>
  </si>
  <si>
    <t>Créditos Fiscais</t>
  </si>
  <si>
    <t>Valor da Ação</t>
  </si>
  <si>
    <t>Cotação</t>
  </si>
  <si>
    <t>Upside</t>
  </si>
  <si>
    <t>Ações Emitidas</t>
  </si>
  <si>
    <t>Valor do Equity</t>
  </si>
  <si>
    <t>Valor da Firma</t>
  </si>
  <si>
    <t>D&amp;A de Arrendamento</t>
  </si>
  <si>
    <r>
      <rPr>
        <sz val="11"/>
        <color theme="1" tint="0.499984740745262"/>
        <rFont val="Calibri"/>
        <family val="2"/>
      </rPr>
      <t>Δ</t>
    </r>
    <r>
      <rPr>
        <sz val="9.9"/>
        <color theme="1" tint="0.499984740745262"/>
        <rFont val="Avenir Next LT Pro"/>
        <family val="2"/>
      </rPr>
      <t xml:space="preserve"> </t>
    </r>
    <r>
      <rPr>
        <sz val="11"/>
        <color theme="1" tint="0.499984740745262"/>
        <rFont val="Avenir Next LT Pro"/>
        <family val="2"/>
      </rPr>
      <t>Capital de Giro</t>
    </r>
  </si>
  <si>
    <t>-</t>
  </si>
  <si>
    <t>Como % da Receita Líquida</t>
  </si>
  <si>
    <t>Teste de Consistência (ROIC)</t>
  </si>
  <si>
    <t>Valor Presente</t>
  </si>
  <si>
    <t>Prêmio de Risco</t>
  </si>
  <si>
    <t>CDS</t>
  </si>
  <si>
    <t>TIR</t>
  </si>
  <si>
    <t>&gt;2033E</t>
  </si>
  <si>
    <t>Incentivos Fiscais</t>
  </si>
  <si>
    <t>LAIR  Recorrente</t>
  </si>
  <si>
    <t>LAIR  Recorrente sem Incentivos Fiscais</t>
  </si>
  <si>
    <t>EBIT Recorrente sem Incentivos Fiscais</t>
  </si>
  <si>
    <t>Patrimônio Líquido Consolidado</t>
  </si>
  <si>
    <t>Impostos a Recuperar</t>
  </si>
  <si>
    <t>Recebimento de Dividendos</t>
  </si>
  <si>
    <t>Caixa e Equivalentes de Caixa no Início do Exercício</t>
  </si>
  <si>
    <t>Caixa e Equivalentes de Caixa no Final do Exercício</t>
  </si>
  <si>
    <t>Emissão de Ações</t>
  </si>
  <si>
    <t>Lucro Líquido do Exercício</t>
  </si>
  <si>
    <t>Beta</t>
  </si>
  <si>
    <t>Kd</t>
  </si>
  <si>
    <t>Ke</t>
  </si>
  <si>
    <t>DI</t>
  </si>
  <si>
    <t>Variação do DI</t>
  </si>
  <si>
    <t>Margem Líquida</t>
  </si>
  <si>
    <t>Sanity Check (Yield Anual)</t>
  </si>
  <si>
    <t>Variações Cambiais, Líquidas</t>
  </si>
  <si>
    <t>Caixa e Equivalentes de Caixa</t>
  </si>
  <si>
    <t>Aplicações Financeiras Avaliadas a Valor Justo</t>
  </si>
  <si>
    <t>Títulos Disponíveis para venda</t>
  </si>
  <si>
    <t>Clientes</t>
  </si>
  <si>
    <t>Tributos Correntes a Recuperar</t>
  </si>
  <si>
    <t>Outros Ativos Circulantes</t>
  </si>
  <si>
    <t>Ativo Realizável a Longo Prazo</t>
  </si>
  <si>
    <t>Tributos Diferidos</t>
  </si>
  <si>
    <t>Imposto de Renda e Contribuição Social Diferidos</t>
  </si>
  <si>
    <t>Créditos com Partes Relacionadas</t>
  </si>
  <si>
    <t>Créditos com Controladores</t>
  </si>
  <si>
    <t>Outros Ativos Não Circulantes</t>
  </si>
  <si>
    <t>Outros Créditos</t>
  </si>
  <si>
    <t>Imobilizado em Operação</t>
  </si>
  <si>
    <t>Marcas e Patentes</t>
  </si>
  <si>
    <t>Direitos de Uso de Lojas</t>
  </si>
  <si>
    <t>Direitos de Uso de Sistemas</t>
  </si>
  <si>
    <t>Obrigações Sociais e Trabalhistas</t>
  </si>
  <si>
    <t>Obrigações Sociais</t>
  </si>
  <si>
    <t>Obrigações Trabalhistas</t>
  </si>
  <si>
    <t>Fornecedores Nacionais</t>
  </si>
  <si>
    <t>Fornecedores Estrangeiros</t>
  </si>
  <si>
    <t>Obrigações Fiscais</t>
  </si>
  <si>
    <t>Obrigações Fiscais Federais</t>
  </si>
  <si>
    <t>Imposto de Renda e Contribuição Social a Pagar</t>
  </si>
  <si>
    <t>Outras Obrigações Federais</t>
  </si>
  <si>
    <t>Outras Obrigações Estaduais</t>
  </si>
  <si>
    <t>Outras Obrigações Municipais</t>
  </si>
  <si>
    <t>Empréstimos e Financiamentos</t>
  </si>
  <si>
    <t>Em Moeda Nacional</t>
  </si>
  <si>
    <t>Em Moeda Estrangeira</t>
  </si>
  <si>
    <t>Outras Obrigações</t>
  </si>
  <si>
    <t>Dividendos e JCP a Pagar</t>
  </si>
  <si>
    <t>Outras</t>
  </si>
  <si>
    <t>Passivos com Partes Relacionadas</t>
  </si>
  <si>
    <t xml:space="preserve">Provisões Fiscais Previdenciárias Trabalhistas e Cíveis </t>
  </si>
  <si>
    <t>Provisões Fiscais</t>
  </si>
  <si>
    <t xml:space="preserve">Provisões Previdenciárias e Trabalhistas </t>
  </si>
  <si>
    <t xml:space="preserve">Provisões Cíveis </t>
  </si>
  <si>
    <t>Reservas de Capital</t>
  </si>
  <si>
    <t>Reserva Especial de Ágio na Incorporação</t>
  </si>
  <si>
    <t xml:space="preserve">Reservas de Lucros </t>
  </si>
  <si>
    <t xml:space="preserve">Reserva Legal </t>
  </si>
  <si>
    <t>Reserva de Retenção de Lucros</t>
  </si>
  <si>
    <t>Reserva de Incentivos Fiscais</t>
  </si>
  <si>
    <t>Dividendo Adicional Proposto</t>
  </si>
  <si>
    <t>Intangíveis</t>
  </si>
  <si>
    <t>Investimentos</t>
  </si>
  <si>
    <t>Débitos com Controladores</t>
  </si>
  <si>
    <t>Débitos com Outras Partes Relacionadas</t>
  </si>
  <si>
    <t>Parcelamento de Impostos</t>
  </si>
  <si>
    <t>Adiantamento de Terceiros</t>
  </si>
  <si>
    <t>Capital Social Realizado</t>
  </si>
  <si>
    <t>Opções Outorgadas</t>
  </si>
  <si>
    <t>Provisões Tributárias</t>
  </si>
  <si>
    <t>Ajustes de Avaliação Patrimonial</t>
  </si>
  <si>
    <t>Propriedades para Investimentos</t>
  </si>
  <si>
    <t>Lucros e Receitas a Apropriar</t>
  </si>
  <si>
    <t>Receitas a Apropriar</t>
  </si>
  <si>
    <t>Ações em Tesouraria</t>
  </si>
  <si>
    <t>Reserva para Investimentos</t>
  </si>
  <si>
    <t xml:space="preserve">Arrendamento </t>
  </si>
  <si>
    <t>Participações Societárias</t>
  </si>
  <si>
    <t>Participações em Controladas em Conjunto</t>
  </si>
  <si>
    <t>Intangível - Mais Valia</t>
  </si>
  <si>
    <t>Outras Provisões</t>
  </si>
  <si>
    <t>Provisões para Perdas com Investimentos</t>
  </si>
  <si>
    <t>Instrumentos Financeiros - Derivativos</t>
  </si>
  <si>
    <t>Obrigações a Pagar na Aquisição de Controladas</t>
  </si>
  <si>
    <t>Imposto de Renda e Constribuição Social Diferidos</t>
  </si>
  <si>
    <t>Participação dos Acionistas Não Controladores</t>
  </si>
  <si>
    <t xml:space="preserve">Ágio </t>
  </si>
  <si>
    <t>Relacionamento com Clientes</t>
  </si>
  <si>
    <t>Instrumentos Derivativos</t>
  </si>
  <si>
    <t>Receitas Diferidas</t>
  </si>
  <si>
    <t>Debêntures</t>
  </si>
  <si>
    <t>Resultado na Venda de Ativos Permanentes</t>
  </si>
  <si>
    <t>Provisão Para Riscos Trabalhistas, Fiscais e Cíveis</t>
  </si>
  <si>
    <t>Variação de Outros Ativos Circulantes</t>
  </si>
  <si>
    <t>Obrigações Fiscais e Sociais</t>
  </si>
  <si>
    <t>Pagamento de Imposto de Renda e Contribuição Social</t>
  </si>
  <si>
    <t>Aquisições de Imobilizado e Intangível</t>
  </si>
  <si>
    <t>Resgate de Aplicações Financeiras</t>
  </si>
  <si>
    <t>Juros Sobre Capital Próprio</t>
  </si>
  <si>
    <t>Distribuição de Lucros</t>
  </si>
  <si>
    <t>Rendimento de Aplicação Financeira</t>
  </si>
  <si>
    <t>Receitas Extemporâneas</t>
  </si>
  <si>
    <t>Encargos Financeiros e Variação Cambial Sobre Financiamentos</t>
  </si>
  <si>
    <t>Perdas de Crédito Esperadas</t>
  </si>
  <si>
    <t>Complemento de Provisão Para Perdas nos Estoques</t>
  </si>
  <si>
    <t>Plano de Opções de Ações e Ações Restritas</t>
  </si>
  <si>
    <t>Juros de Arrendamento</t>
  </si>
  <si>
    <t>Imposto de Renda e Contribuição Social</t>
  </si>
  <si>
    <t>Despesas Extemporâneas</t>
  </si>
  <si>
    <t>Perda de Impairment</t>
  </si>
  <si>
    <t>Variação de Outros Passivos Circulantes</t>
  </si>
  <si>
    <t>Pagamento de Juros Sobre Empréstimos</t>
  </si>
  <si>
    <t>Movimentação das Aplicações Financeiras</t>
  </si>
  <si>
    <t>Aquisição de Paricipação de Não Controladores</t>
  </si>
  <si>
    <t>Aquisição de Controlada</t>
  </si>
  <si>
    <t>Caixa Proveniente da Combinação de Negócios</t>
  </si>
  <si>
    <t>Captação de Empréstimos</t>
  </si>
  <si>
    <t>Pagamento de Empréstimos</t>
  </si>
  <si>
    <t>Ganho na Emissão das Ações</t>
  </si>
  <si>
    <t>Recurso Proveniente da Emissão de Ações</t>
  </si>
  <si>
    <t>Recompra de Ações</t>
  </si>
  <si>
    <t>Contraprestação de Arrendamento</t>
  </si>
  <si>
    <t>Pagamento de Obrigação na Aquisição de Controlada</t>
  </si>
  <si>
    <t>Variação Cambial s/ Caixa e Equivalentes</t>
  </si>
  <si>
    <t>Aumento de Capital - Emissão de ações</t>
  </si>
  <si>
    <t>Créditos (Débitos) Com Sócios</t>
  </si>
  <si>
    <t>Receita na Alienação de Imobilizado e Intangível</t>
  </si>
  <si>
    <t>Integralização de Capital Controladas</t>
  </si>
  <si>
    <t>Custos de Transação para Emissão de Ações</t>
  </si>
  <si>
    <t>Créditos (Débitos) Com Partes Relacionadas, Exceto Sócios</t>
  </si>
  <si>
    <t>Despesas por Natureza</t>
  </si>
  <si>
    <t>Matéria Prima e Materiais de Uso e Consumo</t>
  </si>
  <si>
    <t>Fretes</t>
  </si>
  <si>
    <t>Despesas com Ocupação de Loja</t>
  </si>
  <si>
    <t>Despesas com Marketing</t>
  </si>
  <si>
    <t>Utilidades e Serviços</t>
  </si>
  <si>
    <t>Outras Despesas Comerciais</t>
  </si>
  <si>
    <t>Outras Despesas Administrativas e Gerais</t>
  </si>
  <si>
    <t>Crédito Extemporâneo</t>
  </si>
  <si>
    <t>Despesas com Pessoal</t>
  </si>
  <si>
    <t>Gratificações Comerciais</t>
  </si>
  <si>
    <t>Despesas com Royalties</t>
  </si>
  <si>
    <t>Não Recorrentes</t>
  </si>
  <si>
    <t>Outras Receitas (Despesas) Operacionais, Líquidas</t>
  </si>
  <si>
    <t>Taxa de Franquia</t>
  </si>
  <si>
    <t>Reembolso de Despesas com Devoluções</t>
  </si>
  <si>
    <t>Recuperação de Despesa</t>
  </si>
  <si>
    <t>Receitas Diversas</t>
  </si>
  <si>
    <t>Receita (Despesa) na Alienação de Imobilizado e Intangível</t>
  </si>
  <si>
    <t>Perda por Impairment</t>
  </si>
  <si>
    <t>Despesas Diversas</t>
  </si>
  <si>
    <t>Provisões Tributárias e Baixas de Créditos Tributários</t>
  </si>
  <si>
    <t>Ganho por Compra Vantajosa</t>
  </si>
  <si>
    <t>Outras Receitas (Despesas), Líquidas</t>
  </si>
  <si>
    <t>Receita com Indenizações</t>
  </si>
  <si>
    <t>Despesa com Rescisão</t>
  </si>
  <si>
    <t>Rendimento de Aplicações Financeiras</t>
  </si>
  <si>
    <t>Juros Ativos</t>
  </si>
  <si>
    <t>Variação Monetária Ativa</t>
  </si>
  <si>
    <t>Outras Receitas</t>
  </si>
  <si>
    <t>Juros Sobre Financiamentos</t>
  </si>
  <si>
    <t>Despesas Bancárias</t>
  </si>
  <si>
    <t>Despesas Com Custos Cartoriais</t>
  </si>
  <si>
    <t>Taxa de Administração de Cartão de Crédito</t>
  </si>
  <si>
    <t>Ajuste Valor Presente</t>
  </si>
  <si>
    <t>Outras Despesas</t>
  </si>
  <si>
    <t>Juros Sobre Mutuo</t>
  </si>
  <si>
    <t>Descontos Concedidos</t>
  </si>
  <si>
    <t>Retorno Sobre o Capital Investido - Ex. Cash (ROIC Noncash)</t>
  </si>
  <si>
    <t>Lojas - expansão e reforma</t>
  </si>
  <si>
    <t>Corporativo</t>
  </si>
  <si>
    <t>Vans</t>
  </si>
  <si>
    <t>Carol Bassi</t>
  </si>
  <si>
    <t>Vicenza</t>
  </si>
  <si>
    <t>Caixa Operacional</t>
  </si>
  <si>
    <t>Excesso de Caixa</t>
  </si>
  <si>
    <t>Calçados e Acessórios</t>
  </si>
  <si>
    <t>Vestuário Feminino</t>
  </si>
  <si>
    <t>Vestuário Democrático</t>
  </si>
  <si>
    <t>Vestuário Masculino</t>
  </si>
  <si>
    <t>(%) Receita Bruta</t>
  </si>
  <si>
    <t>CMV (ex. D&amp;A)</t>
  </si>
  <si>
    <t>Arrendamentos (Impacto IFRS-16)</t>
  </si>
  <si>
    <t>Despesas</t>
  </si>
  <si>
    <t>Fixas</t>
  </si>
  <si>
    <t>Variáveis</t>
  </si>
  <si>
    <t>Eventuais</t>
  </si>
  <si>
    <t>IRPJ e CSLL</t>
  </si>
  <si>
    <t xml:space="preserve">Benefício dos Gastos com Pesquisa e Inovação Tecnológica - lei nº 11.196/05 </t>
  </si>
  <si>
    <t>Equivalência Patrimonial</t>
  </si>
  <si>
    <t>Diferença entre Tributações</t>
  </si>
  <si>
    <t>Outras Diferenças Permanentes</t>
  </si>
  <si>
    <t xml:space="preserve">IRPJ e CSLL Diferidos sobre Prejuízos Não Constituídos em Empresas Controladas </t>
  </si>
  <si>
    <t>Despesa com plano de opções de ações</t>
  </si>
  <si>
    <t xml:space="preserve">Incentivos fiscais (PAT, Lei Rounet, outros) </t>
  </si>
  <si>
    <t xml:space="preserve">Constituição de tributos diferidos sobre prejuízos em empresas controladas, relativos a anos anteriores </t>
  </si>
  <si>
    <t>Perdas Indedutíveis em Estoques</t>
  </si>
  <si>
    <t>Subvenções Governamentais</t>
  </si>
  <si>
    <t>Parcela Isenta de Crédito Tributário</t>
  </si>
  <si>
    <t xml:space="preserve">Reconhecimento IR/CS s/ subveção adicional extemporâneo </t>
  </si>
  <si>
    <t>E-commerce</t>
  </si>
  <si>
    <t>Projeção por BU</t>
  </si>
  <si>
    <t>Franquia</t>
  </si>
  <si>
    <t>Internacional</t>
  </si>
  <si>
    <t>Operações Descontinuadas</t>
  </si>
  <si>
    <t>Lojas próprias</t>
  </si>
  <si>
    <t>Multimarcas</t>
  </si>
  <si>
    <t>Arezzo</t>
  </si>
  <si>
    <t>Schutz</t>
  </si>
  <si>
    <t>Alexandre Birman</t>
  </si>
  <si>
    <t>Anacapri</t>
  </si>
  <si>
    <t>Fiever</t>
  </si>
  <si>
    <t>Alme</t>
  </si>
  <si>
    <t>My Shoes</t>
  </si>
  <si>
    <t>Total de Lojas</t>
  </si>
  <si>
    <t>Receita por Loja</t>
  </si>
  <si>
    <t>Animale</t>
  </si>
  <si>
    <t>Cris Barros</t>
  </si>
  <si>
    <t>Fábula</t>
  </si>
  <si>
    <t>Farm</t>
  </si>
  <si>
    <t>Maria Filó</t>
  </si>
  <si>
    <t>NV</t>
  </si>
  <si>
    <t>Off Premium</t>
  </si>
  <si>
    <t>Total de Franquias</t>
  </si>
  <si>
    <t>Hering</t>
  </si>
  <si>
    <t>Hering - Megalojas</t>
  </si>
  <si>
    <t>Dzarm</t>
  </si>
  <si>
    <t>Receita por Franquia</t>
  </si>
  <si>
    <t>AR&amp;CO</t>
  </si>
  <si>
    <t>Foxton</t>
  </si>
  <si>
    <t>CAGR (22 a 24)</t>
  </si>
  <si>
    <t>Crescimento (%)</t>
  </si>
  <si>
    <t>Não abrirá nem fechará lojas</t>
  </si>
  <si>
    <t>Não abrirá nem fechará franquias</t>
  </si>
  <si>
    <t>Descontinuada</t>
  </si>
  <si>
    <t>Abrirá 5 franquias ao ano</t>
  </si>
  <si>
    <t>Ritmo decrescerá até convergir com inflação no final da projeção</t>
  </si>
  <si>
    <t>Acompanhará inflação</t>
  </si>
  <si>
    <t>Não vai variar</t>
  </si>
  <si>
    <t>Abrirá 5 lojas ao ano.</t>
  </si>
  <si>
    <t>Abrirá 2 lojas ao ano.</t>
  </si>
  <si>
    <t>Vai reduzir até acabar</t>
  </si>
  <si>
    <t>Receita Líquida e Incentivos</t>
  </si>
  <si>
    <t>Caixa e equivalentes de caixa</t>
  </si>
  <si>
    <t>Aplicações financeiras</t>
  </si>
  <si>
    <t>Contas a receber de clientes</t>
  </si>
  <si>
    <t>Impostos a recuperar</t>
  </si>
  <si>
    <t>Outros créditos</t>
  </si>
  <si>
    <t>IRPJ e CSLL diferidos</t>
  </si>
  <si>
    <t>Propriedades para Investimento</t>
  </si>
  <si>
    <t>Instrumentos financeiros - derivativos</t>
  </si>
  <si>
    <t>Passivo circulante</t>
  </si>
  <si>
    <t>Passivo não circulante</t>
  </si>
  <si>
    <t>Patrimônio líquido</t>
  </si>
  <si>
    <t>Empréstimos e financiamentos</t>
  </si>
  <si>
    <t>Arrendamento</t>
  </si>
  <si>
    <t>Outras obrigações</t>
  </si>
  <si>
    <t>Contas a Pagar por combinação de negócios</t>
  </si>
  <si>
    <t>Partes Relacionadas</t>
  </si>
  <si>
    <t>Impostos Diferidos</t>
  </si>
  <si>
    <t>Capital social</t>
  </si>
  <si>
    <t>Reserva de capital</t>
  </si>
  <si>
    <t>Reservas de lucros e incentivos fiscais</t>
  </si>
  <si>
    <t>Ajuste de avaliação patrimonial</t>
  </si>
  <si>
    <t xml:space="preserve">Resultado do Período </t>
  </si>
  <si>
    <t>Dividendos adicionais propostos</t>
  </si>
  <si>
    <t>Outros resultados abrangentes</t>
  </si>
  <si>
    <t>Participação Não Controladores</t>
  </si>
  <si>
    <t>Caixa operacional</t>
  </si>
  <si>
    <t>1T25</t>
  </si>
  <si>
    <t>Como% da Receita</t>
  </si>
  <si>
    <t>Como % dos incentivos</t>
  </si>
  <si>
    <t>TJLP</t>
  </si>
  <si>
    <t>YTG</t>
  </si>
  <si>
    <t>Sazonalidade</t>
  </si>
  <si>
    <t>Multiplicador YTG</t>
  </si>
  <si>
    <t>Receita Líquida (R$ Milhões)</t>
  </si>
  <si>
    <t>Vai crescer de acordo com o CAGR</t>
  </si>
  <si>
    <t>1T22</t>
  </si>
  <si>
    <t>2T22</t>
  </si>
  <si>
    <t>3T22</t>
  </si>
  <si>
    <t>4T22</t>
  </si>
  <si>
    <t>1T23</t>
  </si>
  <si>
    <t>2T23</t>
  </si>
  <si>
    <t>3T23</t>
  </si>
  <si>
    <t>4T23</t>
  </si>
  <si>
    <t>1T24</t>
  </si>
  <si>
    <t>2T24</t>
  </si>
  <si>
    <t>3T24</t>
  </si>
  <si>
    <t>4T24</t>
  </si>
  <si>
    <t>1T</t>
  </si>
  <si>
    <t>2T</t>
  </si>
  <si>
    <t>3T</t>
  </si>
  <si>
    <t>4T</t>
  </si>
  <si>
    <t>Abrirá 5 Franquias ao ano</t>
  </si>
  <si>
    <t>Ritmo decrescerá do CAGR até convergir com inflação no final da projeção</t>
  </si>
  <si>
    <t>Abrirá 5 Lojas ao ano</t>
  </si>
  <si>
    <t>Incentivo Total</t>
  </si>
  <si>
    <t>Redução no Resultado</t>
  </si>
  <si>
    <t>Incentivo Remanscente</t>
  </si>
  <si>
    <t>Compensação de Incentivo</t>
  </si>
  <si>
    <t>Em %</t>
  </si>
  <si>
    <t xml:space="preserve"> </t>
  </si>
  <si>
    <t>Crescimento em %</t>
  </si>
  <si>
    <t>Gatilho de eficiência pós fim de incentivos:</t>
  </si>
  <si>
    <t>Prezuízos Fiscais Acumulados</t>
  </si>
  <si>
    <t>Realocação da Produção (projeção)</t>
  </si>
  <si>
    <t>Receita Líquida (EUR bilhões)</t>
  </si>
  <si>
    <t>CMV</t>
  </si>
  <si>
    <t>LVMH</t>
  </si>
  <si>
    <t>Inditex</t>
  </si>
  <si>
    <t>Receita Líquida (EUR milhões)</t>
  </si>
  <si>
    <t>PVH Corp.</t>
  </si>
  <si>
    <t>Margem Bruta Média</t>
  </si>
  <si>
    <t>Despesas como % da Receita Média</t>
  </si>
  <si>
    <t>Como % do EBIT Recorrente</t>
  </si>
  <si>
    <t>Capital de Giro/Receita Bruta</t>
  </si>
  <si>
    <t>Trimestre atual</t>
  </si>
  <si>
    <t>Alíquota Efetiva (% EBIT Recorrente) - Ex. Não-Recorrentes - JCP - Prejuizos de Controladas</t>
  </si>
  <si>
    <t>Crystal Ball Data</t>
  </si>
  <si>
    <t>Workbook Variables</t>
  </si>
  <si>
    <t>Last Var Column</t>
  </si>
  <si>
    <t xml:space="preserve">    Name:</t>
  </si>
  <si>
    <t xml:space="preserve">    Value:</t>
  </si>
  <si>
    <t>Worksheet Data</t>
  </si>
  <si>
    <t>Last Data Column Used</t>
  </si>
  <si>
    <t>Sheet Ref</t>
  </si>
  <si>
    <t>Sheet Guid</t>
  </si>
  <si>
    <t>Deleted sheet count</t>
  </si>
  <si>
    <t>Last row used</t>
  </si>
  <si>
    <t>Data blocks</t>
  </si>
  <si>
    <t>12ebe2d6-3e92-47a4-9b48-436b0b5db6c7</t>
  </si>
  <si>
    <t>CB_Block_0</t>
  </si>
  <si>
    <t>㜸〱敤㕣㕢㙣㈴㔷㤹敥㔳㝤㜱㔷摢ㅥ㍢攳挹㘵㐲㤸㌸㠴㄰㠸〷㘷㍣挹㄰〲っ㠳㉦㤹㑢攲ㄹ㍢㘳捦〴挴愲㥥㜲昷愹㜱㘵扡慡㥣慡㙡捦㌸㐴㑡ㄴㄲ搸攵㉡㠵㙢㈰㐰ㄴ㄰搲扥㉣散ぢ㥢散昲㠲㔸㘹㔷慢㈰敤〳晢㠰挴㐳ㄶ㈱㜸〰愱㤱㜸攱〱〹扥敦㔴㔵㜷㔵户扢散㜴ㄲ㜰㤰捦愴㝦㥦㍡户㍡攷晣搷昳晦愷㤲ㄳ戹㕣敥捦㐸晣换㔴㘰收愶愵つ㍦㤰昶攴慣摢㘸挸㕡㘰戹㡥㍦㌹敤㜹挶挶扣攵〷㜹㌴㈸㔵㉤搴晢挵慡㙦㍤㉡换搵㜵改昹㘸㔴捣攵捡㘵㕤㐳㍤〷攱㙦㌴㝥搰搹㙢愸〰戰㍣㍢戳戰昲㌰㐶㕤ち㕣㑦ㅥㅣ㍦ㅦ昶㍤㍡㌵㌵㌹㌵㜹攴搰㍤㠷㈷てㅤㅣ㥦㙤㌶㠲愶㈷㡦㍡戲ㄹ㜸㐶攳攰昸㘲㜳愵㘱搵ㅥ㤰ㅢ换敥㈵改ㅣ㤵㉢㠷敥㕡㌱敥㝥敦搴摤㐷㡥㤸昷摥晢摥㈱扣㍡㜷㘶㜶㘶搱㤳愶晦㍡㡤㔹攴㤴敦㥥㤳㌵㡢㙢㤳搲戳㥣㡢㤳戳㌳昸㉦㌱㝦㍣摤㌳戹戴㉡㘵挰㔷㑢㑦㍡㌵改敢攸㌸㘸㑦晢㝥搳㕥攳收改昶㜱㉣戵㘶昸㐱搱㥥㤵㡤㠶㙥挷愳㤶敤〵散㕤挳搸ㄸ戲㤷愴攳㕢㠱戵㙥〵ㅢ㈵㝢ㄹ〳搵㠷敤㜳扥㍣㙢㌸ㄷ攵ㄹ挳㤶㐵晢㐴搳慡ㄷ挲㤴换摦ㅥて㤱㥣㤸㕡晥攴戴㙦捦慥ㅡ㥥㥡㤱捦㡤挹㘸㝢摣慢愵摢摥摡㝢㕣㑥㕤扤㠱㘳摥搶扢ㅤ㙡捥ㅢ㕥慢攵㐴敦㤶搱攲搳㌳戸戳㜷晢挴ㅥ愵晢扣慢㜷ㅦ戵㤵改搶㘲㌰愲㙦戵愳㔸㡣㕥㈲ㄸ㈰㈸ㄳ㄰㠱㝡㠵㘰㤰㘰〸㐰ㄴ晥〰㉥㐹㜶㘴㤵㔶㌵戴敡㡡㔶慤㘹搵扡㔶㤵㕡搵搴慡ㄷ戵敡慡㔶戵戴敡挳㕡昵ㄲ摡挴愹㍣㌰愰㐵愹攰捦㝦昹摥〳㑦㥥㝥㜲攵戳㕦捤㕦昳改捡搰ㅥ㌴㝡㌰㥡搴㥣㘷㕣〶愹戵愹ㄸㅣ挱㝦㕢㜳〵㤸挲㍣㘲摥㘳㑥㑤搵㡦ㅣ㌲敥㌲㡡㕣㔶〶昲㔳㠴㌲㡡戶㐳收㐳㤶㔳㜷㉦㉢摣摤㌴㘳昸戲扤㜱ㄳ㔱摤㡣摢㜴敡晥㕢㌶慦㕣ち㡣㐰摥搸㔹搷ㅥ愴慢摢ㄲ搸㑡晡敡㝤〷㍡扢㥤㌷ㅡ㑤㌹㝤挵ち慢摦摡㔱㙤㉦㝡敥㑡敦摡攳㥥㝣愴㔵摢㌵愳㘹〸戵㜵㌵㜶搷㉡挳慡㜰㕥攳戳慢慥㉦ㅤ㌵扤〹㝢搱慡㕤㤲摥㤲愴㐸㤴㜵戵搴㙢㔹ㄵ㜱晤挴㠲㠳㠵㠲㕢敢㙦㑢㤶㥡昷㕤〹挰捣戲㡥昹慥㐹㉦搸㔸㌶㔶ㅡ昲扡㔴㤳昰㥤愸搸㥦㉡㍥敥搶㥡晥慣敢〴㥥摢㐸搷㑣搷搷つ㐸㥡晡㘹户㉥ぢ㠵㥣ㄲち㄰戸昹扣㄰戹㍢㝡昳㠲㐲㐴〲挵㘴攴ㅢ搲㘴㌷㜹ㄶ慢挳㉡ㅡ㤲㌴愹扤㝤㡢挱㌸㕦㈵㘳㌲㌸㌰戱㈶敡て扥昴㥤㕢っ摢挲摣ㅢ摢㔸搳挶愲搵摦户㉥㥤攰愴攱搴ㅢ搲换搴㝥㠲㌳搲㐷〰㡡㔷㈱㄰㝡敥ㅥ㔵㥤戸㈲㌶㡡㤷慤㝡戰㕡㕡㤵搶挵搵〰㘵搰㤰攵㌲户戶㉢改搷愰㐸摦㑢㌰〶㔰愹攴㑡晢搸愸㔴㐱捡ㄵ㈹㥤㌲㜸㌹㈵挸搹㉦挵换㐳收㜱慢ㄱ挸㔰㈸㡦㤸挰㐸愸搵ㄴ晡㠶㐹愲㥥㔱ぢㄵ挶㍥㜳ㄶ㔴㙡㔸㑥戰搱收摢㉥㉥〹㠹㘸㔷ㄶ散㌸㔹㐰㔱㤰㤶〷ㄹ扣〶愲改㤰〶搹㡤ㄳ㐴㐴㌶挸搰散ㄸ㌹㑤㘴㙣㥦㈱㈳搰㍥㐹㠴㙣㝤愸户㡣㈰戱㜷ㄳ㈹㍢昵攴挷㕤㘹戶㤹㉤ㅦ㑡戳㙢戱㜱晡㜵〴搷ㄳ摣㐰戰ㅦ㐰晣ㅡㄲ㡥㔲づ昹㜴搲摦㠲㘷晤㈶㠲户〲㐰㍥改㤴㌹㤱愸愲つ戵ㅤ㍢㤲敤㠶㘱㈷㉢愳㌸ㄴ㐵戴㡣㕢㜶收戰慤㄰ㅤ㔹㥤㍢㐳搷ㄶ㤴㡥㝤㐷㙦摡㑣㉥㠷ㄴ㤹搱㌴戹搶㉤㥡㈶㌷㠲㑤晢搴㕢㌷愳慢㍥㑥㜰ぢ㐰㐵㝦ㅢ㈱㤴ぢつ摥敤㔹昴㌴㈹摦ㄴ㘶㔱㘸っ昵愹攰㈳㐲收ㄱ㈰㐳挸㜵ㅤ㕦㜶㙤㘸㥡㠳ㄳ收㥢摥㠶㍥搸㥢扦㈳愴㜷攸捤㕤扤㐳㝦搱慢戴愲㙦〵㝢㠹㕦昴搴㌱户愱㕡㝦〷挱敤〰ㅤ㍡㠶愷敦㔷敢㈹㔰㘶戱㥤挰摣㕥㝡㕤㤴㤵扢扣戱㈶㤵〶ㅡ㌲㤷つ敦愲っ攰挱㌸㌵〷㕢搸昵㍣搹挰愱戶慥ち㜸㝥戹㍥㕤攸ㅦ昷㕣㥢攵扢㌶戲晦愶㔰っ㠵㠲㤶捦㜵搸挸ㄹ戶㘶挲攷㤴愰ㅣ敡攰扢㝡ぢ㠹㐴愷㌴㜹戱㕦昶昹㜲㔷㤲昴㈱㐹摥㠵㙤搵敦〰㠰㤴㄰晦搷㔳愲ㅣ㘴戳㜷慢㘶㘹㡢㤵ㅥ扥㡣搳㐹㠷て戱㑢㡥っ㠶づ摢ㄹ昸て晣㘱㝢挹戲㕢挲㘲搰㕥㤴㕥つ扥〵慢㈱㉢愱㕢㤶愲㘶㔷㔶扣㐹㘴㐵㍥摦㜵㥥捥昰慦㈹㍡改㤰ㄲ㤹摣㥥㔹㤹㜱ㄶ㙦ㄳㄵ摤㤰ㄴ㉡ㄹ慥愱㤶〴㈲攵戱敤慥㠸改㐳挴摣㠹㡤搳てㄱ㑣ㄱㅣ〶㈸晥ㄴ㤲㘶扢ㅢ捦㜰搸挰㍡㕤摡搵㙡慥㑣㌴㈸ㄷ攱换㍤㠵搵ㄱ扥收㍤〴昷〰㜴㤸㍦㜴㐰㘶㄰愲㐲㜹㠲㄰㔵ㄸ挳㍣㙦挹换愴㠱㍤㈶〲㑢戳㑤㍦㜰㙤㐶㤶㠶捤㌹昷㡣ㅢ捣㔹晥ㅡ㈲㔱㘳㘶㤴㜹㘸㔵㍡愰㉥て戶㑦㐷㤹扢戶㈶敢扡戹攴㌶㈱摡㑥捤敤㠴㠳㌹戶〳戶愴㍡㥢㙢〲愹扦昳㌱㠶㄰搸㘹攵㙦愵㌷㜶㕢摥㙦ㅥ晡㐶摡㍢扡㙣〵つ㌹㘸㠶㑣挷㝣搹挴㉥㈲㜲㔰ㅦ㌰㤷㔷㍤㈹攷㠶捤ㄳ㥥㔵㙦㔸㡥㈴㌲㘰㘳㌲㔸㌷㉦㉦㈲㑡戰攸㌲〶攸㍡挳收戲㘷㌸晥㥡挱㠰攲挶摥搴㤳ち㡢ㄴ捤ㄹ换昱昱ㅡ㠵㐵收㐷捣愵㔵昷㌲㈲戶㑤摢㌹㘱慣昹㍢〲㉢㈴晡㌰㈹搴〸㑤㘸㥡㈸㙢攵㝥昱挳〳㜹㉥㐷摥㉢㄰㈸㕣攵㡡昴㤹㘷㘸㙦摡昵㔱㡣㠶㜶㍡攷㌴㠴攸㔱慢㌰㥦㈹㠵挹愹晡扤散昳㍥㠰晢㑦㥣㍢搵㡥捣扤愶㤸㜵㤱㕥晥っㄹ慦挸愲ㄵ〸愱㡦㙥㑦㐸㉡㉣㈳攵㠰〳㠱㜱㍥㜵㤲㕦挵㔴㙤㐸㝤㝢摡搹攳㠸㈴つ㤹昳挶㡡㙣㈰ㅥ㙤ㅢ挱㥥昰㠱㘶慣㙤㌴晣愸㙥搶戵㙤㠳愴㐵戲㕣慡ㄹ愴攰改㘶攰㥥戶ㅣ摤〴㔰昴ㄷㄵㄹ㔷㔰㘴㕣㔱㐵㐳收㔹㠶〶㔵㥥㘳戹ㄷつ捦ち㔶㙤慢㔶收〳挳㜷㍢㠲㈶挱攴㤴扣㜱㡡㘵挶㜸㠷㌵㝦づ㈶㥢㍦〹㜴㑦㐲㡥㜲敢㠸㝥㔰慥㈶㑡昸㈷晡㜴㉣㐱挰㈸㑦愹晥〱㡣㔶㔴户㈳㈰㜲㔴扡ㅡ摦挱戸晡㌸㑡㐲㈱㐴慣㘷㤰〸扣㠲〹㈱㑦ㄷ㜷挹㍣攷㔸〱戰㐷㡣ㅤ户㠲㌹ㅦ㈸〷㐰㔶ㅤ㙦㙦㔴㔸㑤㜴㥡㘸㘹㠵㥢扢慢㔲㙡攲㐰㜷㝤㔲㙦扣㝤㤳敡㔰愳㈴ㄴ挹㔶㡤㤴㘶搹㘴㡥㍢㐹搵〸愵戸㘳㙤㈳戲摣愶敤㝤愷ㄴ㜹つ㡡㐹搱㑣㑥晦愰㈲ㄴ〴㝡㈳ㅤ㐵㥦㝤㌶㜹㈴㈲㌶戴〱㉡搴㔳㘱搹㜰ㄴㄲ㍣㠵㙢㈷㜵㔹㠹㥥挰摦㝢愲散㐲㌳㐸搵ㄸ㔷挶愲㥡改㐶㘳挱㠱㤵㔰㌳扣晡づ㘱㘹慣㉤搴㌰㡡㍢晢搵晥攱昶㈶ㄸ㌱㘲㐳㠶㐵㌲晣挰㘰㐳㌰㔷㈲愲㑡敢㙣㤸㕢摤㉡㉥昳改戴㌴ㅣ㠵㠱愵愰㍥㈷搷㤵ㄹ搶戶攴挷㔴㠷搶㘹㔱挹㔱摤㥣㕥昱愱搲〳捡昱㈸愷ㄸ㕣㌷捦搲㉤㠵㑢っ㄰扢㔱㙥戱ㄶ㈰戴摢ㅡ㠰㈷㠳㥤㠳ㅤ散㐸ㄸ㍡愱㜵㐶〹㕡捡㈰摣昴㈲挸㍢㝤㘲ㄴ㠲搴㔴改昷挷挴搷㥦㘵晡攷㘳戹㌸ㄳ㌱ㄱ挳㕤ㄹ搶〳㤰㥢㡣㑣㤲㡢挶攲㠰㜹㈸搹㤴搰ㅡ㡡换㘸㘲っ搳攴昳〲摣攲㘱㉣㙢㠴㙣搳挰㍤户挰㠲㌶㙤㙣散㌱㑦㌹戵㐶戳㉥㤵㉡㡥㘵戵搲挸㍢〲㕦敡ち㘰挸㑤ㄹ晢ㄲ㙤捡㈹ㅣ愵戸㘴㈲愹㝦扢㕢㍦㠶敥㑡挸㘱㡣㔰昵㌱〰㤹攱㤶㔳〱戱慥㝢ち戴て昷戶㉦㌰愸换㜳㄰㘹㕤㐵㤴㘵昳戸㡦搷㡡㈲㉢㙥㑢㌴㥢㜷攷㕤摡散㠹愲㤳㔶㔸戴㈳㜰㠴㜵㠶〲慦㔴㠲㌱搲㈷㜷㜰㤰摣搵㈸扡㝢昵㜱昵㤸扢ち㔴㈸っ〸挶㜸㜹ち捡㘱㔷挱㐸㌴戸戵戶搵㉤ㄸ晤愵攵慤㑦〳〸㠶㠱㘹搰愲㘵㘸攰捣㈲扦戵㠱㜳㌳㕡㘵㐴㐸㤳挱㔴挶㈸挷攰戰〷搲挰㑤㍣㐸㉦扢㔰㐲挱㍥㜵㌱㉣扥㥢㌸㘱攳〸攴㝡搷㜵ㄴ㉥ㅡ〱慥扦㌸晢㍢㡡愷敢㜵㥡扢昰捦敤〸慣攲敡㐶㘸㡥敥敢戸㤴愵搶㐴晢敥搶㡥㡡攸戲攰攱戹挹㤳㐶㔰㕢㕤ち㌶挲㡢㕢晤㤲㐴昱㐷昰㐷㙣晡㜶摡捣〵㠷ㄷ㔱搷戹昷㤵㑢㡥㝢搹㔱昳㉡晡扣昵〷ち挱ㄵ捡〱㑥戲㤲晢㌳晥愹愴攵㡡晦㠱ㄱ户㌳㙤づ搰㜶㤰㜰ㅣ㤵㐲㘹㌰㡥㝣〶㥤挰㜶㙦摤ㅡ㈰㥤散敢愰ㄳ㈵〸㜶〹挵戹昸扡ㄱ㡡昸㜷愰㤵挴ㄲㅥ挹戱攷摦〳敢㡢㤷㔰㐲㠴攳㌹ㄲ㈳挵㕢㤰换㐰㥤ㄲ攴搱ㄵて㕥〸昹晢挱㔲捣捤㥢戲搳㕦㠱㤹挵㡢㥤㈸㍡㐰ㄴ晤㕢ㄷ㡡〴慦㠱㈸晥扤ㅦ㤹㌸ㄵㄹ㥥㝤㔵㠱㜰慥㘹昷〰晡㠶㕦昸晤ㅢㅥ㐰攷㈳攲㔰㌶ㅡ㐲㙤户攱戹㘵㈲攴扢㑣〴〶敦㤵㠹㜰ㅡㄹ挱㈸㝥㘸㈲㐴㍥㤰〵ㄴ㙣㙤㈲㌰戶㤷㘱〸㈶㐲慤〹户〶㑦㘰搷搹昴㡦㥤挴挵㕢改㈳㥥て愵攵捦挲㈳㜵㝤㜷昱愲攱ㄹ昶㝥㔵㝥挲㤳㔰㘶摥㌲㙥㜲慢㉥散㜱攳愶㌵慡搳㈶扥㡡搸换扥敢㑦搹摥晤㜵㘰㉡㑣愱晢㕥㤴㐵改㌵㜸㑡〴捦つ戹㡦敦晢㤷ㄳ晦晦攸㔳挷㜸㕢㉤愲搵攲ㅤ挸昷ㄳ戲愷㍤㠱愰㙥攲愲挸戵晣㌰攷㌴㍥㔱戲搶ㅡ㜲挶昰㤴ㄵ攴敢㜶㥣つ〹㉦㐱㤸㈱昱敤〴ㄳㄳ昷ㅥ㐲ㄳ㜳戲挳摤愹㍥㙣㔲㉥挲挹挴挴㤵㑦㉦づㅢ㡡㥥㡡慣㑦㙢戳昸〳愸愲㔷㌹㤱戴㤵挸㔳㈷㤳㄰摦敦搴㜵㐷愸敢挲㠳っ挳晥戱㤴㐲晣㠱ㄴ㤲㍣挸昰㐲㠰㤲㔲㘷㤱㈹摥〹㤰ㄱ㔹敢っ昱搲ㅦ戰㉢〴㘴敢搲㕦㥦ㅦ戱㘰ㄷ㠱挵搸ㄷ摦敦㠹㤶戶㘸慣㥡ㄸ慡㔵㌶捤ㄲ㌲敡昰挲㠲愹戸㌴㘵改ㅣ㐶改戶摤㔱㝣挹戰ㅤ〶摥㐲挶㉥摡昴戵㔵散晢㥣㈶㙥㝥㐰捦㤴㤴挲㜰昶戲ㄸ〷㔲ㄵ愳ぢ㥢㔶挲㈲挲㤱㌰摢敡㌴ㄸ㔵㐱㘷㌹晢㜱㉡㐵昰㡦㕦ち戱㝥愲㍤昴戵㥤㌵搴㜱捥〰ㄶ挸ㅦ散慦〳ㄹ㡣㡤户㤲㘳㈰㘱户搵慡ㅣ㕥て㍦㠷㉥㕣㜴㑥攸敤慣㝡ㄶ㐷昰㈷收慣扣搶愵晦ㄹ扤㔶㥣㜵㥥扤ㄹ挶㑥改晦て愳㘰㑢晤㉦ㄸ㝢㔳㠸晣㐸㤴攱㐳㤱昱㤳㉤㐳㌶摣ㄱ㜸戶ㄱ扣㔱〷㘳㕤㘵ㄹ昲づ㜳㑢昸㜸㌵慣㔶ㄲㅣ㝥慦㐲攷搵㠸㔶㕦摡戶㠳㍤〵㈰㘳㐳挵敦㐱〴昵散㥦㤶㕢昱改戶昴㔱㜴摣㜷摡慡㜹慥敦㥡挱昸ㄲ㠲扥攳晣昶捣㠴捤㌳㉤扥摢㈹搴㙥挵㑥っ㝤っ㝤捥㉣㐰㘰㥦㤱挱敢ㄵ㡢㘴㘴㘱㝢㤱っ㝥㠷㌴㥡〸㉦㔱㍢昸搷㤸て㌶㡤〶㍥㕤㕤㠰慦㌳㘰搱㡥㔰㜶愱挷戹昳㠶〶户づ㜷戴ㅥ㠰㍦㐸㌶㈶ㄱㅣ㔳㑢昸攸挷戸慦㥤㝢㤰㙥ㅢ慤捤㘷换晥㝣㙥㤵攲ぢ挰改昶摥㤲㈶ㄹ扥㤳㕦㈴㔷昴㉡㈱㉥敤ㅦ挳摦敤㍢㘸㌹摡ㄸ攸㍣晡愰㥢㡥戰㠹〶摣㘷摢㠸㝥㕦㐰㔷㌱㑤㠰㥦㙥㐴ㄹ㍥〸㝡昹挸㡡攲㕢㔸ㄶㄹ〰昹㕣愹〶搰㥢慡㥦摢㡣慡㐷㘳㠱㉣㜸挶㈰㌹㔶挴㌷搰㤰摢ㄵ㉥ㅢ㉣挱㘵ぢ㜵㤶㐰㕥㡦㝢㈰㥦ㄳ㍣㑢愸㠹㝣つㅤ㕡ㄳ戱㔰摡㝢㈲㕦搹㙣㈲㠲㔶㠰㕡㘸㜲晣搱㔸㡢攸つ㔴敢㌶㠱㐳攰〲㡣㔰㉣㔲搶㤴挲搰挲㑢挴っ搲晦㐶㝦㕦㌹昶搳㤷㤹㝥㜷㑣㈸㐱㠸慡昴攴㈹〸搵攴扦㤰㥣扣㠷搲摥㤳晦摣㘶㤳ㅦ愵㡣攴㑣昴〰㘰㌸㉦慡昸愳ㄶ搳㐴㠶晢挸㥦戸㐰㠰㕦㙡ㄶ愳〶㑡㔴摦换挸愰㉦㌷㕣戵扡㠲㑣摣户挸昵㘷㝣摣愳散㈳㕥㠴愴㉦愷ㄴ㍡㘳㑢愱㔶㉣摢㤱ㄷ㜶㐷挸〶㉣㠹㕦换昶ㄴ改愵㍥㈳晣攲㔳㌱㘲㑥㥥㡣扦㥣搲愲㤸ㄳ〸㈳戴㐸㐹㍦摣㐸昱挹戸昱扦晥戰敤㌲㐵〵ㄲ愸㈷㙣㑣㍡㔳㡤㥦㡥ㅢㅦ挶㔷㔹慡㑤㡥㌷〸㤸㕥㠹ㅢ㤳ㅥ㔵攳愷攲挶扦㍤扣扦搵㌸愶挳㜰攴㈲㠹㈴挳搶㔵搶㝦攲ぢ敤ㄱ㌴㉦㥡搴㥦㠳㘶㔸㑣挹愹㐲挷つ愵㐱㠷㜰ㄹ挴挳㌷搲昳戸摢㠴㉢㈰㄰戲攱晦㉡攱ㄴ敥㍣捤ㄹ㠱㠱㑦愰搷ㄱ㙣昶㜴昵挴捥㈵㜳挱㐳挱㠰㜹捡挷㤹慡扥愳㐸〴收㐰㈱摣摦㉤㥣昲ㄹ愶㘳㝢㍦攲㈰㤹挶㍢㈴晤㈹てㄵ㔸㈹㠸㈷㘳捣收㥥㘸搳㡣晥㌸㤰〳改〸挸㡣晥〴㘰ㄸ㠸攱㙤攵摣㈸昹㕦㌱昷㤳慣昸〴挱㔳〰ㄵ㐱㘶㈷ㅤ㤴㥥〶搸〷㉢ㄵ晦慢ち㝦扣㉥挷搷㍣戹㙥昹㍦昹㡥慢㠹㐷攳㌷㈶㘹㐹晦ㄴ㝢晤㈳㐰ㅥ㍥㕣ㄱ㔱㘲㐵晦㈷㤴㈴摦㑣改愱摥晣ㄹ㔶㝣㤶攰㜳〰㤵㈲㘷扣敤慤攳挲晡㔴㕦㥦㐷㔷昱〴〱㝥晡ㄷ愲っㅦ㡡摣㡣昷昷㌶㤸㜹ㅥ㡥扦敥㐷扣㌳昵ㄹ晦㝤昸㉣㝦㠳㡢捥攳晦㑡㔲㔴搶㝤㐱㝢㕦㝦㘳㤱ㄳ㘸㤸慢摦ㅡ㌶晢㌵㡣挳㜵戵挳㈸ㅣ㤱㥡愵慣㤵〴㤱捥〵ぢㄷ㙦攰㕢㡥慡ち㈱㐸〸慡挲㠹㉡㡥愱㐰晦㈲㥢ㄲ挷挴㤳晥㈵㍥ㄱ戵㙡ㄳ扦ㅣ㘵昸㈰㠸㔷搵晤攱愸㝢晣㐲攲㕡㔵㔸ㅤ㉦㈴晥㔵挵㙡昲㠵捦㜲㌰㠵㉣㘴搲慡㠹㐸㔳㌴昴つ㘴㠶昳㈳㥣摢㐳昸㘹㔷㐴敤㐲晤挲㠵㍦㡥ㄴ挶㙦㉣㝣昸㐳㐳捦扥昲㍦扦㝣收㘷晦㜰昴㌷㝦㝡敥戹㥦晤敡㤹㤷晦昴愳㤵愳晦昵挲ぢ晦㜹晦户㕦晥攵㕥昳㜹敤㠷㝦㥣㝦晥戱愹㑢㡦㍤㘲㥥扢攳挴㘳ㅦ㜹昸挱愹挵㙢㈶昲昹㠱㠱摢挷晥晢㠶㜷㡥㍥昱挸㡢攲挷㍦扦摥ㄱ㙡戹㜸㐱㝡ㅡ㕣戶㥡挶㌷㤱挱㌴㌸攳㌷㜴ㅡ㕣慥摡愸㤵㘸愳㘶㔰㔰㠶㘳㠳ㄳ㔰ㄵ㐶扡㘲昰㉦昱晣戲搹</t>
  </si>
  <si>
    <t>Decisioneering:7.0.0.0</t>
  </si>
  <si>
    <t>faf937c1-d1ae-4b3e-b7c9-1ca4f03fb62b</t>
  </si>
  <si>
    <t>CB_Block_7.0.0.0:1</t>
  </si>
  <si>
    <t>c002f627-8d93-44f4-a7f7-4bd3ba400f12</t>
  </si>
  <si>
    <t>㜸〱敤㕣㕢㙣ㅣ㔷ㄹ摥㌳摥㕤敦慣敤搸㡤搳㑢㑡㘹㕤㑡㕢㠸㠳ㅢ愷つ愵㐰〸扥㌴㠹㡢ㄳ扢戱㤳㠲戸㙣挶扢㘷攲㘹㜶㘶摣㤹㔹㈷㉥㤵㕡㐱戹㠹㥢㔴㉥愲㔰㉥㉡〸㠹ㄷ㉥㉦摣㕦㄰㈰㄰㉡ㄲて昰㠰挴㐳㐱〸ㅥ㐰㄰㠹ㄷㅥ㤰攰晢捥捣散捥散㝡挷敥戶〵ㄷ昹愴晢晢捣戹捤㌹攷扦㥥晦㍦搳㥣挸攵㜲晦㐶攲㕦愶㍣㌳㌷㉣㙤昸㠱戴㈷㘶摣㝡㕤㔶〳换㜵晣㠹㈹捦㌳㌶收㉤㍦攸㐳㠳㘲挵㐲扤㕦愸昸搶挳戲㔴㔹㤷㥥㡦㐶㠵㕣慥㔴搲㌵搴㜳㄰晥㐶攲〷㥤扤〶昳〰换㌳搳ぢ㉢て㘲搴愵挰昵攴挱戱㜳㘱摦愳㤳㤳ㄳ㤳ㄳ㐷づ摤㝤㜸攲搰挱戱㤹㐶㍤㘸㜸昲愸㈳ㅢ㠱㘷搴て㡥㉤㌶㔶敡㔶昵㉤㜲㘳搹扤㈸㥤愳㜲攵搰㥤㉢挶㕤慦㥢扣敢挸ㄱ昳㥥㝢㕥㌷㠸㔷攷㑥捦㑣㉦㝡搲昴㕦愰㌱ぢ㥣昲㕤戳戲㙡㜱㙤㔲㝡㤶㜳㘱㘲㘶ㅡ晦㈵收㡦愷扢㈷㤶㔶愵っ昸㙡改㐹愷㉡㝤ㅤㅤ〷散㈹摦㙦搸㙢摣㍣摤㍥㡥愵㔶つ㍦㈸搸㌳戲㕥搷敤㜸搴㤲扤㠰扤慢ㅢㅢ㠳昶㤲㜴㝣㉢戰搶慤㘰愳㘸㉦㘳愰摡㤰㝤搶㤷㘷っ攷㠲㍣㙤搸戲㘰㥦㘸㔸戵㝣㤸㜲㝤户挷㐳㈴㈷愶㤶㍦㌱攵摢㌳慢㠶愷㘶攴㜳㘳㌲摡ㅥ昷慡改戶户㜴ㅦ㤷㔳㔷㙦攰㤸户㜶㙦㠷㥡㜳㠶搷㙣㌹摥扤㘵戴昸昴っ敥攸摥㍥戱㐷改㍥慦敥摥㐷㙤㘵扡戵ㄸ㠸攸㕢敤㈸ㄶ愳ㄷ〹晡〹㑡〴㐴愰㕥㈶ㄸ㈰ㄸ〴㄰昹㝦㠰㑢㤲ㅤ㔹愵㔵っ慤戲愲㔵慡㕡愵愶㔵愴㔶㌱戵捡〵慤戲慡㔵㉣慤昲愰㔶戹㠸㌶㜱㉡昵昷㙢㔱晡挴㠱㥦扥敢敦て晤㙥敥搳〷晥㕣晦㕡晦㙤昳㠳㝢搰攸晥㘸㔲戳㥥㜱〹愴搶愲㘲㜰〴晦㙤捤ㄵ㘰ち昳㠸㜹户㌹㌹㔹㍢㜲挸戸搳㈸㜰㔹ㄹ挸㑦ㄱ捡〸摡づ㥡て㔸㑥捤扤愴㜰㜷挳戴攱换搶挶㡤㐷㜵搳㙥挳愹昹㉦摢扣㜲㈹㌰〲㜹㝤㝢㕤㙢㤰㡥㙥㑢㘰㉢改慢昷摤搸摥敤㥣㔱㙦挸愹换㔶㔸晤昲戶㙡㝢搱㜳㔷扡搷ㅥ昷攴㐳捤摡㡥ㄹ㑤㐱愸慤慢戱㍢㔶ㄹ㔶㠵昳ㅡ㥢㔹㜵㝤改愸改㡤摢㡢㔶昵愲昴㤶㈴㐵愲慣愹愵㕥捤慡㠸敢挷ㄷㅣ㉣ㄴ摣㕡㝢㐵戲搴扣昷㜲〰㘶㤶㌵捣㜷㑤㝡挱挶戲戱㔲㤷搷愴㥡㠴敦㐴挵晥㔴昱㜱户摡昰㘷㕣㈷昰摣㝡扡㘶慡戶㙥㐰搲搴㑥戹㌵㤹捦攷㤴㔰㠰挰敤敢ㄳ㈲㜷愰㍢㉦㈸㐴㈴㔰㑣㐶扥㉥㑤㜶ㄳ㘷戰㍡慣愲㉥㐹㤳摡㉢户ㄸ㡣昳㔵㌲㈶㠳〳ㄳ㙢愲晥攰㑢㕦戵挵戰㑤捣扤戸㡤㌵㙤㌴㕡晤扤敢搲〹㑥ㅡ㑥慤㉥扤㑣敤㈷㌸㈳㝤ㄸ愰㜰〵〲愱敢敥㔱搵㠹换㘲愳㜰挹慡〵慢挵㔵㘹㕤㔸つ㔰〶つ㔹㉡㜱㙢㍢㤲㝥ㄵ㡡昴扤〴愳〰攵㜲慥戸㡦㡤㡡㘵愴㕣㠱搲㈹㠳㤷㔳㠲㥣晤㔲扣㍣㘸ㅥ户敡㠱っ㠵昲戰〹㡣㠴㕡㑤愱㙦㠸㈴敡ㄹ搵㔰㘱散㌳㘷㐰愵㠶攵〴ㅢ㉤扥敤攰㤲㤰㠸㜶㘵挱㡥㤳〵ㄴ〵㘹㜹㤰挱㙢㈰㥡㌶㘹㤰摤㌸㐱㐴㘴㠳っ捤㡥㤱搳㐴挶昶ㄹ㌲〲敤㤳㐴挸搶㠷扡换〸ㄲ㝢㈷㤱戲㔳㔷㝥摣㤵㘶㥢搹昲愱㌴扢ㅡㅢ愷㕦㐳㜰㉤挱㜵〴晢〱挴㥦㈰攱㈸攵㤰㑦㈷晤㘵㜸搶㙦㈰㜸㌹〰攴㤳㑥㤹ㄳ㠹㉡摡㔰摢戱㈳搹㙥〸㜶戲㌲㡡㐳㔱㐴换戸㘹㘷づ搹ち搱㤱搵戹㌳㜴㙤㕥改搸摢扡搳㘶㜲㌹愴挸㡣愶挹戵㙥搱㌴戹ㄱ㙣摡愳摥扡〹㕤昵㌱㠲㥢〱捡晡㉢〸愱㕣㘸昰㙥捦愲愷㐹昹㤲㌰㡢㐲㘳愸㐷〵ㅦㄱ㌲㡦〰ㄹ㐲慥攳昸戲㙢㐳搳ㅣㅣ㌷㕦昲㌶昴挱敥晣ㅤ㈱扤㑤㙦敥敡ㅤ晡㡢㥥愳ㄵ㝤ぢ搸㑢晣慥慢㡥戹ㄵ搵晡㙤〴户〳戴改ㄸ㥥扥㥦慢愷㐰㤹挵㜶〲㜳㝢改㜵㔱㔶敥昲挶㥡㔴ㅡ㘸搰㕣㌶扣ぢ㌲㠰〷㘳㙥ㄶ戶戰敢㜹戲㡥㐳㙤㑤ㄵ昰晣㜲㙤扡搰㍦敥戹㌶换㜷㙤㘴晦㈵愱ㄸ昲㜹慤㉦搷㘶㈳㘷搸㥡〹㥦㔳㠲㜲愸㠳敦散㉥㈴ㄲ㥤搲攴挵㝥搹攷换㕤㐹搲㠳㈴㜹㌵戶㔵㍦〰〰㈹㈱㝥搳㔵愲ㅣ㘴戳搷愸㘶㘹㡢㤵ㅥ扥㡣搳㐹㥢て戱㐳㡥っ㠴づ摢㘹昸て晣㈱㝢挹戲㥢挲㘲挰㕥㤴㕥ㄵ扥〵慢㉥换愱㕢㤶愲㘶㔷㔶扣㐴㘴㐵㕦㕦挷㜹㍡挳扦愶攸愴㑤㑡㘴㜲㝢㘶㘵挶㔹扣㐵㔴㜴㐳㔲愸㘴戸㠶㥡ㄲ㠸㤴挷戶扢㈲愶〷ㄱ㜳〷㌶㑥㍦㐴㌰㐹㜰ㄸ愰昰㑢㐸㥡敤㙥㍣挳㘱晤敢㜴㘹㔷㉡戹ㄲ搱愰㕣㠴捦㜴ㄵ㔶㐷昸㥡搷ㄲ摣つ搰㘶晥搰〱㤹㐱㠸ち攵〹㐲㔴㘱っ昳㥣㈵㉦㤱〶昶㤸〸㉣捤㌴晣挰戵ㄹ㔹ㅡ㌲㘷摤搳㙥㌰㙢昹㙢㠸㐴㡤㥡㔱收㠱㔵改㠰扡㍣搸㍥㙤㘵敥摡㥡慣改收㤲摢㠰㘸㥢㥢摤〹〷㜳㙣〷㙣㐹㜵㌶搷〴㔲㙦攷㘳っ㈱戰搳捡摦㑡㙦散戶扣摦㍣昴つ户㜶㜴搹ち敡㜲挰っ㤹㡥昹㤲㠹㕤㐴攴愰搶㙦㉥慦㝡㔲捥づ㤹㈷㍣慢㔶户ㅣ㐹㘴挰挶㘴戰㙥㕥㕥㐰㤴㘰搱㘵っ搰㜵㠶捣㘵捦㜰晣㌵㠳〱挵㡤扤愹㈷ㄵㄶ㈹㤸搳㤶攳攳㌵ち㡢捣て㥢㑢慢敥㈵㐴㙣ㅢ戶㜳挲㔸昳㜷〴㔶㐸昴㘱㔲愸ㄱ㥡搰㌴㔱搲㑡扤攲㠷〷昲㕣㡥扣㤷㈷㔰戸捡ㄵ攸㌳捦搰摥戴敢愳ㄸつ敤㜴捥㘹㄰搱愳㘶㘱㕦愶ㄴ㈶愷敡昷戰捦敢〱敥㍢㜱㜶慥ㄵ㤹㝢㕥㌱敢〲扤晣ㄹ㌲㕥㤱㐵㌳㄰㐲ㅦ摤㥥㤰㔴㔸㐶捡〱〷〲攳㝣㙡㈷扦戲愹摡㤰晡昶戴戲挷ㄱ㐹ㅡ㌴攷㡤ㄵ㔹㐷㍣摡㌶㠲㍤攱〳捤㔸摢愸晢㔱摤㡣㙢摢〶㐹㡢㘴戹㔴㌵㐸挱㔳㡤挰㍤㘵㌹扡〹愰攸㉦㉡㌲㉥愳挸戸慣㡡〶捤㌳っつ慡㍣挷㜲㉦ㄸ㥥ㄵ慣摡㔶戵挴〷㠶敦㜶〴㑤㠲挹㈹㜹攳ㄴ换㡣戱㌶㙢晥㉣㑣㌶㝦〲攸㥥㠰ㅣ攵搶ㄱ晤愰㕣㑤ㄴ昱㑦昴攸㔸㠲㠰㔱㥥㔲晤㡤ㄸ慤愰㙥㐷㐰攴愸㜴㈵扥㠳㜱攵㔱㤴㠴㐲㠸㔸捦㈰ㄱ㜸〵ㄳ㐲㥥㉥敥愲㜹搶戱〲㘰㡦ㄸ㍢㙥〵戳㍥㔰づ㠰慣㍡摥㕥慦戰㥡攸㌴摥搴ち㌷㜵㔶愵搴挴㡤㥤昵㐹扤昱捡㑤慡㐳㡤㤲㔰㈴㕢㌵㔲㥡㘵㤳㌹敥㈴㔵㈳㤴攲㡥戵㡤挸㜲㥢戶昶㥤㔲攴㜹㈸㈶㐵㌳㌹晤㑤㡡㔰㄰攸㡤㜴ㄴ㝤昶搹攴㤱㠸搸搰〶㈸㔳㑦㠵㘵㐳㔱㐸㜰づ搷㑥㙡戲ㅣ㍤㠱扦昷㐴搹㠵㐶㤰慡㌱㉥㡦㐶㌵㔳昵晡㠲〳㉢愱㙡㜸戵ㅤ挲搲㔸㕢愸㘱ㄴ㜷昶慡晤挳敤㑤㌰㘲挴㠶っ㡢㘴昸㠱挱㠶㘰慥㐴㐴㤵搶搹㄰户扡㔹㕣攲搳㈹㘹㌸ち〳㑢㐱㙤㔶慥㉢㌳慣㘵挹㡦慡づ捤搳愲㤲愳扡㌹戵攲㐳愵〷㤴攳㔱㑥㌱戸㙥㥥愱㕢ち㤷ㄸ㈰㜶愳摣㘲㌵㐰㘸户㌹〰㑦〶㍢〷㍢搸㤱㌰㜴㐲敢㡣ㄲ戴㤸㐱戸改㐵㤰㜷㝡挴㈸〴愹愹搲摦㡥㠹捦㍥挹昴戵㘳戹㌸ㄳ㌱ㄱ挳㕤ㄹ搶〳㤰㥢㡣㑣㤲㡢㐶攳㠰㜹㈸搹㤴搰ㅡ㡣换㘸㘲っ搱攴昳〲摣攲㘱㉣㙢㤸㙣㔳挷㍤户挰㠲㌶慤㙦散㌱攷㥣㙡扤㔱㤳㑡ㄵ挷戲㕡㘹攴ㅤ㠱㉦㜵〵㌰攴愶㡣㝤㠹㌶㘵づ㐷㈹㉥㤹㐸敡摤敥搶㡦愱扢ㄲ㜲ㄸ㈳㔴㝤っ㐰㘶戸攵㔴㐰慣攳㥥〲敤挳扤慤ぢっ敡昲ㅣ㐴㕡㐷ㄱ㘵搹㍣敥攳㌵愳挸㡡摢ㄲ捤收摤㜹㤷㌶㝢愲攸愴ㄵㄶ敤〸ㅣ㘱㥤愱挰㉢ㄶ㘱㡣昴挸ㅤㅣ㈴㜷㈵㡡敥㕥㜹㔴㍤收慥〰ㄵち〳㠲㌱㕥㥥㠲㜲搸㔵㌰ㄲつ㙥慤㘵㜵ぢ㐶㝦㘹㜹敢㔳〰㠲㘱㘰ㅡ戴㘸ㄹㅡ㌸㌳挸㙦㙤攰摣㠴㔶ㄹㄱ搲㘴㌰㤵㌱捡㔱㌸散㠱㌴㜰ㄳて搲换㉥㤴㔰戰㑦㕤っ㡢敦㈶㡥摢㌸〲戹摥㌵㙤㠵㡢㐶㠰敢㉦捥晥戶攲愹㕡㡤收㉥晣㜳㍢〲慢戸扡ㄱ㥡愳晢摡㉥㘵愹㌵搱扥扢愵慤㈲扡㉣㜸㜸㜶攲愴ㄱ㔴㔷㤷㠲㡤昰攲㔶慦㈴㔱昸㈱晣ㄱ㥢扥㥤㌶㜳摥攱㐵搴㜵敥㝤昹愲攳㕥㜲搴扣ち㍥㙦晤㠱㐲㜰㠵戲㥦㤳㉣攷晥㡤㝦㉡㘹戹挲て㌰攲㜶愶捤〱㕡づㄲ㡥愳㔲㈸つ挶㤰捦愰ㄳ搸敥捤㕢〳愴㤳㝤㙤㜴愲〴挱㉥愱㌸ㄷ㕥㌰㐲ㄱ摦〷㕡㐹㉣攱㤱ㅣ㝢晥㔵戰扥昸ㅥ㑡㠸㜰㍣㐷㘲愴㜰㌳㜲ㄹ愸㔳㠲㍣扡攲挱ぢ㈱晦㍦㔸㡡戹㜹㔳㜶晡㉦㌰戳昸㙥㍢㡡㙥㈴㡡扥搳㠱㈲挱㙢㈰㡡㝦敦㐳㈶㑥〵㠶㘷㥦㔳㈰㥣㙢摡㍤㠰扥攸ㄷ㝥晦㠷〷搰昹㠸㌸㤴㡤㠶㔰摢慤㜸㙥㥡〸㝤ㅤ㈶〲㠳昷捡㐴㌸㠵㡣㘰ㄴ㍦㌴ㄱ㈲ㅦ挸〲ち戶㌶ㄱㄸ摢换㌰〴ㄳ愱搶㠴㕢㠳㈷戰㙢㙣晡挷㑥攲攲慤昴ㄱ捦㠷搲昲㘷攰㤱扡戶戳㜸搱昰っ㝢扦㉡㍦攱㐹㈸㌳㙦ㄹ㌷戹㔵ㄷ昶戸㝥搳ㅡ搵㘹ㄳ㕦㐵散㘵摦昵愷㙣敦晥㍡㌰ㄵ愶搰㝤㉦㑡愲昸㍣㍣㈵㠲攷㠶摣扢昷㝤晤挴敦ㅦ㝥晣ㄸ㙦慢㐵戴㕡㌸㠰㝣㉦㈱㝢摡ㄳ〸敡㈶㉥㡡㕣捤て㜳㑥攱ㄳ㈵㙢慤㉥愷つ㑦㔹㐱扥㙥挷搹㤰昰ㄲ㠴ㄹㄲ摦㑥㌰㌱㜱敦㈱㌴㌱㈷摡摣㥤敡挳㈶攵㈲㥣㐸㑣㕣昹昴攲戰愱攸慡挸㝡戴㌶ぢ摦㠴㉡㝡㡥ㄳ㐹㕢㠹㍣㜵㌲〹昱㡤㜶㕤㜷㠴扡㉥㍣挸㌰散ㅦ㑢㈹挴ㅦ㐸㈱挹㠳っ㉦〴㈸㈹㜵〶㤹挲ㅤ〰ㄹ㤱戵昶㄰㉦晤〱扢㐲㐰㌶㉦晤昵昸ㄱぢ㜶ㄱ㔸㡣㝤昱扤㥥㘸㘹㡢挶慡㠹愱㕡㘵搳㉣㈱愳づ㉦㉣㤸㡣㑢㔳㤶捥㘱㤴㙥摢ㅤ挵㤷っ搹㘱攰㉤㘴散㠲㑤㕦㕢搹扥搷㘹攰收〷昴㑣㔱㈹っ㘷㉦㡢㜱㈰㔵㌱扡戰㘹㌹㉣㈲ㅣづ戳捤㑥〳㔱ㄵ㜴㤶戳ㅦ愷㔲〴晦昸愵㄰敢挷㕢㐳㕦摤㕥㐳ㅤ攷昴㘳㠱晣挱晥扡㌱㠳戱昱㔶㜲っ㈴散戶㕡㤵挲敢攱㘷搱㠵㡢捥〹扤㤵㔵捦攲〸晥挴㥣搵愷㜵攸㝦㐶慦ㄵ㘷㥤㘳㙦㠶戱㔳晡晦慤㈸搸㔲晦ぢ挶摥ㄴ㈲摦ㄶ㘵昸㔰㘰晣㘴换㤰つ㜷〴㥥㙤〴㙦搴挱㔸㔷㔹㠶扣挳摣ㄲ㍥㕥つ慢㤵〴㠷摦㉢摦㝥㌵愲搹㤷戶敤㐰㔷〱挸搸㔰攱慢㄰㐱㕤晢愷攵㔶㝣扡㉤扥ㅤㅤ昷㥤戲慡㥥敢扢㘶㌰戶㠴愰敦ㄸ扦㍤㌳㘱昳㑣㠹慦戴ぢ戵㕢戰ㄳ㠳敦㐴㥦搳ぢ㄰搸愷㘵昰㐲挵㈲ㄹ㔹搸㕥㈴㠳摦㈱㡤㈴挲㑢搴づ晥㔵收晤つ愳㡥㑦㔷ㄷ攰敢っ㔸戴㈳㤴㕤攸㜱㙥扦愱挱慤挳ㅤ慤户挰ㅦ㈴敢ㄳ〸㡥愹㈵扣晤㥤摣搷昶㍤㐸户㡤搶收戳㘵㙦㍥户㜲攱㘹攰㜴㝢㙦㐹㤳っ摦挹㉦㤲换㝡㠵㄰㤷昶㡦攱敦昶ㅤ戴ㅣ㙤ㄴ㜴ㅥ㝤搰㑤㐷搸㜸ㅤ敥戳㙤㐴扦捦愳慢㤸㈲挰㑦㌷愲っㅦ〴扤㝣㘴㐵昱〵㉣㡢っ㠰㝣慥㔸〵攸㑥搵㑦㙤㐶搵㈳戱㐰ㄶ㍣㘳㤰ㅣ换攲㜳㘸挸敤ち㤷つ㤶攰戲㠵㍡㑢㈰慦挷㍤㤰捦〹㥥㈵搴㐴㍥㠳づ捤㠹㔸㈸敤㍥㤱㑦㙦㌶ㄱ㐱㉢㐰㉤㌴㌹晥㐸慣㐵昴㍡慡㜵㥢挰㈱㜰〱㠶㈹ㄶ㈹㙢㡡㘱㘸攱㝢挴っ搲慦愲扦捦ㅥ晢攵㌳㑣㝦㍤㈶㤴㈰㐴㔵㝡昲ㄴ㠴㙡昲ㅦ㑦㑥摥㐳㘹昷挹㝦㜴戳挹㡦㔰㐶㜲㈶㝡〰㌰搴㈷㉡昸愳ㄶ搳㐰㠶晢挸㥦㌸㑦㠰㕦㙡ㄶ㈳〶㑡㔴摦㑢挸愰㉦㌷㕣戵扡㡣㑣摣户挰昵㘷㝣摣愳散㈳㕥㠴愴㉦愷ㄸ㍡㘳㡢愱㔶㉣搹㤱ㄷ㜶㐷挸〶㉣㠹㕦换㜶ㄵ改挵ㅥ㈳晣攲〳㌱㘲㑥㥥㡣扦㥣搲愲㤸ㄳ〸㈳戴㐸㐹㍦摣㐸昱晥戸昱户扥摤㜲㤹愲〲〹搴ㄳ㌶㈶㥤愹挶敦㡢ㅢㅦ挶㔷㔹慡㑤㡥㌷〸㤸㥥㡤ㅢ㤳ㅥ㔵攳挷攳挶㝦㌹扣扦搹㌸愶挳㜰攴〲㠹㈴挳搶㔵搶㝦攲ぢ敤㘱㌴㉦㤸搴㥦〳㘶㔸㑣挹愹㐲挷㜵愵㐱〷㜱ㄹ挴挳㌷搲昳戸摢㠴㉢㈰㄰戲攱晦㉡㘱づ㜷㥥㘶㡤挰挰㈷搰敢〸㌶㝢扡㝡㘲攷愲戹攰愱愰摦㥣昳㜱愶慡敤㈸ㄲ㠱㌹㤰て昷㜷ぢ愷㝣㠶改搸摡㡦㌸㐸愶昱づ㐹㙦捡㐳〵㔶昲攲㍤㌱㘶㜳㡦戵㘸㐶㝦ㄴ挸㠱㜴〴㘴㐶㝦っ㌰っ挴昰戶㜲㙥㠴晣慦㤸晢㍤慣㜸㉦挱攳〰㘵㐱㘶㈷ㅤㄴ摦〷戰て㔶㉡晥㔷ㄵ晥㔸㑤㡥慤㜹㜲摤昲㝦晣㘵㔷ㄳて挷㙦㑣搲㤲晥〱昶晡㈰㐰ㅦ㝣戸㈲愲挴戲晥㈱㤴㈴摦㑣改愱摥晣㘱㔶㝣㠴攰愳〰攵〲㘷扣敤慤攳挲㝡㔴㕦ㅦ㐳㔷昱ㄸ〱㝥晡挷愳っㅦち摣㡣㌷㜴㌷㤸㜹ㅥ㡥扦敥㐷扣㌳昵ㄹ晦扤昸㉣㝦㠳㡢敥挳晦㤵愴愰慣晢扣昶晡摥挶㈲㈷搰㌰㔷扦㌵㙣昶昳ㄸ㠷敢㙡㠵㔱㌸㈲㌵㑢㐹㉢ち㈲㥤ぢㄶ㉥摥挰户ㅣ㔵ㄵ㐲㤰㄰㔴㠵ㄳ㔵ㅣ㐳㠱晥〹㌶㈵㡥㠹㈷晤㤳㝣㈲㙡搵㈶㝥㉡捡昰㐱㄰慦慡晢㠳㔱昷昸㠵挴戵慡戰摡㕥㐸晣慢㡡搵攴ぢ㥦攴㘰ち㔹挸愴㔵ㄳ㤱愶㘸攸㜳挸っ昵つ㜳㙥て攰愷㕤ㄶ搵昳戵昳攷晦㌹㥣ㅦ扢㍥晦搶㌷て㍥昹散㉦晥昰挴慦摦㜱昴捦晦㝡敡愹㕦晦昱㠹㘷晥昵挳㤵愳㍦㝢晡改㥦摣昷挵㘷晥戰搷晣㤲昶敤㝦捥㝦改㤱挹㡢㡦㍣㘴㥥㍤㜰攲㤱户㍤㜸晦攴攲㔵攳㝤㝤晤晤户㡦晥晣扡㔷㡤㍣昶搰㜷挵㡦㝥㝢慤㈳搴㜲昱㠲昴㌴戸㙣㌵㡤捦㈳㠳㘹㜰挶㉦敡㌴戸㕣戵㔱㉢搱㐶㑤愳愰〴挷〶㈷愰㉡㡣㜴挵挰㝦〰扦昱戵㐶</t>
  </si>
  <si>
    <t>㜸〱敤㕣㕢㙣ㅣ㔷ㄹ摥㌳摥㕤敦慣敤搸㡤搳㑢㑡㘹㑤㑢㈹搴挱㡤搳㠶㔲㈰〴㕦㥡㑢㜱㘲㌷㜶㔲㄰愰捤㜸昷㑣㍣捤捥㡣㍢㌳敢挴愵㔲ぢㄴち㠲㠲㔴㉥愲戴ㄴ㔴㄰ㄲ㉦㕣㕥㑡戹扣㈰㤰戸愸㐸㍣〰ㄲㄲて〵㈱㜸〰愱㐸昰挰〳ㄲ㝣摦㤹㤹摤㤹㕤敦搸摤戶攰㈲㥦㜴㝦㥦㌹户㌹攷晣搷昳晦㘷㥡ㄳ戹㕣敥摦㐸晣换㤴㘷收㥡挵㜵㍦㤰昶挴㡣㕢慦换㙡㘰戹㡥㍦㌱攵㜹挶晡㥣攵〷㝤㘸㔰慣㔸愸昷ぢㄵ摦扡㕦㤶㉡㙢搲昳搱愸㤰换㤵㑡扡㠶㝡づ挲摦㐸晣愰戳搷㘰ㅥ㘰㘹㘶㝡㝥昹㕥㡣扡ㄸ戸㥥摣㌷㜶㈶散㝢㘸㜲㜲㘲㜲攲攰晥摢て㑣散摦㌷㌶搳愸〷つ㑦ㅥ㜲㘴㈳昰㡣晡扥戱㠵挶㜲摤慡扥㔳慥㉦戹攷愵㜳㐸㉥敦扦㜵搹戸敤捤㤳户ㅤ㍣㘸摥㜱挷㥢〷昱敡摣挹㤹改〵㑦㥡晥㑢㌴㘶㠱㔳扥㙤㔶㔶㉤慥㑤㑡捦㜲捥㑤捣㑣攳扦挴晣昱㜴晢挴攲㡡㤴〱㕦㉤㍤改㔴愵慦愳攳㠰㍤攵晢つ㝢㤵㥢愷摢㐷戰搴慡攱〷〵㝢㐶搶敢扡ㅤ㡦㕡戲攷戱㜷㜵㘳㝤搰㕥㤴㡥㙦〵搶㥡ㄵ慣ㄷ敤㈵っ㔴ㅢ戲㑦晢昲㤴攱㥣㤳㈷つ㕢ㄶ散愳つ慢㤶て㔳慥敦愶㜸㠸攴挴搴昲㈷愶㝣㝢㘶挵昰搴㡣㝣㙥㑣㐶摢㈳㕥㌵摤昶㠶敥攳㜲敡敡つㅣ昳挶敥敤㔰㜳挶昰㥡㉤挷扢户㡣ㄶ㥦㥥挱㉤摤摢㈷昶㈸摤攷つ摤晢愸慤㑣户ㄶ〳ㄱ㝤慢ㅤ挵㘲昴㈲㐱㍦㐱㠹㠰〸搴换〴〳〴㠳〰㈲晦㜷㜰㐹戲㈳慢戴㡡愱㔵㤶戵㑡㔵慢搴戴㡡搴㉡愶㔶㌹愷㔵㔶戴㡡愵㔵敥搵㉡攷搱㈶㑥愵晥㝥㉤㑡㑢㙦扣晥〳晦昸捤敦㘶㍦昲扤挷敥㜸敡㘷〷扥㍤戸ぢ㡤敥㡥㈶㌵敢ㄹㄷ㐰㙡㉤㉡〶㐷昰摦收㕣〱愶㌰て㥡户㥢㤳㤳戵㠳晢㡤㕢㡤〲㤷㤵㠱晣ㄴ愱㡣愰敤愰㜹㡦攵搴摣ぢち㜷搷㑣ㅢ扥㙣㙤摣㜸㔴㌷敤㌶㥣㥡晦慡㡤㉢ㄷ〳㈳㤰㔷户搷戵〶改攸戶〸戶㤲扥㝡摦戵敤摤捥ㄸ昵㠶㥣扡㘸㠵搵慦㙥慢戶ㄷ㍣㜷戹㝢敤ㄱ㑦摥搷慣敤㤸搱ㄴ㠴摡㥡ㅡ扢㘳㤵㘱㔵㌸慦戱㤹ㄵ搷㤷㡥㥡摥戸扤㘰㔵捦㑢㙦㔱㔲㈴捡㥡㕡敡攵慣㡡戸㝥㝣摥挱㐲挱慤戵敢㤳愵收㥤ㄷ〳㌰戳慣㘱扥慢搲ぢ搶㤷㡣攵扡扣㈲搵㈴㝣㈷㉡昶愶㡡㡦戸搵㠶㍦攳㍡㠱攷搶搳㌵㔳戵㌵〳㤲愶㜶挲慤挹㝣㍥愷㠴〲〴㙥㕦㥦㄰戹㥢扢昳㠲㐲㐴〲挵㘴攴慢搲㘴㌷㜱ち慢挳㉡敡㤲㌴愹扤㜶㤳挱㌸㕦㈵㘳㌲㌸㌰戱㈶敡て扥昴昵㥢っ摢挴摣换摢㔸搳㐶愳搵摦戹㈶㥤攰㤸攱搴敡搲换搴㝥㠲㌳搲㠷〱ち㤷㈰㄰扡敥ㅥ㔵㥤戸㈸搶ぢㄷ慣㕡戰㔲㕣㤱搶戹㤵〰㘵搰㤰愵ㄲ户戶㈳改㤷愱㐸摦㑤㌰ち㔰㉥攷㡡㝢搸愸㔸㐶捡ㄵ㈸㥤㌲㜸㌹㈵挸搹㉦挵换㠳收ㄱ慢ㅥ挸㔰㈸て㥢挰㐸愸搵ㄴ晡㠶㐸愲㥥㔱つㄵ挶ㅥ㜳〶㔴㙡㔸㑥戰摥攲摢づ㉥〹㠹㘸㐷ㄶ㙣㍢㔹㐰㔱㤰㤶〷ㄹ扣〶愲㘹㤳〶搹㡤ㄳ㐴㐴㌶挸搰散ㄸ㌹㑤㘴㙣㥦㈱㈳搰㍥㐹㠴㙣扤扦扢㡣㈰戱㜷ㄲ㈹㍢㜵攵挷ㅤ㘹戶㤱㉤ㅦ㑡戳换戱㜱晡ㄵ〴㔷ㄲ㕣㐵戰ㄷ㐰晣〹ㄲ㡥㔲づ昹㜴搲㕦㠵㘷晤ㅡ㠲㔷〳㐰㍥改㤴㌹㤱愸愲つ戵ㄵ㍢㤲敤㠶㘰㈷㉢愳㌸ㄴ㐵戴㡣㥢㜶收㤰慤㄰ㅤ㔹㥤摢㐳搷收㤵㡥㝤㕤㜷摡㑣㉥㠷ㄴ㤹搱㌴戹搶㑤㥡㈶㌷㠲㑤㝢搴㕢搷愱慢㍥㐶昰ㅡ㠰戲㝥㍤㈱㤴ぢつ摥慤㔹昴㌴㈹㕦ㄱ㘶㔱㘸っ昵愸攰㈳㐲收ㄱ㈰㐳挸㜵ㅣ㕦㜶㙣㘸㥡㠳攳收㉢摥㠶摥搷㥤扦㈳愴户改捤ㅤ扤㐳㝦搱ぢ戴愲㙦〰㝢㠹摦㜵搵㌱㌷愲㕡㝦ㅤ挱㑤〰㙤㍡㠶愷敦ㄷ敡㈹㔰㘶戱㥤挰摣㙥㝡㕤㤴㤵扢戴扥㉡㤵〶ㅡ㌴㤷っ敦㥣っ攰挱㌸㍥ぢ㕢搸昵㍣㔹挷愱戶愶ち㜸㝥戹㌲㕤攸ㅦ昱㕣㥢攵㍢㌶戲晦㡡㔰っ昹扣搶㤷㙢戳㤱㌳㙣捤㠴捦㈹㐱㌹搴挱户㜶ㄷㄲ㠹㑥㘹昲㘲扦散昳攵㡥㈴改㐱㤲扣〱摢慡摦っ〰㈹㈱㝥摤㔵愲散㘳戳㌷慡㘶㘹㡢㤵ㅥ扥㡣搳㐹㥢て戱㐳㡥っ㠴づ摢㘹昸て晣㈱㝢搱戲㥢挲㘲挰㕥㤰㕥ㄵ扥〵慢㉥换愱㕢㤶愲㘶㐷㔶扣㐲㘴㐵㕦㕦挷㜹㍡挳扦愶攸愴㑤㑡㘴㜲㝢㘶㘵挶㔹扣㐵㔴㜴㐳㔲愸㘴戸㠶㥡ㄲ㠸㤴挷戶㍢㈲愶〷ㄱ㜳ぢ㌶㑥摦㑦㌰㐹㜰〰愰昰ぢ㐸㥡慤㙥㍣挳㘱晤㙢㜴㘹㔷㉡戹ㄲ搱愰㕣㠴捦㜵ㄵ㔶〷昹㥡㌷ㄱ摣づ搰㘶晥搰〱㤹㐱㠸ち攵〹㐲㔴㘱っ昳㡣㈵㉦㤰〶㜶㤹〸㉣捤㌴晣挰戵ㄹ㔹ㅡ㌲㘷摤㤳㙥㌰㙢昹慢㠸㐴㡤㥡㔱收㥥ㄵ改㠰扡㍣搸㍥㙤㘵敥敡慡慣改收愲摢㠰㘸㍢㍥扢ㅤづ收搸づ搸㤲敡㙣慥〹愴摥捥挷ㄸ㐲㘰愷㤵扦㤵摥搸㉤㜹扦㜹攸ㅢ㙥敤攸㤲ㄵ搴攵㠰ㄹ㌲ㅤ昳㈵ㄳ扢㠸挸㐱慤摦㕣㕡昱愴㥣ㅤ㌲㡦㝡㔶慤㙥㌹㤲挸㠰㡤挹㘰摤㥣㍣㠷㈸挱㠲换ㄸ愰敢っ㤹㑢㥥攱昸慢〶〳㡡敢扢㔳㑦㉡㉣㔲㌰愷㉤挷挷㙢ㄴㄶ㤹ㅦ㌶ㄷ㔷摣ぢ㠸搸㌶㙣攷愸戱敡㙦ぢ慣㤰攸挳愴㔰㈳㌴愱㘹愲愴㤵㝡挵てて攴戹ㅣ㜹㉦㑦愰㜰㤵㉢搰㘷㥥愱扤㘹搷㐷㌱ㅡ摡改㥣搳㈰愲㐷捤挲扥㑣㈹㑣㑥搵敦㘰㥦户〰摣㜵昴昴昱㔶㘴敥㐵挵慣ぢ昴昲㘷挸㜸㐵ㄶ捤㐰〸㝤㜴扢㐲㔲㘱ㄹ㈹〷ㅣ〸㡣昳愹㥤晣捡愶㙡㐳敡摢搵捡ㅥ㐱㈴㘹搰㥣㌳㤶㘵ㅤ昱㘸摢〸㜶㠵て㌴㘳㙤愳敥㐷㜵㌳慥㙤ㅢ㈴㉤㤲攵㘲搵㈰〵㑦㌵〲昷㠴攵攸㈶㠰愲扦愸挸戸㠸㈲攳愲㉡ㅡ㌴㑦㌱㌴愸昲ㅣ换㍤㘷㜸㔶戰㘲㕢搵ㄲㅦㄸ扥摢ㄶ㌴〹㈶愷攴㡤㔳㉣㌳挶摡慣昹搳㌰搹晣〹愰㝢〲㜲㤴㕢㐷昴㠳㜲㌵㔱挴㍦搱愳㘳〹〲㐶㜹㑡昵户㘱戴㠲扡ㅤ〱㤱愳搲愵昸づ挶愵〷㔱ㄲち㈱㘲㍤㠳㐴攰ㄵ㑣〸㜹扡戸㡢收㘹挷ち㠰㍤㘲散㠸ㄵ捣晡㐰㌹〰戲敡㜸㝢戵挲㙡愲搳㜸㔳㉢㕣搷㔹㤵㔲ㄳ搷㜶搶㈷昵挶㙢㌷愸づ㌵㑡㐲㤱㙣搶㐸㘹㤶つ收戸㥤㔴㡤㔰㡡㍢搶㌶㈲换㙤摡摡㜷㑡㤱ㄷ愱㤸ㄴ捤攴昴户㉢㐲㐱愰㌷搲㔱昴搹㘷㤳㐷㈲㘲㐳ㅢ愰㑣㍤ㄵ㤶つ㐵㈱挱攳戸㜶㔲㤳攵攸〹晣扤㉢捡捥㌷㠲㔴㡤㜱㜱㌴慡㤹慡搷攷ㅤ㔸〹㔵挳慢㙤ㄳ㤶挶摡㐲つ愳戸戳㔷敤ㅦ㙥㙦㠲ㄱ㈳㌶㘴㔸㈴挳てっ㌶〴㜳㈵㈲慡戴捥㠶戸搵捤攲ㄲ㥦㑥㐸挳㔱ㄸ㔸っ㙡戳㜲㑤㤹㘱㉤㑢㝥㔴㜵㘸㥥ㄶ㤵ㅣ搵捤愹㘵ㅦ㉡㍤愰ㅣ㡦㜲㡡挱㜵昳ㄴ摤㔲戸挴〰戱ㅢ攵ㄶ慡〱㐲扢捤〱㜸㌲搸㍥搸挱㡥㠴愱ㄳ㕡㘷㤴愰挵っ挲㑤㉦㠲扣搳㈳㐶㈱㐸㑤㤵晥㜶㔸㝣攱㜱愶慦ㅦ捥挵㤹㠸㠹ㄸ敥捡戰ㅥ㠰摣㘴㘴㤲㕣㌴ㅡ〷捣㐳挹愶㠴搶㘰㕣㐶ㄳ㘳㠸㈶㥦ㄷ攰ㄶて㘳㔹挳㘴㥢㍡敥戹〵ㄶ戴㘹㝤㝤㤷㜹摣愹搶ㅢ㌵愹㔴㜱㉣慢㤵㐶摥ㄶ昸㔲㔷〰㐳㙥捡搸㤷㘸㔳㡥攳㈸挵㈵ㄳ㐹扤摢摤晡㘱㜴㔷㐲づ㘳㠴慡㡦〱挸っ户㥣ち㠸㜵摣㔳愰㝤戸扢㜵㠱㐱㕤㥥㠳㐸敢㈸愲㉣㥢挳㝤扣㘶ㄴ㔹㜱㕢愲搹㥣㍢攷搲㘶㑦ㄴㅤ戳挲愲㙤㠱㈳慣㌳ㄴ㜸挵㈲㡣㤱ㅥ戹㠳㠳攴㉥㐵搱摤㑢て慡挷摣㈵愰㐲㘱㐰㌰挶换㔳㔰づ扢ち㐶愲挱慤戵慣㙥挱攸㉦㉤㙦㝤ち㐰㌰っ㑣㠳ㄶ㉤㐳〳㘷〶昹捤つ㥣敢搰㉡㈳㐲㥡っ愶㌲㐶㌹ち㠷㍤㤰〶㙥攲㐱㝡挹㠵ㄲち昶愸㡢㘱昱摤挴㜱ㅢ㐷㈰搷扢愲慤㜰挱〸㜰晤挵搹摢㔶㍣㔵慢搱摣㠵㝦㙥㕢㘰ㄵ㔷㌷㐲㜳㜴㑦摢愵㉣戵㈶摡㜷㌷戴㔵㐴㤷〵て捣㑥ㅣ㌳㠲敡捡㘲戰ㅥ㕥摣敡㤵㈴ち㍦㠰㍦㘲挳户搳㘶捥㍢扣㠸扡挶扤㉦㥦㜷摣ぢ㡥㥡㔷挱攷慤㍦㔰〸慥㔰昶㜳㤲攵摣扦昱㑦㈵㉤㔷昸㍥㐶摣捡戴㌹㐰换㐱挲㜱㔴ち愵挱ㄸ昲ㄹ㜴〲摢扤㜹㙢㠰㜴戲愷㡤㑥㤴㈰搸㈱ㄴ攷摣㑢㐶㈸攲㝢㐰㉢㠹㈵㍣㤲㘳捦扦〶搶ㄷ摦㐵〹ㄱ㡥攷㐸㡣ㄴ㕥㠳㕣〶敡㤴㈰㡦慥㜸昰㐲挸晦て㤶㘲㙥摥㤰㥤晥ぢ捣㉣㥥㙤㐷搱戵㐴搱㜷㍡㔰㈴㜸つ㐴昱敦㕤挸挴愹挰昰散ぢち㠴㜳㑤㍢〷搰㤷晤挲敦晦昰〰㍡ㄷㄱ㠷戲搱㄰㙡扢ㄱ捦㑤ㄳ愱慦挳㐴㘰昰㕥㤹〸㈷㤰ㄱ㡣攲㠷㈶㐲攴〳㤹㐷挱收㈶〲㘳㝢ㄹ㠶㘰㈲搴㥡㜰㙢昰〴㜶㠵㑤晦搸㌱㕣扣㤵㍥攲昹㔰㕡晥っ㍣㔲㔷㜶ㄶ㉦ㄸ㥥㘱敦㔵攵㐷㍤〹㘵收㉤攱㈶户敡挲ㅥ㔷㙦㔸愳㍡㙤攰慢㠸扤散㍢晥㤴慤摤㕦〷愶挲ㄴ扡敦㐵㐹ㄴ㕦㠴愷㐴昰摣㤰㝢晦㥥㙦ㅣ晤晤晤てㅦ收㙤戵㠸㔶ぢ㌷㈳摦㑢挸㥥昶〴㠲扡㠹㡢㈲㤷昳挳㥣ㄳ昸㐴挹㕡慤换㘹挳㔳㔶㤰慦摢㜱㌶㈴扣〴㘱㠶挴户ㅤ㑣㑣摣㝢〸㑤捣㠹㌶㜷愷晡戰㐹戹〸㈷ㄲㄳ㔷㍥扤㌸㙣㈸扡㉡戲ㅥ慤捤挲户愰㡡㕥攰㐴搲㔶㈲㑦㥤㑣㐲㝣戳㕤搷ㅤ愴慥ぢて㌲っ晢挷㔲ち昱〷㔲㐸昲㈰挳ぢ〱㑡㑡㥤㐲愶㜰ぢ㐰㐶㘴慤㍤挴㑢㝦挰㡥㄰㤰捤㑢㝦㍤㝥挴㠲㕤〴ㄶ㘳㕦㝣慦㈷㕡摡愲戱㙡㘲愸㔶搹㌴㡢挸愸挳ぢぢ㈶攳搲㤴愵㜳〰愵㕢㜶㐷昱㈵㐳㜶ㄸ㜸ぢㄹ扢㘰搳搷㔶戶敦㜴ㅡ戸昹〱㍤㔳㔴ち挳搹捤㘲ㅣ㐸㔵㡣㉥㙣㕡づ㡢〸㠷挳㙣戳搳㐰㔴〵㥤攵散挵愹ㄴ挱㍦㝥㈹挴晡昱搶搰㤷户搷㔰挷㌹晤㔸㈰㝦戰扦慥捤㘰㙣扣㤵ㅣ〳〹扢愵㔶愵昰㝡昸㘹㜴攱愲㜳㐲㙦㘵搵戳㌸㠸㍦㌱㘷昵㘹ㅤ晡㥦搱㙢挵㔹㘷搸㥢㘱散㤴晥㝦ㄷち㌶搵晦㠲戱㌷㠵挸㜷㐷ㄹ㍥ㄴㄸ㍦搹㌴㘴挳ㅤ㠱㘷ㅢ挱ㅢ㜵㌰搶㔵㤶㈱敦㌰户㠸㡦㔷挳㙡㈵挱攱昷捡户㕦㡤㘸昶愵㙤㍢搰㔵〰㌲㌶㔴昸ㅡ㐴㔰搷晥㘹戹ㄵ㥦㙥㡢敦㐱挷㍤㈷慣慡攷晡慥ㄹ㡣㉤㈲攸㍢挶㙦捦㑣搸㍣㔳攲慢敤㐲敤〶散挴攰晢搰攷攴㍣〴昶㐹ㄹ扣㔴戱㐸㐶ㄶ戶ㄶ挹攰㜷㐸㈳㠹昰ㄲ戵㠳㝦㤹㜹㜷挳愸攳搳搵㜹昸㍡〳ㄶ㙤ぢ㘵ㄷ㝡㥣摢㙦㘸㜰敢㜰㐷敢㥤昰〷挹晡〴㠲㘳㙡〹敦㜹ㅦ昷戵㝤て搲㙤愳戵昹㙣搹㥢捦慤㕣㜸ㅡ㌸摤摡㕢搲㈴挳㜷昲㡢攴戲㕥㈱挴愵晤挳昸扢㜵〷㉤㐷ㅢ〵㥤㐷ㅦ㜴搳ㄱ㌶㕥㠷晢㙣ぢ搱敦戳攸㉡愶〸昰搳㡤㈸挳〷㐱㉦ㅦ㔹㔱㍣㠵㘵㤱〱㤰捦ㄵ慢〰摤愹晡挹㡤愸㝡㈴ㄶ挸㠲㘷っ㤲㘳㔹㍣㠱㠶摣慥㜰搹㘰〹㉥㕢愸戳〴昲㝡摣〳昹㥣攰㔹㐲㑤攴昳攸搰㥣㠸㠵搲敥ㄳ昹摣㐶ㄳㄱ戴〲搴㐲㤳攳㡦挴㕡㐴慦愳㕡户〹ㅣ〲ㄷ㘰㤸㘲㤱戲愶ㄸ㠶ㄶ扥㑢捣㈰晤㌲晡晢晣攱㕦㍣挷昴搷挳㐲〹㐲㔴愵㈷㑦㐱愸㈶晦愹攴攴㍤㤴㜶㥦晣愳ㅢ㑤㝥㠴㌲㤲㌳搱〳㠰愱㍥㔱挱ㅦ戵㤸〶㌲摣㐷晥挴㔹〲晣㔲戳ㄸ㌱㔰愲晡㕥㐰〶㝤戹攱慡搵㐵㘴攲扥〵慥㍦攳攳ㅥ㘵ㅦ昱㈲㈴㝤㌹挵搰ㄹ㕢っ戵㘲挹㡥扣戰摢㐲㌶㘰㐹晣㕡戶慢㐸㉦昶ㄸ攱ㄷ㡦挴㠸㌹㜶㉣晥㜲㑡㡢㘲㑥㈰㡣搰㈲㈵晤㜰㈳挵㐷攲挶摦㝥愶攵㌲㐵〵ㄲ愸㈷㙣㑣㍡㔳㡤㍦ㅣ㌷㍥㠰慦戲㔴㥢ㅣ㙦㄰㌰㍤ㅦ㌷㈶㍤慡挶て挷㡤晦㜲㘰㙦戳㜱㑣㠷攱挸〵ㄲ㐹㠶慤慢慣晦挴ㄷ摡挳㘸㕥㌰愹㍦〷捣戰㤸㤲㔳㠵㡥敢㑡㠳づ攲㌲㠸㠷㙦愴攷㜰户〹㔷㐰㈰㘴挳晦㔵挲㜱摣㜹㥡㌵〲〳㥦㐰慦㈱搸散改敡㠹㥤㡢收扣㠷㠲㝥昳戸㡦㌳㔵㙤㕢㤱〸捣㠱㝣戸扦㥢㌸攵㌳㑣挷搶㝥挴㐱㌲㡤㜷㐸㝡㔳ㅥ㉡戰㤲ㄷㅦ㡣㌱㥢㝢愸㐵㌳晡㠳㐰づ愴㈳㈰㌳晡㐳㠰㘱㈰㠶户㤵㜳㈳攴㝦挵摣ㅦ㘴挵㠷〸ㅥ〶㈸ぢ㌲㍢改愰昸㘱㠰㍤戰㔲昱扦慡昰挷㙡㜲㙣搵㤳㙢㤶晦愳慦戸㥡戸㍦㝥㘳㤲㤶昴㐷搸敢愳〰㝤昰攱㡡㠸ㄲ换晡挷㔰㤲㝣㌳愵㠷㝡昳挷㔹昱〹㠲㐷〱捡〵捥㜸换㕢挷㠵昵愸扥㍥㠹慥攲㈱〲晣昴㑦㐵ㄹ㍥ㄴ戸ㄹ㙦敤㙥㌰昳㍣ㅣ㝦摤㡦㜸㘷敡㌳晥㍢昱㔹晥㍡ㄷ摤㠷晦㉢㐹㐱㔹昷㜹敤㉤扤㡤㐵㑥愰㘱慥㝥慢搸散ㄷ㌱づ搷搵ち愳㜰㐴㙡㤶㤲㔶ㄴ㐴㍡ㄷ㉣㕣扣㠱㙦㌹愴㉡㠴㈰㈱愸ち㈷慡㌸㡣〲晤搳㙣㑡ㅣㄳ㑦晡㘷昸㐴搴慡㑤晣㙣㤴攱㠳㈰㕥㔵昷㝢愳敥昱ぢ㠹㙢㔵㘱戵扤㤰昸㔷ㄵ㉢挹ㄷ㍥捥挱ㄴ戲㤰㐹慢㈶㈲㑤搱搰ㄳ挸っ昵つ㜳㙥昷攰愷㕤ㄴ搵戳戵戳㘷晦㌹㥣ㅦ扢㍡晦慥㜷っ㍥晥晣捦晦昰搸慦摥㝢攸捦晦㝡昲挹㕦晤昱戱攷晥昵㠳攵㐳㍦㜹晡改ㅦ摦昵愵攷晥戰摢晣戲昶捣㍦攷扥晣挰攴昹〷敥㌳㑦摦㝣昴㠱㜷摦㝢昷攴挲㘵攳㝤㝤晤晤㌷㡤晥昴慡搷㡦㍣㜴摦戳攲㠷扦扤搲ㄱ㙡戹㜸㐱㝡ㅡ㕣戶㥡挶ㄷ㤱挱㌴㌸攳㤷㜵ㅡ㕣慥摡愸攵㘸愳愶㔱㔰㠲㘳㠳ㄳ㔰ㄵ㐶扡㘲攰㍦㕥㠸戶て</t>
  </si>
  <si>
    <t>Como % do EBIT</t>
  </si>
  <si>
    <t>Mg.Bruta</t>
  </si>
  <si>
    <t>média</t>
  </si>
  <si>
    <t>despesas/RL</t>
  </si>
  <si>
    <t>2T25</t>
  </si>
  <si>
    <t>Resultado do Exercício</t>
  </si>
  <si>
    <t>㜸〱捤㔸捤㙦ㅢ挷ㄵ攷㉥戹换㕤㤲戲㘵挷㜶攲捦戰㠱摢搸㤱挲㠸戶〵㍢㈹㙣㠷㕣㕡ㅦ戰㉤㈹㈶㈳〳㘹搳挵㤰㍢㉢㙥戴扢挳捣㉣㈵搱扤戵晤〳㡡摥搲㥥㠲ㅡ挸捤㍤㌵〵㥡㔳攰㐳㤱〰㐹㄰㈰〸㜲㘸て捥㉤㘸㔱昴㄰〴㐸搲㈶㜹㙦㤶㤴㐹㡡㙥㙣㔵〵㍣ㄲ㠷㌳昳㘶摥扣㜹昳摥敦扤㘱㐲㐹㈴ㄲ摦㐲挱㙦㉣㈹㙣ㅣ愹㜶㐴㐴㠳㠲挵㝣㥦㌶㈲㡦㠵愲㔰攲㥣㜴慥㜸㈲㑡挲〴摤昶㠰㉥㌴㕢㜸㌷愸㘱慦㔱㉥㘰㤲㤶㐸ㄸ㠶愹〲ㅤ㤹攰㘷扣搷㌱㜱㔵㉥〵㔵捤㉡㉦搶㕦〱慥搵㠸㜱㍡㤹㕦㡥搷㥥㉦ㄶぢ挵挲昴搴搹㔳㠵愹挹扣搵昶愳㌶愷攷㐳摡㡥㌸昱㈷昳㑢敤扡敦㌵㉥搳㑥㡤慤搲昰㍣慤㑦㥤慥㤳㌳攷㡡㘷愶愷摤㘷㥦㍤㤷㠳慤ㄳ㑢㔶㜹㡥晡㉤攰户㔳㕣㜵攰扡㘰㤵㤷㌸㜵㜷㡡愷㠶㡡㈸㔶㘸挳㐳㡤㔱捡扤㜰愵㘰㤵攱扦㑦㉢搰㍢㕢㔸慣㔶㘹㈸扣挸㕢昳愲づ㥥捦っㄶㅢ昵㘵攲户愹ㅥ㐸㤱㡣㘰㤹昰〵ㄲ搰戱攰㐵㐱慦㤱㜰㠵㘲㑦ぢ㘶摢㥥㤳㠲㥢㑣㥥ㅣ戵㔱㔷㐹㠵㐵慢㙣㌵〹㡦㈴㑢摣攰㤹㔱戳攵㑥㠵㍥㔱攴ㅡ㌹㡡敡㔱戲㕤㕢㤱㝢愲㤴㘹慣っ愸㜴ㄳ慡挳戳晣昶敢慥搷㘰㜹㠷收㈵㤷扡攷㝢づ㠱㕥㔱㐹㝤〱㤶搷捦㈰ぢ㉢㔴㥢愸㜶㕤戵ㅢ慡敤愸㌶㔵㙤㔷戵㔷㔴扢愹摡㥥㙡扦愲摡慢㌰愷㔷㡣㜴㕡敤ㄶ攷攸㥥晡攷〷㤷换慦㝤昳换愹摦晥㡣扣㤵㐳㕥ぢ㜰挶挲〲㡤㜶挸㈰㌴㍣摢晤敢㌴〷戳戵㈰扥㤲ちㄵつㄳ敦㙢㍥㜴攸㠶づ㉤戸挷㕣㘰戱㌰愲ㅢ㔱㠵㐴㈴ㅤ㉣ㄱ㑥挳挸㠴㐹ㄳ㜲㔵摣挲㤵㘳㜲慣户㍡搳敤〱㠷㜱搹散攳㤲㤵〳㌱㈷〵㕣㌰㤹㡡㙢㐳ㅦ攵搴㜳㐴㌴㈳㔲昷改昱愱慢㐷扤㠱戵扤ㄸ㜹扥㈸〰换㔹捥摡㉤搴攸㑥昱㤱〶㡤〶愲㡦㐱㈵㈱〸扦㘱㠳攷捤㕤昰㤵㌱㤱㘸㈲ㄱ攱〹扥愰昴㘸戹扤搰〱ㄱ㉢㉣㈰㕥戸㐳㤷㥢㝢〴㤸扥搰戵收ち㈷敢攰㤹㜷㔹〳㉣攱摦昷㐳ㄳ㈰㤳㍢敤㥥㜵㡢㐵㘷㝡㡡㥣㈶ㅡ扡挲㠳㝡搶㍥㔸㤳ぢ慥㝢愱挳搶愵慢敤つ挰㜷愴攷搵㍡㉤㉡㠷㜲㙥㡤昰ㄵち敥换攷㉢晢㕣㡢㜱㑥㝤ㄲ㔱㐷づ㈰㔲㍦㍡㌸㈸㘶㌸ぢ㜰晣㐸㤹〸㝡搷㡤㈷摣㜸愳㌲㙢㠷㡥㌸㍣㥡㔸㡤㠰昵愱㘱摡㕤㈶㕢㤶㔵〱摡愸㤰㤲ㅥㅢ㕥㈶㡤扦戴攱挵攴愳㐳㘴〰㌷㔶扦㌷㜵㠶搳㔷㌷愹㕢㈴㉡㐱戸㕡愳㐸摦㜲捡㤸ㄴ换㤵户㥡㑣搰㔰㡡㌷ㄱ㉣㜹㡤㔵捡慢ㄴ㠳ㅤ㜵攴㔱昷㈳㠹㠲㍦㌶愸㤸㔸㐴搵〳扡㍡㑦昴㡦扡㤷㌶㈲ち摥散㠰扣㄰㜵愲㑥つ㍤改挰挰㤴㜸㑦㈰ㅣㅣㄸ㥥㘱㡤戶㐰慦攵捣ㅦ愴㤴㥣㌵〲㝢㍡㔷㤹㐳㔳㈹㌵㤹㐸㈵㔲㔸㈰㥣㈶㤳攰捡㔳㐳㡥㉡㐳〷昲ㄶ晤ㄸ摤㘷㌹〸搲愷敦㙢搱愰㜹攱扡㔱㤰戱㤹〷㈸㡦つ晡㑡攱ㅡ㘸て戴攴㔳㜴㈴㜵ㄸ㔱晡〴扤㙢㌵戸挹㐸㍣㡤㑦搴愷㌳戴㕢㥣㝤攲摥㐷㤱㙣㌷㉤攳晦㍢㔹㔵ㅦ改㥥晥搲ㅡ㘰昶ㅣ〹ㅤ㥦昲晦慥㉦㤴挸㐴捦㌶昷㘳㜵〰慡㑣㐲晢っ搰敤㥥㥡挴㠴㐹搹㔰㍡摡扡攷㐴㑤扤㐹扤㤵㘶〴㘳㤰㘷ㄹ〶慡昹ㄷ摤捦扢〰昵㥦㘱挶㘵㍥㠶搵㐱愸㌲㤹㑣㡣㥦㝡挶㍣㉣晢㠹ㄴ㈲敢㈸㈱㌷攳〰〶戸捣ㄵ㐶㥣ㄹ搲㠰晣㉣摤捤捥っ㡢〵㉤㠸㑥㝣ㅣ㘷㕡㘰㥢㘰昳㙢㥥㐳戹㠱〳㔵挸〲㔳㤰㥣〹㕤㝡戶㠰戰㤳㑣㘸㕡搶ㄸ戵搷㝣㡦搷昱慥〶晢戳捣昹㉤晣晦昱挲戹㡢㤸㐵㘶㌲㤸㌹㤹㐷戰㍡ち㤵㠶㥡㝣㘰㙦搸つ㡢づ〴搵㈶㕢㥦〳㔵㔲ㄱ㈷㍦挲攲㕥昴攸搶㘱〸愳㈴㌸㈸挷㘷㌹〵〰攴㌵挰〱㜹㐶㕣㜱㘸㈴㐵㉥㍡㈴㡤戱捦つ㈷摣㘵㡦慥㈳㜸㍦扥㤵〴搹㥢搵ㄶㄱ㤳㔱晦搸㔶㝡㠵㉤戰愸攲㠹㤶㑦㍡挷㐷㤰㘳捡昵㈶つ〱扢㌸㐰搸昷㑤㘲慤ㄶ㜵㐶挸㔸㘵㙤摥愰昳㤵㠷〱晤攰愶攲愲㐸攰㔳っ㐵㔷ㄵ㈸摢㜳㍣〵㕤㈲昱昳㝤户㘶敦摣昸搵㐵ㅤ攰㔴〱〷〱ㄷ搱搰ㄹ户〳㤰㤸㥦㡣つ㠴攵晤㤸㠶㕦㠵愷㡢搷昲㘹㤹㜰㌰㙣挶㠵ㄹ昴㥡戱攱昵愵搲戱户㍣っ捡㠶㈸ㄳ挷㤷挲扤昱戵㑦㜰㘹㠳㘸捣㠸㘹捡扥愱㐰㈰捦㡤攸戴捤扢搲㍥〵㑣㝣㐰㐱㄰晢搲㙢㤸㔴摢㌶㈴愹搰挳愲㘸㜷㠰搵㐸昹㄰㕡㔳㈱㍥㤷攴慡捣㙡挸搶㐳㈹戹㈶㌰搷㤱㘰㥡㑥攳㌱㌲挸ち换㜴捦㙣ㄲㅡ愲昷挴㈸㕤挵㌹改收㝢㙥摥㠱昰搰㝤挰攵昰〱㔷攳㔴扥搲っ搹〱ㄵ㡥〵搷ㄹ㕦慤㌳戶㡡㉦㠵㕤戲㈷㥡㤴㐶昸愲捡〶昱戳㄰摢㘰晢挹攴挰㙢愹慢㜷㈴㘲㐶㉣戳㘵晤〷搰㑡捥昰㠶散㈹㝦㠳昳攳㉢敢敤戳㕦㝥㜵敢挳ぢ㤷晦昴捥㤱㥢晦扡昸收㠴昲搷㉥攱㥦晦晥挹慦㑦晣昱愳㠵㍦㝣晤挹敢㍦㑤敥㔷㌴っ㈰昷ㄵ扣挷㘱攲㙥㜷ㄳ扢㙡㕥攴搳慣ㅢ㥢〶戶つㄷ搰〸ㄲ㉢㈷敤搶㥡㜰敡捡㤸㍢换㍤挷昷㐲㡡愶〳㈹㉢扥㍥慦搰ㄵ㐸愲㤶ㄸ扥㜴㔹㌸收搶㌸〹〵挶㥡戰搱搹㍢搰㤳摥愲戹㘵㉦ㄴ戰㡤挴㑢㙣敦㜶ㄱ捥攱收摡㐱㌸㑢㕡攲㘱㜰㈷昹攳〷愸〷㑡っ㕥慡愲慡㡡愱ㅡ摢昴㠸㠴晥㐳㘰㜵㑣㝡㘰敦晤晣㕣ㅥㄴ挲㜸摥㈱昹搲敤㌷㙥晦㥥㐱搲愵㑡㤸㔳㑦攱挶㌱扡㈱散摤㝦㠶㠵㐶㥦㤳㍦㉥㜴㔳摦攴愸〸扥㤹〲捡㡣收㐷戰㐶挱〴㐳㝡捣㤳摤〶㜶挶㌱㔸㘳散搶㑦㐰戵挷㉡摢戱㌱昷㝣㐲㍦〹挳扢㘰戸㉦捦ㅢ挷搸㡥㙢捣愷戰挲挷㤳㈲㜷挰摥㈴㔴扤㌲㡥㍢愱ㄳ㥢㑦㐳㌵㤶㔴㜰㍥㝡愵㕥㠰敡㘸㡤㌹㑣攴攱扦挴㕦㙤㝢㙢搰㠰㕦ㅣ挰戶敡挴㙦㌲晤ㄹ㕣㌲昰晢㠷㍥〵㐳㤳㘸㘲〴敤㌰㕦㝡改愵㔲㌵㝦慡㌸㝤㈶㝦愲㘲捤㥣捣㍦㥤㕦㉥㕤㕢㠴愱摡愹改挲㠶㉦〲攵㠳慥〷㝤晣改摦昷晥收挲捤搹摦捤㔹慢搹㤷摦晣㡢昲㝥㤷㌰晣㤳挴㜸㑦㝥つ㐵晥昱㈸昴搸㤲昷㑥っ㍦㌲㉥挱愳愱㠳ち㑡㐲挲愵㐹㥦㐸愹捦㙤㡦㔷て挱昱ㅥ戵昷㐰敡晦㠱て㕥昸㈰〰㍦づ㈳收ㄹ㘴㡤搵㌰〸㘳捥㌸㠳攷ㄸ捡㙤戳㔹㠴摣敡㙢㝦㝥晥㍦愷㕦㉥㘵扦〳㡤攷㡢㉣</t>
  </si>
  <si>
    <t>㜸〱捤㕡㝤㙣ㅣ挷㜵扦戹扢㕤摥ㅣ㐹昱㈲㈹㜱晣ㄵ㕦ㅣ慢㤲㈲㤹㈱㈵搱㤲㥣㈸㌴㜹㤴ㄴ搵㤴㈸敢㘸戹㐹攰ㅣ㤶㜷戳攴㥡户户昴敥ㅥ㐵㍡ㅦ㜲ㄲ㈴㑥㔳攴㑢〹搲搶㐵㘰〳㐹㉢搴㐰攱㈰㕦㜶㔳愰ㄲ㙣〴昹㐴ㄲ㈴㐰ㄲ搸㐵敤戸ㅦ㘸ㄳ愷㔵摡戴㐱晥㜲㝦扦搹㕤昱敥㜸愴㍥攲〲ㅥ㜲摦扥㤹㜹昳㘶摥㝢㌳㙦摥捣㕥㑡愴㔲愹㤷㤰昸㘶捡ㄲ戹愱扣ㅣ㠴捡ㅤ㉣㜹昵扡慡㠶㡥搷〸〶挷㝣摦㕡㥥㜴㠲㌰〳〲戳攲愰㍥㌰㉡㠱昳㠰捡㔵ㄶ㤵ㅦ㠰挸㐸愵㜲㌹㤹㐶㍤㘹昸ㄴ㤲㡣㘴㑥㘶〹㐰㤵敡㌳〱愶㑢攳㔳㌳昷㠱㝦㌹昴㝣戵戳㜸㌲攲㜲㘰㜸㜸㜰㜸㜰㘴㘸敦慥挱愱㥤挵㔲戳ㅥ㌶㝤㜵愰愱㥡愱㙦搵㜷ㄶ㡦㌷㘷敡㑥昵㑥戵㍣敤捤慢挶〱㌵㌳戴㝢挶摡戳㙦㜸捦挸㠸扤㝦晦扥扥ㅥ㜰㍥㔶ㅡ㍦敥㉢㍢㜸戹㜸收挸㜳慡㌴㍥㜸㑣㠵㉦ㄷ㑦〹㥥㘰㌹攱戹㤶搳㜸㤹㤸ㅡ搴昲挸㠴慡㍡㌴㠷㔲扥搳㤸ㅤ挴戰摢ㄴ㡤摣摥挱戱㈰㘸扡ぢ戴㙣㐹搵敢㈷㤴㑤ㄱ愵㍢ㄱ㠴挷㉤摦つ晡㕣敡㑦昹慡㔱㔵挱〶昷攰㔲㔵搵㘳挲㈰攷㥥戴晣㘳㤶慢戲㐴〶摣挸㠶㐷㙡慡ㄱ㍡攱㜲扦㝢㜷愰㑥㔸㡤㔹㐵ㄲ挳㍤摣㜴㙡㈲㥢挵㝦㉡戳戵摢挸戴愱㌰ㅥ户㌴㘷昹愱捥搱㠴挳摤㘸㕢愶㡢㤶愲㙤㕣㥣㔲挵㡥㔶戴㔹搹㜱敦㔴㝥㐳搵搹〹挵摣搱㐱愴ㄵㄴ搹攱愲愶ㄲ㜱㘸㈵搱ㅢ㉦〷捡挲㕥捣㍣挰捥㜱ㄵ㕡挷て㥥㤸摥㜹搴㘹ㅣㄸㅡㅣㄹ戹㙤㜸攷愴㌳慦敡㡥ち㐲ㄶ摣戶昳愸戵㐴㘴敦㍥搹㡢ㄶ戲㡦㙤晢〱㌶ㅥ戵晣㔹攵ㄶ挷晤㘶㘸ㄵ㥦㝡愲㌸扣㕦㙥㈰挵〰㠰挸㕥挰㝡㙣敤㤳㡤搳ㄵ㉢㕤㤹㐹㔷慡改㑡㉤㕤㔱改㡡㥤慥捣愶㉢㜳改㡡㤳慥摣㤷慥捣㠳㈶㐹戹㥥㥥㜴㥣㝥昰攱㑦㙦戹昶愹㠷㈶晥晥晣〷ㅦ㝥敦㉦戶㌶〴㤷㈰㘷㠹昹㉡㠰慤敤㌲戴つ㝦㘸捦㐸㍣晥愱晤㜲㈳㠸攵㈶㌶摢っ㤰ㄹ㉢敤㤱慦㘶搱㙢〰㠴昸㜷㡣㤷㘳摥昷挹摦㑤㉤扦改挶愳㡦扤攵晣㕦昷㍥晥㡤ㅦぢ㉥㜵摤搹㙢㠱㑣戶㜵㜶敢搰攰㥥摤扢㠶㕡搳㐸㑢晦扡㝡㌸ㅡ〱昱攱㜶搲摤昲㕡㜶㝦ㅤ㠰㜹㍤㐰戱攴戹㕥㜱㑢戱㘶ㄵ㑦愸慡㜲愰搵挹愷晦收㝥搸㑢慢㜷搷㤰扣㠱昴㌷〲〸昱㐲㍣摣㙦㕦㜳敦晣昷㘶捦㑤㍣㝣晦愷㥥㍣昳敥㍦㝡㝢摦㑤愸扥㉢戶昵㠴㙦㥤挲敡㔹㔹㤸昰㐶晣扢戴㐷㠲㐳戲㐷散扤昶昰㜰㙤㘴挸摡㙤ㄹ㌴摦攵㑥晤〲㘸晢散㝢㥣㐶捤㍢愵搷挲つ攳㔶愰㔶㤶挶㡥戸㙥摣㙢㌶㙡挱昵摤㉢换愱ㄵ慡敢㍡敢㔶㤸慣㙡㔶㠶愷㔰㠱敥敦㜵㥤捤㑥㕡昵愶ㅡ㕢㜲愲敡ㅢ㍢慡攱㈷扣㤹戵㙢て昹敡晥㡢戵慢㐶㌴㠶慤㘵㔱昳㕥㈵㘵㔴ㄵ㡤慢㔸㥡昳〲搵搰挳摢攱ㅥ㜷慡昳捡㉦㉢㙥㑣慡愶㐵㝤㌵慢㘲㘷戵㘳慡〱㐱攱㝥㙡㌷户㤶摡〷㤷㐲搵愸愹ㅡ挶扢愰晣㜰㜹摡㥡愹慢搷戴㤱㐴㝤愲攲摡戶攲㐳㕥戵ㄹ㤴扣㐶攸㝢昵昶㥡戱摡愲〵〷㔹㍢敡搵ㄴ晣㕢㤶㈹㈵㔲㤹㡣㄰愹㌷㜶㜳㌲攴ㅢっ㙡㐳戴㤸㤸敥敥戵敤搳㙥㄰戳㌸㠴ㄴ㜵挵㌹㤹扥攵ㄲ捣㌴㕦戲搹扥㌶㘱㡢㑣摣挵㐹扤㙤㙤㙡㍤挶㡢㤶晢晦㈵㑥愷㌷挵搲ㅦ㕣挴㈶昲㌶慢㔱慢㉢㝦摤ㄸ㐴㜰㐴戲〸㘰㍣㠷搵扣愶昶攸敤挴㤲㔸㌶㑥㌹戵㜰捥㥣㔳捥散㕣㠸㌲挴㈹戹ㅣ㔵扢㉡挹㥢㔱㈴摦㐰㜰ぢ㐰㍥㥦㌲户㤰挸捣换㍦㠸昲〶摤昸㤵㙦㑦㡣㠴愴摥づㄱ扢〴㠶㝢挸昳㠳㑣愶㥢㤴㙦戳㠲戹㤰搳㜳摤㑡㙥㐴㜲㉢挱㌶〰㠳摢挷㈵㜷㍦㙥㉦㔹㙥昲晤敥㠴戲㉤㠴㔶㝡㜵ぢ换㜰愳摤㝡㐲〵㔵挹㙤晤〸搶捡㤲〹っ㡢扦捦攵散㔷㑢攱㠴ㄵ㕡㍤㉥〲〴㔸㐹㠲㘸㠷㙥ㄵ㘱㙣搹慦换㤲搶昹㌸〷づ〵㡤戶㜰改搵〵ㄱ㈷㉣ㅣ慣㤷㔴㈶㠶敢ぢ㠱戱㜳ぢ㌷㍢㈷㝡晢㐶㡦昸愳㜶㔸㌵愶㤷ㄷ㔴㐰昲㥣戹慥㉡㍢㤷ㄷ㤹㑤㔵㘷敥づ㥤㝡㌰㠸㤱ㅥ昶扤收挲换捡〷㘳㤲摢〱㤲㘴晣〴戳昸昲㘵㘲㡣摥戳㐸摢㔴㉡㤸捡挸戱㐴㌲戴㤰㥣慤㘰昶ㄲ㕥㍡挹㕢昱捡慦㔷㘷㜰㕡㕣㐹㔰愴㈳㜸ㄷㅡ㥡昶㤵づ昳㜲㍡〳㙤昷扢昷㜸晥晣㡣攷捤㜳㍥㙤搰戹㘰㑥愹㤰愱㔳㙦ㅣ㉡敡㤰㔰㠸㑣愶㉤挶㘹㠹戱ㄸ㜴㤹挳〰㌷㑥㝢㌵㉦㈸攲㝦捣挷㘶扥〸愴愶㡡搳扥㌵㘳搵攷㍣㜳ㄷ㐸㌲〸敡捣摤㐰㜶㜲慥㕡㡣㘸㡢㘳敦㜸挷㔸戹戸㙢㜸㘴㑦㜱摢㐴改搰昶攲慤挵㤳㘳㈷愶㔰㌴扤㙢㘴㜰愹ㅥ戸攲㝢搰㄰㐳㤶慤晦㥢㍥晦改㡦晤㘶攲散㙦敦晣昱搷敦ㄸ搸㈸扥ㅢ㔷慣ち㥣ㄸ〲改㈸敥㌶㈰攲摢㈰㝢づて昰昶㈴昷㈱㉦昷ㄳ摣づ〰晦愱㉤〲昷昱㤶㈸㉢ㄸ㐶搱㠵挸〳〴㙦〵㄰㡣愵㜴晣㌷ち㈴㐹攲㍣昸㜳㕥搰戶收ㄸ㐰㘶㙣㘲捦㙡晢㤶㔰㤳㤷慣㕦愳㑥㌰㑡愳㡤㈵㜵㉡愹㌵㐹㡤㠹慦㠱㜹㔷㈵㝣㌵慥㔸ㄵ搰㌱敡搲㑡㤸㘴晢㉦㠳散㌹㍣挰摢㤳㍣㠶扣㥣㈲㌸づ搰愲㠴ㄳ㔱㔶㌰㜲搳㑡㈸㤳㘸ㅡ㐰㌰㐲搳㑡戸ㅢ㐸㤲挴㘳攰㥦㈸㐱㌲搴㕢㉤攴摢㔱㥡㕦慦㑥㌰敥敢愶㠰㐷挱扣慢〲ㅥ㠹㉢㍡㐳㐴愳〸㑥㔷戰戵㙢㕤搹㈷ㅤ㜵㡡扥㘸㠳㡤戳㔱愹ㄹ㠴㥥㜶㥣晤昶㠴㜷捣ぢ㈷㥣㘰愱㙥㉤㙦戲㘳攴㥥㌹搵㐰㔸攳㈳扡改㈸昳ㄶㄶ㔴㑤摡㘵慦改㔷搵㤱㠹㔷㐲搸〳㜵挰㜴㍡攲㐹ぢ愴慢摢挹ㄱ㤴㡢㤴㌹〳㔶晤搳捤㥡㌷㤸㥣ㄴ昲㐸㈹㠳㍢㜲愷㡢搶㘷戶㤶㜰㑡愳っ㥥〷㔶㜴㍣敤㠴㜵搵㙢敢㔰㐶攳㌹ㅢ㝡慤捥慢㕡㡦㍤㍤〷搷㌵搱㙦ㅦ昶㥤㕡摤㘹㈸㥡㘷㜳㐴㍡愹㘶ㄱ㈹ㅥ昷〲㠷捥愴摦㠶扢㘹〴ぢ摣昴慡换ㅢ摢㜲㝡㜷㌴散㜱愷ㄱ愰ㅢ㙤㔷攲〳㜶㜹捥㍢㠵扢㤳愶摢㌸㙣㉤〴慦〸㍢搱㠹㐴㐹ㅢ㑢愴㐵㍡㉤㜲改摣搵㕡捣慣㠲摢㌵㤸戲愱敦捣㌴㥤愷捦㍥晤㜹慦㤸搸㑤㜷㐴㍦㤳㈵挰晡愷ㄹㄹ㔳㜵㙥㜱㉤㘶散㠸㑦㌹摥戶㕢㠸慥愱搲挵㑢㈹ㅤて搶搸㐶〱晣攱攱扢㡦慣㥣摣㝥慦晢㈴㠳㔱攰㘵〷捡摡㤱㐷搳㠸挱㌳㘷ㄵ搶㉢㘶〳㜳㥤㔳㌳㙦㙢ㅡ捥搲つ㉢攸㈱挴㕡㝤昶愴㌵愳敡〸ㄱ㕤㉢摣㄰㘵ㄸ慢扢㔶㍤㠸敢㜰攰㜵㉤㑥㍢摥㥡㤴慢㔶㕤攵散戱㘶攸攱㌲㐲摡〰㝡㙥挶㐵搶ㄲ㡡慣㈵㕤搴㘷㥦攰搱㔱攳攴攵捤㕡扥ㄳ捥戹㑥㌵挷っ㡦㜷慦㠸昹ち慦㤲㠵收㤳㤴㜸㤸捥攸㌰㡡搱㘰敥㐱ㅣ愸愸㍡㥡ㅦ戳㍡㉤㑣晣㠹慢㍣㔹挰ㅦ改㙤㐶捥㠲㥢挱挸㥤づ㑡愷ぢ挹㑤改㠵搳㈸搱㌳㕢昰㘰挰㙡㌹ㄷ㈳捣㘴ㄹ㥢慦ㅢ㜶㜲捥收㈷㍤慢㜶挸慡攲〶戴㈷扥晦捣挱戴㜴㌷㝥㠱〷㠱ㄲ捥㤶㌸戳㉥㍡㌵攵攷㔸㔰挶㡤㙢㤶㐷〸㌳戲㈱挲㠲㑣捡㌰㝡㜳摤晡㍡㤲昰扡㈵づ慦㕡㙦㜴㡦慣攲晦攲㕤晢㜴〴㤲捦㘷㌰㌶改㄰摣〷㈰戶〱㔰㥥づ㠲㜹ㄲ搴〱っ〶戳㥤戶㘹㡦挹ㄱ戹㌳慥换敡㥢㐳㥥ㄶ㜲㠸慣昵㌱挳搰㠲昴戶ㅣて捣攸㘴㤰㐳ㅢ㘰㙥㘰㤶㌱换㔵㉤ㅦ昹㔸ㅥ㐳㘸㡥㜴㍡ぢ㔳㥢㥤㔷㉢慢扡㈵㡢戲搲攷〶挱㔸搹㜴〱慥攳㘲〱晦㑡㤷慢戸捥㄰㍡㥦㤷ㅥ㥡愴昲㠲戱㜴愲〷㙥㑢昹㍣㡤㈸ㄷ〸敥〷㄰っづ㡢㜸㌸㘳㔲愶㡦㜷㤷ㅤ㑤㌰㐶㘴昳㤴ㄹ〰㕣㠹ㄷㄵ㡣㉣改㐹㈵㡦戱㠲㈱㈶ㅤ搴挵〹扢〸晣搲ㄳ㤶愱愸㥥戰愷㘲㠴ㄹ挱㜸㌴ㄱづ㈸㠴搳戳㘰〹愸㕣〶㄰㡣㔵扢㄰㍣㐰㠲㜷㤳㠰㤳㠷㌳挱㝣て㐰㙦愲㘱摥ㄶ㜶㔱改晢㐰〳㤵㤶〰ㄳ愶ㄴ㈵㔶改㘹愰昲㐱〰挱㔰戳㠸㐷慦㐱昳晤㐰扡愹㤴ㄱ㘷愴搲て〰扢㈲㤵㌲㑥搵㉡晤㈰㄰挱㠰戵㑤愵ㅦ㐲挱愵㔵捡挰㔶慢昴挳㌱愲㔵捡攸㌶ㄱづ㘸愲搲㠷㠰捡㡦〰〸㐶扥㕤〸晥㤸〴ㅦ㈵〱㠳㘱慤搲㍦〱戲㉤㔱改㈵慦㍢扢攸晢㘳㘰〰㝤㌳㕡㑥㝡攴㍤㜶慣敦㡦〳㤵㥦〰㄰㌵〲收㍥ㄹ㈳捣ㄸ戳〰㥤ぢ㝣㤵昳捤㠲㈸㙦搳つ㤷挳攵㍡戶㍥愲㕣昰ㄱ㐶搷ㄵ㔵挳つ㜹㍥㍥㌵㘵㍢㙦㙥㉥戶扤〹慣㝡㌷㜷摣㡡改㘶慣㔱㜸って㐱晡㥡敤㌹攸㤵㈳㌲摢㌰㤹㘷〰㌶ㅦ㜵慡扥ㄷ㜸㜶㔸㉣㈳戴㉢昲㤶搱㑥愵㠶挶っㄷㅣ扢昶㐹挱戲つ㝥搰㔸攴愹㍢㍦摦昰㑥㌵昴㘸㡣㠰㤷慤㕡㕦㍤㍤散㠶㍡搵改つ搰㘲㠱㍢〲ㅢ换捦〰昴㘷ち㡥慥挲㠷㌱扡㔵愶〲㝤㈸㔳㠱㝥㤴挹愰慦戹㕣愷㐶摥㘲㐶㔴㐵㑤愸㙣㑦㡦搸搲㜱愵户捡ㄹ㕥扣ㄳ㌱㑤晡㐲㘳ㅥ㈲㕦㕥愳㜶㡤戲㌱㙦昵攵㘷〹晥ㄴ㈰㕦愰ㅢ攴㠰捣㍦〳搸㔸ㅡ慦攰㙣摥㝡ㅦ㘰晥㌹捡晢㔰慥ㅤ㍥㍥㍡〵收挳㈸搹㠰㤲㤶攸捦晣ぢ㤴扤ち㘵敤ㅦ㤶ち昴慦㕡㤵㍣扢敡㙦㈹搱㔷㤵㐷㤰ㄵ摡ㅢ戲晣㔱收㤲㠷摥㤰ㄳ㔷㔴㈰㈵愷ぢ昰㤴攴ㅣ愰戹挵扤㈸愱挹摢㑤㐶㥦愸晢昹〲㄰㤸㡣晥㡦愹㐰ㅦ挸㔴愰挳㘳㉡搰改㌱〹晡㌲㥡㑤扣ㄳ散愸㔲慤㥡扦㐲㠹㍣ぢ㤰㉦㥣〶搴㑣愹ㅡ㐹㍤㐸㡡㉥㈹㙢攱㐱㠰ㄵ挹㌶戱㝣㈳挱攳〰㐲㍢㈵收扥挸ㅣ㥥っ摦㜴㑡㕡戲㈹㜴㤶㐸㘶㝥〹愵㙢捥㙥㜱ㄴ愴慢挵愵扦搲㥤㝦〵〸挴㝤〸㉦愶〲晤ㄳ㔳㠱捥㠸愹昰搱攸㥤ㄲ㜴㈵㕡摣㍢㕢挵晤ㅡ㑡攵ㄳ〰昹〲扤〹㤹㥡㑦〲㜴㥢〹㝦㡢昲昶㤹昰㜵㤴㜴捥㠴扦㐳㔹㤷㤹昰〹ㄴ慦攸敢㍡攴愲捦㐱攷㠰ㄵ攸戵㜴攵㜹㈰晤ㄹ㠳ぢ敦捤ㅤ慢愲晢戱㘳㐷攷㌷㠲㠳戸昳㕦㑥愳㝤〶昱㔶ㄴ愵㘴搳户㕦ㅤ㉦慥扢ㅥ戰攲㘳㡣㐲㙤扦〷㥦昶㤵㐸㡥㌷攱㤱㑦〱っ㜰㌹㥡昱㠳㔷㤲㉥㡣挶搸ㅤ搱㍢ㄷ扦ぢ昱㝢昳ㅤ〳㕣挳扡攵扤攲昵㘷挶㡣攷㑦㍦昲敢挷摥扣攵㜳㡦扦ㄴ扦㑦㍦昰捤敤户㥦昹敥捦㐷㕦扣敢挹搷㝤攸㤷㍦ㅦ晤㤷ㅦ摥晣散敦摥昷挲愸㜸〴㉤〷昰㜴摥㉦摤づ㌱扢㕥慦散㡦㉢㍡㉦搹ち㡦㠲㡢㌶摥户㠰昴㘷挴ㄷ昰愲〱挵㕥戴ㄸ挵愳〵晤づ㑡〶戸戸慥㑥搰戳㐹换戵〴㐵扤㑥昹㥦㝥㝥攱㐰晥散㘸昴㝥㘲㔴㜰㐱㜶ㄳ㜴㔷㉣捦慡摢挴攱戸愲昳㈲慤挰挵慣〵晤㈱㄰〸捡挵愷〵㝤ㄳ㕡㡣攲搱㠲晥㠸晤㜱㔹㕤㥤愰㕣㡢敢㕡昴㤹敦晦戶晣㑦㝦昹散戹散挹つ户㝥改㜳捦㥥㍢昳慢昷㡣㡥扣敢㤹㜳攲ㅣ㍢挶搳㘹搱㌷挶昲慣ㄲ㜴㝢㕣戱敡挲散㍣戸㕣敡挲慣攵昳㈳㍢㌵㙣㠶っ扤㜶㔴捣㠵㠳愰挱愹搷昵㝥摢㠷㤳慣㡦て㠰㤳戸戴挱昹ㄵㅦ昷攳㙤〲㤷㌹㍣ㄸ㈴㘷㈵愹㜳㙣㙣摡㔳㍥づ㑦㍤昶㤱〰搷㙦戵ㅣ㍥㘰㠴㈱㝥㄰昰㑡㌸收㈲〲捡搲挱昰㄰㠷〳㐳扡㙢昰挱愹戰捥つ挴㡡㍥㤲敦㝡㘹ㅥ㠰慦敥㈶捥晣ㄹ㍡扢㈶戹挷㈹搶摡敥㜷戲㘲㉢捣ㅣ㙤㈱て愶㕥攲戰㜱ち㑢挹㘷昰㌲㥦〵攰㘵扣摥愳〰昲昲ㅦ㔰ㄲㅤ愳ㄹ㡤愶っ晡愷㑥〱ㄹㄲㅥ愲〶㍡扥搰昵昶㔲敡㈴〹扡㠳昳㜸捣㝦〴㔸㝢㜸慦敦㍡扣攷搱㐶㜲㜸㉢㐳㝢㠱㐵ㅣ㤵〶㈹㐱㡦挲攱㈵㐹㜰㔹㥥挷㘳晥㌳挰摡ㅤ㕥摦戵挳㝦㐵㥢㡥づ晦㡤㐵㉤ㅤ㜲㘵户㜶㘸㔰㠷㤷㙤㘴㙥〰㥢戰ㅣ攲ㅦ㘷昱搲㘶㐷㥤㍦捤敡㜶〷搰㝥㐷昶ぢ㌴ㄵ戴っ㜹挸㕦挶〸㌳攲㜹〰づ㐳扥挸ㅣ㔵愴㘹㝥ㄵ㈳㥡㠶愲㘹㥡晦㘰㈹愵搲㌴晦搹㑡愳扢㐰㠱扣〰㤰愴〲扢搲ㅥ敦搷㐰攰昱㜴㈷㐰攵㝦㈵㈴㜸ㄷ搸㤹愶晡㙦㈰愰搲摤〰㤵扦〱㐸㔲㠱摤㘹慡晦〱㠲㤸㈵改㐸㤰户㜶愳㜹ㄸ㘶ㄴ捦㌸ち㜲㠸挳㤳㑥〴昹㙡ち搹㐱㤱㜴㈰挸㔳㔳攴摡㈹㝡晦て捥ㄷ挴㐰</t>
  </si>
  <si>
    <t>㜸〱捤㕡㕢㙣ㅣ㔷ㄹ摥㤹摤㔹敦慣搷昶㈶㑥㙦㘹摡㙥愱㘹搲㍡戵攲愴㈶㘹㑢㐸搶敢㌸㜱攲挴㡥搷㐹愰ㄷ㙤挷扢㘷攲㐹㘶㘷㥣㤹㔹挷㠶㐲㜹〲摥㐰〵ㅥ㕡ㄵ㌵ㄴ㐴〵㐲昴〱㔱慥㉦愵㐸㕣ㄴㅥ㉡㐵愲㍣㠱㉡愴㍥㔰㔵㐵扣ㄴ㈸㉡摦㜷㘶㜶扤扢㕥㍢愹ㅢ㈴㥦搴晦㥥晢㥣昳摦捥㜷晥搳㤸ㄲ㡢挵㍥㐰攲㉦㔳㠲㤹㙤挵㈵㍦㄰搵挱㠲㙢摢愲ㅣ㔸慥攳て收㍤捦㔸㥡戰晣㈰㡥づ挹㤲㠵㜶㕦㉢昹搶㘷㐵慡戴㈰㍣ㅦ㥤戴㔸㉣㤵搲㔵戴㜳ㄲ晥㘵敢〵㥤愳㌲〹㤰㤹挲挸攴散㜹捣㕡っ㕣㑦散捡㥤〹挷ㅥㄸㅡㅡㅣㅡㅣ摥扤㙦捦攰敥㕤戹㐲捤づ㙡㥥㌸攰㠸㕡攰ㄹ昶慥摣㔴㙤搶戶捡挷挵搲㡣㝢㐱㌸〷挴散敥扤戳挶㠳晢㠷ㅥㅣㅥ㌶ㅦ㝡㘸㝦〶㥦㡥㥤㉣㡣㑣㜹挲昴㙦搴㥣㐹捥㌹㔹ㄸㄹ㍣㈹㠲ㅢ㌵㘷ㄷ收挴㤴愳㙥搵戰㥣ㅢ㌴愹㐶摥敥ㅤㄵ㘵㡢㐲㄰挲戳㥣㜳㠳㔸㜶ぢ愳㔱摡㌷㌸〶㡥㤷つ㍦㈸〸摢㥥ㄶ㈶ㄷ㤳愹㤲㘷挲ㄳ㑥㔹昸扤搵挳㡢㘵㘱㐷捤㝥慡㝡挶昰㑥ㅡ㔵㤱㘰愶慦ㅡ捡㙤扣㈲㥣挰ち㤶㝡慡愷㝤㌱㙤㌸攷〴扢㘸搵㈳㌵慢㤲㐸㈸㠹㐴㉣扥愳搳㘲愴㙣〶挷扣㜲㘱捥昰〲㔹愲搴㠶㍡昵㙤搲㄰戹昰㤶㘵㔱㡢㜲㙤愳㈸愶愲㔵㍤㉥㍣㐷搸晣〸㠵㌷搰搶㐹昲㈴㘴㝤㠳㌹昵摤㤰ㄷ㑡㜷愴昷㜲㉢愸搰㔳㈴㍡㐸㌲つ搲㜷挶戰㕤㉦㔷㌱㜲昹搷㕥㝡敤㍢慥摥捤收っ㠸㤲昸㈷㙣愸㜹㌸㥢搴㤲愱㤶㘶搵㔲㔹㉤㔵搴㤲㔰㑢愶㕡㍡愷㤶收搴㤲愵㤶捥慢愵ぢ攸㔳㑦愹慥㉥㌵㑡敦扣晦搸搷㜶晥攴敡挹㤷晦昳挶户ㅦ㡦摦愴㘴㝡搱改㔴戴戴㔱捦戸〴昹㉥慢づ散㠵晦慥㙤㌳㌰ㄹ㜳搸摣㘷づつ㔵㠶㜷ㅢ㝢つ㡤㥢扢㕥㐹㙤㐱摦㡣㜹搶㜲㉡敥㈵㈹扡㡣㌹㘶搹㠱昰㘴愱捦挴㑦愸㝥戲摣㘳ㅥ㕥㠴摤㤶㐳㈹㙦㌱ぢ挲ぢ愰敦挱搲戲攸户㡤ㄸ扥㔸㉥づ㐴㜳㡦戸㌵愷攲摦摥戹戱ㄸㄸ㠱搸摡摥戶㍣挹㡡㘱㐵搸㠲昰攵㤲敥㙣ㅦ〶㔹搶㐴㝥搱ち㥢敦㘸㙢㠶㔵戸戳慢户㡥㜹攲㘲愳㜵挵㡡昲㜰㤹ぢ㜲敥ㄵ扢っ㥢挲㜵攵ち㜳慥㉦ㅣ戹扣㠱敡㤴㔵扥㈰扣愲愰挳ㄵㄵ戹搵㥢搸ㄴ㤹收挰愴㠳㡤挲搸㉡ㅦ㙢慥㈵愳㠵㔳ㄱㄵ慣㜷ㅥ㕣㕥㥡㌱㘶㙤㜱㜳㑢㤷昰㥢㘸戸慤愵㝡捣㉤搷晣㠲敢〴㥥㙢户戶攴㉢ぢ〶摣㐱攵㠴㕢ㄱ〹㤹㘲㈱㔵㘲昱戸愲挴㜶㜶戲㉢捥敤搳昲㥡㤴㠴昶扤㜶攷㈶㈵㘲攷㡥ㄶ摢㤸ㄹ㤹㈶㈵㘳晦晢搶㕣㐹戳ㄲ戲昷敥㌵㝢㜷㔰㔲づ扡戵搵昰〶愷㈱ㅦ挸挱ㄶ戴㑡昵㥥搵愷㕣搶换㙢慣戴㐹㉡㍣㕦搹㝢つ愶挹㘹ㅢ扡昷晦敤慣慡晤搱敥て㉦挰改ㅦ㌵㥣㡡㉤扣㌵搱㠱挲ㄵ改㝤㈴㔹㤲㑤㈴㥢㐹晡㐱戴户攱㈶㔷攵㈸ㅤ扢戲愸㉣㘹㤷慣㑡㌰㤷㥣ㄳ搶戹戹〰㜵㐰ㄵ愹ㄴ搹㝤ㄵ㤸挲挱敦㍣㝡㕥㈶戴搰㙦㈲戹㤹攴ㄶ㤰㜴㍡㤶扣ㄵ扦㜰搷晡㙤晣搹ち搲㝦捣挰㤹㘰攴㉡㈲〷㑥㉦㔸㍥㍣㜷㍡愶搱慢㝦昸戳㐷㝥㔴ㅥ㜵挰㈲扥㔶挵㠹敡挷攳㥤㌸㜲搴昰攷〲ㅡ攳㥡㡤摣戲㝥㍢挹㌶㤰捣ㅤ㈰㈷㡦ちㅢ愶㝣愳㘰㡣挶㤳攸㥡挷㈵㈵㜴㜳戵戸攴㤴攷㍣搷〱愸ㅢ㌵〲㈳㕦〶㈶昰ㄵ㈳㔹㥤㜰ぢ戵㈰㔹㍤㙡攱㈷㔳㥤ㄶ昳挲〸ち㜰搵㐱㑦㜵〲㜸㐲晡搲昱捡愲㔶つ愱挰愸昰换㍡㌱挳㌸㕣搳㘲ㄲ㌹昸摡㑣㤵捥㐶㉣〶㥣扡慢㍡㘵〰㜳〴㍡㍡つ挸㔱㘱㡥㈳㝢㘴㕤㝤㜴㍡㉡㘱㠶慣捣㌶捤搲㉤㉢挲㤹㘲㘴㘵っ摥㈹ㄶ㑦㐴戴摤㡡㑥〷㤶敤て㐶散ㅤㅣ㜵㠱㈹㠵㠴戵㘴㝢㌲〹㈵㑢慥㈹慣㜶㘳㈷攸㤸㉣捦㠶搳㘲㈹㐷㍣户㌶㑦攰㜱愳收攱㕣㌱晤㑥㤰ㄷ晥昱㠳㐷戶㝦敢攵て愲摦愷㘱㐶㌲改挴㈵㍡㜵㥥㐵晣挸愴摦㡤㥦昴㕡㙤ㅡ㔱㑢㐷㙦扢ち㍥愲㔹㘷慡搸敤㡣㈷㈴攰㑢挹挲搲扣攸愹㥥㜵扤ぢ戳慥㝢㠱挲敦㤵㈵㝦㑥㠸㠰㈸慡㍢〲㡤捣㉢㡡ㄲ㡦户㘰愴㈶戸㐵晣㤵摣づ㜲挷㡣㕢㜱晤ㅣ晥换㝢ㄷ㙢搶〲㌲戰摣ㄹ捦㤸㌵散㌹㌷㜹㉦扡挴㠹敦㜶㈰戳㡢㡡㘵昰㝥㤲换㍦晡㘸扥㤸摢㌳㌴晣㘰㙥攷㘸㘱散扥摣〳戹㌳昹改㐹㔴捤散ㄹㅥ㕣戴晤慡昲〶㌸㐴㤸昶敡扥㝦晤晢㐷慦㝦敡昸㑦㝦扦敤扢敦ㅥ㝣㘵㐰昹㔳搴搰づ扣㌴扡戱㜶㈵㤲㈰戲㜱㈴㌵ㅤ㜶㜴㔰㐹昳戴㘳〵㝥户㤹慦〵敥㤸ㄵ㡣晡㐱挶〴㐱㔶づ搹㉡扤㜷搳愰〱昳㡣㈵㉥捤㠰㡤㜷慤㙣〲扥㉥搴晣挰㤵昶㜱攷捡昶㔱昷愴ㅢ㡣㕡晥扣㙤㉣摤搳愱㌹㙣㌹㍢㈷ㅣ挰〹て愸攲㕡㥤摣昹㜹㔱改戰挶愲㕢昳捡㘲㝣㜴㈳〰ㄲ㈵㌴昴ㄸ㜴〹㘶慥㙣㕦晤〰㙥攲㍢戵㔷㠵晥㈹敢㍣捦攴愱愲て㘰ㄶ㕣㙢ㄵ㥣㌳晡㉥㘴㜱摣㘸㍣攴搶㔶㤱㈶㠸㐳㔷㥣㌶㈱搶戰慥㈷挲搰攳㡥㙦㔵㐴㍡㉡㥤戰㥣摥㈸㍢㔹ぢ㕡㕡㡣挵晥愸㈵㙦摢㤳づ㐴㕦㌶扣捡㐶㤰ち㌶㠶ㄴ㡡㐴㐹攲摦晡ㄸㅤ㑥ㄳ㡢扤㕢㡦㐷扣晢㌴晣搸〳愸㈶慦㠹㈵㍡晡慣㠶㌹㈲搳㠴㄰㘹扥㍤㘴㜷愳㍡挵搲〹㘱㌸㔲ち挵愰㌲㉡ㄶ㝡㘵て〱〵挷戵搶ㄶ晤慤㐵㜹㜴改㘶㝥搶㜷敤㕡㈰㝡ㅢ㌹㘹攸扡㌹つ㘸㐱戴㥦㘹攴愶捡〱敥㐳㡤昹㠸攴㌷㡥㠴挰㤱㐴㈴㈵㐵捡㈹戹㠶昲戶㙥㠲㌶戴㑥愹攲㔰㌶㘵㝡攷愰昲摣戳㑣摦㍦ㄸ慢㘷搲㑣㌱㡤〸攴晡攱㍣㉤愹扦㝥换っ㍤㥣㜴㕥㤹㝡ㅤ㤱㜴㡦㈹晤ㅥ慥换㡣㘸昴搱㜴㙣㠴㥢〲慢㙣搸昶㔲慦㌹敥㤴敤㕡㐵㑣ㄸ戳挲慥晢㙣搷慢㙥㄰㜹挹㐸㕣㈸慢㌵昸ㄲ摤㜱挶ㄱ㡥慢㕦ㅥ搶敤收㘲晡㈰搸㉡搱〴收㐸敢扢㔱愲㘸㠸摣㍦昴摤㠹挰㘴昳昲捤㕦〶㡡攰摡㔶㔴搱愷ㄱ㐳㌶慥㕦搲攲㥡扡㑤戸ㄳ㉥慥挶㤵愶慡愳㔶㔸戵㘱散㑡㡡㈹㤹㑣慥昷㠰〱慦㘲戱㐳㠷て㠵扦㕦㍤㜴昵慤换慦㝦攱挷㝦㌹〸㈹㐸攳攰㌵愷ㅤ㝤㌶〱ㄱ㜹昶㑢㈷挸攳愸㡦ㅥ㉣〴づ㌳㔶㘰㡢㙥㔳戶换㝣㡡㈶㐱㙥㜶㤹㌳㜳㐰㜲愳㍤收ㄱ捦慡搸㤶㈳〸㐲㄰慡㘱㜰㙥㐲㥣㐳㔰㘱捡昵㉤㘲慢ㅥㄳ攸换昱攷〹搸换㑢㥢㕢㑡㔲㔸㥡㌹㘲㌹㌰愰昰㥢捣昷㤹挵㌹昷ㄲ挲挷戵慡㜳挴㤸昷㌷㠴愰攰㠵愲ㄴ㕡㤵慡愸慡㤲㔲㔳敢㍤慢㈴扥㈶㈰㠸敤挱扣㉡〹捣㠵〶挳ぢ改ㅡ㌶㑢㐹㐵㘱ㅤ摡㉣搷搵ㄲ㠶敤㜸㥦㙣挴摦改㠷㜵㝥㉣戳ㄷ攴搸㤱搳攳换挱挰㡦ㄴ㐴搷㜸㠵㕥攳㌸㤰慡搱㠸㍣㔰㈵㝢㐳㜵㘱ㅤ戵㐷㤷㔲㘷愹㕤〵搳愶散㐳㙤挴〹捡敥捣㡥攱㍥㤸㠱昱挳晤攲ㅥつ扦摢ㅢㄶ〸改慡㠶敤㐷㙤〵户㕡㌵愸㕥㔴捤㈲㝣户㐸㐹㝣つ㙦愲㥢㈰㔲〷愳㉡㘳ㄱ㔵挶愲慣挲㤱捣㘸愲捣㜳㉥昷㥣攱㔹挱㕣搵㉡愷㔸㘰挴㙦㐳攸㈵㔴㐸摥㕤挱㔰㈶愹㥣〰慢敤㜷昶昰㥡〹㜱て攲晥㐰搶㔱晣搰㕥㔵㥥攳捡㍡㐳㌵㔰㕦改昰昵㘱捣愶挹攷ㅡ摥㥥㤹㥡㐰ㄸ㙡愴㘶㉢㡣慡戰㔹晦㐴㤴㘱㈱挱〰挶㥡㌷㘷摥敥搲ㄳ慥㔱ㄹ㐳㔰搸昵扡愲㐷㥦ㄴ㐴㑢户攲㘵ㄹ㉤㈹㈰摣㠸㌰收〲戰戰㤷㘲㐵ㄱ㜱㠸〴攳㉣挹㔰㠶攴㑤㑣搳扡㔳㥤扥㌵㕥㥦敢㥥攸㔶搹晣㜸㌵扥㘲晥户㑦敤㍦㠸㐵㘱㕢㝣㍤搱昷㤱散〷㔱ㄸ㠷攱㝥摡㍡㍣挴づて㠳㘸扣㡥户㕢挹慡㤱〵㑥慥㔵ㄹ昱㐸㔵戹ㅤ㐰㡥㈴攲㈰㠸㥣㠰㈵挹敥ㄴ㈳て晡㈳㈰㝦扣㜲攵〰㝥㘲捡摤㈰昵敦攷㤰㑦愷挹㍣晤㤳㈴散愱昱ㄶ㜲㝤户ㅥづ捣㌶㕤㐵㘹愳晥㈶昳㔴捤戰昱㝥㌳〹㍣ㄴ戰㙡㈳ㄸ㐱㈲㐴愵敤捦ㄱ慤捦㍡戸搰挹㉤㍣昶〴〳㈳敤㍣㘸敤ㅢ敤捤㘷捦昵愱搶戴昶㙢挴〵慥敦㉢戴㠲慥〵㐶戹㑡㈵㐴㝦㔰愲攰搳㍡㔵っ〷㠲挲摢愲㌴㥢㐳㔱㠶〵㠵昷ㅡ㔹㥢㐷愶㥥㌴㘲戰㌵づ㡦㌶挰挷昱晤换慡㑥愷㌶㘰昳㤵戶㤳㡤戴㥥㈱㈳ㄸ慡㄰攳慤㔸㠳挲攳㐵搶㡥㈲㐳愷挰㉤㘹㜴ㄱ搷昴㑡㜴㘵戸捡挲㍦ㄵ㠳㈵ㅢ㘷〲戳㡣っ㠵㌹ㅡ㐱搸㡣㐵扢ㅥ㐰㙥愲㍤ㅥ摣ㄸ换㠸㑡昷㤶戶昸扢ㅣ挶ㄶ扡㍦敤㤷㄰搱慡攳戹㠳㘵愹㜰っ㔳㜲っ㘴换〹慢散戹扥㙢〶戹㈲戰㑤㡥㉦㌲㈶㔰㙥㕥晢㌹㘶散昸㑤㙥㉣攱昰愹㔳ち㍡㝤挱㜱㉦㌹㜲㌵㥡捦㠷㈹挹慦慥㉥㝥㠶搸㔷愶㡦㠳㡢㔹扡㑡づ搶㡦㠲昴挴戳昴㌵㑣㔹晡ㅢ愶㉣㥤ぢ㔳㤶づ㠶愹㡦㉥㠱戳㤰敦㌷㌴㘵改㐸愸㥣挹㜱㤰摥挲㐸愹〹㡤㈴㡦愱㉥㠳㍡改㙦愷昱愰㤳㍣㡥㥡㑤愸㘹㝤晢捤搲ㄳ㐹挷搹㜸㈱搵㑦愲㑡愱挲㑢㐶㑣㐶ㅤ搸㈹㝢〸㐴㜲㘰ちㄹ㜰㈰㡦ㅦ㈶㐵慡㈰㌲㝡扤㠶扡㤶ㅤ〵㤱摤愷搹㔴〴改㔱㌵㌲敦㤱搵㠳㍤㑤扢ㄸ㠰㠹戴扣㠹ㅤ挶ㅢ搷ㄲ㘷㡥攳㌰搱攴摥ㄲ敡挳敢㥢㡢づ㠸〸㑣晥晤㄰扡昲ㄱ收㈱愳㤶昵㤳㌳摥㠵㍦晤㌴㠸㐲㙥㌲㐶慢㙦㈷戹㤷㘴〷㠸昲ㄲ㍥搹㌱㠸昹扤愸愱㍤㠸㤹愵㈴㈴㌷ㅦ攳㈴㡦㤳㍣〱㤲㔶㈸っ㜲㔵㜹ㄱ㐳戹ㄵ挶㔷㔲㙡㕣㈳摢敦㕦㥤㍤㈱づ㕢㝥㕡㘵㤸㐵㌳㘹攲摤㘶昸戲㐹㈶挹㜰㤶㉤敤㈳〳㐸收攱㜱㜳〲户っ〰㌱扣搳㐷摡㠴摢〷㡦挶晡愱慦换ㄲ〷㈷捤㐹て㈸愰换ㅣ昷㜱㤷愹愴昰㕡㄰攰戱搹搹〸㐷ㄵ㍣㔶㠲捡〴㜵㘲〴㔲敤攸㉣攸〵摡㐱㐲搳㠵㙤㤹ㅦ昵㑢扢㑡㈴户扥㠳㉡㔹挲挷戲昹昳〸ㄵ㡢㠷㜳㠸㑢㤹〰搳㐲㔱㉥㐳愴昴㘶改搸ㄷ㘳ㅦ㜰扤㜴攵扡㠱㥦攴㉣〸愳攸㜵愸㤷搶换愸〹㠱愰㡣㜵㉡戴㍡敡㐱㔲㠰㙣㠱捤攰㝦ㅤ㤱㤱昸昹晡ㅢ㥡慡㍣㔷晦挰摦昷摣戶晣㠱㜳㥣㠹ちぢ㘴㑡㡡㘳搰㘲ㄵ攷㤵㈴愶㔱挳摢搹挶㠳㘱㡣㝣㙤㝢晤敢敥㈶㉦㡢捦晥攲搰㝦昷㍥㤱㔷愸挴㔲㘹扦㠹㡦㔳㘹改捦㔲㙡㔲愱㘲换㠶㙦㐴つ㜴㔱㈹攰㘸㉡扢㙣昸㝡搴㜰㄰ㄵ扡〳愲㤱ㄷ搷㉤㈵㙥㘶㥤㈷慤㡢愱ち㌹捣㌹昴昹㈸㈳戹㐳㙥㜱ㄹ晡㐵搶㤲㔱戲㡦㠷っ㤹挱扦㍥慥昵㉣ぢ㡢㑡昹挹捡㤳㑦扥搷㤷挸㙤㑤㝣晡㔰收搹扦晥攱捤㘷慥㍥㝥攰慤昷㥦㝦晥敡摦㥥戹昲晥慦㘶て晣昶挵ㄷ㝦㜳散㠵㉢㙦㙥㌶㉦慢慦扣㌷㜱昹愹愱ぢ㑦㕤㌴㑦摦㝦攴愹捦㥣㍦㌵㌴戵㘹㈰ㅥ敦敡摡搱晦扢㕢㜷㘶扦㜸昱㘷捡慢㝦扥挵㔱攴晡昰㠱㠶ㅢ㐶㍥㤶攵㍡愵攳攰ㅢ㙣㑦㕣㤱㉢㐴㔶慦㠱㌰戱㌱换㤵捡㕥ぢ挸攸㤷㐰㝡㔴㠵㈳㈴捦扦ㄲ昱㝣〴ㄵ㈹㥣㠵ㅣ捡摥㍤〹㠵晤㘵㥦㉦户昶㔱㌸㠷㙣昸㔲搴㤰㐵㠵晥㌹㄰㠵㐴㜲敢㈹㤶㈴㘱摢攷㐱敡㈹㕢㉦㜴晦てㅡ扥戹晥</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</si>
</sst>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44" formatCode="_-&quot;R$&quot;\ * #,##0.00_-;\-&quot;R$&quot;\ * #,##0.00_-;_-&quot;R$&quot;\ * &quot;-&quot;??_-;_-@_-"/>
    <numFmt numFmtId="164" formatCode="0.0%"/>
    <numFmt numFmtId="165" formatCode="_-* #,##0_-;\-* #,##0_-;_-* &quot;-&quot;??_-;_-@_-"/>
    <numFmt numFmtId="166" formatCode="#,##0;\(#,##0\)"/>
    <numFmt numFmtId="167" formatCode="#,##0.0;\(#,##0.0\)"/>
    <numFmt numFmtId="168" formatCode="0.0"/>
    <numFmt numFmtId="169" formatCode="0.0\x"/>
    <numFmt numFmtId="170" formatCode="General&quot;E&quot;"/>
    <numFmt numFmtId="171" formatCode="#,##0&quot; dias&quot;"/>
    <numFmt numFmtId="172" formatCode="#,##0;\(#,##0\);&quot;-&quot;"/>
    <numFmt numFmtId="173" formatCode="0%;\(0%\);&quot;-&quot;"/>
    <numFmt numFmtId="174" formatCode="0;\(0\);&quot;-&quot;"/>
    <numFmt numFmtId="175" formatCode="0%;\-0%;&quot;-&quot;"/>
    <numFmt numFmtId="176" formatCode="0%;\(0%\)"/>
    <numFmt numFmtId="177" formatCode="0.0%;\(0.0%\)"/>
    <numFmt numFmtId="178" formatCode="&quot;&quot;"/>
    <numFmt numFmtId="179" formatCode="0.0%;\(0.0%\);&quot;-&quot;"/>
    <numFmt numFmtId="180" formatCode="#,##0.0;[Red]\-&quot;R$&quot;\ #,##0.0"/>
    <numFmt numFmtId="181" formatCode="&quot;R$&quot;\ #,##0.0;[Red]\-&quot;R$&quot;\ #,##0.0"/>
    <numFmt numFmtId="182" formatCode="#,##0.00;\(#,##0.00\)"/>
    <numFmt numFmtId="183" formatCode="#,##0.00;\(#,##0.00\);&quot;-&quot;"/>
  </numFmts>
  <fonts count="49"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theme="0"/>
      <name val="Avenir Next LT Pro"/>
      <family val="2"/>
    </font>
    <font>
      <sz val="11"/>
      <color theme="1"/>
      <name val="Avenir Next LT Pro"/>
      <family val="2"/>
    </font>
    <font>
      <sz val="11"/>
      <color rgb="FFD3D3D3"/>
      <name val="Avenir Next LT Pro"/>
      <family val="2"/>
    </font>
    <font>
      <b/>
      <sz val="11"/>
      <color rgb="FFD3D3D3"/>
      <name val="Avenir Next LT Pro"/>
      <family val="2"/>
    </font>
    <font>
      <sz val="6"/>
      <color theme="0"/>
      <name val="Avenir Next LT Pro"/>
      <family val="2"/>
    </font>
    <font>
      <sz val="11"/>
      <color rgb="FF848484"/>
      <name val="Avenir Next LT Pro"/>
      <family val="2"/>
    </font>
    <font>
      <sz val="11"/>
      <color theme="1" tint="0.499984740745262"/>
      <name val="Avenir Next LT Pro"/>
      <family val="2"/>
    </font>
    <font>
      <sz val="11"/>
      <color theme="1" tint="0.499984740745262"/>
      <name val="Calibri"/>
      <family val="2"/>
    </font>
    <font>
      <sz val="9.9"/>
      <color theme="1" tint="0.499984740745262"/>
      <name val="Avenir Next LT Pro"/>
      <family val="2"/>
    </font>
    <font>
      <sz val="11"/>
      <color rgb="FF808080"/>
      <name val="Avenir Next LT Pro"/>
      <family val="2"/>
    </font>
    <font>
      <b/>
      <sz val="11"/>
      <color rgb="FF808080"/>
      <name val="Avenir Next LT Pro"/>
      <family val="2"/>
    </font>
    <font>
      <b/>
      <sz val="11"/>
      <color rgb="FFC6CAD2"/>
      <name val="Avenir Next LT Pro"/>
      <family val="2"/>
    </font>
    <font>
      <sz val="11"/>
      <color rgb="FFC6CAD2"/>
      <name val="Avenir Next LT Pro"/>
      <family val="2"/>
    </font>
    <font>
      <sz val="8"/>
      <color rgb="FFC6CAD2"/>
      <name val="Avenir Next LT Pro"/>
      <family val="2"/>
    </font>
    <font>
      <sz val="11"/>
      <color rgb="FF545454"/>
      <name val="Avenir Next LT Pro"/>
      <family val="2"/>
    </font>
    <font>
      <b/>
      <sz val="11"/>
      <color rgb="FF00B050"/>
      <name val="Avenir Next LT Pro"/>
      <family val="2"/>
    </font>
    <font>
      <sz val="11"/>
      <color rgb="FF1C1D1D"/>
      <name val="Avenir Next LT Pro"/>
      <family val="2"/>
    </font>
    <font>
      <sz val="10"/>
      <color rgb="FFD3D3D3"/>
      <name val="Avenir Next LT Pro"/>
      <family val="2"/>
    </font>
    <font>
      <b/>
      <sz val="10"/>
      <color rgb="FFD3D3D3"/>
      <name val="Avenir Next LT Pro"/>
      <family val="2"/>
    </font>
    <font>
      <sz val="11"/>
      <color rgb="FF43AF43"/>
      <name val="Avenir Next LT Pro"/>
      <family val="2"/>
    </font>
    <font>
      <b/>
      <sz val="11"/>
      <color theme="0"/>
      <name val="Avenir Next LT Pro"/>
      <family val="2"/>
    </font>
    <font>
      <b/>
      <sz val="6"/>
      <color theme="0"/>
      <name val="Avenir Next LT Pro"/>
      <family val="2"/>
    </font>
    <font>
      <b/>
      <sz val="11"/>
      <color theme="0" tint="-0.14999847407452621"/>
      <name val="Avenir Next LT Pro"/>
      <family val="2"/>
    </font>
    <font>
      <sz val="11"/>
      <color theme="0" tint="-0.14999847407452621"/>
      <name val="Avenir Next LT Pro"/>
      <family val="2"/>
    </font>
    <font>
      <b/>
      <sz val="11"/>
      <color theme="1" tint="0.499984740745262"/>
      <name val="Avenir Next LT Pro"/>
      <family val="2"/>
    </font>
    <font>
      <sz val="10"/>
      <color theme="1" tint="4.9989318521683403E-2"/>
      <name val="Avenir Next LT Pro"/>
      <family val="2"/>
    </font>
    <font>
      <sz val="11"/>
      <color theme="0" tint="-4.9989318521683403E-2"/>
      <name val="Avenir Next LT Pro"/>
      <family val="2"/>
    </font>
    <font>
      <b/>
      <sz val="11"/>
      <color rgb="FFFFFF00"/>
      <name val="Avenir Next LT Pro"/>
      <family val="2"/>
    </font>
    <font>
      <b/>
      <sz val="11"/>
      <color theme="0" tint="-0.34998626667073579"/>
      <name val="Avenir Next LT Pro"/>
      <family val="2"/>
    </font>
    <font>
      <sz val="11"/>
      <color theme="0" tint="-0.499984740745262"/>
      <name val="Avenir Next LT Pro"/>
      <family val="2"/>
    </font>
    <font>
      <b/>
      <sz val="11"/>
      <color theme="0" tint="-0.499984740745262"/>
      <name val="Avenir Next LT Pro"/>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1C1D1D"/>
        <bgColor indexed="64"/>
      </patternFill>
    </fill>
    <fill>
      <patternFill patternType="solid">
        <fgColor rgb="FFFFFF00"/>
        <bgColor indexed="64"/>
      </patternFill>
    </fill>
    <fill>
      <patternFill patternType="solid">
        <fgColor rgb="FF00FF00"/>
        <bgColor indexed="64"/>
      </patternFill>
    </fill>
  </fills>
  <borders count="2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rgb="FF5E5E5E"/>
      </bottom>
      <diagonal/>
    </border>
    <border>
      <left/>
      <right/>
      <top style="medium">
        <color rgb="FF5E5E5E"/>
      </top>
      <bottom/>
      <diagonal/>
    </border>
    <border>
      <left/>
      <right style="thick">
        <color auto="1"/>
      </right>
      <top/>
      <bottom style="thick">
        <color auto="1"/>
      </bottom>
      <diagonal/>
    </border>
    <border>
      <left style="thick">
        <color auto="1"/>
      </left>
      <right style="thick">
        <color auto="1"/>
      </right>
      <top/>
      <bottom style="thick">
        <color auto="1"/>
      </bottom>
      <diagonal/>
    </border>
    <border>
      <left style="thick">
        <color auto="1"/>
      </left>
      <right/>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diagonal/>
    </border>
    <border>
      <left style="thick">
        <color auto="1"/>
      </left>
      <right style="thick">
        <color auto="1"/>
      </right>
      <top style="thick">
        <color auto="1"/>
      </top>
      <bottom/>
      <diagonal/>
    </border>
    <border>
      <left style="thick">
        <color auto="1"/>
      </left>
      <right/>
      <top style="thick">
        <color auto="1"/>
      </top>
      <bottom/>
      <diagonal/>
    </border>
    <border>
      <left/>
      <right/>
      <top/>
      <bottom style="medium">
        <color theme="1" tint="0.34998626667073579"/>
      </bottom>
      <diagonal/>
    </border>
    <border>
      <left/>
      <right/>
      <top style="medium">
        <color theme="1" tint="0.34998626667073579"/>
      </top>
      <bottom/>
      <diagonal/>
    </border>
  </borders>
  <cellStyleXfs count="44">
    <xf numFmtId="0" fontId="0" fillId="0" borderId="0"/>
    <xf numFmtId="0" fontId="1" fillId="10"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11"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7" fillId="12" borderId="0" applyNumberFormat="0" applyBorder="0" applyAlignment="0" applyProtection="0"/>
    <xf numFmtId="0" fontId="17" fillId="16" borderId="0" applyNumberFormat="0" applyBorder="0" applyAlignment="0" applyProtection="0"/>
    <xf numFmtId="0" fontId="17" fillId="20" borderId="0" applyNumberFormat="0" applyBorder="0" applyAlignment="0" applyProtection="0"/>
    <xf numFmtId="0" fontId="17" fillId="24" borderId="0" applyNumberFormat="0" applyBorder="0" applyAlignment="0" applyProtection="0"/>
    <xf numFmtId="0" fontId="17" fillId="28" borderId="0" applyNumberFormat="0" applyBorder="0" applyAlignment="0" applyProtection="0"/>
    <xf numFmtId="0" fontId="17" fillId="32" borderId="0" applyNumberFormat="0" applyBorder="0" applyAlignment="0" applyProtection="0"/>
    <xf numFmtId="0" fontId="17" fillId="9" borderId="0" applyNumberFormat="0" applyBorder="0" applyAlignment="0" applyProtection="0"/>
    <xf numFmtId="0" fontId="17" fillId="13" borderId="0" applyNumberFormat="0" applyBorder="0" applyAlignment="0" applyProtection="0"/>
    <xf numFmtId="0" fontId="17" fillId="17" borderId="0" applyNumberFormat="0" applyBorder="0" applyAlignment="0" applyProtection="0"/>
    <xf numFmtId="0" fontId="17" fillId="21" borderId="0" applyNumberFormat="0" applyBorder="0" applyAlignment="0" applyProtection="0"/>
    <xf numFmtId="0" fontId="17" fillId="25" borderId="0" applyNumberFormat="0" applyBorder="0" applyAlignment="0" applyProtection="0"/>
    <xf numFmtId="0" fontId="17" fillId="29" borderId="0" applyNumberFormat="0" applyBorder="0" applyAlignment="0" applyProtection="0"/>
    <xf numFmtId="0" fontId="7" fillId="3" borderId="0" applyNumberFormat="0" applyBorder="0" applyAlignment="0" applyProtection="0"/>
    <xf numFmtId="0" fontId="11" fillId="6" borderId="4" applyNumberFormat="0" applyAlignment="0" applyProtection="0"/>
    <xf numFmtId="0" fontId="13" fillId="7" borderId="7" applyNumberFormat="0" applyAlignment="0" applyProtection="0"/>
    <xf numFmtId="0" fontId="15" fillId="0" borderId="0" applyNumberFormat="0" applyFill="0" applyBorder="0" applyAlignment="0" applyProtection="0"/>
    <xf numFmtId="0" fontId="6" fillId="2" borderId="0" applyNumberFormat="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9" fillId="5" borderId="4" applyNumberFormat="0" applyAlignment="0" applyProtection="0"/>
    <xf numFmtId="0" fontId="12" fillId="0" borderId="6" applyNumberFormat="0" applyFill="0" applyAlignment="0" applyProtection="0"/>
    <xf numFmtId="0" fontId="8" fillId="4" borderId="0" applyNumberFormat="0" applyBorder="0" applyAlignment="0" applyProtection="0"/>
    <xf numFmtId="0" fontId="1" fillId="8" borderId="8" applyNumberFormat="0" applyFont="0" applyAlignment="0" applyProtection="0"/>
    <xf numFmtId="0" fontId="10" fillId="6" borderId="5" applyNumberFormat="0" applyAlignment="0" applyProtection="0"/>
    <xf numFmtId="0" fontId="2" fillId="0" borderId="0" applyNumberFormat="0" applyFill="0" applyBorder="0" applyAlignment="0" applyProtection="0"/>
    <xf numFmtId="0" fontId="16" fillId="0" borderId="9" applyNumberFormat="0" applyFill="0" applyAlignment="0" applyProtection="0"/>
    <xf numFmtId="0" fontId="14"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cellStyleXfs>
  <cellXfs count="198">
    <xf numFmtId="0" fontId="0" fillId="0" borderId="0" xfId="0"/>
    <xf numFmtId="0" fontId="18" fillId="33" borderId="0" xfId="0" applyFont="1" applyFill="1" applyAlignment="1">
      <alignment vertical="center"/>
    </xf>
    <xf numFmtId="0" fontId="18" fillId="33" borderId="0" xfId="0" applyFont="1" applyFill="1" applyAlignment="1">
      <alignment horizontal="center" vertical="center"/>
    </xf>
    <xf numFmtId="0" fontId="19" fillId="0" borderId="0" xfId="0" applyFont="1" applyAlignment="1">
      <alignment vertical="center"/>
    </xf>
    <xf numFmtId="0" fontId="20" fillId="33" borderId="0" xfId="0" applyFont="1" applyFill="1" applyAlignment="1">
      <alignment vertical="center"/>
    </xf>
    <xf numFmtId="0" fontId="22" fillId="33" borderId="0" xfId="0" applyFont="1" applyFill="1" applyAlignment="1">
      <alignment horizontal="center" vertical="center" wrapText="1"/>
    </xf>
    <xf numFmtId="165" fontId="20" fillId="33" borderId="0" xfId="0" applyNumberFormat="1" applyFont="1" applyFill="1" applyAlignment="1">
      <alignment horizontal="center" vertical="center"/>
    </xf>
    <xf numFmtId="0" fontId="20" fillId="33" borderId="0" xfId="0" applyFont="1" applyFill="1" applyAlignment="1">
      <alignment horizontal="center" vertical="center"/>
    </xf>
    <xf numFmtId="0" fontId="19" fillId="0" borderId="0" xfId="0" applyFont="1" applyAlignment="1">
      <alignment horizontal="center" vertical="center"/>
    </xf>
    <xf numFmtId="9" fontId="18" fillId="33" borderId="0" xfId="0" applyNumberFormat="1" applyFont="1" applyFill="1" applyAlignment="1">
      <alignment horizontal="center" vertical="center"/>
    </xf>
    <xf numFmtId="3" fontId="20" fillId="33" borderId="0" xfId="0" applyNumberFormat="1" applyFont="1" applyFill="1" applyAlignment="1">
      <alignment vertical="center"/>
    </xf>
    <xf numFmtId="0" fontId="20" fillId="33" borderId="0" xfId="0" applyFont="1" applyFill="1" applyAlignment="1">
      <alignment horizontal="left" vertical="center" indent="1"/>
    </xf>
    <xf numFmtId="0" fontId="20" fillId="33" borderId="0" xfId="0" applyFont="1" applyFill="1" applyAlignment="1">
      <alignment horizontal="left" vertical="center" indent="2"/>
    </xf>
    <xf numFmtId="0" fontId="23" fillId="33" borderId="0" xfId="0" applyFont="1" applyFill="1" applyAlignment="1">
      <alignment horizontal="left" vertical="center" indent="2"/>
    </xf>
    <xf numFmtId="3" fontId="23" fillId="33" borderId="0" xfId="0" applyNumberFormat="1" applyFont="1" applyFill="1" applyAlignment="1">
      <alignment vertical="center"/>
    </xf>
    <xf numFmtId="0" fontId="21" fillId="33" borderId="10" xfId="0" applyFont="1" applyFill="1" applyBorder="1" applyAlignment="1">
      <alignment horizontal="right" vertical="center"/>
    </xf>
    <xf numFmtId="0" fontId="20" fillId="33" borderId="0" xfId="0" applyFont="1" applyFill="1" applyAlignment="1">
      <alignment horizontal="left" vertical="center" indent="3"/>
    </xf>
    <xf numFmtId="3" fontId="21" fillId="33" borderId="0" xfId="0" applyNumberFormat="1" applyFont="1" applyFill="1" applyAlignment="1">
      <alignment vertical="center"/>
    </xf>
    <xf numFmtId="0" fontId="21" fillId="33" borderId="0" xfId="0" applyFont="1" applyFill="1" applyAlignment="1">
      <alignment horizontal="left" vertical="center" indent="1"/>
    </xf>
    <xf numFmtId="0" fontId="23" fillId="33" borderId="0" xfId="0" applyFont="1" applyFill="1" applyAlignment="1">
      <alignment horizontal="left" vertical="center" indent="1"/>
    </xf>
    <xf numFmtId="0" fontId="20" fillId="33" borderId="0" xfId="0" applyFont="1" applyFill="1" applyAlignment="1">
      <alignment horizontal="left" vertical="center"/>
    </xf>
    <xf numFmtId="0" fontId="23" fillId="33" borderId="0" xfId="0" applyFont="1" applyFill="1" applyAlignment="1">
      <alignment horizontal="left" vertical="center"/>
    </xf>
    <xf numFmtId="165" fontId="20" fillId="33" borderId="0" xfId="0" applyNumberFormat="1" applyFont="1" applyFill="1" applyAlignment="1">
      <alignment horizontal="left" vertical="center" indent="1"/>
    </xf>
    <xf numFmtId="166" fontId="20" fillId="33" borderId="0" xfId="0" applyNumberFormat="1" applyFont="1" applyFill="1" applyAlignment="1">
      <alignment vertical="center"/>
    </xf>
    <xf numFmtId="167" fontId="20" fillId="33" borderId="0" xfId="0" applyNumberFormat="1" applyFont="1" applyFill="1" applyAlignment="1">
      <alignment vertical="center"/>
    </xf>
    <xf numFmtId="0" fontId="21" fillId="33" borderId="0" xfId="0" applyFont="1" applyFill="1" applyAlignment="1">
      <alignment horizontal="left" vertical="center"/>
    </xf>
    <xf numFmtId="166" fontId="21" fillId="33" borderId="0" xfId="0" applyNumberFormat="1" applyFont="1" applyFill="1" applyAlignment="1">
      <alignment vertical="center"/>
    </xf>
    <xf numFmtId="168" fontId="20" fillId="33" borderId="0" xfId="0" applyNumberFormat="1" applyFont="1" applyFill="1" applyAlignment="1">
      <alignment horizontal="right" vertical="center"/>
    </xf>
    <xf numFmtId="9" fontId="20" fillId="33" borderId="0" xfId="42" applyFont="1" applyFill="1" applyAlignment="1">
      <alignment horizontal="right" vertical="center"/>
    </xf>
    <xf numFmtId="166" fontId="18" fillId="33" borderId="0" xfId="0" applyNumberFormat="1" applyFont="1" applyFill="1" applyAlignment="1">
      <alignment horizontal="center" vertical="center"/>
    </xf>
    <xf numFmtId="0" fontId="24" fillId="33" borderId="0" xfId="0" applyFont="1" applyFill="1" applyAlignment="1">
      <alignment horizontal="left" vertical="center" indent="1"/>
    </xf>
    <xf numFmtId="166" fontId="24" fillId="33" borderId="0" xfId="0" applyNumberFormat="1" applyFont="1" applyFill="1" applyAlignment="1">
      <alignment vertical="center"/>
    </xf>
    <xf numFmtId="0" fontId="24" fillId="33" borderId="0" xfId="0" applyFont="1" applyFill="1" applyAlignment="1">
      <alignment horizontal="left" vertical="center" indent="2"/>
    </xf>
    <xf numFmtId="0" fontId="24" fillId="33" borderId="0" xfId="0" applyFont="1" applyFill="1" applyAlignment="1">
      <alignment horizontal="left" vertical="center"/>
    </xf>
    <xf numFmtId="3" fontId="20" fillId="33" borderId="0" xfId="0" applyNumberFormat="1" applyFont="1" applyFill="1" applyAlignment="1">
      <alignment horizontal="center" vertical="center"/>
    </xf>
    <xf numFmtId="3" fontId="20" fillId="33" borderId="10" xfId="0" applyNumberFormat="1" applyFont="1" applyFill="1" applyBorder="1" applyAlignment="1">
      <alignment horizontal="center" vertical="center"/>
    </xf>
    <xf numFmtId="3" fontId="24" fillId="33" borderId="0" xfId="0" applyNumberFormat="1" applyFont="1" applyFill="1" applyAlignment="1">
      <alignment vertical="center"/>
    </xf>
    <xf numFmtId="9" fontId="20" fillId="33" borderId="0" xfId="0" applyNumberFormat="1" applyFont="1" applyFill="1" applyAlignment="1">
      <alignment vertical="center"/>
    </xf>
    <xf numFmtId="9" fontId="20" fillId="33" borderId="0" xfId="0" applyNumberFormat="1" applyFont="1" applyFill="1" applyAlignment="1">
      <alignment horizontal="center" vertical="center"/>
    </xf>
    <xf numFmtId="169" fontId="20" fillId="33" borderId="0" xfId="0" applyNumberFormat="1" applyFont="1" applyFill="1" applyAlignment="1">
      <alignment horizontal="right" vertical="center"/>
    </xf>
    <xf numFmtId="166" fontId="20" fillId="33" borderId="0" xfId="0" applyNumberFormat="1" applyFont="1" applyFill="1" applyAlignment="1">
      <alignment horizontal="right" vertical="center"/>
    </xf>
    <xf numFmtId="1" fontId="18" fillId="33" borderId="0" xfId="0" applyNumberFormat="1" applyFont="1" applyFill="1" applyAlignment="1">
      <alignment vertical="center"/>
    </xf>
    <xf numFmtId="9" fontId="24" fillId="33" borderId="0" xfId="0" applyNumberFormat="1" applyFont="1" applyFill="1" applyAlignment="1">
      <alignment vertical="center"/>
    </xf>
    <xf numFmtId="9" fontId="18" fillId="33" borderId="0" xfId="0" applyNumberFormat="1" applyFont="1" applyFill="1" applyAlignment="1">
      <alignment vertical="center"/>
    </xf>
    <xf numFmtId="170" fontId="21" fillId="33" borderId="10" xfId="0" applyNumberFormat="1" applyFont="1" applyFill="1" applyBorder="1" applyAlignment="1">
      <alignment horizontal="right" vertical="center"/>
    </xf>
    <xf numFmtId="166" fontId="21" fillId="33" borderId="11" xfId="0" applyNumberFormat="1" applyFont="1" applyFill="1" applyBorder="1" applyAlignment="1">
      <alignment vertical="center"/>
    </xf>
    <xf numFmtId="0" fontId="21" fillId="33" borderId="11" xfId="0" applyFont="1" applyFill="1" applyBorder="1" applyAlignment="1">
      <alignment vertical="center"/>
    </xf>
    <xf numFmtId="0" fontId="20" fillId="33" borderId="0" xfId="0" applyFont="1" applyFill="1" applyAlignment="1">
      <alignment horizontal="left" vertical="center" indent="4"/>
    </xf>
    <xf numFmtId="0" fontId="27" fillId="33" borderId="0" xfId="0" applyFont="1" applyFill="1" applyAlignment="1">
      <alignment horizontal="left" vertical="center"/>
    </xf>
    <xf numFmtId="168" fontId="20" fillId="33" borderId="0" xfId="0" applyNumberFormat="1" applyFont="1" applyFill="1" applyAlignment="1">
      <alignment vertical="center"/>
    </xf>
    <xf numFmtId="170" fontId="29" fillId="33" borderId="10" xfId="0" applyNumberFormat="1" applyFont="1" applyFill="1" applyBorder="1" applyAlignment="1">
      <alignment horizontal="right" vertical="center"/>
    </xf>
    <xf numFmtId="3" fontId="31" fillId="33" borderId="0" xfId="0" applyNumberFormat="1" applyFont="1" applyFill="1" applyAlignment="1">
      <alignment horizontal="right" vertical="center" wrapText="1"/>
    </xf>
    <xf numFmtId="164" fontId="21" fillId="33" borderId="0" xfId="0" applyNumberFormat="1" applyFont="1" applyFill="1" applyAlignment="1">
      <alignment vertical="center"/>
    </xf>
    <xf numFmtId="0" fontId="27" fillId="33" borderId="0" xfId="0" applyFont="1" applyFill="1" applyAlignment="1">
      <alignment horizontal="left" vertical="center" indent="1"/>
    </xf>
    <xf numFmtId="0" fontId="27" fillId="33" borderId="0" xfId="0" applyFont="1" applyFill="1" applyAlignment="1">
      <alignment horizontal="left" vertical="center" indent="2"/>
    </xf>
    <xf numFmtId="0" fontId="27" fillId="33" borderId="0" xfId="0" applyFont="1" applyFill="1" applyAlignment="1">
      <alignment horizontal="left" vertical="center" indent="3"/>
    </xf>
    <xf numFmtId="0" fontId="28" fillId="33" borderId="10" xfId="0" applyFont="1" applyFill="1" applyBorder="1" applyAlignment="1">
      <alignment horizontal="right" vertical="center"/>
    </xf>
    <xf numFmtId="171" fontId="20" fillId="33" borderId="0" xfId="0" applyNumberFormat="1" applyFont="1" applyFill="1" applyAlignment="1">
      <alignment vertical="center"/>
    </xf>
    <xf numFmtId="0" fontId="24" fillId="33" borderId="0" xfId="0" applyFont="1" applyFill="1" applyAlignment="1">
      <alignment horizontal="left" vertical="center" indent="4"/>
    </xf>
    <xf numFmtId="164" fontId="20" fillId="33" borderId="0" xfId="0" applyNumberFormat="1" applyFont="1" applyFill="1" applyAlignment="1">
      <alignment vertical="center"/>
    </xf>
    <xf numFmtId="166" fontId="24" fillId="33" borderId="0" xfId="0" applyNumberFormat="1" applyFont="1" applyFill="1" applyAlignment="1">
      <alignment horizontal="right" vertical="center"/>
    </xf>
    <xf numFmtId="172" fontId="27" fillId="33" borderId="0" xfId="0" applyNumberFormat="1" applyFont="1" applyFill="1" applyAlignment="1">
      <alignment vertical="center"/>
    </xf>
    <xf numFmtId="172" fontId="20" fillId="33" borderId="0" xfId="0" applyNumberFormat="1" applyFont="1" applyFill="1" applyAlignment="1">
      <alignment vertical="center"/>
    </xf>
    <xf numFmtId="172" fontId="21" fillId="33" borderId="0" xfId="0" applyNumberFormat="1" applyFont="1" applyFill="1" applyAlignment="1">
      <alignment vertical="center"/>
    </xf>
    <xf numFmtId="173" fontId="21" fillId="33" borderId="0" xfId="0" applyNumberFormat="1" applyFont="1" applyFill="1" applyAlignment="1">
      <alignment vertical="center"/>
    </xf>
    <xf numFmtId="174" fontId="20" fillId="33" borderId="0" xfId="0" applyNumberFormat="1" applyFont="1" applyFill="1" applyAlignment="1">
      <alignment vertical="center"/>
    </xf>
    <xf numFmtId="0" fontId="18" fillId="33" borderId="0" xfId="0" applyFont="1" applyFill="1" applyAlignment="1">
      <alignment horizontal="right" vertical="center"/>
    </xf>
    <xf numFmtId="164" fontId="20" fillId="33" borderId="0" xfId="0" applyNumberFormat="1" applyFont="1" applyFill="1" applyAlignment="1">
      <alignment horizontal="right" vertical="center"/>
    </xf>
    <xf numFmtId="0" fontId="19" fillId="0" borderId="0" xfId="0" applyFont="1" applyAlignment="1">
      <alignment horizontal="right" vertical="center"/>
    </xf>
    <xf numFmtId="4" fontId="20" fillId="33" borderId="0" xfId="0" applyNumberFormat="1" applyFont="1" applyFill="1" applyAlignment="1">
      <alignment vertical="center"/>
    </xf>
    <xf numFmtId="176" fontId="20" fillId="33" borderId="0" xfId="0" applyNumberFormat="1" applyFont="1" applyFill="1" applyAlignment="1">
      <alignment vertical="center"/>
    </xf>
    <xf numFmtId="172" fontId="20" fillId="33" borderId="11" xfId="0" applyNumberFormat="1" applyFont="1" applyFill="1" applyBorder="1" applyAlignment="1">
      <alignment vertical="center"/>
    </xf>
    <xf numFmtId="3" fontId="31" fillId="33" borderId="11" xfId="0" applyNumberFormat="1" applyFont="1" applyFill="1" applyBorder="1" applyAlignment="1">
      <alignment horizontal="right" vertical="center" wrapText="1"/>
    </xf>
    <xf numFmtId="176" fontId="24" fillId="33" borderId="0" xfId="0" applyNumberFormat="1" applyFont="1" applyFill="1" applyAlignment="1">
      <alignment vertical="center"/>
    </xf>
    <xf numFmtId="172" fontId="20" fillId="33" borderId="0" xfId="0" applyNumberFormat="1" applyFont="1" applyFill="1" applyAlignment="1">
      <alignment horizontal="right" vertical="center"/>
    </xf>
    <xf numFmtId="172" fontId="21" fillId="33" borderId="11" xfId="0" applyNumberFormat="1" applyFont="1" applyFill="1" applyBorder="1" applyAlignment="1">
      <alignment vertical="center"/>
    </xf>
    <xf numFmtId="0" fontId="32" fillId="33" borderId="0" xfId="0" applyFont="1" applyFill="1" applyAlignment="1">
      <alignment horizontal="left" vertical="center" indent="2"/>
    </xf>
    <xf numFmtId="0" fontId="32" fillId="33" borderId="0" xfId="0" applyFont="1" applyFill="1" applyAlignment="1">
      <alignment horizontal="left" vertical="center" indent="3"/>
    </xf>
    <xf numFmtId="0" fontId="32" fillId="33" borderId="0" xfId="0" applyFont="1" applyFill="1" applyAlignment="1">
      <alignment horizontal="left" vertical="center" indent="4"/>
    </xf>
    <xf numFmtId="176" fontId="32" fillId="33" borderId="0" xfId="0" applyNumberFormat="1" applyFont="1" applyFill="1" applyAlignment="1">
      <alignment vertical="center"/>
    </xf>
    <xf numFmtId="177" fontId="32" fillId="33" borderId="0" xfId="0" applyNumberFormat="1" applyFont="1" applyFill="1" applyAlignment="1">
      <alignment vertical="center"/>
    </xf>
    <xf numFmtId="0" fontId="18" fillId="33" borderId="10" xfId="0" applyFont="1" applyFill="1" applyBorder="1" applyAlignment="1">
      <alignment vertical="center"/>
    </xf>
    <xf numFmtId="3" fontId="21" fillId="33" borderId="0" xfId="0" applyNumberFormat="1" applyFont="1" applyFill="1" applyAlignment="1">
      <alignment horizontal="right" vertical="center"/>
    </xf>
    <xf numFmtId="164" fontId="18" fillId="33" borderId="0" xfId="0" applyNumberFormat="1" applyFont="1" applyFill="1" applyAlignment="1">
      <alignment horizontal="center" vertical="center"/>
    </xf>
    <xf numFmtId="0" fontId="20" fillId="33" borderId="11" xfId="0" applyFont="1" applyFill="1" applyBorder="1" applyAlignment="1">
      <alignment horizontal="left" vertical="center"/>
    </xf>
    <xf numFmtId="0" fontId="36" fillId="33" borderId="0" xfId="0" applyFont="1" applyFill="1" applyAlignment="1">
      <alignment horizontal="center" vertical="center"/>
    </xf>
    <xf numFmtId="178" fontId="18" fillId="33" borderId="0" xfId="0" applyNumberFormat="1" applyFont="1" applyFill="1" applyAlignment="1">
      <alignment horizontal="center" vertical="center"/>
    </xf>
    <xf numFmtId="175" fontId="33" fillId="33" borderId="0" xfId="0" applyNumberFormat="1" applyFont="1" applyFill="1" applyAlignment="1">
      <alignment horizontal="right" vertical="center"/>
    </xf>
    <xf numFmtId="179" fontId="30" fillId="33" borderId="0" xfId="0" applyNumberFormat="1" applyFont="1" applyFill="1" applyAlignment="1">
      <alignment vertical="center"/>
    </xf>
    <xf numFmtId="0" fontId="28" fillId="33" borderId="0" xfId="0" applyFont="1" applyFill="1" applyAlignment="1">
      <alignment horizontal="left" vertical="center"/>
    </xf>
    <xf numFmtId="172" fontId="28" fillId="33" borderId="0" xfId="0" applyNumberFormat="1" applyFont="1" applyFill="1" applyAlignment="1">
      <alignment vertical="center"/>
    </xf>
    <xf numFmtId="0" fontId="37" fillId="33" borderId="0" xfId="0" applyFont="1" applyFill="1" applyAlignment="1">
      <alignment horizontal="left" vertical="center"/>
    </xf>
    <xf numFmtId="164" fontId="37" fillId="33" borderId="0" xfId="42" applyNumberFormat="1" applyFont="1" applyFill="1" applyAlignment="1">
      <alignment vertical="center"/>
    </xf>
    <xf numFmtId="9" fontId="37" fillId="33" borderId="0" xfId="42" applyFont="1" applyFill="1" applyAlignment="1">
      <alignment vertical="center"/>
    </xf>
    <xf numFmtId="0" fontId="21" fillId="33" borderId="0" xfId="0" applyFont="1" applyFill="1" applyAlignment="1">
      <alignment vertical="center"/>
    </xf>
    <xf numFmtId="0" fontId="38" fillId="33" borderId="0" xfId="0" applyFont="1" applyFill="1" applyAlignment="1">
      <alignment vertical="center"/>
    </xf>
    <xf numFmtId="0" fontId="16" fillId="0" borderId="0" xfId="0" applyFont="1"/>
    <xf numFmtId="165" fontId="21" fillId="33" borderId="0" xfId="0" applyNumberFormat="1" applyFont="1" applyFill="1" applyAlignment="1">
      <alignment horizontal="left" vertical="center" indent="1"/>
    </xf>
    <xf numFmtId="0" fontId="39" fillId="33" borderId="0" xfId="0" applyFont="1" applyFill="1" applyAlignment="1">
      <alignment horizontal="center" vertical="center" wrapText="1"/>
    </xf>
    <xf numFmtId="3" fontId="20" fillId="33" borderId="11" xfId="0" applyNumberFormat="1" applyFont="1" applyFill="1" applyBorder="1" applyAlignment="1">
      <alignment horizontal="center" vertical="center"/>
    </xf>
    <xf numFmtId="0" fontId="20" fillId="33" borderId="11" xfId="0" applyFont="1" applyFill="1" applyBorder="1" applyAlignment="1">
      <alignment horizontal="center" vertical="center"/>
    </xf>
    <xf numFmtId="166" fontId="40" fillId="33" borderId="0" xfId="0" applyNumberFormat="1" applyFont="1" applyFill="1" applyAlignment="1">
      <alignment vertical="center"/>
    </xf>
    <xf numFmtId="170" fontId="29" fillId="33" borderId="0" xfId="0" applyNumberFormat="1" applyFont="1" applyFill="1" applyAlignment="1">
      <alignment horizontal="right" vertical="center"/>
    </xf>
    <xf numFmtId="164" fontId="24" fillId="33" borderId="0" xfId="42" applyNumberFormat="1" applyFont="1" applyFill="1" applyAlignment="1">
      <alignment vertical="center"/>
    </xf>
    <xf numFmtId="164" fontId="30" fillId="33" borderId="0" xfId="42" applyNumberFormat="1" applyFont="1" applyFill="1" applyAlignment="1">
      <alignment vertical="center"/>
    </xf>
    <xf numFmtId="3" fontId="31" fillId="33" borderId="0" xfId="0" applyNumberFormat="1" applyFont="1" applyFill="1" applyAlignment="1">
      <alignment horizontal="right" vertical="center"/>
    </xf>
    <xf numFmtId="3" fontId="31" fillId="33" borderId="0" xfId="0" applyNumberFormat="1" applyFont="1" applyFill="1" applyAlignment="1">
      <alignment horizontal="center" vertical="center"/>
    </xf>
    <xf numFmtId="0" fontId="24" fillId="33" borderId="0" xfId="0" applyFont="1" applyFill="1" applyAlignment="1">
      <alignment horizontal="left" vertical="center" indent="5"/>
    </xf>
    <xf numFmtId="166" fontId="41" fillId="33" borderId="0" xfId="0" applyNumberFormat="1" applyFont="1" applyFill="1" applyAlignment="1">
      <alignment vertical="center"/>
    </xf>
    <xf numFmtId="166" fontId="42" fillId="33" borderId="0" xfId="0" applyNumberFormat="1" applyFont="1" applyFill="1" applyAlignment="1">
      <alignment vertical="center"/>
    </xf>
    <xf numFmtId="164" fontId="20" fillId="33" borderId="0" xfId="42" applyNumberFormat="1" applyFont="1" applyFill="1" applyAlignment="1">
      <alignment horizontal="right" vertical="center"/>
    </xf>
    <xf numFmtId="2" fontId="20" fillId="33" borderId="0" xfId="0" applyNumberFormat="1" applyFont="1" applyFill="1" applyAlignment="1">
      <alignment horizontal="right" vertical="center"/>
    </xf>
    <xf numFmtId="9" fontId="20" fillId="33" borderId="0" xfId="42" applyFont="1" applyFill="1" applyAlignment="1">
      <alignment vertical="center"/>
    </xf>
    <xf numFmtId="164" fontId="21" fillId="33" borderId="0" xfId="0" applyNumberFormat="1" applyFont="1" applyFill="1" applyAlignment="1">
      <alignment horizontal="right" vertical="center"/>
    </xf>
    <xf numFmtId="0" fontId="20" fillId="33" borderId="0" xfId="0" applyFont="1" applyFill="1" applyAlignment="1">
      <alignment horizontal="right" vertical="center"/>
    </xf>
    <xf numFmtId="44" fontId="20" fillId="33" borderId="0" xfId="43" applyFont="1" applyFill="1" applyAlignment="1">
      <alignment vertical="center"/>
    </xf>
    <xf numFmtId="178" fontId="35" fillId="33" borderId="0" xfId="0" applyNumberFormat="1" applyFont="1" applyFill="1" applyAlignment="1">
      <alignment horizontal="center" vertical="top"/>
    </xf>
    <xf numFmtId="178" fontId="43" fillId="33" borderId="0" xfId="0" applyNumberFormat="1" applyFont="1" applyFill="1" applyAlignment="1">
      <alignment horizontal="center" vertical="top"/>
    </xf>
    <xf numFmtId="180" fontId="34" fillId="33" borderId="12" xfId="0" applyNumberFormat="1" applyFont="1" applyFill="1" applyBorder="1" applyAlignment="1">
      <alignment horizontal="center" vertical="center"/>
    </xf>
    <xf numFmtId="180" fontId="34" fillId="33" borderId="13" xfId="0" applyNumberFormat="1" applyFont="1" applyFill="1" applyBorder="1" applyAlignment="1">
      <alignment horizontal="center" vertical="center"/>
    </xf>
    <xf numFmtId="180" fontId="34" fillId="33" borderId="14" xfId="0" applyNumberFormat="1" applyFont="1" applyFill="1" applyBorder="1" applyAlignment="1">
      <alignment horizontal="center" vertical="center"/>
    </xf>
    <xf numFmtId="180" fontId="34" fillId="33" borderId="15" xfId="0" applyNumberFormat="1" applyFont="1" applyFill="1" applyBorder="1" applyAlignment="1">
      <alignment horizontal="center" vertical="center"/>
    </xf>
    <xf numFmtId="180" fontId="34" fillId="33" borderId="16" xfId="0" applyNumberFormat="1" applyFont="1" applyFill="1" applyBorder="1" applyAlignment="1">
      <alignment horizontal="center" vertical="center"/>
    </xf>
    <xf numFmtId="180" fontId="34" fillId="33" borderId="17" xfId="0" applyNumberFormat="1" applyFont="1" applyFill="1" applyBorder="1" applyAlignment="1">
      <alignment horizontal="center" vertical="center"/>
    </xf>
    <xf numFmtId="180" fontId="34" fillId="33" borderId="18" xfId="0" applyNumberFormat="1" applyFont="1" applyFill="1" applyBorder="1" applyAlignment="1">
      <alignment horizontal="center" vertical="center"/>
    </xf>
    <xf numFmtId="180" fontId="34" fillId="33" borderId="19" xfId="0" applyNumberFormat="1" applyFont="1" applyFill="1" applyBorder="1" applyAlignment="1">
      <alignment horizontal="center" vertical="center"/>
    </xf>
    <xf numFmtId="180" fontId="34" fillId="33" borderId="20" xfId="0" applyNumberFormat="1" applyFont="1" applyFill="1" applyBorder="1" applyAlignment="1">
      <alignment horizontal="center" vertical="center"/>
    </xf>
    <xf numFmtId="181" fontId="20" fillId="33" borderId="0" xfId="0" applyNumberFormat="1" applyFont="1" applyFill="1" applyAlignment="1">
      <alignment horizontal="right" vertical="center"/>
    </xf>
    <xf numFmtId="9" fontId="35" fillId="33" borderId="0" xfId="42" applyFont="1" applyFill="1" applyAlignment="1">
      <alignment horizontal="center" vertical="center"/>
    </xf>
    <xf numFmtId="9" fontId="35" fillId="33" borderId="0" xfId="0" applyNumberFormat="1" applyFont="1" applyFill="1" applyAlignment="1">
      <alignment horizontal="center"/>
    </xf>
    <xf numFmtId="9" fontId="18" fillId="33" borderId="0" xfId="0" applyNumberFormat="1" applyFont="1" applyFill="1" applyAlignment="1">
      <alignment horizontal="right" vertical="center"/>
    </xf>
    <xf numFmtId="10" fontId="18" fillId="33" borderId="0" xfId="42" applyNumberFormat="1" applyFont="1" applyFill="1" applyAlignment="1">
      <alignment horizontal="center" vertical="center"/>
    </xf>
    <xf numFmtId="0" fontId="44" fillId="33" borderId="0" xfId="0" applyFont="1" applyFill="1" applyAlignment="1">
      <alignment horizontal="left" vertical="center" indent="2"/>
    </xf>
    <xf numFmtId="166" fontId="44" fillId="33" borderId="0" xfId="0" applyNumberFormat="1" applyFont="1" applyFill="1" applyAlignment="1">
      <alignment vertical="center"/>
    </xf>
    <xf numFmtId="182" fontId="44" fillId="33" borderId="0" xfId="0" applyNumberFormat="1" applyFont="1" applyFill="1" applyAlignment="1">
      <alignment vertical="center"/>
    </xf>
    <xf numFmtId="164" fontId="44" fillId="33" borderId="0" xfId="42" applyNumberFormat="1" applyFont="1" applyFill="1" applyAlignment="1">
      <alignment vertical="center"/>
    </xf>
    <xf numFmtId="164" fontId="18" fillId="33" borderId="0" xfId="42" applyNumberFormat="1" applyFont="1" applyFill="1" applyAlignment="1">
      <alignment horizontal="center" vertical="center"/>
    </xf>
    <xf numFmtId="0" fontId="20" fillId="33" borderId="0" xfId="0" applyFont="1" applyFill="1" applyAlignment="1">
      <alignment horizontal="left" vertical="center" indent="5"/>
    </xf>
    <xf numFmtId="166" fontId="45" fillId="33" borderId="0" xfId="0" applyNumberFormat="1" applyFont="1" applyFill="1" applyAlignment="1">
      <alignment vertical="center"/>
    </xf>
    <xf numFmtId="0" fontId="24" fillId="33" borderId="0" xfId="0" applyFont="1" applyFill="1" applyAlignment="1">
      <alignment horizontal="left" vertical="center" indent="3"/>
    </xf>
    <xf numFmtId="166" fontId="27" fillId="33" borderId="0" xfId="0" applyNumberFormat="1" applyFont="1" applyFill="1" applyAlignment="1">
      <alignment vertical="center"/>
    </xf>
    <xf numFmtId="172" fontId="21" fillId="33" borderId="0" xfId="0" applyNumberFormat="1" applyFont="1" applyFill="1" applyAlignment="1">
      <alignment horizontal="right" vertical="center"/>
    </xf>
    <xf numFmtId="0" fontId="21" fillId="33" borderId="0" xfId="0" applyFont="1" applyFill="1" applyAlignment="1">
      <alignment horizontal="right" vertical="center"/>
    </xf>
    <xf numFmtId="164" fontId="30" fillId="33" borderId="0" xfId="42" applyNumberFormat="1" applyFont="1" applyFill="1" applyBorder="1" applyAlignment="1">
      <alignment horizontal="right" vertical="center"/>
    </xf>
    <xf numFmtId="164" fontId="41" fillId="33" borderId="0" xfId="42" applyNumberFormat="1" applyFont="1" applyFill="1" applyAlignment="1">
      <alignment vertical="center"/>
    </xf>
    <xf numFmtId="168" fontId="21" fillId="33" borderId="0" xfId="0" applyNumberFormat="1" applyFont="1" applyFill="1" applyAlignment="1">
      <alignment vertical="center"/>
    </xf>
    <xf numFmtId="0" fontId="28" fillId="33" borderId="0" xfId="0" applyFont="1" applyFill="1" applyAlignment="1">
      <alignment horizontal="left" vertical="center" indent="1"/>
    </xf>
    <xf numFmtId="172" fontId="46" fillId="33" borderId="0" xfId="0" applyNumberFormat="1" applyFont="1" applyFill="1" applyAlignment="1">
      <alignment vertical="center"/>
    </xf>
    <xf numFmtId="9" fontId="47" fillId="33" borderId="0" xfId="42" applyFont="1" applyFill="1" applyAlignment="1">
      <alignment horizontal="right" vertical="center"/>
    </xf>
    <xf numFmtId="9" fontId="28" fillId="33" borderId="0" xfId="42" applyFont="1" applyFill="1" applyAlignment="1">
      <alignment vertical="center"/>
    </xf>
    <xf numFmtId="172" fontId="46" fillId="33" borderId="21" xfId="0" applyNumberFormat="1" applyFont="1" applyFill="1" applyBorder="1" applyAlignment="1">
      <alignment vertical="center"/>
    </xf>
    <xf numFmtId="172" fontId="20" fillId="33" borderId="21" xfId="0" applyNumberFormat="1" applyFont="1" applyFill="1" applyBorder="1" applyAlignment="1">
      <alignment horizontal="right" vertical="center"/>
    </xf>
    <xf numFmtId="164" fontId="20" fillId="33" borderId="21" xfId="42" applyNumberFormat="1" applyFont="1" applyFill="1" applyBorder="1" applyAlignment="1">
      <alignment horizontal="right" vertical="center"/>
    </xf>
    <xf numFmtId="0" fontId="28" fillId="33" borderId="21" xfId="0" applyFont="1" applyFill="1" applyBorder="1" applyAlignment="1">
      <alignment horizontal="left" vertical="center" indent="1"/>
    </xf>
    <xf numFmtId="172" fontId="27" fillId="33" borderId="21" xfId="0" applyNumberFormat="1" applyFont="1" applyFill="1" applyBorder="1" applyAlignment="1">
      <alignment vertical="center"/>
    </xf>
    <xf numFmtId="172" fontId="28" fillId="33" borderId="21" xfId="0" applyNumberFormat="1" applyFont="1" applyFill="1" applyBorder="1" applyAlignment="1">
      <alignment vertical="center"/>
    </xf>
    <xf numFmtId="164" fontId="20" fillId="33" borderId="0" xfId="42" applyNumberFormat="1" applyFont="1" applyFill="1" applyBorder="1" applyAlignment="1">
      <alignment horizontal="right" vertical="center"/>
    </xf>
    <xf numFmtId="0" fontId="48" fillId="33" borderId="21" xfId="0" applyFont="1" applyFill="1" applyBorder="1" applyAlignment="1">
      <alignment horizontal="left" vertical="center"/>
    </xf>
    <xf numFmtId="9" fontId="27" fillId="33" borderId="0" xfId="42" applyFont="1" applyFill="1" applyAlignment="1">
      <alignment vertical="center"/>
    </xf>
    <xf numFmtId="166" fontId="20" fillId="33" borderId="0" xfId="0" applyNumberFormat="1" applyFont="1" applyFill="1" applyAlignment="1">
      <alignment horizontal="center" vertical="center"/>
    </xf>
    <xf numFmtId="166" fontId="18" fillId="33" borderId="0" xfId="0" applyNumberFormat="1" applyFont="1" applyFill="1" applyAlignment="1">
      <alignment vertical="center"/>
    </xf>
    <xf numFmtId="9" fontId="32" fillId="33" borderId="0" xfId="42" applyFont="1" applyFill="1" applyAlignment="1">
      <alignment horizontal="left" vertical="center" indent="3"/>
    </xf>
    <xf numFmtId="177" fontId="20" fillId="33" borderId="0" xfId="0" applyNumberFormat="1" applyFont="1" applyFill="1" applyAlignment="1">
      <alignment vertical="center"/>
    </xf>
    <xf numFmtId="0" fontId="18" fillId="33" borderId="0" xfId="0" applyFont="1" applyFill="1" applyAlignment="1">
      <alignment vertical="top"/>
    </xf>
    <xf numFmtId="0" fontId="21" fillId="33" borderId="10" xfId="0" applyFont="1" applyFill="1" applyBorder="1" applyAlignment="1">
      <alignment horizontal="left" vertical="top"/>
    </xf>
    <xf numFmtId="0" fontId="21" fillId="33" borderId="10" xfId="0" applyFont="1" applyFill="1" applyBorder="1" applyAlignment="1">
      <alignment horizontal="right" vertical="top"/>
    </xf>
    <xf numFmtId="0" fontId="19" fillId="0" borderId="0" xfId="0" applyFont="1" applyAlignment="1">
      <alignment vertical="top"/>
    </xf>
    <xf numFmtId="0" fontId="21" fillId="33" borderId="22" xfId="0" applyFont="1" applyFill="1" applyBorder="1" applyAlignment="1">
      <alignment horizontal="left" vertical="center"/>
    </xf>
    <xf numFmtId="2" fontId="38" fillId="33" borderId="0" xfId="0" applyNumberFormat="1" applyFont="1" applyFill="1" applyAlignment="1">
      <alignment vertical="center"/>
    </xf>
    <xf numFmtId="173" fontId="30" fillId="33" borderId="0" xfId="0" applyNumberFormat="1" applyFont="1" applyFill="1" applyAlignment="1">
      <alignment vertical="center"/>
    </xf>
    <xf numFmtId="0" fontId="27" fillId="33" borderId="0" xfId="0" applyFont="1" applyFill="1" applyAlignment="1">
      <alignment horizontal="left" vertical="center" indent="4"/>
    </xf>
    <xf numFmtId="180" fontId="34" fillId="34" borderId="16" xfId="0" applyNumberFormat="1" applyFont="1" applyFill="1" applyBorder="1" applyAlignment="1">
      <alignment horizontal="center" vertical="center"/>
    </xf>
    <xf numFmtId="10" fontId="20" fillId="33" borderId="0" xfId="42" applyNumberFormat="1" applyFont="1" applyFill="1" applyAlignment="1">
      <alignment vertical="center"/>
    </xf>
    <xf numFmtId="183" fontId="21" fillId="33" borderId="0" xfId="0" applyNumberFormat="1" applyFont="1" applyFill="1" applyAlignment="1">
      <alignment vertical="center"/>
    </xf>
    <xf numFmtId="4" fontId="31" fillId="33" borderId="0" xfId="0" applyNumberFormat="1" applyFont="1" applyFill="1" applyAlignment="1">
      <alignment horizontal="right" vertical="center" wrapText="1"/>
    </xf>
    <xf numFmtId="164" fontId="20" fillId="33" borderId="0" xfId="42" applyNumberFormat="1" applyFont="1" applyFill="1" applyAlignment="1">
      <alignment vertical="center"/>
    </xf>
    <xf numFmtId="0" fontId="38" fillId="33" borderId="10" xfId="0" applyFont="1" applyFill="1" applyBorder="1" applyAlignment="1">
      <alignment horizontal="left" vertical="top"/>
    </xf>
    <xf numFmtId="164" fontId="18" fillId="33" borderId="0" xfId="0" applyNumberFormat="1" applyFont="1" applyFill="1" applyAlignment="1">
      <alignment vertical="center"/>
    </xf>
    <xf numFmtId="44" fontId="18" fillId="33" borderId="0" xfId="43" applyFont="1" applyFill="1" applyAlignment="1">
      <alignment horizontal="center" vertical="center"/>
    </xf>
    <xf numFmtId="164" fontId="18" fillId="33" borderId="0" xfId="42" applyNumberFormat="1" applyFont="1" applyFill="1" applyAlignment="1">
      <alignment vertical="center"/>
    </xf>
    <xf numFmtId="183" fontId="21" fillId="33" borderId="0" xfId="0" applyNumberFormat="1" applyFont="1" applyFill="1" applyAlignment="1">
      <alignment horizontal="right" vertical="center" indent="1"/>
    </xf>
    <xf numFmtId="183" fontId="21" fillId="33" borderId="0" xfId="0" applyNumberFormat="1" applyFont="1" applyFill="1" applyAlignment="1">
      <alignment horizontal="right" vertical="center"/>
    </xf>
    <xf numFmtId="10" fontId="18" fillId="33" borderId="0" xfId="0" applyNumberFormat="1" applyFont="1" applyFill="1" applyAlignment="1">
      <alignment vertical="center"/>
    </xf>
    <xf numFmtId="0" fontId="20" fillId="33" borderId="11" xfId="0" applyFont="1" applyFill="1" applyBorder="1" applyAlignment="1">
      <alignment horizontal="right" vertical="center"/>
    </xf>
    <xf numFmtId="0" fontId="0" fillId="0" borderId="0" xfId="0" quotePrefix="1"/>
    <xf numFmtId="173" fontId="21" fillId="0" borderId="0" xfId="0" applyNumberFormat="1" applyFont="1" applyAlignment="1">
      <alignment vertical="center"/>
    </xf>
    <xf numFmtId="173" fontId="21" fillId="35" borderId="0" xfId="0" applyNumberFormat="1" applyFont="1" applyFill="1" applyAlignment="1">
      <alignment vertical="center"/>
    </xf>
    <xf numFmtId="164" fontId="27" fillId="33" borderId="0" xfId="42" applyNumberFormat="1" applyFont="1" applyFill="1" applyAlignment="1">
      <alignment vertical="center"/>
    </xf>
    <xf numFmtId="10" fontId="27" fillId="33" borderId="0" xfId="42" applyNumberFormat="1" applyFont="1" applyFill="1" applyAlignment="1">
      <alignment vertical="center"/>
    </xf>
    <xf numFmtId="2" fontId="20" fillId="33" borderId="0" xfId="42" applyNumberFormat="1" applyFont="1" applyFill="1" applyAlignment="1">
      <alignment horizontal="right" vertical="center"/>
    </xf>
    <xf numFmtId="179" fontId="21" fillId="33" borderId="0" xfId="0" applyNumberFormat="1" applyFont="1" applyFill="1" applyAlignment="1">
      <alignment vertical="center"/>
    </xf>
    <xf numFmtId="0" fontId="35" fillId="33" borderId="0" xfId="0" applyFont="1" applyFill="1" applyAlignment="1">
      <alignment horizontal="center" vertical="top"/>
    </xf>
    <xf numFmtId="0" fontId="35" fillId="33" borderId="0" xfId="0" applyFont="1" applyFill="1" applyAlignment="1">
      <alignment horizontal="right" vertical="center" textRotation="90"/>
    </xf>
    <xf numFmtId="0" fontId="35" fillId="33" borderId="0" xfId="0" applyFont="1" applyFill="1" applyAlignment="1">
      <alignment horizontal="center"/>
    </xf>
    <xf numFmtId="9" fontId="20" fillId="33" borderId="11" xfId="0" applyNumberFormat="1" applyFont="1" applyFill="1" applyBorder="1" applyAlignment="1">
      <alignment horizontal="center" vertical="center"/>
    </xf>
    <xf numFmtId="3" fontId="20" fillId="33" borderId="11" xfId="0" applyNumberFormat="1" applyFont="1" applyFill="1" applyBorder="1" applyAlignment="1">
      <alignment horizontal="center" vertical="center"/>
    </xf>
    <xf numFmtId="3" fontId="20" fillId="33" borderId="10" xfId="0" applyNumberFormat="1" applyFont="1" applyFill="1" applyBorder="1" applyAlignment="1">
      <alignment horizontal="center" vertical="center"/>
    </xf>
    <xf numFmtId="10" fontId="41" fillId="33" borderId="0" xfId="42" applyNumberFormat="1" applyFont="1" applyFill="1" applyAlignment="1">
      <alignment vertical="center"/>
    </xf>
  </cellXfs>
  <cellStyles count="44">
    <cellStyle name="20% - Ênfase1" xfId="1" builtinId="30" customBuiltin="1"/>
    <cellStyle name="20% - Ênfase2" xfId="2" builtinId="34" customBuiltin="1"/>
    <cellStyle name="20% - Ênfase3" xfId="3" builtinId="38" customBuiltin="1"/>
    <cellStyle name="20% - Ênfase4" xfId="4" builtinId="42" customBuiltin="1"/>
    <cellStyle name="20% - Ênfase5" xfId="5" builtinId="46" customBuiltin="1"/>
    <cellStyle name="20% - Ênfase6" xfId="6" builtinId="50" customBuiltin="1"/>
    <cellStyle name="40% - Ênfase1" xfId="7" builtinId="31" customBuiltin="1"/>
    <cellStyle name="40% - Ênfase2" xfId="8" builtinId="35" customBuiltin="1"/>
    <cellStyle name="40% - Ênfase3" xfId="9" builtinId="39" customBuiltin="1"/>
    <cellStyle name="40% - Ênfase4" xfId="10" builtinId="43" customBuiltin="1"/>
    <cellStyle name="40% - Ênfase5" xfId="11" builtinId="47" customBuiltin="1"/>
    <cellStyle name="40% - Ênfase6" xfId="12" builtinId="51" customBuiltin="1"/>
    <cellStyle name="60% - Ênfase1" xfId="13" builtinId="32" customBuiltin="1"/>
    <cellStyle name="60% - Ênfase2" xfId="14" builtinId="36" customBuiltin="1"/>
    <cellStyle name="60% - Ênfase3" xfId="15" builtinId="40" customBuiltin="1"/>
    <cellStyle name="60% - Ênfase4" xfId="16" builtinId="44" customBuiltin="1"/>
    <cellStyle name="60% - Ênfase5" xfId="17" builtinId="48" customBuiltin="1"/>
    <cellStyle name="60% - Ênfase6" xfId="18" builtinId="52" customBuiltin="1"/>
    <cellStyle name="Bom" xfId="29" builtinId="26" customBuiltin="1"/>
    <cellStyle name="Cálculo" xfId="26" builtinId="22" customBuiltin="1"/>
    <cellStyle name="Célula de Verificação" xfId="27" builtinId="23" customBuiltin="1"/>
    <cellStyle name="Célula Vinculada" xfId="35" builtinId="24" customBuiltin="1"/>
    <cellStyle name="Ênfase1" xfId="19" builtinId="29" customBuiltin="1"/>
    <cellStyle name="Ênfase2" xfId="20" builtinId="33" customBuiltin="1"/>
    <cellStyle name="Ênfase3" xfId="21" builtinId="37" customBuiltin="1"/>
    <cellStyle name="Ênfase4" xfId="22" builtinId="41" customBuiltin="1"/>
    <cellStyle name="Ênfase5" xfId="23" builtinId="45" customBuiltin="1"/>
    <cellStyle name="Ênfase6" xfId="24" builtinId="49" customBuiltin="1"/>
    <cellStyle name="Entrada" xfId="34" builtinId="20" customBuiltin="1"/>
    <cellStyle name="Moeda" xfId="43" builtinId="4"/>
    <cellStyle name="Neutro" xfId="36" builtinId="28" customBuiltin="1"/>
    <cellStyle name="Normal" xfId="0" builtinId="0"/>
    <cellStyle name="Nota" xfId="37" builtinId="10" customBuiltin="1"/>
    <cellStyle name="Porcentagem" xfId="42" builtinId="5"/>
    <cellStyle name="Ruim" xfId="25" builtinId="27" customBuiltin="1"/>
    <cellStyle name="Saída" xfId="38" builtinId="21" customBuiltin="1"/>
    <cellStyle name="Texto de Aviso" xfId="41" builtinId="11" customBuiltin="1"/>
    <cellStyle name="Texto Explicativo" xfId="28" builtinId="53" customBuiltin="1"/>
    <cellStyle name="Título" xfId="39" builtinId="15" customBuiltin="1"/>
    <cellStyle name="Título 1" xfId="30" builtinId="16" customBuiltin="1"/>
    <cellStyle name="Título 2" xfId="31" builtinId="17" customBuiltin="1"/>
    <cellStyle name="Título 3" xfId="32" builtinId="18" customBuiltin="1"/>
    <cellStyle name="Título 4" xfId="33" builtinId="19" customBuiltin="1"/>
    <cellStyle name="Total" xfId="40" builtinId="25" customBuiltin="1"/>
  </cellStyles>
  <dxfs count="188">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numFmt numFmtId="184" formatCode="&quot;-&quot;"/>
    </dxf>
    <dxf>
      <font>
        <color rgb="FF3C963C"/>
      </font>
    </dxf>
    <dxf>
      <font>
        <color rgb="FFC00000"/>
      </font>
    </dxf>
    <dxf>
      <numFmt numFmtId="184" formatCode="&quot;-&quot;"/>
    </dxf>
    <dxf>
      <numFmt numFmtId="184" formatCode="&quot;-&quot;"/>
    </dxf>
    <dxf>
      <numFmt numFmtId="184" formatCode="&quot;-&quot;"/>
    </dxf>
  </dxfs>
  <tableStyles count="0" defaultTableStyle="TableStyleMedium2" defaultPivotStyle="PivotStyleLight16"/>
  <colors>
    <mruColors>
      <color rgb="FFCAC6D2"/>
      <color rgb="FF5E5E5E"/>
      <color rgb="FF43AF43"/>
      <color rgb="FF1C1D1D"/>
      <color rgb="FFD3D3D3"/>
      <color rgb="FF808080"/>
      <color rgb="FF920000"/>
      <color rgb="FFFCA5A5"/>
      <color rgb="FF4FE04F"/>
      <color rgb="FFEF444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17/06/relationships/rdRichValueStructure" Target="richData/rdrichvaluestructure.xml"/><Relationship Id="rId26" Type="http://schemas.openxmlformats.org/officeDocument/2006/relationships/customXml" Target="../customXml/item2.xml"/><Relationship Id="rId3" Type="http://schemas.openxmlformats.org/officeDocument/2006/relationships/worksheet" Target="worksheets/sheet3.xml"/><Relationship Id="rId21" Type="http://schemas.microsoft.com/office/2017/06/relationships/rdSupportingPropertyBag" Target="richData/rdsupportingpropertybag.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06/relationships/rdRichValue" Target="richData/rdrichvalue.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17/06/relationships/rdSupportingPropertyBagStructure" Target="richData/rdsupportingpropertybag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sharedStrings" Target="sharedStrings.xml"/><Relationship Id="rId23" Type="http://schemas.microsoft.com/office/2017/10/relationships/person" Target="persons/person.xml"/><Relationship Id="rId28" Type="http://schemas.microsoft.com/office/2006/relationships/vbaProject" Target="vbaProject.bin"/><Relationship Id="rId10" Type="http://schemas.openxmlformats.org/officeDocument/2006/relationships/worksheet" Target="worksheets/sheet10.xml"/><Relationship Id="rId19" Type="http://schemas.microsoft.com/office/2017/06/relationships/richStyles" Target="richData/rich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17/06/relationships/rdRichValueTypes" Target="richData/rdRichValueTypes.xml"/><Relationship Id="rId27"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dLbls>
          <c:showLegendKey val="0"/>
          <c:showVal val="0"/>
          <c:showCatName val="0"/>
          <c:showSerName val="0"/>
          <c:showPercent val="0"/>
          <c:showBubbleSize val="0"/>
        </c:dLbls>
        <c:gapWidth val="219"/>
        <c:overlap val="-27"/>
        <c:axId val="719956208"/>
        <c:axId val="719955728"/>
      </c:barChart>
      <c:catAx>
        <c:axId val="719956208"/>
        <c:scaling>
          <c:orientation val="minMax"/>
        </c:scaling>
        <c:delete val="1"/>
        <c:axPos val="b"/>
        <c:numFmt formatCode="General" sourceLinked="1"/>
        <c:majorTickMark val="none"/>
        <c:minorTickMark val="none"/>
        <c:tickLblPos val="nextTo"/>
        <c:crossAx val="719955728"/>
        <c:crosses val="autoZero"/>
        <c:auto val="1"/>
        <c:lblAlgn val="ctr"/>
        <c:lblOffset val="100"/>
        <c:noMultiLvlLbl val="0"/>
      </c:catAx>
      <c:valAx>
        <c:axId val="719955728"/>
        <c:scaling>
          <c:orientation val="minMax"/>
        </c:scaling>
        <c:delete val="1"/>
        <c:axPos val="l"/>
        <c:numFmt formatCode="#,##0;\(#,##0\);&quot;-&quot;" sourceLinked="1"/>
        <c:majorTickMark val="none"/>
        <c:minorTickMark val="none"/>
        <c:tickLblPos val="nextTo"/>
        <c:crossAx val="719956208"/>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baseline="0">
          <a:latin typeface="Red Hat Display" panose="02010303040201060303"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6000" b="0" i="0" u="none" strike="noStrike" kern="1200" spc="0" baseline="0">
                <a:solidFill>
                  <a:schemeClr val="tx1">
                    <a:lumMod val="65000"/>
                    <a:lumOff val="35000"/>
                  </a:schemeClr>
                </a:solidFill>
                <a:latin typeface="Red Hat Display" panose="02010303040201060303" pitchFamily="2" charset="0"/>
                <a:ea typeface="+mn-ea"/>
                <a:cs typeface="+mn-cs"/>
              </a:defRPr>
            </a:pPr>
            <a:r>
              <a:rPr lang="pt-BR" sz="6000" b="1" baseline="0">
                <a:solidFill>
                  <a:srgbClr val="CAC6D2"/>
                </a:solidFill>
              </a:rPr>
              <a:t>Margem Bruta de Varejistas de Moda Internacionais</a:t>
            </a:r>
          </a:p>
        </c:rich>
      </c:tx>
      <c:overlay val="0"/>
      <c:spPr>
        <a:noFill/>
        <a:ln>
          <a:noFill/>
        </a:ln>
        <a:effectLst/>
      </c:spPr>
      <c:txPr>
        <a:bodyPr rot="0" spcFirstLastPara="1" vertOverflow="ellipsis" vert="horz" wrap="square" anchor="ctr" anchorCtr="1"/>
        <a:lstStyle/>
        <a:p>
          <a:pPr>
            <a:defRPr sz="6000" b="0" i="0" u="none" strike="noStrike" kern="1200" spc="0" baseline="0">
              <a:solidFill>
                <a:schemeClr val="tx1">
                  <a:lumMod val="65000"/>
                  <a:lumOff val="35000"/>
                </a:schemeClr>
              </a:solidFill>
              <a:latin typeface="Red Hat Display" panose="02010303040201060303" pitchFamily="2" charset="0"/>
              <a:ea typeface="+mn-ea"/>
              <a:cs typeface="+mn-cs"/>
            </a:defRPr>
          </a:pPr>
          <a:endParaRPr lang="pt-BR"/>
        </a:p>
      </c:txPr>
    </c:title>
    <c:autoTitleDeleted val="0"/>
    <c:plotArea>
      <c:layout/>
      <c:lineChart>
        <c:grouping val="standard"/>
        <c:varyColors val="0"/>
        <c:ser>
          <c:idx val="0"/>
          <c:order val="0"/>
          <c:tx>
            <c:strRef>
              <c:f>Internacional!$H$10</c:f>
              <c:strCache>
                <c:ptCount val="1"/>
                <c:pt idx="0">
                  <c:v>LVMH</c:v>
                </c:pt>
              </c:strCache>
            </c:strRef>
          </c:tx>
          <c:spPr>
            <a:ln w="88900" cap="rnd">
              <a:solidFill>
                <a:srgbClr val="43AF43"/>
              </a:solidFill>
              <a:round/>
            </a:ln>
            <a:effectLst/>
          </c:spPr>
          <c:marker>
            <c:symbol val="none"/>
          </c:marker>
          <c:cat>
            <c:numRef>
              <c:f>Internacional!$I$9:$L$9</c:f>
              <c:numCache>
                <c:formatCode>General</c:formatCode>
                <c:ptCount val="4"/>
                <c:pt idx="0">
                  <c:v>2021</c:v>
                </c:pt>
                <c:pt idx="1">
                  <c:v>2022</c:v>
                </c:pt>
                <c:pt idx="2">
                  <c:v>2023</c:v>
                </c:pt>
                <c:pt idx="3">
                  <c:v>2024</c:v>
                </c:pt>
              </c:numCache>
            </c:numRef>
          </c:cat>
          <c:val>
            <c:numRef>
              <c:f>Internacional!$I$10:$L$10</c:f>
              <c:numCache>
                <c:formatCode>0.0%</c:formatCode>
                <c:ptCount val="4"/>
                <c:pt idx="0">
                  <c:v>0.68301798645176359</c:v>
                </c:pt>
                <c:pt idx="1">
                  <c:v>0.68443119822186305</c:v>
                </c:pt>
                <c:pt idx="2">
                  <c:v>0.68804336471161776</c:v>
                </c:pt>
                <c:pt idx="3">
                  <c:v>0.67032344154080514</c:v>
                </c:pt>
              </c:numCache>
            </c:numRef>
          </c:val>
          <c:smooth val="0"/>
          <c:extLst>
            <c:ext xmlns:c16="http://schemas.microsoft.com/office/drawing/2014/chart" uri="{C3380CC4-5D6E-409C-BE32-E72D297353CC}">
              <c16:uniqueId val="{00000000-512A-432A-B8F3-B0096106A89A}"/>
            </c:ext>
          </c:extLst>
        </c:ser>
        <c:ser>
          <c:idx val="1"/>
          <c:order val="1"/>
          <c:tx>
            <c:strRef>
              <c:f>Internacional!$H$11</c:f>
              <c:strCache>
                <c:ptCount val="1"/>
                <c:pt idx="0">
                  <c:v>Inditex</c:v>
                </c:pt>
              </c:strCache>
            </c:strRef>
          </c:tx>
          <c:spPr>
            <a:ln w="88900" cap="rnd">
              <a:solidFill>
                <a:srgbClr val="5E5E5E"/>
              </a:solidFill>
              <a:round/>
            </a:ln>
            <a:effectLst/>
          </c:spPr>
          <c:marker>
            <c:symbol val="none"/>
          </c:marker>
          <c:cat>
            <c:numRef>
              <c:f>Internacional!$I$9:$L$9</c:f>
              <c:numCache>
                <c:formatCode>General</c:formatCode>
                <c:ptCount val="4"/>
                <c:pt idx="0">
                  <c:v>2021</c:v>
                </c:pt>
                <c:pt idx="1">
                  <c:v>2022</c:v>
                </c:pt>
                <c:pt idx="2">
                  <c:v>2023</c:v>
                </c:pt>
                <c:pt idx="3">
                  <c:v>2024</c:v>
                </c:pt>
              </c:numCache>
            </c:numRef>
          </c:cat>
          <c:val>
            <c:numRef>
              <c:f>Internacional!$I$11:$L$11</c:f>
              <c:numCache>
                <c:formatCode>0.0%</c:formatCode>
                <c:ptCount val="4"/>
                <c:pt idx="0">
                  <c:v>0.57057295425025256</c:v>
                </c:pt>
                <c:pt idx="1">
                  <c:v>0.56980564340323625</c:v>
                </c:pt>
                <c:pt idx="2">
                  <c:v>0.57754471861351431</c:v>
                </c:pt>
                <c:pt idx="3">
                  <c:v>0.57838061710499067</c:v>
                </c:pt>
              </c:numCache>
            </c:numRef>
          </c:val>
          <c:smooth val="0"/>
          <c:extLst>
            <c:ext xmlns:c16="http://schemas.microsoft.com/office/drawing/2014/chart" uri="{C3380CC4-5D6E-409C-BE32-E72D297353CC}">
              <c16:uniqueId val="{00000001-512A-432A-B8F3-B0096106A89A}"/>
            </c:ext>
          </c:extLst>
        </c:ser>
        <c:ser>
          <c:idx val="2"/>
          <c:order val="2"/>
          <c:tx>
            <c:strRef>
              <c:f>Internacional!$H$12</c:f>
              <c:strCache>
                <c:ptCount val="1"/>
                <c:pt idx="0">
                  <c:v>PVH Corp.</c:v>
                </c:pt>
              </c:strCache>
            </c:strRef>
          </c:tx>
          <c:spPr>
            <a:ln w="88900" cap="rnd">
              <a:solidFill>
                <a:srgbClr val="CAC6D2"/>
              </a:solidFill>
              <a:round/>
            </a:ln>
            <a:effectLst/>
          </c:spPr>
          <c:marker>
            <c:symbol val="none"/>
          </c:marker>
          <c:cat>
            <c:numRef>
              <c:f>Internacional!$I$9:$L$9</c:f>
              <c:numCache>
                <c:formatCode>General</c:formatCode>
                <c:ptCount val="4"/>
                <c:pt idx="0">
                  <c:v>2021</c:v>
                </c:pt>
                <c:pt idx="1">
                  <c:v>2022</c:v>
                </c:pt>
                <c:pt idx="2">
                  <c:v>2023</c:v>
                </c:pt>
                <c:pt idx="3">
                  <c:v>2024</c:v>
                </c:pt>
              </c:numCache>
            </c:numRef>
          </c:cat>
          <c:val>
            <c:numRef>
              <c:f>Internacional!$I$12:$L$12</c:f>
              <c:numCache>
                <c:formatCode>0.0%</c:formatCode>
                <c:ptCount val="4"/>
                <c:pt idx="0">
                  <c:v>0.58155919909991582</c:v>
                </c:pt>
                <c:pt idx="1">
                  <c:v>0.56768467010926171</c:v>
                </c:pt>
                <c:pt idx="2">
                  <c:v>0.58183711771917068</c:v>
                </c:pt>
                <c:pt idx="3">
                  <c:v>0.59430942227461314</c:v>
                </c:pt>
              </c:numCache>
            </c:numRef>
          </c:val>
          <c:smooth val="0"/>
          <c:extLst>
            <c:ext xmlns:c16="http://schemas.microsoft.com/office/drawing/2014/chart" uri="{C3380CC4-5D6E-409C-BE32-E72D297353CC}">
              <c16:uniqueId val="{00000002-512A-432A-B8F3-B0096106A89A}"/>
            </c:ext>
          </c:extLst>
        </c:ser>
        <c:dLbls>
          <c:showLegendKey val="0"/>
          <c:showVal val="0"/>
          <c:showCatName val="0"/>
          <c:showSerName val="0"/>
          <c:showPercent val="0"/>
          <c:showBubbleSize val="0"/>
        </c:dLbls>
        <c:smooth val="0"/>
        <c:axId val="294892959"/>
        <c:axId val="294899679"/>
      </c:lineChart>
      <c:catAx>
        <c:axId val="294892959"/>
        <c:scaling>
          <c:orientation val="minMax"/>
        </c:scaling>
        <c:delete val="0"/>
        <c:axPos val="b"/>
        <c:title>
          <c:tx>
            <c:rich>
              <a:bodyPr rot="0" spcFirstLastPara="1" vertOverflow="ellipsis" vert="horz" wrap="square" anchor="ctr" anchorCtr="1"/>
              <a:lstStyle/>
              <a:p>
                <a:pPr>
                  <a:defRPr sz="3000" b="0" i="0" u="none" strike="noStrike" kern="1200" baseline="0">
                    <a:solidFill>
                      <a:schemeClr val="tx1">
                        <a:lumMod val="65000"/>
                        <a:lumOff val="35000"/>
                      </a:schemeClr>
                    </a:solidFill>
                    <a:latin typeface="Red Hat Display" panose="02010303040201060303" pitchFamily="2" charset="0"/>
                    <a:ea typeface="+mn-ea"/>
                    <a:cs typeface="+mn-cs"/>
                  </a:defRPr>
                </a:pPr>
                <a:r>
                  <a:rPr lang="pt-BR" sz="3000" baseline="0">
                    <a:solidFill>
                      <a:srgbClr val="CAC6D2"/>
                    </a:solidFill>
                  </a:rPr>
                  <a:t>Fonte: RI das empresas | Elaboração: VAROS</a:t>
                </a:r>
              </a:p>
            </c:rich>
          </c:tx>
          <c:layout>
            <c:manualLayout>
              <c:xMode val="edge"/>
              <c:yMode val="edge"/>
              <c:x val="0.26849778638711957"/>
              <c:y val="0.94513979935839509"/>
            </c:manualLayout>
          </c:layout>
          <c:overlay val="0"/>
          <c:spPr>
            <a:noFill/>
            <a:ln>
              <a:noFill/>
            </a:ln>
            <a:effectLst/>
          </c:spPr>
          <c:txPr>
            <a:bodyPr rot="0" spcFirstLastPara="1" vertOverflow="ellipsis" vert="horz" wrap="square" anchor="ctr" anchorCtr="1"/>
            <a:lstStyle/>
            <a:p>
              <a:pPr>
                <a:defRPr sz="3000" b="0" i="0" u="none" strike="noStrike" kern="1200" baseline="0">
                  <a:solidFill>
                    <a:schemeClr val="tx1">
                      <a:lumMod val="65000"/>
                      <a:lumOff val="35000"/>
                    </a:schemeClr>
                  </a:solidFill>
                  <a:latin typeface="Red Hat Display" panose="02010303040201060303" pitchFamily="2" charset="0"/>
                  <a:ea typeface="+mn-ea"/>
                  <a:cs typeface="+mn-cs"/>
                </a:defRPr>
              </a:pPr>
              <a:endParaRPr lang="pt-BR"/>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3000" b="0" i="0" u="none" strike="noStrike" kern="1200" baseline="0">
                <a:solidFill>
                  <a:srgbClr val="CAC6D2"/>
                </a:solidFill>
                <a:latin typeface="Red Hat Display" panose="02010303040201060303" pitchFamily="2" charset="0"/>
                <a:ea typeface="+mn-ea"/>
                <a:cs typeface="+mn-cs"/>
              </a:defRPr>
            </a:pPr>
            <a:endParaRPr lang="pt-BR"/>
          </a:p>
        </c:txPr>
        <c:crossAx val="294899679"/>
        <c:crosses val="autoZero"/>
        <c:auto val="1"/>
        <c:lblAlgn val="ctr"/>
        <c:lblOffset val="100"/>
        <c:noMultiLvlLbl val="0"/>
      </c:catAx>
      <c:valAx>
        <c:axId val="294899679"/>
        <c:scaling>
          <c:orientation val="minMax"/>
          <c:min val="0.5"/>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3000" b="0" i="0" u="none" strike="noStrike" kern="1200" baseline="0">
                <a:solidFill>
                  <a:srgbClr val="CAC6D2"/>
                </a:solidFill>
                <a:latin typeface="Red Hat Display" panose="02010303040201060303" pitchFamily="2" charset="0"/>
                <a:ea typeface="+mn-ea"/>
                <a:cs typeface="+mn-cs"/>
              </a:defRPr>
            </a:pPr>
            <a:endParaRPr lang="pt-BR"/>
          </a:p>
        </c:txPr>
        <c:crossAx val="294892959"/>
        <c:crosses val="autoZero"/>
        <c:crossBetween val="between"/>
      </c:valAx>
      <c:spPr>
        <a:noFill/>
        <a:ln w="25400">
          <a:noFill/>
        </a:ln>
        <a:effectLst/>
      </c:spPr>
    </c:plotArea>
    <c:legend>
      <c:legendPos val="b"/>
      <c:layout>
        <c:manualLayout>
          <c:xMode val="edge"/>
          <c:yMode val="edge"/>
          <c:x val="0.3310172459788594"/>
          <c:y val="0.91337498072415702"/>
          <c:w val="0.34839473472426447"/>
          <c:h val="4.0745502132083569E-2"/>
        </c:manualLayout>
      </c:layout>
      <c:overlay val="0"/>
      <c:spPr>
        <a:noFill/>
        <a:ln>
          <a:noFill/>
        </a:ln>
        <a:effectLst/>
      </c:spPr>
      <c:txPr>
        <a:bodyPr rot="0" spcFirstLastPara="1" vertOverflow="ellipsis" vert="horz" wrap="square" anchor="ctr" anchorCtr="1"/>
        <a:lstStyle/>
        <a:p>
          <a:pPr>
            <a:defRPr sz="3000" b="0" i="0" u="none" strike="noStrike" kern="1200" baseline="0">
              <a:solidFill>
                <a:srgbClr val="CAC6D2"/>
              </a:solidFill>
              <a:latin typeface="Red Hat Display" panose="02010303040201060303" pitchFamily="2" charset="0"/>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C1D1D"/>
    </a:solidFill>
    <a:ln w="9525" cap="flat" cmpd="sng" algn="ctr">
      <a:solidFill>
        <a:schemeClr val="tx1">
          <a:lumMod val="15000"/>
          <a:lumOff val="85000"/>
        </a:schemeClr>
      </a:solidFill>
      <a:round/>
    </a:ln>
    <a:effectLst/>
  </c:spPr>
  <c:txPr>
    <a:bodyPr/>
    <a:lstStyle/>
    <a:p>
      <a:pPr>
        <a:defRPr baseline="0">
          <a:latin typeface="Red Hat Display" panose="02010303040201060303"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xdr:col>
      <xdr:colOff>544315</xdr:colOff>
      <xdr:row>1</xdr:row>
      <xdr:rowOff>219427</xdr:rowOff>
    </xdr:from>
    <xdr:to>
      <xdr:col>5</xdr:col>
      <xdr:colOff>187312</xdr:colOff>
      <xdr:row>2</xdr:row>
      <xdr:rowOff>272949</xdr:rowOff>
    </xdr:to>
    <xdr:pic>
      <xdr:nvPicPr>
        <xdr:cNvPr id="2" name="Imagem 1">
          <a:extLst>
            <a:ext uri="{FF2B5EF4-FFF2-40B4-BE49-F238E27FC236}">
              <a16:creationId xmlns:a16="http://schemas.microsoft.com/office/drawing/2014/main" id="{95A1EE13-BC9F-4194-9A6C-A7A275CA850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22772" y="509318"/>
          <a:ext cx="1021223" cy="3434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11</xdr:col>
      <xdr:colOff>784412</xdr:colOff>
      <xdr:row>2</xdr:row>
      <xdr:rowOff>1</xdr:rowOff>
    </xdr:from>
    <xdr:to>
      <xdr:col>13</xdr:col>
      <xdr:colOff>53302</xdr:colOff>
      <xdr:row>3</xdr:row>
      <xdr:rowOff>123323</xdr:rowOff>
    </xdr:to>
    <xdr:pic>
      <xdr:nvPicPr>
        <xdr:cNvPr id="2" name="Imagem 1">
          <a:extLst>
            <a:ext uri="{FF2B5EF4-FFF2-40B4-BE49-F238E27FC236}">
              <a16:creationId xmlns:a16="http://schemas.microsoft.com/office/drawing/2014/main" id="{BD70A878-389E-427D-9493-534113F4E3B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032441" y="448236"/>
          <a:ext cx="1151480" cy="34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11</xdr:col>
      <xdr:colOff>784412</xdr:colOff>
      <xdr:row>2</xdr:row>
      <xdr:rowOff>1</xdr:rowOff>
    </xdr:from>
    <xdr:to>
      <xdr:col>13</xdr:col>
      <xdr:colOff>211867</xdr:colOff>
      <xdr:row>3</xdr:row>
      <xdr:rowOff>123323</xdr:rowOff>
    </xdr:to>
    <xdr:pic>
      <xdr:nvPicPr>
        <xdr:cNvPr id="2" name="Imagem 1">
          <a:extLst>
            <a:ext uri="{FF2B5EF4-FFF2-40B4-BE49-F238E27FC236}">
              <a16:creationId xmlns:a16="http://schemas.microsoft.com/office/drawing/2014/main" id="{058329E0-4328-4588-A6FA-116A47AF69D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043087" y="457201"/>
          <a:ext cx="1154841" cy="3519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11</xdr:col>
      <xdr:colOff>784412</xdr:colOff>
      <xdr:row>2</xdr:row>
      <xdr:rowOff>1</xdr:rowOff>
    </xdr:from>
    <xdr:to>
      <xdr:col>15</xdr:col>
      <xdr:colOff>210186</xdr:colOff>
      <xdr:row>3</xdr:row>
      <xdr:rowOff>123323</xdr:rowOff>
    </xdr:to>
    <xdr:pic>
      <xdr:nvPicPr>
        <xdr:cNvPr id="2" name="Imagem 1">
          <a:extLst>
            <a:ext uri="{FF2B5EF4-FFF2-40B4-BE49-F238E27FC236}">
              <a16:creationId xmlns:a16="http://schemas.microsoft.com/office/drawing/2014/main" id="{62C925F2-48C4-4DAF-A131-F204C38308D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043087" y="457201"/>
          <a:ext cx="1154841" cy="3519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24</xdr:col>
      <xdr:colOff>342899</xdr:colOff>
      <xdr:row>13</xdr:row>
      <xdr:rowOff>80961</xdr:rowOff>
    </xdr:from>
    <xdr:to>
      <xdr:col>44</xdr:col>
      <xdr:colOff>820949</xdr:colOff>
      <xdr:row>75</xdr:row>
      <xdr:rowOff>128586</xdr:rowOff>
    </xdr:to>
    <xdr:graphicFrame macro="">
      <xdr:nvGraphicFramePr>
        <xdr:cNvPr id="3" name="Gráfico 2">
          <a:extLst>
            <a:ext uri="{FF2B5EF4-FFF2-40B4-BE49-F238E27FC236}">
              <a16:creationId xmlns:a16="http://schemas.microsoft.com/office/drawing/2014/main" id="{D0153238-A112-A8C9-8D49-1881784BD9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10</xdr:col>
      <xdr:colOff>721179</xdr:colOff>
      <xdr:row>2</xdr:row>
      <xdr:rowOff>107950</xdr:rowOff>
    </xdr:from>
    <xdr:to>
      <xdr:col>11</xdr:col>
      <xdr:colOff>928377</xdr:colOff>
      <xdr:row>3</xdr:row>
      <xdr:rowOff>224069</xdr:rowOff>
    </xdr:to>
    <xdr:pic>
      <xdr:nvPicPr>
        <xdr:cNvPr id="3" name="Imagem 2">
          <a:extLst>
            <a:ext uri="{FF2B5EF4-FFF2-40B4-BE49-F238E27FC236}">
              <a16:creationId xmlns:a16="http://schemas.microsoft.com/office/drawing/2014/main" id="{92E24B4F-ABF6-455F-BC3B-D57E98B0025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491358" y="570593"/>
          <a:ext cx="1146090" cy="34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10</xdr:col>
      <xdr:colOff>721179</xdr:colOff>
      <xdr:row>2</xdr:row>
      <xdr:rowOff>107950</xdr:rowOff>
    </xdr:from>
    <xdr:to>
      <xdr:col>15</xdr:col>
      <xdr:colOff>207197</xdr:colOff>
      <xdr:row>3</xdr:row>
      <xdr:rowOff>224069</xdr:rowOff>
    </xdr:to>
    <xdr:pic>
      <xdr:nvPicPr>
        <xdr:cNvPr id="2" name="Imagem 1">
          <a:extLst>
            <a:ext uri="{FF2B5EF4-FFF2-40B4-BE49-F238E27FC236}">
              <a16:creationId xmlns:a16="http://schemas.microsoft.com/office/drawing/2014/main" id="{0DBB4C7C-284E-4262-9844-19B65418DCB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446454" y="565150"/>
          <a:ext cx="1140648" cy="344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11</xdr:col>
      <xdr:colOff>453131</xdr:colOff>
      <xdr:row>2</xdr:row>
      <xdr:rowOff>161925</xdr:rowOff>
    </xdr:from>
    <xdr:to>
      <xdr:col>12</xdr:col>
      <xdr:colOff>522401</xdr:colOff>
      <xdr:row>4</xdr:row>
      <xdr:rowOff>44826</xdr:rowOff>
    </xdr:to>
    <xdr:pic>
      <xdr:nvPicPr>
        <xdr:cNvPr id="5" name="Imagem 4">
          <a:extLst>
            <a:ext uri="{FF2B5EF4-FFF2-40B4-BE49-F238E27FC236}">
              <a16:creationId xmlns:a16="http://schemas.microsoft.com/office/drawing/2014/main" id="{EB770367-A6B0-4683-A422-F2BF7478CC9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89281" y="619125"/>
          <a:ext cx="1059870" cy="3401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13</xdr:col>
      <xdr:colOff>452064</xdr:colOff>
      <xdr:row>2</xdr:row>
      <xdr:rowOff>161925</xdr:rowOff>
    </xdr:from>
    <xdr:to>
      <xdr:col>15</xdr:col>
      <xdr:colOff>41050</xdr:colOff>
      <xdr:row>4</xdr:row>
      <xdr:rowOff>44826</xdr:rowOff>
    </xdr:to>
    <xdr:pic>
      <xdr:nvPicPr>
        <xdr:cNvPr id="2" name="Imagem 1">
          <a:extLst>
            <a:ext uri="{FF2B5EF4-FFF2-40B4-BE49-F238E27FC236}">
              <a16:creationId xmlns:a16="http://schemas.microsoft.com/office/drawing/2014/main" id="{61FEE950-7E70-4DA0-BD0F-1F2697DEF25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12620" y="613481"/>
          <a:ext cx="1057050" cy="3344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11</xdr:col>
      <xdr:colOff>704302</xdr:colOff>
      <xdr:row>2</xdr:row>
      <xdr:rowOff>161925</xdr:rowOff>
    </xdr:from>
    <xdr:to>
      <xdr:col>12</xdr:col>
      <xdr:colOff>745351</xdr:colOff>
      <xdr:row>4</xdr:row>
      <xdr:rowOff>44826</xdr:rowOff>
    </xdr:to>
    <xdr:pic>
      <xdr:nvPicPr>
        <xdr:cNvPr id="2" name="Imagem 1">
          <a:extLst>
            <a:ext uri="{FF2B5EF4-FFF2-40B4-BE49-F238E27FC236}">
              <a16:creationId xmlns:a16="http://schemas.microsoft.com/office/drawing/2014/main" id="{56033E8E-CE8E-44EC-8EAC-F103B73BC1B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477761" y="617008"/>
          <a:ext cx="1083507" cy="3379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3</xdr:col>
      <xdr:colOff>553177</xdr:colOff>
      <xdr:row>2</xdr:row>
      <xdr:rowOff>48516</xdr:rowOff>
    </xdr:from>
    <xdr:to>
      <xdr:col>4</xdr:col>
      <xdr:colOff>609038</xdr:colOff>
      <xdr:row>3</xdr:row>
      <xdr:rowOff>163330</xdr:rowOff>
    </xdr:to>
    <xdr:pic>
      <xdr:nvPicPr>
        <xdr:cNvPr id="2" name="Imagem 1">
          <a:extLst>
            <a:ext uri="{FF2B5EF4-FFF2-40B4-BE49-F238E27FC236}">
              <a16:creationId xmlns:a16="http://schemas.microsoft.com/office/drawing/2014/main" id="{04254F14-0978-4C7B-AA2F-252A2E41EC5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898292" y="502785"/>
          <a:ext cx="986380" cy="34194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691722</xdr:colOff>
      <xdr:row>1</xdr:row>
      <xdr:rowOff>169744</xdr:rowOff>
    </xdr:from>
    <xdr:to>
      <xdr:col>3</xdr:col>
      <xdr:colOff>747584</xdr:colOff>
      <xdr:row>3</xdr:row>
      <xdr:rowOff>59421</xdr:rowOff>
    </xdr:to>
    <xdr:pic>
      <xdr:nvPicPr>
        <xdr:cNvPr id="2" name="Imagem 1">
          <a:extLst>
            <a:ext uri="{FF2B5EF4-FFF2-40B4-BE49-F238E27FC236}">
              <a16:creationId xmlns:a16="http://schemas.microsoft.com/office/drawing/2014/main" id="{D8A1737F-0BCF-47A3-AB9E-723B04F0E15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10631" y="394880"/>
          <a:ext cx="991043" cy="339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34</xdr:col>
      <xdr:colOff>261937</xdr:colOff>
      <xdr:row>3</xdr:row>
      <xdr:rowOff>131988</xdr:rowOff>
    </xdr:from>
    <xdr:to>
      <xdr:col>63</xdr:col>
      <xdr:colOff>46022</xdr:colOff>
      <xdr:row>62</xdr:row>
      <xdr:rowOff>200024</xdr:rowOff>
    </xdr:to>
    <xdr:graphicFrame macro="">
      <xdr:nvGraphicFramePr>
        <xdr:cNvPr id="3" name="Gráfico 2">
          <a:extLst>
            <a:ext uri="{FF2B5EF4-FFF2-40B4-BE49-F238E27FC236}">
              <a16:creationId xmlns:a16="http://schemas.microsoft.com/office/drawing/2014/main" id="{CA371DC6-ED02-9B5E-636B-ECAD1753724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Gabriel Lacombe" id="{B1576AF5-98DD-4583-9198-CDB50F0979F7}" userId="S::gabriel.lacombe@varos.com.br::d00159fc-aa7e-4d64-8c01-2d69ff690ded" providerId="AD"/>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3">
  <rv s="0">
    <v>https://www.bing.com/financeapi/forcetrigger?t=aplx2w&amp;q=BVMF%3aARZZ3&amp;form=skydnc</v>
    <v>Learn more on Bing</v>
  </rv>
  <rv s="1">
    <v>pt-BR</v>
    <v>aplx2w</v>
    <v>268435456</v>
    <v>1</v>
    <v>Da plataforma Refinitiv</v>
    <v>0</v>
    <v>1</v>
    <v>Azzas 2154 S.A. (BVMF:AZZA3)</v>
    <v>3</v>
    <v>4</v>
    <v>Finance</v>
    <v>5</v>
    <v>44.32</v>
    <v>20.62</v>
    <v>BVMF</v>
    <v>206489800</v>
    <v>29.19</v>
    <v>1972</v>
    <v>28.57</v>
    <v>1.2738</v>
    <v>B3 - Brazil Stock Exchange</v>
    <v>5915932770</v>
    <v>A Azzas 2154 SA, anteriormente Arezzo Industria e Comercio SA é uma Varejista de calçados, bolsas e acessórios para mulheres sediada no Brasil. O portfólio de marcas da empresa inclui a Arezzo, uma Varejista de calçados; a Blizza, uma marca focada em flipflops, sandálias, sliders e bolsas; a Bambini, a marca de calçados e a marca de calçados da empresa. a linha infantil da Empresa, com cores brilhantes e sapatos confortáveis, bem como a MyShoes, cujo portfólio inclui calçados, bolsas e conteúdo de moda. Cada uma das marcas Arezzo Industria e Comercio SA tem um público específico e produtos específicos, operando através de uma variedade de canais de distribuição: Lojas próprias da empresa, franquias, lojas multimarcas e e-commerce. A Companhia possui diversas subsidiárias, incluindo Arzz International Inc, Tiferet Comercio de Roupas Ltda e Guarana Brasil Difusao de Moda Ltda.</v>
    <v>BVMF</v>
    <v>28.79</v>
    <v>9480</v>
    <v>45986.606932916409</v>
    <v>0</v>
    <v>2365280</v>
    <v>BRL</v>
    <v>Azzas 2154 S.A.</v>
    <v>Azzas 2154 S.A.</v>
    <v>29</v>
    <v>28.65</v>
    <v>Rua Fernandes Tourinho n 147 sala 402, Bairro Savassi, BELO HORIZONTE, MINAS GERAIS, 30.112-000 BR</v>
    <v>Specialty Retailers</v>
    <v>AZZA3</v>
    <v>Ações</v>
    <v>Azzas 2154 S.A. (BVMF:AZZA3)</v>
    <v>-0.14000000000000001</v>
    <v>-4.8630000000000001E-3</v>
    <v>731200</v>
  </rv>
  <rv s="2">
    <v>1</v>
  </rv>
</rvData>
</file>

<file path=xl/richData/rdrichvaluestructure.xml><?xml version="1.0" encoding="utf-8"?>
<rvStructures xmlns="http://schemas.microsoft.com/office/spreadsheetml/2017/richdata" count="3">
  <s t="_hyperlink">
    <k n="Address" t="s"/>
    <k n="Text" t="s"/>
  </s>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breviatura do câmbio" t="s"/>
    <k n="Ações em circulação"/>
    <k n="Alto"/>
    <k n="Ano de incorporação"/>
    <k n="Baixo"/>
    <k n="Beta"/>
    <k n="Bolsa" t="s"/>
    <k n="Capitalização de mercado"/>
    <k n="Descrição" t="s"/>
    <k n="ExchangeID" t="s"/>
    <k n="Fechamento anterior"/>
    <k n="Funcionários"/>
    <k n="Hora da última transação"/>
    <k n="LearnMoreOnLink" t="r"/>
    <k n="Média de volume"/>
    <k n="Moeda" t="s"/>
    <k n="Nome" t="s"/>
    <k n="Nome oficial" t="s"/>
    <k n="Pendência"/>
    <k n="Preço"/>
    <k n="Sede" t="s"/>
    <k n="Setor" t="s"/>
    <k n="Símbolo do ticker" t="s"/>
    <k n="Tipo de instrumento" t="s"/>
    <k n="UniqueName" t="s"/>
    <k n="Variação"/>
    <k n="Variação (%)"/>
    <k n="Volume"/>
  </s>
  <s t="_linkedentity">
    <k n="%cvi" t="r"/>
  </s>
</rvStructures>
</file>

<file path=xl/richData/rdsupportingpropertybag.xml><?xml version="1.0" encoding="utf-8"?>
<supportingPropertyBags xmlns="http://schemas.microsoft.com/office/spreadsheetml/2017/richdata2">
  <spbArrays count="1">
    <a count="42">
      <v t="s">%EntityServiceId</v>
      <v t="s">_Format</v>
      <v t="s">%IsRefreshable</v>
      <v t="s">_CanonicalPropertyNames</v>
      <v t="s">%EntityCulture</v>
      <v t="s">%EntityId</v>
      <v t="s">_Icon</v>
      <v t="s">_Display</v>
      <v t="s">Nome</v>
      <v t="s">_SubLabel</v>
      <v t="s">Preço</v>
      <v t="s">Bolsa</v>
      <v t="s">Nome oficial</v>
      <v t="s">Hora da última transação</v>
      <v t="s">Símbolo do ticker</v>
      <v t="s">Abreviatura do câmbio</v>
      <v t="s">Variação</v>
      <v t="s">Variação (%)</v>
      <v t="s">Moeda</v>
      <v t="s">Fechamento anterior</v>
      <v t="s">Pendência</v>
      <v t="s">Alto</v>
      <v t="s">Baixo</v>
      <v t="s">52 semanas de alta</v>
      <v t="s">52 semanas de baixa</v>
      <v t="s">Volume</v>
      <v t="s">Média de volume</v>
      <v t="s">Capitalização de mercado</v>
      <v t="s">Beta</v>
      <v t="s">Ações em circulação</v>
      <v t="s">Descrição</v>
      <v t="s">Funcionários</v>
      <v t="s">Sede</v>
      <v t="s">Setor</v>
      <v t="s">Tipo de instrumento</v>
      <v t="s">Ano de incorporação</v>
      <v t="s">_Flags</v>
      <v t="s">UniqueName</v>
      <v t="s">_DisplayString</v>
      <v t="s">LearnMoreOnLink</v>
      <v t="s">ExchangeID</v>
      <v t="s">%ProviderInfo</v>
    </a>
  </spbArrays>
  <spbData count="6">
    <spb s="0">
      <v>High</v>
      <v>Beta</v>
      <v>Name</v>
      <v>Headquarters</v>
      <v>Low</v>
      <v>Exchange</v>
      <v>Currency</v>
      <v>Price</v>
      <v>Industry</v>
      <v>Volume</v>
      <v>Change</v>
      <v>Description</v>
      <v>Open</v>
      <v>ExchangeID</v>
      <v>UniqueName</v>
      <v>Employees</v>
      <v>Official name</v>
      <v>Change (%)</v>
      <v>%ProviderInfo</v>
      <v>LearnMoreOnLink</v>
      <v>Volume average</v>
      <v>Ticker symbol</v>
      <v>52 week high</v>
      <v>52 week low</v>
      <v>Year incorporated</v>
      <v>Shares outstanding</v>
      <v>Previous close</v>
      <v>Instrument type</v>
      <v>Exchange abbreviation</v>
      <v>Market cap</v>
      <v>Last trade time</v>
    </spb>
    <spb s="1">
      <v>0</v>
      <v>Name</v>
      <v>LearnMoreOnLink</v>
    </spb>
    <spb s="2">
      <v>0</v>
      <v>0</v>
      <v>0</v>
    </spb>
    <spb s="3">
      <v>2</v>
      <v>2</v>
      <v>2</v>
      <v>2</v>
    </spb>
    <spb s="4">
      <v>1</v>
      <v>2</v>
      <v>3</v>
      <v>1</v>
      <v>1</v>
      <v>4</v>
      <v>1</v>
      <v>1</v>
      <v>4</v>
      <v>5</v>
      <v>4</v>
      <v>6</v>
      <v>1</v>
      <v>1</v>
      <v>7</v>
      <v>4</v>
      <v>1</v>
      <v>8</v>
      <v>9</v>
    </spb>
    <spb s="5">
      <v>Atraso de 30 minutos</v>
      <v xml:space="preserve">do fechamento anterior </v>
      <v xml:space="preserve">do fechamento anterior </v>
      <v>GMT</v>
    </spb>
  </spbData>
</supportingPropertyBags>
</file>

<file path=xl/richData/rdsupportingpropertybagstructure.xml><?xml version="1.0" encoding="utf-8"?>
<spbStructures xmlns="http://schemas.microsoft.com/office/spreadsheetml/2017/richdata2" count="6">
  <s>
    <k n="Alto" t="s"/>
    <k n="Beta" t="s"/>
    <k n="Nome" t="s"/>
    <k n="Sede" t="s"/>
    <k n="Baixo" t="s"/>
    <k n="Bolsa" t="s"/>
    <k n="Moeda" t="s"/>
    <k n="Preço" t="s"/>
    <k n="Setor" t="s"/>
    <k n="Volume" t="s"/>
    <k n="Variação" t="s"/>
    <k n="Descrição" t="s"/>
    <k n="Pendência" t="s"/>
    <k n="ExchangeID" t="s"/>
    <k n="UniqueName" t="s"/>
    <k n="Funcionários" t="s"/>
    <k n="Nome oficial" t="s"/>
    <k n="Variação (%)" t="s"/>
    <k n="%ProviderInfo" t="s"/>
    <k n="LearnMoreOnLink" t="s"/>
    <k n="Média de volume" t="s"/>
    <k n="Símbolo do ticker" t="s"/>
    <k n="52 semanas de alta" t="s"/>
    <k n="52 semanas de baixa" t="s"/>
    <k n="Ano de incorporação" t="s"/>
    <k n="Ações em circulação" t="s"/>
    <k n="Fechamento anterior" t="s"/>
    <k n="Tipo de instrumento" t="s"/>
    <k n="Abreviatura do câmbio" t="s"/>
    <k n="Capitalização de mercado" t="s"/>
    <k n="Hora da última transação" t="s"/>
  </s>
  <s>
    <k n="^Order" t="spba"/>
    <k n="TitleProperty" t="s"/>
    <k n="SubTitleProperty" t="s"/>
  </s>
  <s>
    <k n="ShowInCardView" t="b"/>
    <k n="ShowInDotNotation" t="b"/>
    <k n="ShowInAutoComplete" t="b"/>
  </s>
  <s>
    <k n="ExchangeID" t="spb"/>
    <k n="UniqueName" t="spb"/>
    <k n="`%ProviderInfo" t="spb"/>
    <k n="LearnMoreOnLink" t="spb"/>
  </s>
  <s>
    <k n="Alto" t="i"/>
    <k n="Beta" t="i"/>
    <k n="Nome" t="i"/>
    <k n="Baixo" t="i"/>
    <k n="Preço" t="i"/>
    <k n="Volume" t="i"/>
    <k n="Variação" t="i"/>
    <k n="Pendência" t="i"/>
    <k n="Funcionários" t="i"/>
    <k n="Variação (%)" t="i"/>
    <k n="Média de volume" t="i"/>
    <k n="`%EntityServiceId" t="i"/>
    <k n="52 semanas de alta" t="i"/>
    <k n="52 semanas de baixa" t="i"/>
    <k n="Ano de incorporação" t="i"/>
    <k n="Ações em circulação" t="i"/>
    <k n="Fechamento anterior" t="i"/>
    <k n="Capitalização de mercado" t="i"/>
    <k n="Hora da última transação" t="i"/>
  </s>
  <s>
    <k n="Preço" t="s"/>
    <k n="Variação" t="s"/>
    <k n="Variação (%)" t="s"/>
    <k n="Hora da última transação"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dd/mm/yyyy\ hh:mm"/>
    </x:dxf>
    <x:dxf>
      <x:numFmt numFmtId="14" formatCode="0.00%"/>
    </x:dxf>
    <x:dxf>
      <x:numFmt numFmtId="3" formatCode="#,##0"/>
    </x:dxf>
    <x:dxf>
      <x:numFmt numFmtId="4" formatCode="#,##0.00"/>
    </x:dxf>
    <x:dxf>
      <x:numFmt numFmtId="1" formatCode="0"/>
    </x:dxf>
  </dxfs>
  <richProperties>
    <rPr n="NumberFormat" t="s"/>
    <rPr n="IsTitleField" t="b"/>
  </richProperties>
  <richStyles>
    <rSty dxfid="1">
      <rpv i="0">_-[$R$-pt-BR] * #,##0.00_-;-[$R$-pt-BR] * #,##0.00_-;_-[$R$-pt-BR] * "-"??_-;_-@_-</rpv>
    </rSty>
    <rSty dxfid="5">
      <rpv i="0">#,##0.00</rpv>
    </rSty>
    <rSty>
      <rpv i="1">1</rpv>
    </rSty>
    <rSty dxfid="4">
      <rpv i="0">#,##0</rpv>
    </rSty>
    <rSty dxfid="3"/>
    <rSty dxfid="0">
      <rpv i="0">0.00</rpv>
    </rSty>
    <rSty dxfid="6">
      <rpv i="0">0</rpv>
    </rSty>
    <rSty dxfid="1">
      <rpv i="0">_-[$R$-pt-BR] * #,##0_-;-[$R$-pt-BR] * #,##0_-;_-[$R$-pt-BR] * "-"_-;_-@_-</rpv>
    </rSty>
    <rSty dxfid="2"/>
  </richStyles>
</richStyleShee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67" dT="2025-07-30T16:45:03.23" personId="{B1576AF5-98DD-4583-9198-CDB50F0979F7}" id="{418F2194-57B3-4731-90DA-C2F63D0549FE}">
    <text xml:space="preserve">Empresa tem R$ 892.068 de compensação de prejuízo fiscal para abater de IRPJ. Estamos dividindo igualmente entre os anos ao invés de seguir o cronograma da empresa por conservadorismo.
</text>
  </threadedComment>
  <threadedComment ref="Q82" dT="2025-05-22T14:19:33.39" personId="{B1576AF5-98DD-4583-9198-CDB50F0979F7}" id="{455DA56B-230A-4265-8E84-C4D44F56B119}">
    <text>proforma</text>
  </threadedComment>
</ThreadedComments>
</file>

<file path=xl/threadedComments/threadedComment2.xml><?xml version="1.0" encoding="utf-8"?>
<ThreadedComments xmlns="http://schemas.microsoft.com/office/spreadsheetml/2018/threadedcomments" xmlns:x="http://schemas.openxmlformats.org/spreadsheetml/2006/main">
  <threadedComment ref="P18" dT="2025-05-22T21:10:09.32" personId="{B1576AF5-98DD-4583-9198-CDB50F0979F7}" id="{DBBE14B4-CD3E-4E31-B160-2A81C2A3703E}">
    <text>Ex impairment</text>
  </threadedComment>
</ThreadedComments>
</file>

<file path=xl/threadedComments/threadedComment3.xml><?xml version="1.0" encoding="utf-8"?>
<ThreadedComments xmlns="http://schemas.microsoft.com/office/spreadsheetml/2018/threadedcomments" xmlns:x="http://schemas.openxmlformats.org/spreadsheetml/2006/main">
  <threadedComment ref="O7" dT="2025-05-21T15:17:26.10" personId="{B1576AF5-98DD-4583-9198-CDB50F0979F7}" id="{E6640A13-2711-4B60-8C13-DA3456E81C5F}">
    <text>Consideram Grupo SOMA</text>
  </threadedComment>
  <threadedComment ref="P7" dT="2025-05-21T15:17:26.10" personId="{B1576AF5-98DD-4583-9198-CDB50F0979F7}" id="{EF9002ED-A5EF-4807-93DA-EC4626253C49}">
    <text>Consideram Grupo SOMA</text>
  </threadedComment>
  <threadedComment ref="Q7" dT="2025-05-21T15:17:26.10" personId="{B1576AF5-98DD-4583-9198-CDB50F0979F7}" id="{213CFB5A-42E4-4EB9-B30F-B41C563B7229}">
    <text>Consideram Grupo SOMA</text>
  </threadedComment>
  <threadedComment ref="B114" dT="2025-05-26T21:41:06.79" personId="{B1576AF5-98DD-4583-9198-CDB50F0979F7}" id="{B8981D0F-C621-4A11-8D3D-5029E7F1DEFC}">
    <text>Com base na transição gradativa do ICMS para o IBS/CBS</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A56B7BB-F33E-4535-B993-D72AE7DB4D42}">
  <we:reference id="wa200005271" version="2.3.0.0" store="pt-BR" storeType="OMEX"/>
  <we:alternateReferences>
    <we:reference id="wa200005271" version="2.3.0.0" store="wa20000527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List>
    </a:ext>
  </we:extLst>
</we:webextension>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AA10C-5D00-4BE0-8811-E0DA15D9F1A0}">
  <dimension ref="A1:P31"/>
  <sheetViews>
    <sheetView workbookViewId="0"/>
  </sheetViews>
  <sheetFormatPr defaultRowHeight="15" x14ac:dyDescent="0.25"/>
  <cols>
    <col min="1" max="3" width="36.7109375" customWidth="1"/>
  </cols>
  <sheetData>
    <row r="1" spans="1:16" x14ac:dyDescent="0.25">
      <c r="A1" s="96" t="s">
        <v>430</v>
      </c>
    </row>
    <row r="2" spans="1:16" x14ac:dyDescent="0.25">
      <c r="P2" t="e">
        <f ca="1">_xll.CB.RecalcCounterFN()</f>
        <v>#VALUE!</v>
      </c>
    </row>
    <row r="3" spans="1:16" x14ac:dyDescent="0.25">
      <c r="A3" t="s">
        <v>431</v>
      </c>
      <c r="B3" t="s">
        <v>432</v>
      </c>
      <c r="C3">
        <v>0</v>
      </c>
    </row>
    <row r="4" spans="1:16" x14ac:dyDescent="0.25">
      <c r="A4" t="s">
        <v>433</v>
      </c>
    </row>
    <row r="5" spans="1:16" x14ac:dyDescent="0.25">
      <c r="A5" t="s">
        <v>434</v>
      </c>
    </row>
    <row r="7" spans="1:16" x14ac:dyDescent="0.25">
      <c r="A7" s="96" t="s">
        <v>435</v>
      </c>
      <c r="B7" t="s">
        <v>436</v>
      </c>
    </row>
    <row r="8" spans="1:16" x14ac:dyDescent="0.25">
      <c r="B8">
        <v>3</v>
      </c>
    </row>
    <row r="10" spans="1:16" x14ac:dyDescent="0.25">
      <c r="A10" t="s">
        <v>437</v>
      </c>
    </row>
    <row r="11" spans="1:16" x14ac:dyDescent="0.25">
      <c r="A11" t="e">
        <f>CB_DATA_!#REF!</f>
        <v>#REF!</v>
      </c>
      <c r="B11" t="e">
        <f>Dashboard!#REF!</f>
        <v>#REF!</v>
      </c>
      <c r="C11" t="e">
        <f>'DRE + DCF'!#REF!</f>
        <v>#REF!</v>
      </c>
    </row>
    <row r="13" spans="1:16" x14ac:dyDescent="0.25">
      <c r="A13" t="s">
        <v>438</v>
      </c>
    </row>
    <row r="14" spans="1:16" x14ac:dyDescent="0.25">
      <c r="A14" t="s">
        <v>442</v>
      </c>
      <c r="B14" t="s">
        <v>446</v>
      </c>
      <c r="C14" t="s">
        <v>448</v>
      </c>
    </row>
    <row r="16" spans="1:16" x14ac:dyDescent="0.25">
      <c r="A16" t="s">
        <v>439</v>
      </c>
    </row>
    <row r="19" spans="1:3" x14ac:dyDescent="0.25">
      <c r="A19" t="s">
        <v>440</v>
      </c>
    </row>
    <row r="20" spans="1:3" x14ac:dyDescent="0.25">
      <c r="A20">
        <v>31</v>
      </c>
      <c r="B20">
        <v>31</v>
      </c>
      <c r="C20">
        <v>31</v>
      </c>
    </row>
    <row r="25" spans="1:3" x14ac:dyDescent="0.25">
      <c r="A25" s="96" t="s">
        <v>441</v>
      </c>
    </row>
    <row r="26" spans="1:3" x14ac:dyDescent="0.25">
      <c r="A26" s="184" t="s">
        <v>443</v>
      </c>
      <c r="B26" s="184" t="s">
        <v>447</v>
      </c>
      <c r="C26" s="184" t="s">
        <v>447</v>
      </c>
    </row>
    <row r="27" spans="1:3" x14ac:dyDescent="0.25">
      <c r="A27" t="s">
        <v>444</v>
      </c>
      <c r="B27" t="s">
        <v>459</v>
      </c>
      <c r="C27" t="s">
        <v>458</v>
      </c>
    </row>
    <row r="28" spans="1:3" x14ac:dyDescent="0.25">
      <c r="A28" s="184" t="s">
        <v>445</v>
      </c>
      <c r="B28" s="184" t="s">
        <v>445</v>
      </c>
      <c r="C28" s="184" t="s">
        <v>445</v>
      </c>
    </row>
    <row r="29" spans="1:3" x14ac:dyDescent="0.25">
      <c r="A29" s="184" t="s">
        <v>447</v>
      </c>
      <c r="B29" s="184" t="s">
        <v>443</v>
      </c>
      <c r="C29" s="184" t="s">
        <v>443</v>
      </c>
    </row>
    <row r="30" spans="1:3" x14ac:dyDescent="0.25">
      <c r="A30" t="s">
        <v>457</v>
      </c>
      <c r="B30" t="s">
        <v>450</v>
      </c>
      <c r="C30" t="s">
        <v>449</v>
      </c>
    </row>
    <row r="31" spans="1:3" x14ac:dyDescent="0.25">
      <c r="A31" s="184" t="s">
        <v>445</v>
      </c>
      <c r="B31" s="184" t="s">
        <v>445</v>
      </c>
      <c r="C31" s="184" t="s">
        <v>445</v>
      </c>
    </row>
  </sheetData>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3394E8-6289-4BAD-968A-1BD5A4352A77}">
  <sheetPr codeName="Planilha1"/>
  <dimension ref="A1:AS150"/>
  <sheetViews>
    <sheetView tabSelected="1" zoomScale="115" zoomScaleNormal="115" workbookViewId="0">
      <selection activeCell="E7" sqref="E7:E16"/>
    </sheetView>
  </sheetViews>
  <sheetFormatPr defaultRowHeight="15" x14ac:dyDescent="0.25"/>
  <cols>
    <col min="2" max="2" width="26.7109375" bestFit="1" customWidth="1"/>
    <col min="3" max="3" width="37.28515625" bestFit="1" customWidth="1"/>
    <col min="4" max="4" width="11.42578125" bestFit="1" customWidth="1"/>
    <col min="6" max="6" width="10" bestFit="1" customWidth="1"/>
    <col min="7" max="7" width="9.140625" customWidth="1"/>
    <col min="8" max="8" width="10.28515625" bestFit="1" customWidth="1"/>
  </cols>
  <sheetData>
    <row r="1" spans="1:45" s="3" customFormat="1" ht="23.1" customHeight="1" x14ac:dyDescent="0.25">
      <c r="A1" s="1"/>
      <c r="B1" s="1"/>
      <c r="C1" s="2"/>
      <c r="D1" s="2"/>
      <c r="E1" s="2"/>
      <c r="F1" s="2"/>
      <c r="G1" s="2"/>
      <c r="H1" s="2"/>
      <c r="I1" s="2"/>
      <c r="J1" s="2"/>
      <c r="K1" s="2"/>
      <c r="L1" s="2"/>
      <c r="M1" s="2"/>
      <c r="N1" s="66"/>
      <c r="O1" s="2"/>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row>
    <row r="2" spans="1:45" s="3" customFormat="1" ht="23.1" customHeight="1" x14ac:dyDescent="0.25">
      <c r="A2" s="1"/>
      <c r="B2" s="1"/>
      <c r="C2" s="2"/>
      <c r="D2" s="2"/>
      <c r="E2" s="2"/>
      <c r="F2" s="2"/>
      <c r="G2" s="2"/>
      <c r="H2" s="2"/>
      <c r="I2" s="2"/>
      <c r="J2" s="2"/>
      <c r="K2" s="2"/>
      <c r="L2" s="2"/>
      <c r="M2" s="2"/>
      <c r="N2" s="66"/>
      <c r="O2" s="2"/>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row>
    <row r="3" spans="1:45" s="3" customFormat="1" ht="23.1" customHeight="1" x14ac:dyDescent="0.25">
      <c r="A3" s="1"/>
      <c r="B3" s="1"/>
      <c r="C3" s="2"/>
      <c r="D3" s="2"/>
      <c r="E3" s="2"/>
      <c r="F3" s="2"/>
      <c r="G3" s="2"/>
      <c r="H3" s="2"/>
      <c r="I3" s="2"/>
      <c r="J3" s="2"/>
      <c r="K3" s="2"/>
      <c r="L3" s="2"/>
      <c r="M3" s="2"/>
      <c r="N3" s="66"/>
      <c r="O3" s="2"/>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row>
    <row r="4" spans="1:45" s="3" customFormat="1" ht="23.1" customHeight="1" x14ac:dyDescent="0.25">
      <c r="A4" s="1"/>
      <c r="B4" s="1"/>
      <c r="C4" s="2"/>
      <c r="D4" s="2"/>
      <c r="E4" s="2"/>
      <c r="F4" s="2"/>
      <c r="G4" s="2"/>
      <c r="H4" s="2"/>
      <c r="I4" s="2"/>
      <c r="J4" s="2"/>
      <c r="K4" s="2"/>
      <c r="L4" s="2"/>
      <c r="M4" s="2"/>
      <c r="N4" s="66"/>
      <c r="O4" s="2"/>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row>
    <row r="5" spans="1:45" s="3" customFormat="1" ht="23.1" customHeight="1" x14ac:dyDescent="0.25">
      <c r="A5" s="1"/>
      <c r="B5" s="1"/>
      <c r="C5" s="2"/>
      <c r="D5" s="2"/>
      <c r="E5" s="2"/>
      <c r="F5" s="2"/>
      <c r="G5" s="191"/>
      <c r="H5" s="191"/>
      <c r="I5" s="191"/>
      <c r="J5" s="191"/>
      <c r="K5" s="191"/>
      <c r="L5" s="191"/>
      <c r="M5" s="191"/>
      <c r="N5" s="191"/>
      <c r="O5" s="19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row>
    <row r="6" spans="1:45" s="3" customFormat="1" ht="23.1" customHeight="1" thickBot="1" x14ac:dyDescent="0.3">
      <c r="A6" s="1"/>
      <c r="B6" s="1"/>
      <c r="C6" s="2"/>
      <c r="D6" s="2"/>
      <c r="E6" s="2"/>
      <c r="F6" s="86">
        <f>C14</f>
        <v>42.492127797302309</v>
      </c>
      <c r="G6" s="117">
        <f t="shared" ref="G6:I6" si="0">H6-1%</f>
        <v>-0.04</v>
      </c>
      <c r="H6" s="117">
        <f t="shared" si="0"/>
        <v>-0.03</v>
      </c>
      <c r="I6" s="117">
        <f t="shared" si="0"/>
        <v>-0.02</v>
      </c>
      <c r="J6" s="117">
        <f>K6-1%</f>
        <v>-0.01</v>
      </c>
      <c r="K6" s="116"/>
      <c r="L6" s="116">
        <f>K6+1%</f>
        <v>0.01</v>
      </c>
      <c r="M6" s="116">
        <f t="shared" ref="M6:O6" si="1">L6+1%</f>
        <v>0.02</v>
      </c>
      <c r="N6" s="116">
        <f t="shared" si="1"/>
        <v>0.03</v>
      </c>
      <c r="O6" s="116">
        <f t="shared" si="1"/>
        <v>0.04</v>
      </c>
      <c r="P6" s="117"/>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row>
    <row r="7" spans="1:45" ht="23.1" customHeight="1" thickBot="1" x14ac:dyDescent="0.3">
      <c r="A7" s="2"/>
      <c r="B7" s="84" t="s">
        <v>88</v>
      </c>
      <c r="C7" s="100" t="e" vm="1">
        <v>#VALUE!</v>
      </c>
      <c r="D7" s="23"/>
      <c r="E7" s="192" t="s">
        <v>85</v>
      </c>
      <c r="F7" s="128">
        <f>F8+0.01</f>
        <v>0.04</v>
      </c>
      <c r="G7" s="118">
        <f t="dataTable" ref="G7:O15" dt2D="1" dtr="1" r1="K16" r2="P11"/>
        <v>42.492127797302309</v>
      </c>
      <c r="H7" s="119">
        <v>42.492127797302309</v>
      </c>
      <c r="I7" s="119">
        <v>42.492127797302309</v>
      </c>
      <c r="J7" s="119">
        <v>42.492127797302309</v>
      </c>
      <c r="K7" s="119">
        <v>42.492127797302309</v>
      </c>
      <c r="L7" s="119">
        <v>42.492127797302309</v>
      </c>
      <c r="M7" s="119">
        <v>42.492127797302309</v>
      </c>
      <c r="N7" s="119">
        <v>42.492127797302309</v>
      </c>
      <c r="O7" s="120">
        <v>42.492127797302309</v>
      </c>
      <c r="P7" s="117">
        <f>P8+1%</f>
        <v>0.04</v>
      </c>
      <c r="Q7" s="2"/>
      <c r="R7" s="2"/>
      <c r="S7" s="2"/>
      <c r="T7" s="2"/>
      <c r="U7" s="2"/>
      <c r="V7" s="2"/>
      <c r="W7" s="2"/>
      <c r="X7" s="2"/>
      <c r="Y7" s="2"/>
      <c r="Z7" s="2"/>
      <c r="AA7" s="2"/>
      <c r="AB7" s="2"/>
      <c r="AC7" s="2"/>
      <c r="AD7" s="2"/>
      <c r="AE7" s="2"/>
      <c r="AF7" s="2"/>
      <c r="AG7" s="2"/>
      <c r="AH7" s="2"/>
      <c r="AI7" s="2"/>
      <c r="AJ7" s="2"/>
      <c r="AK7" s="2"/>
      <c r="AL7" s="2"/>
      <c r="AM7" s="2"/>
    </row>
    <row r="8" spans="1:45" ht="23.1" customHeight="1" thickTop="1" thickBot="1" x14ac:dyDescent="0.3">
      <c r="A8" s="2"/>
      <c r="B8" s="20" t="s">
        <v>94</v>
      </c>
      <c r="C8" s="40">
        <f>206489.813-255.683</f>
        <v>206234.13</v>
      </c>
      <c r="D8" s="23"/>
      <c r="E8" s="192"/>
      <c r="F8" s="128">
        <f>F9+0.01</f>
        <v>0.03</v>
      </c>
      <c r="G8" s="121">
        <v>42.492127797302309</v>
      </c>
      <c r="H8" s="122">
        <v>42.492127797302309</v>
      </c>
      <c r="I8" s="122">
        <v>42.492127797302309</v>
      </c>
      <c r="J8" s="122">
        <v>42.492127797302309</v>
      </c>
      <c r="K8" s="122">
        <v>42.492127797302309</v>
      </c>
      <c r="L8" s="122">
        <v>42.492127797302309</v>
      </c>
      <c r="M8" s="122">
        <v>42.492127797302309</v>
      </c>
      <c r="N8" s="122">
        <v>42.492127797302309</v>
      </c>
      <c r="O8" s="123">
        <v>42.492127797302309</v>
      </c>
      <c r="P8" s="117">
        <f>P9+1%</f>
        <v>0.03</v>
      </c>
      <c r="Q8" s="2"/>
      <c r="R8" s="2"/>
      <c r="S8" s="2"/>
      <c r="T8" s="2"/>
      <c r="U8" s="2"/>
      <c r="V8" s="2"/>
      <c r="W8" s="2"/>
      <c r="X8" s="2"/>
      <c r="Y8" s="2"/>
      <c r="Z8" s="2"/>
      <c r="AA8" s="2"/>
      <c r="AB8" s="2"/>
      <c r="AC8" s="2"/>
      <c r="AD8" s="2"/>
      <c r="AE8" s="2"/>
      <c r="AF8" s="2"/>
      <c r="AG8" s="2"/>
      <c r="AH8" s="2"/>
      <c r="AI8" s="2"/>
      <c r="AJ8" s="2"/>
      <c r="AK8" s="2"/>
      <c r="AL8" s="2"/>
      <c r="AM8" s="2"/>
    </row>
    <row r="9" spans="1:45" ht="23.1" customHeight="1" thickTop="1" thickBot="1" x14ac:dyDescent="0.3">
      <c r="A9" s="2"/>
      <c r="B9" s="20" t="s">
        <v>96</v>
      </c>
      <c r="C9" s="63">
        <f>SUM('DRE + DCF'!T101:AD101)</f>
        <v>12818226.879058298</v>
      </c>
      <c r="D9" s="23"/>
      <c r="E9" s="192"/>
      <c r="F9" s="128">
        <f>F10+0.01</f>
        <v>0.02</v>
      </c>
      <c r="G9" s="121">
        <v>42.492127797302309</v>
      </c>
      <c r="H9" s="122">
        <v>42.492127797302309</v>
      </c>
      <c r="I9" s="122">
        <v>42.492127797302309</v>
      </c>
      <c r="J9" s="122">
        <v>42.492127797302309</v>
      </c>
      <c r="K9" s="122">
        <v>42.492127797302309</v>
      </c>
      <c r="L9" s="122">
        <v>42.492127797302309</v>
      </c>
      <c r="M9" s="122">
        <v>42.492127797302309</v>
      </c>
      <c r="N9" s="122">
        <v>42.492127797302309</v>
      </c>
      <c r="O9" s="123">
        <v>42.492127797302309</v>
      </c>
      <c r="P9" s="117">
        <f>P10+1%</f>
        <v>0.02</v>
      </c>
      <c r="Q9" s="2"/>
      <c r="R9" s="2"/>
      <c r="S9" s="2"/>
      <c r="T9" s="2"/>
      <c r="U9" s="2"/>
      <c r="V9" s="2"/>
      <c r="W9" s="2"/>
      <c r="X9" s="2"/>
      <c r="Y9" s="2"/>
      <c r="Z9" s="2"/>
      <c r="AA9" s="2"/>
      <c r="AB9" s="2"/>
      <c r="AC9" s="2"/>
      <c r="AD9" s="2"/>
      <c r="AE9" s="2"/>
      <c r="AF9" s="2"/>
      <c r="AG9" s="2"/>
      <c r="AH9" s="2"/>
      <c r="AI9" s="2"/>
      <c r="AJ9" s="2"/>
      <c r="AK9" s="2"/>
      <c r="AL9" s="2"/>
      <c r="AM9" s="2"/>
    </row>
    <row r="10" spans="1:45" ht="23.1" customHeight="1" thickTop="1" thickBot="1" x14ac:dyDescent="0.3">
      <c r="A10" s="2"/>
      <c r="B10" s="53" t="s">
        <v>54</v>
      </c>
      <c r="C10" s="61">
        <f>'Painel de Índices'!S20</f>
        <v>3841779</v>
      </c>
      <c r="D10" s="23"/>
      <c r="E10" s="192"/>
      <c r="F10" s="128">
        <f>F11+0.01</f>
        <v>0.01</v>
      </c>
      <c r="G10" s="121">
        <v>42.492127797302309</v>
      </c>
      <c r="H10" s="122">
        <v>42.492127797302309</v>
      </c>
      <c r="I10" s="122">
        <v>42.492127797302309</v>
      </c>
      <c r="J10" s="122">
        <v>42.492127797302309</v>
      </c>
      <c r="K10" s="122">
        <v>42.492127797302309</v>
      </c>
      <c r="L10" s="122">
        <v>42.492127797302309</v>
      </c>
      <c r="M10" s="122">
        <v>42.492127797302309</v>
      </c>
      <c r="N10" s="122">
        <v>42.492127797302309</v>
      </c>
      <c r="O10" s="123">
        <v>42.492127797302309</v>
      </c>
      <c r="P10" s="117">
        <f>P11+1%</f>
        <v>0.01</v>
      </c>
      <c r="Q10" s="2"/>
      <c r="R10" s="2"/>
      <c r="S10" s="2"/>
      <c r="T10" s="2"/>
      <c r="U10" s="2"/>
      <c r="V10" s="2"/>
      <c r="W10" s="2"/>
      <c r="X10" s="2"/>
      <c r="Y10" s="2"/>
      <c r="Z10" s="2"/>
      <c r="AA10" s="2"/>
      <c r="AB10" s="2"/>
      <c r="AC10" s="2"/>
      <c r="AD10" s="2"/>
      <c r="AE10" s="2"/>
      <c r="AF10" s="2"/>
      <c r="AG10" s="2"/>
      <c r="AH10" s="2"/>
      <c r="AI10" s="2"/>
      <c r="AJ10" s="2"/>
      <c r="AK10" s="2"/>
      <c r="AL10" s="2"/>
      <c r="AM10" s="2"/>
    </row>
    <row r="11" spans="1:45" ht="23.1" customHeight="1" thickTop="1" thickBot="1" x14ac:dyDescent="0.3">
      <c r="A11" s="2"/>
      <c r="B11" s="53" t="s">
        <v>89</v>
      </c>
      <c r="C11" s="61">
        <f>'Balanço Patrimonial'!S11-'Balanço Patrimonial'!S81-'Balanço Patrimonial'!S96-'Balanço Patrimonial'!S106+'Balanço Patrimonial'!S36</f>
        <v>-213120.87093284039</v>
      </c>
      <c r="D11" s="23"/>
      <c r="E11" s="192"/>
      <c r="F11" s="128">
        <v>0</v>
      </c>
      <c r="G11" s="121">
        <v>42.492127797302309</v>
      </c>
      <c r="H11" s="122">
        <v>42.492127797302309</v>
      </c>
      <c r="I11" s="122">
        <v>42.492127797302309</v>
      </c>
      <c r="J11" s="122">
        <v>42.492127797302309</v>
      </c>
      <c r="K11" s="171">
        <v>42.492127797302309</v>
      </c>
      <c r="L11" s="122">
        <v>42.492127797302309</v>
      </c>
      <c r="M11" s="122">
        <v>42.492127797302309</v>
      </c>
      <c r="N11" s="122">
        <v>42.492127797302309</v>
      </c>
      <c r="O11" s="123">
        <v>42.492127797302309</v>
      </c>
      <c r="P11" s="117"/>
      <c r="Q11" s="2"/>
      <c r="R11" s="2"/>
      <c r="S11" s="2"/>
      <c r="T11" s="2"/>
      <c r="U11" s="2"/>
      <c r="V11" s="2"/>
      <c r="W11" s="2"/>
      <c r="X11" s="2"/>
      <c r="Y11" s="2"/>
      <c r="Z11" s="2"/>
      <c r="AA11" s="2"/>
      <c r="AB11" s="2"/>
      <c r="AC11" s="2"/>
      <c r="AD11" s="2"/>
      <c r="AE11" s="2"/>
      <c r="AF11" s="2"/>
      <c r="AG11" s="2"/>
      <c r="AH11" s="2"/>
      <c r="AI11" s="2"/>
      <c r="AJ11" s="2"/>
      <c r="AK11" s="2"/>
      <c r="AL11" s="2"/>
      <c r="AM11" s="2"/>
    </row>
    <row r="12" spans="1:45" ht="23.1" customHeight="1" thickTop="1" thickBot="1" x14ac:dyDescent="0.3">
      <c r="A12" s="2"/>
      <c r="B12" s="53" t="s">
        <v>90</v>
      </c>
      <c r="C12" s="61">
        <v>0</v>
      </c>
      <c r="D12" s="23"/>
      <c r="E12" s="192"/>
      <c r="F12" s="128">
        <f>F11-0.01</f>
        <v>-0.01</v>
      </c>
      <c r="G12" s="121">
        <v>42.492127797302309</v>
      </c>
      <c r="H12" s="122">
        <v>42.492127797302309</v>
      </c>
      <c r="I12" s="122">
        <v>42.492127797302309</v>
      </c>
      <c r="J12" s="122">
        <v>42.492127797302309</v>
      </c>
      <c r="K12" s="122">
        <v>42.492127797302309</v>
      </c>
      <c r="L12" s="122">
        <v>42.492127797302309</v>
      </c>
      <c r="M12" s="122">
        <v>42.492127797302309</v>
      </c>
      <c r="N12" s="122">
        <v>42.492127797302309</v>
      </c>
      <c r="O12" s="123">
        <v>42.492127797302309</v>
      </c>
      <c r="P12" s="117">
        <f>P11-1%</f>
        <v>-0.01</v>
      </c>
      <c r="Q12" s="2"/>
      <c r="R12" s="2"/>
      <c r="S12" s="2"/>
      <c r="T12" s="2"/>
      <c r="U12" s="2"/>
      <c r="V12" s="2"/>
      <c r="W12" s="2"/>
      <c r="X12" s="2"/>
      <c r="Y12" s="2"/>
      <c r="Z12" s="2"/>
      <c r="AA12" s="2"/>
      <c r="AB12" s="2"/>
      <c r="AC12" s="2"/>
      <c r="AD12" s="2"/>
      <c r="AE12" s="2"/>
      <c r="AF12" s="2"/>
      <c r="AG12" s="2"/>
      <c r="AH12" s="2"/>
      <c r="AI12" s="2"/>
      <c r="AJ12" s="2"/>
      <c r="AK12" s="2"/>
      <c r="AL12" s="2"/>
      <c r="AM12" s="2"/>
    </row>
    <row r="13" spans="1:45" ht="23.1" customHeight="1" thickTop="1" thickBot="1" x14ac:dyDescent="0.3">
      <c r="A13" s="2"/>
      <c r="B13" s="20" t="s">
        <v>95</v>
      </c>
      <c r="C13" s="63">
        <f>C9-C10+C11+C12</f>
        <v>8763327.0081254579</v>
      </c>
      <c r="D13" s="23"/>
      <c r="E13" s="192"/>
      <c r="F13" s="128">
        <f>F12-0.01</f>
        <v>-0.02</v>
      </c>
      <c r="G13" s="121">
        <v>42.492127797302309</v>
      </c>
      <c r="H13" s="122">
        <v>42.492127797302309</v>
      </c>
      <c r="I13" s="122">
        <v>42.492127797302309</v>
      </c>
      <c r="J13" s="122">
        <v>42.492127797302309</v>
      </c>
      <c r="K13" s="122">
        <v>42.492127797302309</v>
      </c>
      <c r="L13" s="122">
        <v>42.492127797302309</v>
      </c>
      <c r="M13" s="122">
        <v>42.492127797302309</v>
      </c>
      <c r="N13" s="122">
        <v>42.492127797302309</v>
      </c>
      <c r="O13" s="123">
        <v>42.492127797302309</v>
      </c>
      <c r="P13" s="117">
        <f t="shared" ref="P13:P15" si="2">P12-1%</f>
        <v>-0.02</v>
      </c>
      <c r="Q13" s="2"/>
      <c r="R13" s="2"/>
      <c r="S13" s="2"/>
      <c r="T13" s="2"/>
      <c r="U13" s="2"/>
      <c r="V13" s="2"/>
      <c r="W13" s="2"/>
      <c r="X13" s="2"/>
      <c r="Y13" s="2"/>
      <c r="Z13" s="2"/>
      <c r="AA13" s="2"/>
      <c r="AB13" s="2"/>
      <c r="AC13" s="2"/>
      <c r="AD13" s="2"/>
      <c r="AE13" s="2"/>
      <c r="AF13" s="2"/>
      <c r="AG13" s="2"/>
      <c r="AH13" s="2"/>
      <c r="AI13" s="2"/>
      <c r="AJ13" s="2"/>
      <c r="AK13" s="2"/>
      <c r="AL13" s="2"/>
      <c r="AM13" s="2"/>
    </row>
    <row r="14" spans="1:45" ht="23.1" customHeight="1" thickTop="1" thickBot="1" x14ac:dyDescent="0.3">
      <c r="A14" s="2"/>
      <c r="B14" s="20" t="s">
        <v>91</v>
      </c>
      <c r="C14" s="127">
        <f>C13/C8</f>
        <v>42.492127797302309</v>
      </c>
      <c r="D14" s="23"/>
      <c r="E14" s="192"/>
      <c r="F14" s="128">
        <f>F13-0.01</f>
        <v>-0.03</v>
      </c>
      <c r="G14" s="121">
        <v>42.492127797302309</v>
      </c>
      <c r="H14" s="122">
        <v>42.492127797302309</v>
      </c>
      <c r="I14" s="122">
        <v>42.492127797302309</v>
      </c>
      <c r="J14" s="122">
        <v>42.492127797302309</v>
      </c>
      <c r="K14" s="122">
        <v>42.492127797302309</v>
      </c>
      <c r="L14" s="122">
        <v>42.492127797302309</v>
      </c>
      <c r="M14" s="122">
        <v>42.492127797302309</v>
      </c>
      <c r="N14" s="122">
        <v>42.492127797302309</v>
      </c>
      <c r="O14" s="123">
        <v>42.492127797302309</v>
      </c>
      <c r="P14" s="117">
        <f t="shared" si="2"/>
        <v>-0.03</v>
      </c>
      <c r="Q14" s="2"/>
      <c r="R14" s="2"/>
      <c r="S14" s="2"/>
      <c r="T14" s="2"/>
      <c r="U14" s="2"/>
      <c r="V14" s="2"/>
      <c r="W14" s="2"/>
      <c r="X14" s="2"/>
      <c r="Y14" s="2"/>
      <c r="Z14" s="2"/>
      <c r="AA14" s="2"/>
      <c r="AB14" s="2"/>
      <c r="AC14" s="2"/>
      <c r="AD14" s="2"/>
      <c r="AE14" s="2"/>
      <c r="AF14" s="2"/>
      <c r="AG14" s="2"/>
      <c r="AH14" s="2"/>
      <c r="AI14" s="2"/>
      <c r="AJ14" s="2"/>
      <c r="AK14" s="2"/>
      <c r="AL14" s="2"/>
      <c r="AM14" s="2"/>
    </row>
    <row r="15" spans="1:45" ht="23.1" customHeight="1" thickTop="1" x14ac:dyDescent="0.25">
      <c r="A15" s="2"/>
      <c r="B15" s="20" t="s">
        <v>92</v>
      </c>
      <c r="C15" s="127">
        <v>35.58</v>
      </c>
      <c r="D15" s="23"/>
      <c r="E15" s="192"/>
      <c r="F15" s="128">
        <v>-0.04</v>
      </c>
      <c r="G15" s="124">
        <v>42.492127797302309</v>
      </c>
      <c r="H15" s="125">
        <v>42.492127797302309</v>
      </c>
      <c r="I15" s="125">
        <v>42.492127797302309</v>
      </c>
      <c r="J15" s="125">
        <v>42.492127797302309</v>
      </c>
      <c r="K15" s="125">
        <v>42.492127797302309</v>
      </c>
      <c r="L15" s="125">
        <v>42.492127797302309</v>
      </c>
      <c r="M15" s="125">
        <v>42.492127797302309</v>
      </c>
      <c r="N15" s="125">
        <v>42.492127797302309</v>
      </c>
      <c r="O15" s="126">
        <v>42.492127797302309</v>
      </c>
      <c r="P15" s="117">
        <f t="shared" si="2"/>
        <v>-0.04</v>
      </c>
      <c r="Q15" s="2"/>
      <c r="R15" s="2"/>
      <c r="S15" s="2"/>
      <c r="T15" s="2"/>
      <c r="U15" s="2"/>
      <c r="V15" s="2"/>
      <c r="W15" s="2"/>
      <c r="X15" s="2"/>
      <c r="Y15" s="2"/>
      <c r="Z15" s="2"/>
      <c r="AA15" s="2"/>
      <c r="AB15" s="2"/>
      <c r="AC15" s="2"/>
      <c r="AD15" s="2"/>
      <c r="AE15" s="2"/>
      <c r="AF15" s="2"/>
      <c r="AG15" s="2"/>
      <c r="AH15" s="2"/>
      <c r="AI15" s="2"/>
      <c r="AJ15" s="2"/>
      <c r="AK15" s="2"/>
      <c r="AL15" s="2"/>
      <c r="AM15" s="2"/>
    </row>
    <row r="16" spans="1:45" ht="23.1" customHeight="1" x14ac:dyDescent="0.25">
      <c r="A16" s="2"/>
      <c r="B16" s="20" t="s">
        <v>93</v>
      </c>
      <c r="C16" s="87">
        <f>C14/C15-1</f>
        <v>0.19427003365099238</v>
      </c>
      <c r="D16" s="23"/>
      <c r="E16" s="192"/>
      <c r="F16" s="85"/>
      <c r="G16" s="129">
        <f t="shared" ref="G16:I16" si="3">H16-1%</f>
        <v>-0.04</v>
      </c>
      <c r="H16" s="129">
        <f t="shared" si="3"/>
        <v>-0.03</v>
      </c>
      <c r="I16" s="129">
        <f t="shared" si="3"/>
        <v>-0.02</v>
      </c>
      <c r="J16" s="129">
        <f>K16-1%</f>
        <v>-0.01</v>
      </c>
      <c r="K16" s="129">
        <v>0</v>
      </c>
      <c r="L16" s="129">
        <f>K16+1%</f>
        <v>0.01</v>
      </c>
      <c r="M16" s="129">
        <f t="shared" ref="M16:O16" si="4">L16+1%</f>
        <v>0.02</v>
      </c>
      <c r="N16" s="129">
        <f t="shared" si="4"/>
        <v>0.03</v>
      </c>
      <c r="O16" s="129">
        <f t="shared" si="4"/>
        <v>0.04</v>
      </c>
      <c r="P16" s="117"/>
      <c r="Q16" s="2"/>
      <c r="R16" s="2"/>
      <c r="S16" s="2"/>
      <c r="T16" s="2"/>
      <c r="U16" s="2"/>
      <c r="V16" s="2"/>
      <c r="W16" s="2"/>
      <c r="X16" s="2"/>
      <c r="Y16" s="2"/>
      <c r="Z16" s="2"/>
      <c r="AA16" s="2"/>
      <c r="AB16" s="2"/>
      <c r="AC16" s="2"/>
      <c r="AD16" s="2"/>
      <c r="AE16" s="2"/>
      <c r="AF16" s="2"/>
      <c r="AG16" s="2"/>
      <c r="AH16" s="2"/>
      <c r="AI16" s="2"/>
      <c r="AJ16" s="2"/>
      <c r="AK16" s="2"/>
      <c r="AL16" s="2"/>
      <c r="AM16" s="2"/>
    </row>
    <row r="17" spans="1:39" ht="23.1" customHeight="1" thickBot="1" x14ac:dyDescent="0.3">
      <c r="A17" s="2"/>
      <c r="B17" s="20" t="s">
        <v>105</v>
      </c>
      <c r="C17" s="130">
        <v>0.221</v>
      </c>
      <c r="D17" s="23"/>
      <c r="E17" s="2"/>
      <c r="F17" s="2"/>
      <c r="G17" s="193" t="s">
        <v>122</v>
      </c>
      <c r="H17" s="193"/>
      <c r="I17" s="193"/>
      <c r="J17" s="193"/>
      <c r="K17" s="193"/>
      <c r="L17" s="193"/>
      <c r="M17" s="193"/>
      <c r="N17" s="193"/>
      <c r="O17" s="193"/>
      <c r="P17" s="117"/>
      <c r="Q17" s="2"/>
      <c r="R17" s="2"/>
      <c r="S17" s="2"/>
      <c r="T17" s="2"/>
      <c r="U17" s="2"/>
      <c r="V17" s="2"/>
      <c r="W17" s="2"/>
      <c r="X17" s="2"/>
      <c r="Y17" s="2"/>
      <c r="Z17" s="2"/>
      <c r="AA17" s="2"/>
      <c r="AB17" s="2"/>
      <c r="AC17" s="2"/>
      <c r="AD17" s="2"/>
      <c r="AE17" s="2"/>
      <c r="AF17" s="2"/>
      <c r="AG17" s="2"/>
      <c r="AH17" s="2"/>
      <c r="AI17" s="2"/>
      <c r="AJ17" s="2"/>
      <c r="AK17" s="2"/>
      <c r="AL17" s="2"/>
      <c r="AM17" s="2"/>
    </row>
    <row r="18" spans="1:39" ht="23.1" customHeight="1" x14ac:dyDescent="0.25">
      <c r="A18" s="2"/>
      <c r="B18" s="84" t="s">
        <v>428</v>
      </c>
      <c r="C18" s="183">
        <v>3</v>
      </c>
      <c r="D18" s="2"/>
      <c r="E18" s="2"/>
      <c r="F18" s="2"/>
      <c r="G18" s="2"/>
      <c r="H18" s="2"/>
      <c r="I18" s="2"/>
      <c r="J18" s="2"/>
      <c r="K18" s="83"/>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row>
    <row r="19" spans="1:39" ht="23.1" customHeight="1" x14ac:dyDescent="0.25">
      <c r="A19" s="2"/>
      <c r="B19" s="2"/>
      <c r="C19" s="136"/>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row>
    <row r="20" spans="1:39" ht="23.1" customHeight="1" x14ac:dyDescent="0.25">
      <c r="A20" s="2"/>
      <c r="B20" s="2"/>
      <c r="C20" s="40"/>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row>
    <row r="21" spans="1:39" ht="18" customHeight="1" x14ac:dyDescent="0.25">
      <c r="A21" s="2"/>
      <c r="B21" s="2"/>
      <c r="C21" s="131"/>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row>
    <row r="22" spans="1:39" ht="18"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row>
    <row r="23" spans="1:39" ht="18"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row>
    <row r="24" spans="1:39" ht="18"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row>
    <row r="25" spans="1:39" ht="18"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row>
    <row r="26" spans="1:39" ht="18"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row>
    <row r="27" spans="1:39" ht="18"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row>
    <row r="28" spans="1:39" ht="18"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row>
    <row r="29" spans="1:39" ht="18"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row>
    <row r="30" spans="1:39" ht="18"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row>
    <row r="31" spans="1:39" ht="18"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row>
    <row r="32" spans="1:39" ht="18"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row>
    <row r="33" spans="1:39" ht="18"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row>
    <row r="34" spans="1:39" ht="18"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row>
    <row r="35" spans="1:39" ht="18"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row>
    <row r="36" spans="1:39" ht="18"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row>
    <row r="37" spans="1:39" ht="18"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row>
    <row r="38" spans="1:39" ht="18"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row>
    <row r="39" spans="1:39" ht="18"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row>
    <row r="40" spans="1:39" ht="18"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row>
    <row r="41" spans="1:39" ht="18"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row>
    <row r="42" spans="1:39" ht="18"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row>
    <row r="43" spans="1:39" ht="18"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row>
    <row r="44" spans="1:39" ht="18"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row>
    <row r="45" spans="1:39" ht="18"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row>
    <row r="46" spans="1:39" ht="18"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row>
    <row r="47" spans="1:39" ht="18"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row>
    <row r="48" spans="1:39" ht="18"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row>
    <row r="49" spans="1:39" ht="18"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row>
    <row r="50" spans="1:39" ht="18"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row>
    <row r="51" spans="1:39" ht="18" customHeight="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row>
    <row r="52" spans="1:39" ht="18" customHeight="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row>
    <row r="53" spans="1:39" ht="18" customHeight="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row>
    <row r="54" spans="1:39" ht="18" customHeight="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row>
    <row r="55" spans="1:39" ht="18" customHeight="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row>
    <row r="56" spans="1:39" ht="18" customHeight="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row>
    <row r="57" spans="1:39" ht="18" customHeight="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row>
    <row r="58" spans="1:39" ht="18" customHeight="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row>
    <row r="59" spans="1:39" ht="18" customHeight="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row>
    <row r="60" spans="1:39" ht="18" customHeight="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row>
    <row r="61" spans="1:39" ht="18" customHeight="1"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row>
    <row r="62" spans="1:39" ht="18" customHeight="1"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row>
    <row r="63" spans="1:39" ht="18" customHeight="1"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row>
    <row r="64" spans="1:39" ht="18" customHeight="1"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row>
    <row r="65" spans="1:39" ht="18" customHeight="1"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row>
    <row r="66" spans="1:39" ht="18" customHeight="1"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row>
    <row r="67" spans="1:39" ht="18" customHeight="1"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row>
    <row r="68" spans="1:39" ht="18" customHeight="1"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row>
    <row r="69" spans="1:39" ht="18" customHeight="1"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row>
    <row r="70" spans="1:39" ht="18" customHeight="1"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row>
    <row r="71" spans="1:39" ht="18" customHeight="1"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row>
    <row r="72" spans="1:39" ht="18" customHeight="1"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row>
    <row r="73" spans="1:39" ht="18" customHeight="1"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row>
    <row r="74" spans="1:39" ht="18" customHeight="1"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row>
    <row r="75" spans="1:39" ht="18" customHeight="1"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row>
    <row r="76" spans="1:39" ht="18" customHeight="1"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row>
    <row r="77" spans="1:39" ht="18" customHeight="1"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row>
    <row r="78" spans="1:39" ht="18" customHeight="1"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row>
    <row r="79" spans="1:39" ht="18" customHeight="1"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row>
    <row r="80" spans="1:39" ht="18" customHeight="1"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row>
    <row r="81" spans="1:39" ht="18" customHeight="1"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row>
    <row r="82" spans="1:39" ht="18" customHeight="1"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row>
    <row r="83" spans="1:39" ht="18" customHeight="1"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row>
    <row r="84" spans="1:39" ht="18" customHeight="1"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row>
    <row r="85" spans="1:39" ht="18" customHeight="1"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row>
    <row r="86" spans="1:39" ht="18" customHeight="1"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row>
    <row r="87" spans="1:39" ht="18" customHeight="1"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row>
    <row r="88" spans="1:39" ht="18" customHeight="1"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row>
    <row r="89" spans="1:39" ht="18" customHeight="1"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row>
    <row r="90" spans="1:39" ht="18" customHeight="1"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row>
    <row r="91" spans="1:39" ht="18" customHeight="1"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row>
    <row r="92" spans="1:39" ht="18" customHeight="1"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row>
    <row r="93" spans="1:39" ht="18" customHeight="1"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row>
    <row r="94" spans="1:39" ht="18" customHeight="1"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row>
    <row r="95" spans="1:39" ht="18" customHeight="1"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row>
    <row r="96" spans="1:39" ht="18" customHeight="1"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row>
    <row r="97" spans="1:39" ht="18" customHeight="1"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row>
    <row r="98" spans="1:39" ht="18" customHeight="1"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row>
    <row r="99" spans="1:39" ht="18" customHeight="1"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row>
    <row r="100" spans="1:39" ht="18" customHeight="1"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row>
    <row r="101" spans="1:39" ht="18" customHeight="1"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row>
    <row r="102" spans="1:39" ht="18" customHeight="1"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row>
    <row r="103" spans="1:39" ht="18" customHeight="1"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row>
    <row r="104" spans="1:39" ht="18" customHeight="1"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row>
    <row r="105" spans="1:39" ht="18" customHeight="1"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row>
    <row r="106" spans="1:39" ht="18" customHeight="1"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row>
    <row r="107" spans="1:39" ht="18" customHeight="1"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row>
    <row r="108" spans="1:39" ht="18" customHeight="1"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row>
    <row r="109" spans="1:39" ht="18" customHeight="1"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row>
    <row r="110" spans="1:39" ht="18" customHeight="1"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row>
    <row r="111" spans="1:39" ht="18" customHeight="1"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row>
    <row r="112" spans="1:39" ht="18" customHeight="1"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row>
    <row r="113" spans="1:39" ht="18" customHeight="1"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row>
    <row r="114" spans="1:39" ht="18" customHeight="1"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row>
    <row r="115" spans="1:39" ht="18" customHeight="1"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row>
    <row r="116" spans="1:39" ht="18" customHeight="1"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row>
    <row r="117" spans="1:39" ht="18" customHeight="1"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row>
    <row r="118" spans="1:39" ht="18" customHeight="1"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row>
    <row r="119" spans="1:39" ht="18" customHeight="1"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row>
    <row r="120" spans="1:39" ht="18" customHeight="1"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row>
    <row r="121" spans="1:39" ht="18" customHeight="1"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row>
    <row r="122" spans="1:39" ht="18" customHeight="1"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row>
    <row r="123" spans="1:39" ht="18" customHeight="1"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row>
    <row r="124" spans="1:39" ht="18" customHeight="1"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row>
    <row r="125" spans="1:39" ht="18" customHeight="1"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row>
    <row r="126" spans="1:39" ht="18" customHeight="1"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row>
    <row r="127" spans="1:39" ht="18" customHeight="1"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row>
    <row r="128" spans="1:39" ht="18" customHeight="1"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row>
    <row r="129" spans="1:39" ht="18" customHeight="1"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row>
    <row r="130" spans="1:39" ht="18" customHeight="1"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row>
    <row r="131" spans="1:39" ht="18" customHeight="1"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row>
    <row r="132" spans="1:39" ht="18" customHeight="1"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row>
    <row r="133" spans="1:39" ht="18" customHeight="1"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row>
    <row r="134" spans="1:39" ht="18" customHeight="1"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row>
    <row r="135" spans="1:39" ht="18" customHeight="1"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row>
    <row r="136" spans="1:39" ht="18" customHeight="1"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row>
    <row r="137" spans="1:39" ht="18" customHeight="1"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row>
    <row r="138" spans="1:39" ht="18" customHeight="1"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row>
    <row r="139" spans="1:39" ht="18" customHeight="1"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row>
    <row r="140" spans="1:39" ht="18" customHeight="1"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row>
    <row r="141" spans="1:39" ht="18" customHeight="1"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row>
    <row r="142" spans="1:39" ht="18" customHeight="1"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row>
    <row r="143" spans="1:39" ht="18" customHeight="1"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row>
    <row r="144" spans="1:39" ht="18" customHeight="1"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row>
    <row r="145" spans="1:39" ht="18" customHeight="1"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row>
    <row r="146" spans="1:39" ht="18" customHeight="1"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row>
    <row r="147" spans="1:39" ht="18" customHeight="1"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row>
    <row r="148" spans="1:39" ht="18" customHeight="1"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row>
    <row r="149" spans="1:39" ht="18" customHeight="1"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row>
    <row r="150" spans="1:39" ht="18" customHeight="1"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row>
  </sheetData>
  <mergeCells count="3">
    <mergeCell ref="G5:O5"/>
    <mergeCell ref="E7:E16"/>
    <mergeCell ref="G17:O17"/>
  </mergeCells>
  <conditionalFormatting sqref="B10:B12">
    <cfRule type="cellIs" dxfId="187" priority="14" operator="equal">
      <formula>0</formula>
    </cfRule>
  </conditionalFormatting>
  <conditionalFormatting sqref="C8:C9">
    <cfRule type="cellIs" dxfId="186" priority="11" operator="equal">
      <formula>0</formula>
    </cfRule>
  </conditionalFormatting>
  <conditionalFormatting sqref="C13">
    <cfRule type="cellIs" dxfId="185" priority="10" operator="equal">
      <formula>0</formula>
    </cfRule>
  </conditionalFormatting>
  <conditionalFormatting sqref="C16">
    <cfRule type="cellIs" dxfId="184" priority="9" operator="lessThanOrEqual">
      <formula>0</formula>
    </cfRule>
    <cfRule type="cellIs" dxfId="183" priority="12" operator="greaterThan">
      <formula>0</formula>
    </cfRule>
  </conditionalFormatting>
  <conditionalFormatting sqref="G7:O15">
    <cfRule type="colorScale" priority="2">
      <colorScale>
        <cfvo type="min"/>
        <cfvo type="num" val="$K$11"/>
        <cfvo type="max"/>
        <color rgb="FF920000"/>
        <color rgb="FFD3D3D3"/>
        <color rgb="FF43AF43"/>
      </colorScale>
    </cfRule>
  </conditionalFormatting>
  <conditionalFormatting sqref="C20">
    <cfRule type="cellIs" dxfId="182" priority="1" operator="equal">
      <formula>0</formula>
    </cfRule>
  </conditionalFormatting>
  <pageMargins left="0.511811024" right="0.511811024" top="0.78740157499999996" bottom="0.78740157499999996" header="0.31496062000000002" footer="0.31496062000000002"/>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5520D3-8517-423E-82AE-E802830F1569}">
  <sheetPr codeName="Planilha4"/>
  <dimension ref="A1:BJ287"/>
  <sheetViews>
    <sheetView zoomScale="70" zoomScaleNormal="70" workbookViewId="0">
      <pane xSplit="2" ySplit="7" topLeftCell="J8" activePane="bottomRight" state="frozen"/>
      <selection pane="topRight" activeCell="C1" sqref="C1"/>
      <selection pane="bottomLeft" activeCell="A8" sqref="A8"/>
      <selection pane="bottomRight" activeCell="U19" sqref="U19:AA20"/>
    </sheetView>
  </sheetViews>
  <sheetFormatPr defaultColWidth="12.5703125" defaultRowHeight="15" outlineLevelRow="1" x14ac:dyDescent="0.25"/>
  <cols>
    <col min="1" max="1" width="12.5703125" style="3"/>
    <col min="2" max="2" width="38.85546875" style="3" customWidth="1"/>
    <col min="3" max="8" width="14.140625" style="3" customWidth="1"/>
    <col min="9" max="15" width="14.140625" style="8" customWidth="1"/>
    <col min="16" max="16" width="13.42578125" style="8" bestFit="1" customWidth="1"/>
    <col min="17" max="17" width="14" style="8" bestFit="1" customWidth="1"/>
    <col min="18" max="19" width="14" style="8" customWidth="1"/>
    <col min="20" max="20" width="18.42578125" style="8" bestFit="1" customWidth="1"/>
    <col min="21" max="27" width="15.42578125" style="8" bestFit="1" customWidth="1"/>
    <col min="28" max="28" width="16.42578125" style="8" bestFit="1" customWidth="1"/>
    <col min="29" max="29" width="15.42578125" style="8" bestFit="1" customWidth="1"/>
    <col min="30" max="30" width="14.7109375" style="8" customWidth="1"/>
    <col min="31" max="31" width="65.7109375" style="68" customWidth="1"/>
    <col min="32" max="32" width="12.5703125" style="8"/>
    <col min="33" max="16384" width="12.5703125" style="3"/>
  </cols>
  <sheetData>
    <row r="1" spans="1:62" ht="18" customHeight="1" x14ac:dyDescent="0.25">
      <c r="A1" s="1"/>
      <c r="B1" s="1"/>
      <c r="C1" s="1"/>
      <c r="D1" s="1"/>
      <c r="E1" s="1"/>
      <c r="F1" s="1"/>
      <c r="G1" s="1"/>
      <c r="H1" s="1"/>
      <c r="I1" s="2"/>
      <c r="J1" s="2"/>
      <c r="K1" s="2"/>
      <c r="L1" s="2"/>
      <c r="M1" s="2"/>
      <c r="N1" s="2"/>
      <c r="O1" s="2"/>
      <c r="P1" s="2"/>
      <c r="Q1" s="2"/>
      <c r="R1" s="2"/>
      <c r="S1" s="2"/>
      <c r="T1" s="2"/>
      <c r="U1" s="2"/>
      <c r="V1" s="2"/>
      <c r="W1" s="2"/>
      <c r="X1" s="2"/>
      <c r="Y1" s="2"/>
      <c r="Z1" s="2"/>
      <c r="AA1" s="2"/>
      <c r="AB1" s="2"/>
      <c r="AC1" s="2"/>
      <c r="AD1" s="2"/>
      <c r="AE1" s="66"/>
      <c r="AF1" s="2"/>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row>
    <row r="2" spans="1:62" ht="18" customHeight="1" x14ac:dyDescent="0.25">
      <c r="A2" s="1"/>
      <c r="B2" s="1"/>
      <c r="C2" s="1"/>
      <c r="D2" s="1"/>
      <c r="E2" s="1"/>
      <c r="F2" s="1"/>
      <c r="G2" s="1"/>
      <c r="H2" s="1"/>
      <c r="I2" s="1"/>
      <c r="J2" s="2"/>
      <c r="K2" s="2"/>
      <c r="L2" s="2"/>
      <c r="M2" s="2"/>
      <c r="N2" s="2"/>
      <c r="O2" s="2"/>
      <c r="P2" s="2"/>
      <c r="Q2" s="2"/>
      <c r="R2" s="2"/>
      <c r="S2" s="2"/>
      <c r="T2" s="2"/>
      <c r="U2" s="2"/>
      <c r="V2" s="2"/>
      <c r="W2" s="2"/>
      <c r="X2" s="2"/>
      <c r="Y2" s="2"/>
      <c r="Z2" s="2"/>
      <c r="AA2" s="2"/>
      <c r="AB2" s="2"/>
      <c r="AC2" s="2"/>
      <c r="AD2" s="2"/>
      <c r="AE2" s="66"/>
      <c r="AF2" s="2"/>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row>
    <row r="3" spans="1:62" ht="18" customHeight="1" x14ac:dyDescent="0.25">
      <c r="A3" s="1"/>
      <c r="B3" s="1"/>
      <c r="C3" s="1"/>
      <c r="D3" s="1"/>
      <c r="E3" s="1"/>
      <c r="F3" s="1"/>
      <c r="G3" s="1"/>
      <c r="H3" s="1"/>
      <c r="I3" s="2"/>
      <c r="J3" s="2"/>
      <c r="K3" s="2"/>
      <c r="L3" s="2"/>
      <c r="M3" s="2"/>
      <c r="N3" s="2"/>
      <c r="O3" s="2"/>
      <c r="P3" s="2"/>
      <c r="Q3" s="2"/>
      <c r="R3" s="2"/>
      <c r="S3" s="2"/>
      <c r="T3" s="2"/>
      <c r="U3" s="2"/>
      <c r="V3" s="2"/>
      <c r="W3" s="2"/>
      <c r="X3" s="2"/>
      <c r="Y3" s="2"/>
      <c r="Z3" s="2"/>
      <c r="AA3" s="2"/>
      <c r="AB3" s="2"/>
      <c r="AC3" s="2"/>
      <c r="AD3" s="2"/>
      <c r="AE3" s="66"/>
      <c r="AF3" s="2"/>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row>
    <row r="4" spans="1:62" ht="18" customHeight="1" x14ac:dyDescent="0.25">
      <c r="A4" s="1"/>
      <c r="B4" s="1"/>
      <c r="C4" s="1"/>
      <c r="D4" s="1"/>
      <c r="E4" s="1"/>
      <c r="F4" s="1"/>
      <c r="G4" s="1"/>
      <c r="H4" s="1"/>
      <c r="I4" s="2"/>
      <c r="J4" s="2"/>
      <c r="K4" s="2"/>
      <c r="L4" s="2"/>
      <c r="M4" s="2"/>
      <c r="N4" s="2"/>
      <c r="O4" s="2"/>
      <c r="P4" s="2"/>
      <c r="Q4" s="2"/>
      <c r="R4" s="2"/>
      <c r="S4" s="2"/>
      <c r="T4" s="2"/>
      <c r="U4" s="2"/>
      <c r="V4" s="2"/>
      <c r="W4" s="2"/>
      <c r="X4" s="2"/>
      <c r="Y4" s="2"/>
      <c r="Z4" s="2"/>
      <c r="AA4" s="2"/>
      <c r="AB4" s="2"/>
      <c r="AC4" s="66" t="s">
        <v>415</v>
      </c>
      <c r="AD4" s="197">
        <v>6.8199999999999997E-2</v>
      </c>
      <c r="AE4" s="66"/>
      <c r="AF4" s="2"/>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row>
    <row r="5" spans="1:62" ht="18" customHeight="1" x14ac:dyDescent="0.25">
      <c r="A5" s="1"/>
      <c r="B5" s="1"/>
      <c r="C5" s="1"/>
      <c r="D5" s="1"/>
      <c r="E5" s="1"/>
      <c r="F5" s="1"/>
      <c r="G5" s="1"/>
      <c r="H5" s="1"/>
      <c r="I5" s="2"/>
      <c r="J5" s="2"/>
      <c r="K5" s="2"/>
      <c r="L5" s="2"/>
      <c r="M5" s="2"/>
      <c r="N5" s="2"/>
      <c r="O5" s="2"/>
      <c r="P5" s="2"/>
      <c r="Q5" s="2"/>
      <c r="R5" s="2"/>
      <c r="S5" s="2"/>
      <c r="T5" s="2"/>
      <c r="U5" s="2"/>
      <c r="V5" s="2"/>
      <c r="W5" s="2"/>
      <c r="X5" s="2"/>
      <c r="Y5" s="2"/>
      <c r="Z5" s="2"/>
      <c r="AA5" s="2"/>
      <c r="AB5" s="2"/>
      <c r="AC5" s="2"/>
      <c r="AD5" s="178">
        <f>Dashboard!C14</f>
        <v>42.492127797302309</v>
      </c>
      <c r="AE5" s="66"/>
      <c r="AF5" s="2"/>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row>
    <row r="6" spans="1:62" ht="18" customHeight="1" x14ac:dyDescent="0.25">
      <c r="A6" s="1"/>
      <c r="B6" s="1"/>
      <c r="C6" s="1"/>
      <c r="D6" s="1"/>
      <c r="E6" s="1"/>
      <c r="F6" s="1"/>
      <c r="G6" s="1"/>
      <c r="H6" s="1"/>
      <c r="I6" s="2"/>
      <c r="J6" s="2"/>
      <c r="K6" s="2"/>
      <c r="L6" s="2"/>
      <c r="M6" s="2"/>
      <c r="N6" s="2"/>
      <c r="O6" s="2"/>
      <c r="P6" s="2"/>
      <c r="Q6" s="2"/>
      <c r="R6" s="2"/>
      <c r="S6" s="2"/>
      <c r="T6" s="2"/>
      <c r="U6" s="2"/>
      <c r="V6" s="2"/>
      <c r="W6" s="2"/>
      <c r="X6" s="2"/>
      <c r="Y6" s="2"/>
      <c r="Z6" s="2"/>
      <c r="AA6" s="2"/>
      <c r="AB6" s="2"/>
      <c r="AC6" s="2"/>
      <c r="AD6" s="2"/>
      <c r="AE6" s="66"/>
      <c r="AF6" s="2"/>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row>
    <row r="7" spans="1:62" ht="18" customHeight="1" thickBot="1" x14ac:dyDescent="0.3">
      <c r="A7" s="1"/>
      <c r="B7" s="1"/>
      <c r="C7" s="56">
        <v>2010</v>
      </c>
      <c r="D7" s="56">
        <v>2011</v>
      </c>
      <c r="E7" s="56">
        <v>2012</v>
      </c>
      <c r="F7" s="56">
        <v>2013</v>
      </c>
      <c r="G7" s="56">
        <v>2014</v>
      </c>
      <c r="H7" s="56">
        <v>2015</v>
      </c>
      <c r="I7" s="56">
        <v>2016</v>
      </c>
      <c r="J7" s="56">
        <f t="shared" ref="J7:Q7" si="0">I7+1</f>
        <v>2017</v>
      </c>
      <c r="K7" s="56">
        <f t="shared" si="0"/>
        <v>2018</v>
      </c>
      <c r="L7" s="56">
        <f t="shared" si="0"/>
        <v>2019</v>
      </c>
      <c r="M7" s="56">
        <f t="shared" si="0"/>
        <v>2020</v>
      </c>
      <c r="N7" s="56">
        <f t="shared" si="0"/>
        <v>2021</v>
      </c>
      <c r="O7" s="56">
        <f t="shared" si="0"/>
        <v>2022</v>
      </c>
      <c r="P7" s="56">
        <f t="shared" si="0"/>
        <v>2023</v>
      </c>
      <c r="Q7" s="56">
        <f t="shared" si="0"/>
        <v>2024</v>
      </c>
      <c r="R7" s="56" t="s">
        <v>380</v>
      </c>
      <c r="S7" s="56" t="s">
        <v>455</v>
      </c>
      <c r="T7" s="44" t="s">
        <v>384</v>
      </c>
      <c r="U7" s="44">
        <f>Q7+1</f>
        <v>2025</v>
      </c>
      <c r="V7" s="44">
        <f>U7+1</f>
        <v>2026</v>
      </c>
      <c r="W7" s="44">
        <f t="shared" ref="W7:AB7" si="1">V7+1</f>
        <v>2027</v>
      </c>
      <c r="X7" s="44">
        <f t="shared" si="1"/>
        <v>2028</v>
      </c>
      <c r="Y7" s="44">
        <f t="shared" si="1"/>
        <v>2029</v>
      </c>
      <c r="Z7" s="44">
        <f t="shared" si="1"/>
        <v>2030</v>
      </c>
      <c r="AA7" s="44">
        <f t="shared" si="1"/>
        <v>2031</v>
      </c>
      <c r="AB7" s="44">
        <f t="shared" si="1"/>
        <v>2032</v>
      </c>
      <c r="AC7" s="44">
        <v>2033</v>
      </c>
      <c r="AD7" s="44" t="s">
        <v>106</v>
      </c>
      <c r="AE7" s="50" t="s">
        <v>72</v>
      </c>
      <c r="AF7" s="2"/>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row>
    <row r="8" spans="1:62" ht="18" customHeight="1" x14ac:dyDescent="0.25">
      <c r="A8" s="1"/>
      <c r="B8" s="89" t="s">
        <v>77</v>
      </c>
      <c r="C8" s="90">
        <v>712867</v>
      </c>
      <c r="D8" s="90">
        <v>862619</v>
      </c>
      <c r="E8" s="90">
        <v>1108743</v>
      </c>
      <c r="F8" s="90">
        <v>1232085</v>
      </c>
      <c r="G8" s="90">
        <v>1357995</v>
      </c>
      <c r="H8" s="90">
        <v>1434659</v>
      </c>
      <c r="I8" s="90">
        <v>1554147</v>
      </c>
      <c r="J8" s="90">
        <v>1678873</v>
      </c>
      <c r="K8" s="90">
        <v>1865768</v>
      </c>
      <c r="L8" s="90">
        <v>2063929</v>
      </c>
      <c r="M8" s="90">
        <v>2021609</v>
      </c>
      <c r="N8" s="90">
        <v>3647442</v>
      </c>
      <c r="O8" s="90">
        <v>5229906.7713800445</v>
      </c>
      <c r="P8" s="90">
        <v>6087569</v>
      </c>
      <c r="Q8" s="90">
        <v>10164948</v>
      </c>
      <c r="R8" s="90">
        <f>'Projeções - Receita Líquida'!R8</f>
        <v>3311762.5238766689</v>
      </c>
      <c r="S8" s="90">
        <f>'Projeções - Receita Líquida'!S8</f>
        <v>3620000</v>
      </c>
      <c r="T8" s="141">
        <f>'Projeções - Receita Líquida'!T8</f>
        <v>8517187.6510331854</v>
      </c>
      <c r="U8" s="141">
        <f>'Projeções - Receita Líquida'!U8</f>
        <v>15448950.174909856</v>
      </c>
      <c r="V8" s="141">
        <f>'Projeções - Receita Líquida'!V8</f>
        <v>17405796.210304208</v>
      </c>
      <c r="W8" s="141">
        <f>'Projeções - Receita Líquida'!W8</f>
        <v>19614672.70126706</v>
      </c>
      <c r="X8" s="141">
        <f>'Projeções - Receita Líquida'!X8</f>
        <v>21965772.764564492</v>
      </c>
      <c r="Y8" s="141">
        <f>'Projeções - Receita Líquida'!Y8</f>
        <v>24414664.154848147</v>
      </c>
      <c r="Z8" s="141">
        <f>'Projeções - Receita Líquida'!Z8</f>
        <v>26897509.790623408</v>
      </c>
      <c r="AA8" s="141">
        <f>'Projeções - Receita Líquida'!AA8</f>
        <v>29402608.297066204</v>
      </c>
      <c r="AB8" s="141">
        <f>'Projeções - Receita Líquida'!AB8</f>
        <v>31817710.558135256</v>
      </c>
      <c r="AC8" s="141">
        <f>'Projeções - Receita Líquida'!AC8</f>
        <v>34049489.220220529</v>
      </c>
      <c r="AD8" s="62"/>
      <c r="AE8" s="5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row>
    <row r="9" spans="1:62" ht="18" customHeight="1" x14ac:dyDescent="0.25">
      <c r="A9" s="1"/>
      <c r="B9" s="53" t="s">
        <v>78</v>
      </c>
      <c r="C9" s="61">
        <f t="shared" ref="C9:T9" si="2">C10-C8</f>
        <v>-141342</v>
      </c>
      <c r="D9" s="61">
        <f t="shared" si="2"/>
        <v>-183712</v>
      </c>
      <c r="E9" s="61">
        <f t="shared" si="2"/>
        <v>-248408</v>
      </c>
      <c r="F9" s="61">
        <f t="shared" si="2"/>
        <v>-269135</v>
      </c>
      <c r="G9" s="61">
        <f t="shared" si="2"/>
        <v>-305086</v>
      </c>
      <c r="H9" s="61">
        <f t="shared" si="2"/>
        <v>-314102</v>
      </c>
      <c r="I9" s="61">
        <f t="shared" si="2"/>
        <v>-315037</v>
      </c>
      <c r="J9" s="61">
        <f t="shared" si="2"/>
        <v>-318399</v>
      </c>
      <c r="K9" s="61">
        <f t="shared" si="2"/>
        <v>-339109</v>
      </c>
      <c r="L9" s="61">
        <f t="shared" si="2"/>
        <v>-384694</v>
      </c>
      <c r="M9" s="61">
        <f t="shared" si="2"/>
        <v>-430617</v>
      </c>
      <c r="N9" s="61">
        <f t="shared" si="2"/>
        <v>-723615</v>
      </c>
      <c r="O9" s="61">
        <f t="shared" si="2"/>
        <v>-996180.77138004452</v>
      </c>
      <c r="P9" s="61">
        <f t="shared" si="2"/>
        <v>-1240801</v>
      </c>
      <c r="Q9" s="61">
        <f t="shared" si="2"/>
        <v>-1785195</v>
      </c>
      <c r="R9" s="61">
        <f t="shared" si="2"/>
        <v>-615224.52387666889</v>
      </c>
      <c r="S9" s="61">
        <f t="shared" ref="S9" si="3">S10-S8</f>
        <v>-718615</v>
      </c>
      <c r="T9" s="74">
        <f t="shared" si="2"/>
        <v>-1636500.7299765944</v>
      </c>
      <c r="U9" s="74">
        <f>'Projeções - Receita Líquida'!U109</f>
        <v>-2970340.2538532633</v>
      </c>
      <c r="V9" s="74">
        <f>'Projeções - Receita Líquida'!V109</f>
        <v>-3344366.6349808942</v>
      </c>
      <c r="W9" s="74">
        <f>'Projeções - Receita Líquida'!W109</f>
        <v>-3768782.3151321169</v>
      </c>
      <c r="X9" s="74">
        <f>'Projeções - Receita Líquida'!X109</f>
        <v>-4220524.9709802046</v>
      </c>
      <c r="Y9" s="74">
        <f>'Projeções - Receita Líquida'!Y109</f>
        <v>-4691057.3476323094</v>
      </c>
      <c r="Z9" s="74">
        <f>'Projeções - Receita Líquida'!Z109</f>
        <v>-5168113.7260804847</v>
      </c>
      <c r="AA9" s="74">
        <f>'Projeções - Receita Líquida'!AA109</f>
        <v>-5649445.7927703159</v>
      </c>
      <c r="AB9" s="74">
        <f>'Projeções - Receita Líquida'!AB109</f>
        <v>-6113485.8932286156</v>
      </c>
      <c r="AC9" s="74">
        <f>'Projeções - Receita Líquida'!AC109</f>
        <v>-6542302.0188432354</v>
      </c>
      <c r="AD9" s="62"/>
      <c r="AE9" s="5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row>
    <row r="10" spans="1:62" ht="18" customHeight="1" x14ac:dyDescent="0.25">
      <c r="A10" s="1"/>
      <c r="B10" s="89" t="s">
        <v>0</v>
      </c>
      <c r="C10" s="90">
        <v>571525</v>
      </c>
      <c r="D10" s="90">
        <v>678907</v>
      </c>
      <c r="E10" s="90">
        <v>860335</v>
      </c>
      <c r="F10" s="90">
        <v>962950</v>
      </c>
      <c r="G10" s="90">
        <v>1052909</v>
      </c>
      <c r="H10" s="90">
        <v>1120557</v>
      </c>
      <c r="I10" s="90">
        <v>1239110</v>
      </c>
      <c r="J10" s="90">
        <v>1360474</v>
      </c>
      <c r="K10" s="90">
        <v>1526659</v>
      </c>
      <c r="L10" s="90">
        <v>1679235</v>
      </c>
      <c r="M10" s="90">
        <v>1590992</v>
      </c>
      <c r="N10" s="90">
        <v>2923827</v>
      </c>
      <c r="O10" s="90">
        <v>4233726</v>
      </c>
      <c r="P10" s="90">
        <v>4846768</v>
      </c>
      <c r="Q10" s="90">
        <v>8379753</v>
      </c>
      <c r="R10" s="90">
        <f>'Projeções - Receita Líquida'!R118</f>
        <v>2696538</v>
      </c>
      <c r="S10" s="90">
        <v>2901385</v>
      </c>
      <c r="T10" s="63">
        <f>'Projeções - Receita Líquida'!T118</f>
        <v>6880686.921056591</v>
      </c>
      <c r="U10" s="63">
        <f>'Projeções - Receita Líquida'!U118</f>
        <v>12478609.921056593</v>
      </c>
      <c r="V10" s="63">
        <f>'Projeções - Receita Líquida'!V118</f>
        <v>14061429.575323313</v>
      </c>
      <c r="W10" s="63">
        <f>'Projeções - Receita Líquida'!W118</f>
        <v>15845890.386134943</v>
      </c>
      <c r="X10" s="63">
        <f>'Projeções - Receita Líquida'!X118</f>
        <v>17745247.793584287</v>
      </c>
      <c r="Y10" s="63">
        <f>'Projeções - Receita Líquida'!Y118</f>
        <v>19613810.716090508</v>
      </c>
      <c r="Z10" s="63">
        <f>'Projeções - Receita Líquida'!Z118</f>
        <v>21487472.488016527</v>
      </c>
      <c r="AA10" s="63">
        <f>'Projeções - Receita Líquida'!AA118</f>
        <v>23356479.825464189</v>
      </c>
      <c r="AB10" s="63">
        <f>'Projeções - Receita Líquida'!AB118</f>
        <v>25131870.242878392</v>
      </c>
      <c r="AC10" s="63">
        <f>'Projeções - Receita Líquida'!AC118</f>
        <v>24444682.800347492</v>
      </c>
      <c r="AD10" s="63"/>
      <c r="AE10" s="174">
        <f>Dashboard!C14</f>
        <v>42.492127797302309</v>
      </c>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row>
    <row r="11" spans="1:62" ht="18" customHeight="1" x14ac:dyDescent="0.25">
      <c r="A11" s="1"/>
      <c r="B11" s="48" t="s">
        <v>14</v>
      </c>
      <c r="C11" s="61">
        <v>-339884</v>
      </c>
      <c r="D11" s="61">
        <v>-397483</v>
      </c>
      <c r="E11" s="61">
        <v>-484530</v>
      </c>
      <c r="F11" s="61">
        <v>-537221</v>
      </c>
      <c r="G11" s="61">
        <v>-603610</v>
      </c>
      <c r="H11" s="61">
        <v>-644658</v>
      </c>
      <c r="I11" s="61">
        <v>-689819</v>
      </c>
      <c r="J11" s="61">
        <v>-736706</v>
      </c>
      <c r="K11" s="61">
        <v>-815987</v>
      </c>
      <c r="L11" s="61">
        <v>-903541</v>
      </c>
      <c r="M11" s="61">
        <v>-835779</v>
      </c>
      <c r="N11" s="61">
        <v>-1385147</v>
      </c>
      <c r="O11" s="61">
        <v>-1950092</v>
      </c>
      <c r="P11" s="61">
        <v>-2217707</v>
      </c>
      <c r="Q11" s="61">
        <v>-3914692</v>
      </c>
      <c r="R11" s="61">
        <v>-1219737</v>
      </c>
      <c r="S11" s="61">
        <v>-1280918</v>
      </c>
      <c r="T11" s="61">
        <f>T12-T10</f>
        <v>-3037720.167970113</v>
      </c>
      <c r="U11" s="61">
        <f>T11+R11+S11</f>
        <v>-5538375.1679701135</v>
      </c>
      <c r="V11" s="61">
        <f>V12-V10</f>
        <v>-6241215.0954032149</v>
      </c>
      <c r="W11" s="61">
        <f>W12-W10</f>
        <v>-7033254.3180109859</v>
      </c>
      <c r="X11" s="61">
        <f>X12-X10</f>
        <v>-7876290.8001437914</v>
      </c>
      <c r="Y11" s="61">
        <f>X11*(1+'Projeções - Receita Líquida'!Y9)</f>
        <v>-8754392.4237278458</v>
      </c>
      <c r="Z11" s="61">
        <f>Y11*(1+'Projeções - Receita Líquida'!Z9)</f>
        <v>-9644669.0576909017</v>
      </c>
      <c r="AA11" s="61">
        <f>Z11*(1+'Projeções - Receita Líquida'!AA9)</f>
        <v>-10542924.927458411</v>
      </c>
      <c r="AB11" s="61">
        <f>AA11*(1+'Projeções - Receita Líquida'!AB9)</f>
        <v>-11408910.74658476</v>
      </c>
      <c r="AC11" s="61">
        <f>AB11*(1+'Projeções - Receita Líquida'!AC9)*(1-AD4)</f>
        <v>-11376497.175230887</v>
      </c>
      <c r="AD11" s="62"/>
      <c r="AE11" s="5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row>
    <row r="12" spans="1:62" ht="18" customHeight="1" x14ac:dyDescent="0.25">
      <c r="A12" s="1"/>
      <c r="B12" s="89" t="s">
        <v>15</v>
      </c>
      <c r="C12" s="90">
        <f t="shared" ref="C12:S12" si="4">C11+C10</f>
        <v>231641</v>
      </c>
      <c r="D12" s="90">
        <f t="shared" si="4"/>
        <v>281424</v>
      </c>
      <c r="E12" s="90">
        <f t="shared" si="4"/>
        <v>375805</v>
      </c>
      <c r="F12" s="90">
        <f t="shared" si="4"/>
        <v>425729</v>
      </c>
      <c r="G12" s="90">
        <f t="shared" si="4"/>
        <v>449299</v>
      </c>
      <c r="H12" s="90">
        <f t="shared" si="4"/>
        <v>475899</v>
      </c>
      <c r="I12" s="90">
        <f t="shared" si="4"/>
        <v>549291</v>
      </c>
      <c r="J12" s="90">
        <f t="shared" si="4"/>
        <v>623768</v>
      </c>
      <c r="K12" s="90">
        <f t="shared" si="4"/>
        <v>710672</v>
      </c>
      <c r="L12" s="90">
        <f t="shared" si="4"/>
        <v>775694</v>
      </c>
      <c r="M12" s="90">
        <f t="shared" si="4"/>
        <v>755213</v>
      </c>
      <c r="N12" s="90">
        <f t="shared" si="4"/>
        <v>1538680</v>
      </c>
      <c r="O12" s="90">
        <f t="shared" si="4"/>
        <v>2283634</v>
      </c>
      <c r="P12" s="90">
        <f t="shared" si="4"/>
        <v>2629061</v>
      </c>
      <c r="Q12" s="90">
        <f t="shared" si="4"/>
        <v>4465061</v>
      </c>
      <c r="R12" s="90">
        <f t="shared" si="4"/>
        <v>1476801</v>
      </c>
      <c r="S12" s="90">
        <f t="shared" si="4"/>
        <v>1620467</v>
      </c>
      <c r="T12" s="63">
        <f>T13*T10</f>
        <v>3842966.753086478</v>
      </c>
      <c r="U12" s="63">
        <f>T12+R12+S12</f>
        <v>6940234.7530864775</v>
      </c>
      <c r="V12" s="63">
        <f>V13*V10</f>
        <v>7820214.4799200986</v>
      </c>
      <c r="W12" s="63">
        <f>W13*W10</f>
        <v>8812636.0681239571</v>
      </c>
      <c r="X12" s="63">
        <f>X13*X10</f>
        <v>9868956.9934404958</v>
      </c>
      <c r="Y12" s="63">
        <f>Y11+Y10</f>
        <v>10859418.292362662</v>
      </c>
      <c r="Z12" s="63">
        <f>Z11+Z10</f>
        <v>11842803.430325625</v>
      </c>
      <c r="AA12" s="63">
        <f>AA11+AA10</f>
        <v>12813554.898005778</v>
      </c>
      <c r="AB12" s="63">
        <f>AB11+AB10</f>
        <v>13722959.496293632</v>
      </c>
      <c r="AC12" s="63">
        <f>AC11+AC10</f>
        <v>13068185.625116605</v>
      </c>
      <c r="AD12" s="62"/>
      <c r="AE12" s="5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row>
    <row r="13" spans="1:62" ht="18" customHeight="1" x14ac:dyDescent="0.25">
      <c r="A13" s="1"/>
      <c r="B13" s="48" t="s">
        <v>85</v>
      </c>
      <c r="C13" s="88">
        <f t="shared" ref="C13:S13" si="5">C12/C10</f>
        <v>0.4053033550588338</v>
      </c>
      <c r="D13" s="88">
        <f t="shared" si="5"/>
        <v>0.41452511168687317</v>
      </c>
      <c r="E13" s="88">
        <f t="shared" si="5"/>
        <v>0.43681240447035169</v>
      </c>
      <c r="F13" s="88">
        <f t="shared" si="5"/>
        <v>0.44210914377693544</v>
      </c>
      <c r="G13" s="88">
        <f t="shared" si="5"/>
        <v>0.42672158752560763</v>
      </c>
      <c r="H13" s="88">
        <f t="shared" si="5"/>
        <v>0.42469860970927853</v>
      </c>
      <c r="I13" s="88">
        <f t="shared" si="5"/>
        <v>0.44329478415959844</v>
      </c>
      <c r="J13" s="88">
        <f t="shared" si="5"/>
        <v>0.45849314283110149</v>
      </c>
      <c r="K13" s="88">
        <f t="shared" si="5"/>
        <v>0.46550801455989843</v>
      </c>
      <c r="L13" s="88">
        <f t="shared" si="5"/>
        <v>0.46193296352208002</v>
      </c>
      <c r="M13" s="88">
        <f t="shared" si="5"/>
        <v>0.47468057664651991</v>
      </c>
      <c r="N13" s="88">
        <f t="shared" si="5"/>
        <v>0.52625548638821651</v>
      </c>
      <c r="O13" s="88">
        <f t="shared" si="5"/>
        <v>0.53939107065502112</v>
      </c>
      <c r="P13" s="88">
        <f t="shared" si="5"/>
        <v>0.54243590780495377</v>
      </c>
      <c r="Q13" s="88">
        <f t="shared" si="5"/>
        <v>0.53283921375725518</v>
      </c>
      <c r="R13" s="169">
        <f t="shared" si="5"/>
        <v>0.5476655622876444</v>
      </c>
      <c r="S13" s="88">
        <f t="shared" si="5"/>
        <v>0.55851498508470954</v>
      </c>
      <c r="T13" s="190">
        <f>S13</f>
        <v>0.55851498508470954</v>
      </c>
      <c r="U13" s="185">
        <f>U12/U10</f>
        <v>0.55617050272365853</v>
      </c>
      <c r="V13" s="186">
        <v>0.55614647415679208</v>
      </c>
      <c r="W13" s="190">
        <f t="shared" ref="W13:X13" si="6">V13</f>
        <v>0.55614647415679208</v>
      </c>
      <c r="X13" s="190">
        <f t="shared" si="6"/>
        <v>0.55614647415679208</v>
      </c>
      <c r="Y13" s="190">
        <f>Y12/Y10</f>
        <v>0.55366182785958884</v>
      </c>
      <c r="Z13" s="190">
        <f>Z12/Z10</f>
        <v>0.55114920737794115</v>
      </c>
      <c r="AA13" s="190">
        <f>AA12/AA10</f>
        <v>0.54860813760282134</v>
      </c>
      <c r="AB13" s="190">
        <f>AB12/AB10</f>
        <v>0.54603813260504563</v>
      </c>
      <c r="AC13" s="190">
        <f>AC12/AC10</f>
        <v>0.53460238088795475</v>
      </c>
      <c r="AD13" s="64"/>
      <c r="AE13" s="5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row>
    <row r="14" spans="1:62" ht="18" customHeight="1" x14ac:dyDescent="0.25">
      <c r="A14" s="1"/>
      <c r="B14" s="48" t="s">
        <v>84</v>
      </c>
      <c r="C14" s="61">
        <f t="shared" ref="C14:S14" si="7">C16+C17+C18+C19</f>
        <v>-138821</v>
      </c>
      <c r="D14" s="61">
        <f t="shared" si="7"/>
        <v>-167753</v>
      </c>
      <c r="E14" s="61">
        <f t="shared" si="7"/>
        <v>-247600</v>
      </c>
      <c r="F14" s="61">
        <f t="shared" si="7"/>
        <v>-277239</v>
      </c>
      <c r="G14" s="61">
        <f t="shared" si="7"/>
        <v>-301229</v>
      </c>
      <c r="H14" s="61">
        <f t="shared" si="7"/>
        <v>-334611</v>
      </c>
      <c r="I14" s="61">
        <f t="shared" si="7"/>
        <v>-397965</v>
      </c>
      <c r="J14" s="61">
        <f t="shared" si="7"/>
        <v>-450135</v>
      </c>
      <c r="K14" s="61">
        <f t="shared" si="7"/>
        <v>-519393</v>
      </c>
      <c r="L14" s="61">
        <f t="shared" si="7"/>
        <v>-552592</v>
      </c>
      <c r="M14" s="61">
        <f t="shared" si="7"/>
        <v>-663104</v>
      </c>
      <c r="N14" s="61">
        <f t="shared" si="7"/>
        <v>-1070155</v>
      </c>
      <c r="O14" s="61">
        <f t="shared" si="7"/>
        <v>-1733505</v>
      </c>
      <c r="P14" s="61">
        <f t="shared" si="7"/>
        <v>-2070277</v>
      </c>
      <c r="Q14" s="61">
        <f t="shared" si="7"/>
        <v>-4081422</v>
      </c>
      <c r="R14" s="61">
        <f t="shared" si="7"/>
        <v>-1200747</v>
      </c>
      <c r="S14" s="61">
        <f t="shared" si="7"/>
        <v>-1258562</v>
      </c>
      <c r="T14" s="63">
        <f>T15*T10</f>
        <v>-2984702.5102627971</v>
      </c>
      <c r="U14" s="63">
        <f>T14+R14+S14</f>
        <v>-5444011.5102627967</v>
      </c>
      <c r="V14" s="63">
        <f>V15*V10</f>
        <v>-6075425.8105384074</v>
      </c>
      <c r="W14" s="63">
        <f t="shared" ref="W14:X14" si="8">W15*W10</f>
        <v>-6846425.6018345207</v>
      </c>
      <c r="X14" s="63">
        <f t="shared" si="8"/>
        <v>-7667067.9806795418</v>
      </c>
      <c r="Y14" s="63">
        <f>X14*(1+'Projeções - Receita Líquida'!Y9)+120000</f>
        <v>-8401844.0437778104</v>
      </c>
      <c r="Z14" s="63">
        <f>Y14*(1+'Projeções - Receita Líquida'!Z9)+80000</f>
        <v>-9176268.322737867</v>
      </c>
      <c r="AA14" s="63">
        <f>Z14*(1+'Projeções - Receita Líquida'!AA9)+80000</f>
        <v>-9950899.7086523529</v>
      </c>
      <c r="AB14" s="63">
        <f>AA14*(1+'Projeções - Receita Líquida'!AB9)</f>
        <v>-10768257.139776435</v>
      </c>
      <c r="AC14" s="63">
        <f>AB14*(1+'Projeções - Receita Líquida'!AC9)*(1-AD4)</f>
        <v>-10737663.713382816</v>
      </c>
      <c r="AD14" s="172"/>
      <c r="AE14" s="5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row>
    <row r="15" spans="1:62" ht="18" customHeight="1" x14ac:dyDescent="0.25">
      <c r="A15" s="1"/>
      <c r="B15" s="161" t="s">
        <v>100</v>
      </c>
      <c r="C15" s="158">
        <f t="shared" ref="C15:P15" si="9">C14/C8</f>
        <v>-0.19473618501066819</v>
      </c>
      <c r="D15" s="158">
        <f t="shared" si="9"/>
        <v>-0.1944694007435496</v>
      </c>
      <c r="E15" s="158">
        <f t="shared" si="9"/>
        <v>-0.22331595329124965</v>
      </c>
      <c r="F15" s="158">
        <f t="shared" si="9"/>
        <v>-0.22501613119224728</v>
      </c>
      <c r="G15" s="158">
        <f t="shared" si="9"/>
        <v>-0.22181893158664059</v>
      </c>
      <c r="H15" s="158">
        <f t="shared" si="9"/>
        <v>-0.23323382071976687</v>
      </c>
      <c r="I15" s="158">
        <f t="shared" si="9"/>
        <v>-0.25606651108292844</v>
      </c>
      <c r="J15" s="158">
        <f t="shared" si="9"/>
        <v>-0.26811736206371772</v>
      </c>
      <c r="K15" s="158">
        <f t="shared" si="9"/>
        <v>-0.27838027021580392</v>
      </c>
      <c r="L15" s="158">
        <f t="shared" si="9"/>
        <v>-0.26773789214648375</v>
      </c>
      <c r="M15" s="158">
        <f t="shared" si="9"/>
        <v>-0.32800803716247801</v>
      </c>
      <c r="N15" s="158">
        <f t="shared" si="9"/>
        <v>-0.29339877097428829</v>
      </c>
      <c r="O15" s="158">
        <f t="shared" si="9"/>
        <v>-0.33146001941877262</v>
      </c>
      <c r="P15" s="158">
        <f t="shared" si="9"/>
        <v>-0.34008271610555874</v>
      </c>
      <c r="Q15" s="158">
        <f>Q14/Q$10</f>
        <v>-0.48705755408303802</v>
      </c>
      <c r="R15" s="158">
        <f>R14/R$10</f>
        <v>-0.4452920745044201</v>
      </c>
      <c r="S15" s="187">
        <f>S14/S$10</f>
        <v>-0.43377972933616188</v>
      </c>
      <c r="T15" s="144">
        <f>S15</f>
        <v>-0.43377972933616188</v>
      </c>
      <c r="U15" s="144">
        <f>U14/U10</f>
        <v>-0.43626746446144538</v>
      </c>
      <c r="V15" s="144">
        <f>AVERAGE('DRE Pro Forma'!O18:P18)</f>
        <v>-0.43206316811487611</v>
      </c>
      <c r="W15" s="144">
        <f>V15</f>
        <v>-0.43206316811487611</v>
      </c>
      <c r="X15" s="144">
        <f>W15</f>
        <v>-0.43206316811487611</v>
      </c>
      <c r="Y15" s="144">
        <f>Y14/Y10</f>
        <v>-0.42836367523855123</v>
      </c>
      <c r="Z15" s="144">
        <f>Z14/Z10</f>
        <v>-0.42705201032161566</v>
      </c>
      <c r="AA15" s="144">
        <f>AA14/AA10</f>
        <v>-0.42604449741623629</v>
      </c>
      <c r="AB15" s="144">
        <f>AB14/AB10</f>
        <v>-0.42847018688662181</v>
      </c>
      <c r="AC15" s="144">
        <f>AC14/AC10</f>
        <v>-0.43926377777461589</v>
      </c>
      <c r="AD15" s="62"/>
      <c r="AE15" s="5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row>
    <row r="16" spans="1:62" x14ac:dyDescent="0.25">
      <c r="A16" s="1"/>
      <c r="B16" s="53" t="s">
        <v>16</v>
      </c>
      <c r="C16" s="61">
        <v>-96597</v>
      </c>
      <c r="D16" s="61">
        <v>-121224</v>
      </c>
      <c r="E16" s="61">
        <v>-178526</v>
      </c>
      <c r="F16" s="61">
        <v>-204438</v>
      </c>
      <c r="G16" s="61">
        <v>-221352</v>
      </c>
      <c r="H16" s="61">
        <v>-249242</v>
      </c>
      <c r="I16" s="61">
        <v>-302708</v>
      </c>
      <c r="J16" s="61">
        <v>-334215</v>
      </c>
      <c r="K16" s="61">
        <v>-378922</v>
      </c>
      <c r="L16" s="61">
        <v>-424366</v>
      </c>
      <c r="M16" s="61">
        <v>-529953</v>
      </c>
      <c r="N16" s="61">
        <v>-884411</v>
      </c>
      <c r="O16" s="61">
        <v>-1489371</v>
      </c>
      <c r="P16" s="61">
        <v>-1713632</v>
      </c>
      <c r="Q16" s="61">
        <v>-2834836</v>
      </c>
      <c r="R16" s="61">
        <v>-911602</v>
      </c>
      <c r="S16" s="61">
        <v>-881304</v>
      </c>
      <c r="T16" s="62"/>
      <c r="U16" s="62">
        <v>0</v>
      </c>
      <c r="V16" s="62">
        <v>0</v>
      </c>
      <c r="W16" s="62">
        <v>0</v>
      </c>
      <c r="X16" s="62">
        <v>0</v>
      </c>
      <c r="Y16" s="62">
        <v>0</v>
      </c>
      <c r="Z16" s="62">
        <v>0</v>
      </c>
      <c r="AA16" s="62">
        <v>0</v>
      </c>
      <c r="AB16" s="62">
        <v>0</v>
      </c>
      <c r="AC16" s="62">
        <v>0</v>
      </c>
      <c r="AD16" s="62"/>
      <c r="AE16" s="5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row>
    <row r="17" spans="1:62" x14ac:dyDescent="0.25">
      <c r="A17" s="1"/>
      <c r="B17" s="53" t="s">
        <v>17</v>
      </c>
      <c r="C17" s="61">
        <v>-45679</v>
      </c>
      <c r="D17" s="61">
        <v>-48197</v>
      </c>
      <c r="E17" s="61">
        <v>-64326</v>
      </c>
      <c r="F17" s="61">
        <v>-73812</v>
      </c>
      <c r="G17" s="61">
        <v>-76169</v>
      </c>
      <c r="H17" s="61">
        <v>-82893</v>
      </c>
      <c r="I17" s="61">
        <v>-92846</v>
      </c>
      <c r="J17" s="61">
        <v>-113816</v>
      </c>
      <c r="K17" s="61">
        <v>-140865</v>
      </c>
      <c r="L17" s="61">
        <v>-184012</v>
      </c>
      <c r="M17" s="61">
        <v>-162234</v>
      </c>
      <c r="N17" s="61">
        <v>-316217</v>
      </c>
      <c r="O17" s="61">
        <v>-330240</v>
      </c>
      <c r="P17" s="61">
        <v>-395572</v>
      </c>
      <c r="Q17" s="61">
        <v>-1048954</v>
      </c>
      <c r="R17" s="61">
        <v>-325086</v>
      </c>
      <c r="S17" s="61">
        <v>-386762</v>
      </c>
      <c r="T17" s="62"/>
      <c r="U17" s="62">
        <v>0</v>
      </c>
      <c r="V17" s="62">
        <v>0</v>
      </c>
      <c r="W17" s="62">
        <v>0</v>
      </c>
      <c r="X17" s="62">
        <v>0</v>
      </c>
      <c r="Y17" s="62">
        <v>0</v>
      </c>
      <c r="Z17" s="62">
        <v>0</v>
      </c>
      <c r="AA17" s="62">
        <v>0</v>
      </c>
      <c r="AB17" s="62">
        <v>0</v>
      </c>
      <c r="AC17" s="62">
        <v>0</v>
      </c>
      <c r="AD17" s="62"/>
      <c r="AE17" s="5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row>
    <row r="18" spans="1:62" collapsed="1" x14ac:dyDescent="0.25">
      <c r="A18" s="22"/>
      <c r="B18" s="53" t="s">
        <v>25</v>
      </c>
      <c r="C18" s="61">
        <v>3455</v>
      </c>
      <c r="D18" s="61">
        <v>1668</v>
      </c>
      <c r="E18" s="61">
        <v>-4748</v>
      </c>
      <c r="F18" s="61">
        <v>1011</v>
      </c>
      <c r="G18" s="61">
        <v>-3708</v>
      </c>
      <c r="H18" s="61">
        <v>-2476</v>
      </c>
      <c r="I18" s="61">
        <v>-2411</v>
      </c>
      <c r="J18" s="61">
        <v>-2104</v>
      </c>
      <c r="K18" s="61">
        <v>394</v>
      </c>
      <c r="L18" s="61">
        <v>55786</v>
      </c>
      <c r="M18" s="61">
        <v>29083</v>
      </c>
      <c r="N18" s="61">
        <f>146163-15690</f>
        <v>130473</v>
      </c>
      <c r="O18" s="61">
        <f>104981-18875</f>
        <v>86106</v>
      </c>
      <c r="P18" s="61">
        <f>-29098+68025</f>
        <v>38927</v>
      </c>
      <c r="Q18" s="61">
        <f>49295-246927</f>
        <v>-197632</v>
      </c>
      <c r="R18" s="61">
        <f>54790-17001</f>
        <v>37789</v>
      </c>
      <c r="S18" s="61">
        <f>23072-15144</f>
        <v>7928</v>
      </c>
      <c r="T18" s="62"/>
      <c r="U18" s="62">
        <v>0</v>
      </c>
      <c r="V18" s="62">
        <v>0</v>
      </c>
      <c r="W18" s="62">
        <v>0</v>
      </c>
      <c r="X18" s="62">
        <v>0</v>
      </c>
      <c r="Y18" s="62">
        <v>0</v>
      </c>
      <c r="Z18" s="62">
        <v>0</v>
      </c>
      <c r="AA18" s="62">
        <v>0</v>
      </c>
      <c r="AB18" s="62">
        <v>0</v>
      </c>
      <c r="AC18" s="62">
        <v>0</v>
      </c>
      <c r="AD18" s="62" t="s">
        <v>413</v>
      </c>
      <c r="AE18" s="51"/>
      <c r="AF18" s="4"/>
      <c r="AG18" s="1"/>
      <c r="AH18" s="1"/>
      <c r="AI18" s="5"/>
      <c r="AJ18" s="5"/>
      <c r="AK18" s="5"/>
      <c r="AL18" s="1"/>
      <c r="AM18" s="1"/>
      <c r="AN18" s="1"/>
      <c r="AO18" s="1"/>
      <c r="AP18" s="1"/>
      <c r="AQ18" s="1"/>
      <c r="AR18" s="1"/>
      <c r="AS18" s="1"/>
      <c r="AT18" s="1"/>
      <c r="AU18" s="1"/>
      <c r="AV18" s="1"/>
      <c r="AW18" s="1"/>
      <c r="AX18" s="1"/>
      <c r="AY18" s="1"/>
      <c r="AZ18" s="1"/>
      <c r="BA18" s="1"/>
      <c r="BB18" s="1"/>
      <c r="BC18" s="1"/>
      <c r="BD18" s="1"/>
      <c r="BE18" s="1"/>
      <c r="BF18" s="1"/>
      <c r="BG18" s="1"/>
      <c r="BH18" s="1"/>
      <c r="BI18" s="1"/>
      <c r="BJ18" s="1"/>
    </row>
    <row r="19" spans="1:62" x14ac:dyDescent="0.25">
      <c r="A19" s="22"/>
      <c r="B19" s="53" t="s">
        <v>300</v>
      </c>
      <c r="C19" s="61">
        <v>0</v>
      </c>
      <c r="D19" s="61">
        <v>0</v>
      </c>
      <c r="E19" s="61">
        <v>0</v>
      </c>
      <c r="F19" s="61">
        <v>0</v>
      </c>
      <c r="G19" s="61">
        <v>0</v>
      </c>
      <c r="H19" s="61">
        <v>0</v>
      </c>
      <c r="I19" s="61">
        <v>0</v>
      </c>
      <c r="J19" s="61">
        <v>0</v>
      </c>
      <c r="K19" s="61">
        <v>0</v>
      </c>
      <c r="L19" s="61">
        <v>0</v>
      </c>
      <c r="M19" s="61">
        <v>0</v>
      </c>
      <c r="N19" s="61">
        <v>0</v>
      </c>
      <c r="O19" s="61">
        <v>0</v>
      </c>
      <c r="P19" s="61">
        <v>0</v>
      </c>
      <c r="Q19" s="61">
        <v>0</v>
      </c>
      <c r="R19" s="61">
        <v>-1848</v>
      </c>
      <c r="S19" s="61">
        <v>1576</v>
      </c>
      <c r="T19" s="62"/>
      <c r="U19" s="62"/>
      <c r="V19" s="62"/>
      <c r="W19" s="62"/>
      <c r="X19" s="62"/>
      <c r="Y19" s="62"/>
      <c r="Z19" s="62"/>
      <c r="AA19" s="62"/>
      <c r="AB19" s="62"/>
      <c r="AC19" s="62"/>
      <c r="AD19" s="62"/>
      <c r="AE19" s="51"/>
      <c r="AF19" s="4"/>
      <c r="AG19" s="1"/>
      <c r="AH19" s="1"/>
      <c r="AI19" s="5"/>
      <c r="AJ19" s="5"/>
      <c r="AK19" s="5"/>
      <c r="AL19" s="1"/>
      <c r="AM19" s="1"/>
      <c r="AN19" s="1"/>
      <c r="AO19" s="1"/>
      <c r="AP19" s="1"/>
      <c r="AQ19" s="1"/>
      <c r="AR19" s="1"/>
      <c r="AS19" s="1"/>
      <c r="AT19" s="1"/>
      <c r="AU19" s="1"/>
      <c r="AV19" s="1"/>
      <c r="AW19" s="1"/>
      <c r="AX19" s="1"/>
      <c r="AY19" s="1"/>
      <c r="AZ19" s="1"/>
      <c r="BA19" s="1"/>
      <c r="BB19" s="1"/>
      <c r="BC19" s="1"/>
      <c r="BD19" s="1"/>
      <c r="BE19" s="1"/>
      <c r="BF19" s="1"/>
      <c r="BG19" s="1"/>
      <c r="BH19" s="1"/>
      <c r="BI19" s="1"/>
      <c r="BJ19" s="1"/>
    </row>
    <row r="20" spans="1:62" x14ac:dyDescent="0.25">
      <c r="A20" s="6"/>
      <c r="B20" s="89" t="s">
        <v>18</v>
      </c>
      <c r="C20" s="90">
        <f t="shared" ref="C20:AC20" si="10">C12+C14</f>
        <v>92820</v>
      </c>
      <c r="D20" s="90">
        <f t="shared" si="10"/>
        <v>113671</v>
      </c>
      <c r="E20" s="90">
        <f t="shared" si="10"/>
        <v>128205</v>
      </c>
      <c r="F20" s="90">
        <f t="shared" si="10"/>
        <v>148490</v>
      </c>
      <c r="G20" s="90">
        <f t="shared" si="10"/>
        <v>148070</v>
      </c>
      <c r="H20" s="90">
        <f t="shared" si="10"/>
        <v>141288</v>
      </c>
      <c r="I20" s="90">
        <f t="shared" si="10"/>
        <v>151326</v>
      </c>
      <c r="J20" s="90">
        <f t="shared" si="10"/>
        <v>173633</v>
      </c>
      <c r="K20" s="90">
        <f t="shared" si="10"/>
        <v>191279</v>
      </c>
      <c r="L20" s="90">
        <f t="shared" si="10"/>
        <v>223102</v>
      </c>
      <c r="M20" s="90">
        <f t="shared" si="10"/>
        <v>92109</v>
      </c>
      <c r="N20" s="90">
        <f t="shared" si="10"/>
        <v>468525</v>
      </c>
      <c r="O20" s="90">
        <f t="shared" si="10"/>
        <v>550129</v>
      </c>
      <c r="P20" s="90">
        <f t="shared" si="10"/>
        <v>558784</v>
      </c>
      <c r="Q20" s="90">
        <f t="shared" si="10"/>
        <v>383639</v>
      </c>
      <c r="R20" s="90">
        <f t="shared" si="10"/>
        <v>276054</v>
      </c>
      <c r="S20" s="90">
        <f t="shared" si="10"/>
        <v>361905</v>
      </c>
      <c r="T20" s="63">
        <f t="shared" si="10"/>
        <v>858264.24282368086</v>
      </c>
      <c r="U20" s="63">
        <f t="shared" si="10"/>
        <v>1496223.2428236809</v>
      </c>
      <c r="V20" s="63">
        <f t="shared" si="10"/>
        <v>1744788.6693816911</v>
      </c>
      <c r="W20" s="63">
        <f t="shared" si="10"/>
        <v>1966210.4662894364</v>
      </c>
      <c r="X20" s="63">
        <f t="shared" si="10"/>
        <v>2201889.012760954</v>
      </c>
      <c r="Y20" s="63">
        <f t="shared" si="10"/>
        <v>2457574.2485848516</v>
      </c>
      <c r="Z20" s="63">
        <f t="shared" si="10"/>
        <v>2666535.1075877585</v>
      </c>
      <c r="AA20" s="63">
        <f t="shared" si="10"/>
        <v>2862655.1893534251</v>
      </c>
      <c r="AB20" s="63">
        <f t="shared" si="10"/>
        <v>2954702.3565171976</v>
      </c>
      <c r="AC20" s="63">
        <f t="shared" si="10"/>
        <v>2330521.9117337894</v>
      </c>
      <c r="AD20" s="62"/>
      <c r="AE20" s="40"/>
      <c r="AF20" s="23"/>
      <c r="AG20" s="4"/>
      <c r="AH20" s="4"/>
      <c r="AI20" s="1"/>
      <c r="AJ20" s="1"/>
      <c r="AK20" s="5"/>
      <c r="AL20" s="5"/>
      <c r="AM20" s="5"/>
      <c r="AN20" s="1"/>
      <c r="AO20" s="1"/>
      <c r="AP20" s="1"/>
      <c r="AQ20" s="1"/>
      <c r="AR20" s="1"/>
      <c r="AS20" s="1"/>
      <c r="AT20" s="1"/>
      <c r="AU20" s="1"/>
      <c r="AV20" s="1"/>
      <c r="AW20" s="1"/>
      <c r="AX20" s="1"/>
      <c r="AY20" s="1"/>
      <c r="AZ20" s="1"/>
      <c r="BA20" s="1"/>
      <c r="BB20" s="1"/>
      <c r="BC20" s="1"/>
      <c r="BD20" s="1"/>
      <c r="BE20" s="1"/>
      <c r="BF20" s="1"/>
      <c r="BG20" s="1"/>
      <c r="BH20" s="1"/>
      <c r="BI20" s="1"/>
      <c r="BJ20" s="1"/>
    </row>
    <row r="21" spans="1:62" x14ac:dyDescent="0.25">
      <c r="A21" s="7"/>
      <c r="B21" s="53" t="s">
        <v>23</v>
      </c>
      <c r="C21" s="61">
        <f>'Custos e Despesas'!C41</f>
        <v>628</v>
      </c>
      <c r="D21" s="61">
        <f>'Custos e Despesas'!D41</f>
        <v>0</v>
      </c>
      <c r="E21" s="61">
        <f>'Custos e Despesas'!E41</f>
        <v>0</v>
      </c>
      <c r="F21" s="61">
        <f>'Custos e Despesas'!F41</f>
        <v>1112</v>
      </c>
      <c r="G21" s="61">
        <f>'Custos e Despesas'!G41</f>
        <v>0</v>
      </c>
      <c r="H21" s="61">
        <f>'Custos e Despesas'!H41</f>
        <v>0</v>
      </c>
      <c r="I21" s="61">
        <f>'Custos e Despesas'!I41</f>
        <v>0</v>
      </c>
      <c r="J21" s="61">
        <f>'Custos e Despesas'!J41</f>
        <v>0</v>
      </c>
      <c r="K21" s="61">
        <f>'Custos e Despesas'!K41</f>
        <v>0</v>
      </c>
      <c r="L21" s="61">
        <f>'Custos e Despesas'!L41</f>
        <v>54565</v>
      </c>
      <c r="M21" s="61">
        <f>'Custos e Despesas'!M41</f>
        <v>52272</v>
      </c>
      <c r="N21" s="61">
        <f>'Custos e Despesas'!N41</f>
        <v>133262</v>
      </c>
      <c r="O21" s="61">
        <f>'Custos e Despesas'!O41</f>
        <v>95411</v>
      </c>
      <c r="P21" s="61">
        <f>'Custos e Despesas'!P41</f>
        <v>47655</v>
      </c>
      <c r="Q21" s="61">
        <f>'Custos e Despesas'!Q41</f>
        <v>3926</v>
      </c>
      <c r="R21" s="61">
        <f>'Custos e Despesas'!R41</f>
        <v>29089</v>
      </c>
      <c r="S21" s="61">
        <f>'Custos e Despesas'!S41</f>
        <v>5128</v>
      </c>
      <c r="T21" s="62">
        <v>0</v>
      </c>
      <c r="U21" s="62">
        <f>T21+R21+S21</f>
        <v>34217</v>
      </c>
      <c r="V21" s="62">
        <v>0</v>
      </c>
      <c r="W21" s="62">
        <v>0</v>
      </c>
      <c r="X21" s="62">
        <v>0</v>
      </c>
      <c r="Y21" s="62">
        <v>0</v>
      </c>
      <c r="Z21" s="62">
        <v>0</v>
      </c>
      <c r="AA21" s="62">
        <v>0</v>
      </c>
      <c r="AB21" s="62">
        <v>0</v>
      </c>
      <c r="AC21" s="62">
        <v>0</v>
      </c>
      <c r="AD21" s="62"/>
      <c r="AE21" s="51"/>
      <c r="AF21" s="7"/>
      <c r="AG21" s="4"/>
      <c r="AH21" s="4"/>
      <c r="AI21" s="1"/>
      <c r="AJ21" s="1"/>
      <c r="AK21" s="5"/>
      <c r="AL21" s="5"/>
      <c r="AM21" s="5"/>
      <c r="AN21" s="1"/>
      <c r="AO21" s="1"/>
      <c r="AP21" s="1"/>
      <c r="AQ21" s="1"/>
      <c r="AR21" s="1"/>
      <c r="AS21" s="1"/>
      <c r="AT21" s="1"/>
      <c r="AU21" s="1"/>
      <c r="AV21" s="1"/>
      <c r="AW21" s="1"/>
      <c r="AX21" s="1"/>
      <c r="AY21" s="1"/>
      <c r="AZ21" s="1"/>
      <c r="BA21" s="1"/>
      <c r="BB21" s="1"/>
      <c r="BC21" s="1"/>
      <c r="BD21" s="1"/>
      <c r="BE21" s="1"/>
      <c r="BF21" s="1"/>
      <c r="BG21" s="1"/>
      <c r="BH21" s="1"/>
      <c r="BI21" s="1"/>
      <c r="BJ21" s="1"/>
    </row>
    <row r="22" spans="1:62" x14ac:dyDescent="0.25">
      <c r="A22" s="1"/>
      <c r="B22" s="89" t="s">
        <v>19</v>
      </c>
      <c r="C22" s="90">
        <f t="shared" ref="C22:AC22" si="11">C20-C21</f>
        <v>92192</v>
      </c>
      <c r="D22" s="90">
        <f t="shared" si="11"/>
        <v>113671</v>
      </c>
      <c r="E22" s="90">
        <f t="shared" si="11"/>
        <v>128205</v>
      </c>
      <c r="F22" s="90">
        <f t="shared" si="11"/>
        <v>147378</v>
      </c>
      <c r="G22" s="90">
        <f t="shared" si="11"/>
        <v>148070</v>
      </c>
      <c r="H22" s="90">
        <f t="shared" si="11"/>
        <v>141288</v>
      </c>
      <c r="I22" s="90">
        <f t="shared" si="11"/>
        <v>151326</v>
      </c>
      <c r="J22" s="90">
        <f t="shared" si="11"/>
        <v>173633</v>
      </c>
      <c r="K22" s="90">
        <f t="shared" si="11"/>
        <v>191279</v>
      </c>
      <c r="L22" s="90">
        <f t="shared" si="11"/>
        <v>168537</v>
      </c>
      <c r="M22" s="90">
        <f t="shared" si="11"/>
        <v>39837</v>
      </c>
      <c r="N22" s="90">
        <f t="shared" si="11"/>
        <v>335263</v>
      </c>
      <c r="O22" s="90">
        <f t="shared" si="11"/>
        <v>454718</v>
      </c>
      <c r="P22" s="90">
        <f t="shared" si="11"/>
        <v>511129</v>
      </c>
      <c r="Q22" s="90">
        <f t="shared" si="11"/>
        <v>379713</v>
      </c>
      <c r="R22" s="90">
        <f t="shared" si="11"/>
        <v>246965</v>
      </c>
      <c r="S22" s="90">
        <f t="shared" si="11"/>
        <v>356777</v>
      </c>
      <c r="T22" s="63">
        <f t="shared" si="11"/>
        <v>858264.24282368086</v>
      </c>
      <c r="U22" s="63">
        <f t="shared" si="11"/>
        <v>1462006.2428236809</v>
      </c>
      <c r="V22" s="63">
        <f t="shared" si="11"/>
        <v>1744788.6693816911</v>
      </c>
      <c r="W22" s="63">
        <f t="shared" si="11"/>
        <v>1966210.4662894364</v>
      </c>
      <c r="X22" s="63">
        <f t="shared" si="11"/>
        <v>2201889.012760954</v>
      </c>
      <c r="Y22" s="63">
        <f t="shared" si="11"/>
        <v>2457574.2485848516</v>
      </c>
      <c r="Z22" s="63">
        <f t="shared" si="11"/>
        <v>2666535.1075877585</v>
      </c>
      <c r="AA22" s="63">
        <f t="shared" si="11"/>
        <v>2862655.1893534251</v>
      </c>
      <c r="AB22" s="63">
        <f t="shared" si="11"/>
        <v>2954702.3565171976</v>
      </c>
      <c r="AC22" s="63">
        <f t="shared" si="11"/>
        <v>2330521.9117337894</v>
      </c>
      <c r="AD22" s="62"/>
      <c r="AE22" s="51"/>
      <c r="AF22" s="2"/>
      <c r="AG22" s="1"/>
      <c r="AH22" s="1"/>
      <c r="AI22" s="1"/>
      <c r="AJ22" s="1"/>
      <c r="AK22" s="5"/>
      <c r="AL22" s="5"/>
      <c r="AM22" s="5"/>
      <c r="AN22" s="1"/>
      <c r="AO22" s="1"/>
      <c r="AP22" s="1"/>
      <c r="AQ22" s="1"/>
      <c r="AR22" s="1"/>
      <c r="AS22" s="1"/>
      <c r="AT22" s="1"/>
      <c r="AU22" s="1"/>
      <c r="AV22" s="1"/>
      <c r="AW22" s="1"/>
      <c r="AX22" s="1"/>
      <c r="AY22" s="1"/>
      <c r="AZ22" s="1"/>
      <c r="BA22" s="1"/>
      <c r="BB22" s="1"/>
      <c r="BC22" s="1"/>
      <c r="BD22" s="1"/>
      <c r="BE22" s="1"/>
      <c r="BF22" s="1"/>
      <c r="BG22" s="1"/>
      <c r="BH22" s="1"/>
      <c r="BI22" s="1"/>
      <c r="BJ22" s="1"/>
    </row>
    <row r="23" spans="1:62" x14ac:dyDescent="0.25">
      <c r="A23" s="1"/>
      <c r="B23" s="53" t="s">
        <v>107</v>
      </c>
      <c r="C23" s="61">
        <v>0</v>
      </c>
      <c r="D23" s="61">
        <v>0</v>
      </c>
      <c r="E23" s="61">
        <v>0</v>
      </c>
      <c r="F23" s="61">
        <v>0</v>
      </c>
      <c r="G23" s="61">
        <v>0</v>
      </c>
      <c r="H23" s="61">
        <v>0</v>
      </c>
      <c r="I23" s="61">
        <v>40579</v>
      </c>
      <c r="J23" s="61">
        <v>64265</v>
      </c>
      <c r="K23" s="61">
        <v>71216</v>
      </c>
      <c r="L23" s="61">
        <v>77416</v>
      </c>
      <c r="M23" s="61">
        <v>70922</v>
      </c>
      <c r="N23" s="61">
        <v>177418</v>
      </c>
      <c r="O23" s="61">
        <v>302386</v>
      </c>
      <c r="P23" s="61">
        <v>366899</v>
      </c>
      <c r="Q23" s="61">
        <v>968911</v>
      </c>
      <c r="R23" s="61">
        <f>'Projeções - Receita Líquida'!R112</f>
        <v>297869</v>
      </c>
      <c r="S23" s="61">
        <f>'Projeções - Receita Líquida'!S112</f>
        <v>305876</v>
      </c>
      <c r="T23" s="62"/>
      <c r="U23" s="62"/>
      <c r="V23" s="62"/>
      <c r="W23" s="62"/>
      <c r="X23" s="62"/>
      <c r="Y23" s="62"/>
      <c r="Z23" s="62"/>
      <c r="AA23" s="62"/>
      <c r="AB23" s="62"/>
      <c r="AC23" s="62"/>
      <c r="AD23" s="62"/>
      <c r="AE23" s="51"/>
      <c r="AF23" s="2"/>
      <c r="AG23" s="1"/>
      <c r="AH23" s="1"/>
      <c r="AI23" s="1"/>
      <c r="AJ23" s="1"/>
      <c r="AK23" s="5"/>
      <c r="AL23" s="5"/>
      <c r="AM23" s="5"/>
      <c r="AN23" s="1"/>
      <c r="AO23" s="1"/>
      <c r="AP23" s="1"/>
      <c r="AQ23" s="1"/>
      <c r="AR23" s="1"/>
      <c r="AS23" s="1"/>
      <c r="AT23" s="1"/>
      <c r="AU23" s="1"/>
      <c r="AV23" s="1"/>
      <c r="AW23" s="1"/>
      <c r="AX23" s="1"/>
      <c r="AY23" s="1"/>
      <c r="AZ23" s="1"/>
      <c r="BA23" s="1"/>
      <c r="BB23" s="1"/>
      <c r="BC23" s="1"/>
      <c r="BD23" s="1"/>
      <c r="BE23" s="1"/>
      <c r="BF23" s="1"/>
      <c r="BG23" s="1"/>
      <c r="BH23" s="1"/>
      <c r="BI23" s="1"/>
      <c r="BJ23" s="1"/>
    </row>
    <row r="24" spans="1:62" x14ac:dyDescent="0.25">
      <c r="A24" s="1"/>
      <c r="B24" s="53"/>
      <c r="C24" s="61"/>
      <c r="D24" s="61"/>
      <c r="E24" s="61"/>
      <c r="F24" s="61"/>
      <c r="G24" s="61"/>
      <c r="H24" s="61"/>
      <c r="I24" s="61"/>
      <c r="J24" s="61"/>
      <c r="K24" s="61"/>
      <c r="L24" s="61"/>
      <c r="M24" s="61"/>
      <c r="N24" s="61"/>
      <c r="O24" s="61"/>
      <c r="P24" s="61"/>
      <c r="Q24" s="61">
        <f>Q22-Q75-Q80</f>
        <v>794568</v>
      </c>
      <c r="R24" s="61"/>
      <c r="S24" s="61"/>
      <c r="T24" s="61"/>
      <c r="U24" s="61">
        <f t="shared" ref="U24:AC24" si="12">U22-U75-U80</f>
        <v>2129448.2428236809</v>
      </c>
      <c r="V24" s="61">
        <f t="shared" si="12"/>
        <v>2496890.7655275315</v>
      </c>
      <c r="W24" s="61">
        <f t="shared" si="12"/>
        <v>2813757.8163557462</v>
      </c>
      <c r="X24" s="61">
        <f t="shared" si="12"/>
        <v>3151027.0780401542</v>
      </c>
      <c r="Y24" s="61">
        <f t="shared" si="12"/>
        <v>3506655.9279375169</v>
      </c>
      <c r="Z24" s="61">
        <f t="shared" si="12"/>
        <v>3815833.1225971407</v>
      </c>
      <c r="AA24" s="61">
        <f t="shared" si="12"/>
        <v>4111920.5888080704</v>
      </c>
      <c r="AB24" s="61">
        <f t="shared" si="12"/>
        <v>4298927.862784721</v>
      </c>
      <c r="AC24" s="61">
        <f t="shared" si="12"/>
        <v>3637991.9008468129</v>
      </c>
      <c r="AD24" s="62"/>
      <c r="AE24" s="51"/>
      <c r="AF24" s="2"/>
      <c r="AG24" s="1"/>
      <c r="AH24" s="1"/>
      <c r="AI24" s="1"/>
      <c r="AJ24" s="1"/>
      <c r="AK24" s="5"/>
      <c r="AL24" s="5"/>
      <c r="AM24" s="5"/>
      <c r="AN24" s="1"/>
      <c r="AO24" s="1"/>
      <c r="AP24" s="1"/>
      <c r="AQ24" s="1"/>
      <c r="AR24" s="1"/>
      <c r="AS24" s="1"/>
      <c r="AT24" s="1"/>
      <c r="AU24" s="1"/>
      <c r="AV24" s="1"/>
      <c r="AW24" s="1"/>
      <c r="AX24" s="1"/>
      <c r="AY24" s="1"/>
      <c r="AZ24" s="1"/>
      <c r="BA24" s="1"/>
      <c r="BB24" s="1"/>
      <c r="BC24" s="1"/>
      <c r="BD24" s="1"/>
      <c r="BE24" s="1"/>
      <c r="BF24" s="1"/>
      <c r="BG24" s="1"/>
      <c r="BH24" s="1"/>
      <c r="BI24" s="1"/>
      <c r="BJ24" s="1"/>
    </row>
    <row r="25" spans="1:62" x14ac:dyDescent="0.25">
      <c r="A25" s="1"/>
      <c r="B25" s="89" t="s">
        <v>110</v>
      </c>
      <c r="C25" s="90">
        <f>C22-C23</f>
        <v>92192</v>
      </c>
      <c r="D25" s="90">
        <f t="shared" ref="D25:S25" si="13">D22-D23</f>
        <v>113671</v>
      </c>
      <c r="E25" s="90">
        <f t="shared" si="13"/>
        <v>128205</v>
      </c>
      <c r="F25" s="90">
        <f t="shared" si="13"/>
        <v>147378</v>
      </c>
      <c r="G25" s="90">
        <f t="shared" si="13"/>
        <v>148070</v>
      </c>
      <c r="H25" s="90">
        <f t="shared" si="13"/>
        <v>141288</v>
      </c>
      <c r="I25" s="90">
        <f t="shared" si="13"/>
        <v>110747</v>
      </c>
      <c r="J25" s="90">
        <f t="shared" si="13"/>
        <v>109368</v>
      </c>
      <c r="K25" s="90">
        <f t="shared" si="13"/>
        <v>120063</v>
      </c>
      <c r="L25" s="90">
        <f t="shared" si="13"/>
        <v>91121</v>
      </c>
      <c r="M25" s="90">
        <f t="shared" si="13"/>
        <v>-31085</v>
      </c>
      <c r="N25" s="90">
        <f t="shared" si="13"/>
        <v>157845</v>
      </c>
      <c r="O25" s="90">
        <f t="shared" si="13"/>
        <v>152332</v>
      </c>
      <c r="P25" s="90">
        <f t="shared" si="13"/>
        <v>144230</v>
      </c>
      <c r="Q25" s="90">
        <f t="shared" si="13"/>
        <v>-589198</v>
      </c>
      <c r="R25" s="90">
        <f t="shared" si="13"/>
        <v>-50904</v>
      </c>
      <c r="S25" s="90">
        <f t="shared" si="13"/>
        <v>50901</v>
      </c>
      <c r="T25" s="63"/>
      <c r="U25" s="63">
        <f>-30%*Q24</f>
        <v>-238370.4</v>
      </c>
      <c r="V25" s="63">
        <f>-30%*U24</f>
        <v>-638834.47284710419</v>
      </c>
      <c r="W25" s="63">
        <f t="shared" ref="W25:AC25" si="14">-30%*V24</f>
        <v>-749067.22965825943</v>
      </c>
      <c r="X25" s="63">
        <f t="shared" si="14"/>
        <v>-844127.34490672383</v>
      </c>
      <c r="Y25" s="63">
        <f t="shared" si="14"/>
        <v>-945308.12341204623</v>
      </c>
      <c r="Z25" s="63">
        <f t="shared" si="14"/>
        <v>-1051996.778381255</v>
      </c>
      <c r="AA25" s="63">
        <f t="shared" si="14"/>
        <v>-1144749.9367791421</v>
      </c>
      <c r="AB25" s="63">
        <f t="shared" si="14"/>
        <v>-1233576.1766424212</v>
      </c>
      <c r="AC25" s="63">
        <f t="shared" si="14"/>
        <v>-1289678.3588354161</v>
      </c>
      <c r="AD25" s="62"/>
      <c r="AE25" s="51"/>
      <c r="AF25" s="2"/>
      <c r="AG25" s="1"/>
      <c r="AH25" s="1"/>
      <c r="AI25" s="1"/>
      <c r="AJ25" s="1"/>
      <c r="AK25" s="5"/>
      <c r="AL25" s="5"/>
      <c r="AM25" s="5"/>
      <c r="AN25" s="1"/>
      <c r="AO25" s="1"/>
      <c r="AP25" s="1"/>
      <c r="AQ25" s="1"/>
      <c r="AR25" s="1"/>
      <c r="AS25" s="1"/>
      <c r="AT25" s="1"/>
      <c r="AU25" s="1"/>
      <c r="AV25" s="1"/>
      <c r="AW25" s="1"/>
      <c r="AX25" s="1"/>
      <c r="AY25" s="1"/>
      <c r="AZ25" s="1"/>
      <c r="BA25" s="1"/>
      <c r="BB25" s="1"/>
      <c r="BC25" s="1"/>
      <c r="BD25" s="1"/>
      <c r="BE25" s="1"/>
      <c r="BF25" s="1"/>
      <c r="BG25" s="1"/>
      <c r="BH25" s="1"/>
      <c r="BI25" s="1"/>
      <c r="BJ25" s="1"/>
    </row>
    <row r="26" spans="1:62" x14ac:dyDescent="0.25">
      <c r="A26" s="1"/>
      <c r="B26" s="48" t="s">
        <v>86</v>
      </c>
      <c r="C26" s="88">
        <f t="shared" ref="C26:AC26" si="15">C20/C10</f>
        <v>0.16240759371856001</v>
      </c>
      <c r="D26" s="88">
        <f t="shared" si="15"/>
        <v>0.16743235818749844</v>
      </c>
      <c r="E26" s="88">
        <f t="shared" si="15"/>
        <v>0.14901753386762134</v>
      </c>
      <c r="F26" s="88">
        <f t="shared" si="15"/>
        <v>0.1542032296588608</v>
      </c>
      <c r="G26" s="88">
        <f t="shared" si="15"/>
        <v>0.14062943711184916</v>
      </c>
      <c r="H26" s="88">
        <f t="shared" si="15"/>
        <v>0.12608729408678004</v>
      </c>
      <c r="I26" s="88">
        <f t="shared" si="15"/>
        <v>0.12212475082922421</v>
      </c>
      <c r="J26" s="88">
        <f t="shared" si="15"/>
        <v>0.1276268418213064</v>
      </c>
      <c r="K26" s="88">
        <f t="shared" si="15"/>
        <v>0.1252925505957781</v>
      </c>
      <c r="L26" s="88">
        <f t="shared" si="15"/>
        <v>0.13285930795868356</v>
      </c>
      <c r="M26" s="88">
        <f t="shared" si="15"/>
        <v>5.7894068606253207E-2</v>
      </c>
      <c r="N26" s="88">
        <f t="shared" si="15"/>
        <v>0.16024374903166294</v>
      </c>
      <c r="O26" s="88">
        <f t="shared" si="15"/>
        <v>0.12993967961082034</v>
      </c>
      <c r="P26" s="88">
        <f t="shared" si="15"/>
        <v>0.11529002419756836</v>
      </c>
      <c r="Q26" s="88">
        <f t="shared" si="15"/>
        <v>4.5781659674217129E-2</v>
      </c>
      <c r="R26" s="88">
        <f t="shared" si="15"/>
        <v>0.10237348778322426</v>
      </c>
      <c r="S26" s="88">
        <f t="shared" si="15"/>
        <v>0.12473525574854767</v>
      </c>
      <c r="T26" s="88">
        <f t="shared" si="15"/>
        <v>0.12473525574854766</v>
      </c>
      <c r="U26" s="88">
        <f t="shared" si="15"/>
        <v>0.11990303826221312</v>
      </c>
      <c r="V26" s="88">
        <f t="shared" si="15"/>
        <v>0.12408330604191596</v>
      </c>
      <c r="W26" s="88">
        <f t="shared" si="15"/>
        <v>0.12408330604191599</v>
      </c>
      <c r="X26" s="88">
        <f t="shared" si="15"/>
        <v>0.12408330604191602</v>
      </c>
      <c r="Y26" s="88">
        <f t="shared" si="15"/>
        <v>0.12529815262103763</v>
      </c>
      <c r="Z26" s="88">
        <f t="shared" si="15"/>
        <v>0.12409719705632544</v>
      </c>
      <c r="AA26" s="88">
        <f t="shared" si="15"/>
        <v>0.12256364018658503</v>
      </c>
      <c r="AB26" s="88">
        <f t="shared" si="15"/>
        <v>0.11756794571842381</v>
      </c>
      <c r="AC26" s="88">
        <f t="shared" si="15"/>
        <v>9.5338603113338818E-2</v>
      </c>
      <c r="AD26" s="63"/>
      <c r="AE26" s="51"/>
      <c r="AF26" s="2"/>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row>
    <row r="27" spans="1:62" x14ac:dyDescent="0.25">
      <c r="A27" s="1"/>
      <c r="B27" s="48" t="s">
        <v>87</v>
      </c>
      <c r="C27" s="88">
        <f t="shared" ref="C27:S27" si="16">C22/C10</f>
        <v>0.16130877914351954</v>
      </c>
      <c r="D27" s="88">
        <f t="shared" si="16"/>
        <v>0.16743235818749844</v>
      </c>
      <c r="E27" s="88">
        <f t="shared" si="16"/>
        <v>0.14901753386762134</v>
      </c>
      <c r="F27" s="88">
        <f t="shared" si="16"/>
        <v>0.15304844488291189</v>
      </c>
      <c r="G27" s="88">
        <f t="shared" si="16"/>
        <v>0.14062943711184916</v>
      </c>
      <c r="H27" s="88">
        <f t="shared" si="16"/>
        <v>0.12608729408678004</v>
      </c>
      <c r="I27" s="88">
        <f t="shared" si="16"/>
        <v>0.12212475082922421</v>
      </c>
      <c r="J27" s="88">
        <f t="shared" si="16"/>
        <v>0.1276268418213064</v>
      </c>
      <c r="K27" s="88">
        <f t="shared" si="16"/>
        <v>0.1252925505957781</v>
      </c>
      <c r="L27" s="88">
        <f t="shared" si="16"/>
        <v>0.10036534493385381</v>
      </c>
      <c r="M27" s="88">
        <f t="shared" si="16"/>
        <v>2.5039095105443648E-2</v>
      </c>
      <c r="N27" s="88">
        <f t="shared" si="16"/>
        <v>0.11466581299098749</v>
      </c>
      <c r="O27" s="88">
        <f t="shared" si="16"/>
        <v>0.10740373845638571</v>
      </c>
      <c r="P27" s="88">
        <f t="shared" si="16"/>
        <v>0.10545769882115257</v>
      </c>
      <c r="Q27" s="88">
        <f t="shared" si="16"/>
        <v>4.5313149444858342E-2</v>
      </c>
      <c r="R27" s="88">
        <f t="shared" si="16"/>
        <v>9.1585952061495141E-2</v>
      </c>
      <c r="S27" s="88">
        <f t="shared" si="16"/>
        <v>0.12296782398750941</v>
      </c>
      <c r="T27" s="88"/>
      <c r="U27" s="88"/>
      <c r="V27" s="88"/>
      <c r="W27" s="88"/>
      <c r="X27" s="88"/>
      <c r="Y27" s="88"/>
      <c r="Z27" s="88"/>
      <c r="AA27" s="88"/>
      <c r="AB27" s="88"/>
      <c r="AC27" s="88"/>
      <c r="AD27" s="62"/>
      <c r="AE27" s="51"/>
      <c r="AF27" s="2"/>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row>
    <row r="28" spans="1:62" x14ac:dyDescent="0.25">
      <c r="A28" s="2"/>
      <c r="B28" s="89" t="s">
        <v>20</v>
      </c>
      <c r="C28" s="90">
        <f t="shared" ref="C28:S28" si="17">C29+C34+C44</f>
        <v>-3531</v>
      </c>
      <c r="D28" s="90">
        <f t="shared" si="17"/>
        <v>11781</v>
      </c>
      <c r="E28" s="90">
        <f t="shared" si="17"/>
        <v>5299</v>
      </c>
      <c r="F28" s="90">
        <f t="shared" si="17"/>
        <v>7627</v>
      </c>
      <c r="G28" s="90">
        <f t="shared" si="17"/>
        <v>13417</v>
      </c>
      <c r="H28" s="90">
        <f t="shared" si="17"/>
        <v>23269</v>
      </c>
      <c r="I28" s="90">
        <f t="shared" si="17"/>
        <v>5674</v>
      </c>
      <c r="J28" s="90">
        <f t="shared" si="17"/>
        <v>9300</v>
      </c>
      <c r="K28" s="90">
        <f t="shared" si="17"/>
        <v>-21281</v>
      </c>
      <c r="L28" s="90">
        <f t="shared" si="17"/>
        <v>-18176</v>
      </c>
      <c r="M28" s="90">
        <f t="shared" si="17"/>
        <v>-37551</v>
      </c>
      <c r="N28" s="90">
        <f t="shared" si="17"/>
        <v>-64671</v>
      </c>
      <c r="O28" s="90">
        <f t="shared" si="17"/>
        <v>-77258</v>
      </c>
      <c r="P28" s="90">
        <f t="shared" si="17"/>
        <v>-182843</v>
      </c>
      <c r="Q28" s="90">
        <f t="shared" si="17"/>
        <v>-393697</v>
      </c>
      <c r="R28" s="90">
        <f t="shared" si="17"/>
        <v>-157632</v>
      </c>
      <c r="S28" s="90">
        <f t="shared" si="17"/>
        <v>-201753</v>
      </c>
      <c r="T28" s="74"/>
      <c r="U28" s="74"/>
      <c r="V28" s="74"/>
      <c r="W28" s="74"/>
      <c r="X28" s="74"/>
      <c r="Y28" s="74"/>
      <c r="Z28" s="74"/>
      <c r="AA28" s="74"/>
      <c r="AB28" s="74"/>
      <c r="AC28" s="74"/>
      <c r="AD28" s="62"/>
      <c r="AE28" s="51"/>
      <c r="AF28" s="2"/>
      <c r="AG28" s="1"/>
      <c r="AH28" s="1"/>
      <c r="AI28" s="43"/>
      <c r="AJ28" s="1"/>
      <c r="AK28" s="1"/>
      <c r="AL28" s="66"/>
      <c r="AM28" s="1"/>
      <c r="AN28" s="1"/>
      <c r="AO28" s="1"/>
      <c r="AP28" s="1"/>
      <c r="AQ28" s="1"/>
      <c r="AR28" s="1"/>
      <c r="AS28" s="1"/>
      <c r="AT28" s="1"/>
      <c r="AU28" s="1"/>
      <c r="AV28" s="1"/>
      <c r="AW28" s="1"/>
      <c r="AX28" s="1"/>
      <c r="AY28" s="1"/>
      <c r="AZ28" s="1"/>
      <c r="BA28" s="1"/>
      <c r="BB28" s="1"/>
      <c r="BC28" s="1"/>
      <c r="BD28" s="1"/>
      <c r="BE28" s="1"/>
      <c r="BF28" s="1"/>
      <c r="BG28" s="1"/>
      <c r="BH28" s="1"/>
      <c r="BI28" s="1"/>
      <c r="BJ28" s="1"/>
    </row>
    <row r="29" spans="1:62" hidden="1" outlineLevel="1" x14ac:dyDescent="0.25">
      <c r="A29" s="2"/>
      <c r="B29" s="53" t="s">
        <v>21</v>
      </c>
      <c r="C29" s="61">
        <f t="shared" ref="C29:S29" si="18">SUM(C30:C33)</f>
        <v>4355</v>
      </c>
      <c r="D29" s="61">
        <f t="shared" si="18"/>
        <v>20703</v>
      </c>
      <c r="E29" s="61">
        <f t="shared" si="18"/>
        <v>18169</v>
      </c>
      <c r="F29" s="61">
        <f t="shared" si="18"/>
        <v>20457</v>
      </c>
      <c r="G29" s="61">
        <f t="shared" si="18"/>
        <v>25874</v>
      </c>
      <c r="H29" s="61">
        <f t="shared" si="18"/>
        <v>29498</v>
      </c>
      <c r="I29" s="61">
        <f t="shared" si="18"/>
        <v>34414</v>
      </c>
      <c r="J29" s="61">
        <f t="shared" si="18"/>
        <v>30041</v>
      </c>
      <c r="K29" s="61">
        <f t="shared" si="18"/>
        <v>22992</v>
      </c>
      <c r="L29" s="61">
        <f t="shared" si="18"/>
        <v>18344</v>
      </c>
      <c r="M29" s="61">
        <f t="shared" si="18"/>
        <v>16463</v>
      </c>
      <c r="N29" s="61">
        <f t="shared" si="18"/>
        <v>26313</v>
      </c>
      <c r="O29" s="61">
        <f t="shared" si="18"/>
        <v>75392</v>
      </c>
      <c r="P29" s="61">
        <f t="shared" si="18"/>
        <v>74345</v>
      </c>
      <c r="Q29" s="61">
        <f t="shared" si="18"/>
        <v>111986</v>
      </c>
      <c r="R29" s="61">
        <f t="shared" si="18"/>
        <v>24192</v>
      </c>
      <c r="S29" s="61">
        <f t="shared" si="18"/>
        <v>44860</v>
      </c>
      <c r="T29" s="74"/>
      <c r="U29" s="74"/>
      <c r="V29" s="74"/>
      <c r="W29" s="74"/>
      <c r="X29" s="74"/>
      <c r="Y29" s="74"/>
      <c r="Z29" s="74"/>
      <c r="AA29" s="74"/>
      <c r="AB29" s="74"/>
      <c r="AC29" s="74"/>
      <c r="AD29" s="62"/>
      <c r="AE29" s="51"/>
      <c r="AF29" s="2"/>
      <c r="AG29" s="1"/>
      <c r="AH29" s="1"/>
      <c r="AI29" s="1"/>
      <c r="AJ29" s="1"/>
      <c r="AK29" s="1"/>
      <c r="AL29" s="43"/>
      <c r="AM29" s="43"/>
      <c r="AN29" s="1"/>
      <c r="AO29" s="1"/>
      <c r="AP29" s="1"/>
      <c r="AQ29" s="1"/>
      <c r="AR29" s="1"/>
      <c r="AS29" s="1"/>
      <c r="AT29" s="1"/>
      <c r="AU29" s="1"/>
      <c r="AV29" s="1"/>
      <c r="AW29" s="1"/>
      <c r="AX29" s="1"/>
      <c r="AY29" s="1"/>
      <c r="AZ29" s="1"/>
      <c r="BA29" s="1"/>
      <c r="BB29" s="1"/>
      <c r="BC29" s="1"/>
      <c r="BD29" s="1"/>
      <c r="BE29" s="1"/>
      <c r="BF29" s="1"/>
      <c r="BG29" s="1"/>
      <c r="BH29" s="1"/>
      <c r="BI29" s="1"/>
      <c r="BJ29" s="1"/>
    </row>
    <row r="30" spans="1:62" hidden="1" outlineLevel="1" x14ac:dyDescent="0.25">
      <c r="A30" s="2"/>
      <c r="B30" s="54" t="s">
        <v>267</v>
      </c>
      <c r="C30" s="61">
        <v>2415</v>
      </c>
      <c r="D30" s="61">
        <v>17861</v>
      </c>
      <c r="E30" s="61">
        <v>14628</v>
      </c>
      <c r="F30" s="61">
        <v>15858</v>
      </c>
      <c r="G30" s="61">
        <v>18710</v>
      </c>
      <c r="H30" s="61">
        <v>23970</v>
      </c>
      <c r="I30" s="61">
        <v>27888</v>
      </c>
      <c r="J30" s="61">
        <v>23707</v>
      </c>
      <c r="K30" s="61">
        <v>16846</v>
      </c>
      <c r="L30" s="61">
        <v>12973</v>
      </c>
      <c r="M30" s="61">
        <v>11764</v>
      </c>
      <c r="N30" s="61">
        <v>13123</v>
      </c>
      <c r="O30" s="61">
        <v>59380</v>
      </c>
      <c r="P30" s="61">
        <v>56582</v>
      </c>
      <c r="Q30" s="61">
        <v>53716</v>
      </c>
      <c r="R30" s="61">
        <v>11127</v>
      </c>
      <c r="S30" s="61">
        <f>32447-R30</f>
        <v>21320</v>
      </c>
      <c r="T30" s="74"/>
      <c r="U30" s="74"/>
      <c r="V30" s="74"/>
      <c r="W30" s="74"/>
      <c r="X30" s="74"/>
      <c r="Y30" s="74"/>
      <c r="Z30" s="74"/>
      <c r="AA30" s="74"/>
      <c r="AB30" s="74"/>
      <c r="AC30" s="74"/>
      <c r="AD30" s="62"/>
      <c r="AE30" s="51"/>
      <c r="AF30" s="2"/>
      <c r="AG30" s="1"/>
      <c r="AH30" s="1"/>
      <c r="AI30" s="1"/>
      <c r="AJ30" s="1"/>
      <c r="AK30" s="1"/>
      <c r="AL30" s="43"/>
      <c r="AM30" s="43"/>
      <c r="AN30" s="1"/>
      <c r="AO30" s="1"/>
      <c r="AP30" s="1"/>
      <c r="AQ30" s="1"/>
      <c r="AR30" s="1"/>
      <c r="AS30" s="1"/>
      <c r="AT30" s="1"/>
      <c r="AU30" s="1"/>
      <c r="AV30" s="1"/>
      <c r="AW30" s="1"/>
      <c r="AX30" s="1"/>
      <c r="AY30" s="1"/>
      <c r="AZ30" s="1"/>
      <c r="BA30" s="1"/>
      <c r="BB30" s="1"/>
      <c r="BC30" s="1"/>
      <c r="BD30" s="1"/>
      <c r="BE30" s="1"/>
      <c r="BF30" s="1"/>
      <c r="BG30" s="1"/>
      <c r="BH30" s="1"/>
      <c r="BI30" s="1"/>
      <c r="BJ30" s="1"/>
    </row>
    <row r="31" spans="1:62" hidden="1" outlineLevel="1" x14ac:dyDescent="0.25">
      <c r="A31" s="2"/>
      <c r="B31" s="54" t="s">
        <v>268</v>
      </c>
      <c r="C31" s="61">
        <v>1019</v>
      </c>
      <c r="D31" s="61">
        <v>1290</v>
      </c>
      <c r="E31" s="61">
        <v>1403</v>
      </c>
      <c r="F31" s="61">
        <v>2852</v>
      </c>
      <c r="G31" s="61">
        <v>5352</v>
      </c>
      <c r="H31" s="61">
        <v>5458</v>
      </c>
      <c r="I31" s="61">
        <v>4908</v>
      </c>
      <c r="J31" s="61">
        <v>4658</v>
      </c>
      <c r="K31" s="61">
        <v>3890</v>
      </c>
      <c r="L31" s="61">
        <v>1677</v>
      </c>
      <c r="M31" s="61">
        <v>1397</v>
      </c>
      <c r="N31" s="61">
        <v>4182</v>
      </c>
      <c r="O31" s="61">
        <v>5701</v>
      </c>
      <c r="P31" s="61">
        <v>8609</v>
      </c>
      <c r="Q31" s="61">
        <v>32876</v>
      </c>
      <c r="R31" s="61">
        <v>9436</v>
      </c>
      <c r="S31" s="61">
        <f>19283-R31</f>
        <v>9847</v>
      </c>
      <c r="T31" s="74"/>
      <c r="U31" s="74"/>
      <c r="V31" s="74"/>
      <c r="W31" s="74"/>
      <c r="X31" s="74"/>
      <c r="Y31" s="74"/>
      <c r="Z31" s="74"/>
      <c r="AA31" s="74"/>
      <c r="AB31" s="74"/>
      <c r="AC31" s="74"/>
      <c r="AD31" s="62"/>
      <c r="AE31" s="51"/>
      <c r="AF31" s="2"/>
      <c r="AG31" s="1"/>
      <c r="AH31" s="1"/>
      <c r="AI31" s="1"/>
      <c r="AJ31" s="1"/>
      <c r="AK31" s="1"/>
      <c r="AL31" s="43"/>
      <c r="AM31" s="43"/>
      <c r="AN31" s="1"/>
      <c r="AO31" s="1"/>
      <c r="AP31" s="1"/>
      <c r="AQ31" s="1"/>
      <c r="AR31" s="1"/>
      <c r="AS31" s="1"/>
      <c r="AT31" s="1"/>
      <c r="AU31" s="1"/>
      <c r="AV31" s="1"/>
      <c r="AW31" s="1"/>
      <c r="AX31" s="1"/>
      <c r="AY31" s="1"/>
      <c r="AZ31" s="1"/>
      <c r="BA31" s="1"/>
      <c r="BB31" s="1"/>
      <c r="BC31" s="1"/>
      <c r="BD31" s="1"/>
      <c r="BE31" s="1"/>
      <c r="BF31" s="1"/>
      <c r="BG31" s="1"/>
      <c r="BH31" s="1"/>
      <c r="BI31" s="1"/>
      <c r="BJ31" s="1"/>
    </row>
    <row r="32" spans="1:62" hidden="1" outlineLevel="1" x14ac:dyDescent="0.25">
      <c r="A32" s="2"/>
      <c r="B32" s="54" t="s">
        <v>269</v>
      </c>
      <c r="C32" s="61">
        <v>0</v>
      </c>
      <c r="D32" s="61">
        <v>0</v>
      </c>
      <c r="E32" s="61">
        <v>0</v>
      </c>
      <c r="F32" s="61">
        <v>0</v>
      </c>
      <c r="G32" s="61">
        <v>0</v>
      </c>
      <c r="H32" s="61">
        <v>0</v>
      </c>
      <c r="I32" s="61">
        <v>0</v>
      </c>
      <c r="J32" s="61">
        <v>0</v>
      </c>
      <c r="K32" s="61">
        <v>0</v>
      </c>
      <c r="L32" s="61">
        <v>0</v>
      </c>
      <c r="M32" s="61">
        <v>0</v>
      </c>
      <c r="N32" s="61">
        <v>2378</v>
      </c>
      <c r="O32" s="61">
        <v>8898</v>
      </c>
      <c r="P32" s="61">
        <v>4628</v>
      </c>
      <c r="Q32" s="61">
        <v>1060</v>
      </c>
      <c r="R32" s="61">
        <v>417</v>
      </c>
      <c r="S32" s="61">
        <f>1848-R32</f>
        <v>1431</v>
      </c>
      <c r="T32" s="74"/>
      <c r="U32" s="74"/>
      <c r="V32" s="74"/>
      <c r="W32" s="74"/>
      <c r="X32" s="74"/>
      <c r="Y32" s="74"/>
      <c r="Z32" s="74"/>
      <c r="AA32" s="74"/>
      <c r="AB32" s="74"/>
      <c r="AC32" s="74"/>
      <c r="AD32" s="62"/>
      <c r="AE32" s="51"/>
      <c r="AF32" s="2"/>
      <c r="AG32" s="1"/>
      <c r="AH32" s="1"/>
      <c r="AI32" s="1"/>
      <c r="AJ32" s="1"/>
      <c r="AK32" s="1"/>
      <c r="AL32" s="43"/>
      <c r="AM32" s="43"/>
      <c r="AN32" s="1"/>
      <c r="AO32" s="1"/>
      <c r="AP32" s="1"/>
      <c r="AQ32" s="1"/>
      <c r="AR32" s="1"/>
      <c r="AS32" s="1"/>
      <c r="AT32" s="1"/>
      <c r="AU32" s="1"/>
      <c r="AV32" s="1"/>
      <c r="AW32" s="1"/>
      <c r="AX32" s="1"/>
      <c r="AY32" s="1"/>
      <c r="AZ32" s="1"/>
      <c r="BA32" s="1"/>
      <c r="BB32" s="1"/>
      <c r="BC32" s="1"/>
      <c r="BD32" s="1"/>
      <c r="BE32" s="1"/>
      <c r="BF32" s="1"/>
      <c r="BG32" s="1"/>
      <c r="BH32" s="1"/>
      <c r="BI32" s="1"/>
      <c r="BJ32" s="1"/>
    </row>
    <row r="33" spans="1:62" hidden="1" outlineLevel="1" x14ac:dyDescent="0.25">
      <c r="A33" s="2"/>
      <c r="B33" s="54" t="s">
        <v>270</v>
      </c>
      <c r="C33" s="61">
        <v>921</v>
      </c>
      <c r="D33" s="61">
        <v>1552</v>
      </c>
      <c r="E33" s="61">
        <v>2138</v>
      </c>
      <c r="F33" s="61">
        <v>1747</v>
      </c>
      <c r="G33" s="61">
        <v>1812</v>
      </c>
      <c r="H33" s="61">
        <v>70</v>
      </c>
      <c r="I33" s="61">
        <v>1618</v>
      </c>
      <c r="J33" s="61">
        <v>1676</v>
      </c>
      <c r="K33" s="61">
        <v>2256</v>
      </c>
      <c r="L33" s="61">
        <v>3694</v>
      </c>
      <c r="M33" s="61">
        <v>3302</v>
      </c>
      <c r="N33" s="61">
        <v>6630</v>
      </c>
      <c r="O33" s="61">
        <v>1413</v>
      </c>
      <c r="P33" s="61">
        <v>4526</v>
      </c>
      <c r="Q33" s="61">
        <v>24334</v>
      </c>
      <c r="R33" s="61">
        <v>3212</v>
      </c>
      <c r="S33" s="61">
        <f>15474-R33</f>
        <v>12262</v>
      </c>
      <c r="T33" s="74"/>
      <c r="U33" s="74"/>
      <c r="V33" s="74"/>
      <c r="W33" s="74"/>
      <c r="X33" s="74"/>
      <c r="Y33" s="74"/>
      <c r="Z33" s="74"/>
      <c r="AA33" s="74"/>
      <c r="AB33" s="74"/>
      <c r="AC33" s="74"/>
      <c r="AD33" s="62"/>
      <c r="AE33" s="51"/>
      <c r="AF33" s="2"/>
      <c r="AG33" s="1"/>
      <c r="AH33" s="1"/>
      <c r="AI33" s="1"/>
      <c r="AJ33" s="1"/>
      <c r="AK33" s="1"/>
      <c r="AL33" s="43"/>
      <c r="AM33" s="43"/>
      <c r="AN33" s="1"/>
      <c r="AO33" s="1"/>
      <c r="AP33" s="1"/>
      <c r="AQ33" s="1"/>
      <c r="AR33" s="1"/>
      <c r="AS33" s="1"/>
      <c r="AT33" s="1"/>
      <c r="AU33" s="1"/>
      <c r="AV33" s="1"/>
      <c r="AW33" s="1"/>
      <c r="AX33" s="1"/>
      <c r="AY33" s="1"/>
      <c r="AZ33" s="1"/>
      <c r="BA33" s="1"/>
      <c r="BB33" s="1"/>
      <c r="BC33" s="1"/>
      <c r="BD33" s="1"/>
      <c r="BE33" s="1"/>
      <c r="BF33" s="1"/>
      <c r="BG33" s="1"/>
      <c r="BH33" s="1"/>
      <c r="BI33" s="1"/>
      <c r="BJ33" s="1"/>
    </row>
    <row r="34" spans="1:62" hidden="1" outlineLevel="1" collapsed="1" x14ac:dyDescent="0.25">
      <c r="A34" s="2"/>
      <c r="B34" s="53" t="s">
        <v>22</v>
      </c>
      <c r="C34" s="61">
        <f t="shared" ref="C34:S34" si="19">SUM(C35:C43)</f>
        <v>-8052</v>
      </c>
      <c r="D34" s="61">
        <f t="shared" si="19"/>
        <v>-9155</v>
      </c>
      <c r="E34" s="61">
        <f t="shared" si="19"/>
        <v>-12334</v>
      </c>
      <c r="F34" s="61">
        <f t="shared" si="19"/>
        <v>-12374</v>
      </c>
      <c r="G34" s="61">
        <f t="shared" si="19"/>
        <v>-14976</v>
      </c>
      <c r="H34" s="61">
        <f t="shared" si="19"/>
        <v>-16153</v>
      </c>
      <c r="I34" s="61">
        <f t="shared" si="19"/>
        <v>-22428</v>
      </c>
      <c r="J34" s="61">
        <f t="shared" si="19"/>
        <v>-19783</v>
      </c>
      <c r="K34" s="61">
        <f t="shared" si="19"/>
        <v>-26633</v>
      </c>
      <c r="L34" s="61">
        <f t="shared" si="19"/>
        <v>-29646</v>
      </c>
      <c r="M34" s="61">
        <f t="shared" si="19"/>
        <v>-51604</v>
      </c>
      <c r="N34" s="61">
        <f t="shared" si="19"/>
        <v>-88507</v>
      </c>
      <c r="O34" s="61">
        <f t="shared" si="19"/>
        <v>-124869</v>
      </c>
      <c r="P34" s="61">
        <f t="shared" si="19"/>
        <v>-212372</v>
      </c>
      <c r="Q34" s="61">
        <f t="shared" si="19"/>
        <v>-465484</v>
      </c>
      <c r="R34" s="61">
        <f t="shared" si="19"/>
        <v>-180798</v>
      </c>
      <c r="S34" s="61">
        <f t="shared" si="19"/>
        <v>-210183</v>
      </c>
      <c r="T34" s="74"/>
      <c r="U34" s="74"/>
      <c r="V34" s="74"/>
      <c r="W34" s="74"/>
      <c r="X34" s="74"/>
      <c r="Y34" s="74"/>
      <c r="Z34" s="74"/>
      <c r="AA34" s="74"/>
      <c r="AB34" s="74"/>
      <c r="AC34" s="74"/>
      <c r="AD34" s="62"/>
      <c r="AE34" s="51"/>
      <c r="AF34" s="2"/>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row>
    <row r="35" spans="1:62" hidden="1" outlineLevel="1" x14ac:dyDescent="0.25">
      <c r="A35" s="2"/>
      <c r="B35" s="54" t="s">
        <v>271</v>
      </c>
      <c r="C35" s="61">
        <v>-1366</v>
      </c>
      <c r="D35" s="61">
        <v>-1549</v>
      </c>
      <c r="E35" s="61">
        <v>-2309</v>
      </c>
      <c r="F35" s="61">
        <v>-4480</v>
      </c>
      <c r="G35" s="61">
        <v>-4190</v>
      </c>
      <c r="H35" s="61">
        <v>-2516</v>
      </c>
      <c r="I35" s="61">
        <v>-3361</v>
      </c>
      <c r="J35" s="61">
        <v>-3214</v>
      </c>
      <c r="K35" s="61">
        <v>-8448</v>
      </c>
      <c r="L35" s="61">
        <v>-6601</v>
      </c>
      <c r="M35" s="61">
        <v>-18345</v>
      </c>
      <c r="N35" s="61">
        <v>-32173</v>
      </c>
      <c r="O35" s="61">
        <v>-38798</v>
      </c>
      <c r="P35" s="61">
        <v>-99665</v>
      </c>
      <c r="Q35" s="61">
        <v>-175043</v>
      </c>
      <c r="R35" s="61">
        <v>-73384</v>
      </c>
      <c r="S35" s="61">
        <f>-155456-R35</f>
        <v>-82072</v>
      </c>
      <c r="T35" s="74"/>
      <c r="U35" s="74"/>
      <c r="V35" s="74"/>
      <c r="W35" s="74"/>
      <c r="X35" s="74"/>
      <c r="Y35" s="74"/>
      <c r="Z35" s="74"/>
      <c r="AA35" s="74"/>
      <c r="AB35" s="74"/>
      <c r="AC35" s="74"/>
      <c r="AD35" s="62"/>
      <c r="AE35" s="51"/>
      <c r="AF35" s="2"/>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row>
    <row r="36" spans="1:62" hidden="1" outlineLevel="1" x14ac:dyDescent="0.25">
      <c r="A36" s="2"/>
      <c r="B36" s="54" t="s">
        <v>272</v>
      </c>
      <c r="C36" s="61">
        <v>-2119</v>
      </c>
      <c r="D36" s="61">
        <v>-1605</v>
      </c>
      <c r="E36" s="61">
        <v>-1908</v>
      </c>
      <c r="F36" s="61">
        <v>-1645</v>
      </c>
      <c r="G36" s="61">
        <v>-2254</v>
      </c>
      <c r="H36" s="61">
        <v>-2974</v>
      </c>
      <c r="I36" s="61">
        <v>-3308</v>
      </c>
      <c r="J36" s="61">
        <v>-4151</v>
      </c>
      <c r="K36" s="61">
        <v>-3968</v>
      </c>
      <c r="L36" s="61">
        <v>-4584</v>
      </c>
      <c r="M36" s="61">
        <v>-7330</v>
      </c>
      <c r="N36" s="61">
        <v>-9203</v>
      </c>
      <c r="O36" s="61">
        <v>-14112</v>
      </c>
      <c r="P36" s="61">
        <v>-12217</v>
      </c>
      <c r="Q36" s="61">
        <v>-19515</v>
      </c>
      <c r="R36" s="61">
        <v>-6614</v>
      </c>
      <c r="S36" s="61">
        <f>-12378-R36</f>
        <v>-5764</v>
      </c>
      <c r="T36" s="74"/>
      <c r="U36" s="74"/>
      <c r="V36" s="74"/>
      <c r="W36" s="74"/>
      <c r="X36" s="74"/>
      <c r="Y36" s="74"/>
      <c r="Z36" s="74"/>
      <c r="AA36" s="74"/>
      <c r="AB36" s="74"/>
      <c r="AC36" s="74"/>
      <c r="AD36" s="62"/>
      <c r="AE36" s="51"/>
      <c r="AF36" s="2"/>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row>
    <row r="37" spans="1:62" hidden="1" outlineLevel="1" x14ac:dyDescent="0.25">
      <c r="A37" s="2"/>
      <c r="B37" s="54" t="s">
        <v>278</v>
      </c>
      <c r="C37" s="61">
        <v>0</v>
      </c>
      <c r="D37" s="61">
        <v>0</v>
      </c>
      <c r="E37" s="61">
        <v>0</v>
      </c>
      <c r="F37" s="61">
        <v>0</v>
      </c>
      <c r="G37" s="61">
        <v>0</v>
      </c>
      <c r="H37" s="61">
        <v>-1329</v>
      </c>
      <c r="I37" s="61">
        <v>-5771</v>
      </c>
      <c r="J37" s="61">
        <v>-2436</v>
      </c>
      <c r="K37" s="61">
        <v>-3174</v>
      </c>
      <c r="L37" s="61">
        <v>-1791</v>
      </c>
      <c r="M37" s="61">
        <v>-4065</v>
      </c>
      <c r="N37" s="61">
        <v>-7675</v>
      </c>
      <c r="O37" s="61">
        <v>0</v>
      </c>
      <c r="P37" s="61">
        <v>0</v>
      </c>
      <c r="Q37" s="61">
        <v>0</v>
      </c>
      <c r="R37" s="61">
        <v>0</v>
      </c>
      <c r="S37" s="61">
        <v>0</v>
      </c>
      <c r="T37" s="74"/>
      <c r="U37" s="74"/>
      <c r="V37" s="74"/>
      <c r="W37" s="74"/>
      <c r="X37" s="74"/>
      <c r="Y37" s="74"/>
      <c r="Z37" s="74"/>
      <c r="AA37" s="74"/>
      <c r="AB37" s="74"/>
      <c r="AC37" s="74"/>
      <c r="AD37" s="62"/>
      <c r="AE37" s="51"/>
      <c r="AF37" s="2"/>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row>
    <row r="38" spans="1:62" hidden="1" outlineLevel="1" x14ac:dyDescent="0.25">
      <c r="A38" s="2"/>
      <c r="B38" s="54" t="s">
        <v>273</v>
      </c>
      <c r="C38" s="61">
        <v>0</v>
      </c>
      <c r="D38" s="61">
        <v>-525</v>
      </c>
      <c r="E38" s="61">
        <v>0</v>
      </c>
      <c r="F38" s="61">
        <v>-536</v>
      </c>
      <c r="G38" s="61">
        <v>-924</v>
      </c>
      <c r="H38" s="61">
        <v>-2424</v>
      </c>
      <c r="I38" s="61">
        <v>-2099</v>
      </c>
      <c r="J38" s="61">
        <v>-2250</v>
      </c>
      <c r="K38" s="61">
        <v>-2924</v>
      </c>
      <c r="L38" s="61">
        <v>-1641</v>
      </c>
      <c r="M38" s="61">
        <v>-3087</v>
      </c>
      <c r="N38" s="61">
        <v>-1778</v>
      </c>
      <c r="O38" s="61">
        <v>-2371</v>
      </c>
      <c r="P38" s="61">
        <v>-2697</v>
      </c>
      <c r="Q38" s="61">
        <v>-896</v>
      </c>
      <c r="R38" s="61">
        <v>-222</v>
      </c>
      <c r="S38" s="61">
        <f>-414-R38</f>
        <v>-192</v>
      </c>
      <c r="T38" s="74"/>
      <c r="U38" s="74"/>
      <c r="V38" s="74"/>
      <c r="W38" s="74"/>
      <c r="X38" s="74"/>
      <c r="Y38" s="74"/>
      <c r="Z38" s="74"/>
      <c r="AA38" s="74"/>
      <c r="AB38" s="74"/>
      <c r="AC38" s="74"/>
      <c r="AD38" s="62"/>
      <c r="AE38" s="51"/>
      <c r="AF38" s="2"/>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row>
    <row r="39" spans="1:62" hidden="1" outlineLevel="1" x14ac:dyDescent="0.25">
      <c r="A39" s="2"/>
      <c r="B39" s="54" t="s">
        <v>277</v>
      </c>
      <c r="C39" s="61">
        <v>0</v>
      </c>
      <c r="D39" s="61">
        <v>0</v>
      </c>
      <c r="E39" s="61">
        <v>0</v>
      </c>
      <c r="F39" s="61">
        <v>0</v>
      </c>
      <c r="G39" s="61">
        <v>0</v>
      </c>
      <c r="H39" s="61">
        <v>0</v>
      </c>
      <c r="I39" s="61">
        <v>0</v>
      </c>
      <c r="J39" s="61">
        <v>0</v>
      </c>
      <c r="K39" s="61">
        <v>0</v>
      </c>
      <c r="L39" s="61">
        <v>0</v>
      </c>
      <c r="M39" s="61">
        <v>0</v>
      </c>
      <c r="N39" s="61">
        <v>-374</v>
      </c>
      <c r="O39" s="61">
        <v>0</v>
      </c>
      <c r="P39" s="61">
        <v>0</v>
      </c>
      <c r="Q39" s="61">
        <v>0</v>
      </c>
      <c r="R39" s="61">
        <v>0</v>
      </c>
      <c r="S39" s="61">
        <v>0</v>
      </c>
      <c r="T39" s="74"/>
      <c r="U39" s="74"/>
      <c r="V39" s="74"/>
      <c r="W39" s="74"/>
      <c r="X39" s="74"/>
      <c r="Y39" s="74"/>
      <c r="Z39" s="74"/>
      <c r="AA39" s="74"/>
      <c r="AB39" s="74"/>
      <c r="AC39" s="74"/>
      <c r="AD39" s="62"/>
      <c r="AE39" s="51"/>
      <c r="AF39" s="2"/>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row>
    <row r="40" spans="1:62" hidden="1" outlineLevel="1" x14ac:dyDescent="0.25">
      <c r="A40" s="2"/>
      <c r="B40" s="54" t="s">
        <v>217</v>
      </c>
      <c r="C40" s="61">
        <v>0</v>
      </c>
      <c r="D40" s="61">
        <v>0</v>
      </c>
      <c r="E40" s="61">
        <v>0</v>
      </c>
      <c r="F40" s="61">
        <v>0</v>
      </c>
      <c r="G40" s="61">
        <v>0</v>
      </c>
      <c r="H40" s="61">
        <v>0</v>
      </c>
      <c r="I40" s="61">
        <v>0</v>
      </c>
      <c r="J40" s="61">
        <v>0</v>
      </c>
      <c r="K40" s="61">
        <v>0</v>
      </c>
      <c r="L40" s="61">
        <v>-5337</v>
      </c>
      <c r="M40" s="61">
        <v>-5145</v>
      </c>
      <c r="N40" s="61">
        <v>-8427</v>
      </c>
      <c r="O40" s="61">
        <v>-23574</v>
      </c>
      <c r="P40" s="61">
        <v>-43080</v>
      </c>
      <c r="Q40" s="61">
        <v>-62767</v>
      </c>
      <c r="R40" s="61">
        <v>-20354</v>
      </c>
      <c r="S40" s="61">
        <f>-46460-R40</f>
        <v>-26106</v>
      </c>
      <c r="T40" s="74"/>
      <c r="U40" s="74"/>
      <c r="V40" s="74"/>
      <c r="W40" s="74"/>
      <c r="X40" s="74"/>
      <c r="Y40" s="74"/>
      <c r="Z40" s="74"/>
      <c r="AA40" s="74"/>
      <c r="AB40" s="74"/>
      <c r="AC40" s="74"/>
      <c r="AD40" s="62"/>
      <c r="AE40" s="51"/>
      <c r="AF40" s="2"/>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row>
    <row r="41" spans="1:62" hidden="1" outlineLevel="1" x14ac:dyDescent="0.25">
      <c r="A41" s="2"/>
      <c r="B41" s="54" t="s">
        <v>274</v>
      </c>
      <c r="C41" s="61">
        <v>-2264</v>
      </c>
      <c r="D41" s="61">
        <v>-2649</v>
      </c>
      <c r="E41" s="61">
        <v>-4378</v>
      </c>
      <c r="F41" s="61">
        <v>-4908</v>
      </c>
      <c r="G41" s="61">
        <v>-4998</v>
      </c>
      <c r="H41" s="61">
        <v>-5927</v>
      </c>
      <c r="I41" s="61">
        <v>-6397</v>
      </c>
      <c r="J41" s="61">
        <v>-6758</v>
      </c>
      <c r="K41" s="61">
        <v>-7595</v>
      </c>
      <c r="L41" s="61">
        <v>-9272</v>
      </c>
      <c r="M41" s="61">
        <v>-12273</v>
      </c>
      <c r="N41" s="61">
        <v>-23161</v>
      </c>
      <c r="O41" s="61">
        <v>-36611</v>
      </c>
      <c r="P41" s="61">
        <v>-45463</v>
      </c>
      <c r="Q41" s="61">
        <v>-93734</v>
      </c>
      <c r="R41" s="61">
        <v>-31510</v>
      </c>
      <c r="S41" s="61">
        <f>-74871-R41</f>
        <v>-43361</v>
      </c>
      <c r="T41" s="74"/>
      <c r="U41" s="74"/>
      <c r="V41" s="74"/>
      <c r="W41" s="74"/>
      <c r="X41" s="74"/>
      <c r="Y41" s="74"/>
      <c r="Z41" s="74"/>
      <c r="AA41" s="74"/>
      <c r="AB41" s="74"/>
      <c r="AC41" s="74"/>
      <c r="AD41" s="62"/>
      <c r="AE41" s="51"/>
      <c r="AF41" s="2"/>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row>
    <row r="42" spans="1:62" hidden="1" outlineLevel="1" x14ac:dyDescent="0.25">
      <c r="A42" s="2"/>
      <c r="B42" s="54" t="s">
        <v>275</v>
      </c>
      <c r="C42" s="61">
        <v>0</v>
      </c>
      <c r="D42" s="61">
        <v>0</v>
      </c>
      <c r="E42" s="61">
        <v>0</v>
      </c>
      <c r="F42" s="61">
        <v>0</v>
      </c>
      <c r="G42" s="61">
        <v>0</v>
      </c>
      <c r="H42" s="61">
        <v>0</v>
      </c>
      <c r="I42" s="61">
        <v>0</v>
      </c>
      <c r="J42" s="61">
        <v>0</v>
      </c>
      <c r="K42" s="61">
        <v>0</v>
      </c>
      <c r="L42" s="61">
        <v>0</v>
      </c>
      <c r="M42" s="61">
        <v>0</v>
      </c>
      <c r="N42" s="61">
        <v>0</v>
      </c>
      <c r="O42" s="61">
        <v>0</v>
      </c>
      <c r="P42" s="61">
        <v>0</v>
      </c>
      <c r="Q42" s="61">
        <v>-94782</v>
      </c>
      <c r="R42" s="61">
        <v>-41231</v>
      </c>
      <c r="S42" s="61">
        <f>-83771-R42</f>
        <v>-42540</v>
      </c>
      <c r="T42" s="74"/>
      <c r="U42" s="74"/>
      <c r="V42" s="74"/>
      <c r="W42" s="74"/>
      <c r="X42" s="74"/>
      <c r="Y42" s="74"/>
      <c r="Z42" s="74"/>
      <c r="AA42" s="74"/>
      <c r="AB42" s="74"/>
      <c r="AC42" s="74"/>
      <c r="AD42" s="62"/>
      <c r="AE42" s="51"/>
      <c r="AF42" s="2"/>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row>
    <row r="43" spans="1:62" hidden="1" outlineLevel="1" x14ac:dyDescent="0.25">
      <c r="A43" s="2"/>
      <c r="B43" s="54" t="s">
        <v>276</v>
      </c>
      <c r="C43" s="61">
        <v>-2303</v>
      </c>
      <c r="D43" s="61">
        <v>-2827</v>
      </c>
      <c r="E43" s="61">
        <v>-3739</v>
      </c>
      <c r="F43" s="61">
        <v>-805</v>
      </c>
      <c r="G43" s="61">
        <v>-2610</v>
      </c>
      <c r="H43" s="61">
        <v>-983</v>
      </c>
      <c r="I43" s="61">
        <v>-1492</v>
      </c>
      <c r="J43" s="61">
        <v>-974</v>
      </c>
      <c r="K43" s="61">
        <v>-524</v>
      </c>
      <c r="L43" s="61">
        <v>-420</v>
      </c>
      <c r="M43" s="61">
        <v>-1359</v>
      </c>
      <c r="N43" s="61">
        <v>-5716</v>
      </c>
      <c r="O43" s="61">
        <v>-9403</v>
      </c>
      <c r="P43" s="61">
        <v>-9250</v>
      </c>
      <c r="Q43" s="61">
        <v>-18747</v>
      </c>
      <c r="R43" s="61">
        <v>-7483</v>
      </c>
      <c r="S43" s="61">
        <f>-17631-R43</f>
        <v>-10148</v>
      </c>
      <c r="T43" s="74"/>
      <c r="U43" s="74"/>
      <c r="V43" s="74"/>
      <c r="W43" s="74"/>
      <c r="X43" s="74"/>
      <c r="Y43" s="74"/>
      <c r="Z43" s="74"/>
      <c r="AA43" s="74"/>
      <c r="AB43" s="74"/>
      <c r="AC43" s="74"/>
      <c r="AD43" s="62"/>
      <c r="AE43" s="51"/>
      <c r="AF43" s="2"/>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row>
    <row r="44" spans="1:62" ht="18" hidden="1" customHeight="1" outlineLevel="1" x14ac:dyDescent="0.25">
      <c r="A44" s="2"/>
      <c r="B44" s="53" t="s">
        <v>125</v>
      </c>
      <c r="C44" s="61">
        <v>166</v>
      </c>
      <c r="D44" s="61">
        <v>233</v>
      </c>
      <c r="E44" s="61">
        <v>-536</v>
      </c>
      <c r="F44" s="61">
        <v>-456</v>
      </c>
      <c r="G44" s="61">
        <v>2519</v>
      </c>
      <c r="H44" s="61">
        <v>9924</v>
      </c>
      <c r="I44" s="61">
        <v>-6312</v>
      </c>
      <c r="J44" s="61">
        <v>-958</v>
      </c>
      <c r="K44" s="61">
        <v>-17640</v>
      </c>
      <c r="L44" s="61">
        <v>-6874</v>
      </c>
      <c r="M44" s="61">
        <v>-2410</v>
      </c>
      <c r="N44" s="61">
        <v>-2477</v>
      </c>
      <c r="O44" s="61">
        <v>-27781</v>
      </c>
      <c r="P44" s="61">
        <v>-44816</v>
      </c>
      <c r="Q44" s="61">
        <v>-40199</v>
      </c>
      <c r="R44" s="61">
        <v>-1026</v>
      </c>
      <c r="S44" s="61">
        <f>-37456-R44</f>
        <v>-36430</v>
      </c>
      <c r="T44" s="74"/>
      <c r="U44" s="74"/>
      <c r="V44" s="74"/>
      <c r="W44" s="74"/>
      <c r="X44" s="74"/>
      <c r="Y44" s="74"/>
      <c r="Z44" s="74"/>
      <c r="AA44" s="74"/>
      <c r="AB44" s="74"/>
      <c r="AC44" s="74"/>
      <c r="AD44" s="62"/>
      <c r="AE44" s="51"/>
      <c r="AF44" s="2"/>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row>
    <row r="45" spans="1:62" collapsed="1" x14ac:dyDescent="0.25">
      <c r="A45" s="2"/>
      <c r="B45" s="89" t="s">
        <v>63</v>
      </c>
      <c r="C45" s="90">
        <f t="shared" ref="C45:S45" si="20">C28+C20</f>
        <v>89289</v>
      </c>
      <c r="D45" s="90">
        <f t="shared" si="20"/>
        <v>125452</v>
      </c>
      <c r="E45" s="90">
        <f t="shared" si="20"/>
        <v>133504</v>
      </c>
      <c r="F45" s="90">
        <f t="shared" si="20"/>
        <v>156117</v>
      </c>
      <c r="G45" s="90">
        <f t="shared" si="20"/>
        <v>161487</v>
      </c>
      <c r="H45" s="90">
        <f t="shared" si="20"/>
        <v>164557</v>
      </c>
      <c r="I45" s="90">
        <f t="shared" si="20"/>
        <v>157000</v>
      </c>
      <c r="J45" s="90">
        <f t="shared" si="20"/>
        <v>182933</v>
      </c>
      <c r="K45" s="90">
        <f t="shared" si="20"/>
        <v>169998</v>
      </c>
      <c r="L45" s="90">
        <f t="shared" si="20"/>
        <v>204926</v>
      </c>
      <c r="M45" s="90">
        <f t="shared" si="20"/>
        <v>54558</v>
      </c>
      <c r="N45" s="90">
        <f t="shared" si="20"/>
        <v>403854</v>
      </c>
      <c r="O45" s="90">
        <f t="shared" si="20"/>
        <v>472871</v>
      </c>
      <c r="P45" s="90">
        <f t="shared" si="20"/>
        <v>375941</v>
      </c>
      <c r="Q45" s="90">
        <f t="shared" si="20"/>
        <v>-10058</v>
      </c>
      <c r="R45" s="90">
        <f t="shared" si="20"/>
        <v>118422</v>
      </c>
      <c r="S45" s="90">
        <f t="shared" si="20"/>
        <v>160152</v>
      </c>
      <c r="T45" s="74"/>
      <c r="U45" s="74"/>
      <c r="V45" s="74"/>
      <c r="W45" s="74"/>
      <c r="X45" s="74"/>
      <c r="Y45" s="74"/>
      <c r="Z45" s="74"/>
      <c r="AA45" s="74"/>
      <c r="AB45" s="74"/>
      <c r="AC45" s="74"/>
      <c r="AD45" s="173"/>
      <c r="AE45" s="51"/>
      <c r="AF45" s="2"/>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row>
    <row r="46" spans="1:62" x14ac:dyDescent="0.25">
      <c r="A46" s="2"/>
      <c r="B46" s="53" t="s">
        <v>23</v>
      </c>
      <c r="C46" s="61">
        <v>0</v>
      </c>
      <c r="D46" s="61">
        <v>0</v>
      </c>
      <c r="E46" s="61">
        <v>0</v>
      </c>
      <c r="F46" s="61">
        <v>0</v>
      </c>
      <c r="G46" s="61">
        <v>0</v>
      </c>
      <c r="H46" s="61"/>
      <c r="I46" s="61">
        <v>0</v>
      </c>
      <c r="J46" s="61">
        <v>0</v>
      </c>
      <c r="K46" s="61">
        <v>0</v>
      </c>
      <c r="L46" s="61">
        <v>0</v>
      </c>
      <c r="M46" s="61">
        <v>0</v>
      </c>
      <c r="N46" s="61">
        <v>0</v>
      </c>
      <c r="O46" s="61">
        <v>0</v>
      </c>
      <c r="P46" s="61">
        <v>0</v>
      </c>
      <c r="Q46" s="61">
        <v>0</v>
      </c>
      <c r="R46" s="61">
        <v>0</v>
      </c>
      <c r="S46" s="61">
        <v>0</v>
      </c>
      <c r="T46" s="74"/>
      <c r="U46" s="74"/>
      <c r="V46" s="74"/>
      <c r="W46" s="74"/>
      <c r="X46" s="74"/>
      <c r="Y46" s="74"/>
      <c r="Z46" s="74"/>
      <c r="AA46" s="74"/>
      <c r="AB46" s="74"/>
      <c r="AC46" s="74"/>
      <c r="AD46" s="62"/>
      <c r="AE46" s="51"/>
      <c r="AF46" s="2"/>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row>
    <row r="47" spans="1:62" x14ac:dyDescent="0.25">
      <c r="A47" s="2"/>
      <c r="B47" s="89" t="s">
        <v>108</v>
      </c>
      <c r="C47" s="90">
        <f t="shared" ref="C47:S47" si="21">C45-C46-C21</f>
        <v>88661</v>
      </c>
      <c r="D47" s="90">
        <f t="shared" si="21"/>
        <v>125452</v>
      </c>
      <c r="E47" s="90">
        <f t="shared" si="21"/>
        <v>133504</v>
      </c>
      <c r="F47" s="90">
        <f t="shared" si="21"/>
        <v>155005</v>
      </c>
      <c r="G47" s="90">
        <f t="shared" si="21"/>
        <v>161487</v>
      </c>
      <c r="H47" s="90">
        <f t="shared" si="21"/>
        <v>164557</v>
      </c>
      <c r="I47" s="90">
        <f t="shared" si="21"/>
        <v>157000</v>
      </c>
      <c r="J47" s="90">
        <f t="shared" si="21"/>
        <v>182933</v>
      </c>
      <c r="K47" s="90">
        <f t="shared" si="21"/>
        <v>169998</v>
      </c>
      <c r="L47" s="90">
        <f t="shared" si="21"/>
        <v>150361</v>
      </c>
      <c r="M47" s="90">
        <f t="shared" si="21"/>
        <v>2286</v>
      </c>
      <c r="N47" s="90">
        <f t="shared" si="21"/>
        <v>270592</v>
      </c>
      <c r="O47" s="90">
        <f t="shared" si="21"/>
        <v>377460</v>
      </c>
      <c r="P47" s="90">
        <f t="shared" si="21"/>
        <v>328286</v>
      </c>
      <c r="Q47" s="90">
        <f t="shared" si="21"/>
        <v>-13984</v>
      </c>
      <c r="R47" s="90">
        <f t="shared" si="21"/>
        <v>89333</v>
      </c>
      <c r="S47" s="90">
        <f t="shared" si="21"/>
        <v>155024</v>
      </c>
      <c r="T47" s="74"/>
      <c r="U47" s="74"/>
      <c r="V47" s="74"/>
      <c r="W47" s="74"/>
      <c r="X47" s="74"/>
      <c r="Y47" s="74"/>
      <c r="Z47" s="74"/>
      <c r="AA47" s="74"/>
      <c r="AB47" s="74"/>
      <c r="AC47" s="74"/>
      <c r="AD47" s="62"/>
      <c r="AE47" s="51"/>
      <c r="AF47" s="2"/>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row>
    <row r="48" spans="1:62" x14ac:dyDescent="0.25">
      <c r="A48" s="2"/>
      <c r="B48" s="48" t="s">
        <v>107</v>
      </c>
      <c r="C48" s="61">
        <f t="shared" ref="C48:S48" si="22">C23</f>
        <v>0</v>
      </c>
      <c r="D48" s="61">
        <f t="shared" si="22"/>
        <v>0</v>
      </c>
      <c r="E48" s="61">
        <f t="shared" si="22"/>
        <v>0</v>
      </c>
      <c r="F48" s="61">
        <f t="shared" si="22"/>
        <v>0</v>
      </c>
      <c r="G48" s="61">
        <f t="shared" si="22"/>
        <v>0</v>
      </c>
      <c r="H48" s="61">
        <f t="shared" si="22"/>
        <v>0</v>
      </c>
      <c r="I48" s="61">
        <f t="shared" si="22"/>
        <v>40579</v>
      </c>
      <c r="J48" s="61">
        <f t="shared" si="22"/>
        <v>64265</v>
      </c>
      <c r="K48" s="61">
        <f t="shared" si="22"/>
        <v>71216</v>
      </c>
      <c r="L48" s="61">
        <f t="shared" si="22"/>
        <v>77416</v>
      </c>
      <c r="M48" s="61">
        <f t="shared" si="22"/>
        <v>70922</v>
      </c>
      <c r="N48" s="61">
        <f t="shared" si="22"/>
        <v>177418</v>
      </c>
      <c r="O48" s="61">
        <f t="shared" si="22"/>
        <v>302386</v>
      </c>
      <c r="P48" s="61">
        <f t="shared" si="22"/>
        <v>366899</v>
      </c>
      <c r="Q48" s="61">
        <f t="shared" si="22"/>
        <v>968911</v>
      </c>
      <c r="R48" s="61">
        <f t="shared" si="22"/>
        <v>297869</v>
      </c>
      <c r="S48" s="61">
        <f t="shared" si="22"/>
        <v>305876</v>
      </c>
      <c r="T48" s="90"/>
      <c r="U48" s="90"/>
      <c r="V48" s="90"/>
      <c r="W48" s="90"/>
      <c r="X48" s="90"/>
      <c r="Y48" s="90"/>
      <c r="Z48" s="90"/>
      <c r="AA48" s="90"/>
      <c r="AB48" s="90"/>
      <c r="AC48" s="90"/>
      <c r="AD48" s="62"/>
      <c r="AE48" s="51"/>
      <c r="AF48" s="2"/>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row>
    <row r="49" spans="1:62" x14ac:dyDescent="0.25">
      <c r="A49" s="2"/>
      <c r="B49" s="89" t="s">
        <v>109</v>
      </c>
      <c r="C49" s="90">
        <f>C47-C48</f>
        <v>88661</v>
      </c>
      <c r="D49" s="90">
        <f t="shared" ref="D49:S49" si="23">D47-D48</f>
        <v>125452</v>
      </c>
      <c r="E49" s="90">
        <f t="shared" si="23"/>
        <v>133504</v>
      </c>
      <c r="F49" s="90">
        <f t="shared" si="23"/>
        <v>155005</v>
      </c>
      <c r="G49" s="90">
        <f t="shared" si="23"/>
        <v>161487</v>
      </c>
      <c r="H49" s="90">
        <f t="shared" si="23"/>
        <v>164557</v>
      </c>
      <c r="I49" s="90">
        <f t="shared" si="23"/>
        <v>116421</v>
      </c>
      <c r="J49" s="90">
        <f t="shared" si="23"/>
        <v>118668</v>
      </c>
      <c r="K49" s="90">
        <f t="shared" si="23"/>
        <v>98782</v>
      </c>
      <c r="L49" s="90">
        <f t="shared" si="23"/>
        <v>72945</v>
      </c>
      <c r="M49" s="90">
        <f t="shared" si="23"/>
        <v>-68636</v>
      </c>
      <c r="N49" s="90">
        <f t="shared" si="23"/>
        <v>93174</v>
      </c>
      <c r="O49" s="90">
        <f t="shared" si="23"/>
        <v>75074</v>
      </c>
      <c r="P49" s="90">
        <f t="shared" si="23"/>
        <v>-38613</v>
      </c>
      <c r="Q49" s="90">
        <f t="shared" si="23"/>
        <v>-982895</v>
      </c>
      <c r="R49" s="90">
        <f t="shared" si="23"/>
        <v>-208536</v>
      </c>
      <c r="S49" s="90">
        <f t="shared" si="23"/>
        <v>-150852</v>
      </c>
      <c r="T49" s="90"/>
      <c r="U49" s="90"/>
      <c r="V49" s="90"/>
      <c r="W49" s="90"/>
      <c r="X49" s="90"/>
      <c r="Y49" s="90"/>
      <c r="Z49" s="90"/>
      <c r="AA49" s="90"/>
      <c r="AB49" s="90"/>
      <c r="AC49" s="90"/>
      <c r="AD49" s="62"/>
      <c r="AE49" s="51"/>
      <c r="AF49" s="2"/>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row>
    <row r="50" spans="1:62" x14ac:dyDescent="0.25">
      <c r="A50" s="2"/>
      <c r="B50" s="48" t="s">
        <v>28</v>
      </c>
      <c r="C50" s="61">
        <v>-24755</v>
      </c>
      <c r="D50" s="61">
        <v>-33839</v>
      </c>
      <c r="E50" s="61">
        <v>-36630</v>
      </c>
      <c r="F50" s="61">
        <v>-45562</v>
      </c>
      <c r="G50" s="61">
        <v>-48735</v>
      </c>
      <c r="H50" s="61">
        <v>-44894</v>
      </c>
      <c r="I50" s="61">
        <v>-40851</v>
      </c>
      <c r="J50" s="61">
        <f>-31591+3128</f>
        <v>-28463</v>
      </c>
      <c r="K50" s="61">
        <v>-27354</v>
      </c>
      <c r="L50" s="61">
        <v>-42787</v>
      </c>
      <c r="M50" s="61">
        <v>-5974</v>
      </c>
      <c r="N50" s="61">
        <v>-60134</v>
      </c>
      <c r="O50" s="61">
        <v>-50333</v>
      </c>
      <c r="P50" s="61">
        <v>22732</v>
      </c>
      <c r="Q50" s="61">
        <v>348607</v>
      </c>
      <c r="R50" s="61">
        <v>-596</v>
      </c>
      <c r="S50" s="61">
        <v>377502</v>
      </c>
      <c r="T50" s="62">
        <f>T69+T52+T56+T58+T60+T66+T67</f>
        <v>79653.841743259734</v>
      </c>
      <c r="U50" s="62">
        <f>T50+R50+S50</f>
        <v>456559.84174325975</v>
      </c>
      <c r="V50" s="62">
        <f t="shared" ref="V50:AC50" si="24">V69+V52+V56+V58+V60+V66+V67</f>
        <v>-66855.330986895511</v>
      </c>
      <c r="W50" s="62">
        <f t="shared" si="24"/>
        <v>-93728.053276802588</v>
      </c>
      <c r="X50" s="62">
        <f t="shared" si="24"/>
        <v>-122185.97995185509</v>
      </c>
      <c r="Y50" s="62">
        <f t="shared" si="24"/>
        <v>-187555.58552329225</v>
      </c>
      <c r="Z50" s="62">
        <f t="shared" si="24"/>
        <v>-243378.20401973824</v>
      </c>
      <c r="AA50" s="62">
        <f t="shared" si="24"/>
        <v>-300459.53649833577</v>
      </c>
      <c r="AB50" s="62">
        <f t="shared" si="24"/>
        <v>-331053.70763202477</v>
      </c>
      <c r="AC50" s="62">
        <f t="shared" si="24"/>
        <v>-449682.33698914695</v>
      </c>
      <c r="AD50" s="63"/>
      <c r="AE50" s="51"/>
      <c r="AF50" s="2"/>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row>
    <row r="51" spans="1:62" x14ac:dyDescent="0.25">
      <c r="A51" s="2"/>
      <c r="B51" s="48" t="s">
        <v>426</v>
      </c>
      <c r="C51" s="158">
        <f t="shared" ref="C51:F51" si="25">C50/C22</f>
        <v>-0.26851570635196115</v>
      </c>
      <c r="D51" s="158">
        <f t="shared" si="25"/>
        <v>-0.29769246333717481</v>
      </c>
      <c r="E51" s="158">
        <f t="shared" si="25"/>
        <v>-0.2857142857142857</v>
      </c>
      <c r="F51" s="158">
        <f t="shared" si="25"/>
        <v>-0.30915061949544709</v>
      </c>
      <c r="G51" s="158"/>
      <c r="H51" s="158"/>
      <c r="I51" s="158">
        <f>I50/I22</f>
        <v>-0.26995361008683239</v>
      </c>
      <c r="J51" s="158">
        <f t="shared" ref="J51:AC51" si="26">J50/J22</f>
        <v>-0.16392621218316794</v>
      </c>
      <c r="K51" s="158">
        <f t="shared" si="26"/>
        <v>-0.14300576644587226</v>
      </c>
      <c r="L51" s="158">
        <f t="shared" si="26"/>
        <v>-0.2538730367812409</v>
      </c>
      <c r="M51" s="158">
        <f t="shared" si="26"/>
        <v>-0.14996109144764916</v>
      </c>
      <c r="N51" s="158">
        <f t="shared" si="26"/>
        <v>-0.17936366375054807</v>
      </c>
      <c r="O51" s="158">
        <f t="shared" si="26"/>
        <v>-0.1106905818551278</v>
      </c>
      <c r="P51" s="158">
        <f t="shared" si="26"/>
        <v>4.4474095580567724E-2</v>
      </c>
      <c r="Q51" s="158">
        <f t="shared" si="26"/>
        <v>0.91808023428220786</v>
      </c>
      <c r="R51" s="158">
        <f t="shared" si="26"/>
        <v>-2.4132974308100339E-3</v>
      </c>
      <c r="S51" s="158">
        <f t="shared" si="26"/>
        <v>1.0580895068908589</v>
      </c>
      <c r="T51" s="158">
        <f t="shared" si="26"/>
        <v>9.2808062795671623E-2</v>
      </c>
      <c r="U51" s="158">
        <f t="shared" si="26"/>
        <v>0.31228310001021059</v>
      </c>
      <c r="V51" s="158">
        <f t="shared" si="26"/>
        <v>-3.8317151045339691E-2</v>
      </c>
      <c r="W51" s="158">
        <f t="shared" si="26"/>
        <v>-4.7669389866326413E-2</v>
      </c>
      <c r="X51" s="158">
        <f t="shared" si="26"/>
        <v>-5.5491434510881996E-2</v>
      </c>
      <c r="Y51" s="158">
        <f t="shared" si="26"/>
        <v>-7.631736279434595E-2</v>
      </c>
      <c r="Z51" s="158">
        <f t="shared" si="26"/>
        <v>-9.1271329346909194E-2</v>
      </c>
      <c r="AA51" s="158">
        <f t="shared" si="26"/>
        <v>-0.10495833994110873</v>
      </c>
      <c r="AB51" s="158">
        <f t="shared" si="26"/>
        <v>-0.11204299712348975</v>
      </c>
      <c r="AC51" s="158">
        <f t="shared" si="26"/>
        <v>-0.19295349025686964</v>
      </c>
      <c r="AD51" s="62"/>
      <c r="AE51" s="51"/>
      <c r="AF51" s="2"/>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row>
    <row r="52" spans="1:62" hidden="1" outlineLevel="1" x14ac:dyDescent="0.25">
      <c r="A52" s="2"/>
      <c r="B52" s="53" t="s">
        <v>303</v>
      </c>
      <c r="C52" s="61">
        <v>0</v>
      </c>
      <c r="D52" s="61">
        <v>0</v>
      </c>
      <c r="E52" s="61">
        <v>-2708</v>
      </c>
      <c r="F52" s="61">
        <v>-3624</v>
      </c>
      <c r="G52" s="61">
        <v>-3217</v>
      </c>
      <c r="H52" s="61">
        <v>-3351</v>
      </c>
      <c r="I52" s="61">
        <v>-2390</v>
      </c>
      <c r="J52" s="61">
        <v>-5048</v>
      </c>
      <c r="K52" s="61">
        <v>-15675</v>
      </c>
      <c r="L52" s="61">
        <v>-22340</v>
      </c>
      <c r="M52" s="61">
        <v>-32099</v>
      </c>
      <c r="N52" s="61">
        <v>-14637</v>
      </c>
      <c r="O52" s="61">
        <v>-26423</v>
      </c>
      <c r="P52" s="61">
        <v>-34954</v>
      </c>
      <c r="Q52" s="61">
        <v>-51753</v>
      </c>
      <c r="R52" s="61">
        <v>-3960</v>
      </c>
      <c r="S52" s="61">
        <f>-5641-R52</f>
        <v>-1681</v>
      </c>
      <c r="T52" s="62">
        <f>U52-R52-S52</f>
        <v>-29313</v>
      </c>
      <c r="U52" s="62">
        <f>P52</f>
        <v>-34954</v>
      </c>
      <c r="V52" s="62">
        <f>U52</f>
        <v>-34954</v>
      </c>
      <c r="W52" s="62">
        <f t="shared" ref="W52:AB52" si="27">V52</f>
        <v>-34954</v>
      </c>
      <c r="X52" s="62">
        <f t="shared" si="27"/>
        <v>-34954</v>
      </c>
      <c r="Y52" s="62">
        <f t="shared" si="27"/>
        <v>-34954</v>
      </c>
      <c r="Z52" s="62">
        <f t="shared" si="27"/>
        <v>-34954</v>
      </c>
      <c r="AA52" s="62">
        <f t="shared" si="27"/>
        <v>-34954</v>
      </c>
      <c r="AB52" s="62">
        <f t="shared" si="27"/>
        <v>-34954</v>
      </c>
      <c r="AC52" s="62">
        <v>0</v>
      </c>
      <c r="AD52" s="62"/>
      <c r="AE52" s="51"/>
      <c r="AF52" s="2"/>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row>
    <row r="53" spans="1:62" hidden="1" outlineLevel="1" x14ac:dyDescent="0.25">
      <c r="A53" s="2"/>
      <c r="B53" s="53" t="s">
        <v>299</v>
      </c>
      <c r="C53" s="61">
        <v>4899</v>
      </c>
      <c r="D53" s="61">
        <v>2838</v>
      </c>
      <c r="E53" s="61">
        <v>4588</v>
      </c>
      <c r="F53" s="61">
        <v>4811</v>
      </c>
      <c r="G53" s="61">
        <v>4819</v>
      </c>
      <c r="H53" s="61">
        <v>4412</v>
      </c>
      <c r="I53" s="61">
        <v>3952</v>
      </c>
      <c r="J53" s="61">
        <v>6707</v>
      </c>
      <c r="K53" s="61">
        <v>8060</v>
      </c>
      <c r="L53" s="61">
        <v>9190</v>
      </c>
      <c r="M53" s="61">
        <v>2212</v>
      </c>
      <c r="N53" s="61">
        <v>6437</v>
      </c>
      <c r="O53" s="61">
        <v>0</v>
      </c>
      <c r="P53" s="61">
        <v>14582</v>
      </c>
      <c r="Q53" s="61">
        <v>0</v>
      </c>
      <c r="R53" s="61">
        <v>0</v>
      </c>
      <c r="S53" s="61">
        <v>0</v>
      </c>
      <c r="T53" s="61">
        <v>0</v>
      </c>
      <c r="U53" s="61">
        <v>0</v>
      </c>
      <c r="V53" s="61">
        <v>0</v>
      </c>
      <c r="W53" s="61">
        <v>0</v>
      </c>
      <c r="X53" s="61">
        <v>0</v>
      </c>
      <c r="Y53" s="61">
        <v>0</v>
      </c>
      <c r="Z53" s="61">
        <v>0</v>
      </c>
      <c r="AA53" s="61">
        <v>0</v>
      </c>
      <c r="AB53" s="61">
        <v>0</v>
      </c>
      <c r="AC53" s="61">
        <v>0</v>
      </c>
      <c r="AD53" s="62"/>
      <c r="AE53" s="51"/>
      <c r="AF53" s="2"/>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row>
    <row r="54" spans="1:62" hidden="1" outlineLevel="1" x14ac:dyDescent="0.25">
      <c r="A54" s="2"/>
      <c r="B54" s="53" t="s">
        <v>300</v>
      </c>
      <c r="C54" s="61">
        <v>0</v>
      </c>
      <c r="D54" s="61">
        <v>0</v>
      </c>
      <c r="E54" s="61">
        <v>0</v>
      </c>
      <c r="F54" s="61">
        <v>0</v>
      </c>
      <c r="G54" s="61">
        <v>0</v>
      </c>
      <c r="H54" s="61">
        <v>0</v>
      </c>
      <c r="I54" s="61">
        <v>0</v>
      </c>
      <c r="J54" s="61">
        <v>0</v>
      </c>
      <c r="K54" s="61">
        <v>0</v>
      </c>
      <c r="L54" s="61">
        <v>0</v>
      </c>
      <c r="M54" s="61">
        <v>0</v>
      </c>
      <c r="N54" s="61">
        <v>0</v>
      </c>
      <c r="O54" s="61">
        <v>0</v>
      </c>
      <c r="P54" s="61">
        <v>0</v>
      </c>
      <c r="Q54" s="61">
        <v>0</v>
      </c>
      <c r="R54" s="61">
        <v>0</v>
      </c>
      <c r="S54" s="61">
        <v>0</v>
      </c>
      <c r="T54" s="62">
        <v>0</v>
      </c>
      <c r="U54" s="62">
        <v>0</v>
      </c>
      <c r="V54" s="62">
        <v>0</v>
      </c>
      <c r="W54" s="62">
        <v>0</v>
      </c>
      <c r="X54" s="62">
        <v>0</v>
      </c>
      <c r="Y54" s="62">
        <v>0</v>
      </c>
      <c r="Z54" s="62">
        <v>0</v>
      </c>
      <c r="AA54" s="62">
        <v>0</v>
      </c>
      <c r="AB54" s="62">
        <v>0</v>
      </c>
      <c r="AC54" s="62">
        <v>0</v>
      </c>
      <c r="AD54" s="62"/>
      <c r="AE54" s="51"/>
      <c r="AF54" s="2"/>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row>
    <row r="55" spans="1:62" hidden="1" outlineLevel="1" x14ac:dyDescent="0.25">
      <c r="A55" s="2"/>
      <c r="B55" s="53" t="s">
        <v>310</v>
      </c>
      <c r="C55" s="61"/>
      <c r="D55" s="61"/>
      <c r="E55" s="61"/>
      <c r="F55" s="61"/>
      <c r="G55" s="61"/>
      <c r="H55" s="61"/>
      <c r="I55" s="61"/>
      <c r="J55" s="61">
        <v>0</v>
      </c>
      <c r="K55" s="61">
        <v>0</v>
      </c>
      <c r="L55" s="61">
        <v>0</v>
      </c>
      <c r="M55" s="61">
        <v>0</v>
      </c>
      <c r="N55" s="61">
        <v>0</v>
      </c>
      <c r="O55" s="61">
        <v>0</v>
      </c>
      <c r="P55" s="61">
        <v>0</v>
      </c>
      <c r="Q55" s="61">
        <v>210119</v>
      </c>
      <c r="R55" s="61">
        <v>0</v>
      </c>
      <c r="S55" s="61">
        <v>0</v>
      </c>
      <c r="T55" s="62">
        <v>0</v>
      </c>
      <c r="U55" s="62">
        <v>0</v>
      </c>
      <c r="V55" s="62">
        <v>0</v>
      </c>
      <c r="W55" s="62">
        <v>0</v>
      </c>
      <c r="X55" s="62">
        <v>0</v>
      </c>
      <c r="Y55" s="62">
        <v>0</v>
      </c>
      <c r="Z55" s="62">
        <v>0</v>
      </c>
      <c r="AA55" s="62">
        <v>0</v>
      </c>
      <c r="AB55" s="62">
        <v>0</v>
      </c>
      <c r="AC55" s="62">
        <v>0</v>
      </c>
      <c r="AD55" s="62"/>
      <c r="AE55" s="51"/>
      <c r="AF55" s="2"/>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row>
    <row r="56" spans="1:62" hidden="1" outlineLevel="1" x14ac:dyDescent="0.25">
      <c r="A56" s="2"/>
      <c r="B56" s="53" t="s">
        <v>209</v>
      </c>
      <c r="C56" s="61">
        <v>1668</v>
      </c>
      <c r="D56" s="61">
        <v>6075</v>
      </c>
      <c r="E56" s="61">
        <v>7395</v>
      </c>
      <c r="F56" s="61">
        <v>7250</v>
      </c>
      <c r="G56" s="61">
        <v>8291</v>
      </c>
      <c r="H56" s="61">
        <v>11394</v>
      </c>
      <c r="I56" s="61">
        <v>15008</v>
      </c>
      <c r="J56" s="61">
        <v>14436</v>
      </c>
      <c r="K56" s="61">
        <v>14229</v>
      </c>
      <c r="L56" s="61">
        <v>12956</v>
      </c>
      <c r="M56" s="61">
        <v>9173</v>
      </c>
      <c r="N56" s="61">
        <v>21547</v>
      </c>
      <c r="O56" s="61">
        <v>51609</v>
      </c>
      <c r="P56" s="61">
        <v>61620</v>
      </c>
      <c r="Q56" s="61">
        <v>40375</v>
      </c>
      <c r="R56" s="61">
        <v>0</v>
      </c>
      <c r="S56" s="61">
        <v>0</v>
      </c>
      <c r="T56" s="62">
        <f>U56</f>
        <v>157465.77753827456</v>
      </c>
      <c r="U56" s="62">
        <f>U57*U20</f>
        <v>157465.77753827456</v>
      </c>
      <c r="V56" s="62">
        <f>U56*(1+'Painel de Índices'!$R$47)</f>
        <v>169385.93689792196</v>
      </c>
      <c r="W56" s="62">
        <f>V56*(1+'Painel de Índices'!$R$47)</f>
        <v>182208.45232109466</v>
      </c>
      <c r="X56" s="62">
        <f>W56*(1+'Painel de Índices'!$R$47)</f>
        <v>196001.63216180154</v>
      </c>
      <c r="Y56" s="62">
        <f>X56*(1+'Painel de Índices'!$R$47)</f>
        <v>210838.95571644994</v>
      </c>
      <c r="Z56" s="62">
        <f>Y56*(1+'Painel de Índices'!$R$47)</f>
        <v>226799.46466418522</v>
      </c>
      <c r="AA56" s="62">
        <f>Z56*(1+'Painel de Índices'!$R$47)</f>
        <v>243968.18413926405</v>
      </c>
      <c r="AB56" s="62">
        <f>AA56*(1+'Painel de Índices'!$R$47)</f>
        <v>262436.57567860634</v>
      </c>
      <c r="AC56" s="62">
        <f>AB56*(1+'Painel de Índices'!$R$47)</f>
        <v>282303.02445747686</v>
      </c>
      <c r="AD56" s="62"/>
      <c r="AE56" s="51"/>
      <c r="AF56" s="2"/>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row>
    <row r="57" spans="1:62" hidden="1" outlineLevel="1" x14ac:dyDescent="0.25">
      <c r="A57" s="2"/>
      <c r="B57" s="161" t="s">
        <v>451</v>
      </c>
      <c r="C57" s="79">
        <f>C56/C20</f>
        <v>1.7970265029088557E-2</v>
      </c>
      <c r="D57" s="79">
        <f t="shared" ref="D57:S57" si="28">D56/D20</f>
        <v>5.344371035708316E-2</v>
      </c>
      <c r="E57" s="79">
        <f t="shared" si="28"/>
        <v>5.7681057681057683E-2</v>
      </c>
      <c r="F57" s="79">
        <f t="shared" si="28"/>
        <v>4.8824836689339353E-2</v>
      </c>
      <c r="G57" s="79">
        <f t="shared" si="28"/>
        <v>5.5993786722496115E-2</v>
      </c>
      <c r="H57" s="79">
        <f t="shared" si="28"/>
        <v>8.0643791404790222E-2</v>
      </c>
      <c r="I57" s="79">
        <f t="shared" si="28"/>
        <v>9.9176612082523818E-2</v>
      </c>
      <c r="J57" s="79">
        <f t="shared" si="28"/>
        <v>8.3140877598152418E-2</v>
      </c>
      <c r="K57" s="79">
        <f t="shared" si="28"/>
        <v>7.4388720141782425E-2</v>
      </c>
      <c r="L57" s="79">
        <f t="shared" si="28"/>
        <v>5.8072092585454184E-2</v>
      </c>
      <c r="M57" s="79">
        <f t="shared" si="28"/>
        <v>9.9588530979600257E-2</v>
      </c>
      <c r="N57" s="79">
        <f t="shared" si="28"/>
        <v>4.5989008057200791E-2</v>
      </c>
      <c r="O57" s="79">
        <f t="shared" si="28"/>
        <v>9.3812542149205008E-2</v>
      </c>
      <c r="P57" s="79">
        <f t="shared" si="28"/>
        <v>0.11027516893826594</v>
      </c>
      <c r="Q57" s="79">
        <f t="shared" si="28"/>
        <v>0.10524216776709354</v>
      </c>
      <c r="R57" s="79">
        <f t="shared" si="28"/>
        <v>0</v>
      </c>
      <c r="S57" s="79">
        <f t="shared" si="28"/>
        <v>0</v>
      </c>
      <c r="T57" s="79">
        <f>U57</f>
        <v>0.10524216776709354</v>
      </c>
      <c r="U57" s="79">
        <f>Q57</f>
        <v>0.10524216776709354</v>
      </c>
      <c r="V57" s="79">
        <f>U57</f>
        <v>0.10524216776709354</v>
      </c>
      <c r="W57" s="79">
        <f t="shared" ref="W57:AC57" si="29">V57</f>
        <v>0.10524216776709354</v>
      </c>
      <c r="X57" s="79">
        <f t="shared" si="29"/>
        <v>0.10524216776709354</v>
      </c>
      <c r="Y57" s="79">
        <f t="shared" si="29"/>
        <v>0.10524216776709354</v>
      </c>
      <c r="Z57" s="79">
        <f t="shared" si="29"/>
        <v>0.10524216776709354</v>
      </c>
      <c r="AA57" s="79">
        <f t="shared" si="29"/>
        <v>0.10524216776709354</v>
      </c>
      <c r="AB57" s="79">
        <f t="shared" si="29"/>
        <v>0.10524216776709354</v>
      </c>
      <c r="AC57" s="79">
        <f t="shared" si="29"/>
        <v>0.10524216776709354</v>
      </c>
      <c r="AD57" s="62"/>
      <c r="AE57" s="51"/>
      <c r="AF57" s="2"/>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row>
    <row r="58" spans="1:62" hidden="1" outlineLevel="1" x14ac:dyDescent="0.25">
      <c r="A58" s="2"/>
      <c r="B58" s="53" t="s">
        <v>308</v>
      </c>
      <c r="C58" s="61">
        <v>0</v>
      </c>
      <c r="D58" s="61">
        <v>0</v>
      </c>
      <c r="E58" s="61">
        <v>0</v>
      </c>
      <c r="F58" s="61">
        <v>0</v>
      </c>
      <c r="G58" s="61">
        <v>0</v>
      </c>
      <c r="H58" s="61">
        <v>0</v>
      </c>
      <c r="I58" s="61">
        <v>0</v>
      </c>
      <c r="J58" s="61">
        <v>21985</v>
      </c>
      <c r="K58" s="61">
        <v>24407</v>
      </c>
      <c r="L58" s="61">
        <v>30078</v>
      </c>
      <c r="M58" s="61">
        <v>36243</v>
      </c>
      <c r="N58" s="61">
        <v>59301</v>
      </c>
      <c r="O58" s="61">
        <v>101993</v>
      </c>
      <c r="P58" s="61">
        <v>124746</v>
      </c>
      <c r="Q58" s="61">
        <v>145578</v>
      </c>
      <c r="R58" s="61">
        <v>37385</v>
      </c>
      <c r="S58" s="61">
        <f>205273-R58</f>
        <v>167888</v>
      </c>
      <c r="T58" s="62">
        <f>T59*'Projeções - Receita Líquida'!T112</f>
        <v>115099.70166895942</v>
      </c>
      <c r="U58" s="62">
        <f>T58+R58+S58</f>
        <v>320372.7016689594</v>
      </c>
      <c r="V58" s="62">
        <f>V59*'Projeções - Receita Líquida'!V112</f>
        <v>235218.71692866771</v>
      </c>
      <c r="W58" s="62">
        <f>W59*'Projeções - Receita Líquida'!W112</f>
        <v>265069.06607561425</v>
      </c>
      <c r="X58" s="62">
        <f>X59*'Projeções - Receita Líquida'!X112</f>
        <v>296841.39832504868</v>
      </c>
      <c r="Y58" s="62">
        <f>Y59*'Projeções - Receita Líquida'!Y112</f>
        <v>296941.73806385224</v>
      </c>
      <c r="Z58" s="62">
        <f>Z59*'Projeções - Receita Líquida'!Z112</f>
        <v>290790.38568916533</v>
      </c>
      <c r="AA58" s="62">
        <f>AA59*'Projeções - Receita Líquida'!AA112</f>
        <v>278138.99462573719</v>
      </c>
      <c r="AB58" s="62">
        <f>AB59*'Projeções - Receita Líquida'!AB112</f>
        <v>257987.20021765077</v>
      </c>
      <c r="AC58" s="62">
        <f>AC59*'Projeções - Receita Líquida'!AC112</f>
        <v>0</v>
      </c>
      <c r="AD58" s="62"/>
      <c r="AE58" s="51"/>
      <c r="AF58" s="2"/>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row>
    <row r="59" spans="1:62" hidden="1" outlineLevel="1" x14ac:dyDescent="0.25">
      <c r="A59" s="2"/>
      <c r="B59" s="161" t="s">
        <v>382</v>
      </c>
      <c r="C59" s="79"/>
      <c r="D59" s="79"/>
      <c r="E59" s="79"/>
      <c r="F59" s="79"/>
      <c r="G59" s="79"/>
      <c r="H59" s="79"/>
      <c r="I59" s="79"/>
      <c r="J59" s="79">
        <f t="shared" ref="J59:S59" si="30">J58/J23</f>
        <v>0.34209912082782229</v>
      </c>
      <c r="K59" s="79">
        <f t="shared" si="30"/>
        <v>0.3427179285553808</v>
      </c>
      <c r="L59" s="79">
        <f t="shared" si="30"/>
        <v>0.38852433605456238</v>
      </c>
      <c r="M59" s="79">
        <f t="shared" si="30"/>
        <v>0.51102619779476044</v>
      </c>
      <c r="N59" s="79">
        <f t="shared" si="30"/>
        <v>0.33424455241294571</v>
      </c>
      <c r="O59" s="79">
        <f t="shared" si="30"/>
        <v>0.33729405461893075</v>
      </c>
      <c r="P59" s="79">
        <f t="shared" si="30"/>
        <v>0.3400009266855456</v>
      </c>
      <c r="Q59" s="79">
        <f t="shared" si="30"/>
        <v>0.15024909408604092</v>
      </c>
      <c r="R59" s="79">
        <f t="shared" si="30"/>
        <v>0.12550819319902373</v>
      </c>
      <c r="S59" s="79">
        <f t="shared" si="30"/>
        <v>0.54887601511723705</v>
      </c>
      <c r="T59" s="79">
        <f>Q59</f>
        <v>0.15024909408604092</v>
      </c>
      <c r="U59" s="79">
        <f>T59</f>
        <v>0.15024909408604092</v>
      </c>
      <c r="V59" s="79">
        <f t="shared" ref="V59:AB59" si="31">U59</f>
        <v>0.15024909408604092</v>
      </c>
      <c r="W59" s="79">
        <f t="shared" si="31"/>
        <v>0.15024909408604092</v>
      </c>
      <c r="X59" s="79">
        <f t="shared" si="31"/>
        <v>0.15024909408604092</v>
      </c>
      <c r="Y59" s="79">
        <f t="shared" si="31"/>
        <v>0.15024909408604092</v>
      </c>
      <c r="Z59" s="79">
        <f t="shared" si="31"/>
        <v>0.15024909408604092</v>
      </c>
      <c r="AA59" s="79">
        <f t="shared" si="31"/>
        <v>0.15024909408604092</v>
      </c>
      <c r="AB59" s="79">
        <f t="shared" si="31"/>
        <v>0.15024909408604092</v>
      </c>
      <c r="AC59" s="79">
        <v>0</v>
      </c>
      <c r="AD59" s="62"/>
      <c r="AE59" s="51"/>
      <c r="AF59" s="2"/>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c r="BG59" s="1"/>
      <c r="BH59" s="1"/>
      <c r="BI59" s="1"/>
      <c r="BJ59" s="1"/>
    </row>
    <row r="60" spans="1:62" hidden="1" outlineLevel="1" x14ac:dyDescent="0.25">
      <c r="A60" s="2"/>
      <c r="B60" s="53" t="s">
        <v>304</v>
      </c>
      <c r="C60" s="61">
        <v>0</v>
      </c>
      <c r="D60" s="61">
        <v>0</v>
      </c>
      <c r="E60" s="61">
        <v>0</v>
      </c>
      <c r="F60" s="61">
        <v>-1337</v>
      </c>
      <c r="G60" s="61">
        <v>-1513</v>
      </c>
      <c r="H60" s="61">
        <v>-1615</v>
      </c>
      <c r="I60" s="61">
        <v>-1420</v>
      </c>
      <c r="J60" s="61">
        <v>-2045</v>
      </c>
      <c r="K60" s="61">
        <v>-1222</v>
      </c>
      <c r="L60" s="61">
        <v>-1099</v>
      </c>
      <c r="M60" s="61">
        <v>-1125</v>
      </c>
      <c r="N60" s="61">
        <v>-1196</v>
      </c>
      <c r="O60" s="61">
        <v>-5396</v>
      </c>
      <c r="P60" s="61">
        <v>-5898</v>
      </c>
      <c r="Q60" s="61">
        <v>8415</v>
      </c>
      <c r="R60" s="61">
        <v>-3121</v>
      </c>
      <c r="S60" s="61">
        <f>-6229-R60</f>
        <v>-3108</v>
      </c>
      <c r="T60" s="62">
        <v>0</v>
      </c>
      <c r="U60" s="62">
        <f>T60+R60+S60</f>
        <v>-6229</v>
      </c>
      <c r="V60" s="62">
        <v>0</v>
      </c>
      <c r="W60" s="62">
        <v>0</v>
      </c>
      <c r="X60" s="62">
        <v>0</v>
      </c>
      <c r="Y60" s="62">
        <v>0</v>
      </c>
      <c r="Z60" s="62">
        <v>0</v>
      </c>
      <c r="AA60" s="62">
        <v>0</v>
      </c>
      <c r="AB60" s="62">
        <v>0</v>
      </c>
      <c r="AC60" s="62">
        <v>0</v>
      </c>
      <c r="AD60" s="62"/>
      <c r="AE60" s="51"/>
      <c r="AF60" s="2"/>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c r="BG60" s="1"/>
      <c r="BH60" s="1"/>
      <c r="BI60" s="1"/>
      <c r="BJ60" s="1"/>
    </row>
    <row r="61" spans="1:62" hidden="1" outlineLevel="1" x14ac:dyDescent="0.25">
      <c r="A61" s="2"/>
      <c r="B61" s="53" t="s">
        <v>305</v>
      </c>
      <c r="C61" s="61">
        <v>0</v>
      </c>
      <c r="D61" s="61">
        <v>0</v>
      </c>
      <c r="E61" s="61">
        <v>0</v>
      </c>
      <c r="F61" s="61">
        <v>550</v>
      </c>
      <c r="G61" s="61">
        <v>375</v>
      </c>
      <c r="H61" s="61">
        <v>707</v>
      </c>
      <c r="I61" s="61">
        <v>380</v>
      </c>
      <c r="J61" s="61">
        <v>251</v>
      </c>
      <c r="K61" s="61">
        <v>399</v>
      </c>
      <c r="L61" s="61">
        <v>836</v>
      </c>
      <c r="M61" s="61">
        <v>559</v>
      </c>
      <c r="N61" s="61">
        <v>483</v>
      </c>
      <c r="O61" s="61">
        <v>421</v>
      </c>
      <c r="P61" s="61">
        <v>0</v>
      </c>
      <c r="Q61" s="61">
        <v>0</v>
      </c>
      <c r="R61" s="61">
        <v>0</v>
      </c>
      <c r="S61" s="61">
        <v>0</v>
      </c>
      <c r="T61" s="62">
        <v>0</v>
      </c>
      <c r="U61" s="62">
        <f>T61+R61</f>
        <v>0</v>
      </c>
      <c r="V61" s="62">
        <v>0</v>
      </c>
      <c r="W61" s="62">
        <v>0</v>
      </c>
      <c r="X61" s="62">
        <v>0</v>
      </c>
      <c r="Y61" s="62">
        <v>0</v>
      </c>
      <c r="Z61" s="62">
        <v>0</v>
      </c>
      <c r="AA61" s="62">
        <v>0</v>
      </c>
      <c r="AB61" s="62">
        <v>0</v>
      </c>
      <c r="AC61" s="62">
        <v>0</v>
      </c>
      <c r="AD61" s="62"/>
      <c r="AE61" s="51"/>
      <c r="AF61" s="2"/>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row>
    <row r="62" spans="1:62" hidden="1" outlineLevel="1" x14ac:dyDescent="0.25">
      <c r="A62" s="2"/>
      <c r="B62" s="53" t="s">
        <v>306</v>
      </c>
      <c r="C62" s="61">
        <v>0</v>
      </c>
      <c r="D62" s="61">
        <v>0</v>
      </c>
      <c r="E62" s="61">
        <v>0</v>
      </c>
      <c r="F62" s="61">
        <v>891</v>
      </c>
      <c r="G62" s="61">
        <v>0</v>
      </c>
      <c r="H62" s="61">
        <v>0</v>
      </c>
      <c r="I62" s="61">
        <v>0</v>
      </c>
      <c r="J62" s="61">
        <v>0</v>
      </c>
      <c r="K62" s="61">
        <v>0</v>
      </c>
      <c r="L62" s="61">
        <v>0</v>
      </c>
      <c r="M62" s="61">
        <v>0</v>
      </c>
      <c r="N62" s="61">
        <v>0</v>
      </c>
      <c r="O62" s="61">
        <v>0</v>
      </c>
      <c r="P62" s="61">
        <v>0</v>
      </c>
      <c r="Q62" s="61">
        <v>0</v>
      </c>
      <c r="R62" s="61">
        <v>0</v>
      </c>
      <c r="S62" s="61">
        <v>0</v>
      </c>
      <c r="T62" s="62">
        <v>0</v>
      </c>
      <c r="U62" s="62">
        <v>0</v>
      </c>
      <c r="V62" s="62">
        <v>0</v>
      </c>
      <c r="W62" s="62">
        <v>0</v>
      </c>
      <c r="X62" s="62">
        <v>0</v>
      </c>
      <c r="Y62" s="62">
        <v>0</v>
      </c>
      <c r="Z62" s="62">
        <v>0</v>
      </c>
      <c r="AA62" s="62">
        <v>0</v>
      </c>
      <c r="AB62" s="62">
        <v>0</v>
      </c>
      <c r="AC62" s="62">
        <v>0</v>
      </c>
      <c r="AD62" s="62"/>
      <c r="AE62" s="51"/>
      <c r="AF62" s="2"/>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c r="BG62" s="1"/>
      <c r="BH62" s="1"/>
      <c r="BI62" s="1"/>
      <c r="BJ62" s="1"/>
    </row>
    <row r="63" spans="1:62" hidden="1" outlineLevel="1" x14ac:dyDescent="0.25">
      <c r="A63" s="2"/>
      <c r="B63" s="53" t="s">
        <v>301</v>
      </c>
      <c r="C63" s="61">
        <v>-775</v>
      </c>
      <c r="D63" s="61">
        <v>0</v>
      </c>
      <c r="E63" s="61">
        <v>0</v>
      </c>
      <c r="F63" s="61">
        <v>0</v>
      </c>
      <c r="G63" s="61">
        <v>0</v>
      </c>
      <c r="H63" s="61">
        <v>0</v>
      </c>
      <c r="I63" s="61">
        <v>0</v>
      </c>
      <c r="J63" s="61">
        <v>0</v>
      </c>
      <c r="K63" s="61">
        <v>0</v>
      </c>
      <c r="L63" s="61">
        <v>0</v>
      </c>
      <c r="M63" s="61">
        <v>0</v>
      </c>
      <c r="N63" s="61">
        <v>0</v>
      </c>
      <c r="O63" s="61">
        <v>0</v>
      </c>
      <c r="P63" s="61">
        <v>0</v>
      </c>
      <c r="Q63" s="61">
        <v>0</v>
      </c>
      <c r="R63" s="61">
        <v>0</v>
      </c>
      <c r="S63" s="61">
        <v>0</v>
      </c>
      <c r="T63" s="62">
        <v>0</v>
      </c>
      <c r="U63" s="62">
        <v>0</v>
      </c>
      <c r="V63" s="62">
        <v>0</v>
      </c>
      <c r="W63" s="62">
        <v>0</v>
      </c>
      <c r="X63" s="62">
        <v>0</v>
      </c>
      <c r="Y63" s="62">
        <v>0</v>
      </c>
      <c r="Z63" s="62">
        <v>0</v>
      </c>
      <c r="AA63" s="62">
        <v>0</v>
      </c>
      <c r="AB63" s="62">
        <v>0</v>
      </c>
      <c r="AC63" s="62">
        <v>0</v>
      </c>
      <c r="AD63" s="62"/>
      <c r="AE63" s="51"/>
      <c r="AF63" s="2"/>
      <c r="AG63" s="1"/>
      <c r="AH63" s="1"/>
      <c r="AI63" s="1"/>
      <c r="AJ63" s="1"/>
      <c r="AK63" s="1"/>
      <c r="AL63" s="1"/>
      <c r="AM63" s="1"/>
      <c r="AN63" s="1"/>
      <c r="AO63" s="1"/>
      <c r="AP63" s="1"/>
      <c r="AQ63" s="1"/>
      <c r="AR63" s="1"/>
      <c r="AS63" s="1"/>
      <c r="AT63" s="1"/>
      <c r="AU63" s="1"/>
      <c r="AV63" s="1"/>
      <c r="AW63" s="1"/>
      <c r="AX63" s="1"/>
      <c r="AY63" s="1"/>
      <c r="AZ63" s="1"/>
      <c r="BA63" s="1"/>
      <c r="BB63" s="1"/>
      <c r="BC63" s="1"/>
      <c r="BD63" s="1"/>
      <c r="BE63" s="1"/>
      <c r="BF63" s="1"/>
      <c r="BG63" s="1"/>
      <c r="BH63" s="1"/>
      <c r="BI63" s="1"/>
      <c r="BJ63" s="1"/>
    </row>
    <row r="64" spans="1:62" hidden="1" outlineLevel="1" x14ac:dyDescent="0.25">
      <c r="A64" s="2"/>
      <c r="B64" s="53" t="s">
        <v>307</v>
      </c>
      <c r="C64" s="61">
        <v>0</v>
      </c>
      <c r="D64" s="61">
        <v>0</v>
      </c>
      <c r="E64" s="61">
        <v>0</v>
      </c>
      <c r="F64" s="61">
        <v>0</v>
      </c>
      <c r="G64" s="61">
        <v>-915</v>
      </c>
      <c r="H64" s="61">
        <v>0</v>
      </c>
      <c r="I64" s="61">
        <v>0</v>
      </c>
      <c r="J64" s="61">
        <v>0</v>
      </c>
      <c r="K64" s="61"/>
      <c r="L64" s="61">
        <v>0</v>
      </c>
      <c r="M64" s="61">
        <v>0</v>
      </c>
      <c r="N64" s="61">
        <v>0</v>
      </c>
      <c r="O64" s="61">
        <v>0</v>
      </c>
      <c r="P64" s="61">
        <v>0</v>
      </c>
      <c r="Q64" s="61">
        <v>0</v>
      </c>
      <c r="R64" s="61">
        <v>0</v>
      </c>
      <c r="S64" s="61">
        <v>0</v>
      </c>
      <c r="T64" s="62">
        <v>0</v>
      </c>
      <c r="U64" s="62">
        <v>0</v>
      </c>
      <c r="V64" s="62">
        <v>0</v>
      </c>
      <c r="W64" s="62">
        <v>0</v>
      </c>
      <c r="X64" s="62">
        <v>0</v>
      </c>
      <c r="Y64" s="62">
        <v>0</v>
      </c>
      <c r="Z64" s="62">
        <v>0</v>
      </c>
      <c r="AA64" s="62">
        <v>0</v>
      </c>
      <c r="AB64" s="62">
        <v>0</v>
      </c>
      <c r="AC64" s="62">
        <v>0</v>
      </c>
      <c r="AD64" s="62"/>
      <c r="AE64" s="51"/>
      <c r="AF64" s="2"/>
      <c r="AG64" s="1"/>
      <c r="AH64" s="1"/>
      <c r="AI64" s="1"/>
      <c r="AJ64" s="1"/>
      <c r="AK64" s="1"/>
      <c r="AL64" s="1"/>
      <c r="AM64" s="1"/>
      <c r="AN64" s="1"/>
      <c r="AO64" s="1"/>
      <c r="AP64" s="1"/>
      <c r="AQ64" s="1"/>
      <c r="AR64" s="1"/>
      <c r="AS64" s="1"/>
      <c r="AT64" s="1"/>
      <c r="AU64" s="1"/>
      <c r="AV64" s="1"/>
      <c r="AW64" s="1"/>
      <c r="AX64" s="1"/>
      <c r="AY64" s="1"/>
      <c r="AZ64" s="1"/>
      <c r="BA64" s="1"/>
      <c r="BB64" s="1"/>
      <c r="BC64" s="1"/>
      <c r="BD64" s="1"/>
      <c r="BE64" s="1"/>
      <c r="BF64" s="1"/>
      <c r="BG64" s="1"/>
      <c r="BH64" s="1"/>
      <c r="BI64" s="1"/>
      <c r="BJ64" s="1"/>
    </row>
    <row r="65" spans="1:62" hidden="1" outlineLevel="1" x14ac:dyDescent="0.25">
      <c r="A65" s="2"/>
      <c r="B65" s="53" t="s">
        <v>309</v>
      </c>
      <c r="C65" s="61">
        <v>0</v>
      </c>
      <c r="D65" s="61">
        <v>0</v>
      </c>
      <c r="E65" s="61">
        <v>0</v>
      </c>
      <c r="F65" s="61">
        <v>0</v>
      </c>
      <c r="G65" s="61">
        <v>0</v>
      </c>
      <c r="H65" s="61">
        <v>0</v>
      </c>
      <c r="I65" s="61">
        <v>0</v>
      </c>
      <c r="J65" s="61">
        <v>0</v>
      </c>
      <c r="K65" s="61">
        <v>0</v>
      </c>
      <c r="L65" s="61">
        <v>0</v>
      </c>
      <c r="M65" s="61">
        <v>0</v>
      </c>
      <c r="N65" s="61">
        <v>18081</v>
      </c>
      <c r="O65" s="61">
        <v>2807</v>
      </c>
      <c r="P65" s="61">
        <v>5294</v>
      </c>
      <c r="Q65" s="61">
        <v>7603</v>
      </c>
      <c r="R65" s="61">
        <v>0</v>
      </c>
      <c r="S65" s="61">
        <v>0</v>
      </c>
      <c r="T65" s="62"/>
      <c r="U65" s="62">
        <v>0</v>
      </c>
      <c r="V65" s="62">
        <v>0</v>
      </c>
      <c r="W65" s="62">
        <v>0</v>
      </c>
      <c r="X65" s="62">
        <v>0</v>
      </c>
      <c r="Y65" s="62">
        <v>0</v>
      </c>
      <c r="Z65" s="62">
        <v>0</v>
      </c>
      <c r="AA65" s="62">
        <v>0</v>
      </c>
      <c r="AB65" s="62">
        <v>0</v>
      </c>
      <c r="AC65" s="62">
        <v>0</v>
      </c>
      <c r="AD65" s="62"/>
      <c r="AE65" s="51"/>
      <c r="AF65" s="2"/>
      <c r="AG65" s="1"/>
      <c r="AH65" s="1"/>
      <c r="AI65" s="1"/>
      <c r="AJ65" s="1"/>
      <c r="AK65" s="1"/>
      <c r="AL65" s="1"/>
      <c r="AM65" s="1"/>
      <c r="AN65" s="1"/>
      <c r="AO65" s="1"/>
      <c r="AP65" s="1"/>
      <c r="AQ65" s="1"/>
      <c r="AR65" s="1"/>
      <c r="AS65" s="1"/>
      <c r="AT65" s="1"/>
      <c r="AU65" s="1"/>
      <c r="AV65" s="1"/>
      <c r="AW65" s="1"/>
      <c r="AX65" s="1"/>
      <c r="AY65" s="1"/>
      <c r="AZ65" s="1"/>
      <c r="BA65" s="1"/>
      <c r="BB65" s="1"/>
      <c r="BC65" s="1"/>
      <c r="BD65" s="1"/>
      <c r="BE65" s="1"/>
      <c r="BF65" s="1"/>
      <c r="BG65" s="1"/>
      <c r="BH65" s="1"/>
      <c r="BI65" s="1"/>
      <c r="BJ65" s="1"/>
    </row>
    <row r="66" spans="1:62" hidden="1" outlineLevel="1" x14ac:dyDescent="0.25">
      <c r="A66" s="2"/>
      <c r="B66" s="53" t="s">
        <v>302</v>
      </c>
      <c r="C66" s="61">
        <v>-189</v>
      </c>
      <c r="D66" s="61">
        <v>-964</v>
      </c>
      <c r="E66" s="61">
        <v>-514</v>
      </c>
      <c r="F66" s="61">
        <v>-1023</v>
      </c>
      <c r="G66" s="61">
        <v>-1669</v>
      </c>
      <c r="H66" s="61">
        <v>-492</v>
      </c>
      <c r="I66" s="61">
        <v>-3001</v>
      </c>
      <c r="J66" s="61">
        <v>-2552</v>
      </c>
      <c r="K66" s="61">
        <v>247</v>
      </c>
      <c r="L66" s="61">
        <v>-2733</v>
      </c>
      <c r="M66" s="61">
        <v>-2387</v>
      </c>
      <c r="N66" s="61">
        <v>-12840</v>
      </c>
      <c r="O66" s="61">
        <v>-14568</v>
      </c>
      <c r="P66" s="61">
        <v>-14838</v>
      </c>
      <c r="Q66" s="61">
        <v>1680</v>
      </c>
      <c r="R66" s="61">
        <v>9363</v>
      </c>
      <c r="S66" s="61">
        <f>8991-R66</f>
        <v>-372</v>
      </c>
      <c r="T66" s="62">
        <v>0</v>
      </c>
      <c r="U66" s="62">
        <f>T66+R66+S66</f>
        <v>8991</v>
      </c>
      <c r="V66" s="62">
        <v>0</v>
      </c>
      <c r="W66" s="62">
        <v>0</v>
      </c>
      <c r="X66" s="62">
        <v>0</v>
      </c>
      <c r="Y66" s="62">
        <v>0</v>
      </c>
      <c r="Z66" s="62">
        <v>0</v>
      </c>
      <c r="AA66" s="62">
        <v>0</v>
      </c>
      <c r="AB66" s="62">
        <v>0</v>
      </c>
      <c r="AC66" s="62">
        <v>0</v>
      </c>
      <c r="AD66" s="62"/>
      <c r="AE66" s="51"/>
      <c r="AF66" s="2"/>
      <c r="AG66" s="1"/>
      <c r="AH66" s="1"/>
      <c r="AI66" s="1"/>
      <c r="AJ66" s="1"/>
      <c r="AK66" s="1"/>
      <c r="AL66" s="1"/>
      <c r="AM66" s="1"/>
      <c r="AN66" s="1"/>
      <c r="AO66" s="1"/>
      <c r="AP66" s="1"/>
      <c r="AQ66" s="1"/>
      <c r="AR66" s="1"/>
      <c r="AS66" s="1"/>
      <c r="AT66" s="1"/>
      <c r="AU66" s="1"/>
      <c r="AV66" s="1"/>
      <c r="AW66" s="1"/>
      <c r="AX66" s="1"/>
      <c r="AY66" s="1"/>
      <c r="AZ66" s="1"/>
      <c r="BA66" s="1"/>
      <c r="BB66" s="1"/>
      <c r="BC66" s="1"/>
      <c r="BD66" s="1"/>
      <c r="BE66" s="1"/>
      <c r="BF66" s="1"/>
      <c r="BG66" s="1"/>
      <c r="BH66" s="1"/>
      <c r="BI66" s="1"/>
      <c r="BJ66" s="1"/>
    </row>
    <row r="67" spans="1:62" hidden="1" outlineLevel="1" x14ac:dyDescent="0.25">
      <c r="A67" s="2"/>
      <c r="B67" s="53" t="s">
        <v>416</v>
      </c>
      <c r="C67" s="61">
        <v>0</v>
      </c>
      <c r="D67" s="61">
        <v>0</v>
      </c>
      <c r="E67" s="61">
        <v>0</v>
      </c>
      <c r="F67" s="61">
        <v>0</v>
      </c>
      <c r="G67" s="61">
        <v>0</v>
      </c>
      <c r="H67" s="61">
        <v>0</v>
      </c>
      <c r="I67" s="61"/>
      <c r="J67" s="61">
        <v>0</v>
      </c>
      <c r="K67" s="61">
        <v>0</v>
      </c>
      <c r="L67" s="61">
        <v>0</v>
      </c>
      <c r="M67" s="61">
        <v>0</v>
      </c>
      <c r="N67" s="61">
        <v>0</v>
      </c>
      <c r="O67" s="61">
        <v>0</v>
      </c>
      <c r="P67" s="61">
        <v>0</v>
      </c>
      <c r="Q67" s="61">
        <v>0</v>
      </c>
      <c r="R67" s="61">
        <v>0</v>
      </c>
      <c r="S67" s="61">
        <v>0</v>
      </c>
      <c r="T67" s="62">
        <f>892068/8</f>
        <v>111508.5</v>
      </c>
      <c r="U67" s="62">
        <f>T67+R67</f>
        <v>111508.5</v>
      </c>
      <c r="V67" s="62">
        <f>892068/8</f>
        <v>111508.5</v>
      </c>
      <c r="W67" s="62">
        <f t="shared" ref="W67:AB67" si="32">892068/8</f>
        <v>111508.5</v>
      </c>
      <c r="X67" s="62">
        <f t="shared" si="32"/>
        <v>111508.5</v>
      </c>
      <c r="Y67" s="62">
        <f t="shared" si="32"/>
        <v>111508.5</v>
      </c>
      <c r="Z67" s="62">
        <f t="shared" si="32"/>
        <v>111508.5</v>
      </c>
      <c r="AA67" s="62">
        <f t="shared" si="32"/>
        <v>111508.5</v>
      </c>
      <c r="AB67" s="62">
        <f t="shared" si="32"/>
        <v>111508.5</v>
      </c>
      <c r="AC67" s="62">
        <v>0</v>
      </c>
      <c r="AD67" s="62"/>
      <c r="AE67" s="51"/>
      <c r="AF67" s="2"/>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1"/>
      <c r="BI67" s="1"/>
      <c r="BJ67" s="1"/>
    </row>
    <row r="68" spans="1:62" ht="18" customHeight="1" collapsed="1" x14ac:dyDescent="0.25">
      <c r="A68" s="2"/>
      <c r="B68" s="48" t="s">
        <v>26</v>
      </c>
      <c r="C68" s="61">
        <f t="shared" ref="C68:H68" si="33">-34%*C47+C52+C53+C54+C56+C58+C60+C61+C66+C67+C55</f>
        <v>-23766.74</v>
      </c>
      <c r="D68" s="61">
        <f t="shared" si="33"/>
        <v>-34704.68</v>
      </c>
      <c r="E68" s="61">
        <f t="shared" si="33"/>
        <v>-36630.36</v>
      </c>
      <c r="F68" s="61">
        <f t="shared" si="33"/>
        <v>-46074.700000000004</v>
      </c>
      <c r="G68" s="61">
        <f t="shared" si="33"/>
        <v>-47819.58</v>
      </c>
      <c r="H68" s="61">
        <f t="shared" si="33"/>
        <v>-44894.380000000005</v>
      </c>
      <c r="I68" s="61">
        <f>-34%*I47+I53+I54+I56+I58+I60+I61+I66+I67+I55</f>
        <v>-38461.000000000007</v>
      </c>
      <c r="J68" s="61">
        <f t="shared" ref="J68:S68" si="34">-34%*J47+J53+J54+J56+J58+J60+J61+J66+J67+J55</f>
        <v>-23415.22</v>
      </c>
      <c r="K68" s="61">
        <f t="shared" si="34"/>
        <v>-11679.320000000007</v>
      </c>
      <c r="L68" s="61">
        <f t="shared" si="34"/>
        <v>-1894.7400000000052</v>
      </c>
      <c r="M68" s="61">
        <f t="shared" si="34"/>
        <v>43897.760000000002</v>
      </c>
      <c r="N68" s="61">
        <f t="shared" si="34"/>
        <v>-18269.280000000013</v>
      </c>
      <c r="O68" s="61">
        <f t="shared" si="34"/>
        <v>5722.5999999999913</v>
      </c>
      <c r="P68" s="61">
        <f t="shared" si="34"/>
        <v>68594.759999999995</v>
      </c>
      <c r="Q68" s="61">
        <f t="shared" si="34"/>
        <v>410921.56</v>
      </c>
      <c r="R68" s="61">
        <f t="shared" si="34"/>
        <v>13253.779999999999</v>
      </c>
      <c r="S68" s="61">
        <f t="shared" si="34"/>
        <v>111699.84</v>
      </c>
      <c r="T68" s="63">
        <f>34%*T47-T64-T62</f>
        <v>0</v>
      </c>
      <c r="U68" s="62">
        <v>0</v>
      </c>
      <c r="V68" s="63">
        <v>0</v>
      </c>
      <c r="W68" s="63">
        <v>0</v>
      </c>
      <c r="X68" s="63">
        <v>0</v>
      </c>
      <c r="Y68" s="63">
        <v>0</v>
      </c>
      <c r="Z68" s="63">
        <v>0</v>
      </c>
      <c r="AA68" s="63">
        <v>0</v>
      </c>
      <c r="AB68" s="63">
        <v>0</v>
      </c>
      <c r="AC68" s="63">
        <v>0</v>
      </c>
      <c r="AD68" s="62"/>
      <c r="AE68" s="51"/>
      <c r="AF68" s="2"/>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row>
    <row r="69" spans="1:62" ht="18" customHeight="1" x14ac:dyDescent="0.25">
      <c r="A69" s="2"/>
      <c r="B69" s="48" t="s">
        <v>27</v>
      </c>
      <c r="C69" s="61">
        <f t="shared" ref="C69:H69" si="35">-34%*C47+C52+C53+C54+C60+C66+C67+C55</f>
        <v>-25434.74</v>
      </c>
      <c r="D69" s="61">
        <f t="shared" si="35"/>
        <v>-40779.68</v>
      </c>
      <c r="E69" s="61">
        <f t="shared" si="35"/>
        <v>-44025.36</v>
      </c>
      <c r="F69" s="61">
        <f t="shared" si="35"/>
        <v>-53874.700000000004</v>
      </c>
      <c r="G69" s="61">
        <f t="shared" si="35"/>
        <v>-56485.58</v>
      </c>
      <c r="H69" s="61">
        <f t="shared" si="35"/>
        <v>-56995.380000000005</v>
      </c>
      <c r="I69" s="61">
        <f>-34%*I47+I53+I54+I60+I66+I67+I55</f>
        <v>-53849.000000000007</v>
      </c>
      <c r="J69" s="61">
        <f t="shared" ref="J69:S69" si="36">-34%*J47+J53+J54+J60+J66+J67+J55</f>
        <v>-60087.22</v>
      </c>
      <c r="K69" s="61">
        <f t="shared" si="36"/>
        <v>-50714.320000000007</v>
      </c>
      <c r="L69" s="61">
        <f t="shared" si="36"/>
        <v>-45764.740000000005</v>
      </c>
      <c r="M69" s="61">
        <f t="shared" si="36"/>
        <v>-2077.2399999999998</v>
      </c>
      <c r="N69" s="61">
        <f t="shared" si="36"/>
        <v>-99600.280000000013</v>
      </c>
      <c r="O69" s="61">
        <f t="shared" si="36"/>
        <v>-148300.40000000002</v>
      </c>
      <c r="P69" s="61">
        <f t="shared" si="36"/>
        <v>-117771.24</v>
      </c>
      <c r="Q69" s="61">
        <f t="shared" si="36"/>
        <v>224968.56</v>
      </c>
      <c r="R69" s="61">
        <f t="shared" si="36"/>
        <v>-24131.22</v>
      </c>
      <c r="S69" s="61">
        <f t="shared" si="36"/>
        <v>-56188.160000000003</v>
      </c>
      <c r="T69" s="63">
        <f t="shared" ref="T69:AC69" si="37">T70*T20</f>
        <v>-275107.13746397424</v>
      </c>
      <c r="U69" s="63">
        <f>T69+S69+R69</f>
        <v>-355426.51746397419</v>
      </c>
      <c r="V69" s="63">
        <f t="shared" si="37"/>
        <v>-548014.48481348518</v>
      </c>
      <c r="W69" s="63">
        <f t="shared" si="37"/>
        <v>-617560.07167351153</v>
      </c>
      <c r="X69" s="63">
        <f t="shared" si="37"/>
        <v>-691583.51043870533</v>
      </c>
      <c r="Y69" s="63">
        <f t="shared" si="37"/>
        <v>-771890.77930359449</v>
      </c>
      <c r="Z69" s="63">
        <f t="shared" si="37"/>
        <v>-837522.55437308876</v>
      </c>
      <c r="AA69" s="63">
        <f t="shared" si="37"/>
        <v>-899121.21526333701</v>
      </c>
      <c r="AB69" s="63">
        <f t="shared" si="37"/>
        <v>-928031.98352828191</v>
      </c>
      <c r="AC69" s="63">
        <f t="shared" si="37"/>
        <v>-731985.36144662381</v>
      </c>
      <c r="AD69" s="62"/>
      <c r="AE69" s="51"/>
      <c r="AF69" s="2"/>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row>
    <row r="70" spans="1:62" ht="18" customHeight="1" x14ac:dyDescent="0.25">
      <c r="A70" s="2"/>
      <c r="B70" s="91" t="s">
        <v>429</v>
      </c>
      <c r="C70" s="92">
        <f>C68/C22</f>
        <v>-0.25779612113849359</v>
      </c>
      <c r="D70" s="92">
        <f>D68/D22</f>
        <v>-0.30530812608316987</v>
      </c>
      <c r="E70" s="92">
        <f>E69/E22</f>
        <v>-0.34339815139815139</v>
      </c>
      <c r="F70" s="92">
        <f>F69/F22</f>
        <v>-0.36555456038214662</v>
      </c>
      <c r="G70" s="92">
        <f t="shared" ref="G70:U70" si="38">G69/G22</f>
        <v>-0.38147889511717431</v>
      </c>
      <c r="H70" s="92">
        <f t="shared" si="38"/>
        <v>-0.40339859011381013</v>
      </c>
      <c r="I70" s="92">
        <f t="shared" si="38"/>
        <v>-0.35584764019401827</v>
      </c>
      <c r="J70" s="92">
        <f t="shared" si="38"/>
        <v>-0.34605875611202941</v>
      </c>
      <c r="K70" s="92">
        <f t="shared" si="38"/>
        <v>-0.26513271190250892</v>
      </c>
      <c r="L70" s="92">
        <f t="shared" si="38"/>
        <v>-0.27154120460195685</v>
      </c>
      <c r="M70" s="92">
        <f t="shared" si="38"/>
        <v>-5.214348470015312E-2</v>
      </c>
      <c r="N70" s="92">
        <f t="shared" si="38"/>
        <v>-0.29708103787176043</v>
      </c>
      <c r="O70" s="92">
        <f t="shared" si="38"/>
        <v>-0.32613707836505268</v>
      </c>
      <c r="P70" s="92">
        <f t="shared" si="38"/>
        <v>-0.23041392681690925</v>
      </c>
      <c r="Q70" s="92">
        <f t="shared" si="38"/>
        <v>0.59246999707673953</v>
      </c>
      <c r="R70" s="92">
        <f t="shared" si="38"/>
        <v>-9.7711092664952523E-2</v>
      </c>
      <c r="S70" s="92">
        <f t="shared" si="38"/>
        <v>-0.15748817889045538</v>
      </c>
      <c r="T70" s="92">
        <f>AVERAGE(C70:L70,P70)</f>
        <v>-0.3205389712600335</v>
      </c>
      <c r="U70" s="92">
        <f t="shared" si="38"/>
        <v>-0.24310875497871517</v>
      </c>
      <c r="V70" s="92">
        <f>AVERAGE(C70:L70,P70,U70)</f>
        <v>-0.31408645323659029</v>
      </c>
      <c r="W70" s="92">
        <f t="shared" ref="W70:AC70" si="39">V70</f>
        <v>-0.31408645323659029</v>
      </c>
      <c r="X70" s="92">
        <f t="shared" si="39"/>
        <v>-0.31408645323659029</v>
      </c>
      <c r="Y70" s="92">
        <f t="shared" si="39"/>
        <v>-0.31408645323659029</v>
      </c>
      <c r="Z70" s="92">
        <f t="shared" si="39"/>
        <v>-0.31408645323659029</v>
      </c>
      <c r="AA70" s="92">
        <f t="shared" si="39"/>
        <v>-0.31408645323659029</v>
      </c>
      <c r="AB70" s="92">
        <f t="shared" si="39"/>
        <v>-0.31408645323659029</v>
      </c>
      <c r="AC70" s="92">
        <f t="shared" si="39"/>
        <v>-0.31408645323659029</v>
      </c>
      <c r="AD70" s="62"/>
      <c r="AE70" s="51"/>
      <c r="AF70" s="2"/>
      <c r="AG70" s="1"/>
      <c r="AH70" s="1"/>
      <c r="AI70" s="1"/>
      <c r="AJ70" s="1"/>
      <c r="AK70" s="1"/>
      <c r="AL70" s="1"/>
      <c r="AM70" s="1"/>
      <c r="AN70" s="1"/>
      <c r="AO70" s="1"/>
      <c r="AP70" s="1"/>
      <c r="AQ70" s="1"/>
      <c r="AR70" s="1"/>
      <c r="AS70" s="1"/>
      <c r="AT70" s="1"/>
      <c r="AU70" s="1"/>
      <c r="AV70" s="1"/>
      <c r="AW70" s="1"/>
      <c r="AX70" s="1"/>
      <c r="AY70" s="1"/>
      <c r="AZ70" s="1"/>
      <c r="BA70" s="1"/>
      <c r="BB70" s="1"/>
      <c r="BC70" s="1"/>
      <c r="BD70" s="1"/>
      <c r="BE70" s="1"/>
      <c r="BF70" s="1"/>
      <c r="BG70" s="1"/>
      <c r="BH70" s="1"/>
      <c r="BI70" s="1"/>
      <c r="BJ70" s="1"/>
    </row>
    <row r="71" spans="1:62" ht="18" customHeight="1" x14ac:dyDescent="0.25">
      <c r="A71" s="2"/>
      <c r="B71" s="89" t="s">
        <v>1</v>
      </c>
      <c r="C71" s="90">
        <f t="shared" ref="C71:S71" si="40">C45+C50</f>
        <v>64534</v>
      </c>
      <c r="D71" s="90">
        <f t="shared" si="40"/>
        <v>91613</v>
      </c>
      <c r="E71" s="90">
        <f t="shared" si="40"/>
        <v>96874</v>
      </c>
      <c r="F71" s="90">
        <f t="shared" si="40"/>
        <v>110555</v>
      </c>
      <c r="G71" s="90">
        <f t="shared" si="40"/>
        <v>112752</v>
      </c>
      <c r="H71" s="90">
        <f t="shared" si="40"/>
        <v>119663</v>
      </c>
      <c r="I71" s="90">
        <f t="shared" si="40"/>
        <v>116149</v>
      </c>
      <c r="J71" s="90">
        <f t="shared" si="40"/>
        <v>154470</v>
      </c>
      <c r="K71" s="90">
        <f t="shared" si="40"/>
        <v>142644</v>
      </c>
      <c r="L71" s="90">
        <f t="shared" si="40"/>
        <v>162139</v>
      </c>
      <c r="M71" s="90">
        <f t="shared" si="40"/>
        <v>48584</v>
      </c>
      <c r="N71" s="90">
        <f t="shared" si="40"/>
        <v>343720</v>
      </c>
      <c r="O71" s="90">
        <f t="shared" si="40"/>
        <v>422538</v>
      </c>
      <c r="P71" s="90">
        <f t="shared" si="40"/>
        <v>398673</v>
      </c>
      <c r="Q71" s="90">
        <f t="shared" si="40"/>
        <v>338549</v>
      </c>
      <c r="R71" s="90">
        <f t="shared" si="40"/>
        <v>117826</v>
      </c>
      <c r="S71" s="90">
        <f t="shared" si="40"/>
        <v>537654</v>
      </c>
      <c r="T71" s="74"/>
      <c r="U71" s="74"/>
      <c r="V71" s="74"/>
      <c r="W71" s="74"/>
      <c r="X71" s="74"/>
      <c r="Y71" s="74"/>
      <c r="Z71" s="74"/>
      <c r="AA71" s="74"/>
      <c r="AB71" s="74"/>
      <c r="AC71" s="74"/>
      <c r="AD71" s="62"/>
      <c r="AE71" s="51"/>
      <c r="AF71" s="2"/>
      <c r="AG71" s="1"/>
      <c r="AH71" s="1"/>
      <c r="AI71" s="1"/>
      <c r="AJ71" s="1"/>
      <c r="AK71" s="5"/>
      <c r="AL71" s="5"/>
      <c r="AM71" s="5"/>
      <c r="AN71" s="1"/>
      <c r="AO71" s="1"/>
      <c r="AP71" s="1"/>
      <c r="AQ71" s="1"/>
      <c r="AR71" s="1"/>
      <c r="AS71" s="1"/>
      <c r="AT71" s="1"/>
      <c r="AU71" s="1"/>
      <c r="AV71" s="1"/>
      <c r="AW71" s="1"/>
      <c r="AX71" s="1"/>
      <c r="AY71" s="1"/>
      <c r="AZ71" s="1"/>
      <c r="BA71" s="1"/>
      <c r="BB71" s="1"/>
      <c r="BC71" s="1"/>
      <c r="BD71" s="1"/>
      <c r="BE71" s="1"/>
      <c r="BF71" s="1"/>
      <c r="BG71" s="1"/>
      <c r="BH71" s="1"/>
      <c r="BI71" s="1"/>
      <c r="BJ71" s="1"/>
    </row>
    <row r="72" spans="1:62" x14ac:dyDescent="0.25">
      <c r="A72" s="2"/>
      <c r="B72" s="48" t="s">
        <v>123</v>
      </c>
      <c r="C72" s="88">
        <f t="shared" ref="C72:S72" si="41">C71/C10</f>
        <v>0.11291544551856875</v>
      </c>
      <c r="D72" s="88">
        <f t="shared" si="41"/>
        <v>0.13494189925866135</v>
      </c>
      <c r="E72" s="88">
        <f t="shared" si="41"/>
        <v>0.11260032429228149</v>
      </c>
      <c r="F72" s="88">
        <f t="shared" si="41"/>
        <v>0.11480866088581962</v>
      </c>
      <c r="G72" s="88">
        <f t="shared" si="41"/>
        <v>0.10708617743793623</v>
      </c>
      <c r="H72" s="88">
        <f t="shared" si="41"/>
        <v>0.10678885589934292</v>
      </c>
      <c r="I72" s="88">
        <f t="shared" si="41"/>
        <v>9.373582652064788E-2</v>
      </c>
      <c r="J72" s="88">
        <f t="shared" si="41"/>
        <v>0.11354130986700224</v>
      </c>
      <c r="K72" s="88">
        <f t="shared" si="41"/>
        <v>9.3435403714909479E-2</v>
      </c>
      <c r="L72" s="88">
        <f t="shared" si="41"/>
        <v>9.6555276658716618E-2</v>
      </c>
      <c r="M72" s="88">
        <f t="shared" si="41"/>
        <v>3.0536922875790701E-2</v>
      </c>
      <c r="N72" s="88">
        <f t="shared" si="41"/>
        <v>0.1175582549856746</v>
      </c>
      <c r="O72" s="88">
        <f t="shared" si="41"/>
        <v>9.9802868678794995E-2</v>
      </c>
      <c r="P72" s="88">
        <f t="shared" si="41"/>
        <v>8.2255432898789463E-2</v>
      </c>
      <c r="Q72" s="88">
        <f t="shared" si="41"/>
        <v>4.0400832816909996E-2</v>
      </c>
      <c r="R72" s="88">
        <f t="shared" si="41"/>
        <v>4.3695286326393322E-2</v>
      </c>
      <c r="S72" s="88">
        <f t="shared" si="41"/>
        <v>0.18530942980679915</v>
      </c>
      <c r="T72" s="74"/>
      <c r="U72" s="74"/>
      <c r="V72" s="74"/>
      <c r="W72" s="74"/>
      <c r="X72" s="74"/>
      <c r="Y72" s="74"/>
      <c r="Z72" s="74"/>
      <c r="AA72" s="74"/>
      <c r="AB72" s="74"/>
      <c r="AC72" s="74"/>
      <c r="AD72" s="62"/>
      <c r="AE72" s="51"/>
      <c r="AF72" s="2"/>
      <c r="AG72" s="1"/>
      <c r="AH72" s="1"/>
      <c r="AI72" s="1"/>
      <c r="AJ72" s="1"/>
      <c r="AK72" s="5"/>
      <c r="AL72" s="5"/>
      <c r="AM72" s="5"/>
      <c r="AN72" s="1"/>
      <c r="AO72" s="1"/>
      <c r="AP72" s="1"/>
      <c r="AQ72" s="1"/>
      <c r="AR72" s="1"/>
      <c r="AS72" s="1"/>
      <c r="AT72" s="1"/>
      <c r="AU72" s="1"/>
      <c r="AV72" s="1"/>
      <c r="AW72" s="1"/>
      <c r="AX72" s="1"/>
      <c r="AY72" s="1"/>
      <c r="AZ72" s="1"/>
      <c r="BA72" s="1"/>
      <c r="BB72" s="1"/>
      <c r="BC72" s="1"/>
      <c r="BD72" s="1"/>
      <c r="BE72" s="1"/>
      <c r="BF72" s="1"/>
      <c r="BG72" s="1"/>
      <c r="BH72" s="1"/>
      <c r="BI72" s="1"/>
      <c r="BJ72" s="1"/>
    </row>
    <row r="73" spans="1:62" ht="15.75" thickBot="1" x14ac:dyDescent="0.3">
      <c r="A73" s="1"/>
      <c r="B73" s="20"/>
      <c r="C73" s="65"/>
      <c r="D73" s="65"/>
      <c r="E73" s="65"/>
      <c r="F73" s="65"/>
      <c r="G73" s="65"/>
      <c r="H73" s="65"/>
      <c r="I73" s="65"/>
      <c r="J73" s="65"/>
      <c r="K73" s="65"/>
      <c r="L73" s="65"/>
      <c r="M73" s="65"/>
      <c r="N73" s="65"/>
      <c r="O73" s="65"/>
      <c r="P73" s="65"/>
      <c r="Q73" s="65"/>
      <c r="R73" s="65"/>
      <c r="S73" s="65"/>
      <c r="T73" s="65"/>
      <c r="U73" s="65"/>
      <c r="V73" s="65"/>
      <c r="W73" s="65"/>
      <c r="X73" s="65"/>
      <c r="Y73" s="65"/>
      <c r="Z73" s="65"/>
      <c r="AA73" s="65"/>
      <c r="AB73" s="65"/>
      <c r="AC73" s="65"/>
      <c r="AD73" s="65"/>
      <c r="AE73" s="51"/>
      <c r="AF73" s="2"/>
      <c r="AG73" s="1"/>
      <c r="AH73" s="1"/>
      <c r="AI73" s="1"/>
      <c r="AJ73" s="1"/>
      <c r="AK73" s="1"/>
      <c r="AL73" s="1"/>
      <c r="AM73" s="1"/>
      <c r="AN73" s="1"/>
      <c r="AO73" s="1"/>
      <c r="AP73" s="1"/>
      <c r="AQ73" s="1"/>
      <c r="AR73" s="1"/>
      <c r="AS73" s="1"/>
      <c r="AT73" s="1"/>
      <c r="AU73" s="1"/>
      <c r="AV73" s="1"/>
      <c r="AW73" s="1"/>
      <c r="AX73" s="1"/>
      <c r="AY73" s="1"/>
      <c r="AZ73" s="1"/>
      <c r="BA73" s="1"/>
      <c r="BB73" s="1"/>
      <c r="BC73" s="1"/>
      <c r="BD73" s="1"/>
      <c r="BE73" s="1"/>
      <c r="BF73" s="1"/>
      <c r="BG73" s="1"/>
      <c r="BH73" s="1"/>
      <c r="BI73" s="1"/>
      <c r="BJ73" s="1"/>
    </row>
    <row r="74" spans="1:62" x14ac:dyDescent="0.25">
      <c r="A74" s="1"/>
      <c r="B74" s="20" t="s">
        <v>44</v>
      </c>
      <c r="C74" s="71">
        <f t="shared" ref="C74:AC74" si="42">C20+C50-C75</f>
        <v>69101</v>
      </c>
      <c r="D74" s="71">
        <f t="shared" si="42"/>
        <v>81465</v>
      </c>
      <c r="E74" s="71">
        <f t="shared" si="42"/>
        <v>93321</v>
      </c>
      <c r="F74" s="71">
        <f t="shared" si="42"/>
        <v>105454</v>
      </c>
      <c r="G74" s="71">
        <f t="shared" si="42"/>
        <v>102881</v>
      </c>
      <c r="H74" s="71">
        <f t="shared" si="42"/>
        <v>109198</v>
      </c>
      <c r="I74" s="71">
        <f t="shared" si="42"/>
        <v>124478</v>
      </c>
      <c r="J74" s="71">
        <f t="shared" si="42"/>
        <v>159293</v>
      </c>
      <c r="K74" s="71">
        <f t="shared" si="42"/>
        <v>178652</v>
      </c>
      <c r="L74" s="71">
        <f t="shared" si="42"/>
        <v>236711</v>
      </c>
      <c r="M74" s="71">
        <f t="shared" si="42"/>
        <v>148612</v>
      </c>
      <c r="N74" s="71">
        <f t="shared" si="42"/>
        <v>479647</v>
      </c>
      <c r="O74" s="71">
        <f t="shared" si="42"/>
        <v>622297</v>
      </c>
      <c r="P74" s="71">
        <f t="shared" si="42"/>
        <v>742606</v>
      </c>
      <c r="Q74" s="71">
        <f t="shared" si="42"/>
        <v>1013005</v>
      </c>
      <c r="R74" s="71">
        <f t="shared" si="42"/>
        <v>383318</v>
      </c>
      <c r="S74" s="71">
        <f t="shared" si="42"/>
        <v>847612</v>
      </c>
      <c r="T74" s="75">
        <f t="shared" si="42"/>
        <v>1153983.0845669406</v>
      </c>
      <c r="U74" s="75">
        <f t="shared" si="42"/>
        <v>2384913.0845669406</v>
      </c>
      <c r="V74" s="75">
        <f t="shared" si="42"/>
        <v>2164875.8424738045</v>
      </c>
      <c r="W74" s="75">
        <f t="shared" si="42"/>
        <v>2421220.1855593938</v>
      </c>
      <c r="X74" s="75">
        <f t="shared" si="42"/>
        <v>2694214.9037268725</v>
      </c>
      <c r="Y74" s="75">
        <f t="shared" si="42"/>
        <v>2949238.2298533814</v>
      </c>
      <c r="Z74" s="75">
        <f t="shared" si="42"/>
        <v>3167260.7376479916</v>
      </c>
      <c r="AA74" s="75">
        <f t="shared" si="42"/>
        <v>3371022.5727467593</v>
      </c>
      <c r="AB74" s="75">
        <f t="shared" si="42"/>
        <v>3493956.7326188679</v>
      </c>
      <c r="AC74" s="75">
        <f t="shared" si="42"/>
        <v>2727350.5920246621</v>
      </c>
      <c r="AD74" s="75">
        <f>AC74*(1-AC77*AC93)</f>
        <v>2833299.9280421641</v>
      </c>
      <c r="AE74" s="72"/>
      <c r="AF74" s="2"/>
      <c r="AG74" s="1"/>
      <c r="AH74" s="1"/>
      <c r="AI74" s="1"/>
      <c r="AJ74" s="1"/>
      <c r="AK74" s="1"/>
      <c r="AL74" s="1"/>
      <c r="AM74" s="1"/>
      <c r="AN74" s="1"/>
      <c r="AO74" s="1"/>
      <c r="AP74" s="1"/>
      <c r="AQ74" s="1"/>
      <c r="AR74" s="1"/>
      <c r="AS74" s="1"/>
      <c r="AT74" s="1"/>
      <c r="AU74" s="1"/>
      <c r="AV74" s="1"/>
      <c r="AW74" s="1"/>
      <c r="AX74" s="1"/>
      <c r="AY74" s="1"/>
      <c r="AZ74" s="1"/>
      <c r="BA74" s="1"/>
      <c r="BB74" s="1"/>
      <c r="BC74" s="1"/>
      <c r="BD74" s="1"/>
      <c r="BE74" s="1"/>
      <c r="BF74" s="1"/>
      <c r="BG74" s="1"/>
      <c r="BH74" s="1"/>
      <c r="BI74" s="1"/>
      <c r="BJ74" s="1"/>
    </row>
    <row r="75" spans="1:62" x14ac:dyDescent="0.25">
      <c r="A75" s="1"/>
      <c r="B75" s="53" t="s">
        <v>97</v>
      </c>
      <c r="C75" s="61">
        <v>-1036</v>
      </c>
      <c r="D75" s="61">
        <v>-1633</v>
      </c>
      <c r="E75" s="61">
        <v>-1746</v>
      </c>
      <c r="F75" s="61">
        <v>-2526</v>
      </c>
      <c r="G75" s="61">
        <v>-3546</v>
      </c>
      <c r="H75" s="61">
        <v>-12804</v>
      </c>
      <c r="I75" s="61">
        <v>-14003</v>
      </c>
      <c r="J75" s="61">
        <v>-14123</v>
      </c>
      <c r="K75" s="61">
        <v>-14727</v>
      </c>
      <c r="L75" s="61">
        <v>-56396</v>
      </c>
      <c r="M75" s="61">
        <v>-62477</v>
      </c>
      <c r="N75" s="61">
        <v>-71256</v>
      </c>
      <c r="O75" s="61">
        <v>-122501</v>
      </c>
      <c r="P75" s="61">
        <f>-116850-512-43728</f>
        <v>-161090</v>
      </c>
      <c r="Q75" s="61">
        <f>-158129-9706-112924</f>
        <v>-280759</v>
      </c>
      <c r="R75" s="61">
        <f>-56179-5128-46553</f>
        <v>-107860</v>
      </c>
      <c r="S75" s="61">
        <f>-111171-10267-94627-R75</f>
        <v>-108205</v>
      </c>
      <c r="T75" s="62">
        <f>S75+R75</f>
        <v>-216065</v>
      </c>
      <c r="U75" s="62">
        <f>T75+R75+S75</f>
        <v>-432130</v>
      </c>
      <c r="V75" s="62">
        <f t="shared" ref="V75:AC75" si="43">V76*V10</f>
        <v>-486942.50407900912</v>
      </c>
      <c r="W75" s="62">
        <f t="shared" si="43"/>
        <v>-548737.77254675981</v>
      </c>
      <c r="X75" s="62">
        <f t="shared" si="43"/>
        <v>-614511.87091777357</v>
      </c>
      <c r="Y75" s="62">
        <f t="shared" si="43"/>
        <v>-679219.56679182197</v>
      </c>
      <c r="Z75" s="62">
        <f t="shared" si="43"/>
        <v>-744103.83407997154</v>
      </c>
      <c r="AA75" s="62">
        <f t="shared" si="43"/>
        <v>-808826.91989167</v>
      </c>
      <c r="AB75" s="62">
        <f t="shared" si="43"/>
        <v>-870308.08373369509</v>
      </c>
      <c r="AC75" s="62">
        <f t="shared" si="43"/>
        <v>-846511.01728001959</v>
      </c>
      <c r="AD75" s="59"/>
      <c r="AE75" s="51"/>
      <c r="AF75" s="2"/>
      <c r="AG75" s="1"/>
      <c r="AH75" s="1"/>
      <c r="AI75" s="1"/>
      <c r="AJ75" s="1"/>
      <c r="AK75" s="1"/>
      <c r="AL75" s="1"/>
      <c r="AM75" s="1"/>
      <c r="AN75" s="1"/>
      <c r="AO75" s="1"/>
      <c r="AP75" s="1"/>
      <c r="AQ75" s="1"/>
      <c r="AR75" s="1"/>
      <c r="AS75" s="1"/>
      <c r="AT75" s="1"/>
      <c r="AU75" s="1"/>
      <c r="AV75" s="1"/>
      <c r="AW75" s="1"/>
      <c r="AX75" s="1"/>
      <c r="AY75" s="1"/>
      <c r="AZ75" s="1"/>
      <c r="BA75" s="1"/>
      <c r="BB75" s="1"/>
      <c r="BC75" s="1"/>
      <c r="BD75" s="1"/>
      <c r="BE75" s="1"/>
      <c r="BF75" s="1"/>
      <c r="BG75" s="1"/>
      <c r="BH75" s="1"/>
      <c r="BI75" s="1"/>
      <c r="BJ75" s="1"/>
    </row>
    <row r="76" spans="1:62" x14ac:dyDescent="0.25">
      <c r="A76" s="1"/>
      <c r="B76" s="76" t="s">
        <v>100</v>
      </c>
      <c r="C76" s="79">
        <v>0</v>
      </c>
      <c r="D76" s="79">
        <v>0</v>
      </c>
      <c r="E76" s="79">
        <v>0</v>
      </c>
      <c r="F76" s="79">
        <v>0</v>
      </c>
      <c r="G76" s="79">
        <v>0</v>
      </c>
      <c r="H76" s="79">
        <v>0</v>
      </c>
      <c r="I76" s="79">
        <v>0</v>
      </c>
      <c r="J76" s="79">
        <v>0</v>
      </c>
      <c r="K76" s="79">
        <v>0</v>
      </c>
      <c r="L76" s="79">
        <f t="shared" ref="L76:U76" si="44">L75/L10</f>
        <v>-3.3584340488377148E-2</v>
      </c>
      <c r="M76" s="79">
        <f t="shared" si="44"/>
        <v>-3.9269210655993245E-2</v>
      </c>
      <c r="N76" s="79">
        <f t="shared" si="44"/>
        <v>-2.4370798956299396E-2</v>
      </c>
      <c r="O76" s="79">
        <f t="shared" si="44"/>
        <v>-2.893456024315225E-2</v>
      </c>
      <c r="P76" s="79">
        <f t="shared" si="44"/>
        <v>-3.3236581573535186E-2</v>
      </c>
      <c r="Q76" s="79">
        <f t="shared" si="44"/>
        <v>-3.3504448162135568E-2</v>
      </c>
      <c r="R76" s="79">
        <f t="shared" si="44"/>
        <v>-3.9999436314266661E-2</v>
      </c>
      <c r="S76" s="79">
        <f t="shared" si="44"/>
        <v>-3.7294257742423016E-2</v>
      </c>
      <c r="T76" s="70">
        <f t="shared" si="44"/>
        <v>-3.1401661270008964E-2</v>
      </c>
      <c r="U76" s="70">
        <f t="shared" si="44"/>
        <v>-3.4629658490311278E-2</v>
      </c>
      <c r="V76" s="70">
        <f t="shared" ref="V76:AC76" si="45">U76</f>
        <v>-3.4629658490311278E-2</v>
      </c>
      <c r="W76" s="70">
        <f t="shared" si="45"/>
        <v>-3.4629658490311278E-2</v>
      </c>
      <c r="X76" s="70">
        <f t="shared" si="45"/>
        <v>-3.4629658490311278E-2</v>
      </c>
      <c r="Y76" s="70">
        <f t="shared" si="45"/>
        <v>-3.4629658490311278E-2</v>
      </c>
      <c r="Z76" s="70">
        <f t="shared" si="45"/>
        <v>-3.4629658490311278E-2</v>
      </c>
      <c r="AA76" s="70">
        <f t="shared" si="45"/>
        <v>-3.4629658490311278E-2</v>
      </c>
      <c r="AB76" s="70">
        <f t="shared" si="45"/>
        <v>-3.4629658490311278E-2</v>
      </c>
      <c r="AC76" s="70">
        <f t="shared" si="45"/>
        <v>-3.4629658490311278E-2</v>
      </c>
      <c r="AD76" s="62"/>
      <c r="AE76" s="51"/>
      <c r="AF76" s="2"/>
      <c r="AG76" s="1"/>
      <c r="AH76" s="1"/>
      <c r="AI76" s="1"/>
      <c r="AJ76" s="1"/>
      <c r="AK76" s="1"/>
      <c r="AL76" s="1"/>
      <c r="AM76" s="1"/>
      <c r="AN76" s="1"/>
      <c r="AO76" s="1"/>
      <c r="AP76" s="1"/>
      <c r="AQ76" s="1"/>
      <c r="AR76" s="1"/>
      <c r="AS76" s="1"/>
      <c r="AT76" s="1"/>
      <c r="AU76" s="1"/>
      <c r="AV76" s="1"/>
      <c r="AW76" s="1"/>
      <c r="AX76" s="1"/>
      <c r="AY76" s="1"/>
      <c r="AZ76" s="1"/>
      <c r="BA76" s="1"/>
      <c r="BB76" s="1"/>
      <c r="BC76" s="1"/>
      <c r="BD76" s="1"/>
      <c r="BE76" s="1"/>
      <c r="BF76" s="1"/>
      <c r="BG76" s="1"/>
      <c r="BH76" s="1"/>
      <c r="BI76" s="1"/>
      <c r="BJ76" s="1"/>
    </row>
    <row r="77" spans="1:62" collapsed="1" x14ac:dyDescent="0.25">
      <c r="A77" s="1"/>
      <c r="B77" s="33" t="s">
        <v>45</v>
      </c>
      <c r="C77" s="73">
        <f>C78/C74</f>
        <v>0.24615645619233822</v>
      </c>
      <c r="D77" s="73">
        <f t="shared" ref="D77:Q77" si="46">D78/D74</f>
        <v>1.0736165022399913</v>
      </c>
      <c r="E77" s="73">
        <f t="shared" si="46"/>
        <v>1.2458164809571453</v>
      </c>
      <c r="F77" s="73">
        <f t="shared" si="46"/>
        <v>1.0963391334150152</v>
      </c>
      <c r="G77" s="73">
        <f t="shared" si="46"/>
        <v>0.76937577971336202</v>
      </c>
      <c r="H77" s="73">
        <f t="shared" si="46"/>
        <v>0.53209679103182395</v>
      </c>
      <c r="I77" s="73">
        <f t="shared" si="46"/>
        <v>5.6816513980997303E-2</v>
      </c>
      <c r="J77" s="73">
        <f t="shared" si="46"/>
        <v>1.1248577657139379E-2</v>
      </c>
      <c r="K77" s="73">
        <f t="shared" si="46"/>
        <v>-0.5509947627624211</v>
      </c>
      <c r="L77" s="73">
        <f t="shared" si="46"/>
        <v>-0.39126659975501127</v>
      </c>
      <c r="M77" s="73">
        <f t="shared" si="46"/>
        <v>0.31580989914612412</v>
      </c>
      <c r="N77" s="73">
        <f t="shared" si="46"/>
        <v>-0.57625010857259784</v>
      </c>
      <c r="O77" s="73">
        <f t="shared" si="46"/>
        <v>-1.0503471543742684</v>
      </c>
      <c r="P77" s="73">
        <f t="shared" si="46"/>
        <v>-0.67472803876733256</v>
      </c>
      <c r="Q77" s="73">
        <f t="shared" si="46"/>
        <v>-2.8353147863483632</v>
      </c>
      <c r="R77" s="73">
        <f t="shared" ref="R77:T77" si="47">R78/R74</f>
        <v>-1.1923139432880137</v>
      </c>
      <c r="S77" s="73">
        <f t="shared" si="47"/>
        <v>-0.30130531422396095</v>
      </c>
      <c r="T77" s="112">
        <f t="shared" si="47"/>
        <v>5.0161588982179948E-2</v>
      </c>
      <c r="U77" s="112">
        <f t="shared" ref="U77:V77" si="48">U78/U74</f>
        <v>-0.27445015718536891</v>
      </c>
      <c r="V77" s="112">
        <f t="shared" si="48"/>
        <v>-0.38307642570732348</v>
      </c>
      <c r="W77" s="112">
        <f t="shared" ref="W77" si="49">W78/W74</f>
        <v>-0.40235709550636883</v>
      </c>
      <c r="X77" s="112">
        <f t="shared" ref="X77" si="50">X78/X74</f>
        <v>-0.40621477786292193</v>
      </c>
      <c r="Y77" s="112">
        <f t="shared" ref="Y77" si="51">Y78/Y74</f>
        <v>-0.41206869679201003</v>
      </c>
      <c r="Z77" s="112">
        <f t="shared" ref="Z77" si="52">Z78/Z74</f>
        <v>-0.39889699827439518</v>
      </c>
      <c r="AA77" s="112">
        <f t="shared" ref="AA77" si="53">AA78/AA74</f>
        <v>-0.38567837233706226</v>
      </c>
      <c r="AB77" s="112">
        <f t="shared" ref="AB77" si="54">AB78/AB74</f>
        <v>-0.37285091778961954</v>
      </c>
      <c r="AC77" s="112">
        <f t="shared" ref="AC77" si="55">AC78/AC74</f>
        <v>-0.2115452851966389</v>
      </c>
      <c r="AD77" s="37"/>
      <c r="AE77" s="51"/>
      <c r="AF77" s="2"/>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row>
    <row r="78" spans="1:62" x14ac:dyDescent="0.25">
      <c r="A78" s="1"/>
      <c r="B78" s="30" t="s">
        <v>55</v>
      </c>
      <c r="C78" s="31">
        <f t="shared" ref="C78:AC78" si="56">C79+C82-C80</f>
        <v>17009.657279346764</v>
      </c>
      <c r="D78" s="31">
        <f t="shared" si="56"/>
        <v>87462.16835498088</v>
      </c>
      <c r="E78" s="31">
        <f t="shared" si="56"/>
        <v>116260.83981940175</v>
      </c>
      <c r="F78" s="31">
        <f t="shared" si="56"/>
        <v>115613.34697514701</v>
      </c>
      <c r="G78" s="31">
        <f t="shared" si="56"/>
        <v>79154.149592690403</v>
      </c>
      <c r="H78" s="31">
        <f t="shared" si="56"/>
        <v>58103.905387093109</v>
      </c>
      <c r="I78" s="31">
        <f t="shared" si="56"/>
        <v>7072.4060273265823</v>
      </c>
      <c r="J78" s="31">
        <f t="shared" si="56"/>
        <v>1791.819680738703</v>
      </c>
      <c r="K78" s="31">
        <f t="shared" si="56"/>
        <v>-98436.316357032047</v>
      </c>
      <c r="L78" s="31">
        <f t="shared" si="56"/>
        <v>-92617.108094608469</v>
      </c>
      <c r="M78" s="31">
        <f t="shared" si="56"/>
        <v>46933.140731903797</v>
      </c>
      <c r="N78" s="31">
        <f t="shared" si="56"/>
        <v>-276396.63582652085</v>
      </c>
      <c r="O78" s="31">
        <f t="shared" si="56"/>
        <v>-653627.88312564406</v>
      </c>
      <c r="P78" s="31">
        <f t="shared" si="56"/>
        <v>-501057.08995685377</v>
      </c>
      <c r="Q78" s="31">
        <f t="shared" si="56"/>
        <v>-2872188.0551448236</v>
      </c>
      <c r="R78" s="31">
        <f t="shared" si="56"/>
        <v>-457035.39611327485</v>
      </c>
      <c r="S78" s="31">
        <f t="shared" si="56"/>
        <v>-255390</v>
      </c>
      <c r="T78" s="62">
        <f t="shared" si="56"/>
        <v>57885.625180435076</v>
      </c>
      <c r="U78" s="62">
        <f t="shared" si="56"/>
        <v>-654539.77093283983</v>
      </c>
      <c r="V78" s="62">
        <f t="shared" si="56"/>
        <v>-829312.89983499562</v>
      </c>
      <c r="W78" s="62">
        <f t="shared" si="56"/>
        <v>-974195.12144306907</v>
      </c>
      <c r="X78" s="62">
        <f t="shared" si="56"/>
        <v>-1094429.9086323851</v>
      </c>
      <c r="Y78" s="62">
        <f t="shared" si="56"/>
        <v>-1215288.7539048574</v>
      </c>
      <c r="Z78" s="62">
        <f t="shared" si="56"/>
        <v>-1263410.8010001306</v>
      </c>
      <c r="AA78" s="62">
        <f t="shared" si="56"/>
        <v>-1300130.4989684662</v>
      </c>
      <c r="AB78" s="62">
        <f t="shared" si="56"/>
        <v>-1302724.9744741651</v>
      </c>
      <c r="AC78" s="62">
        <f t="shared" si="56"/>
        <v>-576958.15882107907</v>
      </c>
      <c r="AD78" s="62"/>
      <c r="AE78" s="51"/>
      <c r="AF78" s="2"/>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row>
    <row r="79" spans="1:62" x14ac:dyDescent="0.25">
      <c r="A79" s="1"/>
      <c r="B79" s="32" t="s">
        <v>98</v>
      </c>
      <c r="C79" s="31">
        <v>0</v>
      </c>
      <c r="D79" s="31">
        <f>'Painel de Índices'!D37-'Painel de Índices'!C37</f>
        <v>54817.125</v>
      </c>
      <c r="E79" s="31">
        <f>'Painel de Índices'!E37-'Painel de Índices'!D37</f>
        <v>53021.375</v>
      </c>
      <c r="F79" s="31">
        <f>'Painel de Índices'!F37-'Painel de Índices'!E37</f>
        <v>63416.416666666686</v>
      </c>
      <c r="G79" s="31">
        <f>'Painel de Índices'!G37-'Painel de Índices'!F37</f>
        <v>18939.833333333314</v>
      </c>
      <c r="H79" s="31">
        <f>'Painel de Índices'!H37-'Painel de Índices'!G37</f>
        <v>20925.791666666686</v>
      </c>
      <c r="I79" s="31">
        <f>'Painel de Índices'!I37-'Painel de Índices'!H37</f>
        <v>20327.041666666628</v>
      </c>
      <c r="J79" s="31">
        <f>-('Painel de Índices'!J37-'Painel de Índices'!I37)</f>
        <v>4829.8333333333139</v>
      </c>
      <c r="K79" s="31">
        <f>-('Painel de Índices'!K37-'Painel de Índices'!J37)</f>
        <v>-75977.166666666744</v>
      </c>
      <c r="L79" s="31">
        <f>-('Painel de Índices'!L37-'Painel de Índices'!K37)</f>
        <v>-50935.083333333256</v>
      </c>
      <c r="M79" s="31">
        <f>-('Painel de Índices'!M37-'Painel de Índices'!L37)</f>
        <v>74492.166666666511</v>
      </c>
      <c r="N79" s="31">
        <f>-('Painel de Índices'!N37-'Painel de Índices'!M37)</f>
        <v>-142007.58333333302</v>
      </c>
      <c r="O79" s="31">
        <f>-('Painel de Índices'!O37-'Painel de Índices'!N37)</f>
        <v>-464013.83333333349</v>
      </c>
      <c r="P79" s="31">
        <f>-('Painel de Índices'!P37-'Painel de Índices'!O37)</f>
        <v>-60611</v>
      </c>
      <c r="Q79" s="31">
        <f>-('Painel de Índices'!Q37-'Painel de Índices'!P37)</f>
        <v>-2451884</v>
      </c>
      <c r="R79" s="31">
        <f>-('Painel de Índices'!R37-'Painel de Índices'!Q37)</f>
        <v>-431356.37093283981</v>
      </c>
      <c r="S79" s="31">
        <f>-('Painel de Índices'!S37-'Painel de Índices'!R37)</f>
        <v>-220125</v>
      </c>
      <c r="T79" s="62">
        <v>0</v>
      </c>
      <c r="U79" s="62">
        <f>-('Painel de Índices'!T37-'Painel de Índices'!Q37)</f>
        <v>-651481.37093283981</v>
      </c>
      <c r="V79" s="62">
        <f>-('Painel de Índices'!$R$38*('DRE + DCF'!V8-U8))</f>
        <v>-505882.73149925639</v>
      </c>
      <c r="W79" s="62">
        <f>-('Painel de Índices'!$R$38*('DRE + DCF'!W8-V8))</f>
        <v>-571037.50248168618</v>
      </c>
      <c r="X79" s="62">
        <f>-('Painel de Índices'!$R$38*('DRE + DCF'!X8-W8))</f>
        <v>-607805.06004872802</v>
      </c>
      <c r="Y79" s="62">
        <f>-('Painel de Índices'!$R$38*('DRE + DCF'!Y8-X8))</f>
        <v>-633086.01865146146</v>
      </c>
      <c r="Z79" s="62">
        <f>-('Painel de Índices'!$R$38*('DRE + DCF'!Z8-Y8))</f>
        <v>-641863.85101262014</v>
      </c>
      <c r="AA79" s="62">
        <f>-('Painel de Índices'!$R$38*('DRE + DCF'!AA8-Z8))</f>
        <v>-647616.65056525543</v>
      </c>
      <c r="AB79" s="62">
        <f>-('Painel de Índices'!$R$38*('DRE + DCF'!AB8-AA8))</f>
        <v>-624350.87205694662</v>
      </c>
      <c r="AC79" s="62">
        <f>-('Painel de Índices'!$R$38*('DRE + DCF'!AC8-AB8))</f>
        <v>-576958.15882107907</v>
      </c>
      <c r="AD79" s="62"/>
      <c r="AE79" s="51"/>
      <c r="AF79" s="2"/>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row>
    <row r="80" spans="1:62" x14ac:dyDescent="0.25">
      <c r="A80" s="1"/>
      <c r="B80" s="32" t="s">
        <v>24</v>
      </c>
      <c r="C80" s="31">
        <f>'Custos e Despesas'!C9-C75</f>
        <v>-1634</v>
      </c>
      <c r="D80" s="31">
        <f>'Custos e Despesas'!D9-D75</f>
        <v>-2425</v>
      </c>
      <c r="E80" s="31">
        <f>'Custos e Despesas'!E9-E75</f>
        <v>-5812</v>
      </c>
      <c r="F80" s="31">
        <f>'Custos e Despesas'!F9-F75</f>
        <v>-8444</v>
      </c>
      <c r="G80" s="31">
        <f>'Custos e Despesas'!G9-G75</f>
        <v>-9684</v>
      </c>
      <c r="H80" s="31">
        <f>'Custos e Despesas'!H9-H75</f>
        <v>-11404</v>
      </c>
      <c r="I80" s="31">
        <f>'Custos e Despesas'!I9-I75</f>
        <v>-11812</v>
      </c>
      <c r="J80" s="31">
        <f>'Custos e Despesas'!J9-J75</f>
        <v>-18509</v>
      </c>
      <c r="K80" s="31">
        <f>'Custos e Despesas'!K9-K75</f>
        <v>-26155</v>
      </c>
      <c r="L80" s="31">
        <f>'Custos e Despesas'!L9-L75</f>
        <v>-23926</v>
      </c>
      <c r="M80" s="31">
        <f>'Custos e Despesas'!M9-M75</f>
        <v>-18626</v>
      </c>
      <c r="N80" s="31">
        <f>'Custos e Despesas'!N9-N75</f>
        <v>-34492</v>
      </c>
      <c r="O80" s="31">
        <f>'Custos e Despesas'!O9-O75</f>
        <v>-43529</v>
      </c>
      <c r="P80" s="31">
        <f>'Custos e Despesas'!P9-P75</f>
        <v>-61854</v>
      </c>
      <c r="Q80" s="31">
        <f>'Custos e Despesas'!Q9-Q75</f>
        <v>-134096</v>
      </c>
      <c r="R80" s="31">
        <f>'Custos e Despesas'!R9-R75</f>
        <v>-58721</v>
      </c>
      <c r="S80" s="31">
        <f>'Custos e Despesas'!S9-S75</f>
        <v>-58935</v>
      </c>
      <c r="T80" s="62">
        <f>S80+R80</f>
        <v>-117656</v>
      </c>
      <c r="U80" s="62">
        <f>T80+R80+S80</f>
        <v>-235312</v>
      </c>
      <c r="V80" s="62">
        <f t="shared" ref="V80:AC80" si="57">V81*V10</f>
        <v>-265159.59206683125</v>
      </c>
      <c r="W80" s="62">
        <f t="shared" si="57"/>
        <v>-298809.57751954999</v>
      </c>
      <c r="X80" s="62">
        <f t="shared" si="57"/>
        <v>-334626.19436142629</v>
      </c>
      <c r="Y80" s="62">
        <f t="shared" si="57"/>
        <v>-369862.11256084329</v>
      </c>
      <c r="Z80" s="62">
        <f t="shared" si="57"/>
        <v>-405194.18092941074</v>
      </c>
      <c r="AA80" s="62">
        <f t="shared" si="57"/>
        <v>-440438.47956297564</v>
      </c>
      <c r="AB80" s="62">
        <f t="shared" si="57"/>
        <v>-473917.42253382842</v>
      </c>
      <c r="AC80" s="62">
        <f t="shared" si="57"/>
        <v>-460958.97183300392</v>
      </c>
      <c r="AD80" s="62"/>
      <c r="AE80" s="51"/>
      <c r="AF80" s="2"/>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row>
    <row r="81" spans="1:62" x14ac:dyDescent="0.25">
      <c r="A81" s="1"/>
      <c r="B81" s="77" t="s">
        <v>100</v>
      </c>
      <c r="C81" s="80">
        <f t="shared" ref="C81:U81" si="58">C80/C10</f>
        <v>-2.8590175407899915E-3</v>
      </c>
      <c r="D81" s="80">
        <f t="shared" si="58"/>
        <v>-3.5719178031748088E-3</v>
      </c>
      <c r="E81" s="80">
        <f t="shared" si="58"/>
        <v>-6.7555080288492272E-3</v>
      </c>
      <c r="F81" s="80">
        <f t="shared" si="58"/>
        <v>-8.7688872734825278E-3</v>
      </c>
      <c r="G81" s="80">
        <f t="shared" si="58"/>
        <v>-9.1973760315468851E-3</v>
      </c>
      <c r="H81" s="80">
        <f t="shared" si="58"/>
        <v>-1.0177081576394596E-2</v>
      </c>
      <c r="I81" s="80">
        <f t="shared" si="58"/>
        <v>-9.532648433149599E-3</v>
      </c>
      <c r="J81" s="80">
        <f t="shared" si="58"/>
        <v>-1.3604817144612834E-2</v>
      </c>
      <c r="K81" s="80">
        <f t="shared" si="58"/>
        <v>-1.7132182104844632E-2</v>
      </c>
      <c r="L81" s="80">
        <f t="shared" si="58"/>
        <v>-1.424815466566621E-2</v>
      </c>
      <c r="M81" s="80">
        <f t="shared" si="58"/>
        <v>-1.1707161318221587E-2</v>
      </c>
      <c r="N81" s="80">
        <f t="shared" si="58"/>
        <v>-1.1796867598527546E-2</v>
      </c>
      <c r="O81" s="80">
        <f t="shared" si="58"/>
        <v>-1.0281487276219576E-2</v>
      </c>
      <c r="P81" s="80">
        <f t="shared" si="58"/>
        <v>-1.2761906491088494E-2</v>
      </c>
      <c r="Q81" s="80">
        <f t="shared" si="58"/>
        <v>-1.6002380977100401E-2</v>
      </c>
      <c r="R81" s="80">
        <f t="shared" si="58"/>
        <v>-2.1776440754775198E-2</v>
      </c>
      <c r="S81" s="80">
        <f t="shared" si="58"/>
        <v>-2.0312712721682922E-2</v>
      </c>
      <c r="T81" s="162">
        <f t="shared" si="58"/>
        <v>-1.7099455526735821E-2</v>
      </c>
      <c r="U81" s="162">
        <f t="shared" si="58"/>
        <v>-1.8857228608687496E-2</v>
      </c>
      <c r="V81" s="162">
        <f t="shared" ref="V81:AC81" si="59">U81</f>
        <v>-1.8857228608687496E-2</v>
      </c>
      <c r="W81" s="162">
        <f t="shared" si="59"/>
        <v>-1.8857228608687496E-2</v>
      </c>
      <c r="X81" s="162">
        <f t="shared" si="59"/>
        <v>-1.8857228608687496E-2</v>
      </c>
      <c r="Y81" s="162">
        <f t="shared" si="59"/>
        <v>-1.8857228608687496E-2</v>
      </c>
      <c r="Z81" s="162">
        <f t="shared" si="59"/>
        <v>-1.8857228608687496E-2</v>
      </c>
      <c r="AA81" s="162">
        <f t="shared" si="59"/>
        <v>-1.8857228608687496E-2</v>
      </c>
      <c r="AB81" s="162">
        <f t="shared" si="59"/>
        <v>-1.8857228608687496E-2</v>
      </c>
      <c r="AC81" s="162">
        <f t="shared" si="59"/>
        <v>-1.8857228608687496E-2</v>
      </c>
      <c r="AD81" s="62"/>
      <c r="AE81" s="51"/>
      <c r="AF81" s="2"/>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row>
    <row r="82" spans="1:62" x14ac:dyDescent="0.25">
      <c r="A82" s="1"/>
      <c r="B82" s="32" t="s">
        <v>49</v>
      </c>
      <c r="C82" s="31">
        <f t="shared" ref="C82:F82" si="60">SUM(C83:C87)</f>
        <v>15375.657279346764</v>
      </c>
      <c r="D82" s="31">
        <f t="shared" si="60"/>
        <v>30220.043354980873</v>
      </c>
      <c r="E82" s="31">
        <f t="shared" si="60"/>
        <v>57427.46481940175</v>
      </c>
      <c r="F82" s="31">
        <f t="shared" si="60"/>
        <v>43752.930308480325</v>
      </c>
      <c r="G82" s="31">
        <f>SUM(G83:G87)</f>
        <v>50530.316259357081</v>
      </c>
      <c r="H82" s="31">
        <f t="shared" ref="H82:R82" si="61">SUM(H83:H87)</f>
        <v>25774.11372042642</v>
      </c>
      <c r="I82" s="31">
        <f t="shared" si="61"/>
        <v>-25066.635639340046</v>
      </c>
      <c r="J82" s="31">
        <f t="shared" si="61"/>
        <v>-21547.013652594611</v>
      </c>
      <c r="K82" s="31">
        <f t="shared" si="61"/>
        <v>-48614.149690365302</v>
      </c>
      <c r="L82" s="31">
        <f t="shared" si="61"/>
        <v>-65608.024761275214</v>
      </c>
      <c r="M82" s="31">
        <f t="shared" si="61"/>
        <v>-46185.025934762714</v>
      </c>
      <c r="N82" s="31">
        <f t="shared" si="61"/>
        <v>-168881.05249318786</v>
      </c>
      <c r="O82" s="31">
        <f t="shared" si="61"/>
        <v>-233143.0497923106</v>
      </c>
      <c r="P82" s="31">
        <f t="shared" si="61"/>
        <v>-502300.08995685371</v>
      </c>
      <c r="Q82" s="31">
        <f t="shared" si="61"/>
        <v>-554400.05514482351</v>
      </c>
      <c r="R82" s="31">
        <f t="shared" si="61"/>
        <v>-84400.025180435056</v>
      </c>
      <c r="S82" s="31">
        <v>-94200</v>
      </c>
      <c r="T82" s="62">
        <f>U82-R82-S82</f>
        <v>-59770.374819564924</v>
      </c>
      <c r="U82" s="62">
        <v>-238370.4</v>
      </c>
      <c r="V82" s="62">
        <v>-588589.76040257036</v>
      </c>
      <c r="W82" s="62">
        <v>-701967.19648093299</v>
      </c>
      <c r="X82" s="62">
        <v>-821251.04294508335</v>
      </c>
      <c r="Y82" s="62">
        <v>-952064.84781423945</v>
      </c>
      <c r="Z82" s="62">
        <v>-1026741.1309169212</v>
      </c>
      <c r="AA82" s="62">
        <v>-1092952.3279661865</v>
      </c>
      <c r="AB82" s="62">
        <v>-1152291.524951047</v>
      </c>
      <c r="AC82" s="62">
        <f>1*AC80</f>
        <v>-460958.97183300392</v>
      </c>
      <c r="AD82" s="31"/>
      <c r="AE82" s="51"/>
      <c r="AF82" s="2"/>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row>
    <row r="83" spans="1:62" hidden="1" outlineLevel="1" x14ac:dyDescent="0.25">
      <c r="A83" s="1"/>
      <c r="B83" s="139" t="s">
        <v>280</v>
      </c>
      <c r="C83" s="31">
        <v>8018.1224099999999</v>
      </c>
      <c r="D83" s="31">
        <v>23352</v>
      </c>
      <c r="E83" s="31">
        <v>37349</v>
      </c>
      <c r="F83" s="31">
        <v>15765.46011</v>
      </c>
      <c r="G83" s="31">
        <v>9775.8709200000012</v>
      </c>
      <c r="H83" s="31">
        <v>3459.3812900000003</v>
      </c>
      <c r="I83" s="31">
        <v>-6702.4073399999997</v>
      </c>
      <c r="J83" s="31">
        <v>-7423</v>
      </c>
      <c r="K83" s="31">
        <v>-10795.801750000001</v>
      </c>
      <c r="L83" s="31">
        <v>-8096</v>
      </c>
      <c r="M83" s="31">
        <v>-12115</v>
      </c>
      <c r="N83" s="31">
        <v>-88007</v>
      </c>
      <c r="O83" s="31">
        <v>-93373</v>
      </c>
      <c r="P83" s="31">
        <v>-272900</v>
      </c>
      <c r="Q83" s="31">
        <v>-251300</v>
      </c>
      <c r="R83" s="31">
        <v>-46500</v>
      </c>
      <c r="S83" s="31">
        <v>-60700</v>
      </c>
      <c r="T83" s="62">
        <f>T84*T10</f>
        <v>-118652.85852790929</v>
      </c>
      <c r="U83" s="62">
        <f>T83+R83+S83</f>
        <v>-225852.85852790929</v>
      </c>
      <c r="V83" s="62">
        <f>V84*V10</f>
        <v>-242479.97812474144</v>
      </c>
      <c r="W83" s="62">
        <f>W84*W10</f>
        <v>-273251.81508855976</v>
      </c>
      <c r="X83" s="62">
        <f>X84*X10</f>
        <v>-306004.96725863655</v>
      </c>
      <c r="Y83" s="62">
        <f>Y84*Y10</f>
        <v>-338227.08906687336</v>
      </c>
      <c r="Z83" s="62">
        <f>Z84*Z10</f>
        <v>-370537.1371338985</v>
      </c>
      <c r="AA83" s="62">
        <f>AA84*AA10</f>
        <v>-402766.92258150439</v>
      </c>
      <c r="AB83" s="62">
        <f>AB84*AB10</f>
        <v>-433382.34665850998</v>
      </c>
      <c r="AC83" s="62">
        <f>AC84*AC10</f>
        <v>-421532.25736709748</v>
      </c>
      <c r="AD83" s="31"/>
      <c r="AE83" s="51"/>
      <c r="AF83" s="2"/>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row>
    <row r="84" spans="1:62" hidden="1" outlineLevel="1" x14ac:dyDescent="0.25">
      <c r="A84" s="1"/>
      <c r="B84" s="78" t="s">
        <v>100</v>
      </c>
      <c r="C84" s="88">
        <f>C83/C$10</f>
        <v>1.4029346765233366E-2</v>
      </c>
      <c r="D84" s="88">
        <f t="shared" ref="D84:S84" si="62">D83/D$10</f>
        <v>3.4396463727727068E-2</v>
      </c>
      <c r="E84" s="88">
        <f t="shared" si="62"/>
        <v>4.3412159217049176E-2</v>
      </c>
      <c r="F84" s="88">
        <f t="shared" si="62"/>
        <v>1.6372044353289372E-2</v>
      </c>
      <c r="G84" s="88">
        <f t="shared" si="62"/>
        <v>9.2846304096555372E-3</v>
      </c>
      <c r="H84" s="88">
        <f t="shared" si="62"/>
        <v>3.0871979649406502E-3</v>
      </c>
      <c r="I84" s="88">
        <f t="shared" si="62"/>
        <v>-5.4090495113428188E-3</v>
      </c>
      <c r="J84" s="88">
        <f t="shared" si="62"/>
        <v>-5.4561865937901056E-3</v>
      </c>
      <c r="K84" s="88">
        <f t="shared" si="62"/>
        <v>-7.0715213744523171E-3</v>
      </c>
      <c r="L84" s="88">
        <f t="shared" si="62"/>
        <v>-4.8212430064880733E-3</v>
      </c>
      <c r="M84" s="88">
        <f t="shared" si="62"/>
        <v>-7.6147460200931246E-3</v>
      </c>
      <c r="N84" s="88">
        <f t="shared" si="62"/>
        <v>-3.0099934093227813E-2</v>
      </c>
      <c r="O84" s="88">
        <f t="shared" si="62"/>
        <v>-2.2054568481758147E-2</v>
      </c>
      <c r="P84" s="88">
        <f t="shared" si="62"/>
        <v>-5.6305562799787406E-2</v>
      </c>
      <c r="Q84" s="88">
        <f t="shared" si="62"/>
        <v>-2.9988950748309647E-2</v>
      </c>
      <c r="R84" s="88">
        <f t="shared" si="62"/>
        <v>-1.7244333289573519E-2</v>
      </c>
      <c r="S84" s="88">
        <f t="shared" si="62"/>
        <v>-2.0921042881244648E-2</v>
      </c>
      <c r="T84" s="88">
        <f>R84</f>
        <v>-1.7244333289573519E-2</v>
      </c>
      <c r="U84" s="88">
        <f>T84</f>
        <v>-1.7244333289573519E-2</v>
      </c>
      <c r="V84" s="88">
        <f>U84</f>
        <v>-1.7244333289573519E-2</v>
      </c>
      <c r="W84" s="88">
        <f t="shared" ref="W84:AC84" si="63">V84</f>
        <v>-1.7244333289573519E-2</v>
      </c>
      <c r="X84" s="88">
        <f t="shared" si="63"/>
        <v>-1.7244333289573519E-2</v>
      </c>
      <c r="Y84" s="88">
        <f t="shared" si="63"/>
        <v>-1.7244333289573519E-2</v>
      </c>
      <c r="Z84" s="88">
        <f t="shared" si="63"/>
        <v>-1.7244333289573519E-2</v>
      </c>
      <c r="AA84" s="88">
        <f t="shared" si="63"/>
        <v>-1.7244333289573519E-2</v>
      </c>
      <c r="AB84" s="88">
        <f t="shared" si="63"/>
        <v>-1.7244333289573519E-2</v>
      </c>
      <c r="AC84" s="88">
        <f t="shared" si="63"/>
        <v>-1.7244333289573519E-2</v>
      </c>
      <c r="AD84" s="31"/>
      <c r="AE84" s="51"/>
      <c r="AF84" s="2"/>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row>
    <row r="85" spans="1:62" hidden="1" outlineLevel="1" x14ac:dyDescent="0.25">
      <c r="A85" s="1"/>
      <c r="B85" s="139" t="s">
        <v>281</v>
      </c>
      <c r="C85" s="31">
        <v>5772.1294299999981</v>
      </c>
      <c r="D85" s="31">
        <v>6082</v>
      </c>
      <c r="E85" s="31">
        <v>18417.400000000001</v>
      </c>
      <c r="F85" s="31">
        <v>25244</v>
      </c>
      <c r="G85" s="31">
        <v>35587</v>
      </c>
      <c r="H85" s="31">
        <v>19249</v>
      </c>
      <c r="I85" s="31">
        <v>-11065.612300000001</v>
      </c>
      <c r="J85" s="31">
        <v>-11151</v>
      </c>
      <c r="K85" s="31">
        <v>-20257</v>
      </c>
      <c r="L85" s="31">
        <v>-33484</v>
      </c>
      <c r="M85" s="31">
        <v>-29147</v>
      </c>
      <c r="N85" s="31">
        <v>-65474</v>
      </c>
      <c r="O85" s="31">
        <v>-117434</v>
      </c>
      <c r="P85" s="31">
        <v>-163100</v>
      </c>
      <c r="Q85" s="31">
        <v>-210800</v>
      </c>
      <c r="R85" s="31">
        <v>-21400</v>
      </c>
      <c r="S85" s="31">
        <v>-21200</v>
      </c>
      <c r="T85" s="62">
        <f>T86*T10</f>
        <v>-54605.831666607723</v>
      </c>
      <c r="U85" s="62">
        <f>T85+R85+S85</f>
        <v>-97205.83166660773</v>
      </c>
      <c r="V85" s="62">
        <f>V86*V10</f>
        <v>-111592.93616923585</v>
      </c>
      <c r="W85" s="62">
        <f>W86*W10</f>
        <v>-125754.59877193935</v>
      </c>
      <c r="X85" s="62">
        <f>X86*X10</f>
        <v>-140828.09245881339</v>
      </c>
      <c r="Y85" s="62">
        <f>Y86*Y10</f>
        <v>-155657.19797916323</v>
      </c>
      <c r="Z85" s="62">
        <f>Z86*Z10</f>
        <v>-170526.76848742858</v>
      </c>
      <c r="AA85" s="62">
        <f>AA86*AA10</f>
        <v>-185359.40092998269</v>
      </c>
      <c r="AB85" s="62">
        <f>AB86*AB10</f>
        <v>-199449.07996757235</v>
      </c>
      <c r="AC85" s="62">
        <f>AC86*AC10</f>
        <v>-193995.49048722337</v>
      </c>
      <c r="AD85" s="80"/>
      <c r="AE85" s="51"/>
      <c r="AF85" s="2"/>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row>
    <row r="86" spans="1:62" hidden="1" outlineLevel="1" x14ac:dyDescent="0.25">
      <c r="A86" s="1"/>
      <c r="B86" s="78" t="s">
        <v>100</v>
      </c>
      <c r="C86" s="31"/>
      <c r="D86" s="88">
        <f>D85/D$10</f>
        <v>8.9585171459419331E-3</v>
      </c>
      <c r="E86" s="88">
        <f t="shared" ref="E86" si="64">E85/E$10</f>
        <v>2.1407242527620055E-2</v>
      </c>
      <c r="F86" s="88">
        <f t="shared" ref="F86" si="65">F85/F$10</f>
        <v>2.6215275974868894E-2</v>
      </c>
      <c r="G86" s="88">
        <f t="shared" ref="G86" si="66">G85/G$10</f>
        <v>3.3798742341455912E-2</v>
      </c>
      <c r="H86" s="88">
        <f t="shared" ref="H86" si="67">H85/H$10</f>
        <v>1.7178064123467167E-2</v>
      </c>
      <c r="I86" s="88">
        <f t="shared" ref="I86" si="68">I85/I$10</f>
        <v>-8.9302905311070043E-3</v>
      </c>
      <c r="J86" s="88">
        <f t="shared" ref="J86" si="69">J85/J$10</f>
        <v>-8.1964080166177372E-3</v>
      </c>
      <c r="K86" s="88">
        <f t="shared" ref="K86" si="70">K85/K$10</f>
        <v>-1.3268843926508801E-2</v>
      </c>
      <c r="L86" s="88">
        <f t="shared" ref="L86" si="71">L85/L$10</f>
        <v>-1.9940032217051217E-2</v>
      </c>
      <c r="M86" s="88">
        <f t="shared" ref="M86" si="72">M85/M$10</f>
        <v>-1.8320016693987147E-2</v>
      </c>
      <c r="N86" s="88">
        <f t="shared" ref="N86" si="73">N85/N$10</f>
        <v>-2.2393253773222561E-2</v>
      </c>
      <c r="O86" s="88">
        <f t="shared" ref="O86" si="74">O85/O$10</f>
        <v>-2.7737742121242612E-2</v>
      </c>
      <c r="P86" s="88">
        <f t="shared" ref="P86" si="75">P85/P$10</f>
        <v>-3.3651290922115523E-2</v>
      </c>
      <c r="Q86" s="88">
        <f t="shared" ref="Q86:S86" si="76">Q85/Q$10</f>
        <v>-2.5155872732764317E-2</v>
      </c>
      <c r="R86" s="88">
        <f t="shared" si="76"/>
        <v>-7.9361017719757707E-3</v>
      </c>
      <c r="S86" s="88">
        <f t="shared" si="76"/>
        <v>-7.3068551743391517E-3</v>
      </c>
      <c r="T86" s="88">
        <f>R86</f>
        <v>-7.9361017719757707E-3</v>
      </c>
      <c r="U86" s="88">
        <f>T86</f>
        <v>-7.9361017719757707E-3</v>
      </c>
      <c r="V86" s="88">
        <f>U86</f>
        <v>-7.9361017719757707E-3</v>
      </c>
      <c r="W86" s="88">
        <f t="shared" ref="W86:AC86" si="77">V86</f>
        <v>-7.9361017719757707E-3</v>
      </c>
      <c r="X86" s="88">
        <f t="shared" si="77"/>
        <v>-7.9361017719757707E-3</v>
      </c>
      <c r="Y86" s="88">
        <f t="shared" si="77"/>
        <v>-7.9361017719757707E-3</v>
      </c>
      <c r="Z86" s="88">
        <f t="shared" si="77"/>
        <v>-7.9361017719757707E-3</v>
      </c>
      <c r="AA86" s="88">
        <f t="shared" si="77"/>
        <v>-7.9361017719757707E-3</v>
      </c>
      <c r="AB86" s="88">
        <f t="shared" si="77"/>
        <v>-7.9361017719757707E-3</v>
      </c>
      <c r="AC86" s="88">
        <f t="shared" si="77"/>
        <v>-7.9361017719757707E-3</v>
      </c>
      <c r="AD86" s="80"/>
      <c r="AE86" s="51"/>
      <c r="AF86" s="2"/>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row>
    <row r="87" spans="1:62" hidden="1" outlineLevel="1" x14ac:dyDescent="0.25">
      <c r="A87" s="1"/>
      <c r="B87" s="139" t="s">
        <v>25</v>
      </c>
      <c r="C87" s="31">
        <v>1585.3914099999997</v>
      </c>
      <c r="D87" s="31">
        <v>786</v>
      </c>
      <c r="E87" s="31">
        <v>1661</v>
      </c>
      <c r="F87" s="31">
        <v>2743.4276111600002</v>
      </c>
      <c r="G87" s="31">
        <v>5167.4022559843288</v>
      </c>
      <c r="H87" s="31">
        <v>3065.7121651643279</v>
      </c>
      <c r="I87" s="31">
        <v>-7298.6016600000003</v>
      </c>
      <c r="J87" s="31">
        <v>-2973</v>
      </c>
      <c r="K87" s="31">
        <v>-17561.327600000001</v>
      </c>
      <c r="L87" s="31">
        <v>-24028</v>
      </c>
      <c r="M87" s="31">
        <v>-4923</v>
      </c>
      <c r="N87" s="31">
        <v>-15400</v>
      </c>
      <c r="O87" s="31">
        <v>-22336</v>
      </c>
      <c r="P87" s="31">
        <v>-66300</v>
      </c>
      <c r="Q87" s="31">
        <v>-92300</v>
      </c>
      <c r="R87" s="31">
        <v>-16500</v>
      </c>
      <c r="S87" s="31">
        <v>-12300</v>
      </c>
      <c r="T87" s="62">
        <f>T88*T10</f>
        <v>-42102.627219580718</v>
      </c>
      <c r="U87" s="62">
        <f>T87+R87+S87</f>
        <v>-70902.627219580725</v>
      </c>
      <c r="V87" s="62">
        <f>V88*V10</f>
        <v>-86041.282560392137</v>
      </c>
      <c r="W87" s="62">
        <f>W88*W10</f>
        <v>-96960.321483037347</v>
      </c>
      <c r="X87" s="62">
        <f>X88*X10</f>
        <v>-108582.40773693557</v>
      </c>
      <c r="Y87" s="62">
        <f>Y88*Y10</f>
        <v>-120016.06386243894</v>
      </c>
      <c r="Z87" s="62">
        <f>Z88*Z10</f>
        <v>-131480.91962815754</v>
      </c>
      <c r="AA87" s="62">
        <f>AA88*AA10</f>
        <v>-142917.2951095661</v>
      </c>
      <c r="AB87" s="62">
        <f>AB88*AB10</f>
        <v>-153780.83268527774</v>
      </c>
      <c r="AC87" s="62">
        <f>AC88*AC10</f>
        <v>-149575.96229155074</v>
      </c>
      <c r="AD87" s="31"/>
      <c r="AE87" s="51"/>
      <c r="AF87" s="2"/>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row>
    <row r="88" spans="1:62" hidden="1" outlineLevel="1" x14ac:dyDescent="0.25">
      <c r="A88" s="1"/>
      <c r="B88" s="78" t="s">
        <v>100</v>
      </c>
      <c r="C88" s="31"/>
      <c r="D88" s="88">
        <f>D87/D$10</f>
        <v>1.1577432549671751E-3</v>
      </c>
      <c r="E88" s="88">
        <f t="shared" ref="E88" si="78">E87/E$10</f>
        <v>1.9306432959254245E-3</v>
      </c>
      <c r="F88" s="88">
        <f t="shared" ref="F88" si="79">F87/F$10</f>
        <v>2.8489824094293579E-3</v>
      </c>
      <c r="G88" s="88">
        <f t="shared" ref="G88" si="80">G87/G$10</f>
        <v>4.9077387086484481E-3</v>
      </c>
      <c r="H88" s="88">
        <f t="shared" ref="H88" si="81">H87/H$10</f>
        <v>2.7358823916715774E-3</v>
      </c>
      <c r="I88" s="88">
        <f t="shared" ref="I88" si="82">I87/I$10</f>
        <v>-5.8901967218406761E-3</v>
      </c>
      <c r="J88" s="88">
        <f t="shared" ref="J88" si="83">J87/J$10</f>
        <v>-2.1852677816702119E-3</v>
      </c>
      <c r="K88" s="88">
        <f t="shared" ref="K88" si="84">K87/K$10</f>
        <v>-1.150311077981396E-2</v>
      </c>
      <c r="L88" s="88">
        <f t="shared" ref="L88" si="85">L87/L$10</f>
        <v>-1.430889661065902E-2</v>
      </c>
      <c r="M88" s="88">
        <f t="shared" ref="M88" si="86">M87/M$10</f>
        <v>-3.0942958858372637E-3</v>
      </c>
      <c r="N88" s="88">
        <f t="shared" ref="N88" si="87">N87/N$10</f>
        <v>-5.2670694948777751E-3</v>
      </c>
      <c r="O88" s="88">
        <f t="shared" ref="O88" si="88">O87/O$10</f>
        <v>-5.2757311172239299E-3</v>
      </c>
      <c r="P88" s="88">
        <f t="shared" ref="P88" si="89">P87/P$10</f>
        <v>-1.367921881138111E-2</v>
      </c>
      <c r="Q88" s="88">
        <f t="shared" ref="Q88:S88" si="90">Q87/Q$10</f>
        <v>-1.1014644465057621E-2</v>
      </c>
      <c r="R88" s="88">
        <f t="shared" si="90"/>
        <v>-6.1189569737196362E-3</v>
      </c>
      <c r="S88" s="88">
        <f t="shared" si="90"/>
        <v>-4.2393546530363948E-3</v>
      </c>
      <c r="T88" s="88">
        <f>R88</f>
        <v>-6.1189569737196362E-3</v>
      </c>
      <c r="U88" s="88">
        <f>T88</f>
        <v>-6.1189569737196362E-3</v>
      </c>
      <c r="V88" s="88">
        <f>U88</f>
        <v>-6.1189569737196362E-3</v>
      </c>
      <c r="W88" s="88">
        <f t="shared" ref="W88:AC88" si="91">V88</f>
        <v>-6.1189569737196362E-3</v>
      </c>
      <c r="X88" s="88">
        <f t="shared" si="91"/>
        <v>-6.1189569737196362E-3</v>
      </c>
      <c r="Y88" s="88">
        <f t="shared" si="91"/>
        <v>-6.1189569737196362E-3</v>
      </c>
      <c r="Z88" s="88">
        <f t="shared" si="91"/>
        <v>-6.1189569737196362E-3</v>
      </c>
      <c r="AA88" s="88">
        <f t="shared" si="91"/>
        <v>-6.1189569737196362E-3</v>
      </c>
      <c r="AB88" s="88">
        <f t="shared" si="91"/>
        <v>-6.1189569737196362E-3</v>
      </c>
      <c r="AC88" s="88">
        <f t="shared" si="91"/>
        <v>-6.1189569737196362E-3</v>
      </c>
      <c r="AD88" s="31"/>
      <c r="AE88" s="51"/>
      <c r="AF88" s="2"/>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row>
    <row r="89" spans="1:62" hidden="1" outlineLevel="1" x14ac:dyDescent="0.25">
      <c r="A89" s="1"/>
      <c r="B89" s="139" t="s">
        <v>417</v>
      </c>
      <c r="C89" s="62"/>
      <c r="D89" s="62"/>
      <c r="E89" s="62"/>
      <c r="F89" s="62"/>
      <c r="G89" s="62"/>
      <c r="H89" s="62"/>
      <c r="I89" s="62"/>
      <c r="J89" s="62"/>
      <c r="K89" s="62"/>
      <c r="L89" s="62"/>
      <c r="M89" s="62"/>
      <c r="N89" s="62"/>
      <c r="O89" s="62"/>
      <c r="P89" s="62"/>
      <c r="Q89" s="62"/>
      <c r="R89" s="62"/>
      <c r="S89" s="62"/>
      <c r="T89" s="62">
        <v>0</v>
      </c>
      <c r="U89" s="62">
        <v>0</v>
      </c>
      <c r="V89" s="62">
        <v>0</v>
      </c>
      <c r="W89" s="62">
        <v>0</v>
      </c>
      <c r="X89" s="62">
        <v>0</v>
      </c>
      <c r="Y89" s="62">
        <v>0</v>
      </c>
      <c r="Z89" s="62">
        <v>0</v>
      </c>
      <c r="AA89" s="62">
        <v>0</v>
      </c>
      <c r="AB89" s="62">
        <v>0</v>
      </c>
      <c r="AC89" s="62">
        <v>0</v>
      </c>
      <c r="AD89" s="31"/>
      <c r="AE89" s="51"/>
      <c r="AF89" s="2"/>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row>
    <row r="90" spans="1:62" collapsed="1" x14ac:dyDescent="0.25">
      <c r="A90" s="1"/>
      <c r="B90" s="20" t="s">
        <v>46</v>
      </c>
      <c r="C90" s="23">
        <f>C74*(1+C77)</f>
        <v>86110.657279346764</v>
      </c>
      <c r="D90" s="23">
        <f>D74*(1+D77)</f>
        <v>168927.16835498088</v>
      </c>
      <c r="E90" s="23">
        <f>E74*(1+E77)</f>
        <v>209581.83981940176</v>
      </c>
      <c r="F90" s="23">
        <f>F74*(1+F77)</f>
        <v>221067.34697514703</v>
      </c>
      <c r="G90" s="23">
        <f>G74*(1+G77)</f>
        <v>182035.1495926904</v>
      </c>
      <c r="H90" s="23">
        <f>H74*(1+H77)</f>
        <v>167301.90538709311</v>
      </c>
      <c r="I90" s="23">
        <f>I74*(1+I77)</f>
        <v>131550.40602732659</v>
      </c>
      <c r="J90" s="23">
        <f>J74*(1+J77)</f>
        <v>161084.8196807387</v>
      </c>
      <c r="K90" s="23">
        <f>K74*(1+K77)</f>
        <v>80215.683642967953</v>
      </c>
      <c r="L90" s="23">
        <f>L74*(1+L77)</f>
        <v>144093.8919053915</v>
      </c>
      <c r="M90" s="23">
        <f>M74*(1+M77)</f>
        <v>195545.14073190378</v>
      </c>
      <c r="N90" s="23">
        <f>N74*(1+N77)</f>
        <v>203250.36417347917</v>
      </c>
      <c r="O90" s="23">
        <f>O74*(1+O77)</f>
        <v>-31330.883125644101</v>
      </c>
      <c r="P90" s="23">
        <f>P74*(1+P77)</f>
        <v>241548.91004314623</v>
      </c>
      <c r="Q90" s="23">
        <f>Q74*(1+Q77)</f>
        <v>-1859183.0551448236</v>
      </c>
      <c r="R90" s="23">
        <f>R74*(1+R77)</f>
        <v>-73717.396113274823</v>
      </c>
      <c r="S90" s="23">
        <f>S74*(1+S77)</f>
        <v>592222</v>
      </c>
      <c r="T90" s="23">
        <f>T74+T78</f>
        <v>1211868.7097473757</v>
      </c>
      <c r="U90" s="23">
        <f>U74+U78</f>
        <v>1730373.3136341008</v>
      </c>
      <c r="V90" s="23">
        <f>V74+V78</f>
        <v>1335562.9426388089</v>
      </c>
      <c r="W90" s="23">
        <f>W74+W78</f>
        <v>1447025.0641163248</v>
      </c>
      <c r="X90" s="23">
        <f>X74+X78</f>
        <v>1599784.9950944874</v>
      </c>
      <c r="Y90" s="23">
        <f>Y74+Y78</f>
        <v>1733949.475948524</v>
      </c>
      <c r="Z90" s="23">
        <f>Z74+Z78</f>
        <v>1903849.936647861</v>
      </c>
      <c r="AA90" s="23">
        <f>AA74+AA78</f>
        <v>2070892.0737782931</v>
      </c>
      <c r="AB90" s="23">
        <f>AB74+AB78</f>
        <v>2191231.7581447028</v>
      </c>
      <c r="AC90" s="23">
        <f>AC74+AC78</f>
        <v>2150392.4332035831</v>
      </c>
      <c r="AD90" s="63">
        <f>AD74/(AC93-'Painel de Índices'!Z45)</f>
        <v>23103640.588907301</v>
      </c>
      <c r="AE90" s="51"/>
      <c r="AF90" s="2"/>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row>
    <row r="91" spans="1:62" x14ac:dyDescent="0.25">
      <c r="A91" s="1"/>
      <c r="B91" s="20" t="s">
        <v>101</v>
      </c>
      <c r="C91" s="37">
        <f>'Painel de Índices'!C14</f>
        <v>0.35806038748724006</v>
      </c>
      <c r="D91" s="37">
        <f>'Painel de Índices'!D14</f>
        <v>0.1927226015244638</v>
      </c>
      <c r="E91" s="37">
        <f>'Painel de Índices'!E14</f>
        <v>0.17029907862105212</v>
      </c>
      <c r="F91" s="37">
        <f>'Painel de Índices'!F14</f>
        <v>0.17204058992430174</v>
      </c>
      <c r="G91" s="37">
        <f>'Painel de Índices'!G14</f>
        <v>0.15225772269769411</v>
      </c>
      <c r="H91" s="37">
        <f>'Painel de Índices'!H14</f>
        <v>0.14735418820119342</v>
      </c>
      <c r="I91" s="37">
        <f>'Painel de Índices'!I14</f>
        <v>0.16046190257660994</v>
      </c>
      <c r="J91" s="37">
        <f>'Painel de Índices'!J14</f>
        <v>0.18813282075811527</v>
      </c>
      <c r="K91" s="37">
        <f>'Painel de Índices'!K14</f>
        <v>0.21713743983664738</v>
      </c>
      <c r="L91" s="37">
        <f>'Painel de Índices'!L14</f>
        <v>0.20838831847157308</v>
      </c>
      <c r="M91" s="37">
        <f>'Painel de Índices'!M14</f>
        <v>6.7666988734310582E-2</v>
      </c>
      <c r="N91" s="37">
        <f>'Painel de Índices'!N14</f>
        <v>0.20336985943584385</v>
      </c>
      <c r="O91" s="37">
        <f>'Painel de Índices'!O14</f>
        <v>0.18137465924687329</v>
      </c>
      <c r="P91" s="37">
        <f>'Painel de Índices'!P14</f>
        <v>0.16409702727356296</v>
      </c>
      <c r="Q91" s="37">
        <f>'Painel de Índices'!Q14</f>
        <v>9.0026899513768271E-2</v>
      </c>
      <c r="R91" s="37">
        <f>'Painel de Índices'!R14</f>
        <v>0.20280207722533353</v>
      </c>
      <c r="S91" s="37">
        <f>'Painel de Índices'!S14</f>
        <v>0.1777208544252859</v>
      </c>
      <c r="T91" s="37">
        <v>0</v>
      </c>
      <c r="U91" s="52">
        <f>U74/Q74*Q91/(-U77*Q91+1)</f>
        <v>0.20683935642270496</v>
      </c>
      <c r="V91" s="52">
        <f>V74/U74*U91/(-V77*U91+1)</f>
        <v>0.17397124894468693</v>
      </c>
      <c r="W91" s="52">
        <f>W74/V74*V91/(-W77*V91+1)</f>
        <v>0.18184257690310446</v>
      </c>
      <c r="X91" s="52">
        <f>X74/W74*W91/(-X77*W91+1)</f>
        <v>0.1884269295789161</v>
      </c>
      <c r="Y91" s="52">
        <f>Y74/X74*X91/(-Y77*X91+1)</f>
        <v>0.19140132438087384</v>
      </c>
      <c r="Z91" s="52">
        <f>Z74/Y74*Y91/(-Z77*Y91+1)</f>
        <v>0.19097020847309779</v>
      </c>
      <c r="AA91" s="52">
        <f>AA74/Z74*Z91/(-AA77*Z91+1)</f>
        <v>0.18931258761807818</v>
      </c>
      <c r="AB91" s="52">
        <f>AB74/AA74*AA91/(-AB77*AA91+1)</f>
        <v>0.18327956632670406</v>
      </c>
      <c r="AC91" s="52">
        <f>AC74/AB74*AB91/(-AC77*AB91+1)</f>
        <v>0.13772642988145922</v>
      </c>
      <c r="AD91" s="37"/>
      <c r="AE91" s="40"/>
      <c r="AF91" s="2"/>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row>
    <row r="92" spans="1:62" x14ac:dyDescent="0.25">
      <c r="A92" s="1"/>
      <c r="B92" s="20"/>
      <c r="C92" s="37"/>
      <c r="D92" s="37"/>
      <c r="E92" s="37"/>
      <c r="F92" s="37"/>
      <c r="G92" s="37"/>
      <c r="H92" s="37"/>
      <c r="I92" s="37"/>
      <c r="J92" s="37"/>
      <c r="K92" s="37"/>
      <c r="L92" s="37"/>
      <c r="M92" s="37"/>
      <c r="N92" s="37"/>
      <c r="O92" s="37"/>
      <c r="P92" s="37"/>
      <c r="Q92" s="37"/>
      <c r="R92" s="37"/>
      <c r="S92" s="37"/>
      <c r="T92" s="52"/>
      <c r="U92" s="52"/>
      <c r="V92" s="52"/>
      <c r="W92" s="52"/>
      <c r="X92" s="52"/>
      <c r="Y92" s="52"/>
      <c r="Z92" s="52"/>
      <c r="AA92" s="52"/>
      <c r="AB92" s="52"/>
      <c r="AC92" s="52"/>
      <c r="AD92" s="37"/>
      <c r="AE92" s="40"/>
      <c r="AF92" s="2"/>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row>
    <row r="93" spans="1:62" x14ac:dyDescent="0.25">
      <c r="A93" s="1"/>
      <c r="B93" s="20" t="s">
        <v>29</v>
      </c>
      <c r="C93" s="20"/>
      <c r="D93" s="20"/>
      <c r="E93" s="20"/>
      <c r="F93" s="20"/>
      <c r="G93" s="20"/>
      <c r="H93" s="20"/>
      <c r="I93" s="40" t="s">
        <v>99</v>
      </c>
      <c r="J93" s="60" t="s">
        <v>99</v>
      </c>
      <c r="K93" s="60" t="s">
        <v>99</v>
      </c>
      <c r="L93" s="60" t="s">
        <v>99</v>
      </c>
      <c r="M93" s="60" t="s">
        <v>99</v>
      </c>
      <c r="N93" s="60" t="s">
        <v>99</v>
      </c>
      <c r="O93" s="60" t="s">
        <v>99</v>
      </c>
      <c r="P93" s="60">
        <v>0</v>
      </c>
      <c r="Q93" s="31">
        <v>0</v>
      </c>
      <c r="R93" s="31"/>
      <c r="S93" s="31"/>
      <c r="T93" s="113">
        <f>((T99*T94)+(T100*Dashboard!$C$10))/('DRE + DCF'!T94+Dashboard!$C$10)</f>
        <v>0.20023830922145</v>
      </c>
      <c r="U93" s="113"/>
      <c r="V93" s="113">
        <f>((V99*V94)+(V100*Dashboard!$C$10))/('DRE + DCF'!V94+Dashboard!$C$10)</f>
        <v>0.19868819275057562</v>
      </c>
      <c r="W93" s="113">
        <f>((W99*W94)+(W100*Dashboard!$C$10))/('DRE + DCF'!W94+Dashboard!$C$10)</f>
        <v>0.19086782004377767</v>
      </c>
      <c r="X93" s="113">
        <f>((X99*X94)+(X100*Dashboard!$C$10))/('DRE + DCF'!X94+Dashboard!$C$10)</f>
        <v>0.18692730757193046</v>
      </c>
      <c r="Y93" s="113">
        <f>((Y99*Y94)+(Y100*Dashboard!$C$10))/('DRE + DCF'!Y94+Dashboard!$C$10)</f>
        <v>0.185766655335034</v>
      </c>
      <c r="Z93" s="113">
        <f>((Z99*Z94)+(Z100*Dashboard!$C$10))/('DRE + DCF'!Z94+Dashboard!$C$10)</f>
        <v>0.18533597980396271</v>
      </c>
      <c r="AA93" s="113">
        <f>((AA99*AA94)+(AA100*Dashboard!$C$10))/('DRE + DCF'!AA94+Dashboard!$C$10)</f>
        <v>0.18504535086124113</v>
      </c>
      <c r="AB93" s="113">
        <f>((AB99*AB94)+(AB100*Dashboard!$C$10))/('DRE + DCF'!AB94+Dashboard!$C$10)</f>
        <v>0.18429476850686932</v>
      </c>
      <c r="AC93" s="113">
        <f>((AC99*AC94)+(AC100*Dashboard!$C$10))/('DRE + DCF'!AC94+Dashboard!$C$10)</f>
        <v>0.18363434921172164</v>
      </c>
      <c r="AD93" s="82"/>
      <c r="AE93" s="66"/>
      <c r="AF93" s="2"/>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row>
    <row r="94" spans="1:62" x14ac:dyDescent="0.25">
      <c r="A94" s="1"/>
      <c r="B94" s="20"/>
      <c r="C94" s="20"/>
      <c r="D94" s="20"/>
      <c r="E94" s="20"/>
      <c r="F94" s="20"/>
      <c r="G94" s="20"/>
      <c r="H94" s="20"/>
      <c r="I94" s="40"/>
      <c r="J94" s="60"/>
      <c r="K94" s="60"/>
      <c r="L94" s="60"/>
      <c r="M94" s="60"/>
      <c r="N94" s="60"/>
      <c r="O94" s="60"/>
      <c r="P94" s="60"/>
      <c r="Q94" s="31"/>
      <c r="R94" s="31"/>
      <c r="S94" s="31"/>
      <c r="T94" s="31">
        <v>8974102.1792445965</v>
      </c>
      <c r="U94" s="31"/>
      <c r="V94" s="31">
        <f>T94</f>
        <v>8974102.1792445965</v>
      </c>
      <c r="W94" s="31">
        <f>V94</f>
        <v>8974102.1792445965</v>
      </c>
      <c r="X94" s="31">
        <f t="shared" ref="X94:AC94" si="92">W94</f>
        <v>8974102.1792445965</v>
      </c>
      <c r="Y94" s="31">
        <f t="shared" si="92"/>
        <v>8974102.1792445965</v>
      </c>
      <c r="Z94" s="31">
        <f t="shared" si="92"/>
        <v>8974102.1792445965</v>
      </c>
      <c r="AA94" s="31">
        <f t="shared" si="92"/>
        <v>8974102.1792445965</v>
      </c>
      <c r="AB94" s="31">
        <f t="shared" si="92"/>
        <v>8974102.1792445965</v>
      </c>
      <c r="AC94" s="31">
        <f t="shared" si="92"/>
        <v>8974102.1792445965</v>
      </c>
      <c r="AD94" s="82"/>
      <c r="AE94" s="66"/>
      <c r="AF94" s="2"/>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row>
    <row r="95" spans="1:62" x14ac:dyDescent="0.25">
      <c r="A95" s="1"/>
      <c r="B95" s="11" t="s">
        <v>121</v>
      </c>
      <c r="C95" s="20"/>
      <c r="D95" s="20"/>
      <c r="E95" s="20"/>
      <c r="F95" s="20"/>
      <c r="G95" s="20"/>
      <c r="H95" s="20"/>
      <c r="I95" s="40"/>
      <c r="J95" s="31">
        <v>0</v>
      </c>
      <c r="K95" s="31">
        <v>0</v>
      </c>
      <c r="L95" s="31">
        <v>0</v>
      </c>
      <c r="M95" s="31">
        <v>0</v>
      </c>
      <c r="N95" s="31">
        <v>0</v>
      </c>
      <c r="O95" s="31">
        <v>0</v>
      </c>
      <c r="P95" s="31">
        <v>0</v>
      </c>
      <c r="Q95" s="31">
        <v>0</v>
      </c>
      <c r="R95" s="31"/>
      <c r="S95" s="31"/>
      <c r="T95" s="67">
        <v>0.1452</v>
      </c>
      <c r="U95" s="67"/>
      <c r="V95" s="67">
        <v>0.14399999999999999</v>
      </c>
      <c r="W95" s="67">
        <v>0.13730000000000001</v>
      </c>
      <c r="X95" s="67">
        <v>0.13489999999999999</v>
      </c>
      <c r="Y95" s="67">
        <v>0.13569999999999999</v>
      </c>
      <c r="Z95" s="67">
        <v>0.13730000000000001</v>
      </c>
      <c r="AA95" s="67">
        <v>0.1389</v>
      </c>
      <c r="AB95" s="67">
        <v>0.1399</v>
      </c>
      <c r="AC95" s="67">
        <v>0.14050000000000001</v>
      </c>
      <c r="AD95" s="82"/>
      <c r="AE95" s="66"/>
      <c r="AF95" s="2"/>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row>
    <row r="96" spans="1:62" x14ac:dyDescent="0.25">
      <c r="A96" s="1"/>
      <c r="B96" s="11" t="s">
        <v>104</v>
      </c>
      <c r="C96" s="20"/>
      <c r="D96" s="20"/>
      <c r="E96" s="20"/>
      <c r="F96" s="20"/>
      <c r="G96" s="20"/>
      <c r="H96" s="20"/>
      <c r="I96" s="40"/>
      <c r="J96" s="31">
        <v>0</v>
      </c>
      <c r="K96" s="31">
        <v>0</v>
      </c>
      <c r="L96" s="31">
        <v>0</v>
      </c>
      <c r="M96" s="31">
        <v>0</v>
      </c>
      <c r="N96" s="31">
        <v>0</v>
      </c>
      <c r="O96" s="31">
        <v>0</v>
      </c>
      <c r="P96" s="31">
        <v>0</v>
      </c>
      <c r="Q96" s="31">
        <v>0</v>
      </c>
      <c r="R96" s="31"/>
      <c r="S96" s="31"/>
      <c r="T96" s="67">
        <v>4.1999999999999997E-3</v>
      </c>
      <c r="U96" s="67"/>
      <c r="V96" s="67">
        <v>4.7000000000000002E-3</v>
      </c>
      <c r="W96" s="67">
        <v>6.3E-3</v>
      </c>
      <c r="X96" s="67">
        <v>8.5000000000000006E-3</v>
      </c>
      <c r="Y96" s="67">
        <v>1.1299999999999999E-2</v>
      </c>
      <c r="Z96" s="67">
        <v>1.4200000000000001E-2</v>
      </c>
      <c r="AA96" s="67">
        <v>1.6899999999999998E-2</v>
      </c>
      <c r="AB96" s="67">
        <v>1.9400000000000001E-2</v>
      </c>
      <c r="AC96" s="67">
        <v>2.12E-2</v>
      </c>
      <c r="AD96" s="82"/>
      <c r="AE96" s="66"/>
      <c r="AF96" s="2"/>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row>
    <row r="97" spans="1:62" x14ac:dyDescent="0.25">
      <c r="A97" s="1"/>
      <c r="B97" s="11" t="s">
        <v>118</v>
      </c>
      <c r="C97" s="20"/>
      <c r="D97" s="20"/>
      <c r="E97" s="20"/>
      <c r="F97" s="20"/>
      <c r="G97" s="20"/>
      <c r="H97" s="20"/>
      <c r="I97" s="40"/>
      <c r="J97" s="31">
        <v>0</v>
      </c>
      <c r="K97" s="31">
        <v>0</v>
      </c>
      <c r="L97" s="31">
        <v>0</v>
      </c>
      <c r="M97" s="31">
        <v>0</v>
      </c>
      <c r="N97" s="31">
        <v>0</v>
      </c>
      <c r="O97" s="31">
        <v>0</v>
      </c>
      <c r="P97" s="31">
        <v>0</v>
      </c>
      <c r="Q97" s="31">
        <v>0</v>
      </c>
      <c r="R97" s="31"/>
      <c r="S97" s="31"/>
      <c r="T97" s="114">
        <v>1.2</v>
      </c>
      <c r="U97" s="114"/>
      <c r="V97" s="114">
        <f>T97</f>
        <v>1.2</v>
      </c>
      <c r="W97" s="114">
        <f t="shared" ref="W97:AC97" si="93">V97</f>
        <v>1.2</v>
      </c>
      <c r="X97" s="114">
        <f t="shared" si="93"/>
        <v>1.2</v>
      </c>
      <c r="Y97" s="114">
        <f t="shared" si="93"/>
        <v>1.2</v>
      </c>
      <c r="Z97" s="114">
        <f t="shared" si="93"/>
        <v>1.2</v>
      </c>
      <c r="AA97" s="114">
        <f t="shared" si="93"/>
        <v>1.2</v>
      </c>
      <c r="AB97" s="114">
        <f t="shared" si="93"/>
        <v>1.2</v>
      </c>
      <c r="AC97" s="114">
        <f t="shared" si="93"/>
        <v>1.2</v>
      </c>
      <c r="AD97" s="82"/>
      <c r="AE97" s="66"/>
      <c r="AF97" s="2"/>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row>
    <row r="98" spans="1:62" x14ac:dyDescent="0.25">
      <c r="A98" s="1"/>
      <c r="B98" s="11" t="s">
        <v>103</v>
      </c>
      <c r="C98" s="20"/>
      <c r="D98" s="20"/>
      <c r="E98" s="20"/>
      <c r="F98" s="20"/>
      <c r="G98" s="20"/>
      <c r="H98" s="20"/>
      <c r="I98" s="40"/>
      <c r="J98" s="31">
        <v>0</v>
      </c>
      <c r="K98" s="31">
        <v>0</v>
      </c>
      <c r="L98" s="31">
        <v>0</v>
      </c>
      <c r="M98" s="31">
        <v>0</v>
      </c>
      <c r="N98" s="31">
        <v>0</v>
      </c>
      <c r="O98" s="31">
        <v>0</v>
      </c>
      <c r="P98" s="31">
        <v>0</v>
      </c>
      <c r="Q98" s="31">
        <v>0</v>
      </c>
      <c r="R98" s="31"/>
      <c r="S98" s="31"/>
      <c r="T98" s="67">
        <v>6.9000000000000006E-2</v>
      </c>
      <c r="U98" s="67"/>
      <c r="V98" s="67">
        <v>6.9000000000000006E-2</v>
      </c>
      <c r="W98" s="67">
        <v>6.9000000000000006E-2</v>
      </c>
      <c r="X98" s="67">
        <v>6.9000000000000006E-2</v>
      </c>
      <c r="Y98" s="67">
        <v>6.9000000000000006E-2</v>
      </c>
      <c r="Z98" s="67">
        <v>6.9000000000000006E-2</v>
      </c>
      <c r="AA98" s="67">
        <v>6.9000000000000006E-2</v>
      </c>
      <c r="AB98" s="67">
        <v>6.9000000000000006E-2</v>
      </c>
      <c r="AC98" s="67">
        <v>6.9000000000000006E-2</v>
      </c>
      <c r="AD98" s="82"/>
      <c r="AE98" s="66"/>
      <c r="AF98" s="2"/>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row>
    <row r="99" spans="1:62" x14ac:dyDescent="0.25">
      <c r="A99" s="1"/>
      <c r="B99" s="11" t="s">
        <v>120</v>
      </c>
      <c r="C99" s="20"/>
      <c r="D99" s="20"/>
      <c r="E99" s="20"/>
      <c r="F99" s="20"/>
      <c r="G99" s="20"/>
      <c r="H99" s="20"/>
      <c r="I99" s="40"/>
      <c r="J99" s="31">
        <v>0</v>
      </c>
      <c r="K99" s="31">
        <v>0</v>
      </c>
      <c r="L99" s="31">
        <v>0</v>
      </c>
      <c r="M99" s="31">
        <v>0</v>
      </c>
      <c r="N99" s="31">
        <v>0</v>
      </c>
      <c r="O99" s="31">
        <v>0</v>
      </c>
      <c r="P99" s="31">
        <v>0</v>
      </c>
      <c r="Q99" s="31">
        <v>0</v>
      </c>
      <c r="R99" s="31"/>
      <c r="S99" s="31"/>
      <c r="T99" s="113">
        <f t="shared" ref="T99:AC99" si="94">T95-T96+(T97*T98)</f>
        <v>0.2238</v>
      </c>
      <c r="U99" s="113"/>
      <c r="V99" s="113">
        <f t="shared" si="94"/>
        <v>0.22209999999999996</v>
      </c>
      <c r="W99" s="113">
        <f t="shared" si="94"/>
        <v>0.21379999999999999</v>
      </c>
      <c r="X99" s="113">
        <f t="shared" si="94"/>
        <v>0.2092</v>
      </c>
      <c r="Y99" s="113">
        <f t="shared" si="94"/>
        <v>0.2072</v>
      </c>
      <c r="Z99" s="113">
        <f t="shared" si="94"/>
        <v>0.2059</v>
      </c>
      <c r="AA99" s="113">
        <f t="shared" si="94"/>
        <v>0.20479999999999998</v>
      </c>
      <c r="AB99" s="113">
        <f t="shared" si="94"/>
        <v>0.20329999999999998</v>
      </c>
      <c r="AC99" s="113">
        <f t="shared" si="94"/>
        <v>0.2021</v>
      </c>
      <c r="AD99" s="82"/>
      <c r="AE99" s="66"/>
      <c r="AF99" s="2"/>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row>
    <row r="100" spans="1:62" x14ac:dyDescent="0.25">
      <c r="A100" s="1"/>
      <c r="B100" s="11" t="s">
        <v>119</v>
      </c>
      <c r="C100" s="20"/>
      <c r="D100" s="20"/>
      <c r="E100" s="20"/>
      <c r="F100" s="20"/>
      <c r="G100" s="20"/>
      <c r="H100" s="20"/>
      <c r="I100" s="40"/>
      <c r="J100" s="31">
        <v>0</v>
      </c>
      <c r="K100" s="31">
        <v>0</v>
      </c>
      <c r="L100" s="31">
        <v>0</v>
      </c>
      <c r="M100" s="31">
        <v>0</v>
      </c>
      <c r="N100" s="31">
        <v>0</v>
      </c>
      <c r="O100" s="31">
        <v>0</v>
      </c>
      <c r="P100" s="31">
        <v>0</v>
      </c>
      <c r="Q100" s="31">
        <v>0</v>
      </c>
      <c r="R100" s="31"/>
      <c r="S100" s="31"/>
      <c r="T100" s="113">
        <f>T95</f>
        <v>0.1452</v>
      </c>
      <c r="U100" s="113"/>
      <c r="V100" s="113">
        <f t="shared" ref="V100:AC100" si="95">V95</f>
        <v>0.14399999999999999</v>
      </c>
      <c r="W100" s="113">
        <f t="shared" si="95"/>
        <v>0.13730000000000001</v>
      </c>
      <c r="X100" s="113">
        <f t="shared" si="95"/>
        <v>0.13489999999999999</v>
      </c>
      <c r="Y100" s="113">
        <f t="shared" si="95"/>
        <v>0.13569999999999999</v>
      </c>
      <c r="Z100" s="113">
        <f t="shared" si="95"/>
        <v>0.13730000000000001</v>
      </c>
      <c r="AA100" s="113">
        <f t="shared" si="95"/>
        <v>0.1389</v>
      </c>
      <c r="AB100" s="113">
        <f t="shared" si="95"/>
        <v>0.1399</v>
      </c>
      <c r="AC100" s="113">
        <f t="shared" si="95"/>
        <v>0.14050000000000001</v>
      </c>
      <c r="AD100" s="82"/>
      <c r="AE100" s="66"/>
      <c r="AF100" s="2"/>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row>
    <row r="101" spans="1:62" x14ac:dyDescent="0.25">
      <c r="A101" s="1"/>
      <c r="B101" s="20" t="s">
        <v>102</v>
      </c>
      <c r="C101" s="20"/>
      <c r="D101" s="20"/>
      <c r="E101" s="20"/>
      <c r="F101" s="20"/>
      <c r="G101" s="20"/>
      <c r="H101" s="20"/>
      <c r="I101" s="40" t="s">
        <v>99</v>
      </c>
      <c r="J101" s="40" t="s">
        <v>99</v>
      </c>
      <c r="K101" s="40" t="s">
        <v>99</v>
      </c>
      <c r="L101" s="40" t="s">
        <v>99</v>
      </c>
      <c r="M101" s="40" t="s">
        <v>99</v>
      </c>
      <c r="N101" s="40" t="s">
        <v>99</v>
      </c>
      <c r="O101" s="40" t="s">
        <v>99</v>
      </c>
      <c r="P101" s="40" t="s">
        <v>99</v>
      </c>
      <c r="Q101" s="40" t="s">
        <v>99</v>
      </c>
      <c r="R101" s="40"/>
      <c r="S101" s="40"/>
      <c r="T101" s="63">
        <f>T90/(1+T93)^((5-Dashboard!$C$18)*3/12)</f>
        <v>1106169.8828566952</v>
      </c>
      <c r="U101" s="63"/>
      <c r="V101" s="63">
        <f>V90/((1+V93)^((5-Dashboard!$C$18)*3/12)*(1+V93))</f>
        <v>1017665.4236480023</v>
      </c>
      <c r="W101" s="63">
        <f>W90/((1+W93)^((5-Dashboard!$C$18)*3/12)*(1+W93)^2)</f>
        <v>935011.93434115977</v>
      </c>
      <c r="X101" s="63">
        <f>X90/((1+X93)^((5-Dashboard!$C$18)*3/12)*(1+X93)^3)</f>
        <v>878167.16163165879</v>
      </c>
      <c r="Y101" s="63">
        <f>Y90/((1+Y93)^((5-Dashboard!$C$18)*3/12)*(1+Y93)^4)</f>
        <v>805452.41517665773</v>
      </c>
      <c r="Z101" s="63">
        <f>Z90/((1+Z93)^((5-Dashboard!$C$18)*3/12)*(1+Z93)^5)</f>
        <v>747316.62565546902</v>
      </c>
      <c r="AA101" s="63">
        <f>AA90/((1+AA93)^((5-Dashboard!$C$18)*3/12)*(1+AA93)^6)</f>
        <v>686878.86830497626</v>
      </c>
      <c r="AB101" s="63">
        <f>AB90/((1+AB93)^((5-Dashboard!$C$18)*3/12)*(1+AB93)^7)</f>
        <v>616225.59436497523</v>
      </c>
      <c r="AC101" s="63">
        <f>AC90/((1+AC93)^((5-Dashboard!$C$18)*3/12)*(1+AC93)^8)</f>
        <v>513060.36243204691</v>
      </c>
      <c r="AD101" s="63">
        <f>AD90/((1+AC93)^((5-Dashboard!$C$18)*3/12)*(1+AC93)^8)</f>
        <v>5512278.6106466558</v>
      </c>
      <c r="AE101" s="66"/>
      <c r="AF101" s="2"/>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row>
    <row r="102" spans="1:62" x14ac:dyDescent="0.25">
      <c r="A102" s="1"/>
      <c r="B102" s="20"/>
      <c r="C102" s="20"/>
      <c r="D102" s="20"/>
      <c r="E102" s="20"/>
      <c r="F102" s="20"/>
      <c r="G102" s="20"/>
      <c r="H102" s="20"/>
      <c r="I102" s="23"/>
      <c r="J102" s="23"/>
      <c r="K102" s="23"/>
      <c r="L102" s="23"/>
      <c r="M102" s="23"/>
      <c r="N102" s="23"/>
      <c r="O102" s="23"/>
      <c r="P102" s="23"/>
      <c r="Q102" s="23"/>
      <c r="R102" s="23"/>
      <c r="S102" s="23"/>
      <c r="T102" s="2"/>
      <c r="U102" s="2"/>
      <c r="V102" s="2"/>
      <c r="W102" s="2"/>
      <c r="X102" s="2"/>
      <c r="Y102" s="2"/>
      <c r="Z102" s="2"/>
      <c r="AA102" s="2"/>
      <c r="AB102" s="2"/>
      <c r="AC102" s="2"/>
      <c r="AD102" s="2"/>
      <c r="AE102" s="66"/>
      <c r="AF102" s="2"/>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row>
    <row r="103" spans="1:62" x14ac:dyDescent="0.25">
      <c r="A103" s="1"/>
      <c r="B103" s="20"/>
      <c r="C103" s="20"/>
      <c r="D103" s="20"/>
      <c r="E103" s="20"/>
      <c r="F103" s="20"/>
      <c r="G103" s="20"/>
      <c r="H103" s="20"/>
      <c r="I103" s="10"/>
      <c r="J103" s="10"/>
      <c r="K103" s="10"/>
      <c r="L103" s="10"/>
      <c r="M103" s="10"/>
      <c r="N103" s="10"/>
      <c r="O103" s="10"/>
      <c r="P103" s="10"/>
      <c r="Q103" s="10"/>
      <c r="R103" s="10"/>
      <c r="S103" s="10"/>
      <c r="T103" s="83"/>
      <c r="U103" s="2"/>
      <c r="V103" s="2"/>
      <c r="W103" s="2"/>
      <c r="X103" s="2"/>
      <c r="Y103" s="2"/>
      <c r="Z103" s="2"/>
      <c r="AA103" s="2"/>
      <c r="AB103" s="2"/>
      <c r="AC103" s="2"/>
      <c r="AD103" s="2"/>
      <c r="AE103" s="66"/>
      <c r="AF103" s="2"/>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row>
    <row r="104" spans="1:62" x14ac:dyDescent="0.25">
      <c r="A104" s="1"/>
      <c r="B104" s="20"/>
      <c r="C104" s="20"/>
      <c r="D104" s="20"/>
      <c r="E104" s="20"/>
      <c r="F104" s="20"/>
      <c r="G104" s="20"/>
      <c r="H104" s="20"/>
      <c r="I104" s="10"/>
      <c r="J104" s="10"/>
      <c r="K104" s="10"/>
      <c r="L104" s="10"/>
      <c r="M104" s="10"/>
      <c r="N104" s="10"/>
      <c r="O104" s="10"/>
      <c r="P104" s="10"/>
      <c r="Q104" s="10"/>
      <c r="R104" s="10"/>
      <c r="S104" s="10"/>
      <c r="T104" s="2"/>
      <c r="U104" s="2"/>
      <c r="V104" s="2"/>
      <c r="W104" s="2"/>
      <c r="X104" s="2"/>
      <c r="Y104" s="2"/>
      <c r="Z104" s="2"/>
      <c r="AA104" s="2"/>
      <c r="AB104" s="2"/>
      <c r="AC104" s="2"/>
      <c r="AD104" s="2"/>
      <c r="AE104" s="66"/>
      <c r="AF104" s="2"/>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row>
    <row r="105" spans="1:62" collapsed="1" x14ac:dyDescent="0.25">
      <c r="A105" s="1"/>
      <c r="B105" s="20"/>
      <c r="C105" s="20"/>
      <c r="D105" s="20"/>
      <c r="E105" s="20"/>
      <c r="F105" s="20"/>
      <c r="G105" s="20"/>
      <c r="H105" s="20"/>
      <c r="I105" s="10"/>
      <c r="J105" s="10"/>
      <c r="K105" s="10"/>
      <c r="L105" s="10"/>
      <c r="M105" s="10"/>
      <c r="N105" s="10"/>
      <c r="O105" s="10"/>
      <c r="P105" s="10"/>
      <c r="Q105" s="10"/>
      <c r="R105" s="10"/>
      <c r="S105" s="10"/>
      <c r="T105" s="2"/>
      <c r="U105" s="2"/>
      <c r="V105" s="2"/>
      <c r="W105" s="2"/>
      <c r="X105" s="2"/>
      <c r="Y105" s="2"/>
      <c r="Z105" s="2"/>
      <c r="AA105" s="2"/>
      <c r="AB105" s="2"/>
      <c r="AC105" s="2"/>
      <c r="AD105" s="2"/>
      <c r="AE105" s="66"/>
      <c r="AF105" s="2"/>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row>
    <row r="106" spans="1:62" x14ac:dyDescent="0.25">
      <c r="A106" s="1"/>
      <c r="B106" s="20"/>
      <c r="C106" s="20"/>
      <c r="D106" s="20"/>
      <c r="E106" s="20"/>
      <c r="F106" s="20"/>
      <c r="G106" s="20"/>
      <c r="H106" s="20"/>
      <c r="I106" s="10"/>
      <c r="J106" s="10"/>
      <c r="K106" s="10"/>
      <c r="L106" s="10"/>
      <c r="M106" s="10"/>
      <c r="N106" s="10"/>
      <c r="O106" s="10"/>
      <c r="P106" s="10"/>
      <c r="Q106" s="10"/>
      <c r="R106" s="10"/>
      <c r="S106" s="10"/>
      <c r="T106" s="2"/>
      <c r="U106" s="2"/>
      <c r="V106" s="2"/>
      <c r="W106" s="2"/>
      <c r="X106" s="2"/>
      <c r="Y106" s="2"/>
      <c r="Z106" s="2"/>
      <c r="AA106" s="2"/>
      <c r="AB106" s="2"/>
      <c r="AC106" s="2"/>
      <c r="AD106" s="2"/>
      <c r="AE106" s="66"/>
      <c r="AF106" s="2"/>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row>
    <row r="107" spans="1:62" x14ac:dyDescent="0.25">
      <c r="A107" s="1"/>
      <c r="B107" s="20"/>
      <c r="C107" s="20"/>
      <c r="D107" s="20"/>
      <c r="E107" s="20"/>
      <c r="F107" s="20"/>
      <c r="G107" s="20"/>
      <c r="H107" s="20"/>
      <c r="I107" s="10"/>
      <c r="J107" s="10"/>
      <c r="K107" s="10"/>
      <c r="L107" s="10"/>
      <c r="M107" s="10"/>
      <c r="N107" s="10"/>
      <c r="O107" s="10"/>
      <c r="P107" s="10"/>
      <c r="Q107" s="10"/>
      <c r="R107" s="37"/>
      <c r="S107" s="37"/>
      <c r="T107" s="70"/>
      <c r="U107" s="2"/>
      <c r="V107" s="2"/>
      <c r="W107" s="2"/>
      <c r="X107" s="2"/>
      <c r="Y107" s="2"/>
      <c r="Z107" s="2"/>
      <c r="AA107" s="2"/>
      <c r="AB107" s="2"/>
      <c r="AC107" s="2"/>
      <c r="AD107" s="2"/>
      <c r="AE107" s="66"/>
      <c r="AF107" s="2"/>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row>
    <row r="108" spans="1:62" x14ac:dyDescent="0.25">
      <c r="A108" s="1"/>
      <c r="B108" s="20"/>
      <c r="C108" s="20"/>
      <c r="D108" s="20"/>
      <c r="E108" s="20"/>
      <c r="F108" s="20"/>
      <c r="G108" s="20"/>
      <c r="H108" s="20"/>
      <c r="I108" s="10"/>
      <c r="J108" s="10"/>
      <c r="K108" s="10"/>
      <c r="L108" s="10"/>
      <c r="M108" s="10"/>
      <c r="N108" s="10"/>
      <c r="O108" s="10"/>
      <c r="P108" s="10"/>
      <c r="Q108" s="10"/>
      <c r="R108" s="10"/>
      <c r="S108" s="10"/>
      <c r="T108" s="63"/>
      <c r="U108" s="2"/>
      <c r="V108" s="2"/>
      <c r="W108" s="2"/>
      <c r="X108" s="2"/>
      <c r="Y108" s="2"/>
      <c r="Z108" s="2"/>
      <c r="AA108" s="2"/>
      <c r="AB108" s="2"/>
      <c r="AC108" s="2"/>
      <c r="AD108" s="2"/>
      <c r="AE108" s="66"/>
      <c r="AF108" s="2"/>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row>
    <row r="109" spans="1:62" ht="18" customHeight="1" x14ac:dyDescent="0.25">
      <c r="A109" s="1"/>
      <c r="B109" s="20"/>
      <c r="C109" s="20"/>
      <c r="D109" s="20"/>
      <c r="E109" s="20"/>
      <c r="F109" s="20"/>
      <c r="G109" s="20"/>
      <c r="H109" s="20"/>
      <c r="I109" s="10"/>
      <c r="J109" s="10"/>
      <c r="K109" s="10"/>
      <c r="L109" s="10"/>
      <c r="M109" s="10"/>
      <c r="N109" s="10"/>
      <c r="O109" s="10"/>
      <c r="P109" s="2"/>
      <c r="Q109" s="2"/>
      <c r="R109" s="2"/>
      <c r="S109" s="2"/>
      <c r="T109" s="2"/>
      <c r="U109" s="2"/>
      <c r="V109" s="2"/>
      <c r="W109" s="2"/>
      <c r="X109" s="2"/>
      <c r="Y109" s="2"/>
      <c r="Z109" s="2"/>
      <c r="AA109" s="2"/>
      <c r="AB109" s="2"/>
      <c r="AC109" s="2"/>
      <c r="AD109" s="2"/>
      <c r="AE109" s="66"/>
      <c r="AF109" s="2"/>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row>
    <row r="110" spans="1:62" ht="18" customHeight="1" x14ac:dyDescent="0.25">
      <c r="A110" s="1"/>
      <c r="B110" s="20"/>
      <c r="C110" s="20"/>
      <c r="D110" s="20"/>
      <c r="E110" s="20"/>
      <c r="F110" s="20"/>
      <c r="G110" s="20"/>
      <c r="H110" s="20"/>
      <c r="I110" s="10"/>
      <c r="J110" s="10"/>
      <c r="K110" s="10"/>
      <c r="L110" s="10"/>
      <c r="M110" s="10"/>
      <c r="N110" s="10"/>
      <c r="O110" s="10"/>
      <c r="P110" s="2"/>
      <c r="Q110" s="2"/>
      <c r="R110" s="2"/>
      <c r="S110" s="2"/>
      <c r="T110" s="2"/>
      <c r="U110" s="2"/>
      <c r="V110" s="2"/>
      <c r="W110" s="2"/>
      <c r="X110" s="2"/>
      <c r="Y110" s="2"/>
      <c r="Z110" s="2"/>
      <c r="AA110" s="2"/>
      <c r="AB110" s="2"/>
      <c r="AC110" s="2"/>
      <c r="AD110" s="2"/>
      <c r="AE110" s="66"/>
      <c r="AF110" s="2"/>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row>
    <row r="111" spans="1:62" ht="18" customHeight="1" collapsed="1" x14ac:dyDescent="0.25">
      <c r="A111" s="1"/>
      <c r="B111" s="20"/>
      <c r="C111" s="20"/>
      <c r="D111" s="20"/>
      <c r="E111" s="20"/>
      <c r="F111" s="20"/>
      <c r="G111" s="20"/>
      <c r="H111" s="20"/>
      <c r="I111" s="10"/>
      <c r="J111" s="10"/>
      <c r="K111" s="10"/>
      <c r="L111" s="10"/>
      <c r="M111" s="10"/>
      <c r="N111" s="10"/>
      <c r="O111" s="10"/>
      <c r="P111" s="2"/>
      <c r="Q111" s="2"/>
      <c r="R111" s="2"/>
      <c r="S111" s="2"/>
      <c r="T111" s="2"/>
      <c r="U111" s="2"/>
      <c r="V111" s="2"/>
      <c r="W111" s="2"/>
      <c r="X111" s="2"/>
      <c r="Y111" s="2"/>
      <c r="Z111" s="2"/>
      <c r="AA111" s="2"/>
      <c r="AB111" s="2"/>
      <c r="AC111" s="2"/>
      <c r="AD111" s="2"/>
      <c r="AE111" s="66"/>
      <c r="AF111" s="2"/>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row>
    <row r="112" spans="1:62" ht="18" customHeight="1" x14ac:dyDescent="0.25">
      <c r="A112" s="1"/>
      <c r="B112" s="20"/>
      <c r="C112" s="20"/>
      <c r="D112" s="20"/>
      <c r="E112" s="20"/>
      <c r="F112" s="20"/>
      <c r="G112" s="20"/>
      <c r="H112" s="20"/>
      <c r="I112" s="10"/>
      <c r="J112" s="10"/>
      <c r="K112" s="10"/>
      <c r="L112" s="10"/>
      <c r="M112" s="10"/>
      <c r="N112" s="10"/>
      <c r="O112" s="10"/>
      <c r="P112" s="2"/>
      <c r="Q112" s="2"/>
      <c r="R112" s="2"/>
      <c r="S112" s="2"/>
      <c r="T112" s="2"/>
      <c r="U112" s="2"/>
      <c r="V112" s="2"/>
      <c r="W112" s="2"/>
      <c r="X112" s="2"/>
      <c r="Y112" s="2"/>
      <c r="Z112" s="2"/>
      <c r="AA112" s="2"/>
      <c r="AB112" s="2"/>
      <c r="AC112" s="2"/>
      <c r="AD112" s="2"/>
      <c r="AE112" s="66"/>
      <c r="AF112" s="2"/>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row>
    <row r="113" spans="1:62" ht="18" customHeight="1" x14ac:dyDescent="0.25">
      <c r="A113" s="1"/>
      <c r="B113" s="20"/>
      <c r="C113" s="20"/>
      <c r="D113" s="20"/>
      <c r="E113" s="20"/>
      <c r="F113" s="20"/>
      <c r="G113" s="20"/>
      <c r="H113" s="20"/>
      <c r="I113" s="10"/>
      <c r="J113" s="10"/>
      <c r="K113" s="10"/>
      <c r="L113" s="10"/>
      <c r="M113" s="10"/>
      <c r="N113" s="10"/>
      <c r="O113" s="10"/>
      <c r="P113" s="2"/>
      <c r="Q113" s="2"/>
      <c r="R113" s="2"/>
      <c r="S113" s="2"/>
      <c r="T113" s="2"/>
      <c r="U113" s="2"/>
      <c r="V113" s="2"/>
      <c r="W113" s="2"/>
      <c r="X113" s="2"/>
      <c r="Y113" s="2"/>
      <c r="Z113" s="2"/>
      <c r="AA113" s="2"/>
      <c r="AB113" s="2"/>
      <c r="AC113" s="2"/>
      <c r="AD113" s="2"/>
      <c r="AE113" s="66"/>
      <c r="AF113" s="2"/>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row>
    <row r="114" spans="1:62" ht="18" customHeight="1" x14ac:dyDescent="0.25">
      <c r="A114" s="1"/>
      <c r="B114" s="20"/>
      <c r="C114" s="20"/>
      <c r="D114" s="20"/>
      <c r="E114" s="20"/>
      <c r="F114" s="20"/>
      <c r="G114" s="20"/>
      <c r="H114" s="20"/>
      <c r="I114" s="10"/>
      <c r="J114" s="10"/>
      <c r="K114" s="10"/>
      <c r="L114" s="10"/>
      <c r="M114" s="10"/>
      <c r="N114" s="10"/>
      <c r="O114" s="10"/>
      <c r="P114" s="2"/>
      <c r="Q114" s="2"/>
      <c r="R114" s="2"/>
      <c r="S114" s="2"/>
      <c r="T114" s="2"/>
      <c r="U114" s="2"/>
      <c r="V114" s="2"/>
      <c r="W114" s="2"/>
      <c r="X114" s="2"/>
      <c r="Y114" s="2"/>
      <c r="Z114" s="2"/>
      <c r="AA114" s="2"/>
      <c r="AB114" s="2"/>
      <c r="AC114" s="2"/>
      <c r="AD114" s="2"/>
      <c r="AE114" s="66"/>
      <c r="AF114" s="2"/>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row>
    <row r="115" spans="1:62" ht="18" customHeight="1" x14ac:dyDescent="0.25">
      <c r="A115" s="1"/>
      <c r="B115" s="20"/>
      <c r="C115" s="20"/>
      <c r="D115" s="20"/>
      <c r="E115" s="20"/>
      <c r="F115" s="20"/>
      <c r="G115" s="20"/>
      <c r="H115" s="20"/>
      <c r="I115" s="10"/>
      <c r="J115" s="10"/>
      <c r="K115" s="10"/>
      <c r="L115" s="10"/>
      <c r="M115" s="10"/>
      <c r="N115" s="10"/>
      <c r="O115" s="10"/>
      <c r="P115" s="2"/>
      <c r="Q115" s="2"/>
      <c r="R115" s="2"/>
      <c r="S115" s="2"/>
      <c r="T115" s="2"/>
      <c r="U115" s="2"/>
      <c r="V115" s="2"/>
      <c r="W115" s="2"/>
      <c r="X115" s="2"/>
      <c r="Y115" s="2"/>
      <c r="Z115" s="2"/>
      <c r="AA115" s="2"/>
      <c r="AB115" s="2"/>
      <c r="AC115" s="2"/>
      <c r="AD115" s="2"/>
      <c r="AE115" s="66"/>
      <c r="AF115" s="2"/>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row>
    <row r="116" spans="1:62" ht="18" customHeight="1" collapsed="1" x14ac:dyDescent="0.25">
      <c r="A116" s="1"/>
      <c r="B116" s="20"/>
      <c r="C116" s="20"/>
      <c r="D116" s="20"/>
      <c r="E116" s="20"/>
      <c r="F116" s="20"/>
      <c r="G116" s="20"/>
      <c r="H116" s="20"/>
      <c r="I116" s="10"/>
      <c r="J116" s="10"/>
      <c r="K116" s="10"/>
      <c r="L116" s="10"/>
      <c r="M116" s="10"/>
      <c r="N116" s="10"/>
      <c r="O116" s="10"/>
      <c r="P116" s="2"/>
      <c r="Q116" s="2"/>
      <c r="R116" s="2"/>
      <c r="S116" s="2"/>
      <c r="T116" s="2"/>
      <c r="U116" s="2"/>
      <c r="V116" s="2"/>
      <c r="W116" s="2"/>
      <c r="X116" s="2"/>
      <c r="Y116" s="2"/>
      <c r="Z116" s="2"/>
      <c r="AA116" s="2"/>
      <c r="AB116" s="2"/>
      <c r="AC116" s="2"/>
      <c r="AD116" s="2"/>
      <c r="AE116" s="66"/>
      <c r="AF116" s="2"/>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row>
    <row r="117" spans="1:62" ht="18" customHeight="1" x14ac:dyDescent="0.25">
      <c r="A117" s="1"/>
      <c r="B117" s="20"/>
      <c r="C117" s="20"/>
      <c r="D117" s="20"/>
      <c r="E117" s="20"/>
      <c r="F117" s="20"/>
      <c r="G117" s="20"/>
      <c r="H117" s="20"/>
      <c r="I117" s="10"/>
      <c r="J117" s="10"/>
      <c r="K117" s="10"/>
      <c r="L117" s="10"/>
      <c r="M117" s="10"/>
      <c r="N117" s="10"/>
      <c r="O117" s="10"/>
      <c r="P117" s="2"/>
      <c r="Q117" s="2"/>
      <c r="R117" s="2"/>
      <c r="S117" s="2"/>
      <c r="T117" s="2"/>
      <c r="U117" s="2"/>
      <c r="V117" s="2"/>
      <c r="W117" s="2"/>
      <c r="X117" s="2"/>
      <c r="Y117" s="2"/>
      <c r="Z117" s="2"/>
      <c r="AA117" s="2"/>
      <c r="AB117" s="2"/>
      <c r="AC117" s="2"/>
      <c r="AD117" s="2"/>
      <c r="AE117" s="66"/>
      <c r="AF117" s="2"/>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row>
    <row r="118" spans="1:62" ht="18" customHeight="1" x14ac:dyDescent="0.25">
      <c r="A118" s="1"/>
      <c r="B118" s="20"/>
      <c r="C118" s="20"/>
      <c r="D118" s="20"/>
      <c r="E118" s="20"/>
      <c r="F118" s="20"/>
      <c r="G118" s="20"/>
      <c r="H118" s="20"/>
      <c r="I118" s="10"/>
      <c r="J118" s="10"/>
      <c r="K118" s="10"/>
      <c r="L118" s="10"/>
      <c r="M118" s="10"/>
      <c r="N118" s="10"/>
      <c r="O118" s="10"/>
      <c r="P118" s="2"/>
      <c r="Q118" s="2"/>
      <c r="R118" s="2"/>
      <c r="S118" s="2"/>
      <c r="T118" s="2"/>
      <c r="U118" s="2"/>
      <c r="V118" s="2"/>
      <c r="W118" s="2"/>
      <c r="X118" s="2"/>
      <c r="Y118" s="2"/>
      <c r="Z118" s="2"/>
      <c r="AA118" s="2"/>
      <c r="AB118" s="2"/>
      <c r="AC118" s="2"/>
      <c r="AD118" s="2"/>
      <c r="AE118" s="66"/>
      <c r="AF118" s="2"/>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row>
    <row r="119" spans="1:62" ht="18" customHeight="1" x14ac:dyDescent="0.25">
      <c r="A119" s="1"/>
      <c r="B119" s="20"/>
      <c r="C119" s="20"/>
      <c r="D119" s="20"/>
      <c r="E119" s="20"/>
      <c r="F119" s="20"/>
      <c r="G119" s="20"/>
      <c r="H119" s="20"/>
      <c r="I119" s="10"/>
      <c r="J119" s="10"/>
      <c r="K119" s="10"/>
      <c r="L119" s="10"/>
      <c r="M119" s="10"/>
      <c r="N119" s="10"/>
      <c r="O119" s="10"/>
      <c r="P119" s="2"/>
      <c r="Q119" s="2"/>
      <c r="R119" s="2"/>
      <c r="S119" s="2"/>
      <c r="T119" s="2"/>
      <c r="U119" s="2"/>
      <c r="V119" s="2"/>
      <c r="W119" s="2"/>
      <c r="X119" s="2"/>
      <c r="Y119" s="2"/>
      <c r="Z119" s="2"/>
      <c r="AA119" s="2"/>
      <c r="AB119" s="2"/>
      <c r="AC119" s="2"/>
      <c r="AD119" s="2"/>
      <c r="AE119" s="66"/>
      <c r="AF119" s="2"/>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row>
    <row r="120" spans="1:62" ht="18" customHeight="1" x14ac:dyDescent="0.25">
      <c r="A120" s="1"/>
      <c r="B120" s="20"/>
      <c r="C120" s="20"/>
      <c r="D120" s="20"/>
      <c r="E120" s="20"/>
      <c r="F120" s="20"/>
      <c r="G120" s="20"/>
      <c r="H120" s="20"/>
      <c r="I120" s="10"/>
      <c r="J120" s="10"/>
      <c r="K120" s="10"/>
      <c r="L120" s="10"/>
      <c r="M120" s="10"/>
      <c r="N120" s="10"/>
      <c r="O120" s="10"/>
      <c r="P120" s="2"/>
      <c r="Q120" s="2"/>
      <c r="R120" s="2"/>
      <c r="S120" s="2"/>
      <c r="T120" s="2"/>
      <c r="U120" s="2"/>
      <c r="V120" s="2"/>
      <c r="W120" s="2"/>
      <c r="X120" s="2"/>
      <c r="Y120" s="2"/>
      <c r="Z120" s="2"/>
      <c r="AA120" s="2"/>
      <c r="AB120" s="2"/>
      <c r="AC120" s="2"/>
      <c r="AD120" s="2"/>
      <c r="AE120" s="66"/>
      <c r="AF120" s="2"/>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row>
    <row r="121" spans="1:62" ht="18" customHeight="1" x14ac:dyDescent="0.25">
      <c r="A121" s="1"/>
      <c r="B121" s="20"/>
      <c r="C121" s="20"/>
      <c r="D121" s="20"/>
      <c r="E121" s="20"/>
      <c r="F121" s="20"/>
      <c r="G121" s="20"/>
      <c r="H121" s="20"/>
      <c r="I121" s="10"/>
      <c r="J121" s="10"/>
      <c r="K121" s="10"/>
      <c r="L121" s="10"/>
      <c r="M121" s="10"/>
      <c r="N121" s="10"/>
      <c r="O121" s="10"/>
      <c r="P121" s="2"/>
      <c r="Q121" s="2"/>
      <c r="R121" s="2"/>
      <c r="S121" s="2"/>
      <c r="T121" s="2"/>
      <c r="U121" s="2"/>
      <c r="V121" s="2"/>
      <c r="W121" s="2"/>
      <c r="X121" s="2"/>
      <c r="Y121" s="2"/>
      <c r="Z121" s="2"/>
      <c r="AA121" s="2"/>
      <c r="AB121" s="2"/>
      <c r="AC121" s="2"/>
      <c r="AD121" s="2"/>
      <c r="AE121" s="66"/>
      <c r="AF121" s="2"/>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row>
    <row r="122" spans="1:62" ht="18" customHeight="1" x14ac:dyDescent="0.25">
      <c r="A122" s="1"/>
      <c r="B122" s="20"/>
      <c r="C122" s="20"/>
      <c r="D122" s="20"/>
      <c r="E122" s="20"/>
      <c r="F122" s="20"/>
      <c r="G122" s="20"/>
      <c r="H122" s="20"/>
      <c r="I122" s="10"/>
      <c r="J122" s="10"/>
      <c r="K122" s="10"/>
      <c r="L122" s="10"/>
      <c r="M122" s="10"/>
      <c r="N122" s="10"/>
      <c r="O122" s="10"/>
      <c r="P122" s="2"/>
      <c r="Q122" s="2"/>
      <c r="R122" s="2"/>
      <c r="S122" s="2"/>
      <c r="T122" s="2"/>
      <c r="U122" s="2"/>
      <c r="V122" s="2"/>
      <c r="W122" s="2"/>
      <c r="X122" s="2"/>
      <c r="Y122" s="2"/>
      <c r="Z122" s="2"/>
      <c r="AA122" s="2"/>
      <c r="AB122" s="2"/>
      <c r="AC122" s="2"/>
      <c r="AD122" s="2"/>
      <c r="AE122" s="66"/>
      <c r="AF122" s="2"/>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row>
    <row r="123" spans="1:62" ht="18" customHeight="1" x14ac:dyDescent="0.25">
      <c r="A123" s="1"/>
      <c r="B123" s="20"/>
      <c r="C123" s="20"/>
      <c r="D123" s="20"/>
      <c r="E123" s="20"/>
      <c r="F123" s="20"/>
      <c r="G123" s="20"/>
      <c r="H123" s="20"/>
      <c r="I123" s="10"/>
      <c r="J123" s="10"/>
      <c r="K123" s="10"/>
      <c r="L123" s="10"/>
      <c r="M123" s="10"/>
      <c r="N123" s="10"/>
      <c r="O123" s="10"/>
      <c r="P123" s="2"/>
      <c r="Q123" s="2"/>
      <c r="R123" s="2"/>
      <c r="S123" s="2"/>
      <c r="T123" s="2"/>
      <c r="U123" s="2"/>
      <c r="V123" s="2"/>
      <c r="W123" s="2"/>
      <c r="X123" s="2"/>
      <c r="Y123" s="2"/>
      <c r="Z123" s="2"/>
      <c r="AA123" s="2"/>
      <c r="AB123" s="2"/>
      <c r="AC123" s="2"/>
      <c r="AD123" s="2"/>
      <c r="AE123" s="66"/>
      <c r="AF123" s="2"/>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row>
    <row r="124" spans="1:62" ht="18" customHeight="1" x14ac:dyDescent="0.25">
      <c r="A124" s="1"/>
      <c r="B124" s="20"/>
      <c r="C124" s="20"/>
      <c r="D124" s="20"/>
      <c r="E124" s="20"/>
      <c r="F124" s="20"/>
      <c r="G124" s="20"/>
      <c r="H124" s="20"/>
      <c r="I124" s="10"/>
      <c r="J124" s="10"/>
      <c r="K124" s="10"/>
      <c r="L124" s="10"/>
      <c r="M124" s="10"/>
      <c r="N124" s="10"/>
      <c r="O124" s="10"/>
      <c r="P124" s="2"/>
      <c r="Q124" s="2"/>
      <c r="R124" s="2"/>
      <c r="S124" s="2"/>
      <c r="T124" s="2"/>
      <c r="U124" s="2"/>
      <c r="V124" s="2"/>
      <c r="W124" s="2"/>
      <c r="X124" s="2"/>
      <c r="Y124" s="2"/>
      <c r="Z124" s="2"/>
      <c r="AA124" s="2"/>
      <c r="AB124" s="2"/>
      <c r="AC124" s="2"/>
      <c r="AD124" s="2"/>
      <c r="AE124" s="66"/>
      <c r="AF124" s="2"/>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row>
    <row r="125" spans="1:62" ht="18" customHeight="1" collapsed="1" x14ac:dyDescent="0.25">
      <c r="A125" s="1"/>
      <c r="B125" s="20"/>
      <c r="C125" s="20"/>
      <c r="D125" s="20"/>
      <c r="E125" s="20"/>
      <c r="F125" s="20"/>
      <c r="G125" s="20"/>
      <c r="H125" s="20"/>
      <c r="I125" s="10"/>
      <c r="J125" s="10"/>
      <c r="K125" s="10"/>
      <c r="L125" s="10"/>
      <c r="M125" s="10"/>
      <c r="N125" s="10"/>
      <c r="O125" s="10"/>
      <c r="P125" s="2"/>
      <c r="Q125" s="2"/>
      <c r="R125" s="2"/>
      <c r="S125" s="2"/>
      <c r="T125" s="2"/>
      <c r="U125" s="2"/>
      <c r="V125" s="2"/>
      <c r="W125" s="2"/>
      <c r="X125" s="2"/>
      <c r="Y125" s="2"/>
      <c r="Z125" s="2"/>
      <c r="AA125" s="2"/>
      <c r="AB125" s="2"/>
      <c r="AC125" s="2"/>
      <c r="AD125" s="2"/>
      <c r="AE125" s="66"/>
      <c r="AF125" s="2"/>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row>
    <row r="126" spans="1:62" ht="18" customHeight="1" x14ac:dyDescent="0.25">
      <c r="A126" s="1"/>
      <c r="B126" s="20"/>
      <c r="C126" s="20"/>
      <c r="D126" s="20"/>
      <c r="E126" s="20"/>
      <c r="F126" s="20"/>
      <c r="G126" s="20"/>
      <c r="H126" s="20"/>
      <c r="I126" s="10"/>
      <c r="J126" s="10"/>
      <c r="K126" s="10"/>
      <c r="L126" s="10"/>
      <c r="M126" s="10"/>
      <c r="N126" s="10"/>
      <c r="O126" s="10"/>
      <c r="P126" s="2"/>
      <c r="Q126" s="2"/>
      <c r="R126" s="2"/>
      <c r="S126" s="2"/>
      <c r="T126" s="2"/>
      <c r="U126" s="2"/>
      <c r="V126" s="2"/>
      <c r="W126" s="2"/>
      <c r="X126" s="2"/>
      <c r="Y126" s="2"/>
      <c r="Z126" s="2"/>
      <c r="AA126" s="2"/>
      <c r="AB126" s="2"/>
      <c r="AC126" s="2"/>
      <c r="AD126" s="2"/>
      <c r="AE126" s="66"/>
      <c r="AF126" s="2"/>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row>
    <row r="127" spans="1:62" ht="18" customHeight="1" x14ac:dyDescent="0.25">
      <c r="A127" s="1"/>
      <c r="B127" s="20"/>
      <c r="C127" s="20"/>
      <c r="D127" s="20"/>
      <c r="E127" s="20"/>
      <c r="F127" s="20"/>
      <c r="G127" s="20"/>
      <c r="H127" s="20"/>
      <c r="I127" s="10"/>
      <c r="J127" s="10"/>
      <c r="K127" s="10"/>
      <c r="L127" s="10"/>
      <c r="M127" s="10"/>
      <c r="N127" s="10"/>
      <c r="O127" s="10"/>
      <c r="P127" s="2"/>
      <c r="Q127" s="2"/>
      <c r="R127" s="2"/>
      <c r="S127" s="2"/>
      <c r="T127" s="2"/>
      <c r="U127" s="2"/>
      <c r="V127" s="2"/>
      <c r="W127" s="2"/>
      <c r="X127" s="2"/>
      <c r="Y127" s="2"/>
      <c r="Z127" s="2"/>
      <c r="AA127" s="2"/>
      <c r="AB127" s="2"/>
      <c r="AC127" s="2"/>
      <c r="AD127" s="2"/>
      <c r="AE127" s="66"/>
      <c r="AF127" s="2"/>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row>
    <row r="128" spans="1:62" ht="18" customHeight="1" collapsed="1" x14ac:dyDescent="0.25">
      <c r="A128" s="1"/>
      <c r="B128" s="20"/>
      <c r="C128" s="20"/>
      <c r="D128" s="20"/>
      <c r="E128" s="20"/>
      <c r="F128" s="20"/>
      <c r="G128" s="20"/>
      <c r="H128" s="20"/>
      <c r="I128" s="2"/>
      <c r="J128" s="2"/>
      <c r="K128" s="2"/>
      <c r="L128" s="2"/>
      <c r="M128" s="2"/>
      <c r="N128" s="2"/>
      <c r="O128" s="2"/>
      <c r="P128" s="2"/>
      <c r="Q128" s="2"/>
      <c r="R128" s="2"/>
      <c r="S128" s="2"/>
      <c r="T128" s="2"/>
      <c r="U128" s="2"/>
      <c r="V128" s="2"/>
      <c r="W128" s="2"/>
      <c r="X128" s="2"/>
      <c r="Y128" s="2"/>
      <c r="Z128" s="2"/>
      <c r="AA128" s="2"/>
      <c r="AB128" s="2"/>
      <c r="AC128" s="2"/>
      <c r="AD128" s="2"/>
      <c r="AE128" s="66"/>
      <c r="AF128" s="2"/>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row>
    <row r="129" spans="1:62" ht="18" customHeight="1" x14ac:dyDescent="0.25">
      <c r="A129" s="1"/>
      <c r="B129" s="20"/>
      <c r="C129" s="20"/>
      <c r="D129" s="20"/>
      <c r="E129" s="20"/>
      <c r="F129" s="20"/>
      <c r="G129" s="20"/>
      <c r="H129" s="20"/>
      <c r="I129" s="17"/>
      <c r="J129" s="17"/>
      <c r="K129" s="17"/>
      <c r="L129" s="17"/>
      <c r="M129" s="17"/>
      <c r="N129" s="17"/>
      <c r="O129" s="17"/>
      <c r="P129" s="2"/>
      <c r="Q129" s="2"/>
      <c r="R129" s="2"/>
      <c r="S129" s="2"/>
      <c r="T129" s="2"/>
      <c r="U129" s="2"/>
      <c r="V129" s="2"/>
      <c r="W129" s="2"/>
      <c r="X129" s="2"/>
      <c r="Y129" s="2"/>
      <c r="Z129" s="2"/>
      <c r="AA129" s="2"/>
      <c r="AB129" s="2"/>
      <c r="AC129" s="2"/>
      <c r="AD129" s="2"/>
      <c r="AE129" s="66"/>
      <c r="AF129" s="2"/>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row>
    <row r="130" spans="1:62" ht="18" customHeight="1" x14ac:dyDescent="0.25">
      <c r="A130" s="1"/>
      <c r="B130" s="20"/>
      <c r="C130" s="20"/>
      <c r="D130" s="20"/>
      <c r="E130" s="20"/>
      <c r="F130" s="20"/>
      <c r="G130" s="20"/>
      <c r="H130" s="20"/>
      <c r="I130" s="10"/>
      <c r="J130" s="10"/>
      <c r="K130" s="10"/>
      <c r="L130" s="10"/>
      <c r="M130" s="10"/>
      <c r="N130" s="10"/>
      <c r="O130" s="10"/>
      <c r="P130" s="2"/>
      <c r="Q130" s="2"/>
      <c r="R130" s="2"/>
      <c r="S130" s="2"/>
      <c r="T130" s="2"/>
      <c r="U130" s="2"/>
      <c r="V130" s="2"/>
      <c r="W130" s="2"/>
      <c r="X130" s="2"/>
      <c r="Y130" s="2"/>
      <c r="Z130" s="2"/>
      <c r="AA130" s="2"/>
      <c r="AB130" s="2"/>
      <c r="AC130" s="2"/>
      <c r="AD130" s="2"/>
      <c r="AE130" s="66"/>
      <c r="AF130" s="2"/>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row>
    <row r="131" spans="1:62" ht="18" customHeight="1" x14ac:dyDescent="0.25">
      <c r="A131" s="1"/>
      <c r="B131" s="20"/>
      <c r="C131" s="20"/>
      <c r="D131" s="20"/>
      <c r="E131" s="20"/>
      <c r="F131" s="20"/>
      <c r="G131" s="20"/>
      <c r="H131" s="20"/>
      <c r="I131" s="10"/>
      <c r="J131" s="10"/>
      <c r="K131" s="10"/>
      <c r="L131" s="10"/>
      <c r="M131" s="10"/>
      <c r="N131" s="10"/>
      <c r="O131" s="10"/>
      <c r="P131" s="2"/>
      <c r="Q131" s="2"/>
      <c r="R131" s="2"/>
      <c r="S131" s="2"/>
      <c r="T131" s="2"/>
      <c r="U131" s="2"/>
      <c r="V131" s="2"/>
      <c r="W131" s="2"/>
      <c r="X131" s="2"/>
      <c r="Y131" s="2"/>
      <c r="Z131" s="2"/>
      <c r="AA131" s="2"/>
      <c r="AB131" s="2"/>
      <c r="AC131" s="2"/>
      <c r="AD131" s="2"/>
      <c r="AE131" s="66"/>
      <c r="AF131" s="2"/>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row>
    <row r="132" spans="1:62" ht="18" customHeight="1" x14ac:dyDescent="0.25">
      <c r="A132" s="1"/>
      <c r="B132" s="20"/>
      <c r="C132" s="20"/>
      <c r="D132" s="20"/>
      <c r="E132" s="20"/>
      <c r="F132" s="20"/>
      <c r="G132" s="20"/>
      <c r="H132" s="20"/>
      <c r="I132" s="10"/>
      <c r="J132" s="10"/>
      <c r="K132" s="10"/>
      <c r="L132" s="10"/>
      <c r="M132" s="10"/>
      <c r="N132" s="10"/>
      <c r="O132" s="10"/>
      <c r="P132" s="2"/>
      <c r="Q132" s="2"/>
      <c r="R132" s="2"/>
      <c r="S132" s="2"/>
      <c r="T132" s="2"/>
      <c r="U132" s="2"/>
      <c r="V132" s="2"/>
      <c r="W132" s="2"/>
      <c r="X132" s="2"/>
      <c r="Y132" s="2"/>
      <c r="Z132" s="2"/>
      <c r="AA132" s="2"/>
      <c r="AB132" s="2"/>
      <c r="AC132" s="2"/>
      <c r="AD132" s="2"/>
      <c r="AE132" s="66"/>
      <c r="AF132" s="2"/>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row>
    <row r="133" spans="1:62" ht="18" customHeight="1" collapsed="1" x14ac:dyDescent="0.25">
      <c r="A133" s="1"/>
      <c r="B133" s="20"/>
      <c r="C133" s="20"/>
      <c r="D133" s="20"/>
      <c r="E133" s="20"/>
      <c r="F133" s="20"/>
      <c r="G133" s="20"/>
      <c r="H133" s="20"/>
      <c r="I133" s="10"/>
      <c r="J133" s="10"/>
      <c r="K133" s="10"/>
      <c r="L133" s="10"/>
      <c r="M133" s="10"/>
      <c r="N133" s="10"/>
      <c r="O133" s="10"/>
      <c r="P133" s="2"/>
      <c r="Q133" s="2"/>
      <c r="R133" s="2"/>
      <c r="S133" s="2"/>
      <c r="T133" s="2"/>
      <c r="U133" s="2"/>
      <c r="V133" s="2"/>
      <c r="W133" s="2"/>
      <c r="X133" s="2"/>
      <c r="Y133" s="2"/>
      <c r="Z133" s="2"/>
      <c r="AA133" s="2"/>
      <c r="AB133" s="2"/>
      <c r="AC133" s="2"/>
      <c r="AD133" s="2"/>
      <c r="AE133" s="66"/>
      <c r="AF133" s="2"/>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row>
    <row r="134" spans="1:62" ht="18" customHeight="1" x14ac:dyDescent="0.25">
      <c r="A134" s="1"/>
      <c r="B134" s="20"/>
      <c r="C134" s="20"/>
      <c r="D134" s="20"/>
      <c r="E134" s="20"/>
      <c r="F134" s="20"/>
      <c r="G134" s="20"/>
      <c r="H134" s="20"/>
      <c r="I134" s="14"/>
      <c r="J134" s="14"/>
      <c r="K134" s="14"/>
      <c r="L134" s="14"/>
      <c r="M134" s="14"/>
      <c r="N134" s="14"/>
      <c r="O134" s="14"/>
      <c r="P134" s="2"/>
      <c r="Q134" s="2"/>
      <c r="R134" s="2"/>
      <c r="S134" s="2"/>
      <c r="T134" s="2"/>
      <c r="U134" s="2"/>
      <c r="V134" s="2"/>
      <c r="W134" s="2"/>
      <c r="X134" s="2"/>
      <c r="Y134" s="2"/>
      <c r="Z134" s="2"/>
      <c r="AA134" s="2"/>
      <c r="AB134" s="2"/>
      <c r="AC134" s="2"/>
      <c r="AD134" s="2"/>
      <c r="AE134" s="66"/>
      <c r="AF134" s="2"/>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row>
    <row r="135" spans="1:62" ht="18" customHeight="1" x14ac:dyDescent="0.25">
      <c r="A135" s="1"/>
      <c r="B135" s="20"/>
      <c r="C135" s="20"/>
      <c r="D135" s="20"/>
      <c r="E135" s="20"/>
      <c r="F135" s="20"/>
      <c r="G135" s="20"/>
      <c r="H135" s="20"/>
      <c r="I135" s="10"/>
      <c r="J135" s="10"/>
      <c r="K135" s="10"/>
      <c r="L135" s="10"/>
      <c r="M135" s="10"/>
      <c r="N135" s="10"/>
      <c r="O135" s="10"/>
      <c r="P135" s="2"/>
      <c r="Q135" s="2"/>
      <c r="R135" s="2"/>
      <c r="S135" s="2"/>
      <c r="T135" s="2"/>
      <c r="U135" s="2"/>
      <c r="V135" s="2"/>
      <c r="W135" s="2"/>
      <c r="X135" s="2"/>
      <c r="Y135" s="2"/>
      <c r="Z135" s="2"/>
      <c r="AA135" s="2"/>
      <c r="AB135" s="2"/>
      <c r="AC135" s="2"/>
      <c r="AD135" s="2"/>
      <c r="AE135" s="66"/>
      <c r="AF135" s="2"/>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row>
    <row r="136" spans="1:62" ht="18" customHeight="1" x14ac:dyDescent="0.25">
      <c r="A136" s="1"/>
      <c r="B136" s="20"/>
      <c r="C136" s="20"/>
      <c r="D136" s="20"/>
      <c r="E136" s="20"/>
      <c r="F136" s="20"/>
      <c r="G136" s="20"/>
      <c r="H136" s="20"/>
      <c r="I136" s="10"/>
      <c r="J136" s="10"/>
      <c r="K136" s="10"/>
      <c r="L136" s="10"/>
      <c r="M136" s="10"/>
      <c r="N136" s="10"/>
      <c r="O136" s="10"/>
      <c r="P136" s="2"/>
      <c r="Q136" s="2"/>
      <c r="R136" s="2"/>
      <c r="S136" s="2"/>
      <c r="T136" s="2"/>
      <c r="U136" s="2"/>
      <c r="V136" s="2"/>
      <c r="W136" s="2"/>
      <c r="X136" s="2"/>
      <c r="Y136" s="2"/>
      <c r="Z136" s="2"/>
      <c r="AA136" s="2"/>
      <c r="AB136" s="2"/>
      <c r="AC136" s="2"/>
      <c r="AD136" s="2"/>
      <c r="AE136" s="66"/>
      <c r="AF136" s="2"/>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row>
    <row r="137" spans="1:62" ht="18" customHeight="1" x14ac:dyDescent="0.25">
      <c r="A137" s="1"/>
      <c r="B137" s="20"/>
      <c r="C137" s="20"/>
      <c r="D137" s="20"/>
      <c r="E137" s="20"/>
      <c r="F137" s="20"/>
      <c r="G137" s="20"/>
      <c r="H137" s="20"/>
      <c r="I137" s="10"/>
      <c r="J137" s="10"/>
      <c r="K137" s="10"/>
      <c r="L137" s="10"/>
      <c r="M137" s="10"/>
      <c r="N137" s="10"/>
      <c r="O137" s="10"/>
      <c r="P137" s="2"/>
      <c r="Q137" s="2"/>
      <c r="R137" s="2"/>
      <c r="S137" s="2"/>
      <c r="T137" s="2"/>
      <c r="U137" s="2"/>
      <c r="V137" s="2"/>
      <c r="W137" s="2"/>
      <c r="X137" s="2"/>
      <c r="Y137" s="2"/>
      <c r="Z137" s="2"/>
      <c r="AA137" s="2"/>
      <c r="AB137" s="2"/>
      <c r="AC137" s="2"/>
      <c r="AD137" s="2"/>
      <c r="AE137" s="66"/>
      <c r="AF137" s="2"/>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row>
    <row r="138" spans="1:62" ht="18" customHeight="1" collapsed="1" x14ac:dyDescent="0.25">
      <c r="A138" s="1"/>
      <c r="B138" s="20"/>
      <c r="C138" s="20"/>
      <c r="D138" s="20"/>
      <c r="E138" s="20"/>
      <c r="F138" s="20"/>
      <c r="G138" s="20"/>
      <c r="H138" s="20"/>
      <c r="I138" s="10"/>
      <c r="J138" s="10"/>
      <c r="K138" s="10"/>
      <c r="L138" s="10"/>
      <c r="M138" s="10"/>
      <c r="N138" s="10"/>
      <c r="O138" s="10"/>
      <c r="P138" s="2"/>
      <c r="Q138" s="2"/>
      <c r="R138" s="2"/>
      <c r="S138" s="2"/>
      <c r="T138" s="2"/>
      <c r="U138" s="2"/>
      <c r="V138" s="2"/>
      <c r="W138" s="2"/>
      <c r="X138" s="2"/>
      <c r="Y138" s="2"/>
      <c r="Z138" s="2"/>
      <c r="AA138" s="2"/>
      <c r="AB138" s="2"/>
      <c r="AC138" s="2"/>
      <c r="AD138" s="2"/>
      <c r="AE138" s="66"/>
      <c r="AF138" s="2"/>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row>
    <row r="139" spans="1:62" ht="18" customHeight="1" x14ac:dyDescent="0.25">
      <c r="A139" s="1"/>
      <c r="B139" s="20"/>
      <c r="C139" s="20"/>
      <c r="D139" s="20"/>
      <c r="E139" s="20"/>
      <c r="F139" s="20"/>
      <c r="G139" s="20"/>
      <c r="H139" s="20"/>
      <c r="I139" s="10"/>
      <c r="J139" s="10"/>
      <c r="K139" s="10"/>
      <c r="L139" s="10"/>
      <c r="M139" s="10"/>
      <c r="N139" s="10"/>
      <c r="O139" s="10"/>
      <c r="P139" s="2"/>
      <c r="Q139" s="2"/>
      <c r="R139" s="2"/>
      <c r="S139" s="2"/>
      <c r="T139" s="2"/>
      <c r="U139" s="2"/>
      <c r="V139" s="2"/>
      <c r="W139" s="2"/>
      <c r="X139" s="2"/>
      <c r="Y139" s="2"/>
      <c r="Z139" s="2"/>
      <c r="AA139" s="2"/>
      <c r="AB139" s="2"/>
      <c r="AC139" s="2"/>
      <c r="AD139" s="2"/>
      <c r="AE139" s="66"/>
      <c r="AF139" s="2"/>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row>
    <row r="140" spans="1:62" ht="18" customHeight="1" x14ac:dyDescent="0.25">
      <c r="A140" s="1"/>
      <c r="B140" s="20"/>
      <c r="C140" s="20"/>
      <c r="D140" s="20"/>
      <c r="E140" s="20"/>
      <c r="F140" s="20"/>
      <c r="G140" s="20"/>
      <c r="H140" s="20"/>
      <c r="I140" s="10"/>
      <c r="J140" s="10"/>
      <c r="K140" s="10"/>
      <c r="L140" s="10"/>
      <c r="M140" s="10"/>
      <c r="N140" s="10"/>
      <c r="O140" s="10"/>
      <c r="P140" s="2"/>
      <c r="Q140" s="2"/>
      <c r="R140" s="2"/>
      <c r="S140" s="2"/>
      <c r="T140" s="2"/>
      <c r="U140" s="2"/>
      <c r="V140" s="2"/>
      <c r="W140" s="2"/>
      <c r="X140" s="2"/>
      <c r="Y140" s="2"/>
      <c r="Z140" s="2"/>
      <c r="AA140" s="2"/>
      <c r="AB140" s="2"/>
      <c r="AC140" s="2"/>
      <c r="AD140" s="2"/>
      <c r="AE140" s="66"/>
      <c r="AF140" s="2"/>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row>
    <row r="141" spans="1:62" ht="18" customHeight="1" x14ac:dyDescent="0.25">
      <c r="A141" s="1"/>
      <c r="B141" s="20"/>
      <c r="C141" s="20"/>
      <c r="D141" s="20"/>
      <c r="E141" s="20"/>
      <c r="F141" s="20"/>
      <c r="G141" s="20"/>
      <c r="H141" s="20"/>
      <c r="I141" s="10"/>
      <c r="J141" s="10"/>
      <c r="K141" s="10"/>
      <c r="L141" s="10"/>
      <c r="M141" s="10"/>
      <c r="N141" s="10"/>
      <c r="O141" s="10"/>
      <c r="P141" s="2"/>
      <c r="Q141" s="2"/>
      <c r="R141" s="2"/>
      <c r="S141" s="2"/>
      <c r="T141" s="2"/>
      <c r="U141" s="2"/>
      <c r="V141" s="2"/>
      <c r="W141" s="2"/>
      <c r="X141" s="2"/>
      <c r="Y141" s="2"/>
      <c r="Z141" s="2"/>
      <c r="AA141" s="2"/>
      <c r="AB141" s="2"/>
      <c r="AC141" s="2"/>
      <c r="AD141" s="2"/>
      <c r="AE141" s="66"/>
      <c r="AF141" s="2"/>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row>
    <row r="142" spans="1:62" ht="18" customHeight="1" x14ac:dyDescent="0.25">
      <c r="A142" s="1"/>
      <c r="B142" s="20"/>
      <c r="C142" s="20"/>
      <c r="D142" s="20"/>
      <c r="E142" s="20"/>
      <c r="F142" s="20"/>
      <c r="G142" s="20"/>
      <c r="H142" s="20"/>
      <c r="I142" s="10"/>
      <c r="J142" s="10"/>
      <c r="K142" s="10"/>
      <c r="L142" s="10"/>
      <c r="M142" s="10"/>
      <c r="N142" s="10"/>
      <c r="O142" s="10"/>
      <c r="P142" s="2"/>
      <c r="Q142" s="2"/>
      <c r="R142" s="2"/>
      <c r="S142" s="2"/>
      <c r="T142" s="2"/>
      <c r="U142" s="2"/>
      <c r="V142" s="2"/>
      <c r="W142" s="2"/>
      <c r="X142" s="2"/>
      <c r="Y142" s="2"/>
      <c r="Z142" s="2"/>
      <c r="AA142" s="2"/>
      <c r="AB142" s="2"/>
      <c r="AC142" s="2"/>
      <c r="AD142" s="2"/>
      <c r="AE142" s="66"/>
      <c r="AF142" s="2"/>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row>
    <row r="143" spans="1:62" ht="18" customHeight="1" collapsed="1" x14ac:dyDescent="0.25">
      <c r="A143" s="1"/>
      <c r="B143" s="20"/>
      <c r="C143" s="20"/>
      <c r="D143" s="20"/>
      <c r="E143" s="20"/>
      <c r="F143" s="20"/>
      <c r="G143" s="20"/>
      <c r="H143" s="20"/>
      <c r="I143" s="2"/>
      <c r="J143" s="2"/>
      <c r="K143" s="2"/>
      <c r="L143" s="2"/>
      <c r="M143" s="2"/>
      <c r="N143" s="2"/>
      <c r="O143" s="2"/>
      <c r="P143" s="2"/>
      <c r="Q143" s="2"/>
      <c r="R143" s="2"/>
      <c r="S143" s="2"/>
      <c r="T143" s="2"/>
      <c r="U143" s="2"/>
      <c r="V143" s="2"/>
      <c r="W143" s="2"/>
      <c r="X143" s="2"/>
      <c r="Y143" s="2"/>
      <c r="Z143" s="2"/>
      <c r="AA143" s="2"/>
      <c r="AB143" s="2"/>
      <c r="AC143" s="2"/>
      <c r="AD143" s="2"/>
      <c r="AE143" s="66"/>
      <c r="AF143" s="2"/>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row>
    <row r="144" spans="1:62" ht="18" customHeight="1" x14ac:dyDescent="0.25">
      <c r="A144" s="1"/>
      <c r="B144" s="20"/>
      <c r="C144" s="20"/>
      <c r="D144" s="20"/>
      <c r="E144" s="20"/>
      <c r="F144" s="20"/>
      <c r="G144" s="20"/>
      <c r="H144" s="20"/>
      <c r="I144" s="17"/>
      <c r="J144" s="17"/>
      <c r="K144" s="17"/>
      <c r="L144" s="17"/>
      <c r="M144" s="17"/>
      <c r="N144" s="17"/>
      <c r="O144" s="17"/>
      <c r="P144" s="2"/>
      <c r="Q144" s="2"/>
      <c r="R144" s="2"/>
      <c r="S144" s="2"/>
      <c r="T144" s="2"/>
      <c r="U144" s="2"/>
      <c r="V144" s="2"/>
      <c r="W144" s="2"/>
      <c r="X144" s="2"/>
      <c r="Y144" s="2"/>
      <c r="Z144" s="2"/>
      <c r="AA144" s="2"/>
      <c r="AB144" s="2"/>
      <c r="AC144" s="2"/>
      <c r="AD144" s="2"/>
      <c r="AE144" s="66"/>
      <c r="AF144" s="2"/>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row>
    <row r="145" spans="1:62" ht="18" customHeight="1" x14ac:dyDescent="0.25">
      <c r="A145" s="1"/>
      <c r="B145" s="20"/>
      <c r="C145" s="20"/>
      <c r="D145" s="20"/>
      <c r="E145" s="20"/>
      <c r="F145" s="20"/>
      <c r="G145" s="20"/>
      <c r="H145" s="20"/>
      <c r="I145" s="10"/>
      <c r="J145" s="10"/>
      <c r="K145" s="10"/>
      <c r="L145" s="10"/>
      <c r="M145" s="10"/>
      <c r="N145" s="10"/>
      <c r="O145" s="10"/>
      <c r="P145" s="2"/>
      <c r="Q145" s="2"/>
      <c r="R145" s="2"/>
      <c r="S145" s="2"/>
      <c r="T145" s="2"/>
      <c r="U145" s="2"/>
      <c r="V145" s="2"/>
      <c r="W145" s="2"/>
      <c r="X145" s="2"/>
      <c r="Y145" s="2"/>
      <c r="Z145" s="2"/>
      <c r="AA145" s="2"/>
      <c r="AB145" s="2"/>
      <c r="AC145" s="2"/>
      <c r="AD145" s="2"/>
      <c r="AE145" s="66"/>
      <c r="AF145" s="2"/>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row>
    <row r="146" spans="1:62" ht="18" customHeight="1" x14ac:dyDescent="0.25">
      <c r="A146" s="1"/>
      <c r="B146" s="20"/>
      <c r="C146" s="20"/>
      <c r="D146" s="20"/>
      <c r="E146" s="20"/>
      <c r="F146" s="20"/>
      <c r="G146" s="20"/>
      <c r="H146" s="20"/>
      <c r="I146" s="10"/>
      <c r="J146" s="10"/>
      <c r="K146" s="10"/>
      <c r="L146" s="10"/>
      <c r="M146" s="10"/>
      <c r="N146" s="10"/>
      <c r="O146" s="10"/>
      <c r="P146" s="2"/>
      <c r="Q146" s="2"/>
      <c r="R146" s="2"/>
      <c r="S146" s="2"/>
      <c r="T146" s="2"/>
      <c r="U146" s="2"/>
      <c r="V146" s="2"/>
      <c r="W146" s="2"/>
      <c r="X146" s="2"/>
      <c r="Y146" s="2"/>
      <c r="Z146" s="2"/>
      <c r="AA146" s="2"/>
      <c r="AB146" s="2"/>
      <c r="AC146" s="2"/>
      <c r="AD146" s="2"/>
      <c r="AE146" s="66"/>
      <c r="AF146" s="2"/>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row>
    <row r="147" spans="1:62" ht="18" customHeight="1" x14ac:dyDescent="0.25">
      <c r="A147" s="1"/>
      <c r="B147" s="20"/>
      <c r="C147" s="20"/>
      <c r="D147" s="20"/>
      <c r="E147" s="20"/>
      <c r="F147" s="20"/>
      <c r="G147" s="20"/>
      <c r="H147" s="20"/>
      <c r="I147" s="14"/>
      <c r="J147" s="14"/>
      <c r="K147" s="14"/>
      <c r="L147" s="14"/>
      <c r="M147" s="14"/>
      <c r="N147" s="14"/>
      <c r="O147" s="14"/>
      <c r="P147" s="2"/>
      <c r="Q147" s="2"/>
      <c r="R147" s="2"/>
      <c r="S147" s="2"/>
      <c r="T147" s="2"/>
      <c r="U147" s="2"/>
      <c r="V147" s="2"/>
      <c r="W147" s="2"/>
      <c r="X147" s="2"/>
      <c r="Y147" s="2"/>
      <c r="Z147" s="2"/>
      <c r="AA147" s="2"/>
      <c r="AB147" s="2"/>
      <c r="AC147" s="2"/>
      <c r="AD147" s="2"/>
      <c r="AE147" s="66"/>
      <c r="AF147" s="2"/>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row>
    <row r="148" spans="1:62" ht="18" customHeight="1" x14ac:dyDescent="0.25">
      <c r="A148" s="1"/>
      <c r="B148" s="20"/>
      <c r="C148" s="20"/>
      <c r="D148" s="20"/>
      <c r="E148" s="20"/>
      <c r="F148" s="20"/>
      <c r="G148" s="20"/>
      <c r="H148" s="20"/>
      <c r="I148" s="10"/>
      <c r="J148" s="10"/>
      <c r="K148" s="10"/>
      <c r="L148" s="10"/>
      <c r="M148" s="10"/>
      <c r="N148" s="10"/>
      <c r="O148" s="10"/>
      <c r="P148" s="2"/>
      <c r="Q148" s="2"/>
      <c r="R148" s="2"/>
      <c r="S148" s="2"/>
      <c r="T148" s="2"/>
      <c r="U148" s="2"/>
      <c r="V148" s="2"/>
      <c r="W148" s="2"/>
      <c r="X148" s="2"/>
      <c r="Y148" s="2"/>
      <c r="Z148" s="2"/>
      <c r="AA148" s="2"/>
      <c r="AB148" s="2"/>
      <c r="AC148" s="2"/>
      <c r="AD148" s="2"/>
      <c r="AE148" s="66"/>
      <c r="AF148" s="2"/>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row>
    <row r="149" spans="1:62" ht="18" customHeight="1" x14ac:dyDescent="0.25">
      <c r="A149" s="1"/>
      <c r="B149" s="20"/>
      <c r="C149" s="20"/>
      <c r="D149" s="20"/>
      <c r="E149" s="20"/>
      <c r="F149" s="20"/>
      <c r="G149" s="20"/>
      <c r="H149" s="20"/>
      <c r="I149" s="10"/>
      <c r="J149" s="10"/>
      <c r="K149" s="10"/>
      <c r="L149" s="10"/>
      <c r="M149" s="10"/>
      <c r="N149" s="10"/>
      <c r="O149" s="10"/>
      <c r="P149" s="2"/>
      <c r="Q149" s="2"/>
      <c r="R149" s="2"/>
      <c r="S149" s="2"/>
      <c r="T149" s="2"/>
      <c r="U149" s="2"/>
      <c r="V149" s="2"/>
      <c r="W149" s="2"/>
      <c r="X149" s="2"/>
      <c r="Y149" s="2"/>
      <c r="Z149" s="2"/>
      <c r="AA149" s="2"/>
      <c r="AB149" s="2"/>
      <c r="AC149" s="2"/>
      <c r="AD149" s="2"/>
      <c r="AE149" s="66"/>
      <c r="AF149" s="2"/>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row>
    <row r="150" spans="1:62" ht="18" customHeight="1" collapsed="1" x14ac:dyDescent="0.25">
      <c r="A150" s="1"/>
      <c r="B150" s="20"/>
      <c r="C150" s="20"/>
      <c r="D150" s="20"/>
      <c r="E150" s="20"/>
      <c r="F150" s="20"/>
      <c r="G150" s="20"/>
      <c r="H150" s="20"/>
      <c r="I150" s="10"/>
      <c r="J150" s="10"/>
      <c r="K150" s="10"/>
      <c r="L150" s="10"/>
      <c r="M150" s="10"/>
      <c r="N150" s="10"/>
      <c r="O150" s="10"/>
      <c r="P150" s="2"/>
      <c r="Q150" s="2"/>
      <c r="R150" s="2"/>
      <c r="S150" s="2"/>
      <c r="T150" s="2"/>
      <c r="U150" s="2"/>
      <c r="V150" s="2"/>
      <c r="W150" s="2"/>
      <c r="X150" s="2"/>
      <c r="Y150" s="2"/>
      <c r="Z150" s="2"/>
      <c r="AA150" s="2"/>
      <c r="AB150" s="2"/>
      <c r="AC150" s="2"/>
      <c r="AD150" s="2"/>
      <c r="AE150" s="66"/>
      <c r="AF150" s="2"/>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row>
    <row r="151" spans="1:62" ht="18" customHeight="1" x14ac:dyDescent="0.25">
      <c r="A151" s="1"/>
      <c r="B151" s="20"/>
      <c r="C151" s="20"/>
      <c r="D151" s="20"/>
      <c r="E151" s="20"/>
      <c r="F151" s="20"/>
      <c r="G151" s="20"/>
      <c r="H151" s="20"/>
      <c r="I151" s="10"/>
      <c r="J151" s="10"/>
      <c r="K151" s="10"/>
      <c r="L151" s="10"/>
      <c r="M151" s="10"/>
      <c r="N151" s="10"/>
      <c r="O151" s="10"/>
      <c r="P151" s="2"/>
      <c r="Q151" s="2"/>
      <c r="R151" s="2"/>
      <c r="S151" s="2"/>
      <c r="T151" s="2"/>
      <c r="U151" s="2"/>
      <c r="V151" s="2"/>
      <c r="W151" s="2"/>
      <c r="X151" s="2"/>
      <c r="Y151" s="2"/>
      <c r="Z151" s="2"/>
      <c r="AA151" s="2"/>
      <c r="AB151" s="2"/>
      <c r="AC151" s="2"/>
      <c r="AD151" s="2"/>
      <c r="AE151" s="66"/>
      <c r="AF151" s="2"/>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row>
    <row r="152" spans="1:62" ht="18" customHeight="1" x14ac:dyDescent="0.25">
      <c r="A152" s="1"/>
      <c r="B152" s="20"/>
      <c r="C152" s="20"/>
      <c r="D152" s="20"/>
      <c r="E152" s="20"/>
      <c r="F152" s="20"/>
      <c r="G152" s="20"/>
      <c r="H152" s="20"/>
      <c r="I152" s="10"/>
      <c r="J152" s="10"/>
      <c r="K152" s="10"/>
      <c r="L152" s="10"/>
      <c r="M152" s="10"/>
      <c r="N152" s="10"/>
      <c r="O152" s="10"/>
      <c r="P152" s="2"/>
      <c r="Q152" s="2"/>
      <c r="R152" s="2"/>
      <c r="S152" s="2"/>
      <c r="T152" s="2"/>
      <c r="U152" s="2"/>
      <c r="V152" s="2"/>
      <c r="W152" s="2"/>
      <c r="X152" s="2"/>
      <c r="Y152" s="2"/>
      <c r="Z152" s="2"/>
      <c r="AA152" s="2"/>
      <c r="AB152" s="2"/>
      <c r="AC152" s="2"/>
      <c r="AD152" s="2"/>
      <c r="AE152" s="66"/>
      <c r="AF152" s="2"/>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row>
    <row r="153" spans="1:62" ht="18" customHeight="1" x14ac:dyDescent="0.25">
      <c r="A153" s="1"/>
      <c r="B153" s="20"/>
      <c r="C153" s="20"/>
      <c r="D153" s="20"/>
      <c r="E153" s="20"/>
      <c r="F153" s="20"/>
      <c r="G153" s="20"/>
      <c r="H153" s="20"/>
      <c r="I153" s="10"/>
      <c r="J153" s="10"/>
      <c r="K153" s="10"/>
      <c r="L153" s="10"/>
      <c r="M153" s="10"/>
      <c r="N153" s="10"/>
      <c r="O153" s="10"/>
      <c r="P153" s="2"/>
      <c r="Q153" s="2"/>
      <c r="R153" s="2"/>
      <c r="S153" s="2"/>
      <c r="T153" s="2"/>
      <c r="U153" s="2"/>
      <c r="V153" s="2"/>
      <c r="W153" s="2"/>
      <c r="X153" s="2"/>
      <c r="Y153" s="2"/>
      <c r="Z153" s="2"/>
      <c r="AA153" s="2"/>
      <c r="AB153" s="2"/>
      <c r="AC153" s="2"/>
      <c r="AD153" s="2"/>
      <c r="AE153" s="66"/>
      <c r="AF153" s="2"/>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row>
    <row r="154" spans="1:62" ht="18" customHeight="1" x14ac:dyDescent="0.25">
      <c r="A154" s="1"/>
      <c r="B154" s="20"/>
      <c r="C154" s="20"/>
      <c r="D154" s="20"/>
      <c r="E154" s="20"/>
      <c r="F154" s="20"/>
      <c r="G154" s="20"/>
      <c r="H154" s="20"/>
      <c r="I154" s="10"/>
      <c r="J154" s="10"/>
      <c r="K154" s="10"/>
      <c r="L154" s="10"/>
      <c r="M154" s="10"/>
      <c r="N154" s="10"/>
      <c r="O154" s="10"/>
      <c r="P154" s="2"/>
      <c r="Q154" s="2"/>
      <c r="R154" s="2"/>
      <c r="S154" s="2"/>
      <c r="T154" s="2"/>
      <c r="U154" s="2"/>
      <c r="V154" s="2"/>
      <c r="W154" s="2"/>
      <c r="X154" s="2"/>
      <c r="Y154" s="2"/>
      <c r="Z154" s="2"/>
      <c r="AA154" s="2"/>
      <c r="AB154" s="2"/>
      <c r="AC154" s="2"/>
      <c r="AD154" s="2"/>
      <c r="AE154" s="66"/>
      <c r="AF154" s="2"/>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row>
    <row r="155" spans="1:62" ht="18" customHeight="1" collapsed="1" x14ac:dyDescent="0.25">
      <c r="A155" s="1"/>
      <c r="B155" s="20"/>
      <c r="C155" s="20"/>
      <c r="D155" s="20"/>
      <c r="E155" s="20"/>
      <c r="F155" s="20"/>
      <c r="G155" s="20"/>
      <c r="H155" s="20"/>
      <c r="I155" s="14"/>
      <c r="J155" s="14"/>
      <c r="K155" s="14"/>
      <c r="L155" s="14"/>
      <c r="M155" s="14"/>
      <c r="N155" s="14"/>
      <c r="O155" s="14"/>
      <c r="P155" s="2"/>
      <c r="Q155" s="2"/>
      <c r="R155" s="2"/>
      <c r="S155" s="2"/>
      <c r="T155" s="2"/>
      <c r="U155" s="2"/>
      <c r="V155" s="2"/>
      <c r="W155" s="2"/>
      <c r="X155" s="2"/>
      <c r="Y155" s="2"/>
      <c r="Z155" s="2"/>
      <c r="AA155" s="2"/>
      <c r="AB155" s="2"/>
      <c r="AC155" s="2"/>
      <c r="AD155" s="2"/>
      <c r="AE155" s="66"/>
      <c r="AF155" s="2"/>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row>
    <row r="156" spans="1:62" ht="18" customHeight="1" x14ac:dyDescent="0.25">
      <c r="A156" s="1"/>
      <c r="B156" s="20"/>
      <c r="C156" s="20"/>
      <c r="D156" s="20"/>
      <c r="E156" s="20"/>
      <c r="F156" s="20"/>
      <c r="G156" s="20"/>
      <c r="H156" s="20"/>
      <c r="I156" s="14"/>
      <c r="J156" s="14"/>
      <c r="K156" s="14"/>
      <c r="L156" s="14"/>
      <c r="M156" s="14"/>
      <c r="N156" s="14"/>
      <c r="O156" s="14"/>
      <c r="P156" s="2"/>
      <c r="Q156" s="2"/>
      <c r="R156" s="2"/>
      <c r="S156" s="2"/>
      <c r="T156" s="2"/>
      <c r="U156" s="2"/>
      <c r="V156" s="2"/>
      <c r="W156" s="2"/>
      <c r="X156" s="2"/>
      <c r="Y156" s="2"/>
      <c r="Z156" s="2"/>
      <c r="AA156" s="2"/>
      <c r="AB156" s="2"/>
      <c r="AC156" s="2"/>
      <c r="AD156" s="2"/>
      <c r="AE156" s="66"/>
      <c r="AF156" s="2"/>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row>
    <row r="157" spans="1:62" ht="18" customHeight="1" x14ac:dyDescent="0.25">
      <c r="A157" s="1"/>
      <c r="B157" s="20"/>
      <c r="C157" s="20"/>
      <c r="D157" s="20"/>
      <c r="E157" s="20"/>
      <c r="F157" s="20"/>
      <c r="G157" s="20"/>
      <c r="H157" s="20"/>
      <c r="I157" s="14"/>
      <c r="J157" s="14"/>
      <c r="K157" s="14"/>
      <c r="L157" s="14"/>
      <c r="M157" s="14"/>
      <c r="N157" s="14"/>
      <c r="O157" s="14"/>
      <c r="P157" s="2"/>
      <c r="Q157" s="2"/>
      <c r="R157" s="2"/>
      <c r="S157" s="2"/>
      <c r="T157" s="2"/>
      <c r="U157" s="2"/>
      <c r="V157" s="2"/>
      <c r="W157" s="2"/>
      <c r="X157" s="2"/>
      <c r="Y157" s="2"/>
      <c r="Z157" s="2"/>
      <c r="AA157" s="2"/>
      <c r="AB157" s="2"/>
      <c r="AC157" s="2"/>
      <c r="AD157" s="2"/>
      <c r="AE157" s="66"/>
      <c r="AF157" s="2"/>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row>
    <row r="158" spans="1:62" ht="18" customHeight="1" x14ac:dyDescent="0.25">
      <c r="A158" s="1"/>
      <c r="B158" s="20"/>
      <c r="C158" s="20"/>
      <c r="D158" s="20"/>
      <c r="E158" s="20"/>
      <c r="F158" s="20"/>
      <c r="G158" s="20"/>
      <c r="H158" s="20"/>
      <c r="I158" s="10"/>
      <c r="J158" s="10"/>
      <c r="K158" s="10"/>
      <c r="L158" s="10"/>
      <c r="M158" s="10"/>
      <c r="N158" s="10"/>
      <c r="O158" s="10"/>
      <c r="P158" s="2"/>
      <c r="Q158" s="2"/>
      <c r="R158" s="2"/>
      <c r="S158" s="2"/>
      <c r="T158" s="2"/>
      <c r="U158" s="2"/>
      <c r="V158" s="2"/>
      <c r="W158" s="2"/>
      <c r="X158" s="2"/>
      <c r="Y158" s="2"/>
      <c r="Z158" s="2"/>
      <c r="AA158" s="2"/>
      <c r="AB158" s="2"/>
      <c r="AC158" s="2"/>
      <c r="AD158" s="2"/>
      <c r="AE158" s="66"/>
      <c r="AF158" s="2"/>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row>
    <row r="159" spans="1:62" x14ac:dyDescent="0.25">
      <c r="A159" s="1"/>
      <c r="B159" s="1"/>
      <c r="C159" s="1"/>
      <c r="D159" s="1"/>
      <c r="E159" s="1"/>
      <c r="F159" s="1"/>
      <c r="G159" s="1"/>
      <c r="H159" s="1"/>
      <c r="I159" s="2"/>
      <c r="J159" s="2"/>
      <c r="K159" s="2"/>
      <c r="L159" s="2"/>
      <c r="M159" s="2"/>
      <c r="N159" s="2"/>
      <c r="O159" s="2"/>
      <c r="P159" s="2"/>
      <c r="Q159" s="2"/>
      <c r="R159" s="2"/>
      <c r="S159" s="2"/>
      <c r="T159" s="2"/>
      <c r="U159" s="2"/>
      <c r="V159" s="2"/>
      <c r="W159" s="2"/>
      <c r="X159" s="2"/>
      <c r="Y159" s="2"/>
      <c r="Z159" s="2"/>
      <c r="AA159" s="2"/>
      <c r="AB159" s="2"/>
      <c r="AC159" s="2"/>
      <c r="AD159" s="2"/>
      <c r="AE159" s="66"/>
      <c r="AF159" s="2"/>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row>
    <row r="160" spans="1:62" x14ac:dyDescent="0.25">
      <c r="A160" s="1"/>
      <c r="B160" s="1"/>
      <c r="C160" s="1"/>
      <c r="D160" s="1"/>
      <c r="E160" s="1"/>
      <c r="F160" s="1"/>
      <c r="G160" s="1"/>
      <c r="H160" s="1"/>
      <c r="I160" s="2"/>
      <c r="J160" s="2"/>
      <c r="K160" s="2"/>
      <c r="L160" s="2"/>
      <c r="M160" s="2"/>
      <c r="N160" s="2"/>
      <c r="O160" s="2"/>
      <c r="P160" s="2"/>
      <c r="Q160" s="2"/>
      <c r="R160" s="2"/>
      <c r="S160" s="2"/>
      <c r="T160" s="2"/>
      <c r="U160" s="2"/>
      <c r="V160" s="2"/>
      <c r="W160" s="2"/>
      <c r="X160" s="2"/>
      <c r="Y160" s="2"/>
      <c r="Z160" s="2"/>
      <c r="AA160" s="2"/>
      <c r="AB160" s="2"/>
      <c r="AC160" s="2"/>
      <c r="AD160" s="2"/>
      <c r="AE160" s="66"/>
      <c r="AF160" s="2"/>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row>
    <row r="161" spans="1:62" x14ac:dyDescent="0.25">
      <c r="A161" s="1"/>
      <c r="B161" s="1"/>
      <c r="C161" s="1"/>
      <c r="D161" s="1"/>
      <c r="E161" s="1"/>
      <c r="F161" s="1"/>
      <c r="G161" s="1"/>
      <c r="H161" s="1"/>
      <c r="I161" s="2"/>
      <c r="J161" s="2"/>
      <c r="K161" s="2"/>
      <c r="L161" s="2"/>
      <c r="M161" s="2"/>
      <c r="N161" s="2"/>
      <c r="O161" s="2"/>
      <c r="P161" s="2"/>
      <c r="Q161" s="2"/>
      <c r="R161" s="2"/>
      <c r="S161" s="2"/>
      <c r="T161" s="2"/>
      <c r="U161" s="2"/>
      <c r="V161" s="2"/>
      <c r="W161" s="2"/>
      <c r="X161" s="2"/>
      <c r="Y161" s="2"/>
      <c r="Z161" s="2"/>
      <c r="AA161" s="2"/>
      <c r="AB161" s="2"/>
      <c r="AC161" s="2"/>
      <c r="AD161" s="2"/>
      <c r="AE161" s="66"/>
      <c r="AF161" s="2"/>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row>
    <row r="162" spans="1:62" x14ac:dyDescent="0.25">
      <c r="A162" s="1"/>
      <c r="B162" s="1"/>
      <c r="C162" s="1"/>
      <c r="D162" s="1"/>
      <c r="E162" s="1"/>
      <c r="F162" s="1"/>
      <c r="G162" s="1"/>
      <c r="H162" s="1"/>
      <c r="I162" s="2"/>
      <c r="J162" s="2"/>
      <c r="K162" s="2"/>
      <c r="L162" s="2"/>
      <c r="M162" s="2"/>
      <c r="N162" s="2"/>
      <c r="O162" s="2"/>
      <c r="P162" s="2"/>
      <c r="Q162" s="2"/>
      <c r="R162" s="2"/>
      <c r="S162" s="2"/>
      <c r="T162" s="2"/>
      <c r="U162" s="2"/>
      <c r="V162" s="2"/>
      <c r="W162" s="2"/>
      <c r="X162" s="2"/>
      <c r="Y162" s="2"/>
      <c r="Z162" s="2"/>
      <c r="AA162" s="2"/>
      <c r="AB162" s="2"/>
      <c r="AC162" s="2"/>
      <c r="AD162" s="2"/>
      <c r="AE162" s="66"/>
      <c r="AF162" s="2"/>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row>
    <row r="163" spans="1:62" x14ac:dyDescent="0.25">
      <c r="A163" s="1"/>
      <c r="B163" s="1"/>
      <c r="C163" s="1"/>
      <c r="D163" s="1"/>
      <c r="E163" s="1"/>
      <c r="F163" s="1"/>
      <c r="G163" s="1"/>
      <c r="H163" s="1"/>
      <c r="I163" s="2"/>
      <c r="J163" s="2"/>
      <c r="K163" s="2"/>
      <c r="L163" s="2"/>
      <c r="M163" s="2"/>
      <c r="N163" s="2"/>
      <c r="O163" s="2"/>
      <c r="P163" s="2"/>
      <c r="Q163" s="2"/>
      <c r="R163" s="2"/>
      <c r="S163" s="2"/>
      <c r="T163" s="2"/>
      <c r="U163" s="2"/>
      <c r="V163" s="2"/>
      <c r="W163" s="2"/>
      <c r="X163" s="2"/>
      <c r="Y163" s="2"/>
      <c r="Z163" s="2"/>
      <c r="AA163" s="2"/>
      <c r="AB163" s="2"/>
      <c r="AC163" s="2"/>
      <c r="AD163" s="2"/>
      <c r="AE163" s="66"/>
      <c r="AF163" s="2"/>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row>
    <row r="164" spans="1:62" x14ac:dyDescent="0.25">
      <c r="A164" s="1"/>
      <c r="B164" s="1"/>
      <c r="C164" s="1"/>
      <c r="D164" s="1"/>
      <c r="E164" s="1"/>
      <c r="F164" s="1"/>
      <c r="G164" s="1"/>
      <c r="H164" s="1"/>
      <c r="I164" s="2"/>
      <c r="J164" s="2"/>
      <c r="K164" s="2"/>
      <c r="L164" s="2"/>
      <c r="M164" s="2"/>
      <c r="N164" s="2"/>
      <c r="O164" s="2"/>
      <c r="P164" s="2"/>
      <c r="Q164" s="2"/>
      <c r="R164" s="2"/>
      <c r="S164" s="2"/>
      <c r="T164" s="2"/>
      <c r="U164" s="2"/>
      <c r="V164" s="2"/>
      <c r="W164" s="2"/>
      <c r="X164" s="2"/>
      <c r="Y164" s="2"/>
      <c r="Z164" s="2"/>
      <c r="AA164" s="2"/>
      <c r="AB164" s="2"/>
      <c r="AC164" s="2"/>
      <c r="AD164" s="2"/>
      <c r="AE164" s="66"/>
      <c r="AF164" s="2"/>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row>
    <row r="165" spans="1:62" x14ac:dyDescent="0.25">
      <c r="A165" s="1"/>
      <c r="B165" s="1"/>
      <c r="C165" s="1"/>
      <c r="D165" s="1"/>
      <c r="E165" s="1"/>
      <c r="F165" s="1"/>
      <c r="G165" s="1"/>
      <c r="H165" s="1"/>
      <c r="I165" s="2"/>
      <c r="J165" s="2"/>
      <c r="K165" s="2"/>
      <c r="L165" s="2"/>
      <c r="M165" s="2"/>
      <c r="N165" s="2"/>
      <c r="O165" s="2"/>
      <c r="P165" s="2"/>
      <c r="Q165" s="2"/>
      <c r="R165" s="2"/>
      <c r="S165" s="2"/>
      <c r="T165" s="2"/>
      <c r="U165" s="2"/>
      <c r="V165" s="2"/>
      <c r="W165" s="2"/>
      <c r="X165" s="2"/>
      <c r="Y165" s="2"/>
      <c r="Z165" s="2"/>
      <c r="AA165" s="2"/>
      <c r="AB165" s="2"/>
      <c r="AC165" s="2"/>
      <c r="AD165" s="2"/>
      <c r="AE165" s="66"/>
      <c r="AF165" s="2"/>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row>
    <row r="166" spans="1:62" x14ac:dyDescent="0.25">
      <c r="A166" s="1"/>
      <c r="B166" s="1"/>
      <c r="C166" s="1"/>
      <c r="D166" s="1"/>
      <c r="E166" s="1"/>
      <c r="F166" s="1"/>
      <c r="G166" s="1"/>
      <c r="H166" s="1"/>
      <c r="I166" s="2"/>
      <c r="J166" s="2"/>
      <c r="K166" s="2"/>
      <c r="L166" s="2"/>
      <c r="M166" s="2"/>
      <c r="N166" s="2"/>
      <c r="O166" s="2"/>
      <c r="P166" s="2"/>
      <c r="Q166" s="2"/>
      <c r="R166" s="2"/>
      <c r="S166" s="2"/>
      <c r="T166" s="2"/>
      <c r="U166" s="2"/>
      <c r="V166" s="2"/>
      <c r="W166" s="2"/>
      <c r="X166" s="2"/>
      <c r="Y166" s="2"/>
      <c r="Z166" s="2"/>
      <c r="AA166" s="2"/>
      <c r="AB166" s="2"/>
      <c r="AC166" s="2"/>
      <c r="AD166" s="2"/>
      <c r="AE166" s="66"/>
      <c r="AF166" s="2"/>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row>
    <row r="167" spans="1:62" x14ac:dyDescent="0.25">
      <c r="A167" s="1"/>
      <c r="B167" s="1"/>
      <c r="C167" s="1"/>
      <c r="D167" s="1"/>
      <c r="E167" s="1"/>
      <c r="F167" s="1"/>
      <c r="G167" s="1"/>
      <c r="H167" s="1"/>
      <c r="I167" s="2"/>
      <c r="J167" s="2"/>
      <c r="K167" s="2"/>
      <c r="L167" s="2"/>
      <c r="M167" s="2"/>
      <c r="N167" s="2"/>
      <c r="O167" s="2"/>
      <c r="P167" s="2"/>
      <c r="Q167" s="2"/>
      <c r="R167" s="2"/>
      <c r="S167" s="2"/>
      <c r="T167" s="2"/>
      <c r="U167" s="2"/>
      <c r="V167" s="2"/>
      <c r="W167" s="2"/>
      <c r="X167" s="2"/>
      <c r="Y167" s="2"/>
      <c r="Z167" s="2"/>
      <c r="AA167" s="2"/>
      <c r="AB167" s="2"/>
      <c r="AC167" s="2"/>
      <c r="AD167" s="2"/>
      <c r="AE167" s="66"/>
      <c r="AF167" s="2"/>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row>
    <row r="168" spans="1:62" x14ac:dyDescent="0.25">
      <c r="A168" s="1"/>
      <c r="B168" s="1"/>
      <c r="C168" s="1"/>
      <c r="D168" s="1"/>
      <c r="E168" s="1"/>
      <c r="F168" s="1"/>
      <c r="G168" s="1"/>
      <c r="H168" s="1"/>
      <c r="I168" s="2"/>
      <c r="J168" s="2"/>
      <c r="K168" s="2"/>
      <c r="L168" s="2"/>
      <c r="M168" s="2"/>
      <c r="N168" s="2"/>
      <c r="O168" s="2"/>
      <c r="P168" s="2"/>
      <c r="Q168" s="2"/>
      <c r="R168" s="2"/>
      <c r="S168" s="2"/>
      <c r="T168" s="2"/>
      <c r="U168" s="2"/>
      <c r="V168" s="2"/>
      <c r="W168" s="2"/>
      <c r="X168" s="2"/>
      <c r="Y168" s="2"/>
      <c r="Z168" s="2"/>
      <c r="AA168" s="2"/>
      <c r="AB168" s="2"/>
      <c r="AC168" s="2"/>
      <c r="AD168" s="2"/>
      <c r="AE168" s="66"/>
      <c r="AF168" s="2"/>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row>
    <row r="169" spans="1:62" x14ac:dyDescent="0.25">
      <c r="A169" s="1"/>
      <c r="B169" s="1"/>
      <c r="C169" s="1"/>
      <c r="D169" s="1"/>
      <c r="E169" s="1"/>
      <c r="F169" s="1"/>
      <c r="G169" s="1"/>
      <c r="H169" s="1"/>
      <c r="I169" s="2"/>
      <c r="J169" s="2"/>
      <c r="K169" s="2"/>
      <c r="L169" s="2"/>
      <c r="M169" s="2"/>
      <c r="N169" s="2"/>
      <c r="O169" s="2"/>
      <c r="P169" s="2"/>
      <c r="Q169" s="2"/>
      <c r="R169" s="2"/>
      <c r="S169" s="2"/>
      <c r="T169" s="2"/>
      <c r="U169" s="2"/>
      <c r="V169" s="2"/>
      <c r="W169" s="2"/>
      <c r="X169" s="2"/>
      <c r="Y169" s="2"/>
      <c r="Z169" s="2"/>
      <c r="AA169" s="2"/>
      <c r="AB169" s="2"/>
      <c r="AC169" s="2"/>
      <c r="AD169" s="2"/>
      <c r="AE169" s="66"/>
      <c r="AF169" s="2"/>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row>
    <row r="170" spans="1:62" x14ac:dyDescent="0.25">
      <c r="A170" s="1"/>
      <c r="B170" s="1"/>
      <c r="C170" s="1"/>
      <c r="D170" s="1"/>
      <c r="E170" s="1"/>
      <c r="F170" s="1"/>
      <c r="G170" s="1"/>
      <c r="H170" s="1"/>
      <c r="I170" s="2"/>
      <c r="J170" s="2"/>
      <c r="K170" s="2"/>
      <c r="L170" s="2"/>
      <c r="M170" s="2"/>
      <c r="N170" s="2"/>
      <c r="O170" s="2"/>
      <c r="P170" s="2"/>
      <c r="Q170" s="2"/>
      <c r="R170" s="2"/>
      <c r="S170" s="2"/>
      <c r="T170" s="2"/>
      <c r="U170" s="2"/>
      <c r="V170" s="2"/>
      <c r="W170" s="2"/>
      <c r="X170" s="2"/>
      <c r="Y170" s="2"/>
      <c r="Z170" s="2"/>
      <c r="AA170" s="2"/>
      <c r="AB170" s="2"/>
      <c r="AC170" s="2"/>
      <c r="AD170" s="2"/>
      <c r="AE170" s="66"/>
      <c r="AF170" s="2"/>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row>
    <row r="171" spans="1:62" x14ac:dyDescent="0.25">
      <c r="A171" s="1"/>
      <c r="B171" s="1"/>
      <c r="C171" s="1"/>
      <c r="D171" s="1"/>
      <c r="E171" s="1"/>
      <c r="F171" s="1"/>
      <c r="G171" s="1"/>
      <c r="H171" s="1"/>
      <c r="I171" s="2"/>
      <c r="J171" s="2"/>
      <c r="K171" s="2"/>
      <c r="L171" s="2"/>
      <c r="M171" s="2"/>
      <c r="N171" s="2"/>
      <c r="O171" s="2"/>
      <c r="P171" s="2"/>
      <c r="Q171" s="2"/>
      <c r="R171" s="2"/>
      <c r="S171" s="2"/>
      <c r="T171" s="2"/>
      <c r="U171" s="2"/>
      <c r="V171" s="2"/>
      <c r="W171" s="2"/>
      <c r="X171" s="2"/>
      <c r="Y171" s="2"/>
      <c r="Z171" s="2"/>
      <c r="AA171" s="2"/>
      <c r="AB171" s="2"/>
      <c r="AC171" s="2"/>
      <c r="AD171" s="2"/>
      <c r="AE171" s="66"/>
      <c r="AF171" s="2"/>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row>
    <row r="172" spans="1:62" x14ac:dyDescent="0.25">
      <c r="A172" s="1"/>
      <c r="B172" s="1"/>
      <c r="C172" s="1"/>
      <c r="D172" s="1"/>
      <c r="E172" s="1"/>
      <c r="F172" s="1"/>
      <c r="G172" s="1"/>
      <c r="H172" s="1"/>
      <c r="I172" s="2"/>
      <c r="J172" s="2"/>
      <c r="K172" s="2"/>
      <c r="L172" s="2"/>
      <c r="M172" s="2"/>
      <c r="N172" s="2"/>
      <c r="O172" s="2"/>
      <c r="P172" s="2"/>
      <c r="Q172" s="2"/>
      <c r="R172" s="2"/>
      <c r="S172" s="2"/>
      <c r="T172" s="2"/>
      <c r="U172" s="2"/>
      <c r="V172" s="2"/>
      <c r="W172" s="2"/>
      <c r="X172" s="2"/>
      <c r="Y172" s="2"/>
      <c r="Z172" s="2"/>
      <c r="AA172" s="2"/>
      <c r="AB172" s="2"/>
      <c r="AC172" s="2"/>
      <c r="AD172" s="2"/>
      <c r="AE172" s="66"/>
      <c r="AF172" s="2"/>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row>
    <row r="173" spans="1:62" x14ac:dyDescent="0.25">
      <c r="A173" s="1"/>
      <c r="B173" s="1"/>
      <c r="C173" s="1"/>
      <c r="D173" s="1"/>
      <c r="E173" s="1"/>
      <c r="F173" s="1"/>
      <c r="G173" s="1"/>
      <c r="H173" s="1"/>
      <c r="I173" s="2"/>
      <c r="J173" s="2"/>
      <c r="K173" s="2"/>
      <c r="L173" s="2"/>
      <c r="M173" s="2"/>
      <c r="N173" s="2"/>
      <c r="O173" s="2"/>
      <c r="P173" s="2"/>
      <c r="Q173" s="2"/>
      <c r="R173" s="2"/>
      <c r="S173" s="2"/>
      <c r="T173" s="2"/>
      <c r="U173" s="2"/>
      <c r="V173" s="2"/>
      <c r="W173" s="2"/>
      <c r="X173" s="2"/>
      <c r="Y173" s="2"/>
      <c r="Z173" s="2"/>
      <c r="AA173" s="2"/>
      <c r="AB173" s="2"/>
      <c r="AC173" s="2"/>
      <c r="AD173" s="2"/>
      <c r="AE173" s="66"/>
      <c r="AF173" s="2"/>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row>
    <row r="174" spans="1:62" x14ac:dyDescent="0.25">
      <c r="A174" s="1"/>
      <c r="B174" s="1"/>
      <c r="C174" s="1"/>
      <c r="D174" s="1"/>
      <c r="E174" s="1"/>
      <c r="F174" s="1"/>
      <c r="G174" s="1"/>
      <c r="H174" s="1"/>
      <c r="I174" s="2"/>
      <c r="J174" s="2"/>
      <c r="K174" s="2"/>
      <c r="L174" s="2"/>
      <c r="M174" s="2"/>
      <c r="N174" s="2"/>
      <c r="O174" s="2"/>
      <c r="P174" s="2"/>
      <c r="Q174" s="2"/>
      <c r="R174" s="2"/>
      <c r="S174" s="2"/>
      <c r="T174" s="2"/>
      <c r="U174" s="2"/>
      <c r="V174" s="2"/>
      <c r="W174" s="2"/>
      <c r="X174" s="2"/>
      <c r="Y174" s="2"/>
      <c r="Z174" s="2"/>
      <c r="AA174" s="2"/>
      <c r="AB174" s="2"/>
      <c r="AC174" s="2"/>
      <c r="AD174" s="2"/>
      <c r="AE174" s="66"/>
      <c r="AF174" s="2"/>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row>
    <row r="175" spans="1:62" x14ac:dyDescent="0.25">
      <c r="A175" s="1"/>
      <c r="B175" s="1"/>
      <c r="C175" s="1"/>
      <c r="D175" s="1"/>
      <c r="E175" s="1"/>
      <c r="F175" s="1"/>
      <c r="G175" s="1"/>
      <c r="H175" s="1"/>
      <c r="I175" s="2"/>
      <c r="J175" s="2"/>
      <c r="K175" s="2"/>
      <c r="L175" s="2"/>
      <c r="M175" s="2"/>
      <c r="N175" s="2"/>
      <c r="O175" s="2"/>
      <c r="P175" s="2"/>
      <c r="Q175" s="2"/>
      <c r="R175" s="2"/>
      <c r="S175" s="2"/>
      <c r="T175" s="2"/>
      <c r="U175" s="2"/>
      <c r="V175" s="2"/>
      <c r="W175" s="2"/>
      <c r="X175" s="2"/>
      <c r="Y175" s="2"/>
      <c r="Z175" s="2"/>
      <c r="AA175" s="2"/>
      <c r="AB175" s="2"/>
      <c r="AC175" s="2"/>
      <c r="AD175" s="2"/>
      <c r="AE175" s="66"/>
      <c r="AF175" s="2"/>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row>
    <row r="176" spans="1:62" x14ac:dyDescent="0.25">
      <c r="A176" s="1"/>
      <c r="B176" s="1"/>
      <c r="C176" s="1"/>
      <c r="D176" s="1"/>
      <c r="E176" s="1"/>
      <c r="F176" s="1"/>
      <c r="G176" s="1"/>
      <c r="H176" s="1"/>
      <c r="I176" s="2"/>
      <c r="J176" s="2"/>
      <c r="K176" s="2"/>
      <c r="L176" s="2"/>
      <c r="M176" s="2"/>
      <c r="N176" s="2"/>
      <c r="O176" s="2"/>
      <c r="P176" s="2"/>
      <c r="Q176" s="2"/>
      <c r="R176" s="2"/>
      <c r="S176" s="2"/>
      <c r="T176" s="2"/>
      <c r="U176" s="2"/>
      <c r="V176" s="2"/>
      <c r="W176" s="2"/>
      <c r="X176" s="2"/>
      <c r="Y176" s="2"/>
      <c r="Z176" s="2"/>
      <c r="AA176" s="2"/>
      <c r="AB176" s="2"/>
      <c r="AC176" s="2"/>
      <c r="AD176" s="2"/>
      <c r="AE176" s="66"/>
      <c r="AF176" s="2"/>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row>
    <row r="177" spans="1:62" x14ac:dyDescent="0.25">
      <c r="A177" s="1"/>
      <c r="B177" s="1"/>
      <c r="C177" s="1"/>
      <c r="D177" s="1"/>
      <c r="E177" s="1"/>
      <c r="F177" s="1"/>
      <c r="G177" s="1"/>
      <c r="H177" s="1"/>
      <c r="I177" s="2"/>
      <c r="J177" s="2"/>
      <c r="K177" s="2"/>
      <c r="L177" s="2"/>
      <c r="M177" s="2"/>
      <c r="N177" s="2"/>
      <c r="O177" s="2"/>
      <c r="P177" s="2"/>
      <c r="Q177" s="2"/>
      <c r="R177" s="2"/>
      <c r="S177" s="2"/>
      <c r="T177" s="2"/>
      <c r="U177" s="2"/>
      <c r="V177" s="2"/>
      <c r="W177" s="2"/>
      <c r="X177" s="2"/>
      <c r="Y177" s="2"/>
      <c r="Z177" s="2"/>
      <c r="AA177" s="2"/>
      <c r="AB177" s="2"/>
      <c r="AC177" s="2"/>
      <c r="AD177" s="2"/>
      <c r="AE177" s="66"/>
      <c r="AF177" s="2"/>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row>
    <row r="178" spans="1:62" x14ac:dyDescent="0.25">
      <c r="A178" s="1"/>
      <c r="B178" s="1"/>
      <c r="C178" s="1"/>
      <c r="D178" s="1"/>
      <c r="E178" s="1"/>
      <c r="F178" s="1"/>
      <c r="G178" s="1"/>
      <c r="H178" s="1"/>
      <c r="I178" s="2"/>
      <c r="J178" s="2"/>
      <c r="K178" s="2"/>
      <c r="L178" s="2"/>
      <c r="M178" s="2"/>
      <c r="N178" s="2"/>
      <c r="O178" s="2"/>
      <c r="P178" s="2"/>
      <c r="Q178" s="2"/>
      <c r="R178" s="2"/>
      <c r="S178" s="2"/>
      <c r="T178" s="2"/>
      <c r="U178" s="2"/>
      <c r="V178" s="2"/>
      <c r="W178" s="2"/>
      <c r="X178" s="2"/>
      <c r="Y178" s="2"/>
      <c r="Z178" s="2"/>
      <c r="AA178" s="2"/>
      <c r="AB178" s="2"/>
      <c r="AC178" s="2"/>
      <c r="AD178" s="2"/>
      <c r="AE178" s="66"/>
      <c r="AF178" s="2"/>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row>
    <row r="179" spans="1:62" x14ac:dyDescent="0.25">
      <c r="A179" s="1"/>
      <c r="B179" s="1"/>
      <c r="C179" s="1"/>
      <c r="D179" s="1"/>
      <c r="E179" s="1"/>
      <c r="F179" s="1"/>
      <c r="G179" s="1"/>
      <c r="H179" s="1"/>
      <c r="I179" s="2"/>
      <c r="J179" s="2"/>
      <c r="K179" s="2"/>
      <c r="L179" s="2"/>
      <c r="M179" s="2"/>
      <c r="N179" s="2"/>
      <c r="O179" s="2"/>
      <c r="P179" s="2"/>
      <c r="Q179" s="2"/>
      <c r="R179" s="2"/>
      <c r="S179" s="2"/>
      <c r="T179" s="2"/>
      <c r="U179" s="2"/>
      <c r="V179" s="2"/>
      <c r="W179" s="2"/>
      <c r="X179" s="2"/>
      <c r="Y179" s="2"/>
      <c r="Z179" s="2"/>
      <c r="AA179" s="2"/>
      <c r="AB179" s="2"/>
      <c r="AC179" s="2"/>
      <c r="AD179" s="2"/>
      <c r="AE179" s="66"/>
      <c r="AF179" s="2"/>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row>
    <row r="180" spans="1:62" x14ac:dyDescent="0.25">
      <c r="A180" s="1"/>
      <c r="B180" s="1"/>
      <c r="C180" s="1"/>
      <c r="D180" s="1"/>
      <c r="E180" s="1"/>
      <c r="F180" s="1"/>
      <c r="G180" s="1"/>
      <c r="H180" s="1"/>
      <c r="I180" s="2"/>
      <c r="J180" s="2"/>
      <c r="K180" s="2"/>
      <c r="L180" s="2"/>
      <c r="M180" s="2"/>
      <c r="N180" s="2"/>
      <c r="O180" s="2"/>
      <c r="P180" s="2"/>
      <c r="Q180" s="2"/>
      <c r="R180" s="2"/>
      <c r="S180" s="2"/>
      <c r="T180" s="2"/>
      <c r="U180" s="2"/>
      <c r="V180" s="2"/>
      <c r="W180" s="2"/>
      <c r="X180" s="2"/>
      <c r="Y180" s="2"/>
      <c r="Z180" s="2"/>
      <c r="AA180" s="2"/>
      <c r="AB180" s="2"/>
      <c r="AC180" s="2"/>
      <c r="AD180" s="2"/>
      <c r="AE180" s="66"/>
      <c r="AF180" s="2"/>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row>
    <row r="181" spans="1:62" x14ac:dyDescent="0.25">
      <c r="A181" s="1"/>
      <c r="B181" s="1"/>
      <c r="C181" s="1"/>
      <c r="D181" s="1"/>
      <c r="E181" s="1"/>
      <c r="F181" s="1"/>
      <c r="G181" s="1"/>
      <c r="H181" s="1"/>
      <c r="I181" s="2"/>
      <c r="J181" s="2"/>
      <c r="K181" s="2"/>
      <c r="L181" s="2"/>
      <c r="M181" s="2"/>
      <c r="N181" s="2"/>
      <c r="O181" s="2"/>
      <c r="P181" s="2"/>
      <c r="Q181" s="2"/>
      <c r="R181" s="2"/>
      <c r="S181" s="2"/>
      <c r="T181" s="2"/>
      <c r="U181" s="2"/>
      <c r="V181" s="2"/>
      <c r="W181" s="2"/>
      <c r="X181" s="2"/>
      <c r="Y181" s="2"/>
      <c r="Z181" s="2"/>
      <c r="AA181" s="2"/>
      <c r="AB181" s="2"/>
      <c r="AC181" s="2"/>
      <c r="AD181" s="2"/>
      <c r="AE181" s="66"/>
      <c r="AF181" s="2"/>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row>
    <row r="182" spans="1:62" x14ac:dyDescent="0.25">
      <c r="A182" s="1"/>
      <c r="B182" s="1"/>
      <c r="C182" s="1"/>
      <c r="D182" s="1"/>
      <c r="E182" s="1"/>
      <c r="F182" s="1"/>
      <c r="G182" s="1"/>
      <c r="H182" s="1"/>
      <c r="I182" s="2"/>
      <c r="J182" s="2"/>
      <c r="K182" s="2"/>
      <c r="L182" s="2"/>
      <c r="M182" s="2"/>
      <c r="N182" s="2"/>
      <c r="O182" s="2"/>
      <c r="P182" s="2"/>
      <c r="Q182" s="2"/>
      <c r="R182" s="2"/>
      <c r="S182" s="2"/>
      <c r="T182" s="2"/>
      <c r="U182" s="2"/>
      <c r="V182" s="2"/>
      <c r="W182" s="2"/>
      <c r="X182" s="2"/>
      <c r="Y182" s="2"/>
      <c r="Z182" s="2"/>
      <c r="AA182" s="2"/>
      <c r="AB182" s="2"/>
      <c r="AC182" s="2"/>
      <c r="AD182" s="2"/>
      <c r="AE182" s="66"/>
      <c r="AF182" s="2"/>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row>
    <row r="183" spans="1:62" x14ac:dyDescent="0.25">
      <c r="A183" s="1"/>
      <c r="B183" s="1"/>
      <c r="C183" s="1"/>
      <c r="D183" s="1"/>
      <c r="E183" s="1"/>
      <c r="F183" s="1"/>
      <c r="G183" s="1"/>
      <c r="H183" s="1"/>
      <c r="I183" s="2"/>
      <c r="J183" s="2"/>
      <c r="K183" s="2"/>
      <c r="L183" s="2"/>
      <c r="M183" s="2"/>
      <c r="N183" s="2"/>
      <c r="O183" s="2"/>
      <c r="P183" s="2"/>
      <c r="Q183" s="2"/>
      <c r="R183" s="2"/>
      <c r="S183" s="2"/>
      <c r="T183" s="2"/>
      <c r="U183" s="2"/>
      <c r="V183" s="2"/>
      <c r="W183" s="2"/>
      <c r="X183" s="2"/>
      <c r="Y183" s="2"/>
      <c r="Z183" s="2"/>
      <c r="AA183" s="2"/>
      <c r="AB183" s="2"/>
      <c r="AC183" s="2"/>
      <c r="AD183" s="2"/>
      <c r="AE183" s="66"/>
      <c r="AF183" s="2"/>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row>
    <row r="184" spans="1:62" x14ac:dyDescent="0.25">
      <c r="A184" s="1"/>
      <c r="B184" s="1"/>
      <c r="C184" s="1"/>
      <c r="D184" s="1"/>
      <c r="E184" s="1"/>
      <c r="F184" s="1"/>
      <c r="G184" s="1"/>
      <c r="H184" s="1"/>
      <c r="I184" s="2"/>
      <c r="J184" s="2"/>
      <c r="K184" s="2"/>
      <c r="L184" s="2"/>
      <c r="M184" s="2"/>
      <c r="N184" s="2"/>
      <c r="O184" s="2"/>
      <c r="P184" s="2"/>
      <c r="Q184" s="2"/>
      <c r="R184" s="2"/>
      <c r="S184" s="2"/>
      <c r="T184" s="2"/>
      <c r="U184" s="2"/>
      <c r="V184" s="2"/>
      <c r="W184" s="2"/>
      <c r="X184" s="2"/>
      <c r="Y184" s="2"/>
      <c r="Z184" s="2"/>
      <c r="AA184" s="2"/>
      <c r="AB184" s="2"/>
      <c r="AC184" s="2"/>
      <c r="AD184" s="2"/>
      <c r="AE184" s="66"/>
      <c r="AF184" s="2"/>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row>
    <row r="185" spans="1:62" x14ac:dyDescent="0.25">
      <c r="A185" s="1"/>
      <c r="B185" s="1"/>
      <c r="C185" s="1"/>
      <c r="D185" s="1"/>
      <c r="E185" s="1"/>
      <c r="F185" s="1"/>
      <c r="G185" s="1"/>
      <c r="H185" s="1"/>
      <c r="I185" s="2"/>
      <c r="J185" s="2"/>
      <c r="K185" s="2"/>
      <c r="L185" s="2"/>
      <c r="M185" s="2"/>
      <c r="N185" s="2"/>
      <c r="O185" s="2"/>
      <c r="P185" s="2"/>
      <c r="Q185" s="2"/>
      <c r="R185" s="2"/>
      <c r="S185" s="2"/>
      <c r="T185" s="2"/>
      <c r="U185" s="2"/>
      <c r="V185" s="2"/>
      <c r="W185" s="2"/>
      <c r="X185" s="2"/>
      <c r="Y185" s="2"/>
      <c r="Z185" s="2"/>
      <c r="AA185" s="2"/>
      <c r="AB185" s="2"/>
      <c r="AC185" s="2"/>
      <c r="AD185" s="2"/>
      <c r="AE185" s="66"/>
      <c r="AF185" s="2"/>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row>
    <row r="186" spans="1:62" x14ac:dyDescent="0.25">
      <c r="A186" s="1"/>
      <c r="B186" s="1"/>
      <c r="C186" s="1"/>
      <c r="D186" s="1"/>
      <c r="E186" s="1"/>
      <c r="F186" s="1"/>
      <c r="G186" s="1"/>
      <c r="H186" s="1"/>
      <c r="I186" s="2"/>
      <c r="J186" s="2"/>
      <c r="K186" s="2"/>
      <c r="L186" s="2"/>
      <c r="M186" s="2"/>
      <c r="N186" s="2"/>
      <c r="O186" s="2"/>
      <c r="P186" s="2"/>
      <c r="Q186" s="2"/>
      <c r="R186" s="2"/>
      <c r="S186" s="2"/>
      <c r="T186" s="2"/>
      <c r="U186" s="2"/>
      <c r="V186" s="2"/>
      <c r="W186" s="2"/>
      <c r="X186" s="2"/>
      <c r="Y186" s="2"/>
      <c r="Z186" s="2"/>
      <c r="AA186" s="2"/>
      <c r="AB186" s="2"/>
      <c r="AC186" s="2"/>
      <c r="AD186" s="2"/>
      <c r="AE186" s="66"/>
      <c r="AF186" s="2"/>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row>
    <row r="187" spans="1:62" x14ac:dyDescent="0.25">
      <c r="A187" s="1"/>
      <c r="B187" s="1"/>
      <c r="C187" s="1"/>
      <c r="D187" s="1"/>
      <c r="E187" s="1"/>
      <c r="F187" s="1"/>
      <c r="G187" s="1"/>
      <c r="H187" s="1"/>
      <c r="I187" s="2"/>
      <c r="J187" s="2"/>
      <c r="K187" s="2"/>
      <c r="L187" s="2"/>
      <c r="M187" s="2"/>
      <c r="N187" s="2"/>
      <c r="O187" s="2"/>
      <c r="P187" s="2"/>
      <c r="Q187" s="2"/>
      <c r="R187" s="2"/>
      <c r="S187" s="2"/>
      <c r="T187" s="2"/>
      <c r="U187" s="2"/>
      <c r="V187" s="2"/>
      <c r="W187" s="2"/>
      <c r="X187" s="2"/>
      <c r="Y187" s="2"/>
      <c r="Z187" s="2"/>
      <c r="AA187" s="2"/>
      <c r="AB187" s="2"/>
      <c r="AC187" s="2"/>
      <c r="AD187" s="2"/>
      <c r="AE187" s="66"/>
      <c r="AF187" s="2"/>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row>
    <row r="188" spans="1:62" x14ac:dyDescent="0.25">
      <c r="A188" s="1"/>
      <c r="B188" s="1"/>
      <c r="C188" s="1"/>
      <c r="D188" s="1"/>
      <c r="E188" s="1"/>
      <c r="F188" s="1"/>
      <c r="G188" s="1"/>
      <c r="H188" s="1"/>
      <c r="I188" s="2"/>
      <c r="J188" s="2"/>
      <c r="K188" s="2"/>
      <c r="L188" s="2"/>
      <c r="M188" s="2"/>
      <c r="N188" s="2"/>
      <c r="O188" s="2"/>
      <c r="P188" s="2"/>
      <c r="Q188" s="2"/>
      <c r="R188" s="2"/>
      <c r="S188" s="2"/>
      <c r="T188" s="2"/>
      <c r="U188" s="2"/>
      <c r="V188" s="2"/>
      <c r="W188" s="2"/>
      <c r="X188" s="2"/>
      <c r="Y188" s="2"/>
      <c r="Z188" s="2"/>
      <c r="AA188" s="2"/>
      <c r="AB188" s="2"/>
      <c r="AC188" s="2"/>
      <c r="AD188" s="2"/>
      <c r="AE188" s="66"/>
      <c r="AF188" s="2"/>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row>
    <row r="189" spans="1:62" x14ac:dyDescent="0.25">
      <c r="A189" s="1"/>
      <c r="B189" s="1"/>
      <c r="C189" s="1"/>
      <c r="D189" s="1"/>
      <c r="E189" s="1"/>
      <c r="F189" s="1"/>
      <c r="G189" s="1"/>
      <c r="H189" s="1"/>
      <c r="I189" s="2"/>
      <c r="J189" s="2"/>
      <c r="K189" s="2"/>
      <c r="L189" s="2"/>
      <c r="M189" s="2"/>
      <c r="N189" s="2"/>
      <c r="O189" s="2"/>
      <c r="P189" s="2"/>
      <c r="Q189" s="2"/>
      <c r="R189" s="2"/>
      <c r="S189" s="2"/>
      <c r="T189" s="2"/>
      <c r="U189" s="2"/>
      <c r="V189" s="2"/>
      <c r="W189" s="2"/>
      <c r="X189" s="2"/>
      <c r="Y189" s="2"/>
      <c r="Z189" s="2"/>
      <c r="AA189" s="2"/>
      <c r="AB189" s="2"/>
      <c r="AC189" s="2"/>
      <c r="AD189" s="2"/>
      <c r="AE189" s="66"/>
      <c r="AF189" s="2"/>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row>
    <row r="190" spans="1:62" x14ac:dyDescent="0.25">
      <c r="A190" s="1"/>
      <c r="B190" s="1"/>
      <c r="C190" s="1"/>
      <c r="D190" s="1"/>
      <c r="E190" s="1"/>
      <c r="F190" s="1"/>
      <c r="G190" s="1"/>
      <c r="H190" s="1"/>
      <c r="I190" s="2"/>
      <c r="J190" s="2"/>
      <c r="K190" s="2"/>
      <c r="L190" s="2"/>
      <c r="M190" s="2"/>
      <c r="N190" s="2"/>
      <c r="O190" s="2"/>
      <c r="P190" s="2"/>
      <c r="Q190" s="2"/>
      <c r="R190" s="2"/>
      <c r="S190" s="2"/>
      <c r="T190" s="2"/>
      <c r="U190" s="2"/>
      <c r="V190" s="2"/>
      <c r="W190" s="2"/>
      <c r="X190" s="2"/>
      <c r="Y190" s="2"/>
      <c r="Z190" s="2"/>
      <c r="AA190" s="2"/>
      <c r="AB190" s="2"/>
      <c r="AC190" s="2"/>
      <c r="AD190" s="2"/>
      <c r="AE190" s="66"/>
      <c r="AF190" s="2"/>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row>
    <row r="191" spans="1:62" x14ac:dyDescent="0.25">
      <c r="A191" s="1"/>
      <c r="B191" s="1"/>
      <c r="C191" s="1"/>
      <c r="D191" s="1"/>
      <c r="E191" s="1"/>
      <c r="F191" s="1"/>
      <c r="G191" s="1"/>
      <c r="H191" s="1"/>
      <c r="I191" s="2"/>
      <c r="J191" s="2"/>
      <c r="K191" s="2"/>
      <c r="L191" s="2"/>
      <c r="M191" s="2"/>
      <c r="N191" s="2"/>
      <c r="O191" s="2"/>
      <c r="P191" s="2"/>
      <c r="Q191" s="2"/>
      <c r="R191" s="2"/>
      <c r="S191" s="2"/>
      <c r="T191" s="2"/>
      <c r="U191" s="2"/>
      <c r="V191" s="2"/>
      <c r="W191" s="2"/>
      <c r="X191" s="2"/>
      <c r="Y191" s="2"/>
      <c r="Z191" s="2"/>
      <c r="AA191" s="2"/>
      <c r="AB191" s="2"/>
      <c r="AC191" s="2"/>
      <c r="AD191" s="2"/>
      <c r="AE191" s="66"/>
      <c r="AF191" s="2"/>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row>
    <row r="192" spans="1:62" x14ac:dyDescent="0.25">
      <c r="A192" s="1"/>
      <c r="B192" s="1"/>
      <c r="C192" s="1"/>
      <c r="D192" s="1"/>
      <c r="E192" s="1"/>
      <c r="F192" s="1"/>
      <c r="G192" s="1"/>
      <c r="H192" s="1"/>
      <c r="I192" s="2"/>
      <c r="J192" s="2"/>
      <c r="K192" s="2"/>
      <c r="L192" s="2"/>
      <c r="M192" s="2"/>
      <c r="N192" s="2"/>
      <c r="O192" s="2"/>
      <c r="P192" s="2"/>
      <c r="Q192" s="2"/>
      <c r="R192" s="2"/>
      <c r="S192" s="2"/>
      <c r="T192" s="2"/>
      <c r="U192" s="2"/>
      <c r="V192" s="2"/>
      <c r="W192" s="2"/>
      <c r="X192" s="2"/>
      <c r="Y192" s="2"/>
      <c r="Z192" s="2"/>
      <c r="AA192" s="2"/>
      <c r="AB192" s="2"/>
      <c r="AC192" s="2"/>
      <c r="AD192" s="2"/>
      <c r="AE192" s="66"/>
      <c r="AF192" s="2"/>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row>
    <row r="193" spans="1:62" x14ac:dyDescent="0.25">
      <c r="A193" s="1"/>
      <c r="B193" s="1"/>
      <c r="C193" s="1"/>
      <c r="D193" s="1"/>
      <c r="E193" s="1"/>
      <c r="F193" s="1"/>
      <c r="G193" s="1"/>
      <c r="H193" s="1"/>
      <c r="I193" s="2"/>
      <c r="J193" s="2"/>
      <c r="K193" s="2"/>
      <c r="L193" s="2"/>
      <c r="M193" s="2"/>
      <c r="N193" s="2"/>
      <c r="O193" s="2"/>
      <c r="P193" s="2"/>
      <c r="Q193" s="2"/>
      <c r="R193" s="2"/>
      <c r="S193" s="2"/>
      <c r="T193" s="2"/>
      <c r="U193" s="2"/>
      <c r="V193" s="2"/>
      <c r="W193" s="2"/>
      <c r="X193" s="2"/>
      <c r="Y193" s="2"/>
      <c r="Z193" s="2"/>
      <c r="AA193" s="2"/>
      <c r="AB193" s="2"/>
      <c r="AC193" s="2"/>
      <c r="AD193" s="2"/>
      <c r="AE193" s="66"/>
      <c r="AF193" s="2"/>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row>
    <row r="194" spans="1:62" x14ac:dyDescent="0.25">
      <c r="A194" s="1"/>
      <c r="B194" s="1"/>
      <c r="C194" s="1"/>
      <c r="D194" s="1"/>
      <c r="E194" s="1"/>
      <c r="F194" s="1"/>
      <c r="G194" s="1"/>
      <c r="H194" s="1"/>
      <c r="I194" s="2"/>
      <c r="J194" s="2"/>
      <c r="K194" s="2"/>
      <c r="L194" s="2"/>
      <c r="M194" s="2"/>
      <c r="N194" s="2"/>
      <c r="O194" s="2"/>
      <c r="P194" s="2"/>
      <c r="Q194" s="2"/>
      <c r="R194" s="2"/>
      <c r="S194" s="2"/>
      <c r="T194" s="2"/>
      <c r="U194" s="2"/>
      <c r="V194" s="2"/>
      <c r="W194" s="2"/>
      <c r="X194" s="2"/>
      <c r="Y194" s="2"/>
      <c r="Z194" s="2"/>
      <c r="AA194" s="2"/>
      <c r="AB194" s="2"/>
      <c r="AC194" s="2"/>
      <c r="AD194" s="2"/>
      <c r="AE194" s="66"/>
      <c r="AF194" s="2"/>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row>
    <row r="195" spans="1:62" x14ac:dyDescent="0.25">
      <c r="A195" s="1"/>
      <c r="B195" s="1"/>
      <c r="C195" s="1"/>
      <c r="D195" s="1"/>
      <c r="E195" s="1"/>
      <c r="F195" s="1"/>
      <c r="G195" s="1"/>
      <c r="H195" s="1"/>
      <c r="I195" s="2"/>
      <c r="J195" s="2"/>
      <c r="K195" s="2"/>
      <c r="L195" s="2"/>
      <c r="M195" s="2"/>
      <c r="N195" s="2"/>
      <c r="O195" s="2"/>
      <c r="P195" s="2"/>
      <c r="Q195" s="2"/>
      <c r="R195" s="2"/>
      <c r="S195" s="2"/>
      <c r="T195" s="2"/>
      <c r="U195" s="2"/>
      <c r="V195" s="2"/>
      <c r="W195" s="2"/>
      <c r="X195" s="2"/>
      <c r="Y195" s="2"/>
      <c r="Z195" s="2"/>
      <c r="AA195" s="2"/>
      <c r="AB195" s="2"/>
      <c r="AC195" s="2"/>
      <c r="AD195" s="2"/>
      <c r="AE195" s="66"/>
      <c r="AF195" s="2"/>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row>
    <row r="196" spans="1:62" x14ac:dyDescent="0.25">
      <c r="A196" s="1"/>
      <c r="B196" s="1"/>
      <c r="C196" s="1"/>
      <c r="D196" s="1"/>
      <c r="E196" s="1"/>
      <c r="F196" s="1"/>
      <c r="G196" s="1"/>
      <c r="H196" s="1"/>
      <c r="I196" s="2"/>
      <c r="J196" s="2"/>
      <c r="K196" s="2"/>
      <c r="L196" s="2"/>
      <c r="M196" s="2"/>
      <c r="N196" s="2"/>
      <c r="O196" s="2"/>
      <c r="P196" s="2"/>
      <c r="Q196" s="2"/>
      <c r="R196" s="2"/>
      <c r="S196" s="2"/>
      <c r="T196" s="2"/>
      <c r="U196" s="2"/>
      <c r="V196" s="2"/>
      <c r="W196" s="2"/>
      <c r="X196" s="2"/>
      <c r="Y196" s="2"/>
      <c r="Z196" s="2"/>
      <c r="AA196" s="2"/>
      <c r="AB196" s="2"/>
      <c r="AC196" s="2"/>
      <c r="AD196" s="2"/>
      <c r="AE196" s="66"/>
      <c r="AF196" s="2"/>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row>
    <row r="197" spans="1:62" x14ac:dyDescent="0.25">
      <c r="A197" s="1"/>
      <c r="B197" s="1"/>
      <c r="C197" s="1"/>
      <c r="D197" s="1"/>
      <c r="E197" s="1"/>
      <c r="F197" s="1"/>
      <c r="G197" s="1"/>
      <c r="H197" s="1"/>
      <c r="I197" s="2"/>
      <c r="J197" s="2"/>
      <c r="K197" s="2"/>
      <c r="L197" s="2"/>
      <c r="M197" s="2"/>
      <c r="N197" s="2"/>
      <c r="O197" s="2"/>
      <c r="P197" s="2"/>
      <c r="Q197" s="2"/>
      <c r="R197" s="2"/>
      <c r="S197" s="2"/>
      <c r="T197" s="2"/>
      <c r="U197" s="2"/>
      <c r="V197" s="2"/>
      <c r="W197" s="2"/>
      <c r="X197" s="2"/>
      <c r="Y197" s="2"/>
      <c r="Z197" s="2"/>
      <c r="AA197" s="2"/>
      <c r="AB197" s="2"/>
      <c r="AC197" s="2"/>
      <c r="AD197" s="2"/>
      <c r="AE197" s="66"/>
      <c r="AF197" s="2"/>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row>
    <row r="198" spans="1:62" x14ac:dyDescent="0.25">
      <c r="A198" s="1"/>
      <c r="B198" s="1"/>
      <c r="C198" s="1"/>
      <c r="D198" s="1"/>
      <c r="E198" s="1"/>
      <c r="F198" s="1"/>
      <c r="G198" s="1"/>
      <c r="H198" s="1"/>
      <c r="I198" s="2"/>
      <c r="J198" s="2"/>
      <c r="K198" s="2"/>
      <c r="L198" s="2"/>
      <c r="M198" s="2"/>
      <c r="N198" s="2"/>
      <c r="O198" s="2"/>
      <c r="P198" s="2"/>
      <c r="Q198" s="2"/>
      <c r="R198" s="2"/>
      <c r="S198" s="2"/>
      <c r="T198" s="2"/>
      <c r="U198" s="2"/>
      <c r="V198" s="2"/>
      <c r="W198" s="2"/>
      <c r="X198" s="2"/>
      <c r="Y198" s="2"/>
      <c r="Z198" s="2"/>
      <c r="AA198" s="2"/>
      <c r="AB198" s="2"/>
      <c r="AC198" s="2"/>
      <c r="AD198" s="2"/>
      <c r="AE198" s="66"/>
      <c r="AF198" s="2"/>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row>
    <row r="199" spans="1:62" x14ac:dyDescent="0.25">
      <c r="A199" s="1"/>
      <c r="B199" s="1"/>
      <c r="C199" s="1"/>
      <c r="D199" s="1"/>
      <c r="E199" s="1"/>
      <c r="F199" s="1"/>
      <c r="G199" s="1"/>
      <c r="H199" s="1"/>
      <c r="I199" s="2"/>
      <c r="J199" s="2"/>
      <c r="K199" s="2"/>
      <c r="L199" s="2"/>
      <c r="M199" s="2"/>
      <c r="N199" s="2"/>
      <c r="O199" s="2"/>
      <c r="P199" s="2"/>
      <c r="Q199" s="2"/>
      <c r="R199" s="2"/>
      <c r="S199" s="2"/>
      <c r="T199" s="2"/>
      <c r="U199" s="2"/>
      <c r="V199" s="2"/>
      <c r="W199" s="2"/>
      <c r="X199" s="2"/>
      <c r="Y199" s="2"/>
      <c r="Z199" s="2"/>
      <c r="AA199" s="2"/>
      <c r="AB199" s="2"/>
      <c r="AC199" s="2"/>
      <c r="AD199" s="2"/>
      <c r="AE199" s="66"/>
      <c r="AF199" s="2"/>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row>
    <row r="200" spans="1:62" x14ac:dyDescent="0.25">
      <c r="A200" s="1"/>
      <c r="B200" s="1"/>
      <c r="C200" s="1"/>
      <c r="D200" s="1"/>
      <c r="E200" s="1"/>
      <c r="F200" s="1"/>
      <c r="G200" s="1"/>
      <c r="H200" s="1"/>
      <c r="I200" s="2"/>
      <c r="J200" s="2"/>
      <c r="K200" s="2"/>
      <c r="L200" s="2"/>
      <c r="M200" s="2"/>
      <c r="N200" s="2"/>
      <c r="O200" s="2"/>
      <c r="P200" s="2"/>
      <c r="Q200" s="2"/>
      <c r="R200" s="2"/>
      <c r="S200" s="2"/>
      <c r="T200" s="2"/>
      <c r="U200" s="2"/>
      <c r="V200" s="2"/>
      <c r="W200" s="2"/>
      <c r="X200" s="2"/>
      <c r="Y200" s="2"/>
      <c r="Z200" s="2"/>
      <c r="AA200" s="2"/>
      <c r="AB200" s="2"/>
      <c r="AC200" s="2"/>
      <c r="AD200" s="2"/>
      <c r="AE200" s="66"/>
      <c r="AF200" s="2"/>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row>
    <row r="201" spans="1:62" x14ac:dyDescent="0.25">
      <c r="A201" s="1"/>
      <c r="B201" s="1"/>
      <c r="C201" s="1"/>
      <c r="D201" s="1"/>
      <c r="E201" s="1"/>
      <c r="F201" s="1"/>
      <c r="G201" s="1"/>
      <c r="H201" s="1"/>
      <c r="I201" s="2"/>
      <c r="J201" s="2"/>
      <c r="K201" s="2"/>
      <c r="L201" s="2"/>
      <c r="M201" s="2"/>
      <c r="N201" s="2"/>
      <c r="O201" s="2"/>
      <c r="P201" s="2"/>
      <c r="Q201" s="2"/>
      <c r="R201" s="2"/>
      <c r="S201" s="2"/>
      <c r="T201" s="2"/>
      <c r="U201" s="2"/>
      <c r="V201" s="2"/>
      <c r="W201" s="2"/>
      <c r="X201" s="2"/>
      <c r="Y201" s="2"/>
      <c r="Z201" s="2"/>
      <c r="AA201" s="2"/>
      <c r="AB201" s="2"/>
      <c r="AC201" s="2"/>
      <c r="AD201" s="2"/>
      <c r="AE201" s="66"/>
      <c r="AF201" s="2"/>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row>
    <row r="202" spans="1:62" x14ac:dyDescent="0.25">
      <c r="A202" s="1"/>
      <c r="B202" s="1"/>
      <c r="C202" s="1"/>
      <c r="D202" s="1"/>
      <c r="E202" s="1"/>
      <c r="F202" s="1"/>
      <c r="G202" s="1"/>
      <c r="H202" s="1"/>
      <c r="I202" s="2"/>
      <c r="J202" s="2"/>
      <c r="K202" s="2"/>
      <c r="L202" s="2"/>
      <c r="M202" s="2"/>
      <c r="N202" s="2"/>
      <c r="O202" s="2"/>
      <c r="P202" s="2"/>
      <c r="Q202" s="2"/>
      <c r="R202" s="2"/>
      <c r="S202" s="2"/>
      <c r="T202" s="2"/>
      <c r="U202" s="2"/>
      <c r="V202" s="2"/>
      <c r="W202" s="2"/>
      <c r="X202" s="2"/>
      <c r="Y202" s="2"/>
      <c r="Z202" s="2"/>
      <c r="AA202" s="2"/>
      <c r="AB202" s="2"/>
      <c r="AC202" s="2"/>
      <c r="AD202" s="2"/>
      <c r="AE202" s="66"/>
      <c r="AF202" s="2"/>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row>
    <row r="203" spans="1:62" x14ac:dyDescent="0.25">
      <c r="A203" s="1"/>
      <c r="B203" s="1"/>
      <c r="C203" s="1"/>
      <c r="D203" s="1"/>
      <c r="E203" s="1"/>
      <c r="F203" s="1"/>
      <c r="G203" s="1"/>
      <c r="H203" s="1"/>
      <c r="I203" s="2"/>
      <c r="J203" s="2"/>
      <c r="K203" s="2"/>
      <c r="L203" s="2"/>
      <c r="M203" s="2"/>
      <c r="N203" s="2"/>
      <c r="O203" s="2"/>
      <c r="P203" s="2"/>
      <c r="Q203" s="2"/>
      <c r="R203" s="2"/>
      <c r="S203" s="2"/>
      <c r="T203" s="2"/>
      <c r="U203" s="2"/>
      <c r="V203" s="2"/>
      <c r="W203" s="2"/>
      <c r="X203" s="2"/>
      <c r="Y203" s="2"/>
      <c r="Z203" s="2"/>
      <c r="AA203" s="2"/>
      <c r="AB203" s="2"/>
      <c r="AC203" s="2"/>
      <c r="AD203" s="2"/>
      <c r="AE203" s="66"/>
      <c r="AF203" s="2"/>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row>
    <row r="204" spans="1:62" x14ac:dyDescent="0.25">
      <c r="A204" s="1"/>
      <c r="B204" s="1"/>
      <c r="C204" s="1"/>
      <c r="D204" s="1"/>
      <c r="E204" s="1"/>
      <c r="F204" s="1"/>
      <c r="G204" s="1"/>
      <c r="H204" s="1"/>
      <c r="I204" s="2"/>
      <c r="J204" s="2"/>
      <c r="K204" s="2"/>
      <c r="L204" s="2"/>
      <c r="M204" s="2"/>
      <c r="N204" s="2"/>
      <c r="O204" s="2"/>
      <c r="P204" s="2"/>
      <c r="Q204" s="2"/>
      <c r="R204" s="2"/>
      <c r="S204" s="2"/>
      <c r="T204" s="2"/>
      <c r="U204" s="2"/>
      <c r="V204" s="2"/>
      <c r="W204" s="2"/>
      <c r="X204" s="2"/>
      <c r="Y204" s="2"/>
      <c r="Z204" s="2"/>
      <c r="AA204" s="2"/>
      <c r="AB204" s="2"/>
      <c r="AC204" s="2"/>
      <c r="AD204" s="2"/>
      <c r="AE204" s="66"/>
      <c r="AF204" s="2"/>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row>
    <row r="205" spans="1:62" x14ac:dyDescent="0.25">
      <c r="A205" s="1"/>
      <c r="B205" s="1"/>
      <c r="C205" s="1"/>
      <c r="D205" s="1"/>
      <c r="E205" s="1"/>
      <c r="F205" s="1"/>
      <c r="G205" s="1"/>
      <c r="H205" s="1"/>
      <c r="I205" s="2"/>
      <c r="J205" s="2"/>
      <c r="K205" s="2"/>
      <c r="L205" s="2"/>
      <c r="M205" s="2"/>
      <c r="N205" s="2"/>
      <c r="O205" s="2"/>
      <c r="P205" s="2"/>
      <c r="Q205" s="2"/>
      <c r="R205" s="2"/>
      <c r="S205" s="2"/>
      <c r="T205" s="2"/>
      <c r="U205" s="2"/>
      <c r="V205" s="2"/>
      <c r="W205" s="2"/>
      <c r="X205" s="2"/>
      <c r="Y205" s="2"/>
      <c r="Z205" s="2"/>
      <c r="AA205" s="2"/>
      <c r="AB205" s="2"/>
      <c r="AC205" s="2"/>
      <c r="AD205" s="2"/>
      <c r="AE205" s="66"/>
      <c r="AF205" s="2"/>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row>
    <row r="206" spans="1:62" x14ac:dyDescent="0.25">
      <c r="A206" s="1"/>
      <c r="B206" s="1"/>
      <c r="C206" s="1"/>
      <c r="D206" s="1"/>
      <c r="E206" s="1"/>
      <c r="F206" s="1"/>
      <c r="G206" s="1"/>
      <c r="H206" s="1"/>
      <c r="I206" s="2"/>
      <c r="J206" s="2"/>
      <c r="K206" s="2"/>
      <c r="L206" s="2"/>
      <c r="M206" s="2"/>
      <c r="N206" s="2"/>
      <c r="O206" s="2"/>
      <c r="P206" s="2"/>
      <c r="Q206" s="2"/>
      <c r="R206" s="2"/>
      <c r="S206" s="2"/>
      <c r="T206" s="2"/>
      <c r="U206" s="2"/>
      <c r="V206" s="2"/>
      <c r="W206" s="2"/>
      <c r="X206" s="2"/>
      <c r="Y206" s="2"/>
      <c r="Z206" s="2"/>
      <c r="AA206" s="2"/>
      <c r="AB206" s="2"/>
      <c r="AC206" s="2"/>
      <c r="AD206" s="2"/>
      <c r="AE206" s="66"/>
      <c r="AF206" s="2"/>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row>
    <row r="207" spans="1:62" x14ac:dyDescent="0.25">
      <c r="A207" s="1"/>
      <c r="B207" s="1"/>
      <c r="C207" s="1"/>
      <c r="D207" s="1"/>
      <c r="E207" s="1"/>
      <c r="F207" s="1"/>
      <c r="G207" s="1"/>
      <c r="H207" s="1"/>
      <c r="I207" s="2"/>
      <c r="J207" s="2"/>
      <c r="K207" s="2"/>
      <c r="L207" s="2"/>
      <c r="M207" s="2"/>
      <c r="N207" s="2"/>
      <c r="O207" s="2"/>
      <c r="P207" s="2"/>
      <c r="Q207" s="2"/>
      <c r="R207" s="2"/>
      <c r="S207" s="2"/>
      <c r="T207" s="2"/>
      <c r="U207" s="2"/>
      <c r="V207" s="2"/>
      <c r="W207" s="2"/>
      <c r="X207" s="2"/>
      <c r="Y207" s="2"/>
      <c r="Z207" s="2"/>
      <c r="AA207" s="2"/>
      <c r="AB207" s="2"/>
      <c r="AC207" s="2"/>
      <c r="AD207" s="2"/>
      <c r="AE207" s="66"/>
      <c r="AF207" s="2"/>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row>
    <row r="208" spans="1:62" x14ac:dyDescent="0.25">
      <c r="A208" s="1"/>
      <c r="B208" s="1"/>
      <c r="C208" s="1"/>
      <c r="D208" s="1"/>
      <c r="E208" s="1"/>
      <c r="F208" s="1"/>
      <c r="G208" s="1"/>
      <c r="H208" s="1"/>
      <c r="I208" s="2"/>
      <c r="J208" s="2"/>
      <c r="K208" s="2"/>
      <c r="L208" s="2"/>
      <c r="M208" s="2"/>
      <c r="N208" s="2"/>
      <c r="O208" s="2"/>
      <c r="P208" s="2"/>
      <c r="Q208" s="2"/>
      <c r="R208" s="2"/>
      <c r="S208" s="2"/>
      <c r="T208" s="2"/>
      <c r="U208" s="2"/>
      <c r="V208" s="2"/>
      <c r="W208" s="2"/>
      <c r="X208" s="2"/>
      <c r="Y208" s="2"/>
      <c r="Z208" s="2"/>
      <c r="AA208" s="2"/>
      <c r="AB208" s="2"/>
      <c r="AC208" s="2"/>
      <c r="AD208" s="2"/>
      <c r="AE208" s="66"/>
      <c r="AF208" s="2"/>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row>
    <row r="209" spans="1:62" x14ac:dyDescent="0.25">
      <c r="A209" s="1"/>
      <c r="B209" s="1"/>
      <c r="C209" s="1"/>
      <c r="D209" s="1"/>
      <c r="E209" s="1"/>
      <c r="F209" s="1"/>
      <c r="G209" s="1"/>
      <c r="H209" s="1"/>
      <c r="I209" s="2"/>
      <c r="J209" s="2"/>
      <c r="K209" s="2"/>
      <c r="L209" s="2"/>
      <c r="M209" s="2"/>
      <c r="N209" s="2"/>
      <c r="O209" s="2"/>
      <c r="P209" s="2"/>
      <c r="Q209" s="2"/>
      <c r="R209" s="2"/>
      <c r="S209" s="2"/>
      <c r="T209" s="2"/>
      <c r="U209" s="2"/>
      <c r="V209" s="2"/>
      <c r="W209" s="2"/>
      <c r="X209" s="2"/>
      <c r="Y209" s="2"/>
      <c r="Z209" s="2"/>
      <c r="AA209" s="2"/>
      <c r="AB209" s="2"/>
      <c r="AC209" s="2"/>
      <c r="AD209" s="2"/>
      <c r="AE209" s="66"/>
      <c r="AF209" s="2"/>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row>
    <row r="210" spans="1:62" x14ac:dyDescent="0.25">
      <c r="A210" s="1"/>
      <c r="B210" s="1"/>
      <c r="C210" s="1"/>
      <c r="D210" s="1"/>
      <c r="E210" s="1"/>
      <c r="F210" s="1"/>
      <c r="G210" s="1"/>
      <c r="H210" s="1"/>
      <c r="I210" s="2"/>
      <c r="J210" s="2"/>
      <c r="K210" s="2"/>
      <c r="L210" s="2"/>
      <c r="M210" s="2"/>
      <c r="N210" s="2"/>
      <c r="O210" s="2"/>
      <c r="P210" s="2"/>
      <c r="Q210" s="2"/>
      <c r="R210" s="2"/>
      <c r="S210" s="2"/>
      <c r="T210" s="2"/>
      <c r="U210" s="2"/>
      <c r="V210" s="2"/>
      <c r="W210" s="2"/>
      <c r="X210" s="2"/>
      <c r="Y210" s="2"/>
      <c r="Z210" s="2"/>
      <c r="AA210" s="2"/>
      <c r="AB210" s="2"/>
      <c r="AC210" s="2"/>
      <c r="AD210" s="2"/>
      <c r="AE210" s="66"/>
      <c r="AF210" s="2"/>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row>
    <row r="211" spans="1:62" x14ac:dyDescent="0.25">
      <c r="A211" s="1"/>
      <c r="B211" s="1"/>
      <c r="C211" s="1"/>
      <c r="D211" s="1"/>
      <c r="E211" s="1"/>
      <c r="F211" s="1"/>
      <c r="G211" s="1"/>
      <c r="H211" s="1"/>
      <c r="I211" s="2"/>
      <c r="J211" s="2"/>
      <c r="K211" s="2"/>
      <c r="L211" s="2"/>
      <c r="M211" s="2"/>
      <c r="N211" s="2"/>
      <c r="O211" s="2"/>
      <c r="P211" s="2"/>
      <c r="Q211" s="2"/>
      <c r="R211" s="2"/>
      <c r="S211" s="2"/>
      <c r="T211" s="2"/>
      <c r="U211" s="2"/>
      <c r="V211" s="2"/>
      <c r="W211" s="2"/>
      <c r="X211" s="2"/>
      <c r="Y211" s="2"/>
      <c r="Z211" s="2"/>
      <c r="AA211" s="2"/>
      <c r="AB211" s="2"/>
      <c r="AC211" s="2"/>
      <c r="AD211" s="2"/>
      <c r="AE211" s="66"/>
      <c r="AF211" s="2"/>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row>
    <row r="212" spans="1:62" x14ac:dyDescent="0.25">
      <c r="A212" s="1"/>
      <c r="B212" s="1"/>
      <c r="C212" s="1"/>
      <c r="D212" s="1"/>
      <c r="E212" s="1"/>
      <c r="F212" s="1"/>
      <c r="G212" s="1"/>
      <c r="H212" s="1"/>
      <c r="I212" s="2"/>
      <c r="J212" s="2"/>
      <c r="K212" s="2"/>
      <c r="L212" s="2"/>
      <c r="M212" s="2"/>
      <c r="N212" s="2"/>
      <c r="O212" s="2"/>
      <c r="P212" s="2"/>
      <c r="Q212" s="2"/>
      <c r="R212" s="2"/>
      <c r="S212" s="2"/>
      <c r="T212" s="2"/>
      <c r="U212" s="2"/>
      <c r="V212" s="2"/>
      <c r="W212" s="2"/>
      <c r="X212" s="2"/>
      <c r="Y212" s="2"/>
      <c r="Z212" s="2"/>
      <c r="AA212" s="2"/>
      <c r="AB212" s="2"/>
      <c r="AC212" s="2"/>
      <c r="AD212" s="2"/>
      <c r="AE212" s="66"/>
      <c r="AF212" s="2"/>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row>
    <row r="213" spans="1:62" x14ac:dyDescent="0.25">
      <c r="A213" s="1"/>
      <c r="B213" s="1"/>
      <c r="C213" s="1"/>
      <c r="D213" s="1"/>
      <c r="E213" s="1"/>
      <c r="F213" s="1"/>
      <c r="G213" s="1"/>
      <c r="H213" s="1"/>
      <c r="I213" s="2"/>
      <c r="J213" s="2"/>
      <c r="K213" s="2"/>
      <c r="L213" s="2"/>
      <c r="M213" s="2"/>
      <c r="N213" s="2"/>
      <c r="O213" s="2"/>
      <c r="P213" s="2"/>
      <c r="Q213" s="2"/>
      <c r="R213" s="2"/>
      <c r="S213" s="2"/>
      <c r="T213" s="2"/>
      <c r="U213" s="2"/>
      <c r="V213" s="2"/>
      <c r="W213" s="2"/>
      <c r="X213" s="2"/>
      <c r="Y213" s="2"/>
      <c r="Z213" s="2"/>
      <c r="AA213" s="2"/>
      <c r="AB213" s="2"/>
      <c r="AC213" s="2"/>
      <c r="AD213" s="2"/>
      <c r="AE213" s="66"/>
      <c r="AF213" s="2"/>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row>
    <row r="214" spans="1:62" x14ac:dyDescent="0.25">
      <c r="A214" s="1"/>
      <c r="B214" s="1"/>
      <c r="C214" s="1"/>
      <c r="D214" s="1"/>
      <c r="E214" s="1"/>
      <c r="F214" s="1"/>
      <c r="G214" s="1"/>
      <c r="H214" s="1"/>
      <c r="I214" s="2"/>
      <c r="J214" s="2"/>
      <c r="K214" s="2"/>
      <c r="L214" s="2"/>
      <c r="M214" s="2"/>
      <c r="N214" s="2"/>
      <c r="O214" s="2"/>
      <c r="P214" s="2"/>
      <c r="Q214" s="2"/>
      <c r="R214" s="2"/>
      <c r="S214" s="2"/>
      <c r="T214" s="2"/>
      <c r="U214" s="2"/>
      <c r="V214" s="2"/>
      <c r="W214" s="2"/>
      <c r="X214" s="2"/>
      <c r="Y214" s="2"/>
      <c r="Z214" s="2"/>
      <c r="AA214" s="2"/>
      <c r="AB214" s="2"/>
      <c r="AC214" s="2"/>
      <c r="AD214" s="2"/>
      <c r="AE214" s="66"/>
      <c r="AF214" s="2"/>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row>
    <row r="215" spans="1:62" x14ac:dyDescent="0.25">
      <c r="A215" s="1"/>
      <c r="B215" s="1"/>
      <c r="C215" s="1"/>
      <c r="D215" s="1"/>
      <c r="E215" s="1"/>
      <c r="F215" s="1"/>
      <c r="G215" s="1"/>
      <c r="H215" s="1"/>
      <c r="I215" s="2"/>
      <c r="J215" s="2"/>
      <c r="K215" s="2"/>
      <c r="L215" s="2"/>
      <c r="M215" s="2"/>
      <c r="N215" s="2"/>
      <c r="O215" s="2"/>
      <c r="P215" s="2"/>
      <c r="Q215" s="2"/>
      <c r="R215" s="2"/>
      <c r="S215" s="2"/>
      <c r="T215" s="2"/>
      <c r="U215" s="2"/>
      <c r="V215" s="2"/>
      <c r="W215" s="2"/>
      <c r="X215" s="2"/>
      <c r="Y215" s="2"/>
      <c r="Z215" s="2"/>
      <c r="AA215" s="2"/>
      <c r="AB215" s="2"/>
      <c r="AC215" s="2"/>
      <c r="AD215" s="2"/>
      <c r="AE215" s="66"/>
      <c r="AF215" s="2"/>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row>
    <row r="216" spans="1:62" x14ac:dyDescent="0.25">
      <c r="A216" s="1"/>
      <c r="B216" s="1"/>
      <c r="C216" s="1"/>
      <c r="D216" s="1"/>
      <c r="E216" s="1"/>
      <c r="F216" s="1"/>
      <c r="G216" s="1"/>
      <c r="H216" s="1"/>
      <c r="I216" s="2"/>
      <c r="J216" s="2"/>
      <c r="K216" s="2"/>
      <c r="L216" s="2"/>
      <c r="M216" s="2"/>
      <c r="N216" s="2"/>
      <c r="O216" s="2"/>
      <c r="P216" s="2"/>
      <c r="Q216" s="2"/>
      <c r="R216" s="2"/>
      <c r="S216" s="2"/>
      <c r="T216" s="2"/>
      <c r="U216" s="2"/>
      <c r="V216" s="2"/>
      <c r="W216" s="2"/>
      <c r="X216" s="2"/>
      <c r="Y216" s="2"/>
      <c r="Z216" s="2"/>
      <c r="AA216" s="2"/>
      <c r="AB216" s="2"/>
      <c r="AC216" s="2"/>
      <c r="AD216" s="2"/>
      <c r="AE216" s="66"/>
      <c r="AF216" s="2"/>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row>
    <row r="217" spans="1:62" x14ac:dyDescent="0.25">
      <c r="A217" s="1"/>
      <c r="B217" s="1"/>
      <c r="C217" s="1"/>
      <c r="D217" s="1"/>
      <c r="E217" s="1"/>
      <c r="F217" s="1"/>
      <c r="G217" s="1"/>
      <c r="H217" s="1"/>
      <c r="I217" s="2"/>
      <c r="J217" s="2"/>
      <c r="K217" s="2"/>
      <c r="L217" s="2"/>
      <c r="M217" s="2"/>
      <c r="N217" s="2"/>
      <c r="O217" s="2"/>
      <c r="P217" s="2"/>
      <c r="Q217" s="2"/>
      <c r="R217" s="2"/>
      <c r="S217" s="2"/>
      <c r="T217" s="2"/>
      <c r="U217" s="2"/>
      <c r="V217" s="2"/>
      <c r="W217" s="2"/>
      <c r="X217" s="2"/>
      <c r="Y217" s="2"/>
      <c r="Z217" s="2"/>
      <c r="AA217" s="2"/>
      <c r="AB217" s="2"/>
      <c r="AC217" s="2"/>
      <c r="AD217" s="2"/>
      <c r="AE217" s="66"/>
      <c r="AF217" s="2"/>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row>
    <row r="218" spans="1:62" x14ac:dyDescent="0.25">
      <c r="A218" s="1"/>
      <c r="B218" s="1"/>
      <c r="C218" s="1"/>
      <c r="D218" s="1"/>
      <c r="E218" s="1"/>
      <c r="F218" s="1"/>
      <c r="G218" s="1"/>
      <c r="H218" s="1"/>
      <c r="I218" s="2"/>
      <c r="J218" s="2"/>
      <c r="K218" s="2"/>
      <c r="L218" s="2"/>
      <c r="M218" s="2"/>
      <c r="N218" s="2"/>
      <c r="O218" s="2"/>
      <c r="P218" s="2"/>
      <c r="Q218" s="2"/>
      <c r="R218" s="2"/>
      <c r="S218" s="2"/>
      <c r="T218" s="2"/>
      <c r="U218" s="2"/>
      <c r="V218" s="2"/>
      <c r="W218" s="2"/>
      <c r="X218" s="2"/>
      <c r="Y218" s="2"/>
      <c r="Z218" s="2"/>
      <c r="AA218" s="2"/>
      <c r="AB218" s="2"/>
      <c r="AC218" s="2"/>
      <c r="AD218" s="2"/>
      <c r="AE218" s="66"/>
      <c r="AF218" s="2"/>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row>
    <row r="219" spans="1:62" x14ac:dyDescent="0.25">
      <c r="A219" s="1"/>
      <c r="B219" s="1"/>
      <c r="C219" s="1"/>
      <c r="D219" s="1"/>
      <c r="E219" s="1"/>
      <c r="F219" s="1"/>
      <c r="G219" s="1"/>
      <c r="H219" s="1"/>
      <c r="I219" s="2"/>
      <c r="J219" s="2"/>
      <c r="K219" s="2"/>
      <c r="L219" s="2"/>
      <c r="M219" s="2"/>
      <c r="N219" s="2"/>
      <c r="O219" s="2"/>
      <c r="P219" s="2"/>
      <c r="Q219" s="2"/>
      <c r="R219" s="2"/>
      <c r="S219" s="2"/>
      <c r="T219" s="2"/>
      <c r="U219" s="2"/>
      <c r="V219" s="2"/>
      <c r="W219" s="2"/>
      <c r="X219" s="2"/>
      <c r="Y219" s="2"/>
      <c r="Z219" s="2"/>
      <c r="AA219" s="2"/>
      <c r="AB219" s="2"/>
      <c r="AC219" s="2"/>
      <c r="AD219" s="2"/>
      <c r="AE219" s="66"/>
      <c r="AF219" s="2"/>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row>
    <row r="220" spans="1:62" x14ac:dyDescent="0.25">
      <c r="A220" s="1"/>
      <c r="B220" s="1"/>
      <c r="C220" s="1"/>
      <c r="D220" s="1"/>
      <c r="E220" s="1"/>
      <c r="F220" s="1"/>
      <c r="G220" s="1"/>
      <c r="H220" s="1"/>
      <c r="I220" s="2"/>
      <c r="J220" s="2"/>
      <c r="K220" s="2"/>
      <c r="L220" s="2"/>
      <c r="M220" s="2"/>
      <c r="N220" s="2"/>
      <c r="O220" s="2"/>
      <c r="P220" s="2"/>
      <c r="Q220" s="2"/>
      <c r="R220" s="2"/>
      <c r="S220" s="2"/>
      <c r="T220" s="2"/>
      <c r="U220" s="2"/>
      <c r="V220" s="2"/>
      <c r="W220" s="2"/>
      <c r="X220" s="2"/>
      <c r="Y220" s="2"/>
      <c r="Z220" s="2"/>
      <c r="AA220" s="2"/>
      <c r="AB220" s="2"/>
      <c r="AC220" s="2"/>
      <c r="AD220" s="2"/>
      <c r="AE220" s="66"/>
      <c r="AF220" s="2"/>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row>
    <row r="221" spans="1:62" x14ac:dyDescent="0.25">
      <c r="A221" s="1"/>
      <c r="B221" s="1"/>
      <c r="C221" s="1"/>
      <c r="D221" s="1"/>
      <c r="E221" s="1"/>
      <c r="F221" s="1"/>
      <c r="G221" s="1"/>
      <c r="H221" s="1"/>
      <c r="I221" s="2"/>
      <c r="J221" s="2"/>
      <c r="K221" s="2"/>
      <c r="L221" s="2"/>
      <c r="M221" s="2"/>
      <c r="N221" s="2"/>
      <c r="O221" s="2"/>
      <c r="P221" s="2"/>
      <c r="Q221" s="2"/>
      <c r="R221" s="2"/>
      <c r="S221" s="2"/>
      <c r="T221" s="2"/>
      <c r="U221" s="2"/>
      <c r="V221" s="2"/>
      <c r="W221" s="2"/>
      <c r="X221" s="2"/>
      <c r="Y221" s="2"/>
      <c r="Z221" s="2"/>
      <c r="AA221" s="2"/>
      <c r="AB221" s="2"/>
      <c r="AC221" s="2"/>
      <c r="AD221" s="2"/>
      <c r="AE221" s="66"/>
      <c r="AF221" s="2"/>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row>
    <row r="222" spans="1:62" x14ac:dyDescent="0.25">
      <c r="A222" s="1"/>
      <c r="B222" s="1"/>
      <c r="C222" s="1"/>
      <c r="D222" s="1"/>
      <c r="E222" s="1"/>
      <c r="F222" s="1"/>
      <c r="G222" s="1"/>
      <c r="H222" s="1"/>
      <c r="I222" s="2"/>
      <c r="J222" s="2"/>
      <c r="K222" s="2"/>
      <c r="L222" s="2"/>
      <c r="M222" s="2"/>
      <c r="N222" s="2"/>
      <c r="O222" s="2"/>
      <c r="P222" s="2"/>
      <c r="Q222" s="2"/>
      <c r="R222" s="2"/>
      <c r="S222" s="2"/>
      <c r="T222" s="2"/>
      <c r="U222" s="2"/>
      <c r="V222" s="2"/>
      <c r="W222" s="2"/>
      <c r="X222" s="2"/>
      <c r="Y222" s="2"/>
      <c r="Z222" s="2"/>
      <c r="AA222" s="2"/>
      <c r="AB222" s="2"/>
      <c r="AC222" s="2"/>
      <c r="AD222" s="2"/>
      <c r="AE222" s="66"/>
      <c r="AF222" s="2"/>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row>
    <row r="223" spans="1:62" x14ac:dyDescent="0.25">
      <c r="A223" s="1"/>
      <c r="B223" s="1"/>
      <c r="C223" s="1"/>
      <c r="D223" s="1"/>
      <c r="E223" s="1"/>
      <c r="F223" s="1"/>
      <c r="G223" s="1"/>
      <c r="H223" s="1"/>
      <c r="I223" s="2"/>
      <c r="J223" s="2"/>
      <c r="K223" s="2"/>
      <c r="L223" s="2"/>
      <c r="M223" s="2"/>
      <c r="N223" s="2"/>
      <c r="O223" s="2"/>
      <c r="P223" s="2"/>
      <c r="Q223" s="2"/>
      <c r="R223" s="2"/>
      <c r="S223" s="2"/>
      <c r="T223" s="2"/>
      <c r="U223" s="2"/>
      <c r="V223" s="2"/>
      <c r="W223" s="2"/>
      <c r="X223" s="2"/>
      <c r="Y223" s="2"/>
      <c r="Z223" s="2"/>
      <c r="AA223" s="2"/>
      <c r="AB223" s="2"/>
      <c r="AC223" s="2"/>
      <c r="AD223" s="2"/>
      <c r="AE223" s="66"/>
      <c r="AF223" s="2"/>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row>
    <row r="224" spans="1:62" x14ac:dyDescent="0.25">
      <c r="A224" s="1"/>
      <c r="B224" s="1"/>
      <c r="C224" s="1"/>
      <c r="D224" s="1"/>
      <c r="E224" s="1"/>
      <c r="F224" s="1"/>
      <c r="G224" s="1"/>
      <c r="H224" s="1"/>
      <c r="I224" s="2"/>
      <c r="J224" s="2"/>
      <c r="K224" s="2"/>
      <c r="L224" s="2"/>
      <c r="M224" s="2"/>
      <c r="N224" s="2"/>
      <c r="O224" s="2"/>
      <c r="P224" s="2"/>
      <c r="Q224" s="2"/>
      <c r="R224" s="2"/>
      <c r="S224" s="2"/>
      <c r="T224" s="2"/>
      <c r="U224" s="2"/>
      <c r="V224" s="2"/>
      <c r="W224" s="2"/>
      <c r="X224" s="2"/>
      <c r="Y224" s="2"/>
      <c r="Z224" s="2"/>
      <c r="AA224" s="2"/>
      <c r="AB224" s="2"/>
      <c r="AC224" s="2"/>
      <c r="AD224" s="2"/>
      <c r="AE224" s="66"/>
      <c r="AF224" s="2"/>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row>
    <row r="225" spans="1:62" x14ac:dyDescent="0.25">
      <c r="A225" s="1"/>
      <c r="B225" s="1"/>
      <c r="C225" s="1"/>
      <c r="D225" s="1"/>
      <c r="E225" s="1"/>
      <c r="F225" s="1"/>
      <c r="G225" s="1"/>
      <c r="H225" s="1"/>
      <c r="I225" s="2"/>
      <c r="J225" s="2"/>
      <c r="K225" s="2"/>
      <c r="L225" s="2"/>
      <c r="M225" s="2"/>
      <c r="N225" s="2"/>
      <c r="O225" s="2"/>
      <c r="P225" s="2"/>
      <c r="Q225" s="2"/>
      <c r="R225" s="2"/>
      <c r="S225" s="2"/>
      <c r="T225" s="2"/>
      <c r="U225" s="2"/>
      <c r="V225" s="2"/>
      <c r="W225" s="2"/>
      <c r="X225" s="2"/>
      <c r="Y225" s="2"/>
      <c r="Z225" s="2"/>
      <c r="AA225" s="2"/>
      <c r="AB225" s="2"/>
      <c r="AC225" s="2"/>
      <c r="AD225" s="2"/>
      <c r="AE225" s="66"/>
      <c r="AF225" s="2"/>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row>
    <row r="226" spans="1:62" x14ac:dyDescent="0.25">
      <c r="A226" s="1"/>
      <c r="B226" s="1"/>
      <c r="C226" s="1"/>
      <c r="D226" s="1"/>
      <c r="E226" s="1"/>
      <c r="F226" s="1"/>
      <c r="G226" s="1"/>
      <c r="H226" s="1"/>
      <c r="I226" s="2"/>
      <c r="J226" s="2"/>
      <c r="K226" s="2"/>
      <c r="L226" s="2"/>
      <c r="M226" s="2"/>
      <c r="N226" s="2"/>
      <c r="O226" s="2"/>
      <c r="P226" s="2"/>
      <c r="Q226" s="2"/>
      <c r="R226" s="2"/>
      <c r="S226" s="2"/>
      <c r="T226" s="2"/>
      <c r="U226" s="2"/>
      <c r="V226" s="2"/>
      <c r="W226" s="2"/>
      <c r="X226" s="2"/>
      <c r="Y226" s="2"/>
      <c r="Z226" s="2"/>
      <c r="AA226" s="2"/>
      <c r="AB226" s="2"/>
      <c r="AC226" s="2"/>
      <c r="AD226" s="2"/>
      <c r="AE226" s="66"/>
      <c r="AF226" s="2"/>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row>
    <row r="227" spans="1:62" x14ac:dyDescent="0.25">
      <c r="A227" s="1"/>
      <c r="B227" s="1"/>
      <c r="C227" s="1"/>
      <c r="D227" s="1"/>
      <c r="E227" s="1"/>
      <c r="F227" s="1"/>
      <c r="G227" s="1"/>
      <c r="H227" s="1"/>
      <c r="I227" s="2"/>
      <c r="J227" s="2"/>
      <c r="K227" s="2"/>
      <c r="L227" s="2"/>
      <c r="M227" s="2"/>
      <c r="N227" s="2"/>
      <c r="O227" s="2"/>
      <c r="P227" s="2"/>
      <c r="Q227" s="2"/>
      <c r="R227" s="2"/>
      <c r="S227" s="2"/>
      <c r="T227" s="2"/>
      <c r="U227" s="2"/>
      <c r="V227" s="2"/>
      <c r="W227" s="2"/>
      <c r="X227" s="2"/>
      <c r="Y227" s="2"/>
      <c r="Z227" s="2"/>
      <c r="AA227" s="2"/>
      <c r="AB227" s="2"/>
      <c r="AC227" s="2"/>
      <c r="AD227" s="2"/>
      <c r="AE227" s="66"/>
      <c r="AF227" s="2"/>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row>
    <row r="228" spans="1:62" x14ac:dyDescent="0.25">
      <c r="A228" s="1"/>
      <c r="B228" s="1"/>
      <c r="C228" s="1"/>
      <c r="D228" s="1"/>
      <c r="E228" s="1"/>
      <c r="F228" s="1"/>
      <c r="G228" s="1"/>
      <c r="H228" s="1"/>
      <c r="I228" s="2"/>
      <c r="J228" s="2"/>
      <c r="K228" s="2"/>
      <c r="L228" s="2"/>
      <c r="M228" s="2"/>
      <c r="N228" s="2"/>
      <c r="O228" s="2"/>
      <c r="P228" s="2"/>
      <c r="Q228" s="2"/>
      <c r="R228" s="2"/>
      <c r="S228" s="2"/>
      <c r="T228" s="2"/>
      <c r="U228" s="2"/>
      <c r="V228" s="2"/>
      <c r="W228" s="2"/>
      <c r="X228" s="2"/>
      <c r="Y228" s="2"/>
      <c r="Z228" s="2"/>
      <c r="AA228" s="2"/>
      <c r="AB228" s="2"/>
      <c r="AC228" s="2"/>
      <c r="AD228" s="2"/>
      <c r="AE228" s="66"/>
      <c r="AF228" s="2"/>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row>
    <row r="229" spans="1:62" x14ac:dyDescent="0.25">
      <c r="A229" s="1"/>
      <c r="B229" s="1"/>
      <c r="C229" s="1"/>
      <c r="D229" s="1"/>
      <c r="E229" s="1"/>
      <c r="F229" s="1"/>
      <c r="G229" s="1"/>
      <c r="H229" s="1"/>
      <c r="I229" s="2"/>
      <c r="J229" s="2"/>
      <c r="K229" s="2"/>
      <c r="L229" s="2"/>
      <c r="M229" s="2"/>
      <c r="N229" s="2"/>
      <c r="O229" s="2"/>
      <c r="P229" s="2"/>
      <c r="Q229" s="2"/>
      <c r="R229" s="2"/>
      <c r="S229" s="2"/>
      <c r="T229" s="2"/>
      <c r="U229" s="2"/>
      <c r="V229" s="2"/>
      <c r="W229" s="2"/>
      <c r="X229" s="2"/>
      <c r="Y229" s="2"/>
      <c r="Z229" s="2"/>
      <c r="AA229" s="2"/>
      <c r="AB229" s="2"/>
      <c r="AC229" s="2"/>
      <c r="AD229" s="2"/>
      <c r="AE229" s="66"/>
      <c r="AF229" s="2"/>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row>
    <row r="230" spans="1:62" x14ac:dyDescent="0.25">
      <c r="A230" s="1"/>
      <c r="B230" s="1"/>
      <c r="C230" s="1"/>
      <c r="D230" s="1"/>
      <c r="E230" s="1"/>
      <c r="F230" s="1"/>
      <c r="G230" s="1"/>
      <c r="H230" s="1"/>
      <c r="I230" s="2"/>
      <c r="J230" s="2"/>
      <c r="K230" s="2"/>
      <c r="L230" s="2"/>
      <c r="M230" s="2"/>
      <c r="N230" s="2"/>
      <c r="O230" s="2"/>
      <c r="P230" s="2"/>
      <c r="Q230" s="2"/>
      <c r="R230" s="2"/>
      <c r="S230" s="2"/>
      <c r="T230" s="2"/>
      <c r="U230" s="2"/>
      <c r="V230" s="2"/>
      <c r="W230" s="2"/>
      <c r="X230" s="2"/>
      <c r="Y230" s="2"/>
      <c r="Z230" s="2"/>
      <c r="AA230" s="2"/>
      <c r="AB230" s="2"/>
      <c r="AC230" s="2"/>
      <c r="AD230" s="2"/>
      <c r="AE230" s="66"/>
      <c r="AF230" s="2"/>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row>
    <row r="231" spans="1:62" x14ac:dyDescent="0.25">
      <c r="A231" s="1"/>
      <c r="B231" s="1"/>
      <c r="C231" s="1"/>
      <c r="D231" s="1"/>
      <c r="E231" s="1"/>
      <c r="F231" s="1"/>
      <c r="G231" s="1"/>
      <c r="H231" s="1"/>
      <c r="I231" s="2"/>
      <c r="J231" s="2"/>
      <c r="K231" s="2"/>
      <c r="L231" s="2"/>
      <c r="M231" s="2"/>
      <c r="N231" s="2"/>
      <c r="O231" s="2"/>
      <c r="P231" s="2"/>
      <c r="Q231" s="2"/>
      <c r="R231" s="2"/>
      <c r="S231" s="2"/>
      <c r="T231" s="2"/>
      <c r="U231" s="2"/>
      <c r="V231" s="2"/>
      <c r="W231" s="2"/>
      <c r="X231" s="2"/>
      <c r="Y231" s="2"/>
      <c r="Z231" s="2"/>
      <c r="AA231" s="2"/>
      <c r="AB231" s="2"/>
      <c r="AC231" s="2"/>
      <c r="AD231" s="2"/>
      <c r="AE231" s="66"/>
      <c r="AF231" s="2"/>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row>
    <row r="232" spans="1:62" x14ac:dyDescent="0.25">
      <c r="A232" s="1"/>
      <c r="B232" s="1"/>
      <c r="C232" s="1"/>
      <c r="D232" s="1"/>
      <c r="E232" s="1"/>
      <c r="F232" s="1"/>
      <c r="G232" s="1"/>
      <c r="H232" s="1"/>
      <c r="I232" s="2"/>
      <c r="J232" s="2"/>
      <c r="K232" s="2"/>
      <c r="L232" s="2"/>
      <c r="M232" s="2"/>
      <c r="N232" s="2"/>
      <c r="O232" s="2"/>
      <c r="P232" s="2"/>
      <c r="Q232" s="2"/>
      <c r="R232" s="2"/>
      <c r="S232" s="2"/>
      <c r="T232" s="2"/>
      <c r="U232" s="2"/>
      <c r="V232" s="2"/>
      <c r="W232" s="2"/>
      <c r="X232" s="2"/>
      <c r="Y232" s="2"/>
      <c r="Z232" s="2"/>
      <c r="AA232" s="2"/>
      <c r="AB232" s="2"/>
      <c r="AC232" s="2"/>
      <c r="AD232" s="2"/>
      <c r="AE232" s="66"/>
      <c r="AF232" s="2"/>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row>
    <row r="233" spans="1:62" x14ac:dyDescent="0.25">
      <c r="A233" s="1"/>
      <c r="B233" s="1"/>
      <c r="C233" s="1"/>
      <c r="D233" s="1"/>
      <c r="E233" s="1"/>
      <c r="F233" s="1"/>
      <c r="G233" s="1"/>
      <c r="H233" s="1"/>
      <c r="I233" s="2"/>
      <c r="J233" s="2"/>
      <c r="K233" s="2"/>
      <c r="L233" s="2"/>
      <c r="M233" s="2"/>
      <c r="N233" s="2"/>
      <c r="O233" s="2"/>
      <c r="P233" s="2"/>
      <c r="Q233" s="2"/>
      <c r="R233" s="2"/>
      <c r="S233" s="2"/>
      <c r="T233" s="2"/>
      <c r="U233" s="2"/>
      <c r="V233" s="2"/>
      <c r="W233" s="2"/>
      <c r="X233" s="2"/>
      <c r="Y233" s="2"/>
      <c r="Z233" s="2"/>
      <c r="AA233" s="2"/>
      <c r="AB233" s="2"/>
      <c r="AC233" s="2"/>
      <c r="AD233" s="2"/>
      <c r="AE233" s="66"/>
      <c r="AF233" s="2"/>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row>
    <row r="234" spans="1:62" x14ac:dyDescent="0.25">
      <c r="A234" s="1"/>
      <c r="B234" s="1"/>
      <c r="C234" s="1"/>
      <c r="D234" s="1"/>
      <c r="E234" s="1"/>
      <c r="F234" s="1"/>
      <c r="G234" s="1"/>
      <c r="H234" s="1"/>
      <c r="I234" s="2"/>
      <c r="J234" s="2"/>
      <c r="K234" s="2"/>
      <c r="L234" s="2"/>
      <c r="M234" s="2"/>
      <c r="N234" s="2"/>
      <c r="O234" s="2"/>
      <c r="P234" s="2"/>
      <c r="Q234" s="2"/>
      <c r="R234" s="2"/>
      <c r="S234" s="2"/>
      <c r="T234" s="2"/>
      <c r="U234" s="2"/>
      <c r="V234" s="2"/>
      <c r="W234" s="2"/>
      <c r="X234" s="2"/>
      <c r="Y234" s="2"/>
      <c r="Z234" s="2"/>
      <c r="AA234" s="2"/>
      <c r="AB234" s="2"/>
      <c r="AC234" s="2"/>
      <c r="AD234" s="2"/>
      <c r="AE234" s="66"/>
      <c r="AF234" s="2"/>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row>
    <row r="235" spans="1:62" x14ac:dyDescent="0.25">
      <c r="A235" s="1"/>
      <c r="B235" s="1"/>
      <c r="C235" s="1"/>
      <c r="D235" s="1"/>
      <c r="E235" s="1"/>
      <c r="F235" s="1"/>
      <c r="G235" s="1"/>
      <c r="H235" s="1"/>
      <c r="I235" s="2"/>
      <c r="J235" s="2"/>
      <c r="K235" s="2"/>
      <c r="L235" s="2"/>
      <c r="M235" s="2"/>
      <c r="N235" s="2"/>
      <c r="O235" s="2"/>
      <c r="P235" s="2"/>
      <c r="Q235" s="2"/>
      <c r="R235" s="2"/>
      <c r="S235" s="2"/>
      <c r="T235" s="2"/>
      <c r="U235" s="2"/>
      <c r="V235" s="2"/>
      <c r="W235" s="2"/>
      <c r="X235" s="2"/>
      <c r="Y235" s="2"/>
      <c r="Z235" s="2"/>
      <c r="AA235" s="2"/>
      <c r="AB235" s="2"/>
      <c r="AC235" s="2"/>
      <c r="AD235" s="2"/>
      <c r="AE235" s="66"/>
      <c r="AF235" s="2"/>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row>
    <row r="236" spans="1:62" x14ac:dyDescent="0.25">
      <c r="A236" s="1"/>
      <c r="B236" s="1"/>
      <c r="C236" s="1"/>
      <c r="D236" s="1"/>
      <c r="E236" s="1"/>
      <c r="F236" s="1"/>
      <c r="G236" s="1"/>
      <c r="H236" s="1"/>
      <c r="I236" s="2"/>
      <c r="J236" s="2"/>
      <c r="K236" s="2"/>
      <c r="L236" s="2"/>
      <c r="M236" s="2"/>
      <c r="N236" s="2"/>
      <c r="O236" s="2"/>
      <c r="P236" s="2"/>
      <c r="Q236" s="2"/>
      <c r="R236" s="2"/>
      <c r="S236" s="2"/>
      <c r="T236" s="2"/>
      <c r="U236" s="2"/>
      <c r="V236" s="2"/>
      <c r="W236" s="2"/>
      <c r="X236" s="2"/>
      <c r="Y236" s="2"/>
      <c r="Z236" s="2"/>
      <c r="AA236" s="2"/>
      <c r="AB236" s="2"/>
      <c r="AC236" s="2"/>
      <c r="AD236" s="2"/>
      <c r="AE236" s="66"/>
      <c r="AF236" s="2"/>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row>
    <row r="237" spans="1:62" x14ac:dyDescent="0.25">
      <c r="A237" s="1"/>
      <c r="B237" s="1"/>
      <c r="C237" s="1"/>
      <c r="D237" s="1"/>
      <c r="E237" s="1"/>
      <c r="F237" s="1"/>
      <c r="G237" s="1"/>
      <c r="H237" s="1"/>
      <c r="I237" s="2"/>
      <c r="J237" s="2"/>
      <c r="K237" s="2"/>
      <c r="L237" s="2"/>
      <c r="M237" s="2"/>
      <c r="N237" s="2"/>
      <c r="O237" s="2"/>
      <c r="P237" s="2"/>
      <c r="Q237" s="2"/>
      <c r="R237" s="2"/>
      <c r="S237" s="2"/>
      <c r="T237" s="2"/>
      <c r="U237" s="2"/>
      <c r="V237" s="2"/>
      <c r="W237" s="2"/>
      <c r="X237" s="2"/>
      <c r="Y237" s="2"/>
      <c r="Z237" s="2"/>
      <c r="AA237" s="2"/>
      <c r="AB237" s="2"/>
      <c r="AC237" s="2"/>
      <c r="AD237" s="2"/>
      <c r="AE237" s="66"/>
      <c r="AF237" s="2"/>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row>
    <row r="238" spans="1:62" x14ac:dyDescent="0.25">
      <c r="A238" s="1"/>
      <c r="B238" s="1"/>
      <c r="C238" s="1"/>
      <c r="D238" s="1"/>
      <c r="E238" s="1"/>
      <c r="F238" s="1"/>
      <c r="G238" s="1"/>
      <c r="H238" s="1"/>
      <c r="I238" s="2"/>
      <c r="J238" s="2"/>
      <c r="K238" s="2"/>
      <c r="L238" s="2"/>
      <c r="M238" s="2"/>
      <c r="N238" s="2"/>
      <c r="O238" s="2"/>
      <c r="P238" s="2"/>
      <c r="Q238" s="2"/>
      <c r="R238" s="2"/>
      <c r="S238" s="2"/>
      <c r="T238" s="2"/>
      <c r="U238" s="2"/>
      <c r="V238" s="2"/>
      <c r="W238" s="2"/>
      <c r="X238" s="2"/>
      <c r="Y238" s="2"/>
      <c r="Z238" s="2"/>
      <c r="AA238" s="2"/>
      <c r="AB238" s="2"/>
      <c r="AC238" s="2"/>
      <c r="AD238" s="2"/>
      <c r="AE238" s="66"/>
      <c r="AF238" s="2"/>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row>
    <row r="239" spans="1:62" x14ac:dyDescent="0.25">
      <c r="A239" s="1"/>
      <c r="B239" s="1"/>
      <c r="C239" s="1"/>
      <c r="D239" s="1"/>
      <c r="E239" s="1"/>
      <c r="F239" s="1"/>
      <c r="G239" s="1"/>
      <c r="H239" s="1"/>
      <c r="I239" s="2"/>
      <c r="J239" s="2"/>
      <c r="K239" s="2"/>
      <c r="L239" s="2"/>
      <c r="M239" s="2"/>
      <c r="N239" s="2"/>
      <c r="O239" s="2"/>
      <c r="P239" s="2"/>
      <c r="Q239" s="2"/>
      <c r="R239" s="2"/>
      <c r="S239" s="2"/>
      <c r="T239" s="2"/>
      <c r="U239" s="2"/>
      <c r="V239" s="2"/>
      <c r="W239" s="2"/>
      <c r="X239" s="2"/>
      <c r="Y239" s="2"/>
      <c r="Z239" s="2"/>
      <c r="AA239" s="2"/>
      <c r="AB239" s="2"/>
      <c r="AC239" s="2"/>
      <c r="AD239" s="2"/>
      <c r="AE239" s="66"/>
      <c r="AF239" s="2"/>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row>
    <row r="240" spans="1:62" x14ac:dyDescent="0.25">
      <c r="A240" s="1"/>
      <c r="B240" s="1"/>
      <c r="C240" s="1"/>
      <c r="D240" s="1"/>
      <c r="E240" s="1"/>
      <c r="F240" s="1"/>
      <c r="G240" s="1"/>
      <c r="H240" s="1"/>
      <c r="I240" s="2"/>
      <c r="J240" s="2"/>
      <c r="K240" s="2"/>
      <c r="L240" s="2"/>
      <c r="M240" s="2"/>
      <c r="N240" s="2"/>
      <c r="O240" s="2"/>
      <c r="P240" s="2"/>
      <c r="Q240" s="2"/>
      <c r="R240" s="2"/>
      <c r="S240" s="2"/>
      <c r="T240" s="2"/>
      <c r="U240" s="2"/>
      <c r="V240" s="2"/>
      <c r="W240" s="2"/>
      <c r="X240" s="2"/>
      <c r="Y240" s="2"/>
      <c r="Z240" s="2"/>
      <c r="AA240" s="2"/>
      <c r="AB240" s="2"/>
      <c r="AC240" s="2"/>
      <c r="AD240" s="2"/>
      <c r="AE240" s="66"/>
      <c r="AF240" s="2"/>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row>
    <row r="241" spans="1:62" x14ac:dyDescent="0.25">
      <c r="A241" s="1"/>
      <c r="B241" s="1"/>
      <c r="C241" s="1"/>
      <c r="D241" s="1"/>
      <c r="E241" s="1"/>
      <c r="F241" s="1"/>
      <c r="G241" s="1"/>
      <c r="H241" s="1"/>
      <c r="I241" s="2"/>
      <c r="J241" s="2"/>
      <c r="K241" s="2"/>
      <c r="L241" s="2"/>
      <c r="M241" s="2"/>
      <c r="N241" s="2"/>
      <c r="O241" s="2"/>
      <c r="P241" s="2"/>
      <c r="Q241" s="2"/>
      <c r="R241" s="2"/>
      <c r="S241" s="2"/>
      <c r="T241" s="2"/>
      <c r="U241" s="2"/>
      <c r="V241" s="2"/>
      <c r="W241" s="2"/>
      <c r="X241" s="2"/>
      <c r="Y241" s="2"/>
      <c r="Z241" s="2"/>
      <c r="AA241" s="2"/>
      <c r="AB241" s="2"/>
      <c r="AC241" s="2"/>
      <c r="AD241" s="2"/>
      <c r="AE241" s="66"/>
      <c r="AF241" s="2"/>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row>
    <row r="242" spans="1:62" x14ac:dyDescent="0.25">
      <c r="A242" s="1"/>
      <c r="B242" s="1"/>
      <c r="C242" s="1"/>
      <c r="D242" s="1"/>
      <c r="E242" s="1"/>
      <c r="F242" s="1"/>
      <c r="G242" s="1"/>
      <c r="H242" s="1"/>
      <c r="I242" s="2"/>
      <c r="J242" s="2"/>
      <c r="K242" s="2"/>
      <c r="L242" s="2"/>
      <c r="M242" s="2"/>
      <c r="N242" s="2"/>
      <c r="O242" s="2"/>
      <c r="P242" s="2"/>
      <c r="Q242" s="2"/>
      <c r="R242" s="2"/>
      <c r="S242" s="2"/>
      <c r="T242" s="2"/>
      <c r="U242" s="2"/>
      <c r="V242" s="2"/>
      <c r="W242" s="2"/>
      <c r="X242" s="2"/>
      <c r="Y242" s="2"/>
      <c r="Z242" s="2"/>
      <c r="AA242" s="2"/>
      <c r="AB242" s="2"/>
      <c r="AC242" s="2"/>
      <c r="AD242" s="2"/>
      <c r="AE242" s="66"/>
      <c r="AF242" s="2"/>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row>
    <row r="243" spans="1:62" x14ac:dyDescent="0.25">
      <c r="A243" s="1"/>
      <c r="B243" s="1"/>
      <c r="C243" s="1"/>
      <c r="D243" s="1"/>
      <c r="E243" s="1"/>
      <c r="F243" s="1"/>
      <c r="G243" s="1"/>
      <c r="H243" s="1"/>
      <c r="I243" s="2"/>
      <c r="J243" s="2"/>
      <c r="K243" s="2"/>
      <c r="L243" s="2"/>
      <c r="M243" s="2"/>
      <c r="N243" s="2"/>
      <c r="O243" s="2"/>
      <c r="P243" s="2"/>
      <c r="Q243" s="2"/>
      <c r="R243" s="2"/>
      <c r="S243" s="2"/>
      <c r="T243" s="2"/>
      <c r="U243" s="2"/>
      <c r="V243" s="2"/>
      <c r="W243" s="2"/>
      <c r="X243" s="2"/>
      <c r="Y243" s="2"/>
      <c r="Z243" s="2"/>
      <c r="AA243" s="2"/>
      <c r="AB243" s="2"/>
      <c r="AC243" s="2"/>
      <c r="AD243" s="2"/>
      <c r="AE243" s="66"/>
      <c r="AF243" s="2"/>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row>
    <row r="244" spans="1:62" x14ac:dyDescent="0.25">
      <c r="A244" s="1"/>
      <c r="B244" s="1"/>
      <c r="C244" s="1"/>
      <c r="D244" s="1"/>
      <c r="E244" s="1"/>
      <c r="F244" s="1"/>
      <c r="G244" s="1"/>
      <c r="H244" s="1"/>
      <c r="I244" s="2"/>
      <c r="J244" s="2"/>
      <c r="K244" s="2"/>
      <c r="L244" s="2"/>
      <c r="M244" s="2"/>
      <c r="N244" s="2"/>
      <c r="O244" s="2"/>
      <c r="P244" s="2"/>
      <c r="Q244" s="2"/>
      <c r="R244" s="2"/>
      <c r="S244" s="2"/>
      <c r="T244" s="2"/>
      <c r="U244" s="2"/>
      <c r="V244" s="2"/>
      <c r="W244" s="2"/>
      <c r="X244" s="2"/>
      <c r="Y244" s="2"/>
      <c r="Z244" s="2"/>
      <c r="AA244" s="2"/>
      <c r="AB244" s="2"/>
      <c r="AC244" s="2"/>
      <c r="AD244" s="2"/>
      <c r="AE244" s="66"/>
      <c r="AF244" s="2"/>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row>
    <row r="245" spans="1:62" x14ac:dyDescent="0.25">
      <c r="A245" s="1"/>
      <c r="B245" s="1"/>
      <c r="C245" s="1"/>
      <c r="D245" s="1"/>
      <c r="E245" s="1"/>
      <c r="F245" s="1"/>
      <c r="G245" s="1"/>
      <c r="H245" s="1"/>
      <c r="I245" s="2"/>
      <c r="J245" s="2"/>
      <c r="K245" s="2"/>
      <c r="L245" s="2"/>
      <c r="M245" s="2"/>
      <c r="N245" s="2"/>
      <c r="O245" s="2"/>
      <c r="P245" s="2"/>
      <c r="Q245" s="2"/>
      <c r="R245" s="2"/>
      <c r="S245" s="2"/>
      <c r="T245" s="2"/>
      <c r="U245" s="2"/>
      <c r="V245" s="2"/>
      <c r="W245" s="2"/>
      <c r="X245" s="2"/>
      <c r="Y245" s="2"/>
      <c r="Z245" s="2"/>
      <c r="AA245" s="2"/>
      <c r="AB245" s="2"/>
      <c r="AC245" s="2"/>
      <c r="AD245" s="2"/>
      <c r="AE245" s="66"/>
      <c r="AF245" s="2"/>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row>
    <row r="246" spans="1:62" x14ac:dyDescent="0.25">
      <c r="A246" s="1"/>
      <c r="B246" s="1"/>
      <c r="C246" s="1"/>
      <c r="D246" s="1"/>
      <c r="E246" s="1"/>
      <c r="F246" s="1"/>
      <c r="G246" s="1"/>
      <c r="H246" s="1"/>
      <c r="I246" s="2"/>
      <c r="J246" s="2"/>
      <c r="K246" s="2"/>
      <c r="L246" s="2"/>
      <c r="M246" s="2"/>
      <c r="N246" s="2"/>
      <c r="O246" s="2"/>
      <c r="P246" s="2"/>
      <c r="Q246" s="2"/>
      <c r="R246" s="2"/>
      <c r="S246" s="2"/>
      <c r="T246" s="2"/>
      <c r="U246" s="2"/>
      <c r="V246" s="2"/>
      <c r="W246" s="2"/>
      <c r="X246" s="2"/>
      <c r="Y246" s="2"/>
      <c r="Z246" s="2"/>
      <c r="AA246" s="2"/>
      <c r="AB246" s="2"/>
      <c r="AC246" s="2"/>
      <c r="AD246" s="2"/>
      <c r="AE246" s="66"/>
      <c r="AF246" s="2"/>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row>
    <row r="247" spans="1:62" x14ac:dyDescent="0.25">
      <c r="A247" s="1"/>
      <c r="B247" s="1"/>
      <c r="C247" s="1"/>
      <c r="D247" s="1"/>
      <c r="E247" s="1"/>
      <c r="F247" s="1"/>
      <c r="G247" s="1"/>
      <c r="H247" s="1"/>
      <c r="I247" s="2"/>
      <c r="J247" s="2"/>
      <c r="K247" s="2"/>
      <c r="L247" s="2"/>
      <c r="M247" s="2"/>
      <c r="N247" s="2"/>
      <c r="O247" s="2"/>
      <c r="P247" s="2"/>
      <c r="Q247" s="2"/>
      <c r="R247" s="2"/>
      <c r="S247" s="2"/>
      <c r="T247" s="2"/>
      <c r="U247" s="2"/>
      <c r="V247" s="2"/>
      <c r="W247" s="2"/>
      <c r="X247" s="2"/>
      <c r="Y247" s="2"/>
      <c r="Z247" s="2"/>
      <c r="AA247" s="2"/>
      <c r="AB247" s="2"/>
      <c r="AC247" s="2"/>
      <c r="AD247" s="2"/>
      <c r="AE247" s="66"/>
      <c r="AF247" s="2"/>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row>
    <row r="248" spans="1:62" x14ac:dyDescent="0.25">
      <c r="A248" s="1"/>
      <c r="B248" s="1"/>
      <c r="C248" s="1"/>
      <c r="D248" s="1"/>
      <c r="E248" s="1"/>
      <c r="F248" s="1"/>
      <c r="G248" s="1"/>
      <c r="H248" s="1"/>
      <c r="I248" s="2"/>
      <c r="J248" s="2"/>
      <c r="K248" s="2"/>
      <c r="L248" s="2"/>
      <c r="M248" s="2"/>
      <c r="N248" s="2"/>
      <c r="O248" s="2"/>
      <c r="P248" s="2"/>
      <c r="Q248" s="2"/>
      <c r="R248" s="2"/>
      <c r="S248" s="2"/>
      <c r="T248" s="2"/>
      <c r="U248" s="2"/>
      <c r="V248" s="2"/>
      <c r="W248" s="2"/>
      <c r="X248" s="2"/>
      <c r="Y248" s="2"/>
      <c r="Z248" s="2"/>
      <c r="AA248" s="2"/>
      <c r="AB248" s="2"/>
      <c r="AC248" s="2"/>
      <c r="AD248" s="2"/>
      <c r="AE248" s="66"/>
      <c r="AF248" s="2"/>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row>
    <row r="249" spans="1:62" x14ac:dyDescent="0.25">
      <c r="A249" s="1"/>
      <c r="B249" s="1"/>
      <c r="C249" s="1"/>
      <c r="D249" s="1"/>
      <c r="E249" s="1"/>
      <c r="F249" s="1"/>
      <c r="G249" s="1"/>
      <c r="H249" s="1"/>
      <c r="I249" s="2"/>
      <c r="J249" s="2"/>
      <c r="K249" s="2"/>
      <c r="L249" s="2"/>
      <c r="M249" s="2"/>
      <c r="N249" s="2"/>
      <c r="O249" s="2"/>
      <c r="P249" s="2"/>
      <c r="Q249" s="2"/>
      <c r="R249" s="2"/>
      <c r="S249" s="2"/>
      <c r="T249" s="2"/>
      <c r="U249" s="2"/>
      <c r="V249" s="2"/>
      <c r="W249" s="2"/>
      <c r="X249" s="2"/>
      <c r="Y249" s="2"/>
      <c r="Z249" s="2"/>
      <c r="AA249" s="2"/>
      <c r="AB249" s="2"/>
      <c r="AC249" s="2"/>
      <c r="AD249" s="2"/>
      <c r="AE249" s="66"/>
      <c r="AF249" s="2"/>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row>
    <row r="250" spans="1:62" x14ac:dyDescent="0.25">
      <c r="A250" s="1"/>
      <c r="B250" s="1"/>
      <c r="C250" s="1"/>
      <c r="D250" s="1"/>
      <c r="E250" s="1"/>
      <c r="F250" s="1"/>
      <c r="G250" s="1"/>
      <c r="H250" s="1"/>
      <c r="I250" s="2"/>
      <c r="J250" s="2"/>
      <c r="K250" s="2"/>
      <c r="L250" s="2"/>
      <c r="M250" s="2"/>
      <c r="N250" s="2"/>
      <c r="O250" s="2"/>
      <c r="P250" s="2"/>
      <c r="Q250" s="2"/>
      <c r="R250" s="2"/>
      <c r="S250" s="2"/>
      <c r="T250" s="2"/>
      <c r="U250" s="2"/>
      <c r="V250" s="2"/>
      <c r="W250" s="2"/>
      <c r="X250" s="2"/>
      <c r="Y250" s="2"/>
      <c r="Z250" s="2"/>
      <c r="AA250" s="2"/>
      <c r="AB250" s="2"/>
      <c r="AC250" s="2"/>
      <c r="AD250" s="2"/>
      <c r="AE250" s="66"/>
      <c r="AF250" s="2"/>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row>
    <row r="251" spans="1:62" x14ac:dyDescent="0.25">
      <c r="A251" s="1"/>
      <c r="B251" s="1"/>
      <c r="C251" s="1"/>
      <c r="D251" s="1"/>
      <c r="E251" s="1"/>
      <c r="F251" s="1"/>
      <c r="G251" s="1"/>
      <c r="H251" s="1"/>
      <c r="I251" s="2"/>
      <c r="J251" s="2"/>
      <c r="K251" s="2"/>
      <c r="L251" s="2"/>
      <c r="M251" s="2"/>
      <c r="N251" s="2"/>
      <c r="O251" s="2"/>
      <c r="P251" s="2"/>
      <c r="Q251" s="2"/>
      <c r="R251" s="2"/>
      <c r="S251" s="2"/>
      <c r="T251" s="2"/>
      <c r="U251" s="2"/>
      <c r="V251" s="2"/>
      <c r="W251" s="2"/>
      <c r="X251" s="2"/>
      <c r="Y251" s="2"/>
      <c r="Z251" s="2"/>
      <c r="AA251" s="2"/>
      <c r="AB251" s="2"/>
      <c r="AC251" s="2"/>
      <c r="AD251" s="2"/>
      <c r="AE251" s="66"/>
      <c r="AF251" s="2"/>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row>
    <row r="252" spans="1:62" x14ac:dyDescent="0.25">
      <c r="A252" s="1"/>
      <c r="B252" s="1"/>
      <c r="C252" s="1"/>
      <c r="D252" s="1"/>
      <c r="E252" s="1"/>
      <c r="F252" s="1"/>
      <c r="G252" s="1"/>
      <c r="H252" s="1"/>
      <c r="I252" s="2"/>
      <c r="J252" s="2"/>
      <c r="K252" s="2"/>
      <c r="L252" s="2"/>
      <c r="M252" s="2"/>
      <c r="N252" s="2"/>
      <c r="O252" s="2"/>
      <c r="P252" s="2"/>
      <c r="Q252" s="2"/>
      <c r="R252" s="2"/>
      <c r="S252" s="2"/>
      <c r="T252" s="2"/>
      <c r="U252" s="2"/>
      <c r="V252" s="2"/>
      <c r="W252" s="2"/>
      <c r="X252" s="2"/>
      <c r="Y252" s="2"/>
      <c r="Z252" s="2"/>
      <c r="AA252" s="2"/>
      <c r="AB252" s="2"/>
      <c r="AC252" s="2"/>
      <c r="AD252" s="2"/>
      <c r="AE252" s="66"/>
      <c r="AF252" s="2"/>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row>
    <row r="253" spans="1:62" x14ac:dyDescent="0.25">
      <c r="A253" s="1"/>
      <c r="B253" s="1"/>
      <c r="C253" s="1"/>
      <c r="D253" s="1"/>
      <c r="E253" s="1"/>
      <c r="F253" s="1"/>
      <c r="G253" s="1"/>
      <c r="H253" s="1"/>
      <c r="I253" s="2"/>
      <c r="J253" s="2"/>
      <c r="K253" s="2"/>
      <c r="L253" s="2"/>
      <c r="M253" s="2"/>
      <c r="N253" s="2"/>
      <c r="O253" s="2"/>
      <c r="P253" s="2"/>
      <c r="Q253" s="2"/>
      <c r="R253" s="2"/>
      <c r="S253" s="2"/>
      <c r="T253" s="2"/>
      <c r="U253" s="2"/>
      <c r="V253" s="2"/>
      <c r="W253" s="2"/>
      <c r="X253" s="2"/>
      <c r="Y253" s="2"/>
      <c r="Z253" s="2"/>
      <c r="AA253" s="2"/>
      <c r="AB253" s="2"/>
      <c r="AC253" s="2"/>
      <c r="AD253" s="2"/>
      <c r="AE253" s="66"/>
      <c r="AF253" s="2"/>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row>
    <row r="254" spans="1:62" x14ac:dyDescent="0.25">
      <c r="A254" s="1"/>
      <c r="B254" s="1"/>
      <c r="C254" s="1"/>
      <c r="D254" s="1"/>
      <c r="E254" s="1"/>
      <c r="F254" s="1"/>
      <c r="G254" s="1"/>
      <c r="H254" s="1"/>
      <c r="I254" s="2"/>
      <c r="J254" s="2"/>
      <c r="K254" s="2"/>
      <c r="L254" s="2"/>
      <c r="M254" s="2"/>
      <c r="N254" s="2"/>
      <c r="O254" s="2"/>
      <c r="P254" s="2"/>
      <c r="Q254" s="2"/>
      <c r="R254" s="2"/>
      <c r="S254" s="2"/>
      <c r="T254" s="2"/>
      <c r="U254" s="2"/>
      <c r="V254" s="2"/>
      <c r="W254" s="2"/>
      <c r="X254" s="2"/>
      <c r="Y254" s="2"/>
      <c r="Z254" s="2"/>
      <c r="AA254" s="2"/>
      <c r="AB254" s="2"/>
      <c r="AC254" s="2"/>
      <c r="AD254" s="2"/>
      <c r="AE254" s="66"/>
      <c r="AF254" s="2"/>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row>
    <row r="255" spans="1:62" x14ac:dyDescent="0.25">
      <c r="A255" s="1"/>
      <c r="B255" s="1"/>
      <c r="C255" s="1"/>
      <c r="D255" s="1"/>
      <c r="E255" s="1"/>
      <c r="F255" s="1"/>
      <c r="G255" s="1"/>
      <c r="H255" s="1"/>
      <c r="I255" s="2"/>
      <c r="J255" s="2"/>
      <c r="K255" s="2"/>
      <c r="L255" s="2"/>
      <c r="M255" s="2"/>
      <c r="N255" s="2"/>
      <c r="O255" s="2"/>
      <c r="P255" s="2"/>
      <c r="Q255" s="2"/>
      <c r="R255" s="2"/>
      <c r="S255" s="2"/>
      <c r="T255" s="2"/>
      <c r="U255" s="2"/>
      <c r="V255" s="2"/>
      <c r="W255" s="2"/>
      <c r="X255" s="2"/>
      <c r="Y255" s="2"/>
      <c r="Z255" s="2"/>
      <c r="AA255" s="2"/>
      <c r="AB255" s="2"/>
      <c r="AC255" s="2"/>
      <c r="AD255" s="2"/>
      <c r="AE255" s="66"/>
      <c r="AF255" s="2"/>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row>
    <row r="256" spans="1:62" x14ac:dyDescent="0.25">
      <c r="A256" s="1"/>
      <c r="B256" s="1"/>
      <c r="C256" s="1"/>
      <c r="D256" s="1"/>
      <c r="E256" s="1"/>
      <c r="F256" s="1"/>
      <c r="G256" s="1"/>
      <c r="H256" s="1"/>
      <c r="I256" s="2"/>
      <c r="J256" s="2"/>
      <c r="K256" s="2"/>
      <c r="L256" s="2"/>
      <c r="M256" s="2"/>
      <c r="N256" s="2"/>
      <c r="O256" s="2"/>
      <c r="P256" s="2"/>
      <c r="Q256" s="2"/>
      <c r="R256" s="2"/>
      <c r="S256" s="2"/>
      <c r="T256" s="2"/>
      <c r="U256" s="2"/>
      <c r="V256" s="2"/>
      <c r="W256" s="2"/>
      <c r="X256" s="2"/>
      <c r="Y256" s="2"/>
      <c r="Z256" s="2"/>
      <c r="AA256" s="2"/>
      <c r="AB256" s="2"/>
      <c r="AC256" s="2"/>
      <c r="AD256" s="2"/>
      <c r="AE256" s="66"/>
      <c r="AF256" s="2"/>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row>
    <row r="257" spans="1:62" x14ac:dyDescent="0.25">
      <c r="A257" s="1"/>
      <c r="B257" s="1"/>
      <c r="C257" s="1"/>
      <c r="D257" s="1"/>
      <c r="E257" s="1"/>
      <c r="F257" s="1"/>
      <c r="G257" s="1"/>
      <c r="H257" s="1"/>
      <c r="I257" s="2"/>
      <c r="J257" s="2"/>
      <c r="K257" s="2"/>
      <c r="L257" s="2"/>
      <c r="M257" s="2"/>
      <c r="N257" s="2"/>
      <c r="O257" s="2"/>
      <c r="P257" s="2"/>
      <c r="Q257" s="2"/>
      <c r="R257" s="2"/>
      <c r="S257" s="2"/>
      <c r="T257" s="2"/>
      <c r="U257" s="2"/>
      <c r="V257" s="2"/>
      <c r="W257" s="2"/>
      <c r="X257" s="2"/>
      <c r="Y257" s="2"/>
      <c r="Z257" s="2"/>
      <c r="AA257" s="2"/>
      <c r="AB257" s="2"/>
      <c r="AC257" s="2"/>
      <c r="AD257" s="2"/>
      <c r="AE257" s="66"/>
      <c r="AF257" s="2"/>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row>
    <row r="258" spans="1:62" x14ac:dyDescent="0.25">
      <c r="A258" s="1"/>
      <c r="B258" s="1"/>
      <c r="C258" s="1"/>
      <c r="D258" s="1"/>
      <c r="E258" s="1"/>
      <c r="F258" s="1"/>
      <c r="G258" s="1"/>
      <c r="H258" s="1"/>
      <c r="I258" s="2"/>
      <c r="J258" s="2"/>
      <c r="K258" s="2"/>
      <c r="L258" s="2"/>
      <c r="M258" s="2"/>
      <c r="N258" s="2"/>
      <c r="O258" s="2"/>
      <c r="P258" s="2"/>
      <c r="Q258" s="2"/>
      <c r="R258" s="2"/>
      <c r="S258" s="2"/>
      <c r="T258" s="2"/>
      <c r="U258" s="2"/>
      <c r="V258" s="2"/>
      <c r="W258" s="2"/>
      <c r="X258" s="2"/>
      <c r="Y258" s="2"/>
      <c r="Z258" s="2"/>
      <c r="AA258" s="2"/>
      <c r="AB258" s="2"/>
      <c r="AC258" s="2"/>
      <c r="AD258" s="2"/>
      <c r="AE258" s="66"/>
      <c r="AF258" s="2"/>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row>
    <row r="259" spans="1:62" x14ac:dyDescent="0.25">
      <c r="A259" s="1"/>
      <c r="B259" s="1"/>
      <c r="C259" s="1"/>
      <c r="D259" s="1"/>
      <c r="E259" s="1"/>
      <c r="F259" s="1"/>
      <c r="G259" s="1"/>
      <c r="H259" s="1"/>
      <c r="I259" s="2"/>
      <c r="J259" s="2"/>
      <c r="K259" s="2"/>
      <c r="L259" s="2"/>
      <c r="M259" s="2"/>
      <c r="N259" s="2"/>
      <c r="O259" s="2"/>
      <c r="P259" s="2"/>
      <c r="Q259" s="2"/>
      <c r="R259" s="2"/>
      <c r="S259" s="2"/>
      <c r="T259" s="2"/>
      <c r="U259" s="2"/>
      <c r="V259" s="2"/>
      <c r="W259" s="2"/>
      <c r="X259" s="2"/>
      <c r="Y259" s="2"/>
      <c r="Z259" s="2"/>
      <c r="AA259" s="2"/>
      <c r="AB259" s="2"/>
      <c r="AC259" s="2"/>
      <c r="AD259" s="2"/>
      <c r="AE259" s="66"/>
      <c r="AF259" s="2"/>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row>
    <row r="260" spans="1:62" x14ac:dyDescent="0.25">
      <c r="A260" s="1"/>
      <c r="B260" s="1"/>
      <c r="C260" s="1"/>
      <c r="D260" s="1"/>
      <c r="E260" s="1"/>
      <c r="F260" s="1"/>
      <c r="G260" s="1"/>
      <c r="H260" s="1"/>
      <c r="I260" s="2"/>
      <c r="J260" s="2"/>
      <c r="K260" s="2"/>
      <c r="L260" s="2"/>
      <c r="M260" s="2"/>
      <c r="N260" s="2"/>
      <c r="O260" s="2"/>
      <c r="P260" s="2"/>
      <c r="Q260" s="2"/>
      <c r="R260" s="2"/>
      <c r="S260" s="2"/>
      <c r="T260" s="2"/>
      <c r="U260" s="2"/>
      <c r="V260" s="2"/>
      <c r="W260" s="2"/>
      <c r="X260" s="2"/>
      <c r="Y260" s="2"/>
      <c r="Z260" s="2"/>
      <c r="AA260" s="2"/>
      <c r="AB260" s="2"/>
      <c r="AC260" s="2"/>
      <c r="AD260" s="2"/>
      <c r="AE260" s="66"/>
      <c r="AF260" s="2"/>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row>
    <row r="261" spans="1:62" x14ac:dyDescent="0.25">
      <c r="A261" s="1"/>
      <c r="B261" s="1"/>
      <c r="C261" s="1"/>
      <c r="D261" s="1"/>
      <c r="E261" s="1"/>
      <c r="F261" s="1"/>
      <c r="G261" s="1"/>
      <c r="H261" s="1"/>
      <c r="I261" s="2"/>
      <c r="J261" s="2"/>
      <c r="K261" s="2"/>
      <c r="L261" s="2"/>
      <c r="M261" s="2"/>
      <c r="N261" s="2"/>
      <c r="O261" s="2"/>
      <c r="P261" s="2"/>
      <c r="Q261" s="2"/>
      <c r="R261" s="2"/>
      <c r="S261" s="2"/>
      <c r="T261" s="2"/>
      <c r="U261" s="2"/>
      <c r="V261" s="2"/>
      <c r="W261" s="2"/>
      <c r="X261" s="2"/>
      <c r="Y261" s="2"/>
      <c r="Z261" s="2"/>
      <c r="AA261" s="2"/>
      <c r="AB261" s="2"/>
      <c r="AC261" s="2"/>
      <c r="AD261" s="2"/>
      <c r="AE261" s="66"/>
      <c r="AF261" s="2"/>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row>
    <row r="262" spans="1:62" x14ac:dyDescent="0.25">
      <c r="A262" s="1"/>
      <c r="B262" s="1"/>
      <c r="C262" s="1"/>
      <c r="D262" s="1"/>
      <c r="E262" s="1"/>
      <c r="F262" s="1"/>
      <c r="G262" s="1"/>
      <c r="H262" s="1"/>
      <c r="I262" s="2"/>
      <c r="J262" s="2"/>
      <c r="K262" s="2"/>
      <c r="L262" s="2"/>
      <c r="M262" s="2"/>
      <c r="N262" s="2"/>
      <c r="O262" s="2"/>
      <c r="P262" s="2"/>
      <c r="Q262" s="2"/>
      <c r="R262" s="2"/>
      <c r="S262" s="2"/>
      <c r="T262" s="2"/>
      <c r="U262" s="2"/>
      <c r="V262" s="2"/>
      <c r="W262" s="2"/>
      <c r="X262" s="2"/>
      <c r="Y262" s="2"/>
      <c r="Z262" s="2"/>
      <c r="AA262" s="2"/>
      <c r="AB262" s="2"/>
      <c r="AC262" s="2"/>
      <c r="AD262" s="2"/>
      <c r="AE262" s="66"/>
      <c r="AF262" s="2"/>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row>
    <row r="263" spans="1:62" x14ac:dyDescent="0.25">
      <c r="A263" s="1"/>
      <c r="B263" s="1"/>
      <c r="C263" s="1"/>
      <c r="D263" s="1"/>
      <c r="E263" s="1"/>
      <c r="F263" s="1"/>
      <c r="G263" s="1"/>
      <c r="H263" s="1"/>
      <c r="I263" s="2"/>
      <c r="J263" s="2"/>
      <c r="K263" s="2"/>
      <c r="L263" s="2"/>
      <c r="M263" s="2"/>
      <c r="N263" s="2"/>
      <c r="O263" s="2"/>
      <c r="P263" s="2"/>
      <c r="Q263" s="2"/>
      <c r="R263" s="2"/>
      <c r="S263" s="2"/>
      <c r="T263" s="2"/>
      <c r="U263" s="2"/>
      <c r="V263" s="2"/>
      <c r="W263" s="2"/>
      <c r="X263" s="2"/>
      <c r="Y263" s="2"/>
      <c r="Z263" s="2"/>
      <c r="AA263" s="2"/>
      <c r="AB263" s="2"/>
      <c r="AC263" s="2"/>
      <c r="AD263" s="2"/>
      <c r="AE263" s="66"/>
      <c r="AF263" s="2"/>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row>
    <row r="264" spans="1:62" x14ac:dyDescent="0.25">
      <c r="A264" s="1"/>
      <c r="B264" s="1"/>
      <c r="C264" s="1"/>
      <c r="D264" s="1"/>
      <c r="E264" s="1"/>
      <c r="F264" s="1"/>
      <c r="G264" s="1"/>
      <c r="H264" s="1"/>
      <c r="I264" s="2"/>
      <c r="J264" s="2"/>
      <c r="K264" s="2"/>
      <c r="L264" s="2"/>
      <c r="M264" s="2"/>
      <c r="N264" s="2"/>
      <c r="O264" s="2"/>
      <c r="P264" s="2"/>
      <c r="Q264" s="2"/>
      <c r="R264" s="2"/>
      <c r="S264" s="2"/>
      <c r="T264" s="2"/>
      <c r="U264" s="2"/>
      <c r="V264" s="2"/>
      <c r="W264" s="2"/>
      <c r="X264" s="2"/>
      <c r="Y264" s="2"/>
      <c r="Z264" s="2"/>
      <c r="AA264" s="2"/>
      <c r="AB264" s="2"/>
      <c r="AC264" s="2"/>
      <c r="AD264" s="2"/>
      <c r="AE264" s="66"/>
      <c r="AF264" s="2"/>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row>
    <row r="265" spans="1:62" x14ac:dyDescent="0.25">
      <c r="A265" s="1"/>
      <c r="B265" s="1"/>
      <c r="C265" s="1"/>
      <c r="D265" s="1"/>
      <c r="E265" s="1"/>
      <c r="F265" s="1"/>
      <c r="G265" s="1"/>
      <c r="H265" s="1"/>
      <c r="I265" s="2"/>
      <c r="J265" s="2"/>
      <c r="K265" s="2"/>
      <c r="L265" s="2"/>
      <c r="M265" s="2"/>
      <c r="N265" s="2"/>
      <c r="O265" s="2"/>
      <c r="P265" s="2"/>
      <c r="Q265" s="2"/>
      <c r="R265" s="2"/>
      <c r="S265" s="2"/>
      <c r="T265" s="2"/>
      <c r="U265" s="2"/>
      <c r="V265" s="2"/>
      <c r="W265" s="2"/>
      <c r="X265" s="2"/>
      <c r="Y265" s="2"/>
      <c r="Z265" s="2"/>
      <c r="AA265" s="2"/>
      <c r="AB265" s="2"/>
      <c r="AC265" s="2"/>
      <c r="AD265" s="2"/>
      <c r="AE265" s="66"/>
      <c r="AF265" s="2"/>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row>
    <row r="266" spans="1:62" x14ac:dyDescent="0.25">
      <c r="A266" s="1"/>
      <c r="B266" s="1"/>
      <c r="C266" s="1"/>
      <c r="D266" s="1"/>
      <c r="E266" s="1"/>
      <c r="F266" s="1"/>
      <c r="G266" s="1"/>
      <c r="H266" s="1"/>
      <c r="I266" s="2"/>
      <c r="J266" s="2"/>
      <c r="K266" s="2"/>
      <c r="L266" s="2"/>
      <c r="M266" s="2"/>
      <c r="N266" s="2"/>
      <c r="O266" s="2"/>
      <c r="P266" s="2"/>
      <c r="Q266" s="2"/>
      <c r="R266" s="2"/>
      <c r="S266" s="2"/>
      <c r="T266" s="2"/>
      <c r="U266" s="2"/>
      <c r="V266" s="2"/>
      <c r="W266" s="2"/>
      <c r="X266" s="2"/>
      <c r="Y266" s="2"/>
      <c r="Z266" s="2"/>
      <c r="AA266" s="2"/>
      <c r="AB266" s="2"/>
      <c r="AC266" s="2"/>
      <c r="AD266" s="2"/>
      <c r="AE266" s="66"/>
      <c r="AF266" s="2"/>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row>
    <row r="267" spans="1:62" x14ac:dyDescent="0.25">
      <c r="A267" s="1"/>
      <c r="B267" s="1"/>
      <c r="C267" s="1"/>
      <c r="D267" s="1"/>
      <c r="E267" s="1"/>
      <c r="F267" s="1"/>
      <c r="G267" s="1"/>
      <c r="H267" s="1"/>
      <c r="I267" s="2"/>
      <c r="J267" s="2"/>
      <c r="K267" s="2"/>
      <c r="L267" s="2"/>
      <c r="M267" s="2"/>
      <c r="N267" s="2"/>
      <c r="O267" s="2"/>
      <c r="P267" s="2"/>
      <c r="Q267" s="2"/>
      <c r="R267" s="2"/>
      <c r="S267" s="2"/>
      <c r="T267" s="2"/>
      <c r="U267" s="2"/>
      <c r="V267" s="2"/>
      <c r="W267" s="2"/>
      <c r="X267" s="2"/>
      <c r="Y267" s="2"/>
      <c r="Z267" s="2"/>
      <c r="AA267" s="2"/>
      <c r="AB267" s="2"/>
      <c r="AC267" s="2"/>
      <c r="AD267" s="2"/>
      <c r="AE267" s="66"/>
      <c r="AF267" s="2"/>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row>
    <row r="268" spans="1:62" x14ac:dyDescent="0.25">
      <c r="A268" s="1"/>
      <c r="B268" s="1"/>
      <c r="C268" s="1"/>
      <c r="D268" s="1"/>
      <c r="E268" s="1"/>
      <c r="F268" s="1"/>
      <c r="G268" s="1"/>
      <c r="H268" s="1"/>
      <c r="I268" s="2"/>
      <c r="J268" s="2"/>
      <c r="K268" s="2"/>
      <c r="L268" s="2"/>
      <c r="M268" s="2"/>
      <c r="N268" s="2"/>
      <c r="O268" s="2"/>
      <c r="P268" s="2"/>
      <c r="Q268" s="2"/>
      <c r="R268" s="2"/>
      <c r="S268" s="2"/>
      <c r="T268" s="2"/>
      <c r="U268" s="2"/>
      <c r="V268" s="2"/>
      <c r="W268" s="2"/>
      <c r="X268" s="2"/>
      <c r="Y268" s="2"/>
      <c r="Z268" s="2"/>
      <c r="AA268" s="2"/>
      <c r="AB268" s="2"/>
      <c r="AC268" s="2"/>
      <c r="AD268" s="2"/>
      <c r="AE268" s="66"/>
      <c r="AF268" s="2"/>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row>
    <row r="269" spans="1:62" x14ac:dyDescent="0.25">
      <c r="A269" s="1"/>
      <c r="B269" s="1"/>
      <c r="C269" s="1"/>
      <c r="D269" s="1"/>
      <c r="E269" s="1"/>
      <c r="F269" s="1"/>
      <c r="G269" s="1"/>
      <c r="H269" s="1"/>
      <c r="I269" s="2"/>
      <c r="J269" s="2"/>
      <c r="K269" s="2"/>
      <c r="L269" s="2"/>
      <c r="M269" s="2"/>
      <c r="N269" s="2"/>
      <c r="O269" s="2"/>
      <c r="P269" s="2"/>
      <c r="Q269" s="2"/>
      <c r="R269" s="2"/>
      <c r="S269" s="2"/>
      <c r="T269" s="2"/>
      <c r="U269" s="2"/>
      <c r="V269" s="2"/>
      <c r="W269" s="2"/>
      <c r="X269" s="2"/>
      <c r="Y269" s="2"/>
      <c r="Z269" s="2"/>
      <c r="AA269" s="2"/>
      <c r="AB269" s="2"/>
      <c r="AC269" s="2"/>
      <c r="AD269" s="2"/>
      <c r="AE269" s="66"/>
      <c r="AF269" s="2"/>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row>
    <row r="270" spans="1:62" x14ac:dyDescent="0.25">
      <c r="A270" s="1"/>
      <c r="B270" s="1"/>
      <c r="C270" s="1"/>
      <c r="D270" s="1"/>
      <c r="E270" s="1"/>
      <c r="F270" s="1"/>
      <c r="G270" s="1"/>
      <c r="H270" s="1"/>
      <c r="I270" s="2"/>
      <c r="J270" s="2"/>
      <c r="K270" s="2"/>
      <c r="L270" s="2"/>
      <c r="M270" s="2"/>
      <c r="N270" s="2"/>
      <c r="O270" s="2"/>
      <c r="P270" s="2"/>
      <c r="Q270" s="2"/>
      <c r="R270" s="2"/>
      <c r="S270" s="2"/>
      <c r="T270" s="2"/>
      <c r="U270" s="2"/>
      <c r="V270" s="2"/>
      <c r="W270" s="2"/>
      <c r="X270" s="2"/>
      <c r="Y270" s="2"/>
      <c r="Z270" s="2"/>
      <c r="AA270" s="2"/>
      <c r="AB270" s="2"/>
      <c r="AC270" s="2"/>
      <c r="AD270" s="2"/>
      <c r="AE270" s="66"/>
      <c r="AF270" s="2"/>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row>
    <row r="271" spans="1:62" x14ac:dyDescent="0.25">
      <c r="A271" s="1"/>
      <c r="B271" s="1"/>
      <c r="C271" s="1"/>
      <c r="D271" s="1"/>
      <c r="E271" s="1"/>
      <c r="F271" s="1"/>
      <c r="G271" s="1"/>
      <c r="H271" s="1"/>
      <c r="I271" s="2"/>
      <c r="J271" s="2"/>
      <c r="K271" s="2"/>
      <c r="L271" s="2"/>
      <c r="M271" s="2"/>
      <c r="N271" s="2"/>
      <c r="O271" s="2"/>
      <c r="P271" s="2"/>
      <c r="Q271" s="2"/>
      <c r="R271" s="2"/>
      <c r="S271" s="2"/>
      <c r="T271" s="2"/>
      <c r="U271" s="2"/>
      <c r="V271" s="2"/>
      <c r="W271" s="2"/>
      <c r="X271" s="2"/>
      <c r="Y271" s="2"/>
      <c r="Z271" s="2"/>
      <c r="AA271" s="2"/>
      <c r="AB271" s="2"/>
      <c r="AC271" s="2"/>
      <c r="AD271" s="2"/>
      <c r="AE271" s="66"/>
      <c r="AF271" s="2"/>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row>
    <row r="272" spans="1:62" x14ac:dyDescent="0.25">
      <c r="A272" s="1"/>
      <c r="B272" s="1"/>
      <c r="C272" s="1"/>
      <c r="D272" s="1"/>
      <c r="E272" s="1"/>
      <c r="F272" s="1"/>
      <c r="G272" s="1"/>
      <c r="H272" s="1"/>
      <c r="I272" s="2"/>
      <c r="J272" s="2"/>
      <c r="K272" s="2"/>
      <c r="L272" s="2"/>
      <c r="M272" s="2"/>
      <c r="N272" s="2"/>
      <c r="O272" s="2"/>
      <c r="P272" s="2"/>
      <c r="Q272" s="2"/>
      <c r="R272" s="2"/>
      <c r="S272" s="2"/>
      <c r="T272" s="2"/>
      <c r="U272" s="2"/>
      <c r="V272" s="2"/>
      <c r="W272" s="2"/>
      <c r="X272" s="2"/>
      <c r="Y272" s="2"/>
      <c r="Z272" s="2"/>
      <c r="AA272" s="2"/>
      <c r="AB272" s="2"/>
      <c r="AC272" s="2"/>
      <c r="AD272" s="2"/>
      <c r="AE272" s="66"/>
      <c r="AF272" s="2"/>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row>
    <row r="273" spans="1:62" x14ac:dyDescent="0.25">
      <c r="A273" s="1"/>
      <c r="B273" s="1"/>
      <c r="C273" s="1"/>
      <c r="D273" s="1"/>
      <c r="E273" s="1"/>
      <c r="F273" s="1"/>
      <c r="G273" s="1"/>
      <c r="H273" s="1"/>
      <c r="I273" s="2"/>
      <c r="J273" s="2"/>
      <c r="K273" s="2"/>
      <c r="L273" s="2"/>
      <c r="M273" s="2"/>
      <c r="N273" s="2"/>
      <c r="O273" s="2"/>
      <c r="P273" s="2"/>
      <c r="Q273" s="2"/>
      <c r="R273" s="2"/>
      <c r="S273" s="2"/>
      <c r="T273" s="2"/>
      <c r="U273" s="2"/>
      <c r="V273" s="2"/>
      <c r="W273" s="2"/>
      <c r="X273" s="2"/>
      <c r="Y273" s="2"/>
      <c r="Z273" s="2"/>
      <c r="AA273" s="2"/>
      <c r="AB273" s="2"/>
      <c r="AC273" s="2"/>
      <c r="AD273" s="2"/>
      <c r="AE273" s="66"/>
      <c r="AF273" s="2"/>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row>
    <row r="274" spans="1:62" x14ac:dyDescent="0.25">
      <c r="A274" s="1"/>
      <c r="B274" s="1"/>
      <c r="C274" s="1"/>
      <c r="D274" s="1"/>
      <c r="E274" s="1"/>
      <c r="F274" s="1"/>
      <c r="G274" s="1"/>
      <c r="H274" s="1"/>
      <c r="I274" s="2"/>
      <c r="J274" s="2"/>
      <c r="K274" s="2"/>
      <c r="L274" s="2"/>
      <c r="M274" s="2"/>
      <c r="N274" s="2"/>
      <c r="O274" s="2"/>
      <c r="P274" s="2"/>
      <c r="Q274" s="2"/>
      <c r="R274" s="2"/>
      <c r="S274" s="2"/>
      <c r="T274" s="2"/>
      <c r="U274" s="2"/>
      <c r="V274" s="2"/>
      <c r="W274" s="2"/>
      <c r="X274" s="2"/>
      <c r="Y274" s="2"/>
      <c r="Z274" s="2"/>
      <c r="AA274" s="2"/>
      <c r="AB274" s="2"/>
      <c r="AC274" s="2"/>
      <c r="AD274" s="2"/>
      <c r="AE274" s="66"/>
      <c r="AF274" s="2"/>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row>
    <row r="275" spans="1:62" x14ac:dyDescent="0.25">
      <c r="A275" s="1"/>
      <c r="B275" s="1"/>
      <c r="C275" s="1"/>
      <c r="D275" s="1"/>
      <c r="E275" s="1"/>
      <c r="F275" s="1"/>
      <c r="G275" s="1"/>
      <c r="H275" s="1"/>
      <c r="I275" s="2"/>
      <c r="J275" s="2"/>
      <c r="K275" s="2"/>
      <c r="L275" s="2"/>
      <c r="M275" s="2"/>
      <c r="N275" s="2"/>
      <c r="O275" s="2"/>
      <c r="P275" s="2"/>
      <c r="Q275" s="2"/>
      <c r="R275" s="2"/>
      <c r="S275" s="2"/>
      <c r="T275" s="2"/>
      <c r="U275" s="2"/>
      <c r="V275" s="2"/>
      <c r="W275" s="2"/>
      <c r="X275" s="2"/>
      <c r="Y275" s="2"/>
      <c r="Z275" s="2"/>
      <c r="AA275" s="2"/>
      <c r="AB275" s="2"/>
      <c r="AC275" s="2"/>
      <c r="AD275" s="2"/>
      <c r="AE275" s="66"/>
      <c r="AF275" s="2"/>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row>
    <row r="276" spans="1:62" x14ac:dyDescent="0.25">
      <c r="A276" s="1"/>
      <c r="B276" s="1"/>
      <c r="C276" s="1"/>
      <c r="D276" s="1"/>
      <c r="E276" s="1"/>
      <c r="F276" s="1"/>
      <c r="G276" s="1"/>
      <c r="H276" s="1"/>
      <c r="I276" s="2"/>
      <c r="J276" s="2"/>
      <c r="K276" s="2"/>
      <c r="L276" s="2"/>
      <c r="M276" s="2"/>
      <c r="N276" s="2"/>
      <c r="O276" s="2"/>
      <c r="P276" s="2"/>
      <c r="Q276" s="2"/>
      <c r="R276" s="2"/>
      <c r="S276" s="2"/>
      <c r="T276" s="2"/>
      <c r="U276" s="2"/>
      <c r="V276" s="2"/>
      <c r="W276" s="2"/>
      <c r="X276" s="2"/>
      <c r="Y276" s="2"/>
      <c r="Z276" s="2"/>
      <c r="AA276" s="2"/>
      <c r="AB276" s="2"/>
      <c r="AC276" s="2"/>
      <c r="AD276" s="2"/>
      <c r="AE276" s="66"/>
      <c r="AF276" s="2"/>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row>
    <row r="277" spans="1:62" x14ac:dyDescent="0.25">
      <c r="A277" s="1"/>
      <c r="B277" s="1"/>
      <c r="C277" s="1"/>
      <c r="D277" s="1"/>
      <c r="E277" s="1"/>
      <c r="F277" s="1"/>
      <c r="G277" s="1"/>
      <c r="H277" s="1"/>
      <c r="I277" s="2"/>
      <c r="J277" s="2"/>
      <c r="K277" s="2"/>
      <c r="L277" s="2"/>
      <c r="M277" s="2"/>
      <c r="N277" s="2"/>
      <c r="O277" s="2"/>
      <c r="P277" s="2"/>
      <c r="Q277" s="2"/>
      <c r="R277" s="2"/>
      <c r="S277" s="2"/>
      <c r="T277" s="2"/>
      <c r="U277" s="2"/>
      <c r="V277" s="2"/>
      <c r="W277" s="2"/>
      <c r="X277" s="2"/>
      <c r="Y277" s="2"/>
      <c r="Z277" s="2"/>
      <c r="AA277" s="2"/>
      <c r="AB277" s="2"/>
      <c r="AC277" s="2"/>
      <c r="AD277" s="2"/>
      <c r="AE277" s="66"/>
      <c r="AF277" s="2"/>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row>
    <row r="278" spans="1:62" x14ac:dyDescent="0.25">
      <c r="A278" s="1"/>
      <c r="B278" s="1"/>
      <c r="C278" s="1"/>
      <c r="D278" s="1"/>
      <c r="E278" s="1"/>
      <c r="F278" s="1"/>
      <c r="G278" s="1"/>
      <c r="H278" s="1"/>
      <c r="I278" s="2"/>
      <c r="J278" s="2"/>
      <c r="K278" s="2"/>
      <c r="L278" s="2"/>
      <c r="M278" s="2"/>
      <c r="N278" s="2"/>
      <c r="O278" s="2"/>
      <c r="P278" s="2"/>
      <c r="Q278" s="2"/>
      <c r="R278" s="2"/>
      <c r="S278" s="2"/>
      <c r="T278" s="2"/>
      <c r="U278" s="2"/>
      <c r="V278" s="2"/>
      <c r="W278" s="2"/>
      <c r="X278" s="2"/>
      <c r="Y278" s="2"/>
      <c r="Z278" s="2"/>
      <c r="AA278" s="2"/>
      <c r="AB278" s="2"/>
      <c r="AC278" s="2"/>
      <c r="AD278" s="2"/>
      <c r="AE278" s="66"/>
      <c r="AF278" s="2"/>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row>
    <row r="279" spans="1:62" x14ac:dyDescent="0.25">
      <c r="A279" s="1"/>
      <c r="B279" s="1"/>
      <c r="C279" s="1"/>
      <c r="D279" s="1"/>
      <c r="E279" s="1"/>
      <c r="F279" s="1"/>
      <c r="G279" s="1"/>
      <c r="H279" s="1"/>
      <c r="I279" s="2"/>
      <c r="J279" s="2"/>
      <c r="K279" s="2"/>
      <c r="L279" s="2"/>
      <c r="M279" s="2"/>
      <c r="N279" s="2"/>
      <c r="O279" s="2"/>
      <c r="P279" s="2"/>
      <c r="Q279" s="2"/>
      <c r="R279" s="2"/>
      <c r="S279" s="2"/>
      <c r="T279" s="2"/>
      <c r="U279" s="2"/>
      <c r="V279" s="2"/>
      <c r="W279" s="2"/>
      <c r="X279" s="2"/>
      <c r="Y279" s="2"/>
      <c r="Z279" s="2"/>
      <c r="AA279" s="2"/>
      <c r="AB279" s="2"/>
      <c r="AC279" s="2"/>
      <c r="AD279" s="2"/>
      <c r="AE279" s="66"/>
      <c r="AF279" s="2"/>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row>
    <row r="280" spans="1:62" x14ac:dyDescent="0.25">
      <c r="A280" s="1"/>
      <c r="B280" s="1"/>
      <c r="C280" s="1"/>
      <c r="D280" s="1"/>
      <c r="E280" s="1"/>
      <c r="F280" s="1"/>
      <c r="G280" s="1"/>
      <c r="H280" s="1"/>
      <c r="I280" s="2"/>
      <c r="J280" s="2"/>
      <c r="K280" s="2"/>
      <c r="L280" s="2"/>
      <c r="M280" s="2"/>
      <c r="N280" s="2"/>
      <c r="O280" s="2"/>
      <c r="P280" s="2"/>
      <c r="Q280" s="2"/>
      <c r="R280" s="2"/>
      <c r="S280" s="2"/>
      <c r="T280" s="2"/>
      <c r="U280" s="2"/>
      <c r="V280" s="2"/>
      <c r="W280" s="2"/>
      <c r="X280" s="2"/>
      <c r="Y280" s="2"/>
      <c r="Z280" s="2"/>
      <c r="AA280" s="2"/>
      <c r="AB280" s="2"/>
      <c r="AC280" s="2"/>
      <c r="AD280" s="2"/>
      <c r="AE280" s="66"/>
      <c r="AF280" s="2"/>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row>
    <row r="281" spans="1:62" x14ac:dyDescent="0.25">
      <c r="A281" s="1"/>
      <c r="B281" s="1"/>
      <c r="C281" s="1"/>
      <c r="D281" s="1"/>
      <c r="E281" s="1"/>
      <c r="F281" s="1"/>
      <c r="G281" s="1"/>
      <c r="H281" s="1"/>
      <c r="I281" s="2"/>
      <c r="J281" s="2"/>
      <c r="K281" s="2"/>
      <c r="L281" s="2"/>
      <c r="M281" s="2"/>
      <c r="N281" s="2"/>
      <c r="O281" s="2"/>
      <c r="P281" s="2"/>
      <c r="Q281" s="2"/>
      <c r="R281" s="2"/>
      <c r="S281" s="2"/>
      <c r="T281" s="2"/>
      <c r="U281" s="2"/>
      <c r="V281" s="2"/>
      <c r="W281" s="2"/>
      <c r="X281" s="2"/>
      <c r="Y281" s="2"/>
      <c r="Z281" s="2"/>
      <c r="AA281" s="2"/>
      <c r="AB281" s="2"/>
      <c r="AC281" s="2"/>
      <c r="AD281" s="2"/>
      <c r="AE281" s="66"/>
      <c r="AF281" s="2"/>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row>
    <row r="282" spans="1:62" x14ac:dyDescent="0.25">
      <c r="A282" s="1"/>
      <c r="B282" s="1"/>
      <c r="C282" s="1"/>
      <c r="D282" s="1"/>
      <c r="E282" s="1"/>
      <c r="F282" s="1"/>
      <c r="G282" s="1"/>
      <c r="H282" s="1"/>
      <c r="I282" s="2"/>
      <c r="J282" s="2"/>
      <c r="K282" s="2"/>
      <c r="L282" s="2"/>
      <c r="M282" s="2"/>
      <c r="N282" s="2"/>
      <c r="O282" s="2"/>
      <c r="P282" s="2"/>
      <c r="Q282" s="2"/>
      <c r="R282" s="2"/>
      <c r="S282" s="2"/>
      <c r="T282" s="2"/>
      <c r="U282" s="2"/>
      <c r="V282" s="2"/>
      <c r="W282" s="2"/>
      <c r="X282" s="2"/>
      <c r="Y282" s="2"/>
      <c r="Z282" s="2"/>
      <c r="AA282" s="2"/>
      <c r="AB282" s="2"/>
      <c r="AC282" s="2"/>
      <c r="AD282" s="2"/>
      <c r="AE282" s="66"/>
      <c r="AF282" s="2"/>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row>
    <row r="283" spans="1:62" x14ac:dyDescent="0.25">
      <c r="A283" s="1"/>
      <c r="B283" s="1"/>
      <c r="C283" s="1"/>
      <c r="D283" s="1"/>
      <c r="E283" s="1"/>
      <c r="F283" s="1"/>
      <c r="G283" s="1"/>
      <c r="H283" s="1"/>
      <c r="I283" s="2"/>
      <c r="J283" s="2"/>
      <c r="K283" s="2"/>
      <c r="L283" s="2"/>
      <c r="M283" s="2"/>
      <c r="N283" s="2"/>
      <c r="O283" s="2"/>
      <c r="P283" s="2"/>
      <c r="Q283" s="2"/>
      <c r="R283" s="2"/>
      <c r="S283" s="2"/>
      <c r="T283" s="2"/>
      <c r="U283" s="2"/>
      <c r="V283" s="2"/>
      <c r="W283" s="2"/>
      <c r="X283" s="2"/>
      <c r="Y283" s="2"/>
      <c r="Z283" s="2"/>
      <c r="AA283" s="2"/>
      <c r="AB283" s="2"/>
      <c r="AC283" s="2"/>
      <c r="AD283" s="2"/>
      <c r="AE283" s="66"/>
      <c r="AF283" s="2"/>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row>
    <row r="284" spans="1:62" x14ac:dyDescent="0.25">
      <c r="A284" s="1"/>
      <c r="B284" s="1"/>
      <c r="C284" s="1"/>
      <c r="D284" s="1"/>
      <c r="E284" s="1"/>
      <c r="F284" s="1"/>
      <c r="G284" s="1"/>
      <c r="H284" s="1"/>
      <c r="I284" s="2"/>
      <c r="J284" s="2"/>
      <c r="K284" s="2"/>
      <c r="L284" s="2"/>
      <c r="M284" s="2"/>
      <c r="N284" s="2"/>
      <c r="O284" s="2"/>
      <c r="P284" s="2"/>
      <c r="Q284" s="2"/>
      <c r="R284" s="2"/>
      <c r="S284" s="2"/>
      <c r="T284" s="2"/>
      <c r="U284" s="2"/>
      <c r="V284" s="2"/>
      <c r="W284" s="2"/>
      <c r="X284" s="2"/>
      <c r="Y284" s="2"/>
      <c r="Z284" s="2"/>
      <c r="AA284" s="2"/>
      <c r="AB284" s="2"/>
      <c r="AC284" s="2"/>
      <c r="AD284" s="2"/>
      <c r="AE284" s="66"/>
      <c r="AF284" s="2"/>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row>
    <row r="285" spans="1:62" x14ac:dyDescent="0.25">
      <c r="A285" s="1"/>
      <c r="B285" s="1"/>
      <c r="C285" s="1"/>
      <c r="D285" s="1"/>
      <c r="E285" s="1"/>
      <c r="F285" s="1"/>
      <c r="G285" s="1"/>
      <c r="H285" s="1"/>
      <c r="I285" s="2"/>
      <c r="J285" s="2"/>
      <c r="K285" s="2"/>
      <c r="L285" s="2"/>
      <c r="M285" s="2"/>
      <c r="N285" s="2"/>
      <c r="O285" s="2"/>
      <c r="P285" s="2"/>
      <c r="Q285" s="2"/>
      <c r="R285" s="2"/>
      <c r="S285" s="2"/>
      <c r="T285" s="2"/>
      <c r="U285" s="2"/>
      <c r="V285" s="2"/>
      <c r="W285" s="2"/>
      <c r="X285" s="2"/>
      <c r="Y285" s="2"/>
      <c r="Z285" s="2"/>
      <c r="AA285" s="2"/>
      <c r="AB285" s="2"/>
      <c r="AC285" s="2"/>
      <c r="AD285" s="2"/>
      <c r="AE285" s="66"/>
      <c r="AF285" s="2"/>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row>
    <row r="286" spans="1:62" x14ac:dyDescent="0.25">
      <c r="A286" s="1"/>
      <c r="B286" s="1"/>
      <c r="C286" s="1"/>
      <c r="D286" s="1"/>
      <c r="E286" s="1"/>
      <c r="F286" s="1"/>
      <c r="G286" s="1"/>
      <c r="H286" s="1"/>
      <c r="I286" s="2"/>
      <c r="J286" s="2"/>
      <c r="K286" s="2"/>
      <c r="L286" s="2"/>
      <c r="M286" s="2"/>
      <c r="N286" s="2"/>
      <c r="O286" s="2"/>
      <c r="P286" s="2"/>
      <c r="Q286" s="2"/>
      <c r="R286" s="2"/>
      <c r="S286" s="2"/>
      <c r="T286" s="2"/>
      <c r="U286" s="2"/>
      <c r="V286" s="2"/>
      <c r="W286" s="2"/>
      <c r="X286" s="2"/>
      <c r="Y286" s="2"/>
      <c r="Z286" s="2"/>
      <c r="AA286" s="2"/>
      <c r="AB286" s="2"/>
      <c r="AC286" s="2"/>
      <c r="AD286" s="2"/>
      <c r="AE286" s="66"/>
      <c r="AF286" s="2"/>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row>
    <row r="287" spans="1:62" x14ac:dyDescent="0.25">
      <c r="A287" s="1"/>
      <c r="B287" s="1"/>
      <c r="C287" s="1"/>
      <c r="D287" s="1"/>
      <c r="E287" s="1"/>
      <c r="F287" s="1"/>
      <c r="G287" s="1"/>
      <c r="H287" s="1"/>
      <c r="I287" s="2"/>
      <c r="J287" s="2"/>
      <c r="K287" s="2"/>
      <c r="L287" s="2"/>
      <c r="M287" s="2"/>
      <c r="N287" s="2"/>
      <c r="O287" s="2"/>
      <c r="P287" s="2"/>
      <c r="Q287" s="2"/>
      <c r="R287" s="2"/>
      <c r="S287" s="2"/>
      <c r="T287" s="2"/>
      <c r="U287" s="2"/>
      <c r="V287" s="2"/>
      <c r="W287" s="2"/>
      <c r="X287" s="2"/>
      <c r="Y287" s="2"/>
      <c r="Z287" s="2"/>
      <c r="AA287" s="2"/>
      <c r="AB287" s="2"/>
      <c r="AC287" s="2"/>
      <c r="AD287" s="2"/>
      <c r="AE287" s="66"/>
      <c r="AF287" s="2"/>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row>
  </sheetData>
  <conditionalFormatting sqref="AD87:AD89 J93:S100 T75:AC75 B10:AD10 T79:AC79 T101:AD101 C78:S80 C82:S82 C90:AC90 AD82:AD84 T82:AC83">
    <cfRule type="cellIs" dxfId="181" priority="74" operator="equal">
      <formula>0</formula>
    </cfRule>
  </conditionalFormatting>
  <conditionalFormatting sqref="AD90">
    <cfRule type="cellIs" dxfId="180" priority="49" operator="equal">
      <formula>0</formula>
    </cfRule>
  </conditionalFormatting>
  <conditionalFormatting sqref="AD78:AE78">
    <cfRule type="cellIs" dxfId="179" priority="71" operator="equal">
      <formula>0</formula>
    </cfRule>
  </conditionalFormatting>
  <conditionalFormatting sqref="C12:S12">
    <cfRule type="cellIs" dxfId="178" priority="45" operator="equal">
      <formula>0</formula>
    </cfRule>
  </conditionalFormatting>
  <conditionalFormatting sqref="C26:AC26">
    <cfRule type="colorScale" priority="44">
      <colorScale>
        <cfvo type="min"/>
        <cfvo type="max"/>
        <color rgb="FF142D14"/>
        <color rgb="FF3C963C"/>
      </colorScale>
    </cfRule>
  </conditionalFormatting>
  <conditionalFormatting sqref="C27:AC27">
    <cfRule type="colorScale" priority="43">
      <colorScale>
        <cfvo type="min"/>
        <cfvo type="max"/>
        <color rgb="FF142D14"/>
        <color rgb="FF3C963C"/>
      </colorScale>
    </cfRule>
  </conditionalFormatting>
  <conditionalFormatting sqref="C13:AC13">
    <cfRule type="colorScale" priority="124">
      <colorScale>
        <cfvo type="min"/>
        <cfvo type="max"/>
        <color rgb="FF142D14"/>
        <color rgb="FF3C963C"/>
      </colorScale>
    </cfRule>
  </conditionalFormatting>
  <conditionalFormatting sqref="T78:AC78">
    <cfRule type="cellIs" dxfId="177" priority="41" operator="equal">
      <formula>0</formula>
    </cfRule>
  </conditionalFormatting>
  <conditionalFormatting sqref="T77:AC77">
    <cfRule type="cellIs" dxfId="176" priority="40" operator="equal">
      <formula>0</formula>
    </cfRule>
  </conditionalFormatting>
  <conditionalFormatting sqref="T80:AC80">
    <cfRule type="cellIs" dxfId="175" priority="39" operator="equal">
      <formula>0</formula>
    </cfRule>
  </conditionalFormatting>
  <conditionalFormatting sqref="T81:AC81">
    <cfRule type="cellIs" dxfId="174" priority="36" operator="equal">
      <formula>0</formula>
    </cfRule>
  </conditionalFormatting>
  <conditionalFormatting sqref="T86:AC86">
    <cfRule type="cellIs" dxfId="173" priority="35" operator="equal">
      <formula>0</formula>
    </cfRule>
  </conditionalFormatting>
  <conditionalFormatting sqref="C72:S72">
    <cfRule type="colorScale" priority="31">
      <colorScale>
        <cfvo type="min"/>
        <cfvo type="max"/>
        <color rgb="FF142D14"/>
        <color rgb="FF3C963C"/>
      </colorScale>
    </cfRule>
  </conditionalFormatting>
  <conditionalFormatting sqref="C83:S83 C85:S85 C87:S87 C86 C88">
    <cfRule type="cellIs" dxfId="172" priority="29" operator="equal">
      <formula>0</formula>
    </cfRule>
  </conditionalFormatting>
  <conditionalFormatting sqref="C84:AC84">
    <cfRule type="colorScale" priority="18">
      <colorScale>
        <cfvo type="min"/>
        <cfvo type="max"/>
        <color rgb="FF142D14"/>
        <color rgb="FF3C963C"/>
      </colorScale>
    </cfRule>
  </conditionalFormatting>
  <conditionalFormatting sqref="D86:AC86">
    <cfRule type="colorScale" priority="17">
      <colorScale>
        <cfvo type="min"/>
        <cfvo type="max"/>
        <color rgb="FF142D14"/>
        <color rgb="FF3C963C"/>
      </colorScale>
    </cfRule>
  </conditionalFormatting>
  <conditionalFormatting sqref="D88:AC88">
    <cfRule type="colorScale" priority="16">
      <colorScale>
        <cfvo type="min"/>
        <cfvo type="max"/>
        <color rgb="FF142D14"/>
        <color rgb="FF3C963C"/>
      </colorScale>
    </cfRule>
  </conditionalFormatting>
  <conditionalFormatting sqref="T76:AC76">
    <cfRule type="cellIs" dxfId="171" priority="15" operator="equal">
      <formula>0</formula>
    </cfRule>
  </conditionalFormatting>
  <conditionalFormatting sqref="T85 V85:AC85">
    <cfRule type="cellIs" dxfId="170" priority="14" operator="equal">
      <formula>0</formula>
    </cfRule>
  </conditionalFormatting>
  <conditionalFormatting sqref="T87 V87:AC87">
    <cfRule type="cellIs" dxfId="169" priority="13" operator="equal">
      <formula>0</formula>
    </cfRule>
  </conditionalFormatting>
  <conditionalFormatting sqref="C15:AC15">
    <cfRule type="cellIs" dxfId="168" priority="11" operator="equal">
      <formula>0</formula>
    </cfRule>
  </conditionalFormatting>
  <conditionalFormatting sqref="T107">
    <cfRule type="cellIs" dxfId="167" priority="7" operator="equal">
      <formula>0</formula>
    </cfRule>
  </conditionalFormatting>
  <conditionalFormatting sqref="T108">
    <cfRule type="cellIs" dxfId="166" priority="6" operator="equal">
      <formula>0</formula>
    </cfRule>
  </conditionalFormatting>
  <conditionalFormatting sqref="T94:AC94">
    <cfRule type="cellIs" dxfId="165" priority="5" operator="equal">
      <formula>0</formula>
    </cfRule>
  </conditionalFormatting>
  <conditionalFormatting sqref="C89:AC89">
    <cfRule type="cellIs" dxfId="164" priority="4" operator="equal">
      <formula>0</formula>
    </cfRule>
  </conditionalFormatting>
  <conditionalFormatting sqref="U85">
    <cfRule type="cellIs" dxfId="163" priority="3" operator="equal">
      <formula>0</formula>
    </cfRule>
  </conditionalFormatting>
  <conditionalFormatting sqref="U87">
    <cfRule type="cellIs" dxfId="162" priority="2" operator="equal">
      <formula>0</formula>
    </cfRule>
  </conditionalFormatting>
  <conditionalFormatting sqref="AD4">
    <cfRule type="cellIs" dxfId="161" priority="1" operator="equal">
      <formula>0</formula>
    </cfRule>
  </conditionalFormatting>
  <pageMargins left="0.511811024" right="0.511811024" top="0.78740157499999996" bottom="0.78740157499999996" header="0.31496062000000002" footer="0.31496062000000002"/>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90B003-1454-4785-9977-8F1CFF66E728}">
  <sheetPr codeName="Planilha8"/>
  <dimension ref="A1:AW280"/>
  <sheetViews>
    <sheetView workbookViewId="0">
      <selection activeCell="P23" sqref="A23:P23"/>
    </sheetView>
  </sheetViews>
  <sheetFormatPr defaultColWidth="12.5703125" defaultRowHeight="15" outlineLevelRow="1" x14ac:dyDescent="0.25"/>
  <cols>
    <col min="1" max="1" width="12.5703125" style="3"/>
    <col min="2" max="2" width="63.5703125" style="3" bestFit="1" customWidth="1"/>
    <col min="3" max="8" width="14.140625" style="3" hidden="1" customWidth="1"/>
    <col min="9" max="12" width="14.140625" style="8" hidden="1" customWidth="1"/>
    <col min="13" max="15" width="14.140625" style="8" customWidth="1"/>
    <col min="16" max="17" width="14" style="8" bestFit="1" customWidth="1"/>
    <col min="18" max="19" width="14" style="8" customWidth="1"/>
    <col min="20" max="16384" width="12.5703125" style="3"/>
  </cols>
  <sheetData>
    <row r="1" spans="1:49" ht="18" customHeight="1" x14ac:dyDescent="0.25">
      <c r="A1" s="1"/>
      <c r="B1" s="1"/>
      <c r="C1" s="1"/>
      <c r="D1" s="1"/>
      <c r="E1" s="1"/>
      <c r="F1" s="1"/>
      <c r="G1" s="1"/>
      <c r="H1" s="1"/>
      <c r="I1" s="2"/>
      <c r="J1" s="2"/>
      <c r="K1" s="2"/>
      <c r="L1" s="2"/>
      <c r="M1" s="2"/>
      <c r="N1" s="2"/>
      <c r="O1" s="2"/>
      <c r="P1" s="2"/>
      <c r="Q1" s="2"/>
      <c r="R1" s="2"/>
      <c r="S1" s="2"/>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row>
    <row r="2" spans="1:49" ht="18" customHeight="1" x14ac:dyDescent="0.25">
      <c r="A2" s="1"/>
      <c r="B2" s="1"/>
      <c r="C2" s="1"/>
      <c r="D2" s="1"/>
      <c r="E2" s="1"/>
      <c r="F2" s="1"/>
      <c r="G2" s="1"/>
      <c r="H2" s="1"/>
      <c r="I2" s="1"/>
      <c r="J2" s="2"/>
      <c r="K2" s="2"/>
      <c r="L2" s="2"/>
      <c r="M2" s="2"/>
      <c r="N2" s="2"/>
      <c r="O2" s="2"/>
      <c r="P2" s="2"/>
      <c r="Q2" s="2"/>
      <c r="R2" s="2"/>
      <c r="S2" s="2"/>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row>
    <row r="3" spans="1:49" ht="18" customHeight="1" x14ac:dyDescent="0.25">
      <c r="A3" s="1"/>
      <c r="B3" s="1"/>
      <c r="C3" s="1"/>
      <c r="D3" s="1"/>
      <c r="E3" s="1"/>
      <c r="F3" s="1"/>
      <c r="G3" s="1"/>
      <c r="H3" s="1"/>
      <c r="I3" s="2"/>
      <c r="J3" s="2"/>
      <c r="K3" s="2"/>
      <c r="L3" s="2"/>
      <c r="M3" s="2"/>
      <c r="N3" s="2"/>
      <c r="O3" s="2"/>
      <c r="P3" s="2"/>
      <c r="Q3" s="2"/>
      <c r="R3" s="2"/>
      <c r="S3" s="2"/>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row>
    <row r="4" spans="1:49" ht="18" customHeight="1" x14ac:dyDescent="0.25">
      <c r="A4" s="1"/>
      <c r="B4" s="1"/>
      <c r="C4" s="1"/>
      <c r="D4" s="1"/>
      <c r="E4" s="1"/>
      <c r="F4" s="1"/>
      <c r="G4" s="1"/>
      <c r="H4" s="1"/>
      <c r="I4" s="2"/>
      <c r="J4" s="2"/>
      <c r="K4" s="2"/>
      <c r="L4" s="2"/>
      <c r="M4" s="2"/>
      <c r="N4" s="2"/>
      <c r="O4" s="2"/>
      <c r="P4" s="2"/>
      <c r="Q4" s="2"/>
      <c r="R4" s="2"/>
      <c r="S4" s="2"/>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row>
    <row r="5" spans="1:49" ht="18" customHeight="1" x14ac:dyDescent="0.25">
      <c r="A5" s="1"/>
      <c r="B5" s="1"/>
      <c r="C5" s="1"/>
      <c r="D5" s="1"/>
      <c r="E5" s="1"/>
      <c r="F5" s="1"/>
      <c r="G5" s="1"/>
      <c r="H5" s="1"/>
      <c r="I5" s="2"/>
      <c r="J5" s="2"/>
      <c r="K5" s="2"/>
      <c r="L5" s="2"/>
      <c r="M5" s="2"/>
      <c r="N5" s="2"/>
      <c r="O5" s="2"/>
      <c r="P5" s="2"/>
      <c r="Q5" s="2"/>
      <c r="R5" s="2"/>
      <c r="S5" s="2"/>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row>
    <row r="6" spans="1:49" ht="18" customHeight="1" x14ac:dyDescent="0.25">
      <c r="A6" s="1"/>
      <c r="B6" s="1"/>
      <c r="C6" s="1"/>
      <c r="D6" s="1"/>
      <c r="E6" s="1"/>
      <c r="F6" s="1"/>
      <c r="G6" s="1"/>
      <c r="H6" s="1"/>
      <c r="I6" s="2"/>
      <c r="J6" s="2"/>
      <c r="K6" s="2"/>
      <c r="L6" s="2"/>
      <c r="M6" s="2"/>
      <c r="N6" s="2"/>
      <c r="O6" s="2"/>
      <c r="P6" s="2"/>
      <c r="Q6" s="2"/>
      <c r="R6" s="2"/>
      <c r="S6" s="2"/>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row>
    <row r="7" spans="1:49" ht="18" customHeight="1" thickBot="1" x14ac:dyDescent="0.3">
      <c r="A7" s="1"/>
      <c r="B7" s="1"/>
      <c r="C7" s="56">
        <v>2010</v>
      </c>
      <c r="D7" s="56">
        <v>2011</v>
      </c>
      <c r="E7" s="56">
        <v>2012</v>
      </c>
      <c r="F7" s="56">
        <v>2013</v>
      </c>
      <c r="G7" s="56">
        <v>2014</v>
      </c>
      <c r="H7" s="56">
        <v>2015</v>
      </c>
      <c r="I7" s="56">
        <v>2016</v>
      </c>
      <c r="J7" s="56">
        <f t="shared" ref="J7:Q7" si="0">I7+1</f>
        <v>2017</v>
      </c>
      <c r="K7" s="56">
        <f t="shared" si="0"/>
        <v>2018</v>
      </c>
      <c r="L7" s="56">
        <f t="shared" si="0"/>
        <v>2019</v>
      </c>
      <c r="M7" s="56">
        <f t="shared" si="0"/>
        <v>2020</v>
      </c>
      <c r="N7" s="56">
        <f t="shared" si="0"/>
        <v>2021</v>
      </c>
      <c r="O7" s="56">
        <f t="shared" si="0"/>
        <v>2022</v>
      </c>
      <c r="P7" s="56">
        <f t="shared" si="0"/>
        <v>2023</v>
      </c>
      <c r="Q7" s="56">
        <f t="shared" si="0"/>
        <v>2024</v>
      </c>
      <c r="R7" s="56" t="s">
        <v>380</v>
      </c>
      <c r="S7" s="56" t="s">
        <v>455</v>
      </c>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row>
    <row r="8" spans="1:49" ht="18" customHeight="1" x14ac:dyDescent="0.25">
      <c r="A8" s="1"/>
      <c r="B8" s="89" t="s">
        <v>241</v>
      </c>
      <c r="C8" s="90">
        <f t="shared" ref="C8:R8" si="1">SUM(C9:C21)</f>
        <v>-478705</v>
      </c>
      <c r="D8" s="90">
        <f t="shared" si="1"/>
        <v>-565236</v>
      </c>
      <c r="E8" s="90">
        <f t="shared" si="1"/>
        <v>-732127</v>
      </c>
      <c r="F8" s="90">
        <f t="shared" si="1"/>
        <v>-814460</v>
      </c>
      <c r="G8" s="90">
        <f t="shared" si="1"/>
        <v>-904839</v>
      </c>
      <c r="H8" s="90">
        <f t="shared" si="1"/>
        <v>-979269</v>
      </c>
      <c r="I8" s="90">
        <f t="shared" si="1"/>
        <v>-1087784</v>
      </c>
      <c r="J8" s="90">
        <f t="shared" si="1"/>
        <v>-1186841</v>
      </c>
      <c r="K8" s="90">
        <f t="shared" si="1"/>
        <v>-1335380</v>
      </c>
      <c r="L8" s="90">
        <f t="shared" si="1"/>
        <v>-1456133</v>
      </c>
      <c r="M8" s="90">
        <f t="shared" si="1"/>
        <v>-1498883</v>
      </c>
      <c r="N8" s="90">
        <f t="shared" si="1"/>
        <v>-2455302</v>
      </c>
      <c r="O8" s="90">
        <f t="shared" si="1"/>
        <v>-3683597</v>
      </c>
      <c r="P8" s="90">
        <f t="shared" si="1"/>
        <v>-4287984</v>
      </c>
      <c r="Q8" s="90">
        <f t="shared" si="1"/>
        <v>-7996114</v>
      </c>
      <c r="R8" s="90">
        <f t="shared" si="1"/>
        <v>-2418636</v>
      </c>
      <c r="S8" s="90">
        <f t="shared" ref="S8" si="2">SUM(S9:S21)</f>
        <v>-2541056</v>
      </c>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row>
    <row r="9" spans="1:49" ht="18" customHeight="1" x14ac:dyDescent="0.25">
      <c r="A9" s="1"/>
      <c r="B9" s="53" t="s">
        <v>24</v>
      </c>
      <c r="C9" s="61">
        <v>-2670</v>
      </c>
      <c r="D9" s="61">
        <v>-4058</v>
      </c>
      <c r="E9" s="61">
        <v>-7558</v>
      </c>
      <c r="F9" s="61">
        <v>-10970</v>
      </c>
      <c r="G9" s="61">
        <v>-13230</v>
      </c>
      <c r="H9" s="61">
        <v>-24208</v>
      </c>
      <c r="I9" s="61">
        <v>-25815</v>
      </c>
      <c r="J9" s="61">
        <v>-32632</v>
      </c>
      <c r="K9" s="61">
        <v>-40882</v>
      </c>
      <c r="L9" s="61">
        <v>-80322</v>
      </c>
      <c r="M9" s="61">
        <v>-81103</v>
      </c>
      <c r="N9" s="61">
        <v>-105748</v>
      </c>
      <c r="O9" s="61">
        <v>-166030</v>
      </c>
      <c r="P9" s="61">
        <v>-222944</v>
      </c>
      <c r="Q9" s="61">
        <v>-414855</v>
      </c>
      <c r="R9" s="61">
        <v>-166581</v>
      </c>
      <c r="S9" s="61">
        <f>-333721-R9</f>
        <v>-167140</v>
      </c>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row>
    <row r="10" spans="1:49" ht="18" customHeight="1" x14ac:dyDescent="0.25">
      <c r="A10" s="1"/>
      <c r="B10" s="53" t="s">
        <v>250</v>
      </c>
      <c r="C10" s="61">
        <v>-76419</v>
      </c>
      <c r="D10" s="61">
        <v>-91990</v>
      </c>
      <c r="E10" s="61">
        <v>-116484</v>
      </c>
      <c r="F10" s="61">
        <v>-123179</v>
      </c>
      <c r="G10" s="61">
        <v>-132600</v>
      </c>
      <c r="H10" s="61">
        <v>-151877</v>
      </c>
      <c r="I10" s="61">
        <v>-180358</v>
      </c>
      <c r="J10" s="61">
        <v>-207531</v>
      </c>
      <c r="K10" s="61">
        <v>-229102</v>
      </c>
      <c r="L10" s="61">
        <v>-241065</v>
      </c>
      <c r="M10" s="61">
        <v>-263400</v>
      </c>
      <c r="N10" s="61">
        <v>-440567</v>
      </c>
      <c r="O10" s="61">
        <v>-606734</v>
      </c>
      <c r="P10" s="61">
        <v>-681515</v>
      </c>
      <c r="Q10" s="61">
        <v>-1234593</v>
      </c>
      <c r="R10" s="61">
        <v>-424800</v>
      </c>
      <c r="S10" s="61">
        <f>-897874-R10</f>
        <v>-473074</v>
      </c>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row>
    <row r="11" spans="1:49" ht="18" customHeight="1" x14ac:dyDescent="0.25">
      <c r="A11" s="1"/>
      <c r="B11" s="53" t="s">
        <v>242</v>
      </c>
      <c r="C11" s="61">
        <v>-322713</v>
      </c>
      <c r="D11" s="61">
        <v>-400627</v>
      </c>
      <c r="E11" s="61">
        <v>-489360</v>
      </c>
      <c r="F11" s="61">
        <v>-540488</v>
      </c>
      <c r="G11" s="61">
        <v>-604752</v>
      </c>
      <c r="H11" s="61">
        <v>-648119</v>
      </c>
      <c r="I11" s="61">
        <v>-695629</v>
      </c>
      <c r="J11" s="61">
        <v>-742511</v>
      </c>
      <c r="K11" s="61">
        <v>-822738</v>
      </c>
      <c r="L11" s="61">
        <v>-911823</v>
      </c>
      <c r="M11" s="61">
        <v>-847404</v>
      </c>
      <c r="N11" s="61">
        <v>-1365841</v>
      </c>
      <c r="O11" s="61">
        <v>-1976447</v>
      </c>
      <c r="P11" s="61">
        <v>-2248810</v>
      </c>
      <c r="Q11" s="61">
        <v>-3955573</v>
      </c>
      <c r="R11" s="61">
        <v>-1215501</v>
      </c>
      <c r="S11" s="61">
        <f>-2498136-R11</f>
        <v>-1282635</v>
      </c>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row>
    <row r="12" spans="1:49" ht="18" customHeight="1" x14ac:dyDescent="0.25">
      <c r="A12" s="1"/>
      <c r="B12" s="53" t="s">
        <v>251</v>
      </c>
      <c r="C12" s="61">
        <v>0</v>
      </c>
      <c r="D12" s="61">
        <v>0</v>
      </c>
      <c r="E12" s="61">
        <v>0</v>
      </c>
      <c r="F12" s="61">
        <v>0</v>
      </c>
      <c r="G12" s="61">
        <v>0</v>
      </c>
      <c r="H12" s="61">
        <v>0</v>
      </c>
      <c r="I12" s="61">
        <v>0</v>
      </c>
      <c r="J12" s="61">
        <v>0</v>
      </c>
      <c r="K12" s="61">
        <v>0</v>
      </c>
      <c r="L12" s="61">
        <v>-4693</v>
      </c>
      <c r="M12" s="61">
        <v>0</v>
      </c>
      <c r="N12" s="61">
        <v>0</v>
      </c>
      <c r="O12" s="61">
        <v>0</v>
      </c>
      <c r="P12" s="61">
        <v>0</v>
      </c>
      <c r="Q12" s="61">
        <v>0</v>
      </c>
      <c r="R12" s="61">
        <v>0</v>
      </c>
      <c r="S12" s="61">
        <v>0</v>
      </c>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row>
    <row r="13" spans="1:49" ht="18" customHeight="1" x14ac:dyDescent="0.25">
      <c r="A13" s="1"/>
      <c r="B13" s="53" t="s">
        <v>252</v>
      </c>
      <c r="C13" s="61">
        <v>0</v>
      </c>
      <c r="D13" s="61">
        <v>0</v>
      </c>
      <c r="E13" s="61">
        <v>0</v>
      </c>
      <c r="F13" s="61">
        <v>0</v>
      </c>
      <c r="G13" s="61">
        <v>0</v>
      </c>
      <c r="H13" s="61">
        <v>0</v>
      </c>
      <c r="I13" s="61">
        <v>0</v>
      </c>
      <c r="J13" s="61">
        <v>0</v>
      </c>
      <c r="K13" s="61">
        <v>0</v>
      </c>
      <c r="L13" s="61">
        <v>-59</v>
      </c>
      <c r="M13" s="61">
        <v>0</v>
      </c>
      <c r="N13" s="61">
        <v>0</v>
      </c>
      <c r="O13" s="61">
        <v>0</v>
      </c>
      <c r="P13" s="61">
        <v>0</v>
      </c>
      <c r="Q13" s="61">
        <v>0</v>
      </c>
      <c r="R13" s="61">
        <v>0</v>
      </c>
      <c r="S13" s="61">
        <v>0</v>
      </c>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row>
    <row r="14" spans="1:49" ht="18" customHeight="1" x14ac:dyDescent="0.25">
      <c r="A14" s="1"/>
      <c r="B14" s="53" t="s">
        <v>243</v>
      </c>
      <c r="C14" s="61">
        <v>-10265</v>
      </c>
      <c r="D14" s="61">
        <v>-13780</v>
      </c>
      <c r="E14" s="61">
        <v>-17860</v>
      </c>
      <c r="F14" s="61">
        <v>-20404</v>
      </c>
      <c r="G14" s="61">
        <v>-20495</v>
      </c>
      <c r="H14" s="61">
        <v>-24438</v>
      </c>
      <c r="I14" s="61">
        <v>-23927</v>
      </c>
      <c r="J14" s="61">
        <v>-27879</v>
      </c>
      <c r="K14" s="61">
        <v>-33829</v>
      </c>
      <c r="L14" s="61">
        <v>-44521</v>
      </c>
      <c r="M14" s="61">
        <v>-59961</v>
      </c>
      <c r="N14" s="61">
        <v>-99712</v>
      </c>
      <c r="O14" s="61">
        <v>-146424</v>
      </c>
      <c r="P14" s="61">
        <v>-168730</v>
      </c>
      <c r="Q14" s="61">
        <v>-277243</v>
      </c>
      <c r="R14" s="61">
        <v>-90279</v>
      </c>
      <c r="S14" s="61">
        <f>-182237-R14</f>
        <v>-91958</v>
      </c>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row>
    <row r="15" spans="1:49" ht="18" customHeight="1" x14ac:dyDescent="0.25">
      <c r="A15" s="1"/>
      <c r="B15" s="53" t="s">
        <v>244</v>
      </c>
      <c r="C15" s="61">
        <v>0</v>
      </c>
      <c r="D15" s="61">
        <v>0</v>
      </c>
      <c r="E15" s="61">
        <v>-20453</v>
      </c>
      <c r="F15" s="61">
        <v>-28537</v>
      </c>
      <c r="G15" s="61">
        <v>-32255</v>
      </c>
      <c r="H15" s="61">
        <v>-31503</v>
      </c>
      <c r="I15" s="61">
        <v>-35946</v>
      </c>
      <c r="J15" s="61">
        <v>-40117</v>
      </c>
      <c r="K15" s="61">
        <v>-42136</v>
      </c>
      <c r="L15" s="61">
        <v>-25088</v>
      </c>
      <c r="M15" s="61">
        <v>-13077</v>
      </c>
      <c r="N15" s="61">
        <v>-42432</v>
      </c>
      <c r="O15" s="61">
        <v>-61659</v>
      </c>
      <c r="P15" s="61">
        <v>-96400</v>
      </c>
      <c r="Q15" s="61">
        <v>-203040</v>
      </c>
      <c r="R15" s="61">
        <v>-53476</v>
      </c>
      <c r="S15" s="61">
        <f>-124481-R15</f>
        <v>-71005</v>
      </c>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row>
    <row r="16" spans="1:49" ht="18" customHeight="1" x14ac:dyDescent="0.25">
      <c r="A16" s="1"/>
      <c r="B16" s="53" t="s">
        <v>245</v>
      </c>
      <c r="C16" s="61">
        <v>0</v>
      </c>
      <c r="D16" s="61">
        <v>0</v>
      </c>
      <c r="E16" s="61">
        <v>0</v>
      </c>
      <c r="F16" s="61">
        <v>0</v>
      </c>
      <c r="G16" s="61">
        <v>0</v>
      </c>
      <c r="H16" s="61">
        <v>0</v>
      </c>
      <c r="I16" s="61">
        <v>0</v>
      </c>
      <c r="J16" s="61">
        <v>0</v>
      </c>
      <c r="K16" s="61">
        <v>-33834</v>
      </c>
      <c r="L16" s="61">
        <v>-39995</v>
      </c>
      <c r="M16" s="61">
        <v>-115964</v>
      </c>
      <c r="N16" s="61">
        <v>-202990</v>
      </c>
      <c r="O16" s="61">
        <v>-391474</v>
      </c>
      <c r="P16" s="61">
        <v>-453879</v>
      </c>
      <c r="Q16" s="61">
        <v>-652573</v>
      </c>
      <c r="R16" s="61">
        <v>-163295</v>
      </c>
      <c r="S16" s="61">
        <f>-322866-R16</f>
        <v>-159571</v>
      </c>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row>
    <row r="17" spans="1:49" ht="18" customHeight="1" x14ac:dyDescent="0.25">
      <c r="A17" s="1"/>
      <c r="B17" s="53" t="s">
        <v>246</v>
      </c>
      <c r="C17" s="61">
        <v>0</v>
      </c>
      <c r="D17" s="61">
        <v>0</v>
      </c>
      <c r="E17" s="61">
        <v>0</v>
      </c>
      <c r="F17" s="61">
        <v>0</v>
      </c>
      <c r="G17" s="61">
        <v>0</v>
      </c>
      <c r="H17" s="61">
        <v>0</v>
      </c>
      <c r="I17" s="61">
        <v>0</v>
      </c>
      <c r="J17" s="61">
        <v>0</v>
      </c>
      <c r="K17" s="61">
        <v>0</v>
      </c>
      <c r="L17" s="61">
        <v>-60533</v>
      </c>
      <c r="M17" s="61">
        <v>-147057</v>
      </c>
      <c r="N17" s="61">
        <v>-297990</v>
      </c>
      <c r="O17" s="61">
        <v>-399510</v>
      </c>
      <c r="P17" s="61">
        <v>-433331</v>
      </c>
      <c r="Q17" s="61">
        <v>-975248</v>
      </c>
      <c r="R17" s="61">
        <v>-247614</v>
      </c>
      <c r="S17" s="61">
        <f>-489941-R17</f>
        <v>-242327</v>
      </c>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row>
    <row r="18" spans="1:49" ht="18" customHeight="1" x14ac:dyDescent="0.25">
      <c r="A18" s="1"/>
      <c r="B18" s="53" t="s">
        <v>249</v>
      </c>
      <c r="C18" s="61">
        <v>0</v>
      </c>
      <c r="D18" s="61">
        <v>0</v>
      </c>
      <c r="E18" s="61">
        <v>0</v>
      </c>
      <c r="F18" s="61">
        <v>0</v>
      </c>
      <c r="G18" s="61">
        <v>0</v>
      </c>
      <c r="H18" s="61">
        <v>0</v>
      </c>
      <c r="I18" s="61">
        <v>0</v>
      </c>
      <c r="J18" s="61">
        <v>0</v>
      </c>
      <c r="K18" s="61"/>
      <c r="L18" s="61">
        <v>0</v>
      </c>
      <c r="M18" s="61">
        <v>0</v>
      </c>
      <c r="N18" s="61">
        <v>122222</v>
      </c>
      <c r="O18" s="61">
        <v>69109</v>
      </c>
      <c r="P18" s="61">
        <v>0</v>
      </c>
      <c r="Q18" s="61">
        <v>0</v>
      </c>
      <c r="R18" s="61">
        <v>0</v>
      </c>
      <c r="S18" s="61">
        <v>0</v>
      </c>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row>
    <row r="19" spans="1:49" ht="18" customHeight="1" x14ac:dyDescent="0.25">
      <c r="A19" s="1"/>
      <c r="B19" s="53" t="s">
        <v>247</v>
      </c>
      <c r="C19" s="61">
        <v>0</v>
      </c>
      <c r="D19" s="61">
        <v>0</v>
      </c>
      <c r="E19" s="61">
        <v>0</v>
      </c>
      <c r="F19" s="61">
        <v>0</v>
      </c>
      <c r="G19" s="61">
        <v>0</v>
      </c>
      <c r="H19" s="61">
        <v>0</v>
      </c>
      <c r="I19" s="61">
        <v>0</v>
      </c>
      <c r="J19" s="61">
        <v>0</v>
      </c>
      <c r="K19" s="61"/>
      <c r="L19" s="61">
        <v>0</v>
      </c>
      <c r="M19" s="61">
        <v>0</v>
      </c>
      <c r="N19" s="61">
        <v>-29980</v>
      </c>
      <c r="O19" s="61">
        <v>-41254</v>
      </c>
      <c r="P19" s="61">
        <v>-6745</v>
      </c>
      <c r="Q19" s="61">
        <v>-27195</v>
      </c>
      <c r="R19" s="61">
        <v>-29329</v>
      </c>
      <c r="S19" s="61">
        <f>-76873-R19</f>
        <v>-47544</v>
      </c>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row>
    <row r="20" spans="1:49" ht="18" customHeight="1" x14ac:dyDescent="0.25">
      <c r="A20" s="1"/>
      <c r="B20" s="53" t="s">
        <v>248</v>
      </c>
      <c r="C20" s="61">
        <v>0</v>
      </c>
      <c r="D20" s="61">
        <v>0</v>
      </c>
      <c r="E20" s="61">
        <v>0</v>
      </c>
      <c r="F20" s="61">
        <v>0</v>
      </c>
      <c r="G20" s="61">
        <v>0</v>
      </c>
      <c r="H20" s="61">
        <v>0</v>
      </c>
      <c r="I20" s="61">
        <v>0</v>
      </c>
      <c r="J20" s="61">
        <v>0</v>
      </c>
      <c r="K20" s="61"/>
      <c r="L20" s="61">
        <v>0</v>
      </c>
      <c r="M20" s="61">
        <v>0</v>
      </c>
      <c r="N20" s="61">
        <v>7736</v>
      </c>
      <c r="O20" s="61">
        <v>36826</v>
      </c>
      <c r="P20" s="61">
        <v>-14557</v>
      </c>
      <c r="Q20" s="61">
        <v>-58162</v>
      </c>
      <c r="R20" s="61">
        <v>-65550</v>
      </c>
      <c r="S20" s="61">
        <f>-79280-R20</f>
        <v>-13730</v>
      </c>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row>
    <row r="21" spans="1:49" ht="18" customHeight="1" x14ac:dyDescent="0.25">
      <c r="A21" s="1"/>
      <c r="B21" s="53" t="s">
        <v>159</v>
      </c>
      <c r="C21" s="61">
        <v>-66638</v>
      </c>
      <c r="D21" s="61">
        <v>-54781</v>
      </c>
      <c r="E21" s="61">
        <v>-80412</v>
      </c>
      <c r="F21" s="61">
        <v>-90882</v>
      </c>
      <c r="G21" s="61">
        <v>-101507</v>
      </c>
      <c r="H21" s="61">
        <v>-99124</v>
      </c>
      <c r="I21" s="61">
        <v>-126109</v>
      </c>
      <c r="J21" s="61">
        <v>-136171</v>
      </c>
      <c r="K21" s="61">
        <v>-132859</v>
      </c>
      <c r="L21" s="61">
        <v>-48034</v>
      </c>
      <c r="M21" s="61">
        <f>'DRE + DCF'!M18</f>
        <v>29083</v>
      </c>
      <c r="N21" s="61">
        <v>0</v>
      </c>
      <c r="O21" s="61">
        <v>0</v>
      </c>
      <c r="P21" s="61">
        <f>'DRE + DCF'!P18</f>
        <v>38927</v>
      </c>
      <c r="Q21" s="61">
        <f>'DRE + DCF'!Q18</f>
        <v>-197632</v>
      </c>
      <c r="R21" s="61">
        <f>'DRE + DCF'!R18</f>
        <v>37789</v>
      </c>
      <c r="S21" s="61">
        <f>'DRE + DCF'!S18</f>
        <v>7928</v>
      </c>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row>
    <row r="22" spans="1:49" ht="18" customHeight="1" collapsed="1" x14ac:dyDescent="0.25">
      <c r="A22" s="22"/>
      <c r="B22" s="53"/>
      <c r="C22" s="61"/>
      <c r="D22" s="61"/>
      <c r="E22" s="61"/>
      <c r="F22" s="61"/>
      <c r="G22" s="61"/>
      <c r="H22" s="61"/>
      <c r="I22" s="61"/>
      <c r="J22" s="61"/>
      <c r="K22" s="61"/>
      <c r="L22" s="61"/>
      <c r="M22" s="61"/>
      <c r="N22" s="61"/>
      <c r="O22" s="61"/>
      <c r="P22" s="61"/>
      <c r="Q22" s="61"/>
      <c r="R22" s="61"/>
      <c r="S22" s="61"/>
      <c r="T22" s="1"/>
      <c r="U22" s="1"/>
      <c r="V22" s="5"/>
      <c r="W22" s="5"/>
      <c r="X22" s="5"/>
      <c r="Y22" s="1"/>
      <c r="Z22" s="1"/>
      <c r="AA22" s="1"/>
      <c r="AB22" s="1"/>
      <c r="AC22" s="1"/>
      <c r="AD22" s="1"/>
      <c r="AE22" s="1"/>
      <c r="AF22" s="1"/>
      <c r="AG22" s="1"/>
      <c r="AH22" s="1"/>
      <c r="AI22" s="1"/>
      <c r="AJ22" s="1"/>
      <c r="AK22" s="1"/>
      <c r="AL22" s="1"/>
      <c r="AM22" s="1"/>
      <c r="AN22" s="1"/>
      <c r="AO22" s="1"/>
      <c r="AP22" s="1"/>
      <c r="AQ22" s="1"/>
      <c r="AR22" s="1"/>
      <c r="AS22" s="1"/>
      <c r="AT22" s="1"/>
      <c r="AU22" s="1"/>
      <c r="AV22" s="1"/>
      <c r="AW22" s="1"/>
    </row>
    <row r="23" spans="1:49" ht="18" customHeight="1" x14ac:dyDescent="0.25">
      <c r="A23" s="1"/>
      <c r="B23" s="89" t="s">
        <v>254</v>
      </c>
      <c r="C23" s="90">
        <f t="shared" ref="C23:J23" si="3">SUM(C24:C38)</f>
        <v>3455</v>
      </c>
      <c r="D23" s="90">
        <f t="shared" si="3"/>
        <v>1668</v>
      </c>
      <c r="E23" s="90">
        <f t="shared" si="3"/>
        <v>-4748</v>
      </c>
      <c r="F23" s="90">
        <f t="shared" si="3"/>
        <v>1011</v>
      </c>
      <c r="G23" s="90">
        <f t="shared" si="3"/>
        <v>-3708</v>
      </c>
      <c r="H23" s="90">
        <f t="shared" si="3"/>
        <v>-2476</v>
      </c>
      <c r="I23" s="90">
        <f t="shared" si="3"/>
        <v>-2411</v>
      </c>
      <c r="J23" s="90">
        <f t="shared" si="3"/>
        <v>-2104</v>
      </c>
      <c r="K23" s="90">
        <f>SUM(K24:K38)</f>
        <v>394</v>
      </c>
      <c r="L23" s="90">
        <f t="shared" ref="L23:R23" si="4">SUM(L24:L38)</f>
        <v>55786</v>
      </c>
      <c r="M23" s="90">
        <f t="shared" si="4"/>
        <v>29083</v>
      </c>
      <c r="N23" s="90">
        <f t="shared" si="4"/>
        <v>130473</v>
      </c>
      <c r="O23" s="90">
        <f t="shared" si="4"/>
        <v>86106</v>
      </c>
      <c r="P23" s="90">
        <f t="shared" si="4"/>
        <v>38927</v>
      </c>
      <c r="Q23" s="90">
        <f t="shared" si="4"/>
        <v>-197632</v>
      </c>
      <c r="R23" s="90">
        <f t="shared" si="4"/>
        <v>37789</v>
      </c>
      <c r="S23" s="90">
        <f t="shared" ref="S23" si="5">SUM(S24:S38)</f>
        <v>7928</v>
      </c>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row>
    <row r="24" spans="1:49" ht="18" customHeight="1" x14ac:dyDescent="0.25">
      <c r="A24" s="6"/>
      <c r="B24" s="53" t="s">
        <v>255</v>
      </c>
      <c r="C24" s="61">
        <v>550</v>
      </c>
      <c r="D24" s="61">
        <v>725</v>
      </c>
      <c r="E24" s="61">
        <v>1225</v>
      </c>
      <c r="F24" s="61">
        <v>2260</v>
      </c>
      <c r="G24" s="61">
        <v>2603</v>
      </c>
      <c r="H24" s="61">
        <v>1152</v>
      </c>
      <c r="I24" s="61">
        <v>1103</v>
      </c>
      <c r="J24" s="61">
        <v>2104</v>
      </c>
      <c r="K24" s="61">
        <v>1732</v>
      </c>
      <c r="L24" s="61">
        <v>1882</v>
      </c>
      <c r="M24" s="61">
        <v>609</v>
      </c>
      <c r="N24" s="61">
        <v>892</v>
      </c>
      <c r="O24" s="61">
        <v>1074</v>
      </c>
      <c r="P24" s="61">
        <v>988</v>
      </c>
      <c r="Q24" s="61">
        <v>-3428</v>
      </c>
      <c r="R24" s="61">
        <v>-106</v>
      </c>
      <c r="S24" s="61">
        <f>121-R24</f>
        <v>227</v>
      </c>
      <c r="T24" s="4"/>
      <c r="U24" s="4"/>
      <c r="V24" s="1"/>
      <c r="W24" s="1"/>
      <c r="X24" s="5"/>
      <c r="Y24" s="5"/>
      <c r="Z24" s="5"/>
      <c r="AA24" s="1"/>
      <c r="AB24" s="1"/>
      <c r="AC24" s="1"/>
      <c r="AD24" s="1"/>
      <c r="AE24" s="1"/>
      <c r="AF24" s="1"/>
      <c r="AG24" s="1"/>
      <c r="AH24" s="1"/>
      <c r="AI24" s="1"/>
      <c r="AJ24" s="1"/>
      <c r="AK24" s="1"/>
      <c r="AL24" s="1"/>
      <c r="AM24" s="1"/>
      <c r="AN24" s="1"/>
      <c r="AO24" s="1"/>
      <c r="AP24" s="1"/>
      <c r="AQ24" s="1"/>
      <c r="AR24" s="1"/>
      <c r="AS24" s="1"/>
      <c r="AT24" s="1"/>
      <c r="AU24" s="1"/>
      <c r="AV24" s="1"/>
      <c r="AW24" s="1"/>
    </row>
    <row r="25" spans="1:49" ht="18" customHeight="1" x14ac:dyDescent="0.25">
      <c r="A25" s="7"/>
      <c r="B25" s="53" t="s">
        <v>256</v>
      </c>
      <c r="C25" s="61">
        <v>151</v>
      </c>
      <c r="D25" s="61">
        <v>0</v>
      </c>
      <c r="E25" s="61">
        <v>0</v>
      </c>
      <c r="F25" s="61">
        <v>0</v>
      </c>
      <c r="G25" s="61">
        <v>0</v>
      </c>
      <c r="H25" s="61">
        <v>0</v>
      </c>
      <c r="I25" s="61">
        <v>0</v>
      </c>
      <c r="J25" s="61">
        <v>0</v>
      </c>
      <c r="K25" s="61">
        <v>0</v>
      </c>
      <c r="L25" s="61">
        <v>0</v>
      </c>
      <c r="M25" s="61">
        <v>0</v>
      </c>
      <c r="N25" s="61">
        <v>1051</v>
      </c>
      <c r="O25" s="61">
        <v>2062</v>
      </c>
      <c r="P25" s="61">
        <v>1756</v>
      </c>
      <c r="Q25" s="61">
        <v>1942</v>
      </c>
      <c r="R25" s="61">
        <v>331</v>
      </c>
      <c r="S25" s="61">
        <f>786-R25</f>
        <v>455</v>
      </c>
      <c r="T25" s="4"/>
      <c r="U25" s="4"/>
      <c r="V25" s="1"/>
      <c r="W25" s="1"/>
      <c r="X25" s="5"/>
      <c r="Y25" s="5"/>
      <c r="Z25" s="5"/>
      <c r="AA25" s="1"/>
      <c r="AB25" s="1"/>
      <c r="AC25" s="1"/>
      <c r="AD25" s="1"/>
      <c r="AE25" s="1"/>
      <c r="AF25" s="1"/>
      <c r="AG25" s="1"/>
      <c r="AH25" s="1"/>
      <c r="AI25" s="1"/>
      <c r="AJ25" s="1"/>
      <c r="AK25" s="1"/>
      <c r="AL25" s="1"/>
      <c r="AM25" s="1"/>
      <c r="AN25" s="1"/>
      <c r="AO25" s="1"/>
      <c r="AP25" s="1"/>
      <c r="AQ25" s="1"/>
      <c r="AR25" s="1"/>
      <c r="AS25" s="1"/>
      <c r="AT25" s="1"/>
      <c r="AU25" s="1"/>
      <c r="AV25" s="1"/>
      <c r="AW25" s="1"/>
    </row>
    <row r="26" spans="1:49" ht="18" customHeight="1" x14ac:dyDescent="0.25">
      <c r="A26" s="1"/>
      <c r="B26" s="53" t="s">
        <v>212</v>
      </c>
      <c r="C26" s="61">
        <v>0</v>
      </c>
      <c r="D26" s="61">
        <v>0</v>
      </c>
      <c r="E26" s="61">
        <v>0</v>
      </c>
      <c r="F26" s="61">
        <v>0</v>
      </c>
      <c r="G26" s="61">
        <v>0</v>
      </c>
      <c r="H26" s="61">
        <v>0</v>
      </c>
      <c r="I26" s="61">
        <v>0</v>
      </c>
      <c r="J26" s="61">
        <v>0</v>
      </c>
      <c r="K26" s="61">
        <v>0</v>
      </c>
      <c r="L26" s="61">
        <v>52429</v>
      </c>
      <c r="M26" s="61">
        <v>51790</v>
      </c>
      <c r="N26" s="61">
        <v>138426</v>
      </c>
      <c r="O26" s="61">
        <v>67925</v>
      </c>
      <c r="P26" s="61">
        <v>38243</v>
      </c>
      <c r="Q26" s="61">
        <v>22363</v>
      </c>
      <c r="R26" s="61">
        <v>26784</v>
      </c>
      <c r="S26" s="61">
        <f>29446-R26</f>
        <v>2662</v>
      </c>
      <c r="T26" s="1"/>
      <c r="U26" s="1"/>
      <c r="V26" s="1"/>
      <c r="W26" s="1"/>
      <c r="X26" s="5"/>
      <c r="Y26" s="5"/>
      <c r="Z26" s="5"/>
      <c r="AA26" s="1"/>
      <c r="AB26" s="1"/>
      <c r="AC26" s="1"/>
      <c r="AD26" s="1"/>
      <c r="AE26" s="1"/>
      <c r="AF26" s="1"/>
      <c r="AG26" s="1"/>
      <c r="AH26" s="1"/>
      <c r="AI26" s="1"/>
      <c r="AJ26" s="1"/>
      <c r="AK26" s="1"/>
      <c r="AL26" s="1"/>
      <c r="AM26" s="1"/>
      <c r="AN26" s="1"/>
      <c r="AO26" s="1"/>
      <c r="AP26" s="1"/>
      <c r="AQ26" s="1"/>
      <c r="AR26" s="1"/>
      <c r="AS26" s="1"/>
      <c r="AT26" s="1"/>
      <c r="AU26" s="1"/>
      <c r="AV26" s="1"/>
      <c r="AW26" s="1"/>
    </row>
    <row r="27" spans="1:49" ht="18" customHeight="1" x14ac:dyDescent="0.25">
      <c r="A27" s="1"/>
      <c r="B27" s="53" t="s">
        <v>257</v>
      </c>
      <c r="C27" s="61">
        <v>322</v>
      </c>
      <c r="D27" s="61">
        <v>295</v>
      </c>
      <c r="E27" s="61">
        <v>132</v>
      </c>
      <c r="F27" s="61">
        <v>174</v>
      </c>
      <c r="G27" s="61">
        <v>115</v>
      </c>
      <c r="H27" s="61">
        <v>713</v>
      </c>
      <c r="I27" s="61">
        <v>939</v>
      </c>
      <c r="J27" s="61">
        <v>1910</v>
      </c>
      <c r="K27" s="61">
        <v>1375</v>
      </c>
      <c r="L27" s="61">
        <v>1600</v>
      </c>
      <c r="M27" s="61">
        <v>1115</v>
      </c>
      <c r="N27" s="61">
        <v>469</v>
      </c>
      <c r="O27" s="61">
        <v>8366</v>
      </c>
      <c r="P27" s="61">
        <v>10817</v>
      </c>
      <c r="Q27" s="61">
        <v>12749</v>
      </c>
      <c r="R27" s="61">
        <v>5147</v>
      </c>
      <c r="S27" s="61">
        <f>8389-R27</f>
        <v>3242</v>
      </c>
      <c r="T27" s="1"/>
      <c r="U27" s="1"/>
      <c r="V27" s="1"/>
      <c r="W27" s="1"/>
      <c r="X27" s="5"/>
      <c r="Y27" s="5"/>
      <c r="Z27" s="5"/>
      <c r="AA27" s="1"/>
      <c r="AB27" s="1"/>
      <c r="AC27" s="1"/>
      <c r="AD27" s="1"/>
      <c r="AE27" s="1"/>
      <c r="AF27" s="1"/>
      <c r="AG27" s="1"/>
      <c r="AH27" s="1"/>
      <c r="AI27" s="1"/>
      <c r="AJ27" s="1"/>
      <c r="AK27" s="1"/>
      <c r="AL27" s="1"/>
      <c r="AM27" s="1"/>
      <c r="AN27" s="1"/>
      <c r="AO27" s="1"/>
      <c r="AP27" s="1"/>
      <c r="AQ27" s="1"/>
      <c r="AR27" s="1"/>
      <c r="AS27" s="1"/>
      <c r="AT27" s="1"/>
      <c r="AU27" s="1"/>
      <c r="AV27" s="1"/>
      <c r="AW27" s="1"/>
    </row>
    <row r="28" spans="1:49" ht="18" customHeight="1" x14ac:dyDescent="0.25">
      <c r="A28" s="1"/>
      <c r="B28" s="53" t="s">
        <v>237</v>
      </c>
      <c r="C28" s="61">
        <v>0</v>
      </c>
      <c r="D28" s="61">
        <v>0</v>
      </c>
      <c r="E28" s="61">
        <v>0</v>
      </c>
      <c r="F28" s="61">
        <v>0</v>
      </c>
      <c r="G28" s="61">
        <v>0</v>
      </c>
      <c r="H28" s="61">
        <v>0</v>
      </c>
      <c r="I28" s="61">
        <v>0</v>
      </c>
      <c r="J28" s="61">
        <v>0</v>
      </c>
      <c r="K28" s="61">
        <v>0</v>
      </c>
      <c r="L28" s="61">
        <v>0</v>
      </c>
      <c r="M28" s="61">
        <v>0</v>
      </c>
      <c r="N28" s="61">
        <v>1318</v>
      </c>
      <c r="O28" s="61">
        <v>0</v>
      </c>
      <c r="P28" s="61">
        <v>307</v>
      </c>
      <c r="Q28" s="61">
        <v>9836</v>
      </c>
      <c r="R28" s="61">
        <v>14938</v>
      </c>
      <c r="S28" s="61">
        <f>2990-R28</f>
        <v>-11948</v>
      </c>
      <c r="T28" s="1"/>
      <c r="U28" s="1"/>
      <c r="V28" s="1"/>
      <c r="W28" s="1"/>
      <c r="X28" s="5"/>
      <c r="Y28" s="5"/>
      <c r="Z28" s="5"/>
      <c r="AA28" s="1"/>
      <c r="AB28" s="1"/>
      <c r="AC28" s="1"/>
      <c r="AD28" s="1"/>
      <c r="AE28" s="1"/>
      <c r="AF28" s="1"/>
      <c r="AG28" s="1"/>
      <c r="AH28" s="1"/>
      <c r="AI28" s="1"/>
      <c r="AJ28" s="1"/>
      <c r="AK28" s="1"/>
      <c r="AL28" s="1"/>
      <c r="AM28" s="1"/>
      <c r="AN28" s="1"/>
      <c r="AO28" s="1"/>
      <c r="AP28" s="1"/>
      <c r="AQ28" s="1"/>
      <c r="AR28" s="1"/>
      <c r="AS28" s="1"/>
      <c r="AT28" s="1"/>
      <c r="AU28" s="1"/>
      <c r="AV28" s="1"/>
      <c r="AW28" s="1"/>
    </row>
    <row r="29" spans="1:49" ht="18" customHeight="1" x14ac:dyDescent="0.25">
      <c r="A29" s="1"/>
      <c r="B29" s="53" t="s">
        <v>258</v>
      </c>
      <c r="C29" s="61">
        <v>477</v>
      </c>
      <c r="D29" s="61">
        <v>0</v>
      </c>
      <c r="E29" s="61">
        <v>0</v>
      </c>
      <c r="F29" s="61">
        <v>0</v>
      </c>
      <c r="G29" s="61">
        <v>0</v>
      </c>
      <c r="H29" s="61">
        <v>0</v>
      </c>
      <c r="I29" s="61">
        <v>0</v>
      </c>
      <c r="J29" s="61">
        <v>0</v>
      </c>
      <c r="K29" s="61">
        <v>0</v>
      </c>
      <c r="L29" s="61">
        <v>2136</v>
      </c>
      <c r="M29" s="61">
        <v>482</v>
      </c>
      <c r="N29" s="61">
        <v>4007</v>
      </c>
      <c r="O29" s="61">
        <v>18946</v>
      </c>
      <c r="P29" s="61">
        <v>15914</v>
      </c>
      <c r="Q29" s="61">
        <v>5833</v>
      </c>
      <c r="R29" s="61">
        <v>7696</v>
      </c>
      <c r="S29" s="61">
        <f>10165-R29</f>
        <v>2469</v>
      </c>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row>
    <row r="30" spans="1:49" ht="18" customHeight="1" x14ac:dyDescent="0.25">
      <c r="A30" s="1"/>
      <c r="B30" s="53" t="s">
        <v>263</v>
      </c>
      <c r="C30" s="61">
        <v>0</v>
      </c>
      <c r="D30" s="61">
        <v>0</v>
      </c>
      <c r="E30" s="61">
        <v>0</v>
      </c>
      <c r="F30" s="61">
        <v>0</v>
      </c>
      <c r="G30" s="61">
        <v>0</v>
      </c>
      <c r="H30" s="61">
        <v>0</v>
      </c>
      <c r="I30" s="61">
        <v>0</v>
      </c>
      <c r="J30" s="61">
        <v>0</v>
      </c>
      <c r="K30" s="61">
        <v>0</v>
      </c>
      <c r="L30" s="61">
        <v>0</v>
      </c>
      <c r="M30" s="61">
        <v>0</v>
      </c>
      <c r="N30" s="61">
        <v>0</v>
      </c>
      <c r="O30" s="61">
        <v>6608</v>
      </c>
      <c r="P30" s="61">
        <v>0</v>
      </c>
      <c r="Q30" s="61">
        <v>0</v>
      </c>
      <c r="R30" s="61">
        <v>0</v>
      </c>
      <c r="S30" s="61">
        <v>0</v>
      </c>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row>
    <row r="31" spans="1:49" ht="18" customHeight="1" x14ac:dyDescent="0.25">
      <c r="A31" s="1"/>
      <c r="B31" s="53" t="s">
        <v>216</v>
      </c>
      <c r="C31" s="61">
        <v>0</v>
      </c>
      <c r="D31" s="61">
        <v>0</v>
      </c>
      <c r="E31" s="61">
        <v>0</v>
      </c>
      <c r="F31" s="61">
        <v>-3594</v>
      </c>
      <c r="G31" s="61">
        <v>-4451</v>
      </c>
      <c r="H31" s="61">
        <v>-4749</v>
      </c>
      <c r="I31" s="61">
        <v>-4177</v>
      </c>
      <c r="J31" s="61">
        <v>-6014</v>
      </c>
      <c r="K31" s="61">
        <v>-7732</v>
      </c>
      <c r="L31" s="61">
        <v>-5512</v>
      </c>
      <c r="M31" s="61">
        <v>-3972</v>
      </c>
      <c r="N31" s="61">
        <v>-6400</v>
      </c>
      <c r="O31" s="61">
        <v>-19357</v>
      </c>
      <c r="P31" s="61">
        <v>-17348</v>
      </c>
      <c r="Q31" s="61">
        <v>-24750</v>
      </c>
      <c r="R31" s="61">
        <v>-9180</v>
      </c>
      <c r="S31" s="61">
        <f>0-R31</f>
        <v>9180</v>
      </c>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row>
    <row r="32" spans="1:49" ht="18" customHeight="1" x14ac:dyDescent="0.25">
      <c r="A32" s="2"/>
      <c r="B32" s="53" t="s">
        <v>259</v>
      </c>
      <c r="C32" s="61">
        <v>20</v>
      </c>
      <c r="D32" s="61">
        <v>0</v>
      </c>
      <c r="E32" s="61">
        <v>826</v>
      </c>
      <c r="F32" s="61">
        <v>729</v>
      </c>
      <c r="G32" s="61">
        <v>-1578</v>
      </c>
      <c r="H32" s="61">
        <v>-1597</v>
      </c>
      <c r="I32" s="61">
        <v>3</v>
      </c>
      <c r="J32" s="61">
        <v>-479</v>
      </c>
      <c r="K32" s="61">
        <v>713</v>
      </c>
      <c r="L32" s="61">
        <v>3251</v>
      </c>
      <c r="M32" s="61">
        <v>-20941</v>
      </c>
      <c r="N32" s="61">
        <v>932</v>
      </c>
      <c r="O32" s="61">
        <v>612</v>
      </c>
      <c r="P32" s="61">
        <v>-3492</v>
      </c>
      <c r="Q32" s="61">
        <v>4502</v>
      </c>
      <c r="R32" s="61">
        <v>-2099</v>
      </c>
      <c r="S32" s="61">
        <f>0-R32</f>
        <v>2099</v>
      </c>
      <c r="T32" s="1"/>
      <c r="U32" s="1"/>
      <c r="V32" s="43"/>
      <c r="W32" s="1"/>
      <c r="X32" s="1"/>
      <c r="Y32" s="66"/>
      <c r="Z32" s="1"/>
      <c r="AA32" s="1"/>
      <c r="AB32" s="1"/>
      <c r="AC32" s="1"/>
      <c r="AD32" s="1"/>
      <c r="AE32" s="1"/>
      <c r="AF32" s="1"/>
      <c r="AG32" s="1"/>
      <c r="AH32" s="1"/>
      <c r="AI32" s="1"/>
      <c r="AJ32" s="1"/>
      <c r="AK32" s="1"/>
      <c r="AL32" s="1"/>
      <c r="AM32" s="1"/>
      <c r="AN32" s="1"/>
      <c r="AO32" s="1"/>
      <c r="AP32" s="1"/>
      <c r="AQ32" s="1"/>
      <c r="AR32" s="1"/>
      <c r="AS32" s="1"/>
      <c r="AT32" s="1"/>
      <c r="AU32" s="1"/>
      <c r="AV32" s="1"/>
      <c r="AW32" s="1"/>
    </row>
    <row r="33" spans="1:49" ht="18" customHeight="1" x14ac:dyDescent="0.25">
      <c r="A33" s="2"/>
      <c r="B33" s="53" t="s">
        <v>260</v>
      </c>
      <c r="C33" s="61">
        <v>0</v>
      </c>
      <c r="D33" s="61">
        <v>0</v>
      </c>
      <c r="E33" s="61">
        <v>0</v>
      </c>
      <c r="F33" s="61">
        <v>0</v>
      </c>
      <c r="G33" s="61">
        <v>0</v>
      </c>
      <c r="H33" s="61">
        <v>0</v>
      </c>
      <c r="I33" s="61">
        <v>0</v>
      </c>
      <c r="J33" s="61">
        <v>0</v>
      </c>
      <c r="K33" s="61">
        <v>0</v>
      </c>
      <c r="L33" s="61">
        <v>0</v>
      </c>
      <c r="M33" s="61">
        <v>0</v>
      </c>
      <c r="N33" s="61">
        <v>0</v>
      </c>
      <c r="O33" s="61">
        <v>0</v>
      </c>
      <c r="P33" s="61">
        <v>0</v>
      </c>
      <c r="Q33" s="61">
        <v>-131880</v>
      </c>
      <c r="R33" s="61">
        <v>0</v>
      </c>
      <c r="S33" s="61"/>
      <c r="T33" s="1"/>
      <c r="U33" s="1"/>
      <c r="V33" s="1"/>
      <c r="W33" s="1"/>
      <c r="X33" s="1"/>
      <c r="Y33" s="43"/>
      <c r="Z33" s="43"/>
      <c r="AA33" s="1"/>
      <c r="AB33" s="1"/>
      <c r="AC33" s="1"/>
      <c r="AD33" s="1"/>
      <c r="AE33" s="1"/>
      <c r="AF33" s="1"/>
      <c r="AG33" s="1"/>
      <c r="AH33" s="1"/>
      <c r="AI33" s="1"/>
      <c r="AJ33" s="1"/>
      <c r="AK33" s="1"/>
      <c r="AL33" s="1"/>
      <c r="AM33" s="1"/>
      <c r="AN33" s="1"/>
      <c r="AO33" s="1"/>
      <c r="AP33" s="1"/>
      <c r="AQ33" s="1"/>
      <c r="AR33" s="1"/>
      <c r="AS33" s="1"/>
      <c r="AT33" s="1"/>
      <c r="AU33" s="1"/>
      <c r="AV33" s="1"/>
      <c r="AW33" s="1"/>
    </row>
    <row r="34" spans="1:49" ht="15" customHeight="1" x14ac:dyDescent="0.25">
      <c r="A34" s="2"/>
      <c r="B34" s="53" t="s">
        <v>261</v>
      </c>
      <c r="C34" s="61"/>
      <c r="D34" s="61">
        <v>0</v>
      </c>
      <c r="E34" s="61">
        <v>0</v>
      </c>
      <c r="F34" s="61">
        <v>0</v>
      </c>
      <c r="G34" s="61">
        <v>0</v>
      </c>
      <c r="H34" s="61">
        <v>0</v>
      </c>
      <c r="I34" s="61">
        <v>0</v>
      </c>
      <c r="J34" s="61">
        <v>0</v>
      </c>
      <c r="K34" s="61">
        <v>0</v>
      </c>
      <c r="L34" s="61">
        <v>0</v>
      </c>
      <c r="M34" s="61">
        <v>0</v>
      </c>
      <c r="N34" s="61">
        <v>-10222</v>
      </c>
      <c r="O34" s="61">
        <v>-130</v>
      </c>
      <c r="P34" s="61">
        <v>-8258</v>
      </c>
      <c r="Q34" s="61">
        <v>-26212</v>
      </c>
      <c r="R34" s="61">
        <v>-5722</v>
      </c>
      <c r="S34" s="61">
        <f>-6180-R34</f>
        <v>-458</v>
      </c>
      <c r="T34" s="1"/>
      <c r="U34" s="1"/>
      <c r="V34" s="1"/>
      <c r="W34" s="1"/>
      <c r="X34" s="1"/>
      <c r="Y34" s="43"/>
      <c r="Z34" s="43"/>
      <c r="AA34" s="1"/>
      <c r="AB34" s="1"/>
      <c r="AC34" s="1"/>
      <c r="AD34" s="1"/>
      <c r="AE34" s="1"/>
      <c r="AF34" s="1"/>
      <c r="AG34" s="1"/>
      <c r="AH34" s="1"/>
      <c r="AI34" s="1"/>
      <c r="AJ34" s="1"/>
      <c r="AK34" s="1"/>
      <c r="AL34" s="1"/>
      <c r="AM34" s="1"/>
      <c r="AN34" s="1"/>
      <c r="AO34" s="1"/>
      <c r="AP34" s="1"/>
      <c r="AQ34" s="1"/>
      <c r="AR34" s="1"/>
      <c r="AS34" s="1"/>
      <c r="AT34" s="1"/>
      <c r="AU34" s="1"/>
      <c r="AV34" s="1"/>
      <c r="AW34" s="1"/>
    </row>
    <row r="35" spans="1:49" ht="15" customHeight="1" x14ac:dyDescent="0.25">
      <c r="A35" s="2"/>
      <c r="B35" s="53" t="s">
        <v>262</v>
      </c>
      <c r="C35" s="61">
        <v>1935</v>
      </c>
      <c r="D35" s="61">
        <v>0</v>
      </c>
      <c r="E35" s="61">
        <v>0</v>
      </c>
      <c r="F35" s="61">
        <v>0</v>
      </c>
      <c r="G35" s="61">
        <v>0</v>
      </c>
      <c r="H35" s="61">
        <v>0</v>
      </c>
      <c r="I35" s="61">
        <v>0</v>
      </c>
      <c r="J35" s="61">
        <v>0</v>
      </c>
      <c r="K35" s="61">
        <v>0</v>
      </c>
      <c r="L35" s="61">
        <v>0</v>
      </c>
      <c r="M35" s="61">
        <v>0</v>
      </c>
      <c r="N35" s="61">
        <v>0</v>
      </c>
      <c r="O35" s="61">
        <v>0</v>
      </c>
      <c r="P35" s="61">
        <v>0</v>
      </c>
      <c r="Q35" s="61">
        <v>-68587</v>
      </c>
      <c r="R35" s="61">
        <v>0</v>
      </c>
      <c r="S35" s="61"/>
      <c r="T35" s="1"/>
      <c r="U35" s="1"/>
      <c r="V35" s="1"/>
      <c r="W35" s="1"/>
      <c r="X35" s="1"/>
      <c r="Y35" s="43"/>
      <c r="Z35" s="43"/>
      <c r="AA35" s="1"/>
      <c r="AB35" s="1"/>
      <c r="AC35" s="1"/>
      <c r="AD35" s="1"/>
      <c r="AE35" s="1"/>
      <c r="AF35" s="1"/>
      <c r="AG35" s="1"/>
      <c r="AH35" s="1"/>
      <c r="AI35" s="1"/>
      <c r="AJ35" s="1"/>
      <c r="AK35" s="1"/>
      <c r="AL35" s="1"/>
      <c r="AM35" s="1"/>
      <c r="AN35" s="1"/>
      <c r="AO35" s="1"/>
      <c r="AP35" s="1"/>
      <c r="AQ35" s="1"/>
      <c r="AR35" s="1"/>
      <c r="AS35" s="1"/>
      <c r="AT35" s="1"/>
      <c r="AU35" s="1"/>
      <c r="AV35" s="1"/>
      <c r="AW35" s="1"/>
    </row>
    <row r="36" spans="1:49" ht="15" customHeight="1" x14ac:dyDescent="0.25">
      <c r="A36" s="2"/>
      <c r="B36" s="53" t="s">
        <v>265</v>
      </c>
      <c r="C36" s="61">
        <v>0</v>
      </c>
      <c r="D36" s="61">
        <v>0</v>
      </c>
      <c r="E36" s="61">
        <v>0</v>
      </c>
      <c r="F36" s="61">
        <v>1112</v>
      </c>
      <c r="G36" s="61">
        <v>0</v>
      </c>
      <c r="H36" s="61">
        <v>0</v>
      </c>
      <c r="I36" s="61">
        <v>0</v>
      </c>
      <c r="J36" s="61">
        <v>0</v>
      </c>
      <c r="K36" s="61">
        <v>0</v>
      </c>
      <c r="L36" s="61">
        <v>0</v>
      </c>
      <c r="M36" s="61">
        <v>0</v>
      </c>
      <c r="N36" s="61">
        <v>0</v>
      </c>
      <c r="O36" s="61">
        <v>0</v>
      </c>
      <c r="P36" s="61">
        <v>0</v>
      </c>
      <c r="Q36" s="61">
        <v>0</v>
      </c>
      <c r="R36" s="61">
        <v>0</v>
      </c>
      <c r="S36" s="61"/>
      <c r="T36" s="1"/>
      <c r="U36" s="1"/>
      <c r="V36" s="1"/>
      <c r="W36" s="1"/>
      <c r="X36" s="1"/>
      <c r="Y36" s="43"/>
      <c r="Z36" s="43"/>
      <c r="AA36" s="1"/>
      <c r="AB36" s="1"/>
      <c r="AC36" s="1"/>
      <c r="AD36" s="1"/>
      <c r="AE36" s="1"/>
      <c r="AF36" s="1"/>
      <c r="AG36" s="1"/>
      <c r="AH36" s="1"/>
      <c r="AI36" s="1"/>
      <c r="AJ36" s="1"/>
      <c r="AK36" s="1"/>
      <c r="AL36" s="1"/>
      <c r="AM36" s="1"/>
      <c r="AN36" s="1"/>
      <c r="AO36" s="1"/>
      <c r="AP36" s="1"/>
      <c r="AQ36" s="1"/>
      <c r="AR36" s="1"/>
      <c r="AS36" s="1"/>
      <c r="AT36" s="1"/>
      <c r="AU36" s="1"/>
      <c r="AV36" s="1"/>
      <c r="AW36" s="1"/>
    </row>
    <row r="37" spans="1:49" ht="15" customHeight="1" x14ac:dyDescent="0.25">
      <c r="A37" s="2"/>
      <c r="B37" s="53" t="s">
        <v>266</v>
      </c>
      <c r="C37" s="61">
        <v>0</v>
      </c>
      <c r="D37" s="61">
        <v>0</v>
      </c>
      <c r="E37" s="61">
        <v>-8000</v>
      </c>
      <c r="F37" s="61">
        <v>0</v>
      </c>
      <c r="G37" s="61">
        <v>0</v>
      </c>
      <c r="H37" s="61">
        <v>0</v>
      </c>
      <c r="I37" s="61">
        <v>0</v>
      </c>
      <c r="J37" s="61">
        <v>0</v>
      </c>
      <c r="K37" s="61">
        <v>0</v>
      </c>
      <c r="L37" s="61">
        <v>0</v>
      </c>
      <c r="M37" s="61">
        <v>0</v>
      </c>
      <c r="N37" s="61">
        <v>0</v>
      </c>
      <c r="O37" s="61">
        <v>0</v>
      </c>
      <c r="P37" s="61">
        <v>0</v>
      </c>
      <c r="Q37" s="61">
        <v>0</v>
      </c>
      <c r="R37" s="61">
        <v>0</v>
      </c>
      <c r="S37" s="61"/>
      <c r="T37" s="1"/>
      <c r="U37" s="1"/>
      <c r="V37" s="1"/>
      <c r="W37" s="1"/>
      <c r="X37" s="1"/>
      <c r="Y37" s="43"/>
      <c r="Z37" s="43"/>
      <c r="AA37" s="1"/>
      <c r="AB37" s="1"/>
      <c r="AC37" s="1"/>
      <c r="AD37" s="1"/>
      <c r="AE37" s="1"/>
      <c r="AF37" s="1"/>
      <c r="AG37" s="1"/>
      <c r="AH37" s="1"/>
      <c r="AI37" s="1"/>
      <c r="AJ37" s="1"/>
      <c r="AK37" s="1"/>
      <c r="AL37" s="1"/>
      <c r="AM37" s="1"/>
      <c r="AN37" s="1"/>
      <c r="AO37" s="1"/>
      <c r="AP37" s="1"/>
      <c r="AQ37" s="1"/>
      <c r="AR37" s="1"/>
      <c r="AS37" s="1"/>
      <c r="AT37" s="1"/>
      <c r="AU37" s="1"/>
      <c r="AV37" s="1"/>
      <c r="AW37" s="1"/>
    </row>
    <row r="38" spans="1:49" ht="15" customHeight="1" x14ac:dyDescent="0.25">
      <c r="A38" s="2"/>
      <c r="B38" s="53" t="s">
        <v>264</v>
      </c>
      <c r="C38" s="61">
        <v>0</v>
      </c>
      <c r="D38" s="61">
        <v>648</v>
      </c>
      <c r="E38" s="61">
        <v>1069</v>
      </c>
      <c r="F38" s="61">
        <v>330</v>
      </c>
      <c r="G38" s="61">
        <v>-397</v>
      </c>
      <c r="H38" s="61">
        <v>2005</v>
      </c>
      <c r="I38" s="61">
        <v>-279</v>
      </c>
      <c r="J38" s="61">
        <v>375</v>
      </c>
      <c r="K38" s="61">
        <v>4306</v>
      </c>
      <c r="L38" s="61">
        <v>0</v>
      </c>
      <c r="M38" s="61">
        <v>0</v>
      </c>
      <c r="N38" s="61">
        <v>0</v>
      </c>
      <c r="O38" s="61">
        <v>0</v>
      </c>
      <c r="P38" s="61">
        <v>0</v>
      </c>
      <c r="Q38" s="61">
        <v>0</v>
      </c>
      <c r="R38" s="61">
        <v>0</v>
      </c>
      <c r="S38" s="61"/>
      <c r="T38" s="1"/>
      <c r="U38" s="1"/>
      <c r="V38" s="1"/>
      <c r="W38" s="1"/>
      <c r="X38" s="1"/>
      <c r="Y38" s="43"/>
      <c r="Z38" s="43"/>
      <c r="AA38" s="1"/>
      <c r="AB38" s="1"/>
      <c r="AC38" s="1"/>
      <c r="AD38" s="1"/>
      <c r="AE38" s="1"/>
      <c r="AF38" s="1"/>
      <c r="AG38" s="1"/>
      <c r="AH38" s="1"/>
      <c r="AI38" s="1"/>
      <c r="AJ38" s="1"/>
      <c r="AK38" s="1"/>
      <c r="AL38" s="1"/>
      <c r="AM38" s="1"/>
      <c r="AN38" s="1"/>
      <c r="AO38" s="1"/>
      <c r="AP38" s="1"/>
      <c r="AQ38" s="1"/>
      <c r="AR38" s="1"/>
      <c r="AS38" s="1"/>
      <c r="AT38" s="1"/>
      <c r="AU38" s="1"/>
      <c r="AV38" s="1"/>
      <c r="AW38" s="1"/>
    </row>
    <row r="39" spans="1:49" ht="15" customHeight="1" x14ac:dyDescent="0.25">
      <c r="A39" s="2"/>
      <c r="B39" s="55"/>
      <c r="C39" s="61"/>
      <c r="D39" s="61"/>
      <c r="E39" s="61"/>
      <c r="F39" s="61"/>
      <c r="G39" s="61"/>
      <c r="H39" s="61"/>
      <c r="I39" s="61"/>
      <c r="J39" s="61"/>
      <c r="K39" s="61"/>
      <c r="L39" s="61"/>
      <c r="M39" s="61"/>
      <c r="N39" s="61"/>
      <c r="O39" s="61"/>
      <c r="P39" s="61"/>
      <c r="Q39" s="61"/>
      <c r="R39" s="61"/>
      <c r="S39" s="61"/>
      <c r="T39" s="1"/>
      <c r="U39" s="1"/>
      <c r="V39" s="1"/>
      <c r="W39" s="1"/>
      <c r="X39" s="1"/>
      <c r="Y39" s="43"/>
      <c r="Z39" s="43"/>
      <c r="AA39" s="1"/>
      <c r="AB39" s="1"/>
      <c r="AC39" s="1"/>
      <c r="AD39" s="1"/>
      <c r="AE39" s="1"/>
      <c r="AF39" s="1"/>
      <c r="AG39" s="1"/>
      <c r="AH39" s="1"/>
      <c r="AI39" s="1"/>
      <c r="AJ39" s="1"/>
      <c r="AK39" s="1"/>
      <c r="AL39" s="1"/>
      <c r="AM39" s="1"/>
      <c r="AN39" s="1"/>
      <c r="AO39" s="1"/>
      <c r="AP39" s="1"/>
      <c r="AQ39" s="1"/>
      <c r="AR39" s="1"/>
      <c r="AS39" s="1"/>
      <c r="AT39" s="1"/>
      <c r="AU39" s="1"/>
      <c r="AV39" s="1"/>
      <c r="AW39" s="1"/>
    </row>
    <row r="40" spans="1:49" ht="15" customHeight="1" x14ac:dyDescent="0.25">
      <c r="A40" s="2"/>
      <c r="B40" s="54"/>
      <c r="C40" s="61"/>
      <c r="D40" s="61"/>
      <c r="E40" s="61"/>
      <c r="F40" s="61"/>
      <c r="G40" s="61"/>
      <c r="H40" s="61"/>
      <c r="I40" s="61"/>
      <c r="J40" s="61"/>
      <c r="K40" s="61"/>
      <c r="L40" s="61"/>
      <c r="M40" s="61"/>
      <c r="N40" s="61"/>
      <c r="O40" s="61"/>
      <c r="P40" s="61"/>
      <c r="Q40" s="61"/>
      <c r="R40" s="61"/>
      <c r="S40" s="61"/>
      <c r="T40" s="1"/>
      <c r="U40" s="1"/>
      <c r="V40" s="1"/>
      <c r="W40" s="1"/>
      <c r="X40" s="1"/>
      <c r="Y40" s="43"/>
      <c r="Z40" s="43"/>
      <c r="AA40" s="1"/>
      <c r="AB40" s="1"/>
      <c r="AC40" s="1"/>
      <c r="AD40" s="1"/>
      <c r="AE40" s="1"/>
      <c r="AF40" s="1"/>
      <c r="AG40" s="1"/>
      <c r="AH40" s="1"/>
      <c r="AI40" s="1"/>
      <c r="AJ40" s="1"/>
      <c r="AK40" s="1"/>
      <c r="AL40" s="1"/>
      <c r="AM40" s="1"/>
      <c r="AN40" s="1"/>
      <c r="AO40" s="1"/>
      <c r="AP40" s="1"/>
      <c r="AQ40" s="1"/>
      <c r="AR40" s="1"/>
      <c r="AS40" s="1"/>
      <c r="AT40" s="1"/>
      <c r="AU40" s="1"/>
      <c r="AV40" s="1"/>
      <c r="AW40" s="1"/>
    </row>
    <row r="41" spans="1:49" ht="15" customHeight="1" x14ac:dyDescent="0.25">
      <c r="A41" s="2"/>
      <c r="B41" s="89" t="s">
        <v>253</v>
      </c>
      <c r="C41" s="90">
        <f>C25+C26+C30+C36+C29+C34</f>
        <v>628</v>
      </c>
      <c r="D41" s="90">
        <f t="shared" ref="D41:R41" si="6">D25+D26+D30+D36+D29+D34</f>
        <v>0</v>
      </c>
      <c r="E41" s="90">
        <f t="shared" si="6"/>
        <v>0</v>
      </c>
      <c r="F41" s="90">
        <f t="shared" si="6"/>
        <v>1112</v>
      </c>
      <c r="G41" s="90">
        <f t="shared" si="6"/>
        <v>0</v>
      </c>
      <c r="H41" s="90">
        <f t="shared" si="6"/>
        <v>0</v>
      </c>
      <c r="I41" s="90">
        <f t="shared" si="6"/>
        <v>0</v>
      </c>
      <c r="J41" s="90">
        <f t="shared" si="6"/>
        <v>0</v>
      </c>
      <c r="K41" s="90">
        <f t="shared" si="6"/>
        <v>0</v>
      </c>
      <c r="L41" s="90">
        <f t="shared" si="6"/>
        <v>54565</v>
      </c>
      <c r="M41" s="90">
        <f t="shared" si="6"/>
        <v>52272</v>
      </c>
      <c r="N41" s="90">
        <f t="shared" si="6"/>
        <v>133262</v>
      </c>
      <c r="O41" s="90">
        <f t="shared" si="6"/>
        <v>95411</v>
      </c>
      <c r="P41" s="90">
        <f t="shared" si="6"/>
        <v>47655</v>
      </c>
      <c r="Q41" s="90">
        <f t="shared" si="6"/>
        <v>3926</v>
      </c>
      <c r="R41" s="90">
        <f t="shared" si="6"/>
        <v>29089</v>
      </c>
      <c r="S41" s="90">
        <f t="shared" ref="S41" si="7">S25+S26+S30+S36+S29+S34</f>
        <v>5128</v>
      </c>
      <c r="T41" s="1"/>
      <c r="U41" s="1"/>
      <c r="V41" s="1"/>
      <c r="W41" s="1"/>
      <c r="X41" s="1"/>
      <c r="Y41" s="43"/>
      <c r="Z41" s="43"/>
      <c r="AA41" s="1"/>
      <c r="AB41" s="1"/>
      <c r="AC41" s="1"/>
      <c r="AD41" s="1"/>
      <c r="AE41" s="1"/>
      <c r="AF41" s="1"/>
      <c r="AG41" s="1"/>
      <c r="AH41" s="1"/>
      <c r="AI41" s="1"/>
      <c r="AJ41" s="1"/>
      <c r="AK41" s="1"/>
      <c r="AL41" s="1"/>
      <c r="AM41" s="1"/>
      <c r="AN41" s="1"/>
      <c r="AO41" s="1"/>
      <c r="AP41" s="1"/>
      <c r="AQ41" s="1"/>
      <c r="AR41" s="1"/>
      <c r="AS41" s="1"/>
      <c r="AT41" s="1"/>
      <c r="AU41" s="1"/>
      <c r="AV41" s="1"/>
      <c r="AW41" s="1"/>
    </row>
    <row r="42" spans="1:49" ht="15" customHeight="1" x14ac:dyDescent="0.25">
      <c r="A42" s="2"/>
      <c r="B42" s="55"/>
      <c r="C42" s="61"/>
      <c r="D42" s="61"/>
      <c r="E42" s="61"/>
      <c r="F42" s="61"/>
      <c r="G42" s="61"/>
      <c r="H42" s="61"/>
      <c r="I42" s="61"/>
      <c r="J42" s="61"/>
      <c r="K42" s="61"/>
      <c r="L42" s="61"/>
      <c r="M42" s="61"/>
      <c r="N42" s="61"/>
      <c r="O42" s="61"/>
      <c r="P42" s="61"/>
      <c r="Q42" s="61"/>
      <c r="R42" s="61"/>
      <c r="S42" s="61"/>
      <c r="T42" s="1"/>
      <c r="U42" s="1"/>
      <c r="V42" s="1"/>
      <c r="W42" s="1"/>
      <c r="X42" s="1"/>
      <c r="Y42" s="43"/>
      <c r="Z42" s="43"/>
      <c r="AA42" s="1"/>
      <c r="AB42" s="1"/>
      <c r="AC42" s="1"/>
      <c r="AD42" s="1"/>
      <c r="AE42" s="1"/>
      <c r="AF42" s="1"/>
      <c r="AG42" s="1"/>
      <c r="AH42" s="1"/>
      <c r="AI42" s="1"/>
      <c r="AJ42" s="1"/>
      <c r="AK42" s="1"/>
      <c r="AL42" s="1"/>
      <c r="AM42" s="1"/>
      <c r="AN42" s="1"/>
      <c r="AO42" s="1"/>
      <c r="AP42" s="1"/>
      <c r="AQ42" s="1"/>
      <c r="AR42" s="1"/>
      <c r="AS42" s="1"/>
      <c r="AT42" s="1"/>
      <c r="AU42" s="1"/>
      <c r="AV42" s="1"/>
      <c r="AW42" s="1"/>
    </row>
    <row r="43" spans="1:49" ht="15" customHeight="1" x14ac:dyDescent="0.25">
      <c r="A43" s="2"/>
      <c r="B43" s="55"/>
      <c r="C43" s="61"/>
      <c r="D43" s="61"/>
      <c r="E43" s="61"/>
      <c r="F43" s="61"/>
      <c r="G43" s="61"/>
      <c r="H43" s="61"/>
      <c r="I43" s="61"/>
      <c r="J43" s="61"/>
      <c r="K43" s="61"/>
      <c r="L43" s="61"/>
      <c r="M43" s="61"/>
      <c r="N43" s="61"/>
      <c r="O43" s="61"/>
      <c r="P43" s="61"/>
      <c r="Q43" s="61"/>
      <c r="R43" s="61"/>
      <c r="S43" s="61"/>
      <c r="T43" s="1"/>
      <c r="U43" s="1"/>
      <c r="V43" s="1"/>
      <c r="W43" s="1"/>
      <c r="X43" s="1"/>
      <c r="Y43" s="43"/>
      <c r="Z43" s="43"/>
      <c r="AA43" s="1"/>
      <c r="AB43" s="1"/>
      <c r="AC43" s="1"/>
      <c r="AD43" s="1"/>
      <c r="AE43" s="1"/>
      <c r="AF43" s="1"/>
      <c r="AG43" s="1"/>
      <c r="AH43" s="1"/>
      <c r="AI43" s="1"/>
      <c r="AJ43" s="1"/>
      <c r="AK43" s="1"/>
      <c r="AL43" s="1"/>
      <c r="AM43" s="1"/>
      <c r="AN43" s="1"/>
      <c r="AO43" s="1"/>
      <c r="AP43" s="1"/>
      <c r="AQ43" s="1"/>
      <c r="AR43" s="1"/>
      <c r="AS43" s="1"/>
      <c r="AT43" s="1"/>
      <c r="AU43" s="1"/>
      <c r="AV43" s="1"/>
      <c r="AW43" s="1"/>
    </row>
    <row r="44" spans="1:49" ht="15" customHeight="1" x14ac:dyDescent="0.25">
      <c r="A44" s="2"/>
      <c r="B44" s="55"/>
      <c r="C44" s="61"/>
      <c r="D44" s="61"/>
      <c r="E44" s="61"/>
      <c r="F44" s="61"/>
      <c r="G44" s="61"/>
      <c r="H44" s="61"/>
      <c r="I44" s="61"/>
      <c r="J44" s="61"/>
      <c r="K44" s="61"/>
      <c r="L44" s="61"/>
      <c r="M44" s="61"/>
      <c r="N44" s="61"/>
      <c r="O44" s="61"/>
      <c r="P44" s="61"/>
      <c r="Q44" s="61"/>
      <c r="R44" s="61"/>
      <c r="S44" s="61"/>
      <c r="T44" s="1"/>
      <c r="U44" s="1"/>
      <c r="V44" s="1"/>
      <c r="W44" s="1"/>
      <c r="X44" s="1"/>
      <c r="Y44" s="43"/>
      <c r="Z44" s="43"/>
      <c r="AA44" s="1"/>
      <c r="AB44" s="1"/>
      <c r="AC44" s="1"/>
      <c r="AD44" s="1"/>
      <c r="AE44" s="1"/>
      <c r="AF44" s="1"/>
      <c r="AG44" s="1"/>
      <c r="AH44" s="1"/>
      <c r="AI44" s="1"/>
      <c r="AJ44" s="1"/>
      <c r="AK44" s="1"/>
      <c r="AL44" s="1"/>
      <c r="AM44" s="1"/>
      <c r="AN44" s="1"/>
      <c r="AO44" s="1"/>
      <c r="AP44" s="1"/>
      <c r="AQ44" s="1"/>
      <c r="AR44" s="1"/>
      <c r="AS44" s="1"/>
      <c r="AT44" s="1"/>
      <c r="AU44" s="1"/>
      <c r="AV44" s="1"/>
      <c r="AW44" s="1"/>
    </row>
    <row r="45" spans="1:49" ht="15" customHeight="1" x14ac:dyDescent="0.25">
      <c r="A45" s="2"/>
      <c r="B45" s="55"/>
      <c r="C45" s="61"/>
      <c r="D45" s="61"/>
      <c r="E45" s="61"/>
      <c r="F45" s="61"/>
      <c r="G45" s="61"/>
      <c r="H45" s="61"/>
      <c r="I45" s="61"/>
      <c r="J45" s="61"/>
      <c r="K45" s="61"/>
      <c r="L45" s="61"/>
      <c r="M45" s="61"/>
      <c r="N45" s="61"/>
      <c r="O45" s="61"/>
      <c r="P45" s="61"/>
      <c r="Q45" s="61"/>
      <c r="R45" s="61"/>
      <c r="S45" s="61"/>
      <c r="T45" s="1"/>
      <c r="U45" s="1"/>
      <c r="V45" s="1"/>
      <c r="W45" s="1"/>
      <c r="X45" s="1"/>
      <c r="Y45" s="43"/>
      <c r="Z45" s="43"/>
      <c r="AA45" s="1"/>
      <c r="AB45" s="1"/>
      <c r="AC45" s="1"/>
      <c r="AD45" s="1"/>
      <c r="AE45" s="1"/>
      <c r="AF45" s="1"/>
      <c r="AG45" s="1"/>
      <c r="AH45" s="1"/>
      <c r="AI45" s="1"/>
      <c r="AJ45" s="1"/>
      <c r="AK45" s="1"/>
      <c r="AL45" s="1"/>
      <c r="AM45" s="1"/>
      <c r="AN45" s="1"/>
      <c r="AO45" s="1"/>
      <c r="AP45" s="1"/>
      <c r="AQ45" s="1"/>
      <c r="AR45" s="1"/>
      <c r="AS45" s="1"/>
      <c r="AT45" s="1"/>
      <c r="AU45" s="1"/>
      <c r="AV45" s="1"/>
      <c r="AW45" s="1"/>
    </row>
    <row r="46" spans="1:49" ht="15" customHeight="1" x14ac:dyDescent="0.25">
      <c r="A46" s="2"/>
      <c r="B46" s="55"/>
      <c r="C46" s="61"/>
      <c r="D46" s="61"/>
      <c r="E46" s="61"/>
      <c r="F46" s="61"/>
      <c r="G46" s="61"/>
      <c r="H46" s="61"/>
      <c r="I46" s="61"/>
      <c r="J46" s="61"/>
      <c r="K46" s="61"/>
      <c r="L46" s="61"/>
      <c r="M46" s="61"/>
      <c r="N46" s="61"/>
      <c r="O46" s="61"/>
      <c r="P46" s="61"/>
      <c r="Q46" s="61"/>
      <c r="R46" s="61"/>
      <c r="S46" s="61"/>
      <c r="T46" s="1"/>
      <c r="U46" s="1"/>
      <c r="V46" s="1"/>
      <c r="W46" s="1"/>
      <c r="X46" s="1"/>
      <c r="Y46" s="43"/>
      <c r="Z46" s="43"/>
      <c r="AA46" s="1"/>
      <c r="AB46" s="1"/>
      <c r="AC46" s="1"/>
      <c r="AD46" s="1"/>
      <c r="AE46" s="1"/>
      <c r="AF46" s="1"/>
      <c r="AG46" s="1"/>
      <c r="AH46" s="1"/>
      <c r="AI46" s="1"/>
      <c r="AJ46" s="1"/>
      <c r="AK46" s="1"/>
      <c r="AL46" s="1"/>
      <c r="AM46" s="1"/>
      <c r="AN46" s="1"/>
      <c r="AO46" s="1"/>
      <c r="AP46" s="1"/>
      <c r="AQ46" s="1"/>
      <c r="AR46" s="1"/>
      <c r="AS46" s="1"/>
      <c r="AT46" s="1"/>
      <c r="AU46" s="1"/>
      <c r="AV46" s="1"/>
      <c r="AW46" s="1"/>
    </row>
    <row r="47" spans="1:49" ht="15" customHeight="1" x14ac:dyDescent="0.25">
      <c r="A47" s="2"/>
      <c r="B47" s="54"/>
      <c r="C47" s="61"/>
      <c r="D47" s="61"/>
      <c r="E47" s="61"/>
      <c r="F47" s="61"/>
      <c r="G47" s="61"/>
      <c r="H47" s="61"/>
      <c r="I47" s="61"/>
      <c r="J47" s="61"/>
      <c r="K47" s="61"/>
      <c r="L47" s="61"/>
      <c r="M47" s="61"/>
      <c r="N47" s="61"/>
      <c r="O47" s="61"/>
      <c r="P47" s="61"/>
      <c r="Q47" s="61"/>
      <c r="R47" s="61"/>
      <c r="S47" s="61"/>
      <c r="T47" s="1"/>
      <c r="U47" s="1"/>
      <c r="V47" s="1"/>
      <c r="W47" s="1"/>
      <c r="X47" s="1"/>
      <c r="Y47" s="43"/>
      <c r="Z47" s="43"/>
      <c r="AA47" s="1"/>
      <c r="AB47" s="1"/>
      <c r="AC47" s="1"/>
      <c r="AD47" s="1"/>
      <c r="AE47" s="1"/>
      <c r="AF47" s="1"/>
      <c r="AG47" s="1"/>
      <c r="AH47" s="1"/>
      <c r="AI47" s="1"/>
      <c r="AJ47" s="1"/>
      <c r="AK47" s="1"/>
      <c r="AL47" s="1"/>
      <c r="AM47" s="1"/>
      <c r="AN47" s="1"/>
      <c r="AO47" s="1"/>
      <c r="AP47" s="1"/>
      <c r="AQ47" s="1"/>
      <c r="AR47" s="1"/>
      <c r="AS47" s="1"/>
      <c r="AT47" s="1"/>
      <c r="AU47" s="1"/>
      <c r="AV47" s="1"/>
      <c r="AW47" s="1"/>
    </row>
    <row r="48" spans="1:49" ht="18" customHeight="1" collapsed="1" x14ac:dyDescent="0.25">
      <c r="A48" s="2"/>
      <c r="B48" s="53"/>
      <c r="C48" s="61"/>
      <c r="D48" s="61"/>
      <c r="E48" s="61"/>
      <c r="F48" s="61"/>
      <c r="G48" s="61"/>
      <c r="H48" s="61"/>
      <c r="I48" s="61"/>
      <c r="J48" s="61"/>
      <c r="K48" s="61"/>
      <c r="L48" s="61"/>
      <c r="M48" s="61"/>
      <c r="N48" s="61"/>
      <c r="O48" s="61"/>
      <c r="P48" s="61"/>
      <c r="Q48" s="61"/>
      <c r="R48" s="61"/>
      <c r="S48" s="6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row>
    <row r="49" spans="1:49" ht="18" customHeight="1" x14ac:dyDescent="0.25">
      <c r="A49" s="2"/>
      <c r="B49" s="53"/>
      <c r="C49" s="61"/>
      <c r="D49" s="61"/>
      <c r="E49" s="61"/>
      <c r="F49" s="61"/>
      <c r="G49" s="61"/>
      <c r="H49" s="61"/>
      <c r="I49" s="61"/>
      <c r="J49" s="61"/>
      <c r="K49" s="61"/>
      <c r="L49" s="61"/>
      <c r="M49" s="61"/>
      <c r="N49" s="61"/>
      <c r="O49" s="61"/>
      <c r="P49" s="61"/>
      <c r="Q49" s="61"/>
      <c r="R49" s="61"/>
      <c r="S49" s="6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row>
    <row r="50" spans="1:49" ht="18" customHeight="1" x14ac:dyDescent="0.25">
      <c r="A50" s="2"/>
      <c r="B50" s="89"/>
      <c r="C50" s="90"/>
      <c r="D50" s="90"/>
      <c r="E50" s="90"/>
      <c r="F50" s="90"/>
      <c r="G50" s="90"/>
      <c r="H50" s="90"/>
      <c r="I50" s="90"/>
      <c r="J50" s="90"/>
      <c r="K50" s="90"/>
      <c r="L50" s="90"/>
      <c r="M50" s="90"/>
      <c r="N50" s="90"/>
      <c r="O50" s="90"/>
      <c r="P50" s="90"/>
      <c r="Q50" s="90"/>
      <c r="R50" s="90"/>
      <c r="S50" s="90"/>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row>
    <row r="51" spans="1:49" ht="18" customHeight="1" x14ac:dyDescent="0.25">
      <c r="A51" s="2"/>
      <c r="B51" s="53"/>
      <c r="C51" s="61"/>
      <c r="D51" s="61"/>
      <c r="E51" s="61"/>
      <c r="F51" s="61"/>
      <c r="G51" s="61"/>
      <c r="H51" s="61"/>
      <c r="I51" s="61"/>
      <c r="J51" s="61"/>
      <c r="K51" s="61"/>
      <c r="L51" s="61"/>
      <c r="M51" s="61"/>
      <c r="N51" s="61"/>
      <c r="O51" s="61"/>
      <c r="P51" s="61"/>
      <c r="Q51" s="61"/>
      <c r="R51" s="61"/>
      <c r="S51" s="6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row>
    <row r="52" spans="1:49" ht="18" customHeight="1" x14ac:dyDescent="0.25">
      <c r="A52" s="2"/>
      <c r="B52" s="89"/>
      <c r="C52" s="90"/>
      <c r="D52" s="90"/>
      <c r="E52" s="90"/>
      <c r="F52" s="90"/>
      <c r="G52" s="90"/>
      <c r="H52" s="90"/>
      <c r="I52" s="90"/>
      <c r="J52" s="90"/>
      <c r="K52" s="90"/>
      <c r="L52" s="90"/>
      <c r="M52" s="90"/>
      <c r="N52" s="90"/>
      <c r="O52" s="90"/>
      <c r="P52" s="90"/>
      <c r="Q52" s="90"/>
      <c r="R52" s="90"/>
      <c r="S52" s="90"/>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row>
    <row r="53" spans="1:49" ht="18" customHeight="1" x14ac:dyDescent="0.25">
      <c r="A53" s="2"/>
      <c r="B53" s="48"/>
      <c r="C53" s="61"/>
      <c r="D53" s="61"/>
      <c r="E53" s="61"/>
      <c r="F53" s="61"/>
      <c r="G53" s="61"/>
      <c r="H53" s="61"/>
      <c r="I53" s="61"/>
      <c r="J53" s="61"/>
      <c r="K53" s="61"/>
      <c r="L53" s="61"/>
      <c r="M53" s="61"/>
      <c r="N53" s="61"/>
      <c r="O53" s="61"/>
      <c r="P53" s="61"/>
      <c r="Q53" s="61"/>
      <c r="R53" s="61"/>
      <c r="S53" s="6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row>
    <row r="54" spans="1:49" ht="18" customHeight="1" x14ac:dyDescent="0.25">
      <c r="A54" s="2"/>
      <c r="B54" s="89"/>
      <c r="C54" s="90"/>
      <c r="D54" s="90"/>
      <c r="E54" s="90"/>
      <c r="F54" s="90"/>
      <c r="G54" s="90"/>
      <c r="H54" s="90"/>
      <c r="I54" s="90"/>
      <c r="J54" s="90"/>
      <c r="K54" s="90"/>
      <c r="L54" s="90"/>
      <c r="M54" s="90"/>
      <c r="N54" s="90"/>
      <c r="O54" s="90"/>
      <c r="P54" s="90"/>
      <c r="Q54" s="90"/>
      <c r="R54" s="90"/>
      <c r="S54" s="90"/>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row>
    <row r="55" spans="1:49" ht="18" customHeight="1" x14ac:dyDescent="0.25">
      <c r="A55" s="2"/>
      <c r="B55" s="48"/>
      <c r="C55" s="61"/>
      <c r="D55" s="61"/>
      <c r="E55" s="61"/>
      <c r="F55" s="61"/>
      <c r="G55" s="61"/>
      <c r="H55" s="61"/>
      <c r="I55" s="61"/>
      <c r="J55" s="61"/>
      <c r="K55" s="61"/>
      <c r="L55" s="61"/>
      <c r="M55" s="61"/>
      <c r="N55" s="61"/>
      <c r="O55" s="61"/>
      <c r="P55" s="61"/>
      <c r="Q55" s="61"/>
      <c r="R55" s="61"/>
      <c r="S55" s="6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row>
    <row r="56" spans="1:49" ht="18" customHeight="1" x14ac:dyDescent="0.25">
      <c r="A56" s="2"/>
      <c r="B56" s="48"/>
      <c r="C56" s="61"/>
      <c r="D56" s="61"/>
      <c r="E56" s="61"/>
      <c r="F56" s="61"/>
      <c r="G56" s="61"/>
      <c r="H56" s="61"/>
      <c r="I56" s="61"/>
      <c r="J56" s="61"/>
      <c r="K56" s="61"/>
      <c r="L56" s="61"/>
      <c r="M56" s="61"/>
      <c r="N56" s="61"/>
      <c r="O56" s="61"/>
      <c r="P56" s="61"/>
      <c r="Q56" s="61"/>
      <c r="R56" s="61"/>
      <c r="S56" s="6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row>
    <row r="57" spans="1:49" ht="18" customHeight="1" x14ac:dyDescent="0.25">
      <c r="A57" s="2"/>
      <c r="B57" s="48"/>
      <c r="C57" s="61"/>
      <c r="D57" s="61"/>
      <c r="E57" s="61"/>
      <c r="F57" s="61"/>
      <c r="G57" s="61"/>
      <c r="H57" s="61"/>
      <c r="I57" s="61"/>
      <c r="J57" s="61"/>
      <c r="K57" s="61"/>
      <c r="L57" s="61"/>
      <c r="M57" s="61"/>
      <c r="N57" s="61"/>
      <c r="O57" s="61"/>
      <c r="P57" s="61"/>
      <c r="Q57" s="61"/>
      <c r="R57" s="61"/>
      <c r="S57" s="6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row>
    <row r="58" spans="1:49" ht="18" customHeight="1" x14ac:dyDescent="0.25">
      <c r="A58" s="2"/>
      <c r="B58" s="91"/>
      <c r="C58" s="92"/>
      <c r="D58" s="92"/>
      <c r="E58" s="92"/>
      <c r="F58" s="92"/>
      <c r="G58" s="92"/>
      <c r="H58" s="92"/>
      <c r="I58" s="92"/>
      <c r="J58" s="92"/>
      <c r="K58" s="92"/>
      <c r="L58" s="92"/>
      <c r="M58" s="92"/>
      <c r="N58" s="92"/>
      <c r="O58" s="92"/>
      <c r="P58" s="92"/>
      <c r="Q58" s="92"/>
      <c r="R58" s="92"/>
      <c r="S58" s="92"/>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row>
    <row r="59" spans="1:49" ht="18" customHeight="1" x14ac:dyDescent="0.25">
      <c r="A59" s="2"/>
      <c r="B59" s="91"/>
      <c r="C59" s="93"/>
      <c r="D59" s="93"/>
      <c r="E59" s="93"/>
      <c r="F59" s="93"/>
      <c r="G59" s="93"/>
      <c r="H59" s="93"/>
      <c r="I59" s="93"/>
      <c r="J59" s="93"/>
      <c r="K59" s="93"/>
      <c r="L59" s="93"/>
      <c r="M59" s="93"/>
      <c r="N59" s="93"/>
      <c r="O59" s="93"/>
      <c r="P59" s="93"/>
      <c r="Q59" s="93"/>
      <c r="R59" s="93"/>
      <c r="S59" s="93"/>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row>
    <row r="60" spans="1:49" ht="18" customHeight="1" x14ac:dyDescent="0.25">
      <c r="A60" s="2"/>
      <c r="B60" s="89"/>
      <c r="C60" s="90"/>
      <c r="D60" s="90"/>
      <c r="E60" s="90"/>
      <c r="F60" s="90"/>
      <c r="G60" s="90"/>
      <c r="H60" s="90"/>
      <c r="I60" s="90"/>
      <c r="J60" s="90"/>
      <c r="K60" s="90"/>
      <c r="L60" s="90"/>
      <c r="M60" s="90"/>
      <c r="N60" s="90"/>
      <c r="O60" s="90"/>
      <c r="P60" s="90"/>
      <c r="Q60" s="90"/>
      <c r="R60" s="90"/>
      <c r="S60" s="90"/>
      <c r="T60" s="1"/>
      <c r="U60" s="1"/>
      <c r="V60" s="1"/>
      <c r="W60" s="1"/>
      <c r="X60" s="5"/>
      <c r="Y60" s="5"/>
      <c r="Z60" s="5"/>
      <c r="AA60" s="1"/>
      <c r="AB60" s="1"/>
      <c r="AC60" s="1"/>
      <c r="AD60" s="1"/>
      <c r="AE60" s="1"/>
      <c r="AF60" s="1"/>
      <c r="AG60" s="1"/>
      <c r="AH60" s="1"/>
      <c r="AI60" s="1"/>
      <c r="AJ60" s="1"/>
      <c r="AK60" s="1"/>
      <c r="AL60" s="1"/>
      <c r="AM60" s="1"/>
      <c r="AN60" s="1"/>
      <c r="AO60" s="1"/>
      <c r="AP60" s="1"/>
      <c r="AQ60" s="1"/>
      <c r="AR60" s="1"/>
      <c r="AS60" s="1"/>
      <c r="AT60" s="1"/>
      <c r="AU60" s="1"/>
      <c r="AV60" s="1"/>
      <c r="AW60" s="1"/>
    </row>
    <row r="61" spans="1:49" ht="18" customHeight="1" x14ac:dyDescent="0.25">
      <c r="A61" s="2"/>
      <c r="B61" s="48"/>
      <c r="C61" s="88"/>
      <c r="D61" s="88"/>
      <c r="E61" s="88"/>
      <c r="F61" s="88"/>
      <c r="G61" s="88"/>
      <c r="H61" s="88"/>
      <c r="I61" s="88"/>
      <c r="J61" s="88"/>
      <c r="K61" s="88"/>
      <c r="L61" s="88"/>
      <c r="M61" s="88"/>
      <c r="N61" s="88"/>
      <c r="O61" s="88"/>
      <c r="P61" s="88"/>
      <c r="Q61" s="88"/>
      <c r="R61" s="88"/>
      <c r="S61" s="88"/>
      <c r="T61" s="1"/>
      <c r="U61" s="1"/>
      <c r="V61" s="1"/>
      <c r="W61" s="1"/>
      <c r="X61" s="5"/>
      <c r="Y61" s="5"/>
      <c r="Z61" s="5"/>
      <c r="AA61" s="1"/>
      <c r="AB61" s="1"/>
      <c r="AC61" s="1"/>
      <c r="AD61" s="1"/>
      <c r="AE61" s="1"/>
      <c r="AF61" s="1"/>
      <c r="AG61" s="1"/>
      <c r="AH61" s="1"/>
      <c r="AI61" s="1"/>
      <c r="AJ61" s="1"/>
      <c r="AK61" s="1"/>
      <c r="AL61" s="1"/>
      <c r="AM61" s="1"/>
      <c r="AN61" s="1"/>
      <c r="AO61" s="1"/>
      <c r="AP61" s="1"/>
      <c r="AQ61" s="1"/>
      <c r="AR61" s="1"/>
      <c r="AS61" s="1"/>
      <c r="AT61" s="1"/>
      <c r="AU61" s="1"/>
      <c r="AV61" s="1"/>
      <c r="AW61" s="1"/>
    </row>
    <row r="62" spans="1:49" ht="18" customHeight="1" thickBot="1" x14ac:dyDescent="0.3">
      <c r="A62" s="1"/>
      <c r="B62" s="20"/>
      <c r="C62" s="65"/>
      <c r="D62" s="65"/>
      <c r="E62" s="65"/>
      <c r="F62" s="65"/>
      <c r="G62" s="65"/>
      <c r="H62" s="65"/>
      <c r="I62" s="65"/>
      <c r="J62" s="65"/>
      <c r="K62" s="65"/>
      <c r="L62" s="65"/>
      <c r="M62" s="65"/>
      <c r="N62" s="65"/>
      <c r="O62" s="65"/>
      <c r="P62" s="65"/>
      <c r="Q62" s="65"/>
      <c r="R62" s="65"/>
      <c r="S62" s="65"/>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row>
    <row r="63" spans="1:49" ht="18" customHeight="1" x14ac:dyDescent="0.25">
      <c r="A63" s="1"/>
      <c r="B63" s="20"/>
      <c r="C63" s="71"/>
      <c r="D63" s="71"/>
      <c r="E63" s="71"/>
      <c r="F63" s="71"/>
      <c r="G63" s="71"/>
      <c r="H63" s="71"/>
      <c r="I63" s="71"/>
      <c r="J63" s="71"/>
      <c r="K63" s="71"/>
      <c r="L63" s="71"/>
      <c r="M63" s="71"/>
      <c r="N63" s="71"/>
      <c r="O63" s="71"/>
      <c r="P63" s="71"/>
      <c r="Q63" s="71"/>
      <c r="R63" s="71"/>
      <c r="S63" s="7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row>
    <row r="64" spans="1:49" ht="18" customHeight="1" x14ac:dyDescent="0.25">
      <c r="A64" s="1"/>
      <c r="B64" s="53"/>
      <c r="C64" s="61"/>
      <c r="D64" s="61"/>
      <c r="E64" s="61"/>
      <c r="F64" s="61"/>
      <c r="G64" s="61"/>
      <c r="H64" s="61"/>
      <c r="I64" s="61"/>
      <c r="J64" s="61"/>
      <c r="K64" s="61"/>
      <c r="L64" s="61"/>
      <c r="M64" s="61"/>
      <c r="N64" s="61"/>
      <c r="O64" s="61"/>
      <c r="P64" s="61"/>
      <c r="Q64" s="61"/>
      <c r="R64" s="61"/>
      <c r="S64" s="6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row>
    <row r="65" spans="1:49" ht="18" customHeight="1" x14ac:dyDescent="0.25">
      <c r="A65" s="1"/>
      <c r="B65" s="76"/>
      <c r="C65" s="79"/>
      <c r="D65" s="79"/>
      <c r="E65" s="79"/>
      <c r="F65" s="79"/>
      <c r="G65" s="79"/>
      <c r="H65" s="79"/>
      <c r="I65" s="79"/>
      <c r="J65" s="79"/>
      <c r="K65" s="79"/>
      <c r="L65" s="79"/>
      <c r="M65" s="79"/>
      <c r="N65" s="79"/>
      <c r="O65" s="79"/>
      <c r="P65" s="79"/>
      <c r="Q65" s="79"/>
      <c r="R65" s="79"/>
      <c r="S65" s="79"/>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row>
    <row r="66" spans="1:49" ht="18" customHeight="1" collapsed="1" x14ac:dyDescent="0.25">
      <c r="A66" s="1"/>
      <c r="B66" s="33"/>
      <c r="C66" s="73"/>
      <c r="D66" s="73"/>
      <c r="E66" s="73"/>
      <c r="F66" s="73"/>
      <c r="G66" s="73"/>
      <c r="H66" s="73"/>
      <c r="I66" s="73"/>
      <c r="J66" s="73"/>
      <c r="K66" s="73"/>
      <c r="L66" s="73"/>
      <c r="M66" s="73"/>
      <c r="N66" s="73"/>
      <c r="O66" s="73"/>
      <c r="P66" s="73"/>
      <c r="Q66" s="73"/>
      <c r="R66" s="73"/>
      <c r="S66" s="73"/>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row>
    <row r="67" spans="1:49" ht="18" customHeight="1" outlineLevel="1" x14ac:dyDescent="0.25">
      <c r="A67" s="1"/>
      <c r="B67" s="30"/>
      <c r="C67" s="31"/>
      <c r="D67" s="31"/>
      <c r="E67" s="31"/>
      <c r="F67" s="31"/>
      <c r="G67" s="31"/>
      <c r="H67" s="31"/>
      <c r="I67" s="31"/>
      <c r="J67" s="31"/>
      <c r="K67" s="31"/>
      <c r="L67" s="31"/>
      <c r="M67" s="31"/>
      <c r="N67" s="31"/>
      <c r="O67" s="31"/>
      <c r="P67" s="31"/>
      <c r="Q67" s="31"/>
      <c r="R67" s="31"/>
      <c r="S67" s="3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row>
    <row r="68" spans="1:49" ht="18" customHeight="1" outlineLevel="1" x14ac:dyDescent="0.25">
      <c r="A68" s="1"/>
      <c r="B68" s="32"/>
      <c r="C68" s="31"/>
      <c r="D68" s="31"/>
      <c r="E68" s="31"/>
      <c r="F68" s="31"/>
      <c r="G68" s="31"/>
      <c r="H68" s="31"/>
      <c r="I68" s="31"/>
      <c r="J68" s="31"/>
      <c r="K68" s="31"/>
      <c r="L68" s="31"/>
      <c r="M68" s="31"/>
      <c r="N68" s="31"/>
      <c r="O68" s="31"/>
      <c r="P68" s="31"/>
      <c r="Q68" s="31"/>
      <c r="R68" s="31"/>
      <c r="S68" s="3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row>
    <row r="69" spans="1:49" ht="18" customHeight="1" outlineLevel="1" x14ac:dyDescent="0.25">
      <c r="A69" s="1"/>
      <c r="B69" s="32"/>
      <c r="C69" s="31"/>
      <c r="D69" s="31"/>
      <c r="E69" s="31"/>
      <c r="F69" s="31"/>
      <c r="G69" s="31"/>
      <c r="H69" s="31"/>
      <c r="I69" s="31"/>
      <c r="J69" s="31"/>
      <c r="K69" s="31"/>
      <c r="L69" s="31"/>
      <c r="M69" s="31"/>
      <c r="N69" s="31"/>
      <c r="O69" s="31"/>
      <c r="P69" s="31"/>
      <c r="Q69" s="31"/>
      <c r="R69" s="31"/>
      <c r="S69" s="3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row>
    <row r="70" spans="1:49" ht="18" customHeight="1" outlineLevel="1" x14ac:dyDescent="0.25">
      <c r="A70" s="1"/>
      <c r="B70" s="77"/>
      <c r="C70" s="80"/>
      <c r="D70" s="80"/>
      <c r="E70" s="80"/>
      <c r="F70" s="80"/>
      <c r="G70" s="80"/>
      <c r="H70" s="80"/>
      <c r="I70" s="80"/>
      <c r="J70" s="80"/>
      <c r="K70" s="80"/>
      <c r="L70" s="80"/>
      <c r="M70" s="80"/>
      <c r="N70" s="80"/>
      <c r="O70" s="80"/>
      <c r="P70" s="80"/>
      <c r="Q70" s="80"/>
      <c r="R70" s="80"/>
      <c r="S70" s="80"/>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row>
    <row r="71" spans="1:49" ht="18" customHeight="1" outlineLevel="1" x14ac:dyDescent="0.25">
      <c r="A71" s="1"/>
      <c r="B71" s="32"/>
      <c r="C71" s="31"/>
      <c r="D71" s="31"/>
      <c r="E71" s="31"/>
      <c r="F71" s="31"/>
      <c r="G71" s="31"/>
      <c r="H71" s="31"/>
      <c r="I71" s="31"/>
      <c r="J71" s="31"/>
      <c r="K71" s="31"/>
      <c r="L71" s="31"/>
      <c r="M71" s="31"/>
      <c r="N71" s="31"/>
      <c r="O71" s="31"/>
      <c r="P71" s="31"/>
      <c r="Q71" s="31"/>
      <c r="R71" s="31"/>
      <c r="S71" s="3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row>
    <row r="72" spans="1:49" ht="18" customHeight="1" outlineLevel="1" x14ac:dyDescent="0.25">
      <c r="A72" s="1"/>
      <c r="B72" s="58"/>
      <c r="C72" s="31"/>
      <c r="D72" s="31"/>
      <c r="E72" s="31"/>
      <c r="F72" s="31"/>
      <c r="G72" s="31"/>
      <c r="H72" s="31"/>
      <c r="I72" s="31"/>
      <c r="J72" s="31"/>
      <c r="K72" s="31"/>
      <c r="L72" s="31"/>
      <c r="M72" s="31"/>
      <c r="N72" s="31"/>
      <c r="O72" s="31"/>
      <c r="P72" s="31"/>
      <c r="Q72" s="31"/>
      <c r="R72" s="31"/>
      <c r="S72" s="3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row>
    <row r="73" spans="1:49" ht="18" customHeight="1" outlineLevel="1" x14ac:dyDescent="0.25">
      <c r="A73" s="1"/>
      <c r="B73" s="78"/>
      <c r="C73" s="80"/>
      <c r="D73" s="80"/>
      <c r="E73" s="80"/>
      <c r="F73" s="80"/>
      <c r="G73" s="80"/>
      <c r="H73" s="80"/>
      <c r="I73" s="80"/>
      <c r="J73" s="80"/>
      <c r="K73" s="80"/>
      <c r="L73" s="80"/>
      <c r="M73" s="80"/>
      <c r="N73" s="80"/>
      <c r="O73" s="80"/>
      <c r="P73" s="80"/>
      <c r="Q73" s="80"/>
      <c r="R73" s="80"/>
      <c r="S73" s="80"/>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row>
    <row r="74" spans="1:49" ht="18" customHeight="1" outlineLevel="1" x14ac:dyDescent="0.25">
      <c r="A74" s="1"/>
      <c r="B74" s="107"/>
      <c r="C74" s="31"/>
      <c r="D74" s="31"/>
      <c r="E74" s="31"/>
      <c r="F74" s="31"/>
      <c r="G74" s="31"/>
      <c r="H74" s="31"/>
      <c r="I74" s="31"/>
      <c r="J74" s="31"/>
      <c r="K74" s="31"/>
      <c r="L74" s="31"/>
      <c r="M74" s="31"/>
      <c r="N74" s="31"/>
      <c r="O74" s="31"/>
      <c r="P74" s="31"/>
      <c r="Q74" s="31"/>
      <c r="R74" s="31"/>
      <c r="S74" s="3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row>
    <row r="75" spans="1:49" ht="18" customHeight="1" outlineLevel="1" x14ac:dyDescent="0.25">
      <c r="A75" s="1"/>
      <c r="B75" s="107"/>
      <c r="C75" s="31"/>
      <c r="D75" s="31"/>
      <c r="E75" s="31"/>
      <c r="F75" s="31"/>
      <c r="G75" s="31"/>
      <c r="H75" s="31"/>
      <c r="I75" s="31"/>
      <c r="J75" s="31"/>
      <c r="K75" s="31"/>
      <c r="L75" s="31"/>
      <c r="M75" s="31"/>
      <c r="N75" s="31"/>
      <c r="O75" s="31"/>
      <c r="P75" s="31"/>
      <c r="Q75" s="31"/>
      <c r="R75" s="31"/>
      <c r="S75" s="3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row>
    <row r="76" spans="1:49" ht="18" customHeight="1" outlineLevel="1" x14ac:dyDescent="0.25">
      <c r="A76" s="1"/>
      <c r="B76" s="107"/>
      <c r="C76" s="31"/>
      <c r="D76" s="31"/>
      <c r="E76" s="31"/>
      <c r="F76" s="31"/>
      <c r="G76" s="31"/>
      <c r="H76" s="31"/>
      <c r="I76" s="31"/>
      <c r="J76" s="31"/>
      <c r="K76" s="31"/>
      <c r="L76" s="31"/>
      <c r="M76" s="31"/>
      <c r="N76" s="31"/>
      <c r="O76" s="31"/>
      <c r="P76" s="31"/>
      <c r="Q76" s="31"/>
      <c r="R76" s="31"/>
      <c r="S76" s="3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row>
    <row r="77" spans="1:49" ht="18" customHeight="1" outlineLevel="1" x14ac:dyDescent="0.25">
      <c r="A77" s="1"/>
      <c r="B77" s="107"/>
      <c r="C77" s="31"/>
      <c r="D77" s="31"/>
      <c r="E77" s="31"/>
      <c r="F77" s="31"/>
      <c r="G77" s="31"/>
      <c r="H77" s="31"/>
      <c r="I77" s="31"/>
      <c r="J77" s="31"/>
      <c r="K77" s="31"/>
      <c r="L77" s="31"/>
      <c r="M77" s="31"/>
      <c r="N77" s="31"/>
      <c r="O77" s="31"/>
      <c r="P77" s="31"/>
      <c r="Q77" s="31"/>
      <c r="R77" s="31"/>
      <c r="S77" s="3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row>
    <row r="78" spans="1:49" ht="18" customHeight="1" outlineLevel="1" x14ac:dyDescent="0.25">
      <c r="A78" s="1"/>
      <c r="B78" s="58"/>
      <c r="C78" s="31"/>
      <c r="D78" s="31"/>
      <c r="E78" s="31"/>
      <c r="F78" s="31"/>
      <c r="G78" s="31"/>
      <c r="H78" s="31"/>
      <c r="I78" s="31"/>
      <c r="J78" s="31"/>
      <c r="K78" s="31"/>
      <c r="L78" s="31"/>
      <c r="M78" s="31"/>
      <c r="N78" s="31"/>
      <c r="O78" s="31"/>
      <c r="P78" s="31"/>
      <c r="Q78" s="31"/>
      <c r="R78" s="31"/>
      <c r="S78" s="3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row>
    <row r="79" spans="1:49" ht="18" customHeight="1" outlineLevel="1" x14ac:dyDescent="0.25">
      <c r="A79" s="1"/>
      <c r="B79" s="78"/>
      <c r="C79" s="80"/>
      <c r="D79" s="80"/>
      <c r="E79" s="80"/>
      <c r="F79" s="80"/>
      <c r="G79" s="80"/>
      <c r="H79" s="80"/>
      <c r="I79" s="80"/>
      <c r="J79" s="80"/>
      <c r="K79" s="80"/>
      <c r="L79" s="80"/>
      <c r="M79" s="80"/>
      <c r="N79" s="80"/>
      <c r="O79" s="80"/>
      <c r="P79" s="80"/>
      <c r="Q79" s="80"/>
      <c r="R79" s="80"/>
      <c r="S79" s="80"/>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row>
    <row r="80" spans="1:49" ht="18" customHeight="1" outlineLevel="1" x14ac:dyDescent="0.25">
      <c r="A80" s="1"/>
      <c r="B80" s="107"/>
      <c r="C80" s="31"/>
      <c r="D80" s="31"/>
      <c r="E80" s="31"/>
      <c r="F80" s="31"/>
      <c r="G80" s="31"/>
      <c r="H80" s="31"/>
      <c r="I80" s="31"/>
      <c r="J80" s="31"/>
      <c r="K80" s="31"/>
      <c r="L80" s="31"/>
      <c r="M80" s="31"/>
      <c r="N80" s="31"/>
      <c r="O80" s="31"/>
      <c r="P80" s="31"/>
      <c r="Q80" s="31"/>
      <c r="R80" s="31"/>
      <c r="S80" s="3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row>
    <row r="81" spans="1:49" ht="18" customHeight="1" outlineLevel="1" x14ac:dyDescent="0.25">
      <c r="A81" s="1"/>
      <c r="B81" s="107"/>
      <c r="C81" s="31"/>
      <c r="D81" s="31"/>
      <c r="E81" s="31"/>
      <c r="F81" s="31"/>
      <c r="G81" s="31"/>
      <c r="H81" s="31"/>
      <c r="I81" s="31"/>
      <c r="J81" s="31"/>
      <c r="K81" s="31"/>
      <c r="L81" s="31"/>
      <c r="M81" s="31"/>
      <c r="N81" s="31"/>
      <c r="O81" s="31"/>
      <c r="P81" s="31"/>
      <c r="Q81" s="31"/>
      <c r="R81" s="31"/>
      <c r="S81" s="3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row>
    <row r="82" spans="1:49" ht="18" customHeight="1" outlineLevel="1" x14ac:dyDescent="0.25">
      <c r="A82" s="1"/>
      <c r="B82" s="58"/>
      <c r="C82" s="31"/>
      <c r="D82" s="31"/>
      <c r="E82" s="31"/>
      <c r="F82" s="31"/>
      <c r="G82" s="31"/>
      <c r="H82" s="31"/>
      <c r="I82" s="31"/>
      <c r="J82" s="31"/>
      <c r="K82" s="31"/>
      <c r="L82" s="31"/>
      <c r="M82" s="31"/>
      <c r="N82" s="31"/>
      <c r="O82" s="31"/>
      <c r="P82" s="31"/>
      <c r="Q82" s="31"/>
      <c r="R82" s="31"/>
      <c r="S82" s="3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row>
    <row r="83" spans="1:49" ht="18" customHeight="1" outlineLevel="1" x14ac:dyDescent="0.25">
      <c r="A83" s="1"/>
      <c r="B83" s="107"/>
      <c r="C83" s="31"/>
      <c r="D83" s="31"/>
      <c r="E83" s="31"/>
      <c r="F83" s="31"/>
      <c r="G83" s="31"/>
      <c r="H83" s="31"/>
      <c r="I83" s="31"/>
      <c r="J83" s="31"/>
      <c r="K83" s="31"/>
      <c r="L83" s="31"/>
      <c r="M83" s="31"/>
      <c r="N83" s="31"/>
      <c r="O83" s="31"/>
      <c r="P83" s="31"/>
      <c r="Q83" s="31"/>
      <c r="R83" s="31"/>
      <c r="S83" s="3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row>
    <row r="84" spans="1:49" ht="18" customHeight="1" outlineLevel="1" x14ac:dyDescent="0.25">
      <c r="A84" s="1"/>
      <c r="B84" s="107"/>
      <c r="C84" s="31"/>
      <c r="D84" s="31"/>
      <c r="E84" s="31"/>
      <c r="F84" s="31"/>
      <c r="G84" s="31"/>
      <c r="H84" s="31"/>
      <c r="I84" s="31"/>
      <c r="J84" s="31"/>
      <c r="K84" s="31"/>
      <c r="L84" s="31"/>
      <c r="M84" s="31"/>
      <c r="N84" s="31"/>
      <c r="O84" s="31"/>
      <c r="P84" s="31"/>
      <c r="Q84" s="31"/>
      <c r="R84" s="31"/>
      <c r="S84" s="3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row>
    <row r="85" spans="1:49" ht="18" customHeight="1" x14ac:dyDescent="0.25">
      <c r="A85" s="1"/>
      <c r="B85" s="20"/>
      <c r="C85" s="23"/>
      <c r="D85" s="23"/>
      <c r="E85" s="23"/>
      <c r="F85" s="23"/>
      <c r="G85" s="23"/>
      <c r="H85" s="23"/>
      <c r="I85" s="23"/>
      <c r="J85" s="23"/>
      <c r="K85" s="23"/>
      <c r="L85" s="23"/>
      <c r="M85" s="23"/>
      <c r="N85" s="23"/>
      <c r="O85" s="23"/>
      <c r="P85" s="23"/>
      <c r="Q85" s="23"/>
      <c r="R85" s="23"/>
      <c r="S85" s="23"/>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row>
    <row r="86" spans="1:49" ht="18" customHeight="1" x14ac:dyDescent="0.25">
      <c r="A86" s="1"/>
      <c r="B86" s="20"/>
      <c r="C86" s="37"/>
      <c r="D86" s="37"/>
      <c r="E86" s="37"/>
      <c r="F86" s="37"/>
      <c r="G86" s="37"/>
      <c r="H86" s="37"/>
      <c r="I86" s="37"/>
      <c r="J86" s="37"/>
      <c r="K86" s="37"/>
      <c r="L86" s="37"/>
      <c r="M86" s="37"/>
      <c r="N86" s="37"/>
      <c r="O86" s="37"/>
      <c r="P86" s="37"/>
      <c r="Q86" s="37"/>
      <c r="R86" s="37"/>
      <c r="S86" s="37"/>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row>
    <row r="87" spans="1:49" ht="18" customHeight="1" x14ac:dyDescent="0.25">
      <c r="A87" s="1"/>
      <c r="B87" s="20"/>
      <c r="C87" s="20"/>
      <c r="D87" s="20"/>
      <c r="E87" s="20"/>
      <c r="F87" s="20"/>
      <c r="G87" s="20"/>
      <c r="H87" s="20"/>
      <c r="I87" s="40"/>
      <c r="J87" s="60"/>
      <c r="K87" s="60"/>
      <c r="L87" s="60"/>
      <c r="M87" s="60"/>
      <c r="N87" s="60"/>
      <c r="O87" s="60"/>
      <c r="P87" s="60"/>
      <c r="Q87" s="31"/>
      <c r="R87" s="31"/>
      <c r="S87" s="3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row>
    <row r="88" spans="1:49" ht="18" customHeight="1" x14ac:dyDescent="0.25">
      <c r="A88" s="1"/>
      <c r="B88" s="11"/>
      <c r="C88" s="20"/>
      <c r="D88" s="20"/>
      <c r="E88" s="20"/>
      <c r="F88" s="20"/>
      <c r="G88" s="20"/>
      <c r="H88" s="20"/>
      <c r="I88" s="40"/>
      <c r="J88" s="31"/>
      <c r="K88" s="31"/>
      <c r="L88" s="31"/>
      <c r="M88" s="31"/>
      <c r="N88" s="31"/>
      <c r="O88" s="31"/>
      <c r="P88" s="31"/>
      <c r="Q88" s="31"/>
      <c r="R88" s="31"/>
      <c r="S88" s="3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row>
    <row r="89" spans="1:49" ht="18" customHeight="1" x14ac:dyDescent="0.25">
      <c r="A89" s="1"/>
      <c r="B89" s="11"/>
      <c r="C89" s="20"/>
      <c r="D89" s="20"/>
      <c r="E89" s="20"/>
      <c r="F89" s="20"/>
      <c r="G89" s="20"/>
      <c r="H89" s="20"/>
      <c r="I89" s="40"/>
      <c r="J89" s="31"/>
      <c r="K89" s="31"/>
      <c r="L89" s="31"/>
      <c r="M89" s="31"/>
      <c r="N89" s="31"/>
      <c r="O89" s="31"/>
      <c r="P89" s="31"/>
      <c r="Q89" s="31"/>
      <c r="R89" s="31"/>
      <c r="S89" s="3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row>
    <row r="90" spans="1:49" ht="18" customHeight="1" x14ac:dyDescent="0.25">
      <c r="A90" s="1"/>
      <c r="B90" s="11"/>
      <c r="C90" s="20"/>
      <c r="D90" s="20"/>
      <c r="E90" s="20"/>
      <c r="F90" s="20"/>
      <c r="G90" s="20"/>
      <c r="H90" s="20"/>
      <c r="I90" s="40"/>
      <c r="J90" s="31"/>
      <c r="K90" s="31"/>
      <c r="L90" s="31"/>
      <c r="M90" s="31"/>
      <c r="N90" s="31"/>
      <c r="O90" s="31"/>
      <c r="P90" s="31"/>
      <c r="Q90" s="31"/>
      <c r="R90" s="31"/>
      <c r="S90" s="3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row>
    <row r="91" spans="1:49" ht="18" customHeight="1" x14ac:dyDescent="0.25">
      <c r="A91" s="1"/>
      <c r="B91" s="11"/>
      <c r="C91" s="20"/>
      <c r="D91" s="20"/>
      <c r="E91" s="20"/>
      <c r="F91" s="20"/>
      <c r="G91" s="20"/>
      <c r="H91" s="20"/>
      <c r="I91" s="40"/>
      <c r="J91" s="31"/>
      <c r="K91" s="31"/>
      <c r="L91" s="31"/>
      <c r="M91" s="31"/>
      <c r="N91" s="31"/>
      <c r="O91" s="31"/>
      <c r="P91" s="31"/>
      <c r="Q91" s="31"/>
      <c r="R91" s="31"/>
      <c r="S91" s="3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row>
    <row r="92" spans="1:49" ht="18" customHeight="1" x14ac:dyDescent="0.25">
      <c r="A92" s="1"/>
      <c r="B92" s="11"/>
      <c r="C92" s="20"/>
      <c r="D92" s="20"/>
      <c r="E92" s="20"/>
      <c r="F92" s="20"/>
      <c r="G92" s="20"/>
      <c r="H92" s="20"/>
      <c r="I92" s="40"/>
      <c r="J92" s="31"/>
      <c r="K92" s="31"/>
      <c r="L92" s="31"/>
      <c r="M92" s="31"/>
      <c r="N92" s="31"/>
      <c r="O92" s="31"/>
      <c r="P92" s="31"/>
      <c r="Q92" s="31"/>
      <c r="R92" s="31"/>
      <c r="S92" s="3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row>
    <row r="93" spans="1:49" ht="18" customHeight="1" x14ac:dyDescent="0.25">
      <c r="A93" s="1"/>
      <c r="B93" s="11"/>
      <c r="C93" s="20"/>
      <c r="D93" s="20"/>
      <c r="E93" s="20"/>
      <c r="F93" s="20"/>
      <c r="G93" s="20"/>
      <c r="H93" s="20"/>
      <c r="I93" s="40"/>
      <c r="J93" s="31"/>
      <c r="K93" s="31"/>
      <c r="L93" s="31"/>
      <c r="M93" s="31"/>
      <c r="N93" s="31"/>
      <c r="O93" s="31"/>
      <c r="P93" s="31"/>
      <c r="Q93" s="31"/>
      <c r="R93" s="31"/>
      <c r="S93" s="3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row>
    <row r="94" spans="1:49" ht="16.5" customHeight="1" x14ac:dyDescent="0.25">
      <c r="A94" s="1"/>
      <c r="B94" s="20"/>
      <c r="C94" s="20"/>
      <c r="D94" s="20"/>
      <c r="E94" s="20"/>
      <c r="F94" s="20"/>
      <c r="G94" s="20"/>
      <c r="H94" s="20"/>
      <c r="I94" s="40"/>
      <c r="J94" s="40"/>
      <c r="K94" s="40"/>
      <c r="L94" s="40"/>
      <c r="M94" s="40"/>
      <c r="N94" s="40"/>
      <c r="O94" s="40"/>
      <c r="P94" s="40"/>
      <c r="Q94" s="40"/>
      <c r="R94" s="40"/>
      <c r="S94" s="40"/>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row>
    <row r="95" spans="1:49" ht="18" customHeight="1" x14ac:dyDescent="0.25">
      <c r="A95" s="1"/>
      <c r="B95" s="20"/>
      <c r="C95" s="20"/>
      <c r="D95" s="20"/>
      <c r="E95" s="20"/>
      <c r="F95" s="20"/>
      <c r="G95" s="20"/>
      <c r="H95" s="20"/>
      <c r="I95" s="23"/>
      <c r="J95" s="23"/>
      <c r="K95" s="23"/>
      <c r="L95" s="23"/>
      <c r="M95" s="23"/>
      <c r="N95" s="23"/>
      <c r="O95" s="23"/>
      <c r="P95" s="23"/>
      <c r="Q95" s="23"/>
      <c r="R95" s="23"/>
      <c r="S95" s="23"/>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row>
    <row r="96" spans="1:49" ht="18" customHeight="1" x14ac:dyDescent="0.25">
      <c r="A96" s="1"/>
      <c r="B96" s="20"/>
      <c r="C96" s="20"/>
      <c r="D96" s="20"/>
      <c r="E96" s="20"/>
      <c r="F96" s="20"/>
      <c r="G96" s="20"/>
      <c r="H96" s="20"/>
      <c r="I96" s="10"/>
      <c r="J96" s="10"/>
      <c r="K96" s="10"/>
      <c r="L96" s="10"/>
      <c r="M96" s="10"/>
      <c r="N96" s="10"/>
      <c r="O96" s="10"/>
      <c r="P96" s="10"/>
      <c r="Q96" s="10"/>
      <c r="R96" s="10"/>
      <c r="S96" s="10"/>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row>
    <row r="97" spans="1:49" ht="18" customHeight="1" x14ac:dyDescent="0.25">
      <c r="A97" s="1"/>
      <c r="B97" s="20"/>
      <c r="C97" s="20"/>
      <c r="D97" s="20"/>
      <c r="E97" s="20"/>
      <c r="F97" s="20"/>
      <c r="G97" s="20"/>
      <c r="H97" s="20"/>
      <c r="I97" s="10"/>
      <c r="J97" s="10"/>
      <c r="K97" s="10"/>
      <c r="L97" s="10"/>
      <c r="M97" s="10"/>
      <c r="N97" s="10"/>
      <c r="O97" s="10"/>
      <c r="P97" s="10"/>
      <c r="Q97" s="10"/>
      <c r="R97" s="10"/>
      <c r="S97" s="10"/>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row>
    <row r="98" spans="1:49" ht="18" customHeight="1" collapsed="1" x14ac:dyDescent="0.25">
      <c r="A98" s="1"/>
      <c r="B98" s="20"/>
      <c r="C98" s="20"/>
      <c r="D98" s="20"/>
      <c r="E98" s="20"/>
      <c r="F98" s="20"/>
      <c r="G98" s="20"/>
      <c r="H98" s="20"/>
      <c r="I98" s="10"/>
      <c r="J98" s="10"/>
      <c r="K98" s="10"/>
      <c r="L98" s="10"/>
      <c r="M98" s="10"/>
      <c r="N98" s="10"/>
      <c r="O98" s="10"/>
      <c r="P98" s="10"/>
      <c r="Q98" s="10"/>
      <c r="R98" s="10"/>
      <c r="S98" s="10"/>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row>
    <row r="99" spans="1:49" ht="18" customHeight="1" x14ac:dyDescent="0.25">
      <c r="A99" s="1"/>
      <c r="B99" s="20"/>
      <c r="C99" s="20"/>
      <c r="D99" s="20"/>
      <c r="E99" s="20"/>
      <c r="F99" s="20"/>
      <c r="G99" s="20"/>
      <c r="H99" s="20"/>
      <c r="I99" s="10"/>
      <c r="J99" s="10"/>
      <c r="K99" s="10"/>
      <c r="L99" s="10"/>
      <c r="M99" s="10"/>
      <c r="N99" s="10"/>
      <c r="O99" s="10"/>
      <c r="P99" s="10"/>
      <c r="Q99" s="10"/>
      <c r="R99" s="10"/>
      <c r="S99" s="10"/>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row>
    <row r="100" spans="1:49" ht="18" customHeight="1" x14ac:dyDescent="0.25">
      <c r="A100" s="1"/>
      <c r="B100" s="20"/>
      <c r="C100" s="20"/>
      <c r="D100" s="20"/>
      <c r="E100" s="20"/>
      <c r="F100" s="20"/>
      <c r="G100" s="20"/>
      <c r="H100" s="20"/>
      <c r="I100" s="10"/>
      <c r="J100" s="10"/>
      <c r="K100" s="10"/>
      <c r="L100" s="10"/>
      <c r="M100" s="37"/>
      <c r="N100" s="10"/>
      <c r="O100" s="10"/>
      <c r="P100" s="37"/>
      <c r="Q100" s="37"/>
      <c r="R100" s="37"/>
      <c r="S100" s="37"/>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row>
    <row r="101" spans="1:49" ht="18" customHeight="1" x14ac:dyDescent="0.25">
      <c r="A101" s="1"/>
      <c r="B101" s="20"/>
      <c r="C101" s="20"/>
      <c r="D101" s="20"/>
      <c r="E101" s="20"/>
      <c r="F101" s="20"/>
      <c r="G101" s="20"/>
      <c r="H101" s="20"/>
      <c r="I101" s="10"/>
      <c r="J101" s="10"/>
      <c r="K101" s="10"/>
      <c r="L101" s="10"/>
      <c r="M101" s="10"/>
      <c r="N101" s="10"/>
      <c r="O101" s="10"/>
      <c r="P101" s="10"/>
      <c r="Q101" s="10"/>
      <c r="R101" s="10"/>
      <c r="S101" s="10"/>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row>
    <row r="102" spans="1:49" ht="18" customHeight="1" x14ac:dyDescent="0.25">
      <c r="A102" s="1"/>
      <c r="B102" s="20"/>
      <c r="C102" s="20"/>
      <c r="D102" s="20"/>
      <c r="E102" s="20"/>
      <c r="F102" s="20"/>
      <c r="G102" s="20"/>
      <c r="H102" s="20"/>
      <c r="I102" s="10"/>
      <c r="J102" s="10"/>
      <c r="K102" s="10"/>
      <c r="L102" s="10"/>
      <c r="M102" s="10"/>
      <c r="N102" s="10"/>
      <c r="O102" s="10"/>
      <c r="P102" s="2"/>
      <c r="Q102" s="2"/>
      <c r="R102" s="2"/>
      <c r="S102" s="2"/>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row>
    <row r="103" spans="1:49" ht="18" customHeight="1" x14ac:dyDescent="0.25">
      <c r="A103" s="1"/>
      <c r="B103" s="20"/>
      <c r="C103" s="20"/>
      <c r="D103" s="20"/>
      <c r="E103" s="20"/>
      <c r="F103" s="20"/>
      <c r="G103" s="20"/>
      <c r="H103" s="20"/>
      <c r="I103" s="10"/>
      <c r="J103" s="10"/>
      <c r="K103" s="10"/>
      <c r="L103" s="10"/>
      <c r="M103" s="10"/>
      <c r="N103" s="10"/>
      <c r="O103" s="10"/>
      <c r="P103" s="2"/>
      <c r="Q103" s="2"/>
      <c r="R103" s="2"/>
      <c r="S103" s="2"/>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row>
    <row r="104" spans="1:49" ht="18" customHeight="1" collapsed="1" x14ac:dyDescent="0.25">
      <c r="A104" s="1"/>
      <c r="B104" s="20"/>
      <c r="C104" s="20"/>
      <c r="D104" s="20"/>
      <c r="E104" s="20"/>
      <c r="F104" s="20"/>
      <c r="G104" s="20"/>
      <c r="H104" s="20"/>
      <c r="I104" s="10"/>
      <c r="J104" s="10"/>
      <c r="K104" s="10"/>
      <c r="L104" s="10"/>
      <c r="M104" s="10"/>
      <c r="N104" s="10"/>
      <c r="O104" s="10"/>
      <c r="P104" s="2"/>
      <c r="Q104" s="2"/>
      <c r="R104" s="2"/>
      <c r="S104" s="2"/>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row>
    <row r="105" spans="1:49" ht="18" customHeight="1" x14ac:dyDescent="0.25">
      <c r="A105" s="1"/>
      <c r="B105" s="20"/>
      <c r="C105" s="20"/>
      <c r="D105" s="20"/>
      <c r="E105" s="20"/>
      <c r="F105" s="20"/>
      <c r="G105" s="20"/>
      <c r="H105" s="20"/>
      <c r="I105" s="10"/>
      <c r="J105" s="10"/>
      <c r="K105" s="10"/>
      <c r="L105" s="10"/>
      <c r="M105" s="10"/>
      <c r="N105" s="10"/>
      <c r="O105" s="10"/>
      <c r="P105" s="2"/>
      <c r="Q105" s="2"/>
      <c r="R105" s="2"/>
      <c r="S105" s="2"/>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row>
    <row r="106" spans="1:49" ht="18" customHeight="1" x14ac:dyDescent="0.25">
      <c r="A106" s="1"/>
      <c r="B106" s="20"/>
      <c r="C106" s="20"/>
      <c r="D106" s="20"/>
      <c r="E106" s="20"/>
      <c r="F106" s="20"/>
      <c r="G106" s="20"/>
      <c r="H106" s="20"/>
      <c r="I106" s="10"/>
      <c r="J106" s="10"/>
      <c r="K106" s="10"/>
      <c r="L106" s="10"/>
      <c r="M106" s="10"/>
      <c r="N106" s="10"/>
      <c r="O106" s="10"/>
      <c r="P106" s="2"/>
      <c r="Q106" s="2"/>
      <c r="R106" s="2"/>
      <c r="S106" s="2"/>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row>
    <row r="107" spans="1:49" ht="18" customHeight="1" x14ac:dyDescent="0.25">
      <c r="A107" s="1"/>
      <c r="B107" s="20"/>
      <c r="C107" s="20"/>
      <c r="D107" s="20"/>
      <c r="E107" s="20"/>
      <c r="F107" s="20"/>
      <c r="G107" s="20"/>
      <c r="H107" s="20"/>
      <c r="I107" s="10"/>
      <c r="J107" s="10"/>
      <c r="K107" s="10"/>
      <c r="L107" s="10"/>
      <c r="M107" s="10"/>
      <c r="N107" s="10"/>
      <c r="O107" s="10"/>
      <c r="P107" s="2"/>
      <c r="Q107" s="2"/>
      <c r="R107" s="2"/>
      <c r="S107" s="2"/>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row>
    <row r="108" spans="1:49" ht="18" customHeight="1" x14ac:dyDescent="0.25">
      <c r="A108" s="1"/>
      <c r="B108" s="20"/>
      <c r="C108" s="20"/>
      <c r="D108" s="20"/>
      <c r="E108" s="20"/>
      <c r="F108" s="20"/>
      <c r="G108" s="20"/>
      <c r="H108" s="20"/>
      <c r="I108" s="10"/>
      <c r="J108" s="10"/>
      <c r="K108" s="10"/>
      <c r="L108" s="10"/>
      <c r="M108" s="10"/>
      <c r="N108" s="10"/>
      <c r="O108" s="10"/>
      <c r="P108" s="2"/>
      <c r="Q108" s="2"/>
      <c r="R108" s="2"/>
      <c r="S108" s="2"/>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row>
    <row r="109" spans="1:49" ht="18" customHeight="1" collapsed="1" x14ac:dyDescent="0.25">
      <c r="A109" s="1"/>
      <c r="B109" s="20"/>
      <c r="C109" s="20"/>
      <c r="D109" s="20"/>
      <c r="E109" s="20"/>
      <c r="F109" s="20"/>
      <c r="G109" s="20"/>
      <c r="H109" s="20"/>
      <c r="I109" s="10"/>
      <c r="J109" s="10"/>
      <c r="K109" s="10"/>
      <c r="L109" s="10"/>
      <c r="M109" s="10"/>
      <c r="N109" s="10"/>
      <c r="O109" s="10"/>
      <c r="P109" s="2"/>
      <c r="Q109" s="2"/>
      <c r="R109" s="2"/>
      <c r="S109" s="2"/>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row>
    <row r="110" spans="1:49" ht="18" customHeight="1" x14ac:dyDescent="0.25">
      <c r="A110" s="1"/>
      <c r="B110" s="20"/>
      <c r="C110" s="20"/>
      <c r="D110" s="20"/>
      <c r="E110" s="20"/>
      <c r="F110" s="20"/>
      <c r="G110" s="20"/>
      <c r="H110" s="20"/>
      <c r="I110" s="10"/>
      <c r="J110" s="10"/>
      <c r="K110" s="10"/>
      <c r="L110" s="10"/>
      <c r="M110" s="10"/>
      <c r="N110" s="10"/>
      <c r="O110" s="10"/>
      <c r="P110" s="2"/>
      <c r="Q110" s="2"/>
      <c r="R110" s="2"/>
      <c r="S110" s="2"/>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row>
    <row r="111" spans="1:49" ht="18" customHeight="1" x14ac:dyDescent="0.25">
      <c r="A111" s="1"/>
      <c r="B111" s="20"/>
      <c r="C111" s="20"/>
      <c r="D111" s="20"/>
      <c r="E111" s="20"/>
      <c r="F111" s="20"/>
      <c r="G111" s="20"/>
      <c r="H111" s="20"/>
      <c r="I111" s="10"/>
      <c r="J111" s="10"/>
      <c r="K111" s="10"/>
      <c r="L111" s="10"/>
      <c r="M111" s="10"/>
      <c r="N111" s="10"/>
      <c r="O111" s="10"/>
      <c r="P111" s="2"/>
      <c r="Q111" s="2"/>
      <c r="R111" s="2"/>
      <c r="S111" s="2"/>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row>
    <row r="112" spans="1:49" ht="18" customHeight="1" x14ac:dyDescent="0.25">
      <c r="A112" s="1"/>
      <c r="B112" s="20"/>
      <c r="C112" s="20"/>
      <c r="D112" s="20"/>
      <c r="E112" s="20"/>
      <c r="F112" s="20"/>
      <c r="G112" s="20"/>
      <c r="H112" s="20"/>
      <c r="I112" s="10"/>
      <c r="J112" s="10"/>
      <c r="K112" s="10"/>
      <c r="L112" s="10"/>
      <c r="M112" s="10"/>
      <c r="N112" s="10"/>
      <c r="O112" s="10"/>
      <c r="P112" s="2"/>
      <c r="Q112" s="2"/>
      <c r="R112" s="2"/>
      <c r="S112" s="2"/>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row>
    <row r="113" spans="1:49" ht="18" customHeight="1" x14ac:dyDescent="0.25">
      <c r="A113" s="1"/>
      <c r="B113" s="20"/>
      <c r="C113" s="20"/>
      <c r="D113" s="20"/>
      <c r="E113" s="20"/>
      <c r="F113" s="20"/>
      <c r="G113" s="20"/>
      <c r="H113" s="20"/>
      <c r="I113" s="10"/>
      <c r="J113" s="10"/>
      <c r="K113" s="10"/>
      <c r="L113" s="10"/>
      <c r="M113" s="10"/>
      <c r="N113" s="10"/>
      <c r="O113" s="10"/>
      <c r="P113" s="2"/>
      <c r="Q113" s="2"/>
      <c r="R113" s="2"/>
      <c r="S113" s="2"/>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row>
    <row r="114" spans="1:49" ht="18" customHeight="1" x14ac:dyDescent="0.25">
      <c r="A114" s="1"/>
      <c r="B114" s="20"/>
      <c r="C114" s="20"/>
      <c r="D114" s="20"/>
      <c r="E114" s="20"/>
      <c r="F114" s="20"/>
      <c r="G114" s="20"/>
      <c r="H114" s="20"/>
      <c r="I114" s="10"/>
      <c r="J114" s="10"/>
      <c r="K114" s="10"/>
      <c r="L114" s="10"/>
      <c r="M114" s="10"/>
      <c r="N114" s="10"/>
      <c r="O114" s="10"/>
      <c r="P114" s="2"/>
      <c r="Q114" s="2"/>
      <c r="R114" s="2"/>
      <c r="S114" s="2"/>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row>
    <row r="115" spans="1:49" ht="18" customHeight="1" x14ac:dyDescent="0.25">
      <c r="A115" s="1"/>
      <c r="B115" s="20"/>
      <c r="C115" s="20"/>
      <c r="D115" s="20"/>
      <c r="E115" s="20"/>
      <c r="F115" s="20"/>
      <c r="G115" s="20"/>
      <c r="H115" s="20"/>
      <c r="I115" s="10"/>
      <c r="J115" s="10"/>
      <c r="K115" s="10"/>
      <c r="L115" s="10"/>
      <c r="M115" s="10"/>
      <c r="N115" s="10"/>
      <c r="O115" s="10"/>
      <c r="P115" s="2"/>
      <c r="Q115" s="2"/>
      <c r="R115" s="2"/>
      <c r="S115" s="2"/>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row>
    <row r="116" spans="1:49" ht="18" customHeight="1" x14ac:dyDescent="0.25">
      <c r="A116" s="1"/>
      <c r="B116" s="20"/>
      <c r="C116" s="20"/>
      <c r="D116" s="20"/>
      <c r="E116" s="20"/>
      <c r="F116" s="20"/>
      <c r="G116" s="20"/>
      <c r="H116" s="20"/>
      <c r="I116" s="10"/>
      <c r="J116" s="10"/>
      <c r="K116" s="10"/>
      <c r="L116" s="10"/>
      <c r="M116" s="10"/>
      <c r="N116" s="10"/>
      <c r="O116" s="10"/>
      <c r="P116" s="2"/>
      <c r="Q116" s="2"/>
      <c r="R116" s="2"/>
      <c r="S116" s="2"/>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row>
    <row r="117" spans="1:49" ht="18" customHeight="1" x14ac:dyDescent="0.25">
      <c r="A117" s="1"/>
      <c r="B117" s="20"/>
      <c r="C117" s="20"/>
      <c r="D117" s="20"/>
      <c r="E117" s="20"/>
      <c r="F117" s="20"/>
      <c r="G117" s="20"/>
      <c r="H117" s="20"/>
      <c r="I117" s="10"/>
      <c r="J117" s="10"/>
      <c r="K117" s="10"/>
      <c r="L117" s="10"/>
      <c r="M117" s="10"/>
      <c r="N117" s="10"/>
      <c r="O117" s="10"/>
      <c r="P117" s="2"/>
      <c r="Q117" s="2"/>
      <c r="R117" s="2"/>
      <c r="S117" s="2"/>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row>
    <row r="118" spans="1:49" ht="18" customHeight="1" collapsed="1" x14ac:dyDescent="0.25">
      <c r="A118" s="1"/>
      <c r="B118" s="20"/>
      <c r="C118" s="20"/>
      <c r="D118" s="20"/>
      <c r="E118" s="20"/>
      <c r="F118" s="20"/>
      <c r="G118" s="20"/>
      <c r="H118" s="20"/>
      <c r="I118" s="10"/>
      <c r="J118" s="10"/>
      <c r="K118" s="10"/>
      <c r="L118" s="10"/>
      <c r="M118" s="10"/>
      <c r="N118" s="10"/>
      <c r="O118" s="10"/>
      <c r="P118" s="2"/>
      <c r="Q118" s="2"/>
      <c r="R118" s="2"/>
      <c r="S118" s="2"/>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row>
    <row r="119" spans="1:49" ht="18" customHeight="1" x14ac:dyDescent="0.25">
      <c r="A119" s="1"/>
      <c r="B119" s="20"/>
      <c r="C119" s="20"/>
      <c r="D119" s="20"/>
      <c r="E119" s="20"/>
      <c r="F119" s="20"/>
      <c r="G119" s="20"/>
      <c r="H119" s="20"/>
      <c r="I119" s="10"/>
      <c r="J119" s="10"/>
      <c r="K119" s="10"/>
      <c r="L119" s="10"/>
      <c r="M119" s="10"/>
      <c r="N119" s="10"/>
      <c r="O119" s="10"/>
      <c r="P119" s="2"/>
      <c r="Q119" s="2"/>
      <c r="R119" s="2"/>
      <c r="S119" s="2"/>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row>
    <row r="120" spans="1:49" ht="18" customHeight="1" x14ac:dyDescent="0.25">
      <c r="A120" s="1"/>
      <c r="B120" s="20"/>
      <c r="C120" s="20"/>
      <c r="D120" s="20"/>
      <c r="E120" s="20"/>
      <c r="F120" s="20"/>
      <c r="G120" s="20"/>
      <c r="H120" s="20"/>
      <c r="I120" s="10"/>
      <c r="J120" s="10"/>
      <c r="K120" s="10"/>
      <c r="L120" s="10"/>
      <c r="M120" s="10"/>
      <c r="N120" s="10"/>
      <c r="O120" s="10"/>
      <c r="P120" s="2"/>
      <c r="Q120" s="2"/>
      <c r="R120" s="2"/>
      <c r="S120" s="2"/>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row>
    <row r="121" spans="1:49" ht="18" customHeight="1" collapsed="1" x14ac:dyDescent="0.25">
      <c r="A121" s="1"/>
      <c r="B121" s="20"/>
      <c r="C121" s="20"/>
      <c r="D121" s="20"/>
      <c r="E121" s="20"/>
      <c r="F121" s="20"/>
      <c r="G121" s="20"/>
      <c r="H121" s="20"/>
      <c r="I121" s="2"/>
      <c r="J121" s="2"/>
      <c r="K121" s="2"/>
      <c r="L121" s="2"/>
      <c r="M121" s="2"/>
      <c r="N121" s="2"/>
      <c r="O121" s="2"/>
      <c r="P121" s="2"/>
      <c r="Q121" s="2"/>
      <c r="R121" s="2"/>
      <c r="S121" s="2"/>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row>
    <row r="122" spans="1:49" ht="18" customHeight="1" x14ac:dyDescent="0.25">
      <c r="A122" s="1"/>
      <c r="B122" s="20"/>
      <c r="C122" s="20"/>
      <c r="D122" s="20"/>
      <c r="E122" s="20"/>
      <c r="F122" s="20"/>
      <c r="G122" s="20"/>
      <c r="H122" s="20"/>
      <c r="I122" s="17"/>
      <c r="J122" s="17"/>
      <c r="K122" s="17"/>
      <c r="L122" s="17"/>
      <c r="M122" s="17"/>
      <c r="N122" s="17"/>
      <c r="O122" s="17"/>
      <c r="P122" s="2"/>
      <c r="Q122" s="2"/>
      <c r="R122" s="2"/>
      <c r="S122" s="2"/>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row>
    <row r="123" spans="1:49" ht="18" customHeight="1" x14ac:dyDescent="0.25">
      <c r="A123" s="1"/>
      <c r="B123" s="20"/>
      <c r="C123" s="20"/>
      <c r="D123" s="20"/>
      <c r="E123" s="20"/>
      <c r="F123" s="20"/>
      <c r="G123" s="20"/>
      <c r="H123" s="20"/>
      <c r="I123" s="10"/>
      <c r="J123" s="10"/>
      <c r="K123" s="10"/>
      <c r="L123" s="10"/>
      <c r="M123" s="10"/>
      <c r="N123" s="10"/>
      <c r="O123" s="10"/>
      <c r="P123" s="2"/>
      <c r="Q123" s="2"/>
      <c r="R123" s="2"/>
      <c r="S123" s="2"/>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row>
    <row r="124" spans="1:49" ht="18" customHeight="1" x14ac:dyDescent="0.25">
      <c r="A124" s="1"/>
      <c r="B124" s="20"/>
      <c r="C124" s="20"/>
      <c r="D124" s="20"/>
      <c r="E124" s="20"/>
      <c r="F124" s="20"/>
      <c r="G124" s="20"/>
      <c r="H124" s="20"/>
      <c r="I124" s="10"/>
      <c r="J124" s="10"/>
      <c r="K124" s="10"/>
      <c r="L124" s="10"/>
      <c r="M124" s="10"/>
      <c r="N124" s="10"/>
      <c r="O124" s="10"/>
      <c r="P124" s="2"/>
      <c r="Q124" s="2"/>
      <c r="R124" s="2"/>
      <c r="S124" s="2"/>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row>
    <row r="125" spans="1:49" ht="18" customHeight="1" x14ac:dyDescent="0.25">
      <c r="A125" s="1"/>
      <c r="B125" s="20"/>
      <c r="C125" s="20"/>
      <c r="D125" s="20"/>
      <c r="E125" s="20"/>
      <c r="F125" s="20"/>
      <c r="G125" s="20"/>
      <c r="H125" s="20"/>
      <c r="I125" s="10"/>
      <c r="J125" s="10"/>
      <c r="K125" s="10"/>
      <c r="L125" s="10"/>
      <c r="M125" s="10"/>
      <c r="N125" s="10"/>
      <c r="O125" s="10"/>
      <c r="P125" s="2"/>
      <c r="Q125" s="2"/>
      <c r="R125" s="2"/>
      <c r="S125" s="2"/>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row>
    <row r="126" spans="1:49" ht="18" customHeight="1" collapsed="1" x14ac:dyDescent="0.25">
      <c r="A126" s="1"/>
      <c r="B126" s="20"/>
      <c r="C126" s="20"/>
      <c r="D126" s="20"/>
      <c r="E126" s="20"/>
      <c r="F126" s="20"/>
      <c r="G126" s="20"/>
      <c r="H126" s="20"/>
      <c r="I126" s="10"/>
      <c r="J126" s="10"/>
      <c r="K126" s="10"/>
      <c r="L126" s="10"/>
      <c r="M126" s="10"/>
      <c r="N126" s="10"/>
      <c r="O126" s="10"/>
      <c r="P126" s="2"/>
      <c r="Q126" s="2"/>
      <c r="R126" s="2"/>
      <c r="S126" s="2"/>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row>
    <row r="127" spans="1:49" ht="18" customHeight="1" x14ac:dyDescent="0.25">
      <c r="A127" s="1"/>
      <c r="B127" s="20"/>
      <c r="C127" s="20"/>
      <c r="D127" s="20"/>
      <c r="E127" s="20"/>
      <c r="F127" s="20"/>
      <c r="G127" s="20"/>
      <c r="H127" s="20"/>
      <c r="I127" s="14"/>
      <c r="J127" s="14"/>
      <c r="K127" s="14"/>
      <c r="L127" s="14"/>
      <c r="M127" s="14"/>
      <c r="N127" s="14"/>
      <c r="O127" s="14"/>
      <c r="P127" s="2"/>
      <c r="Q127" s="2"/>
      <c r="R127" s="2"/>
      <c r="S127" s="2"/>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row>
    <row r="128" spans="1:49" ht="18" customHeight="1" x14ac:dyDescent="0.25">
      <c r="A128" s="1"/>
      <c r="B128" s="20"/>
      <c r="C128" s="20"/>
      <c r="D128" s="20"/>
      <c r="E128" s="20"/>
      <c r="F128" s="20"/>
      <c r="G128" s="20"/>
      <c r="H128" s="20"/>
      <c r="I128" s="10"/>
      <c r="J128" s="10"/>
      <c r="K128" s="10"/>
      <c r="L128" s="10"/>
      <c r="M128" s="10"/>
      <c r="N128" s="10"/>
      <c r="O128" s="10"/>
      <c r="P128" s="2"/>
      <c r="Q128" s="2"/>
      <c r="R128" s="2"/>
      <c r="S128" s="2"/>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row>
    <row r="129" spans="1:49" ht="18" customHeight="1" x14ac:dyDescent="0.25">
      <c r="A129" s="1"/>
      <c r="B129" s="20"/>
      <c r="C129" s="20"/>
      <c r="D129" s="20"/>
      <c r="E129" s="20"/>
      <c r="F129" s="20"/>
      <c r="G129" s="20"/>
      <c r="H129" s="20"/>
      <c r="I129" s="10"/>
      <c r="J129" s="10"/>
      <c r="K129" s="10"/>
      <c r="L129" s="10"/>
      <c r="M129" s="10"/>
      <c r="N129" s="10"/>
      <c r="O129" s="10"/>
      <c r="P129" s="2"/>
      <c r="Q129" s="2"/>
      <c r="R129" s="2"/>
      <c r="S129" s="2"/>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row>
    <row r="130" spans="1:49" ht="18" customHeight="1" x14ac:dyDescent="0.25">
      <c r="A130" s="1"/>
      <c r="B130" s="20"/>
      <c r="C130" s="20"/>
      <c r="D130" s="20"/>
      <c r="E130" s="20"/>
      <c r="F130" s="20"/>
      <c r="G130" s="20"/>
      <c r="H130" s="20"/>
      <c r="I130" s="10"/>
      <c r="J130" s="10"/>
      <c r="K130" s="10"/>
      <c r="L130" s="10"/>
      <c r="M130" s="10"/>
      <c r="N130" s="10"/>
      <c r="O130" s="10"/>
      <c r="P130" s="2"/>
      <c r="Q130" s="2"/>
      <c r="R130" s="2"/>
      <c r="S130" s="2"/>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row>
    <row r="131" spans="1:49" ht="18" customHeight="1" collapsed="1" x14ac:dyDescent="0.25">
      <c r="A131" s="1"/>
      <c r="B131" s="20"/>
      <c r="C131" s="20"/>
      <c r="D131" s="20"/>
      <c r="E131" s="20"/>
      <c r="F131" s="20"/>
      <c r="G131" s="20"/>
      <c r="H131" s="20"/>
      <c r="I131" s="10"/>
      <c r="J131" s="10"/>
      <c r="K131" s="10"/>
      <c r="L131" s="10"/>
      <c r="M131" s="10"/>
      <c r="N131" s="10"/>
      <c r="O131" s="10"/>
      <c r="P131" s="2"/>
      <c r="Q131" s="2"/>
      <c r="R131" s="2"/>
      <c r="S131" s="2"/>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row>
    <row r="132" spans="1:49" ht="18" customHeight="1" x14ac:dyDescent="0.25">
      <c r="A132" s="1"/>
      <c r="B132" s="20"/>
      <c r="C132" s="20"/>
      <c r="D132" s="20"/>
      <c r="E132" s="20"/>
      <c r="F132" s="20"/>
      <c r="G132" s="20"/>
      <c r="H132" s="20"/>
      <c r="I132" s="10"/>
      <c r="J132" s="10"/>
      <c r="K132" s="10"/>
      <c r="L132" s="10"/>
      <c r="M132" s="10"/>
      <c r="N132" s="10"/>
      <c r="O132" s="10"/>
      <c r="P132" s="2"/>
      <c r="Q132" s="2"/>
      <c r="R132" s="2"/>
      <c r="S132" s="2"/>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row>
    <row r="133" spans="1:49" ht="18" customHeight="1" x14ac:dyDescent="0.25">
      <c r="A133" s="1"/>
      <c r="B133" s="20"/>
      <c r="C133" s="20"/>
      <c r="D133" s="20"/>
      <c r="E133" s="20"/>
      <c r="F133" s="20"/>
      <c r="G133" s="20"/>
      <c r="H133" s="20"/>
      <c r="I133" s="10"/>
      <c r="J133" s="10"/>
      <c r="K133" s="10"/>
      <c r="L133" s="10"/>
      <c r="M133" s="10"/>
      <c r="N133" s="10"/>
      <c r="O133" s="10"/>
      <c r="P133" s="2"/>
      <c r="Q133" s="2"/>
      <c r="R133" s="2"/>
      <c r="S133" s="2"/>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row>
    <row r="134" spans="1:49" ht="18" customHeight="1" x14ac:dyDescent="0.25">
      <c r="A134" s="1"/>
      <c r="B134" s="20"/>
      <c r="C134" s="20"/>
      <c r="D134" s="20"/>
      <c r="E134" s="20"/>
      <c r="F134" s="20"/>
      <c r="G134" s="20"/>
      <c r="H134" s="20"/>
      <c r="I134" s="10"/>
      <c r="J134" s="10"/>
      <c r="K134" s="10"/>
      <c r="L134" s="10"/>
      <c r="M134" s="10"/>
      <c r="N134" s="10"/>
      <c r="O134" s="10"/>
      <c r="P134" s="2"/>
      <c r="Q134" s="2"/>
      <c r="R134" s="2"/>
      <c r="S134" s="2"/>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row>
    <row r="135" spans="1:49" ht="18" customHeight="1" x14ac:dyDescent="0.25">
      <c r="A135" s="1"/>
      <c r="B135" s="20"/>
      <c r="C135" s="20"/>
      <c r="D135" s="20"/>
      <c r="E135" s="20"/>
      <c r="F135" s="20"/>
      <c r="G135" s="20"/>
      <c r="H135" s="20"/>
      <c r="I135" s="10"/>
      <c r="J135" s="10"/>
      <c r="K135" s="10"/>
      <c r="L135" s="10"/>
      <c r="M135" s="10"/>
      <c r="N135" s="10"/>
      <c r="O135" s="10"/>
      <c r="P135" s="2"/>
      <c r="Q135" s="2"/>
      <c r="R135" s="2"/>
      <c r="S135" s="2"/>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row>
    <row r="136" spans="1:49" ht="18" customHeight="1" collapsed="1" x14ac:dyDescent="0.25">
      <c r="A136" s="1"/>
      <c r="B136" s="20"/>
      <c r="C136" s="20"/>
      <c r="D136" s="20"/>
      <c r="E136" s="20"/>
      <c r="F136" s="20"/>
      <c r="G136" s="20"/>
      <c r="H136" s="20"/>
      <c r="I136" s="2"/>
      <c r="J136" s="2"/>
      <c r="K136" s="2"/>
      <c r="L136" s="2"/>
      <c r="M136" s="2"/>
      <c r="N136" s="2"/>
      <c r="O136" s="2"/>
      <c r="P136" s="2"/>
      <c r="Q136" s="2"/>
      <c r="R136" s="2"/>
      <c r="S136" s="2"/>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row>
    <row r="137" spans="1:49" ht="18" customHeight="1" x14ac:dyDescent="0.25">
      <c r="A137" s="1"/>
      <c r="B137" s="20"/>
      <c r="C137" s="20"/>
      <c r="D137" s="20"/>
      <c r="E137" s="20"/>
      <c r="F137" s="20"/>
      <c r="G137" s="20"/>
      <c r="H137" s="20"/>
      <c r="I137" s="17"/>
      <c r="J137" s="17"/>
      <c r="K137" s="17"/>
      <c r="L137" s="17"/>
      <c r="M137" s="17"/>
      <c r="N137" s="17"/>
      <c r="O137" s="17"/>
      <c r="P137" s="2"/>
      <c r="Q137" s="2"/>
      <c r="R137" s="2"/>
      <c r="S137" s="2"/>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row>
    <row r="138" spans="1:49" ht="18" customHeight="1" x14ac:dyDescent="0.25">
      <c r="A138" s="1"/>
      <c r="B138" s="20"/>
      <c r="C138" s="20"/>
      <c r="D138" s="20"/>
      <c r="E138" s="20"/>
      <c r="F138" s="20"/>
      <c r="G138" s="20"/>
      <c r="H138" s="20"/>
      <c r="I138" s="10"/>
      <c r="J138" s="10"/>
      <c r="K138" s="10"/>
      <c r="L138" s="10"/>
      <c r="M138" s="10"/>
      <c r="N138" s="10"/>
      <c r="O138" s="10"/>
      <c r="P138" s="2"/>
      <c r="Q138" s="2"/>
      <c r="R138" s="2"/>
      <c r="S138" s="2"/>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row>
    <row r="139" spans="1:49" ht="18" customHeight="1" x14ac:dyDescent="0.25">
      <c r="A139" s="1"/>
      <c r="B139" s="20"/>
      <c r="C139" s="20"/>
      <c r="D139" s="20"/>
      <c r="E139" s="20"/>
      <c r="F139" s="20"/>
      <c r="G139" s="20"/>
      <c r="H139" s="20"/>
      <c r="I139" s="10"/>
      <c r="J139" s="10"/>
      <c r="K139" s="10"/>
      <c r="L139" s="10"/>
      <c r="M139" s="10"/>
      <c r="N139" s="10"/>
      <c r="O139" s="10"/>
      <c r="P139" s="2"/>
      <c r="Q139" s="2"/>
      <c r="R139" s="2"/>
      <c r="S139" s="2"/>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row>
    <row r="140" spans="1:49" ht="18" customHeight="1" x14ac:dyDescent="0.25">
      <c r="A140" s="1"/>
      <c r="B140" s="20"/>
      <c r="C140" s="20"/>
      <c r="D140" s="20"/>
      <c r="E140" s="20"/>
      <c r="F140" s="20"/>
      <c r="G140" s="20"/>
      <c r="H140" s="20"/>
      <c r="I140" s="14"/>
      <c r="J140" s="14"/>
      <c r="K140" s="14"/>
      <c r="L140" s="14"/>
      <c r="M140" s="14"/>
      <c r="N140" s="14"/>
      <c r="O140" s="14"/>
      <c r="P140" s="2"/>
      <c r="Q140" s="2"/>
      <c r="R140" s="2"/>
      <c r="S140" s="2"/>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row>
    <row r="141" spans="1:49" ht="18" customHeight="1" x14ac:dyDescent="0.25">
      <c r="A141" s="1"/>
      <c r="B141" s="20"/>
      <c r="C141" s="20"/>
      <c r="D141" s="20"/>
      <c r="E141" s="20"/>
      <c r="F141" s="20"/>
      <c r="G141" s="20"/>
      <c r="H141" s="20"/>
      <c r="I141" s="10"/>
      <c r="J141" s="10"/>
      <c r="K141" s="10"/>
      <c r="L141" s="10"/>
      <c r="M141" s="10"/>
      <c r="N141" s="10"/>
      <c r="O141" s="10"/>
      <c r="P141" s="2"/>
      <c r="Q141" s="2"/>
      <c r="R141" s="2"/>
      <c r="S141" s="2"/>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row>
    <row r="142" spans="1:49" ht="18" customHeight="1" x14ac:dyDescent="0.25">
      <c r="A142" s="1"/>
      <c r="B142" s="20"/>
      <c r="C142" s="20"/>
      <c r="D142" s="20"/>
      <c r="E142" s="20"/>
      <c r="F142" s="20"/>
      <c r="G142" s="20"/>
      <c r="H142" s="20"/>
      <c r="I142" s="10"/>
      <c r="J142" s="10"/>
      <c r="K142" s="10"/>
      <c r="L142" s="10"/>
      <c r="M142" s="10"/>
      <c r="N142" s="10"/>
      <c r="O142" s="10"/>
      <c r="P142" s="2"/>
      <c r="Q142" s="2"/>
      <c r="R142" s="2"/>
      <c r="S142" s="2"/>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row>
    <row r="143" spans="1:49" ht="18" customHeight="1" collapsed="1" x14ac:dyDescent="0.25">
      <c r="A143" s="1"/>
      <c r="B143" s="20"/>
      <c r="C143" s="20"/>
      <c r="D143" s="20"/>
      <c r="E143" s="20"/>
      <c r="F143" s="20"/>
      <c r="G143" s="20"/>
      <c r="H143" s="20"/>
      <c r="I143" s="10"/>
      <c r="J143" s="10"/>
      <c r="K143" s="10"/>
      <c r="L143" s="10"/>
      <c r="M143" s="10"/>
      <c r="N143" s="10"/>
      <c r="O143" s="10"/>
      <c r="P143" s="2"/>
      <c r="Q143" s="2"/>
      <c r="R143" s="2"/>
      <c r="S143" s="2"/>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row>
    <row r="144" spans="1:49" ht="18" customHeight="1" x14ac:dyDescent="0.25">
      <c r="A144" s="1"/>
      <c r="B144" s="20"/>
      <c r="C144" s="20"/>
      <c r="D144" s="20"/>
      <c r="E144" s="20"/>
      <c r="F144" s="20"/>
      <c r="G144" s="20"/>
      <c r="H144" s="20"/>
      <c r="I144" s="10"/>
      <c r="J144" s="10"/>
      <c r="K144" s="10"/>
      <c r="L144" s="10"/>
      <c r="M144" s="10"/>
      <c r="N144" s="10"/>
      <c r="O144" s="10"/>
      <c r="P144" s="2"/>
      <c r="Q144" s="2"/>
      <c r="R144" s="2"/>
      <c r="S144" s="2"/>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row>
    <row r="145" spans="1:49" ht="18" customHeight="1" x14ac:dyDescent="0.25">
      <c r="A145" s="1"/>
      <c r="B145" s="20"/>
      <c r="C145" s="20"/>
      <c r="D145" s="20"/>
      <c r="E145" s="20"/>
      <c r="F145" s="20"/>
      <c r="G145" s="20"/>
      <c r="H145" s="20"/>
      <c r="I145" s="10"/>
      <c r="J145" s="10"/>
      <c r="K145" s="10"/>
      <c r="L145" s="10"/>
      <c r="M145" s="10"/>
      <c r="N145" s="10"/>
      <c r="O145" s="10"/>
      <c r="P145" s="2"/>
      <c r="Q145" s="2"/>
      <c r="R145" s="2"/>
      <c r="S145" s="2"/>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row>
    <row r="146" spans="1:49" ht="18" customHeight="1" x14ac:dyDescent="0.25">
      <c r="A146" s="1"/>
      <c r="B146" s="20"/>
      <c r="C146" s="20"/>
      <c r="D146" s="20"/>
      <c r="E146" s="20"/>
      <c r="F146" s="20"/>
      <c r="G146" s="20"/>
      <c r="H146" s="20"/>
      <c r="I146" s="10"/>
      <c r="J146" s="10"/>
      <c r="K146" s="10"/>
      <c r="L146" s="10"/>
      <c r="M146" s="10"/>
      <c r="N146" s="10"/>
      <c r="O146" s="10"/>
      <c r="P146" s="2"/>
      <c r="Q146" s="2"/>
      <c r="R146" s="2"/>
      <c r="S146" s="2"/>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row>
    <row r="147" spans="1:49" ht="18" customHeight="1" x14ac:dyDescent="0.25">
      <c r="A147" s="1"/>
      <c r="B147" s="20"/>
      <c r="C147" s="20"/>
      <c r="D147" s="20"/>
      <c r="E147" s="20"/>
      <c r="F147" s="20"/>
      <c r="G147" s="20"/>
      <c r="H147" s="20"/>
      <c r="I147" s="10"/>
      <c r="J147" s="10"/>
      <c r="K147" s="10"/>
      <c r="L147" s="10"/>
      <c r="M147" s="10"/>
      <c r="N147" s="10"/>
      <c r="O147" s="10"/>
      <c r="P147" s="2"/>
      <c r="Q147" s="2"/>
      <c r="R147" s="2"/>
      <c r="S147" s="2"/>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row>
    <row r="148" spans="1:49" ht="18" customHeight="1" collapsed="1" x14ac:dyDescent="0.25">
      <c r="A148" s="1"/>
      <c r="B148" s="20"/>
      <c r="C148" s="20"/>
      <c r="D148" s="20"/>
      <c r="E148" s="20"/>
      <c r="F148" s="20"/>
      <c r="G148" s="20"/>
      <c r="H148" s="20"/>
      <c r="I148" s="14"/>
      <c r="J148" s="14"/>
      <c r="K148" s="14"/>
      <c r="L148" s="14"/>
      <c r="M148" s="14"/>
      <c r="N148" s="14"/>
      <c r="O148" s="14"/>
      <c r="P148" s="2"/>
      <c r="Q148" s="2"/>
      <c r="R148" s="2"/>
      <c r="S148" s="2"/>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row>
    <row r="149" spans="1:49" ht="18" customHeight="1" x14ac:dyDescent="0.25">
      <c r="A149" s="1"/>
      <c r="B149" s="20"/>
      <c r="C149" s="20"/>
      <c r="D149" s="20"/>
      <c r="E149" s="20"/>
      <c r="F149" s="20"/>
      <c r="G149" s="20"/>
      <c r="H149" s="20"/>
      <c r="I149" s="14"/>
      <c r="J149" s="14"/>
      <c r="K149" s="14"/>
      <c r="L149" s="14"/>
      <c r="M149" s="14"/>
      <c r="N149" s="14"/>
      <c r="O149" s="14"/>
      <c r="P149" s="2"/>
      <c r="Q149" s="2"/>
      <c r="R149" s="2"/>
      <c r="S149" s="2"/>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row>
    <row r="150" spans="1:49" ht="18" customHeight="1" x14ac:dyDescent="0.25">
      <c r="A150" s="1"/>
      <c r="B150" s="20"/>
      <c r="C150" s="20"/>
      <c r="D150" s="20"/>
      <c r="E150" s="20"/>
      <c r="F150" s="20"/>
      <c r="G150" s="20"/>
      <c r="H150" s="20"/>
      <c r="I150" s="14"/>
      <c r="J150" s="14"/>
      <c r="K150" s="14"/>
      <c r="L150" s="14"/>
      <c r="M150" s="14"/>
      <c r="N150" s="14"/>
      <c r="O150" s="14"/>
      <c r="P150" s="2"/>
      <c r="Q150" s="2"/>
      <c r="R150" s="2"/>
      <c r="S150" s="2"/>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row>
    <row r="151" spans="1:49" ht="18" customHeight="1" x14ac:dyDescent="0.25">
      <c r="A151" s="1"/>
      <c r="B151" s="20"/>
      <c r="C151" s="20"/>
      <c r="D151" s="20"/>
      <c r="E151" s="20"/>
      <c r="F151" s="20"/>
      <c r="G151" s="20"/>
      <c r="H151" s="20"/>
      <c r="I151" s="10"/>
      <c r="J151" s="10"/>
      <c r="K151" s="10"/>
      <c r="L151" s="10"/>
      <c r="M151" s="10"/>
      <c r="N151" s="10"/>
      <c r="O151" s="10"/>
      <c r="P151" s="2"/>
      <c r="Q151" s="2"/>
      <c r="R151" s="2"/>
      <c r="S151" s="2"/>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row>
    <row r="152" spans="1:49" x14ac:dyDescent="0.25">
      <c r="A152" s="1"/>
      <c r="B152" s="1"/>
      <c r="C152" s="1"/>
      <c r="D152" s="1"/>
      <c r="E152" s="1"/>
      <c r="F152" s="1"/>
      <c r="G152" s="1"/>
      <c r="H152" s="1"/>
      <c r="I152" s="2"/>
      <c r="J152" s="2"/>
      <c r="K152" s="2"/>
      <c r="L152" s="2"/>
      <c r="M152" s="2"/>
      <c r="N152" s="2"/>
      <c r="O152" s="2"/>
      <c r="P152" s="2"/>
      <c r="Q152" s="2"/>
      <c r="R152" s="2"/>
      <c r="S152" s="2"/>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row>
    <row r="153" spans="1:49" x14ac:dyDescent="0.25">
      <c r="A153" s="1"/>
      <c r="B153" s="1"/>
      <c r="C153" s="1"/>
      <c r="D153" s="1"/>
      <c r="E153" s="1"/>
      <c r="F153" s="1"/>
      <c r="G153" s="1"/>
      <c r="H153" s="1"/>
      <c r="I153" s="2"/>
      <c r="J153" s="2"/>
      <c r="K153" s="2"/>
      <c r="L153" s="2"/>
      <c r="M153" s="2"/>
      <c r="N153" s="2"/>
      <c r="O153" s="2"/>
      <c r="P153" s="2"/>
      <c r="Q153" s="2"/>
      <c r="R153" s="2"/>
      <c r="S153" s="2"/>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row>
    <row r="154" spans="1:49" x14ac:dyDescent="0.25">
      <c r="A154" s="1"/>
      <c r="B154" s="1"/>
      <c r="C154" s="1"/>
      <c r="D154" s="1"/>
      <c r="E154" s="1"/>
      <c r="F154" s="1"/>
      <c r="G154" s="1"/>
      <c r="H154" s="1"/>
      <c r="I154" s="2"/>
      <c r="J154" s="2"/>
      <c r="K154" s="2"/>
      <c r="L154" s="2"/>
      <c r="M154" s="2"/>
      <c r="N154" s="2"/>
      <c r="O154" s="2"/>
      <c r="P154" s="2"/>
      <c r="Q154" s="2"/>
      <c r="R154" s="2"/>
      <c r="S154" s="2"/>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row>
    <row r="155" spans="1:49" x14ac:dyDescent="0.25">
      <c r="A155" s="1"/>
      <c r="B155" s="1"/>
      <c r="C155" s="1"/>
      <c r="D155" s="1"/>
      <c r="E155" s="1"/>
      <c r="F155" s="1"/>
      <c r="G155" s="1"/>
      <c r="H155" s="1"/>
      <c r="I155" s="2"/>
      <c r="J155" s="2"/>
      <c r="K155" s="2"/>
      <c r="L155" s="2"/>
      <c r="M155" s="2"/>
      <c r="N155" s="2"/>
      <c r="O155" s="2"/>
      <c r="P155" s="2"/>
      <c r="Q155" s="2"/>
      <c r="R155" s="2"/>
      <c r="S155" s="2"/>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row>
    <row r="156" spans="1:49" x14ac:dyDescent="0.25">
      <c r="A156" s="1"/>
      <c r="B156" s="1"/>
      <c r="C156" s="1"/>
      <c r="D156" s="1"/>
      <c r="E156" s="1"/>
      <c r="F156" s="1"/>
      <c r="G156" s="1"/>
      <c r="H156" s="1"/>
      <c r="I156" s="2"/>
      <c r="J156" s="2"/>
      <c r="K156" s="2"/>
      <c r="L156" s="2"/>
      <c r="M156" s="2"/>
      <c r="N156" s="2"/>
      <c r="O156" s="2"/>
      <c r="P156" s="2"/>
      <c r="Q156" s="2"/>
      <c r="R156" s="2"/>
      <c r="S156" s="2"/>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row>
    <row r="157" spans="1:49" x14ac:dyDescent="0.25">
      <c r="A157" s="1"/>
      <c r="B157" s="1"/>
      <c r="C157" s="1"/>
      <c r="D157" s="1"/>
      <c r="E157" s="1"/>
      <c r="F157" s="1"/>
      <c r="G157" s="1"/>
      <c r="H157" s="1"/>
      <c r="I157" s="2"/>
      <c r="J157" s="2"/>
      <c r="K157" s="2"/>
      <c r="L157" s="2"/>
      <c r="M157" s="2"/>
      <c r="N157" s="2"/>
      <c r="O157" s="2"/>
      <c r="P157" s="2"/>
      <c r="Q157" s="2"/>
      <c r="R157" s="2"/>
      <c r="S157" s="2"/>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row>
    <row r="158" spans="1:49" x14ac:dyDescent="0.25">
      <c r="A158" s="1"/>
      <c r="B158" s="1"/>
      <c r="C158" s="1"/>
      <c r="D158" s="1"/>
      <c r="E158" s="1"/>
      <c r="F158" s="1"/>
      <c r="G158" s="1"/>
      <c r="H158" s="1"/>
      <c r="I158" s="2"/>
      <c r="J158" s="2"/>
      <c r="K158" s="2"/>
      <c r="L158" s="2"/>
      <c r="M158" s="2"/>
      <c r="N158" s="2"/>
      <c r="O158" s="2"/>
      <c r="P158" s="2"/>
      <c r="Q158" s="2"/>
      <c r="R158" s="2"/>
      <c r="S158" s="2"/>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row>
    <row r="159" spans="1:49" x14ac:dyDescent="0.25">
      <c r="A159" s="1"/>
      <c r="B159" s="1"/>
      <c r="C159" s="1"/>
      <c r="D159" s="1"/>
      <c r="E159" s="1"/>
      <c r="F159" s="1"/>
      <c r="G159" s="1"/>
      <c r="H159" s="1"/>
      <c r="I159" s="2"/>
      <c r="J159" s="2"/>
      <c r="K159" s="2"/>
      <c r="L159" s="2"/>
      <c r="M159" s="2"/>
      <c r="N159" s="2"/>
      <c r="O159" s="2"/>
      <c r="P159" s="2"/>
      <c r="Q159" s="2"/>
      <c r="R159" s="2"/>
      <c r="S159" s="2"/>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row>
    <row r="160" spans="1:49" x14ac:dyDescent="0.25">
      <c r="A160" s="1"/>
      <c r="B160" s="1"/>
      <c r="C160" s="1"/>
      <c r="D160" s="1"/>
      <c r="E160" s="1"/>
      <c r="F160" s="1"/>
      <c r="G160" s="1"/>
      <c r="H160" s="1"/>
      <c r="I160" s="2"/>
      <c r="J160" s="2"/>
      <c r="K160" s="2"/>
      <c r="L160" s="2"/>
      <c r="M160" s="2"/>
      <c r="N160" s="2"/>
      <c r="O160" s="2"/>
      <c r="P160" s="2"/>
      <c r="Q160" s="2"/>
      <c r="R160" s="2"/>
      <c r="S160" s="2"/>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row>
    <row r="161" spans="1:49" x14ac:dyDescent="0.25">
      <c r="A161" s="1"/>
      <c r="B161" s="1"/>
      <c r="C161" s="1"/>
      <c r="D161" s="1"/>
      <c r="E161" s="1"/>
      <c r="F161" s="1"/>
      <c r="G161" s="1"/>
      <c r="H161" s="1"/>
      <c r="I161" s="2"/>
      <c r="J161" s="2"/>
      <c r="K161" s="2"/>
      <c r="L161" s="2"/>
      <c r="M161" s="2"/>
      <c r="N161" s="2"/>
      <c r="O161" s="2"/>
      <c r="P161" s="2"/>
      <c r="Q161" s="2"/>
      <c r="R161" s="2"/>
      <c r="S161" s="2"/>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row>
    <row r="162" spans="1:49" x14ac:dyDescent="0.25">
      <c r="A162" s="1"/>
      <c r="B162" s="1"/>
      <c r="C162" s="1"/>
      <c r="D162" s="1"/>
      <c r="E162" s="1"/>
      <c r="F162" s="1"/>
      <c r="G162" s="1"/>
      <c r="H162" s="1"/>
      <c r="I162" s="2"/>
      <c r="J162" s="2"/>
      <c r="K162" s="2"/>
      <c r="L162" s="2"/>
      <c r="M162" s="2"/>
      <c r="N162" s="2"/>
      <c r="O162" s="2"/>
      <c r="P162" s="2"/>
      <c r="Q162" s="2"/>
      <c r="R162" s="2"/>
      <c r="S162" s="2"/>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row>
    <row r="163" spans="1:49" x14ac:dyDescent="0.25">
      <c r="A163" s="1"/>
      <c r="B163" s="1"/>
      <c r="C163" s="1"/>
      <c r="D163" s="1"/>
      <c r="E163" s="1"/>
      <c r="F163" s="1"/>
      <c r="G163" s="1"/>
      <c r="H163" s="1"/>
      <c r="I163" s="2"/>
      <c r="J163" s="2"/>
      <c r="K163" s="2"/>
      <c r="L163" s="2"/>
      <c r="M163" s="2"/>
      <c r="N163" s="2"/>
      <c r="O163" s="2"/>
      <c r="P163" s="2"/>
      <c r="Q163" s="2"/>
      <c r="R163" s="2"/>
      <c r="S163" s="2"/>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row>
    <row r="164" spans="1:49" x14ac:dyDescent="0.25">
      <c r="A164" s="1"/>
      <c r="B164" s="1"/>
      <c r="C164" s="1"/>
      <c r="D164" s="1"/>
      <c r="E164" s="1"/>
      <c r="F164" s="1"/>
      <c r="G164" s="1"/>
      <c r="H164" s="1"/>
      <c r="I164" s="2"/>
      <c r="J164" s="2"/>
      <c r="K164" s="2"/>
      <c r="L164" s="2"/>
      <c r="M164" s="2"/>
      <c r="N164" s="2"/>
      <c r="O164" s="2"/>
      <c r="P164" s="2"/>
      <c r="Q164" s="2"/>
      <c r="R164" s="2"/>
      <c r="S164" s="2"/>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row>
    <row r="165" spans="1:49" x14ac:dyDescent="0.25">
      <c r="A165" s="1"/>
      <c r="B165" s="1"/>
      <c r="C165" s="1"/>
      <c r="D165" s="1"/>
      <c r="E165" s="1"/>
      <c r="F165" s="1"/>
      <c r="G165" s="1"/>
      <c r="H165" s="1"/>
      <c r="I165" s="2"/>
      <c r="J165" s="2"/>
      <c r="K165" s="2"/>
      <c r="L165" s="2"/>
      <c r="M165" s="2"/>
      <c r="N165" s="2"/>
      <c r="O165" s="2"/>
      <c r="P165" s="2"/>
      <c r="Q165" s="2"/>
      <c r="R165" s="2"/>
      <c r="S165" s="2"/>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row>
    <row r="166" spans="1:49" x14ac:dyDescent="0.25">
      <c r="A166" s="1"/>
      <c r="B166" s="1"/>
      <c r="C166" s="1"/>
      <c r="D166" s="1"/>
      <c r="E166" s="1"/>
      <c r="F166" s="1"/>
      <c r="G166" s="1"/>
      <c r="H166" s="1"/>
      <c r="I166" s="2"/>
      <c r="J166" s="2"/>
      <c r="K166" s="2"/>
      <c r="L166" s="2"/>
      <c r="M166" s="2"/>
      <c r="N166" s="2"/>
      <c r="O166" s="2"/>
      <c r="P166" s="2"/>
      <c r="Q166" s="2"/>
      <c r="R166" s="2"/>
      <c r="S166" s="2"/>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row>
    <row r="167" spans="1:49" x14ac:dyDescent="0.25">
      <c r="A167" s="1"/>
      <c r="B167" s="1"/>
      <c r="C167" s="1"/>
      <c r="D167" s="1"/>
      <c r="E167" s="1"/>
      <c r="F167" s="1"/>
      <c r="G167" s="1"/>
      <c r="H167" s="1"/>
      <c r="I167" s="2"/>
      <c r="J167" s="2"/>
      <c r="K167" s="2"/>
      <c r="L167" s="2"/>
      <c r="M167" s="2"/>
      <c r="N167" s="2"/>
      <c r="O167" s="2"/>
      <c r="P167" s="2"/>
      <c r="Q167" s="2"/>
      <c r="R167" s="2"/>
      <c r="S167" s="2"/>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row>
    <row r="168" spans="1:49" x14ac:dyDescent="0.25">
      <c r="A168" s="1"/>
      <c r="B168" s="1"/>
      <c r="C168" s="1"/>
      <c r="D168" s="1"/>
      <c r="E168" s="1"/>
      <c r="F168" s="1"/>
      <c r="G168" s="1"/>
      <c r="H168" s="1"/>
      <c r="I168" s="2"/>
      <c r="J168" s="2"/>
      <c r="K168" s="2"/>
      <c r="L168" s="2"/>
      <c r="M168" s="2"/>
      <c r="N168" s="2"/>
      <c r="O168" s="2"/>
      <c r="P168" s="2"/>
      <c r="Q168" s="2"/>
      <c r="R168" s="2"/>
      <c r="S168" s="2"/>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row>
    <row r="169" spans="1:49" x14ac:dyDescent="0.25">
      <c r="A169" s="1"/>
      <c r="B169" s="1"/>
      <c r="C169" s="1"/>
      <c r="D169" s="1"/>
      <c r="E169" s="1"/>
      <c r="F169" s="1"/>
      <c r="G169" s="1"/>
      <c r="H169" s="1"/>
      <c r="I169" s="2"/>
      <c r="J169" s="2"/>
      <c r="K169" s="2"/>
      <c r="L169" s="2"/>
      <c r="M169" s="2"/>
      <c r="N169" s="2"/>
      <c r="O169" s="2"/>
      <c r="P169" s="2"/>
      <c r="Q169" s="2"/>
      <c r="R169" s="2"/>
      <c r="S169" s="2"/>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row>
    <row r="170" spans="1:49" x14ac:dyDescent="0.25">
      <c r="A170" s="1"/>
      <c r="B170" s="1"/>
      <c r="C170" s="1"/>
      <c r="D170" s="1"/>
      <c r="E170" s="1"/>
      <c r="F170" s="1"/>
      <c r="G170" s="1"/>
      <c r="H170" s="1"/>
      <c r="I170" s="2"/>
      <c r="J170" s="2"/>
      <c r="K170" s="2"/>
      <c r="L170" s="2"/>
      <c r="M170" s="2"/>
      <c r="N170" s="2"/>
      <c r="O170" s="2"/>
      <c r="P170" s="2"/>
      <c r="Q170" s="2"/>
      <c r="R170" s="2"/>
      <c r="S170" s="2"/>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row>
    <row r="171" spans="1:49" x14ac:dyDescent="0.25">
      <c r="A171" s="1"/>
      <c r="B171" s="1"/>
      <c r="C171" s="1"/>
      <c r="D171" s="1"/>
      <c r="E171" s="1"/>
      <c r="F171" s="1"/>
      <c r="G171" s="1"/>
      <c r="H171" s="1"/>
      <c r="I171" s="2"/>
      <c r="J171" s="2"/>
      <c r="K171" s="2"/>
      <c r="L171" s="2"/>
      <c r="M171" s="2"/>
      <c r="N171" s="2"/>
      <c r="O171" s="2"/>
      <c r="P171" s="2"/>
      <c r="Q171" s="2"/>
      <c r="R171" s="2"/>
      <c r="S171" s="2"/>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row>
    <row r="172" spans="1:49" x14ac:dyDescent="0.25">
      <c r="A172" s="1"/>
      <c r="B172" s="1"/>
      <c r="C172" s="1"/>
      <c r="D172" s="1"/>
      <c r="E172" s="1"/>
      <c r="F172" s="1"/>
      <c r="G172" s="1"/>
      <c r="H172" s="1"/>
      <c r="I172" s="2"/>
      <c r="J172" s="2"/>
      <c r="K172" s="2"/>
      <c r="L172" s="2"/>
      <c r="M172" s="2"/>
      <c r="N172" s="2"/>
      <c r="O172" s="2"/>
      <c r="P172" s="2"/>
      <c r="Q172" s="2"/>
      <c r="R172" s="2"/>
      <c r="S172" s="2"/>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row>
    <row r="173" spans="1:49" x14ac:dyDescent="0.25">
      <c r="A173" s="1"/>
      <c r="B173" s="1"/>
      <c r="C173" s="1"/>
      <c r="D173" s="1"/>
      <c r="E173" s="1"/>
      <c r="F173" s="1"/>
      <c r="G173" s="1"/>
      <c r="H173" s="1"/>
      <c r="I173" s="2"/>
      <c r="J173" s="2"/>
      <c r="K173" s="2"/>
      <c r="L173" s="2"/>
      <c r="M173" s="2"/>
      <c r="N173" s="2"/>
      <c r="O173" s="2"/>
      <c r="P173" s="2"/>
      <c r="Q173" s="2"/>
      <c r="R173" s="2"/>
      <c r="S173" s="2"/>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row>
    <row r="174" spans="1:49" x14ac:dyDescent="0.25">
      <c r="A174" s="1"/>
      <c r="B174" s="1"/>
      <c r="C174" s="1"/>
      <c r="D174" s="1"/>
      <c r="E174" s="1"/>
      <c r="F174" s="1"/>
      <c r="G174" s="1"/>
      <c r="H174" s="1"/>
      <c r="I174" s="2"/>
      <c r="J174" s="2"/>
      <c r="K174" s="2"/>
      <c r="L174" s="2"/>
      <c r="M174" s="2"/>
      <c r="N174" s="2"/>
      <c r="O174" s="2"/>
      <c r="P174" s="2"/>
      <c r="Q174" s="2"/>
      <c r="R174" s="2"/>
      <c r="S174" s="2"/>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row>
    <row r="175" spans="1:49" x14ac:dyDescent="0.25">
      <c r="A175" s="1"/>
      <c r="B175" s="1"/>
      <c r="C175" s="1"/>
      <c r="D175" s="1"/>
      <c r="E175" s="1"/>
      <c r="F175" s="1"/>
      <c r="G175" s="1"/>
      <c r="H175" s="1"/>
      <c r="I175" s="2"/>
      <c r="J175" s="2"/>
      <c r="K175" s="2"/>
      <c r="L175" s="2"/>
      <c r="M175" s="2"/>
      <c r="N175" s="2"/>
      <c r="O175" s="2"/>
      <c r="P175" s="2"/>
      <c r="Q175" s="2"/>
      <c r="R175" s="2"/>
      <c r="S175" s="2"/>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row>
    <row r="176" spans="1:49" x14ac:dyDescent="0.25">
      <c r="A176" s="1"/>
      <c r="B176" s="1"/>
      <c r="C176" s="1"/>
      <c r="D176" s="1"/>
      <c r="E176" s="1"/>
      <c r="F176" s="1"/>
      <c r="G176" s="1"/>
      <c r="H176" s="1"/>
      <c r="I176" s="2"/>
      <c r="J176" s="2"/>
      <c r="K176" s="2"/>
      <c r="L176" s="2"/>
      <c r="M176" s="2"/>
      <c r="N176" s="2"/>
      <c r="O176" s="2"/>
      <c r="P176" s="2"/>
      <c r="Q176" s="2"/>
      <c r="R176" s="2"/>
      <c r="S176" s="2"/>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row>
    <row r="177" spans="1:49" x14ac:dyDescent="0.25">
      <c r="A177" s="1"/>
      <c r="B177" s="1"/>
      <c r="C177" s="1"/>
      <c r="D177" s="1"/>
      <c r="E177" s="1"/>
      <c r="F177" s="1"/>
      <c r="G177" s="1"/>
      <c r="H177" s="1"/>
      <c r="I177" s="2"/>
      <c r="J177" s="2"/>
      <c r="K177" s="2"/>
      <c r="L177" s="2"/>
      <c r="M177" s="2"/>
      <c r="N177" s="2"/>
      <c r="O177" s="2"/>
      <c r="P177" s="2"/>
      <c r="Q177" s="2"/>
      <c r="R177" s="2"/>
      <c r="S177" s="2"/>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row>
    <row r="178" spans="1:49" x14ac:dyDescent="0.25">
      <c r="A178" s="1"/>
      <c r="B178" s="1"/>
      <c r="C178" s="1"/>
      <c r="D178" s="1"/>
      <c r="E178" s="1"/>
      <c r="F178" s="1"/>
      <c r="G178" s="1"/>
      <c r="H178" s="1"/>
      <c r="I178" s="2"/>
      <c r="J178" s="2"/>
      <c r="K178" s="2"/>
      <c r="L178" s="2"/>
      <c r="M178" s="2"/>
      <c r="N178" s="2"/>
      <c r="O178" s="2"/>
      <c r="P178" s="2"/>
      <c r="Q178" s="2"/>
      <c r="R178" s="2"/>
      <c r="S178" s="2"/>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row>
    <row r="179" spans="1:49" x14ac:dyDescent="0.25">
      <c r="A179" s="1"/>
      <c r="B179" s="1"/>
      <c r="C179" s="1"/>
      <c r="D179" s="1"/>
      <c r="E179" s="1"/>
      <c r="F179" s="1"/>
      <c r="G179" s="1"/>
      <c r="H179" s="1"/>
      <c r="I179" s="2"/>
      <c r="J179" s="2"/>
      <c r="K179" s="2"/>
      <c r="L179" s="2"/>
      <c r="M179" s="2"/>
      <c r="N179" s="2"/>
      <c r="O179" s="2"/>
      <c r="P179" s="2"/>
      <c r="Q179" s="2"/>
      <c r="R179" s="2"/>
      <c r="S179" s="2"/>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row>
    <row r="180" spans="1:49" x14ac:dyDescent="0.25">
      <c r="A180" s="1"/>
      <c r="B180" s="1"/>
      <c r="C180" s="1"/>
      <c r="D180" s="1"/>
      <c r="E180" s="1"/>
      <c r="F180" s="1"/>
      <c r="G180" s="1"/>
      <c r="H180" s="1"/>
      <c r="I180" s="2"/>
      <c r="J180" s="2"/>
      <c r="K180" s="2"/>
      <c r="L180" s="2"/>
      <c r="M180" s="2"/>
      <c r="N180" s="2"/>
      <c r="O180" s="2"/>
      <c r="P180" s="2"/>
      <c r="Q180" s="2"/>
      <c r="R180" s="2"/>
      <c r="S180" s="2"/>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row>
    <row r="181" spans="1:49" x14ac:dyDescent="0.25">
      <c r="A181" s="1"/>
      <c r="B181" s="1"/>
      <c r="C181" s="1"/>
      <c r="D181" s="1"/>
      <c r="E181" s="1"/>
      <c r="F181" s="1"/>
      <c r="G181" s="1"/>
      <c r="H181" s="1"/>
      <c r="I181" s="2"/>
      <c r="J181" s="2"/>
      <c r="K181" s="2"/>
      <c r="L181" s="2"/>
      <c r="M181" s="2"/>
      <c r="N181" s="2"/>
      <c r="O181" s="2"/>
      <c r="P181" s="2"/>
      <c r="Q181" s="2"/>
      <c r="R181" s="2"/>
      <c r="S181" s="2"/>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row>
    <row r="182" spans="1:49" x14ac:dyDescent="0.25">
      <c r="A182" s="1"/>
      <c r="B182" s="1"/>
      <c r="C182" s="1"/>
      <c r="D182" s="1"/>
      <c r="E182" s="1"/>
      <c r="F182" s="1"/>
      <c r="G182" s="1"/>
      <c r="H182" s="1"/>
      <c r="I182" s="2"/>
      <c r="J182" s="2"/>
      <c r="K182" s="2"/>
      <c r="L182" s="2"/>
      <c r="M182" s="2"/>
      <c r="N182" s="2"/>
      <c r="O182" s="2"/>
      <c r="P182" s="2"/>
      <c r="Q182" s="2"/>
      <c r="R182" s="2"/>
      <c r="S182" s="2"/>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row>
    <row r="183" spans="1:49" x14ac:dyDescent="0.25">
      <c r="A183" s="1"/>
      <c r="B183" s="1"/>
      <c r="C183" s="1"/>
      <c r="D183" s="1"/>
      <c r="E183" s="1"/>
      <c r="F183" s="1"/>
      <c r="G183" s="1"/>
      <c r="H183" s="1"/>
      <c r="I183" s="2"/>
      <c r="J183" s="2"/>
      <c r="K183" s="2"/>
      <c r="L183" s="2"/>
      <c r="M183" s="2"/>
      <c r="N183" s="2"/>
      <c r="O183" s="2"/>
      <c r="P183" s="2"/>
      <c r="Q183" s="2"/>
      <c r="R183" s="2"/>
      <c r="S183" s="2"/>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row>
    <row r="184" spans="1:49" x14ac:dyDescent="0.25">
      <c r="A184" s="1"/>
      <c r="B184" s="1"/>
      <c r="C184" s="1"/>
      <c r="D184" s="1"/>
      <c r="E184" s="1"/>
      <c r="F184" s="1"/>
      <c r="G184" s="1"/>
      <c r="H184" s="1"/>
      <c r="I184" s="2"/>
      <c r="J184" s="2"/>
      <c r="K184" s="2"/>
      <c r="L184" s="2"/>
      <c r="M184" s="2"/>
      <c r="N184" s="2"/>
      <c r="O184" s="2"/>
      <c r="P184" s="2"/>
      <c r="Q184" s="2"/>
      <c r="R184" s="2"/>
      <c r="S184" s="2"/>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row>
    <row r="185" spans="1:49" x14ac:dyDescent="0.25">
      <c r="A185" s="1"/>
      <c r="B185" s="1"/>
      <c r="C185" s="1"/>
      <c r="D185" s="1"/>
      <c r="E185" s="1"/>
      <c r="F185" s="1"/>
      <c r="G185" s="1"/>
      <c r="H185" s="1"/>
      <c r="I185" s="2"/>
      <c r="J185" s="2"/>
      <c r="K185" s="2"/>
      <c r="L185" s="2"/>
      <c r="M185" s="2"/>
      <c r="N185" s="2"/>
      <c r="O185" s="2"/>
      <c r="P185" s="2"/>
      <c r="Q185" s="2"/>
      <c r="R185" s="2"/>
      <c r="S185" s="2"/>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row>
    <row r="186" spans="1:49" x14ac:dyDescent="0.25">
      <c r="A186" s="1"/>
      <c r="B186" s="1"/>
      <c r="C186" s="1"/>
      <c r="D186" s="1"/>
      <c r="E186" s="1"/>
      <c r="F186" s="1"/>
      <c r="G186" s="1"/>
      <c r="H186" s="1"/>
      <c r="I186" s="2"/>
      <c r="J186" s="2"/>
      <c r="K186" s="2"/>
      <c r="L186" s="2"/>
      <c r="M186" s="2"/>
      <c r="N186" s="2"/>
      <c r="O186" s="2"/>
      <c r="P186" s="2"/>
      <c r="Q186" s="2"/>
      <c r="R186" s="2"/>
      <c r="S186" s="2"/>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row>
    <row r="187" spans="1:49" x14ac:dyDescent="0.25">
      <c r="A187" s="1"/>
      <c r="B187" s="1"/>
      <c r="C187" s="1"/>
      <c r="D187" s="1"/>
      <c r="E187" s="1"/>
      <c r="F187" s="1"/>
      <c r="G187" s="1"/>
      <c r="H187" s="1"/>
      <c r="I187" s="2"/>
      <c r="J187" s="2"/>
      <c r="K187" s="2"/>
      <c r="L187" s="2"/>
      <c r="M187" s="2"/>
      <c r="N187" s="2"/>
      <c r="O187" s="2"/>
      <c r="P187" s="2"/>
      <c r="Q187" s="2"/>
      <c r="R187" s="2"/>
      <c r="S187" s="2"/>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row>
    <row r="188" spans="1:49" x14ac:dyDescent="0.25">
      <c r="A188" s="1"/>
      <c r="B188" s="1"/>
      <c r="C188" s="1"/>
      <c r="D188" s="1"/>
      <c r="E188" s="1"/>
      <c r="F188" s="1"/>
      <c r="G188" s="1"/>
      <c r="H188" s="1"/>
      <c r="I188" s="2"/>
      <c r="J188" s="2"/>
      <c r="K188" s="2"/>
      <c r="L188" s="2"/>
      <c r="M188" s="2"/>
      <c r="N188" s="2"/>
      <c r="O188" s="2"/>
      <c r="P188" s="2"/>
      <c r="Q188" s="2"/>
      <c r="R188" s="2"/>
      <c r="S188" s="2"/>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row>
    <row r="189" spans="1:49" x14ac:dyDescent="0.25">
      <c r="A189" s="1"/>
      <c r="B189" s="1"/>
      <c r="C189" s="1"/>
      <c r="D189" s="1"/>
      <c r="E189" s="1"/>
      <c r="F189" s="1"/>
      <c r="G189" s="1"/>
      <c r="H189" s="1"/>
      <c r="I189" s="2"/>
      <c r="J189" s="2"/>
      <c r="K189" s="2"/>
      <c r="L189" s="2"/>
      <c r="M189" s="2"/>
      <c r="N189" s="2"/>
      <c r="O189" s="2"/>
      <c r="P189" s="2"/>
      <c r="Q189" s="2"/>
      <c r="R189" s="2"/>
      <c r="S189" s="2"/>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row>
    <row r="190" spans="1:49" x14ac:dyDescent="0.25">
      <c r="A190" s="1"/>
      <c r="B190" s="1"/>
      <c r="C190" s="1"/>
      <c r="D190" s="1"/>
      <c r="E190" s="1"/>
      <c r="F190" s="1"/>
      <c r="G190" s="1"/>
      <c r="H190" s="1"/>
      <c r="I190" s="2"/>
      <c r="J190" s="2"/>
      <c r="K190" s="2"/>
      <c r="L190" s="2"/>
      <c r="M190" s="2"/>
      <c r="N190" s="2"/>
      <c r="O190" s="2"/>
      <c r="P190" s="2"/>
      <c r="Q190" s="2"/>
      <c r="R190" s="2"/>
      <c r="S190" s="2"/>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row>
    <row r="191" spans="1:49" x14ac:dyDescent="0.25">
      <c r="A191" s="1"/>
      <c r="B191" s="1"/>
      <c r="C191" s="1"/>
      <c r="D191" s="1"/>
      <c r="E191" s="1"/>
      <c r="F191" s="1"/>
      <c r="G191" s="1"/>
      <c r="H191" s="1"/>
      <c r="I191" s="2"/>
      <c r="J191" s="2"/>
      <c r="K191" s="2"/>
      <c r="L191" s="2"/>
      <c r="M191" s="2"/>
      <c r="N191" s="2"/>
      <c r="O191" s="2"/>
      <c r="P191" s="2"/>
      <c r="Q191" s="2"/>
      <c r="R191" s="2"/>
      <c r="S191" s="2"/>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row>
    <row r="192" spans="1:49" x14ac:dyDescent="0.25">
      <c r="A192" s="1"/>
      <c r="B192" s="1"/>
      <c r="C192" s="1"/>
      <c r="D192" s="1"/>
      <c r="E192" s="1"/>
      <c r="F192" s="1"/>
      <c r="G192" s="1"/>
      <c r="H192" s="1"/>
      <c r="I192" s="2"/>
      <c r="J192" s="2"/>
      <c r="K192" s="2"/>
      <c r="L192" s="2"/>
      <c r="M192" s="2"/>
      <c r="N192" s="2"/>
      <c r="O192" s="2"/>
      <c r="P192" s="2"/>
      <c r="Q192" s="2"/>
      <c r="R192" s="2"/>
      <c r="S192" s="2"/>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row>
    <row r="193" spans="1:49" x14ac:dyDescent="0.25">
      <c r="A193" s="1"/>
      <c r="B193" s="1"/>
      <c r="C193" s="1"/>
      <c r="D193" s="1"/>
      <c r="E193" s="1"/>
      <c r="F193" s="1"/>
      <c r="G193" s="1"/>
      <c r="H193" s="1"/>
      <c r="I193" s="2"/>
      <c r="J193" s="2"/>
      <c r="K193" s="2"/>
      <c r="L193" s="2"/>
      <c r="M193" s="2"/>
      <c r="N193" s="2"/>
      <c r="O193" s="2"/>
      <c r="P193" s="2"/>
      <c r="Q193" s="2"/>
      <c r="R193" s="2"/>
      <c r="S193" s="2"/>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row>
    <row r="194" spans="1:49" x14ac:dyDescent="0.25">
      <c r="A194" s="1"/>
      <c r="B194" s="1"/>
      <c r="C194" s="1"/>
      <c r="D194" s="1"/>
      <c r="E194" s="1"/>
      <c r="F194" s="1"/>
      <c r="G194" s="1"/>
      <c r="H194" s="1"/>
      <c r="I194" s="2"/>
      <c r="J194" s="2"/>
      <c r="K194" s="2"/>
      <c r="L194" s="2"/>
      <c r="M194" s="2"/>
      <c r="N194" s="2"/>
      <c r="O194" s="2"/>
      <c r="P194" s="2"/>
      <c r="Q194" s="2"/>
      <c r="R194" s="2"/>
      <c r="S194" s="2"/>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row>
    <row r="195" spans="1:49" x14ac:dyDescent="0.25">
      <c r="A195" s="1"/>
      <c r="B195" s="1"/>
      <c r="C195" s="1"/>
      <c r="D195" s="1"/>
      <c r="E195" s="1"/>
      <c r="F195" s="1"/>
      <c r="G195" s="1"/>
      <c r="H195" s="1"/>
      <c r="I195" s="2"/>
      <c r="J195" s="2"/>
      <c r="K195" s="2"/>
      <c r="L195" s="2"/>
      <c r="M195" s="2"/>
      <c r="N195" s="2"/>
      <c r="O195" s="2"/>
      <c r="P195" s="2"/>
      <c r="Q195" s="2"/>
      <c r="R195" s="2"/>
      <c r="S195" s="2"/>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row>
    <row r="196" spans="1:49" x14ac:dyDescent="0.25">
      <c r="A196" s="1"/>
      <c r="B196" s="1"/>
      <c r="C196" s="1"/>
      <c r="D196" s="1"/>
      <c r="E196" s="1"/>
      <c r="F196" s="1"/>
      <c r="G196" s="1"/>
      <c r="H196" s="1"/>
      <c r="I196" s="2"/>
      <c r="J196" s="2"/>
      <c r="K196" s="2"/>
      <c r="L196" s="2"/>
      <c r="M196" s="2"/>
      <c r="N196" s="2"/>
      <c r="O196" s="2"/>
      <c r="P196" s="2"/>
      <c r="Q196" s="2"/>
      <c r="R196" s="2"/>
      <c r="S196" s="2"/>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row>
    <row r="197" spans="1:49" x14ac:dyDescent="0.25">
      <c r="A197" s="1"/>
      <c r="B197" s="1"/>
      <c r="C197" s="1"/>
      <c r="D197" s="1"/>
      <c r="E197" s="1"/>
      <c r="F197" s="1"/>
      <c r="G197" s="1"/>
      <c r="H197" s="1"/>
      <c r="I197" s="2"/>
      <c r="J197" s="2"/>
      <c r="K197" s="2"/>
      <c r="L197" s="2"/>
      <c r="M197" s="2"/>
      <c r="N197" s="2"/>
      <c r="O197" s="2"/>
      <c r="P197" s="2"/>
      <c r="Q197" s="2"/>
      <c r="R197" s="2"/>
      <c r="S197" s="2"/>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row>
    <row r="198" spans="1:49" x14ac:dyDescent="0.25">
      <c r="A198" s="1"/>
      <c r="B198" s="1"/>
      <c r="C198" s="1"/>
      <c r="D198" s="1"/>
      <c r="E198" s="1"/>
      <c r="F198" s="1"/>
      <c r="G198" s="1"/>
      <c r="H198" s="1"/>
      <c r="I198" s="2"/>
      <c r="J198" s="2"/>
      <c r="K198" s="2"/>
      <c r="L198" s="2"/>
      <c r="M198" s="2"/>
      <c r="N198" s="2"/>
      <c r="O198" s="2"/>
      <c r="P198" s="2"/>
      <c r="Q198" s="2"/>
      <c r="R198" s="2"/>
      <c r="S198" s="2"/>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row>
    <row r="199" spans="1:49" x14ac:dyDescent="0.25">
      <c r="A199" s="1"/>
      <c r="B199" s="1"/>
      <c r="C199" s="1"/>
      <c r="D199" s="1"/>
      <c r="E199" s="1"/>
      <c r="F199" s="1"/>
      <c r="G199" s="1"/>
      <c r="H199" s="1"/>
      <c r="I199" s="2"/>
      <c r="J199" s="2"/>
      <c r="K199" s="2"/>
      <c r="L199" s="2"/>
      <c r="M199" s="2"/>
      <c r="N199" s="2"/>
      <c r="O199" s="2"/>
      <c r="P199" s="2"/>
      <c r="Q199" s="2"/>
      <c r="R199" s="2"/>
      <c r="S199" s="2"/>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row>
    <row r="200" spans="1:49" x14ac:dyDescent="0.25">
      <c r="A200" s="1"/>
      <c r="B200" s="1"/>
      <c r="C200" s="1"/>
      <c r="D200" s="1"/>
      <c r="E200" s="1"/>
      <c r="F200" s="1"/>
      <c r="G200" s="1"/>
      <c r="H200" s="1"/>
      <c r="I200" s="2"/>
      <c r="J200" s="2"/>
      <c r="K200" s="2"/>
      <c r="L200" s="2"/>
      <c r="M200" s="2"/>
      <c r="N200" s="2"/>
      <c r="O200" s="2"/>
      <c r="P200" s="2"/>
      <c r="Q200" s="2"/>
      <c r="R200" s="2"/>
      <c r="S200" s="2"/>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row>
    <row r="201" spans="1:49" x14ac:dyDescent="0.25">
      <c r="A201" s="1"/>
      <c r="B201" s="1"/>
      <c r="C201" s="1"/>
      <c r="D201" s="1"/>
      <c r="E201" s="1"/>
      <c r="F201" s="1"/>
      <c r="G201" s="1"/>
      <c r="H201" s="1"/>
      <c r="I201" s="2"/>
      <c r="J201" s="2"/>
      <c r="K201" s="2"/>
      <c r="L201" s="2"/>
      <c r="M201" s="2"/>
      <c r="N201" s="2"/>
      <c r="O201" s="2"/>
      <c r="P201" s="2"/>
      <c r="Q201" s="2"/>
      <c r="R201" s="2"/>
      <c r="S201" s="2"/>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row>
    <row r="202" spans="1:49" x14ac:dyDescent="0.25">
      <c r="A202" s="1"/>
      <c r="B202" s="1"/>
      <c r="C202" s="1"/>
      <c r="D202" s="1"/>
      <c r="E202" s="1"/>
      <c r="F202" s="1"/>
      <c r="G202" s="1"/>
      <c r="H202" s="1"/>
      <c r="I202" s="2"/>
      <c r="J202" s="2"/>
      <c r="K202" s="2"/>
      <c r="L202" s="2"/>
      <c r="M202" s="2"/>
      <c r="N202" s="2"/>
      <c r="O202" s="2"/>
      <c r="P202" s="2"/>
      <c r="Q202" s="2"/>
      <c r="R202" s="2"/>
      <c r="S202" s="2"/>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row>
    <row r="203" spans="1:49" x14ac:dyDescent="0.25">
      <c r="A203" s="1"/>
      <c r="B203" s="1"/>
      <c r="C203" s="1"/>
      <c r="D203" s="1"/>
      <c r="E203" s="1"/>
      <c r="F203" s="1"/>
      <c r="G203" s="1"/>
      <c r="H203" s="1"/>
      <c r="I203" s="2"/>
      <c r="J203" s="2"/>
      <c r="K203" s="2"/>
      <c r="L203" s="2"/>
      <c r="M203" s="2"/>
      <c r="N203" s="2"/>
      <c r="O203" s="2"/>
      <c r="P203" s="2"/>
      <c r="Q203" s="2"/>
      <c r="R203" s="2"/>
      <c r="S203" s="2"/>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row>
    <row r="204" spans="1:49" x14ac:dyDescent="0.25">
      <c r="A204" s="1"/>
      <c r="B204" s="1"/>
      <c r="C204" s="1"/>
      <c r="D204" s="1"/>
      <c r="E204" s="1"/>
      <c r="F204" s="1"/>
      <c r="G204" s="1"/>
      <c r="H204" s="1"/>
      <c r="I204" s="2"/>
      <c r="J204" s="2"/>
      <c r="K204" s="2"/>
      <c r="L204" s="2"/>
      <c r="M204" s="2"/>
      <c r="N204" s="2"/>
      <c r="O204" s="2"/>
      <c r="P204" s="2"/>
      <c r="Q204" s="2"/>
      <c r="R204" s="2"/>
      <c r="S204" s="2"/>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row>
    <row r="205" spans="1:49" x14ac:dyDescent="0.25">
      <c r="A205" s="1"/>
      <c r="B205" s="1"/>
      <c r="C205" s="1"/>
      <c r="D205" s="1"/>
      <c r="E205" s="1"/>
      <c r="F205" s="1"/>
      <c r="G205" s="1"/>
      <c r="H205" s="1"/>
      <c r="I205" s="2"/>
      <c r="J205" s="2"/>
      <c r="K205" s="2"/>
      <c r="L205" s="2"/>
      <c r="M205" s="2"/>
      <c r="N205" s="2"/>
      <c r="O205" s="2"/>
      <c r="P205" s="2"/>
      <c r="Q205" s="2"/>
      <c r="R205" s="2"/>
      <c r="S205" s="2"/>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row>
    <row r="206" spans="1:49" x14ac:dyDescent="0.25">
      <c r="A206" s="1"/>
      <c r="B206" s="1"/>
      <c r="C206" s="1"/>
      <c r="D206" s="1"/>
      <c r="E206" s="1"/>
      <c r="F206" s="1"/>
      <c r="G206" s="1"/>
      <c r="H206" s="1"/>
      <c r="I206" s="2"/>
      <c r="J206" s="2"/>
      <c r="K206" s="2"/>
      <c r="L206" s="2"/>
      <c r="M206" s="2"/>
      <c r="N206" s="2"/>
      <c r="O206" s="2"/>
      <c r="P206" s="2"/>
      <c r="Q206" s="2"/>
      <c r="R206" s="2"/>
      <c r="S206" s="2"/>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row>
    <row r="207" spans="1:49" x14ac:dyDescent="0.25">
      <c r="A207" s="1"/>
      <c r="B207" s="1"/>
      <c r="C207" s="1"/>
      <c r="D207" s="1"/>
      <c r="E207" s="1"/>
      <c r="F207" s="1"/>
      <c r="G207" s="1"/>
      <c r="H207" s="1"/>
      <c r="I207" s="2"/>
      <c r="J207" s="2"/>
      <c r="K207" s="2"/>
      <c r="L207" s="2"/>
      <c r="M207" s="2"/>
      <c r="N207" s="2"/>
      <c r="O207" s="2"/>
      <c r="P207" s="2"/>
      <c r="Q207" s="2"/>
      <c r="R207" s="2"/>
      <c r="S207" s="2"/>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row>
    <row r="208" spans="1:49" x14ac:dyDescent="0.25">
      <c r="A208" s="1"/>
      <c r="B208" s="1"/>
      <c r="C208" s="1"/>
      <c r="D208" s="1"/>
      <c r="E208" s="1"/>
      <c r="F208" s="1"/>
      <c r="G208" s="1"/>
      <c r="H208" s="1"/>
      <c r="I208" s="2"/>
      <c r="J208" s="2"/>
      <c r="K208" s="2"/>
      <c r="L208" s="2"/>
      <c r="M208" s="2"/>
      <c r="N208" s="2"/>
      <c r="O208" s="2"/>
      <c r="P208" s="2"/>
      <c r="Q208" s="2"/>
      <c r="R208" s="2"/>
      <c r="S208" s="2"/>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row>
    <row r="209" spans="1:49" x14ac:dyDescent="0.25">
      <c r="A209" s="1"/>
      <c r="B209" s="1"/>
      <c r="C209" s="1"/>
      <c r="D209" s="1"/>
      <c r="E209" s="1"/>
      <c r="F209" s="1"/>
      <c r="G209" s="1"/>
      <c r="H209" s="1"/>
      <c r="I209" s="2"/>
      <c r="J209" s="2"/>
      <c r="K209" s="2"/>
      <c r="L209" s="2"/>
      <c r="M209" s="2"/>
      <c r="N209" s="2"/>
      <c r="O209" s="2"/>
      <c r="P209" s="2"/>
      <c r="Q209" s="2"/>
      <c r="R209" s="2"/>
      <c r="S209" s="2"/>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row>
    <row r="210" spans="1:49" x14ac:dyDescent="0.25">
      <c r="A210" s="1"/>
      <c r="B210" s="1"/>
      <c r="C210" s="1"/>
      <c r="D210" s="1"/>
      <c r="E210" s="1"/>
      <c r="F210" s="1"/>
      <c r="G210" s="1"/>
      <c r="H210" s="1"/>
      <c r="I210" s="2"/>
      <c r="J210" s="2"/>
      <c r="K210" s="2"/>
      <c r="L210" s="2"/>
      <c r="M210" s="2"/>
      <c r="N210" s="2"/>
      <c r="O210" s="2"/>
      <c r="P210" s="2"/>
      <c r="Q210" s="2"/>
      <c r="R210" s="2"/>
      <c r="S210" s="2"/>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row>
    <row r="211" spans="1:49" x14ac:dyDescent="0.25">
      <c r="A211" s="1"/>
      <c r="B211" s="1"/>
      <c r="C211" s="1"/>
      <c r="D211" s="1"/>
      <c r="E211" s="1"/>
      <c r="F211" s="1"/>
      <c r="G211" s="1"/>
      <c r="H211" s="1"/>
      <c r="I211" s="2"/>
      <c r="J211" s="2"/>
      <c r="K211" s="2"/>
      <c r="L211" s="2"/>
      <c r="M211" s="2"/>
      <c r="N211" s="2"/>
      <c r="O211" s="2"/>
      <c r="P211" s="2"/>
      <c r="Q211" s="2"/>
      <c r="R211" s="2"/>
      <c r="S211" s="2"/>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row>
    <row r="212" spans="1:49" x14ac:dyDescent="0.25">
      <c r="A212" s="1"/>
      <c r="B212" s="1"/>
      <c r="C212" s="1"/>
      <c r="D212" s="1"/>
      <c r="E212" s="1"/>
      <c r="F212" s="1"/>
      <c r="G212" s="1"/>
      <c r="H212" s="1"/>
      <c r="I212" s="2"/>
      <c r="J212" s="2"/>
      <c r="K212" s="2"/>
      <c r="L212" s="2"/>
      <c r="M212" s="2"/>
      <c r="N212" s="2"/>
      <c r="O212" s="2"/>
      <c r="P212" s="2"/>
      <c r="Q212" s="2"/>
      <c r="R212" s="2"/>
      <c r="S212" s="2"/>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row>
    <row r="213" spans="1:49" x14ac:dyDescent="0.25">
      <c r="A213" s="1"/>
      <c r="B213" s="1"/>
      <c r="C213" s="1"/>
      <c r="D213" s="1"/>
      <c r="E213" s="1"/>
      <c r="F213" s="1"/>
      <c r="G213" s="1"/>
      <c r="H213" s="1"/>
      <c r="I213" s="2"/>
      <c r="J213" s="2"/>
      <c r="K213" s="2"/>
      <c r="L213" s="2"/>
      <c r="M213" s="2"/>
      <c r="N213" s="2"/>
      <c r="O213" s="2"/>
      <c r="P213" s="2"/>
      <c r="Q213" s="2"/>
      <c r="R213" s="2"/>
      <c r="S213" s="2"/>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row>
    <row r="214" spans="1:49" x14ac:dyDescent="0.25">
      <c r="A214" s="1"/>
      <c r="B214" s="1"/>
      <c r="C214" s="1"/>
      <c r="D214" s="1"/>
      <c r="E214" s="1"/>
      <c r="F214" s="1"/>
      <c r="G214" s="1"/>
      <c r="H214" s="1"/>
      <c r="I214" s="2"/>
      <c r="J214" s="2"/>
      <c r="K214" s="2"/>
      <c r="L214" s="2"/>
      <c r="M214" s="2"/>
      <c r="N214" s="2"/>
      <c r="O214" s="2"/>
      <c r="P214" s="2"/>
      <c r="Q214" s="2"/>
      <c r="R214" s="2"/>
      <c r="S214" s="2"/>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row>
    <row r="215" spans="1:49" x14ac:dyDescent="0.25">
      <c r="A215" s="1"/>
      <c r="B215" s="1"/>
      <c r="C215" s="1"/>
      <c r="D215" s="1"/>
      <c r="E215" s="1"/>
      <c r="F215" s="1"/>
      <c r="G215" s="1"/>
      <c r="H215" s="1"/>
      <c r="I215" s="2"/>
      <c r="J215" s="2"/>
      <c r="K215" s="2"/>
      <c r="L215" s="2"/>
      <c r="M215" s="2"/>
      <c r="N215" s="2"/>
      <c r="O215" s="2"/>
      <c r="P215" s="2"/>
      <c r="Q215" s="2"/>
      <c r="R215" s="2"/>
      <c r="S215" s="2"/>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row>
    <row r="216" spans="1:49" x14ac:dyDescent="0.25">
      <c r="A216" s="1"/>
      <c r="B216" s="1"/>
      <c r="C216" s="1"/>
      <c r="D216" s="1"/>
      <c r="E216" s="1"/>
      <c r="F216" s="1"/>
      <c r="G216" s="1"/>
      <c r="H216" s="1"/>
      <c r="I216" s="2"/>
      <c r="J216" s="2"/>
      <c r="K216" s="2"/>
      <c r="L216" s="2"/>
      <c r="M216" s="2"/>
      <c r="N216" s="2"/>
      <c r="O216" s="2"/>
      <c r="P216" s="2"/>
      <c r="Q216" s="2"/>
      <c r="R216" s="2"/>
      <c r="S216" s="2"/>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row>
    <row r="217" spans="1:49" x14ac:dyDescent="0.25">
      <c r="A217" s="1"/>
      <c r="B217" s="1"/>
      <c r="C217" s="1"/>
      <c r="D217" s="1"/>
      <c r="E217" s="1"/>
      <c r="F217" s="1"/>
      <c r="G217" s="1"/>
      <c r="H217" s="1"/>
      <c r="I217" s="2"/>
      <c r="J217" s="2"/>
      <c r="K217" s="2"/>
      <c r="L217" s="2"/>
      <c r="M217" s="2"/>
      <c r="N217" s="2"/>
      <c r="O217" s="2"/>
      <c r="P217" s="2"/>
      <c r="Q217" s="2"/>
      <c r="R217" s="2"/>
      <c r="S217" s="2"/>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row>
    <row r="218" spans="1:49" x14ac:dyDescent="0.25">
      <c r="A218" s="1"/>
      <c r="B218" s="1"/>
      <c r="C218" s="1"/>
      <c r="D218" s="1"/>
      <c r="E218" s="1"/>
      <c r="F218" s="1"/>
      <c r="G218" s="1"/>
      <c r="H218" s="1"/>
      <c r="I218" s="2"/>
      <c r="J218" s="2"/>
      <c r="K218" s="2"/>
      <c r="L218" s="2"/>
      <c r="M218" s="2"/>
      <c r="N218" s="2"/>
      <c r="O218" s="2"/>
      <c r="P218" s="2"/>
      <c r="Q218" s="2"/>
      <c r="R218" s="2"/>
      <c r="S218" s="2"/>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row>
    <row r="219" spans="1:49" x14ac:dyDescent="0.25">
      <c r="A219" s="1"/>
      <c r="B219" s="1"/>
      <c r="C219" s="1"/>
      <c r="D219" s="1"/>
      <c r="E219" s="1"/>
      <c r="F219" s="1"/>
      <c r="G219" s="1"/>
      <c r="H219" s="1"/>
      <c r="I219" s="2"/>
      <c r="J219" s="2"/>
      <c r="K219" s="2"/>
      <c r="L219" s="2"/>
      <c r="M219" s="2"/>
      <c r="N219" s="2"/>
      <c r="O219" s="2"/>
      <c r="P219" s="2"/>
      <c r="Q219" s="2"/>
      <c r="R219" s="2"/>
      <c r="S219" s="2"/>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row>
    <row r="220" spans="1:49" x14ac:dyDescent="0.25">
      <c r="A220" s="1"/>
      <c r="B220" s="1"/>
      <c r="C220" s="1"/>
      <c r="D220" s="1"/>
      <c r="E220" s="1"/>
      <c r="F220" s="1"/>
      <c r="G220" s="1"/>
      <c r="H220" s="1"/>
      <c r="I220" s="2"/>
      <c r="J220" s="2"/>
      <c r="K220" s="2"/>
      <c r="L220" s="2"/>
      <c r="M220" s="2"/>
      <c r="N220" s="2"/>
      <c r="O220" s="2"/>
      <c r="P220" s="2"/>
      <c r="Q220" s="2"/>
      <c r="R220" s="2"/>
      <c r="S220" s="2"/>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row>
    <row r="221" spans="1:49" x14ac:dyDescent="0.25">
      <c r="A221" s="1"/>
      <c r="B221" s="1"/>
      <c r="C221" s="1"/>
      <c r="D221" s="1"/>
      <c r="E221" s="1"/>
      <c r="F221" s="1"/>
      <c r="G221" s="1"/>
      <c r="H221" s="1"/>
      <c r="I221" s="2"/>
      <c r="J221" s="2"/>
      <c r="K221" s="2"/>
      <c r="L221" s="2"/>
      <c r="M221" s="2"/>
      <c r="N221" s="2"/>
      <c r="O221" s="2"/>
      <c r="P221" s="2"/>
      <c r="Q221" s="2"/>
      <c r="R221" s="2"/>
      <c r="S221" s="2"/>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row>
    <row r="222" spans="1:49" x14ac:dyDescent="0.25">
      <c r="A222" s="1"/>
      <c r="B222" s="1"/>
      <c r="C222" s="1"/>
      <c r="D222" s="1"/>
      <c r="E222" s="1"/>
      <c r="F222" s="1"/>
      <c r="G222" s="1"/>
      <c r="H222" s="1"/>
      <c r="I222" s="2"/>
      <c r="J222" s="2"/>
      <c r="K222" s="2"/>
      <c r="L222" s="2"/>
      <c r="M222" s="2"/>
      <c r="N222" s="2"/>
      <c r="O222" s="2"/>
      <c r="P222" s="2"/>
      <c r="Q222" s="2"/>
      <c r="R222" s="2"/>
      <c r="S222" s="2"/>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row>
    <row r="223" spans="1:49" x14ac:dyDescent="0.25">
      <c r="A223" s="1"/>
      <c r="B223" s="1"/>
      <c r="C223" s="1"/>
      <c r="D223" s="1"/>
      <c r="E223" s="1"/>
      <c r="F223" s="1"/>
      <c r="G223" s="1"/>
      <c r="H223" s="1"/>
      <c r="I223" s="2"/>
      <c r="J223" s="2"/>
      <c r="K223" s="2"/>
      <c r="L223" s="2"/>
      <c r="M223" s="2"/>
      <c r="N223" s="2"/>
      <c r="O223" s="2"/>
      <c r="P223" s="2"/>
      <c r="Q223" s="2"/>
      <c r="R223" s="2"/>
      <c r="S223" s="2"/>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row>
    <row r="224" spans="1:49" x14ac:dyDescent="0.25">
      <c r="A224" s="1"/>
      <c r="B224" s="1"/>
      <c r="C224" s="1"/>
      <c r="D224" s="1"/>
      <c r="E224" s="1"/>
      <c r="F224" s="1"/>
      <c r="G224" s="1"/>
      <c r="H224" s="1"/>
      <c r="I224" s="2"/>
      <c r="J224" s="2"/>
      <c r="K224" s="2"/>
      <c r="L224" s="2"/>
      <c r="M224" s="2"/>
      <c r="N224" s="2"/>
      <c r="O224" s="2"/>
      <c r="P224" s="2"/>
      <c r="Q224" s="2"/>
      <c r="R224" s="2"/>
      <c r="S224" s="2"/>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row>
    <row r="225" spans="1:49" x14ac:dyDescent="0.25">
      <c r="A225" s="1"/>
      <c r="B225" s="1"/>
      <c r="C225" s="1"/>
      <c r="D225" s="1"/>
      <c r="E225" s="1"/>
      <c r="F225" s="1"/>
      <c r="G225" s="1"/>
      <c r="H225" s="1"/>
      <c r="I225" s="2"/>
      <c r="J225" s="2"/>
      <c r="K225" s="2"/>
      <c r="L225" s="2"/>
      <c r="M225" s="2"/>
      <c r="N225" s="2"/>
      <c r="O225" s="2"/>
      <c r="P225" s="2"/>
      <c r="Q225" s="2"/>
      <c r="R225" s="2"/>
      <c r="S225" s="2"/>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row>
    <row r="226" spans="1:49" x14ac:dyDescent="0.25">
      <c r="A226" s="1"/>
      <c r="B226" s="1"/>
      <c r="C226" s="1"/>
      <c r="D226" s="1"/>
      <c r="E226" s="1"/>
      <c r="F226" s="1"/>
      <c r="G226" s="1"/>
      <c r="H226" s="1"/>
      <c r="I226" s="2"/>
      <c r="J226" s="2"/>
      <c r="K226" s="2"/>
      <c r="L226" s="2"/>
      <c r="M226" s="2"/>
      <c r="N226" s="2"/>
      <c r="O226" s="2"/>
      <c r="P226" s="2"/>
      <c r="Q226" s="2"/>
      <c r="R226" s="2"/>
      <c r="S226" s="2"/>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row>
    <row r="227" spans="1:49" x14ac:dyDescent="0.25">
      <c r="A227" s="1"/>
      <c r="B227" s="1"/>
      <c r="C227" s="1"/>
      <c r="D227" s="1"/>
      <c r="E227" s="1"/>
      <c r="F227" s="1"/>
      <c r="G227" s="1"/>
      <c r="H227" s="1"/>
      <c r="I227" s="2"/>
      <c r="J227" s="2"/>
      <c r="K227" s="2"/>
      <c r="L227" s="2"/>
      <c r="M227" s="2"/>
      <c r="N227" s="2"/>
      <c r="O227" s="2"/>
      <c r="P227" s="2"/>
      <c r="Q227" s="2"/>
      <c r="R227" s="2"/>
      <c r="S227" s="2"/>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row>
    <row r="228" spans="1:49" x14ac:dyDescent="0.25">
      <c r="A228" s="1"/>
      <c r="B228" s="1"/>
      <c r="C228" s="1"/>
      <c r="D228" s="1"/>
      <c r="E228" s="1"/>
      <c r="F228" s="1"/>
      <c r="G228" s="1"/>
      <c r="H228" s="1"/>
      <c r="I228" s="2"/>
      <c r="J228" s="2"/>
      <c r="K228" s="2"/>
      <c r="L228" s="2"/>
      <c r="M228" s="2"/>
      <c r="N228" s="2"/>
      <c r="O228" s="2"/>
      <c r="P228" s="2"/>
      <c r="Q228" s="2"/>
      <c r="R228" s="2"/>
      <c r="S228" s="2"/>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row>
    <row r="229" spans="1:49" x14ac:dyDescent="0.25">
      <c r="A229" s="1"/>
      <c r="B229" s="1"/>
      <c r="C229" s="1"/>
      <c r="D229" s="1"/>
      <c r="E229" s="1"/>
      <c r="F229" s="1"/>
      <c r="G229" s="1"/>
      <c r="H229" s="1"/>
      <c r="I229" s="2"/>
      <c r="J229" s="2"/>
      <c r="K229" s="2"/>
      <c r="L229" s="2"/>
      <c r="M229" s="2"/>
      <c r="N229" s="2"/>
      <c r="O229" s="2"/>
      <c r="P229" s="2"/>
      <c r="Q229" s="2"/>
      <c r="R229" s="2"/>
      <c r="S229" s="2"/>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row>
    <row r="230" spans="1:49" x14ac:dyDescent="0.25">
      <c r="A230" s="1"/>
      <c r="B230" s="1"/>
      <c r="C230" s="1"/>
      <c r="D230" s="1"/>
      <c r="E230" s="1"/>
      <c r="F230" s="1"/>
      <c r="G230" s="1"/>
      <c r="H230" s="1"/>
      <c r="I230" s="2"/>
      <c r="J230" s="2"/>
      <c r="K230" s="2"/>
      <c r="L230" s="2"/>
      <c r="M230" s="2"/>
      <c r="N230" s="2"/>
      <c r="O230" s="2"/>
      <c r="P230" s="2"/>
      <c r="Q230" s="2"/>
      <c r="R230" s="2"/>
      <c r="S230" s="2"/>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row>
    <row r="231" spans="1:49" x14ac:dyDescent="0.25">
      <c r="A231" s="1"/>
      <c r="B231" s="1"/>
      <c r="C231" s="1"/>
      <c r="D231" s="1"/>
      <c r="E231" s="1"/>
      <c r="F231" s="1"/>
      <c r="G231" s="1"/>
      <c r="H231" s="1"/>
      <c r="I231" s="2"/>
      <c r="J231" s="2"/>
      <c r="K231" s="2"/>
      <c r="L231" s="2"/>
      <c r="M231" s="2"/>
      <c r="N231" s="2"/>
      <c r="O231" s="2"/>
      <c r="P231" s="2"/>
      <c r="Q231" s="2"/>
      <c r="R231" s="2"/>
      <c r="S231" s="2"/>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row>
    <row r="232" spans="1:49" x14ac:dyDescent="0.25">
      <c r="A232" s="1"/>
      <c r="B232" s="1"/>
      <c r="C232" s="1"/>
      <c r="D232" s="1"/>
      <c r="E232" s="1"/>
      <c r="F232" s="1"/>
      <c r="G232" s="1"/>
      <c r="H232" s="1"/>
      <c r="I232" s="2"/>
      <c r="J232" s="2"/>
      <c r="K232" s="2"/>
      <c r="L232" s="2"/>
      <c r="M232" s="2"/>
      <c r="N232" s="2"/>
      <c r="O232" s="2"/>
      <c r="P232" s="2"/>
      <c r="Q232" s="2"/>
      <c r="R232" s="2"/>
      <c r="S232" s="2"/>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row>
    <row r="233" spans="1:49" x14ac:dyDescent="0.25">
      <c r="A233" s="1"/>
      <c r="B233" s="1"/>
      <c r="C233" s="1"/>
      <c r="D233" s="1"/>
      <c r="E233" s="1"/>
      <c r="F233" s="1"/>
      <c r="G233" s="1"/>
      <c r="H233" s="1"/>
      <c r="I233" s="2"/>
      <c r="J233" s="2"/>
      <c r="K233" s="2"/>
      <c r="L233" s="2"/>
      <c r="M233" s="2"/>
      <c r="N233" s="2"/>
      <c r="O233" s="2"/>
      <c r="P233" s="2"/>
      <c r="Q233" s="2"/>
      <c r="R233" s="2"/>
      <c r="S233" s="2"/>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row>
    <row r="234" spans="1:49" x14ac:dyDescent="0.25">
      <c r="A234" s="1"/>
      <c r="B234" s="1"/>
      <c r="C234" s="1"/>
      <c r="D234" s="1"/>
      <c r="E234" s="1"/>
      <c r="F234" s="1"/>
      <c r="G234" s="1"/>
      <c r="H234" s="1"/>
      <c r="I234" s="2"/>
      <c r="J234" s="2"/>
      <c r="K234" s="2"/>
      <c r="L234" s="2"/>
      <c r="M234" s="2"/>
      <c r="N234" s="2"/>
      <c r="O234" s="2"/>
      <c r="P234" s="2"/>
      <c r="Q234" s="2"/>
      <c r="R234" s="2"/>
      <c r="S234" s="2"/>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row>
    <row r="235" spans="1:49" x14ac:dyDescent="0.25">
      <c r="A235" s="1"/>
      <c r="B235" s="1"/>
      <c r="C235" s="1"/>
      <c r="D235" s="1"/>
      <c r="E235" s="1"/>
      <c r="F235" s="1"/>
      <c r="G235" s="1"/>
      <c r="H235" s="1"/>
      <c r="I235" s="2"/>
      <c r="J235" s="2"/>
      <c r="K235" s="2"/>
      <c r="L235" s="2"/>
      <c r="M235" s="2"/>
      <c r="N235" s="2"/>
      <c r="O235" s="2"/>
      <c r="P235" s="2"/>
      <c r="Q235" s="2"/>
      <c r="R235" s="2"/>
      <c r="S235" s="2"/>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row>
    <row r="236" spans="1:49" x14ac:dyDescent="0.25">
      <c r="A236" s="1"/>
      <c r="B236" s="1"/>
      <c r="C236" s="1"/>
      <c r="D236" s="1"/>
      <c r="E236" s="1"/>
      <c r="F236" s="1"/>
      <c r="G236" s="1"/>
      <c r="H236" s="1"/>
      <c r="I236" s="2"/>
      <c r="J236" s="2"/>
      <c r="K236" s="2"/>
      <c r="L236" s="2"/>
      <c r="M236" s="2"/>
      <c r="N236" s="2"/>
      <c r="O236" s="2"/>
      <c r="P236" s="2"/>
      <c r="Q236" s="2"/>
      <c r="R236" s="2"/>
      <c r="S236" s="2"/>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row>
    <row r="237" spans="1:49" x14ac:dyDescent="0.25">
      <c r="A237" s="1"/>
      <c r="B237" s="1"/>
      <c r="C237" s="1"/>
      <c r="D237" s="1"/>
      <c r="E237" s="1"/>
      <c r="F237" s="1"/>
      <c r="G237" s="1"/>
      <c r="H237" s="1"/>
      <c r="I237" s="2"/>
      <c r="J237" s="2"/>
      <c r="K237" s="2"/>
      <c r="L237" s="2"/>
      <c r="M237" s="2"/>
      <c r="N237" s="2"/>
      <c r="O237" s="2"/>
      <c r="P237" s="2"/>
      <c r="Q237" s="2"/>
      <c r="R237" s="2"/>
      <c r="S237" s="2"/>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row>
    <row r="238" spans="1:49" x14ac:dyDescent="0.25">
      <c r="A238" s="1"/>
      <c r="B238" s="1"/>
      <c r="C238" s="1"/>
      <c r="D238" s="1"/>
      <c r="E238" s="1"/>
      <c r="F238" s="1"/>
      <c r="G238" s="1"/>
      <c r="H238" s="1"/>
      <c r="I238" s="2"/>
      <c r="J238" s="2"/>
      <c r="K238" s="2"/>
      <c r="L238" s="2"/>
      <c r="M238" s="2"/>
      <c r="N238" s="2"/>
      <c r="O238" s="2"/>
      <c r="P238" s="2"/>
      <c r="Q238" s="2"/>
      <c r="R238" s="2"/>
      <c r="S238" s="2"/>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row>
    <row r="239" spans="1:49" x14ac:dyDescent="0.25">
      <c r="A239" s="1"/>
      <c r="B239" s="1"/>
      <c r="C239" s="1"/>
      <c r="D239" s="1"/>
      <c r="E239" s="1"/>
      <c r="F239" s="1"/>
      <c r="G239" s="1"/>
      <c r="H239" s="1"/>
      <c r="I239" s="2"/>
      <c r="J239" s="2"/>
      <c r="K239" s="2"/>
      <c r="L239" s="2"/>
      <c r="M239" s="2"/>
      <c r="N239" s="2"/>
      <c r="O239" s="2"/>
      <c r="P239" s="2"/>
      <c r="Q239" s="2"/>
      <c r="R239" s="2"/>
      <c r="S239" s="2"/>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row>
    <row r="240" spans="1:49" x14ac:dyDescent="0.25">
      <c r="A240" s="1"/>
      <c r="B240" s="1"/>
      <c r="C240" s="1"/>
      <c r="D240" s="1"/>
      <c r="E240" s="1"/>
      <c r="F240" s="1"/>
      <c r="G240" s="1"/>
      <c r="H240" s="1"/>
      <c r="I240" s="2"/>
      <c r="J240" s="2"/>
      <c r="K240" s="2"/>
      <c r="L240" s="2"/>
      <c r="M240" s="2"/>
      <c r="N240" s="2"/>
      <c r="O240" s="2"/>
      <c r="P240" s="2"/>
      <c r="Q240" s="2"/>
      <c r="R240" s="2"/>
      <c r="S240" s="2"/>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row>
    <row r="241" spans="1:49" x14ac:dyDescent="0.25">
      <c r="A241" s="1"/>
      <c r="B241" s="1"/>
      <c r="C241" s="1"/>
      <c r="D241" s="1"/>
      <c r="E241" s="1"/>
      <c r="F241" s="1"/>
      <c r="G241" s="1"/>
      <c r="H241" s="1"/>
      <c r="I241" s="2"/>
      <c r="J241" s="2"/>
      <c r="K241" s="2"/>
      <c r="L241" s="2"/>
      <c r="M241" s="2"/>
      <c r="N241" s="2"/>
      <c r="O241" s="2"/>
      <c r="P241" s="2"/>
      <c r="Q241" s="2"/>
      <c r="R241" s="2"/>
      <c r="S241" s="2"/>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row>
    <row r="242" spans="1:49" x14ac:dyDescent="0.25">
      <c r="A242" s="1"/>
      <c r="B242" s="1"/>
      <c r="C242" s="1"/>
      <c r="D242" s="1"/>
      <c r="E242" s="1"/>
      <c r="F242" s="1"/>
      <c r="G242" s="1"/>
      <c r="H242" s="1"/>
      <c r="I242" s="2"/>
      <c r="J242" s="2"/>
      <c r="K242" s="2"/>
      <c r="L242" s="2"/>
      <c r="M242" s="2"/>
      <c r="N242" s="2"/>
      <c r="O242" s="2"/>
      <c r="P242" s="2"/>
      <c r="Q242" s="2"/>
      <c r="R242" s="2"/>
      <c r="S242" s="2"/>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row>
    <row r="243" spans="1:49" x14ac:dyDescent="0.25">
      <c r="A243" s="1"/>
      <c r="B243" s="1"/>
      <c r="C243" s="1"/>
      <c r="D243" s="1"/>
      <c r="E243" s="1"/>
      <c r="F243" s="1"/>
      <c r="G243" s="1"/>
      <c r="H243" s="1"/>
      <c r="I243" s="2"/>
      <c r="J243" s="2"/>
      <c r="K243" s="2"/>
      <c r="L243" s="2"/>
      <c r="M243" s="2"/>
      <c r="N243" s="2"/>
      <c r="O243" s="2"/>
      <c r="P243" s="2"/>
      <c r="Q243" s="2"/>
      <c r="R243" s="2"/>
      <c r="S243" s="2"/>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row>
    <row r="244" spans="1:49" x14ac:dyDescent="0.25">
      <c r="A244" s="1"/>
      <c r="B244" s="1"/>
      <c r="C244" s="1"/>
      <c r="D244" s="1"/>
      <c r="E244" s="1"/>
      <c r="F244" s="1"/>
      <c r="G244" s="1"/>
      <c r="H244" s="1"/>
      <c r="I244" s="2"/>
      <c r="J244" s="2"/>
      <c r="K244" s="2"/>
      <c r="L244" s="2"/>
      <c r="M244" s="2"/>
      <c r="N244" s="2"/>
      <c r="O244" s="2"/>
      <c r="P244" s="2"/>
      <c r="Q244" s="2"/>
      <c r="R244" s="2"/>
      <c r="S244" s="2"/>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row>
    <row r="245" spans="1:49" x14ac:dyDescent="0.25">
      <c r="A245" s="1"/>
      <c r="B245" s="1"/>
      <c r="C245" s="1"/>
      <c r="D245" s="1"/>
      <c r="E245" s="1"/>
      <c r="F245" s="1"/>
      <c r="G245" s="1"/>
      <c r="H245" s="1"/>
      <c r="I245" s="2"/>
      <c r="J245" s="2"/>
      <c r="K245" s="2"/>
      <c r="L245" s="2"/>
      <c r="M245" s="2"/>
      <c r="N245" s="2"/>
      <c r="O245" s="2"/>
      <c r="P245" s="2"/>
      <c r="Q245" s="2"/>
      <c r="R245" s="2"/>
      <c r="S245" s="2"/>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row>
    <row r="246" spans="1:49" x14ac:dyDescent="0.25">
      <c r="A246" s="1"/>
      <c r="B246" s="1"/>
      <c r="C246" s="1"/>
      <c r="D246" s="1"/>
      <c r="E246" s="1"/>
      <c r="F246" s="1"/>
      <c r="G246" s="1"/>
      <c r="H246" s="1"/>
      <c r="I246" s="2"/>
      <c r="J246" s="2"/>
      <c r="K246" s="2"/>
      <c r="L246" s="2"/>
      <c r="M246" s="2"/>
      <c r="N246" s="2"/>
      <c r="O246" s="2"/>
      <c r="P246" s="2"/>
      <c r="Q246" s="2"/>
      <c r="R246" s="2"/>
      <c r="S246" s="2"/>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row>
    <row r="247" spans="1:49" x14ac:dyDescent="0.25">
      <c r="A247" s="1"/>
      <c r="B247" s="1"/>
      <c r="C247" s="1"/>
      <c r="D247" s="1"/>
      <c r="E247" s="1"/>
      <c r="F247" s="1"/>
      <c r="G247" s="1"/>
      <c r="H247" s="1"/>
      <c r="I247" s="2"/>
      <c r="J247" s="2"/>
      <c r="K247" s="2"/>
      <c r="L247" s="2"/>
      <c r="M247" s="2"/>
      <c r="N247" s="2"/>
      <c r="O247" s="2"/>
      <c r="P247" s="2"/>
      <c r="Q247" s="2"/>
      <c r="R247" s="2"/>
      <c r="S247" s="2"/>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row>
    <row r="248" spans="1:49" x14ac:dyDescent="0.25">
      <c r="A248" s="1"/>
      <c r="B248" s="1"/>
      <c r="C248" s="1"/>
      <c r="D248" s="1"/>
      <c r="E248" s="1"/>
      <c r="F248" s="1"/>
      <c r="G248" s="1"/>
      <c r="H248" s="1"/>
      <c r="I248" s="2"/>
      <c r="J248" s="2"/>
      <c r="K248" s="2"/>
      <c r="L248" s="2"/>
      <c r="M248" s="2"/>
      <c r="N248" s="2"/>
      <c r="O248" s="2"/>
      <c r="P248" s="2"/>
      <c r="Q248" s="2"/>
      <c r="R248" s="2"/>
      <c r="S248" s="2"/>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row>
    <row r="249" spans="1:49" x14ac:dyDescent="0.25">
      <c r="A249" s="1"/>
      <c r="B249" s="1"/>
      <c r="C249" s="1"/>
      <c r="D249" s="1"/>
      <c r="E249" s="1"/>
      <c r="F249" s="1"/>
      <c r="G249" s="1"/>
      <c r="H249" s="1"/>
      <c r="I249" s="2"/>
      <c r="J249" s="2"/>
      <c r="K249" s="2"/>
      <c r="L249" s="2"/>
      <c r="M249" s="2"/>
      <c r="N249" s="2"/>
      <c r="O249" s="2"/>
      <c r="P249" s="2"/>
      <c r="Q249" s="2"/>
      <c r="R249" s="2"/>
      <c r="S249" s="2"/>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row>
    <row r="250" spans="1:49" x14ac:dyDescent="0.25">
      <c r="A250" s="1"/>
      <c r="B250" s="1"/>
      <c r="C250" s="1"/>
      <c r="D250" s="1"/>
      <c r="E250" s="1"/>
      <c r="F250" s="1"/>
      <c r="G250" s="1"/>
      <c r="H250" s="1"/>
      <c r="I250" s="2"/>
      <c r="J250" s="2"/>
      <c r="K250" s="2"/>
      <c r="L250" s="2"/>
      <c r="M250" s="2"/>
      <c r="N250" s="2"/>
      <c r="O250" s="2"/>
      <c r="P250" s="2"/>
      <c r="Q250" s="2"/>
      <c r="R250" s="2"/>
      <c r="S250" s="2"/>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row>
    <row r="251" spans="1:49" x14ac:dyDescent="0.25">
      <c r="A251" s="1"/>
      <c r="B251" s="1"/>
      <c r="C251" s="1"/>
      <c r="D251" s="1"/>
      <c r="E251" s="1"/>
      <c r="F251" s="1"/>
      <c r="G251" s="1"/>
      <c r="H251" s="1"/>
      <c r="I251" s="2"/>
      <c r="J251" s="2"/>
      <c r="K251" s="2"/>
      <c r="L251" s="2"/>
      <c r="M251" s="2"/>
      <c r="N251" s="2"/>
      <c r="O251" s="2"/>
      <c r="P251" s="2"/>
      <c r="Q251" s="2"/>
      <c r="R251" s="2"/>
      <c r="S251" s="2"/>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row>
    <row r="252" spans="1:49" x14ac:dyDescent="0.25">
      <c r="A252" s="1"/>
      <c r="B252" s="1"/>
      <c r="C252" s="1"/>
      <c r="D252" s="1"/>
      <c r="E252" s="1"/>
      <c r="F252" s="1"/>
      <c r="G252" s="1"/>
      <c r="H252" s="1"/>
      <c r="I252" s="2"/>
      <c r="J252" s="2"/>
      <c r="K252" s="2"/>
      <c r="L252" s="2"/>
      <c r="M252" s="2"/>
      <c r="N252" s="2"/>
      <c r="O252" s="2"/>
      <c r="P252" s="2"/>
      <c r="Q252" s="2"/>
      <c r="R252" s="2"/>
      <c r="S252" s="2"/>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row>
    <row r="253" spans="1:49" x14ac:dyDescent="0.25">
      <c r="A253" s="1"/>
      <c r="B253" s="1"/>
      <c r="C253" s="1"/>
      <c r="D253" s="1"/>
      <c r="E253" s="1"/>
      <c r="F253" s="1"/>
      <c r="G253" s="1"/>
      <c r="H253" s="1"/>
      <c r="I253" s="2"/>
      <c r="J253" s="2"/>
      <c r="K253" s="2"/>
      <c r="L253" s="2"/>
      <c r="M253" s="2"/>
      <c r="N253" s="2"/>
      <c r="O253" s="2"/>
      <c r="P253" s="2"/>
      <c r="Q253" s="2"/>
      <c r="R253" s="2"/>
      <c r="S253" s="2"/>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row>
    <row r="254" spans="1:49" x14ac:dyDescent="0.25">
      <c r="A254" s="1"/>
      <c r="B254" s="1"/>
      <c r="C254" s="1"/>
      <c r="D254" s="1"/>
      <c r="E254" s="1"/>
      <c r="F254" s="1"/>
      <c r="G254" s="1"/>
      <c r="H254" s="1"/>
      <c r="I254" s="2"/>
      <c r="J254" s="2"/>
      <c r="K254" s="2"/>
      <c r="L254" s="2"/>
      <c r="M254" s="2"/>
      <c r="N254" s="2"/>
      <c r="O254" s="2"/>
      <c r="P254" s="2"/>
      <c r="Q254" s="2"/>
      <c r="R254" s="2"/>
      <c r="S254" s="2"/>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row>
    <row r="255" spans="1:49" x14ac:dyDescent="0.25">
      <c r="A255" s="1"/>
      <c r="B255" s="1"/>
      <c r="C255" s="1"/>
      <c r="D255" s="1"/>
      <c r="E255" s="1"/>
      <c r="F255" s="1"/>
      <c r="G255" s="1"/>
      <c r="H255" s="1"/>
      <c r="I255" s="2"/>
      <c r="J255" s="2"/>
      <c r="K255" s="2"/>
      <c r="L255" s="2"/>
      <c r="M255" s="2"/>
      <c r="N255" s="2"/>
      <c r="O255" s="2"/>
      <c r="P255" s="2"/>
      <c r="Q255" s="2"/>
      <c r="R255" s="2"/>
      <c r="S255" s="2"/>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row>
    <row r="256" spans="1:49" x14ac:dyDescent="0.25">
      <c r="A256" s="1"/>
      <c r="B256" s="1"/>
      <c r="C256" s="1"/>
      <c r="D256" s="1"/>
      <c r="E256" s="1"/>
      <c r="F256" s="1"/>
      <c r="G256" s="1"/>
      <c r="H256" s="1"/>
      <c r="I256" s="2"/>
      <c r="J256" s="2"/>
      <c r="K256" s="2"/>
      <c r="L256" s="2"/>
      <c r="M256" s="2"/>
      <c r="N256" s="2"/>
      <c r="O256" s="2"/>
      <c r="P256" s="2"/>
      <c r="Q256" s="2"/>
      <c r="R256" s="2"/>
      <c r="S256" s="2"/>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row>
    <row r="257" spans="1:49" x14ac:dyDescent="0.25">
      <c r="A257" s="1"/>
      <c r="B257" s="1"/>
      <c r="C257" s="1"/>
      <c r="D257" s="1"/>
      <c r="E257" s="1"/>
      <c r="F257" s="1"/>
      <c r="G257" s="1"/>
      <c r="H257" s="1"/>
      <c r="I257" s="2"/>
      <c r="J257" s="2"/>
      <c r="K257" s="2"/>
      <c r="L257" s="2"/>
      <c r="M257" s="2"/>
      <c r="N257" s="2"/>
      <c r="O257" s="2"/>
      <c r="P257" s="2"/>
      <c r="Q257" s="2"/>
      <c r="R257" s="2"/>
      <c r="S257" s="2"/>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row>
    <row r="258" spans="1:49" x14ac:dyDescent="0.25">
      <c r="A258" s="1"/>
      <c r="B258" s="1"/>
      <c r="C258" s="1"/>
      <c r="D258" s="1"/>
      <c r="E258" s="1"/>
      <c r="F258" s="1"/>
      <c r="G258" s="1"/>
      <c r="H258" s="1"/>
      <c r="I258" s="2"/>
      <c r="J258" s="2"/>
      <c r="K258" s="2"/>
      <c r="L258" s="2"/>
      <c r="M258" s="2"/>
      <c r="N258" s="2"/>
      <c r="O258" s="2"/>
      <c r="P258" s="2"/>
      <c r="Q258" s="2"/>
      <c r="R258" s="2"/>
      <c r="S258" s="2"/>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row>
    <row r="259" spans="1:49" x14ac:dyDescent="0.25">
      <c r="A259" s="1"/>
      <c r="B259" s="1"/>
      <c r="C259" s="1"/>
      <c r="D259" s="1"/>
      <c r="E259" s="1"/>
      <c r="F259" s="1"/>
      <c r="G259" s="1"/>
      <c r="H259" s="1"/>
      <c r="I259" s="2"/>
      <c r="J259" s="2"/>
      <c r="K259" s="2"/>
      <c r="L259" s="2"/>
      <c r="M259" s="2"/>
      <c r="N259" s="2"/>
      <c r="O259" s="2"/>
      <c r="P259" s="2"/>
      <c r="Q259" s="2"/>
      <c r="R259" s="2"/>
      <c r="S259" s="2"/>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row>
    <row r="260" spans="1:49" x14ac:dyDescent="0.25">
      <c r="A260" s="1"/>
      <c r="B260" s="1"/>
      <c r="C260" s="1"/>
      <c r="D260" s="1"/>
      <c r="E260" s="1"/>
      <c r="F260" s="1"/>
      <c r="G260" s="1"/>
      <c r="H260" s="1"/>
      <c r="I260" s="2"/>
      <c r="J260" s="2"/>
      <c r="K260" s="2"/>
      <c r="L260" s="2"/>
      <c r="M260" s="2"/>
      <c r="N260" s="2"/>
      <c r="O260" s="2"/>
      <c r="P260" s="2"/>
      <c r="Q260" s="2"/>
      <c r="R260" s="2"/>
      <c r="S260" s="2"/>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row>
    <row r="261" spans="1:49" x14ac:dyDescent="0.25">
      <c r="A261" s="1"/>
      <c r="B261" s="1"/>
      <c r="C261" s="1"/>
      <c r="D261" s="1"/>
      <c r="E261" s="1"/>
      <c r="F261" s="1"/>
      <c r="G261" s="1"/>
      <c r="H261" s="1"/>
      <c r="I261" s="2"/>
      <c r="J261" s="2"/>
      <c r="K261" s="2"/>
      <c r="L261" s="2"/>
      <c r="M261" s="2"/>
      <c r="N261" s="2"/>
      <c r="O261" s="2"/>
      <c r="P261" s="2"/>
      <c r="Q261" s="2"/>
      <c r="R261" s="2"/>
      <c r="S261" s="2"/>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row>
    <row r="262" spans="1:49" x14ac:dyDescent="0.25">
      <c r="A262" s="1"/>
      <c r="B262" s="1"/>
      <c r="C262" s="1"/>
      <c r="D262" s="1"/>
      <c r="E262" s="1"/>
      <c r="F262" s="1"/>
      <c r="G262" s="1"/>
      <c r="H262" s="1"/>
      <c r="I262" s="2"/>
      <c r="J262" s="2"/>
      <c r="K262" s="2"/>
      <c r="L262" s="2"/>
      <c r="M262" s="2"/>
      <c r="N262" s="2"/>
      <c r="O262" s="2"/>
      <c r="P262" s="2"/>
      <c r="Q262" s="2"/>
      <c r="R262" s="2"/>
      <c r="S262" s="2"/>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row>
    <row r="263" spans="1:49" x14ac:dyDescent="0.25">
      <c r="A263" s="1"/>
      <c r="B263" s="1"/>
      <c r="C263" s="1"/>
      <c r="D263" s="1"/>
      <c r="E263" s="1"/>
      <c r="F263" s="1"/>
      <c r="G263" s="1"/>
      <c r="H263" s="1"/>
      <c r="I263" s="2"/>
      <c r="J263" s="2"/>
      <c r="K263" s="2"/>
      <c r="L263" s="2"/>
      <c r="M263" s="2"/>
      <c r="N263" s="2"/>
      <c r="O263" s="2"/>
      <c r="P263" s="2"/>
      <c r="Q263" s="2"/>
      <c r="R263" s="2"/>
      <c r="S263" s="2"/>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row>
    <row r="264" spans="1:49" x14ac:dyDescent="0.25">
      <c r="A264" s="1"/>
      <c r="B264" s="1"/>
      <c r="C264" s="1"/>
      <c r="D264" s="1"/>
      <c r="E264" s="1"/>
      <c r="F264" s="1"/>
      <c r="G264" s="1"/>
      <c r="H264" s="1"/>
      <c r="I264" s="2"/>
      <c r="J264" s="2"/>
      <c r="K264" s="2"/>
      <c r="L264" s="2"/>
      <c r="M264" s="2"/>
      <c r="N264" s="2"/>
      <c r="O264" s="2"/>
      <c r="P264" s="2"/>
      <c r="Q264" s="2"/>
      <c r="R264" s="2"/>
      <c r="S264" s="2"/>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row>
    <row r="265" spans="1:49" x14ac:dyDescent="0.25">
      <c r="A265" s="1"/>
      <c r="B265" s="1"/>
      <c r="C265" s="1"/>
      <c r="D265" s="1"/>
      <c r="E265" s="1"/>
      <c r="F265" s="1"/>
      <c r="G265" s="1"/>
      <c r="H265" s="1"/>
      <c r="I265" s="2"/>
      <c r="J265" s="2"/>
      <c r="K265" s="2"/>
      <c r="L265" s="2"/>
      <c r="M265" s="2"/>
      <c r="N265" s="2"/>
      <c r="O265" s="2"/>
      <c r="P265" s="2"/>
      <c r="Q265" s="2"/>
      <c r="R265" s="2"/>
      <c r="S265" s="2"/>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row>
    <row r="266" spans="1:49" x14ac:dyDescent="0.25">
      <c r="A266" s="1"/>
      <c r="B266" s="1"/>
      <c r="C266" s="1"/>
      <c r="D266" s="1"/>
      <c r="E266" s="1"/>
      <c r="F266" s="1"/>
      <c r="G266" s="1"/>
      <c r="H266" s="1"/>
      <c r="I266" s="2"/>
      <c r="J266" s="2"/>
      <c r="K266" s="2"/>
      <c r="L266" s="2"/>
      <c r="M266" s="2"/>
      <c r="N266" s="2"/>
      <c r="O266" s="2"/>
      <c r="P266" s="2"/>
      <c r="Q266" s="2"/>
      <c r="R266" s="2"/>
      <c r="S266" s="2"/>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row>
    <row r="267" spans="1:49" x14ac:dyDescent="0.25">
      <c r="A267" s="1"/>
      <c r="B267" s="1"/>
      <c r="C267" s="1"/>
      <c r="D267" s="1"/>
      <c r="E267" s="1"/>
      <c r="F267" s="1"/>
      <c r="G267" s="1"/>
      <c r="H267" s="1"/>
      <c r="I267" s="2"/>
      <c r="J267" s="2"/>
      <c r="K267" s="2"/>
      <c r="L267" s="2"/>
      <c r="M267" s="2"/>
      <c r="N267" s="2"/>
      <c r="O267" s="2"/>
      <c r="P267" s="2"/>
      <c r="Q267" s="2"/>
      <c r="R267" s="2"/>
      <c r="S267" s="2"/>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row>
    <row r="268" spans="1:49" x14ac:dyDescent="0.25">
      <c r="A268" s="1"/>
      <c r="B268" s="1"/>
      <c r="C268" s="1"/>
      <c r="D268" s="1"/>
      <c r="E268" s="1"/>
      <c r="F268" s="1"/>
      <c r="G268" s="1"/>
      <c r="H268" s="1"/>
      <c r="I268" s="2"/>
      <c r="J268" s="2"/>
      <c r="K268" s="2"/>
      <c r="L268" s="2"/>
      <c r="M268" s="2"/>
      <c r="N268" s="2"/>
      <c r="O268" s="2"/>
      <c r="P268" s="2"/>
      <c r="Q268" s="2"/>
      <c r="R268" s="2"/>
      <c r="S268" s="2"/>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row>
    <row r="269" spans="1:49" x14ac:dyDescent="0.25">
      <c r="A269" s="1"/>
      <c r="B269" s="1"/>
      <c r="C269" s="1"/>
      <c r="D269" s="1"/>
      <c r="E269" s="1"/>
      <c r="F269" s="1"/>
      <c r="G269" s="1"/>
      <c r="H269" s="1"/>
      <c r="I269" s="2"/>
      <c r="J269" s="2"/>
      <c r="K269" s="2"/>
      <c r="L269" s="2"/>
      <c r="M269" s="2"/>
      <c r="N269" s="2"/>
      <c r="O269" s="2"/>
      <c r="P269" s="2"/>
      <c r="Q269" s="2"/>
      <c r="R269" s="2"/>
      <c r="S269" s="2"/>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row>
    <row r="270" spans="1:49" x14ac:dyDescent="0.25">
      <c r="A270" s="1"/>
      <c r="B270" s="1"/>
      <c r="C270" s="1"/>
      <c r="D270" s="1"/>
      <c r="E270" s="1"/>
      <c r="F270" s="1"/>
      <c r="G270" s="1"/>
      <c r="H270" s="1"/>
      <c r="I270" s="2"/>
      <c r="J270" s="2"/>
      <c r="K270" s="2"/>
      <c r="L270" s="2"/>
      <c r="M270" s="2"/>
      <c r="N270" s="2"/>
      <c r="O270" s="2"/>
      <c r="P270" s="2"/>
      <c r="Q270" s="2"/>
      <c r="R270" s="2"/>
      <c r="S270" s="2"/>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row>
    <row r="271" spans="1:49" x14ac:dyDescent="0.25">
      <c r="A271" s="1"/>
      <c r="B271" s="1"/>
      <c r="C271" s="1"/>
      <c r="D271" s="1"/>
      <c r="E271" s="1"/>
      <c r="F271" s="1"/>
      <c r="G271" s="1"/>
      <c r="H271" s="1"/>
      <c r="I271" s="2"/>
      <c r="J271" s="2"/>
      <c r="K271" s="2"/>
      <c r="L271" s="2"/>
      <c r="M271" s="2"/>
      <c r="N271" s="2"/>
      <c r="O271" s="2"/>
      <c r="P271" s="2"/>
      <c r="Q271" s="2"/>
      <c r="R271" s="2"/>
      <c r="S271" s="2"/>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row>
    <row r="272" spans="1:49" x14ac:dyDescent="0.25">
      <c r="A272" s="1"/>
      <c r="B272" s="1"/>
      <c r="C272" s="1"/>
      <c r="D272" s="1"/>
      <c r="E272" s="1"/>
      <c r="F272" s="1"/>
      <c r="G272" s="1"/>
      <c r="H272" s="1"/>
      <c r="I272" s="2"/>
      <c r="J272" s="2"/>
      <c r="K272" s="2"/>
      <c r="L272" s="2"/>
      <c r="M272" s="2"/>
      <c r="N272" s="2"/>
      <c r="O272" s="2"/>
      <c r="P272" s="2"/>
      <c r="Q272" s="2"/>
      <c r="R272" s="2"/>
      <c r="S272" s="2"/>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row>
    <row r="273" spans="1:49" x14ac:dyDescent="0.25">
      <c r="A273" s="1"/>
      <c r="B273" s="1"/>
      <c r="C273" s="1"/>
      <c r="D273" s="1"/>
      <c r="E273" s="1"/>
      <c r="F273" s="1"/>
      <c r="G273" s="1"/>
      <c r="H273" s="1"/>
      <c r="I273" s="2"/>
      <c r="J273" s="2"/>
      <c r="K273" s="2"/>
      <c r="L273" s="2"/>
      <c r="M273" s="2"/>
      <c r="N273" s="2"/>
      <c r="O273" s="2"/>
      <c r="P273" s="2"/>
      <c r="Q273" s="2"/>
      <c r="R273" s="2"/>
      <c r="S273" s="2"/>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row>
    <row r="274" spans="1:49" x14ac:dyDescent="0.25">
      <c r="A274" s="1"/>
      <c r="B274" s="1"/>
      <c r="C274" s="1"/>
      <c r="D274" s="1"/>
      <c r="E274" s="1"/>
      <c r="F274" s="1"/>
      <c r="G274" s="1"/>
      <c r="H274" s="1"/>
      <c r="I274" s="2"/>
      <c r="J274" s="2"/>
      <c r="K274" s="2"/>
      <c r="L274" s="2"/>
      <c r="M274" s="2"/>
      <c r="N274" s="2"/>
      <c r="O274" s="2"/>
      <c r="P274" s="2"/>
      <c r="Q274" s="2"/>
      <c r="R274" s="2"/>
      <c r="S274" s="2"/>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row>
    <row r="275" spans="1:49" x14ac:dyDescent="0.25">
      <c r="A275" s="1"/>
      <c r="B275" s="1"/>
      <c r="C275" s="1"/>
      <c r="D275" s="1"/>
      <c r="E275" s="1"/>
      <c r="F275" s="1"/>
      <c r="G275" s="1"/>
      <c r="H275" s="1"/>
      <c r="I275" s="2"/>
      <c r="J275" s="2"/>
      <c r="K275" s="2"/>
      <c r="L275" s="2"/>
      <c r="M275" s="2"/>
      <c r="N275" s="2"/>
      <c r="O275" s="2"/>
      <c r="P275" s="2"/>
      <c r="Q275" s="2"/>
      <c r="R275" s="2"/>
      <c r="S275" s="2"/>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row>
    <row r="276" spans="1:49" x14ac:dyDescent="0.25">
      <c r="A276" s="1"/>
      <c r="B276" s="1"/>
      <c r="C276" s="1"/>
      <c r="D276" s="1"/>
      <c r="E276" s="1"/>
      <c r="F276" s="1"/>
      <c r="G276" s="1"/>
      <c r="H276" s="1"/>
      <c r="I276" s="2"/>
      <c r="J276" s="2"/>
      <c r="K276" s="2"/>
      <c r="L276" s="2"/>
      <c r="M276" s="2"/>
      <c r="N276" s="2"/>
      <c r="O276" s="2"/>
      <c r="P276" s="2"/>
      <c r="Q276" s="2"/>
      <c r="R276" s="2"/>
      <c r="S276" s="2"/>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row>
    <row r="277" spans="1:49" x14ac:dyDescent="0.25">
      <c r="A277" s="1"/>
      <c r="B277" s="1"/>
      <c r="C277" s="1"/>
      <c r="D277" s="1"/>
      <c r="E277" s="1"/>
      <c r="F277" s="1"/>
      <c r="G277" s="1"/>
      <c r="H277" s="1"/>
      <c r="I277" s="2"/>
      <c r="J277" s="2"/>
      <c r="K277" s="2"/>
      <c r="L277" s="2"/>
      <c r="M277" s="2"/>
      <c r="N277" s="2"/>
      <c r="O277" s="2"/>
      <c r="P277" s="2"/>
      <c r="Q277" s="2"/>
      <c r="R277" s="2"/>
      <c r="S277" s="2"/>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row>
    <row r="278" spans="1:49" x14ac:dyDescent="0.25">
      <c r="A278" s="1"/>
      <c r="B278" s="1"/>
      <c r="C278" s="1"/>
      <c r="D278" s="1"/>
      <c r="E278" s="1"/>
      <c r="F278" s="1"/>
      <c r="G278" s="1"/>
      <c r="H278" s="1"/>
      <c r="I278" s="2"/>
      <c r="J278" s="2"/>
      <c r="K278" s="2"/>
      <c r="L278" s="2"/>
      <c r="M278" s="2"/>
      <c r="N278" s="2"/>
      <c r="O278" s="2"/>
      <c r="P278" s="2"/>
      <c r="Q278" s="2"/>
      <c r="R278" s="2"/>
      <c r="S278" s="2"/>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row>
    <row r="279" spans="1:49" x14ac:dyDescent="0.25">
      <c r="A279" s="1"/>
      <c r="B279" s="1"/>
      <c r="C279" s="1"/>
      <c r="D279" s="1"/>
      <c r="E279" s="1"/>
      <c r="F279" s="1"/>
      <c r="G279" s="1"/>
      <c r="H279" s="1"/>
      <c r="I279" s="2"/>
      <c r="J279" s="2"/>
      <c r="K279" s="2"/>
      <c r="L279" s="2"/>
      <c r="M279" s="2"/>
      <c r="N279" s="2"/>
      <c r="O279" s="2"/>
      <c r="P279" s="2"/>
      <c r="Q279" s="2"/>
      <c r="R279" s="2"/>
      <c r="S279" s="2"/>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row>
    <row r="280" spans="1:49" x14ac:dyDescent="0.25">
      <c r="A280" s="1"/>
      <c r="B280" s="1"/>
      <c r="C280" s="1"/>
      <c r="D280" s="1"/>
      <c r="E280" s="1"/>
      <c r="F280" s="1"/>
      <c r="G280" s="1"/>
      <c r="H280" s="1"/>
      <c r="I280" s="2"/>
      <c r="J280" s="2"/>
      <c r="K280" s="2"/>
      <c r="L280" s="2"/>
      <c r="M280" s="2"/>
      <c r="N280" s="2"/>
      <c r="O280" s="2"/>
      <c r="P280" s="2"/>
      <c r="Q280" s="2"/>
      <c r="R280" s="2"/>
      <c r="S280" s="2"/>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row>
  </sheetData>
  <conditionalFormatting sqref="C71:R72 C74:R78 C67:R69 J87:R93 C80:R85">
    <cfRule type="cellIs" dxfId="160" priority="17" operator="equal">
      <formula>0</formula>
    </cfRule>
  </conditionalFormatting>
  <conditionalFormatting sqref="C61:S61">
    <cfRule type="colorScale" priority="2">
      <colorScale>
        <cfvo type="min"/>
        <cfvo type="max"/>
        <color rgb="FF142D14"/>
        <color rgb="FF3C963C"/>
      </colorScale>
    </cfRule>
  </conditionalFormatting>
  <conditionalFormatting sqref="S71:S72 S74:S78 S67:S69 S87:S93 S80:S85">
    <cfRule type="cellIs" dxfId="159" priority="1" operator="equal">
      <formula>0</formula>
    </cfRule>
  </conditionalFormatting>
  <pageMargins left="0.511811024" right="0.511811024" top="0.78740157499999996" bottom="0.78740157499999996" header="0.31496062000000002" footer="0.31496062000000002"/>
  <pageSetup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9AFD6-3DA4-404F-A5B8-9FE771705293}">
  <sheetPr codeName="Planilha9"/>
  <dimension ref="A1:AW186"/>
  <sheetViews>
    <sheetView zoomScale="70" zoomScaleNormal="70" workbookViewId="0">
      <selection activeCell="U34" sqref="U34"/>
    </sheetView>
  </sheetViews>
  <sheetFormatPr defaultColWidth="12.5703125" defaultRowHeight="15" x14ac:dyDescent="0.25"/>
  <cols>
    <col min="1" max="1" width="12.5703125" style="3"/>
    <col min="2" max="2" width="44" style="3" customWidth="1"/>
    <col min="3" max="8" width="14.140625" style="3" hidden="1" customWidth="1"/>
    <col min="9" max="14" width="14.140625" style="8" hidden="1" customWidth="1"/>
    <col min="15" max="15" width="14.140625" style="8" customWidth="1"/>
    <col min="16" max="16" width="13.42578125" style="8" bestFit="1" customWidth="1"/>
    <col min="17" max="18" width="14" style="8" bestFit="1" customWidth="1"/>
    <col min="19" max="19" width="12.5703125" style="8"/>
    <col min="20" max="16384" width="12.5703125" style="3"/>
  </cols>
  <sheetData>
    <row r="1" spans="1:49" ht="18" customHeight="1" x14ac:dyDescent="0.25">
      <c r="A1" s="1"/>
      <c r="B1" s="1"/>
      <c r="C1" s="1"/>
      <c r="D1" s="1"/>
      <c r="E1" s="1"/>
      <c r="F1" s="1"/>
      <c r="G1" s="1"/>
      <c r="H1" s="1"/>
      <c r="I1" s="2"/>
      <c r="J1" s="2"/>
      <c r="K1" s="2"/>
      <c r="L1" s="2"/>
      <c r="M1" s="2"/>
      <c r="N1" s="2"/>
      <c r="O1" s="2"/>
      <c r="P1" s="2"/>
      <c r="Q1" s="2"/>
      <c r="R1" s="2"/>
      <c r="S1" s="2"/>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row>
    <row r="2" spans="1:49" ht="18" customHeight="1" x14ac:dyDescent="0.25">
      <c r="A2" s="1"/>
      <c r="B2" s="1"/>
      <c r="C2" s="1"/>
      <c r="D2" s="1"/>
      <c r="E2" s="1"/>
      <c r="F2" s="1"/>
      <c r="G2" s="1"/>
      <c r="H2" s="1"/>
      <c r="I2" s="1"/>
      <c r="J2" s="2"/>
      <c r="K2" s="2"/>
      <c r="L2" s="2"/>
      <c r="M2" s="2"/>
      <c r="N2" s="2"/>
      <c r="O2" s="2"/>
      <c r="P2" s="2"/>
      <c r="Q2" s="2"/>
      <c r="R2" s="2"/>
      <c r="S2" s="2"/>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row>
    <row r="3" spans="1:49" ht="18" customHeight="1" x14ac:dyDescent="0.25">
      <c r="A3" s="1"/>
      <c r="B3" s="1"/>
      <c r="C3" s="1"/>
      <c r="D3" s="1"/>
      <c r="E3" s="1"/>
      <c r="F3" s="1"/>
      <c r="G3" s="1"/>
      <c r="H3" s="1"/>
      <c r="I3" s="2"/>
      <c r="J3" s="2"/>
      <c r="K3" s="2"/>
      <c r="L3" s="2"/>
      <c r="M3" s="2"/>
      <c r="N3" s="2"/>
      <c r="O3" s="2"/>
      <c r="P3" s="2"/>
      <c r="Q3" s="2"/>
      <c r="R3" s="2"/>
      <c r="S3" s="2"/>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row>
    <row r="4" spans="1:49" ht="18" customHeight="1" x14ac:dyDescent="0.25">
      <c r="A4" s="1"/>
      <c r="B4" s="1"/>
      <c r="C4" s="1"/>
      <c r="D4" s="1"/>
      <c r="E4" s="1"/>
      <c r="F4" s="1"/>
      <c r="G4" s="1"/>
      <c r="H4" s="1"/>
      <c r="I4" s="2"/>
      <c r="J4" s="2"/>
      <c r="K4" s="2"/>
      <c r="L4" s="2"/>
      <c r="M4" s="2"/>
      <c r="N4" s="2"/>
      <c r="O4" s="2"/>
      <c r="P4" s="2"/>
      <c r="Q4" s="2"/>
      <c r="R4" s="2"/>
      <c r="S4" s="2"/>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row>
    <row r="5" spans="1:49" ht="18" customHeight="1" x14ac:dyDescent="0.25">
      <c r="A5" s="1"/>
      <c r="B5" s="1"/>
      <c r="C5" s="1"/>
      <c r="D5" s="1"/>
      <c r="E5" s="1"/>
      <c r="F5" s="1"/>
      <c r="G5" s="1"/>
      <c r="H5" s="1"/>
      <c r="I5" s="2"/>
      <c r="J5" s="2"/>
      <c r="K5" s="2"/>
      <c r="L5" s="2"/>
      <c r="M5" s="2"/>
      <c r="N5" s="2"/>
      <c r="O5" s="2"/>
      <c r="P5" s="2"/>
      <c r="Q5" s="2"/>
      <c r="R5" s="2"/>
      <c r="S5" s="2"/>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row>
    <row r="6" spans="1:49" ht="18" customHeight="1" x14ac:dyDescent="0.25">
      <c r="A6" s="1"/>
      <c r="B6" s="1"/>
      <c r="C6" s="1"/>
      <c r="D6" s="1"/>
      <c r="E6" s="1"/>
      <c r="F6" s="1"/>
      <c r="G6" s="1"/>
      <c r="H6" s="1"/>
      <c r="I6" s="2"/>
      <c r="J6" s="2"/>
      <c r="K6" s="2"/>
      <c r="L6" s="2"/>
      <c r="M6" s="2"/>
      <c r="N6" s="2"/>
      <c r="O6" s="2"/>
      <c r="P6" s="2"/>
      <c r="Q6" s="2"/>
      <c r="R6" s="2"/>
      <c r="S6" s="2"/>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row>
    <row r="7" spans="1:49" ht="18" customHeight="1" thickBot="1" x14ac:dyDescent="0.3">
      <c r="A7" s="1"/>
      <c r="B7" s="1"/>
      <c r="C7" s="56">
        <v>2010</v>
      </c>
      <c r="D7" s="56">
        <v>2011</v>
      </c>
      <c r="E7" s="56">
        <v>2012</v>
      </c>
      <c r="F7" s="56">
        <v>2013</v>
      </c>
      <c r="G7" s="56">
        <v>2014</v>
      </c>
      <c r="H7" s="56">
        <v>2015</v>
      </c>
      <c r="I7" s="56">
        <v>2016</v>
      </c>
      <c r="J7" s="56">
        <f t="shared" ref="J7:Q7" si="0">I7+1</f>
        <v>2017</v>
      </c>
      <c r="K7" s="56">
        <f t="shared" si="0"/>
        <v>2018</v>
      </c>
      <c r="L7" s="56">
        <f t="shared" si="0"/>
        <v>2019</v>
      </c>
      <c r="M7" s="56">
        <f t="shared" si="0"/>
        <v>2020</v>
      </c>
      <c r="N7" s="56">
        <f t="shared" si="0"/>
        <v>2021</v>
      </c>
      <c r="O7" s="56">
        <f t="shared" si="0"/>
        <v>2022</v>
      </c>
      <c r="P7" s="56">
        <f t="shared" si="0"/>
        <v>2023</v>
      </c>
      <c r="Q7" s="56">
        <f t="shared" si="0"/>
        <v>2024</v>
      </c>
      <c r="R7" s="56" t="s">
        <v>380</v>
      </c>
      <c r="S7" s="2"/>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row>
    <row r="8" spans="1:49" ht="18" customHeight="1" x14ac:dyDescent="0.25">
      <c r="A8" s="1"/>
      <c r="B8" s="89" t="s">
        <v>77</v>
      </c>
      <c r="C8" s="90"/>
      <c r="D8" s="90"/>
      <c r="E8" s="90"/>
      <c r="F8" s="90"/>
      <c r="G8" s="90"/>
      <c r="H8" s="90"/>
      <c r="I8" s="90"/>
      <c r="J8" s="90"/>
      <c r="K8" s="90"/>
      <c r="L8" s="90"/>
      <c r="M8" s="90"/>
      <c r="N8" s="90"/>
      <c r="O8" s="90">
        <v>11160600</v>
      </c>
      <c r="P8" s="90">
        <v>12779400.000000002</v>
      </c>
      <c r="Q8" s="90">
        <v>14159800</v>
      </c>
      <c r="R8" s="90">
        <v>3311800</v>
      </c>
      <c r="S8" s="51"/>
      <c r="T8" s="51"/>
      <c r="U8" s="1"/>
      <c r="V8" s="90"/>
      <c r="W8" s="90"/>
      <c r="X8" s="90"/>
      <c r="Y8" s="90"/>
      <c r="Z8" s="90"/>
      <c r="AA8" s="90"/>
      <c r="AB8" s="90"/>
      <c r="AC8" s="90"/>
      <c r="AD8" s="90"/>
      <c r="AE8" s="90"/>
      <c r="AF8" s="90"/>
      <c r="AG8" s="90"/>
      <c r="AH8" s="90"/>
      <c r="AI8" s="90"/>
      <c r="AJ8" s="90"/>
      <c r="AK8" s="1"/>
      <c r="AL8" s="1"/>
      <c r="AM8" s="1"/>
      <c r="AN8" s="1"/>
      <c r="AO8" s="1"/>
      <c r="AP8" s="1"/>
      <c r="AQ8" s="1"/>
      <c r="AR8" s="1"/>
      <c r="AS8" s="1"/>
      <c r="AT8" s="1"/>
      <c r="AU8" s="1"/>
      <c r="AV8" s="1"/>
      <c r="AW8" s="1"/>
    </row>
    <row r="9" spans="1:49" ht="18" customHeight="1" x14ac:dyDescent="0.25">
      <c r="A9" s="1"/>
      <c r="B9" s="53" t="s">
        <v>78</v>
      </c>
      <c r="C9" s="61"/>
      <c r="D9" s="61"/>
      <c r="E9" s="61"/>
      <c r="F9" s="61"/>
      <c r="G9" s="61"/>
      <c r="H9" s="61"/>
      <c r="I9" s="61"/>
      <c r="J9" s="61"/>
      <c r="K9" s="61"/>
      <c r="L9" s="61"/>
      <c r="M9" s="61"/>
      <c r="N9" s="61"/>
      <c r="O9" s="61">
        <v>-1780699.9999999998</v>
      </c>
      <c r="P9" s="61">
        <v>-2268800</v>
      </c>
      <c r="Q9" s="61">
        <v>-2581300</v>
      </c>
      <c r="R9" s="61">
        <v>-615300</v>
      </c>
      <c r="S9" s="51"/>
      <c r="T9" s="5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row>
    <row r="10" spans="1:49" ht="18" customHeight="1" x14ac:dyDescent="0.25">
      <c r="A10" s="1"/>
      <c r="B10" s="53"/>
      <c r="C10" s="61"/>
      <c r="D10" s="61"/>
      <c r="E10" s="61"/>
      <c r="F10" s="61"/>
      <c r="G10" s="61"/>
      <c r="H10" s="61"/>
      <c r="I10" s="61"/>
      <c r="J10" s="61"/>
      <c r="K10" s="61"/>
      <c r="L10" s="61"/>
      <c r="M10" s="61"/>
      <c r="N10" s="61"/>
      <c r="O10" s="158">
        <f>O9/O8</f>
        <v>-0.15955235381610305</v>
      </c>
      <c r="P10" s="158">
        <f t="shared" ref="P10:R10" si="1">P9/P8</f>
        <v>-0.17753572155187253</v>
      </c>
      <c r="Q10" s="158">
        <f t="shared" si="1"/>
        <v>-0.18229777256740914</v>
      </c>
      <c r="R10" s="158">
        <f t="shared" si="1"/>
        <v>-0.1857902047225074</v>
      </c>
      <c r="S10" s="51"/>
      <c r="T10" s="5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row>
    <row r="11" spans="1:49" ht="18" customHeight="1" x14ac:dyDescent="0.25">
      <c r="A11" s="1"/>
      <c r="B11" s="89" t="s">
        <v>0</v>
      </c>
      <c r="C11" s="90"/>
      <c r="D11" s="90"/>
      <c r="E11" s="90"/>
      <c r="F11" s="90"/>
      <c r="G11" s="90"/>
      <c r="H11" s="90"/>
      <c r="I11" s="90"/>
      <c r="J11" s="90"/>
      <c r="K11" s="90"/>
      <c r="L11" s="90"/>
      <c r="M11" s="90"/>
      <c r="N11" s="90"/>
      <c r="O11" s="90">
        <v>9379900.0000000019</v>
      </c>
      <c r="P11" s="90">
        <v>10510600</v>
      </c>
      <c r="Q11" s="90">
        <v>11578500</v>
      </c>
      <c r="R11" s="90">
        <v>2696500</v>
      </c>
      <c r="S11" s="51"/>
      <c r="T11" s="5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row>
    <row r="12" spans="1:49" ht="18" customHeight="1" x14ac:dyDescent="0.25">
      <c r="A12" s="1"/>
      <c r="B12" s="53" t="s">
        <v>14</v>
      </c>
      <c r="C12" s="61"/>
      <c r="D12" s="61"/>
      <c r="E12" s="61"/>
      <c r="F12" s="61"/>
      <c r="G12" s="61"/>
      <c r="H12" s="61"/>
      <c r="I12" s="61"/>
      <c r="J12" s="61"/>
      <c r="K12" s="61"/>
      <c r="L12" s="61"/>
      <c r="M12" s="61"/>
      <c r="N12" s="61"/>
      <c r="O12" s="61">
        <v>-4266400</v>
      </c>
      <c r="P12" s="61">
        <v>-4769500</v>
      </c>
      <c r="Q12" s="61">
        <v>-5259299.9999999991</v>
      </c>
      <c r="R12" s="61">
        <v>-1219700</v>
      </c>
      <c r="S12" s="51"/>
      <c r="T12" s="5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row>
    <row r="13" spans="1:49" ht="18" customHeight="1" x14ac:dyDescent="0.25">
      <c r="A13" s="1"/>
      <c r="B13" s="54" t="s">
        <v>292</v>
      </c>
      <c r="C13" s="61"/>
      <c r="D13" s="61"/>
      <c r="E13" s="61"/>
      <c r="F13" s="61"/>
      <c r="G13" s="61"/>
      <c r="H13" s="61"/>
      <c r="I13" s="61"/>
      <c r="J13" s="61"/>
      <c r="K13" s="61"/>
      <c r="L13" s="61"/>
      <c r="M13" s="61"/>
      <c r="N13" s="61"/>
      <c r="O13" s="61">
        <v>-4230800</v>
      </c>
      <c r="P13" s="61">
        <v>-4733400.0000000009</v>
      </c>
      <c r="Q13" s="61">
        <v>-5218500</v>
      </c>
      <c r="R13" s="61">
        <v>-1209200</v>
      </c>
      <c r="S13" s="51"/>
      <c r="T13" s="5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row>
    <row r="14" spans="1:49" ht="18" customHeight="1" x14ac:dyDescent="0.25">
      <c r="A14" s="1"/>
      <c r="B14" s="54" t="s">
        <v>24</v>
      </c>
      <c r="C14" s="61"/>
      <c r="D14" s="61"/>
      <c r="E14" s="61"/>
      <c r="F14" s="61"/>
      <c r="G14" s="61"/>
      <c r="H14" s="61"/>
      <c r="I14" s="61"/>
      <c r="J14" s="61"/>
      <c r="K14" s="61"/>
      <c r="L14" s="61"/>
      <c r="M14" s="61"/>
      <c r="N14" s="61"/>
      <c r="O14" s="61">
        <v>-35600</v>
      </c>
      <c r="P14" s="61">
        <v>-36100</v>
      </c>
      <c r="Q14" s="61">
        <v>-40800</v>
      </c>
      <c r="R14" s="61">
        <v>-10500</v>
      </c>
      <c r="S14" s="51"/>
      <c r="T14" s="5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row>
    <row r="15" spans="1:49" ht="18" customHeight="1" x14ac:dyDescent="0.25">
      <c r="A15" s="1"/>
      <c r="B15" s="89" t="s">
        <v>15</v>
      </c>
      <c r="C15" s="90"/>
      <c r="D15" s="90"/>
      <c r="E15" s="90"/>
      <c r="F15" s="90"/>
      <c r="G15" s="90"/>
      <c r="H15" s="90"/>
      <c r="I15" s="90"/>
      <c r="J15" s="90"/>
      <c r="K15" s="90"/>
      <c r="L15" s="90"/>
      <c r="M15" s="90"/>
      <c r="N15" s="90"/>
      <c r="O15" s="90">
        <v>5113500</v>
      </c>
      <c r="P15" s="90">
        <v>5741100</v>
      </c>
      <c r="Q15" s="90">
        <v>6319200</v>
      </c>
      <c r="R15" s="90">
        <v>1476800</v>
      </c>
      <c r="S15" s="51"/>
      <c r="T15" s="5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row>
    <row r="16" spans="1:49" ht="18" customHeight="1" x14ac:dyDescent="0.25">
      <c r="A16" s="1"/>
      <c r="B16" s="48" t="s">
        <v>85</v>
      </c>
      <c r="C16" s="88"/>
      <c r="D16" s="88"/>
      <c r="E16" s="88"/>
      <c r="F16" s="88"/>
      <c r="G16" s="88"/>
      <c r="H16" s="88"/>
      <c r="I16" s="88"/>
      <c r="J16" s="88"/>
      <c r="K16" s="88"/>
      <c r="L16" s="88"/>
      <c r="M16" s="88"/>
      <c r="N16" s="88"/>
      <c r="O16" s="88">
        <f>O15/O11</f>
        <v>0.54515506561903637</v>
      </c>
      <c r="P16" s="88">
        <f t="shared" ref="P16:R16" si="2">P15/P11</f>
        <v>0.54622000646965918</v>
      </c>
      <c r="Q16" s="88">
        <f t="shared" si="2"/>
        <v>0.54577017748413004</v>
      </c>
      <c r="R16" s="88">
        <f t="shared" si="2"/>
        <v>0.54767290932690527</v>
      </c>
      <c r="S16" s="51"/>
      <c r="T16" s="5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row>
    <row r="17" spans="1:49" ht="18" customHeight="1" x14ac:dyDescent="0.25">
      <c r="A17" s="1"/>
      <c r="B17" s="48" t="s">
        <v>84</v>
      </c>
      <c r="C17" s="61"/>
      <c r="D17" s="61"/>
      <c r="E17" s="61"/>
      <c r="F17" s="61"/>
      <c r="G17" s="61"/>
      <c r="H17" s="61"/>
      <c r="I17" s="61"/>
      <c r="J17" s="61"/>
      <c r="K17" s="61"/>
      <c r="L17" s="61"/>
      <c r="M17" s="61"/>
      <c r="N17" s="61"/>
      <c r="O17" s="61">
        <v>-4004200</v>
      </c>
      <c r="P17" s="61">
        <v>-7547700</v>
      </c>
      <c r="Q17" s="61">
        <v>-5687600</v>
      </c>
      <c r="R17" s="61">
        <v>-1200700</v>
      </c>
      <c r="S17" s="51"/>
      <c r="T17" s="5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row>
    <row r="18" spans="1:49" ht="18" customHeight="1" x14ac:dyDescent="0.25">
      <c r="A18" s="1"/>
      <c r="B18" s="48" t="s">
        <v>381</v>
      </c>
      <c r="C18" s="61"/>
      <c r="D18" s="61"/>
      <c r="E18" s="61"/>
      <c r="F18" s="61"/>
      <c r="G18" s="61"/>
      <c r="H18" s="61"/>
      <c r="I18" s="61"/>
      <c r="J18" s="61"/>
      <c r="K18" s="61"/>
      <c r="L18" s="61"/>
      <c r="M18" s="61"/>
      <c r="N18" s="61"/>
      <c r="O18" s="188">
        <f>O17/O11</f>
        <v>-0.4268915446859774</v>
      </c>
      <c r="P18" s="187">
        <f>(P17-P25)/P11</f>
        <v>-0.43723479154377487</v>
      </c>
      <c r="Q18" s="158">
        <f t="shared" ref="Q18:R18" si="3">Q17/Q11</f>
        <v>-0.49122079716716327</v>
      </c>
      <c r="R18" s="158">
        <f t="shared" si="3"/>
        <v>-0.44528091971073613</v>
      </c>
      <c r="S18" s="51"/>
      <c r="T18" s="5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row>
    <row r="19" spans="1:49" ht="18" customHeight="1" x14ac:dyDescent="0.25">
      <c r="A19" s="1"/>
      <c r="B19" s="48" t="s">
        <v>294</v>
      </c>
      <c r="C19" s="61"/>
      <c r="D19" s="61"/>
      <c r="E19" s="61"/>
      <c r="F19" s="61"/>
      <c r="G19" s="61"/>
      <c r="H19" s="61"/>
      <c r="I19" s="61"/>
      <c r="J19" s="61"/>
      <c r="K19" s="61"/>
      <c r="L19" s="61"/>
      <c r="M19" s="61"/>
      <c r="N19" s="61"/>
      <c r="O19" s="61">
        <v>-3615700.0000000005</v>
      </c>
      <c r="P19" s="61">
        <v>-4112400</v>
      </c>
      <c r="Q19" s="61">
        <v>-5120300</v>
      </c>
      <c r="R19" s="61">
        <v>-1048600</v>
      </c>
      <c r="S19" s="51"/>
      <c r="T19" s="5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row>
    <row r="20" spans="1:49" ht="18" customHeight="1" x14ac:dyDescent="0.25">
      <c r="A20" s="1"/>
      <c r="B20" s="53" t="s">
        <v>295</v>
      </c>
      <c r="C20" s="61"/>
      <c r="D20" s="61"/>
      <c r="E20" s="61"/>
      <c r="F20" s="61"/>
      <c r="G20" s="61"/>
      <c r="H20" s="61"/>
      <c r="I20" s="61"/>
      <c r="J20" s="61"/>
      <c r="K20" s="61"/>
      <c r="L20" s="61"/>
      <c r="M20" s="61"/>
      <c r="N20" s="61"/>
      <c r="O20" s="61">
        <v>-1603199.9999999998</v>
      </c>
      <c r="P20" s="61">
        <v>-1720699.9999999998</v>
      </c>
      <c r="Q20" s="61">
        <v>-2108200.0000000005</v>
      </c>
      <c r="R20" s="61">
        <v>-481300</v>
      </c>
      <c r="S20" s="51"/>
      <c r="T20" s="5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row>
    <row r="21" spans="1:49" ht="18" customHeight="1" x14ac:dyDescent="0.25">
      <c r="A21" s="1"/>
      <c r="B21" s="53" t="s">
        <v>296</v>
      </c>
      <c r="C21" s="61"/>
      <c r="D21" s="61"/>
      <c r="E21" s="61"/>
      <c r="F21" s="61"/>
      <c r="G21" s="61"/>
      <c r="H21" s="61"/>
      <c r="I21" s="61"/>
      <c r="J21" s="61"/>
      <c r="K21" s="61"/>
      <c r="L21" s="61"/>
      <c r="M21" s="61"/>
      <c r="N21" s="61"/>
      <c r="O21" s="61">
        <v>-1805699.9999999998</v>
      </c>
      <c r="P21" s="61">
        <v>-2064699.9999999998</v>
      </c>
      <c r="Q21" s="61">
        <v>-2331500</v>
      </c>
      <c r="R21" s="61">
        <v>-537100</v>
      </c>
      <c r="S21" s="51"/>
      <c r="T21" s="5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row>
    <row r="22" spans="1:49" ht="18" customHeight="1" x14ac:dyDescent="0.25">
      <c r="A22" s="1"/>
      <c r="B22" s="53" t="s">
        <v>297</v>
      </c>
      <c r="C22" s="61"/>
      <c r="D22" s="61"/>
      <c r="E22" s="61"/>
      <c r="F22" s="61"/>
      <c r="G22" s="61"/>
      <c r="H22" s="61"/>
      <c r="I22" s="61"/>
      <c r="J22" s="61"/>
      <c r="K22" s="61"/>
      <c r="L22" s="61"/>
      <c r="M22" s="61"/>
      <c r="N22" s="61"/>
      <c r="O22" s="61">
        <v>-423799.99999999994</v>
      </c>
      <c r="P22" s="61">
        <v>-580800</v>
      </c>
      <c r="Q22" s="61">
        <v>-950500</v>
      </c>
      <c r="R22" s="61">
        <v>-97600</v>
      </c>
      <c r="S22" s="51"/>
      <c r="T22" s="5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row>
    <row r="23" spans="1:49" ht="18" customHeight="1" x14ac:dyDescent="0.25">
      <c r="A23" s="1"/>
      <c r="B23" s="53" t="s">
        <v>293</v>
      </c>
      <c r="C23" s="61"/>
      <c r="D23" s="61"/>
      <c r="E23" s="61"/>
      <c r="F23" s="61"/>
      <c r="G23" s="61"/>
      <c r="H23" s="61"/>
      <c r="I23" s="61"/>
      <c r="J23" s="61"/>
      <c r="K23" s="61"/>
      <c r="L23" s="61"/>
      <c r="M23" s="61"/>
      <c r="N23" s="61"/>
      <c r="O23" s="61">
        <v>217000</v>
      </c>
      <c r="P23" s="61">
        <v>253800</v>
      </c>
      <c r="Q23" s="61">
        <v>269900</v>
      </c>
      <c r="R23" s="61">
        <v>67400</v>
      </c>
      <c r="S23" s="51"/>
      <c r="T23" s="5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row>
    <row r="24" spans="1:49" ht="18" customHeight="1" x14ac:dyDescent="0.25">
      <c r="A24" s="1"/>
      <c r="B24" s="53" t="s">
        <v>24</v>
      </c>
      <c r="C24" s="61"/>
      <c r="D24" s="61"/>
      <c r="E24" s="61"/>
      <c r="F24" s="61"/>
      <c r="G24" s="61"/>
      <c r="H24" s="61"/>
      <c r="I24" s="61"/>
      <c r="J24" s="61"/>
      <c r="K24" s="61"/>
      <c r="L24" s="61"/>
      <c r="M24" s="61"/>
      <c r="N24" s="61"/>
      <c r="O24" s="61">
        <v>-388500</v>
      </c>
      <c r="P24" s="61">
        <v>-483200.00000000006</v>
      </c>
      <c r="Q24" s="61">
        <v>-567300</v>
      </c>
      <c r="R24" s="61">
        <v>-152100</v>
      </c>
      <c r="S24" s="51"/>
      <c r="T24" s="5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row>
    <row r="25" spans="1:49" ht="18" customHeight="1" x14ac:dyDescent="0.25">
      <c r="A25" s="1"/>
      <c r="B25" s="53" t="s">
        <v>260</v>
      </c>
      <c r="C25" s="61"/>
      <c r="D25" s="61"/>
      <c r="E25" s="61"/>
      <c r="F25" s="61"/>
      <c r="G25" s="61"/>
      <c r="H25" s="61"/>
      <c r="I25" s="61"/>
      <c r="J25" s="61"/>
      <c r="K25" s="61"/>
      <c r="L25" s="61"/>
      <c r="M25" s="61"/>
      <c r="N25" s="61"/>
      <c r="O25" s="61">
        <v>0</v>
      </c>
      <c r="P25" s="61">
        <v>-2952100</v>
      </c>
      <c r="Q25" s="61">
        <v>0</v>
      </c>
      <c r="R25" s="61">
        <v>0</v>
      </c>
      <c r="S25" s="51"/>
      <c r="T25" s="5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row>
    <row r="26" spans="1:49" x14ac:dyDescent="0.25">
      <c r="A26" s="6"/>
      <c r="B26" s="89" t="s">
        <v>18</v>
      </c>
      <c r="C26" s="90"/>
      <c r="D26" s="90"/>
      <c r="E26" s="90"/>
      <c r="F26" s="90"/>
      <c r="G26" s="90"/>
      <c r="H26" s="90"/>
      <c r="I26" s="90"/>
      <c r="J26" s="90"/>
      <c r="K26" s="90"/>
      <c r="L26" s="90"/>
      <c r="M26" s="90"/>
      <c r="N26" s="90"/>
      <c r="O26" s="90">
        <v>1109300</v>
      </c>
      <c r="P26" s="90">
        <v>-1806600.0000000002</v>
      </c>
      <c r="Q26" s="90">
        <v>631600</v>
      </c>
      <c r="R26" s="90">
        <v>276100</v>
      </c>
      <c r="S26" s="51"/>
      <c r="T26" s="51"/>
      <c r="U26" s="4"/>
      <c r="V26" s="1"/>
      <c r="W26" s="1"/>
      <c r="X26" s="5"/>
      <c r="Y26" s="5"/>
      <c r="Z26" s="5"/>
      <c r="AA26" s="1"/>
      <c r="AB26" s="1"/>
      <c r="AC26" s="1"/>
      <c r="AD26" s="1"/>
      <c r="AE26" s="1"/>
      <c r="AF26" s="1"/>
      <c r="AG26" s="1"/>
      <c r="AH26" s="1"/>
      <c r="AI26" s="1"/>
      <c r="AJ26" s="1"/>
      <c r="AK26" s="1"/>
      <c r="AL26" s="1"/>
      <c r="AM26" s="1"/>
      <c r="AN26" s="1"/>
      <c r="AO26" s="1"/>
      <c r="AP26" s="1"/>
      <c r="AQ26" s="1"/>
      <c r="AR26" s="1"/>
      <c r="AS26" s="1"/>
      <c r="AT26" s="1"/>
      <c r="AU26" s="1"/>
      <c r="AV26" s="1"/>
      <c r="AW26" s="1"/>
    </row>
    <row r="27" spans="1:49" x14ac:dyDescent="0.25">
      <c r="A27" s="1"/>
      <c r="B27" s="48" t="s">
        <v>86</v>
      </c>
      <c r="C27" s="88"/>
      <c r="D27" s="88"/>
      <c r="E27" s="88"/>
      <c r="F27" s="88"/>
      <c r="G27" s="88"/>
      <c r="H27" s="88"/>
      <c r="I27" s="88"/>
      <c r="J27" s="88"/>
      <c r="K27" s="88"/>
      <c r="L27" s="88"/>
      <c r="M27" s="88"/>
      <c r="N27" s="88"/>
      <c r="O27" s="88">
        <f>O26/O11</f>
        <v>0.11826352093305896</v>
      </c>
      <c r="P27" s="88">
        <f t="shared" ref="P27:R27" si="4">P26/P11</f>
        <v>-0.17188362224801632</v>
      </c>
      <c r="Q27" s="88">
        <f t="shared" si="4"/>
        <v>5.4549380316966795E-2</v>
      </c>
      <c r="R27" s="88">
        <f t="shared" si="4"/>
        <v>0.1023919896161691</v>
      </c>
      <c r="S27" s="51"/>
      <c r="T27" s="5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row>
    <row r="28" spans="1:49" x14ac:dyDescent="0.25">
      <c r="A28" s="2"/>
      <c r="B28" s="89" t="s">
        <v>20</v>
      </c>
      <c r="C28" s="90"/>
      <c r="D28" s="90"/>
      <c r="E28" s="90"/>
      <c r="F28" s="90"/>
      <c r="G28" s="90"/>
      <c r="H28" s="90"/>
      <c r="I28" s="90"/>
      <c r="J28" s="90"/>
      <c r="K28" s="90"/>
      <c r="L28" s="90"/>
      <c r="M28" s="90"/>
      <c r="N28" s="90"/>
      <c r="O28" s="90">
        <v>-352799.99999999994</v>
      </c>
      <c r="P28" s="90">
        <v>-515700.00000000006</v>
      </c>
      <c r="Q28" s="90">
        <v>-611800</v>
      </c>
      <c r="R28" s="90">
        <v>-157700</v>
      </c>
      <c r="S28" s="51"/>
      <c r="T28" s="51"/>
      <c r="U28" s="1"/>
      <c r="V28" s="43"/>
      <c r="W28" s="1"/>
      <c r="X28" s="1"/>
      <c r="Y28" s="66"/>
      <c r="Z28" s="1"/>
      <c r="AA28" s="1"/>
      <c r="AB28" s="1"/>
      <c r="AC28" s="1"/>
      <c r="AD28" s="1"/>
      <c r="AE28" s="1"/>
      <c r="AF28" s="1"/>
      <c r="AG28" s="1"/>
      <c r="AH28" s="1"/>
      <c r="AI28" s="1"/>
      <c r="AJ28" s="1"/>
      <c r="AK28" s="1"/>
      <c r="AL28" s="1"/>
      <c r="AM28" s="1"/>
      <c r="AN28" s="1"/>
      <c r="AO28" s="1"/>
      <c r="AP28" s="1"/>
      <c r="AQ28" s="1"/>
      <c r="AR28" s="1"/>
      <c r="AS28" s="1"/>
      <c r="AT28" s="1"/>
      <c r="AU28" s="1"/>
      <c r="AV28" s="1"/>
      <c r="AW28" s="1"/>
    </row>
    <row r="29" spans="1:49" ht="18" customHeight="1" x14ac:dyDescent="0.25">
      <c r="A29" s="2"/>
      <c r="B29" s="89" t="s">
        <v>63</v>
      </c>
      <c r="C29" s="90"/>
      <c r="D29" s="90"/>
      <c r="E29" s="90"/>
      <c r="F29" s="90"/>
      <c r="G29" s="90"/>
      <c r="H29" s="90"/>
      <c r="I29" s="90"/>
      <c r="J29" s="90"/>
      <c r="K29" s="90"/>
      <c r="L29" s="90"/>
      <c r="M29" s="90"/>
      <c r="N29" s="90"/>
      <c r="O29" s="90">
        <v>756500</v>
      </c>
      <c r="P29" s="90">
        <v>-2322300</v>
      </c>
      <c r="Q29" s="90">
        <v>19800.000000000011</v>
      </c>
      <c r="R29" s="90">
        <v>118400</v>
      </c>
      <c r="S29" s="51"/>
      <c r="T29" s="5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row>
    <row r="30" spans="1:49" ht="18" customHeight="1" x14ac:dyDescent="0.25">
      <c r="A30" s="2"/>
      <c r="B30" s="89" t="s">
        <v>298</v>
      </c>
      <c r="C30" s="90"/>
      <c r="D30" s="90"/>
      <c r="E30" s="90"/>
      <c r="F30" s="90"/>
      <c r="G30" s="90"/>
      <c r="H30" s="90"/>
      <c r="I30" s="90"/>
      <c r="J30" s="90"/>
      <c r="K30" s="90"/>
      <c r="L30" s="90"/>
      <c r="M30" s="90"/>
      <c r="N30" s="90"/>
      <c r="O30" s="90">
        <v>76200</v>
      </c>
      <c r="P30" s="90">
        <v>1188000</v>
      </c>
      <c r="Q30" s="90">
        <v>181400</v>
      </c>
      <c r="R30" s="90">
        <v>-600</v>
      </c>
      <c r="S30" s="51"/>
      <c r="T30" s="5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row>
    <row r="31" spans="1:49" ht="18" customHeight="1" x14ac:dyDescent="0.25">
      <c r="A31" s="2"/>
      <c r="B31" s="91" t="s">
        <v>62</v>
      </c>
      <c r="C31" s="92"/>
      <c r="D31" s="92"/>
      <c r="E31" s="92"/>
      <c r="F31" s="92"/>
      <c r="G31" s="92"/>
      <c r="H31" s="92"/>
      <c r="I31" s="92"/>
      <c r="J31" s="92"/>
      <c r="K31" s="92"/>
      <c r="L31" s="92"/>
      <c r="M31" s="92"/>
      <c r="N31" s="92"/>
      <c r="O31" s="92">
        <f t="shared" ref="O31:P31" si="5">O30/O26</f>
        <v>6.8691967907689527E-2</v>
      </c>
      <c r="P31" s="92">
        <f t="shared" si="5"/>
        <v>-0.65758884091663894</v>
      </c>
      <c r="Q31" s="92">
        <f>Q30/Q26</f>
        <v>0.28720709309689679</v>
      </c>
      <c r="R31" s="92">
        <f>R30/R26</f>
        <v>-2.1731256791017745E-3</v>
      </c>
      <c r="S31" s="51"/>
      <c r="T31" s="5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row>
    <row r="32" spans="1:49" ht="18" customHeight="1" x14ac:dyDescent="0.25">
      <c r="A32" s="2"/>
      <c r="B32" s="89" t="s">
        <v>1</v>
      </c>
      <c r="C32" s="90"/>
      <c r="D32" s="90"/>
      <c r="E32" s="90"/>
      <c r="F32" s="90"/>
      <c r="G32" s="90"/>
      <c r="H32" s="90"/>
      <c r="I32" s="90"/>
      <c r="J32" s="90"/>
      <c r="K32" s="90"/>
      <c r="L32" s="90"/>
      <c r="M32" s="90"/>
      <c r="N32" s="90"/>
      <c r="O32" s="90">
        <v>832699.99999999988</v>
      </c>
      <c r="P32" s="90">
        <v>-1134300</v>
      </c>
      <c r="Q32" s="90">
        <v>201200.00000000003</v>
      </c>
      <c r="R32" s="90">
        <v>117800</v>
      </c>
      <c r="S32" s="51"/>
      <c r="T32" s="51"/>
      <c r="U32" s="1"/>
      <c r="V32" s="1"/>
      <c r="W32" s="1"/>
      <c r="X32" s="5"/>
      <c r="Y32" s="5"/>
      <c r="Z32" s="5"/>
      <c r="AA32" s="1"/>
      <c r="AB32" s="1"/>
      <c r="AC32" s="1"/>
      <c r="AD32" s="1"/>
      <c r="AE32" s="1"/>
      <c r="AF32" s="1"/>
      <c r="AG32" s="1"/>
      <c r="AH32" s="1"/>
      <c r="AI32" s="1"/>
      <c r="AJ32" s="1"/>
      <c r="AK32" s="1"/>
      <c r="AL32" s="1"/>
      <c r="AM32" s="1"/>
      <c r="AN32" s="1"/>
      <c r="AO32" s="1"/>
      <c r="AP32" s="1"/>
      <c r="AQ32" s="1"/>
      <c r="AR32" s="1"/>
      <c r="AS32" s="1"/>
      <c r="AT32" s="1"/>
      <c r="AU32" s="1"/>
      <c r="AV32" s="1"/>
      <c r="AW32" s="1"/>
    </row>
    <row r="33" spans="1:49" x14ac:dyDescent="0.25">
      <c r="A33" s="2"/>
      <c r="B33" s="48" t="s">
        <v>123</v>
      </c>
      <c r="C33" s="88"/>
      <c r="D33" s="88"/>
      <c r="E33" s="88"/>
      <c r="F33" s="88"/>
      <c r="G33" s="88"/>
      <c r="H33" s="88"/>
      <c r="I33" s="88"/>
      <c r="J33" s="88"/>
      <c r="K33" s="88"/>
      <c r="L33" s="88"/>
      <c r="M33" s="88"/>
      <c r="N33" s="88"/>
      <c r="O33" s="88">
        <f>O32/O11</f>
        <v>8.8774933634686901E-2</v>
      </c>
      <c r="P33" s="88">
        <f t="shared" ref="P33:R33" si="6">P32/P11</f>
        <v>-0.10791962399862995</v>
      </c>
      <c r="Q33" s="88">
        <f t="shared" si="6"/>
        <v>1.7377035021807662E-2</v>
      </c>
      <c r="R33" s="88">
        <f t="shared" si="6"/>
        <v>4.3686259966623397E-2</v>
      </c>
      <c r="S33" s="51"/>
      <c r="T33" s="51"/>
      <c r="U33" s="1"/>
      <c r="V33" s="1"/>
      <c r="W33" s="1"/>
      <c r="X33" s="5"/>
      <c r="Y33" s="5"/>
      <c r="Z33" s="5"/>
      <c r="AA33" s="1"/>
      <c r="AB33" s="1"/>
      <c r="AC33" s="1"/>
      <c r="AD33" s="1"/>
      <c r="AE33" s="1"/>
      <c r="AF33" s="1"/>
      <c r="AG33" s="1"/>
      <c r="AH33" s="1"/>
      <c r="AI33" s="1"/>
      <c r="AJ33" s="1"/>
      <c r="AK33" s="1"/>
      <c r="AL33" s="1"/>
      <c r="AM33" s="1"/>
      <c r="AN33" s="1"/>
      <c r="AO33" s="1"/>
      <c r="AP33" s="1"/>
      <c r="AQ33" s="1"/>
      <c r="AR33" s="1"/>
      <c r="AS33" s="1"/>
      <c r="AT33" s="1"/>
      <c r="AU33" s="1"/>
      <c r="AV33" s="1"/>
      <c r="AW33" s="1"/>
    </row>
    <row r="34" spans="1:49" x14ac:dyDescent="0.25">
      <c r="A34" s="1"/>
      <c r="B34" s="20"/>
      <c r="C34" s="65"/>
      <c r="D34" s="65"/>
      <c r="E34" s="65"/>
      <c r="F34" s="65"/>
      <c r="G34" s="65"/>
      <c r="H34" s="65"/>
      <c r="I34" s="65"/>
      <c r="J34" s="65"/>
      <c r="K34" s="65"/>
      <c r="L34" s="65"/>
      <c r="M34" s="65"/>
      <c r="N34" s="65"/>
      <c r="O34" s="65"/>
      <c r="P34" s="65"/>
      <c r="Q34" s="65"/>
      <c r="R34" s="65"/>
      <c r="S34" s="2"/>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row>
    <row r="35" spans="1:49" ht="18" customHeight="1" x14ac:dyDescent="0.25">
      <c r="A35" s="1"/>
      <c r="B35" s="20"/>
      <c r="C35" s="20"/>
      <c r="D35" s="20"/>
      <c r="E35" s="20"/>
      <c r="F35" s="20"/>
      <c r="G35" s="20"/>
      <c r="H35" s="20"/>
      <c r="I35" s="10"/>
      <c r="J35" s="10"/>
      <c r="K35" s="10"/>
      <c r="L35" s="10"/>
      <c r="M35" s="10"/>
      <c r="N35" s="10"/>
      <c r="O35" s="10"/>
      <c r="P35" s="2"/>
      <c r="Q35" s="2"/>
      <c r="R35" s="2"/>
      <c r="S35" s="2"/>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row>
    <row r="36" spans="1:49" ht="18" customHeight="1" x14ac:dyDescent="0.25">
      <c r="A36" s="1"/>
      <c r="B36" s="20"/>
      <c r="C36" s="20"/>
      <c r="D36" s="20"/>
      <c r="E36" s="20"/>
      <c r="F36" s="20"/>
      <c r="G36" s="20"/>
      <c r="H36" s="20"/>
      <c r="I36" s="10"/>
      <c r="J36" s="10"/>
      <c r="K36" s="10"/>
      <c r="L36" s="10"/>
      <c r="M36" s="10"/>
      <c r="N36" s="10"/>
      <c r="O36" s="10"/>
      <c r="P36" s="2"/>
      <c r="Q36" s="2"/>
      <c r="R36" s="2"/>
      <c r="S36" s="2"/>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row>
    <row r="37" spans="1:49" ht="18" customHeight="1" collapsed="1" x14ac:dyDescent="0.25">
      <c r="A37" s="1"/>
      <c r="B37" s="20"/>
      <c r="C37" s="20"/>
      <c r="D37" s="20"/>
      <c r="E37" s="20"/>
      <c r="F37" s="20"/>
      <c r="G37" s="20"/>
      <c r="H37" s="20"/>
      <c r="I37" s="10"/>
      <c r="J37" s="10"/>
      <c r="K37" s="10"/>
      <c r="L37" s="10"/>
      <c r="M37" s="10"/>
      <c r="N37" s="10"/>
      <c r="O37" s="10"/>
      <c r="P37" s="2"/>
      <c r="Q37" s="2"/>
      <c r="R37" s="2"/>
      <c r="S37" s="2"/>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row>
    <row r="38" spans="1:49" ht="18" customHeight="1" x14ac:dyDescent="0.25">
      <c r="A38" s="1"/>
      <c r="B38" s="20"/>
      <c r="C38" s="20"/>
      <c r="D38" s="20"/>
      <c r="E38" s="20"/>
      <c r="F38" s="20"/>
      <c r="G38" s="20"/>
      <c r="H38" s="20"/>
      <c r="I38" s="10"/>
      <c r="J38" s="10"/>
      <c r="K38" s="10"/>
      <c r="L38" s="10"/>
      <c r="M38" s="10"/>
      <c r="N38" s="10"/>
      <c r="O38" s="10"/>
      <c r="P38" s="2"/>
      <c r="Q38" s="2"/>
      <c r="R38" s="2"/>
      <c r="S38" s="2"/>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row>
    <row r="39" spans="1:49" ht="18" customHeight="1" x14ac:dyDescent="0.25">
      <c r="A39" s="1"/>
      <c r="B39" s="20"/>
      <c r="C39" s="20"/>
      <c r="D39" s="20"/>
      <c r="E39" s="20"/>
      <c r="F39" s="20"/>
      <c r="G39" s="20"/>
      <c r="H39" s="20"/>
      <c r="I39" s="10"/>
      <c r="J39" s="10"/>
      <c r="K39" s="10"/>
      <c r="L39" s="10"/>
      <c r="M39" s="10"/>
      <c r="N39" s="10"/>
      <c r="O39" s="10"/>
      <c r="P39" s="2"/>
      <c r="Q39" s="2"/>
      <c r="R39" s="2"/>
      <c r="S39" s="2"/>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row>
    <row r="40" spans="1:49" ht="18" customHeight="1" x14ac:dyDescent="0.25">
      <c r="A40" s="1"/>
      <c r="B40" s="20"/>
      <c r="C40" s="20"/>
      <c r="D40" s="20"/>
      <c r="E40" s="20"/>
      <c r="F40" s="20"/>
      <c r="G40" s="20"/>
      <c r="H40" s="20"/>
      <c r="I40" s="10"/>
      <c r="J40" s="10"/>
      <c r="K40" s="10"/>
      <c r="L40" s="10"/>
      <c r="M40" s="10"/>
      <c r="N40" s="10"/>
      <c r="O40" s="10"/>
      <c r="P40" s="2"/>
      <c r="Q40" s="2"/>
      <c r="R40" s="2"/>
      <c r="S40" s="2"/>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row>
    <row r="41" spans="1:49" ht="18" customHeight="1" x14ac:dyDescent="0.25">
      <c r="A41" s="1"/>
      <c r="B41" s="20"/>
      <c r="C41" s="20"/>
      <c r="D41" s="20"/>
      <c r="E41" s="20"/>
      <c r="F41" s="20"/>
      <c r="G41" s="20"/>
      <c r="H41" s="20"/>
      <c r="I41" s="10"/>
      <c r="J41" s="10"/>
      <c r="K41" s="10"/>
      <c r="L41" s="10"/>
      <c r="M41" s="10"/>
      <c r="N41" s="10"/>
      <c r="O41" s="10"/>
      <c r="P41" s="2"/>
      <c r="Q41" s="2"/>
      <c r="R41" s="2"/>
      <c r="S41" s="2"/>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row>
    <row r="42" spans="1:49" ht="18" customHeight="1" collapsed="1" x14ac:dyDescent="0.25">
      <c r="A42" s="1"/>
      <c r="B42" s="20"/>
      <c r="C42" s="20"/>
      <c r="D42" s="20"/>
      <c r="E42" s="20"/>
      <c r="F42" s="20"/>
      <c r="G42" s="20"/>
      <c r="H42" s="20"/>
      <c r="I42" s="2"/>
      <c r="J42" s="2"/>
      <c r="K42" s="2"/>
      <c r="L42" s="2"/>
      <c r="M42" s="2"/>
      <c r="N42" s="2"/>
      <c r="O42" s="2"/>
      <c r="P42" s="2"/>
      <c r="Q42" s="2"/>
      <c r="R42" s="2"/>
      <c r="S42" s="2"/>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row>
    <row r="43" spans="1:49" ht="18" customHeight="1" x14ac:dyDescent="0.25">
      <c r="A43" s="1"/>
      <c r="B43" s="20"/>
      <c r="C43" s="20"/>
      <c r="D43" s="20"/>
      <c r="E43" s="20"/>
      <c r="F43" s="20"/>
      <c r="G43" s="20"/>
      <c r="H43" s="20"/>
      <c r="I43" s="17"/>
      <c r="J43" s="17"/>
      <c r="K43" s="17"/>
      <c r="L43" s="17"/>
      <c r="M43" s="17"/>
      <c r="N43" s="17"/>
      <c r="O43" s="17"/>
      <c r="P43" s="2"/>
      <c r="Q43" s="2"/>
      <c r="R43" s="2"/>
      <c r="S43" s="2"/>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row>
    <row r="44" spans="1:49" ht="18" customHeight="1" x14ac:dyDescent="0.25">
      <c r="A44" s="1"/>
      <c r="B44" s="20"/>
      <c r="C44" s="20"/>
      <c r="D44" s="20"/>
      <c r="E44" s="20"/>
      <c r="F44" s="20"/>
      <c r="G44" s="20"/>
      <c r="H44" s="20"/>
      <c r="I44" s="10"/>
      <c r="J44" s="10"/>
      <c r="K44" s="10"/>
      <c r="L44" s="10"/>
      <c r="M44" s="10"/>
      <c r="N44" s="10"/>
      <c r="O44" s="10"/>
      <c r="P44" s="2"/>
      <c r="Q44" s="2"/>
      <c r="R44" s="2"/>
      <c r="S44" s="2"/>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row>
    <row r="45" spans="1:49" ht="18" customHeight="1" x14ac:dyDescent="0.25">
      <c r="A45" s="1"/>
      <c r="B45" s="20"/>
      <c r="C45" s="20"/>
      <c r="D45" s="20"/>
      <c r="E45" s="20"/>
      <c r="F45" s="20"/>
      <c r="G45" s="20"/>
      <c r="H45" s="20"/>
      <c r="I45" s="10"/>
      <c r="J45" s="10"/>
      <c r="K45" s="10"/>
      <c r="L45" s="10"/>
      <c r="M45" s="10"/>
      <c r="N45" s="10"/>
      <c r="O45" s="10"/>
      <c r="P45" s="2"/>
      <c r="Q45" s="2"/>
      <c r="R45" s="2"/>
      <c r="S45" s="2"/>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row>
    <row r="46" spans="1:49" ht="18" customHeight="1" x14ac:dyDescent="0.25">
      <c r="A46" s="1"/>
      <c r="B46" s="20"/>
      <c r="C46" s="20"/>
      <c r="D46" s="20"/>
      <c r="E46" s="20"/>
      <c r="F46" s="20"/>
      <c r="G46" s="20"/>
      <c r="H46" s="20"/>
      <c r="I46" s="14"/>
      <c r="J46" s="14"/>
      <c r="K46" s="14"/>
      <c r="L46" s="14"/>
      <c r="M46" s="14"/>
      <c r="N46" s="14"/>
      <c r="O46" s="14"/>
      <c r="P46" s="2"/>
      <c r="Q46" s="2"/>
      <c r="R46" s="2"/>
      <c r="S46" s="2"/>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row>
    <row r="47" spans="1:49" ht="18" customHeight="1" x14ac:dyDescent="0.25">
      <c r="A47" s="1"/>
      <c r="B47" s="20"/>
      <c r="C47" s="20"/>
      <c r="D47" s="20"/>
      <c r="E47" s="20"/>
      <c r="F47" s="20"/>
      <c r="G47" s="20"/>
      <c r="H47" s="20"/>
      <c r="I47" s="10"/>
      <c r="J47" s="10"/>
      <c r="K47" s="10"/>
      <c r="L47" s="10"/>
      <c r="M47" s="10"/>
      <c r="N47" s="10"/>
      <c r="O47" s="10"/>
      <c r="P47" s="2"/>
      <c r="Q47" s="2"/>
      <c r="R47" s="2"/>
      <c r="S47" s="2"/>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row>
    <row r="48" spans="1:49" ht="18" customHeight="1" x14ac:dyDescent="0.25">
      <c r="A48" s="1"/>
      <c r="B48" s="20"/>
      <c r="C48" s="20"/>
      <c r="D48" s="20"/>
      <c r="E48" s="20"/>
      <c r="F48" s="20"/>
      <c r="G48" s="20"/>
      <c r="H48" s="20"/>
      <c r="I48" s="10"/>
      <c r="J48" s="10"/>
      <c r="K48" s="10"/>
      <c r="L48" s="10"/>
      <c r="M48" s="10"/>
      <c r="N48" s="10"/>
      <c r="O48" s="10"/>
      <c r="P48" s="2"/>
      <c r="Q48" s="2"/>
      <c r="R48" s="2"/>
      <c r="S48" s="2"/>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row>
    <row r="49" spans="1:49" ht="18" customHeight="1" collapsed="1" x14ac:dyDescent="0.25">
      <c r="A49" s="1"/>
      <c r="B49" s="20"/>
      <c r="C49" s="20"/>
      <c r="D49" s="20"/>
      <c r="E49" s="20"/>
      <c r="F49" s="20"/>
      <c r="G49" s="20"/>
      <c r="H49" s="20"/>
      <c r="I49" s="10"/>
      <c r="J49" s="10"/>
      <c r="K49" s="10"/>
      <c r="L49" s="10"/>
      <c r="M49" s="10"/>
      <c r="N49" s="10"/>
      <c r="O49" s="10"/>
      <c r="P49" s="2"/>
      <c r="Q49" s="2"/>
      <c r="R49" s="2"/>
      <c r="S49" s="2"/>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row>
    <row r="50" spans="1:49" ht="18" customHeight="1" x14ac:dyDescent="0.25">
      <c r="A50" s="1"/>
      <c r="B50" s="20"/>
      <c r="C50" s="20"/>
      <c r="D50" s="20"/>
      <c r="E50" s="20"/>
      <c r="F50" s="20"/>
      <c r="G50" s="20"/>
      <c r="H50" s="20"/>
      <c r="I50" s="10"/>
      <c r="J50" s="10"/>
      <c r="K50" s="10"/>
      <c r="L50" s="10"/>
      <c r="M50" s="10"/>
      <c r="N50" s="10"/>
      <c r="O50" s="10"/>
      <c r="P50" s="2"/>
      <c r="Q50" s="2"/>
      <c r="R50" s="2"/>
      <c r="S50" s="2"/>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row>
    <row r="51" spans="1:49" ht="18" customHeight="1" x14ac:dyDescent="0.25">
      <c r="A51" s="1"/>
      <c r="B51" s="20"/>
      <c r="C51" s="20"/>
      <c r="D51" s="20"/>
      <c r="E51" s="20"/>
      <c r="F51" s="20"/>
      <c r="G51" s="20"/>
      <c r="H51" s="20"/>
      <c r="I51" s="10"/>
      <c r="J51" s="10"/>
      <c r="K51" s="10"/>
      <c r="L51" s="10"/>
      <c r="M51" s="10"/>
      <c r="N51" s="10"/>
      <c r="O51" s="10"/>
      <c r="P51" s="2"/>
      <c r="Q51" s="2"/>
      <c r="R51" s="2"/>
      <c r="S51" s="2"/>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row>
    <row r="52" spans="1:49" ht="18" customHeight="1" x14ac:dyDescent="0.25">
      <c r="A52" s="1"/>
      <c r="B52" s="20"/>
      <c r="C52" s="20"/>
      <c r="D52" s="20"/>
      <c r="E52" s="20"/>
      <c r="F52" s="20"/>
      <c r="G52" s="20"/>
      <c r="H52" s="20"/>
      <c r="I52" s="10"/>
      <c r="J52" s="10"/>
      <c r="K52" s="10"/>
      <c r="L52" s="10"/>
      <c r="M52" s="10"/>
      <c r="N52" s="10"/>
      <c r="O52" s="10"/>
      <c r="P52" s="2"/>
      <c r="Q52" s="2"/>
      <c r="R52" s="2"/>
      <c r="S52" s="2"/>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row>
    <row r="53" spans="1:49" ht="18" customHeight="1" x14ac:dyDescent="0.25">
      <c r="A53" s="1"/>
      <c r="B53" s="20"/>
      <c r="C53" s="20"/>
      <c r="D53" s="20"/>
      <c r="E53" s="20"/>
      <c r="F53" s="20"/>
      <c r="G53" s="20"/>
      <c r="H53" s="20"/>
      <c r="I53" s="10"/>
      <c r="J53" s="10"/>
      <c r="K53" s="10"/>
      <c r="L53" s="10"/>
      <c r="M53" s="10"/>
      <c r="N53" s="10"/>
      <c r="O53" s="10"/>
      <c r="P53" s="2"/>
      <c r="Q53" s="2"/>
      <c r="R53" s="2"/>
      <c r="S53" s="2"/>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row>
    <row r="54" spans="1:49" ht="18" customHeight="1" collapsed="1" x14ac:dyDescent="0.25">
      <c r="A54" s="1"/>
      <c r="B54" s="20"/>
      <c r="C54" s="20"/>
      <c r="D54" s="20"/>
      <c r="E54" s="20"/>
      <c r="F54" s="20"/>
      <c r="G54" s="20"/>
      <c r="H54" s="20"/>
      <c r="I54" s="14"/>
      <c r="J54" s="14"/>
      <c r="K54" s="14"/>
      <c r="L54" s="14"/>
      <c r="M54" s="14"/>
      <c r="N54" s="14"/>
      <c r="O54" s="14"/>
      <c r="P54" s="2"/>
      <c r="Q54" s="2"/>
      <c r="R54" s="2"/>
      <c r="S54" s="2"/>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row>
    <row r="55" spans="1:49" ht="18" customHeight="1" x14ac:dyDescent="0.25">
      <c r="A55" s="1"/>
      <c r="B55" s="20"/>
      <c r="C55" s="20"/>
      <c r="D55" s="20"/>
      <c r="E55" s="20"/>
      <c r="F55" s="20"/>
      <c r="G55" s="20"/>
      <c r="H55" s="20"/>
      <c r="I55" s="14"/>
      <c r="J55" s="14"/>
      <c r="K55" s="14"/>
      <c r="L55" s="14"/>
      <c r="M55" s="14"/>
      <c r="N55" s="14"/>
      <c r="O55" s="14"/>
      <c r="P55" s="2"/>
      <c r="Q55" s="2"/>
      <c r="R55" s="2"/>
      <c r="S55" s="2"/>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row>
    <row r="56" spans="1:49" ht="18" customHeight="1" x14ac:dyDescent="0.25">
      <c r="A56" s="1"/>
      <c r="B56" s="20"/>
      <c r="C56" s="20"/>
      <c r="D56" s="20"/>
      <c r="E56" s="20"/>
      <c r="F56" s="20"/>
      <c r="G56" s="20"/>
      <c r="H56" s="20"/>
      <c r="I56" s="14"/>
      <c r="J56" s="14"/>
      <c r="K56" s="14"/>
      <c r="L56" s="14"/>
      <c r="M56" s="14"/>
      <c r="N56" s="14"/>
      <c r="O56" s="14"/>
      <c r="P56" s="2"/>
      <c r="Q56" s="2"/>
      <c r="R56" s="2"/>
      <c r="S56" s="2"/>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row>
    <row r="57" spans="1:49" ht="18" customHeight="1" x14ac:dyDescent="0.25">
      <c r="A57" s="1"/>
      <c r="B57" s="20"/>
      <c r="C57" s="20"/>
      <c r="D57" s="20"/>
      <c r="E57" s="20"/>
      <c r="F57" s="20"/>
      <c r="G57" s="20"/>
      <c r="H57" s="20"/>
      <c r="I57" s="10"/>
      <c r="J57" s="10"/>
      <c r="K57" s="10"/>
      <c r="L57" s="10"/>
      <c r="M57" s="10"/>
      <c r="N57" s="10"/>
      <c r="O57" s="10"/>
      <c r="P57" s="2"/>
      <c r="Q57" s="2"/>
      <c r="R57" s="2"/>
      <c r="S57" s="2"/>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row>
    <row r="58" spans="1:49" x14ac:dyDescent="0.25">
      <c r="A58" s="1"/>
      <c r="B58" s="1"/>
      <c r="C58" s="1"/>
      <c r="D58" s="1"/>
      <c r="E58" s="1"/>
      <c r="F58" s="1"/>
      <c r="G58" s="1"/>
      <c r="H58" s="1"/>
      <c r="I58" s="2"/>
      <c r="J58" s="2"/>
      <c r="K58" s="2"/>
      <c r="L58" s="2"/>
      <c r="M58" s="2"/>
      <c r="N58" s="2"/>
      <c r="O58" s="2"/>
      <c r="P58" s="2"/>
      <c r="Q58" s="2"/>
      <c r="R58" s="2"/>
      <c r="S58" s="2"/>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row>
    <row r="59" spans="1:49" x14ac:dyDescent="0.25">
      <c r="A59" s="1"/>
      <c r="B59" s="1"/>
      <c r="C59" s="1"/>
      <c r="D59" s="1"/>
      <c r="E59" s="1"/>
      <c r="F59" s="1"/>
      <c r="G59" s="1"/>
      <c r="H59" s="1"/>
      <c r="I59" s="2"/>
      <c r="J59" s="2"/>
      <c r="K59" s="2"/>
      <c r="L59" s="2"/>
      <c r="M59" s="2"/>
      <c r="N59" s="2"/>
      <c r="O59" s="2"/>
      <c r="P59" s="2"/>
      <c r="Q59" s="2"/>
      <c r="R59" s="2"/>
      <c r="S59" s="2"/>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row>
    <row r="60" spans="1:49" x14ac:dyDescent="0.25">
      <c r="A60" s="1"/>
      <c r="B60" s="1"/>
      <c r="C60" s="1"/>
      <c r="D60" s="1"/>
      <c r="E60" s="1"/>
      <c r="F60" s="1"/>
      <c r="G60" s="1"/>
      <c r="H60" s="1"/>
      <c r="I60" s="2"/>
      <c r="J60" s="2"/>
      <c r="K60" s="2"/>
      <c r="L60" s="2"/>
      <c r="M60" s="2"/>
      <c r="N60" s="2"/>
      <c r="O60" s="2"/>
      <c r="P60" s="2"/>
      <c r="Q60" s="2"/>
      <c r="R60" s="2"/>
      <c r="S60" s="2"/>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row>
    <row r="61" spans="1:49" x14ac:dyDescent="0.25">
      <c r="A61" s="1"/>
      <c r="B61" s="1"/>
      <c r="C61" s="1"/>
      <c r="D61" s="1"/>
      <c r="E61" s="1"/>
      <c r="F61" s="1"/>
      <c r="G61" s="1"/>
      <c r="H61" s="1"/>
      <c r="I61" s="2"/>
      <c r="J61" s="2"/>
      <c r="K61" s="2"/>
      <c r="L61" s="2"/>
      <c r="M61" s="2"/>
      <c r="N61" s="2"/>
      <c r="O61" s="2"/>
      <c r="P61" s="2"/>
      <c r="Q61" s="2"/>
      <c r="R61" s="2"/>
      <c r="S61" s="2"/>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row>
    <row r="62" spans="1:49" x14ac:dyDescent="0.25">
      <c r="A62" s="1"/>
      <c r="B62" s="1"/>
      <c r="C62" s="1"/>
      <c r="D62" s="1"/>
      <c r="E62" s="1"/>
      <c r="F62" s="1"/>
      <c r="G62" s="1"/>
      <c r="H62" s="1"/>
      <c r="I62" s="2"/>
      <c r="J62" s="2"/>
      <c r="K62" s="2"/>
      <c r="L62" s="2"/>
      <c r="M62" s="2"/>
      <c r="N62" s="2"/>
      <c r="O62" s="2"/>
      <c r="P62" s="2"/>
      <c r="Q62" s="2"/>
      <c r="R62" s="2"/>
      <c r="S62" s="2"/>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row>
    <row r="63" spans="1:49" x14ac:dyDescent="0.25">
      <c r="A63" s="1"/>
      <c r="B63" s="1"/>
      <c r="C63" s="1"/>
      <c r="D63" s="1"/>
      <c r="E63" s="1"/>
      <c r="F63" s="1"/>
      <c r="G63" s="1"/>
      <c r="H63" s="1"/>
      <c r="I63" s="2"/>
      <c r="J63" s="2"/>
      <c r="K63" s="2"/>
      <c r="L63" s="2"/>
      <c r="M63" s="2"/>
      <c r="N63" s="2"/>
      <c r="O63" s="2"/>
      <c r="P63" s="2"/>
      <c r="Q63" s="2"/>
      <c r="R63" s="2"/>
      <c r="S63" s="2"/>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row>
    <row r="64" spans="1:49" x14ac:dyDescent="0.25">
      <c r="A64" s="1"/>
      <c r="B64" s="1"/>
      <c r="C64" s="1"/>
      <c r="D64" s="1"/>
      <c r="E64" s="1"/>
      <c r="F64" s="1"/>
      <c r="G64" s="1"/>
      <c r="H64" s="1"/>
      <c r="I64" s="2"/>
      <c r="J64" s="2"/>
      <c r="K64" s="2"/>
      <c r="L64" s="2"/>
      <c r="M64" s="2"/>
      <c r="N64" s="2"/>
      <c r="O64" s="2"/>
      <c r="P64" s="2"/>
      <c r="Q64" s="2"/>
      <c r="R64" s="2"/>
      <c r="S64" s="2"/>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row>
    <row r="65" spans="1:49" x14ac:dyDescent="0.25">
      <c r="A65" s="1"/>
      <c r="B65" s="1"/>
      <c r="C65" s="1"/>
      <c r="D65" s="1"/>
      <c r="E65" s="1"/>
      <c r="F65" s="1"/>
      <c r="G65" s="1"/>
      <c r="H65" s="1"/>
      <c r="I65" s="2"/>
      <c r="J65" s="2"/>
      <c r="K65" s="2"/>
      <c r="L65" s="2"/>
      <c r="M65" s="2"/>
      <c r="N65" s="2"/>
      <c r="O65" s="2"/>
      <c r="P65" s="2"/>
      <c r="Q65" s="2"/>
      <c r="R65" s="2"/>
      <c r="S65" s="2"/>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row>
    <row r="66" spans="1:49" x14ac:dyDescent="0.25">
      <c r="A66" s="1"/>
      <c r="B66" s="1"/>
      <c r="C66" s="1"/>
      <c r="D66" s="1"/>
      <c r="E66" s="1"/>
      <c r="F66" s="1"/>
      <c r="G66" s="1"/>
      <c r="H66" s="1"/>
      <c r="I66" s="2"/>
      <c r="J66" s="2"/>
      <c r="K66" s="2"/>
      <c r="L66" s="2"/>
      <c r="M66" s="2"/>
      <c r="N66" s="2"/>
      <c r="O66" s="2"/>
      <c r="P66" s="2"/>
      <c r="Q66" s="2"/>
      <c r="R66" s="2"/>
      <c r="S66" s="2"/>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row>
    <row r="67" spans="1:49" x14ac:dyDescent="0.25">
      <c r="A67" s="1"/>
      <c r="B67" s="1"/>
      <c r="C67" s="1"/>
      <c r="D67" s="1"/>
      <c r="E67" s="1"/>
      <c r="F67" s="1"/>
      <c r="G67" s="1"/>
      <c r="H67" s="1"/>
      <c r="I67" s="2"/>
      <c r="J67" s="2"/>
      <c r="K67" s="2"/>
      <c r="L67" s="2"/>
      <c r="M67" s="2"/>
      <c r="N67" s="2"/>
      <c r="O67" s="2"/>
      <c r="P67" s="2"/>
      <c r="Q67" s="2"/>
      <c r="R67" s="2"/>
      <c r="S67" s="2"/>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row>
    <row r="68" spans="1:49" x14ac:dyDescent="0.25">
      <c r="A68" s="1"/>
      <c r="B68" s="1"/>
      <c r="C68" s="1"/>
      <c r="D68" s="1"/>
      <c r="E68" s="1"/>
      <c r="F68" s="1"/>
      <c r="G68" s="1"/>
      <c r="H68" s="1"/>
      <c r="I68" s="2"/>
      <c r="J68" s="2"/>
      <c r="K68" s="2"/>
      <c r="L68" s="2"/>
      <c r="M68" s="2"/>
      <c r="N68" s="2"/>
      <c r="O68" s="2"/>
      <c r="P68" s="2"/>
      <c r="Q68" s="2"/>
      <c r="R68" s="2"/>
      <c r="S68" s="2"/>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row>
    <row r="69" spans="1:49" x14ac:dyDescent="0.25">
      <c r="A69" s="1"/>
      <c r="B69" s="1"/>
      <c r="C69" s="1"/>
      <c r="D69" s="1"/>
      <c r="E69" s="1"/>
      <c r="F69" s="1"/>
      <c r="G69" s="1"/>
      <c r="H69" s="1"/>
      <c r="I69" s="2"/>
      <c r="J69" s="2"/>
      <c r="K69" s="2"/>
      <c r="L69" s="2"/>
      <c r="M69" s="2"/>
      <c r="N69" s="2"/>
      <c r="O69" s="2"/>
      <c r="P69" s="2"/>
      <c r="Q69" s="2"/>
      <c r="R69" s="2"/>
      <c r="S69" s="2"/>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row>
    <row r="70" spans="1:49" x14ac:dyDescent="0.25">
      <c r="A70" s="1"/>
      <c r="B70" s="1"/>
      <c r="C70" s="1"/>
      <c r="D70" s="1"/>
      <c r="E70" s="1"/>
      <c r="F70" s="1"/>
      <c r="G70" s="1"/>
      <c r="H70" s="1"/>
      <c r="I70" s="2"/>
      <c r="J70" s="2"/>
      <c r="K70" s="2"/>
      <c r="L70" s="2"/>
      <c r="M70" s="2"/>
      <c r="N70" s="2"/>
      <c r="O70" s="2"/>
      <c r="P70" s="2"/>
      <c r="Q70" s="2"/>
      <c r="R70" s="2"/>
      <c r="S70" s="2"/>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row>
    <row r="71" spans="1:49" x14ac:dyDescent="0.25">
      <c r="A71" s="1"/>
      <c r="B71" s="1"/>
      <c r="C71" s="1"/>
      <c r="D71" s="1"/>
      <c r="E71" s="1"/>
      <c r="F71" s="1"/>
      <c r="G71" s="1"/>
      <c r="H71" s="1"/>
      <c r="I71" s="2"/>
      <c r="J71" s="2"/>
      <c r="K71" s="2"/>
      <c r="L71" s="2"/>
      <c r="M71" s="2"/>
      <c r="N71" s="2"/>
      <c r="O71" s="2"/>
      <c r="P71" s="2"/>
      <c r="Q71" s="2"/>
      <c r="R71" s="2"/>
      <c r="S71" s="2"/>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row>
    <row r="72" spans="1:49" x14ac:dyDescent="0.25">
      <c r="A72" s="1"/>
      <c r="B72" s="1"/>
      <c r="C72" s="1"/>
      <c r="D72" s="1"/>
      <c r="E72" s="1"/>
      <c r="F72" s="1"/>
      <c r="G72" s="1"/>
      <c r="H72" s="1"/>
      <c r="I72" s="2"/>
      <c r="J72" s="2"/>
      <c r="K72" s="2"/>
      <c r="L72" s="2"/>
      <c r="M72" s="2"/>
      <c r="N72" s="2"/>
      <c r="O72" s="2"/>
      <c r="P72" s="2"/>
      <c r="Q72" s="2"/>
      <c r="R72" s="2"/>
      <c r="S72" s="2"/>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row>
    <row r="73" spans="1:49" x14ac:dyDescent="0.25">
      <c r="A73" s="1"/>
      <c r="B73" s="1"/>
      <c r="C73" s="1"/>
      <c r="D73" s="1"/>
      <c r="E73" s="1"/>
      <c r="F73" s="1"/>
      <c r="G73" s="1"/>
      <c r="H73" s="1"/>
      <c r="I73" s="2"/>
      <c r="J73" s="2"/>
      <c r="K73" s="2"/>
      <c r="L73" s="2"/>
      <c r="M73" s="2"/>
      <c r="N73" s="2"/>
      <c r="O73" s="2"/>
      <c r="P73" s="2"/>
      <c r="Q73" s="2"/>
      <c r="R73" s="2"/>
      <c r="S73" s="2"/>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row>
    <row r="74" spans="1:49" x14ac:dyDescent="0.25">
      <c r="A74" s="1"/>
      <c r="B74" s="1"/>
      <c r="C74" s="1"/>
      <c r="D74" s="1"/>
      <c r="E74" s="1"/>
      <c r="F74" s="1"/>
      <c r="G74" s="1"/>
      <c r="H74" s="1"/>
      <c r="I74" s="2"/>
      <c r="J74" s="2"/>
      <c r="K74" s="2"/>
      <c r="L74" s="2"/>
      <c r="M74" s="2"/>
      <c r="N74" s="2"/>
      <c r="O74" s="2"/>
      <c r="P74" s="2"/>
      <c r="Q74" s="2"/>
      <c r="R74" s="2"/>
      <c r="S74" s="2"/>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row>
    <row r="75" spans="1:49" x14ac:dyDescent="0.25">
      <c r="A75" s="1"/>
      <c r="B75" s="1"/>
      <c r="C75" s="1"/>
      <c r="D75" s="1"/>
      <c r="E75" s="1"/>
      <c r="F75" s="1"/>
      <c r="G75" s="1"/>
      <c r="H75" s="1"/>
      <c r="I75" s="2"/>
      <c r="J75" s="2"/>
      <c r="K75" s="2"/>
      <c r="L75" s="2"/>
      <c r="M75" s="2"/>
      <c r="N75" s="2"/>
      <c r="O75" s="2"/>
      <c r="P75" s="2"/>
      <c r="Q75" s="2"/>
      <c r="R75" s="2"/>
      <c r="S75" s="2"/>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row>
    <row r="76" spans="1:49" x14ac:dyDescent="0.25">
      <c r="A76" s="1"/>
      <c r="B76" s="1"/>
      <c r="C76" s="1"/>
      <c r="D76" s="1"/>
      <c r="E76" s="1"/>
      <c r="F76" s="1"/>
      <c r="G76" s="1"/>
      <c r="H76" s="1"/>
      <c r="I76" s="2"/>
      <c r="J76" s="2"/>
      <c r="K76" s="2"/>
      <c r="L76" s="2"/>
      <c r="M76" s="2"/>
      <c r="N76" s="2"/>
      <c r="O76" s="2"/>
      <c r="P76" s="2"/>
      <c r="Q76" s="2"/>
      <c r="R76" s="2"/>
      <c r="S76" s="2"/>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row>
    <row r="77" spans="1:49" x14ac:dyDescent="0.25">
      <c r="A77" s="1"/>
      <c r="B77" s="1"/>
      <c r="C77" s="1"/>
      <c r="D77" s="1"/>
      <c r="E77" s="1"/>
      <c r="F77" s="1"/>
      <c r="G77" s="1"/>
      <c r="H77" s="1"/>
      <c r="I77" s="2"/>
      <c r="J77" s="2"/>
      <c r="K77" s="2"/>
      <c r="L77" s="2"/>
      <c r="M77" s="2"/>
      <c r="N77" s="2"/>
      <c r="O77" s="2"/>
      <c r="P77" s="2"/>
      <c r="Q77" s="2"/>
      <c r="R77" s="2"/>
      <c r="S77" s="2"/>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row>
    <row r="78" spans="1:49" x14ac:dyDescent="0.25">
      <c r="A78" s="1"/>
      <c r="B78" s="1"/>
      <c r="C78" s="1"/>
      <c r="D78" s="1"/>
      <c r="E78" s="1"/>
      <c r="F78" s="1"/>
      <c r="G78" s="1"/>
      <c r="H78" s="1"/>
      <c r="I78" s="2"/>
      <c r="J78" s="2"/>
      <c r="K78" s="2"/>
      <c r="L78" s="2"/>
      <c r="M78" s="2"/>
      <c r="N78" s="2"/>
      <c r="O78" s="2"/>
      <c r="P78" s="2"/>
      <c r="Q78" s="2"/>
      <c r="R78" s="2"/>
      <c r="S78" s="2"/>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row>
    <row r="79" spans="1:49" x14ac:dyDescent="0.25">
      <c r="A79" s="1"/>
      <c r="B79" s="1"/>
      <c r="C79" s="1"/>
      <c r="D79" s="1"/>
      <c r="E79" s="1"/>
      <c r="F79" s="1"/>
      <c r="G79" s="1"/>
      <c r="H79" s="1"/>
      <c r="I79" s="2"/>
      <c r="J79" s="2"/>
      <c r="K79" s="2"/>
      <c r="L79" s="2"/>
      <c r="M79" s="2"/>
      <c r="N79" s="2"/>
      <c r="O79" s="2"/>
      <c r="P79" s="2"/>
      <c r="Q79" s="2"/>
      <c r="R79" s="2"/>
      <c r="S79" s="2"/>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row>
    <row r="80" spans="1:49" x14ac:dyDescent="0.25">
      <c r="A80" s="1"/>
      <c r="B80" s="1"/>
      <c r="C80" s="1"/>
      <c r="D80" s="1"/>
      <c r="E80" s="1"/>
      <c r="F80" s="1"/>
      <c r="G80" s="1"/>
      <c r="H80" s="1"/>
      <c r="I80" s="2"/>
      <c r="J80" s="2"/>
      <c r="K80" s="2"/>
      <c r="L80" s="2"/>
      <c r="M80" s="2"/>
      <c r="N80" s="2"/>
      <c r="O80" s="2"/>
      <c r="P80" s="2"/>
      <c r="Q80" s="2"/>
      <c r="R80" s="2"/>
      <c r="S80" s="2"/>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row>
    <row r="81" spans="1:49" x14ac:dyDescent="0.25">
      <c r="A81" s="1"/>
      <c r="B81" s="1"/>
      <c r="C81" s="1"/>
      <c r="D81" s="1"/>
      <c r="E81" s="1"/>
      <c r="F81" s="1"/>
      <c r="G81" s="1"/>
      <c r="H81" s="1"/>
      <c r="I81" s="2"/>
      <c r="J81" s="2"/>
      <c r="K81" s="2"/>
      <c r="L81" s="2"/>
      <c r="M81" s="2"/>
      <c r="N81" s="2"/>
      <c r="O81" s="2"/>
      <c r="P81" s="2"/>
      <c r="Q81" s="2"/>
      <c r="R81" s="2"/>
      <c r="S81" s="2"/>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row>
    <row r="82" spans="1:49" x14ac:dyDescent="0.25">
      <c r="A82" s="1"/>
      <c r="B82" s="1"/>
      <c r="C82" s="1"/>
      <c r="D82" s="1"/>
      <c r="E82" s="1"/>
      <c r="F82" s="1"/>
      <c r="G82" s="1"/>
      <c r="H82" s="1"/>
      <c r="I82" s="2"/>
      <c r="J82" s="2"/>
      <c r="K82" s="2"/>
      <c r="L82" s="2"/>
      <c r="M82" s="2"/>
      <c r="N82" s="2"/>
      <c r="O82" s="2"/>
      <c r="P82" s="2"/>
      <c r="Q82" s="2"/>
      <c r="R82" s="2"/>
      <c r="S82" s="2"/>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row>
    <row r="83" spans="1:49" x14ac:dyDescent="0.25">
      <c r="A83" s="1"/>
      <c r="B83" s="1"/>
      <c r="C83" s="1"/>
      <c r="D83" s="1"/>
      <c r="E83" s="1"/>
      <c r="F83" s="1"/>
      <c r="G83" s="1"/>
      <c r="H83" s="1"/>
      <c r="I83" s="2"/>
      <c r="J83" s="2"/>
      <c r="K83" s="2"/>
      <c r="L83" s="2"/>
      <c r="M83" s="2"/>
      <c r="N83" s="2"/>
      <c r="O83" s="2"/>
      <c r="P83" s="2"/>
      <c r="Q83" s="2"/>
      <c r="R83" s="2"/>
      <c r="S83" s="2"/>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row>
    <row r="84" spans="1:49" x14ac:dyDescent="0.25">
      <c r="A84" s="1"/>
      <c r="B84" s="1"/>
      <c r="C84" s="1"/>
      <c r="D84" s="1"/>
      <c r="E84" s="1"/>
      <c r="F84" s="1"/>
      <c r="G84" s="1"/>
      <c r="H84" s="1"/>
      <c r="I84" s="2"/>
      <c r="J84" s="2"/>
      <c r="K84" s="2"/>
      <c r="L84" s="2"/>
      <c r="M84" s="2"/>
      <c r="N84" s="2"/>
      <c r="O84" s="2"/>
      <c r="P84" s="2"/>
      <c r="Q84" s="2"/>
      <c r="R84" s="2"/>
      <c r="S84" s="2"/>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row>
    <row r="85" spans="1:49" x14ac:dyDescent="0.25">
      <c r="A85" s="1"/>
      <c r="B85" s="1"/>
      <c r="C85" s="1"/>
      <c r="D85" s="1"/>
      <c r="E85" s="1"/>
      <c r="F85" s="1"/>
      <c r="G85" s="1"/>
      <c r="H85" s="1"/>
      <c r="I85" s="2"/>
      <c r="J85" s="2"/>
      <c r="K85" s="2"/>
      <c r="L85" s="2"/>
      <c r="M85" s="2"/>
      <c r="N85" s="2"/>
      <c r="O85" s="2"/>
      <c r="P85" s="2"/>
      <c r="Q85" s="2"/>
      <c r="R85" s="2"/>
      <c r="S85" s="2"/>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row>
    <row r="86" spans="1:49" x14ac:dyDescent="0.25">
      <c r="A86" s="1"/>
      <c r="B86" s="1"/>
      <c r="C86" s="1"/>
      <c r="D86" s="1"/>
      <c r="E86" s="1"/>
      <c r="F86" s="1"/>
      <c r="G86" s="1"/>
      <c r="H86" s="1"/>
      <c r="I86" s="2"/>
      <c r="J86" s="2"/>
      <c r="K86" s="2"/>
      <c r="L86" s="2"/>
      <c r="M86" s="2"/>
      <c r="N86" s="2"/>
      <c r="O86" s="2"/>
      <c r="P86" s="2"/>
      <c r="Q86" s="2"/>
      <c r="R86" s="2"/>
      <c r="S86" s="2"/>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row>
    <row r="87" spans="1:49" x14ac:dyDescent="0.25">
      <c r="A87" s="1"/>
      <c r="B87" s="1"/>
      <c r="C87" s="1"/>
      <c r="D87" s="1"/>
      <c r="E87" s="1"/>
      <c r="F87" s="1"/>
      <c r="G87" s="1"/>
      <c r="H87" s="1"/>
      <c r="I87" s="2"/>
      <c r="J87" s="2"/>
      <c r="K87" s="2"/>
      <c r="L87" s="2"/>
      <c r="M87" s="2"/>
      <c r="N87" s="2"/>
      <c r="O87" s="2"/>
      <c r="P87" s="2"/>
      <c r="Q87" s="2"/>
      <c r="R87" s="2"/>
      <c r="S87" s="2"/>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row>
    <row r="88" spans="1:49" x14ac:dyDescent="0.25">
      <c r="A88" s="1"/>
      <c r="B88" s="1"/>
      <c r="C88" s="1"/>
      <c r="D88" s="1"/>
      <c r="E88" s="1"/>
      <c r="F88" s="1"/>
      <c r="G88" s="1"/>
      <c r="H88" s="1"/>
      <c r="I88" s="2"/>
      <c r="J88" s="2"/>
      <c r="K88" s="2"/>
      <c r="L88" s="2"/>
      <c r="M88" s="2"/>
      <c r="N88" s="2"/>
      <c r="O88" s="2"/>
      <c r="P88" s="2"/>
      <c r="Q88" s="2"/>
      <c r="R88" s="2"/>
      <c r="S88" s="2"/>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row>
    <row r="89" spans="1:49" x14ac:dyDescent="0.25">
      <c r="A89" s="1"/>
      <c r="B89" s="1"/>
      <c r="C89" s="1"/>
      <c r="D89" s="1"/>
      <c r="E89" s="1"/>
      <c r="F89" s="1"/>
      <c r="G89" s="1"/>
      <c r="H89" s="1"/>
      <c r="I89" s="2"/>
      <c r="J89" s="2"/>
      <c r="K89" s="2"/>
      <c r="L89" s="2"/>
      <c r="M89" s="2"/>
      <c r="N89" s="2"/>
      <c r="O89" s="2"/>
      <c r="P89" s="2"/>
      <c r="Q89" s="2"/>
      <c r="R89" s="2"/>
      <c r="S89" s="2"/>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row>
    <row r="90" spans="1:49" x14ac:dyDescent="0.25">
      <c r="A90" s="1"/>
      <c r="B90" s="1"/>
      <c r="C90" s="1"/>
      <c r="D90" s="1"/>
      <c r="E90" s="1"/>
      <c r="F90" s="1"/>
      <c r="G90" s="1"/>
      <c r="H90" s="1"/>
      <c r="I90" s="2"/>
      <c r="J90" s="2"/>
      <c r="K90" s="2"/>
      <c r="L90" s="2"/>
      <c r="M90" s="2"/>
      <c r="N90" s="2"/>
      <c r="O90" s="2"/>
      <c r="P90" s="2"/>
      <c r="Q90" s="2"/>
      <c r="R90" s="2"/>
      <c r="S90" s="2"/>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row>
    <row r="91" spans="1:49" x14ac:dyDescent="0.25">
      <c r="A91" s="1"/>
      <c r="B91" s="1"/>
      <c r="C91" s="1"/>
      <c r="D91" s="1"/>
      <c r="E91" s="1"/>
      <c r="F91" s="1"/>
      <c r="G91" s="1"/>
      <c r="H91" s="1"/>
      <c r="I91" s="2"/>
      <c r="J91" s="2"/>
      <c r="K91" s="2"/>
      <c r="L91" s="2"/>
      <c r="M91" s="2"/>
      <c r="N91" s="2"/>
      <c r="O91" s="2"/>
      <c r="P91" s="2"/>
      <c r="Q91" s="2"/>
      <c r="R91" s="2"/>
      <c r="S91" s="2"/>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row>
    <row r="92" spans="1:49" x14ac:dyDescent="0.25">
      <c r="A92" s="1"/>
      <c r="B92" s="1"/>
      <c r="C92" s="1"/>
      <c r="D92" s="1"/>
      <c r="E92" s="1"/>
      <c r="F92" s="1"/>
      <c r="G92" s="1"/>
      <c r="H92" s="1"/>
      <c r="I92" s="2"/>
      <c r="J92" s="2"/>
      <c r="K92" s="2"/>
      <c r="L92" s="2"/>
      <c r="M92" s="2"/>
      <c r="N92" s="2"/>
      <c r="O92" s="2"/>
      <c r="P92" s="2"/>
      <c r="Q92" s="2"/>
      <c r="R92" s="2"/>
      <c r="S92" s="2"/>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row>
    <row r="93" spans="1:49" x14ac:dyDescent="0.25">
      <c r="A93" s="1"/>
      <c r="B93" s="1"/>
      <c r="C93" s="1"/>
      <c r="D93" s="1"/>
      <c r="E93" s="1"/>
      <c r="F93" s="1"/>
      <c r="G93" s="1"/>
      <c r="H93" s="1"/>
      <c r="I93" s="2"/>
      <c r="J93" s="2"/>
      <c r="K93" s="2"/>
      <c r="L93" s="2"/>
      <c r="M93" s="2"/>
      <c r="N93" s="2"/>
      <c r="O93" s="2"/>
      <c r="P93" s="2"/>
      <c r="Q93" s="2"/>
      <c r="R93" s="2"/>
      <c r="S93" s="2"/>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row>
    <row r="94" spans="1:49" x14ac:dyDescent="0.25">
      <c r="A94" s="1"/>
      <c r="B94" s="1"/>
      <c r="C94" s="1"/>
      <c r="D94" s="1"/>
      <c r="E94" s="1"/>
      <c r="F94" s="1"/>
      <c r="G94" s="1"/>
      <c r="H94" s="1"/>
      <c r="I94" s="2"/>
      <c r="J94" s="2"/>
      <c r="K94" s="2"/>
      <c r="L94" s="2"/>
      <c r="M94" s="2"/>
      <c r="N94" s="2"/>
      <c r="O94" s="2"/>
      <c r="P94" s="2"/>
      <c r="Q94" s="2"/>
      <c r="R94" s="2"/>
      <c r="S94" s="2"/>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row>
    <row r="95" spans="1:49" x14ac:dyDescent="0.25">
      <c r="A95" s="1"/>
      <c r="B95" s="1"/>
      <c r="C95" s="1"/>
      <c r="D95" s="1"/>
      <c r="E95" s="1"/>
      <c r="F95" s="1"/>
      <c r="G95" s="1"/>
      <c r="H95" s="1"/>
      <c r="I95" s="2"/>
      <c r="J95" s="2"/>
      <c r="K95" s="2"/>
      <c r="L95" s="2"/>
      <c r="M95" s="2"/>
      <c r="N95" s="2"/>
      <c r="O95" s="2"/>
      <c r="P95" s="2"/>
      <c r="Q95" s="2"/>
      <c r="R95" s="2"/>
      <c r="S95" s="2"/>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row>
    <row r="96" spans="1:49" x14ac:dyDescent="0.25">
      <c r="A96" s="1"/>
      <c r="B96" s="1"/>
      <c r="C96" s="1"/>
      <c r="D96" s="1"/>
      <c r="E96" s="1"/>
      <c r="F96" s="1"/>
      <c r="G96" s="1"/>
      <c r="H96" s="1"/>
      <c r="I96" s="2"/>
      <c r="J96" s="2"/>
      <c r="K96" s="2"/>
      <c r="L96" s="2"/>
      <c r="M96" s="2"/>
      <c r="N96" s="2"/>
      <c r="O96" s="2"/>
      <c r="P96" s="2"/>
      <c r="Q96" s="2"/>
      <c r="R96" s="2"/>
      <c r="S96" s="2"/>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row>
    <row r="97" spans="1:49" x14ac:dyDescent="0.25">
      <c r="A97" s="1"/>
      <c r="B97" s="1"/>
      <c r="C97" s="1"/>
      <c r="D97" s="1"/>
      <c r="E97" s="1"/>
      <c r="F97" s="1"/>
      <c r="G97" s="1"/>
      <c r="H97" s="1"/>
      <c r="I97" s="2"/>
      <c r="J97" s="2"/>
      <c r="K97" s="2"/>
      <c r="L97" s="2"/>
      <c r="M97" s="2"/>
      <c r="N97" s="2"/>
      <c r="O97" s="2"/>
      <c r="P97" s="2"/>
      <c r="Q97" s="2"/>
      <c r="R97" s="2"/>
      <c r="S97" s="2"/>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row>
    <row r="98" spans="1:49" x14ac:dyDescent="0.25">
      <c r="A98" s="1"/>
      <c r="B98" s="1"/>
      <c r="C98" s="1"/>
      <c r="D98" s="1"/>
      <c r="E98" s="1"/>
      <c r="F98" s="1"/>
      <c r="G98" s="1"/>
      <c r="H98" s="1"/>
      <c r="I98" s="2"/>
      <c r="J98" s="2"/>
      <c r="K98" s="2"/>
      <c r="L98" s="2"/>
      <c r="M98" s="2"/>
      <c r="N98" s="2"/>
      <c r="O98" s="2"/>
      <c r="P98" s="2"/>
      <c r="Q98" s="2"/>
      <c r="R98" s="2"/>
      <c r="S98" s="2"/>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row>
    <row r="99" spans="1:49" x14ac:dyDescent="0.25">
      <c r="A99" s="1"/>
      <c r="B99" s="1"/>
      <c r="C99" s="1"/>
      <c r="D99" s="1"/>
      <c r="E99" s="1"/>
      <c r="F99" s="1"/>
      <c r="G99" s="1"/>
      <c r="H99" s="1"/>
      <c r="I99" s="2"/>
      <c r="J99" s="2"/>
      <c r="K99" s="2"/>
      <c r="L99" s="2"/>
      <c r="M99" s="2"/>
      <c r="N99" s="2"/>
      <c r="O99" s="2"/>
      <c r="P99" s="2"/>
      <c r="Q99" s="2"/>
      <c r="R99" s="2"/>
      <c r="S99" s="2"/>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row>
    <row r="100" spans="1:49" x14ac:dyDescent="0.25">
      <c r="A100" s="1"/>
      <c r="B100" s="1"/>
      <c r="C100" s="1"/>
      <c r="D100" s="1"/>
      <c r="E100" s="1"/>
      <c r="F100" s="1"/>
      <c r="G100" s="1"/>
      <c r="H100" s="1"/>
      <c r="I100" s="2"/>
      <c r="J100" s="2"/>
      <c r="K100" s="2"/>
      <c r="L100" s="2"/>
      <c r="M100" s="2"/>
      <c r="N100" s="2"/>
      <c r="O100" s="2"/>
      <c r="P100" s="2"/>
      <c r="Q100" s="2"/>
      <c r="R100" s="2"/>
      <c r="S100" s="2"/>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row>
    <row r="101" spans="1:49" x14ac:dyDescent="0.25">
      <c r="A101" s="1"/>
      <c r="B101" s="1"/>
      <c r="C101" s="1"/>
      <c r="D101" s="1"/>
      <c r="E101" s="1"/>
      <c r="F101" s="1"/>
      <c r="G101" s="1"/>
      <c r="H101" s="1"/>
      <c r="I101" s="2"/>
      <c r="J101" s="2"/>
      <c r="K101" s="2"/>
      <c r="L101" s="2"/>
      <c r="M101" s="2"/>
      <c r="N101" s="2"/>
      <c r="O101" s="2"/>
      <c r="P101" s="2"/>
      <c r="Q101" s="2"/>
      <c r="R101" s="2"/>
      <c r="S101" s="2"/>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row>
    <row r="102" spans="1:49" x14ac:dyDescent="0.25">
      <c r="A102" s="1"/>
      <c r="B102" s="1"/>
      <c r="C102" s="1"/>
      <c r="D102" s="1"/>
      <c r="E102" s="1"/>
      <c r="F102" s="1"/>
      <c r="G102" s="1"/>
      <c r="H102" s="1"/>
      <c r="I102" s="2"/>
      <c r="J102" s="2"/>
      <c r="K102" s="2"/>
      <c r="L102" s="2"/>
      <c r="M102" s="2"/>
      <c r="N102" s="2"/>
      <c r="O102" s="2"/>
      <c r="P102" s="2"/>
      <c r="Q102" s="2"/>
      <c r="R102" s="2"/>
      <c r="S102" s="2"/>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row>
    <row r="103" spans="1:49" x14ac:dyDescent="0.25">
      <c r="A103" s="1"/>
      <c r="B103" s="1"/>
      <c r="C103" s="1"/>
      <c r="D103" s="1"/>
      <c r="E103" s="1"/>
      <c r="F103" s="1"/>
      <c r="G103" s="1"/>
      <c r="H103" s="1"/>
      <c r="I103" s="2"/>
      <c r="J103" s="2"/>
      <c r="K103" s="2"/>
      <c r="L103" s="2"/>
      <c r="M103" s="2"/>
      <c r="N103" s="2"/>
      <c r="O103" s="2"/>
      <c r="P103" s="2"/>
      <c r="Q103" s="2"/>
      <c r="R103" s="2"/>
      <c r="S103" s="2"/>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row>
    <row r="104" spans="1:49" x14ac:dyDescent="0.25">
      <c r="A104" s="1"/>
      <c r="B104" s="1"/>
      <c r="C104" s="1"/>
      <c r="D104" s="1"/>
      <c r="E104" s="1"/>
      <c r="F104" s="1"/>
      <c r="G104" s="1"/>
      <c r="H104" s="1"/>
      <c r="I104" s="2"/>
      <c r="J104" s="2"/>
      <c r="K104" s="2"/>
      <c r="L104" s="2"/>
      <c r="M104" s="2"/>
      <c r="N104" s="2"/>
      <c r="O104" s="2"/>
      <c r="P104" s="2"/>
      <c r="Q104" s="2"/>
      <c r="R104" s="2"/>
      <c r="S104" s="2"/>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row>
    <row r="105" spans="1:49" x14ac:dyDescent="0.25">
      <c r="A105" s="1"/>
      <c r="B105" s="1"/>
      <c r="C105" s="1"/>
      <c r="D105" s="1"/>
      <c r="E105" s="1"/>
      <c r="F105" s="1"/>
      <c r="G105" s="1"/>
      <c r="H105" s="1"/>
      <c r="I105" s="2"/>
      <c r="J105" s="2"/>
      <c r="K105" s="2"/>
      <c r="L105" s="2"/>
      <c r="M105" s="2"/>
      <c r="N105" s="2"/>
      <c r="O105" s="2"/>
      <c r="P105" s="2"/>
      <c r="Q105" s="2"/>
      <c r="R105" s="2"/>
      <c r="S105" s="2"/>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row>
    <row r="106" spans="1:49" x14ac:dyDescent="0.25">
      <c r="A106" s="1"/>
      <c r="B106" s="1"/>
      <c r="C106" s="1"/>
      <c r="D106" s="1"/>
      <c r="E106" s="1"/>
      <c r="F106" s="1"/>
      <c r="G106" s="1"/>
      <c r="H106" s="1"/>
      <c r="I106" s="2"/>
      <c r="J106" s="2"/>
      <c r="K106" s="2"/>
      <c r="L106" s="2"/>
      <c r="M106" s="2"/>
      <c r="N106" s="2"/>
      <c r="O106" s="2"/>
      <c r="P106" s="2"/>
      <c r="Q106" s="2"/>
      <c r="R106" s="2"/>
      <c r="S106" s="2"/>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row>
    <row r="107" spans="1:49" x14ac:dyDescent="0.25">
      <c r="A107" s="1"/>
      <c r="B107" s="1"/>
      <c r="C107" s="1"/>
      <c r="D107" s="1"/>
      <c r="E107" s="1"/>
      <c r="F107" s="1"/>
      <c r="G107" s="1"/>
      <c r="H107" s="1"/>
      <c r="I107" s="2"/>
      <c r="J107" s="2"/>
      <c r="K107" s="2"/>
      <c r="L107" s="2"/>
      <c r="M107" s="2"/>
      <c r="N107" s="2"/>
      <c r="O107" s="2"/>
      <c r="P107" s="2"/>
      <c r="Q107" s="2"/>
      <c r="R107" s="2"/>
      <c r="S107" s="2"/>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row>
    <row r="108" spans="1:49" x14ac:dyDescent="0.25">
      <c r="A108" s="1"/>
      <c r="B108" s="1"/>
      <c r="C108" s="1"/>
      <c r="D108" s="1"/>
      <c r="E108" s="1"/>
      <c r="F108" s="1"/>
      <c r="G108" s="1"/>
      <c r="H108" s="1"/>
      <c r="I108" s="2"/>
      <c r="J108" s="2"/>
      <c r="K108" s="2"/>
      <c r="L108" s="2"/>
      <c r="M108" s="2"/>
      <c r="N108" s="2"/>
      <c r="O108" s="2"/>
      <c r="P108" s="2"/>
      <c r="Q108" s="2"/>
      <c r="R108" s="2"/>
      <c r="S108" s="2"/>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row>
    <row r="109" spans="1:49" x14ac:dyDescent="0.25">
      <c r="A109" s="1"/>
      <c r="B109" s="1"/>
      <c r="C109" s="1"/>
      <c r="D109" s="1"/>
      <c r="E109" s="1"/>
      <c r="F109" s="1"/>
      <c r="G109" s="1"/>
      <c r="H109" s="1"/>
      <c r="I109" s="2"/>
      <c r="J109" s="2"/>
      <c r="K109" s="2"/>
      <c r="L109" s="2"/>
      <c r="M109" s="2"/>
      <c r="N109" s="2"/>
      <c r="O109" s="2"/>
      <c r="P109" s="2"/>
      <c r="Q109" s="2"/>
      <c r="R109" s="2"/>
      <c r="S109" s="2"/>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row>
    <row r="110" spans="1:49" x14ac:dyDescent="0.25">
      <c r="A110" s="1"/>
      <c r="B110" s="1"/>
      <c r="C110" s="1"/>
      <c r="D110" s="1"/>
      <c r="E110" s="1"/>
      <c r="F110" s="1"/>
      <c r="G110" s="1"/>
      <c r="H110" s="1"/>
      <c r="I110" s="2"/>
      <c r="J110" s="2"/>
      <c r="K110" s="2"/>
      <c r="L110" s="2"/>
      <c r="M110" s="2"/>
      <c r="N110" s="2"/>
      <c r="O110" s="2"/>
      <c r="P110" s="2"/>
      <c r="Q110" s="2"/>
      <c r="R110" s="2"/>
      <c r="S110" s="2"/>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row>
    <row r="111" spans="1:49" x14ac:dyDescent="0.25">
      <c r="A111" s="1"/>
      <c r="B111" s="1"/>
      <c r="C111" s="1"/>
      <c r="D111" s="1"/>
      <c r="E111" s="1"/>
      <c r="F111" s="1"/>
      <c r="G111" s="1"/>
      <c r="H111" s="1"/>
      <c r="I111" s="2"/>
      <c r="J111" s="2"/>
      <c r="K111" s="2"/>
      <c r="L111" s="2"/>
      <c r="M111" s="2"/>
      <c r="N111" s="2"/>
      <c r="O111" s="2"/>
      <c r="P111" s="2"/>
      <c r="Q111" s="2"/>
      <c r="R111" s="2"/>
      <c r="S111" s="2"/>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row>
    <row r="112" spans="1:49" x14ac:dyDescent="0.25">
      <c r="A112" s="1"/>
      <c r="B112" s="1"/>
      <c r="C112" s="1"/>
      <c r="D112" s="1"/>
      <c r="E112" s="1"/>
      <c r="F112" s="1"/>
      <c r="G112" s="1"/>
      <c r="H112" s="1"/>
      <c r="I112" s="2"/>
      <c r="J112" s="2"/>
      <c r="K112" s="2"/>
      <c r="L112" s="2"/>
      <c r="M112" s="2"/>
      <c r="N112" s="2"/>
      <c r="O112" s="2"/>
      <c r="P112" s="2"/>
      <c r="Q112" s="2"/>
      <c r="R112" s="2"/>
      <c r="S112" s="2"/>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row>
    <row r="113" spans="1:49" x14ac:dyDescent="0.25">
      <c r="A113" s="1"/>
      <c r="B113" s="1"/>
      <c r="C113" s="1"/>
      <c r="D113" s="1"/>
      <c r="E113" s="1"/>
      <c r="F113" s="1"/>
      <c r="G113" s="1"/>
      <c r="H113" s="1"/>
      <c r="I113" s="2"/>
      <c r="J113" s="2"/>
      <c r="K113" s="2"/>
      <c r="L113" s="2"/>
      <c r="M113" s="2"/>
      <c r="N113" s="2"/>
      <c r="O113" s="2"/>
      <c r="P113" s="2"/>
      <c r="Q113" s="2"/>
      <c r="R113" s="2"/>
      <c r="S113" s="2"/>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row>
    <row r="114" spans="1:49" x14ac:dyDescent="0.25">
      <c r="A114" s="1"/>
      <c r="B114" s="1"/>
      <c r="C114" s="1"/>
      <c r="D114" s="1"/>
      <c r="E114" s="1"/>
      <c r="F114" s="1"/>
      <c r="G114" s="1"/>
      <c r="H114" s="1"/>
      <c r="I114" s="2"/>
      <c r="J114" s="2"/>
      <c r="K114" s="2"/>
      <c r="L114" s="2"/>
      <c r="M114" s="2"/>
      <c r="N114" s="2"/>
      <c r="O114" s="2"/>
      <c r="P114" s="2"/>
      <c r="Q114" s="2"/>
      <c r="R114" s="2"/>
      <c r="S114" s="2"/>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row>
    <row r="115" spans="1:49" x14ac:dyDescent="0.25">
      <c r="A115" s="1"/>
      <c r="B115" s="1"/>
      <c r="C115" s="1"/>
      <c r="D115" s="1"/>
      <c r="E115" s="1"/>
      <c r="F115" s="1"/>
      <c r="G115" s="1"/>
      <c r="H115" s="1"/>
      <c r="I115" s="2"/>
      <c r="J115" s="2"/>
      <c r="K115" s="2"/>
      <c r="L115" s="2"/>
      <c r="M115" s="2"/>
      <c r="N115" s="2"/>
      <c r="O115" s="2"/>
      <c r="P115" s="2"/>
      <c r="Q115" s="2"/>
      <c r="R115" s="2"/>
      <c r="S115" s="2"/>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row>
    <row r="116" spans="1:49" x14ac:dyDescent="0.25">
      <c r="A116" s="1"/>
      <c r="B116" s="1"/>
      <c r="C116" s="1"/>
      <c r="D116" s="1"/>
      <c r="E116" s="1"/>
      <c r="F116" s="1"/>
      <c r="G116" s="1"/>
      <c r="H116" s="1"/>
      <c r="I116" s="2"/>
      <c r="J116" s="2"/>
      <c r="K116" s="2"/>
      <c r="L116" s="2"/>
      <c r="M116" s="2"/>
      <c r="N116" s="2"/>
      <c r="O116" s="2"/>
      <c r="P116" s="2"/>
      <c r="Q116" s="2"/>
      <c r="R116" s="2"/>
      <c r="S116" s="2"/>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row>
    <row r="117" spans="1:49" x14ac:dyDescent="0.25">
      <c r="A117" s="1"/>
      <c r="B117" s="1"/>
      <c r="C117" s="1"/>
      <c r="D117" s="1"/>
      <c r="E117" s="1"/>
      <c r="F117" s="1"/>
      <c r="G117" s="1"/>
      <c r="H117" s="1"/>
      <c r="I117" s="2"/>
      <c r="J117" s="2"/>
      <c r="K117" s="2"/>
      <c r="L117" s="2"/>
      <c r="M117" s="2"/>
      <c r="N117" s="2"/>
      <c r="O117" s="2"/>
      <c r="P117" s="2"/>
      <c r="Q117" s="2"/>
      <c r="R117" s="2"/>
      <c r="S117" s="2"/>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row>
    <row r="118" spans="1:49" x14ac:dyDescent="0.25">
      <c r="A118" s="1"/>
      <c r="B118" s="1"/>
      <c r="C118" s="1"/>
      <c r="D118" s="1"/>
      <c r="E118" s="1"/>
      <c r="F118" s="1"/>
      <c r="G118" s="1"/>
      <c r="H118" s="1"/>
      <c r="I118" s="2"/>
      <c r="J118" s="2"/>
      <c r="K118" s="2"/>
      <c r="L118" s="2"/>
      <c r="M118" s="2"/>
      <c r="N118" s="2"/>
      <c r="O118" s="2"/>
      <c r="P118" s="2"/>
      <c r="Q118" s="2"/>
      <c r="R118" s="2"/>
      <c r="S118" s="2"/>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row>
    <row r="119" spans="1:49" x14ac:dyDescent="0.25">
      <c r="A119" s="1"/>
      <c r="B119" s="1"/>
      <c r="C119" s="1"/>
      <c r="D119" s="1"/>
      <c r="E119" s="1"/>
      <c r="F119" s="1"/>
      <c r="G119" s="1"/>
      <c r="H119" s="1"/>
      <c r="I119" s="2"/>
      <c r="J119" s="2"/>
      <c r="K119" s="2"/>
      <c r="L119" s="2"/>
      <c r="M119" s="2"/>
      <c r="N119" s="2"/>
      <c r="O119" s="2"/>
      <c r="P119" s="2"/>
      <c r="Q119" s="2"/>
      <c r="R119" s="2"/>
      <c r="S119" s="2"/>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row>
    <row r="120" spans="1:49" x14ac:dyDescent="0.25">
      <c r="A120" s="1"/>
      <c r="B120" s="1"/>
      <c r="C120" s="1"/>
      <c r="D120" s="1"/>
      <c r="E120" s="1"/>
      <c r="F120" s="1"/>
      <c r="G120" s="1"/>
      <c r="H120" s="1"/>
      <c r="I120" s="2"/>
      <c r="J120" s="2"/>
      <c r="K120" s="2"/>
      <c r="L120" s="2"/>
      <c r="M120" s="2"/>
      <c r="N120" s="2"/>
      <c r="O120" s="2"/>
      <c r="P120" s="2"/>
      <c r="Q120" s="2"/>
      <c r="R120" s="2"/>
      <c r="S120" s="2"/>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row>
    <row r="121" spans="1:49" x14ac:dyDescent="0.25">
      <c r="A121" s="1"/>
      <c r="B121" s="1"/>
      <c r="C121" s="1"/>
      <c r="D121" s="1"/>
      <c r="E121" s="1"/>
      <c r="F121" s="1"/>
      <c r="G121" s="1"/>
      <c r="H121" s="1"/>
      <c r="I121" s="2"/>
      <c r="J121" s="2"/>
      <c r="K121" s="2"/>
      <c r="L121" s="2"/>
      <c r="M121" s="2"/>
      <c r="N121" s="2"/>
      <c r="O121" s="2"/>
      <c r="P121" s="2"/>
      <c r="Q121" s="2"/>
      <c r="R121" s="2"/>
      <c r="S121" s="2"/>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row>
    <row r="122" spans="1:49" x14ac:dyDescent="0.25">
      <c r="A122" s="1"/>
      <c r="B122" s="1"/>
      <c r="C122" s="1"/>
      <c r="D122" s="1"/>
      <c r="E122" s="1"/>
      <c r="F122" s="1"/>
      <c r="G122" s="1"/>
      <c r="H122" s="1"/>
      <c r="I122" s="2"/>
      <c r="J122" s="2"/>
      <c r="K122" s="2"/>
      <c r="L122" s="2"/>
      <c r="M122" s="2"/>
      <c r="N122" s="2"/>
      <c r="O122" s="2"/>
      <c r="P122" s="2"/>
      <c r="Q122" s="2"/>
      <c r="R122" s="2"/>
      <c r="S122" s="2"/>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row>
    <row r="123" spans="1:49" x14ac:dyDescent="0.25">
      <c r="A123" s="1"/>
      <c r="B123" s="1"/>
      <c r="C123" s="1"/>
      <c r="D123" s="1"/>
      <c r="E123" s="1"/>
      <c r="F123" s="1"/>
      <c r="G123" s="1"/>
      <c r="H123" s="1"/>
      <c r="I123" s="2"/>
      <c r="J123" s="2"/>
      <c r="K123" s="2"/>
      <c r="L123" s="2"/>
      <c r="M123" s="2"/>
      <c r="N123" s="2"/>
      <c r="O123" s="2"/>
      <c r="P123" s="2"/>
      <c r="Q123" s="2"/>
      <c r="R123" s="2"/>
      <c r="S123" s="2"/>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row>
    <row r="124" spans="1:49" x14ac:dyDescent="0.25">
      <c r="A124" s="1"/>
      <c r="B124" s="1"/>
      <c r="C124" s="1"/>
      <c r="D124" s="1"/>
      <c r="E124" s="1"/>
      <c r="F124" s="1"/>
      <c r="G124" s="1"/>
      <c r="H124" s="1"/>
      <c r="I124" s="2"/>
      <c r="J124" s="2"/>
      <c r="K124" s="2"/>
      <c r="L124" s="2"/>
      <c r="M124" s="2"/>
      <c r="N124" s="2"/>
      <c r="O124" s="2"/>
      <c r="P124" s="2"/>
      <c r="Q124" s="2"/>
      <c r="R124" s="2"/>
      <c r="S124" s="2"/>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row>
    <row r="125" spans="1:49" x14ac:dyDescent="0.25">
      <c r="A125" s="1"/>
      <c r="B125" s="1"/>
      <c r="C125" s="1"/>
      <c r="D125" s="1"/>
      <c r="E125" s="1"/>
      <c r="F125" s="1"/>
      <c r="G125" s="1"/>
      <c r="H125" s="1"/>
      <c r="I125" s="2"/>
      <c r="J125" s="2"/>
      <c r="K125" s="2"/>
      <c r="L125" s="2"/>
      <c r="M125" s="2"/>
      <c r="N125" s="2"/>
      <c r="O125" s="2"/>
      <c r="P125" s="2"/>
      <c r="Q125" s="2"/>
      <c r="R125" s="2"/>
      <c r="S125" s="2"/>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row>
    <row r="126" spans="1:49" x14ac:dyDescent="0.25">
      <c r="A126" s="1"/>
      <c r="B126" s="1"/>
      <c r="C126" s="1"/>
      <c r="D126" s="1"/>
      <c r="E126" s="1"/>
      <c r="F126" s="1"/>
      <c r="G126" s="1"/>
      <c r="H126" s="1"/>
      <c r="I126" s="2"/>
      <c r="J126" s="2"/>
      <c r="K126" s="2"/>
      <c r="L126" s="2"/>
      <c r="M126" s="2"/>
      <c r="N126" s="2"/>
      <c r="O126" s="2"/>
      <c r="P126" s="2"/>
      <c r="Q126" s="2"/>
      <c r="R126" s="2"/>
      <c r="S126" s="2"/>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row>
    <row r="127" spans="1:49" x14ac:dyDescent="0.25">
      <c r="A127" s="1"/>
      <c r="B127" s="1"/>
      <c r="C127" s="1"/>
      <c r="D127" s="1"/>
      <c r="E127" s="1"/>
      <c r="F127" s="1"/>
      <c r="G127" s="1"/>
      <c r="H127" s="1"/>
      <c r="I127" s="2"/>
      <c r="J127" s="2"/>
      <c r="K127" s="2"/>
      <c r="L127" s="2"/>
      <c r="M127" s="2"/>
      <c r="N127" s="2"/>
      <c r="O127" s="2"/>
      <c r="P127" s="2"/>
      <c r="Q127" s="2"/>
      <c r="R127" s="2"/>
      <c r="S127" s="2"/>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row>
    <row r="128" spans="1:49" x14ac:dyDescent="0.25">
      <c r="A128" s="1"/>
      <c r="B128" s="1"/>
      <c r="C128" s="1"/>
      <c r="D128" s="1"/>
      <c r="E128" s="1"/>
      <c r="F128" s="1"/>
      <c r="G128" s="1"/>
      <c r="H128" s="1"/>
      <c r="I128" s="2"/>
      <c r="J128" s="2"/>
      <c r="K128" s="2"/>
      <c r="L128" s="2"/>
      <c r="M128" s="2"/>
      <c r="N128" s="2"/>
      <c r="O128" s="2"/>
      <c r="P128" s="2"/>
      <c r="Q128" s="2"/>
      <c r="R128" s="2"/>
      <c r="S128" s="2"/>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row>
    <row r="129" spans="1:49" x14ac:dyDescent="0.25">
      <c r="A129" s="1"/>
      <c r="B129" s="1"/>
      <c r="C129" s="1"/>
      <c r="D129" s="1"/>
      <c r="E129" s="1"/>
      <c r="F129" s="1"/>
      <c r="G129" s="1"/>
      <c r="H129" s="1"/>
      <c r="I129" s="2"/>
      <c r="J129" s="2"/>
      <c r="K129" s="2"/>
      <c r="L129" s="2"/>
      <c r="M129" s="2"/>
      <c r="N129" s="2"/>
      <c r="O129" s="2"/>
      <c r="P129" s="2"/>
      <c r="Q129" s="2"/>
      <c r="R129" s="2"/>
      <c r="S129" s="2"/>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row>
    <row r="130" spans="1:49" x14ac:dyDescent="0.25">
      <c r="A130" s="1"/>
      <c r="B130" s="1"/>
      <c r="C130" s="1"/>
      <c r="D130" s="1"/>
      <c r="E130" s="1"/>
      <c r="F130" s="1"/>
      <c r="G130" s="1"/>
      <c r="H130" s="1"/>
      <c r="I130" s="2"/>
      <c r="J130" s="2"/>
      <c r="K130" s="2"/>
      <c r="L130" s="2"/>
      <c r="M130" s="2"/>
      <c r="N130" s="2"/>
      <c r="O130" s="2"/>
      <c r="P130" s="2"/>
      <c r="Q130" s="2"/>
      <c r="R130" s="2"/>
      <c r="S130" s="2"/>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row>
    <row r="131" spans="1:49" x14ac:dyDescent="0.25">
      <c r="A131" s="1"/>
      <c r="B131" s="1"/>
      <c r="C131" s="1"/>
      <c r="D131" s="1"/>
      <c r="E131" s="1"/>
      <c r="F131" s="1"/>
      <c r="G131" s="1"/>
      <c r="H131" s="1"/>
      <c r="I131" s="2"/>
      <c r="J131" s="2"/>
      <c r="K131" s="2"/>
      <c r="L131" s="2"/>
      <c r="M131" s="2"/>
      <c r="N131" s="2"/>
      <c r="O131" s="2"/>
      <c r="P131" s="2"/>
      <c r="Q131" s="2"/>
      <c r="R131" s="2"/>
      <c r="S131" s="2"/>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row>
    <row r="132" spans="1:49" x14ac:dyDescent="0.25">
      <c r="A132" s="1"/>
      <c r="B132" s="1"/>
      <c r="C132" s="1"/>
      <c r="D132" s="1"/>
      <c r="E132" s="1"/>
      <c r="F132" s="1"/>
      <c r="G132" s="1"/>
      <c r="H132" s="1"/>
      <c r="I132" s="2"/>
      <c r="J132" s="2"/>
      <c r="K132" s="2"/>
      <c r="L132" s="2"/>
      <c r="M132" s="2"/>
      <c r="N132" s="2"/>
      <c r="O132" s="2"/>
      <c r="P132" s="2"/>
      <c r="Q132" s="2"/>
      <c r="R132" s="2"/>
      <c r="S132" s="2"/>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row>
    <row r="133" spans="1:49" x14ac:dyDescent="0.25">
      <c r="A133" s="1"/>
      <c r="B133" s="1"/>
      <c r="C133" s="1"/>
      <c r="D133" s="1"/>
      <c r="E133" s="1"/>
      <c r="F133" s="1"/>
      <c r="G133" s="1"/>
      <c r="H133" s="1"/>
      <c r="I133" s="2"/>
      <c r="J133" s="2"/>
      <c r="K133" s="2"/>
      <c r="L133" s="2"/>
      <c r="M133" s="2"/>
      <c r="N133" s="2"/>
      <c r="O133" s="2"/>
      <c r="P133" s="2"/>
      <c r="Q133" s="2"/>
      <c r="R133" s="2"/>
      <c r="S133" s="2"/>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row>
    <row r="134" spans="1:49" x14ac:dyDescent="0.25">
      <c r="A134" s="1"/>
      <c r="B134" s="1"/>
      <c r="C134" s="1"/>
      <c r="D134" s="1"/>
      <c r="E134" s="1"/>
      <c r="F134" s="1"/>
      <c r="G134" s="1"/>
      <c r="H134" s="1"/>
      <c r="I134" s="2"/>
      <c r="J134" s="2"/>
      <c r="K134" s="2"/>
      <c r="L134" s="2"/>
      <c r="M134" s="2"/>
      <c r="N134" s="2"/>
      <c r="O134" s="2"/>
      <c r="P134" s="2"/>
      <c r="Q134" s="2"/>
      <c r="R134" s="2"/>
      <c r="S134" s="2"/>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row>
    <row r="135" spans="1:49" x14ac:dyDescent="0.25">
      <c r="A135" s="1"/>
      <c r="B135" s="1"/>
      <c r="C135" s="1"/>
      <c r="D135" s="1"/>
      <c r="E135" s="1"/>
      <c r="F135" s="1"/>
      <c r="G135" s="1"/>
      <c r="H135" s="1"/>
      <c r="I135" s="2"/>
      <c r="J135" s="2"/>
      <c r="K135" s="2"/>
      <c r="L135" s="2"/>
      <c r="M135" s="2"/>
      <c r="N135" s="2"/>
      <c r="O135" s="2"/>
      <c r="P135" s="2"/>
      <c r="Q135" s="2"/>
      <c r="R135" s="2"/>
      <c r="S135" s="2"/>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row>
    <row r="136" spans="1:49" x14ac:dyDescent="0.25">
      <c r="A136" s="1"/>
      <c r="B136" s="1"/>
      <c r="C136" s="1"/>
      <c r="D136" s="1"/>
      <c r="E136" s="1"/>
      <c r="F136" s="1"/>
      <c r="G136" s="1"/>
      <c r="H136" s="1"/>
      <c r="I136" s="2"/>
      <c r="J136" s="2"/>
      <c r="K136" s="2"/>
      <c r="L136" s="2"/>
      <c r="M136" s="2"/>
      <c r="N136" s="2"/>
      <c r="O136" s="2"/>
      <c r="P136" s="2"/>
      <c r="Q136" s="2"/>
      <c r="R136" s="2"/>
      <c r="S136" s="2"/>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row>
    <row r="137" spans="1:49" x14ac:dyDescent="0.25">
      <c r="A137" s="1"/>
      <c r="B137" s="1"/>
      <c r="C137" s="1"/>
      <c r="D137" s="1"/>
      <c r="E137" s="1"/>
      <c r="F137" s="1"/>
      <c r="G137" s="1"/>
      <c r="H137" s="1"/>
      <c r="I137" s="2"/>
      <c r="J137" s="2"/>
      <c r="K137" s="2"/>
      <c r="L137" s="2"/>
      <c r="M137" s="2"/>
      <c r="N137" s="2"/>
      <c r="O137" s="2"/>
      <c r="P137" s="2"/>
      <c r="Q137" s="2"/>
      <c r="R137" s="2"/>
      <c r="S137" s="2"/>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row>
    <row r="138" spans="1:49" x14ac:dyDescent="0.25">
      <c r="A138" s="1"/>
      <c r="B138" s="1"/>
      <c r="C138" s="1"/>
      <c r="D138" s="1"/>
      <c r="E138" s="1"/>
      <c r="F138" s="1"/>
      <c r="G138" s="1"/>
      <c r="H138" s="1"/>
      <c r="I138" s="2"/>
      <c r="J138" s="2"/>
      <c r="K138" s="2"/>
      <c r="L138" s="2"/>
      <c r="M138" s="2"/>
      <c r="N138" s="2"/>
      <c r="O138" s="2"/>
      <c r="P138" s="2"/>
      <c r="Q138" s="2"/>
      <c r="R138" s="2"/>
      <c r="S138" s="2"/>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row>
    <row r="139" spans="1:49" x14ac:dyDescent="0.25">
      <c r="A139" s="1"/>
      <c r="B139" s="1"/>
      <c r="C139" s="1"/>
      <c r="D139" s="1"/>
      <c r="E139" s="1"/>
      <c r="F139" s="1"/>
      <c r="G139" s="1"/>
      <c r="H139" s="1"/>
      <c r="I139" s="2"/>
      <c r="J139" s="2"/>
      <c r="K139" s="2"/>
      <c r="L139" s="2"/>
      <c r="M139" s="2"/>
      <c r="N139" s="2"/>
      <c r="O139" s="2"/>
      <c r="P139" s="2"/>
      <c r="Q139" s="2"/>
      <c r="R139" s="2"/>
      <c r="S139" s="2"/>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row>
    <row r="140" spans="1:49" x14ac:dyDescent="0.25">
      <c r="A140" s="1"/>
      <c r="B140" s="1"/>
      <c r="C140" s="1"/>
      <c r="D140" s="1"/>
      <c r="E140" s="1"/>
      <c r="F140" s="1"/>
      <c r="G140" s="1"/>
      <c r="H140" s="1"/>
      <c r="I140" s="2"/>
      <c r="J140" s="2"/>
      <c r="K140" s="2"/>
      <c r="L140" s="2"/>
      <c r="M140" s="2"/>
      <c r="N140" s="2"/>
      <c r="O140" s="2"/>
      <c r="P140" s="2"/>
      <c r="Q140" s="2"/>
      <c r="R140" s="2"/>
      <c r="S140" s="2"/>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row>
    <row r="141" spans="1:49" x14ac:dyDescent="0.25">
      <c r="A141" s="1"/>
      <c r="B141" s="1"/>
      <c r="C141" s="1"/>
      <c r="D141" s="1"/>
      <c r="E141" s="1"/>
      <c r="F141" s="1"/>
      <c r="G141" s="1"/>
      <c r="H141" s="1"/>
      <c r="I141" s="2"/>
      <c r="J141" s="2"/>
      <c r="K141" s="2"/>
      <c r="L141" s="2"/>
      <c r="M141" s="2"/>
      <c r="N141" s="2"/>
      <c r="O141" s="2"/>
      <c r="P141" s="2"/>
      <c r="Q141" s="2"/>
      <c r="R141" s="2"/>
      <c r="S141" s="2"/>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row>
    <row r="142" spans="1:49" x14ac:dyDescent="0.25">
      <c r="A142" s="1"/>
      <c r="B142" s="1"/>
      <c r="C142" s="1"/>
      <c r="D142" s="1"/>
      <c r="E142" s="1"/>
      <c r="F142" s="1"/>
      <c r="G142" s="1"/>
      <c r="H142" s="1"/>
      <c r="I142" s="2"/>
      <c r="J142" s="2"/>
      <c r="K142" s="2"/>
      <c r="L142" s="2"/>
      <c r="M142" s="2"/>
      <c r="N142" s="2"/>
      <c r="O142" s="2"/>
      <c r="P142" s="2"/>
      <c r="Q142" s="2"/>
      <c r="R142" s="2"/>
      <c r="S142" s="2"/>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row>
    <row r="143" spans="1:49" x14ac:dyDescent="0.25">
      <c r="A143" s="1"/>
      <c r="B143" s="1"/>
      <c r="C143" s="1"/>
      <c r="D143" s="1"/>
      <c r="E143" s="1"/>
      <c r="F143" s="1"/>
      <c r="G143" s="1"/>
      <c r="H143" s="1"/>
      <c r="I143" s="2"/>
      <c r="J143" s="2"/>
      <c r="K143" s="2"/>
      <c r="L143" s="2"/>
      <c r="M143" s="2"/>
      <c r="N143" s="2"/>
      <c r="O143" s="2"/>
      <c r="P143" s="2"/>
      <c r="Q143" s="2"/>
      <c r="R143" s="2"/>
      <c r="S143" s="2"/>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row>
    <row r="144" spans="1:49" x14ac:dyDescent="0.25">
      <c r="A144" s="1"/>
      <c r="B144" s="1"/>
      <c r="C144" s="1"/>
      <c r="D144" s="1"/>
      <c r="E144" s="1"/>
      <c r="F144" s="1"/>
      <c r="G144" s="1"/>
      <c r="H144" s="1"/>
      <c r="I144" s="2"/>
      <c r="J144" s="2"/>
      <c r="K144" s="2"/>
      <c r="L144" s="2"/>
      <c r="M144" s="2"/>
      <c r="N144" s="2"/>
      <c r="O144" s="2"/>
      <c r="P144" s="2"/>
      <c r="Q144" s="2"/>
      <c r="R144" s="2"/>
      <c r="S144" s="2"/>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row>
    <row r="145" spans="1:49" x14ac:dyDescent="0.25">
      <c r="A145" s="1"/>
      <c r="B145" s="1"/>
      <c r="C145" s="1"/>
      <c r="D145" s="1"/>
      <c r="E145" s="1"/>
      <c r="F145" s="1"/>
      <c r="G145" s="1"/>
      <c r="H145" s="1"/>
      <c r="I145" s="2"/>
      <c r="J145" s="2"/>
      <c r="K145" s="2"/>
      <c r="L145" s="2"/>
      <c r="M145" s="2"/>
      <c r="N145" s="2"/>
      <c r="O145" s="2"/>
      <c r="P145" s="2"/>
      <c r="Q145" s="2"/>
      <c r="R145" s="2"/>
      <c r="S145" s="2"/>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row>
    <row r="146" spans="1:49" x14ac:dyDescent="0.25">
      <c r="A146" s="1"/>
      <c r="B146" s="1"/>
      <c r="C146" s="1"/>
      <c r="D146" s="1"/>
      <c r="E146" s="1"/>
      <c r="F146" s="1"/>
      <c r="G146" s="1"/>
      <c r="H146" s="1"/>
      <c r="I146" s="2"/>
      <c r="J146" s="2"/>
      <c r="K146" s="2"/>
      <c r="L146" s="2"/>
      <c r="M146" s="2"/>
      <c r="N146" s="2"/>
      <c r="O146" s="2"/>
      <c r="P146" s="2"/>
      <c r="Q146" s="2"/>
      <c r="R146" s="2"/>
      <c r="S146" s="2"/>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row>
    <row r="147" spans="1:49" x14ac:dyDescent="0.25">
      <c r="A147" s="1"/>
      <c r="B147" s="1"/>
      <c r="C147" s="1"/>
      <c r="D147" s="1"/>
      <c r="E147" s="1"/>
      <c r="F147" s="1"/>
      <c r="G147" s="1"/>
      <c r="H147" s="1"/>
      <c r="I147" s="2"/>
      <c r="J147" s="2"/>
      <c r="K147" s="2"/>
      <c r="L147" s="2"/>
      <c r="M147" s="2"/>
      <c r="N147" s="2"/>
      <c r="O147" s="2"/>
      <c r="P147" s="2"/>
      <c r="Q147" s="2"/>
      <c r="R147" s="2"/>
      <c r="S147" s="2"/>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row>
    <row r="148" spans="1:49" x14ac:dyDescent="0.25">
      <c r="A148" s="1"/>
      <c r="B148" s="1"/>
      <c r="C148" s="1"/>
      <c r="D148" s="1"/>
      <c r="E148" s="1"/>
      <c r="F148" s="1"/>
      <c r="G148" s="1"/>
      <c r="H148" s="1"/>
      <c r="I148" s="2"/>
      <c r="J148" s="2"/>
      <c r="K148" s="2"/>
      <c r="L148" s="2"/>
      <c r="M148" s="2"/>
      <c r="N148" s="2"/>
      <c r="O148" s="2"/>
      <c r="P148" s="2"/>
      <c r="Q148" s="2"/>
      <c r="R148" s="2"/>
      <c r="S148" s="2"/>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row>
    <row r="149" spans="1:49" x14ac:dyDescent="0.25">
      <c r="A149" s="1"/>
      <c r="B149" s="1"/>
      <c r="C149" s="1"/>
      <c r="D149" s="1"/>
      <c r="E149" s="1"/>
      <c r="F149" s="1"/>
      <c r="G149" s="1"/>
      <c r="H149" s="1"/>
      <c r="I149" s="2"/>
      <c r="J149" s="2"/>
      <c r="K149" s="2"/>
      <c r="L149" s="2"/>
      <c r="M149" s="2"/>
      <c r="N149" s="2"/>
      <c r="O149" s="2"/>
      <c r="P149" s="2"/>
      <c r="Q149" s="2"/>
      <c r="R149" s="2"/>
      <c r="S149" s="2"/>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row>
    <row r="150" spans="1:49" x14ac:dyDescent="0.25">
      <c r="A150" s="1"/>
      <c r="B150" s="1"/>
      <c r="C150" s="1"/>
      <c r="D150" s="1"/>
      <c r="E150" s="1"/>
      <c r="F150" s="1"/>
      <c r="G150" s="1"/>
      <c r="H150" s="1"/>
      <c r="I150" s="2"/>
      <c r="J150" s="2"/>
      <c r="K150" s="2"/>
      <c r="L150" s="2"/>
      <c r="M150" s="2"/>
      <c r="N150" s="2"/>
      <c r="O150" s="2"/>
      <c r="P150" s="2"/>
      <c r="Q150" s="2"/>
      <c r="R150" s="2"/>
      <c r="S150" s="2"/>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row>
    <row r="151" spans="1:49" x14ac:dyDescent="0.25">
      <c r="A151" s="1"/>
      <c r="B151" s="1"/>
      <c r="C151" s="1"/>
      <c r="D151" s="1"/>
      <c r="E151" s="1"/>
      <c r="F151" s="1"/>
      <c r="G151" s="1"/>
      <c r="H151" s="1"/>
      <c r="I151" s="2"/>
      <c r="J151" s="2"/>
      <c r="K151" s="2"/>
      <c r="L151" s="2"/>
      <c r="M151" s="2"/>
      <c r="N151" s="2"/>
      <c r="O151" s="2"/>
      <c r="P151" s="2"/>
      <c r="Q151" s="2"/>
      <c r="R151" s="2"/>
      <c r="S151" s="2"/>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row>
    <row r="152" spans="1:49" x14ac:dyDescent="0.25">
      <c r="A152" s="1"/>
      <c r="B152" s="1"/>
      <c r="C152" s="1"/>
      <c r="D152" s="1"/>
      <c r="E152" s="1"/>
      <c r="F152" s="1"/>
      <c r="G152" s="1"/>
      <c r="H152" s="1"/>
      <c r="I152" s="2"/>
      <c r="J152" s="2"/>
      <c r="K152" s="2"/>
      <c r="L152" s="2"/>
      <c r="M152" s="2"/>
      <c r="N152" s="2"/>
      <c r="O152" s="2"/>
      <c r="P152" s="2"/>
      <c r="Q152" s="2"/>
      <c r="R152" s="2"/>
      <c r="S152" s="2"/>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row>
    <row r="153" spans="1:49" x14ac:dyDescent="0.25">
      <c r="A153" s="1"/>
      <c r="B153" s="1"/>
      <c r="C153" s="1"/>
      <c r="D153" s="1"/>
      <c r="E153" s="1"/>
      <c r="F153" s="1"/>
      <c r="G153" s="1"/>
      <c r="H153" s="1"/>
      <c r="I153" s="2"/>
      <c r="J153" s="2"/>
      <c r="K153" s="2"/>
      <c r="L153" s="2"/>
      <c r="M153" s="2"/>
      <c r="N153" s="2"/>
      <c r="O153" s="2"/>
      <c r="P153" s="2"/>
      <c r="Q153" s="2"/>
      <c r="R153" s="2"/>
      <c r="S153" s="2"/>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row>
    <row r="154" spans="1:49" x14ac:dyDescent="0.25">
      <c r="A154" s="1"/>
      <c r="B154" s="1"/>
      <c r="C154" s="1"/>
      <c r="D154" s="1"/>
      <c r="E154" s="1"/>
      <c r="F154" s="1"/>
      <c r="G154" s="1"/>
      <c r="H154" s="1"/>
      <c r="I154" s="2"/>
      <c r="J154" s="2"/>
      <c r="K154" s="2"/>
      <c r="L154" s="2"/>
      <c r="M154" s="2"/>
      <c r="N154" s="2"/>
      <c r="O154" s="2"/>
      <c r="P154" s="2"/>
      <c r="Q154" s="2"/>
      <c r="R154" s="2"/>
      <c r="S154" s="2"/>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row>
    <row r="155" spans="1:49" x14ac:dyDescent="0.25">
      <c r="A155" s="1"/>
      <c r="B155" s="1"/>
      <c r="C155" s="1"/>
      <c r="D155" s="1"/>
      <c r="E155" s="1"/>
      <c r="F155" s="1"/>
      <c r="G155" s="1"/>
      <c r="H155" s="1"/>
      <c r="I155" s="2"/>
      <c r="J155" s="2"/>
      <c r="K155" s="2"/>
      <c r="L155" s="2"/>
      <c r="M155" s="2"/>
      <c r="N155" s="2"/>
      <c r="O155" s="2"/>
      <c r="P155" s="2"/>
      <c r="Q155" s="2"/>
      <c r="R155" s="2"/>
      <c r="S155" s="2"/>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row>
    <row r="156" spans="1:49" x14ac:dyDescent="0.25">
      <c r="A156" s="1"/>
      <c r="B156" s="1"/>
      <c r="C156" s="1"/>
      <c r="D156" s="1"/>
      <c r="E156" s="1"/>
      <c r="F156" s="1"/>
      <c r="G156" s="1"/>
      <c r="H156" s="1"/>
      <c r="I156" s="2"/>
      <c r="J156" s="2"/>
      <c r="K156" s="2"/>
      <c r="L156" s="2"/>
      <c r="M156" s="2"/>
      <c r="N156" s="2"/>
      <c r="O156" s="2"/>
      <c r="P156" s="2"/>
      <c r="Q156" s="2"/>
      <c r="R156" s="2"/>
      <c r="S156" s="2"/>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row>
    <row r="157" spans="1:49" x14ac:dyDescent="0.25">
      <c r="A157" s="1"/>
      <c r="B157" s="1"/>
      <c r="C157" s="1"/>
      <c r="D157" s="1"/>
      <c r="E157" s="1"/>
      <c r="F157" s="1"/>
      <c r="G157" s="1"/>
      <c r="H157" s="1"/>
      <c r="I157" s="2"/>
      <c r="J157" s="2"/>
      <c r="K157" s="2"/>
      <c r="L157" s="2"/>
      <c r="M157" s="2"/>
      <c r="N157" s="2"/>
      <c r="O157" s="2"/>
      <c r="P157" s="2"/>
      <c r="Q157" s="2"/>
      <c r="R157" s="2"/>
      <c r="S157" s="2"/>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row>
    <row r="158" spans="1:49" x14ac:dyDescent="0.25">
      <c r="A158" s="1"/>
      <c r="B158" s="1"/>
      <c r="C158" s="1"/>
      <c r="D158" s="1"/>
      <c r="E158" s="1"/>
      <c r="F158" s="1"/>
      <c r="G158" s="1"/>
      <c r="H158" s="1"/>
      <c r="I158" s="2"/>
      <c r="J158" s="2"/>
      <c r="K158" s="2"/>
      <c r="L158" s="2"/>
      <c r="M158" s="2"/>
      <c r="N158" s="2"/>
      <c r="O158" s="2"/>
      <c r="P158" s="2"/>
      <c r="Q158" s="2"/>
      <c r="R158" s="2"/>
      <c r="S158" s="2"/>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row>
    <row r="159" spans="1:49" x14ac:dyDescent="0.25">
      <c r="A159" s="1"/>
      <c r="B159" s="1"/>
      <c r="C159" s="1"/>
      <c r="D159" s="1"/>
      <c r="E159" s="1"/>
      <c r="F159" s="1"/>
      <c r="G159" s="1"/>
      <c r="H159" s="1"/>
      <c r="I159" s="2"/>
      <c r="J159" s="2"/>
      <c r="K159" s="2"/>
      <c r="L159" s="2"/>
      <c r="M159" s="2"/>
      <c r="N159" s="2"/>
      <c r="O159" s="2"/>
      <c r="P159" s="2"/>
      <c r="Q159" s="2"/>
      <c r="R159" s="2"/>
      <c r="S159" s="2"/>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row>
    <row r="160" spans="1:49" x14ac:dyDescent="0.25">
      <c r="A160" s="1"/>
      <c r="B160" s="1"/>
      <c r="C160" s="1"/>
      <c r="D160" s="1"/>
      <c r="E160" s="1"/>
      <c r="F160" s="1"/>
      <c r="G160" s="1"/>
      <c r="H160" s="1"/>
      <c r="I160" s="2"/>
      <c r="J160" s="2"/>
      <c r="K160" s="2"/>
      <c r="L160" s="2"/>
      <c r="M160" s="2"/>
      <c r="N160" s="2"/>
      <c r="O160" s="2"/>
      <c r="P160" s="2"/>
      <c r="Q160" s="2"/>
      <c r="R160" s="2"/>
      <c r="S160" s="2"/>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row>
    <row r="161" spans="1:49" x14ac:dyDescent="0.25">
      <c r="A161" s="1"/>
      <c r="B161" s="1"/>
      <c r="C161" s="1"/>
      <c r="D161" s="1"/>
      <c r="E161" s="1"/>
      <c r="F161" s="1"/>
      <c r="G161" s="1"/>
      <c r="H161" s="1"/>
      <c r="I161" s="2"/>
      <c r="J161" s="2"/>
      <c r="K161" s="2"/>
      <c r="L161" s="2"/>
      <c r="M161" s="2"/>
      <c r="N161" s="2"/>
      <c r="O161" s="2"/>
      <c r="P161" s="2"/>
      <c r="Q161" s="2"/>
      <c r="R161" s="2"/>
      <c r="S161" s="2"/>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row>
    <row r="162" spans="1:49" x14ac:dyDescent="0.25">
      <c r="A162" s="1"/>
      <c r="B162" s="1"/>
      <c r="C162" s="1"/>
      <c r="D162" s="1"/>
      <c r="E162" s="1"/>
      <c r="F162" s="1"/>
      <c r="G162" s="1"/>
      <c r="H162" s="1"/>
      <c r="I162" s="2"/>
      <c r="J162" s="2"/>
      <c r="K162" s="2"/>
      <c r="L162" s="2"/>
      <c r="M162" s="2"/>
      <c r="N162" s="2"/>
      <c r="O162" s="2"/>
      <c r="P162" s="2"/>
      <c r="Q162" s="2"/>
      <c r="R162" s="2"/>
      <c r="S162" s="2"/>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row>
    <row r="163" spans="1:49" x14ac:dyDescent="0.25">
      <c r="A163" s="1"/>
      <c r="B163" s="1"/>
      <c r="C163" s="1"/>
      <c r="D163" s="1"/>
      <c r="E163" s="1"/>
      <c r="F163" s="1"/>
      <c r="G163" s="1"/>
      <c r="H163" s="1"/>
      <c r="I163" s="2"/>
      <c r="J163" s="2"/>
      <c r="K163" s="2"/>
      <c r="L163" s="2"/>
      <c r="M163" s="2"/>
      <c r="N163" s="2"/>
      <c r="O163" s="2"/>
      <c r="P163" s="2"/>
      <c r="Q163" s="2"/>
      <c r="R163" s="2"/>
      <c r="S163" s="2"/>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row>
    <row r="164" spans="1:49" x14ac:dyDescent="0.25">
      <c r="A164" s="1"/>
      <c r="B164" s="1"/>
      <c r="C164" s="1"/>
      <c r="D164" s="1"/>
      <c r="E164" s="1"/>
      <c r="F164" s="1"/>
      <c r="G164" s="1"/>
      <c r="H164" s="1"/>
      <c r="I164" s="2"/>
      <c r="J164" s="2"/>
      <c r="K164" s="2"/>
      <c r="L164" s="2"/>
      <c r="M164" s="2"/>
      <c r="N164" s="2"/>
      <c r="O164" s="2"/>
      <c r="P164" s="2"/>
      <c r="Q164" s="2"/>
      <c r="R164" s="2"/>
      <c r="S164" s="2"/>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row>
    <row r="165" spans="1:49" x14ac:dyDescent="0.25">
      <c r="A165" s="1"/>
      <c r="B165" s="1"/>
      <c r="C165" s="1"/>
      <c r="D165" s="1"/>
      <c r="E165" s="1"/>
      <c r="F165" s="1"/>
      <c r="G165" s="1"/>
      <c r="H165" s="1"/>
      <c r="I165" s="2"/>
      <c r="J165" s="2"/>
      <c r="K165" s="2"/>
      <c r="L165" s="2"/>
      <c r="M165" s="2"/>
      <c r="N165" s="2"/>
      <c r="O165" s="2"/>
      <c r="P165" s="2"/>
      <c r="Q165" s="2"/>
      <c r="R165" s="2"/>
      <c r="S165" s="2"/>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row>
    <row r="166" spans="1:49" x14ac:dyDescent="0.25">
      <c r="A166" s="1"/>
      <c r="B166" s="1"/>
      <c r="C166" s="1"/>
      <c r="D166" s="1"/>
      <c r="E166" s="1"/>
      <c r="F166" s="1"/>
      <c r="G166" s="1"/>
      <c r="H166" s="1"/>
      <c r="I166" s="2"/>
      <c r="J166" s="2"/>
      <c r="K166" s="2"/>
      <c r="L166" s="2"/>
      <c r="M166" s="2"/>
      <c r="N166" s="2"/>
      <c r="O166" s="2"/>
      <c r="P166" s="2"/>
      <c r="Q166" s="2"/>
      <c r="R166" s="2"/>
      <c r="S166" s="2"/>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row>
    <row r="167" spans="1:49" x14ac:dyDescent="0.25">
      <c r="A167" s="1"/>
      <c r="B167" s="1"/>
      <c r="C167" s="1"/>
      <c r="D167" s="1"/>
      <c r="E167" s="1"/>
      <c r="F167" s="1"/>
      <c r="G167" s="1"/>
      <c r="H167" s="1"/>
      <c r="I167" s="2"/>
      <c r="J167" s="2"/>
      <c r="K167" s="2"/>
      <c r="L167" s="2"/>
      <c r="M167" s="2"/>
      <c r="N167" s="2"/>
      <c r="O167" s="2"/>
      <c r="P167" s="2"/>
      <c r="Q167" s="2"/>
      <c r="R167" s="2"/>
      <c r="S167" s="2"/>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row>
    <row r="168" spans="1:49" x14ac:dyDescent="0.25">
      <c r="A168" s="1"/>
      <c r="B168" s="1"/>
      <c r="C168" s="1"/>
      <c r="D168" s="1"/>
      <c r="E168" s="1"/>
      <c r="F168" s="1"/>
      <c r="G168" s="1"/>
      <c r="H168" s="1"/>
      <c r="I168" s="2"/>
      <c r="J168" s="2"/>
      <c r="K168" s="2"/>
      <c r="L168" s="2"/>
      <c r="M168" s="2"/>
      <c r="N168" s="2"/>
      <c r="O168" s="2"/>
      <c r="P168" s="2"/>
      <c r="Q168" s="2"/>
      <c r="R168" s="2"/>
      <c r="S168" s="2"/>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row>
    <row r="169" spans="1:49" x14ac:dyDescent="0.25">
      <c r="A169" s="1"/>
      <c r="B169" s="1"/>
      <c r="C169" s="1"/>
      <c r="D169" s="1"/>
      <c r="E169" s="1"/>
      <c r="F169" s="1"/>
      <c r="G169" s="1"/>
      <c r="H169" s="1"/>
      <c r="I169" s="2"/>
      <c r="J169" s="2"/>
      <c r="K169" s="2"/>
      <c r="L169" s="2"/>
      <c r="M169" s="2"/>
      <c r="N169" s="2"/>
      <c r="O169" s="2"/>
      <c r="P169" s="2"/>
      <c r="Q169" s="2"/>
      <c r="R169" s="2"/>
      <c r="S169" s="2"/>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row>
    <row r="170" spans="1:49" x14ac:dyDescent="0.25">
      <c r="A170" s="1"/>
      <c r="B170" s="1"/>
      <c r="C170" s="1"/>
      <c r="D170" s="1"/>
      <c r="E170" s="1"/>
      <c r="F170" s="1"/>
      <c r="G170" s="1"/>
      <c r="H170" s="1"/>
      <c r="I170" s="2"/>
      <c r="J170" s="2"/>
      <c r="K170" s="2"/>
      <c r="L170" s="2"/>
      <c r="M170" s="2"/>
      <c r="N170" s="2"/>
      <c r="O170" s="2"/>
      <c r="P170" s="2"/>
      <c r="Q170" s="2"/>
      <c r="R170" s="2"/>
      <c r="S170" s="2"/>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row>
    <row r="171" spans="1:49" x14ac:dyDescent="0.25">
      <c r="A171" s="1"/>
      <c r="B171" s="1"/>
      <c r="C171" s="1"/>
      <c r="D171" s="1"/>
      <c r="E171" s="1"/>
      <c r="F171" s="1"/>
      <c r="G171" s="1"/>
      <c r="H171" s="1"/>
      <c r="I171" s="2"/>
      <c r="J171" s="2"/>
      <c r="K171" s="2"/>
      <c r="L171" s="2"/>
      <c r="M171" s="2"/>
      <c r="N171" s="2"/>
      <c r="O171" s="2"/>
      <c r="P171" s="2"/>
      <c r="Q171" s="2"/>
      <c r="R171" s="2"/>
      <c r="S171" s="2"/>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row>
    <row r="172" spans="1:49" x14ac:dyDescent="0.25">
      <c r="A172" s="1"/>
      <c r="B172" s="1"/>
      <c r="C172" s="1"/>
      <c r="D172" s="1"/>
      <c r="E172" s="1"/>
      <c r="F172" s="1"/>
      <c r="G172" s="1"/>
      <c r="H172" s="1"/>
      <c r="I172" s="2"/>
      <c r="J172" s="2"/>
      <c r="K172" s="2"/>
      <c r="L172" s="2"/>
      <c r="M172" s="2"/>
      <c r="N172" s="2"/>
      <c r="O172" s="2"/>
      <c r="P172" s="2"/>
      <c r="Q172" s="2"/>
      <c r="R172" s="2"/>
      <c r="S172" s="2"/>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row>
    <row r="173" spans="1:49" x14ac:dyDescent="0.25">
      <c r="A173" s="1"/>
      <c r="B173" s="1"/>
      <c r="C173" s="1"/>
      <c r="D173" s="1"/>
      <c r="E173" s="1"/>
      <c r="F173" s="1"/>
      <c r="G173" s="1"/>
      <c r="H173" s="1"/>
      <c r="I173" s="2"/>
      <c r="J173" s="2"/>
      <c r="K173" s="2"/>
      <c r="L173" s="2"/>
      <c r="M173" s="2"/>
      <c r="N173" s="2"/>
      <c r="O173" s="2"/>
      <c r="P173" s="2"/>
      <c r="Q173" s="2"/>
      <c r="R173" s="2"/>
      <c r="S173" s="2"/>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row>
    <row r="174" spans="1:49" x14ac:dyDescent="0.25">
      <c r="A174" s="1"/>
      <c r="B174" s="1"/>
      <c r="C174" s="1"/>
      <c r="D174" s="1"/>
      <c r="E174" s="1"/>
      <c r="F174" s="1"/>
      <c r="G174" s="1"/>
      <c r="H174" s="1"/>
      <c r="I174" s="2"/>
      <c r="J174" s="2"/>
      <c r="K174" s="2"/>
      <c r="L174" s="2"/>
      <c r="M174" s="2"/>
      <c r="N174" s="2"/>
      <c r="O174" s="2"/>
      <c r="P174" s="2"/>
      <c r="Q174" s="2"/>
      <c r="R174" s="2"/>
      <c r="S174" s="2"/>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row>
    <row r="175" spans="1:49" x14ac:dyDescent="0.25">
      <c r="A175" s="1"/>
      <c r="B175" s="1"/>
      <c r="C175" s="1"/>
      <c r="D175" s="1"/>
      <c r="E175" s="1"/>
      <c r="F175" s="1"/>
      <c r="G175" s="1"/>
      <c r="H175" s="1"/>
      <c r="I175" s="2"/>
      <c r="J175" s="2"/>
      <c r="K175" s="2"/>
      <c r="L175" s="2"/>
      <c r="M175" s="2"/>
      <c r="N175" s="2"/>
      <c r="O175" s="2"/>
      <c r="P175" s="2"/>
      <c r="Q175" s="2"/>
      <c r="R175" s="2"/>
      <c r="S175" s="2"/>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row>
    <row r="176" spans="1:49" x14ac:dyDescent="0.25">
      <c r="A176" s="1"/>
      <c r="B176" s="1"/>
      <c r="C176" s="1"/>
      <c r="D176" s="1"/>
      <c r="E176" s="1"/>
      <c r="F176" s="1"/>
      <c r="G176" s="1"/>
      <c r="H176" s="1"/>
      <c r="I176" s="2"/>
      <c r="J176" s="2"/>
      <c r="K176" s="2"/>
      <c r="L176" s="2"/>
      <c r="M176" s="2"/>
      <c r="N176" s="2"/>
      <c r="O176" s="2"/>
      <c r="P176" s="2"/>
      <c r="Q176" s="2"/>
      <c r="R176" s="2"/>
      <c r="S176" s="2"/>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row>
    <row r="177" spans="1:49" x14ac:dyDescent="0.25">
      <c r="A177" s="1"/>
      <c r="B177" s="1"/>
      <c r="C177" s="1"/>
      <c r="D177" s="1"/>
      <c r="E177" s="1"/>
      <c r="F177" s="1"/>
      <c r="G177" s="1"/>
      <c r="H177" s="1"/>
      <c r="I177" s="2"/>
      <c r="J177" s="2"/>
      <c r="K177" s="2"/>
      <c r="L177" s="2"/>
      <c r="M177" s="2"/>
      <c r="N177" s="2"/>
      <c r="O177" s="2"/>
      <c r="P177" s="2"/>
      <c r="Q177" s="2"/>
      <c r="R177" s="2"/>
      <c r="S177" s="2"/>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row>
    <row r="178" spans="1:49" x14ac:dyDescent="0.25">
      <c r="A178" s="1"/>
      <c r="B178" s="1"/>
      <c r="C178" s="1"/>
      <c r="D178" s="1"/>
      <c r="E178" s="1"/>
      <c r="F178" s="1"/>
      <c r="G178" s="1"/>
      <c r="H178" s="1"/>
      <c r="I178" s="2"/>
      <c r="J178" s="2"/>
      <c r="K178" s="2"/>
      <c r="L178" s="2"/>
      <c r="M178" s="2"/>
      <c r="N178" s="2"/>
      <c r="O178" s="2"/>
      <c r="P178" s="2"/>
      <c r="Q178" s="2"/>
      <c r="R178" s="2"/>
      <c r="S178" s="2"/>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row>
    <row r="179" spans="1:49" x14ac:dyDescent="0.25">
      <c r="A179" s="1"/>
      <c r="B179" s="1"/>
      <c r="C179" s="1"/>
      <c r="D179" s="1"/>
      <c r="E179" s="1"/>
      <c r="F179" s="1"/>
      <c r="G179" s="1"/>
      <c r="H179" s="1"/>
      <c r="I179" s="2"/>
      <c r="J179" s="2"/>
      <c r="K179" s="2"/>
      <c r="L179" s="2"/>
      <c r="M179" s="2"/>
      <c r="N179" s="2"/>
      <c r="O179" s="2"/>
      <c r="P179" s="2"/>
      <c r="Q179" s="2"/>
      <c r="R179" s="2"/>
      <c r="S179" s="2"/>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row>
    <row r="180" spans="1:49" x14ac:dyDescent="0.25">
      <c r="A180" s="1"/>
      <c r="B180" s="1"/>
      <c r="C180" s="1"/>
      <c r="D180" s="1"/>
      <c r="E180" s="1"/>
      <c r="F180" s="1"/>
      <c r="G180" s="1"/>
      <c r="H180" s="1"/>
      <c r="I180" s="2"/>
      <c r="J180" s="2"/>
      <c r="K180" s="2"/>
      <c r="L180" s="2"/>
      <c r="M180" s="2"/>
      <c r="N180" s="2"/>
      <c r="O180" s="2"/>
      <c r="P180" s="2"/>
      <c r="Q180" s="2"/>
      <c r="R180" s="2"/>
      <c r="S180" s="2"/>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row>
    <row r="181" spans="1:49" x14ac:dyDescent="0.25">
      <c r="A181" s="1"/>
      <c r="B181" s="1"/>
      <c r="C181" s="1"/>
      <c r="D181" s="1"/>
      <c r="E181" s="1"/>
      <c r="F181" s="1"/>
      <c r="G181" s="1"/>
      <c r="H181" s="1"/>
      <c r="I181" s="2"/>
      <c r="J181" s="2"/>
      <c r="K181" s="2"/>
      <c r="L181" s="2"/>
      <c r="M181" s="2"/>
      <c r="N181" s="2"/>
      <c r="O181" s="2"/>
      <c r="P181" s="2"/>
      <c r="Q181" s="2"/>
      <c r="R181" s="2"/>
      <c r="S181" s="2"/>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row>
    <row r="182" spans="1:49" x14ac:dyDescent="0.25">
      <c r="A182" s="1"/>
      <c r="B182" s="1"/>
      <c r="C182" s="1"/>
      <c r="D182" s="1"/>
      <c r="E182" s="1"/>
      <c r="F182" s="1"/>
      <c r="G182" s="1"/>
      <c r="H182" s="1"/>
      <c r="I182" s="2"/>
      <c r="J182" s="2"/>
      <c r="K182" s="2"/>
      <c r="L182" s="2"/>
      <c r="M182" s="2"/>
      <c r="N182" s="2"/>
      <c r="O182" s="2"/>
      <c r="P182" s="2"/>
      <c r="Q182" s="2"/>
      <c r="R182" s="2"/>
      <c r="S182" s="2"/>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row>
    <row r="183" spans="1:49" x14ac:dyDescent="0.25">
      <c r="A183" s="1"/>
      <c r="B183" s="1"/>
      <c r="C183" s="1"/>
      <c r="D183" s="1"/>
      <c r="E183" s="1"/>
      <c r="F183" s="1"/>
      <c r="G183" s="1"/>
      <c r="H183" s="1"/>
      <c r="I183" s="2"/>
      <c r="J183" s="2"/>
      <c r="K183" s="2"/>
      <c r="L183" s="2"/>
      <c r="M183" s="2"/>
      <c r="N183" s="2"/>
      <c r="O183" s="2"/>
      <c r="P183" s="2"/>
      <c r="Q183" s="2"/>
      <c r="R183" s="2"/>
      <c r="S183" s="2"/>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row>
    <row r="184" spans="1:49" x14ac:dyDescent="0.25">
      <c r="A184" s="1"/>
      <c r="B184" s="1"/>
      <c r="C184" s="1"/>
      <c r="D184" s="1"/>
      <c r="E184" s="1"/>
      <c r="F184" s="1"/>
      <c r="G184" s="1"/>
      <c r="H184" s="1"/>
      <c r="I184" s="2"/>
      <c r="J184" s="2"/>
      <c r="K184" s="2"/>
      <c r="L184" s="2"/>
      <c r="M184" s="2"/>
      <c r="N184" s="2"/>
      <c r="O184" s="2"/>
      <c r="P184" s="2"/>
      <c r="Q184" s="2"/>
      <c r="R184" s="2"/>
      <c r="S184" s="2"/>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row>
    <row r="185" spans="1:49" x14ac:dyDescent="0.25">
      <c r="A185" s="1"/>
      <c r="B185" s="1"/>
      <c r="C185" s="1"/>
      <c r="D185" s="1"/>
      <c r="E185" s="1"/>
      <c r="F185" s="1"/>
      <c r="G185" s="1"/>
      <c r="H185" s="1"/>
      <c r="I185" s="2"/>
      <c r="J185" s="2"/>
      <c r="K185" s="2"/>
      <c r="L185" s="2"/>
      <c r="M185" s="2"/>
      <c r="N185" s="2"/>
      <c r="O185" s="2"/>
      <c r="P185" s="2"/>
      <c r="Q185" s="2"/>
      <c r="R185" s="2"/>
      <c r="S185" s="2"/>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row>
    <row r="186" spans="1:49" x14ac:dyDescent="0.25">
      <c r="A186" s="1"/>
      <c r="B186" s="1"/>
      <c r="C186" s="1"/>
      <c r="D186" s="1"/>
      <c r="E186" s="1"/>
      <c r="F186" s="1"/>
      <c r="G186" s="1"/>
      <c r="H186" s="1"/>
      <c r="I186" s="2"/>
      <c r="J186" s="2"/>
      <c r="K186" s="2"/>
      <c r="L186" s="2"/>
      <c r="M186" s="2"/>
      <c r="N186" s="2"/>
      <c r="O186" s="2"/>
      <c r="P186" s="2"/>
      <c r="Q186" s="2"/>
      <c r="R186" s="2"/>
      <c r="S186" s="2"/>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row>
  </sheetData>
  <conditionalFormatting sqref="B11:R11">
    <cfRule type="cellIs" dxfId="158" priority="21" operator="equal">
      <formula>0</formula>
    </cfRule>
  </conditionalFormatting>
  <conditionalFormatting sqref="C15:R15">
    <cfRule type="cellIs" dxfId="157" priority="18" operator="equal">
      <formula>0</formula>
    </cfRule>
  </conditionalFormatting>
  <conditionalFormatting sqref="C27:R27">
    <cfRule type="colorScale" priority="17">
      <colorScale>
        <cfvo type="min"/>
        <cfvo type="max"/>
        <color rgb="FF142D14"/>
        <color rgb="FF3C963C"/>
      </colorScale>
    </cfRule>
  </conditionalFormatting>
  <conditionalFormatting sqref="C33:R33">
    <cfRule type="colorScale" priority="6">
      <colorScale>
        <cfvo type="min"/>
        <cfvo type="max"/>
        <color rgb="FF142D14"/>
        <color rgb="FF3C963C"/>
      </colorScale>
    </cfRule>
  </conditionalFormatting>
  <conditionalFormatting sqref="C16:R16">
    <cfRule type="colorScale" priority="107">
      <colorScale>
        <cfvo type="min"/>
        <cfvo type="max"/>
        <color rgb="FF142D14"/>
        <color rgb="FF3C963C"/>
      </colorScale>
    </cfRule>
  </conditionalFormatting>
  <pageMargins left="0.511811024" right="0.511811024" top="0.78740157499999996" bottom="0.78740157499999996" header="0.31496062000000002" footer="0.31496062000000002"/>
  <pageSetup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E83BF7-2CF8-43E6-A676-0078DE42D546}">
  <sheetPr codeName="Planilha3"/>
  <dimension ref="A1:BA256"/>
  <sheetViews>
    <sheetView topLeftCell="B1" zoomScale="85" zoomScaleNormal="85" workbookViewId="0">
      <selection activeCell="T17" sqref="T17:T21"/>
    </sheetView>
  </sheetViews>
  <sheetFormatPr defaultColWidth="9" defaultRowHeight="15" x14ac:dyDescent="0.25"/>
  <cols>
    <col min="1" max="1" width="15.85546875" style="3" customWidth="1"/>
    <col min="2" max="2" width="48" style="3" bestFit="1" customWidth="1"/>
    <col min="3" max="8" width="14" style="3" customWidth="1"/>
    <col min="9" max="17" width="14" style="8" customWidth="1"/>
    <col min="18" max="18" width="14" style="8" bestFit="1" customWidth="1"/>
    <col min="19" max="19" width="14" style="8" customWidth="1"/>
    <col min="20" max="20" width="22.5703125" style="8" bestFit="1" customWidth="1"/>
    <col min="21" max="21" width="19.28515625" style="8" bestFit="1" customWidth="1"/>
    <col min="22" max="22" width="10.140625" style="8" bestFit="1" customWidth="1"/>
    <col min="23" max="23" width="9.85546875" style="8" bestFit="1" customWidth="1"/>
    <col min="24" max="24" width="11.7109375" style="3" bestFit="1" customWidth="1"/>
    <col min="25" max="25" width="15.140625" style="3" bestFit="1" customWidth="1"/>
    <col min="26" max="16384" width="9" style="3"/>
  </cols>
  <sheetData>
    <row r="1" spans="1:53" ht="18" customHeight="1" x14ac:dyDescent="0.25">
      <c r="A1" s="1"/>
      <c r="B1" s="1"/>
      <c r="C1" s="1"/>
      <c r="D1" s="1"/>
      <c r="E1" s="1"/>
      <c r="F1" s="1"/>
      <c r="G1" s="1"/>
      <c r="H1" s="1"/>
      <c r="I1" s="2"/>
      <c r="J1" s="2"/>
      <c r="K1" s="2"/>
      <c r="L1" s="2"/>
      <c r="M1" s="2"/>
      <c r="N1" s="2"/>
      <c r="O1" s="2"/>
      <c r="P1" s="2"/>
      <c r="Q1" s="2"/>
      <c r="R1" s="2"/>
      <c r="S1" s="2"/>
      <c r="T1" s="2"/>
      <c r="U1" s="2"/>
      <c r="V1" s="2"/>
      <c r="W1" s="2"/>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row>
    <row r="2" spans="1:53" ht="18" customHeight="1" x14ac:dyDescent="0.25">
      <c r="A2" s="1"/>
      <c r="B2" s="1"/>
      <c r="C2" s="1"/>
      <c r="D2" s="1"/>
      <c r="E2" s="1"/>
      <c r="F2" s="1"/>
      <c r="G2" s="1"/>
      <c r="H2" s="1"/>
      <c r="I2" s="2"/>
      <c r="J2" s="2"/>
      <c r="K2" s="2"/>
      <c r="L2" s="2"/>
      <c r="M2" s="2"/>
      <c r="N2" s="2"/>
      <c r="O2" s="2"/>
      <c r="P2" s="2"/>
      <c r="Q2" s="2"/>
      <c r="R2" s="2"/>
      <c r="S2" s="2"/>
      <c r="T2" s="2"/>
      <c r="U2" s="2"/>
      <c r="V2" s="2"/>
      <c r="W2" s="2"/>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row>
    <row r="3" spans="1:53" ht="18" customHeight="1" x14ac:dyDescent="0.25">
      <c r="A3" s="1"/>
      <c r="B3" s="1"/>
      <c r="C3" s="1"/>
      <c r="D3" s="1"/>
      <c r="E3" s="1"/>
      <c r="F3" s="1"/>
      <c r="G3" s="1"/>
      <c r="H3" s="1"/>
      <c r="I3" s="2"/>
      <c r="J3" s="2"/>
      <c r="K3" s="2"/>
      <c r="L3" s="2"/>
      <c r="M3" s="2"/>
      <c r="N3" s="2"/>
      <c r="O3" s="2"/>
      <c r="P3" s="2"/>
      <c r="Q3" s="2"/>
      <c r="R3" s="2"/>
      <c r="S3" s="2"/>
      <c r="T3" s="2"/>
      <c r="U3" s="2"/>
      <c r="V3" s="2"/>
      <c r="W3" s="2"/>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row>
    <row r="4" spans="1:53" ht="18" customHeight="1" x14ac:dyDescent="0.25">
      <c r="A4" s="1"/>
      <c r="B4" s="1"/>
      <c r="C4" s="1"/>
      <c r="D4" s="1"/>
      <c r="E4" s="1"/>
      <c r="F4" s="1"/>
      <c r="G4" s="1"/>
      <c r="H4" s="1"/>
      <c r="I4" s="2"/>
      <c r="J4" s="2"/>
      <c r="K4" s="2"/>
      <c r="L4" s="2"/>
      <c r="M4" s="2"/>
      <c r="N4" s="2"/>
      <c r="O4" s="2"/>
      <c r="P4" s="2"/>
      <c r="Q4" s="2"/>
      <c r="R4" s="2"/>
      <c r="S4" s="2"/>
      <c r="T4" s="2"/>
      <c r="U4" s="2"/>
      <c r="V4" s="2"/>
      <c r="W4" s="2"/>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row>
    <row r="5" spans="1:53" ht="18" customHeight="1" x14ac:dyDescent="0.25">
      <c r="A5" s="1"/>
      <c r="B5" s="1"/>
      <c r="C5" s="1"/>
      <c r="D5" s="1"/>
      <c r="E5" s="1"/>
      <c r="F5" s="1"/>
      <c r="G5" s="1"/>
      <c r="H5" s="1"/>
      <c r="I5" s="2"/>
      <c r="J5" s="2"/>
      <c r="K5" s="2"/>
      <c r="L5" s="2"/>
      <c r="M5" s="2"/>
      <c r="N5" s="2"/>
      <c r="O5" s="2"/>
      <c r="P5" s="2"/>
      <c r="Q5" s="2"/>
      <c r="R5" s="2"/>
      <c r="S5" s="2"/>
      <c r="T5" s="2"/>
      <c r="U5" s="2"/>
      <c r="V5" s="2"/>
      <c r="W5" s="2"/>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row>
    <row r="6" spans="1:53" ht="18" customHeight="1" x14ac:dyDescent="0.25">
      <c r="A6" s="1"/>
      <c r="B6" s="1"/>
      <c r="C6" s="1"/>
      <c r="D6" s="1"/>
      <c r="E6" s="1"/>
      <c r="F6" s="1"/>
      <c r="G6" s="1"/>
      <c r="H6" s="1"/>
      <c r="I6" s="2"/>
      <c r="J6" s="2"/>
      <c r="K6" s="2"/>
      <c r="L6" s="2"/>
      <c r="M6" s="2"/>
      <c r="N6" s="2"/>
      <c r="O6" s="2"/>
      <c r="P6" s="2"/>
      <c r="Q6" s="2"/>
      <c r="R6" s="2"/>
      <c r="S6" s="2"/>
      <c r="T6" s="2"/>
      <c r="U6" s="2"/>
      <c r="V6" s="2"/>
      <c r="W6" s="2"/>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row>
    <row r="7" spans="1:53" ht="18" customHeight="1" thickBot="1" x14ac:dyDescent="0.3">
      <c r="A7" s="1"/>
      <c r="B7" s="1"/>
      <c r="C7" s="15">
        <v>2010</v>
      </c>
      <c r="D7" s="15">
        <v>2011</v>
      </c>
      <c r="E7" s="15">
        <v>2012</v>
      </c>
      <c r="F7" s="15">
        <v>2013</v>
      </c>
      <c r="G7" s="15">
        <v>2014</v>
      </c>
      <c r="H7" s="15">
        <v>2015</v>
      </c>
      <c r="I7" s="15">
        <v>2016</v>
      </c>
      <c r="J7" s="15">
        <f t="shared" ref="J7:P7" si="0">I7+1</f>
        <v>2017</v>
      </c>
      <c r="K7" s="15">
        <f t="shared" si="0"/>
        <v>2018</v>
      </c>
      <c r="L7" s="15">
        <f t="shared" si="0"/>
        <v>2019</v>
      </c>
      <c r="M7" s="15">
        <f t="shared" si="0"/>
        <v>2020</v>
      </c>
      <c r="N7" s="15">
        <f t="shared" si="0"/>
        <v>2021</v>
      </c>
      <c r="O7" s="15">
        <f t="shared" si="0"/>
        <v>2022</v>
      </c>
      <c r="P7" s="15">
        <f t="shared" si="0"/>
        <v>2023</v>
      </c>
      <c r="Q7" s="15">
        <v>2024</v>
      </c>
      <c r="R7" s="15" t="s">
        <v>380</v>
      </c>
      <c r="S7" s="15" t="s">
        <v>455</v>
      </c>
      <c r="T7" s="2"/>
      <c r="U7" s="2"/>
      <c r="V7" s="2"/>
      <c r="W7" s="2"/>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row>
    <row r="8" spans="1:53" ht="18" customHeight="1" x14ac:dyDescent="0.25">
      <c r="A8" s="1"/>
      <c r="B8" s="46" t="s">
        <v>7</v>
      </c>
      <c r="C8" s="45">
        <f t="shared" ref="C8" si="1">C9+C25</f>
        <v>268156</v>
      </c>
      <c r="D8" s="45">
        <f t="shared" ref="D8" si="2">D9+D25</f>
        <v>510628</v>
      </c>
      <c r="E8" s="45">
        <f t="shared" ref="E8" si="3">E9+E25</f>
        <v>636591</v>
      </c>
      <c r="F8" s="45">
        <f t="shared" ref="F8" si="4">F9+F25</f>
        <v>703866</v>
      </c>
      <c r="G8" s="45">
        <f t="shared" ref="G8" si="5">G9+G25</f>
        <v>796509</v>
      </c>
      <c r="H8" s="45">
        <f t="shared" ref="H8" si="6">H9+H25</f>
        <v>853948</v>
      </c>
      <c r="I8" s="45">
        <f t="shared" ref="I8" si="7">I9+I25</f>
        <v>907148</v>
      </c>
      <c r="J8" s="45">
        <f t="shared" ref="J8" si="8">J9+J25</f>
        <v>1049899</v>
      </c>
      <c r="K8" s="45">
        <f t="shared" ref="K8" si="9">K9+K25</f>
        <v>1045032</v>
      </c>
      <c r="L8" s="45">
        <f t="shared" ref="L8" si="10">L9+L25</f>
        <v>1413249</v>
      </c>
      <c r="M8" s="45">
        <f t="shared" ref="M8" si="11">M9+M25</f>
        <v>2832545</v>
      </c>
      <c r="N8" s="45">
        <f t="shared" ref="N8" si="12">N9+N25</f>
        <v>3366326</v>
      </c>
      <c r="O8" s="45">
        <f t="shared" ref="O8" si="13">O9+O25</f>
        <v>4659264</v>
      </c>
      <c r="P8" s="45">
        <f t="shared" ref="P8" si="14">P9+P25</f>
        <v>5975904</v>
      </c>
      <c r="Q8" s="45">
        <f t="shared" ref="Q8:R8" si="15">Q9+Q25</f>
        <v>15253545</v>
      </c>
      <c r="R8" s="45">
        <f t="shared" si="15"/>
        <v>15343081</v>
      </c>
      <c r="S8" s="45">
        <f t="shared" ref="S8" si="16">S9+S25</f>
        <v>15517032</v>
      </c>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row>
    <row r="9" spans="1:53" ht="18" customHeight="1" x14ac:dyDescent="0.25">
      <c r="A9" s="1"/>
      <c r="B9" s="18" t="s">
        <v>2</v>
      </c>
      <c r="C9" s="26">
        <f>C12+C16+C18+C19+C21+C13</f>
        <v>209067</v>
      </c>
      <c r="D9" s="26">
        <f t="shared" ref="D9:R9" si="17">D12+D16+D18+D19+D21+D13</f>
        <v>432376</v>
      </c>
      <c r="E9" s="26">
        <f t="shared" si="17"/>
        <v>513562</v>
      </c>
      <c r="F9" s="26">
        <f t="shared" si="17"/>
        <v>553093</v>
      </c>
      <c r="G9" s="26">
        <f t="shared" si="17"/>
        <v>618653</v>
      </c>
      <c r="H9" s="26">
        <f t="shared" si="17"/>
        <v>658203</v>
      </c>
      <c r="I9" s="26">
        <f t="shared" si="17"/>
        <v>706229</v>
      </c>
      <c r="J9" s="26">
        <f t="shared" si="17"/>
        <v>855237</v>
      </c>
      <c r="K9" s="26">
        <f t="shared" si="17"/>
        <v>842001</v>
      </c>
      <c r="L9" s="26">
        <f t="shared" si="17"/>
        <v>980665</v>
      </c>
      <c r="M9" s="26">
        <f t="shared" si="17"/>
        <v>1564868</v>
      </c>
      <c r="N9" s="26">
        <f t="shared" si="17"/>
        <v>1646786</v>
      </c>
      <c r="O9" s="26">
        <f t="shared" si="17"/>
        <v>2383445</v>
      </c>
      <c r="P9" s="26">
        <f t="shared" si="17"/>
        <v>2915054</v>
      </c>
      <c r="Q9" s="26">
        <f t="shared" si="17"/>
        <v>6831683</v>
      </c>
      <c r="R9" s="26">
        <f t="shared" si="17"/>
        <v>7051622</v>
      </c>
      <c r="S9" s="26">
        <f t="shared" ref="S9" si="18">S12+S16+S18+S19+S21+S13</f>
        <v>6866173</v>
      </c>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row>
    <row r="10" spans="1:53" ht="18" customHeight="1" x14ac:dyDescent="0.25">
      <c r="A10" s="1"/>
      <c r="B10" s="54" t="s">
        <v>285</v>
      </c>
      <c r="C10" s="140">
        <f>-('DRE + DCF'!C11+'DRE + DCF'!C14+'DRE + DCF'!C50-'DRE + DCF'!C75-'DRE + DCF'!C80)/24</f>
        <v>20866.25</v>
      </c>
      <c r="D10" s="140">
        <f>-('DRE + DCF'!D11+'DRE + DCF'!D14+'DRE + DCF'!D50-'DRE + DCF'!D75-'DRE + DCF'!D80)/24</f>
        <v>24792.375</v>
      </c>
      <c r="E10" s="140">
        <f>-('DRE + DCF'!E11+'DRE + DCF'!E14+'DRE + DCF'!E50-'DRE + DCF'!E75-'DRE + DCF'!E80)/24</f>
        <v>31716.75</v>
      </c>
      <c r="F10" s="140">
        <f>-('DRE + DCF'!F11+'DRE + DCF'!F14+'DRE + DCF'!F50-'DRE + DCF'!F75-'DRE + DCF'!F80)/24</f>
        <v>35377.166666666664</v>
      </c>
      <c r="G10" s="140">
        <f>-('DRE + DCF'!G11+'DRE + DCF'!G14+'DRE + DCF'!G50-'DRE + DCF'!G75-'DRE + DCF'!G80)/24</f>
        <v>39181</v>
      </c>
      <c r="H10" s="140">
        <f>-('DRE + DCF'!H11+'DRE + DCF'!H14+'DRE + DCF'!H50-'DRE + DCF'!H75-'DRE + DCF'!H80)/24</f>
        <v>41664.791666666664</v>
      </c>
      <c r="I10" s="140">
        <f>-('DRE + DCF'!I11+'DRE + DCF'!I14+'DRE + DCF'!I50-'DRE + DCF'!I75-'DRE + DCF'!I80)/24</f>
        <v>45950.833333333336</v>
      </c>
      <c r="J10" s="140">
        <f>-('DRE + DCF'!J11+'DRE + DCF'!J14+'DRE + DCF'!J50-'DRE + DCF'!J75-'DRE + DCF'!J80)/24</f>
        <v>49278</v>
      </c>
      <c r="K10" s="140">
        <f>-('DRE + DCF'!K11+'DRE + DCF'!K14+'DRE + DCF'!K50-'DRE + DCF'!K75-'DRE + DCF'!K80)/24</f>
        <v>55077.166666666664</v>
      </c>
      <c r="L10" s="140">
        <f>-('DRE + DCF'!L11+'DRE + DCF'!L14+'DRE + DCF'!L50-'DRE + DCF'!L75-'DRE + DCF'!L80)/24</f>
        <v>59108.25</v>
      </c>
      <c r="M10" s="140">
        <f>-('DRE + DCF'!M11+'DRE + DCF'!M14+'DRE + DCF'!M50-'DRE + DCF'!M75-'DRE + DCF'!M80)/24</f>
        <v>59323.083333333336</v>
      </c>
      <c r="N10" s="140">
        <f>-('DRE + DCF'!N11+'DRE + DCF'!N14+'DRE + DCF'!N50-'DRE + DCF'!N75-'DRE + DCF'!N80)/24</f>
        <v>100403.66666666667</v>
      </c>
      <c r="O10" s="140">
        <f>-('DRE + DCF'!O11+'DRE + DCF'!O14+'DRE + DCF'!O50-'DRE + DCF'!O75-'DRE + DCF'!O80)/24</f>
        <v>148662.5</v>
      </c>
      <c r="P10" s="140">
        <f>-('DRE + DCF'!P11+'DRE + DCF'!P14+'DRE + DCF'!P50-'DRE + DCF'!P75-'DRE + DCF'!P80)/24</f>
        <v>168429.5</v>
      </c>
      <c r="Q10" s="140">
        <f>-('DRE + DCF'!Q11+'DRE + DCF'!Q14+'DRE + DCF'!Q50-'DRE + DCF'!Q75-'DRE + DCF'!Q80)/24</f>
        <v>301360.5</v>
      </c>
      <c r="R10" s="140">
        <f>'B.P Pro Forma'!R12</f>
        <v>493577.87093284039</v>
      </c>
      <c r="S10" s="140">
        <f>R10</f>
        <v>493577.87093284039</v>
      </c>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row>
    <row r="11" spans="1:53" ht="18" customHeight="1" x14ac:dyDescent="0.25">
      <c r="A11" s="1"/>
      <c r="B11" s="54" t="s">
        <v>286</v>
      </c>
      <c r="C11" s="140">
        <f>C12+C13-C10</f>
        <v>-7862.25</v>
      </c>
      <c r="D11" s="140">
        <f t="shared" ref="D11:Q11" si="19">D12+D13-D10</f>
        <v>148757.625</v>
      </c>
      <c r="E11" s="140">
        <f t="shared" si="19"/>
        <v>170437.25</v>
      </c>
      <c r="F11" s="140">
        <f t="shared" si="19"/>
        <v>150313.83333333334</v>
      </c>
      <c r="G11" s="140">
        <f t="shared" si="19"/>
        <v>161204</v>
      </c>
      <c r="H11" s="140">
        <f t="shared" si="19"/>
        <v>184097.20833333334</v>
      </c>
      <c r="I11" s="140">
        <f t="shared" si="19"/>
        <v>196893.16666666666</v>
      </c>
      <c r="J11" s="140">
        <f t="shared" si="19"/>
        <v>288642</v>
      </c>
      <c r="K11" s="140">
        <f t="shared" si="19"/>
        <v>180723.83333333334</v>
      </c>
      <c r="L11" s="140">
        <f t="shared" si="19"/>
        <v>218574.75</v>
      </c>
      <c r="M11" s="140">
        <f t="shared" si="19"/>
        <v>501841.91666666669</v>
      </c>
      <c r="N11" s="140">
        <f t="shared" si="19"/>
        <v>162155.33333333331</v>
      </c>
      <c r="O11" s="140">
        <f t="shared" si="19"/>
        <v>327771.5</v>
      </c>
      <c r="P11" s="140">
        <f t="shared" si="19"/>
        <v>581284.5</v>
      </c>
      <c r="Q11" s="140">
        <f t="shared" si="19"/>
        <v>473182.5</v>
      </c>
      <c r="R11" s="140">
        <f>R12+R13-R10</f>
        <v>609794.12906715961</v>
      </c>
      <c r="S11" s="140">
        <f>S12+S13-S10</f>
        <v>329584.12906715961</v>
      </c>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row>
    <row r="12" spans="1:53" ht="18" customHeight="1" x14ac:dyDescent="0.25">
      <c r="A12" s="1"/>
      <c r="B12" s="12" t="s">
        <v>126</v>
      </c>
      <c r="C12" s="23">
        <v>8004</v>
      </c>
      <c r="D12" s="23">
        <v>15528</v>
      </c>
      <c r="E12" s="23">
        <v>11518</v>
      </c>
      <c r="F12" s="23">
        <v>13786</v>
      </c>
      <c r="G12" s="23">
        <v>10831</v>
      </c>
      <c r="H12" s="23">
        <v>8822</v>
      </c>
      <c r="I12" s="23">
        <v>5020</v>
      </c>
      <c r="J12" s="23">
        <v>10156</v>
      </c>
      <c r="K12" s="23">
        <v>8501</v>
      </c>
      <c r="L12" s="23">
        <v>13808</v>
      </c>
      <c r="M12" s="23">
        <v>38297</v>
      </c>
      <c r="N12" s="23">
        <v>33750</v>
      </c>
      <c r="O12" s="23">
        <v>28826</v>
      </c>
      <c r="P12" s="23">
        <v>73316</v>
      </c>
      <c r="Q12" s="23">
        <v>181160</v>
      </c>
      <c r="R12" s="23">
        <v>135961</v>
      </c>
      <c r="S12" s="23">
        <v>177365</v>
      </c>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row>
    <row r="13" spans="1:53" ht="18" customHeight="1" x14ac:dyDescent="0.25">
      <c r="A13" s="1"/>
      <c r="B13" s="12" t="s">
        <v>3</v>
      </c>
      <c r="C13" s="23">
        <v>5000</v>
      </c>
      <c r="D13" s="23">
        <v>158022</v>
      </c>
      <c r="E13" s="23">
        <v>190636</v>
      </c>
      <c r="F13" s="23">
        <v>171905</v>
      </c>
      <c r="G13" s="23">
        <v>189554</v>
      </c>
      <c r="H13" s="23">
        <v>216940</v>
      </c>
      <c r="I13" s="23">
        <v>237824</v>
      </c>
      <c r="J13" s="23">
        <v>327764</v>
      </c>
      <c r="K13" s="23">
        <v>227300</v>
      </c>
      <c r="L13" s="23">
        <v>263875</v>
      </c>
      <c r="M13" s="23">
        <v>522868</v>
      </c>
      <c r="N13" s="23">
        <v>228809</v>
      </c>
      <c r="O13" s="23">
        <v>447608</v>
      </c>
      <c r="P13" s="23">
        <v>676398</v>
      </c>
      <c r="Q13" s="23">
        <v>593383</v>
      </c>
      <c r="R13" s="23">
        <v>967411</v>
      </c>
      <c r="S13" s="23">
        <v>645797</v>
      </c>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row>
    <row r="14" spans="1:53" ht="18" customHeight="1" x14ac:dyDescent="0.25">
      <c r="A14" s="1"/>
      <c r="B14" s="16" t="s">
        <v>127</v>
      </c>
      <c r="C14" s="23">
        <v>5000</v>
      </c>
      <c r="D14" s="23">
        <v>158022</v>
      </c>
      <c r="E14" s="23">
        <v>190636</v>
      </c>
      <c r="F14" s="23">
        <v>171905</v>
      </c>
      <c r="G14" s="23">
        <v>189554</v>
      </c>
      <c r="H14" s="23">
        <v>216940</v>
      </c>
      <c r="I14" s="23">
        <v>237824</v>
      </c>
      <c r="J14" s="23">
        <v>327764</v>
      </c>
      <c r="K14" s="23">
        <v>227300</v>
      </c>
      <c r="L14" s="23">
        <v>263875</v>
      </c>
      <c r="M14" s="23">
        <v>522868</v>
      </c>
      <c r="N14" s="23">
        <v>228809</v>
      </c>
      <c r="O14" s="23">
        <v>447608</v>
      </c>
      <c r="P14" s="23">
        <v>676398</v>
      </c>
      <c r="Q14" s="23">
        <v>593383</v>
      </c>
      <c r="R14" s="23">
        <v>967411</v>
      </c>
      <c r="S14" s="23">
        <v>645797</v>
      </c>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row>
    <row r="15" spans="1:53" ht="18" customHeight="1" x14ac:dyDescent="0.25">
      <c r="A15" s="1"/>
      <c r="B15" s="137" t="s">
        <v>128</v>
      </c>
      <c r="C15" s="23">
        <v>5000</v>
      </c>
      <c r="D15" s="23">
        <v>158022</v>
      </c>
      <c r="E15" s="23">
        <v>190636</v>
      </c>
      <c r="F15" s="23">
        <v>171905</v>
      </c>
      <c r="G15" s="23">
        <v>189554</v>
      </c>
      <c r="H15" s="23">
        <v>216940</v>
      </c>
      <c r="I15" s="23">
        <v>237824</v>
      </c>
      <c r="J15" s="23">
        <v>327764</v>
      </c>
      <c r="K15" s="23">
        <v>227300</v>
      </c>
      <c r="L15" s="23">
        <v>263875</v>
      </c>
      <c r="M15" s="23">
        <v>522868</v>
      </c>
      <c r="N15" s="23">
        <v>228809</v>
      </c>
      <c r="O15" s="23">
        <v>447608</v>
      </c>
      <c r="P15" s="23">
        <v>676398</v>
      </c>
      <c r="Q15" s="23">
        <v>593383</v>
      </c>
      <c r="R15" s="23">
        <v>967411</v>
      </c>
      <c r="S15" s="23">
        <v>645797</v>
      </c>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row>
    <row r="16" spans="1:53" ht="18" customHeight="1" x14ac:dyDescent="0.25">
      <c r="A16" s="1"/>
      <c r="B16" s="12" t="s">
        <v>4</v>
      </c>
      <c r="C16" s="23">
        <v>132402</v>
      </c>
      <c r="D16" s="23">
        <v>179589</v>
      </c>
      <c r="E16" s="23">
        <v>208756</v>
      </c>
      <c r="F16" s="23">
        <v>247498</v>
      </c>
      <c r="G16" s="23">
        <v>277913</v>
      </c>
      <c r="H16" s="23">
        <v>280528</v>
      </c>
      <c r="I16" s="23">
        <v>315304</v>
      </c>
      <c r="J16" s="23">
        <v>336954</v>
      </c>
      <c r="K16" s="23">
        <v>382728</v>
      </c>
      <c r="L16" s="23">
        <v>413412</v>
      </c>
      <c r="M16" s="23">
        <v>598824</v>
      </c>
      <c r="N16" s="23">
        <v>790302</v>
      </c>
      <c r="O16" s="23">
        <v>867582</v>
      </c>
      <c r="P16" s="23">
        <v>1125449</v>
      </c>
      <c r="Q16" s="23">
        <v>2816294</v>
      </c>
      <c r="R16" s="23">
        <v>2448811</v>
      </c>
      <c r="S16" s="23">
        <v>2596937</v>
      </c>
      <c r="T16" s="1"/>
      <c r="U16" s="6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row>
    <row r="17" spans="1:53" ht="18" customHeight="1" x14ac:dyDescent="0.25">
      <c r="A17" s="1"/>
      <c r="B17" s="16" t="s">
        <v>129</v>
      </c>
      <c r="C17" s="23">
        <v>132402</v>
      </c>
      <c r="D17" s="23">
        <v>179589</v>
      </c>
      <c r="E17" s="23">
        <v>208756</v>
      </c>
      <c r="F17" s="23">
        <v>247498</v>
      </c>
      <c r="G17" s="23">
        <v>277913</v>
      </c>
      <c r="H17" s="23">
        <v>280528</v>
      </c>
      <c r="I17" s="23">
        <v>315304</v>
      </c>
      <c r="J17" s="23">
        <v>336954</v>
      </c>
      <c r="K17" s="23">
        <v>382728</v>
      </c>
      <c r="L17" s="23">
        <v>413412</v>
      </c>
      <c r="M17" s="23">
        <v>598824</v>
      </c>
      <c r="N17" s="23">
        <v>790302</v>
      </c>
      <c r="O17" s="23">
        <v>867582</v>
      </c>
      <c r="P17" s="23">
        <v>1125449</v>
      </c>
      <c r="Q17" s="23">
        <v>2816294</v>
      </c>
      <c r="R17" s="23">
        <v>2448811</v>
      </c>
      <c r="S17" s="23">
        <v>2596937</v>
      </c>
      <c r="T17" s="160"/>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row>
    <row r="18" spans="1:53" ht="18" customHeight="1" x14ac:dyDescent="0.25">
      <c r="A18" s="1"/>
      <c r="B18" s="12" t="s">
        <v>5</v>
      </c>
      <c r="C18" s="23">
        <v>48862</v>
      </c>
      <c r="D18" s="23">
        <v>57384</v>
      </c>
      <c r="E18" s="23">
        <v>76133</v>
      </c>
      <c r="F18" s="23">
        <v>85108</v>
      </c>
      <c r="G18" s="23">
        <v>98131</v>
      </c>
      <c r="H18" s="23">
        <v>106951</v>
      </c>
      <c r="I18" s="23">
        <v>110478</v>
      </c>
      <c r="J18" s="23">
        <v>113489</v>
      </c>
      <c r="K18" s="23">
        <v>150861</v>
      </c>
      <c r="L18" s="23">
        <v>179499</v>
      </c>
      <c r="M18" s="23">
        <v>290896</v>
      </c>
      <c r="N18" s="23">
        <v>450487</v>
      </c>
      <c r="O18" s="23">
        <v>772060</v>
      </c>
      <c r="P18" s="23">
        <v>828557</v>
      </c>
      <c r="Q18" s="23">
        <v>2218815</v>
      </c>
      <c r="R18" s="23">
        <v>2456987</v>
      </c>
      <c r="S18" s="23">
        <v>2474521</v>
      </c>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row>
    <row r="19" spans="1:53" ht="18" customHeight="1" x14ac:dyDescent="0.25">
      <c r="A19" s="1"/>
      <c r="B19" s="12" t="s">
        <v>6</v>
      </c>
      <c r="C19" s="23">
        <v>7889</v>
      </c>
      <c r="D19" s="23">
        <v>10191</v>
      </c>
      <c r="E19" s="23">
        <v>14280</v>
      </c>
      <c r="F19" s="23">
        <v>19188</v>
      </c>
      <c r="G19" s="23">
        <v>27742</v>
      </c>
      <c r="H19" s="23">
        <v>21222</v>
      </c>
      <c r="I19" s="23">
        <v>22562</v>
      </c>
      <c r="J19" s="23">
        <v>51127</v>
      </c>
      <c r="K19" s="23">
        <v>49370</v>
      </c>
      <c r="L19" s="23">
        <v>90332</v>
      </c>
      <c r="M19" s="23">
        <v>86034</v>
      </c>
      <c r="N19" s="23">
        <v>73852</v>
      </c>
      <c r="O19" s="23">
        <v>201212</v>
      </c>
      <c r="P19" s="23">
        <v>129638</v>
      </c>
      <c r="Q19" s="23">
        <v>520986</v>
      </c>
      <c r="R19" s="23">
        <v>557157</v>
      </c>
      <c r="S19" s="23">
        <v>571260</v>
      </c>
      <c r="T19" s="160"/>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row>
    <row r="20" spans="1:53" ht="18" customHeight="1" x14ac:dyDescent="0.25">
      <c r="A20" s="1"/>
      <c r="B20" s="16" t="s">
        <v>130</v>
      </c>
      <c r="C20" s="23">
        <v>7889</v>
      </c>
      <c r="D20" s="23">
        <v>10191</v>
      </c>
      <c r="E20" s="23">
        <v>14280</v>
      </c>
      <c r="F20" s="23">
        <v>19188</v>
      </c>
      <c r="G20" s="23">
        <v>27742</v>
      </c>
      <c r="H20" s="23">
        <v>21222</v>
      </c>
      <c r="I20" s="23">
        <v>22562</v>
      </c>
      <c r="J20" s="23">
        <v>51127</v>
      </c>
      <c r="K20" s="23">
        <v>49370</v>
      </c>
      <c r="L20" s="23">
        <v>90332</v>
      </c>
      <c r="M20" s="23">
        <v>86034</v>
      </c>
      <c r="N20" s="23">
        <v>73852</v>
      </c>
      <c r="O20" s="23">
        <v>201212</v>
      </c>
      <c r="P20" s="23">
        <v>129638</v>
      </c>
      <c r="Q20" s="23">
        <v>520986</v>
      </c>
      <c r="R20" s="23">
        <v>557157</v>
      </c>
      <c r="S20" s="23">
        <v>571260</v>
      </c>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row>
    <row r="21" spans="1:53" ht="18" customHeight="1" x14ac:dyDescent="0.25">
      <c r="A21" s="1"/>
      <c r="B21" s="12" t="s">
        <v>131</v>
      </c>
      <c r="C21" s="23">
        <v>6910</v>
      </c>
      <c r="D21" s="23">
        <v>11662</v>
      </c>
      <c r="E21" s="23">
        <v>12239</v>
      </c>
      <c r="F21" s="23">
        <v>15608</v>
      </c>
      <c r="G21" s="23">
        <v>14482</v>
      </c>
      <c r="H21" s="23">
        <v>23740</v>
      </c>
      <c r="I21" s="23">
        <v>15041</v>
      </c>
      <c r="J21" s="23">
        <v>15747</v>
      </c>
      <c r="K21" s="23">
        <v>23241</v>
      </c>
      <c r="L21" s="23">
        <v>19739</v>
      </c>
      <c r="M21" s="23">
        <v>27949</v>
      </c>
      <c r="N21" s="23">
        <v>69586</v>
      </c>
      <c r="O21" s="23">
        <v>66157</v>
      </c>
      <c r="P21" s="23">
        <v>81696</v>
      </c>
      <c r="Q21" s="23">
        <v>501045</v>
      </c>
      <c r="R21" s="23">
        <v>485295</v>
      </c>
      <c r="S21" s="23">
        <v>400293</v>
      </c>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row>
    <row r="22" spans="1:53" ht="18" customHeight="1" x14ac:dyDescent="0.25">
      <c r="A22" s="1"/>
      <c r="B22" s="47" t="s">
        <v>25</v>
      </c>
      <c r="C22" s="23">
        <v>6910</v>
      </c>
      <c r="D22" s="23">
        <v>11662</v>
      </c>
      <c r="E22" s="23">
        <v>12239</v>
      </c>
      <c r="F22" s="23">
        <v>15608</v>
      </c>
      <c r="G22" s="23">
        <v>14482</v>
      </c>
      <c r="H22" s="23">
        <v>23740</v>
      </c>
      <c r="I22" s="23">
        <v>15041</v>
      </c>
      <c r="J22" s="23">
        <v>15747</v>
      </c>
      <c r="K22" s="23">
        <v>23241</v>
      </c>
      <c r="L22" s="23">
        <v>19739</v>
      </c>
      <c r="M22" s="23">
        <v>27949</v>
      </c>
      <c r="N22" s="23">
        <v>69586</v>
      </c>
      <c r="O22" s="23">
        <v>66157</v>
      </c>
      <c r="P22" s="23">
        <v>81696</v>
      </c>
      <c r="Q22" s="23">
        <v>501045</v>
      </c>
      <c r="R22" s="23">
        <v>485295</v>
      </c>
      <c r="S22" s="23">
        <v>400293</v>
      </c>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row>
    <row r="23" spans="1:53" ht="18" customHeight="1" x14ac:dyDescent="0.25">
      <c r="A23" s="1"/>
      <c r="B23" s="47" t="s">
        <v>138</v>
      </c>
      <c r="C23" s="23">
        <v>0</v>
      </c>
      <c r="D23" s="23">
        <v>0</v>
      </c>
      <c r="E23" s="23">
        <v>0</v>
      </c>
      <c r="F23" s="23">
        <v>0</v>
      </c>
      <c r="G23" s="23">
        <v>0</v>
      </c>
      <c r="H23" s="23">
        <v>0</v>
      </c>
      <c r="I23" s="23">
        <v>0</v>
      </c>
      <c r="J23" s="23">
        <v>0</v>
      </c>
      <c r="K23" s="23">
        <v>0</v>
      </c>
      <c r="L23" s="23">
        <v>0</v>
      </c>
      <c r="M23" s="23">
        <v>0</v>
      </c>
      <c r="N23" s="23">
        <v>68230</v>
      </c>
      <c r="O23" s="23">
        <v>66157</v>
      </c>
      <c r="P23" s="23">
        <v>81696</v>
      </c>
      <c r="Q23" s="23">
        <v>501045</v>
      </c>
      <c r="R23" s="23">
        <v>485295</v>
      </c>
      <c r="S23" s="23">
        <v>400293</v>
      </c>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row>
    <row r="24" spans="1:53" ht="18" customHeight="1" x14ac:dyDescent="0.25">
      <c r="A24" s="1"/>
      <c r="B24" s="47" t="s">
        <v>193</v>
      </c>
      <c r="C24" s="23">
        <v>0</v>
      </c>
      <c r="D24" s="23">
        <v>0</v>
      </c>
      <c r="E24" s="23">
        <v>0</v>
      </c>
      <c r="F24" s="23">
        <v>0</v>
      </c>
      <c r="G24" s="23">
        <v>0</v>
      </c>
      <c r="H24" s="23">
        <v>0</v>
      </c>
      <c r="I24" s="23">
        <v>0</v>
      </c>
      <c r="J24" s="23">
        <v>0</v>
      </c>
      <c r="K24" s="23">
        <v>0</v>
      </c>
      <c r="L24" s="23">
        <v>0</v>
      </c>
      <c r="M24" s="23">
        <v>0</v>
      </c>
      <c r="N24" s="23">
        <v>1356</v>
      </c>
      <c r="O24" s="23">
        <v>0</v>
      </c>
      <c r="P24" s="23">
        <v>0</v>
      </c>
      <c r="Q24" s="23">
        <v>0</v>
      </c>
      <c r="R24" s="23">
        <v>0</v>
      </c>
      <c r="S24" s="23">
        <v>0</v>
      </c>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row>
    <row r="25" spans="1:53" ht="18" customHeight="1" x14ac:dyDescent="0.25">
      <c r="A25" s="1"/>
      <c r="B25" s="18" t="s">
        <v>47</v>
      </c>
      <c r="C25" s="26">
        <f t="shared" ref="C25:R25" si="20">C26+C45+C47+C40</f>
        <v>59089</v>
      </c>
      <c r="D25" s="26">
        <f t="shared" si="20"/>
        <v>78252</v>
      </c>
      <c r="E25" s="26">
        <f t="shared" si="20"/>
        <v>123029</v>
      </c>
      <c r="F25" s="26">
        <f t="shared" si="20"/>
        <v>150773</v>
      </c>
      <c r="G25" s="26">
        <f t="shared" si="20"/>
        <v>177856</v>
      </c>
      <c r="H25" s="26">
        <f t="shared" si="20"/>
        <v>195745</v>
      </c>
      <c r="I25" s="26">
        <f t="shared" si="20"/>
        <v>200919</v>
      </c>
      <c r="J25" s="26">
        <f t="shared" si="20"/>
        <v>194662</v>
      </c>
      <c r="K25" s="26">
        <f t="shared" si="20"/>
        <v>203031</v>
      </c>
      <c r="L25" s="26">
        <f t="shared" si="20"/>
        <v>432584</v>
      </c>
      <c r="M25" s="26">
        <f t="shared" si="20"/>
        <v>1267677</v>
      </c>
      <c r="N25" s="26">
        <f t="shared" si="20"/>
        <v>1719540</v>
      </c>
      <c r="O25" s="26">
        <f t="shared" si="20"/>
        <v>2275819</v>
      </c>
      <c r="P25" s="26">
        <f t="shared" si="20"/>
        <v>3060850</v>
      </c>
      <c r="Q25" s="26">
        <f t="shared" si="20"/>
        <v>8421862</v>
      </c>
      <c r="R25" s="26">
        <f t="shared" si="20"/>
        <v>8291459</v>
      </c>
      <c r="S25" s="26">
        <f t="shared" ref="S25" si="21">S26+S45+S47+S40</f>
        <v>8650859</v>
      </c>
      <c r="T25" s="7"/>
      <c r="U25" s="159"/>
      <c r="V25" s="7"/>
      <c r="W25" s="7"/>
      <c r="X25" s="4"/>
      <c r="Y25" s="4"/>
      <c r="Z25" s="1"/>
      <c r="AA25" s="1"/>
      <c r="AB25" s="5"/>
      <c r="AC25" s="5"/>
      <c r="AD25" s="5"/>
      <c r="AE25" s="1"/>
      <c r="AF25" s="1"/>
      <c r="AG25" s="1"/>
      <c r="AH25" s="1"/>
      <c r="AI25" s="1"/>
      <c r="AJ25" s="1"/>
      <c r="AK25" s="1"/>
      <c r="AL25" s="1"/>
      <c r="AM25" s="1"/>
      <c r="AN25" s="1"/>
      <c r="AO25" s="1"/>
      <c r="AP25" s="1"/>
      <c r="AQ25" s="1"/>
      <c r="AR25" s="1"/>
      <c r="AS25" s="1"/>
      <c r="AT25" s="1"/>
      <c r="AU25" s="1"/>
      <c r="AV25" s="1"/>
      <c r="AW25" s="1"/>
      <c r="AX25" s="1"/>
      <c r="AY25" s="1"/>
      <c r="AZ25" s="1"/>
      <c r="BA25" s="1"/>
    </row>
    <row r="26" spans="1:53" ht="18" customHeight="1" x14ac:dyDescent="0.25">
      <c r="A26" s="1"/>
      <c r="B26" s="12" t="s">
        <v>132</v>
      </c>
      <c r="C26" s="23">
        <f>C27+C31+C33+C35</f>
        <v>22941</v>
      </c>
      <c r="D26" s="23">
        <v>16818</v>
      </c>
      <c r="E26" s="23">
        <v>14117</v>
      </c>
      <c r="F26" s="23">
        <v>15116</v>
      </c>
      <c r="G26" s="23">
        <v>12013</v>
      </c>
      <c r="H26" s="23">
        <v>31423</v>
      </c>
      <c r="I26" s="23">
        <v>41001</v>
      </c>
      <c r="J26" s="23">
        <v>44908</v>
      </c>
      <c r="K26" s="23">
        <v>49338</v>
      </c>
      <c r="L26" s="23">
        <v>50438</v>
      </c>
      <c r="M26" s="23">
        <v>118494</v>
      </c>
      <c r="N26" s="23">
        <v>297892</v>
      </c>
      <c r="O26" s="23">
        <v>317663</v>
      </c>
      <c r="P26" s="23">
        <v>603823</v>
      </c>
      <c r="Q26" s="23">
        <v>2367540</v>
      </c>
      <c r="R26" s="23">
        <v>2517000</v>
      </c>
      <c r="S26" s="23">
        <v>2856436</v>
      </c>
      <c r="T26" s="7"/>
      <c r="U26" s="7"/>
      <c r="V26" s="7"/>
      <c r="W26" s="7"/>
      <c r="X26" s="4"/>
      <c r="Y26" s="4"/>
      <c r="Z26" s="1"/>
      <c r="AA26" s="1"/>
      <c r="AB26" s="5"/>
      <c r="AC26" s="5"/>
      <c r="AD26" s="5"/>
      <c r="AE26" s="1"/>
      <c r="AF26" s="1"/>
      <c r="AG26" s="1"/>
      <c r="AH26" s="1"/>
      <c r="AI26" s="1"/>
      <c r="AJ26" s="1"/>
      <c r="AK26" s="1"/>
      <c r="AL26" s="1"/>
      <c r="AM26" s="1"/>
      <c r="AN26" s="1"/>
      <c r="AO26" s="1"/>
      <c r="AP26" s="1"/>
      <c r="AQ26" s="1"/>
      <c r="AR26" s="1"/>
      <c r="AS26" s="1"/>
      <c r="AT26" s="1"/>
      <c r="AU26" s="1"/>
      <c r="AV26" s="1"/>
      <c r="AW26" s="1"/>
      <c r="AX26" s="1"/>
      <c r="AY26" s="1"/>
      <c r="AZ26" s="1"/>
      <c r="BA26" s="1"/>
    </row>
    <row r="27" spans="1:53" x14ac:dyDescent="0.25">
      <c r="A27" s="1"/>
      <c r="B27" s="16" t="s">
        <v>127</v>
      </c>
      <c r="C27" s="23">
        <v>98</v>
      </c>
      <c r="D27" s="23">
        <v>79</v>
      </c>
      <c r="E27" s="23">
        <v>20</v>
      </c>
      <c r="F27" s="23">
        <v>23</v>
      </c>
      <c r="G27" s="23">
        <v>29</v>
      </c>
      <c r="H27" s="23">
        <v>919</v>
      </c>
      <c r="I27" s="23">
        <v>0</v>
      </c>
      <c r="J27" s="23">
        <v>0</v>
      </c>
      <c r="K27" s="23">
        <v>0</v>
      </c>
      <c r="L27" s="23">
        <v>0</v>
      </c>
      <c r="M27" s="23">
        <v>0</v>
      </c>
      <c r="N27" s="23">
        <v>0</v>
      </c>
      <c r="O27" s="23">
        <v>0</v>
      </c>
      <c r="P27" s="23">
        <v>0</v>
      </c>
      <c r="Q27" s="23">
        <v>1027</v>
      </c>
      <c r="R27" s="23">
        <v>7301</v>
      </c>
      <c r="S27" s="23">
        <v>1108</v>
      </c>
      <c r="T27" s="7"/>
      <c r="U27" s="7"/>
      <c r="V27" s="7"/>
      <c r="W27" s="7"/>
      <c r="X27" s="4"/>
      <c r="Y27" s="4"/>
      <c r="Z27" s="1"/>
      <c r="AA27" s="1"/>
      <c r="AB27" s="5"/>
      <c r="AC27" s="5"/>
      <c r="AD27" s="5"/>
      <c r="AE27" s="1"/>
      <c r="AF27" s="1"/>
      <c r="AG27" s="1"/>
      <c r="AH27" s="1"/>
      <c r="AI27" s="1"/>
      <c r="AJ27" s="1"/>
      <c r="AK27" s="1"/>
      <c r="AL27" s="1"/>
      <c r="AM27" s="1"/>
      <c r="AN27" s="1"/>
      <c r="AO27" s="1"/>
      <c r="AP27" s="1"/>
      <c r="AQ27" s="1"/>
      <c r="AR27" s="1"/>
      <c r="AS27" s="1"/>
      <c r="AT27" s="1"/>
      <c r="AU27" s="1"/>
      <c r="AV27" s="1"/>
      <c r="AW27" s="1"/>
      <c r="AX27" s="1"/>
      <c r="AY27" s="1"/>
      <c r="AZ27" s="1"/>
      <c r="BA27" s="1"/>
    </row>
    <row r="28" spans="1:53" x14ac:dyDescent="0.25">
      <c r="A28" s="1"/>
      <c r="B28" s="47" t="s">
        <v>128</v>
      </c>
      <c r="C28" s="23">
        <v>98</v>
      </c>
      <c r="D28" s="23">
        <v>79</v>
      </c>
      <c r="E28" s="23">
        <v>20</v>
      </c>
      <c r="F28" s="23">
        <v>23</v>
      </c>
      <c r="G28" s="23">
        <v>29</v>
      </c>
      <c r="H28" s="23">
        <v>919</v>
      </c>
      <c r="I28" s="23">
        <v>0</v>
      </c>
      <c r="J28" s="23">
        <v>0</v>
      </c>
      <c r="K28" s="23">
        <v>0</v>
      </c>
      <c r="L28" s="23">
        <v>0</v>
      </c>
      <c r="M28" s="23">
        <v>0</v>
      </c>
      <c r="N28" s="23">
        <v>0</v>
      </c>
      <c r="O28" s="23">
        <v>0</v>
      </c>
      <c r="P28" s="23">
        <v>0</v>
      </c>
      <c r="Q28" s="23">
        <v>0</v>
      </c>
      <c r="R28" s="23">
        <v>0</v>
      </c>
      <c r="S28" s="23">
        <v>0</v>
      </c>
      <c r="T28" s="7"/>
      <c r="U28" s="7"/>
      <c r="V28" s="7"/>
      <c r="W28" s="7"/>
      <c r="X28" s="4"/>
      <c r="Y28" s="4"/>
      <c r="Z28" s="1"/>
      <c r="AA28" s="1"/>
      <c r="AB28" s="5"/>
      <c r="AC28" s="5"/>
      <c r="AD28" s="5"/>
      <c r="AE28" s="1"/>
      <c r="AF28" s="1"/>
      <c r="AG28" s="1"/>
      <c r="AH28" s="1"/>
      <c r="AI28" s="1"/>
      <c r="AJ28" s="1"/>
      <c r="AK28" s="1"/>
      <c r="AL28" s="1"/>
      <c r="AM28" s="1"/>
      <c r="AN28" s="1"/>
      <c r="AO28" s="1"/>
      <c r="AP28" s="1"/>
      <c r="AQ28" s="1"/>
      <c r="AR28" s="1"/>
      <c r="AS28" s="1"/>
      <c r="AT28" s="1"/>
      <c r="AU28" s="1"/>
      <c r="AV28" s="1"/>
      <c r="AW28" s="1"/>
      <c r="AX28" s="1"/>
      <c r="AY28" s="1"/>
      <c r="AZ28" s="1"/>
      <c r="BA28" s="1"/>
    </row>
    <row r="29" spans="1:53" x14ac:dyDescent="0.25">
      <c r="A29" s="1"/>
      <c r="B29" s="16" t="s">
        <v>4</v>
      </c>
      <c r="C29" s="23">
        <v>0</v>
      </c>
      <c r="D29" s="23">
        <v>0</v>
      </c>
      <c r="E29" s="23">
        <v>0</v>
      </c>
      <c r="F29" s="23">
        <v>0</v>
      </c>
      <c r="G29" s="23">
        <v>0</v>
      </c>
      <c r="H29" s="23">
        <v>14217</v>
      </c>
      <c r="I29" s="23">
        <v>13676</v>
      </c>
      <c r="J29" s="23">
        <v>11490</v>
      </c>
      <c r="K29" s="23">
        <v>10720</v>
      </c>
      <c r="L29" s="23">
        <v>10402</v>
      </c>
      <c r="M29" s="23">
        <v>2564</v>
      </c>
      <c r="N29" s="23">
        <v>4276</v>
      </c>
      <c r="O29" s="23">
        <v>330</v>
      </c>
      <c r="P29" s="23">
        <v>3238</v>
      </c>
      <c r="Q29" s="23">
        <v>11456</v>
      </c>
      <c r="R29" s="23">
        <v>10819</v>
      </c>
      <c r="S29" s="23">
        <v>21597</v>
      </c>
      <c r="T29" s="7"/>
      <c r="U29" s="7"/>
      <c r="V29" s="7"/>
      <c r="W29" s="7"/>
      <c r="X29" s="4"/>
      <c r="Y29" s="4"/>
      <c r="Z29" s="1"/>
      <c r="AA29" s="1"/>
      <c r="AB29" s="5"/>
      <c r="AC29" s="5"/>
      <c r="AD29" s="5"/>
      <c r="AE29" s="1"/>
      <c r="AF29" s="1"/>
      <c r="AG29" s="1"/>
      <c r="AH29" s="1"/>
      <c r="AI29" s="1"/>
      <c r="AJ29" s="1"/>
      <c r="AK29" s="1"/>
      <c r="AL29" s="1"/>
      <c r="AM29" s="1"/>
      <c r="AN29" s="1"/>
      <c r="AO29" s="1"/>
      <c r="AP29" s="1"/>
      <c r="AQ29" s="1"/>
      <c r="AR29" s="1"/>
      <c r="AS29" s="1"/>
      <c r="AT29" s="1"/>
      <c r="AU29" s="1"/>
      <c r="AV29" s="1"/>
      <c r="AW29" s="1"/>
      <c r="AX29" s="1"/>
      <c r="AY29" s="1"/>
      <c r="AZ29" s="1"/>
      <c r="BA29" s="1"/>
    </row>
    <row r="30" spans="1:53" x14ac:dyDescent="0.25">
      <c r="A30" s="1"/>
      <c r="B30" s="47" t="s">
        <v>129</v>
      </c>
      <c r="C30" s="23">
        <v>0</v>
      </c>
      <c r="D30" s="23">
        <v>0</v>
      </c>
      <c r="E30" s="23">
        <v>0</v>
      </c>
      <c r="F30" s="23">
        <v>0</v>
      </c>
      <c r="G30" s="23">
        <v>0</v>
      </c>
      <c r="H30" s="23">
        <v>14217</v>
      </c>
      <c r="I30" s="23">
        <v>13676</v>
      </c>
      <c r="J30" s="23">
        <v>11490</v>
      </c>
      <c r="K30" s="23">
        <v>10720</v>
      </c>
      <c r="L30" s="23">
        <v>10402</v>
      </c>
      <c r="M30" s="23">
        <v>2564</v>
      </c>
      <c r="N30" s="23">
        <v>4276</v>
      </c>
      <c r="O30" s="23">
        <v>330</v>
      </c>
      <c r="P30" s="23">
        <v>3238</v>
      </c>
      <c r="Q30" s="23">
        <v>11456</v>
      </c>
      <c r="R30" s="23">
        <v>10819</v>
      </c>
      <c r="S30" s="23">
        <v>21597</v>
      </c>
      <c r="T30" s="7"/>
      <c r="U30" s="7"/>
      <c r="V30" s="7"/>
      <c r="W30" s="7"/>
      <c r="X30" s="4"/>
      <c r="Y30" s="4"/>
      <c r="Z30" s="1"/>
      <c r="AA30" s="1"/>
      <c r="AB30" s="5"/>
      <c r="AC30" s="5"/>
      <c r="AD30" s="5"/>
      <c r="AE30" s="1"/>
      <c r="AF30" s="1"/>
      <c r="AG30" s="1"/>
      <c r="AH30" s="1"/>
      <c r="AI30" s="1"/>
      <c r="AJ30" s="1"/>
      <c r="AK30" s="1"/>
      <c r="AL30" s="1"/>
      <c r="AM30" s="1"/>
      <c r="AN30" s="1"/>
      <c r="AO30" s="1"/>
      <c r="AP30" s="1"/>
      <c r="AQ30" s="1"/>
      <c r="AR30" s="1"/>
      <c r="AS30" s="1"/>
      <c r="AT30" s="1"/>
      <c r="AU30" s="1"/>
      <c r="AV30" s="1"/>
      <c r="AW30" s="1"/>
      <c r="AX30" s="1"/>
      <c r="AY30" s="1"/>
      <c r="AZ30" s="1"/>
      <c r="BA30" s="1"/>
    </row>
    <row r="31" spans="1:53" x14ac:dyDescent="0.25">
      <c r="A31" s="1"/>
      <c r="B31" s="16" t="s">
        <v>133</v>
      </c>
      <c r="C31" s="23">
        <v>14449</v>
      </c>
      <c r="D31" s="23">
        <v>10012</v>
      </c>
      <c r="E31" s="23">
        <v>6264</v>
      </c>
      <c r="F31" s="23">
        <v>5514</v>
      </c>
      <c r="G31" s="23">
        <v>4124</v>
      </c>
      <c r="H31" s="23">
        <v>6285</v>
      </c>
      <c r="I31" s="23">
        <v>8405</v>
      </c>
      <c r="J31" s="23">
        <v>11533</v>
      </c>
      <c r="K31" s="23">
        <v>17491</v>
      </c>
      <c r="L31" s="23">
        <v>15682</v>
      </c>
      <c r="M31" s="23">
        <v>80632</v>
      </c>
      <c r="N31" s="23">
        <v>90225</v>
      </c>
      <c r="O31" s="23">
        <v>119270</v>
      </c>
      <c r="P31" s="23">
        <v>193081</v>
      </c>
      <c r="Q31" s="23">
        <v>1051786</v>
      </c>
      <c r="R31" s="23">
        <v>1147154</v>
      </c>
      <c r="S31" s="23">
        <v>1455383</v>
      </c>
      <c r="T31" s="7"/>
      <c r="U31" s="7"/>
      <c r="V31" s="7"/>
      <c r="W31" s="7"/>
      <c r="X31" s="4"/>
      <c r="Y31" s="4"/>
      <c r="Z31" s="1"/>
      <c r="AA31" s="1"/>
      <c r="AB31" s="5"/>
      <c r="AC31" s="5"/>
      <c r="AD31" s="5"/>
      <c r="AE31" s="1"/>
      <c r="AF31" s="1"/>
      <c r="AG31" s="1"/>
      <c r="AH31" s="1"/>
      <c r="AI31" s="1"/>
      <c r="AJ31" s="1"/>
      <c r="AK31" s="1"/>
      <c r="AL31" s="1"/>
      <c r="AM31" s="1"/>
      <c r="AN31" s="1"/>
      <c r="AO31" s="1"/>
      <c r="AP31" s="1"/>
      <c r="AQ31" s="1"/>
      <c r="AR31" s="1"/>
      <c r="AS31" s="1"/>
      <c r="AT31" s="1"/>
      <c r="AU31" s="1"/>
      <c r="AV31" s="1"/>
      <c r="AW31" s="1"/>
      <c r="AX31" s="1"/>
      <c r="AY31" s="1"/>
      <c r="AZ31" s="1"/>
      <c r="BA31" s="1"/>
    </row>
    <row r="32" spans="1:53" x14ac:dyDescent="0.25">
      <c r="A32" s="1"/>
      <c r="B32" s="47" t="s">
        <v>134</v>
      </c>
      <c r="C32" s="23">
        <v>14449</v>
      </c>
      <c r="D32" s="23">
        <v>10012</v>
      </c>
      <c r="E32" s="23">
        <v>6264</v>
      </c>
      <c r="F32" s="23">
        <v>5514</v>
      </c>
      <c r="G32" s="23">
        <v>4124</v>
      </c>
      <c r="H32" s="23">
        <v>6285</v>
      </c>
      <c r="I32" s="23">
        <v>8405</v>
      </c>
      <c r="J32" s="23">
        <v>11533</v>
      </c>
      <c r="K32" s="23">
        <v>17491</v>
      </c>
      <c r="L32" s="23">
        <v>15682</v>
      </c>
      <c r="M32" s="23">
        <v>80632</v>
      </c>
      <c r="N32" s="23">
        <v>90225</v>
      </c>
      <c r="O32" s="23">
        <v>119270</v>
      </c>
      <c r="P32" s="23">
        <v>193081</v>
      </c>
      <c r="Q32" s="23">
        <v>1051786</v>
      </c>
      <c r="R32" s="23">
        <v>1147154</v>
      </c>
      <c r="S32" s="23">
        <v>1455383</v>
      </c>
      <c r="T32" s="2"/>
      <c r="U32" s="2"/>
      <c r="V32" s="2"/>
      <c r="W32" s="2"/>
      <c r="X32" s="1"/>
      <c r="Y32" s="1"/>
      <c r="Z32" s="1"/>
      <c r="AA32" s="1"/>
      <c r="AB32" s="5"/>
      <c r="AC32" s="5"/>
      <c r="AD32" s="5"/>
      <c r="AE32" s="1"/>
      <c r="AF32" s="1"/>
      <c r="AG32" s="1"/>
      <c r="AH32" s="1"/>
      <c r="AI32" s="1"/>
      <c r="AJ32" s="1"/>
      <c r="AK32" s="1"/>
      <c r="AL32" s="1"/>
      <c r="AM32" s="1"/>
      <c r="AN32" s="1"/>
      <c r="AO32" s="1"/>
      <c r="AP32" s="1"/>
      <c r="AQ32" s="1"/>
      <c r="AR32" s="1"/>
      <c r="AS32" s="1"/>
      <c r="AT32" s="1"/>
      <c r="AU32" s="1"/>
      <c r="AV32" s="1"/>
      <c r="AW32" s="1"/>
      <c r="AX32" s="1"/>
      <c r="AY32" s="1"/>
      <c r="AZ32" s="1"/>
      <c r="BA32" s="1"/>
    </row>
    <row r="33" spans="1:53" x14ac:dyDescent="0.25">
      <c r="A33" s="1"/>
      <c r="B33" s="16" t="s">
        <v>135</v>
      </c>
      <c r="C33" s="23">
        <v>1060</v>
      </c>
      <c r="D33" s="23">
        <v>0</v>
      </c>
      <c r="E33" s="23">
        <v>0</v>
      </c>
      <c r="F33" s="23">
        <v>0</v>
      </c>
      <c r="G33" s="23">
        <v>0</v>
      </c>
      <c r="H33" s="23">
        <v>0</v>
      </c>
      <c r="I33" s="23">
        <v>0</v>
      </c>
      <c r="J33" s="23">
        <v>0</v>
      </c>
      <c r="K33" s="23">
        <v>0</v>
      </c>
      <c r="L33" s="23">
        <v>0</v>
      </c>
      <c r="M33" s="23">
        <v>1000</v>
      </c>
      <c r="N33" s="23">
        <v>0</v>
      </c>
      <c r="O33" s="23">
        <v>0</v>
      </c>
      <c r="P33" s="23">
        <v>0</v>
      </c>
      <c r="Q33" s="23">
        <v>0</v>
      </c>
      <c r="R33" s="23">
        <v>0</v>
      </c>
      <c r="S33" s="23">
        <v>0</v>
      </c>
      <c r="T33" s="2"/>
      <c r="U33" s="2"/>
      <c r="V33" s="29"/>
      <c r="W33" s="2"/>
      <c r="X33" s="1"/>
      <c r="Y33" s="1"/>
      <c r="Z33" s="1"/>
      <c r="AA33" s="1"/>
      <c r="AB33" s="5"/>
      <c r="AC33" s="5"/>
      <c r="AD33" s="5"/>
      <c r="AE33" s="1"/>
      <c r="AF33" s="1"/>
      <c r="AG33" s="1"/>
      <c r="AH33" s="1"/>
      <c r="AI33" s="1"/>
      <c r="AJ33" s="1"/>
      <c r="AK33" s="1"/>
      <c r="AL33" s="1"/>
      <c r="AM33" s="1"/>
      <c r="AN33" s="1"/>
      <c r="AO33" s="1"/>
      <c r="AP33" s="1"/>
      <c r="AQ33" s="1"/>
      <c r="AR33" s="1"/>
      <c r="AS33" s="1"/>
      <c r="AT33" s="1"/>
      <c r="AU33" s="1"/>
      <c r="AV33" s="1"/>
      <c r="AW33" s="1"/>
      <c r="AX33" s="1"/>
      <c r="AY33" s="1"/>
      <c r="AZ33" s="1"/>
      <c r="BA33" s="1"/>
    </row>
    <row r="34" spans="1:53" x14ac:dyDescent="0.25">
      <c r="A34" s="1"/>
      <c r="B34" s="47" t="s">
        <v>136</v>
      </c>
      <c r="C34" s="23">
        <v>1060</v>
      </c>
      <c r="D34" s="23">
        <v>0</v>
      </c>
      <c r="E34" s="23">
        <v>0</v>
      </c>
      <c r="F34" s="23">
        <v>0</v>
      </c>
      <c r="G34" s="23">
        <v>0</v>
      </c>
      <c r="H34" s="23">
        <v>0</v>
      </c>
      <c r="I34" s="23">
        <v>0</v>
      </c>
      <c r="J34" s="23">
        <v>0</v>
      </c>
      <c r="K34" s="23">
        <v>0</v>
      </c>
      <c r="L34" s="23">
        <v>0</v>
      </c>
      <c r="M34" s="23">
        <v>1000</v>
      </c>
      <c r="N34" s="23">
        <v>0</v>
      </c>
      <c r="O34" s="23">
        <v>0</v>
      </c>
      <c r="P34" s="23">
        <v>0</v>
      </c>
      <c r="Q34" s="23">
        <v>0</v>
      </c>
      <c r="R34" s="23">
        <v>0</v>
      </c>
      <c r="S34" s="23">
        <v>0</v>
      </c>
      <c r="T34" s="2"/>
      <c r="U34" s="2"/>
      <c r="V34" s="2"/>
      <c r="W34" s="2"/>
      <c r="X34" s="1"/>
      <c r="Y34" s="1"/>
      <c r="Z34" s="1"/>
      <c r="AA34" s="1"/>
      <c r="AB34" s="5"/>
      <c r="AC34" s="5"/>
      <c r="AD34" s="5"/>
      <c r="AE34" s="1"/>
      <c r="AF34" s="1"/>
      <c r="AG34" s="1"/>
      <c r="AH34" s="1"/>
      <c r="AI34" s="1"/>
      <c r="AJ34" s="1"/>
      <c r="AK34" s="1"/>
      <c r="AL34" s="1"/>
      <c r="AM34" s="1"/>
      <c r="AN34" s="1"/>
      <c r="AO34" s="1"/>
      <c r="AP34" s="1"/>
      <c r="AQ34" s="1"/>
      <c r="AR34" s="1"/>
      <c r="AS34" s="1"/>
      <c r="AT34" s="1"/>
      <c r="AU34" s="1"/>
      <c r="AV34" s="1"/>
      <c r="AW34" s="1"/>
      <c r="AX34" s="1"/>
      <c r="AY34" s="1"/>
      <c r="AZ34" s="1"/>
      <c r="BA34" s="1"/>
    </row>
    <row r="35" spans="1:53" x14ac:dyDescent="0.25">
      <c r="A35" s="1"/>
      <c r="B35" s="16" t="s">
        <v>137</v>
      </c>
      <c r="C35" s="23">
        <v>7334</v>
      </c>
      <c r="D35" s="23">
        <v>6727</v>
      </c>
      <c r="E35" s="23">
        <v>7833</v>
      </c>
      <c r="F35" s="23">
        <v>9579</v>
      </c>
      <c r="G35" s="23">
        <v>7860</v>
      </c>
      <c r="H35" s="23">
        <v>10002</v>
      </c>
      <c r="I35" s="23">
        <v>18920</v>
      </c>
      <c r="J35" s="23">
        <v>21885</v>
      </c>
      <c r="K35" s="23">
        <v>21127</v>
      </c>
      <c r="L35" s="23">
        <v>24354</v>
      </c>
      <c r="M35" s="23">
        <v>34298</v>
      </c>
      <c r="N35" s="23">
        <v>203391</v>
      </c>
      <c r="O35" s="23">
        <v>198063</v>
      </c>
      <c r="P35" s="23">
        <v>407504</v>
      </c>
      <c r="Q35" s="23">
        <v>1303271</v>
      </c>
      <c r="R35" s="23">
        <v>1351726</v>
      </c>
      <c r="S35" s="23">
        <v>1378348</v>
      </c>
      <c r="T35" s="2"/>
      <c r="U35" s="2"/>
      <c r="V35" s="2"/>
      <c r="W35" s="2"/>
      <c r="X35" s="1"/>
      <c r="Y35" s="1"/>
      <c r="Z35" s="1"/>
      <c r="AA35" s="1"/>
      <c r="AB35" s="5"/>
      <c r="AC35" s="5"/>
      <c r="AD35" s="5"/>
      <c r="AE35" s="1"/>
      <c r="AF35" s="1"/>
      <c r="AG35" s="1"/>
      <c r="AH35" s="1"/>
      <c r="AI35" s="1"/>
      <c r="AJ35" s="1"/>
      <c r="AK35" s="1"/>
      <c r="AL35" s="1"/>
      <c r="AM35" s="1"/>
      <c r="AN35" s="1"/>
      <c r="AO35" s="1"/>
      <c r="AP35" s="1"/>
      <c r="AQ35" s="1"/>
      <c r="AR35" s="1"/>
      <c r="AS35" s="1"/>
      <c r="AT35" s="1"/>
      <c r="AU35" s="1"/>
      <c r="AV35" s="1"/>
      <c r="AW35" s="1"/>
      <c r="AX35" s="1"/>
      <c r="AY35" s="1"/>
      <c r="AZ35" s="1"/>
      <c r="BA35" s="1"/>
    </row>
    <row r="36" spans="1:53" ht="18" customHeight="1" x14ac:dyDescent="0.25">
      <c r="A36" s="1"/>
      <c r="B36" s="47" t="s">
        <v>53</v>
      </c>
      <c r="C36" s="23">
        <v>3362</v>
      </c>
      <c r="D36" s="23">
        <v>5863</v>
      </c>
      <c r="E36" s="23">
        <v>6879</v>
      </c>
      <c r="F36" s="23">
        <v>6622</v>
      </c>
      <c r="G36" s="23">
        <v>6939</v>
      </c>
      <c r="H36" s="23">
        <v>8621</v>
      </c>
      <c r="I36" s="23">
        <v>14733</v>
      </c>
      <c r="J36" s="23">
        <v>19117</v>
      </c>
      <c r="K36" s="23">
        <v>18402</v>
      </c>
      <c r="L36" s="23">
        <v>21863</v>
      </c>
      <c r="M36" s="23">
        <v>30970</v>
      </c>
      <c r="N36" s="23">
        <v>54390</v>
      </c>
      <c r="O36" s="23">
        <v>81108</v>
      </c>
      <c r="P36" s="23">
        <v>137793</v>
      </c>
      <c r="Q36" s="23">
        <v>205657</v>
      </c>
      <c r="R36" s="23">
        <v>209142</v>
      </c>
      <c r="S36" s="23">
        <v>215863</v>
      </c>
      <c r="T36" s="2"/>
      <c r="U36" s="2"/>
      <c r="V36" s="2"/>
      <c r="W36" s="2"/>
      <c r="X36" s="1"/>
      <c r="Y36" s="1"/>
      <c r="Z36" s="1"/>
      <c r="AA36" s="1"/>
      <c r="AB36" s="5"/>
      <c r="AC36" s="5"/>
      <c r="AD36" s="5"/>
      <c r="AE36" s="1"/>
      <c r="AF36" s="1"/>
      <c r="AG36" s="1"/>
      <c r="AH36" s="1"/>
      <c r="AI36" s="1"/>
      <c r="AJ36" s="1"/>
      <c r="AK36" s="1"/>
      <c r="AL36" s="1"/>
      <c r="AM36" s="1"/>
      <c r="AN36" s="1"/>
      <c r="AO36" s="1"/>
      <c r="AP36" s="1"/>
      <c r="AQ36" s="1"/>
      <c r="AR36" s="1"/>
      <c r="AS36" s="1"/>
      <c r="AT36" s="1"/>
      <c r="AU36" s="1"/>
      <c r="AV36" s="1"/>
      <c r="AW36" s="1"/>
      <c r="AX36" s="1"/>
      <c r="AY36" s="1"/>
      <c r="AZ36" s="1"/>
      <c r="BA36" s="1"/>
    </row>
    <row r="37" spans="1:53" ht="18" customHeight="1" collapsed="1" x14ac:dyDescent="0.25">
      <c r="A37" s="1"/>
      <c r="B37" s="47" t="s">
        <v>138</v>
      </c>
      <c r="C37" s="23">
        <v>69</v>
      </c>
      <c r="D37" s="23">
        <v>506</v>
      </c>
      <c r="E37" s="23">
        <v>577</v>
      </c>
      <c r="F37" s="23">
        <v>2957</v>
      </c>
      <c r="G37" s="23">
        <v>921</v>
      </c>
      <c r="H37" s="23">
        <v>1381</v>
      </c>
      <c r="I37" s="23">
        <v>4187</v>
      </c>
      <c r="J37" s="23">
        <v>2768</v>
      </c>
      <c r="K37" s="23">
        <v>2725</v>
      </c>
      <c r="L37" s="23">
        <v>2491</v>
      </c>
      <c r="M37" s="23">
        <v>3328</v>
      </c>
      <c r="N37" s="23">
        <v>14939</v>
      </c>
      <c r="O37" s="23">
        <v>14405</v>
      </c>
      <c r="P37" s="23">
        <v>7805</v>
      </c>
      <c r="Q37" s="23">
        <v>9430</v>
      </c>
      <c r="R37" s="23">
        <v>8890</v>
      </c>
      <c r="S37" s="23">
        <v>8392</v>
      </c>
      <c r="T37" s="2"/>
      <c r="U37" s="2"/>
      <c r="V37" s="2"/>
      <c r="W37" s="2"/>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row>
    <row r="38" spans="1:53" ht="18" customHeight="1" x14ac:dyDescent="0.25">
      <c r="A38" s="1"/>
      <c r="B38" s="47" t="s">
        <v>112</v>
      </c>
      <c r="C38" s="23">
        <v>3903</v>
      </c>
      <c r="D38" s="23">
        <v>358</v>
      </c>
      <c r="E38" s="23">
        <v>377</v>
      </c>
      <c r="F38" s="23">
        <v>0</v>
      </c>
      <c r="G38" s="23">
        <v>0</v>
      </c>
      <c r="H38" s="23">
        <v>0</v>
      </c>
      <c r="I38" s="23">
        <v>0</v>
      </c>
      <c r="J38" s="23">
        <v>0</v>
      </c>
      <c r="K38" s="23">
        <v>0</v>
      </c>
      <c r="L38" s="23">
        <v>0</v>
      </c>
      <c r="M38" s="23">
        <v>0</v>
      </c>
      <c r="N38" s="23">
        <v>127635</v>
      </c>
      <c r="O38" s="23">
        <v>102550</v>
      </c>
      <c r="P38" s="23">
        <v>183695</v>
      </c>
      <c r="Q38" s="23">
        <v>1025853</v>
      </c>
      <c r="R38" s="23">
        <v>1064799</v>
      </c>
      <c r="S38" s="23">
        <v>1088146</v>
      </c>
      <c r="T38" s="2"/>
      <c r="U38" s="2"/>
      <c r="V38" s="2"/>
      <c r="W38" s="2"/>
      <c r="X38" s="1"/>
      <c r="Y38" s="1"/>
      <c r="Z38" s="1"/>
      <c r="AA38" s="1"/>
      <c r="AB38" s="5"/>
      <c r="AC38" s="5"/>
      <c r="AD38" s="5"/>
      <c r="AE38" s="1"/>
      <c r="AF38" s="1"/>
      <c r="AG38" s="1"/>
      <c r="AH38" s="1"/>
      <c r="AI38" s="1"/>
      <c r="AJ38" s="1"/>
      <c r="AK38" s="1"/>
      <c r="AL38" s="1"/>
      <c r="AM38" s="1"/>
      <c r="AN38" s="1"/>
      <c r="AO38" s="1"/>
      <c r="AP38" s="1"/>
      <c r="AQ38" s="1"/>
      <c r="AR38" s="1"/>
      <c r="AS38" s="1"/>
      <c r="AT38" s="1"/>
      <c r="AU38" s="1"/>
      <c r="AV38" s="1"/>
      <c r="AW38" s="1"/>
      <c r="AX38" s="1"/>
      <c r="AY38" s="1"/>
      <c r="AZ38" s="1"/>
      <c r="BA38" s="1"/>
    </row>
    <row r="39" spans="1:53" ht="18" customHeight="1" x14ac:dyDescent="0.25">
      <c r="A39" s="1"/>
      <c r="B39" s="47" t="s">
        <v>193</v>
      </c>
      <c r="C39" s="23">
        <v>0</v>
      </c>
      <c r="D39" s="23">
        <v>0</v>
      </c>
      <c r="E39" s="23">
        <v>0</v>
      </c>
      <c r="F39" s="23">
        <v>0</v>
      </c>
      <c r="G39" s="23">
        <v>0</v>
      </c>
      <c r="H39" s="23">
        <v>0</v>
      </c>
      <c r="I39" s="23">
        <v>0</v>
      </c>
      <c r="J39" s="23">
        <v>0</v>
      </c>
      <c r="K39" s="23">
        <v>0</v>
      </c>
      <c r="L39" s="23">
        <v>0</v>
      </c>
      <c r="M39" s="23">
        <v>0</v>
      </c>
      <c r="N39" s="23">
        <v>6427</v>
      </c>
      <c r="O39" s="23">
        <v>0</v>
      </c>
      <c r="P39" s="23">
        <v>78211</v>
      </c>
      <c r="Q39" s="23">
        <v>62331</v>
      </c>
      <c r="R39" s="23">
        <v>68895</v>
      </c>
      <c r="S39" s="23">
        <v>65947</v>
      </c>
      <c r="T39" s="2"/>
      <c r="U39" s="2"/>
      <c r="V39" s="2"/>
      <c r="W39" s="2"/>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row>
    <row r="40" spans="1:53" ht="18" customHeight="1" x14ac:dyDescent="0.25">
      <c r="A40" s="1"/>
      <c r="B40" s="12" t="s">
        <v>173</v>
      </c>
      <c r="C40" s="23">
        <v>0</v>
      </c>
      <c r="D40" s="23">
        <v>0</v>
      </c>
      <c r="E40" s="23">
        <v>0</v>
      </c>
      <c r="F40" s="23">
        <v>0</v>
      </c>
      <c r="G40" s="23">
        <v>0</v>
      </c>
      <c r="H40" s="23">
        <v>0</v>
      </c>
      <c r="I40" s="23">
        <v>905</v>
      </c>
      <c r="J40" s="23">
        <v>2925</v>
      </c>
      <c r="K40" s="23">
        <v>3324</v>
      </c>
      <c r="L40" s="23">
        <v>3017</v>
      </c>
      <c r="M40" s="23">
        <v>3016</v>
      </c>
      <c r="N40" s="23">
        <v>2862</v>
      </c>
      <c r="O40" s="23">
        <v>3162</v>
      </c>
      <c r="P40" s="23">
        <v>4192</v>
      </c>
      <c r="Q40" s="23">
        <v>4060</v>
      </c>
      <c r="R40" s="23">
        <v>35883</v>
      </c>
      <c r="S40" s="23">
        <v>38628</v>
      </c>
      <c r="T40" s="2"/>
      <c r="U40" s="2"/>
      <c r="V40" s="2"/>
      <c r="W40" s="2"/>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row>
    <row r="41" spans="1:53" ht="18" customHeight="1" x14ac:dyDescent="0.25">
      <c r="A41" s="1"/>
      <c r="B41" s="16" t="s">
        <v>188</v>
      </c>
      <c r="C41" s="23">
        <v>0</v>
      </c>
      <c r="D41" s="23">
        <v>0</v>
      </c>
      <c r="E41" s="23">
        <v>0</v>
      </c>
      <c r="F41" s="23">
        <v>0</v>
      </c>
      <c r="G41" s="23">
        <v>0</v>
      </c>
      <c r="H41" s="23">
        <v>0</v>
      </c>
      <c r="I41" s="23">
        <v>0</v>
      </c>
      <c r="J41" s="23">
        <v>0</v>
      </c>
      <c r="K41" s="23">
        <v>0</v>
      </c>
      <c r="L41" s="23">
        <v>0</v>
      </c>
      <c r="M41" s="23">
        <v>900</v>
      </c>
      <c r="N41" s="23">
        <v>402</v>
      </c>
      <c r="O41" s="23">
        <v>0</v>
      </c>
      <c r="P41" s="23">
        <v>0</v>
      </c>
      <c r="Q41" s="23">
        <v>0</v>
      </c>
      <c r="R41" s="23">
        <v>31823</v>
      </c>
      <c r="S41" s="23">
        <v>34568</v>
      </c>
      <c r="T41" s="2"/>
      <c r="U41" s="2"/>
      <c r="V41" s="2"/>
      <c r="W41" s="2"/>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row>
    <row r="42" spans="1:53" ht="18" customHeight="1" x14ac:dyDescent="0.25">
      <c r="A42" s="1"/>
      <c r="B42" s="47" t="s">
        <v>189</v>
      </c>
      <c r="C42" s="23">
        <v>0</v>
      </c>
      <c r="D42" s="23">
        <v>0</v>
      </c>
      <c r="E42" s="23">
        <v>0</v>
      </c>
      <c r="F42" s="23">
        <v>0</v>
      </c>
      <c r="G42" s="23">
        <v>0</v>
      </c>
      <c r="H42" s="23">
        <v>0</v>
      </c>
      <c r="I42" s="23">
        <v>0</v>
      </c>
      <c r="J42" s="23">
        <v>0</v>
      </c>
      <c r="K42" s="23">
        <v>0</v>
      </c>
      <c r="L42" s="23">
        <v>0</v>
      </c>
      <c r="M42" s="23">
        <v>900</v>
      </c>
      <c r="N42" s="23">
        <v>402</v>
      </c>
      <c r="O42" s="23">
        <v>0</v>
      </c>
      <c r="P42" s="23">
        <v>0</v>
      </c>
      <c r="Q42" s="23">
        <v>0</v>
      </c>
      <c r="R42" s="23">
        <v>31823</v>
      </c>
      <c r="S42" s="23">
        <v>34568</v>
      </c>
      <c r="T42" s="2"/>
      <c r="U42" s="2"/>
      <c r="V42" s="2"/>
      <c r="W42" s="2"/>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row>
    <row r="43" spans="1:53" ht="18" customHeight="1" x14ac:dyDescent="0.25">
      <c r="A43" s="1"/>
      <c r="B43" s="16" t="s">
        <v>182</v>
      </c>
      <c r="C43" s="23">
        <v>0</v>
      </c>
      <c r="D43" s="23">
        <v>0</v>
      </c>
      <c r="E43" s="23">
        <v>0</v>
      </c>
      <c r="F43" s="23">
        <v>0</v>
      </c>
      <c r="G43" s="23">
        <v>0</v>
      </c>
      <c r="H43" s="23">
        <v>0</v>
      </c>
      <c r="I43" s="23">
        <v>905</v>
      </c>
      <c r="J43" s="23">
        <v>2925</v>
      </c>
      <c r="K43" s="23">
        <v>3324</v>
      </c>
      <c r="L43" s="23">
        <v>3017</v>
      </c>
      <c r="M43" s="23">
        <v>2116</v>
      </c>
      <c r="N43" s="23">
        <v>2460</v>
      </c>
      <c r="O43" s="23">
        <v>3162</v>
      </c>
      <c r="P43" s="23">
        <v>4192</v>
      </c>
      <c r="Q43" s="23">
        <v>4060</v>
      </c>
      <c r="R43" s="23">
        <v>4060</v>
      </c>
      <c r="S43" s="23">
        <v>4060</v>
      </c>
      <c r="T43" s="2"/>
      <c r="U43" s="2"/>
      <c r="V43" s="2"/>
      <c r="W43" s="2"/>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row>
    <row r="44" spans="1:53" ht="18" customHeight="1" x14ac:dyDescent="0.25">
      <c r="A44" s="1"/>
      <c r="B44" s="47" t="s">
        <v>182</v>
      </c>
      <c r="C44" s="23">
        <v>0</v>
      </c>
      <c r="D44" s="23">
        <v>0</v>
      </c>
      <c r="E44" s="23">
        <v>0</v>
      </c>
      <c r="F44" s="23">
        <v>0</v>
      </c>
      <c r="G44" s="23">
        <v>0</v>
      </c>
      <c r="H44" s="23">
        <v>0</v>
      </c>
      <c r="I44" s="23">
        <v>905</v>
      </c>
      <c r="J44" s="23">
        <v>2925</v>
      </c>
      <c r="K44" s="23">
        <v>3324</v>
      </c>
      <c r="L44" s="23">
        <v>3017</v>
      </c>
      <c r="M44" s="23">
        <v>2116</v>
      </c>
      <c r="N44" s="23">
        <v>2460</v>
      </c>
      <c r="O44" s="23">
        <v>3162</v>
      </c>
      <c r="P44" s="23">
        <v>4192</v>
      </c>
      <c r="Q44" s="23">
        <v>4060</v>
      </c>
      <c r="R44" s="23">
        <v>4060</v>
      </c>
      <c r="S44" s="23">
        <v>4060</v>
      </c>
      <c r="T44" s="2"/>
      <c r="U44" s="2"/>
      <c r="V44" s="2"/>
      <c r="W44" s="2"/>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row>
    <row r="45" spans="1:53" ht="18" customHeight="1" x14ac:dyDescent="0.25">
      <c r="A45" s="1"/>
      <c r="B45" s="12" t="s">
        <v>9</v>
      </c>
      <c r="C45" s="23">
        <v>21376</v>
      </c>
      <c r="D45" s="23">
        <v>30293</v>
      </c>
      <c r="E45" s="23">
        <v>61090</v>
      </c>
      <c r="F45" s="23">
        <v>68543</v>
      </c>
      <c r="G45" s="23">
        <v>75767</v>
      </c>
      <c r="H45" s="23">
        <v>73593</v>
      </c>
      <c r="I45" s="23">
        <v>73052</v>
      </c>
      <c r="J45" s="23">
        <v>67636</v>
      </c>
      <c r="K45" s="23">
        <v>83201</v>
      </c>
      <c r="L45" s="23">
        <v>304082</v>
      </c>
      <c r="M45" s="23">
        <v>316300</v>
      </c>
      <c r="N45" s="23">
        <v>403868</v>
      </c>
      <c r="O45" s="23">
        <v>691582</v>
      </c>
      <c r="P45" s="23">
        <v>890929</v>
      </c>
      <c r="Q45" s="23">
        <v>2308909</v>
      </c>
      <c r="R45" s="23">
        <v>2230121</v>
      </c>
      <c r="S45" s="23">
        <v>2169770</v>
      </c>
      <c r="T45" s="2"/>
      <c r="U45" s="2"/>
      <c r="V45" s="2"/>
      <c r="W45" s="2"/>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row>
    <row r="46" spans="1:53" ht="18" customHeight="1" x14ac:dyDescent="0.25">
      <c r="A46" s="1"/>
      <c r="B46" s="16" t="s">
        <v>139</v>
      </c>
      <c r="C46" s="23">
        <v>21376</v>
      </c>
      <c r="D46" s="23">
        <v>30293</v>
      </c>
      <c r="E46" s="23">
        <v>61090</v>
      </c>
      <c r="F46" s="23">
        <v>68543</v>
      </c>
      <c r="G46" s="23">
        <v>75767</v>
      </c>
      <c r="H46" s="23">
        <v>73593</v>
      </c>
      <c r="I46" s="23">
        <v>73052</v>
      </c>
      <c r="J46" s="23">
        <v>67636</v>
      </c>
      <c r="K46" s="23">
        <v>83201</v>
      </c>
      <c r="L46" s="23">
        <v>304082</v>
      </c>
      <c r="M46" s="23">
        <v>316300</v>
      </c>
      <c r="N46" s="23">
        <v>403868</v>
      </c>
      <c r="O46" s="23">
        <v>691582</v>
      </c>
      <c r="P46" s="23">
        <v>890929</v>
      </c>
      <c r="Q46" s="23">
        <v>2308909</v>
      </c>
      <c r="R46" s="23">
        <v>2230121</v>
      </c>
      <c r="S46" s="23">
        <v>2169770</v>
      </c>
      <c r="T46" s="2"/>
      <c r="U46" s="2"/>
      <c r="V46" s="2"/>
      <c r="W46" s="2"/>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row>
    <row r="47" spans="1:53" ht="18" customHeight="1" collapsed="1" x14ac:dyDescent="0.25">
      <c r="A47" s="1"/>
      <c r="B47" s="12" t="s">
        <v>10</v>
      </c>
      <c r="C47" s="23">
        <v>14772</v>
      </c>
      <c r="D47" s="23">
        <v>31141</v>
      </c>
      <c r="E47" s="23">
        <v>47822</v>
      </c>
      <c r="F47" s="23">
        <v>67114</v>
      </c>
      <c r="G47" s="23">
        <v>90076</v>
      </c>
      <c r="H47" s="23">
        <v>90729</v>
      </c>
      <c r="I47" s="23">
        <v>85961</v>
      </c>
      <c r="J47" s="23">
        <v>79193</v>
      </c>
      <c r="K47" s="23">
        <v>67168</v>
      </c>
      <c r="L47" s="23">
        <v>75047</v>
      </c>
      <c r="M47" s="23">
        <v>829867</v>
      </c>
      <c r="N47" s="23">
        <v>1014918</v>
      </c>
      <c r="O47" s="23">
        <v>1263412</v>
      </c>
      <c r="P47" s="23">
        <v>1561906</v>
      </c>
      <c r="Q47" s="23">
        <v>3741353</v>
      </c>
      <c r="R47" s="23">
        <v>3508455</v>
      </c>
      <c r="S47" s="23">
        <v>3586025</v>
      </c>
      <c r="T47" s="69"/>
      <c r="U47" s="69"/>
      <c r="V47" s="69"/>
      <c r="W47" s="69"/>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row>
    <row r="48" spans="1:53" ht="18" customHeight="1" x14ac:dyDescent="0.25">
      <c r="A48" s="1"/>
      <c r="B48" s="16" t="s">
        <v>172</v>
      </c>
      <c r="C48" s="23">
        <v>14772</v>
      </c>
      <c r="D48" s="23">
        <v>31141</v>
      </c>
      <c r="E48" s="23">
        <v>47822</v>
      </c>
      <c r="F48" s="23">
        <v>67114</v>
      </c>
      <c r="G48" s="23">
        <v>90076</v>
      </c>
      <c r="H48" s="23">
        <v>90729</v>
      </c>
      <c r="I48" s="23">
        <v>85961</v>
      </c>
      <c r="J48" s="23">
        <v>79193</v>
      </c>
      <c r="K48" s="23">
        <v>67168</v>
      </c>
      <c r="L48" s="23">
        <v>75047</v>
      </c>
      <c r="M48" s="23">
        <v>829867</v>
      </c>
      <c r="N48" s="23">
        <v>1014918</v>
      </c>
      <c r="O48" s="23">
        <v>1263412</v>
      </c>
      <c r="P48" s="23">
        <v>1561906</v>
      </c>
      <c r="Q48" s="23">
        <v>3741353</v>
      </c>
      <c r="R48" s="23">
        <v>3508455</v>
      </c>
      <c r="S48" s="23">
        <v>3586025</v>
      </c>
      <c r="T48" s="69"/>
      <c r="U48" s="69"/>
      <c r="V48" s="69"/>
      <c r="W48" s="69"/>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row>
    <row r="49" spans="1:53" ht="18" customHeight="1" x14ac:dyDescent="0.25">
      <c r="A49" s="1"/>
      <c r="B49" s="47" t="s">
        <v>140</v>
      </c>
      <c r="C49" s="23">
        <v>2638</v>
      </c>
      <c r="D49" s="23">
        <v>2722</v>
      </c>
      <c r="E49" s="23">
        <v>2749</v>
      </c>
      <c r="F49" s="23">
        <v>2778</v>
      </c>
      <c r="G49" s="23">
        <v>2928</v>
      </c>
      <c r="H49" s="23">
        <v>3459</v>
      </c>
      <c r="I49" s="23">
        <v>3644</v>
      </c>
      <c r="J49" s="23">
        <v>4051</v>
      </c>
      <c r="K49" s="23">
        <v>5802</v>
      </c>
      <c r="L49" s="23">
        <v>6494</v>
      </c>
      <c r="M49" s="23">
        <v>7810</v>
      </c>
      <c r="N49" s="23">
        <v>11123</v>
      </c>
      <c r="O49" s="23">
        <v>354465</v>
      </c>
      <c r="P49" s="23">
        <v>409048</v>
      </c>
      <c r="Q49" s="23">
        <v>1726898</v>
      </c>
      <c r="R49" s="23">
        <v>1717801</v>
      </c>
      <c r="S49" s="23">
        <v>1718148</v>
      </c>
      <c r="T49" s="69"/>
      <c r="U49" s="69"/>
      <c r="V49" s="69"/>
      <c r="W49" s="69"/>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row>
    <row r="50" spans="1:53" ht="18" customHeight="1" x14ac:dyDescent="0.25">
      <c r="A50" s="1"/>
      <c r="B50" s="47" t="s">
        <v>141</v>
      </c>
      <c r="C50" s="23">
        <v>8976</v>
      </c>
      <c r="D50" s="23">
        <v>23536</v>
      </c>
      <c r="E50" s="23">
        <v>37715</v>
      </c>
      <c r="F50" s="23">
        <v>41495</v>
      </c>
      <c r="G50" s="23">
        <v>39598</v>
      </c>
      <c r="H50" s="23">
        <v>36679</v>
      </c>
      <c r="I50" s="23">
        <v>39781</v>
      </c>
      <c r="J50" s="23">
        <v>39603</v>
      </c>
      <c r="K50" s="23">
        <v>30643</v>
      </c>
      <c r="L50" s="23">
        <v>28167</v>
      </c>
      <c r="M50" s="23">
        <v>33829</v>
      </c>
      <c r="N50" s="23">
        <v>46728</v>
      </c>
      <c r="O50" s="23">
        <v>0</v>
      </c>
      <c r="P50" s="23">
        <v>0</v>
      </c>
      <c r="Q50" s="23">
        <v>0</v>
      </c>
      <c r="R50" s="23">
        <v>0</v>
      </c>
      <c r="S50" s="23">
        <v>0</v>
      </c>
      <c r="T50" s="69"/>
      <c r="U50" s="69"/>
      <c r="V50" s="69"/>
      <c r="W50" s="69"/>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row>
    <row r="51" spans="1:53" ht="18" customHeight="1" x14ac:dyDescent="0.25">
      <c r="A51" s="1"/>
      <c r="B51" s="47" t="s">
        <v>142</v>
      </c>
      <c r="C51" s="23">
        <v>3158</v>
      </c>
      <c r="D51" s="23">
        <v>4883</v>
      </c>
      <c r="E51" s="23">
        <v>7358</v>
      </c>
      <c r="F51" s="23">
        <v>22841</v>
      </c>
      <c r="G51" s="23">
        <v>47550</v>
      </c>
      <c r="H51" s="23">
        <v>50591</v>
      </c>
      <c r="I51" s="23">
        <v>42536</v>
      </c>
      <c r="J51" s="23">
        <v>35539</v>
      </c>
      <c r="K51" s="23">
        <v>30723</v>
      </c>
      <c r="L51" s="23">
        <v>40386</v>
      </c>
      <c r="M51" s="23">
        <v>55673</v>
      </c>
      <c r="N51" s="23">
        <v>94708</v>
      </c>
      <c r="O51" s="23">
        <v>156570</v>
      </c>
      <c r="P51" s="23">
        <v>212427</v>
      </c>
      <c r="Q51" s="23">
        <v>504841</v>
      </c>
      <c r="R51" s="23">
        <v>492926</v>
      </c>
      <c r="S51" s="23">
        <v>490047</v>
      </c>
      <c r="T51" s="69"/>
      <c r="U51" s="69"/>
      <c r="V51" s="69"/>
      <c r="W51" s="69"/>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row>
    <row r="52" spans="1:53" ht="18" customHeight="1" x14ac:dyDescent="0.25">
      <c r="A52" s="1"/>
      <c r="B52" s="47" t="s">
        <v>190</v>
      </c>
      <c r="C52" s="23">
        <v>0</v>
      </c>
      <c r="D52" s="23">
        <v>0</v>
      </c>
      <c r="E52" s="23">
        <v>0</v>
      </c>
      <c r="F52" s="23">
        <v>0</v>
      </c>
      <c r="G52" s="23">
        <v>0</v>
      </c>
      <c r="H52" s="23">
        <v>0</v>
      </c>
      <c r="I52" s="23">
        <v>0</v>
      </c>
      <c r="J52" s="23">
        <v>0</v>
      </c>
      <c r="K52" s="23">
        <v>0</v>
      </c>
      <c r="L52" s="23">
        <v>0</v>
      </c>
      <c r="M52" s="23">
        <v>266427</v>
      </c>
      <c r="N52" s="23">
        <v>301463</v>
      </c>
      <c r="O52" s="23">
        <v>0</v>
      </c>
      <c r="P52" s="23">
        <v>0</v>
      </c>
      <c r="Q52" s="23">
        <v>0</v>
      </c>
      <c r="R52" s="23">
        <v>0</v>
      </c>
      <c r="S52" s="23">
        <v>0</v>
      </c>
      <c r="T52" s="69"/>
      <c r="U52" s="69"/>
      <c r="V52" s="69"/>
      <c r="W52" s="69"/>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row>
    <row r="53" spans="1:53" ht="18" customHeight="1" x14ac:dyDescent="0.25">
      <c r="A53" s="1"/>
      <c r="B53" s="47" t="s">
        <v>197</v>
      </c>
      <c r="C53" s="23">
        <v>0</v>
      </c>
      <c r="D53" s="23">
        <v>0</v>
      </c>
      <c r="E53" s="23">
        <v>0</v>
      </c>
      <c r="F53" s="23">
        <v>0</v>
      </c>
      <c r="G53" s="23">
        <v>0</v>
      </c>
      <c r="H53" s="23">
        <v>0</v>
      </c>
      <c r="I53" s="23">
        <v>0</v>
      </c>
      <c r="J53" s="23">
        <v>0</v>
      </c>
      <c r="K53" s="23">
        <v>0</v>
      </c>
      <c r="L53" s="23">
        <v>0</v>
      </c>
      <c r="M53" s="23">
        <v>466128</v>
      </c>
      <c r="N53" s="23">
        <v>560896</v>
      </c>
      <c r="O53" s="23">
        <v>737656</v>
      </c>
      <c r="P53" s="23">
        <v>919290</v>
      </c>
      <c r="Q53" s="23">
        <v>1335723</v>
      </c>
      <c r="R53" s="23">
        <v>1128283</v>
      </c>
      <c r="S53" s="23">
        <v>1123550</v>
      </c>
      <c r="T53" s="69"/>
      <c r="U53" s="69"/>
      <c r="V53" s="69"/>
      <c r="W53" s="69"/>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row>
    <row r="54" spans="1:53" ht="18" customHeight="1" x14ac:dyDescent="0.25">
      <c r="A54" s="1"/>
      <c r="B54" s="47" t="s">
        <v>198</v>
      </c>
      <c r="C54" s="23">
        <v>0</v>
      </c>
      <c r="D54" s="23">
        <v>0</v>
      </c>
      <c r="E54" s="23">
        <v>0</v>
      </c>
      <c r="F54" s="23">
        <v>0</v>
      </c>
      <c r="G54" s="23">
        <v>0</v>
      </c>
      <c r="H54" s="23">
        <v>0</v>
      </c>
      <c r="I54" s="23">
        <v>0</v>
      </c>
      <c r="J54" s="23">
        <v>0</v>
      </c>
      <c r="K54" s="23">
        <v>0</v>
      </c>
      <c r="L54" s="23">
        <v>0</v>
      </c>
      <c r="M54" s="23">
        <v>0</v>
      </c>
      <c r="N54" s="23">
        <v>0</v>
      </c>
      <c r="O54" s="23">
        <v>13659</v>
      </c>
      <c r="P54" s="23">
        <v>20079</v>
      </c>
      <c r="Q54" s="23">
        <v>173626</v>
      </c>
      <c r="R54" s="23">
        <v>169246</v>
      </c>
      <c r="S54" s="23">
        <v>254148</v>
      </c>
      <c r="T54" s="69"/>
      <c r="U54" s="69"/>
      <c r="V54" s="69"/>
      <c r="W54" s="69"/>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row>
    <row r="55" spans="1:53" ht="18" customHeight="1" x14ac:dyDescent="0.25">
      <c r="A55" s="1"/>
      <c r="B55" s="47" t="s">
        <v>25</v>
      </c>
      <c r="C55" s="23">
        <v>0</v>
      </c>
      <c r="D55" s="23">
        <v>0</v>
      </c>
      <c r="E55" s="23">
        <v>0</v>
      </c>
      <c r="F55" s="23">
        <v>0</v>
      </c>
      <c r="G55" s="23">
        <v>0</v>
      </c>
      <c r="H55" s="23">
        <v>0</v>
      </c>
      <c r="I55" s="23">
        <v>0</v>
      </c>
      <c r="J55" s="23">
        <v>0</v>
      </c>
      <c r="K55" s="23">
        <v>0</v>
      </c>
      <c r="L55" s="23">
        <v>0</v>
      </c>
      <c r="M55" s="23">
        <v>0</v>
      </c>
      <c r="N55" s="23">
        <v>0</v>
      </c>
      <c r="O55" s="23">
        <v>1062</v>
      </c>
      <c r="P55" s="23">
        <v>1062</v>
      </c>
      <c r="Q55" s="23">
        <v>265</v>
      </c>
      <c r="R55" s="23">
        <v>199</v>
      </c>
      <c r="S55" s="23">
        <v>132</v>
      </c>
      <c r="T55" s="69"/>
      <c r="U55" s="69"/>
      <c r="V55" s="69"/>
      <c r="W55" s="69"/>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row>
    <row r="56" spans="1:53" ht="18" customHeight="1" x14ac:dyDescent="0.25">
      <c r="A56" s="1"/>
      <c r="B56" s="94" t="s">
        <v>8</v>
      </c>
      <c r="C56" s="26">
        <f t="shared" ref="C56:R56" si="22">C57+C85</f>
        <v>121938</v>
      </c>
      <c r="D56" s="26">
        <f t="shared" si="22"/>
        <v>126581</v>
      </c>
      <c r="E56" s="26">
        <f t="shared" si="22"/>
        <v>182692</v>
      </c>
      <c r="F56" s="26">
        <f t="shared" si="22"/>
        <v>189324</v>
      </c>
      <c r="G56" s="26">
        <f t="shared" si="22"/>
        <v>220216</v>
      </c>
      <c r="H56" s="26">
        <f t="shared" si="22"/>
        <v>235576</v>
      </c>
      <c r="I56" s="26">
        <f t="shared" si="22"/>
        <v>237449</v>
      </c>
      <c r="J56" s="26">
        <f t="shared" si="22"/>
        <v>384939</v>
      </c>
      <c r="K56" s="26">
        <f t="shared" si="22"/>
        <v>333690</v>
      </c>
      <c r="L56" s="26">
        <f t="shared" si="22"/>
        <v>667178</v>
      </c>
      <c r="M56" s="26">
        <f t="shared" si="22"/>
        <v>1483948</v>
      </c>
      <c r="N56" s="26">
        <f t="shared" si="22"/>
        <v>1774320</v>
      </c>
      <c r="O56" s="26">
        <f t="shared" si="22"/>
        <v>2004671</v>
      </c>
      <c r="P56" s="26">
        <f t="shared" si="22"/>
        <v>3046805</v>
      </c>
      <c r="Q56" s="26">
        <f t="shared" si="22"/>
        <v>7532030</v>
      </c>
      <c r="R56" s="26">
        <f t="shared" si="22"/>
        <v>7538724</v>
      </c>
      <c r="S56" s="26">
        <f t="shared" ref="S56" si="23">S57+S85</f>
        <v>7177284</v>
      </c>
      <c r="T56" s="2"/>
      <c r="U56" s="2"/>
      <c r="V56" s="2"/>
      <c r="W56" s="2"/>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row>
    <row r="57" spans="1:53" ht="18" customHeight="1" x14ac:dyDescent="0.25">
      <c r="A57" s="1"/>
      <c r="B57" s="18" t="s">
        <v>11</v>
      </c>
      <c r="C57" s="26">
        <f>C58+C61+C64+C70+C75</f>
        <v>93786</v>
      </c>
      <c r="D57" s="26">
        <f t="shared" ref="D57:R57" si="24">D58+D61+D64+D70+D75</f>
        <v>102318</v>
      </c>
      <c r="E57" s="26">
        <f t="shared" si="24"/>
        <v>127418</v>
      </c>
      <c r="F57" s="26">
        <f t="shared" si="24"/>
        <v>143860</v>
      </c>
      <c r="G57" s="26">
        <f t="shared" si="24"/>
        <v>178803</v>
      </c>
      <c r="H57" s="26">
        <f t="shared" si="24"/>
        <v>190772</v>
      </c>
      <c r="I57" s="26">
        <f t="shared" si="24"/>
        <v>201830</v>
      </c>
      <c r="J57" s="26">
        <f t="shared" si="24"/>
        <v>356825</v>
      </c>
      <c r="K57" s="26">
        <f t="shared" si="24"/>
        <v>255889</v>
      </c>
      <c r="L57" s="26">
        <f t="shared" si="24"/>
        <v>464659</v>
      </c>
      <c r="M57" s="26">
        <f>M58+M61+M64+M70+M75</f>
        <v>911418</v>
      </c>
      <c r="N57" s="26">
        <f t="shared" si="24"/>
        <v>1519000</v>
      </c>
      <c r="O57" s="26">
        <f t="shared" si="24"/>
        <v>1635360</v>
      </c>
      <c r="P57" s="26">
        <f t="shared" si="24"/>
        <v>2292283</v>
      </c>
      <c r="Q57" s="26">
        <f t="shared" si="24"/>
        <v>4517132</v>
      </c>
      <c r="R57" s="26">
        <f t="shared" si="24"/>
        <v>4562149</v>
      </c>
      <c r="S57" s="26">
        <f t="shared" ref="S57" si="25">S58+S61+S64+S70+S75</f>
        <v>4272647</v>
      </c>
      <c r="T57" s="2"/>
      <c r="U57" s="2"/>
      <c r="V57" s="2"/>
      <c r="W57" s="2"/>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row>
    <row r="58" spans="1:53" ht="18" customHeight="1" x14ac:dyDescent="0.25">
      <c r="A58" s="1"/>
      <c r="B58" s="12" t="s">
        <v>143</v>
      </c>
      <c r="C58" s="23">
        <v>15377</v>
      </c>
      <c r="D58" s="23">
        <v>14861</v>
      </c>
      <c r="E58" s="23">
        <v>19726</v>
      </c>
      <c r="F58" s="23">
        <v>16892</v>
      </c>
      <c r="G58" s="23">
        <v>20130</v>
      </c>
      <c r="H58" s="23">
        <v>16668</v>
      </c>
      <c r="I58" s="23">
        <v>27863</v>
      </c>
      <c r="J58" s="23">
        <v>39722</v>
      </c>
      <c r="K58" s="23">
        <v>43111</v>
      </c>
      <c r="L58" s="23">
        <v>52944</v>
      </c>
      <c r="M58" s="23">
        <v>59269</v>
      </c>
      <c r="N58" s="23">
        <v>112773</v>
      </c>
      <c r="O58" s="23">
        <v>162115</v>
      </c>
      <c r="P58" s="23">
        <v>122497</v>
      </c>
      <c r="Q58" s="23">
        <v>421810</v>
      </c>
      <c r="R58" s="23">
        <v>423140</v>
      </c>
      <c r="S58" s="23">
        <v>392655</v>
      </c>
      <c r="T58" s="2"/>
      <c r="U58" s="2"/>
      <c r="V58" s="2"/>
      <c r="W58" s="2"/>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row>
    <row r="59" spans="1:53" ht="18" customHeight="1" x14ac:dyDescent="0.25">
      <c r="A59" s="1"/>
      <c r="B59" s="16" t="s">
        <v>144</v>
      </c>
      <c r="C59" s="23">
        <v>1624</v>
      </c>
      <c r="D59" s="23">
        <v>2710</v>
      </c>
      <c r="E59" s="23">
        <v>4318</v>
      </c>
      <c r="F59" s="23">
        <v>3324</v>
      </c>
      <c r="G59" s="23">
        <v>3025</v>
      </c>
      <c r="H59" s="23">
        <v>3792</v>
      </c>
      <c r="I59" s="23">
        <v>4224</v>
      </c>
      <c r="J59" s="23">
        <v>5154</v>
      </c>
      <c r="K59" s="23">
        <v>4949</v>
      </c>
      <c r="L59" s="23">
        <v>5647</v>
      </c>
      <c r="M59" s="23">
        <v>7498</v>
      </c>
      <c r="N59" s="23">
        <v>13761</v>
      </c>
      <c r="O59" s="23">
        <v>16679</v>
      </c>
      <c r="P59" s="23">
        <v>18634</v>
      </c>
      <c r="Q59" s="23">
        <v>70322</v>
      </c>
      <c r="R59" s="23">
        <v>58558</v>
      </c>
      <c r="S59" s="23">
        <v>61646</v>
      </c>
      <c r="T59" s="2"/>
      <c r="U59" s="2"/>
      <c r="V59" s="2"/>
      <c r="W59" s="2"/>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row>
    <row r="60" spans="1:53" ht="18" customHeight="1" x14ac:dyDescent="0.25">
      <c r="A60" s="1"/>
      <c r="B60" s="16" t="s">
        <v>145</v>
      </c>
      <c r="C60" s="23">
        <v>13753</v>
      </c>
      <c r="D60" s="23">
        <v>12151</v>
      </c>
      <c r="E60" s="23">
        <v>15408</v>
      </c>
      <c r="F60" s="23">
        <v>13568</v>
      </c>
      <c r="G60" s="23">
        <v>17105</v>
      </c>
      <c r="H60" s="23">
        <v>12876</v>
      </c>
      <c r="I60" s="23">
        <v>23639</v>
      </c>
      <c r="J60" s="23">
        <v>34568</v>
      </c>
      <c r="K60" s="23">
        <v>38162</v>
      </c>
      <c r="L60" s="23">
        <v>47297</v>
      </c>
      <c r="M60" s="23">
        <v>51771</v>
      </c>
      <c r="N60" s="23">
        <v>99012</v>
      </c>
      <c r="O60" s="23">
        <v>145436</v>
      </c>
      <c r="P60" s="23">
        <v>103863</v>
      </c>
      <c r="Q60" s="23">
        <v>351488</v>
      </c>
      <c r="R60" s="23">
        <v>364582</v>
      </c>
      <c r="S60" s="23">
        <v>331009</v>
      </c>
      <c r="T60" s="2"/>
      <c r="U60" s="2"/>
      <c r="V60" s="2"/>
      <c r="W60" s="2"/>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row>
    <row r="61" spans="1:53" ht="18" customHeight="1" x14ac:dyDescent="0.25">
      <c r="A61" s="1"/>
      <c r="B61" s="12" t="s">
        <v>12</v>
      </c>
      <c r="C61" s="23">
        <v>28744</v>
      </c>
      <c r="D61" s="23">
        <v>37286</v>
      </c>
      <c r="E61" s="23">
        <v>35507</v>
      </c>
      <c r="F61" s="23">
        <v>34859</v>
      </c>
      <c r="G61" s="23">
        <v>70315</v>
      </c>
      <c r="H61" s="23">
        <v>64881</v>
      </c>
      <c r="I61" s="23">
        <v>66445</v>
      </c>
      <c r="J61" s="23">
        <v>104416</v>
      </c>
      <c r="K61" s="23">
        <v>110121</v>
      </c>
      <c r="L61" s="23">
        <v>134967</v>
      </c>
      <c r="M61" s="23">
        <v>399189</v>
      </c>
      <c r="N61" s="23">
        <v>574713</v>
      </c>
      <c r="O61" s="23">
        <v>671662</v>
      </c>
      <c r="P61" s="23">
        <v>834464</v>
      </c>
      <c r="Q61" s="23">
        <v>1817847</v>
      </c>
      <c r="R61" s="23">
        <v>1641931</v>
      </c>
      <c r="S61" s="23">
        <v>1524286</v>
      </c>
      <c r="T61" s="2"/>
      <c r="U61" s="2"/>
      <c r="V61" s="2"/>
      <c r="W61" s="2"/>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row>
    <row r="62" spans="1:53" ht="18" customHeight="1" collapsed="1" x14ac:dyDescent="0.25">
      <c r="A62" s="1"/>
      <c r="B62" s="16" t="s">
        <v>146</v>
      </c>
      <c r="C62" s="23">
        <v>28652</v>
      </c>
      <c r="D62" s="23">
        <v>36988</v>
      </c>
      <c r="E62" s="23">
        <v>33984</v>
      </c>
      <c r="F62" s="23">
        <v>34842</v>
      </c>
      <c r="G62" s="23">
        <v>70271</v>
      </c>
      <c r="H62" s="23">
        <v>64868</v>
      </c>
      <c r="I62" s="23">
        <v>66007</v>
      </c>
      <c r="J62" s="23">
        <v>104314</v>
      </c>
      <c r="K62" s="23">
        <v>109920</v>
      </c>
      <c r="L62" s="23">
        <v>134012</v>
      </c>
      <c r="M62" s="23">
        <v>395803</v>
      </c>
      <c r="N62" s="23">
        <v>567737</v>
      </c>
      <c r="O62" s="23">
        <v>648322</v>
      </c>
      <c r="P62" s="23">
        <v>824378</v>
      </c>
      <c r="Q62" s="23">
        <v>1620576</v>
      </c>
      <c r="R62" s="23">
        <v>1426149</v>
      </c>
      <c r="S62" s="23">
        <v>1367902</v>
      </c>
      <c r="T62" s="2"/>
      <c r="U62" s="2"/>
      <c r="V62" s="2"/>
      <c r="W62" s="2"/>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row>
    <row r="63" spans="1:53" ht="18" customHeight="1" x14ac:dyDescent="0.25">
      <c r="A63" s="1"/>
      <c r="B63" s="16" t="s">
        <v>147</v>
      </c>
      <c r="C63" s="23">
        <v>92</v>
      </c>
      <c r="D63" s="23">
        <v>298</v>
      </c>
      <c r="E63" s="23">
        <v>1523</v>
      </c>
      <c r="F63" s="23">
        <v>17</v>
      </c>
      <c r="G63" s="23">
        <v>44</v>
      </c>
      <c r="H63" s="23">
        <v>13</v>
      </c>
      <c r="I63" s="23">
        <v>438</v>
      </c>
      <c r="J63" s="23">
        <v>102</v>
      </c>
      <c r="K63" s="23">
        <v>201</v>
      </c>
      <c r="L63" s="23">
        <v>955</v>
      </c>
      <c r="M63" s="23">
        <v>3386</v>
      </c>
      <c r="N63" s="23">
        <v>6976</v>
      </c>
      <c r="O63" s="23">
        <v>23340</v>
      </c>
      <c r="P63" s="23">
        <v>10086</v>
      </c>
      <c r="Q63" s="23">
        <v>197271</v>
      </c>
      <c r="R63" s="23">
        <v>215782</v>
      </c>
      <c r="S63" s="23">
        <v>156384</v>
      </c>
      <c r="T63" s="2"/>
      <c r="U63" s="2"/>
      <c r="V63" s="2"/>
      <c r="W63" s="2"/>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c r="BA63" s="1"/>
    </row>
    <row r="64" spans="1:53" ht="18" customHeight="1" x14ac:dyDescent="0.25">
      <c r="A64" s="1"/>
      <c r="B64" s="12" t="s">
        <v>148</v>
      </c>
      <c r="C64" s="23">
        <v>7865</v>
      </c>
      <c r="D64" s="23">
        <v>11711</v>
      </c>
      <c r="E64" s="23">
        <v>15110</v>
      </c>
      <c r="F64" s="23">
        <v>14830</v>
      </c>
      <c r="G64" s="23">
        <v>11866</v>
      </c>
      <c r="H64" s="23">
        <v>16493</v>
      </c>
      <c r="I64" s="23">
        <v>18637</v>
      </c>
      <c r="J64" s="23">
        <v>19527</v>
      </c>
      <c r="K64" s="23">
        <v>24178</v>
      </c>
      <c r="L64" s="23">
        <v>27259</v>
      </c>
      <c r="M64" s="23">
        <v>40481</v>
      </c>
      <c r="N64" s="23">
        <v>77212</v>
      </c>
      <c r="O64" s="23">
        <v>57070</v>
      </c>
      <c r="P64" s="23">
        <v>84548</v>
      </c>
      <c r="Q64" s="23">
        <v>198987</v>
      </c>
      <c r="R64" s="23">
        <v>148720</v>
      </c>
      <c r="S64" s="23">
        <v>169575</v>
      </c>
      <c r="T64" s="2"/>
      <c r="U64" s="2"/>
      <c r="V64" s="2"/>
      <c r="W64" s="2"/>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c r="BA64" s="1"/>
    </row>
    <row r="65" spans="1:53" ht="18" customHeight="1" collapsed="1" x14ac:dyDescent="0.25">
      <c r="A65" s="1"/>
      <c r="B65" s="16" t="s">
        <v>149</v>
      </c>
      <c r="C65" s="23">
        <v>5564</v>
      </c>
      <c r="D65" s="23">
        <v>7254</v>
      </c>
      <c r="E65" s="23">
        <v>9336</v>
      </c>
      <c r="F65" s="23">
        <v>8888</v>
      </c>
      <c r="G65" s="23">
        <v>6476</v>
      </c>
      <c r="H65" s="23">
        <v>10675</v>
      </c>
      <c r="I65" s="23">
        <v>14576</v>
      </c>
      <c r="J65" s="23">
        <v>13203</v>
      </c>
      <c r="K65" s="23">
        <v>17868</v>
      </c>
      <c r="L65" s="23">
        <v>22734</v>
      </c>
      <c r="M65" s="23">
        <v>21944</v>
      </c>
      <c r="N65" s="23">
        <v>51989</v>
      </c>
      <c r="O65" s="23">
        <v>28953</v>
      </c>
      <c r="P65" s="23">
        <v>33612</v>
      </c>
      <c r="Q65" s="23">
        <v>78839</v>
      </c>
      <c r="R65" s="23">
        <v>55195</v>
      </c>
      <c r="S65" s="23">
        <v>70059</v>
      </c>
      <c r="T65" s="2"/>
      <c r="U65" s="2"/>
      <c r="V65" s="2"/>
      <c r="W65" s="2"/>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1"/>
      <c r="BA65" s="1"/>
    </row>
    <row r="66" spans="1:53" ht="18" customHeight="1" x14ac:dyDescent="0.25">
      <c r="A66" s="1"/>
      <c r="B66" s="47" t="s">
        <v>150</v>
      </c>
      <c r="C66" s="23">
        <v>1190</v>
      </c>
      <c r="D66" s="23">
        <v>660</v>
      </c>
      <c r="E66" s="23">
        <v>2430</v>
      </c>
      <c r="F66" s="23">
        <v>542</v>
      </c>
      <c r="G66" s="23">
        <v>296</v>
      </c>
      <c r="H66" s="23">
        <v>1953</v>
      </c>
      <c r="I66" s="23">
        <v>1967</v>
      </c>
      <c r="J66" s="23">
        <v>2123</v>
      </c>
      <c r="K66" s="23">
        <v>4201</v>
      </c>
      <c r="L66" s="23">
        <v>12086</v>
      </c>
      <c r="M66" s="23">
        <v>6361</v>
      </c>
      <c r="N66" s="23">
        <v>22408</v>
      </c>
      <c r="O66" s="23">
        <v>14300</v>
      </c>
      <c r="P66" s="23">
        <v>2665</v>
      </c>
      <c r="Q66" s="23">
        <v>34835</v>
      </c>
      <c r="R66" s="23">
        <v>38485</v>
      </c>
      <c r="S66" s="23">
        <v>49139</v>
      </c>
      <c r="T66" s="2"/>
      <c r="U66" s="2"/>
      <c r="V66" s="2"/>
      <c r="W66" s="2"/>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1"/>
      <c r="BA66" s="1"/>
    </row>
    <row r="67" spans="1:53" ht="18" customHeight="1" x14ac:dyDescent="0.25">
      <c r="A67" s="1"/>
      <c r="B67" s="16" t="s">
        <v>151</v>
      </c>
      <c r="C67" s="23">
        <v>4374</v>
      </c>
      <c r="D67" s="23">
        <v>6594</v>
      </c>
      <c r="E67" s="23">
        <v>6906</v>
      </c>
      <c r="F67" s="23">
        <v>8346</v>
      </c>
      <c r="G67" s="23">
        <v>6180</v>
      </c>
      <c r="H67" s="23">
        <v>8722</v>
      </c>
      <c r="I67" s="23">
        <v>12609</v>
      </c>
      <c r="J67" s="23">
        <v>13203</v>
      </c>
      <c r="K67" s="23">
        <v>17868</v>
      </c>
      <c r="L67" s="23">
        <v>10648</v>
      </c>
      <c r="M67" s="23">
        <v>15583</v>
      </c>
      <c r="N67" s="23">
        <v>29581</v>
      </c>
      <c r="O67" s="23">
        <v>14653</v>
      </c>
      <c r="P67" s="23">
        <v>30947</v>
      </c>
      <c r="Q67" s="23">
        <v>44004</v>
      </c>
      <c r="R67" s="23">
        <v>16710</v>
      </c>
      <c r="S67" s="23">
        <v>20920</v>
      </c>
      <c r="T67" s="2"/>
      <c r="U67" s="2"/>
      <c r="V67" s="2"/>
      <c r="W67" s="2"/>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row>
    <row r="68" spans="1:53" ht="18" customHeight="1" x14ac:dyDescent="0.25">
      <c r="A68" s="1"/>
      <c r="B68" s="16" t="s">
        <v>152</v>
      </c>
      <c r="C68" s="23">
        <v>2286</v>
      </c>
      <c r="D68" s="23">
        <v>4420</v>
      </c>
      <c r="E68" s="23">
        <v>5729</v>
      </c>
      <c r="F68" s="23">
        <v>5908</v>
      </c>
      <c r="G68" s="23">
        <v>5358</v>
      </c>
      <c r="H68" s="23">
        <v>5782</v>
      </c>
      <c r="I68" s="23">
        <v>4045</v>
      </c>
      <c r="J68" s="23">
        <v>6318</v>
      </c>
      <c r="K68" s="23">
        <v>6326</v>
      </c>
      <c r="L68" s="23">
        <v>4521</v>
      </c>
      <c r="M68" s="23">
        <v>18386</v>
      </c>
      <c r="N68" s="23">
        <v>24988</v>
      </c>
      <c r="O68" s="23">
        <v>27672</v>
      </c>
      <c r="P68" s="23">
        <v>50445</v>
      </c>
      <c r="Q68" s="23">
        <v>116926</v>
      </c>
      <c r="R68" s="23">
        <v>80524</v>
      </c>
      <c r="S68" s="23">
        <v>98109</v>
      </c>
      <c r="T68" s="2"/>
      <c r="U68" s="2"/>
      <c r="V68" s="2"/>
      <c r="W68" s="2"/>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row>
    <row r="69" spans="1:53" ht="18" customHeight="1" x14ac:dyDescent="0.25">
      <c r="A69" s="1"/>
      <c r="B69" s="16" t="s">
        <v>153</v>
      </c>
      <c r="C69" s="23">
        <v>15</v>
      </c>
      <c r="D69" s="23">
        <v>37</v>
      </c>
      <c r="E69" s="23">
        <v>45</v>
      </c>
      <c r="F69" s="23">
        <v>34</v>
      </c>
      <c r="G69" s="23">
        <v>32</v>
      </c>
      <c r="H69" s="23">
        <v>36</v>
      </c>
      <c r="I69" s="23">
        <v>16</v>
      </c>
      <c r="J69" s="23">
        <v>6</v>
      </c>
      <c r="K69" s="23">
        <v>-16</v>
      </c>
      <c r="L69" s="23">
        <v>4</v>
      </c>
      <c r="M69" s="23">
        <v>151</v>
      </c>
      <c r="N69" s="23">
        <v>235</v>
      </c>
      <c r="O69" s="23">
        <v>445</v>
      </c>
      <c r="P69" s="23">
        <v>491</v>
      </c>
      <c r="Q69" s="23">
        <v>3222</v>
      </c>
      <c r="R69" s="23">
        <v>13001</v>
      </c>
      <c r="S69" s="23">
        <v>1407</v>
      </c>
      <c r="T69" s="29"/>
      <c r="U69" s="2"/>
      <c r="V69" s="2"/>
      <c r="W69" s="2"/>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row>
    <row r="70" spans="1:53" ht="18" customHeight="1" collapsed="1" x14ac:dyDescent="0.25">
      <c r="A70" s="1"/>
      <c r="B70" s="12" t="s">
        <v>154</v>
      </c>
      <c r="C70" s="23">
        <v>27370</v>
      </c>
      <c r="D70" s="23">
        <v>20885</v>
      </c>
      <c r="E70" s="23">
        <v>42843</v>
      </c>
      <c r="F70" s="23">
        <v>59835</v>
      </c>
      <c r="G70" s="23">
        <v>65081</v>
      </c>
      <c r="H70" s="23">
        <v>85336</v>
      </c>
      <c r="I70" s="23">
        <v>78970</v>
      </c>
      <c r="J70" s="23">
        <v>163729</v>
      </c>
      <c r="K70" s="23">
        <v>43978</v>
      </c>
      <c r="L70" s="23">
        <v>158222</v>
      </c>
      <c r="M70" s="23">
        <v>239483</v>
      </c>
      <c r="N70" s="23">
        <v>496861</v>
      </c>
      <c r="O70" s="23">
        <v>392254</v>
      </c>
      <c r="P70" s="23">
        <v>882205</v>
      </c>
      <c r="Q70" s="23">
        <v>1476529</v>
      </c>
      <c r="R70" s="23">
        <v>1904108</v>
      </c>
      <c r="S70" s="23">
        <v>1741350</v>
      </c>
      <c r="T70" s="2"/>
      <c r="U70" s="2"/>
      <c r="V70" s="2"/>
      <c r="W70" s="2"/>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1"/>
      <c r="BA70" s="1"/>
    </row>
    <row r="71" spans="1:53" ht="18" customHeight="1" x14ac:dyDescent="0.25">
      <c r="A71" s="1"/>
      <c r="B71" s="16" t="s">
        <v>154</v>
      </c>
      <c r="C71" s="23">
        <v>27370</v>
      </c>
      <c r="D71" s="23">
        <v>20885</v>
      </c>
      <c r="E71" s="23">
        <v>42843</v>
      </c>
      <c r="F71" s="23">
        <v>59835</v>
      </c>
      <c r="G71" s="23">
        <v>65081</v>
      </c>
      <c r="H71" s="23">
        <v>85336</v>
      </c>
      <c r="I71" s="23">
        <v>78970</v>
      </c>
      <c r="J71" s="23">
        <v>163729</v>
      </c>
      <c r="K71" s="23">
        <v>43978</v>
      </c>
      <c r="L71" s="23">
        <v>158222</v>
      </c>
      <c r="M71" s="23">
        <v>239483</v>
      </c>
      <c r="N71" s="23">
        <v>496861</v>
      </c>
      <c r="O71" s="23">
        <v>392254</v>
      </c>
      <c r="P71" s="23">
        <v>882205</v>
      </c>
      <c r="Q71" s="23">
        <v>1344218</v>
      </c>
      <c r="R71" s="23">
        <v>1769890</v>
      </c>
      <c r="S71" s="23">
        <v>1580054</v>
      </c>
      <c r="T71" s="2"/>
      <c r="U71" s="2"/>
      <c r="V71" s="2"/>
      <c r="W71" s="2"/>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c r="AZ71" s="1"/>
      <c r="BA71" s="1"/>
    </row>
    <row r="72" spans="1:53" ht="18" customHeight="1" x14ac:dyDescent="0.25">
      <c r="A72" s="1"/>
      <c r="B72" s="47" t="s">
        <v>155</v>
      </c>
      <c r="C72" s="23">
        <v>10287</v>
      </c>
      <c r="D72" s="23">
        <v>3976</v>
      </c>
      <c r="E72" s="23">
        <v>5512</v>
      </c>
      <c r="F72" s="23">
        <v>20311</v>
      </c>
      <c r="G72" s="23">
        <v>22252</v>
      </c>
      <c r="H72" s="23">
        <v>9616</v>
      </c>
      <c r="I72" s="23">
        <v>10743</v>
      </c>
      <c r="J72" s="23">
        <v>9063</v>
      </c>
      <c r="K72" s="23">
        <v>8709</v>
      </c>
      <c r="L72" s="23">
        <v>5191</v>
      </c>
      <c r="M72" s="23">
        <v>53912</v>
      </c>
      <c r="N72" s="23">
        <v>181377</v>
      </c>
      <c r="O72" s="23">
        <v>642</v>
      </c>
      <c r="P72" s="23">
        <v>115761</v>
      </c>
      <c r="Q72" s="23">
        <v>258378</v>
      </c>
      <c r="R72" s="23">
        <v>278153</v>
      </c>
      <c r="S72" s="23">
        <v>267033</v>
      </c>
      <c r="T72" s="2"/>
      <c r="U72" s="2"/>
      <c r="V72" s="2"/>
      <c r="W72" s="2"/>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1"/>
      <c r="BA72" s="1"/>
    </row>
    <row r="73" spans="1:53" ht="18" customHeight="1" x14ac:dyDescent="0.25">
      <c r="A73" s="1"/>
      <c r="B73" s="47" t="s">
        <v>156</v>
      </c>
      <c r="C73" s="23">
        <v>17083</v>
      </c>
      <c r="D73" s="23">
        <v>16909</v>
      </c>
      <c r="E73" s="23">
        <v>37331</v>
      </c>
      <c r="F73" s="23">
        <v>39524</v>
      </c>
      <c r="G73" s="23">
        <v>42829</v>
      </c>
      <c r="H73" s="23">
        <v>75720</v>
      </c>
      <c r="I73" s="23">
        <v>68227</v>
      </c>
      <c r="J73" s="23">
        <v>154666</v>
      </c>
      <c r="K73" s="23">
        <v>35269</v>
      </c>
      <c r="L73" s="23">
        <v>153031</v>
      </c>
      <c r="M73" s="23">
        <v>185571</v>
      </c>
      <c r="N73" s="23">
        <v>315484</v>
      </c>
      <c r="O73" s="23">
        <v>391612</v>
      </c>
      <c r="P73" s="23">
        <v>766444</v>
      </c>
      <c r="Q73" s="23">
        <v>1085840</v>
      </c>
      <c r="R73" s="23">
        <v>1491737</v>
      </c>
      <c r="S73" s="23">
        <v>1313021</v>
      </c>
      <c r="T73" s="2"/>
      <c r="U73" s="2"/>
      <c r="V73" s="2"/>
      <c r="W73" s="2"/>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c r="AZ73" s="1"/>
      <c r="BA73" s="1"/>
    </row>
    <row r="74" spans="1:53" ht="18" customHeight="1" x14ac:dyDescent="0.25">
      <c r="A74" s="1"/>
      <c r="B74" s="47" t="s">
        <v>201</v>
      </c>
      <c r="C74" s="23">
        <v>0</v>
      </c>
      <c r="D74" s="23">
        <v>0</v>
      </c>
      <c r="E74" s="23">
        <v>0</v>
      </c>
      <c r="F74" s="23">
        <v>0</v>
      </c>
      <c r="G74" s="23">
        <v>0</v>
      </c>
      <c r="H74" s="23">
        <v>0</v>
      </c>
      <c r="I74" s="23">
        <v>0</v>
      </c>
      <c r="J74" s="23">
        <v>0</v>
      </c>
      <c r="K74" s="23">
        <v>0</v>
      </c>
      <c r="L74" s="23">
        <v>0</v>
      </c>
      <c r="M74" s="23">
        <v>0</v>
      </c>
      <c r="N74" s="23">
        <v>0</v>
      </c>
      <c r="O74" s="23">
        <v>0</v>
      </c>
      <c r="P74" s="23">
        <v>0</v>
      </c>
      <c r="Q74" s="23">
        <v>132311</v>
      </c>
      <c r="R74" s="23">
        <v>134218</v>
      </c>
      <c r="S74" s="23">
        <v>161296</v>
      </c>
      <c r="T74" s="2"/>
      <c r="U74" s="2"/>
      <c r="V74" s="2"/>
      <c r="W74" s="2"/>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c r="BA74" s="1"/>
    </row>
    <row r="75" spans="1:53" ht="18" customHeight="1" x14ac:dyDescent="0.25">
      <c r="A75" s="1"/>
      <c r="B75" s="12" t="s">
        <v>157</v>
      </c>
      <c r="C75" s="23">
        <v>14430</v>
      </c>
      <c r="D75" s="23">
        <v>17575</v>
      </c>
      <c r="E75" s="23">
        <v>14232</v>
      </c>
      <c r="F75" s="23">
        <v>17444</v>
      </c>
      <c r="G75" s="23">
        <v>11411</v>
      </c>
      <c r="H75" s="23">
        <v>7394</v>
      </c>
      <c r="I75" s="23">
        <v>9915</v>
      </c>
      <c r="J75" s="23">
        <v>29431</v>
      </c>
      <c r="K75" s="23">
        <v>34501</v>
      </c>
      <c r="L75" s="23">
        <v>91267</v>
      </c>
      <c r="M75" s="23">
        <v>172996</v>
      </c>
      <c r="N75" s="23">
        <v>257441</v>
      </c>
      <c r="O75" s="23">
        <v>352259</v>
      </c>
      <c r="P75" s="23">
        <v>368569</v>
      </c>
      <c r="Q75" s="23">
        <v>601959</v>
      </c>
      <c r="R75" s="23">
        <v>444250</v>
      </c>
      <c r="S75" s="23">
        <v>444781</v>
      </c>
      <c r="T75" s="2"/>
      <c r="U75" s="2"/>
      <c r="V75" s="2"/>
      <c r="W75" s="2"/>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1"/>
      <c r="BA75" s="1"/>
    </row>
    <row r="76" spans="1:53" ht="18" customHeight="1" x14ac:dyDescent="0.25">
      <c r="A76" s="1"/>
      <c r="B76" s="16" t="s">
        <v>25</v>
      </c>
      <c r="C76" s="23">
        <v>14430</v>
      </c>
      <c r="D76" s="23">
        <v>17575</v>
      </c>
      <c r="E76" s="23">
        <v>14232</v>
      </c>
      <c r="F76" s="23">
        <v>17444</v>
      </c>
      <c r="G76" s="23">
        <v>11411</v>
      </c>
      <c r="H76" s="23">
        <v>7394</v>
      </c>
      <c r="I76" s="23">
        <v>9915</v>
      </c>
      <c r="J76" s="23">
        <v>29431</v>
      </c>
      <c r="K76" s="23">
        <v>34501</v>
      </c>
      <c r="L76" s="23">
        <v>91267</v>
      </c>
      <c r="M76" s="23">
        <v>172996</v>
      </c>
      <c r="N76" s="23">
        <v>257441</v>
      </c>
      <c r="O76" s="23">
        <v>352259</v>
      </c>
      <c r="P76" s="23">
        <v>368569</v>
      </c>
      <c r="Q76" s="23">
        <v>601959</v>
      </c>
      <c r="R76" s="23">
        <v>444250</v>
      </c>
      <c r="S76" s="23">
        <v>444781</v>
      </c>
      <c r="T76" s="29"/>
      <c r="U76" s="2"/>
      <c r="V76" s="2"/>
      <c r="W76" s="2"/>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c r="BA76" s="1"/>
    </row>
    <row r="77" spans="1:53" ht="18" customHeight="1" x14ac:dyDescent="0.25">
      <c r="A77" s="1"/>
      <c r="B77" s="47" t="s">
        <v>158</v>
      </c>
      <c r="C77" s="23">
        <v>11964</v>
      </c>
      <c r="D77" s="23">
        <v>14327</v>
      </c>
      <c r="E77" s="23">
        <v>8945</v>
      </c>
      <c r="F77" s="23">
        <v>7598</v>
      </c>
      <c r="G77" s="23">
        <v>0</v>
      </c>
      <c r="H77" s="23">
        <v>0</v>
      </c>
      <c r="I77" s="23">
        <v>0</v>
      </c>
      <c r="J77" s="23">
        <v>18062</v>
      </c>
      <c r="K77" s="23">
        <v>18172</v>
      </c>
      <c r="L77" s="23">
        <v>22675</v>
      </c>
      <c r="M77" s="23">
        <v>0</v>
      </c>
      <c r="N77" s="23">
        <v>0</v>
      </c>
      <c r="O77" s="23">
        <v>0</v>
      </c>
      <c r="P77" s="23">
        <v>0</v>
      </c>
      <c r="Q77" s="23">
        <v>0</v>
      </c>
      <c r="R77" s="23">
        <v>0</v>
      </c>
      <c r="S77" s="23">
        <v>0</v>
      </c>
      <c r="T77" s="29"/>
      <c r="U77" s="2"/>
      <c r="V77" s="2"/>
      <c r="W77" s="2"/>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row>
    <row r="78" spans="1:53" ht="18" customHeight="1" x14ac:dyDescent="0.25">
      <c r="A78" s="1"/>
      <c r="B78" s="47" t="s">
        <v>159</v>
      </c>
      <c r="C78" s="23">
        <v>2466</v>
      </c>
      <c r="D78" s="23">
        <v>3248</v>
      </c>
      <c r="E78" s="23">
        <v>5287</v>
      </c>
      <c r="F78" s="23">
        <v>9846</v>
      </c>
      <c r="G78" s="23">
        <v>11411</v>
      </c>
      <c r="H78" s="23">
        <v>7394</v>
      </c>
      <c r="I78" s="23">
        <v>9915</v>
      </c>
      <c r="J78" s="23">
        <v>29431</v>
      </c>
      <c r="K78" s="23">
        <v>34501</v>
      </c>
      <c r="L78" s="23">
        <v>22675</v>
      </c>
      <c r="M78" s="23">
        <v>0</v>
      </c>
      <c r="N78" s="23">
        <v>55962</v>
      </c>
      <c r="O78" s="23">
        <v>72169</v>
      </c>
      <c r="P78" s="23">
        <v>0</v>
      </c>
      <c r="Q78" s="23">
        <v>0</v>
      </c>
      <c r="R78" s="23">
        <v>0</v>
      </c>
      <c r="S78" s="23">
        <v>0</v>
      </c>
      <c r="T78" s="2"/>
      <c r="U78" s="2"/>
      <c r="V78" s="2"/>
      <c r="W78" s="2"/>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row>
    <row r="79" spans="1:53" ht="18" customHeight="1" x14ac:dyDescent="0.25">
      <c r="A79" s="1"/>
      <c r="B79" s="47" t="s">
        <v>159</v>
      </c>
      <c r="C79" s="23">
        <v>0</v>
      </c>
      <c r="D79" s="23">
        <v>0</v>
      </c>
      <c r="E79" s="23">
        <v>0</v>
      </c>
      <c r="F79" s="23">
        <v>0</v>
      </c>
      <c r="G79" s="23">
        <v>0</v>
      </c>
      <c r="H79" s="23">
        <v>0</v>
      </c>
      <c r="I79" s="23">
        <v>0</v>
      </c>
      <c r="J79" s="23">
        <v>11369</v>
      </c>
      <c r="K79" s="23">
        <v>16329</v>
      </c>
      <c r="L79" s="23">
        <v>28447</v>
      </c>
      <c r="M79" s="23">
        <v>120106</v>
      </c>
      <c r="N79" s="23">
        <v>133944</v>
      </c>
      <c r="O79" s="23">
        <v>113051</v>
      </c>
      <c r="P79" s="23">
        <v>118987</v>
      </c>
      <c r="Q79" s="23">
        <v>338503</v>
      </c>
      <c r="R79" s="23">
        <v>209733</v>
      </c>
      <c r="S79" s="23">
        <v>178303</v>
      </c>
      <c r="T79" s="2"/>
      <c r="U79" s="2"/>
      <c r="V79" s="2"/>
      <c r="W79" s="2"/>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row>
    <row r="80" spans="1:53" ht="18" customHeight="1" x14ac:dyDescent="0.25">
      <c r="A80" s="1"/>
      <c r="B80" s="47" t="s">
        <v>187</v>
      </c>
      <c r="C80" s="23">
        <v>0</v>
      </c>
      <c r="D80" s="23">
        <v>0</v>
      </c>
      <c r="E80" s="23">
        <v>0</v>
      </c>
      <c r="F80" s="23">
        <v>0</v>
      </c>
      <c r="G80" s="23">
        <v>0</v>
      </c>
      <c r="H80" s="23">
        <v>0</v>
      </c>
      <c r="I80" s="23">
        <v>0</v>
      </c>
      <c r="J80" s="23">
        <v>0</v>
      </c>
      <c r="K80" s="23">
        <v>0</v>
      </c>
      <c r="L80" s="23">
        <v>40145</v>
      </c>
      <c r="M80" s="23">
        <v>52890</v>
      </c>
      <c r="N80" s="23">
        <v>57017</v>
      </c>
      <c r="O80" s="23">
        <v>89648</v>
      </c>
      <c r="P80" s="23">
        <v>107671</v>
      </c>
      <c r="Q80" s="23">
        <v>213145</v>
      </c>
      <c r="R80" s="23">
        <v>210067</v>
      </c>
      <c r="S80" s="23">
        <v>208687</v>
      </c>
      <c r="T80" s="2"/>
      <c r="U80" s="2"/>
      <c r="V80" s="2"/>
      <c r="W80" s="2"/>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row>
    <row r="81" spans="1:53" ht="18" customHeight="1" x14ac:dyDescent="0.25">
      <c r="A81" s="1"/>
      <c r="B81" s="47" t="s">
        <v>194</v>
      </c>
      <c r="C81" s="23">
        <v>0</v>
      </c>
      <c r="D81" s="23">
        <v>0</v>
      </c>
      <c r="E81" s="23">
        <v>0</v>
      </c>
      <c r="F81" s="23">
        <v>0</v>
      </c>
      <c r="G81" s="23">
        <v>0</v>
      </c>
      <c r="H81" s="23">
        <v>0</v>
      </c>
      <c r="I81" s="23">
        <v>0</v>
      </c>
      <c r="J81" s="23">
        <v>0</v>
      </c>
      <c r="K81" s="23">
        <v>0</v>
      </c>
      <c r="L81" s="23">
        <v>0</v>
      </c>
      <c r="M81" s="23">
        <v>0</v>
      </c>
      <c r="N81" s="23">
        <v>10518</v>
      </c>
      <c r="O81" s="23">
        <v>75618</v>
      </c>
      <c r="P81" s="23">
        <v>79251</v>
      </c>
      <c r="Q81" s="23">
        <v>31455</v>
      </c>
      <c r="R81" s="23">
        <v>0</v>
      </c>
      <c r="S81" s="23">
        <v>0</v>
      </c>
      <c r="T81" s="2"/>
      <c r="U81" s="2"/>
      <c r="V81" s="2"/>
      <c r="W81" s="2"/>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row>
    <row r="82" spans="1:53" ht="18" customHeight="1" x14ac:dyDescent="0.25">
      <c r="A82" s="1"/>
      <c r="B82" s="47" t="s">
        <v>199</v>
      </c>
      <c r="C82" s="23">
        <v>0</v>
      </c>
      <c r="D82" s="23">
        <v>0</v>
      </c>
      <c r="E82" s="23">
        <v>0</v>
      </c>
      <c r="F82" s="23">
        <v>0</v>
      </c>
      <c r="G82" s="23">
        <v>0</v>
      </c>
      <c r="H82" s="23">
        <v>0</v>
      </c>
      <c r="I82" s="23">
        <v>0</v>
      </c>
      <c r="J82" s="23">
        <v>0</v>
      </c>
      <c r="K82" s="23">
        <v>0</v>
      </c>
      <c r="L82" s="23">
        <v>0</v>
      </c>
      <c r="M82" s="23">
        <v>0</v>
      </c>
      <c r="N82" s="23">
        <v>0</v>
      </c>
      <c r="O82" s="23">
        <v>1773</v>
      </c>
      <c r="P82" s="23">
        <v>59470</v>
      </c>
      <c r="Q82" s="23">
        <v>0</v>
      </c>
      <c r="R82" s="23">
        <v>6263</v>
      </c>
      <c r="S82" s="23">
        <v>36671</v>
      </c>
      <c r="T82" s="2"/>
      <c r="U82" s="2"/>
      <c r="V82" s="2"/>
      <c r="W82" s="2"/>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row>
    <row r="83" spans="1:53" ht="18" customHeight="1" x14ac:dyDescent="0.25">
      <c r="A83" s="1"/>
      <c r="B83" s="47" t="s">
        <v>200</v>
      </c>
      <c r="C83" s="23">
        <v>0</v>
      </c>
      <c r="D83" s="23">
        <v>0</v>
      </c>
      <c r="E83" s="23">
        <v>0</v>
      </c>
      <c r="F83" s="23">
        <v>0</v>
      </c>
      <c r="G83" s="23">
        <v>0</v>
      </c>
      <c r="H83" s="23">
        <v>0</v>
      </c>
      <c r="I83" s="23">
        <v>0</v>
      </c>
      <c r="J83" s="23">
        <v>0</v>
      </c>
      <c r="K83" s="23">
        <v>0</v>
      </c>
      <c r="L83" s="23">
        <v>0</v>
      </c>
      <c r="M83" s="23">
        <v>0</v>
      </c>
      <c r="N83" s="23">
        <v>0</v>
      </c>
      <c r="O83" s="23">
        <v>0</v>
      </c>
      <c r="P83" s="23">
        <v>1300</v>
      </c>
      <c r="Q83" s="23">
        <v>1300</v>
      </c>
      <c r="R83" s="23">
        <v>1300</v>
      </c>
      <c r="S83" s="23">
        <v>1300</v>
      </c>
      <c r="T83" s="2"/>
      <c r="U83" s="2"/>
      <c r="V83" s="2"/>
      <c r="W83" s="2"/>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row>
    <row r="84" spans="1:53" ht="18" customHeight="1" x14ac:dyDescent="0.25">
      <c r="A84" s="1"/>
      <c r="B84" s="47" t="s">
        <v>176</v>
      </c>
      <c r="C84" s="23">
        <v>0</v>
      </c>
      <c r="D84" s="23">
        <v>0</v>
      </c>
      <c r="E84" s="23">
        <v>0</v>
      </c>
      <c r="F84" s="23">
        <v>0</v>
      </c>
      <c r="G84" s="23">
        <v>0</v>
      </c>
      <c r="H84" s="23">
        <v>0</v>
      </c>
      <c r="I84" s="23">
        <v>0</v>
      </c>
      <c r="J84" s="23">
        <v>0</v>
      </c>
      <c r="K84" s="23">
        <v>0</v>
      </c>
      <c r="L84" s="23">
        <v>0</v>
      </c>
      <c r="M84" s="23">
        <v>0</v>
      </c>
      <c r="N84" s="23">
        <v>0</v>
      </c>
      <c r="O84" s="23">
        <v>0</v>
      </c>
      <c r="P84" s="23">
        <v>1890</v>
      </c>
      <c r="Q84" s="23">
        <v>17556</v>
      </c>
      <c r="R84" s="23">
        <v>16887</v>
      </c>
      <c r="S84" s="23">
        <v>19820</v>
      </c>
      <c r="T84" s="2"/>
      <c r="U84" s="2"/>
      <c r="V84" s="2"/>
      <c r="W84" s="2"/>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row>
    <row r="85" spans="1:53" ht="18" customHeight="1" x14ac:dyDescent="0.25">
      <c r="A85" s="1"/>
      <c r="B85" s="18" t="s">
        <v>13</v>
      </c>
      <c r="C85" s="26">
        <f t="shared" ref="C85:D85" si="26">C86+C91+C105+C113+C103</f>
        <v>28152</v>
      </c>
      <c r="D85" s="26">
        <f t="shared" si="26"/>
        <v>24263</v>
      </c>
      <c r="E85" s="26">
        <f t="shared" ref="E85" si="27">E86+E91+E105+E113+E103</f>
        <v>55274</v>
      </c>
      <c r="F85" s="26">
        <f t="shared" ref="F85" si="28">F86+F91+F105+F113+F103</f>
        <v>45464</v>
      </c>
      <c r="G85" s="26">
        <f t="shared" ref="G85" si="29">G86+G91+G105+G113+G103</f>
        <v>41413</v>
      </c>
      <c r="H85" s="26">
        <f t="shared" ref="H85" si="30">H86+H91+H105+H113+H103</f>
        <v>44804</v>
      </c>
      <c r="I85" s="26">
        <f t="shared" ref="I85" si="31">I86+I91+I105+I113+I103</f>
        <v>35619</v>
      </c>
      <c r="J85" s="26">
        <f t="shared" ref="J85" si="32">J86+J91+J105+J113+J103</f>
        <v>28114</v>
      </c>
      <c r="K85" s="26">
        <f t="shared" ref="K85" si="33">K86+K91+K105+K113+K103</f>
        <v>77801</v>
      </c>
      <c r="L85" s="26">
        <f t="shared" ref="L85" si="34">L86+L91+L105+L113+L103</f>
        <v>202519</v>
      </c>
      <c r="M85" s="26">
        <f t="shared" ref="M85" si="35">M86+M91+M105+M113+M103</f>
        <v>572530</v>
      </c>
      <c r="N85" s="26">
        <f t="shared" ref="N85" si="36">N86+N91+N105+N113+N103</f>
        <v>255320</v>
      </c>
      <c r="O85" s="26">
        <f t="shared" ref="O85" si="37">O86+O91+O105+O113+O103</f>
        <v>369311</v>
      </c>
      <c r="P85" s="26">
        <f t="shared" ref="P85" si="38">P86+P91+P105+P113+P103</f>
        <v>754522</v>
      </c>
      <c r="Q85" s="26">
        <f t="shared" ref="Q85:R85" si="39">Q86+Q91+Q105+Q113+Q103</f>
        <v>3014898</v>
      </c>
      <c r="R85" s="26">
        <f t="shared" si="39"/>
        <v>2976575</v>
      </c>
      <c r="S85" s="26">
        <f t="shared" ref="S85" si="40">S86+S91+S105+S113+S103</f>
        <v>2904637</v>
      </c>
      <c r="T85" s="2"/>
      <c r="U85" s="2"/>
      <c r="V85" s="2"/>
      <c r="W85" s="2"/>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row>
    <row r="86" spans="1:53" ht="18" customHeight="1" x14ac:dyDescent="0.25">
      <c r="A86" s="1"/>
      <c r="B86" s="12" t="s">
        <v>154</v>
      </c>
      <c r="C86" s="23">
        <v>19399</v>
      </c>
      <c r="D86" s="23">
        <v>17774</v>
      </c>
      <c r="E86" s="23">
        <v>51241</v>
      </c>
      <c r="F86" s="23">
        <v>38583</v>
      </c>
      <c r="G86" s="23">
        <v>34329</v>
      </c>
      <c r="H86" s="23">
        <v>37817</v>
      </c>
      <c r="I86" s="23">
        <v>27079</v>
      </c>
      <c r="J86" s="23">
        <v>18016</v>
      </c>
      <c r="K86" s="23">
        <v>67440</v>
      </c>
      <c r="L86" s="23">
        <v>22562</v>
      </c>
      <c r="M86" s="23">
        <v>394786</v>
      </c>
      <c r="N86" s="23">
        <v>37733</v>
      </c>
      <c r="O86" s="23">
        <v>9619</v>
      </c>
      <c r="P86" s="23">
        <v>198919</v>
      </c>
      <c r="Q86" s="23">
        <v>1178202</v>
      </c>
      <c r="R86" s="23">
        <v>1335830</v>
      </c>
      <c r="S86" s="23">
        <v>1292011</v>
      </c>
      <c r="T86" s="29"/>
      <c r="U86" s="2"/>
      <c r="V86" s="2"/>
      <c r="W86" s="2"/>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row>
    <row r="87" spans="1:53" ht="18" customHeight="1" x14ac:dyDescent="0.25">
      <c r="A87" s="1"/>
      <c r="B87" s="16" t="s">
        <v>154</v>
      </c>
      <c r="C87" s="23">
        <v>19399</v>
      </c>
      <c r="D87" s="23">
        <v>17774</v>
      </c>
      <c r="E87" s="23">
        <v>51241</v>
      </c>
      <c r="F87" s="23">
        <v>38583</v>
      </c>
      <c r="G87" s="23">
        <v>34329</v>
      </c>
      <c r="H87" s="23">
        <v>37817</v>
      </c>
      <c r="I87" s="23">
        <v>27079</v>
      </c>
      <c r="J87" s="23">
        <v>18016</v>
      </c>
      <c r="K87" s="23">
        <v>67440</v>
      </c>
      <c r="L87" s="23">
        <v>22562</v>
      </c>
      <c r="M87" s="23">
        <v>394786</v>
      </c>
      <c r="N87" s="23">
        <v>37733</v>
      </c>
      <c r="O87" s="23">
        <v>9619</v>
      </c>
      <c r="P87" s="23">
        <v>198919</v>
      </c>
      <c r="Q87" s="23">
        <v>562157</v>
      </c>
      <c r="R87" s="23">
        <v>173355</v>
      </c>
      <c r="S87" s="23">
        <v>112530</v>
      </c>
      <c r="T87" s="2"/>
      <c r="U87" s="2"/>
      <c r="V87" s="2"/>
      <c r="W87" s="2"/>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row>
    <row r="88" spans="1:53" ht="18" customHeight="1" collapsed="1" x14ac:dyDescent="0.25">
      <c r="A88" s="1"/>
      <c r="B88" s="16" t="s">
        <v>155</v>
      </c>
      <c r="C88" s="23">
        <v>19399</v>
      </c>
      <c r="D88" s="23">
        <v>17774</v>
      </c>
      <c r="E88" s="23">
        <v>51241</v>
      </c>
      <c r="F88" s="23">
        <v>38583</v>
      </c>
      <c r="G88" s="23">
        <v>34329</v>
      </c>
      <c r="H88" s="23">
        <v>37817</v>
      </c>
      <c r="I88" s="23">
        <v>27079</v>
      </c>
      <c r="J88" s="23">
        <v>18016</v>
      </c>
      <c r="K88" s="23">
        <v>9307</v>
      </c>
      <c r="L88" s="23">
        <v>4117</v>
      </c>
      <c r="M88" s="23">
        <v>239553</v>
      </c>
      <c r="N88" s="23">
        <v>37108</v>
      </c>
      <c r="O88" s="23">
        <v>9619</v>
      </c>
      <c r="P88" s="23">
        <v>4417</v>
      </c>
      <c r="Q88" s="23">
        <v>72271</v>
      </c>
      <c r="R88" s="23">
        <v>57479</v>
      </c>
      <c r="S88" s="23">
        <v>56801</v>
      </c>
      <c r="T88" s="2"/>
      <c r="U88" s="2"/>
      <c r="V88" s="2"/>
      <c r="W88" s="2"/>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row>
    <row r="89" spans="1:53" ht="18" customHeight="1" x14ac:dyDescent="0.25">
      <c r="A89" s="1"/>
      <c r="B89" s="16" t="s">
        <v>156</v>
      </c>
      <c r="C89" s="23">
        <v>0</v>
      </c>
      <c r="D89" s="23">
        <v>0</v>
      </c>
      <c r="E89" s="23">
        <v>0</v>
      </c>
      <c r="F89" s="23">
        <v>0</v>
      </c>
      <c r="G89" s="23">
        <v>0</v>
      </c>
      <c r="H89" s="23">
        <v>0</v>
      </c>
      <c r="I89" s="23">
        <v>0</v>
      </c>
      <c r="J89" s="23">
        <v>0</v>
      </c>
      <c r="K89" s="23">
        <v>58133</v>
      </c>
      <c r="L89" s="23">
        <v>18445</v>
      </c>
      <c r="M89" s="23">
        <v>155233</v>
      </c>
      <c r="N89" s="23">
        <v>625</v>
      </c>
      <c r="O89" s="23">
        <v>0</v>
      </c>
      <c r="P89" s="23">
        <v>194502</v>
      </c>
      <c r="Q89" s="23">
        <v>489886</v>
      </c>
      <c r="R89" s="23">
        <v>115876</v>
      </c>
      <c r="S89" s="23">
        <v>55729</v>
      </c>
      <c r="T89" s="2"/>
      <c r="U89" s="2"/>
      <c r="V89" s="2"/>
      <c r="W89" s="2"/>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row>
    <row r="90" spans="1:53" ht="18" customHeight="1" x14ac:dyDescent="0.25">
      <c r="A90" s="1"/>
      <c r="B90" s="16" t="s">
        <v>201</v>
      </c>
      <c r="C90" s="23">
        <v>0</v>
      </c>
      <c r="D90" s="23">
        <v>0</v>
      </c>
      <c r="E90" s="23">
        <v>0</v>
      </c>
      <c r="F90" s="23">
        <v>0</v>
      </c>
      <c r="G90" s="23">
        <v>0</v>
      </c>
      <c r="H90" s="23">
        <v>0</v>
      </c>
      <c r="I90" s="23">
        <v>0</v>
      </c>
      <c r="J90" s="23">
        <v>0</v>
      </c>
      <c r="K90" s="23">
        <v>0</v>
      </c>
      <c r="L90" s="23">
        <v>0</v>
      </c>
      <c r="M90" s="23">
        <v>0</v>
      </c>
      <c r="N90" s="23">
        <v>0</v>
      </c>
      <c r="O90" s="23">
        <v>0</v>
      </c>
      <c r="P90" s="23">
        <v>0</v>
      </c>
      <c r="Q90" s="23">
        <v>616045</v>
      </c>
      <c r="R90" s="23">
        <v>1162475</v>
      </c>
      <c r="S90" s="23">
        <v>1179481</v>
      </c>
      <c r="T90" s="2"/>
      <c r="U90" s="2"/>
      <c r="V90" s="2"/>
      <c r="W90" s="2"/>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row>
    <row r="91" spans="1:53" ht="18" customHeight="1" x14ac:dyDescent="0.25">
      <c r="A91" s="1"/>
      <c r="B91" s="12" t="s">
        <v>157</v>
      </c>
      <c r="C91" s="23">
        <v>4143</v>
      </c>
      <c r="D91" s="23">
        <v>2231</v>
      </c>
      <c r="E91" s="23">
        <v>995</v>
      </c>
      <c r="F91" s="23">
        <v>2038</v>
      </c>
      <c r="G91" s="23">
        <v>1767</v>
      </c>
      <c r="H91" s="23">
        <v>1393</v>
      </c>
      <c r="I91" s="23">
        <v>1214</v>
      </c>
      <c r="J91" s="23">
        <v>1232</v>
      </c>
      <c r="K91" s="23">
        <v>1443</v>
      </c>
      <c r="L91" s="23">
        <v>170415</v>
      </c>
      <c r="M91" s="23">
        <v>164603</v>
      </c>
      <c r="N91" s="23">
        <v>198033</v>
      </c>
      <c r="O91" s="23">
        <v>338495</v>
      </c>
      <c r="P91" s="23">
        <v>539493</v>
      </c>
      <c r="Q91" s="23">
        <v>915555</v>
      </c>
      <c r="R91" s="23">
        <v>836012</v>
      </c>
      <c r="S91" s="23">
        <v>803078</v>
      </c>
      <c r="T91" s="2"/>
      <c r="U91" s="2"/>
      <c r="V91" s="2"/>
      <c r="W91" s="2"/>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row>
    <row r="92" spans="1:53" ht="18" customHeight="1" x14ac:dyDescent="0.25">
      <c r="A92" s="1"/>
      <c r="B92" s="16" t="s">
        <v>160</v>
      </c>
      <c r="C92" s="23">
        <v>2075</v>
      </c>
      <c r="D92" s="23">
        <v>905</v>
      </c>
      <c r="E92" s="23">
        <v>973</v>
      </c>
      <c r="F92" s="23">
        <v>873</v>
      </c>
      <c r="G92" s="23">
        <v>950</v>
      </c>
      <c r="H92" s="23">
        <v>1393</v>
      </c>
      <c r="I92" s="23">
        <v>1214</v>
      </c>
      <c r="J92" s="23">
        <v>1232</v>
      </c>
      <c r="K92" s="23">
        <v>1443</v>
      </c>
      <c r="L92" s="23">
        <v>1502</v>
      </c>
      <c r="M92" s="23">
        <v>0</v>
      </c>
      <c r="N92" s="23">
        <v>0</v>
      </c>
      <c r="O92" s="23">
        <v>0</v>
      </c>
      <c r="P92" s="23">
        <v>0</v>
      </c>
      <c r="Q92" s="23">
        <v>0</v>
      </c>
      <c r="R92" s="23">
        <v>0</v>
      </c>
      <c r="S92" s="23">
        <v>0</v>
      </c>
      <c r="T92" s="2"/>
      <c r="U92" s="2"/>
      <c r="V92" s="2"/>
      <c r="W92" s="2"/>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row>
    <row r="93" spans="1:53" ht="18" customHeight="1" x14ac:dyDescent="0.25">
      <c r="A93" s="1"/>
      <c r="B93" s="16" t="s">
        <v>174</v>
      </c>
      <c r="C93" s="23">
        <v>816</v>
      </c>
      <c r="D93" s="23">
        <v>905</v>
      </c>
      <c r="E93" s="23">
        <v>973</v>
      </c>
      <c r="F93" s="23">
        <v>873</v>
      </c>
      <c r="G93" s="23">
        <v>950</v>
      </c>
      <c r="H93" s="23">
        <v>1393</v>
      </c>
      <c r="I93" s="23">
        <v>1214</v>
      </c>
      <c r="J93" s="23">
        <v>1232</v>
      </c>
      <c r="K93" s="23">
        <v>1443</v>
      </c>
      <c r="L93" s="23">
        <v>1502</v>
      </c>
      <c r="M93" s="23">
        <v>0</v>
      </c>
      <c r="N93" s="23">
        <v>0</v>
      </c>
      <c r="O93" s="23">
        <v>0</v>
      </c>
      <c r="P93" s="23">
        <v>0</v>
      </c>
      <c r="Q93" s="23">
        <v>0</v>
      </c>
      <c r="R93" s="23">
        <v>0</v>
      </c>
      <c r="S93" s="23">
        <v>0</v>
      </c>
      <c r="T93" s="2"/>
      <c r="U93" s="2"/>
      <c r="V93" s="2"/>
      <c r="W93" s="2"/>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row>
    <row r="94" spans="1:53" ht="18" customHeight="1" x14ac:dyDescent="0.25">
      <c r="A94" s="1"/>
      <c r="B94" s="16" t="s">
        <v>175</v>
      </c>
      <c r="C94" s="23">
        <v>1259</v>
      </c>
      <c r="D94" s="23">
        <v>0</v>
      </c>
      <c r="E94" s="23">
        <v>0</v>
      </c>
      <c r="F94" s="23">
        <v>0</v>
      </c>
      <c r="G94" s="23">
        <v>0</v>
      </c>
      <c r="H94" s="23">
        <v>0</v>
      </c>
      <c r="I94" s="23">
        <v>0</v>
      </c>
      <c r="J94" s="23">
        <v>0</v>
      </c>
      <c r="K94" s="23">
        <v>0</v>
      </c>
      <c r="L94" s="23">
        <v>0</v>
      </c>
      <c r="M94" s="23">
        <v>0</v>
      </c>
      <c r="N94" s="23">
        <v>0</v>
      </c>
      <c r="O94" s="23">
        <v>0</v>
      </c>
      <c r="P94" s="23">
        <v>0</v>
      </c>
      <c r="Q94" s="23">
        <v>0</v>
      </c>
      <c r="R94" s="23">
        <v>0</v>
      </c>
      <c r="S94" s="23">
        <v>0</v>
      </c>
      <c r="T94" s="2"/>
      <c r="U94" s="2"/>
      <c r="V94" s="2"/>
      <c r="W94" s="2"/>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row>
    <row r="95" spans="1:53" ht="18" customHeight="1" x14ac:dyDescent="0.25">
      <c r="A95" s="1"/>
      <c r="B95" s="16" t="s">
        <v>25</v>
      </c>
      <c r="C95" s="23">
        <v>2068</v>
      </c>
      <c r="D95" s="23">
        <v>1326</v>
      </c>
      <c r="E95" s="23">
        <v>22</v>
      </c>
      <c r="F95" s="23">
        <v>1165</v>
      </c>
      <c r="G95" s="23">
        <v>817</v>
      </c>
      <c r="H95" s="23">
        <v>0</v>
      </c>
      <c r="I95" s="23">
        <v>0</v>
      </c>
      <c r="J95" s="23">
        <v>0</v>
      </c>
      <c r="K95" s="23">
        <v>0</v>
      </c>
      <c r="L95" s="23">
        <v>168913</v>
      </c>
      <c r="M95" s="23">
        <v>164603</v>
      </c>
      <c r="N95" s="23">
        <v>198033</v>
      </c>
      <c r="O95" s="23">
        <v>338495</v>
      </c>
      <c r="P95" s="23">
        <v>539493</v>
      </c>
      <c r="Q95" s="23">
        <v>915555</v>
      </c>
      <c r="R95" s="23">
        <v>836012</v>
      </c>
      <c r="S95" s="23">
        <v>803078</v>
      </c>
      <c r="T95" s="2"/>
      <c r="U95" s="2"/>
      <c r="V95" s="2"/>
      <c r="W95" s="2"/>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row>
    <row r="96" spans="1:53" ht="18" customHeight="1" x14ac:dyDescent="0.25">
      <c r="A96" s="1"/>
      <c r="B96" s="47" t="s">
        <v>194</v>
      </c>
      <c r="C96" s="23">
        <v>0</v>
      </c>
      <c r="D96" s="23">
        <v>0</v>
      </c>
      <c r="E96" s="23">
        <v>0</v>
      </c>
      <c r="F96" s="23">
        <v>0</v>
      </c>
      <c r="G96" s="23">
        <v>0</v>
      </c>
      <c r="H96" s="23">
        <v>0</v>
      </c>
      <c r="I96" s="23">
        <v>0</v>
      </c>
      <c r="J96" s="23">
        <v>0</v>
      </c>
      <c r="K96" s="23">
        <v>0</v>
      </c>
      <c r="L96" s="23">
        <v>0</v>
      </c>
      <c r="M96" s="23">
        <v>0</v>
      </c>
      <c r="N96" s="23">
        <v>21144</v>
      </c>
      <c r="O96" s="23">
        <v>51141</v>
      </c>
      <c r="P96" s="23">
        <v>42424</v>
      </c>
      <c r="Q96" s="23">
        <v>196091</v>
      </c>
      <c r="R96" s="23">
        <v>168466</v>
      </c>
      <c r="S96" s="23">
        <v>171737</v>
      </c>
      <c r="T96" s="2"/>
      <c r="U96" s="2"/>
      <c r="V96" s="2"/>
      <c r="W96" s="2"/>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row>
    <row r="97" spans="1:53" ht="18" customHeight="1" x14ac:dyDescent="0.25">
      <c r="A97" s="1"/>
      <c r="B97" s="47" t="s">
        <v>187</v>
      </c>
      <c r="C97" s="23">
        <v>0</v>
      </c>
      <c r="D97" s="23">
        <v>0</v>
      </c>
      <c r="E97" s="23">
        <v>0</v>
      </c>
      <c r="F97" s="23">
        <v>0</v>
      </c>
      <c r="G97" s="23">
        <v>0</v>
      </c>
      <c r="H97" s="23">
        <v>0</v>
      </c>
      <c r="I97" s="23">
        <v>0</v>
      </c>
      <c r="J97" s="23">
        <v>0</v>
      </c>
      <c r="K97" s="23">
        <v>0</v>
      </c>
      <c r="L97" s="23">
        <v>168913</v>
      </c>
      <c r="M97" s="23">
        <v>160470</v>
      </c>
      <c r="N97" s="23">
        <v>174879</v>
      </c>
      <c r="O97" s="23">
        <v>284889</v>
      </c>
      <c r="P97" s="23">
        <v>407514</v>
      </c>
      <c r="Q97" s="23">
        <v>662525</v>
      </c>
      <c r="R97" s="23">
        <v>623270</v>
      </c>
      <c r="S97" s="23">
        <v>599731</v>
      </c>
      <c r="T97" s="2"/>
      <c r="U97" s="2"/>
      <c r="V97" s="2"/>
      <c r="W97" s="2"/>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row>
    <row r="98" spans="1:53" ht="18" customHeight="1" x14ac:dyDescent="0.25">
      <c r="A98" s="1"/>
      <c r="B98" s="47" t="s">
        <v>25</v>
      </c>
      <c r="C98" s="23">
        <v>1197</v>
      </c>
      <c r="D98" s="23">
        <v>1073</v>
      </c>
      <c r="E98" s="23">
        <v>0</v>
      </c>
      <c r="F98" s="23">
        <v>0</v>
      </c>
      <c r="G98" s="23">
        <v>0</v>
      </c>
      <c r="H98" s="23">
        <v>0</v>
      </c>
      <c r="I98" s="23">
        <v>0</v>
      </c>
      <c r="J98" s="23">
        <v>0</v>
      </c>
      <c r="K98" s="23">
        <v>0</v>
      </c>
      <c r="L98" s="23">
        <v>0</v>
      </c>
      <c r="M98" s="23">
        <v>0</v>
      </c>
      <c r="N98" s="23">
        <v>1813</v>
      </c>
      <c r="O98" s="23">
        <v>2465</v>
      </c>
      <c r="P98" s="23">
        <v>0</v>
      </c>
      <c r="Q98" s="23">
        <v>0</v>
      </c>
      <c r="R98" s="23">
        <v>0</v>
      </c>
      <c r="S98" s="23">
        <v>0</v>
      </c>
      <c r="T98" s="2"/>
      <c r="U98" s="2"/>
      <c r="V98" s="2"/>
      <c r="W98" s="2"/>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row>
    <row r="99" spans="1:53" ht="18" customHeight="1" x14ac:dyDescent="0.25">
      <c r="A99" s="1"/>
      <c r="B99" s="47" t="s">
        <v>176</v>
      </c>
      <c r="C99" s="23">
        <v>446</v>
      </c>
      <c r="D99" s="23">
        <v>168</v>
      </c>
      <c r="E99" s="23">
        <v>22</v>
      </c>
      <c r="F99" s="23">
        <v>1165</v>
      </c>
      <c r="G99" s="23">
        <v>817</v>
      </c>
      <c r="H99" s="23">
        <v>0</v>
      </c>
      <c r="I99" s="23">
        <v>0</v>
      </c>
      <c r="J99" s="23">
        <v>0</v>
      </c>
      <c r="K99" s="23">
        <v>0</v>
      </c>
      <c r="L99" s="23">
        <v>0</v>
      </c>
      <c r="M99" s="23">
        <v>4133</v>
      </c>
      <c r="N99" s="23">
        <v>197</v>
      </c>
      <c r="O99" s="23">
        <v>0</v>
      </c>
      <c r="P99" s="23">
        <v>6252</v>
      </c>
      <c r="Q99" s="23">
        <v>27576</v>
      </c>
      <c r="R99" s="23">
        <v>24812</v>
      </c>
      <c r="S99" s="23">
        <v>18603</v>
      </c>
      <c r="T99" s="2"/>
      <c r="U99" s="2"/>
      <c r="V99" s="2"/>
      <c r="W99" s="2"/>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row>
    <row r="100" spans="1:53" ht="18" customHeight="1" x14ac:dyDescent="0.25">
      <c r="A100" s="1"/>
      <c r="B100" s="47" t="s">
        <v>177</v>
      </c>
      <c r="C100" s="23">
        <v>425</v>
      </c>
      <c r="D100" s="23">
        <v>85</v>
      </c>
      <c r="E100" s="23">
        <v>0</v>
      </c>
      <c r="F100" s="23">
        <v>0</v>
      </c>
      <c r="G100" s="23">
        <v>0</v>
      </c>
      <c r="H100" s="23">
        <v>0</v>
      </c>
      <c r="I100" s="23">
        <v>0</v>
      </c>
      <c r="J100" s="23">
        <v>0</v>
      </c>
      <c r="K100" s="23">
        <v>0</v>
      </c>
      <c r="L100" s="23">
        <v>0</v>
      </c>
      <c r="M100" s="23">
        <v>0</v>
      </c>
      <c r="N100" s="23">
        <v>0</v>
      </c>
      <c r="O100" s="23">
        <v>0</v>
      </c>
      <c r="P100" s="23">
        <v>0</v>
      </c>
      <c r="Q100" s="23">
        <v>0</v>
      </c>
      <c r="R100" s="23">
        <v>0</v>
      </c>
      <c r="S100" s="23">
        <v>0</v>
      </c>
      <c r="T100" s="2"/>
      <c r="U100" s="2"/>
      <c r="V100" s="2"/>
      <c r="W100" s="2"/>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row>
    <row r="101" spans="1:53" ht="18" customHeight="1" x14ac:dyDescent="0.25">
      <c r="A101" s="1"/>
      <c r="B101" s="47" t="s">
        <v>193</v>
      </c>
      <c r="C101" s="23">
        <v>0</v>
      </c>
      <c r="D101" s="23">
        <v>0</v>
      </c>
      <c r="E101" s="23">
        <v>0</v>
      </c>
      <c r="F101" s="23">
        <v>0</v>
      </c>
      <c r="G101" s="23">
        <v>0</v>
      </c>
      <c r="H101" s="23">
        <v>0</v>
      </c>
      <c r="I101" s="23">
        <v>0</v>
      </c>
      <c r="J101" s="23">
        <v>0</v>
      </c>
      <c r="K101" s="23">
        <v>0</v>
      </c>
      <c r="L101" s="23">
        <v>0</v>
      </c>
      <c r="M101" s="23">
        <v>0</v>
      </c>
      <c r="N101" s="23">
        <v>0</v>
      </c>
      <c r="O101" s="23">
        <v>0</v>
      </c>
      <c r="P101" s="23">
        <v>78211</v>
      </c>
      <c r="Q101" s="23">
        <v>0</v>
      </c>
      <c r="R101" s="23">
        <v>0</v>
      </c>
      <c r="S101" s="23">
        <v>0</v>
      </c>
      <c r="T101" s="2"/>
      <c r="U101" s="2"/>
      <c r="V101" s="2"/>
      <c r="W101" s="2"/>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row>
    <row r="102" spans="1:53" ht="18" customHeight="1" x14ac:dyDescent="0.25">
      <c r="A102" s="1"/>
      <c r="B102" s="47" t="s">
        <v>200</v>
      </c>
      <c r="C102" s="23">
        <v>0</v>
      </c>
      <c r="D102" s="23">
        <v>0</v>
      </c>
      <c r="E102" s="23">
        <v>0</v>
      </c>
      <c r="F102" s="23">
        <v>0</v>
      </c>
      <c r="G102" s="23">
        <v>0</v>
      </c>
      <c r="H102" s="23">
        <v>0</v>
      </c>
      <c r="I102" s="23">
        <v>0</v>
      </c>
      <c r="J102" s="23">
        <v>0</v>
      </c>
      <c r="K102" s="23">
        <v>0</v>
      </c>
      <c r="L102" s="23">
        <v>0</v>
      </c>
      <c r="M102" s="23">
        <v>0</v>
      </c>
      <c r="N102" s="23">
        <v>0</v>
      </c>
      <c r="O102" s="23">
        <v>0</v>
      </c>
      <c r="P102" s="23">
        <v>5092</v>
      </c>
      <c r="Q102" s="23">
        <v>3792</v>
      </c>
      <c r="R102" s="23">
        <v>3467</v>
      </c>
      <c r="S102" s="23">
        <v>3142</v>
      </c>
      <c r="T102" s="2"/>
      <c r="U102" s="2"/>
      <c r="V102" s="2"/>
      <c r="W102" s="2"/>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row>
    <row r="103" spans="1:53" ht="18" customHeight="1" x14ac:dyDescent="0.25">
      <c r="A103" s="1"/>
      <c r="B103" s="12" t="s">
        <v>133</v>
      </c>
      <c r="C103" s="23">
        <v>0</v>
      </c>
      <c r="D103" s="23">
        <v>0</v>
      </c>
      <c r="E103" s="23">
        <v>0</v>
      </c>
      <c r="F103" s="23">
        <v>0</v>
      </c>
      <c r="G103" s="23">
        <v>0</v>
      </c>
      <c r="H103" s="23">
        <v>0</v>
      </c>
      <c r="I103" s="23">
        <v>0</v>
      </c>
      <c r="J103" s="23">
        <v>0</v>
      </c>
      <c r="K103" s="23">
        <v>0</v>
      </c>
      <c r="L103" s="23">
        <v>0</v>
      </c>
      <c r="M103" s="23">
        <v>0</v>
      </c>
      <c r="N103" s="23">
        <v>5441</v>
      </c>
      <c r="O103" s="23">
        <v>3421</v>
      </c>
      <c r="P103" s="23">
        <v>0</v>
      </c>
      <c r="Q103" s="23">
        <v>245620</v>
      </c>
      <c r="R103" s="23">
        <v>226388</v>
      </c>
      <c r="S103" s="23">
        <v>222717</v>
      </c>
      <c r="T103" s="2"/>
      <c r="U103" s="2"/>
      <c r="V103" s="2"/>
      <c r="W103" s="2"/>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row>
    <row r="104" spans="1:53" ht="18" customHeight="1" x14ac:dyDescent="0.25">
      <c r="A104" s="1"/>
      <c r="B104" s="16" t="s">
        <v>195</v>
      </c>
      <c r="C104" s="23">
        <v>0</v>
      </c>
      <c r="D104" s="23">
        <v>0</v>
      </c>
      <c r="E104" s="23">
        <v>0</v>
      </c>
      <c r="F104" s="23">
        <v>0</v>
      </c>
      <c r="G104" s="23">
        <v>0</v>
      </c>
      <c r="H104" s="23">
        <v>0</v>
      </c>
      <c r="I104" s="23">
        <v>0</v>
      </c>
      <c r="J104" s="23">
        <v>0</v>
      </c>
      <c r="K104" s="23">
        <v>0</v>
      </c>
      <c r="L104" s="23">
        <v>0</v>
      </c>
      <c r="M104" s="23">
        <v>0</v>
      </c>
      <c r="N104" s="23">
        <v>5441</v>
      </c>
      <c r="O104" s="23">
        <v>3421</v>
      </c>
      <c r="P104" s="23">
        <v>0</v>
      </c>
      <c r="Q104" s="23">
        <v>245620</v>
      </c>
      <c r="R104" s="23">
        <v>226388</v>
      </c>
      <c r="S104" s="23">
        <v>222717</v>
      </c>
      <c r="T104" s="2"/>
      <c r="U104" s="2"/>
      <c r="V104" s="2"/>
      <c r="W104" s="2"/>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row>
    <row r="105" spans="1:53" ht="18" customHeight="1" x14ac:dyDescent="0.25">
      <c r="A105" s="1"/>
      <c r="B105" s="12" t="s">
        <v>56</v>
      </c>
      <c r="C105" s="23">
        <v>4610</v>
      </c>
      <c r="D105" s="23">
        <v>4258</v>
      </c>
      <c r="E105" s="23">
        <v>3038</v>
      </c>
      <c r="F105" s="23">
        <v>4843</v>
      </c>
      <c r="G105" s="23">
        <v>5317</v>
      </c>
      <c r="H105" s="23">
        <v>5594</v>
      </c>
      <c r="I105" s="23">
        <v>7209</v>
      </c>
      <c r="J105" s="23">
        <v>8866</v>
      </c>
      <c r="K105" s="23">
        <v>8385</v>
      </c>
      <c r="L105" s="23">
        <v>9542</v>
      </c>
      <c r="M105" s="23">
        <v>12928</v>
      </c>
      <c r="N105" s="23">
        <v>14060</v>
      </c>
      <c r="O105" s="23">
        <v>17776</v>
      </c>
      <c r="P105" s="23">
        <v>16110</v>
      </c>
      <c r="Q105" s="23">
        <v>675521</v>
      </c>
      <c r="R105" s="23">
        <v>578345</v>
      </c>
      <c r="S105" s="23">
        <v>586831</v>
      </c>
      <c r="T105" s="2"/>
      <c r="U105" s="2"/>
      <c r="V105" s="2"/>
      <c r="W105" s="2"/>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row>
    <row r="106" spans="1:53" ht="18" customHeight="1" collapsed="1" x14ac:dyDescent="0.25">
      <c r="A106" s="1"/>
      <c r="B106" s="16" t="s">
        <v>161</v>
      </c>
      <c r="C106" s="23">
        <v>4610</v>
      </c>
      <c r="D106" s="23">
        <v>4258</v>
      </c>
      <c r="E106" s="23">
        <v>3038</v>
      </c>
      <c r="F106" s="23">
        <v>4843</v>
      </c>
      <c r="G106" s="23">
        <v>5317</v>
      </c>
      <c r="H106" s="23">
        <v>5594</v>
      </c>
      <c r="I106" s="23">
        <v>7209</v>
      </c>
      <c r="J106" s="23">
        <v>8866</v>
      </c>
      <c r="K106" s="23">
        <v>8385</v>
      </c>
      <c r="L106" s="23">
        <v>9169</v>
      </c>
      <c r="M106" s="23">
        <v>12928</v>
      </c>
      <c r="N106" s="23">
        <v>14060</v>
      </c>
      <c r="O106" s="23">
        <v>17776</v>
      </c>
      <c r="P106" s="23">
        <v>16110</v>
      </c>
      <c r="Q106" s="23">
        <v>675521</v>
      </c>
      <c r="R106" s="23">
        <v>578345</v>
      </c>
      <c r="S106" s="23">
        <v>586831</v>
      </c>
      <c r="T106" s="2"/>
      <c r="U106" s="2"/>
      <c r="V106" s="2"/>
      <c r="W106" s="2"/>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row>
    <row r="107" spans="1:53" ht="18" customHeight="1" collapsed="1" x14ac:dyDescent="0.25">
      <c r="A107" s="1"/>
      <c r="B107" s="47" t="s">
        <v>162</v>
      </c>
      <c r="C107" s="23">
        <v>0</v>
      </c>
      <c r="D107" s="23">
        <v>0</v>
      </c>
      <c r="E107" s="23">
        <v>0</v>
      </c>
      <c r="F107" s="23">
        <v>0</v>
      </c>
      <c r="G107" s="23">
        <v>0</v>
      </c>
      <c r="H107" s="23">
        <v>0</v>
      </c>
      <c r="I107" s="23">
        <v>0</v>
      </c>
      <c r="J107" s="23">
        <v>0</v>
      </c>
      <c r="K107" s="23">
        <v>0</v>
      </c>
      <c r="L107" s="23">
        <v>0</v>
      </c>
      <c r="M107" s="23">
        <v>0</v>
      </c>
      <c r="N107" s="23">
        <v>0</v>
      </c>
      <c r="O107" s="23">
        <v>0</v>
      </c>
      <c r="P107" s="23">
        <v>0</v>
      </c>
      <c r="Q107" s="23">
        <v>0</v>
      </c>
      <c r="R107" s="23">
        <v>0</v>
      </c>
      <c r="S107" s="23">
        <v>0</v>
      </c>
      <c r="T107" s="2"/>
      <c r="U107" s="2"/>
      <c r="V107" s="2"/>
      <c r="W107" s="2"/>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row>
    <row r="108" spans="1:53" ht="18" customHeight="1" collapsed="1" x14ac:dyDescent="0.25">
      <c r="A108" s="1"/>
      <c r="B108" s="47" t="s">
        <v>163</v>
      </c>
      <c r="C108" s="23">
        <v>3683</v>
      </c>
      <c r="D108" s="23">
        <v>3594</v>
      </c>
      <c r="E108" s="23">
        <v>1950</v>
      </c>
      <c r="F108" s="23">
        <v>2765</v>
      </c>
      <c r="G108" s="23">
        <v>2766</v>
      </c>
      <c r="H108" s="23">
        <v>3310</v>
      </c>
      <c r="I108" s="23">
        <v>4839</v>
      </c>
      <c r="J108" s="23">
        <v>6535</v>
      </c>
      <c r="K108" s="23">
        <v>6016</v>
      </c>
      <c r="L108" s="23">
        <v>6887</v>
      </c>
      <c r="M108" s="23">
        <v>10290</v>
      </c>
      <c r="N108" s="23">
        <v>11580</v>
      </c>
      <c r="O108" s="23">
        <v>13655</v>
      </c>
      <c r="P108" s="23">
        <v>12844</v>
      </c>
      <c r="Q108" s="23">
        <v>61651</v>
      </c>
      <c r="R108" s="23">
        <v>44429</v>
      </c>
      <c r="S108" s="23">
        <v>45420</v>
      </c>
      <c r="T108" s="2"/>
      <c r="U108" s="2"/>
      <c r="V108" s="2"/>
      <c r="W108" s="2"/>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row>
    <row r="109" spans="1:53" ht="18" customHeight="1" x14ac:dyDescent="0.25">
      <c r="A109" s="1"/>
      <c r="B109" s="47" t="s">
        <v>164</v>
      </c>
      <c r="C109" s="23">
        <v>927</v>
      </c>
      <c r="D109" s="23">
        <v>664</v>
      </c>
      <c r="E109" s="23">
        <v>1088</v>
      </c>
      <c r="F109" s="23">
        <v>524</v>
      </c>
      <c r="G109" s="23">
        <v>507</v>
      </c>
      <c r="H109" s="23">
        <v>240</v>
      </c>
      <c r="I109" s="23">
        <v>326</v>
      </c>
      <c r="J109" s="23">
        <v>287</v>
      </c>
      <c r="K109" s="23">
        <v>325</v>
      </c>
      <c r="L109" s="23">
        <v>238</v>
      </c>
      <c r="M109" s="23">
        <v>594</v>
      </c>
      <c r="N109" s="23">
        <v>436</v>
      </c>
      <c r="O109" s="23">
        <v>2077</v>
      </c>
      <c r="P109" s="23">
        <v>1222</v>
      </c>
      <c r="Q109" s="23">
        <v>30267</v>
      </c>
      <c r="R109" s="23">
        <v>39911</v>
      </c>
      <c r="S109" s="23">
        <v>33395</v>
      </c>
      <c r="T109" s="2"/>
      <c r="U109" s="23"/>
      <c r="V109" s="23"/>
      <c r="W109" s="2"/>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row>
    <row r="110" spans="1:53" ht="18" customHeight="1" x14ac:dyDescent="0.25">
      <c r="A110" s="1"/>
      <c r="B110" s="47" t="s">
        <v>180</v>
      </c>
      <c r="C110" s="23">
        <v>0</v>
      </c>
      <c r="D110" s="23">
        <v>0</v>
      </c>
      <c r="E110" s="23">
        <v>0</v>
      </c>
      <c r="F110" s="23">
        <v>1554</v>
      </c>
      <c r="G110" s="23">
        <v>2044</v>
      </c>
      <c r="H110" s="23">
        <v>2044</v>
      </c>
      <c r="I110" s="23">
        <v>2044</v>
      </c>
      <c r="J110" s="23">
        <v>2044</v>
      </c>
      <c r="K110" s="23">
        <v>2044</v>
      </c>
      <c r="L110" s="23">
        <v>2044</v>
      </c>
      <c r="M110" s="23">
        <v>2044</v>
      </c>
      <c r="N110" s="23">
        <v>2044</v>
      </c>
      <c r="O110" s="23">
        <v>2044</v>
      </c>
      <c r="P110" s="23">
        <v>2044</v>
      </c>
      <c r="Q110" s="23">
        <v>583603</v>
      </c>
      <c r="R110" s="23">
        <v>494005</v>
      </c>
      <c r="S110" s="23">
        <v>508016</v>
      </c>
      <c r="T110" s="2"/>
      <c r="U110" s="23"/>
      <c r="V110" s="23"/>
      <c r="W110" s="2"/>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row>
    <row r="111" spans="1:53" ht="18" customHeight="1" x14ac:dyDescent="0.25">
      <c r="A111" s="1"/>
      <c r="B111" s="47" t="s">
        <v>191</v>
      </c>
      <c r="C111" s="23">
        <v>0</v>
      </c>
      <c r="D111" s="23">
        <v>0</v>
      </c>
      <c r="E111" s="23">
        <v>0</v>
      </c>
      <c r="F111" s="23">
        <v>0</v>
      </c>
      <c r="G111" s="23">
        <v>0</v>
      </c>
      <c r="H111" s="23">
        <v>0</v>
      </c>
      <c r="I111" s="23">
        <v>0</v>
      </c>
      <c r="J111" s="23">
        <v>0</v>
      </c>
      <c r="K111" s="23">
        <v>0</v>
      </c>
      <c r="L111" s="23">
        <v>373</v>
      </c>
      <c r="M111" s="23">
        <v>213</v>
      </c>
      <c r="N111" s="23">
        <v>53</v>
      </c>
      <c r="O111" s="23">
        <v>0</v>
      </c>
      <c r="P111" s="23">
        <v>0</v>
      </c>
      <c r="Q111" s="23">
        <v>0</v>
      </c>
      <c r="R111" s="23">
        <v>0</v>
      </c>
      <c r="S111" s="23">
        <v>0</v>
      </c>
      <c r="T111" s="2"/>
      <c r="U111" s="2"/>
      <c r="V111" s="2"/>
      <c r="W111" s="2"/>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row>
    <row r="112" spans="1:53" ht="18" customHeight="1" x14ac:dyDescent="0.25">
      <c r="A112" s="1"/>
      <c r="B112" s="137" t="s">
        <v>192</v>
      </c>
      <c r="C112" s="23">
        <v>0</v>
      </c>
      <c r="D112" s="23">
        <v>0</v>
      </c>
      <c r="E112" s="23">
        <v>0</v>
      </c>
      <c r="F112" s="23">
        <v>0</v>
      </c>
      <c r="G112" s="23">
        <v>0</v>
      </c>
      <c r="H112" s="23">
        <v>0</v>
      </c>
      <c r="I112" s="23">
        <v>0</v>
      </c>
      <c r="J112" s="23">
        <v>0</v>
      </c>
      <c r="K112" s="23">
        <v>0</v>
      </c>
      <c r="L112" s="23">
        <v>373</v>
      </c>
      <c r="M112" s="23">
        <v>213</v>
      </c>
      <c r="N112" s="23">
        <v>53</v>
      </c>
      <c r="O112" s="23">
        <v>0</v>
      </c>
      <c r="P112" s="23">
        <v>0</v>
      </c>
      <c r="Q112" s="23">
        <v>0</v>
      </c>
      <c r="R112" s="23">
        <v>0</v>
      </c>
      <c r="S112" s="23">
        <v>0</v>
      </c>
      <c r="T112" s="2"/>
      <c r="U112" s="2"/>
      <c r="V112" s="2"/>
      <c r="W112" s="2"/>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row>
    <row r="113" spans="1:53" ht="18" customHeight="1" x14ac:dyDescent="0.25">
      <c r="A113" s="1"/>
      <c r="B113" s="12" t="s">
        <v>183</v>
      </c>
      <c r="C113" s="23">
        <v>0</v>
      </c>
      <c r="D113" s="23">
        <v>0</v>
      </c>
      <c r="E113" s="23">
        <v>0</v>
      </c>
      <c r="F113" s="23">
        <v>0</v>
      </c>
      <c r="G113" s="23">
        <v>0</v>
      </c>
      <c r="H113" s="23">
        <v>0</v>
      </c>
      <c r="I113" s="23">
        <v>117</v>
      </c>
      <c r="J113" s="23">
        <v>0</v>
      </c>
      <c r="K113" s="23">
        <v>533</v>
      </c>
      <c r="L113" s="23">
        <v>0</v>
      </c>
      <c r="M113" s="23">
        <v>213</v>
      </c>
      <c r="N113" s="23">
        <v>53</v>
      </c>
      <c r="O113" s="23">
        <v>0</v>
      </c>
      <c r="P113" s="23">
        <v>0</v>
      </c>
      <c r="Q113" s="23">
        <v>0</v>
      </c>
      <c r="R113" s="23">
        <v>0</v>
      </c>
      <c r="S113" s="23">
        <v>0</v>
      </c>
      <c r="T113" s="2"/>
      <c r="U113" s="2"/>
      <c r="V113" s="2"/>
      <c r="W113" s="2"/>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row>
    <row r="114" spans="1:53" ht="18" customHeight="1" x14ac:dyDescent="0.25">
      <c r="A114" s="1"/>
      <c r="B114" s="47" t="s">
        <v>184</v>
      </c>
      <c r="C114" s="23">
        <v>0</v>
      </c>
      <c r="D114" s="23">
        <v>0</v>
      </c>
      <c r="E114" s="23">
        <v>0</v>
      </c>
      <c r="F114" s="23">
        <v>0</v>
      </c>
      <c r="G114" s="23">
        <v>0</v>
      </c>
      <c r="H114" s="23">
        <v>0</v>
      </c>
      <c r="I114" s="23">
        <v>117</v>
      </c>
      <c r="J114" s="23">
        <v>0</v>
      </c>
      <c r="K114" s="23">
        <v>533</v>
      </c>
      <c r="L114" s="23">
        <v>0</v>
      </c>
      <c r="M114" s="23">
        <v>213</v>
      </c>
      <c r="N114" s="23">
        <v>53</v>
      </c>
      <c r="O114" s="23">
        <v>0</v>
      </c>
      <c r="P114" s="23">
        <v>0</v>
      </c>
      <c r="Q114" s="23">
        <v>0</v>
      </c>
      <c r="R114" s="23">
        <v>0</v>
      </c>
      <c r="S114" s="23">
        <v>0</v>
      </c>
      <c r="T114" s="2"/>
      <c r="U114" s="2"/>
      <c r="V114" s="2"/>
      <c r="W114" s="2"/>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row>
    <row r="115" spans="1:53" ht="18" customHeight="1" collapsed="1" x14ac:dyDescent="0.25">
      <c r="A115" s="1"/>
      <c r="B115" s="94" t="s">
        <v>111</v>
      </c>
      <c r="C115" s="26">
        <f t="shared" ref="C115:J115" si="41">C116+C117+C123+C130+C131</f>
        <v>146218</v>
      </c>
      <c r="D115" s="26">
        <f t="shared" si="41"/>
        <v>384047</v>
      </c>
      <c r="E115" s="26">
        <f t="shared" si="41"/>
        <v>453899</v>
      </c>
      <c r="F115" s="26">
        <f t="shared" si="41"/>
        <v>514542</v>
      </c>
      <c r="G115" s="26">
        <f t="shared" si="41"/>
        <v>576293</v>
      </c>
      <c r="H115" s="26">
        <f t="shared" si="41"/>
        <v>617905</v>
      </c>
      <c r="I115" s="26">
        <f t="shared" si="41"/>
        <v>669699</v>
      </c>
      <c r="J115" s="26">
        <f t="shared" si="41"/>
        <v>664960</v>
      </c>
      <c r="K115" s="26">
        <f t="shared" ref="K115" si="42">K116+K117+K123+K130+K131</f>
        <v>711342</v>
      </c>
      <c r="L115" s="26">
        <f t="shared" ref="L115" si="43">L116+L117+L123+L130+L131</f>
        <v>746071</v>
      </c>
      <c r="M115" s="26">
        <f t="shared" ref="M115" si="44">M116+M117+M123+M130+M131</f>
        <v>1348597</v>
      </c>
      <c r="N115" s="26">
        <f t="shared" ref="N115" si="45">N116+N117+N123+N130+N131</f>
        <v>1592006</v>
      </c>
      <c r="O115" s="26">
        <f t="shared" ref="O115" si="46">O116+O117+O123+O130+O131</f>
        <v>2654593</v>
      </c>
      <c r="P115" s="26">
        <f t="shared" ref="P115" si="47">P116+P117+P123+P130+P131</f>
        <v>2929099</v>
      </c>
      <c r="Q115" s="26">
        <f t="shared" ref="Q115:R115" si="48">Q116+Q117+Q123+Q130+Q131</f>
        <v>7721847</v>
      </c>
      <c r="R115" s="26">
        <f t="shared" si="48"/>
        <v>7686531</v>
      </c>
      <c r="S115" s="26">
        <f t="shared" ref="S115" si="49">S116+S117+S123+S130+S131</f>
        <v>8339548</v>
      </c>
      <c r="T115" s="29"/>
      <c r="U115" s="2"/>
      <c r="V115" s="2"/>
      <c r="W115" s="2"/>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row>
    <row r="116" spans="1:53" ht="18" customHeight="1" x14ac:dyDescent="0.25">
      <c r="A116" s="1"/>
      <c r="B116" s="12" t="s">
        <v>178</v>
      </c>
      <c r="C116" s="23">
        <v>21358</v>
      </c>
      <c r="D116" s="23">
        <v>40917</v>
      </c>
      <c r="E116" s="23">
        <v>106857</v>
      </c>
      <c r="F116" s="23">
        <v>157186</v>
      </c>
      <c r="G116" s="23">
        <v>220086</v>
      </c>
      <c r="H116" s="23">
        <v>261247</v>
      </c>
      <c r="I116" s="23">
        <v>310008</v>
      </c>
      <c r="J116" s="23">
        <v>330375</v>
      </c>
      <c r="K116" s="23">
        <v>341073</v>
      </c>
      <c r="L116" s="23">
        <v>352715</v>
      </c>
      <c r="M116" s="23">
        <v>967924</v>
      </c>
      <c r="N116" s="23">
        <v>811284</v>
      </c>
      <c r="O116" s="23">
        <v>1671716</v>
      </c>
      <c r="P116" s="23">
        <v>1738229</v>
      </c>
      <c r="Q116" s="23">
        <v>2317515</v>
      </c>
      <c r="R116" s="23">
        <v>2317183</v>
      </c>
      <c r="S116" s="23">
        <v>2317183</v>
      </c>
      <c r="T116" s="2"/>
      <c r="U116" s="2"/>
      <c r="V116" s="2"/>
      <c r="W116" s="2"/>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row>
    <row r="117" spans="1:53" ht="18" customHeight="1" x14ac:dyDescent="0.25">
      <c r="A117" s="1"/>
      <c r="B117" s="12" t="s">
        <v>165</v>
      </c>
      <c r="C117" s="23">
        <v>71019</v>
      </c>
      <c r="D117" s="23">
        <v>237723</v>
      </c>
      <c r="E117" s="23">
        <v>173498</v>
      </c>
      <c r="F117" s="23">
        <v>128288</v>
      </c>
      <c r="G117" s="23">
        <v>70739</v>
      </c>
      <c r="H117" s="23">
        <v>35377</v>
      </c>
      <c r="I117" s="23">
        <v>39554</v>
      </c>
      <c r="J117" s="23">
        <v>44369</v>
      </c>
      <c r="K117" s="23">
        <v>46725</v>
      </c>
      <c r="L117" s="23">
        <v>50538</v>
      </c>
      <c r="M117" s="23">
        <v>49229</v>
      </c>
      <c r="N117" s="23">
        <v>196925</v>
      </c>
      <c r="O117" s="23">
        <v>176094</v>
      </c>
      <c r="P117" s="23">
        <v>173930</v>
      </c>
      <c r="Q117" s="23">
        <v>4233414</v>
      </c>
      <c r="R117" s="23">
        <v>4238792</v>
      </c>
      <c r="S117" s="23">
        <v>4234632</v>
      </c>
      <c r="T117" s="2"/>
      <c r="U117" s="2"/>
      <c r="V117" s="2"/>
      <c r="W117" s="2"/>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row>
    <row r="118" spans="1:53" ht="18" customHeight="1" x14ac:dyDescent="0.25">
      <c r="A118" s="1"/>
      <c r="B118" s="16" t="s">
        <v>166</v>
      </c>
      <c r="C118" s="23">
        <v>71019</v>
      </c>
      <c r="D118" s="23">
        <v>21470</v>
      </c>
      <c r="E118" s="23">
        <v>21470</v>
      </c>
      <c r="F118" s="23">
        <v>21470</v>
      </c>
      <c r="G118" s="23">
        <v>21470</v>
      </c>
      <c r="H118" s="23">
        <v>21469</v>
      </c>
      <c r="I118" s="23">
        <v>21470</v>
      </c>
      <c r="J118" s="23">
        <v>21470</v>
      </c>
      <c r="K118" s="23">
        <v>21470</v>
      </c>
      <c r="L118" s="23">
        <v>21470</v>
      </c>
      <c r="M118" s="23">
        <v>21470</v>
      </c>
      <c r="N118" s="23">
        <v>21470</v>
      </c>
      <c r="O118" s="23">
        <v>0</v>
      </c>
      <c r="P118" s="23">
        <v>0</v>
      </c>
      <c r="Q118" s="23">
        <v>0</v>
      </c>
      <c r="R118" s="23">
        <v>0</v>
      </c>
      <c r="S118" s="23">
        <v>0</v>
      </c>
      <c r="T118" s="2"/>
      <c r="U118" s="2"/>
      <c r="V118" s="2"/>
      <c r="W118" s="2"/>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row>
    <row r="119" spans="1:53" ht="18" customHeight="1" x14ac:dyDescent="0.25">
      <c r="A119" s="1"/>
      <c r="B119" s="16" t="s">
        <v>185</v>
      </c>
      <c r="C119" s="23">
        <v>0</v>
      </c>
      <c r="D119" s="23">
        <v>0</v>
      </c>
      <c r="E119" s="23">
        <v>0</v>
      </c>
      <c r="F119" s="23">
        <v>0</v>
      </c>
      <c r="G119" s="23">
        <v>0</v>
      </c>
      <c r="H119" s="23">
        <v>0</v>
      </c>
      <c r="I119" s="23">
        <v>0</v>
      </c>
      <c r="J119" s="23">
        <v>-1199</v>
      </c>
      <c r="K119" s="23">
        <v>-2332</v>
      </c>
      <c r="L119" s="23">
        <v>-195</v>
      </c>
      <c r="M119" s="23">
        <v>-191</v>
      </c>
      <c r="N119" s="23">
        <v>-3105</v>
      </c>
      <c r="O119" s="23">
        <v>-46</v>
      </c>
      <c r="P119" s="23">
        <v>-9923</v>
      </c>
      <c r="Q119" s="23">
        <v>-1238</v>
      </c>
      <c r="R119" s="23">
        <v>-1238</v>
      </c>
      <c r="S119" s="23">
        <v>-11216</v>
      </c>
      <c r="T119" s="2"/>
      <c r="U119" s="2"/>
      <c r="V119" s="2"/>
      <c r="W119" s="2"/>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row>
    <row r="120" spans="1:53" ht="18" customHeight="1" x14ac:dyDescent="0.25">
      <c r="A120" s="1"/>
      <c r="B120" s="16" t="s">
        <v>179</v>
      </c>
      <c r="C120" s="23">
        <v>0</v>
      </c>
      <c r="D120" s="23">
        <v>0</v>
      </c>
      <c r="E120" s="23">
        <v>775</v>
      </c>
      <c r="F120" s="23">
        <v>4708</v>
      </c>
      <c r="G120" s="23">
        <v>9159</v>
      </c>
      <c r="H120" s="23">
        <v>13908</v>
      </c>
      <c r="I120" s="23">
        <v>18084</v>
      </c>
      <c r="J120" s="23">
        <v>24098</v>
      </c>
      <c r="K120" s="23">
        <v>27587</v>
      </c>
      <c r="L120" s="23">
        <v>29263</v>
      </c>
      <c r="M120" s="23">
        <v>27950</v>
      </c>
      <c r="N120" s="23">
        <v>20321</v>
      </c>
      <c r="O120" s="23">
        <v>0</v>
      </c>
      <c r="P120" s="23">
        <v>0</v>
      </c>
      <c r="Q120" s="23">
        <v>0</v>
      </c>
      <c r="R120" s="23">
        <v>0</v>
      </c>
      <c r="S120" s="23">
        <v>0</v>
      </c>
      <c r="T120" s="2"/>
      <c r="U120" s="2"/>
      <c r="V120" s="2"/>
      <c r="W120" s="2"/>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row>
    <row r="121" spans="1:53" ht="18" customHeight="1" x14ac:dyDescent="0.25">
      <c r="A121" s="1"/>
      <c r="B121" s="16" t="s">
        <v>116</v>
      </c>
      <c r="C121" s="23">
        <v>0</v>
      </c>
      <c r="D121" s="23">
        <v>216253</v>
      </c>
      <c r="E121" s="23">
        <v>151253</v>
      </c>
      <c r="F121" s="23">
        <v>102110</v>
      </c>
      <c r="G121" s="23">
        <v>40110</v>
      </c>
      <c r="H121" s="23">
        <v>0</v>
      </c>
      <c r="I121" s="23">
        <v>0</v>
      </c>
      <c r="J121" s="23">
        <v>0</v>
      </c>
      <c r="K121" s="23">
        <v>0</v>
      </c>
      <c r="L121" s="23">
        <v>0</v>
      </c>
      <c r="M121" s="23">
        <v>0</v>
      </c>
      <c r="N121" s="23">
        <v>0</v>
      </c>
      <c r="O121" s="23">
        <v>0</v>
      </c>
      <c r="P121" s="23">
        <v>0</v>
      </c>
      <c r="Q121" s="23">
        <v>0</v>
      </c>
      <c r="R121" s="23">
        <v>0</v>
      </c>
      <c r="S121" s="23">
        <v>0</v>
      </c>
      <c r="T121" s="2"/>
      <c r="U121" s="2"/>
      <c r="V121" s="2"/>
      <c r="W121" s="2"/>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row>
    <row r="122" spans="1:53" ht="18" customHeight="1" x14ac:dyDescent="0.25">
      <c r="A122" s="1"/>
      <c r="B122" s="16" t="s">
        <v>165</v>
      </c>
      <c r="C122" s="23">
        <v>0</v>
      </c>
      <c r="D122" s="23">
        <v>0</v>
      </c>
      <c r="E122" s="23">
        <v>0</v>
      </c>
      <c r="F122" s="23">
        <v>0</v>
      </c>
      <c r="G122" s="23">
        <v>0</v>
      </c>
      <c r="H122" s="23">
        <v>0</v>
      </c>
      <c r="I122" s="23">
        <v>0</v>
      </c>
      <c r="J122" s="23">
        <v>0</v>
      </c>
      <c r="K122" s="23">
        <v>0</v>
      </c>
      <c r="L122" s="23">
        <v>0</v>
      </c>
      <c r="M122" s="23">
        <v>0</v>
      </c>
      <c r="N122" s="23">
        <v>158239</v>
      </c>
      <c r="O122" s="23">
        <v>176140</v>
      </c>
      <c r="P122" s="23">
        <v>183853</v>
      </c>
      <c r="Q122" s="23">
        <v>4234652</v>
      </c>
      <c r="R122" s="23">
        <v>4240030</v>
      </c>
      <c r="S122" s="23">
        <v>4245848</v>
      </c>
      <c r="T122" s="2"/>
      <c r="U122" s="2"/>
      <c r="V122" s="2"/>
      <c r="W122" s="2"/>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row>
    <row r="123" spans="1:53" ht="18" customHeight="1" collapsed="1" x14ac:dyDescent="0.25">
      <c r="A123" s="1"/>
      <c r="B123" s="12" t="s">
        <v>167</v>
      </c>
      <c r="C123" s="23">
        <v>53841</v>
      </c>
      <c r="D123" s="23">
        <v>105407</v>
      </c>
      <c r="E123" s="23">
        <v>173544</v>
      </c>
      <c r="F123" s="23">
        <v>229068</v>
      </c>
      <c r="G123" s="23">
        <v>285468</v>
      </c>
      <c r="H123" s="23">
        <v>326783</v>
      </c>
      <c r="I123" s="23">
        <v>321999</v>
      </c>
      <c r="J123" s="23">
        <v>292202</v>
      </c>
      <c r="K123" s="23">
        <v>319202</v>
      </c>
      <c r="L123" s="23">
        <v>335998</v>
      </c>
      <c r="M123" s="23">
        <v>338414</v>
      </c>
      <c r="N123" s="23">
        <v>591478</v>
      </c>
      <c r="O123" s="23">
        <v>814396</v>
      </c>
      <c r="P123" s="23">
        <v>999599</v>
      </c>
      <c r="Q123" s="23">
        <v>1162576</v>
      </c>
      <c r="R123" s="23">
        <v>1162576</v>
      </c>
      <c r="S123" s="23">
        <v>1818056</v>
      </c>
      <c r="T123" s="2"/>
      <c r="U123" s="2"/>
      <c r="V123" s="2"/>
      <c r="W123" s="2"/>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row>
    <row r="124" spans="1:53" ht="18" customHeight="1" x14ac:dyDescent="0.25">
      <c r="A124" s="1"/>
      <c r="B124" s="16" t="s">
        <v>168</v>
      </c>
      <c r="C124" s="23">
        <v>4271</v>
      </c>
      <c r="D124" s="23">
        <v>8183</v>
      </c>
      <c r="E124" s="23">
        <v>13027</v>
      </c>
      <c r="F124" s="23">
        <v>18555</v>
      </c>
      <c r="G124" s="23">
        <v>24193</v>
      </c>
      <c r="H124" s="23">
        <v>30176</v>
      </c>
      <c r="I124" s="23">
        <v>35983</v>
      </c>
      <c r="J124" s="23">
        <v>43707</v>
      </c>
      <c r="K124" s="23">
        <v>0</v>
      </c>
      <c r="L124" s="23">
        <v>0</v>
      </c>
      <c r="M124" s="23">
        <v>0</v>
      </c>
      <c r="N124" s="23">
        <v>0</v>
      </c>
      <c r="O124" s="23">
        <v>78746</v>
      </c>
      <c r="P124" s="23">
        <v>98716</v>
      </c>
      <c r="Q124" s="23">
        <v>98716</v>
      </c>
      <c r="R124" s="23">
        <v>98716</v>
      </c>
      <c r="S124" s="23">
        <v>98716</v>
      </c>
      <c r="T124" s="2"/>
      <c r="U124" s="2"/>
      <c r="V124" s="2"/>
      <c r="W124" s="2"/>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row>
    <row r="125" spans="1:53" ht="18" customHeight="1" x14ac:dyDescent="0.25">
      <c r="A125" s="1"/>
      <c r="B125" s="16" t="s">
        <v>169</v>
      </c>
      <c r="C125" s="23">
        <v>31805</v>
      </c>
      <c r="D125" s="23">
        <v>94541</v>
      </c>
      <c r="E125" s="23">
        <v>137452</v>
      </c>
      <c r="F125" s="23">
        <v>186936</v>
      </c>
      <c r="G125" s="23">
        <v>223244</v>
      </c>
      <c r="H125" s="23">
        <v>275220</v>
      </c>
      <c r="I125" s="23">
        <v>230358</v>
      </c>
      <c r="J125" s="23">
        <v>178358</v>
      </c>
      <c r="K125" s="23">
        <v>165033</v>
      </c>
      <c r="L125" s="23">
        <v>94276</v>
      </c>
      <c r="M125" s="23">
        <v>107895</v>
      </c>
      <c r="N125" s="23">
        <v>174861</v>
      </c>
      <c r="O125" s="23">
        <v>174861</v>
      </c>
      <c r="P125" s="23">
        <v>21804</v>
      </c>
      <c r="Q125" s="23">
        <v>184781</v>
      </c>
      <c r="R125" s="23">
        <v>184781</v>
      </c>
      <c r="S125" s="23">
        <v>184781</v>
      </c>
      <c r="T125" s="2"/>
      <c r="U125" s="2"/>
      <c r="V125" s="2"/>
      <c r="W125" s="2"/>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row>
    <row r="126" spans="1:53" x14ac:dyDescent="0.25">
      <c r="A126" s="1"/>
      <c r="B126" s="16" t="s">
        <v>170</v>
      </c>
      <c r="C126" s="23">
        <v>1730</v>
      </c>
      <c r="D126" s="23">
        <v>2683</v>
      </c>
      <c r="E126" s="23">
        <v>2683</v>
      </c>
      <c r="F126" s="23">
        <v>2683</v>
      </c>
      <c r="G126" s="23">
        <v>2683</v>
      </c>
      <c r="H126" s="23">
        <v>2683</v>
      </c>
      <c r="I126" s="23">
        <v>2683</v>
      </c>
      <c r="J126" s="23">
        <v>64658</v>
      </c>
      <c r="K126" s="23">
        <v>136443</v>
      </c>
      <c r="L126" s="23">
        <v>213880</v>
      </c>
      <c r="M126" s="23">
        <v>227937</v>
      </c>
      <c r="N126" s="23">
        <v>309106</v>
      </c>
      <c r="O126" s="23">
        <v>560789</v>
      </c>
      <c r="P126" s="23">
        <v>879079</v>
      </c>
      <c r="Q126" s="23">
        <v>879079</v>
      </c>
      <c r="R126" s="23">
        <v>879079</v>
      </c>
      <c r="S126" s="23">
        <v>879079</v>
      </c>
      <c r="T126" s="2"/>
      <c r="U126" s="2"/>
      <c r="V126" s="2"/>
      <c r="W126" s="2"/>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row>
    <row r="127" spans="1:53" x14ac:dyDescent="0.25">
      <c r="A127" s="1"/>
      <c r="B127" s="16" t="s">
        <v>171</v>
      </c>
      <c r="C127" s="23">
        <v>16062</v>
      </c>
      <c r="D127" s="23">
        <v>0</v>
      </c>
      <c r="E127" s="23">
        <v>20382</v>
      </c>
      <c r="F127" s="23">
        <v>20894</v>
      </c>
      <c r="G127" s="23">
        <v>35348</v>
      </c>
      <c r="H127" s="23">
        <v>18704</v>
      </c>
      <c r="I127" s="23">
        <v>52975</v>
      </c>
      <c r="J127" s="23">
        <v>2796</v>
      </c>
      <c r="K127" s="23">
        <v>17726</v>
      </c>
      <c r="L127" s="23">
        <v>27842</v>
      </c>
      <c r="M127" s="23">
        <v>2582</v>
      </c>
      <c r="N127" s="23">
        <v>50000</v>
      </c>
      <c r="O127" s="23">
        <v>0</v>
      </c>
      <c r="P127" s="23">
        <v>0</v>
      </c>
      <c r="Q127" s="23">
        <v>0</v>
      </c>
      <c r="R127" s="23">
        <v>0</v>
      </c>
      <c r="S127" s="23">
        <v>0</v>
      </c>
      <c r="T127" s="2"/>
      <c r="U127" s="2"/>
      <c r="V127" s="2"/>
      <c r="W127" s="2"/>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row>
    <row r="128" spans="1:53" x14ac:dyDescent="0.25">
      <c r="A128" s="1"/>
      <c r="B128" s="16" t="s">
        <v>456</v>
      </c>
      <c r="C128" s="23">
        <v>0</v>
      </c>
      <c r="D128" s="23">
        <v>0</v>
      </c>
      <c r="E128" s="23">
        <v>0</v>
      </c>
      <c r="F128" s="23">
        <v>0</v>
      </c>
      <c r="G128" s="23">
        <v>0</v>
      </c>
      <c r="H128" s="23">
        <v>0</v>
      </c>
      <c r="I128" s="23">
        <v>0</v>
      </c>
      <c r="J128" s="23">
        <v>0</v>
      </c>
      <c r="K128" s="23">
        <v>0</v>
      </c>
      <c r="L128" s="23">
        <v>0</v>
      </c>
      <c r="M128" s="23">
        <v>0</v>
      </c>
      <c r="N128" s="23">
        <v>0</v>
      </c>
      <c r="O128" s="23">
        <v>0</v>
      </c>
      <c r="P128" s="23">
        <v>0</v>
      </c>
      <c r="Q128" s="23">
        <v>0</v>
      </c>
      <c r="R128" s="23"/>
      <c r="S128" s="23">
        <v>655480</v>
      </c>
      <c r="T128" s="2"/>
      <c r="U128" s="2"/>
      <c r="V128" s="2"/>
      <c r="W128" s="2"/>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row>
    <row r="129" spans="1:53" x14ac:dyDescent="0.25">
      <c r="A129" s="1"/>
      <c r="B129" s="16" t="s">
        <v>186</v>
      </c>
      <c r="C129" s="23">
        <v>0</v>
      </c>
      <c r="D129" s="23">
        <v>0</v>
      </c>
      <c r="E129" s="23">
        <v>0</v>
      </c>
      <c r="F129" s="23">
        <v>0</v>
      </c>
      <c r="G129" s="23">
        <v>0</v>
      </c>
      <c r="H129" s="23">
        <v>0</v>
      </c>
      <c r="I129" s="23">
        <v>0</v>
      </c>
      <c r="J129" s="23">
        <v>2683</v>
      </c>
      <c r="K129" s="23">
        <v>0</v>
      </c>
      <c r="L129" s="23">
        <v>0</v>
      </c>
      <c r="M129" s="23">
        <v>0</v>
      </c>
      <c r="N129" s="23">
        <v>0</v>
      </c>
      <c r="O129" s="23">
        <v>0</v>
      </c>
      <c r="P129" s="23">
        <v>0</v>
      </c>
      <c r="Q129" s="23">
        <v>0</v>
      </c>
      <c r="R129" s="23">
        <v>0</v>
      </c>
      <c r="S129" s="23">
        <v>0</v>
      </c>
      <c r="T129" s="2"/>
      <c r="U129" s="2"/>
      <c r="V129" s="2"/>
      <c r="W129" s="2"/>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row>
    <row r="130" spans="1:53" x14ac:dyDescent="0.25">
      <c r="A130" s="1"/>
      <c r="B130" s="12" t="s">
        <v>181</v>
      </c>
      <c r="C130" s="23">
        <v>0</v>
      </c>
      <c r="D130" s="23">
        <v>0</v>
      </c>
      <c r="E130" s="23">
        <v>0</v>
      </c>
      <c r="F130" s="23">
        <v>0</v>
      </c>
      <c r="G130" s="23">
        <v>0</v>
      </c>
      <c r="H130" s="23">
        <v>-5502</v>
      </c>
      <c r="I130" s="23">
        <v>-1862</v>
      </c>
      <c r="J130" s="23">
        <v>-1986</v>
      </c>
      <c r="K130" s="23">
        <v>4342</v>
      </c>
      <c r="L130" s="23">
        <v>6820</v>
      </c>
      <c r="M130" s="23">
        <v>-6970</v>
      </c>
      <c r="N130" s="23">
        <v>-9107</v>
      </c>
      <c r="O130" s="23">
        <v>-8414</v>
      </c>
      <c r="P130" s="23">
        <v>-2205</v>
      </c>
      <c r="Q130" s="23">
        <v>-10520</v>
      </c>
      <c r="R130" s="23">
        <v>-32020</v>
      </c>
      <c r="S130" s="23">
        <v>-30323</v>
      </c>
      <c r="T130" s="2"/>
      <c r="U130" s="2"/>
      <c r="V130" s="2"/>
      <c r="W130" s="2"/>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row>
    <row r="131" spans="1:53" x14ac:dyDescent="0.25">
      <c r="A131" s="1"/>
      <c r="B131" s="12" t="s">
        <v>196</v>
      </c>
      <c r="C131" s="23">
        <v>0</v>
      </c>
      <c r="D131" s="23">
        <v>0</v>
      </c>
      <c r="E131" s="23">
        <v>0</v>
      </c>
      <c r="F131" s="23">
        <v>0</v>
      </c>
      <c r="G131" s="23">
        <v>0</v>
      </c>
      <c r="H131" s="23">
        <v>0</v>
      </c>
      <c r="I131" s="23">
        <v>0</v>
      </c>
      <c r="J131" s="23">
        <v>0</v>
      </c>
      <c r="K131" s="23">
        <v>0</v>
      </c>
      <c r="L131" s="23">
        <v>0</v>
      </c>
      <c r="M131" s="23">
        <v>0</v>
      </c>
      <c r="N131" s="23">
        <v>1426</v>
      </c>
      <c r="O131" s="23">
        <v>801</v>
      </c>
      <c r="P131" s="23">
        <v>19546</v>
      </c>
      <c r="Q131" s="23">
        <v>18862</v>
      </c>
      <c r="R131" s="23">
        <v>0</v>
      </c>
      <c r="S131" s="23">
        <v>0</v>
      </c>
      <c r="T131" s="2"/>
      <c r="U131" s="2"/>
      <c r="V131" s="2"/>
      <c r="W131" s="2"/>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row>
    <row r="132" spans="1:53" x14ac:dyDescent="0.25">
      <c r="A132" s="1"/>
      <c r="B132" s="12"/>
      <c r="C132" s="23"/>
      <c r="D132" s="23"/>
      <c r="E132" s="23"/>
      <c r="F132" s="23"/>
      <c r="G132" s="23"/>
      <c r="H132" s="23"/>
      <c r="I132" s="23"/>
      <c r="J132" s="23"/>
      <c r="K132" s="23"/>
      <c r="L132" s="23"/>
      <c r="M132" s="23"/>
      <c r="N132" s="23"/>
      <c r="O132" s="23"/>
      <c r="P132" s="23"/>
      <c r="Q132" s="23"/>
      <c r="R132" s="23"/>
      <c r="S132" s="23"/>
      <c r="T132" s="2"/>
      <c r="U132" s="2"/>
      <c r="V132" s="2"/>
      <c r="W132" s="2"/>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row>
    <row r="133" spans="1:53" x14ac:dyDescent="0.25">
      <c r="A133" s="1"/>
      <c r="B133" s="12"/>
      <c r="C133" s="23"/>
      <c r="D133" s="23"/>
      <c r="E133" s="23"/>
      <c r="F133" s="23"/>
      <c r="G133" s="23"/>
      <c r="H133" s="23"/>
      <c r="I133" s="23"/>
      <c r="J133" s="23"/>
      <c r="K133" s="23"/>
      <c r="L133" s="23"/>
      <c r="M133" s="23"/>
      <c r="N133" s="23"/>
      <c r="O133" s="23"/>
      <c r="P133" s="23"/>
      <c r="Q133" s="23"/>
      <c r="R133" s="23"/>
      <c r="S133" s="23"/>
      <c r="T133" s="2"/>
      <c r="U133" s="2"/>
      <c r="V133" s="2"/>
      <c r="W133" s="2"/>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row>
    <row r="134" spans="1:53" x14ac:dyDescent="0.25">
      <c r="A134" s="1"/>
      <c r="B134" s="1"/>
      <c r="C134" s="1"/>
      <c r="D134" s="1"/>
      <c r="E134" s="1"/>
      <c r="F134" s="1"/>
      <c r="G134" s="1"/>
      <c r="H134" s="1"/>
      <c r="I134" s="2"/>
      <c r="J134" s="2"/>
      <c r="K134" s="2"/>
      <c r="L134" s="2"/>
      <c r="M134" s="2"/>
      <c r="N134" s="2"/>
      <c r="O134" s="2"/>
      <c r="P134" s="2"/>
      <c r="Q134" s="2"/>
      <c r="R134" s="2"/>
      <c r="S134" s="2"/>
      <c r="T134" s="2"/>
      <c r="U134" s="2"/>
      <c r="V134" s="2"/>
      <c r="W134" s="2"/>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row>
    <row r="135" spans="1:53" x14ac:dyDescent="0.25">
      <c r="A135" s="1"/>
      <c r="B135" s="1"/>
      <c r="C135" s="1"/>
      <c r="D135" s="1"/>
      <c r="E135" s="1"/>
      <c r="F135" s="1"/>
      <c r="G135" s="1"/>
      <c r="H135" s="1"/>
      <c r="I135" s="2"/>
      <c r="J135" s="2"/>
      <c r="K135" s="2"/>
      <c r="L135" s="2"/>
      <c r="M135" s="2"/>
      <c r="N135" s="2"/>
      <c r="O135" s="2"/>
      <c r="P135" s="2"/>
      <c r="Q135" s="2"/>
      <c r="R135" s="2"/>
      <c r="S135" s="2"/>
      <c r="T135" s="2"/>
      <c r="U135" s="2"/>
      <c r="V135" s="2"/>
      <c r="W135" s="2"/>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row>
    <row r="136" spans="1:53" x14ac:dyDescent="0.25">
      <c r="A136" s="1"/>
      <c r="B136" s="1"/>
      <c r="C136" s="1"/>
      <c r="D136" s="1"/>
      <c r="E136" s="1"/>
      <c r="F136" s="1"/>
      <c r="G136" s="1"/>
      <c r="H136" s="1"/>
      <c r="I136" s="2"/>
      <c r="J136" s="2"/>
      <c r="K136" s="2"/>
      <c r="L136" s="2"/>
      <c r="M136" s="2"/>
      <c r="N136" s="2"/>
      <c r="O136" s="2"/>
      <c r="P136" s="2"/>
      <c r="Q136" s="2"/>
      <c r="R136" s="2"/>
      <c r="S136" s="2"/>
      <c r="T136" s="2"/>
      <c r="U136" s="2"/>
      <c r="V136" s="2"/>
      <c r="W136" s="2"/>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row>
    <row r="137" spans="1:53" x14ac:dyDescent="0.25">
      <c r="A137" s="1"/>
      <c r="B137" s="1"/>
      <c r="C137" s="1"/>
      <c r="D137" s="1"/>
      <c r="E137" s="1"/>
      <c r="F137" s="1"/>
      <c r="G137" s="1"/>
      <c r="H137" s="1"/>
      <c r="I137" s="2"/>
      <c r="J137" s="2"/>
      <c r="K137" s="2"/>
      <c r="L137" s="2"/>
      <c r="M137" s="2"/>
      <c r="N137" s="2"/>
      <c r="O137" s="2"/>
      <c r="P137" s="2"/>
      <c r="Q137" s="2"/>
      <c r="R137" s="2"/>
      <c r="S137" s="2"/>
      <c r="T137" s="2"/>
      <c r="U137" s="2"/>
      <c r="V137" s="2"/>
      <c r="W137" s="2"/>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row>
    <row r="138" spans="1:53" x14ac:dyDescent="0.25">
      <c r="A138" s="1"/>
      <c r="B138" s="1"/>
      <c r="C138" s="1"/>
      <c r="D138" s="1"/>
      <c r="E138" s="1"/>
      <c r="F138" s="1"/>
      <c r="G138" s="1"/>
      <c r="H138" s="1"/>
      <c r="I138" s="2"/>
      <c r="J138" s="2"/>
      <c r="K138" s="2"/>
      <c r="L138" s="2"/>
      <c r="M138" s="2"/>
      <c r="N138" s="2"/>
      <c r="O138" s="2"/>
      <c r="P138" s="2"/>
      <c r="Q138" s="2"/>
      <c r="R138" s="2"/>
      <c r="S138" s="2"/>
      <c r="T138" s="2"/>
      <c r="U138" s="2"/>
      <c r="V138" s="2"/>
      <c r="W138" s="2"/>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row>
    <row r="139" spans="1:53" x14ac:dyDescent="0.25">
      <c r="A139" s="1"/>
      <c r="B139" s="1"/>
      <c r="C139" s="1"/>
      <c r="D139" s="1"/>
      <c r="E139" s="1"/>
      <c r="F139" s="1"/>
      <c r="G139" s="1"/>
      <c r="H139" s="1"/>
      <c r="I139" s="2"/>
      <c r="J139" s="2"/>
      <c r="K139" s="2"/>
      <c r="L139" s="2"/>
      <c r="M139" s="2"/>
      <c r="N139" s="2"/>
      <c r="O139" s="2"/>
      <c r="P139" s="2"/>
      <c r="Q139" s="2"/>
      <c r="R139" s="2"/>
      <c r="S139" s="2"/>
      <c r="T139" s="2"/>
      <c r="U139" s="2"/>
      <c r="V139" s="2"/>
      <c r="W139" s="2"/>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row>
    <row r="140" spans="1:53" x14ac:dyDescent="0.25">
      <c r="A140" s="1"/>
      <c r="B140" s="1"/>
      <c r="C140" s="1"/>
      <c r="D140" s="1"/>
      <c r="E140" s="1"/>
      <c r="F140" s="1"/>
      <c r="G140" s="1"/>
      <c r="H140" s="1"/>
      <c r="I140" s="2"/>
      <c r="J140" s="2"/>
      <c r="K140" s="2"/>
      <c r="L140" s="2"/>
      <c r="M140" s="2"/>
      <c r="N140" s="2"/>
      <c r="O140" s="2"/>
      <c r="P140" s="2"/>
      <c r="Q140" s="2"/>
      <c r="R140" s="2"/>
      <c r="S140" s="2"/>
      <c r="T140" s="2"/>
      <c r="U140" s="2"/>
      <c r="V140" s="2"/>
      <c r="W140" s="2"/>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row>
    <row r="141" spans="1:53" x14ac:dyDescent="0.25">
      <c r="A141" s="1"/>
      <c r="B141" s="1"/>
      <c r="C141" s="1"/>
      <c r="D141" s="1"/>
      <c r="E141" s="1"/>
      <c r="F141" s="1"/>
      <c r="G141" s="1"/>
      <c r="H141" s="1"/>
      <c r="I141" s="2"/>
      <c r="J141" s="2"/>
      <c r="K141" s="2"/>
      <c r="L141" s="2"/>
      <c r="M141" s="2"/>
      <c r="N141" s="2"/>
      <c r="O141" s="2"/>
      <c r="P141" s="2"/>
      <c r="Q141" s="2"/>
      <c r="R141" s="2"/>
      <c r="S141" s="2"/>
      <c r="T141" s="2"/>
      <c r="U141" s="2"/>
      <c r="V141" s="2"/>
      <c r="W141" s="2"/>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row>
    <row r="142" spans="1:53" x14ac:dyDescent="0.25">
      <c r="A142" s="1"/>
      <c r="B142" s="1"/>
      <c r="C142" s="1"/>
      <c r="D142" s="1"/>
      <c r="E142" s="1"/>
      <c r="F142" s="1"/>
      <c r="G142" s="1"/>
      <c r="H142" s="1"/>
      <c r="I142" s="2"/>
      <c r="J142" s="2"/>
      <c r="K142" s="2"/>
      <c r="L142" s="2"/>
      <c r="M142" s="2"/>
      <c r="N142" s="2"/>
      <c r="O142" s="2"/>
      <c r="P142" s="2"/>
      <c r="Q142" s="2"/>
      <c r="R142" s="2"/>
      <c r="S142" s="2"/>
      <c r="T142" s="2"/>
      <c r="U142" s="2"/>
      <c r="V142" s="2"/>
      <c r="W142" s="2"/>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row>
    <row r="143" spans="1:53" x14ac:dyDescent="0.25">
      <c r="A143" s="1"/>
      <c r="B143" s="1"/>
      <c r="C143" s="1"/>
      <c r="D143" s="1"/>
      <c r="E143" s="1"/>
      <c r="F143" s="1"/>
      <c r="G143" s="1"/>
      <c r="H143" s="1"/>
      <c r="I143" s="2"/>
      <c r="J143" s="2"/>
      <c r="K143" s="2"/>
      <c r="L143" s="2"/>
      <c r="M143" s="2"/>
      <c r="N143" s="2"/>
      <c r="O143" s="2"/>
      <c r="P143" s="2"/>
      <c r="Q143" s="2"/>
      <c r="R143" s="2"/>
      <c r="S143" s="2"/>
      <c r="T143" s="2"/>
      <c r="U143" s="2"/>
      <c r="V143" s="2"/>
      <c r="W143" s="2"/>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row>
    <row r="144" spans="1:53" x14ac:dyDescent="0.25">
      <c r="A144" s="1"/>
      <c r="B144" s="1"/>
      <c r="C144" s="1"/>
      <c r="D144" s="1"/>
      <c r="E144" s="1"/>
      <c r="F144" s="1"/>
      <c r="G144" s="1"/>
      <c r="H144" s="1"/>
      <c r="I144" s="2"/>
      <c r="J144" s="2"/>
      <c r="K144" s="2"/>
      <c r="L144" s="2"/>
      <c r="M144" s="2"/>
      <c r="N144" s="2"/>
      <c r="O144" s="2"/>
      <c r="P144" s="2"/>
      <c r="Q144" s="2"/>
      <c r="R144" s="2"/>
      <c r="S144" s="2"/>
      <c r="T144" s="2"/>
      <c r="U144" s="2"/>
      <c r="V144" s="2"/>
      <c r="W144" s="2"/>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row>
    <row r="145" spans="1:53" x14ac:dyDescent="0.25">
      <c r="A145" s="1"/>
      <c r="B145" s="1"/>
      <c r="C145" s="1"/>
      <c r="D145" s="1"/>
      <c r="E145" s="1"/>
      <c r="F145" s="1"/>
      <c r="G145" s="1"/>
      <c r="H145" s="1"/>
      <c r="I145" s="2"/>
      <c r="J145" s="2"/>
      <c r="K145" s="2"/>
      <c r="L145" s="2"/>
      <c r="M145" s="2"/>
      <c r="N145" s="2"/>
      <c r="O145" s="2"/>
      <c r="P145" s="2"/>
      <c r="Q145" s="2"/>
      <c r="R145" s="2"/>
      <c r="S145" s="2"/>
      <c r="T145" s="2"/>
      <c r="U145" s="2"/>
      <c r="V145" s="2"/>
      <c r="W145" s="2"/>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row>
    <row r="146" spans="1:53" x14ac:dyDescent="0.25">
      <c r="A146" s="1"/>
      <c r="B146" s="1"/>
      <c r="C146" s="1"/>
      <c r="D146" s="1"/>
      <c r="E146" s="1"/>
      <c r="F146" s="1"/>
      <c r="G146" s="1"/>
      <c r="H146" s="1"/>
      <c r="I146" s="2"/>
      <c r="J146" s="2"/>
      <c r="K146" s="2"/>
      <c r="L146" s="2"/>
      <c r="M146" s="2"/>
      <c r="N146" s="2"/>
      <c r="O146" s="2"/>
      <c r="P146" s="2"/>
      <c r="Q146" s="2"/>
      <c r="R146" s="2"/>
      <c r="S146" s="2"/>
      <c r="T146" s="2"/>
      <c r="U146" s="2"/>
      <c r="V146" s="2"/>
      <c r="W146" s="2"/>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row>
    <row r="147" spans="1:53" x14ac:dyDescent="0.25">
      <c r="A147" s="1"/>
      <c r="B147" s="1"/>
      <c r="C147" s="1"/>
      <c r="D147" s="1"/>
      <c r="E147" s="1"/>
      <c r="F147" s="1"/>
      <c r="G147" s="1"/>
      <c r="H147" s="1"/>
      <c r="I147" s="2"/>
      <c r="J147" s="2"/>
      <c r="K147" s="2"/>
      <c r="L147" s="2"/>
      <c r="M147" s="2"/>
      <c r="N147" s="2"/>
      <c r="O147" s="2"/>
      <c r="P147" s="2"/>
      <c r="Q147" s="2"/>
      <c r="R147" s="2"/>
      <c r="S147" s="2"/>
      <c r="T147" s="2"/>
      <c r="U147" s="2"/>
      <c r="V147" s="2"/>
      <c r="W147" s="2"/>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row>
    <row r="148" spans="1:53" x14ac:dyDescent="0.25">
      <c r="A148" s="1"/>
      <c r="B148" s="1"/>
      <c r="C148" s="1"/>
      <c r="D148" s="1"/>
      <c r="E148" s="1"/>
      <c r="F148" s="1"/>
      <c r="G148" s="1"/>
      <c r="H148" s="1"/>
      <c r="I148" s="2"/>
      <c r="J148" s="2"/>
      <c r="K148" s="2"/>
      <c r="L148" s="2"/>
      <c r="M148" s="2"/>
      <c r="N148" s="2"/>
      <c r="O148" s="2"/>
      <c r="P148" s="2"/>
      <c r="Q148" s="2"/>
      <c r="R148" s="2"/>
      <c r="S148" s="2"/>
      <c r="T148" s="2"/>
      <c r="U148" s="2"/>
      <c r="V148" s="2"/>
      <c r="W148" s="2"/>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row>
    <row r="149" spans="1:53" x14ac:dyDescent="0.25">
      <c r="A149" s="1"/>
      <c r="B149" s="1"/>
      <c r="C149" s="1"/>
      <c r="D149" s="1"/>
      <c r="E149" s="1"/>
      <c r="F149" s="1"/>
      <c r="G149" s="1"/>
      <c r="H149" s="1"/>
      <c r="I149" s="2"/>
      <c r="J149" s="2"/>
      <c r="K149" s="2"/>
      <c r="L149" s="2"/>
      <c r="M149" s="2"/>
      <c r="N149" s="2"/>
      <c r="O149" s="2"/>
      <c r="P149" s="2"/>
      <c r="Q149" s="2"/>
      <c r="R149" s="2"/>
      <c r="S149" s="2"/>
      <c r="T149" s="2"/>
      <c r="U149" s="2"/>
      <c r="V149" s="2"/>
      <c r="W149" s="2"/>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row>
    <row r="150" spans="1:53" x14ac:dyDescent="0.25">
      <c r="A150" s="1"/>
      <c r="B150" s="1"/>
      <c r="C150" s="1"/>
      <c r="D150" s="1"/>
      <c r="E150" s="1"/>
      <c r="F150" s="1"/>
      <c r="G150" s="1"/>
      <c r="H150" s="1"/>
      <c r="I150" s="2"/>
      <c r="J150" s="2"/>
      <c r="K150" s="2"/>
      <c r="L150" s="2"/>
      <c r="M150" s="2"/>
      <c r="N150" s="2"/>
      <c r="O150" s="2"/>
      <c r="P150" s="2"/>
      <c r="Q150" s="2"/>
      <c r="R150" s="2"/>
      <c r="S150" s="2"/>
      <c r="T150" s="2"/>
      <c r="U150" s="2"/>
      <c r="V150" s="2"/>
      <c r="W150" s="2"/>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row>
    <row r="151" spans="1:53" x14ac:dyDescent="0.25">
      <c r="A151" s="1"/>
      <c r="B151" s="1"/>
      <c r="C151" s="1"/>
      <c r="D151" s="1"/>
      <c r="E151" s="1"/>
      <c r="F151" s="1"/>
      <c r="G151" s="1"/>
      <c r="H151" s="1"/>
      <c r="I151" s="2"/>
      <c r="J151" s="2"/>
      <c r="K151" s="2"/>
      <c r="L151" s="2"/>
      <c r="M151" s="2"/>
      <c r="N151" s="2"/>
      <c r="O151" s="2"/>
      <c r="P151" s="2"/>
      <c r="Q151" s="2"/>
      <c r="R151" s="2"/>
      <c r="S151" s="2"/>
      <c r="T151" s="2"/>
      <c r="U151" s="2"/>
      <c r="V151" s="2"/>
      <c r="W151" s="2"/>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row>
    <row r="152" spans="1:53" x14ac:dyDescent="0.25">
      <c r="A152" s="1"/>
      <c r="B152" s="1"/>
      <c r="C152" s="1"/>
      <c r="D152" s="1"/>
      <c r="E152" s="1"/>
      <c r="F152" s="1"/>
      <c r="G152" s="1"/>
      <c r="H152" s="1"/>
      <c r="I152" s="2"/>
      <c r="J152" s="2"/>
      <c r="K152" s="2"/>
      <c r="L152" s="2"/>
      <c r="M152" s="2"/>
      <c r="N152" s="2"/>
      <c r="O152" s="2"/>
      <c r="P152" s="2"/>
      <c r="Q152" s="2"/>
      <c r="R152" s="2"/>
      <c r="S152" s="2"/>
      <c r="T152" s="2"/>
      <c r="U152" s="2"/>
      <c r="V152" s="2"/>
      <c r="W152" s="2"/>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row>
    <row r="153" spans="1:53" x14ac:dyDescent="0.25">
      <c r="A153" s="1"/>
      <c r="B153" s="1"/>
      <c r="C153" s="1"/>
      <c r="D153" s="1"/>
      <c r="E153" s="1"/>
      <c r="F153" s="1"/>
      <c r="G153" s="1"/>
      <c r="H153" s="1"/>
      <c r="I153" s="2"/>
      <c r="J153" s="2"/>
      <c r="K153" s="2"/>
      <c r="L153" s="2"/>
      <c r="M153" s="2"/>
      <c r="N153" s="2"/>
      <c r="O153" s="2"/>
      <c r="P153" s="2"/>
      <c r="Q153" s="2"/>
      <c r="R153" s="2"/>
      <c r="S153" s="2"/>
      <c r="T153" s="2"/>
      <c r="U153" s="2"/>
      <c r="V153" s="2"/>
      <c r="W153" s="2"/>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row>
    <row r="154" spans="1:53" x14ac:dyDescent="0.25">
      <c r="A154" s="1"/>
      <c r="B154" s="1"/>
      <c r="C154" s="1"/>
      <c r="D154" s="1"/>
      <c r="E154" s="1"/>
      <c r="F154" s="1"/>
      <c r="G154" s="1"/>
      <c r="H154" s="1"/>
      <c r="I154" s="2"/>
      <c r="J154" s="2"/>
      <c r="K154" s="2"/>
      <c r="L154" s="2"/>
      <c r="M154" s="2"/>
      <c r="N154" s="2"/>
      <c r="O154" s="2"/>
      <c r="P154" s="2"/>
      <c r="Q154" s="2"/>
      <c r="R154" s="2"/>
      <c r="S154" s="2"/>
      <c r="T154" s="2"/>
      <c r="U154" s="2"/>
      <c r="V154" s="2"/>
      <c r="W154" s="2"/>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row>
    <row r="155" spans="1:53" x14ac:dyDescent="0.25">
      <c r="A155" s="1"/>
      <c r="B155" s="1"/>
      <c r="C155" s="1"/>
      <c r="D155" s="1"/>
      <c r="E155" s="1"/>
      <c r="F155" s="1"/>
      <c r="G155" s="1"/>
      <c r="H155" s="1"/>
      <c r="I155" s="2"/>
      <c r="J155" s="2"/>
      <c r="K155" s="2"/>
      <c r="L155" s="2"/>
      <c r="M155" s="2"/>
      <c r="N155" s="2"/>
      <c r="O155" s="2"/>
      <c r="P155" s="2"/>
      <c r="Q155" s="2"/>
      <c r="R155" s="2"/>
      <c r="S155" s="2"/>
      <c r="T155" s="2"/>
      <c r="U155" s="2"/>
      <c r="V155" s="2"/>
      <c r="W155" s="2"/>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row>
    <row r="156" spans="1:53" x14ac:dyDescent="0.25">
      <c r="A156" s="1"/>
      <c r="B156" s="1"/>
      <c r="C156" s="1"/>
      <c r="D156" s="1"/>
      <c r="E156" s="1"/>
      <c r="F156" s="1"/>
      <c r="G156" s="1"/>
      <c r="H156" s="1"/>
      <c r="I156" s="2"/>
      <c r="J156" s="2"/>
      <c r="K156" s="2"/>
      <c r="L156" s="2"/>
      <c r="M156" s="2"/>
      <c r="N156" s="2"/>
      <c r="O156" s="2"/>
      <c r="P156" s="2"/>
      <c r="Q156" s="2"/>
      <c r="R156" s="2"/>
      <c r="S156" s="2"/>
      <c r="T156" s="2"/>
      <c r="U156" s="2"/>
      <c r="V156" s="2"/>
      <c r="W156" s="2"/>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row>
    <row r="157" spans="1:53" x14ac:dyDescent="0.25">
      <c r="A157" s="1"/>
      <c r="B157" s="1"/>
      <c r="C157" s="1"/>
      <c r="D157" s="1"/>
      <c r="E157" s="1"/>
      <c r="F157" s="1"/>
      <c r="G157" s="1"/>
      <c r="H157" s="1"/>
      <c r="I157" s="2"/>
      <c r="J157" s="2"/>
      <c r="K157" s="2"/>
      <c r="L157" s="2"/>
      <c r="M157" s="2"/>
      <c r="N157" s="2"/>
      <c r="O157" s="2"/>
      <c r="P157" s="2"/>
      <c r="Q157" s="2"/>
      <c r="R157" s="2"/>
      <c r="S157" s="2"/>
      <c r="T157" s="2"/>
      <c r="U157" s="2"/>
      <c r="V157" s="2"/>
      <c r="W157" s="2"/>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row>
    <row r="158" spans="1:53" x14ac:dyDescent="0.25">
      <c r="A158" s="1"/>
      <c r="B158" s="1"/>
      <c r="C158" s="1"/>
      <c r="D158" s="1"/>
      <c r="E158" s="1"/>
      <c r="F158" s="1"/>
      <c r="G158" s="1"/>
      <c r="H158" s="1"/>
      <c r="I158" s="2"/>
      <c r="J158" s="2"/>
      <c r="K158" s="2"/>
      <c r="L158" s="2"/>
      <c r="M158" s="2"/>
      <c r="N158" s="2"/>
      <c r="O158" s="2"/>
      <c r="P158" s="2"/>
      <c r="Q158" s="2"/>
      <c r="R158" s="2"/>
      <c r="S158" s="2"/>
      <c r="T158" s="2"/>
      <c r="U158" s="2"/>
      <c r="V158" s="2"/>
      <c r="W158" s="2"/>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row>
    <row r="159" spans="1:53" x14ac:dyDescent="0.25">
      <c r="A159" s="1"/>
      <c r="B159" s="1"/>
      <c r="C159" s="1"/>
      <c r="D159" s="1"/>
      <c r="E159" s="1"/>
      <c r="F159" s="1"/>
      <c r="G159" s="1"/>
      <c r="H159" s="1"/>
      <c r="I159" s="2"/>
      <c r="J159" s="2"/>
      <c r="K159" s="2"/>
      <c r="L159" s="2"/>
      <c r="M159" s="2"/>
      <c r="N159" s="2"/>
      <c r="O159" s="2"/>
      <c r="P159" s="2"/>
      <c r="Q159" s="2"/>
      <c r="R159" s="2"/>
      <c r="S159" s="2"/>
      <c r="T159" s="2"/>
      <c r="U159" s="2"/>
      <c r="V159" s="2"/>
      <c r="W159" s="2"/>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row>
    <row r="160" spans="1:53" x14ac:dyDescent="0.25">
      <c r="A160" s="1"/>
      <c r="B160" s="1"/>
      <c r="C160" s="1"/>
      <c r="D160" s="1"/>
      <c r="E160" s="1"/>
      <c r="F160" s="1"/>
      <c r="G160" s="1"/>
      <c r="H160" s="1"/>
      <c r="I160" s="2"/>
      <c r="J160" s="2"/>
      <c r="K160" s="2"/>
      <c r="L160" s="2"/>
      <c r="M160" s="2"/>
      <c r="N160" s="2"/>
      <c r="O160" s="2"/>
      <c r="P160" s="2"/>
      <c r="Q160" s="2"/>
      <c r="R160" s="2"/>
      <c r="S160" s="2"/>
      <c r="T160" s="2"/>
      <c r="U160" s="2"/>
      <c r="V160" s="2"/>
      <c r="W160" s="2"/>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row>
    <row r="161" spans="1:53" x14ac:dyDescent="0.25">
      <c r="A161" s="1"/>
      <c r="B161" s="1"/>
      <c r="C161" s="1"/>
      <c r="D161" s="1"/>
      <c r="E161" s="1"/>
      <c r="F161" s="1"/>
      <c r="G161" s="1"/>
      <c r="H161" s="1"/>
      <c r="I161" s="2"/>
      <c r="J161" s="2"/>
      <c r="K161" s="2"/>
      <c r="L161" s="2"/>
      <c r="M161" s="2"/>
      <c r="N161" s="2"/>
      <c r="O161" s="2"/>
      <c r="P161" s="2"/>
      <c r="Q161" s="2"/>
      <c r="R161" s="2"/>
      <c r="S161" s="2"/>
      <c r="T161" s="2"/>
      <c r="U161" s="2"/>
      <c r="V161" s="2"/>
      <c r="W161" s="2"/>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row>
    <row r="162" spans="1:53" x14ac:dyDescent="0.25">
      <c r="A162" s="1"/>
      <c r="B162" s="1"/>
      <c r="C162" s="1"/>
      <c r="D162" s="1"/>
      <c r="E162" s="1"/>
      <c r="F162" s="1"/>
      <c r="G162" s="1"/>
      <c r="H162" s="1"/>
      <c r="I162" s="2"/>
      <c r="J162" s="2"/>
      <c r="K162" s="2"/>
      <c r="L162" s="2"/>
      <c r="M162" s="2"/>
      <c r="N162" s="2"/>
      <c r="O162" s="2"/>
      <c r="P162" s="2"/>
      <c r="Q162" s="2"/>
      <c r="R162" s="2"/>
      <c r="S162" s="2"/>
      <c r="T162" s="2"/>
      <c r="U162" s="2"/>
      <c r="V162" s="2"/>
      <c r="W162" s="2"/>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row>
    <row r="163" spans="1:53" x14ac:dyDescent="0.25">
      <c r="A163" s="1"/>
      <c r="B163" s="1"/>
      <c r="C163" s="1"/>
      <c r="D163" s="1"/>
      <c r="E163" s="1"/>
      <c r="F163" s="1"/>
      <c r="G163" s="1"/>
      <c r="H163" s="1"/>
      <c r="I163" s="2"/>
      <c r="J163" s="2"/>
      <c r="K163" s="2"/>
      <c r="L163" s="2"/>
      <c r="M163" s="2"/>
      <c r="N163" s="2"/>
      <c r="O163" s="2"/>
      <c r="P163" s="2"/>
      <c r="Q163" s="2"/>
      <c r="R163" s="2"/>
      <c r="S163" s="2"/>
      <c r="T163" s="2"/>
      <c r="U163" s="2"/>
      <c r="V163" s="2"/>
      <c r="W163" s="2"/>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row>
    <row r="164" spans="1:53" x14ac:dyDescent="0.25">
      <c r="A164" s="1"/>
      <c r="B164" s="1"/>
      <c r="C164" s="1"/>
      <c r="D164" s="1"/>
      <c r="E164" s="1"/>
      <c r="F164" s="1"/>
      <c r="G164" s="1"/>
      <c r="H164" s="1"/>
      <c r="I164" s="2"/>
      <c r="J164" s="2"/>
      <c r="K164" s="2"/>
      <c r="L164" s="2"/>
      <c r="M164" s="2"/>
      <c r="N164" s="2"/>
      <c r="O164" s="2"/>
      <c r="P164" s="2"/>
      <c r="Q164" s="2"/>
      <c r="R164" s="2"/>
      <c r="S164" s="2"/>
      <c r="T164" s="2"/>
      <c r="U164" s="2"/>
      <c r="V164" s="2"/>
      <c r="W164" s="2"/>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row>
    <row r="165" spans="1:53" x14ac:dyDescent="0.25">
      <c r="A165" s="1"/>
      <c r="B165" s="1"/>
      <c r="C165" s="1"/>
      <c r="D165" s="1"/>
      <c r="E165" s="1"/>
      <c r="F165" s="1"/>
      <c r="G165" s="1"/>
      <c r="H165" s="1"/>
      <c r="I165" s="2"/>
      <c r="J165" s="2"/>
      <c r="K165" s="2"/>
      <c r="L165" s="2"/>
      <c r="M165" s="2"/>
      <c r="N165" s="2"/>
      <c r="O165" s="2"/>
      <c r="P165" s="2"/>
      <c r="Q165" s="2"/>
      <c r="R165" s="2"/>
      <c r="S165" s="2"/>
      <c r="T165" s="2"/>
      <c r="U165" s="2"/>
      <c r="V165" s="2"/>
      <c r="W165" s="2"/>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row>
    <row r="166" spans="1:53" x14ac:dyDescent="0.25">
      <c r="A166" s="1"/>
      <c r="B166" s="1"/>
      <c r="C166" s="1"/>
      <c r="D166" s="1"/>
      <c r="E166" s="1"/>
      <c r="F166" s="1"/>
      <c r="G166" s="1"/>
      <c r="H166" s="1"/>
      <c r="I166" s="2"/>
      <c r="J166" s="2"/>
      <c r="K166" s="2"/>
      <c r="L166" s="2"/>
      <c r="M166" s="2"/>
      <c r="N166" s="2"/>
      <c r="O166" s="2"/>
      <c r="P166" s="2"/>
      <c r="Q166" s="2"/>
      <c r="R166" s="2"/>
      <c r="S166" s="2"/>
      <c r="T166" s="2"/>
      <c r="U166" s="2"/>
      <c r="V166" s="2"/>
      <c r="W166" s="2"/>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row>
    <row r="167" spans="1:53" x14ac:dyDescent="0.25">
      <c r="A167" s="1"/>
      <c r="B167" s="1"/>
      <c r="C167" s="1"/>
      <c r="D167" s="1"/>
      <c r="E167" s="1"/>
      <c r="F167" s="1"/>
      <c r="G167" s="1"/>
      <c r="H167" s="1"/>
      <c r="I167" s="2"/>
      <c r="J167" s="2"/>
      <c r="K167" s="2"/>
      <c r="L167" s="2"/>
      <c r="M167" s="2"/>
      <c r="N167" s="2"/>
      <c r="O167" s="2"/>
      <c r="P167" s="2"/>
      <c r="Q167" s="2"/>
      <c r="R167" s="2"/>
      <c r="S167" s="2"/>
      <c r="T167" s="2"/>
      <c r="U167" s="2"/>
      <c r="V167" s="2"/>
      <c r="W167" s="2"/>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row>
    <row r="168" spans="1:53" x14ac:dyDescent="0.25">
      <c r="A168" s="1"/>
      <c r="B168" s="1"/>
      <c r="C168" s="1"/>
      <c r="D168" s="1"/>
      <c r="E168" s="1"/>
      <c r="F168" s="1"/>
      <c r="G168" s="1"/>
      <c r="H168" s="1"/>
      <c r="I168" s="2"/>
      <c r="J168" s="2"/>
      <c r="K168" s="2"/>
      <c r="L168" s="2"/>
      <c r="M168" s="2"/>
      <c r="N168" s="2"/>
      <c r="O168" s="2"/>
      <c r="P168" s="2"/>
      <c r="Q168" s="2"/>
      <c r="R168" s="2"/>
      <c r="S168" s="2"/>
      <c r="T168" s="2"/>
      <c r="U168" s="2"/>
      <c r="V168" s="2"/>
      <c r="W168" s="2"/>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row>
    <row r="169" spans="1:53" x14ac:dyDescent="0.25">
      <c r="A169" s="1"/>
      <c r="B169" s="1"/>
      <c r="C169" s="1"/>
      <c r="D169" s="1"/>
      <c r="E169" s="1"/>
      <c r="F169" s="1"/>
      <c r="G169" s="1"/>
      <c r="H169" s="1"/>
      <c r="I169" s="2"/>
      <c r="J169" s="2"/>
      <c r="K169" s="2"/>
      <c r="L169" s="2"/>
      <c r="M169" s="2"/>
      <c r="N169" s="2"/>
      <c r="O169" s="2"/>
      <c r="P169" s="2"/>
      <c r="Q169" s="2"/>
      <c r="R169" s="2"/>
      <c r="S169" s="2"/>
      <c r="T169" s="2"/>
      <c r="U169" s="2"/>
      <c r="V169" s="2"/>
      <c r="W169" s="2"/>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row>
    <row r="170" spans="1:53" x14ac:dyDescent="0.25">
      <c r="A170" s="1"/>
      <c r="B170" s="1"/>
      <c r="C170" s="1"/>
      <c r="D170" s="1"/>
      <c r="E170" s="1"/>
      <c r="F170" s="1"/>
      <c r="G170" s="1"/>
      <c r="H170" s="1"/>
      <c r="I170" s="2"/>
      <c r="J170" s="2"/>
      <c r="K170" s="2"/>
      <c r="L170" s="2"/>
      <c r="M170" s="2"/>
      <c r="N170" s="2"/>
      <c r="O170" s="2"/>
      <c r="P170" s="2"/>
      <c r="Q170" s="2"/>
      <c r="R170" s="2"/>
      <c r="S170" s="2"/>
      <c r="T170" s="2"/>
      <c r="U170" s="2"/>
      <c r="V170" s="2"/>
      <c r="W170" s="2"/>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row>
    <row r="171" spans="1:53" x14ac:dyDescent="0.25">
      <c r="A171" s="1"/>
      <c r="B171" s="1"/>
      <c r="C171" s="1"/>
      <c r="D171" s="1"/>
      <c r="E171" s="1"/>
      <c r="F171" s="1"/>
      <c r="G171" s="1"/>
      <c r="H171" s="1"/>
      <c r="I171" s="2"/>
      <c r="J171" s="2"/>
      <c r="K171" s="2"/>
      <c r="L171" s="2"/>
      <c r="M171" s="2"/>
      <c r="N171" s="2"/>
      <c r="O171" s="2"/>
      <c r="P171" s="2"/>
      <c r="Q171" s="2"/>
      <c r="R171" s="2"/>
      <c r="S171" s="2"/>
      <c r="T171" s="2"/>
      <c r="U171" s="2"/>
      <c r="V171" s="2"/>
      <c r="W171" s="2"/>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row>
    <row r="172" spans="1:53" x14ac:dyDescent="0.25">
      <c r="A172" s="1"/>
      <c r="B172" s="1"/>
      <c r="C172" s="1"/>
      <c r="D172" s="1"/>
      <c r="E172" s="1"/>
      <c r="F172" s="1"/>
      <c r="G172" s="1"/>
      <c r="H172" s="1"/>
      <c r="I172" s="2"/>
      <c r="J172" s="2"/>
      <c r="K172" s="2"/>
      <c r="L172" s="2"/>
      <c r="M172" s="2"/>
      <c r="N172" s="2"/>
      <c r="O172" s="2"/>
      <c r="P172" s="2"/>
      <c r="Q172" s="2"/>
      <c r="R172" s="2"/>
      <c r="S172" s="2"/>
      <c r="T172" s="2"/>
      <c r="U172" s="2"/>
      <c r="V172" s="2"/>
      <c r="W172" s="2"/>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row>
    <row r="173" spans="1:53" x14ac:dyDescent="0.25">
      <c r="A173" s="1"/>
      <c r="B173" s="1"/>
      <c r="C173" s="1"/>
      <c r="D173" s="1"/>
      <c r="E173" s="1"/>
      <c r="F173" s="1"/>
      <c r="G173" s="1"/>
      <c r="H173" s="1"/>
      <c r="I173" s="2"/>
      <c r="J173" s="2"/>
      <c r="K173" s="2"/>
      <c r="L173" s="2"/>
      <c r="M173" s="2"/>
      <c r="N173" s="2"/>
      <c r="O173" s="2"/>
      <c r="P173" s="2"/>
      <c r="Q173" s="2"/>
      <c r="R173" s="2"/>
      <c r="S173" s="2"/>
      <c r="T173" s="2"/>
      <c r="U173" s="2"/>
      <c r="V173" s="2"/>
      <c r="W173" s="2"/>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row>
    <row r="174" spans="1:53" x14ac:dyDescent="0.25">
      <c r="A174" s="1"/>
      <c r="B174" s="1"/>
      <c r="C174" s="1"/>
      <c r="D174" s="1"/>
      <c r="E174" s="1"/>
      <c r="F174" s="1"/>
      <c r="G174" s="1"/>
      <c r="H174" s="1"/>
      <c r="I174" s="2"/>
      <c r="J174" s="2"/>
      <c r="K174" s="2"/>
      <c r="L174" s="2"/>
      <c r="M174" s="2"/>
      <c r="N174" s="2"/>
      <c r="O174" s="2"/>
      <c r="P174" s="2"/>
      <c r="Q174" s="2"/>
      <c r="R174" s="2"/>
      <c r="S174" s="2"/>
      <c r="T174" s="2"/>
      <c r="U174" s="2"/>
      <c r="V174" s="2"/>
      <c r="W174" s="2"/>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row>
    <row r="175" spans="1:53" x14ac:dyDescent="0.25">
      <c r="A175" s="1"/>
      <c r="B175" s="1"/>
      <c r="C175" s="1"/>
      <c r="D175" s="1"/>
      <c r="E175" s="1"/>
      <c r="F175" s="1"/>
      <c r="G175" s="1"/>
      <c r="H175" s="1"/>
      <c r="I175" s="2"/>
      <c r="J175" s="2"/>
      <c r="K175" s="2"/>
      <c r="L175" s="2"/>
      <c r="M175" s="2"/>
      <c r="N175" s="2"/>
      <c r="O175" s="2"/>
      <c r="P175" s="2"/>
      <c r="Q175" s="2"/>
      <c r="R175" s="2"/>
      <c r="S175" s="2"/>
      <c r="T175" s="2"/>
      <c r="U175" s="2"/>
      <c r="V175" s="2"/>
      <c r="W175" s="2"/>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row>
    <row r="176" spans="1:53" x14ac:dyDescent="0.25">
      <c r="A176" s="1"/>
      <c r="B176" s="1"/>
      <c r="C176" s="1"/>
      <c r="D176" s="1"/>
      <c r="E176" s="1"/>
      <c r="F176" s="1"/>
      <c r="G176" s="1"/>
      <c r="H176" s="1"/>
      <c r="I176" s="2"/>
      <c r="J176" s="2"/>
      <c r="K176" s="2"/>
      <c r="L176" s="2"/>
      <c r="M176" s="2"/>
      <c r="N176" s="2"/>
      <c r="O176" s="2"/>
      <c r="P176" s="2"/>
      <c r="Q176" s="2"/>
      <c r="R176" s="2"/>
      <c r="S176" s="2"/>
      <c r="T176" s="2"/>
      <c r="U176" s="2"/>
      <c r="V176" s="2"/>
      <c r="W176" s="2"/>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row>
    <row r="177" spans="1:53" x14ac:dyDescent="0.25">
      <c r="A177" s="1"/>
      <c r="B177" s="1"/>
      <c r="C177" s="1"/>
      <c r="D177" s="1"/>
      <c r="E177" s="1"/>
      <c r="F177" s="1"/>
      <c r="G177" s="1"/>
      <c r="H177" s="1"/>
      <c r="I177" s="2"/>
      <c r="J177" s="2"/>
      <c r="K177" s="2"/>
      <c r="L177" s="2"/>
      <c r="M177" s="2"/>
      <c r="N177" s="2"/>
      <c r="O177" s="2"/>
      <c r="P177" s="2"/>
      <c r="Q177" s="2"/>
      <c r="R177" s="2"/>
      <c r="S177" s="2"/>
      <c r="T177" s="2"/>
      <c r="U177" s="2"/>
      <c r="V177" s="2"/>
      <c r="W177" s="2"/>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row>
    <row r="178" spans="1:53" x14ac:dyDescent="0.25">
      <c r="A178" s="1"/>
      <c r="B178" s="1"/>
      <c r="C178" s="1"/>
      <c r="D178" s="1"/>
      <c r="E178" s="1"/>
      <c r="F178" s="1"/>
      <c r="G178" s="1"/>
      <c r="H178" s="1"/>
      <c r="I178" s="2"/>
      <c r="J178" s="2"/>
      <c r="K178" s="2"/>
      <c r="L178" s="2"/>
      <c r="M178" s="2"/>
      <c r="N178" s="2"/>
      <c r="O178" s="2"/>
      <c r="P178" s="2"/>
      <c r="Q178" s="2"/>
      <c r="R178" s="2"/>
      <c r="S178" s="2"/>
      <c r="T178" s="2"/>
      <c r="U178" s="2"/>
      <c r="V178" s="2"/>
      <c r="W178" s="2"/>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row>
    <row r="179" spans="1:53" x14ac:dyDescent="0.25">
      <c r="A179" s="1"/>
      <c r="B179" s="1"/>
      <c r="C179" s="1"/>
      <c r="D179" s="1"/>
      <c r="E179" s="1"/>
      <c r="F179" s="1"/>
      <c r="G179" s="1"/>
      <c r="H179" s="1"/>
      <c r="I179" s="2"/>
      <c r="J179" s="2"/>
      <c r="K179" s="2"/>
      <c r="L179" s="2"/>
      <c r="M179" s="2"/>
      <c r="N179" s="2"/>
      <c r="O179" s="2"/>
      <c r="P179" s="2"/>
      <c r="Q179" s="2"/>
      <c r="R179" s="2"/>
      <c r="S179" s="2"/>
      <c r="T179" s="2"/>
      <c r="U179" s="2"/>
      <c r="V179" s="2"/>
      <c r="W179" s="2"/>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row>
    <row r="180" spans="1:53" x14ac:dyDescent="0.25">
      <c r="A180" s="1"/>
      <c r="B180" s="1"/>
      <c r="C180" s="1"/>
      <c r="D180" s="1"/>
      <c r="E180" s="1"/>
      <c r="F180" s="1"/>
      <c r="G180" s="1"/>
      <c r="H180" s="1"/>
      <c r="I180" s="2"/>
      <c r="J180" s="2"/>
      <c r="K180" s="2"/>
      <c r="L180" s="2"/>
      <c r="M180" s="2"/>
      <c r="N180" s="2"/>
      <c r="O180" s="2"/>
      <c r="P180" s="2"/>
      <c r="Q180" s="2"/>
      <c r="R180" s="2"/>
      <c r="S180" s="2"/>
      <c r="T180" s="2"/>
      <c r="U180" s="2"/>
      <c r="V180" s="2"/>
      <c r="W180" s="2"/>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row>
    <row r="181" spans="1:53" x14ac:dyDescent="0.25">
      <c r="A181" s="1"/>
      <c r="B181" s="1"/>
      <c r="C181" s="1"/>
      <c r="D181" s="1"/>
      <c r="E181" s="1"/>
      <c r="F181" s="1"/>
      <c r="G181" s="1"/>
      <c r="H181" s="1"/>
      <c r="I181" s="2"/>
      <c r="J181" s="2"/>
      <c r="K181" s="2"/>
      <c r="L181" s="2"/>
      <c r="M181" s="2"/>
      <c r="N181" s="2"/>
      <c r="O181" s="2"/>
      <c r="P181" s="2"/>
      <c r="Q181" s="2"/>
      <c r="R181" s="2"/>
      <c r="S181" s="2"/>
      <c r="T181" s="2"/>
      <c r="U181" s="2"/>
      <c r="V181" s="2"/>
      <c r="W181" s="2"/>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row>
    <row r="182" spans="1:53" x14ac:dyDescent="0.25">
      <c r="A182" s="1"/>
      <c r="B182" s="1"/>
      <c r="C182" s="1"/>
      <c r="D182" s="1"/>
      <c r="E182" s="1"/>
      <c r="F182" s="1"/>
      <c r="G182" s="1"/>
      <c r="H182" s="1"/>
      <c r="I182" s="2"/>
      <c r="J182" s="2"/>
      <c r="K182" s="2"/>
      <c r="L182" s="2"/>
      <c r="M182" s="2"/>
      <c r="N182" s="2"/>
      <c r="O182" s="2"/>
      <c r="P182" s="2"/>
      <c r="Q182" s="2"/>
      <c r="R182" s="2"/>
      <c r="S182" s="2"/>
      <c r="T182" s="2"/>
      <c r="U182" s="2"/>
      <c r="V182" s="2"/>
      <c r="W182" s="2"/>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row>
    <row r="183" spans="1:53" x14ac:dyDescent="0.25">
      <c r="A183" s="1"/>
      <c r="B183" s="1"/>
      <c r="C183" s="1"/>
      <c r="D183" s="1"/>
      <c r="E183" s="1"/>
      <c r="F183" s="1"/>
      <c r="G183" s="1"/>
      <c r="H183" s="1"/>
      <c r="I183" s="2"/>
      <c r="J183" s="2"/>
      <c r="K183" s="2"/>
      <c r="L183" s="2"/>
      <c r="M183" s="2"/>
      <c r="N183" s="2"/>
      <c r="O183" s="2"/>
      <c r="P183" s="2"/>
      <c r="Q183" s="2"/>
      <c r="R183" s="2"/>
      <c r="S183" s="2"/>
      <c r="T183" s="2"/>
      <c r="U183" s="2"/>
      <c r="V183" s="2"/>
      <c r="W183" s="2"/>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row>
    <row r="184" spans="1:53" x14ac:dyDescent="0.25">
      <c r="A184" s="1"/>
      <c r="B184" s="1"/>
      <c r="C184" s="1"/>
      <c r="D184" s="1"/>
      <c r="E184" s="1"/>
      <c r="F184" s="1"/>
      <c r="G184" s="1"/>
      <c r="H184" s="1"/>
      <c r="I184" s="2"/>
      <c r="J184" s="2"/>
      <c r="K184" s="2"/>
      <c r="L184" s="2"/>
      <c r="M184" s="2"/>
      <c r="N184" s="2"/>
      <c r="O184" s="2"/>
      <c r="P184" s="2"/>
      <c r="Q184" s="2"/>
      <c r="R184" s="2"/>
      <c r="S184" s="2"/>
      <c r="T184" s="2"/>
      <c r="U184" s="2"/>
      <c r="V184" s="2"/>
      <c r="W184" s="2"/>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row>
    <row r="185" spans="1:53" x14ac:dyDescent="0.25">
      <c r="A185" s="1"/>
      <c r="B185" s="1"/>
      <c r="C185" s="1"/>
      <c r="D185" s="1"/>
      <c r="E185" s="1"/>
      <c r="F185" s="1"/>
      <c r="G185" s="1"/>
      <c r="H185" s="1"/>
      <c r="I185" s="2"/>
      <c r="J185" s="2"/>
      <c r="K185" s="2"/>
      <c r="L185" s="2"/>
      <c r="M185" s="2"/>
      <c r="N185" s="2"/>
      <c r="O185" s="2"/>
      <c r="P185" s="2"/>
      <c r="Q185" s="2"/>
      <c r="R185" s="2"/>
      <c r="S185" s="2"/>
      <c r="T185" s="2"/>
      <c r="U185" s="2"/>
      <c r="V185" s="2"/>
      <c r="W185" s="2"/>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row>
    <row r="186" spans="1:53" x14ac:dyDescent="0.25">
      <c r="A186" s="1"/>
      <c r="B186" s="1"/>
      <c r="C186" s="1"/>
      <c r="D186" s="1"/>
      <c r="E186" s="1"/>
      <c r="F186" s="1"/>
      <c r="G186" s="1"/>
      <c r="H186" s="1"/>
      <c r="I186" s="2"/>
      <c r="J186" s="2"/>
      <c r="K186" s="2"/>
      <c r="L186" s="2"/>
      <c r="M186" s="2"/>
      <c r="N186" s="2"/>
      <c r="O186" s="2"/>
      <c r="P186" s="2"/>
      <c r="Q186" s="2"/>
      <c r="R186" s="2"/>
      <c r="S186" s="2"/>
      <c r="T186" s="2"/>
      <c r="U186" s="2"/>
      <c r="V186" s="2"/>
      <c r="W186" s="2"/>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row>
    <row r="187" spans="1:53" x14ac:dyDescent="0.25">
      <c r="A187" s="1"/>
      <c r="B187" s="1"/>
      <c r="C187" s="1"/>
      <c r="D187" s="1"/>
      <c r="E187" s="1"/>
      <c r="F187" s="1"/>
      <c r="G187" s="1"/>
      <c r="H187" s="1"/>
      <c r="I187" s="2"/>
      <c r="J187" s="2"/>
      <c r="K187" s="2"/>
      <c r="L187" s="2"/>
      <c r="M187" s="2"/>
      <c r="N187" s="2"/>
      <c r="O187" s="2"/>
      <c r="P187" s="2"/>
      <c r="Q187" s="2"/>
      <c r="R187" s="2"/>
      <c r="S187" s="2"/>
      <c r="T187" s="2"/>
      <c r="U187" s="2"/>
      <c r="V187" s="2"/>
      <c r="W187" s="2"/>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row>
    <row r="188" spans="1:53" x14ac:dyDescent="0.25">
      <c r="A188" s="1"/>
      <c r="B188" s="1"/>
      <c r="C188" s="1"/>
      <c r="D188" s="1"/>
      <c r="E188" s="1"/>
      <c r="F188" s="1"/>
      <c r="G188" s="1"/>
      <c r="H188" s="1"/>
      <c r="I188" s="2"/>
      <c r="J188" s="2"/>
      <c r="K188" s="2"/>
      <c r="L188" s="2"/>
      <c r="M188" s="2"/>
      <c r="N188" s="2"/>
      <c r="O188" s="2"/>
      <c r="P188" s="2"/>
      <c r="Q188" s="2"/>
      <c r="R188" s="2"/>
      <c r="S188" s="2"/>
      <c r="T188" s="2"/>
      <c r="U188" s="2"/>
      <c r="V188" s="2"/>
      <c r="W188" s="2"/>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row>
    <row r="189" spans="1:53" x14ac:dyDescent="0.25">
      <c r="A189" s="1"/>
      <c r="B189" s="1"/>
      <c r="C189" s="1"/>
      <c r="D189" s="1"/>
      <c r="E189" s="1"/>
      <c r="F189" s="1"/>
      <c r="G189" s="1"/>
      <c r="H189" s="1"/>
      <c r="I189" s="2"/>
      <c r="J189" s="2"/>
      <c r="K189" s="2"/>
      <c r="L189" s="2"/>
      <c r="M189" s="2"/>
      <c r="N189" s="2"/>
      <c r="O189" s="2"/>
      <c r="P189" s="2"/>
      <c r="Q189" s="2"/>
      <c r="R189" s="2"/>
      <c r="S189" s="2"/>
      <c r="T189" s="2"/>
      <c r="U189" s="2"/>
      <c r="V189" s="2"/>
      <c r="W189" s="2"/>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row>
    <row r="190" spans="1:53" x14ac:dyDescent="0.25">
      <c r="A190" s="1"/>
      <c r="B190" s="1"/>
      <c r="C190" s="1"/>
      <c r="D190" s="1"/>
      <c r="E190" s="1"/>
      <c r="F190" s="1"/>
      <c r="G190" s="1"/>
      <c r="H190" s="1"/>
      <c r="I190" s="2"/>
      <c r="J190" s="2"/>
      <c r="K190" s="2"/>
      <c r="L190" s="2"/>
      <c r="M190" s="2"/>
      <c r="N190" s="2"/>
      <c r="O190" s="2"/>
      <c r="P190" s="2"/>
      <c r="Q190" s="2"/>
      <c r="R190" s="2"/>
      <c r="S190" s="2"/>
      <c r="T190" s="2"/>
      <c r="U190" s="2"/>
      <c r="V190" s="2"/>
      <c r="W190" s="2"/>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row>
    <row r="191" spans="1:53" x14ac:dyDescent="0.25">
      <c r="A191" s="1"/>
      <c r="B191" s="1"/>
      <c r="C191" s="1"/>
      <c r="D191" s="1"/>
      <c r="E191" s="1"/>
      <c r="F191" s="1"/>
      <c r="G191" s="1"/>
      <c r="H191" s="1"/>
      <c r="I191" s="2"/>
      <c r="J191" s="2"/>
      <c r="K191" s="2"/>
      <c r="L191" s="2"/>
      <c r="M191" s="2"/>
      <c r="N191" s="2"/>
      <c r="O191" s="2"/>
      <c r="P191" s="2"/>
      <c r="Q191" s="2"/>
      <c r="R191" s="2"/>
      <c r="S191" s="2"/>
      <c r="T191" s="2"/>
      <c r="U191" s="2"/>
      <c r="V191" s="2"/>
      <c r="W191" s="2"/>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row>
    <row r="192" spans="1:53" x14ac:dyDescent="0.25">
      <c r="A192" s="1"/>
      <c r="B192" s="1"/>
      <c r="C192" s="1"/>
      <c r="D192" s="1"/>
      <c r="E192" s="1"/>
      <c r="F192" s="1"/>
      <c r="G192" s="1"/>
      <c r="H192" s="1"/>
      <c r="I192" s="2"/>
      <c r="J192" s="2"/>
      <c r="K192" s="2"/>
      <c r="L192" s="2"/>
      <c r="M192" s="2"/>
      <c r="N192" s="2"/>
      <c r="O192" s="2"/>
      <c r="P192" s="2"/>
      <c r="Q192" s="2"/>
      <c r="R192" s="2"/>
      <c r="S192" s="2"/>
      <c r="T192" s="2"/>
      <c r="U192" s="2"/>
      <c r="V192" s="2"/>
      <c r="W192" s="2"/>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row>
    <row r="193" spans="1:53" x14ac:dyDescent="0.25">
      <c r="A193" s="1"/>
      <c r="B193" s="1"/>
      <c r="C193" s="1"/>
      <c r="D193" s="1"/>
      <c r="E193" s="1"/>
      <c r="F193" s="1"/>
      <c r="G193" s="1"/>
      <c r="H193" s="1"/>
      <c r="I193" s="2"/>
      <c r="J193" s="2"/>
      <c r="K193" s="2"/>
      <c r="L193" s="2"/>
      <c r="M193" s="2"/>
      <c r="N193" s="2"/>
      <c r="O193" s="2"/>
      <c r="P193" s="2"/>
      <c r="Q193" s="2"/>
      <c r="R193" s="2"/>
      <c r="S193" s="2"/>
      <c r="T193" s="2"/>
      <c r="U193" s="2"/>
      <c r="V193" s="2"/>
      <c r="W193" s="2"/>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row>
    <row r="194" spans="1:53" x14ac:dyDescent="0.25">
      <c r="A194" s="1"/>
      <c r="B194" s="1"/>
      <c r="C194" s="1"/>
      <c r="D194" s="1"/>
      <c r="E194" s="1"/>
      <c r="F194" s="1"/>
      <c r="G194" s="1"/>
      <c r="H194" s="1"/>
      <c r="I194" s="2"/>
      <c r="J194" s="2"/>
      <c r="K194" s="2"/>
      <c r="L194" s="2"/>
      <c r="M194" s="2"/>
      <c r="N194" s="2"/>
      <c r="O194" s="2"/>
      <c r="P194" s="2"/>
      <c r="Q194" s="2"/>
      <c r="R194" s="2"/>
      <c r="S194" s="2"/>
      <c r="T194" s="2"/>
      <c r="U194" s="2"/>
      <c r="V194" s="2"/>
      <c r="W194" s="2"/>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row>
    <row r="195" spans="1:53" x14ac:dyDescent="0.25">
      <c r="A195" s="1"/>
      <c r="B195" s="1"/>
      <c r="C195" s="1"/>
      <c r="D195" s="1"/>
      <c r="E195" s="1"/>
      <c r="F195" s="1"/>
      <c r="G195" s="1"/>
      <c r="H195" s="1"/>
      <c r="I195" s="2"/>
      <c r="J195" s="2"/>
      <c r="K195" s="2"/>
      <c r="L195" s="2"/>
      <c r="M195" s="2"/>
      <c r="N195" s="2"/>
      <c r="O195" s="2"/>
      <c r="P195" s="2"/>
      <c r="Q195" s="2"/>
      <c r="R195" s="2"/>
      <c r="S195" s="2"/>
      <c r="T195" s="2"/>
      <c r="U195" s="2"/>
      <c r="V195" s="2"/>
      <c r="W195" s="2"/>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row>
    <row r="196" spans="1:53" x14ac:dyDescent="0.25">
      <c r="A196" s="1"/>
      <c r="B196" s="1"/>
      <c r="C196" s="1"/>
      <c r="D196" s="1"/>
      <c r="E196" s="1"/>
      <c r="F196" s="1"/>
      <c r="G196" s="1"/>
      <c r="H196" s="1"/>
      <c r="I196" s="2"/>
      <c r="J196" s="2"/>
      <c r="K196" s="2"/>
      <c r="L196" s="2"/>
      <c r="M196" s="2"/>
      <c r="N196" s="2"/>
      <c r="O196" s="2"/>
      <c r="P196" s="2"/>
      <c r="Q196" s="2"/>
      <c r="R196" s="2"/>
      <c r="S196" s="2"/>
      <c r="T196" s="2"/>
      <c r="U196" s="2"/>
      <c r="V196" s="2"/>
      <c r="W196" s="2"/>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row>
    <row r="197" spans="1:53" x14ac:dyDescent="0.25">
      <c r="A197" s="1"/>
      <c r="B197" s="1"/>
      <c r="C197" s="1"/>
      <c r="D197" s="1"/>
      <c r="E197" s="1"/>
      <c r="F197" s="1"/>
      <c r="G197" s="1"/>
      <c r="H197" s="1"/>
      <c r="I197" s="2"/>
      <c r="J197" s="2"/>
      <c r="K197" s="2"/>
      <c r="L197" s="2"/>
      <c r="M197" s="2"/>
      <c r="N197" s="2"/>
      <c r="O197" s="2"/>
      <c r="P197" s="2"/>
      <c r="Q197" s="2"/>
      <c r="R197" s="2"/>
      <c r="S197" s="2"/>
      <c r="T197" s="2"/>
      <c r="U197" s="2"/>
      <c r="V197" s="2"/>
      <c r="W197" s="2"/>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row>
    <row r="198" spans="1:53" x14ac:dyDescent="0.25">
      <c r="A198" s="1"/>
      <c r="B198" s="1"/>
      <c r="C198" s="1"/>
      <c r="D198" s="1"/>
      <c r="E198" s="1"/>
      <c r="F198" s="1"/>
      <c r="G198" s="1"/>
      <c r="H198" s="1"/>
      <c r="I198" s="2"/>
      <c r="J198" s="2"/>
      <c r="K198" s="2"/>
      <c r="L198" s="2"/>
      <c r="M198" s="2"/>
      <c r="N198" s="2"/>
      <c r="O198" s="2"/>
      <c r="P198" s="2"/>
      <c r="Q198" s="2"/>
      <c r="R198" s="2"/>
      <c r="S198" s="2"/>
      <c r="T198" s="2"/>
      <c r="U198" s="2"/>
      <c r="V198" s="2"/>
      <c r="W198" s="2"/>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row>
    <row r="199" spans="1:53" x14ac:dyDescent="0.25">
      <c r="A199" s="1"/>
      <c r="B199" s="1"/>
      <c r="C199" s="1"/>
      <c r="D199" s="1"/>
      <c r="E199" s="1"/>
      <c r="F199" s="1"/>
      <c r="G199" s="1"/>
      <c r="H199" s="1"/>
      <c r="I199" s="2"/>
      <c r="J199" s="2"/>
      <c r="K199" s="2"/>
      <c r="L199" s="2"/>
      <c r="M199" s="2"/>
      <c r="N199" s="2"/>
      <c r="O199" s="2"/>
      <c r="P199" s="2"/>
      <c r="Q199" s="2"/>
      <c r="R199" s="2"/>
      <c r="S199" s="2"/>
      <c r="T199" s="2"/>
      <c r="U199" s="2"/>
      <c r="V199" s="2"/>
      <c r="W199" s="2"/>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row>
    <row r="200" spans="1:53" x14ac:dyDescent="0.25">
      <c r="A200" s="1"/>
      <c r="B200" s="1"/>
      <c r="C200" s="1"/>
      <c r="D200" s="1"/>
      <c r="E200" s="1"/>
      <c r="F200" s="1"/>
      <c r="G200" s="1"/>
      <c r="H200" s="1"/>
      <c r="I200" s="2"/>
      <c r="J200" s="2"/>
      <c r="K200" s="2"/>
      <c r="L200" s="2"/>
      <c r="M200" s="2"/>
      <c r="N200" s="2"/>
      <c r="O200" s="2"/>
      <c r="P200" s="2"/>
      <c r="Q200" s="2"/>
      <c r="R200" s="2"/>
      <c r="S200" s="2"/>
      <c r="T200" s="2"/>
      <c r="U200" s="2"/>
      <c r="V200" s="2"/>
      <c r="W200" s="2"/>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row>
    <row r="201" spans="1:53" x14ac:dyDescent="0.25">
      <c r="A201" s="1"/>
      <c r="B201" s="1"/>
      <c r="C201" s="1"/>
      <c r="D201" s="1"/>
      <c r="E201" s="1"/>
      <c r="F201" s="1"/>
      <c r="G201" s="1"/>
      <c r="H201" s="1"/>
      <c r="I201" s="2"/>
      <c r="J201" s="2"/>
      <c r="K201" s="2"/>
      <c r="L201" s="2"/>
      <c r="M201" s="2"/>
      <c r="N201" s="2"/>
      <c r="O201" s="2"/>
      <c r="P201" s="2"/>
      <c r="Q201" s="2"/>
      <c r="R201" s="2"/>
      <c r="S201" s="2"/>
      <c r="T201" s="2"/>
      <c r="U201" s="2"/>
      <c r="V201" s="2"/>
      <c r="W201" s="2"/>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row>
    <row r="202" spans="1:53" x14ac:dyDescent="0.25">
      <c r="A202" s="1"/>
      <c r="B202" s="1"/>
      <c r="C202" s="1"/>
      <c r="D202" s="1"/>
      <c r="E202" s="1"/>
      <c r="F202" s="1"/>
      <c r="G202" s="1"/>
      <c r="H202" s="1"/>
      <c r="I202" s="2"/>
      <c r="J202" s="2"/>
      <c r="K202" s="2"/>
      <c r="L202" s="2"/>
      <c r="M202" s="2"/>
      <c r="N202" s="2"/>
      <c r="O202" s="2"/>
      <c r="P202" s="2"/>
      <c r="Q202" s="2"/>
      <c r="R202" s="2"/>
      <c r="S202" s="2"/>
      <c r="T202" s="2"/>
      <c r="U202" s="2"/>
      <c r="V202" s="2"/>
      <c r="W202" s="2"/>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row>
    <row r="203" spans="1:53" x14ac:dyDescent="0.25">
      <c r="A203" s="1"/>
      <c r="B203" s="1"/>
      <c r="C203" s="1"/>
      <c r="D203" s="1"/>
      <c r="E203" s="1"/>
      <c r="F203" s="1"/>
      <c r="G203" s="1"/>
      <c r="H203" s="1"/>
      <c r="I203" s="2"/>
      <c r="J203" s="2"/>
      <c r="K203" s="2"/>
      <c r="L203" s="2"/>
      <c r="M203" s="2"/>
      <c r="N203" s="2"/>
      <c r="O203" s="2"/>
      <c r="P203" s="2"/>
      <c r="Q203" s="2"/>
      <c r="R203" s="2"/>
      <c r="S203" s="2"/>
      <c r="T203" s="2"/>
      <c r="U203" s="2"/>
      <c r="V203" s="2"/>
      <c r="W203" s="2"/>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row>
    <row r="204" spans="1:53" x14ac:dyDescent="0.25">
      <c r="A204" s="1"/>
      <c r="B204" s="1"/>
      <c r="C204" s="1"/>
      <c r="D204" s="1"/>
      <c r="E204" s="1"/>
      <c r="F204" s="1"/>
      <c r="G204" s="1"/>
      <c r="H204" s="1"/>
      <c r="I204" s="2"/>
      <c r="J204" s="2"/>
      <c r="K204" s="2"/>
      <c r="L204" s="2"/>
      <c r="M204" s="2"/>
      <c r="N204" s="2"/>
      <c r="O204" s="2"/>
      <c r="P204" s="2"/>
      <c r="Q204" s="2"/>
      <c r="R204" s="2"/>
      <c r="S204" s="2"/>
      <c r="T204" s="2"/>
      <c r="U204" s="2"/>
      <c r="V204" s="2"/>
      <c r="W204" s="2"/>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row>
    <row r="205" spans="1:53" x14ac:dyDescent="0.25">
      <c r="A205" s="1"/>
      <c r="B205" s="1"/>
      <c r="C205" s="1"/>
      <c r="D205" s="1"/>
      <c r="E205" s="1"/>
      <c r="F205" s="1"/>
      <c r="G205" s="1"/>
      <c r="H205" s="1"/>
      <c r="I205" s="2"/>
      <c r="J205" s="2"/>
      <c r="K205" s="2"/>
      <c r="L205" s="2"/>
      <c r="M205" s="2"/>
      <c r="N205" s="2"/>
      <c r="O205" s="2"/>
      <c r="P205" s="2"/>
      <c r="Q205" s="2"/>
      <c r="R205" s="2"/>
      <c r="S205" s="2"/>
      <c r="T205" s="2"/>
      <c r="U205" s="2"/>
      <c r="V205" s="2"/>
      <c r="W205" s="2"/>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row>
    <row r="206" spans="1:53" x14ac:dyDescent="0.25">
      <c r="A206" s="1"/>
      <c r="B206" s="1"/>
      <c r="C206" s="1"/>
      <c r="D206" s="1"/>
      <c r="E206" s="1"/>
      <c r="F206" s="1"/>
      <c r="G206" s="1"/>
      <c r="H206" s="1"/>
      <c r="I206" s="2"/>
      <c r="J206" s="2"/>
      <c r="K206" s="2"/>
      <c r="L206" s="2"/>
      <c r="M206" s="2"/>
      <c r="N206" s="2"/>
      <c r="O206" s="2"/>
      <c r="P206" s="2"/>
      <c r="Q206" s="2"/>
      <c r="R206" s="2"/>
      <c r="S206" s="2"/>
      <c r="T206" s="2"/>
      <c r="U206" s="2"/>
      <c r="V206" s="2"/>
      <c r="W206" s="2"/>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row>
    <row r="207" spans="1:53" x14ac:dyDescent="0.25">
      <c r="A207" s="1"/>
      <c r="B207" s="1"/>
      <c r="C207" s="1"/>
      <c r="D207" s="1"/>
      <c r="E207" s="1"/>
      <c r="F207" s="1"/>
      <c r="G207" s="1"/>
      <c r="H207" s="1"/>
      <c r="I207" s="2"/>
      <c r="J207" s="2"/>
      <c r="K207" s="2"/>
      <c r="L207" s="2"/>
      <c r="M207" s="2"/>
      <c r="N207" s="2"/>
      <c r="O207" s="2"/>
      <c r="P207" s="2"/>
      <c r="Q207" s="2"/>
      <c r="R207" s="2"/>
      <c r="S207" s="2"/>
      <c r="T207" s="2"/>
      <c r="U207" s="2"/>
      <c r="V207" s="2"/>
      <c r="W207" s="2"/>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row>
    <row r="208" spans="1:53" x14ac:dyDescent="0.25">
      <c r="A208" s="1"/>
      <c r="B208" s="1"/>
      <c r="C208" s="1"/>
      <c r="D208" s="1"/>
      <c r="E208" s="1"/>
      <c r="F208" s="1"/>
      <c r="G208" s="1"/>
      <c r="H208" s="1"/>
      <c r="I208" s="2"/>
      <c r="J208" s="2"/>
      <c r="K208" s="2"/>
      <c r="L208" s="2"/>
      <c r="M208" s="2"/>
      <c r="N208" s="2"/>
      <c r="O208" s="2"/>
      <c r="P208" s="2"/>
      <c r="Q208" s="2"/>
      <c r="R208" s="2"/>
      <c r="S208" s="2"/>
      <c r="T208" s="2"/>
      <c r="U208" s="2"/>
      <c r="V208" s="2"/>
      <c r="W208" s="2"/>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row>
    <row r="209" spans="1:53" x14ac:dyDescent="0.25">
      <c r="A209" s="1"/>
      <c r="B209" s="1"/>
      <c r="C209" s="1"/>
      <c r="D209" s="1"/>
      <c r="E209" s="1"/>
      <c r="F209" s="1"/>
      <c r="G209" s="1"/>
      <c r="H209" s="1"/>
      <c r="I209" s="2"/>
      <c r="J209" s="2"/>
      <c r="K209" s="2"/>
      <c r="L209" s="2"/>
      <c r="M209" s="2"/>
      <c r="N209" s="2"/>
      <c r="O209" s="2"/>
      <c r="P209" s="2"/>
      <c r="Q209" s="2"/>
      <c r="R209" s="2"/>
      <c r="S209" s="2"/>
      <c r="T209" s="2"/>
      <c r="U209" s="2"/>
      <c r="V209" s="2"/>
      <c r="W209" s="2"/>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row>
    <row r="210" spans="1:53" x14ac:dyDescent="0.25">
      <c r="A210" s="1"/>
      <c r="B210" s="1"/>
      <c r="C210" s="1"/>
      <c r="D210" s="1"/>
      <c r="E210" s="1"/>
      <c r="F210" s="1"/>
      <c r="G210" s="1"/>
      <c r="H210" s="1"/>
      <c r="I210" s="2"/>
      <c r="J210" s="2"/>
      <c r="K210" s="2"/>
      <c r="L210" s="2"/>
      <c r="M210" s="2"/>
      <c r="N210" s="2"/>
      <c r="O210" s="2"/>
      <c r="P210" s="2"/>
      <c r="Q210" s="2"/>
      <c r="R210" s="2"/>
      <c r="S210" s="2"/>
      <c r="T210" s="2"/>
      <c r="U210" s="2"/>
      <c r="V210" s="2"/>
      <c r="W210" s="2"/>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row>
    <row r="211" spans="1:53" x14ac:dyDescent="0.25">
      <c r="A211" s="1"/>
      <c r="B211" s="1"/>
      <c r="C211" s="1"/>
      <c r="D211" s="1"/>
      <c r="E211" s="1"/>
      <c r="F211" s="1"/>
      <c r="G211" s="1"/>
      <c r="H211" s="1"/>
      <c r="I211" s="2"/>
      <c r="J211" s="2"/>
      <c r="K211" s="2"/>
      <c r="L211" s="2"/>
      <c r="M211" s="2"/>
      <c r="N211" s="2"/>
      <c r="O211" s="2"/>
      <c r="P211" s="2"/>
      <c r="Q211" s="2"/>
      <c r="R211" s="2"/>
      <c r="S211" s="2"/>
      <c r="T211" s="2"/>
      <c r="U211" s="2"/>
      <c r="V211" s="2"/>
      <c r="W211" s="2"/>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row>
    <row r="212" spans="1:53" x14ac:dyDescent="0.25">
      <c r="A212" s="1"/>
      <c r="B212" s="1"/>
      <c r="C212" s="1"/>
      <c r="D212" s="1"/>
      <c r="E212" s="1"/>
      <c r="F212" s="1"/>
      <c r="G212" s="1"/>
      <c r="H212" s="1"/>
      <c r="I212" s="2"/>
      <c r="J212" s="2"/>
      <c r="K212" s="2"/>
      <c r="L212" s="2"/>
      <c r="M212" s="2"/>
      <c r="N212" s="2"/>
      <c r="O212" s="2"/>
      <c r="P212" s="2"/>
      <c r="Q212" s="2"/>
      <c r="R212" s="2"/>
      <c r="S212" s="2"/>
      <c r="T212" s="2"/>
      <c r="U212" s="2"/>
      <c r="V212" s="2"/>
      <c r="W212" s="2"/>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row>
    <row r="213" spans="1:53" x14ac:dyDescent="0.25">
      <c r="A213" s="1"/>
      <c r="B213" s="1"/>
      <c r="C213" s="1"/>
      <c r="D213" s="1"/>
      <c r="E213" s="1"/>
      <c r="F213" s="1"/>
      <c r="G213" s="1"/>
      <c r="H213" s="1"/>
      <c r="I213" s="2"/>
      <c r="J213" s="2"/>
      <c r="K213" s="2"/>
      <c r="L213" s="2"/>
      <c r="M213" s="2"/>
      <c r="N213" s="2"/>
      <c r="O213" s="2"/>
      <c r="P213" s="2"/>
      <c r="Q213" s="2"/>
      <c r="R213" s="2"/>
      <c r="S213" s="2"/>
      <c r="T213" s="2"/>
      <c r="U213" s="2"/>
      <c r="V213" s="2"/>
      <c r="W213" s="2"/>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row>
    <row r="214" spans="1:53" x14ac:dyDescent="0.25">
      <c r="A214" s="1"/>
      <c r="B214" s="1"/>
      <c r="C214" s="1"/>
      <c r="D214" s="1"/>
      <c r="E214" s="1"/>
      <c r="F214" s="1"/>
      <c r="G214" s="1"/>
      <c r="H214" s="1"/>
      <c r="I214" s="2"/>
      <c r="J214" s="2"/>
      <c r="K214" s="2"/>
      <c r="L214" s="2"/>
      <c r="M214" s="2"/>
      <c r="N214" s="2"/>
      <c r="O214" s="2"/>
      <c r="P214" s="2"/>
      <c r="Q214" s="2"/>
      <c r="R214" s="2"/>
      <c r="S214" s="2"/>
      <c r="T214" s="2"/>
      <c r="U214" s="2"/>
      <c r="V214" s="2"/>
      <c r="W214" s="2"/>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row>
    <row r="215" spans="1:53" x14ac:dyDescent="0.25">
      <c r="A215" s="1"/>
      <c r="B215" s="1"/>
      <c r="C215" s="1"/>
      <c r="D215" s="1"/>
      <c r="E215" s="1"/>
      <c r="F215" s="1"/>
      <c r="G215" s="1"/>
      <c r="H215" s="1"/>
      <c r="I215" s="2"/>
      <c r="J215" s="2"/>
      <c r="K215" s="2"/>
      <c r="L215" s="2"/>
      <c r="M215" s="2"/>
      <c r="N215" s="2"/>
      <c r="O215" s="2"/>
      <c r="P215" s="2"/>
      <c r="Q215" s="2"/>
      <c r="R215" s="2"/>
      <c r="S215" s="2"/>
      <c r="T215" s="2"/>
      <c r="U215" s="2"/>
      <c r="V215" s="2"/>
      <c r="W215" s="2"/>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row>
    <row r="216" spans="1:53" x14ac:dyDescent="0.25">
      <c r="A216" s="1"/>
      <c r="B216" s="1"/>
      <c r="C216" s="1"/>
      <c r="D216" s="1"/>
      <c r="E216" s="1"/>
      <c r="F216" s="1"/>
      <c r="G216" s="1"/>
      <c r="H216" s="1"/>
      <c r="I216" s="2"/>
      <c r="J216" s="2"/>
      <c r="K216" s="2"/>
      <c r="L216" s="2"/>
      <c r="M216" s="2"/>
      <c r="N216" s="2"/>
      <c r="O216" s="2"/>
      <c r="P216" s="2"/>
      <c r="Q216" s="2"/>
      <c r="R216" s="2"/>
      <c r="S216" s="2"/>
      <c r="T216" s="2"/>
      <c r="U216" s="2"/>
      <c r="V216" s="2"/>
      <c r="W216" s="2"/>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row>
    <row r="217" spans="1:53" x14ac:dyDescent="0.25">
      <c r="A217" s="1"/>
      <c r="B217" s="1"/>
      <c r="C217" s="1"/>
      <c r="D217" s="1"/>
      <c r="E217" s="1"/>
      <c r="F217" s="1"/>
      <c r="G217" s="1"/>
      <c r="H217" s="1"/>
      <c r="I217" s="2"/>
      <c r="J217" s="2"/>
      <c r="K217" s="2"/>
      <c r="L217" s="2"/>
      <c r="M217" s="2"/>
      <c r="N217" s="2"/>
      <c r="O217" s="2"/>
      <c r="P217" s="2"/>
      <c r="Q217" s="2"/>
      <c r="R217" s="2"/>
      <c r="S217" s="2"/>
      <c r="T217" s="2"/>
      <c r="U217" s="2"/>
      <c r="V217" s="2"/>
      <c r="W217" s="2"/>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row>
    <row r="218" spans="1:53" x14ac:dyDescent="0.25">
      <c r="A218" s="1"/>
      <c r="B218" s="1"/>
      <c r="C218" s="1"/>
      <c r="D218" s="1"/>
      <c r="E218" s="1"/>
      <c r="F218" s="1"/>
      <c r="G218" s="1"/>
      <c r="H218" s="1"/>
      <c r="I218" s="2"/>
      <c r="J218" s="2"/>
      <c r="K218" s="2"/>
      <c r="L218" s="2"/>
      <c r="M218" s="2"/>
      <c r="N218" s="2"/>
      <c r="O218" s="2"/>
      <c r="P218" s="2"/>
      <c r="Q218" s="2"/>
      <c r="R218" s="2"/>
      <c r="S218" s="2"/>
      <c r="T218" s="2"/>
      <c r="U218" s="2"/>
      <c r="V218" s="2"/>
      <c r="W218" s="2"/>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row>
    <row r="219" spans="1:53" x14ac:dyDescent="0.25">
      <c r="A219" s="1"/>
      <c r="B219" s="1"/>
      <c r="C219" s="1"/>
      <c r="D219" s="1"/>
      <c r="E219" s="1"/>
      <c r="F219" s="1"/>
      <c r="G219" s="1"/>
      <c r="H219" s="1"/>
      <c r="I219" s="2"/>
      <c r="J219" s="2"/>
      <c r="K219" s="2"/>
      <c r="L219" s="2"/>
      <c r="M219" s="2"/>
      <c r="N219" s="2"/>
      <c r="O219" s="2"/>
      <c r="P219" s="2"/>
      <c r="Q219" s="2"/>
      <c r="R219" s="2"/>
      <c r="S219" s="2"/>
      <c r="T219" s="2"/>
      <c r="U219" s="2"/>
      <c r="V219" s="2"/>
      <c r="W219" s="2"/>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row>
    <row r="220" spans="1:53" x14ac:dyDescent="0.25">
      <c r="A220" s="1"/>
      <c r="B220" s="1"/>
      <c r="C220" s="1"/>
      <c r="D220" s="1"/>
      <c r="E220" s="1"/>
      <c r="F220" s="1"/>
      <c r="G220" s="1"/>
      <c r="H220" s="1"/>
      <c r="I220" s="2"/>
      <c r="J220" s="2"/>
      <c r="K220" s="2"/>
      <c r="L220" s="2"/>
      <c r="M220" s="2"/>
      <c r="N220" s="2"/>
      <c r="O220" s="2"/>
      <c r="P220" s="2"/>
      <c r="Q220" s="2"/>
      <c r="R220" s="2"/>
      <c r="S220" s="2"/>
      <c r="T220" s="2"/>
      <c r="U220" s="2"/>
      <c r="V220" s="2"/>
      <c r="W220" s="2"/>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row>
    <row r="221" spans="1:53" x14ac:dyDescent="0.25">
      <c r="A221" s="1"/>
      <c r="B221" s="1"/>
      <c r="C221" s="1"/>
      <c r="D221" s="1"/>
      <c r="E221" s="1"/>
      <c r="F221" s="1"/>
      <c r="G221" s="1"/>
      <c r="H221" s="1"/>
      <c r="I221" s="2"/>
      <c r="J221" s="2"/>
      <c r="K221" s="2"/>
      <c r="L221" s="2"/>
      <c r="M221" s="2"/>
      <c r="N221" s="2"/>
      <c r="O221" s="2"/>
      <c r="P221" s="2"/>
      <c r="Q221" s="2"/>
      <c r="R221" s="2"/>
      <c r="S221" s="2"/>
      <c r="T221" s="2"/>
      <c r="U221" s="2"/>
      <c r="V221" s="2"/>
      <c r="W221" s="2"/>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row>
    <row r="222" spans="1:53" x14ac:dyDescent="0.25">
      <c r="A222" s="1"/>
      <c r="B222" s="1"/>
      <c r="C222" s="1"/>
      <c r="D222" s="1"/>
      <c r="E222" s="1"/>
      <c r="F222" s="1"/>
      <c r="G222" s="1"/>
      <c r="H222" s="1"/>
      <c r="I222" s="2"/>
      <c r="J222" s="2"/>
      <c r="K222" s="2"/>
      <c r="L222" s="2"/>
      <c r="M222" s="2"/>
      <c r="N222" s="2"/>
      <c r="O222" s="2"/>
      <c r="P222" s="2"/>
      <c r="Q222" s="2"/>
      <c r="R222" s="2"/>
      <c r="S222" s="2"/>
      <c r="T222" s="2"/>
      <c r="U222" s="2"/>
      <c r="V222" s="2"/>
      <c r="W222" s="2"/>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row>
    <row r="223" spans="1:53" x14ac:dyDescent="0.25">
      <c r="A223" s="1"/>
      <c r="B223" s="1"/>
      <c r="C223" s="1"/>
      <c r="D223" s="1"/>
      <c r="E223" s="1"/>
      <c r="F223" s="1"/>
      <c r="G223" s="1"/>
      <c r="H223" s="1"/>
      <c r="I223" s="2"/>
      <c r="J223" s="2"/>
      <c r="K223" s="2"/>
      <c r="L223" s="2"/>
      <c r="M223" s="2"/>
      <c r="N223" s="2"/>
      <c r="O223" s="2"/>
      <c r="P223" s="2"/>
      <c r="Q223" s="2"/>
      <c r="R223" s="2"/>
      <c r="S223" s="2"/>
      <c r="T223" s="2"/>
      <c r="U223" s="2"/>
      <c r="V223" s="2"/>
      <c r="W223" s="2"/>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row>
    <row r="224" spans="1:53" x14ac:dyDescent="0.25">
      <c r="A224" s="1"/>
      <c r="B224" s="1"/>
      <c r="C224" s="1"/>
      <c r="D224" s="1"/>
      <c r="E224" s="1"/>
      <c r="F224" s="1"/>
      <c r="G224" s="1"/>
      <c r="H224" s="1"/>
      <c r="I224" s="2"/>
      <c r="J224" s="2"/>
      <c r="K224" s="2"/>
      <c r="L224" s="2"/>
      <c r="M224" s="2"/>
      <c r="N224" s="2"/>
      <c r="O224" s="2"/>
      <c r="P224" s="2"/>
      <c r="Q224" s="2"/>
      <c r="R224" s="2"/>
      <c r="S224" s="2"/>
      <c r="T224" s="2"/>
      <c r="U224" s="2"/>
      <c r="V224" s="2"/>
      <c r="W224" s="2"/>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row>
    <row r="225" spans="1:53" x14ac:dyDescent="0.25">
      <c r="A225" s="1"/>
      <c r="B225" s="1"/>
      <c r="C225" s="1"/>
      <c r="D225" s="1"/>
      <c r="E225" s="1"/>
      <c r="F225" s="1"/>
      <c r="G225" s="1"/>
      <c r="H225" s="1"/>
      <c r="I225" s="2"/>
      <c r="J225" s="2"/>
      <c r="K225" s="2"/>
      <c r="L225" s="2"/>
      <c r="M225" s="2"/>
      <c r="N225" s="2"/>
      <c r="O225" s="2"/>
      <c r="P225" s="2"/>
      <c r="Q225" s="2"/>
      <c r="R225" s="2"/>
      <c r="S225" s="2"/>
      <c r="T225" s="2"/>
      <c r="U225" s="2"/>
      <c r="V225" s="2"/>
      <c r="W225" s="2"/>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row>
    <row r="226" spans="1:53" x14ac:dyDescent="0.25">
      <c r="A226" s="1"/>
      <c r="B226" s="1"/>
      <c r="C226" s="1"/>
      <c r="D226" s="1"/>
      <c r="E226" s="1"/>
      <c r="F226" s="1"/>
      <c r="G226" s="1"/>
      <c r="H226" s="1"/>
      <c r="I226" s="2"/>
      <c r="J226" s="2"/>
      <c r="K226" s="2"/>
      <c r="L226" s="2"/>
      <c r="M226" s="2"/>
      <c r="N226" s="2"/>
      <c r="O226" s="2"/>
      <c r="P226" s="2"/>
      <c r="Q226" s="2"/>
      <c r="R226" s="2"/>
      <c r="S226" s="2"/>
      <c r="T226" s="2"/>
      <c r="U226" s="2"/>
      <c r="V226" s="2"/>
      <c r="W226" s="2"/>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row>
    <row r="227" spans="1:53" x14ac:dyDescent="0.25">
      <c r="A227" s="1"/>
      <c r="B227" s="1"/>
      <c r="C227" s="1"/>
      <c r="D227" s="1"/>
      <c r="E227" s="1"/>
      <c r="F227" s="1"/>
      <c r="G227" s="1"/>
      <c r="H227" s="1"/>
      <c r="I227" s="2"/>
      <c r="J227" s="2"/>
      <c r="K227" s="2"/>
      <c r="L227" s="2"/>
      <c r="M227" s="2"/>
      <c r="N227" s="2"/>
      <c r="O227" s="2"/>
      <c r="P227" s="2"/>
      <c r="Q227" s="2"/>
      <c r="R227" s="2"/>
      <c r="S227" s="2"/>
      <c r="T227" s="2"/>
      <c r="U227" s="2"/>
      <c r="V227" s="2"/>
      <c r="W227" s="2"/>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row>
    <row r="228" spans="1:53" x14ac:dyDescent="0.25">
      <c r="A228" s="1"/>
      <c r="B228" s="1"/>
      <c r="C228" s="1"/>
      <c r="D228" s="1"/>
      <c r="E228" s="1"/>
      <c r="F228" s="1"/>
      <c r="G228" s="1"/>
      <c r="H228" s="1"/>
      <c r="I228" s="2"/>
      <c r="J228" s="2"/>
      <c r="K228" s="2"/>
      <c r="L228" s="2"/>
      <c r="M228" s="2"/>
      <c r="N228" s="2"/>
      <c r="O228" s="2"/>
      <c r="P228" s="2"/>
      <c r="Q228" s="2"/>
      <c r="R228" s="2"/>
      <c r="S228" s="2"/>
      <c r="T228" s="2"/>
      <c r="U228" s="2"/>
      <c r="V228" s="2"/>
      <c r="W228" s="2"/>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row>
    <row r="229" spans="1:53" x14ac:dyDescent="0.25">
      <c r="A229" s="1"/>
      <c r="B229" s="1"/>
      <c r="C229" s="1"/>
      <c r="D229" s="1"/>
      <c r="E229" s="1"/>
      <c r="F229" s="1"/>
      <c r="G229" s="1"/>
      <c r="H229" s="1"/>
      <c r="I229" s="2"/>
      <c r="J229" s="2"/>
      <c r="K229" s="2"/>
      <c r="L229" s="2"/>
      <c r="M229" s="2"/>
      <c r="N229" s="2"/>
      <c r="O229" s="2"/>
      <c r="P229" s="2"/>
      <c r="Q229" s="2"/>
      <c r="R229" s="2"/>
      <c r="S229" s="2"/>
      <c r="T229" s="2"/>
      <c r="U229" s="2"/>
      <c r="V229" s="2"/>
      <c r="W229" s="2"/>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row>
    <row r="230" spans="1:53" x14ac:dyDescent="0.25">
      <c r="A230" s="1"/>
      <c r="B230" s="1"/>
      <c r="C230" s="1"/>
      <c r="D230" s="1"/>
      <c r="E230" s="1"/>
      <c r="F230" s="1"/>
      <c r="G230" s="1"/>
      <c r="H230" s="1"/>
      <c r="I230" s="2"/>
      <c r="J230" s="2"/>
      <c r="K230" s="2"/>
      <c r="L230" s="2"/>
      <c r="M230" s="2"/>
      <c r="N230" s="2"/>
      <c r="O230" s="2"/>
      <c r="P230" s="2"/>
      <c r="Q230" s="2"/>
      <c r="R230" s="2"/>
      <c r="S230" s="2"/>
      <c r="T230" s="2"/>
      <c r="U230" s="2"/>
      <c r="V230" s="2"/>
      <c r="W230" s="2"/>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row>
    <row r="231" spans="1:53" x14ac:dyDescent="0.25">
      <c r="A231" s="1"/>
      <c r="B231" s="1"/>
      <c r="C231" s="1"/>
      <c r="D231" s="1"/>
      <c r="E231" s="1"/>
      <c r="F231" s="1"/>
      <c r="G231" s="1"/>
      <c r="H231" s="1"/>
      <c r="I231" s="2"/>
      <c r="J231" s="2"/>
      <c r="K231" s="2"/>
      <c r="L231" s="2"/>
      <c r="M231" s="2"/>
      <c r="N231" s="2"/>
      <c r="O231" s="2"/>
      <c r="P231" s="2"/>
      <c r="Q231" s="2"/>
      <c r="R231" s="2"/>
      <c r="S231" s="2"/>
      <c r="T231" s="2"/>
      <c r="U231" s="2"/>
      <c r="V231" s="2"/>
      <c r="W231" s="2"/>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row>
    <row r="232" spans="1:53" x14ac:dyDescent="0.25">
      <c r="A232" s="1"/>
      <c r="B232" s="1"/>
      <c r="C232" s="1"/>
      <c r="D232" s="1"/>
      <c r="E232" s="1"/>
      <c r="F232" s="1"/>
      <c r="G232" s="1"/>
      <c r="H232" s="1"/>
      <c r="I232" s="2"/>
      <c r="J232" s="2"/>
      <c r="K232" s="2"/>
      <c r="L232" s="2"/>
      <c r="M232" s="2"/>
      <c r="N232" s="2"/>
      <c r="O232" s="2"/>
      <c r="P232" s="2"/>
      <c r="Q232" s="2"/>
      <c r="R232" s="2"/>
      <c r="S232" s="2"/>
      <c r="T232" s="2"/>
      <c r="U232" s="2"/>
      <c r="V232" s="2"/>
      <c r="W232" s="2"/>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row>
    <row r="233" spans="1:53" x14ac:dyDescent="0.25">
      <c r="A233" s="1"/>
      <c r="B233" s="1"/>
      <c r="C233" s="1"/>
      <c r="D233" s="1"/>
      <c r="E233" s="1"/>
      <c r="F233" s="1"/>
      <c r="G233" s="1"/>
      <c r="H233" s="1"/>
      <c r="I233" s="2"/>
      <c r="J233" s="2"/>
      <c r="K233" s="2"/>
      <c r="L233" s="2"/>
      <c r="M233" s="2"/>
      <c r="N233" s="2"/>
      <c r="O233" s="2"/>
      <c r="P233" s="2"/>
      <c r="Q233" s="2"/>
      <c r="R233" s="2"/>
      <c r="S233" s="2"/>
      <c r="T233" s="2"/>
      <c r="U233" s="2"/>
      <c r="V233" s="2"/>
      <c r="W233" s="2"/>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row>
    <row r="234" spans="1:53" x14ac:dyDescent="0.25">
      <c r="A234" s="1"/>
      <c r="B234" s="1"/>
      <c r="C234" s="1"/>
      <c r="D234" s="1"/>
      <c r="E234" s="1"/>
      <c r="F234" s="1"/>
      <c r="G234" s="1"/>
      <c r="H234" s="1"/>
      <c r="I234" s="2"/>
      <c r="J234" s="2"/>
      <c r="K234" s="2"/>
      <c r="L234" s="2"/>
      <c r="M234" s="2"/>
      <c r="N234" s="2"/>
      <c r="O234" s="2"/>
      <c r="P234" s="2"/>
      <c r="Q234" s="2"/>
      <c r="R234" s="2"/>
      <c r="S234" s="2"/>
      <c r="T234" s="2"/>
      <c r="U234" s="2"/>
      <c r="V234" s="2"/>
      <c r="W234" s="2"/>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row>
    <row r="235" spans="1:53" x14ac:dyDescent="0.25">
      <c r="A235" s="1"/>
      <c r="B235" s="1"/>
      <c r="C235" s="1"/>
      <c r="D235" s="1"/>
      <c r="E235" s="1"/>
      <c r="F235" s="1"/>
      <c r="G235" s="1"/>
      <c r="H235" s="1"/>
      <c r="I235" s="2"/>
      <c r="J235" s="2"/>
      <c r="K235" s="2"/>
      <c r="L235" s="2"/>
      <c r="M235" s="2"/>
      <c r="N235" s="2"/>
      <c r="O235" s="2"/>
      <c r="P235" s="2"/>
      <c r="Q235" s="2"/>
      <c r="R235" s="2"/>
      <c r="S235" s="2"/>
      <c r="T235" s="2"/>
      <c r="U235" s="2"/>
      <c r="V235" s="2"/>
      <c r="W235" s="2"/>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row>
    <row r="236" spans="1:53" x14ac:dyDescent="0.25">
      <c r="A236" s="1"/>
      <c r="B236" s="1"/>
      <c r="C236" s="1"/>
      <c r="D236" s="1"/>
      <c r="E236" s="1"/>
      <c r="F236" s="1"/>
      <c r="G236" s="1"/>
      <c r="H236" s="1"/>
      <c r="I236" s="2"/>
      <c r="J236" s="2"/>
      <c r="K236" s="2"/>
      <c r="L236" s="2"/>
      <c r="M236" s="2"/>
      <c r="N236" s="2"/>
      <c r="O236" s="2"/>
      <c r="P236" s="2"/>
      <c r="Q236" s="2"/>
      <c r="R236" s="2"/>
      <c r="S236" s="2"/>
      <c r="T236" s="2"/>
      <c r="U236" s="2"/>
      <c r="V236" s="2"/>
      <c r="W236" s="2"/>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row>
    <row r="237" spans="1:53" x14ac:dyDescent="0.25">
      <c r="A237" s="1"/>
      <c r="B237" s="1"/>
      <c r="C237" s="1"/>
      <c r="D237" s="1"/>
      <c r="E237" s="1"/>
      <c r="F237" s="1"/>
      <c r="G237" s="1"/>
      <c r="H237" s="1"/>
      <c r="I237" s="2"/>
      <c r="J237" s="2"/>
      <c r="K237" s="2"/>
      <c r="L237" s="2"/>
      <c r="M237" s="2"/>
      <c r="N237" s="2"/>
      <c r="O237" s="2"/>
      <c r="P237" s="2"/>
      <c r="Q237" s="2"/>
      <c r="R237" s="2"/>
      <c r="S237" s="2"/>
      <c r="T237" s="2"/>
      <c r="U237" s="2"/>
      <c r="V237" s="2"/>
      <c r="W237" s="2"/>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row>
    <row r="238" spans="1:53" x14ac:dyDescent="0.25">
      <c r="A238" s="1"/>
      <c r="B238" s="1"/>
      <c r="C238" s="1"/>
      <c r="D238" s="1"/>
      <c r="E238" s="1"/>
      <c r="F238" s="1"/>
      <c r="G238" s="1"/>
      <c r="H238" s="1"/>
      <c r="I238" s="2"/>
      <c r="J238" s="2"/>
      <c r="K238" s="2"/>
      <c r="L238" s="2"/>
      <c r="M238" s="2"/>
      <c r="N238" s="2"/>
      <c r="O238" s="2"/>
      <c r="P238" s="2"/>
      <c r="Q238" s="2"/>
      <c r="R238" s="2"/>
      <c r="S238" s="2"/>
      <c r="T238" s="2"/>
      <c r="U238" s="2"/>
      <c r="V238" s="2"/>
      <c r="W238" s="2"/>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row>
    <row r="239" spans="1:53" x14ac:dyDescent="0.25">
      <c r="A239" s="1"/>
      <c r="B239" s="1"/>
      <c r="C239" s="1"/>
      <c r="D239" s="1"/>
      <c r="E239" s="1"/>
      <c r="F239" s="1"/>
      <c r="G239" s="1"/>
      <c r="H239" s="1"/>
      <c r="I239" s="2"/>
      <c r="J239" s="2"/>
      <c r="K239" s="2"/>
      <c r="L239" s="2"/>
      <c r="M239" s="2"/>
      <c r="N239" s="2"/>
      <c r="O239" s="2"/>
      <c r="P239" s="2"/>
      <c r="Q239" s="2"/>
      <c r="R239" s="2"/>
      <c r="S239" s="2"/>
      <c r="T239" s="2"/>
      <c r="U239" s="2"/>
      <c r="V239" s="2"/>
      <c r="W239" s="2"/>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row>
    <row r="240" spans="1:53" x14ac:dyDescent="0.25">
      <c r="A240" s="1"/>
      <c r="B240" s="1"/>
      <c r="C240" s="1"/>
      <c r="D240" s="1"/>
      <c r="E240" s="1"/>
      <c r="F240" s="1"/>
      <c r="G240" s="1"/>
      <c r="H240" s="1"/>
      <c r="I240" s="2"/>
      <c r="J240" s="2"/>
      <c r="K240" s="2"/>
      <c r="L240" s="2"/>
      <c r="M240" s="2"/>
      <c r="N240" s="2"/>
      <c r="O240" s="2"/>
      <c r="P240" s="2"/>
      <c r="Q240" s="2"/>
      <c r="R240" s="2"/>
      <c r="S240" s="2"/>
      <c r="T240" s="2"/>
      <c r="U240" s="2"/>
      <c r="V240" s="2"/>
      <c r="W240" s="2"/>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row>
    <row r="241" spans="1:53" x14ac:dyDescent="0.25">
      <c r="A241" s="1"/>
      <c r="B241" s="1"/>
      <c r="C241" s="1"/>
      <c r="D241" s="1"/>
      <c r="E241" s="1"/>
      <c r="F241" s="1"/>
      <c r="G241" s="1"/>
      <c r="H241" s="1"/>
      <c r="I241" s="2"/>
      <c r="J241" s="2"/>
      <c r="K241" s="2"/>
      <c r="L241" s="2"/>
      <c r="M241" s="2"/>
      <c r="N241" s="2"/>
      <c r="O241" s="2"/>
      <c r="P241" s="2"/>
      <c r="Q241" s="2"/>
      <c r="R241" s="2"/>
      <c r="S241" s="2"/>
      <c r="T241" s="2"/>
      <c r="U241" s="2"/>
      <c r="V241" s="2"/>
      <c r="W241" s="2"/>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row>
    <row r="242" spans="1:53" x14ac:dyDescent="0.25">
      <c r="A242" s="1"/>
      <c r="B242" s="1"/>
      <c r="C242" s="1"/>
      <c r="D242" s="1"/>
      <c r="E242" s="1"/>
      <c r="F242" s="1"/>
      <c r="G242" s="1"/>
      <c r="H242" s="1"/>
      <c r="I242" s="2"/>
      <c r="J242" s="2"/>
      <c r="K242" s="2"/>
      <c r="L242" s="2"/>
      <c r="M242" s="2"/>
      <c r="N242" s="2"/>
      <c r="O242" s="2"/>
      <c r="P242" s="2"/>
      <c r="Q242" s="2"/>
      <c r="R242" s="2"/>
      <c r="S242" s="2"/>
      <c r="T242" s="2"/>
      <c r="U242" s="2"/>
      <c r="V242" s="2"/>
      <c r="W242" s="2"/>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row>
    <row r="243" spans="1:53" x14ac:dyDescent="0.25">
      <c r="A243" s="1"/>
      <c r="B243" s="1"/>
      <c r="C243" s="1"/>
      <c r="D243" s="1"/>
      <c r="E243" s="1"/>
      <c r="F243" s="1"/>
      <c r="G243" s="1"/>
      <c r="H243" s="1"/>
      <c r="I243" s="2"/>
      <c r="J243" s="2"/>
      <c r="K243" s="2"/>
      <c r="L243" s="2"/>
      <c r="M243" s="2"/>
      <c r="N243" s="2"/>
      <c r="O243" s="2"/>
      <c r="P243" s="2"/>
      <c r="Q243" s="2"/>
      <c r="R243" s="2"/>
      <c r="S243" s="2"/>
      <c r="T243" s="2"/>
      <c r="U243" s="2"/>
      <c r="V243" s="2"/>
      <c r="W243" s="2"/>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row>
    <row r="244" spans="1:53" x14ac:dyDescent="0.25">
      <c r="A244" s="1"/>
      <c r="B244" s="1"/>
      <c r="C244" s="1"/>
      <c r="D244" s="1"/>
      <c r="E244" s="1"/>
      <c r="F244" s="1"/>
      <c r="G244" s="1"/>
      <c r="H244" s="1"/>
      <c r="I244" s="2"/>
      <c r="J244" s="2"/>
      <c r="K244" s="2"/>
      <c r="L244" s="2"/>
      <c r="M244" s="2"/>
      <c r="N244" s="2"/>
      <c r="O244" s="2"/>
      <c r="P244" s="2"/>
      <c r="Q244" s="2"/>
      <c r="R244" s="2"/>
      <c r="S244" s="2"/>
      <c r="T244" s="2"/>
      <c r="U244" s="2"/>
      <c r="V244" s="2"/>
      <c r="W244" s="2"/>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row>
    <row r="245" spans="1:53" x14ac:dyDescent="0.25">
      <c r="A245" s="1"/>
      <c r="B245" s="1"/>
      <c r="C245" s="1"/>
      <c r="D245" s="1"/>
      <c r="E245" s="1"/>
      <c r="F245" s="1"/>
      <c r="G245" s="1"/>
      <c r="H245" s="1"/>
      <c r="I245" s="2"/>
      <c r="J245" s="2"/>
      <c r="K245" s="2"/>
      <c r="L245" s="2"/>
      <c r="M245" s="2"/>
      <c r="N245" s="2"/>
      <c r="O245" s="2"/>
      <c r="P245" s="2"/>
      <c r="Q245" s="2"/>
      <c r="R245" s="2"/>
      <c r="S245" s="2"/>
      <c r="T245" s="2"/>
      <c r="U245" s="2"/>
      <c r="V245" s="2"/>
      <c r="W245" s="2"/>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row>
    <row r="246" spans="1:53" x14ac:dyDescent="0.25">
      <c r="A246" s="1"/>
      <c r="B246" s="1"/>
      <c r="C246" s="1"/>
      <c r="D246" s="1"/>
      <c r="E246" s="1"/>
      <c r="F246" s="1"/>
      <c r="G246" s="1"/>
      <c r="H246" s="1"/>
      <c r="I246" s="2"/>
      <c r="J246" s="2"/>
      <c r="K246" s="2"/>
      <c r="L246" s="2"/>
      <c r="M246" s="2"/>
      <c r="N246" s="2"/>
      <c r="O246" s="2"/>
      <c r="P246" s="2"/>
      <c r="Q246" s="2"/>
      <c r="R246" s="2"/>
      <c r="S246" s="2"/>
      <c r="T246" s="2"/>
      <c r="U246" s="2"/>
      <c r="V246" s="2"/>
      <c r="W246" s="2"/>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row>
    <row r="247" spans="1:53" x14ac:dyDescent="0.25">
      <c r="A247" s="1"/>
      <c r="B247" s="1"/>
      <c r="C247" s="1"/>
      <c r="D247" s="1"/>
      <c r="E247" s="1"/>
      <c r="F247" s="1"/>
      <c r="G247" s="1"/>
      <c r="H247" s="1"/>
      <c r="I247" s="2"/>
      <c r="J247" s="2"/>
      <c r="K247" s="2"/>
      <c r="L247" s="2"/>
      <c r="M247" s="2"/>
      <c r="N247" s="2"/>
      <c r="O247" s="2"/>
      <c r="P247" s="2"/>
      <c r="Q247" s="2"/>
      <c r="R247" s="2"/>
      <c r="S247" s="2"/>
      <c r="T247" s="2"/>
      <c r="U247" s="2"/>
      <c r="V247" s="2"/>
      <c r="W247" s="2"/>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row>
    <row r="248" spans="1:53" x14ac:dyDescent="0.25">
      <c r="A248" s="1"/>
      <c r="B248" s="1"/>
      <c r="C248" s="1"/>
      <c r="D248" s="1"/>
      <c r="E248" s="1"/>
      <c r="F248" s="1"/>
      <c r="G248" s="1"/>
      <c r="H248" s="1"/>
      <c r="I248" s="2"/>
      <c r="J248" s="2"/>
      <c r="K248" s="2"/>
      <c r="L248" s="2"/>
      <c r="M248" s="2"/>
      <c r="N248" s="2"/>
      <c r="O248" s="2"/>
      <c r="P248" s="2"/>
      <c r="Q248" s="2"/>
      <c r="R248" s="2"/>
      <c r="S248" s="2"/>
      <c r="T248" s="2"/>
      <c r="U248" s="2"/>
      <c r="V248" s="2"/>
      <c r="W248" s="2"/>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row>
    <row r="249" spans="1:53" x14ac:dyDescent="0.25">
      <c r="A249" s="1"/>
      <c r="B249" s="1"/>
      <c r="C249" s="1"/>
      <c r="D249" s="1"/>
      <c r="E249" s="1"/>
      <c r="F249" s="1"/>
      <c r="G249" s="1"/>
      <c r="H249" s="1"/>
      <c r="I249" s="2"/>
      <c r="J249" s="2"/>
      <c r="K249" s="2"/>
      <c r="L249" s="2"/>
      <c r="M249" s="2"/>
      <c r="N249" s="2"/>
      <c r="O249" s="2"/>
      <c r="P249" s="2"/>
      <c r="Q249" s="2"/>
      <c r="R249" s="2"/>
      <c r="S249" s="2"/>
      <c r="T249" s="2"/>
      <c r="U249" s="2"/>
      <c r="V249" s="2"/>
      <c r="W249" s="2"/>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row>
    <row r="250" spans="1:53" x14ac:dyDescent="0.25">
      <c r="A250" s="1"/>
      <c r="B250" s="1"/>
      <c r="C250" s="1"/>
      <c r="D250" s="1"/>
      <c r="E250" s="1"/>
      <c r="F250" s="1"/>
      <c r="G250" s="1"/>
      <c r="H250" s="1"/>
      <c r="I250" s="2"/>
      <c r="J250" s="2"/>
      <c r="K250" s="2"/>
      <c r="L250" s="2"/>
      <c r="M250" s="2"/>
      <c r="N250" s="2"/>
      <c r="O250" s="2"/>
      <c r="P250" s="2"/>
      <c r="Q250" s="2"/>
      <c r="R250" s="2"/>
      <c r="S250" s="2"/>
      <c r="T250" s="2"/>
      <c r="U250" s="2"/>
      <c r="V250" s="2"/>
      <c r="W250" s="2"/>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row>
    <row r="251" spans="1:53" x14ac:dyDescent="0.25">
      <c r="A251" s="1"/>
      <c r="B251" s="1"/>
      <c r="C251" s="1"/>
      <c r="D251" s="1"/>
      <c r="E251" s="1"/>
      <c r="F251" s="1"/>
      <c r="G251" s="1"/>
      <c r="H251" s="1"/>
      <c r="I251" s="2"/>
      <c r="J251" s="2"/>
      <c r="K251" s="2"/>
      <c r="L251" s="2"/>
      <c r="M251" s="2"/>
      <c r="N251" s="2"/>
      <c r="O251" s="2"/>
      <c r="P251" s="2"/>
      <c r="Q251" s="2"/>
      <c r="R251" s="2"/>
      <c r="S251" s="2"/>
      <c r="T251" s="2"/>
      <c r="U251" s="2"/>
      <c r="V251" s="2"/>
      <c r="W251" s="2"/>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row>
    <row r="252" spans="1:53" x14ac:dyDescent="0.25">
      <c r="A252" s="1"/>
      <c r="B252" s="1"/>
      <c r="C252" s="1"/>
      <c r="D252" s="1"/>
      <c r="E252" s="1"/>
      <c r="F252" s="1"/>
      <c r="G252" s="1"/>
      <c r="H252" s="1"/>
      <c r="I252" s="2"/>
      <c r="J252" s="2"/>
      <c r="K252" s="2"/>
      <c r="L252" s="2"/>
      <c r="M252" s="2"/>
      <c r="N252" s="2"/>
      <c r="O252" s="2"/>
      <c r="P252" s="2"/>
      <c r="Q252" s="2"/>
      <c r="R252" s="2"/>
      <c r="S252" s="2"/>
      <c r="T252" s="2"/>
      <c r="U252" s="2"/>
      <c r="V252" s="2"/>
      <c r="W252" s="2"/>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row>
    <row r="253" spans="1:53" x14ac:dyDescent="0.25">
      <c r="A253" s="1"/>
      <c r="B253" s="1"/>
      <c r="C253" s="1"/>
      <c r="D253" s="1"/>
      <c r="E253" s="1"/>
      <c r="F253" s="1"/>
      <c r="G253" s="1"/>
      <c r="H253" s="1"/>
      <c r="I253" s="2"/>
      <c r="J253" s="2"/>
      <c r="K253" s="2"/>
      <c r="L253" s="2"/>
      <c r="M253" s="2"/>
      <c r="N253" s="2"/>
      <c r="O253" s="2"/>
      <c r="P253" s="2"/>
      <c r="Q253" s="2"/>
      <c r="R253" s="2"/>
      <c r="S253" s="2"/>
      <c r="T253" s="2"/>
      <c r="U253" s="2"/>
      <c r="V253" s="2"/>
      <c r="W253" s="2"/>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row>
    <row r="254" spans="1:53" x14ac:dyDescent="0.25">
      <c r="A254" s="1"/>
      <c r="B254" s="1"/>
      <c r="C254" s="1"/>
      <c r="D254" s="1"/>
      <c r="E254" s="1"/>
      <c r="F254" s="1"/>
      <c r="G254" s="1"/>
      <c r="H254" s="1"/>
      <c r="I254" s="2"/>
      <c r="J254" s="2"/>
      <c r="K254" s="2"/>
      <c r="L254" s="2"/>
      <c r="M254" s="2"/>
      <c r="N254" s="2"/>
      <c r="O254" s="2"/>
      <c r="P254" s="2"/>
      <c r="Q254" s="2"/>
      <c r="R254" s="2"/>
      <c r="S254" s="2"/>
      <c r="T254" s="2"/>
      <c r="U254" s="2"/>
      <c r="V254" s="2"/>
      <c r="W254" s="2"/>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row>
    <row r="255" spans="1:53" x14ac:dyDescent="0.25">
      <c r="A255" s="1"/>
      <c r="B255" s="1"/>
      <c r="C255" s="1"/>
      <c r="D255" s="1"/>
      <c r="E255" s="1"/>
      <c r="F255" s="1"/>
      <c r="G255" s="1"/>
      <c r="H255" s="1"/>
      <c r="I255" s="2"/>
      <c r="J255" s="2"/>
      <c r="K255" s="2"/>
      <c r="L255" s="2"/>
      <c r="M255" s="2"/>
      <c r="N255" s="2"/>
      <c r="O255" s="2"/>
      <c r="P255" s="2"/>
      <c r="Q255" s="2"/>
      <c r="R255" s="2"/>
      <c r="S255" s="2"/>
      <c r="T255" s="2"/>
      <c r="U255" s="2"/>
      <c r="V255" s="2"/>
      <c r="W255" s="2"/>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row>
    <row r="256" spans="1:53" x14ac:dyDescent="0.25">
      <c r="A256" s="1"/>
      <c r="B256" s="1"/>
      <c r="C256" s="1"/>
      <c r="D256" s="1"/>
      <c r="E256" s="1"/>
      <c r="F256" s="1"/>
      <c r="G256" s="1"/>
      <c r="H256" s="1"/>
      <c r="I256" s="2"/>
      <c r="J256" s="2"/>
      <c r="K256" s="2"/>
      <c r="L256" s="2"/>
      <c r="M256" s="2"/>
      <c r="N256" s="2"/>
      <c r="O256" s="2"/>
      <c r="P256" s="2"/>
      <c r="Q256" s="2"/>
      <c r="R256" s="2"/>
      <c r="S256" s="2"/>
      <c r="T256" s="2"/>
      <c r="U256" s="2"/>
      <c r="V256" s="2"/>
      <c r="W256" s="2"/>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row>
  </sheetData>
  <conditionalFormatting sqref="T47:W55 C8:S133">
    <cfRule type="cellIs" dxfId="156" priority="2" operator="equal">
      <formula>0</formula>
    </cfRule>
  </conditionalFormatting>
  <conditionalFormatting sqref="U109:V110">
    <cfRule type="cellIs" dxfId="155" priority="1" operator="equal">
      <formula>0</formula>
    </cfRule>
  </conditionalFormatting>
  <pageMargins left="0.511811024" right="0.511811024" top="0.78740157499999996" bottom="0.78740157499999996" header="0.31496062000000002" footer="0.31496062000000002"/>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7EE0F-D872-419C-901A-459BED7B29EA}">
  <sheetPr codeName="Planilha10"/>
  <dimension ref="A1:BA268"/>
  <sheetViews>
    <sheetView workbookViewId="0">
      <selection activeCell="P12" sqref="P12"/>
    </sheetView>
  </sheetViews>
  <sheetFormatPr defaultColWidth="9" defaultRowHeight="15" x14ac:dyDescent="0.25"/>
  <cols>
    <col min="1" max="1" width="15.85546875" style="3" customWidth="1"/>
    <col min="2" max="2" width="48" style="3" bestFit="1" customWidth="1"/>
    <col min="3" max="8" width="14" style="3" hidden="1" customWidth="1"/>
    <col min="9" max="14" width="14" style="8" hidden="1" customWidth="1"/>
    <col min="15" max="16" width="14" style="8" customWidth="1"/>
    <col min="17" max="18" width="14.85546875" style="8" bestFit="1" customWidth="1"/>
    <col min="19" max="19" width="9.85546875" style="8" bestFit="1" customWidth="1"/>
    <col min="20" max="20" width="22.5703125" style="8" bestFit="1" customWidth="1"/>
    <col min="21" max="21" width="19.28515625" style="8" bestFit="1" customWidth="1"/>
    <col min="22" max="22" width="10.140625" style="8" bestFit="1" customWidth="1"/>
    <col min="23" max="23" width="9.85546875" style="8" bestFit="1" customWidth="1"/>
    <col min="24" max="24" width="11.7109375" style="3" bestFit="1" customWidth="1"/>
    <col min="25" max="25" width="15.140625" style="3" bestFit="1" customWidth="1"/>
    <col min="26" max="16384" width="9" style="3"/>
  </cols>
  <sheetData>
    <row r="1" spans="1:53" ht="18" customHeight="1" x14ac:dyDescent="0.25">
      <c r="A1" s="1"/>
      <c r="B1" s="1"/>
      <c r="C1" s="1"/>
      <c r="D1" s="1"/>
      <c r="E1" s="1"/>
      <c r="F1" s="1"/>
      <c r="G1" s="1"/>
      <c r="H1" s="1"/>
      <c r="I1" s="2"/>
      <c r="J1" s="2"/>
      <c r="K1" s="2"/>
      <c r="L1" s="2"/>
      <c r="M1" s="2"/>
      <c r="N1" s="2"/>
      <c r="O1" s="2"/>
      <c r="P1" s="2"/>
      <c r="Q1" s="2"/>
      <c r="R1" s="2"/>
      <c r="S1" s="2"/>
      <c r="T1" s="2"/>
      <c r="U1" s="2"/>
      <c r="V1" s="2"/>
      <c r="W1" s="2"/>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row>
    <row r="2" spans="1:53" ht="18" customHeight="1" x14ac:dyDescent="0.25">
      <c r="A2" s="1"/>
      <c r="B2" s="1"/>
      <c r="C2" s="1"/>
      <c r="D2" s="1"/>
      <c r="E2" s="1"/>
      <c r="F2" s="1"/>
      <c r="G2" s="1"/>
      <c r="H2" s="1"/>
      <c r="I2" s="2"/>
      <c r="J2" s="2"/>
      <c r="K2" s="2"/>
      <c r="L2" s="2"/>
      <c r="M2" s="2"/>
      <c r="N2" s="2"/>
      <c r="O2" s="2"/>
      <c r="P2" s="2"/>
      <c r="Q2" s="2"/>
      <c r="R2" s="2"/>
      <c r="S2" s="2"/>
      <c r="T2" s="2"/>
      <c r="U2" s="2"/>
      <c r="V2" s="2"/>
      <c r="W2" s="2"/>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row>
    <row r="3" spans="1:53" ht="18" customHeight="1" x14ac:dyDescent="0.25">
      <c r="A3" s="1"/>
      <c r="B3" s="1"/>
      <c r="C3" s="1"/>
      <c r="D3" s="1"/>
      <c r="E3" s="1"/>
      <c r="F3" s="1"/>
      <c r="G3" s="1"/>
      <c r="H3" s="1"/>
      <c r="I3" s="2"/>
      <c r="J3" s="2"/>
      <c r="K3" s="2"/>
      <c r="L3" s="2"/>
      <c r="M3" s="2"/>
      <c r="N3" s="2"/>
      <c r="O3" s="2"/>
      <c r="P3" s="2"/>
      <c r="Q3" s="2"/>
      <c r="R3" s="2"/>
      <c r="S3" s="2"/>
      <c r="T3" s="2"/>
      <c r="U3" s="2"/>
      <c r="V3" s="2"/>
      <c r="W3" s="2"/>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row>
    <row r="4" spans="1:53" ht="18" customHeight="1" x14ac:dyDescent="0.25">
      <c r="A4" s="1"/>
      <c r="B4" s="1"/>
      <c r="C4" s="1"/>
      <c r="D4" s="1"/>
      <c r="E4" s="1"/>
      <c r="F4" s="1"/>
      <c r="G4" s="1"/>
      <c r="H4" s="1"/>
      <c r="I4" s="2"/>
      <c r="J4" s="2"/>
      <c r="K4" s="2"/>
      <c r="L4" s="2"/>
      <c r="M4" s="2"/>
      <c r="N4" s="2"/>
      <c r="O4" s="2"/>
      <c r="P4" s="2"/>
      <c r="Q4" s="2"/>
      <c r="R4" s="2"/>
      <c r="S4" s="2"/>
      <c r="T4" s="2"/>
      <c r="U4" s="2"/>
      <c r="V4" s="2"/>
      <c r="W4" s="2"/>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row>
    <row r="5" spans="1:53" ht="18" customHeight="1" x14ac:dyDescent="0.25">
      <c r="A5" s="1"/>
      <c r="B5" s="1"/>
      <c r="C5" s="1"/>
      <c r="D5" s="1"/>
      <c r="E5" s="1"/>
      <c r="F5" s="1"/>
      <c r="G5" s="1"/>
      <c r="H5" s="1"/>
      <c r="I5" s="2"/>
      <c r="J5" s="2"/>
      <c r="K5" s="2"/>
      <c r="L5" s="2"/>
      <c r="M5" s="2"/>
      <c r="N5" s="2"/>
      <c r="O5" s="2"/>
      <c r="P5" s="2"/>
      <c r="Q5" s="2"/>
      <c r="R5" s="2"/>
      <c r="S5" s="2"/>
      <c r="T5" s="2"/>
      <c r="U5" s="2"/>
      <c r="V5" s="2"/>
      <c r="W5" s="2"/>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row>
    <row r="6" spans="1:53" ht="18" customHeight="1" x14ac:dyDescent="0.25">
      <c r="A6" s="1"/>
      <c r="B6" s="1"/>
      <c r="C6" s="1"/>
      <c r="D6" s="1"/>
      <c r="E6" s="1"/>
      <c r="F6" s="1"/>
      <c r="G6" s="1"/>
      <c r="H6" s="1"/>
      <c r="I6" s="2"/>
      <c r="J6" s="2"/>
      <c r="K6" s="2"/>
      <c r="L6" s="2"/>
      <c r="M6" s="2"/>
      <c r="N6" s="2"/>
      <c r="O6" s="2"/>
      <c r="P6" s="2"/>
      <c r="Q6" s="2"/>
      <c r="R6" s="2"/>
      <c r="S6" s="2"/>
      <c r="T6" s="2"/>
      <c r="U6" s="2"/>
      <c r="V6" s="2"/>
      <c r="W6" s="2"/>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row>
    <row r="7" spans="1:53" ht="18" customHeight="1" thickBot="1" x14ac:dyDescent="0.3">
      <c r="A7" s="1"/>
      <c r="B7" s="1"/>
      <c r="C7" s="15"/>
      <c r="D7" s="15"/>
      <c r="E7" s="15"/>
      <c r="F7" s="15"/>
      <c r="G7" s="15"/>
      <c r="H7" s="15"/>
      <c r="I7" s="15"/>
      <c r="J7" s="15"/>
      <c r="K7" s="15"/>
      <c r="L7" s="15"/>
      <c r="M7" s="15"/>
      <c r="N7" s="15"/>
      <c r="O7" s="15">
        <v>2022</v>
      </c>
      <c r="P7" s="15">
        <f t="shared" ref="P7" si="0">O7+1</f>
        <v>2023</v>
      </c>
      <c r="Q7" s="15">
        <v>2024</v>
      </c>
      <c r="R7" s="15" t="s">
        <v>380</v>
      </c>
      <c r="S7" s="2"/>
      <c r="T7" s="2"/>
      <c r="U7" s="2"/>
      <c r="V7" s="2"/>
      <c r="W7" s="2"/>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row>
    <row r="8" spans="1:53" ht="18" customHeight="1" x14ac:dyDescent="0.25">
      <c r="A8" s="1"/>
      <c r="B8" s="46" t="s">
        <v>7</v>
      </c>
      <c r="C8" s="45"/>
      <c r="D8" s="45"/>
      <c r="E8" s="45"/>
      <c r="F8" s="45"/>
      <c r="G8" s="45"/>
      <c r="H8" s="45"/>
      <c r="I8" s="45"/>
      <c r="J8" s="45"/>
      <c r="K8" s="45"/>
      <c r="L8" s="45"/>
      <c r="M8" s="45"/>
      <c r="N8" s="45"/>
      <c r="O8" s="45">
        <f>O9+O18</f>
        <v>17314305</v>
      </c>
      <c r="P8" s="45">
        <f>P9+P18</f>
        <v>22177307</v>
      </c>
      <c r="Q8" s="45">
        <f>Q9+Q18</f>
        <v>41886168.02480194</v>
      </c>
      <c r="R8" s="45">
        <f>R9+R18</f>
        <v>15343100</v>
      </c>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row>
    <row r="9" spans="1:53" ht="18" customHeight="1" x14ac:dyDescent="0.25">
      <c r="A9" s="1"/>
      <c r="B9" s="18" t="s">
        <v>2</v>
      </c>
      <c r="C9" s="26"/>
      <c r="D9" s="26"/>
      <c r="E9" s="26"/>
      <c r="F9" s="26"/>
      <c r="G9" s="26"/>
      <c r="H9" s="26"/>
      <c r="I9" s="26"/>
      <c r="J9" s="26"/>
      <c r="K9" s="26"/>
      <c r="L9" s="26"/>
      <c r="M9" s="26"/>
      <c r="N9" s="26"/>
      <c r="O9" s="26">
        <f>O10+O11+O14+O15+O16+O17</f>
        <v>8977617</v>
      </c>
      <c r="P9" s="26">
        <f t="shared" ref="P9:R9" si="1">P10+P11+P14+P15+P16+P17</f>
        <v>10980237</v>
      </c>
      <c r="Q9" s="26">
        <f t="shared" si="1"/>
        <v>18960154.232416999</v>
      </c>
      <c r="R9" s="26">
        <f t="shared" si="1"/>
        <v>7051600</v>
      </c>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row>
    <row r="10" spans="1:53" ht="18" customHeight="1" x14ac:dyDescent="0.25">
      <c r="A10" s="1"/>
      <c r="B10" s="12" t="s">
        <v>354</v>
      </c>
      <c r="C10" s="140"/>
      <c r="D10" s="140"/>
      <c r="E10" s="140"/>
      <c r="F10" s="140"/>
      <c r="G10" s="140"/>
      <c r="H10" s="140"/>
      <c r="I10" s="140"/>
      <c r="J10" s="140"/>
      <c r="K10" s="140"/>
      <c r="L10" s="140"/>
      <c r="M10" s="140"/>
      <c r="N10" s="140"/>
      <c r="O10" s="23">
        <v>292188.00000000006</v>
      </c>
      <c r="P10" s="23">
        <v>291083.99999999994</v>
      </c>
      <c r="Q10" s="23">
        <v>450518.4219326544</v>
      </c>
      <c r="R10" s="23">
        <v>136000</v>
      </c>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row>
    <row r="11" spans="1:53" ht="18" customHeight="1" x14ac:dyDescent="0.25">
      <c r="A11" s="1"/>
      <c r="B11" s="12" t="s">
        <v>355</v>
      </c>
      <c r="C11" s="140"/>
      <c r="D11" s="140"/>
      <c r="E11" s="140"/>
      <c r="F11" s="140"/>
      <c r="G11" s="140"/>
      <c r="H11" s="140"/>
      <c r="I11" s="140"/>
      <c r="J11" s="140"/>
      <c r="K11" s="140"/>
      <c r="L11" s="140"/>
      <c r="M11" s="140"/>
      <c r="N11" s="140"/>
      <c r="O11" s="23">
        <v>2155924</v>
      </c>
      <c r="P11" s="23">
        <v>2567302</v>
      </c>
      <c r="Q11" s="23">
        <v>2245925.9525796473</v>
      </c>
      <c r="R11" s="23">
        <v>967400</v>
      </c>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row>
    <row r="12" spans="1:53" ht="18" customHeight="1" x14ac:dyDescent="0.25">
      <c r="A12" s="1"/>
      <c r="B12" s="54" t="s">
        <v>379</v>
      </c>
      <c r="C12" s="140"/>
      <c r="D12" s="140"/>
      <c r="E12" s="140"/>
      <c r="F12" s="140"/>
      <c r="G12" s="140"/>
      <c r="H12" s="140"/>
      <c r="I12" s="140"/>
      <c r="J12" s="140"/>
      <c r="K12" s="140"/>
      <c r="L12" s="140"/>
      <c r="M12" s="140"/>
      <c r="N12" s="140"/>
      <c r="O12" s="140">
        <f>-('DRE Pro Forma'!O12+'DRE Pro Forma'!O17+'DRE Pro Forma'!O28-'DRE Pro Forma'!O24)/24</f>
        <v>343120.83333333331</v>
      </c>
      <c r="P12" s="140">
        <f>-('DRE Pro Forma'!P12+'DRE Pro Forma'!P17+'DRE Pro Forma'!P28-'DRE Pro Forma'!P24)/24</f>
        <v>514570.83333333331</v>
      </c>
      <c r="Q12" s="140">
        <f>-('DRE Pro Forma'!Q12+'DRE Pro Forma'!Q17+'DRE Pro Forma'!Q28-'DRE Pro Forma'!Q24)/24</f>
        <v>457975</v>
      </c>
      <c r="R12" s="140">
        <f>Q12/'DRE Pro Forma'!Q11*'DRE + DCF'!U10</f>
        <v>493577.87093284039</v>
      </c>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row>
    <row r="13" spans="1:53" ht="18" customHeight="1" x14ac:dyDescent="0.25">
      <c r="A13" s="1"/>
      <c r="B13" s="54" t="s">
        <v>286</v>
      </c>
      <c r="C13" s="140"/>
      <c r="D13" s="140"/>
      <c r="E13" s="140"/>
      <c r="F13" s="140"/>
      <c r="G13" s="140"/>
      <c r="H13" s="140"/>
      <c r="I13" s="140"/>
      <c r="J13" s="140"/>
      <c r="K13" s="140"/>
      <c r="L13" s="140"/>
      <c r="M13" s="140"/>
      <c r="N13" s="140"/>
      <c r="O13" s="140">
        <f>O10+O11-O12</f>
        <v>2104991.1666666665</v>
      </c>
      <c r="P13" s="140">
        <f t="shared" ref="P13:R13" si="2">P10+P11-P12</f>
        <v>2343815.1666666665</v>
      </c>
      <c r="Q13" s="140">
        <f t="shared" si="2"/>
        <v>2238469.3745123018</v>
      </c>
      <c r="R13" s="140">
        <f t="shared" si="2"/>
        <v>609822.12906715961</v>
      </c>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row>
    <row r="14" spans="1:53" ht="18" customHeight="1" x14ac:dyDescent="0.25">
      <c r="A14" s="1"/>
      <c r="B14" s="12" t="s">
        <v>356</v>
      </c>
      <c r="C14" s="23"/>
      <c r="D14" s="23"/>
      <c r="E14" s="23"/>
      <c r="F14" s="23"/>
      <c r="G14" s="23"/>
      <c r="H14" s="23"/>
      <c r="I14" s="23"/>
      <c r="J14" s="23"/>
      <c r="K14" s="23"/>
      <c r="L14" s="23"/>
      <c r="M14" s="23"/>
      <c r="N14" s="23"/>
      <c r="O14" s="23">
        <v>2834566</v>
      </c>
      <c r="P14" s="23">
        <v>3571721.9999999995</v>
      </c>
      <c r="Q14" s="23">
        <v>7194669.5062510315</v>
      </c>
      <c r="R14" s="23">
        <v>2448800</v>
      </c>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row>
    <row r="15" spans="1:53" ht="18" customHeight="1" x14ac:dyDescent="0.25">
      <c r="A15" s="1"/>
      <c r="B15" s="12" t="s">
        <v>5</v>
      </c>
      <c r="C15" s="23"/>
      <c r="D15" s="23"/>
      <c r="E15" s="23"/>
      <c r="F15" s="23"/>
      <c r="G15" s="23"/>
      <c r="H15" s="23"/>
      <c r="I15" s="23"/>
      <c r="J15" s="23"/>
      <c r="K15" s="23"/>
      <c r="L15" s="23"/>
      <c r="M15" s="23"/>
      <c r="N15" s="23"/>
      <c r="O15" s="23">
        <v>2735535</v>
      </c>
      <c r="P15" s="23">
        <v>3348026</v>
      </c>
      <c r="Q15" s="23">
        <v>6420396.5056658182</v>
      </c>
      <c r="R15" s="23">
        <v>2457000</v>
      </c>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row>
    <row r="16" spans="1:53" ht="18" customHeight="1" x14ac:dyDescent="0.25">
      <c r="A16" s="1"/>
      <c r="B16" s="12" t="s">
        <v>357</v>
      </c>
      <c r="C16" s="23"/>
      <c r="D16" s="23"/>
      <c r="E16" s="23"/>
      <c r="F16" s="23"/>
      <c r="G16" s="23"/>
      <c r="H16" s="23"/>
      <c r="I16" s="23"/>
      <c r="J16" s="23"/>
      <c r="K16" s="23"/>
      <c r="L16" s="23"/>
      <c r="M16" s="23"/>
      <c r="N16" s="23"/>
      <c r="O16" s="23">
        <v>676503</v>
      </c>
      <c r="P16" s="23">
        <v>759111</v>
      </c>
      <c r="Q16" s="23">
        <v>980457.25883095793</v>
      </c>
      <c r="R16" s="23">
        <v>331700</v>
      </c>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row>
    <row r="17" spans="1:53" ht="18" customHeight="1" x14ac:dyDescent="0.25">
      <c r="A17" s="1"/>
      <c r="B17" s="12" t="s">
        <v>358</v>
      </c>
      <c r="C17" s="23"/>
      <c r="D17" s="23"/>
      <c r="E17" s="23"/>
      <c r="F17" s="23"/>
      <c r="G17" s="23"/>
      <c r="H17" s="23"/>
      <c r="I17" s="23"/>
      <c r="J17" s="23"/>
      <c r="K17" s="23"/>
      <c r="L17" s="23"/>
      <c r="M17" s="23"/>
      <c r="N17" s="23"/>
      <c r="O17" s="23">
        <v>282901</v>
      </c>
      <c r="P17" s="23">
        <v>442992</v>
      </c>
      <c r="Q17" s="23">
        <v>1668186.5871568893</v>
      </c>
      <c r="R17" s="23">
        <v>710699.99999999988</v>
      </c>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row>
    <row r="18" spans="1:53" ht="18" customHeight="1" x14ac:dyDescent="0.25">
      <c r="A18" s="1"/>
      <c r="B18" s="18" t="s">
        <v>47</v>
      </c>
      <c r="C18" s="23"/>
      <c r="D18" s="23"/>
      <c r="E18" s="23"/>
      <c r="F18" s="23"/>
      <c r="G18" s="23"/>
      <c r="H18" s="23"/>
      <c r="I18" s="23"/>
      <c r="J18" s="23"/>
      <c r="K18" s="23"/>
      <c r="L18" s="23"/>
      <c r="M18" s="23"/>
      <c r="N18" s="23"/>
      <c r="O18" s="26">
        <f>O19+O20+O21+O22+O23+O24+O26+O25+O27+O28</f>
        <v>8336688</v>
      </c>
      <c r="P18" s="26">
        <f t="shared" ref="P18:R18" si="3">P19+P20+P21+P22+P23+P24+P26+P25+P27+P28</f>
        <v>11197070</v>
      </c>
      <c r="Q18" s="26">
        <f t="shared" si="3"/>
        <v>22926013.792384945</v>
      </c>
      <c r="R18" s="26">
        <f t="shared" si="3"/>
        <v>8291500</v>
      </c>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row>
    <row r="19" spans="1:53" ht="18" customHeight="1" x14ac:dyDescent="0.25">
      <c r="A19" s="1"/>
      <c r="B19" s="12" t="s">
        <v>355</v>
      </c>
      <c r="C19" s="23"/>
      <c r="D19" s="23"/>
      <c r="E19" s="23"/>
      <c r="F19" s="23"/>
      <c r="G19" s="23"/>
      <c r="H19" s="23"/>
      <c r="I19" s="23"/>
      <c r="J19" s="23"/>
      <c r="K19" s="23"/>
      <c r="L19" s="23"/>
      <c r="M19" s="23"/>
      <c r="N19" s="23"/>
      <c r="O19" s="23">
        <v>0</v>
      </c>
      <c r="P19" s="23">
        <v>0</v>
      </c>
      <c r="Q19" s="23">
        <v>9418.42389</v>
      </c>
      <c r="R19" s="23">
        <v>7300</v>
      </c>
      <c r="S19" s="1"/>
      <c r="T19" s="160"/>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row>
    <row r="20" spans="1:53" ht="18" customHeight="1" x14ac:dyDescent="0.25">
      <c r="A20" s="1"/>
      <c r="B20" s="12" t="s">
        <v>356</v>
      </c>
      <c r="C20" s="23"/>
      <c r="D20" s="23"/>
      <c r="E20" s="23"/>
      <c r="F20" s="23"/>
      <c r="G20" s="23"/>
      <c r="H20" s="23"/>
      <c r="I20" s="23"/>
      <c r="J20" s="23"/>
      <c r="K20" s="23"/>
      <c r="L20" s="23"/>
      <c r="M20" s="23"/>
      <c r="N20" s="23"/>
      <c r="O20" s="23">
        <v>8798</v>
      </c>
      <c r="P20" s="23">
        <v>8990</v>
      </c>
      <c r="Q20" s="23">
        <v>30823.671130000592</v>
      </c>
      <c r="R20" s="23">
        <v>10800</v>
      </c>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row>
    <row r="21" spans="1:53" ht="18" customHeight="1" x14ac:dyDescent="0.25">
      <c r="A21" s="1"/>
      <c r="B21" s="12" t="s">
        <v>359</v>
      </c>
      <c r="C21" s="23"/>
      <c r="D21" s="23"/>
      <c r="E21" s="23"/>
      <c r="F21" s="23"/>
      <c r="G21" s="23"/>
      <c r="H21" s="23"/>
      <c r="I21" s="23"/>
      <c r="J21" s="23"/>
      <c r="K21" s="23"/>
      <c r="L21" s="23"/>
      <c r="M21" s="23"/>
      <c r="N21" s="23"/>
      <c r="O21" s="23">
        <v>398986.99999999994</v>
      </c>
      <c r="P21" s="23">
        <v>654663</v>
      </c>
      <c r="Q21" s="23">
        <v>2369516.7219100003</v>
      </c>
      <c r="R21" s="23">
        <v>1147200</v>
      </c>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row>
    <row r="22" spans="1:53" ht="18" customHeight="1" x14ac:dyDescent="0.25">
      <c r="A22" s="1"/>
      <c r="B22" s="12" t="s">
        <v>357</v>
      </c>
      <c r="C22" s="23"/>
      <c r="D22" s="23"/>
      <c r="E22" s="23"/>
      <c r="F22" s="23"/>
      <c r="G22" s="23"/>
      <c r="H22" s="23"/>
      <c r="I22" s="23"/>
      <c r="J22" s="23"/>
      <c r="K22" s="23"/>
      <c r="L22" s="23"/>
      <c r="M22" s="23"/>
      <c r="N22" s="23"/>
      <c r="O22" s="23">
        <v>0</v>
      </c>
      <c r="P22" s="23">
        <v>0</v>
      </c>
      <c r="Q22" s="23">
        <v>2039048.1477899998</v>
      </c>
      <c r="R22" s="23">
        <v>1064800</v>
      </c>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row>
    <row r="23" spans="1:53" ht="18" customHeight="1" x14ac:dyDescent="0.25">
      <c r="A23" s="1"/>
      <c r="B23" s="12" t="s">
        <v>358</v>
      </c>
      <c r="C23" s="23"/>
      <c r="D23" s="23"/>
      <c r="E23" s="23"/>
      <c r="F23" s="23"/>
      <c r="G23" s="23"/>
      <c r="H23" s="23"/>
      <c r="I23" s="23"/>
      <c r="J23" s="23"/>
      <c r="K23" s="23"/>
      <c r="L23" s="23"/>
      <c r="M23" s="23"/>
      <c r="N23" s="23"/>
      <c r="O23" s="23">
        <v>852091</v>
      </c>
      <c r="P23" s="23">
        <v>909170</v>
      </c>
      <c r="Q23" s="23">
        <v>1247264.2752410609</v>
      </c>
      <c r="R23" s="23">
        <v>218000</v>
      </c>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row>
    <row r="24" spans="1:53" ht="18" customHeight="1" x14ac:dyDescent="0.25">
      <c r="A24" s="1"/>
      <c r="B24" s="12" t="s">
        <v>360</v>
      </c>
      <c r="C24" s="23"/>
      <c r="D24" s="23"/>
      <c r="E24" s="23"/>
      <c r="F24" s="23"/>
      <c r="G24" s="23"/>
      <c r="H24" s="23"/>
      <c r="I24" s="23"/>
      <c r="J24" s="23"/>
      <c r="K24" s="23"/>
      <c r="L24" s="23"/>
      <c r="M24" s="23"/>
      <c r="N24" s="23"/>
      <c r="O24" s="23">
        <v>12044</v>
      </c>
      <c r="P24" s="23">
        <v>16338.000000000002</v>
      </c>
      <c r="Q24" s="23">
        <v>16635.88683929915</v>
      </c>
      <c r="R24" s="23">
        <v>4100</v>
      </c>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row>
    <row r="25" spans="1:53" ht="18" customHeight="1" x14ac:dyDescent="0.25">
      <c r="A25" s="1"/>
      <c r="B25" s="12" t="s">
        <v>9</v>
      </c>
      <c r="C25" s="23"/>
      <c r="D25" s="23"/>
      <c r="E25" s="23"/>
      <c r="F25" s="23"/>
      <c r="G25" s="23"/>
      <c r="H25" s="23"/>
      <c r="I25" s="23"/>
      <c r="J25" s="23"/>
      <c r="K25" s="23"/>
      <c r="L25" s="23"/>
      <c r="M25" s="23"/>
      <c r="N25" s="23"/>
      <c r="O25" s="23">
        <v>2216633</v>
      </c>
      <c r="P25" s="23">
        <v>3345998</v>
      </c>
      <c r="Q25" s="23">
        <v>6186409.7954033026</v>
      </c>
      <c r="R25" s="23">
        <v>2230100</v>
      </c>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row>
    <row r="26" spans="1:53" ht="18" customHeight="1" x14ac:dyDescent="0.25">
      <c r="A26" s="1"/>
      <c r="B26" s="12" t="s">
        <v>10</v>
      </c>
      <c r="C26" s="23"/>
      <c r="D26" s="23"/>
      <c r="E26" s="23"/>
      <c r="F26" s="23"/>
      <c r="G26" s="23"/>
      <c r="H26" s="23"/>
      <c r="I26" s="23"/>
      <c r="J26" s="23"/>
      <c r="K26" s="23"/>
      <c r="L26" s="23"/>
      <c r="M26" s="23"/>
      <c r="N26" s="23"/>
      <c r="O26" s="23">
        <v>4848135</v>
      </c>
      <c r="P26" s="23">
        <v>6025493</v>
      </c>
      <c r="Q26" s="23">
        <v>10802701.493324609</v>
      </c>
      <c r="R26" s="23">
        <v>3508500</v>
      </c>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row>
    <row r="27" spans="1:53" ht="18" customHeight="1" x14ac:dyDescent="0.25">
      <c r="A27" s="1"/>
      <c r="B27" s="12" t="s">
        <v>173</v>
      </c>
      <c r="C27" s="26"/>
      <c r="D27" s="26"/>
      <c r="E27" s="26"/>
      <c r="F27" s="26"/>
      <c r="G27" s="26"/>
      <c r="H27" s="26"/>
      <c r="I27" s="26"/>
      <c r="J27" s="26"/>
      <c r="K27" s="26"/>
      <c r="L27" s="26"/>
      <c r="M27" s="26"/>
      <c r="N27" s="26"/>
      <c r="O27" s="23">
        <v>0</v>
      </c>
      <c r="P27" s="23">
        <v>0</v>
      </c>
      <c r="Q27" s="23">
        <v>0</v>
      </c>
      <c r="R27" s="23">
        <v>31800</v>
      </c>
      <c r="S27" s="7"/>
      <c r="T27" s="7"/>
      <c r="U27" s="159"/>
      <c r="V27" s="7"/>
      <c r="W27" s="7"/>
      <c r="X27" s="4"/>
      <c r="Y27" s="4"/>
      <c r="Z27" s="1"/>
      <c r="AA27" s="1"/>
      <c r="AB27" s="5"/>
      <c r="AC27" s="5"/>
      <c r="AD27" s="5"/>
      <c r="AE27" s="1"/>
      <c r="AF27" s="1"/>
      <c r="AG27" s="1"/>
      <c r="AH27" s="1"/>
      <c r="AI27" s="1"/>
      <c r="AJ27" s="1"/>
      <c r="AK27" s="1"/>
      <c r="AL27" s="1"/>
      <c r="AM27" s="1"/>
      <c r="AN27" s="1"/>
      <c r="AO27" s="1"/>
      <c r="AP27" s="1"/>
      <c r="AQ27" s="1"/>
      <c r="AR27" s="1"/>
      <c r="AS27" s="1"/>
      <c r="AT27" s="1"/>
      <c r="AU27" s="1"/>
      <c r="AV27" s="1"/>
      <c r="AW27" s="1"/>
      <c r="AX27" s="1"/>
      <c r="AY27" s="1"/>
      <c r="AZ27" s="1"/>
      <c r="BA27" s="1"/>
    </row>
    <row r="28" spans="1:53" ht="18" customHeight="1" x14ac:dyDescent="0.25">
      <c r="A28" s="1"/>
      <c r="B28" s="12" t="s">
        <v>361</v>
      </c>
      <c r="C28" s="23"/>
      <c r="D28" s="23"/>
      <c r="E28" s="23"/>
      <c r="F28" s="23"/>
      <c r="G28" s="23"/>
      <c r="H28" s="23"/>
      <c r="I28" s="23"/>
      <c r="J28" s="23"/>
      <c r="K28" s="23"/>
      <c r="L28" s="23"/>
      <c r="M28" s="23"/>
      <c r="N28" s="23"/>
      <c r="O28" s="23">
        <v>0</v>
      </c>
      <c r="P28" s="23">
        <v>236418</v>
      </c>
      <c r="Q28" s="23">
        <v>224195.376856672</v>
      </c>
      <c r="R28" s="23">
        <v>68900</v>
      </c>
      <c r="S28" s="7"/>
      <c r="T28" s="7"/>
      <c r="U28" s="7"/>
      <c r="V28" s="7"/>
      <c r="W28" s="7"/>
      <c r="X28" s="4"/>
      <c r="Y28" s="4"/>
      <c r="Z28" s="1"/>
      <c r="AA28" s="1"/>
      <c r="AB28" s="5"/>
      <c r="AC28" s="5"/>
      <c r="AD28" s="5"/>
      <c r="AE28" s="1"/>
      <c r="AF28" s="1"/>
      <c r="AG28" s="1"/>
      <c r="AH28" s="1"/>
      <c r="AI28" s="1"/>
      <c r="AJ28" s="1"/>
      <c r="AK28" s="1"/>
      <c r="AL28" s="1"/>
      <c r="AM28" s="1"/>
      <c r="AN28" s="1"/>
      <c r="AO28" s="1"/>
      <c r="AP28" s="1"/>
      <c r="AQ28" s="1"/>
      <c r="AR28" s="1"/>
      <c r="AS28" s="1"/>
      <c r="AT28" s="1"/>
      <c r="AU28" s="1"/>
      <c r="AV28" s="1"/>
      <c r="AW28" s="1"/>
      <c r="AX28" s="1"/>
      <c r="AY28" s="1"/>
      <c r="AZ28" s="1"/>
      <c r="BA28" s="1"/>
    </row>
    <row r="29" spans="1:53" x14ac:dyDescent="0.25">
      <c r="A29" s="1"/>
      <c r="B29" s="25" t="s">
        <v>8</v>
      </c>
      <c r="C29" s="23"/>
      <c r="D29" s="23"/>
      <c r="E29" s="23"/>
      <c r="F29" s="23"/>
      <c r="G29" s="23"/>
      <c r="H29" s="23"/>
      <c r="I29" s="23"/>
      <c r="J29" s="23"/>
      <c r="K29" s="23"/>
      <c r="L29" s="23"/>
      <c r="M29" s="23"/>
      <c r="N29" s="23"/>
      <c r="O29" s="26">
        <f>O30+O36</f>
        <v>7054120</v>
      </c>
      <c r="P29" s="26">
        <f t="shared" ref="P29:R29" si="4">P30+P36</f>
        <v>10791243</v>
      </c>
      <c r="Q29" s="26">
        <f t="shared" si="4"/>
        <v>20236055.68405965</v>
      </c>
      <c r="R29" s="26">
        <f t="shared" si="4"/>
        <v>7538700</v>
      </c>
      <c r="S29" s="7"/>
      <c r="T29" s="7"/>
      <c r="U29" s="7"/>
      <c r="V29" s="7"/>
      <c r="W29" s="7"/>
      <c r="X29" s="4"/>
      <c r="Y29" s="4"/>
      <c r="Z29" s="1"/>
      <c r="AA29" s="1"/>
      <c r="AB29" s="5"/>
      <c r="AC29" s="5"/>
      <c r="AD29" s="5"/>
      <c r="AE29" s="1"/>
      <c r="AF29" s="1"/>
      <c r="AG29" s="1"/>
      <c r="AH29" s="1"/>
      <c r="AI29" s="1"/>
      <c r="AJ29" s="1"/>
      <c r="AK29" s="1"/>
      <c r="AL29" s="1"/>
      <c r="AM29" s="1"/>
      <c r="AN29" s="1"/>
      <c r="AO29" s="1"/>
      <c r="AP29" s="1"/>
      <c r="AQ29" s="1"/>
      <c r="AR29" s="1"/>
      <c r="AS29" s="1"/>
      <c r="AT29" s="1"/>
      <c r="AU29" s="1"/>
      <c r="AV29" s="1"/>
      <c r="AW29" s="1"/>
      <c r="AX29" s="1"/>
      <c r="AY29" s="1"/>
      <c r="AZ29" s="1"/>
      <c r="BA29" s="1"/>
    </row>
    <row r="30" spans="1:53" x14ac:dyDescent="0.25">
      <c r="A30" s="1"/>
      <c r="B30" s="18" t="s">
        <v>362</v>
      </c>
      <c r="C30" s="23"/>
      <c r="D30" s="23"/>
      <c r="E30" s="23"/>
      <c r="F30" s="23"/>
      <c r="G30" s="23"/>
      <c r="H30" s="23"/>
      <c r="I30" s="23"/>
      <c r="J30" s="23"/>
      <c r="K30" s="23"/>
      <c r="L30" s="23"/>
      <c r="M30" s="23"/>
      <c r="N30" s="23"/>
      <c r="O30" s="26">
        <f>O31+O32+O33+O34+O35</f>
        <v>5838793</v>
      </c>
      <c r="P30" s="26">
        <f t="shared" ref="P30:R30" si="5">P31+P32+P33+P34+P35</f>
        <v>7758170</v>
      </c>
      <c r="Q30" s="26">
        <f t="shared" si="5"/>
        <v>12081613.939604117</v>
      </c>
      <c r="R30" s="26">
        <f t="shared" si="5"/>
        <v>4562100</v>
      </c>
      <c r="S30" s="7"/>
      <c r="T30" s="7"/>
      <c r="U30" s="7"/>
      <c r="V30" s="7"/>
      <c r="W30" s="7"/>
      <c r="X30" s="4"/>
      <c r="Y30" s="4"/>
      <c r="Z30" s="1"/>
      <c r="AA30" s="1"/>
      <c r="AB30" s="5"/>
      <c r="AC30" s="5"/>
      <c r="AD30" s="5"/>
      <c r="AE30" s="1"/>
      <c r="AF30" s="1"/>
      <c r="AG30" s="1"/>
      <c r="AH30" s="1"/>
      <c r="AI30" s="1"/>
      <c r="AJ30" s="1"/>
      <c r="AK30" s="1"/>
      <c r="AL30" s="1"/>
      <c r="AM30" s="1"/>
      <c r="AN30" s="1"/>
      <c r="AO30" s="1"/>
      <c r="AP30" s="1"/>
      <c r="AQ30" s="1"/>
      <c r="AR30" s="1"/>
      <c r="AS30" s="1"/>
      <c r="AT30" s="1"/>
      <c r="AU30" s="1"/>
      <c r="AV30" s="1"/>
      <c r="AW30" s="1"/>
      <c r="AX30" s="1"/>
      <c r="AY30" s="1"/>
      <c r="AZ30" s="1"/>
      <c r="BA30" s="1"/>
    </row>
    <row r="31" spans="1:53" x14ac:dyDescent="0.25">
      <c r="A31" s="1"/>
      <c r="B31" s="12" t="s">
        <v>365</v>
      </c>
      <c r="C31" s="23"/>
      <c r="D31" s="23"/>
      <c r="E31" s="23"/>
      <c r="F31" s="23"/>
      <c r="G31" s="23"/>
      <c r="H31" s="23"/>
      <c r="I31" s="23"/>
      <c r="J31" s="23"/>
      <c r="K31" s="23"/>
      <c r="L31" s="23"/>
      <c r="M31" s="23"/>
      <c r="N31" s="23"/>
      <c r="O31" s="23">
        <v>1407173.0000000002</v>
      </c>
      <c r="P31" s="23">
        <v>3275101</v>
      </c>
      <c r="Q31" s="23">
        <v>3950209.7158575761</v>
      </c>
      <c r="R31" s="23">
        <v>1904100</v>
      </c>
      <c r="S31" s="7"/>
      <c r="T31" s="7"/>
      <c r="U31" s="7"/>
      <c r="V31" s="7"/>
      <c r="W31" s="7"/>
      <c r="X31" s="4"/>
      <c r="Y31" s="4"/>
      <c r="Z31" s="1"/>
      <c r="AA31" s="1"/>
      <c r="AB31" s="5"/>
      <c r="AC31" s="5"/>
      <c r="AD31" s="5"/>
      <c r="AE31" s="1"/>
      <c r="AF31" s="1"/>
      <c r="AG31" s="1"/>
      <c r="AH31" s="1"/>
      <c r="AI31" s="1"/>
      <c r="AJ31" s="1"/>
      <c r="AK31" s="1"/>
      <c r="AL31" s="1"/>
      <c r="AM31" s="1"/>
      <c r="AN31" s="1"/>
      <c r="AO31" s="1"/>
      <c r="AP31" s="1"/>
      <c r="AQ31" s="1"/>
      <c r="AR31" s="1"/>
      <c r="AS31" s="1"/>
      <c r="AT31" s="1"/>
      <c r="AU31" s="1"/>
      <c r="AV31" s="1"/>
      <c r="AW31" s="1"/>
      <c r="AX31" s="1"/>
      <c r="AY31" s="1"/>
      <c r="AZ31" s="1"/>
      <c r="BA31" s="1"/>
    </row>
    <row r="32" spans="1:53" x14ac:dyDescent="0.25">
      <c r="A32" s="1"/>
      <c r="B32" s="12" t="s">
        <v>366</v>
      </c>
      <c r="C32" s="23"/>
      <c r="D32" s="23"/>
      <c r="E32" s="23"/>
      <c r="F32" s="23"/>
      <c r="G32" s="23"/>
      <c r="H32" s="23"/>
      <c r="I32" s="23"/>
      <c r="J32" s="23"/>
      <c r="K32" s="23"/>
      <c r="L32" s="23"/>
      <c r="M32" s="23"/>
      <c r="N32" s="23"/>
      <c r="O32" s="23">
        <v>282270</v>
      </c>
      <c r="P32" s="23">
        <v>400560</v>
      </c>
      <c r="Q32" s="23">
        <v>606037.47177292325</v>
      </c>
      <c r="R32" s="23">
        <v>210100</v>
      </c>
      <c r="S32" s="7"/>
      <c r="T32" s="7"/>
      <c r="U32" s="7"/>
      <c r="V32" s="7"/>
      <c r="W32" s="7"/>
      <c r="X32" s="4"/>
      <c r="Y32" s="4"/>
      <c r="Z32" s="1"/>
      <c r="AA32" s="1"/>
      <c r="AB32" s="5"/>
      <c r="AC32" s="5"/>
      <c r="AD32" s="5"/>
      <c r="AE32" s="1"/>
      <c r="AF32" s="1"/>
      <c r="AG32" s="1"/>
      <c r="AH32" s="1"/>
      <c r="AI32" s="1"/>
      <c r="AJ32" s="1"/>
      <c r="AK32" s="1"/>
      <c r="AL32" s="1"/>
      <c r="AM32" s="1"/>
      <c r="AN32" s="1"/>
      <c r="AO32" s="1"/>
      <c r="AP32" s="1"/>
      <c r="AQ32" s="1"/>
      <c r="AR32" s="1"/>
      <c r="AS32" s="1"/>
      <c r="AT32" s="1"/>
      <c r="AU32" s="1"/>
      <c r="AV32" s="1"/>
      <c r="AW32" s="1"/>
      <c r="AX32" s="1"/>
      <c r="AY32" s="1"/>
      <c r="AZ32" s="1"/>
      <c r="BA32" s="1"/>
    </row>
    <row r="33" spans="1:53" x14ac:dyDescent="0.25">
      <c r="A33" s="1"/>
      <c r="B33" s="12" t="s">
        <v>12</v>
      </c>
      <c r="C33" s="23"/>
      <c r="D33" s="23"/>
      <c r="E33" s="23"/>
      <c r="F33" s="23"/>
      <c r="G33" s="23"/>
      <c r="H33" s="23"/>
      <c r="I33" s="23"/>
      <c r="J33" s="23"/>
      <c r="K33" s="23"/>
      <c r="L33" s="23"/>
      <c r="M33" s="23"/>
      <c r="N33" s="23"/>
      <c r="O33" s="23">
        <v>2463878</v>
      </c>
      <c r="P33" s="23">
        <v>2458483</v>
      </c>
      <c r="Q33" s="23">
        <v>4982111.5837707371</v>
      </c>
      <c r="R33" s="23">
        <v>1641900</v>
      </c>
      <c r="S33" s="7"/>
      <c r="T33" s="7"/>
      <c r="U33" s="7"/>
      <c r="V33" s="7"/>
      <c r="W33" s="7"/>
      <c r="X33" s="4"/>
      <c r="Y33" s="4"/>
      <c r="Z33" s="1"/>
      <c r="AA33" s="1"/>
      <c r="AB33" s="5"/>
      <c r="AC33" s="5"/>
      <c r="AD33" s="5"/>
      <c r="AE33" s="1"/>
      <c r="AF33" s="1"/>
      <c r="AG33" s="1"/>
      <c r="AH33" s="1"/>
      <c r="AI33" s="1"/>
      <c r="AJ33" s="1"/>
      <c r="AK33" s="1"/>
      <c r="AL33" s="1"/>
      <c r="AM33" s="1"/>
      <c r="AN33" s="1"/>
      <c r="AO33" s="1"/>
      <c r="AP33" s="1"/>
      <c r="AQ33" s="1"/>
      <c r="AR33" s="1"/>
      <c r="AS33" s="1"/>
      <c r="AT33" s="1"/>
      <c r="AU33" s="1"/>
      <c r="AV33" s="1"/>
      <c r="AW33" s="1"/>
      <c r="AX33" s="1"/>
      <c r="AY33" s="1"/>
      <c r="AZ33" s="1"/>
      <c r="BA33" s="1"/>
    </row>
    <row r="34" spans="1:53" x14ac:dyDescent="0.25">
      <c r="A34" s="1"/>
      <c r="B34" s="12" t="s">
        <v>367</v>
      </c>
      <c r="C34" s="23"/>
      <c r="D34" s="23"/>
      <c r="E34" s="23"/>
      <c r="F34" s="23"/>
      <c r="G34" s="23"/>
      <c r="H34" s="23"/>
      <c r="I34" s="23"/>
      <c r="J34" s="23"/>
      <c r="K34" s="23"/>
      <c r="L34" s="23"/>
      <c r="M34" s="23"/>
      <c r="N34" s="23"/>
      <c r="O34" s="23">
        <v>1685472</v>
      </c>
      <c r="P34" s="23">
        <v>1624025.9999999998</v>
      </c>
      <c r="Q34" s="23">
        <v>2512633.1682028784</v>
      </c>
      <c r="R34" s="23">
        <v>806000</v>
      </c>
      <c r="S34" s="7"/>
      <c r="T34" s="7"/>
      <c r="U34" s="7"/>
      <c r="V34" s="7"/>
      <c r="W34" s="7"/>
      <c r="X34" s="4"/>
      <c r="Y34" s="4"/>
      <c r="Z34" s="1"/>
      <c r="AA34" s="1"/>
      <c r="AB34" s="5"/>
      <c r="AC34" s="5"/>
      <c r="AD34" s="5"/>
      <c r="AE34" s="1"/>
      <c r="AF34" s="1"/>
      <c r="AG34" s="1"/>
      <c r="AH34" s="1"/>
      <c r="AI34" s="1"/>
      <c r="AJ34" s="1"/>
      <c r="AK34" s="1"/>
      <c r="AL34" s="1"/>
      <c r="AM34" s="1"/>
      <c r="AN34" s="1"/>
      <c r="AO34" s="1"/>
      <c r="AP34" s="1"/>
      <c r="AQ34" s="1"/>
      <c r="AR34" s="1"/>
      <c r="AS34" s="1"/>
      <c r="AT34" s="1"/>
      <c r="AU34" s="1"/>
      <c r="AV34" s="1"/>
      <c r="AW34" s="1"/>
      <c r="AX34" s="1"/>
      <c r="AY34" s="1"/>
      <c r="AZ34" s="1"/>
      <c r="BA34" s="1"/>
    </row>
    <row r="35" spans="1:53" x14ac:dyDescent="0.25">
      <c r="A35" s="1"/>
      <c r="B35" s="12" t="s">
        <v>368</v>
      </c>
      <c r="C35" s="23"/>
      <c r="D35" s="23"/>
      <c r="E35" s="23"/>
      <c r="F35" s="23"/>
      <c r="G35" s="23"/>
      <c r="H35" s="23"/>
      <c r="I35" s="23"/>
      <c r="J35" s="23"/>
      <c r="K35" s="23"/>
      <c r="L35" s="23"/>
      <c r="M35" s="23"/>
      <c r="N35" s="23"/>
      <c r="O35" s="23">
        <v>0</v>
      </c>
      <c r="P35" s="23">
        <v>0</v>
      </c>
      <c r="Q35" s="23">
        <v>30622</v>
      </c>
      <c r="R35" s="23">
        <v>0</v>
      </c>
      <c r="S35" s="7"/>
      <c r="T35" s="7"/>
      <c r="U35" s="7"/>
      <c r="V35" s="7"/>
      <c r="W35" s="7"/>
      <c r="X35" s="4"/>
      <c r="Y35" s="4"/>
      <c r="Z35" s="1"/>
      <c r="AA35" s="1"/>
      <c r="AB35" s="5"/>
      <c r="AC35" s="5"/>
      <c r="AD35" s="5"/>
      <c r="AE35" s="1"/>
      <c r="AF35" s="1"/>
      <c r="AG35" s="1"/>
      <c r="AH35" s="1"/>
      <c r="AI35" s="1"/>
      <c r="AJ35" s="1"/>
      <c r="AK35" s="1"/>
      <c r="AL35" s="1"/>
      <c r="AM35" s="1"/>
      <c r="AN35" s="1"/>
      <c r="AO35" s="1"/>
      <c r="AP35" s="1"/>
      <c r="AQ35" s="1"/>
      <c r="AR35" s="1"/>
      <c r="AS35" s="1"/>
      <c r="AT35" s="1"/>
      <c r="AU35" s="1"/>
      <c r="AV35" s="1"/>
      <c r="AW35" s="1"/>
      <c r="AX35" s="1"/>
      <c r="AY35" s="1"/>
      <c r="AZ35" s="1"/>
      <c r="BA35" s="1"/>
    </row>
    <row r="36" spans="1:53" x14ac:dyDescent="0.25">
      <c r="A36" s="1"/>
      <c r="B36" s="18" t="s">
        <v>363</v>
      </c>
      <c r="C36" s="23"/>
      <c r="D36" s="23"/>
      <c r="E36" s="23"/>
      <c r="F36" s="23"/>
      <c r="G36" s="23"/>
      <c r="H36" s="23"/>
      <c r="I36" s="23"/>
      <c r="J36" s="23"/>
      <c r="K36" s="23"/>
      <c r="L36" s="23"/>
      <c r="M36" s="23"/>
      <c r="N36" s="23"/>
      <c r="O36" s="26">
        <f>O37+O38+O39+O40+O41+O42</f>
        <v>1215327</v>
      </c>
      <c r="P36" s="26">
        <f t="shared" ref="P36:R36" si="6">P37+P38+P39+P40+P41+P42</f>
        <v>3033073</v>
      </c>
      <c r="Q36" s="26">
        <f t="shared" si="6"/>
        <v>8154441.7444555331</v>
      </c>
      <c r="R36" s="26">
        <f t="shared" si="6"/>
        <v>2976600</v>
      </c>
      <c r="S36" s="7"/>
      <c r="T36" s="7"/>
      <c r="U36" s="7"/>
      <c r="V36" s="7"/>
      <c r="W36" s="7"/>
      <c r="X36" s="4"/>
      <c r="Y36" s="4"/>
      <c r="Z36" s="1"/>
      <c r="AA36" s="1"/>
      <c r="AB36" s="5"/>
      <c r="AC36" s="5"/>
      <c r="AD36" s="5"/>
      <c r="AE36" s="1"/>
      <c r="AF36" s="1"/>
      <c r="AG36" s="1"/>
      <c r="AH36" s="1"/>
      <c r="AI36" s="1"/>
      <c r="AJ36" s="1"/>
      <c r="AK36" s="1"/>
      <c r="AL36" s="1"/>
      <c r="AM36" s="1"/>
      <c r="AN36" s="1"/>
      <c r="AO36" s="1"/>
      <c r="AP36" s="1"/>
      <c r="AQ36" s="1"/>
      <c r="AR36" s="1"/>
      <c r="AS36" s="1"/>
      <c r="AT36" s="1"/>
      <c r="AU36" s="1"/>
      <c r="AV36" s="1"/>
      <c r="AW36" s="1"/>
      <c r="AX36" s="1"/>
      <c r="AY36" s="1"/>
      <c r="AZ36" s="1"/>
      <c r="BA36" s="1"/>
    </row>
    <row r="37" spans="1:53" x14ac:dyDescent="0.25">
      <c r="A37" s="1"/>
      <c r="B37" s="12" t="s">
        <v>365</v>
      </c>
      <c r="C37" s="23"/>
      <c r="D37" s="23"/>
      <c r="E37" s="23"/>
      <c r="F37" s="23"/>
      <c r="G37" s="23"/>
      <c r="H37" s="23"/>
      <c r="I37" s="23"/>
      <c r="J37" s="23"/>
      <c r="K37" s="23"/>
      <c r="L37" s="23"/>
      <c r="M37" s="23"/>
      <c r="N37" s="23"/>
      <c r="O37" s="23">
        <v>45510.999999999993</v>
      </c>
      <c r="P37" s="23">
        <v>986642</v>
      </c>
      <c r="Q37" s="23">
        <v>3474717.3074499997</v>
      </c>
      <c r="R37" s="23">
        <v>1335800</v>
      </c>
      <c r="S37" s="7"/>
      <c r="T37" s="7"/>
      <c r="U37" s="7"/>
      <c r="V37" s="7"/>
      <c r="W37" s="7"/>
      <c r="X37" s="4"/>
      <c r="Y37" s="4"/>
      <c r="Z37" s="1"/>
      <c r="AA37" s="1"/>
      <c r="AB37" s="5"/>
      <c r="AC37" s="5"/>
      <c r="AD37" s="5"/>
      <c r="AE37" s="1"/>
      <c r="AF37" s="1"/>
      <c r="AG37" s="1"/>
      <c r="AH37" s="1"/>
      <c r="AI37" s="1"/>
      <c r="AJ37" s="1"/>
      <c r="AK37" s="1"/>
      <c r="AL37" s="1"/>
      <c r="AM37" s="1"/>
      <c r="AN37" s="1"/>
      <c r="AO37" s="1"/>
      <c r="AP37" s="1"/>
      <c r="AQ37" s="1"/>
      <c r="AR37" s="1"/>
      <c r="AS37" s="1"/>
      <c r="AT37" s="1"/>
      <c r="AU37" s="1"/>
      <c r="AV37" s="1"/>
      <c r="AW37" s="1"/>
      <c r="AX37" s="1"/>
      <c r="AY37" s="1"/>
      <c r="AZ37" s="1"/>
      <c r="BA37" s="1"/>
    </row>
    <row r="38" spans="1:53" x14ac:dyDescent="0.25">
      <c r="A38" s="1"/>
      <c r="B38" s="12" t="s">
        <v>369</v>
      </c>
      <c r="C38" s="23"/>
      <c r="D38" s="23"/>
      <c r="E38" s="23"/>
      <c r="F38" s="23"/>
      <c r="G38" s="23"/>
      <c r="H38" s="23"/>
      <c r="I38" s="23"/>
      <c r="J38" s="23"/>
      <c r="K38" s="23"/>
      <c r="L38" s="23"/>
      <c r="M38" s="23"/>
      <c r="N38" s="23"/>
      <c r="O38" s="23">
        <v>0</v>
      </c>
      <c r="P38" s="23">
        <v>69878</v>
      </c>
      <c r="Q38" s="23">
        <v>0</v>
      </c>
      <c r="R38" s="23">
        <v>0</v>
      </c>
      <c r="S38" s="7"/>
      <c r="T38" s="7"/>
      <c r="U38" s="7"/>
      <c r="V38" s="7"/>
      <c r="W38" s="7"/>
      <c r="X38" s="4"/>
      <c r="Y38" s="4"/>
      <c r="Z38" s="1"/>
      <c r="AA38" s="1"/>
      <c r="AB38" s="5"/>
      <c r="AC38" s="5"/>
      <c r="AD38" s="5"/>
      <c r="AE38" s="1"/>
      <c r="AF38" s="1"/>
      <c r="AG38" s="1"/>
      <c r="AH38" s="1"/>
      <c r="AI38" s="1"/>
      <c r="AJ38" s="1"/>
      <c r="AK38" s="1"/>
      <c r="AL38" s="1"/>
      <c r="AM38" s="1"/>
      <c r="AN38" s="1"/>
      <c r="AO38" s="1"/>
      <c r="AP38" s="1"/>
      <c r="AQ38" s="1"/>
      <c r="AR38" s="1"/>
      <c r="AS38" s="1"/>
      <c r="AT38" s="1"/>
      <c r="AU38" s="1"/>
      <c r="AV38" s="1"/>
      <c r="AW38" s="1"/>
      <c r="AX38" s="1"/>
      <c r="AY38" s="1"/>
      <c r="AZ38" s="1"/>
      <c r="BA38" s="1"/>
    </row>
    <row r="39" spans="1:53" x14ac:dyDescent="0.25">
      <c r="A39" s="1"/>
      <c r="B39" s="12" t="s">
        <v>367</v>
      </c>
      <c r="C39" s="23"/>
      <c r="D39" s="23"/>
      <c r="E39" s="23"/>
      <c r="F39" s="23"/>
      <c r="G39" s="23"/>
      <c r="H39" s="23"/>
      <c r="I39" s="23"/>
      <c r="J39" s="23"/>
      <c r="K39" s="23"/>
      <c r="L39" s="23"/>
      <c r="M39" s="23"/>
      <c r="N39" s="23"/>
      <c r="O39" s="23">
        <v>286679</v>
      </c>
      <c r="P39" s="23">
        <v>599585</v>
      </c>
      <c r="Q39" s="23">
        <v>2166285.9795738766</v>
      </c>
      <c r="R39" s="23">
        <v>791100</v>
      </c>
      <c r="S39" s="7"/>
      <c r="T39" s="7"/>
      <c r="U39" s="7"/>
      <c r="V39" s="7"/>
      <c r="W39" s="7"/>
      <c r="X39" s="4"/>
      <c r="Y39" s="4"/>
      <c r="Z39" s="1"/>
      <c r="AA39" s="1"/>
      <c r="AB39" s="5"/>
      <c r="AC39" s="5"/>
      <c r="AD39" s="5"/>
      <c r="AE39" s="1"/>
      <c r="AF39" s="1"/>
      <c r="AG39" s="1"/>
      <c r="AH39" s="1"/>
      <c r="AI39" s="1"/>
      <c r="AJ39" s="1"/>
      <c r="AK39" s="1"/>
      <c r="AL39" s="1"/>
      <c r="AM39" s="1"/>
      <c r="AN39" s="1"/>
      <c r="AO39" s="1"/>
      <c r="AP39" s="1"/>
      <c r="AQ39" s="1"/>
      <c r="AR39" s="1"/>
      <c r="AS39" s="1"/>
      <c r="AT39" s="1"/>
      <c r="AU39" s="1"/>
      <c r="AV39" s="1"/>
      <c r="AW39" s="1"/>
      <c r="AX39" s="1"/>
      <c r="AY39" s="1"/>
      <c r="AZ39" s="1"/>
      <c r="BA39" s="1"/>
    </row>
    <row r="40" spans="1:53" x14ac:dyDescent="0.25">
      <c r="A40" s="1"/>
      <c r="B40" s="12" t="s">
        <v>366</v>
      </c>
      <c r="C40" s="23"/>
      <c r="D40" s="23"/>
      <c r="E40" s="23"/>
      <c r="F40" s="23"/>
      <c r="G40" s="23"/>
      <c r="H40" s="23"/>
      <c r="I40" s="23"/>
      <c r="J40" s="23"/>
      <c r="K40" s="23"/>
      <c r="L40" s="23"/>
      <c r="M40" s="23"/>
      <c r="N40" s="23"/>
      <c r="O40" s="23">
        <v>870583</v>
      </c>
      <c r="P40" s="23">
        <v>1136808</v>
      </c>
      <c r="Q40" s="23">
        <v>2027879.7634553271</v>
      </c>
      <c r="R40" s="23">
        <v>623300</v>
      </c>
      <c r="S40" s="7"/>
      <c r="T40" s="7"/>
      <c r="U40" s="7"/>
      <c r="V40" s="7"/>
      <c r="W40" s="7"/>
      <c r="X40" s="4"/>
      <c r="Y40" s="4"/>
      <c r="Z40" s="1"/>
      <c r="AA40" s="1"/>
      <c r="AB40" s="5"/>
      <c r="AC40" s="5"/>
      <c r="AD40" s="5"/>
      <c r="AE40" s="1"/>
      <c r="AF40" s="1"/>
      <c r="AG40" s="1"/>
      <c r="AH40" s="1"/>
      <c r="AI40" s="1"/>
      <c r="AJ40" s="1"/>
      <c r="AK40" s="1"/>
      <c r="AL40" s="1"/>
      <c r="AM40" s="1"/>
      <c r="AN40" s="1"/>
      <c r="AO40" s="1"/>
      <c r="AP40" s="1"/>
      <c r="AQ40" s="1"/>
      <c r="AR40" s="1"/>
      <c r="AS40" s="1"/>
      <c r="AT40" s="1"/>
      <c r="AU40" s="1"/>
      <c r="AV40" s="1"/>
      <c r="AW40" s="1"/>
      <c r="AX40" s="1"/>
      <c r="AY40" s="1"/>
      <c r="AZ40" s="1"/>
      <c r="BA40" s="1"/>
    </row>
    <row r="41" spans="1:53" x14ac:dyDescent="0.25">
      <c r="A41" s="1"/>
      <c r="B41" s="12" t="s">
        <v>370</v>
      </c>
      <c r="C41" s="23"/>
      <c r="D41" s="23"/>
      <c r="E41" s="23"/>
      <c r="F41" s="23"/>
      <c r="G41" s="23"/>
      <c r="H41" s="23"/>
      <c r="I41" s="23"/>
      <c r="J41" s="23"/>
      <c r="K41" s="23"/>
      <c r="L41" s="23"/>
      <c r="M41" s="23"/>
      <c r="N41" s="23"/>
      <c r="O41" s="23">
        <v>12553.999999999998</v>
      </c>
      <c r="P41" s="23">
        <v>3742</v>
      </c>
      <c r="Q41" s="23">
        <v>485558.69397632946</v>
      </c>
      <c r="R41" s="23">
        <v>226400</v>
      </c>
      <c r="S41" s="7"/>
      <c r="T41" s="7"/>
      <c r="U41" s="7"/>
      <c r="V41" s="7"/>
      <c r="W41" s="7"/>
      <c r="X41" s="4"/>
      <c r="Y41" s="4"/>
      <c r="Z41" s="1"/>
      <c r="AA41" s="1"/>
      <c r="AB41" s="5"/>
      <c r="AC41" s="5"/>
      <c r="AD41" s="5"/>
      <c r="AE41" s="1"/>
      <c r="AF41" s="1"/>
      <c r="AG41" s="1"/>
      <c r="AH41" s="1"/>
      <c r="AI41" s="1"/>
      <c r="AJ41" s="1"/>
      <c r="AK41" s="1"/>
      <c r="AL41" s="1"/>
      <c r="AM41" s="1"/>
      <c r="AN41" s="1"/>
      <c r="AO41" s="1"/>
      <c r="AP41" s="1"/>
      <c r="AQ41" s="1"/>
      <c r="AR41" s="1"/>
      <c r="AS41" s="1"/>
      <c r="AT41" s="1"/>
      <c r="AU41" s="1"/>
      <c r="AV41" s="1"/>
      <c r="AW41" s="1"/>
      <c r="AX41" s="1"/>
      <c r="AY41" s="1"/>
      <c r="AZ41" s="1"/>
      <c r="BA41" s="1"/>
    </row>
    <row r="42" spans="1:53" x14ac:dyDescent="0.25">
      <c r="A42" s="1"/>
      <c r="B42" s="12" t="s">
        <v>361</v>
      </c>
      <c r="C42" s="23"/>
      <c r="D42" s="23"/>
      <c r="E42" s="23"/>
      <c r="F42" s="23"/>
      <c r="G42" s="23"/>
      <c r="H42" s="23"/>
      <c r="I42" s="23"/>
      <c r="J42" s="23"/>
      <c r="K42" s="23"/>
      <c r="L42" s="23"/>
      <c r="M42" s="23"/>
      <c r="N42" s="23"/>
      <c r="O42" s="23">
        <v>0</v>
      </c>
      <c r="P42" s="23">
        <v>236418</v>
      </c>
      <c r="Q42" s="23">
        <v>0</v>
      </c>
      <c r="R42" s="23">
        <v>0</v>
      </c>
      <c r="S42" s="7"/>
      <c r="T42" s="7"/>
      <c r="U42" s="7"/>
      <c r="V42" s="7"/>
      <c r="W42" s="7"/>
      <c r="X42" s="4"/>
      <c r="Y42" s="4"/>
      <c r="Z42" s="1"/>
      <c r="AA42" s="1"/>
      <c r="AB42" s="5"/>
      <c r="AC42" s="5"/>
      <c r="AD42" s="5"/>
      <c r="AE42" s="1"/>
      <c r="AF42" s="1"/>
      <c r="AG42" s="1"/>
      <c r="AH42" s="1"/>
      <c r="AI42" s="1"/>
      <c r="AJ42" s="1"/>
      <c r="AK42" s="1"/>
      <c r="AL42" s="1"/>
      <c r="AM42" s="1"/>
      <c r="AN42" s="1"/>
      <c r="AO42" s="1"/>
      <c r="AP42" s="1"/>
      <c r="AQ42" s="1"/>
      <c r="AR42" s="1"/>
      <c r="AS42" s="1"/>
      <c r="AT42" s="1"/>
      <c r="AU42" s="1"/>
      <c r="AV42" s="1"/>
      <c r="AW42" s="1"/>
      <c r="AX42" s="1"/>
      <c r="AY42" s="1"/>
      <c r="AZ42" s="1"/>
      <c r="BA42" s="1"/>
    </row>
    <row r="43" spans="1:53" x14ac:dyDescent="0.25">
      <c r="A43" s="1"/>
      <c r="B43" s="18" t="s">
        <v>364</v>
      </c>
      <c r="C43" s="23"/>
      <c r="D43" s="23"/>
      <c r="E43" s="23"/>
      <c r="F43" s="23"/>
      <c r="G43" s="23"/>
      <c r="H43" s="23"/>
      <c r="I43" s="23"/>
      <c r="J43" s="23"/>
      <c r="K43" s="23"/>
      <c r="L43" s="23"/>
      <c r="M43" s="23"/>
      <c r="N43" s="23"/>
      <c r="O43" s="26">
        <f>O44+O45+O46+O47+O48+O49+O50+O51+O52</f>
        <v>10260185</v>
      </c>
      <c r="P43" s="26">
        <f t="shared" ref="P43:R43" si="7">P44+P45+P46+P47+P48+P49+P50+P51+P52</f>
        <v>11386064</v>
      </c>
      <c r="Q43" s="26">
        <f t="shared" si="7"/>
        <v>21650112.323074795</v>
      </c>
      <c r="R43" s="26">
        <f t="shared" si="7"/>
        <v>7804400</v>
      </c>
      <c r="S43" s="7"/>
      <c r="T43" s="7"/>
      <c r="U43" s="7"/>
      <c r="V43" s="7"/>
      <c r="W43" s="7"/>
      <c r="X43" s="4"/>
      <c r="Y43" s="4"/>
      <c r="Z43" s="1"/>
      <c r="AA43" s="1"/>
      <c r="AB43" s="5"/>
      <c r="AC43" s="5"/>
      <c r="AD43" s="5"/>
      <c r="AE43" s="1"/>
      <c r="AF43" s="1"/>
      <c r="AG43" s="1"/>
      <c r="AH43" s="1"/>
      <c r="AI43" s="1"/>
      <c r="AJ43" s="1"/>
      <c r="AK43" s="1"/>
      <c r="AL43" s="1"/>
      <c r="AM43" s="1"/>
      <c r="AN43" s="1"/>
      <c r="AO43" s="1"/>
      <c r="AP43" s="1"/>
      <c r="AQ43" s="1"/>
      <c r="AR43" s="1"/>
      <c r="AS43" s="1"/>
      <c r="AT43" s="1"/>
      <c r="AU43" s="1"/>
      <c r="AV43" s="1"/>
      <c r="AW43" s="1"/>
      <c r="AX43" s="1"/>
      <c r="AY43" s="1"/>
      <c r="AZ43" s="1"/>
      <c r="BA43" s="1"/>
    </row>
    <row r="44" spans="1:53" x14ac:dyDescent="0.25">
      <c r="A44" s="1"/>
      <c r="B44" s="12" t="s">
        <v>371</v>
      </c>
      <c r="C44" s="23"/>
      <c r="D44" s="23"/>
      <c r="E44" s="23"/>
      <c r="F44" s="23"/>
      <c r="G44" s="23"/>
      <c r="H44" s="23"/>
      <c r="I44" s="23"/>
      <c r="J44" s="23"/>
      <c r="K44" s="23"/>
      <c r="L44" s="23"/>
      <c r="M44" s="23"/>
      <c r="N44" s="23"/>
      <c r="O44" s="23">
        <v>6634366</v>
      </c>
      <c r="P44" s="23">
        <v>6886403</v>
      </c>
      <c r="Q44" s="23">
        <v>8110823.38179</v>
      </c>
      <c r="R44" s="23">
        <v>2317200</v>
      </c>
      <c r="S44" s="7"/>
      <c r="T44" s="7"/>
      <c r="U44" s="7"/>
      <c r="V44" s="7"/>
      <c r="W44" s="7"/>
      <c r="X44" s="4"/>
      <c r="Y44" s="4"/>
      <c r="Z44" s="1"/>
      <c r="AA44" s="1"/>
      <c r="AB44" s="5"/>
      <c r="AC44" s="5"/>
      <c r="AD44" s="5"/>
      <c r="AE44" s="1"/>
      <c r="AF44" s="1"/>
      <c r="AG44" s="1"/>
      <c r="AH44" s="1"/>
      <c r="AI44" s="1"/>
      <c r="AJ44" s="1"/>
      <c r="AK44" s="1"/>
      <c r="AL44" s="1"/>
      <c r="AM44" s="1"/>
      <c r="AN44" s="1"/>
      <c r="AO44" s="1"/>
      <c r="AP44" s="1"/>
      <c r="AQ44" s="1"/>
      <c r="AR44" s="1"/>
      <c r="AS44" s="1"/>
      <c r="AT44" s="1"/>
      <c r="AU44" s="1"/>
      <c r="AV44" s="1"/>
      <c r="AW44" s="1"/>
      <c r="AX44" s="1"/>
      <c r="AY44" s="1"/>
      <c r="AZ44" s="1"/>
      <c r="BA44" s="1"/>
    </row>
    <row r="45" spans="1:53" x14ac:dyDescent="0.25">
      <c r="A45" s="1"/>
      <c r="B45" s="12" t="s">
        <v>372</v>
      </c>
      <c r="C45" s="23"/>
      <c r="D45" s="23"/>
      <c r="E45" s="23"/>
      <c r="F45" s="23"/>
      <c r="G45" s="23"/>
      <c r="H45" s="23"/>
      <c r="I45" s="23"/>
      <c r="J45" s="23"/>
      <c r="K45" s="23"/>
      <c r="L45" s="23"/>
      <c r="M45" s="23"/>
      <c r="N45" s="23"/>
      <c r="O45" s="23">
        <v>664320.99999999988</v>
      </c>
      <c r="P45" s="23">
        <v>691048</v>
      </c>
      <c r="Q45" s="23">
        <v>9642879.7322499994</v>
      </c>
      <c r="R45" s="23">
        <v>4240000</v>
      </c>
      <c r="S45" s="2"/>
      <c r="T45" s="2"/>
      <c r="U45" s="2"/>
      <c r="V45" s="2"/>
      <c r="W45" s="2"/>
      <c r="X45" s="1"/>
      <c r="Y45" s="1"/>
      <c r="Z45" s="1"/>
      <c r="AA45" s="1"/>
      <c r="AB45" s="5"/>
      <c r="AC45" s="5"/>
      <c r="AD45" s="5"/>
      <c r="AE45" s="1"/>
      <c r="AF45" s="1"/>
      <c r="AG45" s="1"/>
      <c r="AH45" s="1"/>
      <c r="AI45" s="1"/>
      <c r="AJ45" s="1"/>
      <c r="AK45" s="1"/>
      <c r="AL45" s="1"/>
      <c r="AM45" s="1"/>
      <c r="AN45" s="1"/>
      <c r="AO45" s="1"/>
      <c r="AP45" s="1"/>
      <c r="AQ45" s="1"/>
      <c r="AR45" s="1"/>
      <c r="AS45" s="1"/>
      <c r="AT45" s="1"/>
      <c r="AU45" s="1"/>
      <c r="AV45" s="1"/>
      <c r="AW45" s="1"/>
      <c r="AX45" s="1"/>
      <c r="AY45" s="1"/>
      <c r="AZ45" s="1"/>
      <c r="BA45" s="1"/>
    </row>
    <row r="46" spans="1:53" x14ac:dyDescent="0.25">
      <c r="A46" s="1"/>
      <c r="B46" s="12" t="s">
        <v>373</v>
      </c>
      <c r="C46" s="23"/>
      <c r="D46" s="23"/>
      <c r="E46" s="23"/>
      <c r="F46" s="23"/>
      <c r="G46" s="23"/>
      <c r="H46" s="23"/>
      <c r="I46" s="23"/>
      <c r="J46" s="23"/>
      <c r="K46" s="23"/>
      <c r="L46" s="23"/>
      <c r="M46" s="23"/>
      <c r="N46" s="23"/>
      <c r="O46" s="23">
        <v>2438830</v>
      </c>
      <c r="P46" s="23">
        <v>3254397</v>
      </c>
      <c r="Q46" s="23">
        <v>3282290.6420102972</v>
      </c>
      <c r="R46" s="23">
        <v>1162600</v>
      </c>
      <c r="S46" s="2"/>
      <c r="T46" s="2"/>
      <c r="U46" s="2"/>
      <c r="V46" s="29"/>
      <c r="W46" s="2"/>
      <c r="X46" s="1"/>
      <c r="Y46" s="1"/>
      <c r="Z46" s="1"/>
      <c r="AA46" s="1"/>
      <c r="AB46" s="5"/>
      <c r="AC46" s="5"/>
      <c r="AD46" s="5"/>
      <c r="AE46" s="1"/>
      <c r="AF46" s="1"/>
      <c r="AG46" s="1"/>
      <c r="AH46" s="1"/>
      <c r="AI46" s="1"/>
      <c r="AJ46" s="1"/>
      <c r="AK46" s="1"/>
      <c r="AL46" s="1"/>
      <c r="AM46" s="1"/>
      <c r="AN46" s="1"/>
      <c r="AO46" s="1"/>
      <c r="AP46" s="1"/>
      <c r="AQ46" s="1"/>
      <c r="AR46" s="1"/>
      <c r="AS46" s="1"/>
      <c r="AT46" s="1"/>
      <c r="AU46" s="1"/>
      <c r="AV46" s="1"/>
      <c r="AW46" s="1"/>
      <c r="AX46" s="1"/>
      <c r="AY46" s="1"/>
      <c r="AZ46" s="1"/>
      <c r="BA46" s="1"/>
    </row>
    <row r="47" spans="1:53" x14ac:dyDescent="0.25">
      <c r="A47" s="1"/>
      <c r="B47" s="12" t="s">
        <v>374</v>
      </c>
      <c r="C47" s="23"/>
      <c r="D47" s="23"/>
      <c r="E47" s="23"/>
      <c r="F47" s="23"/>
      <c r="G47" s="23"/>
      <c r="H47" s="23"/>
      <c r="I47" s="23"/>
      <c r="J47" s="23"/>
      <c r="K47" s="23"/>
      <c r="L47" s="23"/>
      <c r="M47" s="23"/>
      <c r="N47" s="23"/>
      <c r="O47" s="23">
        <v>-24458</v>
      </c>
      <c r="P47" s="23">
        <v>-35667</v>
      </c>
      <c r="Q47" s="23">
        <v>-71230.489986991131</v>
      </c>
      <c r="R47" s="23">
        <v>-26800</v>
      </c>
      <c r="S47" s="2"/>
      <c r="T47" s="2"/>
      <c r="U47" s="2"/>
      <c r="V47" s="2"/>
      <c r="W47" s="2"/>
      <c r="X47" s="1"/>
      <c r="Y47" s="1"/>
      <c r="Z47" s="1"/>
      <c r="AA47" s="1"/>
      <c r="AB47" s="5"/>
      <c r="AC47" s="5"/>
      <c r="AD47" s="5"/>
      <c r="AE47" s="1"/>
      <c r="AF47" s="1"/>
      <c r="AG47" s="1"/>
      <c r="AH47" s="1"/>
      <c r="AI47" s="1"/>
      <c r="AJ47" s="1"/>
      <c r="AK47" s="1"/>
      <c r="AL47" s="1"/>
      <c r="AM47" s="1"/>
      <c r="AN47" s="1"/>
      <c r="AO47" s="1"/>
      <c r="AP47" s="1"/>
      <c r="AQ47" s="1"/>
      <c r="AR47" s="1"/>
      <c r="AS47" s="1"/>
      <c r="AT47" s="1"/>
      <c r="AU47" s="1"/>
      <c r="AV47" s="1"/>
      <c r="AW47" s="1"/>
      <c r="AX47" s="1"/>
      <c r="AY47" s="1"/>
      <c r="AZ47" s="1"/>
      <c r="BA47" s="1"/>
    </row>
    <row r="48" spans="1:53" x14ac:dyDescent="0.25">
      <c r="A48" s="1"/>
      <c r="B48" s="12" t="s">
        <v>375</v>
      </c>
      <c r="C48" s="23"/>
      <c r="D48" s="23"/>
      <c r="E48" s="23"/>
      <c r="F48" s="23"/>
      <c r="G48" s="23"/>
      <c r="H48" s="23"/>
      <c r="I48" s="23"/>
      <c r="J48" s="23"/>
      <c r="K48" s="23"/>
      <c r="L48" s="23"/>
      <c r="M48" s="23"/>
      <c r="N48" s="23"/>
      <c r="O48" s="23">
        <v>494887</v>
      </c>
      <c r="P48" s="23">
        <v>504538</v>
      </c>
      <c r="Q48" s="23">
        <v>624598.99999999988</v>
      </c>
      <c r="R48" s="23">
        <v>117800</v>
      </c>
      <c r="S48" s="2"/>
      <c r="T48" s="2"/>
      <c r="U48" s="2"/>
      <c r="V48" s="2"/>
      <c r="W48" s="2"/>
      <c r="X48" s="1"/>
      <c r="Y48" s="1"/>
      <c r="Z48" s="1"/>
      <c r="AA48" s="1"/>
      <c r="AB48" s="5"/>
      <c r="AC48" s="5"/>
      <c r="AD48" s="5"/>
      <c r="AE48" s="1"/>
      <c r="AF48" s="1"/>
      <c r="AG48" s="1"/>
      <c r="AH48" s="1"/>
      <c r="AI48" s="1"/>
      <c r="AJ48" s="1"/>
      <c r="AK48" s="1"/>
      <c r="AL48" s="1"/>
      <c r="AM48" s="1"/>
      <c r="AN48" s="1"/>
      <c r="AO48" s="1"/>
      <c r="AP48" s="1"/>
      <c r="AQ48" s="1"/>
      <c r="AR48" s="1"/>
      <c r="AS48" s="1"/>
      <c r="AT48" s="1"/>
      <c r="AU48" s="1"/>
      <c r="AV48" s="1"/>
      <c r="AW48" s="1"/>
      <c r="AX48" s="1"/>
      <c r="AY48" s="1"/>
      <c r="AZ48" s="1"/>
      <c r="BA48" s="1"/>
    </row>
    <row r="49" spans="1:53" ht="18" customHeight="1" x14ac:dyDescent="0.25">
      <c r="A49" s="1"/>
      <c r="B49" s="12" t="s">
        <v>376</v>
      </c>
      <c r="C49" s="23"/>
      <c r="D49" s="23"/>
      <c r="E49" s="23"/>
      <c r="F49" s="23"/>
      <c r="G49" s="23"/>
      <c r="H49" s="23"/>
      <c r="I49" s="23"/>
      <c r="J49" s="23"/>
      <c r="K49" s="23"/>
      <c r="L49" s="23"/>
      <c r="M49" s="23"/>
      <c r="N49" s="23"/>
      <c r="O49" s="23">
        <v>50000</v>
      </c>
      <c r="P49" s="23">
        <v>0</v>
      </c>
      <c r="Q49" s="23">
        <v>0</v>
      </c>
      <c r="R49" s="23">
        <v>0</v>
      </c>
      <c r="S49" s="2"/>
      <c r="T49" s="2"/>
      <c r="U49" s="2"/>
      <c r="V49" s="2"/>
      <c r="W49" s="2"/>
      <c r="X49" s="1"/>
      <c r="Y49" s="1"/>
      <c r="Z49" s="1"/>
      <c r="AA49" s="1"/>
      <c r="AB49" s="5"/>
      <c r="AC49" s="5"/>
      <c r="AD49" s="5"/>
      <c r="AE49" s="1"/>
      <c r="AF49" s="1"/>
      <c r="AG49" s="1"/>
      <c r="AH49" s="1"/>
      <c r="AI49" s="1"/>
      <c r="AJ49" s="1"/>
      <c r="AK49" s="1"/>
      <c r="AL49" s="1"/>
      <c r="AM49" s="1"/>
      <c r="AN49" s="1"/>
      <c r="AO49" s="1"/>
      <c r="AP49" s="1"/>
      <c r="AQ49" s="1"/>
      <c r="AR49" s="1"/>
      <c r="AS49" s="1"/>
      <c r="AT49" s="1"/>
      <c r="AU49" s="1"/>
      <c r="AV49" s="1"/>
      <c r="AW49" s="1"/>
      <c r="AX49" s="1"/>
      <c r="AY49" s="1"/>
      <c r="AZ49" s="1"/>
      <c r="BA49" s="1"/>
    </row>
    <row r="50" spans="1:53" ht="18" customHeight="1" collapsed="1" x14ac:dyDescent="0.25">
      <c r="A50" s="1"/>
      <c r="B50" s="12" t="s">
        <v>377</v>
      </c>
      <c r="C50" s="23"/>
      <c r="D50" s="23"/>
      <c r="E50" s="23"/>
      <c r="F50" s="23"/>
      <c r="G50" s="23"/>
      <c r="H50" s="23"/>
      <c r="I50" s="23"/>
      <c r="J50" s="23"/>
      <c r="K50" s="23"/>
      <c r="L50" s="23"/>
      <c r="M50" s="23"/>
      <c r="N50" s="23"/>
      <c r="O50" s="23">
        <v>0</v>
      </c>
      <c r="P50" s="23">
        <v>0</v>
      </c>
      <c r="Q50" s="23">
        <v>-8740.3092099999994</v>
      </c>
      <c r="R50" s="23">
        <v>-5200</v>
      </c>
      <c r="S50" s="2"/>
      <c r="T50" s="2"/>
      <c r="U50" s="2"/>
      <c r="V50" s="2"/>
      <c r="W50" s="2"/>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row>
    <row r="51" spans="1:53" ht="18" customHeight="1" x14ac:dyDescent="0.25">
      <c r="A51" s="1"/>
      <c r="B51" s="12" t="s">
        <v>378</v>
      </c>
      <c r="C51" s="23"/>
      <c r="D51" s="23"/>
      <c r="E51" s="23"/>
      <c r="F51" s="23"/>
      <c r="G51" s="23"/>
      <c r="H51" s="23"/>
      <c r="I51" s="23"/>
      <c r="J51" s="23"/>
      <c r="K51" s="23"/>
      <c r="L51" s="23"/>
      <c r="M51" s="23"/>
      <c r="N51" s="23"/>
      <c r="O51" s="23">
        <v>2239.0000000000005</v>
      </c>
      <c r="P51" s="23">
        <v>85345</v>
      </c>
      <c r="Q51" s="23">
        <v>72076.901411487022</v>
      </c>
      <c r="R51" s="23">
        <v>0</v>
      </c>
      <c r="S51" s="2"/>
      <c r="T51" s="2"/>
      <c r="U51" s="2"/>
      <c r="V51" s="2"/>
      <c r="W51" s="2"/>
      <c r="X51" s="1"/>
      <c r="Y51" s="1"/>
      <c r="Z51" s="1"/>
      <c r="AA51" s="1"/>
      <c r="AB51" s="5"/>
      <c r="AC51" s="5"/>
      <c r="AD51" s="5"/>
      <c r="AE51" s="1"/>
      <c r="AF51" s="1"/>
      <c r="AG51" s="1"/>
      <c r="AH51" s="1"/>
      <c r="AI51" s="1"/>
      <c r="AJ51" s="1"/>
      <c r="AK51" s="1"/>
      <c r="AL51" s="1"/>
      <c r="AM51" s="1"/>
      <c r="AN51" s="1"/>
      <c r="AO51" s="1"/>
      <c r="AP51" s="1"/>
      <c r="AQ51" s="1"/>
      <c r="AR51" s="1"/>
      <c r="AS51" s="1"/>
      <c r="AT51" s="1"/>
      <c r="AU51" s="1"/>
      <c r="AV51" s="1"/>
      <c r="AW51" s="1"/>
      <c r="AX51" s="1"/>
      <c r="AY51" s="1"/>
      <c r="AZ51" s="1"/>
      <c r="BA51" s="1"/>
    </row>
    <row r="52" spans="1:53" ht="18" customHeight="1" x14ac:dyDescent="0.25">
      <c r="A52" s="1"/>
      <c r="B52" s="12" t="s">
        <v>185</v>
      </c>
      <c r="C52" s="23"/>
      <c r="D52" s="23"/>
      <c r="E52" s="23"/>
      <c r="F52" s="23"/>
      <c r="G52" s="23"/>
      <c r="H52" s="23"/>
      <c r="I52" s="23"/>
      <c r="J52" s="23"/>
      <c r="K52" s="23"/>
      <c r="L52" s="23"/>
      <c r="M52" s="23"/>
      <c r="N52" s="23"/>
      <c r="O52" s="23">
        <v>0</v>
      </c>
      <c r="P52" s="23">
        <v>0</v>
      </c>
      <c r="Q52" s="23">
        <v>-2586.5351900000001</v>
      </c>
      <c r="R52" s="23">
        <v>-1200</v>
      </c>
      <c r="S52" s="2"/>
      <c r="T52" s="2"/>
      <c r="U52" s="2"/>
      <c r="V52" s="2"/>
      <c r="W52" s="2"/>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row>
    <row r="53" spans="1:53" ht="18" customHeight="1" x14ac:dyDescent="0.25">
      <c r="A53" s="1"/>
      <c r="B53" s="12"/>
      <c r="C53" s="23"/>
      <c r="D53" s="23"/>
      <c r="E53" s="23"/>
      <c r="F53" s="23"/>
      <c r="G53" s="23"/>
      <c r="H53" s="23"/>
      <c r="I53" s="23"/>
      <c r="J53" s="23"/>
      <c r="K53" s="23"/>
      <c r="L53" s="23"/>
      <c r="M53" s="23"/>
      <c r="N53" s="23"/>
      <c r="O53" s="23"/>
      <c r="P53" s="23"/>
      <c r="Q53" s="23"/>
      <c r="R53" s="23"/>
      <c r="S53" s="2"/>
      <c r="T53" s="2"/>
      <c r="U53" s="2"/>
      <c r="V53" s="2"/>
      <c r="W53" s="2"/>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row>
    <row r="54" spans="1:53" ht="18" customHeight="1" x14ac:dyDescent="0.25">
      <c r="A54" s="1"/>
      <c r="B54" s="16"/>
      <c r="C54" s="23"/>
      <c r="D54" s="23"/>
      <c r="E54" s="23"/>
      <c r="F54" s="23"/>
      <c r="G54" s="23"/>
      <c r="H54" s="23"/>
      <c r="I54" s="23"/>
      <c r="J54" s="23"/>
      <c r="K54" s="23"/>
      <c r="L54" s="23"/>
      <c r="M54" s="23"/>
      <c r="N54" s="23"/>
      <c r="O54" s="23"/>
      <c r="P54" s="23"/>
      <c r="Q54" s="23"/>
      <c r="R54" s="23"/>
      <c r="S54" s="2"/>
      <c r="T54" s="2"/>
      <c r="U54" s="2"/>
      <c r="V54" s="2"/>
      <c r="W54" s="2"/>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row>
    <row r="55" spans="1:53" ht="18" customHeight="1" x14ac:dyDescent="0.25">
      <c r="A55" s="1"/>
      <c r="B55" s="47"/>
      <c r="C55" s="23"/>
      <c r="D55" s="23"/>
      <c r="E55" s="23"/>
      <c r="F55" s="23"/>
      <c r="G55" s="23"/>
      <c r="H55" s="23"/>
      <c r="I55" s="23"/>
      <c r="J55" s="23"/>
      <c r="K55" s="23"/>
      <c r="L55" s="23"/>
      <c r="M55" s="23"/>
      <c r="N55" s="23"/>
      <c r="O55" s="23"/>
      <c r="P55" s="23"/>
      <c r="Q55" s="23"/>
      <c r="R55" s="23"/>
      <c r="S55" s="2"/>
      <c r="T55" s="2"/>
      <c r="U55" s="2"/>
      <c r="V55" s="2"/>
      <c r="W55" s="2"/>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row>
    <row r="56" spans="1:53" ht="18" customHeight="1" x14ac:dyDescent="0.25">
      <c r="A56" s="1"/>
      <c r="B56" s="16"/>
      <c r="C56" s="23"/>
      <c r="D56" s="23"/>
      <c r="E56" s="23"/>
      <c r="F56" s="23"/>
      <c r="G56" s="23"/>
      <c r="H56" s="23"/>
      <c r="I56" s="23"/>
      <c r="J56" s="23"/>
      <c r="K56" s="23"/>
      <c r="L56" s="23"/>
      <c r="M56" s="23"/>
      <c r="N56" s="23"/>
      <c r="O56" s="23"/>
      <c r="P56" s="23"/>
      <c r="Q56" s="23"/>
      <c r="R56" s="23"/>
      <c r="S56" s="2"/>
      <c r="T56" s="2"/>
      <c r="U56" s="2"/>
      <c r="V56" s="2"/>
      <c r="W56" s="2"/>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row>
    <row r="57" spans="1:53" ht="18" customHeight="1" x14ac:dyDescent="0.25">
      <c r="A57" s="1"/>
      <c r="B57" s="47"/>
      <c r="C57" s="23"/>
      <c r="D57" s="23"/>
      <c r="E57" s="23"/>
      <c r="F57" s="23"/>
      <c r="G57" s="23"/>
      <c r="H57" s="23"/>
      <c r="I57" s="23"/>
      <c r="J57" s="23"/>
      <c r="K57" s="23"/>
      <c r="L57" s="23"/>
      <c r="M57" s="23"/>
      <c r="N57" s="23"/>
      <c r="O57" s="23"/>
      <c r="P57" s="23"/>
      <c r="Q57" s="23"/>
      <c r="R57" s="23"/>
      <c r="S57" s="2"/>
      <c r="T57" s="2"/>
      <c r="U57" s="2"/>
      <c r="V57" s="2"/>
      <c r="W57" s="2"/>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row>
    <row r="58" spans="1:53" ht="18" customHeight="1" x14ac:dyDescent="0.25">
      <c r="A58" s="1"/>
      <c r="B58" s="12"/>
      <c r="C58" s="23"/>
      <c r="D58" s="23"/>
      <c r="E58" s="23"/>
      <c r="F58" s="23"/>
      <c r="G58" s="23"/>
      <c r="H58" s="23"/>
      <c r="I58" s="23"/>
      <c r="J58" s="23"/>
      <c r="K58" s="23"/>
      <c r="L58" s="23"/>
      <c r="M58" s="23"/>
      <c r="N58" s="23"/>
      <c r="O58" s="23"/>
      <c r="P58" s="23"/>
      <c r="Q58" s="23"/>
      <c r="R58" s="23"/>
      <c r="S58" s="2"/>
      <c r="T58" s="2"/>
      <c r="U58" s="2"/>
      <c r="V58" s="2"/>
      <c r="W58" s="2"/>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row>
    <row r="59" spans="1:53" ht="18" customHeight="1" x14ac:dyDescent="0.25">
      <c r="A59" s="1"/>
      <c r="B59" s="16"/>
      <c r="C59" s="23"/>
      <c r="D59" s="23"/>
      <c r="E59" s="23"/>
      <c r="F59" s="23"/>
      <c r="G59" s="23"/>
      <c r="H59" s="23"/>
      <c r="I59" s="23"/>
      <c r="J59" s="23"/>
      <c r="K59" s="23"/>
      <c r="L59" s="23"/>
      <c r="M59" s="23"/>
      <c r="N59" s="23"/>
      <c r="O59" s="23"/>
      <c r="P59" s="23"/>
      <c r="Q59" s="23"/>
      <c r="R59" s="23"/>
      <c r="S59" s="2"/>
      <c r="T59" s="2"/>
      <c r="U59" s="2"/>
      <c r="V59" s="2"/>
      <c r="W59" s="2"/>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row>
    <row r="60" spans="1:53" ht="18" customHeight="1" collapsed="1" x14ac:dyDescent="0.25">
      <c r="A60" s="1"/>
      <c r="B60" s="12"/>
      <c r="C60" s="23"/>
      <c r="D60" s="23"/>
      <c r="E60" s="23"/>
      <c r="F60" s="23"/>
      <c r="G60" s="23"/>
      <c r="H60" s="23"/>
      <c r="I60" s="23"/>
      <c r="J60" s="23"/>
      <c r="K60" s="23"/>
      <c r="L60" s="23"/>
      <c r="M60" s="23"/>
      <c r="N60" s="23"/>
      <c r="O60" s="23"/>
      <c r="P60" s="23"/>
      <c r="Q60" s="23"/>
      <c r="R60" s="23"/>
      <c r="S60" s="69"/>
      <c r="T60" s="69"/>
      <c r="U60" s="69"/>
      <c r="V60" s="69"/>
      <c r="W60" s="69"/>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row>
    <row r="61" spans="1:53" ht="18" customHeight="1" x14ac:dyDescent="0.25">
      <c r="A61" s="1"/>
      <c r="B61" s="16"/>
      <c r="C61" s="23"/>
      <c r="D61" s="23"/>
      <c r="E61" s="23"/>
      <c r="F61" s="23"/>
      <c r="G61" s="23"/>
      <c r="H61" s="23"/>
      <c r="I61" s="23"/>
      <c r="J61" s="23"/>
      <c r="K61" s="23"/>
      <c r="L61" s="23"/>
      <c r="M61" s="23"/>
      <c r="N61" s="23"/>
      <c r="O61" s="23"/>
      <c r="P61" s="23"/>
      <c r="Q61" s="23"/>
      <c r="R61" s="23"/>
      <c r="S61" s="69"/>
      <c r="T61" s="69"/>
      <c r="U61" s="69"/>
      <c r="V61" s="69"/>
      <c r="W61" s="69"/>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row>
    <row r="62" spans="1:53" ht="18" customHeight="1" x14ac:dyDescent="0.25">
      <c r="A62" s="1"/>
      <c r="B62" s="47"/>
      <c r="C62" s="23"/>
      <c r="D62" s="23"/>
      <c r="E62" s="23"/>
      <c r="F62" s="23"/>
      <c r="G62" s="23"/>
      <c r="H62" s="23"/>
      <c r="I62" s="23"/>
      <c r="J62" s="23"/>
      <c r="K62" s="23"/>
      <c r="L62" s="23"/>
      <c r="M62" s="23"/>
      <c r="N62" s="23"/>
      <c r="O62" s="23"/>
      <c r="P62" s="23"/>
      <c r="Q62" s="23"/>
      <c r="R62" s="23"/>
      <c r="S62" s="69"/>
      <c r="T62" s="69"/>
      <c r="U62" s="69"/>
      <c r="V62" s="69"/>
      <c r="W62" s="69"/>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row>
    <row r="63" spans="1:53" ht="18" customHeight="1" x14ac:dyDescent="0.25">
      <c r="A63" s="1"/>
      <c r="B63" s="47"/>
      <c r="C63" s="23"/>
      <c r="D63" s="23"/>
      <c r="E63" s="23"/>
      <c r="F63" s="23"/>
      <c r="G63" s="23"/>
      <c r="H63" s="23"/>
      <c r="I63" s="23"/>
      <c r="J63" s="23"/>
      <c r="K63" s="23"/>
      <c r="L63" s="23"/>
      <c r="M63" s="23"/>
      <c r="N63" s="23"/>
      <c r="O63" s="23"/>
      <c r="P63" s="23"/>
      <c r="Q63" s="23"/>
      <c r="R63" s="23"/>
      <c r="S63" s="69"/>
      <c r="T63" s="69"/>
      <c r="U63" s="69"/>
      <c r="V63" s="69"/>
      <c r="W63" s="69"/>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c r="BA63" s="1"/>
    </row>
    <row r="64" spans="1:53" ht="18" customHeight="1" x14ac:dyDescent="0.25">
      <c r="A64" s="1"/>
      <c r="B64" s="47"/>
      <c r="C64" s="23"/>
      <c r="D64" s="23"/>
      <c r="E64" s="23"/>
      <c r="F64" s="23"/>
      <c r="G64" s="23"/>
      <c r="H64" s="23"/>
      <c r="I64" s="23"/>
      <c r="J64" s="23"/>
      <c r="K64" s="23"/>
      <c r="L64" s="23"/>
      <c r="M64" s="23"/>
      <c r="N64" s="23"/>
      <c r="O64" s="23"/>
      <c r="P64" s="23"/>
      <c r="Q64" s="23"/>
      <c r="R64" s="23"/>
      <c r="S64" s="69"/>
      <c r="T64" s="69"/>
      <c r="U64" s="69"/>
      <c r="V64" s="69"/>
      <c r="W64" s="69"/>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c r="BA64" s="1"/>
    </row>
    <row r="65" spans="1:53" ht="18" customHeight="1" x14ac:dyDescent="0.25">
      <c r="A65" s="1"/>
      <c r="B65" s="47"/>
      <c r="C65" s="23"/>
      <c r="D65" s="23"/>
      <c r="E65" s="23"/>
      <c r="F65" s="23"/>
      <c r="G65" s="23"/>
      <c r="H65" s="23"/>
      <c r="I65" s="23"/>
      <c r="J65" s="23"/>
      <c r="K65" s="23"/>
      <c r="L65" s="23"/>
      <c r="M65" s="23"/>
      <c r="N65" s="23"/>
      <c r="O65" s="23"/>
      <c r="P65" s="23"/>
      <c r="Q65" s="23"/>
      <c r="R65" s="23"/>
      <c r="S65" s="69"/>
      <c r="T65" s="69"/>
      <c r="U65" s="69"/>
      <c r="V65" s="69"/>
      <c r="W65" s="69"/>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1"/>
      <c r="BA65" s="1"/>
    </row>
    <row r="66" spans="1:53" ht="18" customHeight="1" x14ac:dyDescent="0.25">
      <c r="A66" s="1"/>
      <c r="B66" s="47"/>
      <c r="C66" s="23"/>
      <c r="D66" s="23"/>
      <c r="E66" s="23"/>
      <c r="F66" s="23"/>
      <c r="G66" s="23"/>
      <c r="H66" s="23"/>
      <c r="I66" s="23"/>
      <c r="J66" s="23"/>
      <c r="K66" s="23"/>
      <c r="L66" s="23"/>
      <c r="M66" s="23"/>
      <c r="N66" s="23"/>
      <c r="O66" s="23"/>
      <c r="P66" s="23"/>
      <c r="Q66" s="23"/>
      <c r="R66" s="23"/>
      <c r="S66" s="69"/>
      <c r="T66" s="69"/>
      <c r="U66" s="69"/>
      <c r="V66" s="69"/>
      <c r="W66" s="69"/>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1"/>
      <c r="BA66" s="1"/>
    </row>
    <row r="67" spans="1:53" ht="18" customHeight="1" x14ac:dyDescent="0.25">
      <c r="A67" s="1"/>
      <c r="B67" s="47"/>
      <c r="C67" s="23"/>
      <c r="D67" s="23"/>
      <c r="E67" s="23"/>
      <c r="F67" s="23"/>
      <c r="G67" s="23"/>
      <c r="H67" s="23"/>
      <c r="I67" s="23"/>
      <c r="J67" s="23"/>
      <c r="K67" s="23"/>
      <c r="L67" s="23"/>
      <c r="M67" s="23"/>
      <c r="N67" s="23"/>
      <c r="O67" s="23"/>
      <c r="P67" s="23"/>
      <c r="Q67" s="23"/>
      <c r="R67" s="23"/>
      <c r="S67" s="69"/>
      <c r="T67" s="69"/>
      <c r="U67" s="69"/>
      <c r="V67" s="69"/>
      <c r="W67" s="69"/>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row>
    <row r="68" spans="1:53" ht="18" customHeight="1" x14ac:dyDescent="0.25">
      <c r="A68" s="1"/>
      <c r="B68" s="47"/>
      <c r="C68" s="23"/>
      <c r="D68" s="23"/>
      <c r="E68" s="23"/>
      <c r="F68" s="23"/>
      <c r="G68" s="23"/>
      <c r="H68" s="23"/>
      <c r="I68" s="23"/>
      <c r="J68" s="23"/>
      <c r="K68" s="23"/>
      <c r="L68" s="23"/>
      <c r="M68" s="23"/>
      <c r="N68" s="23"/>
      <c r="O68" s="23"/>
      <c r="P68" s="23"/>
      <c r="Q68" s="23"/>
      <c r="R68" s="23"/>
      <c r="S68" s="69"/>
      <c r="T68" s="69"/>
      <c r="U68" s="69"/>
      <c r="V68" s="69"/>
      <c r="W68" s="69"/>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row>
    <row r="69" spans="1:53" ht="18" customHeight="1" x14ac:dyDescent="0.25">
      <c r="A69" s="1"/>
      <c r="B69" s="94"/>
      <c r="C69" s="26"/>
      <c r="D69" s="26"/>
      <c r="E69" s="26"/>
      <c r="F69" s="26"/>
      <c r="G69" s="26"/>
      <c r="H69" s="26"/>
      <c r="I69" s="26"/>
      <c r="J69" s="26"/>
      <c r="K69" s="26"/>
      <c r="L69" s="26"/>
      <c r="M69" s="26"/>
      <c r="N69" s="26"/>
      <c r="O69" s="26"/>
      <c r="P69" s="26"/>
      <c r="Q69" s="26"/>
      <c r="R69" s="26"/>
      <c r="S69" s="2"/>
      <c r="T69" s="2"/>
      <c r="U69" s="2"/>
      <c r="V69" s="2"/>
      <c r="W69" s="2"/>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row>
    <row r="70" spans="1:53" ht="18" customHeight="1" x14ac:dyDescent="0.25">
      <c r="A70" s="1"/>
      <c r="B70" s="18"/>
      <c r="C70" s="26"/>
      <c r="D70" s="26"/>
      <c r="E70" s="26"/>
      <c r="F70" s="26"/>
      <c r="G70" s="26"/>
      <c r="H70" s="26"/>
      <c r="I70" s="26"/>
      <c r="J70" s="26"/>
      <c r="K70" s="26"/>
      <c r="L70" s="26"/>
      <c r="M70" s="26"/>
      <c r="N70" s="26"/>
      <c r="O70" s="26"/>
      <c r="P70" s="26"/>
      <c r="Q70" s="26"/>
      <c r="R70" s="26"/>
      <c r="S70" s="2"/>
      <c r="T70" s="2"/>
      <c r="U70" s="2"/>
      <c r="V70" s="2"/>
      <c r="W70" s="2"/>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1"/>
      <c r="BA70" s="1"/>
    </row>
    <row r="71" spans="1:53" ht="18" customHeight="1" x14ac:dyDescent="0.25">
      <c r="A71" s="1"/>
      <c r="B71" s="12"/>
      <c r="C71" s="23"/>
      <c r="D71" s="23"/>
      <c r="E71" s="23"/>
      <c r="F71" s="23"/>
      <c r="G71" s="23"/>
      <c r="H71" s="23"/>
      <c r="I71" s="23"/>
      <c r="J71" s="23"/>
      <c r="K71" s="23"/>
      <c r="L71" s="23"/>
      <c r="M71" s="23"/>
      <c r="N71" s="23"/>
      <c r="O71" s="23"/>
      <c r="P71" s="23"/>
      <c r="Q71" s="23"/>
      <c r="R71" s="23"/>
      <c r="S71" s="2"/>
      <c r="T71" s="2"/>
      <c r="U71" s="2"/>
      <c r="V71" s="2"/>
      <c r="W71" s="2"/>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c r="AZ71" s="1"/>
      <c r="BA71" s="1"/>
    </row>
    <row r="72" spans="1:53" ht="18" customHeight="1" x14ac:dyDescent="0.25">
      <c r="A72" s="1"/>
      <c r="B72" s="16"/>
      <c r="C72" s="23"/>
      <c r="D72" s="23"/>
      <c r="E72" s="23"/>
      <c r="F72" s="23"/>
      <c r="G72" s="23"/>
      <c r="H72" s="23"/>
      <c r="I72" s="23"/>
      <c r="J72" s="23"/>
      <c r="K72" s="23"/>
      <c r="L72" s="23"/>
      <c r="M72" s="23"/>
      <c r="N72" s="23"/>
      <c r="O72" s="23"/>
      <c r="P72" s="23"/>
      <c r="Q72" s="23"/>
      <c r="R72" s="23"/>
      <c r="S72" s="2"/>
      <c r="T72" s="2"/>
      <c r="U72" s="2"/>
      <c r="V72" s="2"/>
      <c r="W72" s="2"/>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1"/>
      <c r="BA72" s="1"/>
    </row>
    <row r="73" spans="1:53" ht="18" customHeight="1" x14ac:dyDescent="0.25">
      <c r="A73" s="1"/>
      <c r="B73" s="16"/>
      <c r="C73" s="23"/>
      <c r="D73" s="23"/>
      <c r="E73" s="23"/>
      <c r="F73" s="23"/>
      <c r="G73" s="23"/>
      <c r="H73" s="23"/>
      <c r="I73" s="23"/>
      <c r="J73" s="23"/>
      <c r="K73" s="23"/>
      <c r="L73" s="23"/>
      <c r="M73" s="23"/>
      <c r="N73" s="23"/>
      <c r="O73" s="23"/>
      <c r="P73" s="23"/>
      <c r="Q73" s="23"/>
      <c r="R73" s="23"/>
      <c r="S73" s="2"/>
      <c r="T73" s="2"/>
      <c r="U73" s="2"/>
      <c r="V73" s="2"/>
      <c r="W73" s="2"/>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c r="AZ73" s="1"/>
      <c r="BA73" s="1"/>
    </row>
    <row r="74" spans="1:53" ht="18" customHeight="1" x14ac:dyDescent="0.25">
      <c r="A74" s="1"/>
      <c r="B74" s="12"/>
      <c r="C74" s="23"/>
      <c r="D74" s="23"/>
      <c r="E74" s="23"/>
      <c r="F74" s="23"/>
      <c r="G74" s="23"/>
      <c r="H74" s="23"/>
      <c r="I74" s="23"/>
      <c r="J74" s="23"/>
      <c r="K74" s="23"/>
      <c r="L74" s="23"/>
      <c r="M74" s="23"/>
      <c r="N74" s="23"/>
      <c r="O74" s="23"/>
      <c r="P74" s="23"/>
      <c r="Q74" s="23"/>
      <c r="R74" s="23"/>
      <c r="S74" s="2"/>
      <c r="T74" s="2"/>
      <c r="U74" s="2"/>
      <c r="V74" s="2"/>
      <c r="W74" s="2"/>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c r="BA74" s="1"/>
    </row>
    <row r="75" spans="1:53" ht="18" customHeight="1" collapsed="1" x14ac:dyDescent="0.25">
      <c r="A75" s="1"/>
      <c r="B75" s="16"/>
      <c r="C75" s="23"/>
      <c r="D75" s="23"/>
      <c r="E75" s="23"/>
      <c r="F75" s="23"/>
      <c r="G75" s="23"/>
      <c r="H75" s="23"/>
      <c r="I75" s="23"/>
      <c r="J75" s="23"/>
      <c r="K75" s="23"/>
      <c r="L75" s="23"/>
      <c r="M75" s="23"/>
      <c r="N75" s="23"/>
      <c r="O75" s="23"/>
      <c r="P75" s="23"/>
      <c r="Q75" s="23"/>
      <c r="R75" s="23"/>
      <c r="S75" s="2"/>
      <c r="T75" s="2"/>
      <c r="U75" s="2"/>
      <c r="V75" s="2"/>
      <c r="W75" s="2"/>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1"/>
      <c r="BA75" s="1"/>
    </row>
    <row r="76" spans="1:53" ht="18" customHeight="1" x14ac:dyDescent="0.25">
      <c r="A76" s="1"/>
      <c r="B76" s="16"/>
      <c r="C76" s="23"/>
      <c r="D76" s="23"/>
      <c r="E76" s="23"/>
      <c r="F76" s="23"/>
      <c r="G76" s="23"/>
      <c r="H76" s="23"/>
      <c r="I76" s="23"/>
      <c r="J76" s="23"/>
      <c r="K76" s="23"/>
      <c r="L76" s="23"/>
      <c r="M76" s="23"/>
      <c r="N76" s="23"/>
      <c r="O76" s="23"/>
      <c r="P76" s="23"/>
      <c r="Q76" s="23"/>
      <c r="R76" s="23"/>
      <c r="S76" s="2"/>
      <c r="T76" s="2"/>
      <c r="U76" s="2"/>
      <c r="V76" s="2"/>
      <c r="W76" s="2"/>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c r="BA76" s="1"/>
    </row>
    <row r="77" spans="1:53" ht="18" customHeight="1" x14ac:dyDescent="0.25">
      <c r="A77" s="1"/>
      <c r="B77" s="12"/>
      <c r="C77" s="23"/>
      <c r="D77" s="23"/>
      <c r="E77" s="23"/>
      <c r="F77" s="23"/>
      <c r="G77" s="23"/>
      <c r="H77" s="23"/>
      <c r="I77" s="23"/>
      <c r="J77" s="23"/>
      <c r="K77" s="23"/>
      <c r="L77" s="23"/>
      <c r="M77" s="23"/>
      <c r="N77" s="23"/>
      <c r="O77" s="23"/>
      <c r="P77" s="23"/>
      <c r="Q77" s="23"/>
      <c r="R77" s="23"/>
      <c r="S77" s="2"/>
      <c r="T77" s="2"/>
      <c r="U77" s="2"/>
      <c r="V77" s="2"/>
      <c r="W77" s="2"/>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row>
    <row r="78" spans="1:53" ht="18" customHeight="1" collapsed="1" x14ac:dyDescent="0.25">
      <c r="A78" s="1"/>
      <c r="B78" s="16"/>
      <c r="C78" s="23"/>
      <c r="D78" s="23"/>
      <c r="E78" s="23"/>
      <c r="F78" s="23"/>
      <c r="G78" s="23"/>
      <c r="H78" s="23"/>
      <c r="I78" s="23"/>
      <c r="J78" s="23"/>
      <c r="K78" s="23"/>
      <c r="L78" s="23"/>
      <c r="M78" s="23"/>
      <c r="N78" s="23"/>
      <c r="O78" s="23"/>
      <c r="P78" s="23"/>
      <c r="Q78" s="23"/>
      <c r="R78" s="23"/>
      <c r="S78" s="2"/>
      <c r="T78" s="2"/>
      <c r="U78" s="2"/>
      <c r="V78" s="2"/>
      <c r="W78" s="2"/>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row>
    <row r="79" spans="1:53" ht="18" customHeight="1" x14ac:dyDescent="0.25">
      <c r="A79" s="1"/>
      <c r="B79" s="47"/>
      <c r="C79" s="23"/>
      <c r="D79" s="23"/>
      <c r="E79" s="23"/>
      <c r="F79" s="23"/>
      <c r="G79" s="23"/>
      <c r="H79" s="23"/>
      <c r="I79" s="23"/>
      <c r="J79" s="23"/>
      <c r="K79" s="23"/>
      <c r="L79" s="23"/>
      <c r="M79" s="23"/>
      <c r="N79" s="23"/>
      <c r="O79" s="23"/>
      <c r="P79" s="23"/>
      <c r="Q79" s="23"/>
      <c r="R79" s="23"/>
      <c r="S79" s="2"/>
      <c r="T79" s="2"/>
      <c r="U79" s="2"/>
      <c r="V79" s="2"/>
      <c r="W79" s="2"/>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row>
    <row r="80" spans="1:53" ht="18" customHeight="1" x14ac:dyDescent="0.25">
      <c r="A80" s="1"/>
      <c r="B80" s="16"/>
      <c r="C80" s="23"/>
      <c r="D80" s="23"/>
      <c r="E80" s="23"/>
      <c r="F80" s="23"/>
      <c r="G80" s="23"/>
      <c r="H80" s="23"/>
      <c r="I80" s="23"/>
      <c r="J80" s="23"/>
      <c r="K80" s="23"/>
      <c r="L80" s="23"/>
      <c r="M80" s="23"/>
      <c r="N80" s="23"/>
      <c r="O80" s="23"/>
      <c r="P80" s="23"/>
      <c r="Q80" s="23"/>
      <c r="R80" s="23"/>
      <c r="S80" s="2"/>
      <c r="T80" s="2"/>
      <c r="U80" s="2"/>
      <c r="V80" s="2"/>
      <c r="W80" s="2"/>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row>
    <row r="81" spans="1:53" ht="18" customHeight="1" x14ac:dyDescent="0.25">
      <c r="A81" s="1"/>
      <c r="B81" s="16"/>
      <c r="C81" s="23"/>
      <c r="D81" s="23"/>
      <c r="E81" s="23"/>
      <c r="F81" s="23"/>
      <c r="G81" s="23"/>
      <c r="H81" s="23"/>
      <c r="I81" s="23"/>
      <c r="J81" s="23"/>
      <c r="K81" s="23"/>
      <c r="L81" s="23"/>
      <c r="M81" s="23"/>
      <c r="N81" s="23"/>
      <c r="O81" s="23"/>
      <c r="P81" s="23"/>
      <c r="Q81" s="23"/>
      <c r="R81" s="23"/>
      <c r="S81" s="2"/>
      <c r="T81" s="2"/>
      <c r="U81" s="2"/>
      <c r="V81" s="2"/>
      <c r="W81" s="2"/>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row>
    <row r="82" spans="1:53" ht="18" customHeight="1" x14ac:dyDescent="0.25">
      <c r="A82" s="1"/>
      <c r="B82" s="16"/>
      <c r="C82" s="23"/>
      <c r="D82" s="23"/>
      <c r="E82" s="23"/>
      <c r="F82" s="23"/>
      <c r="G82" s="23"/>
      <c r="H82" s="23"/>
      <c r="I82" s="23"/>
      <c r="J82" s="23"/>
      <c r="K82" s="23"/>
      <c r="L82" s="23"/>
      <c r="M82" s="23"/>
      <c r="N82" s="23"/>
      <c r="O82" s="23"/>
      <c r="P82" s="23"/>
      <c r="Q82" s="23"/>
      <c r="R82" s="23"/>
      <c r="S82" s="2"/>
      <c r="T82" s="2"/>
      <c r="U82" s="2"/>
      <c r="V82" s="2"/>
      <c r="W82" s="2"/>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row>
    <row r="83" spans="1:53" ht="18" customHeight="1" collapsed="1" x14ac:dyDescent="0.25">
      <c r="A83" s="1"/>
      <c r="B83" s="12"/>
      <c r="C83" s="23"/>
      <c r="D83" s="23"/>
      <c r="E83" s="23"/>
      <c r="F83" s="23"/>
      <c r="G83" s="23"/>
      <c r="H83" s="23"/>
      <c r="I83" s="23"/>
      <c r="J83" s="23"/>
      <c r="K83" s="23"/>
      <c r="L83" s="23"/>
      <c r="M83" s="23"/>
      <c r="N83" s="23"/>
      <c r="O83" s="23"/>
      <c r="P83" s="23"/>
      <c r="Q83" s="23"/>
      <c r="R83" s="23"/>
      <c r="S83" s="2"/>
      <c r="T83" s="2"/>
      <c r="U83" s="2"/>
      <c r="V83" s="2"/>
      <c r="W83" s="2"/>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row>
    <row r="84" spans="1:53" ht="18" customHeight="1" x14ac:dyDescent="0.25">
      <c r="A84" s="1"/>
      <c r="B84" s="16"/>
      <c r="C84" s="23"/>
      <c r="D84" s="23"/>
      <c r="E84" s="23"/>
      <c r="F84" s="23"/>
      <c r="G84" s="23"/>
      <c r="H84" s="23"/>
      <c r="I84" s="23"/>
      <c r="J84" s="23"/>
      <c r="K84" s="23"/>
      <c r="L84" s="23"/>
      <c r="M84" s="23"/>
      <c r="N84" s="23"/>
      <c r="O84" s="23"/>
      <c r="P84" s="23"/>
      <c r="Q84" s="23"/>
      <c r="R84" s="23"/>
      <c r="S84" s="2"/>
      <c r="T84" s="2"/>
      <c r="U84" s="2"/>
      <c r="V84" s="2"/>
      <c r="W84" s="2"/>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row>
    <row r="85" spans="1:53" ht="18" customHeight="1" x14ac:dyDescent="0.25">
      <c r="A85" s="1"/>
      <c r="B85" s="47"/>
      <c r="C85" s="23"/>
      <c r="D85" s="23"/>
      <c r="E85" s="23"/>
      <c r="F85" s="23"/>
      <c r="G85" s="23"/>
      <c r="H85" s="23"/>
      <c r="I85" s="23"/>
      <c r="J85" s="23"/>
      <c r="K85" s="23"/>
      <c r="L85" s="23"/>
      <c r="M85" s="23"/>
      <c r="N85" s="23"/>
      <c r="O85" s="23"/>
      <c r="P85" s="23"/>
      <c r="Q85" s="23"/>
      <c r="R85" s="23"/>
      <c r="S85" s="2"/>
      <c r="T85" s="2"/>
      <c r="U85" s="2"/>
      <c r="V85" s="2"/>
      <c r="W85" s="2"/>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row>
    <row r="86" spans="1:53" ht="18" customHeight="1" x14ac:dyDescent="0.25">
      <c r="A86" s="1"/>
      <c r="B86" s="47"/>
      <c r="C86" s="23"/>
      <c r="D86" s="23"/>
      <c r="E86" s="23"/>
      <c r="F86" s="23"/>
      <c r="G86" s="23"/>
      <c r="H86" s="23"/>
      <c r="I86" s="23"/>
      <c r="J86" s="23"/>
      <c r="K86" s="23"/>
      <c r="L86" s="23"/>
      <c r="M86" s="23"/>
      <c r="N86" s="23"/>
      <c r="O86" s="23"/>
      <c r="P86" s="23"/>
      <c r="Q86" s="23"/>
      <c r="R86" s="23"/>
      <c r="S86" s="2"/>
      <c r="T86" s="2"/>
      <c r="U86" s="2"/>
      <c r="V86" s="2"/>
      <c r="W86" s="2"/>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row>
    <row r="87" spans="1:53" ht="18" customHeight="1" x14ac:dyDescent="0.25">
      <c r="A87" s="1"/>
      <c r="B87" s="47"/>
      <c r="C87" s="23"/>
      <c r="D87" s="23"/>
      <c r="E87" s="23"/>
      <c r="F87" s="23"/>
      <c r="G87" s="23"/>
      <c r="H87" s="23"/>
      <c r="I87" s="23"/>
      <c r="J87" s="23"/>
      <c r="K87" s="23"/>
      <c r="L87" s="23"/>
      <c r="M87" s="23"/>
      <c r="N87" s="23"/>
      <c r="O87" s="23"/>
      <c r="P87" s="23"/>
      <c r="Q87" s="23"/>
      <c r="R87" s="23"/>
      <c r="S87" s="2"/>
      <c r="T87" s="2"/>
      <c r="U87" s="2"/>
      <c r="V87" s="2"/>
      <c r="W87" s="2"/>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row>
    <row r="88" spans="1:53" ht="18" customHeight="1" x14ac:dyDescent="0.25">
      <c r="A88" s="1"/>
      <c r="B88" s="12"/>
      <c r="C88" s="23"/>
      <c r="D88" s="23"/>
      <c r="E88" s="23"/>
      <c r="F88" s="23"/>
      <c r="G88" s="23"/>
      <c r="H88" s="23"/>
      <c r="I88" s="23"/>
      <c r="J88" s="23"/>
      <c r="K88" s="23"/>
      <c r="L88" s="23"/>
      <c r="M88" s="23"/>
      <c r="N88" s="23"/>
      <c r="O88" s="23"/>
      <c r="P88" s="23"/>
      <c r="Q88" s="23"/>
      <c r="R88" s="23"/>
      <c r="S88" s="2"/>
      <c r="T88" s="2"/>
      <c r="U88" s="2"/>
      <c r="V88" s="2"/>
      <c r="W88" s="2"/>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row>
    <row r="89" spans="1:53" ht="18" customHeight="1" x14ac:dyDescent="0.25">
      <c r="A89" s="1"/>
      <c r="B89" s="16"/>
      <c r="C89" s="23"/>
      <c r="D89" s="23"/>
      <c r="E89" s="23"/>
      <c r="F89" s="23"/>
      <c r="G89" s="23"/>
      <c r="H89" s="23"/>
      <c r="I89" s="23"/>
      <c r="J89" s="23"/>
      <c r="K89" s="23"/>
      <c r="L89" s="23"/>
      <c r="M89" s="23"/>
      <c r="N89" s="23"/>
      <c r="O89" s="23"/>
      <c r="P89" s="23"/>
      <c r="Q89" s="23"/>
      <c r="R89" s="23"/>
      <c r="S89" s="2"/>
      <c r="T89" s="2"/>
      <c r="U89" s="2"/>
      <c r="V89" s="2"/>
      <c r="W89" s="2"/>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row>
    <row r="90" spans="1:53" ht="18" customHeight="1" x14ac:dyDescent="0.25">
      <c r="A90" s="1"/>
      <c r="B90" s="47"/>
      <c r="C90" s="23"/>
      <c r="D90" s="23"/>
      <c r="E90" s="23"/>
      <c r="F90" s="23"/>
      <c r="G90" s="23"/>
      <c r="H90" s="23"/>
      <c r="I90" s="23"/>
      <c r="J90" s="23"/>
      <c r="K90" s="23"/>
      <c r="L90" s="23"/>
      <c r="M90" s="23"/>
      <c r="N90" s="23"/>
      <c r="O90" s="23"/>
      <c r="P90" s="23"/>
      <c r="Q90" s="23"/>
      <c r="R90" s="23"/>
      <c r="S90" s="2"/>
      <c r="T90" s="2"/>
      <c r="U90" s="2"/>
      <c r="V90" s="2"/>
      <c r="W90" s="2"/>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row>
    <row r="91" spans="1:53" ht="18" customHeight="1" x14ac:dyDescent="0.25">
      <c r="A91" s="1"/>
      <c r="B91" s="47"/>
      <c r="C91" s="23"/>
      <c r="D91" s="23"/>
      <c r="E91" s="23"/>
      <c r="F91" s="23"/>
      <c r="G91" s="23"/>
      <c r="H91" s="23"/>
      <c r="I91" s="23"/>
      <c r="J91" s="23"/>
      <c r="K91" s="23"/>
      <c r="L91" s="23"/>
      <c r="M91" s="23"/>
      <c r="N91" s="23"/>
      <c r="O91" s="23"/>
      <c r="P91" s="23"/>
      <c r="Q91" s="23"/>
      <c r="R91" s="23"/>
      <c r="S91" s="2"/>
      <c r="T91" s="2"/>
      <c r="U91" s="2"/>
      <c r="V91" s="2"/>
      <c r="W91" s="2"/>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row>
    <row r="92" spans="1:53" ht="18" customHeight="1" x14ac:dyDescent="0.25">
      <c r="A92" s="1"/>
      <c r="B92" s="47"/>
      <c r="C92" s="23"/>
      <c r="D92" s="23"/>
      <c r="E92" s="23"/>
      <c r="F92" s="23"/>
      <c r="G92" s="23"/>
      <c r="H92" s="23"/>
      <c r="I92" s="23"/>
      <c r="J92" s="23"/>
      <c r="K92" s="23"/>
      <c r="L92" s="23"/>
      <c r="M92" s="23"/>
      <c r="N92" s="23"/>
      <c r="O92" s="23"/>
      <c r="P92" s="23"/>
      <c r="Q92" s="23"/>
      <c r="R92" s="23"/>
      <c r="S92" s="2"/>
      <c r="T92" s="2"/>
      <c r="U92" s="2"/>
      <c r="V92" s="2"/>
      <c r="W92" s="2"/>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row>
    <row r="93" spans="1:53" ht="18" customHeight="1" x14ac:dyDescent="0.25">
      <c r="A93" s="1"/>
      <c r="B93" s="47"/>
      <c r="C93" s="23"/>
      <c r="D93" s="23"/>
      <c r="E93" s="23"/>
      <c r="F93" s="23"/>
      <c r="G93" s="23"/>
      <c r="H93" s="23"/>
      <c r="I93" s="23"/>
      <c r="J93" s="23"/>
      <c r="K93" s="23"/>
      <c r="L93" s="23"/>
      <c r="M93" s="23"/>
      <c r="N93" s="23"/>
      <c r="O93" s="23"/>
      <c r="P93" s="23"/>
      <c r="Q93" s="23"/>
      <c r="R93" s="23"/>
      <c r="S93" s="2"/>
      <c r="T93" s="2"/>
      <c r="U93" s="2"/>
      <c r="V93" s="2"/>
      <c r="W93" s="2"/>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row>
    <row r="94" spans="1:53" ht="18" customHeight="1" x14ac:dyDescent="0.25">
      <c r="A94" s="1"/>
      <c r="B94" s="47"/>
      <c r="C94" s="23"/>
      <c r="D94" s="23"/>
      <c r="E94" s="23"/>
      <c r="F94" s="23"/>
      <c r="G94" s="23"/>
      <c r="H94" s="23"/>
      <c r="I94" s="23"/>
      <c r="J94" s="23"/>
      <c r="K94" s="23"/>
      <c r="L94" s="23"/>
      <c r="M94" s="23"/>
      <c r="N94" s="23"/>
      <c r="O94" s="23"/>
      <c r="P94" s="23"/>
      <c r="Q94" s="23"/>
      <c r="R94" s="23"/>
      <c r="S94" s="2"/>
      <c r="T94" s="2"/>
      <c r="U94" s="2"/>
      <c r="V94" s="2"/>
      <c r="W94" s="2"/>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row>
    <row r="95" spans="1:53" ht="18" customHeight="1" x14ac:dyDescent="0.25">
      <c r="A95" s="1"/>
      <c r="B95" s="47"/>
      <c r="C95" s="23"/>
      <c r="D95" s="23"/>
      <c r="E95" s="23"/>
      <c r="F95" s="23"/>
      <c r="G95" s="23"/>
      <c r="H95" s="23"/>
      <c r="I95" s="23"/>
      <c r="J95" s="23"/>
      <c r="K95" s="23"/>
      <c r="L95" s="23"/>
      <c r="M95" s="23"/>
      <c r="N95" s="23"/>
      <c r="O95" s="23"/>
      <c r="P95" s="23"/>
      <c r="Q95" s="23"/>
      <c r="R95" s="23"/>
      <c r="S95" s="2"/>
      <c r="T95" s="2"/>
      <c r="U95" s="2"/>
      <c r="V95" s="2"/>
      <c r="W95" s="2"/>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row>
    <row r="96" spans="1:53" ht="18" customHeight="1" x14ac:dyDescent="0.25">
      <c r="A96" s="1"/>
      <c r="B96" s="47"/>
      <c r="C96" s="23"/>
      <c r="D96" s="23"/>
      <c r="E96" s="23"/>
      <c r="F96" s="23"/>
      <c r="G96" s="23"/>
      <c r="H96" s="23"/>
      <c r="I96" s="23"/>
      <c r="J96" s="23"/>
      <c r="K96" s="23"/>
      <c r="L96" s="23"/>
      <c r="M96" s="23"/>
      <c r="N96" s="23"/>
      <c r="O96" s="23"/>
      <c r="P96" s="23"/>
      <c r="Q96" s="23"/>
      <c r="R96" s="23"/>
      <c r="S96" s="2"/>
      <c r="T96" s="2"/>
      <c r="U96" s="2"/>
      <c r="V96" s="2"/>
      <c r="W96" s="2"/>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row>
    <row r="97" spans="1:53" ht="18" customHeight="1" x14ac:dyDescent="0.25">
      <c r="A97" s="1"/>
      <c r="B97" s="47"/>
      <c r="C97" s="23"/>
      <c r="D97" s="23"/>
      <c r="E97" s="23"/>
      <c r="F97" s="23"/>
      <c r="G97" s="23"/>
      <c r="H97" s="23"/>
      <c r="I97" s="23"/>
      <c r="J97" s="23"/>
      <c r="K97" s="23"/>
      <c r="L97" s="23"/>
      <c r="M97" s="23"/>
      <c r="N97" s="23"/>
      <c r="O97" s="23"/>
      <c r="P97" s="23"/>
      <c r="Q97" s="23"/>
      <c r="R97" s="23"/>
      <c r="S97" s="2"/>
      <c r="T97" s="2"/>
      <c r="U97" s="2"/>
      <c r="V97" s="2"/>
      <c r="W97" s="2"/>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row>
    <row r="98" spans="1:53" ht="18" customHeight="1" x14ac:dyDescent="0.25">
      <c r="A98" s="1"/>
      <c r="B98" s="18"/>
      <c r="C98" s="26"/>
      <c r="D98" s="26"/>
      <c r="E98" s="26"/>
      <c r="F98" s="26"/>
      <c r="G98" s="26"/>
      <c r="H98" s="26"/>
      <c r="I98" s="26"/>
      <c r="J98" s="26"/>
      <c r="K98" s="26"/>
      <c r="L98" s="26"/>
      <c r="M98" s="26"/>
      <c r="N98" s="26"/>
      <c r="O98" s="26"/>
      <c r="P98" s="26"/>
      <c r="Q98" s="26"/>
      <c r="R98" s="26"/>
      <c r="S98" s="2"/>
      <c r="T98" s="2"/>
      <c r="U98" s="2"/>
      <c r="V98" s="2"/>
      <c r="W98" s="2"/>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row>
    <row r="99" spans="1:53" ht="18" customHeight="1" x14ac:dyDescent="0.25">
      <c r="A99" s="1"/>
      <c r="B99" s="12"/>
      <c r="C99" s="23"/>
      <c r="D99" s="23"/>
      <c r="E99" s="23"/>
      <c r="F99" s="23"/>
      <c r="G99" s="23"/>
      <c r="H99" s="23"/>
      <c r="I99" s="23"/>
      <c r="J99" s="23"/>
      <c r="K99" s="23"/>
      <c r="L99" s="23"/>
      <c r="M99" s="23"/>
      <c r="N99" s="23"/>
      <c r="O99" s="23"/>
      <c r="P99" s="23"/>
      <c r="Q99" s="23"/>
      <c r="R99" s="23"/>
      <c r="S99" s="29"/>
      <c r="T99" s="29"/>
      <c r="U99" s="2"/>
      <c r="V99" s="2"/>
      <c r="W99" s="2"/>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row>
    <row r="100" spans="1:53" ht="18" customHeight="1" x14ac:dyDescent="0.25">
      <c r="A100" s="1"/>
      <c r="B100" s="16"/>
      <c r="C100" s="23"/>
      <c r="D100" s="23"/>
      <c r="E100" s="23"/>
      <c r="F100" s="23"/>
      <c r="G100" s="23"/>
      <c r="H100" s="23"/>
      <c r="I100" s="23"/>
      <c r="J100" s="23"/>
      <c r="K100" s="23"/>
      <c r="L100" s="23"/>
      <c r="M100" s="23"/>
      <c r="N100" s="23"/>
      <c r="O100" s="23"/>
      <c r="P100" s="23"/>
      <c r="Q100" s="23"/>
      <c r="R100" s="23"/>
      <c r="S100" s="2"/>
      <c r="T100" s="2"/>
      <c r="U100" s="2"/>
      <c r="V100" s="2"/>
      <c r="W100" s="2"/>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row>
    <row r="101" spans="1:53" ht="18" customHeight="1" collapsed="1" x14ac:dyDescent="0.25">
      <c r="A101" s="1"/>
      <c r="B101" s="16"/>
      <c r="C101" s="23"/>
      <c r="D101" s="23"/>
      <c r="E101" s="23"/>
      <c r="F101" s="23"/>
      <c r="G101" s="23"/>
      <c r="H101" s="23"/>
      <c r="I101" s="23"/>
      <c r="J101" s="23"/>
      <c r="K101" s="23"/>
      <c r="L101" s="23"/>
      <c r="M101" s="23"/>
      <c r="N101" s="23"/>
      <c r="O101" s="23"/>
      <c r="P101" s="23"/>
      <c r="Q101" s="23"/>
      <c r="R101" s="23"/>
      <c r="S101" s="2"/>
      <c r="T101" s="2"/>
      <c r="U101" s="2"/>
      <c r="V101" s="2"/>
      <c r="W101" s="2"/>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row>
    <row r="102" spans="1:53" ht="18" customHeight="1" x14ac:dyDescent="0.25">
      <c r="A102" s="1"/>
      <c r="B102" s="16"/>
      <c r="C102" s="23"/>
      <c r="D102" s="23"/>
      <c r="E102" s="23"/>
      <c r="F102" s="23"/>
      <c r="G102" s="23"/>
      <c r="H102" s="23"/>
      <c r="I102" s="23"/>
      <c r="J102" s="23"/>
      <c r="K102" s="23"/>
      <c r="L102" s="23"/>
      <c r="M102" s="23"/>
      <c r="N102" s="23"/>
      <c r="O102" s="23"/>
      <c r="P102" s="23"/>
      <c r="Q102" s="23"/>
      <c r="R102" s="23"/>
      <c r="S102" s="2"/>
      <c r="T102" s="2"/>
      <c r="U102" s="2"/>
      <c r="V102" s="2"/>
      <c r="W102" s="2"/>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row>
    <row r="103" spans="1:53" ht="18" customHeight="1" x14ac:dyDescent="0.25">
      <c r="A103" s="1"/>
      <c r="B103" s="16"/>
      <c r="C103" s="23"/>
      <c r="D103" s="23"/>
      <c r="E103" s="23"/>
      <c r="F103" s="23"/>
      <c r="G103" s="23"/>
      <c r="H103" s="23"/>
      <c r="I103" s="23"/>
      <c r="J103" s="23"/>
      <c r="K103" s="23"/>
      <c r="L103" s="23"/>
      <c r="M103" s="23"/>
      <c r="N103" s="23"/>
      <c r="O103" s="23"/>
      <c r="P103" s="23"/>
      <c r="Q103" s="23"/>
      <c r="R103" s="23"/>
      <c r="S103" s="2"/>
      <c r="T103" s="2"/>
      <c r="U103" s="2"/>
      <c r="V103" s="2"/>
      <c r="W103" s="2"/>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row>
    <row r="104" spans="1:53" ht="18" customHeight="1" x14ac:dyDescent="0.25">
      <c r="A104" s="1"/>
      <c r="B104" s="12"/>
      <c r="C104" s="23"/>
      <c r="D104" s="23"/>
      <c r="E104" s="23"/>
      <c r="F104" s="23"/>
      <c r="G104" s="23"/>
      <c r="H104" s="23"/>
      <c r="I104" s="23"/>
      <c r="J104" s="23"/>
      <c r="K104" s="23"/>
      <c r="L104" s="23"/>
      <c r="M104" s="23"/>
      <c r="N104" s="23"/>
      <c r="O104" s="23"/>
      <c r="P104" s="23"/>
      <c r="Q104" s="23"/>
      <c r="R104" s="23"/>
      <c r="S104" s="2"/>
      <c r="T104" s="2"/>
      <c r="U104" s="2"/>
      <c r="V104" s="2"/>
      <c r="W104" s="2"/>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row>
    <row r="105" spans="1:53" ht="18" customHeight="1" x14ac:dyDescent="0.25">
      <c r="A105" s="1"/>
      <c r="B105" s="16"/>
      <c r="C105" s="23"/>
      <c r="D105" s="23"/>
      <c r="E105" s="23"/>
      <c r="F105" s="23"/>
      <c r="G105" s="23"/>
      <c r="H105" s="23"/>
      <c r="I105" s="23"/>
      <c r="J105" s="23"/>
      <c r="K105" s="23"/>
      <c r="L105" s="23"/>
      <c r="M105" s="23"/>
      <c r="N105" s="23"/>
      <c r="O105" s="23"/>
      <c r="P105" s="23"/>
      <c r="Q105" s="23"/>
      <c r="R105" s="23"/>
      <c r="S105" s="2"/>
      <c r="T105" s="2"/>
      <c r="U105" s="2"/>
      <c r="V105" s="2"/>
      <c r="W105" s="2"/>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row>
    <row r="106" spans="1:53" ht="18" customHeight="1" x14ac:dyDescent="0.25">
      <c r="A106" s="1"/>
      <c r="B106" s="16"/>
      <c r="C106" s="23"/>
      <c r="D106" s="23"/>
      <c r="E106" s="23"/>
      <c r="F106" s="23"/>
      <c r="G106" s="23"/>
      <c r="H106" s="23"/>
      <c r="I106" s="23"/>
      <c r="J106" s="23"/>
      <c r="K106" s="23"/>
      <c r="L106" s="23"/>
      <c r="M106" s="23"/>
      <c r="N106" s="23"/>
      <c r="O106" s="23"/>
      <c r="P106" s="23"/>
      <c r="Q106" s="23"/>
      <c r="R106" s="23"/>
      <c r="S106" s="2"/>
      <c r="T106" s="2"/>
      <c r="U106" s="2"/>
      <c r="V106" s="2"/>
      <c r="W106" s="2"/>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row>
    <row r="107" spans="1:53" ht="18" customHeight="1" x14ac:dyDescent="0.25">
      <c r="A107" s="1"/>
      <c r="B107" s="16"/>
      <c r="C107" s="23"/>
      <c r="D107" s="23"/>
      <c r="E107" s="23"/>
      <c r="F107" s="23"/>
      <c r="G107" s="23"/>
      <c r="H107" s="23"/>
      <c r="I107" s="23"/>
      <c r="J107" s="23"/>
      <c r="K107" s="23"/>
      <c r="L107" s="23"/>
      <c r="M107" s="23"/>
      <c r="N107" s="23"/>
      <c r="O107" s="23"/>
      <c r="P107" s="23"/>
      <c r="Q107" s="23"/>
      <c r="R107" s="23"/>
      <c r="S107" s="2"/>
      <c r="T107" s="2"/>
      <c r="U107" s="2"/>
      <c r="V107" s="2"/>
      <c r="W107" s="2"/>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row>
    <row r="108" spans="1:53" ht="18" customHeight="1" x14ac:dyDescent="0.25">
      <c r="A108" s="1"/>
      <c r="B108" s="16"/>
      <c r="C108" s="23"/>
      <c r="D108" s="23"/>
      <c r="E108" s="23"/>
      <c r="F108" s="23"/>
      <c r="G108" s="23"/>
      <c r="H108" s="23"/>
      <c r="I108" s="23"/>
      <c r="J108" s="23"/>
      <c r="K108" s="23"/>
      <c r="L108" s="23"/>
      <c r="M108" s="23"/>
      <c r="N108" s="23"/>
      <c r="O108" s="23"/>
      <c r="P108" s="23"/>
      <c r="Q108" s="23"/>
      <c r="R108" s="23"/>
      <c r="S108" s="2"/>
      <c r="T108" s="2"/>
      <c r="U108" s="2"/>
      <c r="V108" s="2"/>
      <c r="W108" s="2"/>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row>
    <row r="109" spans="1:53" ht="18" customHeight="1" x14ac:dyDescent="0.25">
      <c r="A109" s="1"/>
      <c r="B109" s="47"/>
      <c r="C109" s="23"/>
      <c r="D109" s="23"/>
      <c r="E109" s="23"/>
      <c r="F109" s="23"/>
      <c r="G109" s="23"/>
      <c r="H109" s="23"/>
      <c r="I109" s="23"/>
      <c r="J109" s="23"/>
      <c r="K109" s="23"/>
      <c r="L109" s="23"/>
      <c r="M109" s="23"/>
      <c r="N109" s="23"/>
      <c r="O109" s="23"/>
      <c r="P109" s="23"/>
      <c r="Q109" s="23"/>
      <c r="R109" s="23"/>
      <c r="S109" s="2"/>
      <c r="T109" s="2"/>
      <c r="U109" s="2"/>
      <c r="V109" s="2"/>
      <c r="W109" s="2"/>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row>
    <row r="110" spans="1:53" ht="18" customHeight="1" x14ac:dyDescent="0.25">
      <c r="A110" s="1"/>
      <c r="B110" s="47"/>
      <c r="C110" s="23"/>
      <c r="D110" s="23"/>
      <c r="E110" s="23"/>
      <c r="F110" s="23"/>
      <c r="G110" s="23"/>
      <c r="H110" s="23"/>
      <c r="I110" s="23"/>
      <c r="J110" s="23"/>
      <c r="K110" s="23"/>
      <c r="L110" s="23"/>
      <c r="M110" s="23"/>
      <c r="N110" s="23"/>
      <c r="O110" s="23"/>
      <c r="P110" s="23"/>
      <c r="Q110" s="23"/>
      <c r="R110" s="23"/>
      <c r="S110" s="2"/>
      <c r="T110" s="2"/>
      <c r="U110" s="2"/>
      <c r="V110" s="2"/>
      <c r="W110" s="2"/>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row>
    <row r="111" spans="1:53" ht="18" customHeight="1" x14ac:dyDescent="0.25">
      <c r="A111" s="1"/>
      <c r="B111" s="47"/>
      <c r="C111" s="23"/>
      <c r="D111" s="23"/>
      <c r="E111" s="23"/>
      <c r="F111" s="23"/>
      <c r="G111" s="23"/>
      <c r="H111" s="23"/>
      <c r="I111" s="23"/>
      <c r="J111" s="23"/>
      <c r="K111" s="23"/>
      <c r="L111" s="23"/>
      <c r="M111" s="23"/>
      <c r="N111" s="23"/>
      <c r="O111" s="23"/>
      <c r="P111" s="23"/>
      <c r="Q111" s="23"/>
      <c r="R111" s="23"/>
      <c r="S111" s="2"/>
      <c r="T111" s="2"/>
      <c r="U111" s="2"/>
      <c r="V111" s="2"/>
      <c r="W111" s="2"/>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row>
    <row r="112" spans="1:53" ht="18" customHeight="1" x14ac:dyDescent="0.25">
      <c r="A112" s="1"/>
      <c r="B112" s="47"/>
      <c r="C112" s="23"/>
      <c r="D112" s="23"/>
      <c r="E112" s="23"/>
      <c r="F112" s="23"/>
      <c r="G112" s="23"/>
      <c r="H112" s="23"/>
      <c r="I112" s="23"/>
      <c r="J112" s="23"/>
      <c r="K112" s="23"/>
      <c r="L112" s="23"/>
      <c r="M112" s="23"/>
      <c r="N112" s="23"/>
      <c r="O112" s="23"/>
      <c r="P112" s="23"/>
      <c r="Q112" s="23"/>
      <c r="R112" s="23"/>
      <c r="S112" s="2"/>
      <c r="T112" s="2"/>
      <c r="U112" s="2"/>
      <c r="V112" s="2"/>
      <c r="W112" s="2"/>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row>
    <row r="113" spans="1:53" ht="18" customHeight="1" x14ac:dyDescent="0.25">
      <c r="A113" s="1"/>
      <c r="B113" s="47"/>
      <c r="C113" s="23"/>
      <c r="D113" s="23"/>
      <c r="E113" s="23"/>
      <c r="F113" s="23"/>
      <c r="G113" s="23"/>
      <c r="H113" s="23"/>
      <c r="I113" s="23"/>
      <c r="J113" s="23"/>
      <c r="K113" s="23"/>
      <c r="L113" s="23"/>
      <c r="M113" s="23"/>
      <c r="N113" s="23"/>
      <c r="O113" s="23"/>
      <c r="P113" s="23"/>
      <c r="Q113" s="23"/>
      <c r="R113" s="23"/>
      <c r="S113" s="2"/>
      <c r="T113" s="2"/>
      <c r="U113" s="2"/>
      <c r="V113" s="2"/>
      <c r="W113" s="2"/>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row>
    <row r="114" spans="1:53" ht="18" customHeight="1" x14ac:dyDescent="0.25">
      <c r="A114" s="1"/>
      <c r="B114" s="47"/>
      <c r="C114" s="23"/>
      <c r="D114" s="23"/>
      <c r="E114" s="23"/>
      <c r="F114" s="23"/>
      <c r="G114" s="23"/>
      <c r="H114" s="23"/>
      <c r="I114" s="23"/>
      <c r="J114" s="23"/>
      <c r="K114" s="23"/>
      <c r="L114" s="23"/>
      <c r="M114" s="23"/>
      <c r="N114" s="23"/>
      <c r="O114" s="23"/>
      <c r="P114" s="23"/>
      <c r="Q114" s="23"/>
      <c r="R114" s="23"/>
      <c r="S114" s="2"/>
      <c r="T114" s="2"/>
      <c r="U114" s="2"/>
      <c r="V114" s="2"/>
      <c r="W114" s="2"/>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row>
    <row r="115" spans="1:53" ht="18" customHeight="1" x14ac:dyDescent="0.25">
      <c r="A115" s="1"/>
      <c r="B115" s="47"/>
      <c r="C115" s="23"/>
      <c r="D115" s="23"/>
      <c r="E115" s="23"/>
      <c r="F115" s="23"/>
      <c r="G115" s="23"/>
      <c r="H115" s="23"/>
      <c r="I115" s="23"/>
      <c r="J115" s="23"/>
      <c r="K115" s="23"/>
      <c r="L115" s="23"/>
      <c r="M115" s="23"/>
      <c r="N115" s="23"/>
      <c r="O115" s="23"/>
      <c r="P115" s="23"/>
      <c r="Q115" s="23"/>
      <c r="R115" s="23"/>
      <c r="S115" s="2"/>
      <c r="T115" s="2"/>
      <c r="U115" s="2"/>
      <c r="V115" s="2"/>
      <c r="W115" s="2"/>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row>
    <row r="116" spans="1:53" ht="18" customHeight="1" x14ac:dyDescent="0.25">
      <c r="A116" s="1"/>
      <c r="B116" s="12"/>
      <c r="C116" s="23"/>
      <c r="D116" s="23"/>
      <c r="E116" s="23"/>
      <c r="F116" s="23"/>
      <c r="G116" s="23"/>
      <c r="H116" s="23"/>
      <c r="I116" s="23"/>
      <c r="J116" s="23"/>
      <c r="K116" s="23"/>
      <c r="L116" s="23"/>
      <c r="M116" s="23"/>
      <c r="N116" s="23"/>
      <c r="O116" s="23"/>
      <c r="P116" s="23"/>
      <c r="Q116" s="23"/>
      <c r="R116" s="23"/>
      <c r="S116" s="2"/>
      <c r="T116" s="2"/>
      <c r="U116" s="2"/>
      <c r="V116" s="2"/>
      <c r="W116" s="2"/>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row>
    <row r="117" spans="1:53" ht="18" customHeight="1" x14ac:dyDescent="0.25">
      <c r="A117" s="1"/>
      <c r="B117" s="16"/>
      <c r="C117" s="23"/>
      <c r="D117" s="23"/>
      <c r="E117" s="23"/>
      <c r="F117" s="23"/>
      <c r="G117" s="23"/>
      <c r="H117" s="23"/>
      <c r="I117" s="23"/>
      <c r="J117" s="23"/>
      <c r="K117" s="23"/>
      <c r="L117" s="23"/>
      <c r="M117" s="23"/>
      <c r="N117" s="23"/>
      <c r="O117" s="23"/>
      <c r="P117" s="23"/>
      <c r="Q117" s="23"/>
      <c r="R117" s="23"/>
      <c r="S117" s="2"/>
      <c r="T117" s="2"/>
      <c r="U117" s="2"/>
      <c r="V117" s="2"/>
      <c r="W117" s="2"/>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row>
    <row r="118" spans="1:53" ht="18" customHeight="1" x14ac:dyDescent="0.25">
      <c r="A118" s="1"/>
      <c r="B118" s="12"/>
      <c r="C118" s="23"/>
      <c r="D118" s="23"/>
      <c r="E118" s="23"/>
      <c r="F118" s="23"/>
      <c r="G118" s="23"/>
      <c r="H118" s="23"/>
      <c r="I118" s="23"/>
      <c r="J118" s="23"/>
      <c r="K118" s="23"/>
      <c r="L118" s="23"/>
      <c r="M118" s="23"/>
      <c r="N118" s="23"/>
      <c r="O118" s="23"/>
      <c r="P118" s="23"/>
      <c r="Q118" s="23"/>
      <c r="R118" s="23"/>
      <c r="S118" s="2"/>
      <c r="T118" s="2"/>
      <c r="U118" s="2"/>
      <c r="V118" s="2"/>
      <c r="W118" s="2"/>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row>
    <row r="119" spans="1:53" ht="18" customHeight="1" collapsed="1" x14ac:dyDescent="0.25">
      <c r="A119" s="1"/>
      <c r="B119" s="16"/>
      <c r="C119" s="23"/>
      <c r="D119" s="23"/>
      <c r="E119" s="23"/>
      <c r="F119" s="23"/>
      <c r="G119" s="23"/>
      <c r="H119" s="23"/>
      <c r="I119" s="23"/>
      <c r="J119" s="23"/>
      <c r="K119" s="23"/>
      <c r="L119" s="23"/>
      <c r="M119" s="23"/>
      <c r="N119" s="23"/>
      <c r="O119" s="23"/>
      <c r="P119" s="23"/>
      <c r="Q119" s="23"/>
      <c r="R119" s="23"/>
      <c r="S119" s="2"/>
      <c r="T119" s="2"/>
      <c r="U119" s="2"/>
      <c r="V119" s="2"/>
      <c r="W119" s="2"/>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row>
    <row r="120" spans="1:53" ht="18" customHeight="1" collapsed="1" x14ac:dyDescent="0.25">
      <c r="A120" s="1"/>
      <c r="B120" s="47"/>
      <c r="C120" s="23"/>
      <c r="D120" s="23"/>
      <c r="E120" s="23"/>
      <c r="F120" s="23"/>
      <c r="G120" s="23"/>
      <c r="H120" s="23"/>
      <c r="I120" s="23"/>
      <c r="J120" s="23"/>
      <c r="K120" s="23"/>
      <c r="L120" s="23"/>
      <c r="M120" s="23"/>
      <c r="N120" s="23"/>
      <c r="O120" s="23"/>
      <c r="P120" s="23"/>
      <c r="Q120" s="23"/>
      <c r="R120" s="23"/>
      <c r="S120" s="2"/>
      <c r="T120" s="2"/>
      <c r="U120" s="2"/>
      <c r="V120" s="2"/>
      <c r="W120" s="2"/>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row>
    <row r="121" spans="1:53" ht="18" customHeight="1" collapsed="1" x14ac:dyDescent="0.25">
      <c r="A121" s="1"/>
      <c r="B121" s="47"/>
      <c r="C121" s="23"/>
      <c r="D121" s="23"/>
      <c r="E121" s="23"/>
      <c r="F121" s="23"/>
      <c r="G121" s="23"/>
      <c r="H121" s="23"/>
      <c r="I121" s="23"/>
      <c r="J121" s="23"/>
      <c r="K121" s="23"/>
      <c r="L121" s="23"/>
      <c r="M121" s="23"/>
      <c r="N121" s="23"/>
      <c r="O121" s="23"/>
      <c r="P121" s="23"/>
      <c r="Q121" s="23"/>
      <c r="R121" s="23"/>
      <c r="S121" s="2"/>
      <c r="T121" s="2"/>
      <c r="U121" s="2"/>
      <c r="V121" s="2"/>
      <c r="W121" s="2"/>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row>
    <row r="122" spans="1:53" ht="18" customHeight="1" x14ac:dyDescent="0.25">
      <c r="A122" s="1"/>
      <c r="B122" s="47"/>
      <c r="C122" s="23"/>
      <c r="D122" s="23"/>
      <c r="E122" s="23"/>
      <c r="F122" s="23"/>
      <c r="G122" s="23"/>
      <c r="H122" s="23"/>
      <c r="I122" s="23"/>
      <c r="J122" s="23"/>
      <c r="K122" s="23"/>
      <c r="L122" s="23"/>
      <c r="M122" s="23"/>
      <c r="N122" s="23"/>
      <c r="O122" s="23"/>
      <c r="P122" s="23"/>
      <c r="Q122" s="23"/>
      <c r="R122" s="23"/>
      <c r="S122" s="2"/>
      <c r="T122" s="2"/>
      <c r="U122" s="23"/>
      <c r="V122" s="23"/>
      <c r="W122" s="2"/>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row>
    <row r="123" spans="1:53" ht="18" customHeight="1" x14ac:dyDescent="0.25">
      <c r="A123" s="1"/>
      <c r="B123" s="47"/>
      <c r="C123" s="23"/>
      <c r="D123" s="23"/>
      <c r="E123" s="23"/>
      <c r="F123" s="23"/>
      <c r="G123" s="23"/>
      <c r="H123" s="23"/>
      <c r="I123" s="23"/>
      <c r="J123" s="23"/>
      <c r="K123" s="23"/>
      <c r="L123" s="23"/>
      <c r="M123" s="23"/>
      <c r="N123" s="23"/>
      <c r="O123" s="23"/>
      <c r="P123" s="23"/>
      <c r="Q123" s="23"/>
      <c r="R123" s="23"/>
      <c r="S123" s="2"/>
      <c r="T123" s="2"/>
      <c r="U123" s="23"/>
      <c r="V123" s="23"/>
      <c r="W123" s="2"/>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row>
    <row r="124" spans="1:53" ht="18" customHeight="1" x14ac:dyDescent="0.25">
      <c r="A124" s="1"/>
      <c r="B124" s="47"/>
      <c r="C124" s="23"/>
      <c r="D124" s="23"/>
      <c r="E124" s="23"/>
      <c r="F124" s="23"/>
      <c r="G124" s="23"/>
      <c r="H124" s="23"/>
      <c r="I124" s="23"/>
      <c r="J124" s="23"/>
      <c r="K124" s="23"/>
      <c r="L124" s="23"/>
      <c r="M124" s="23"/>
      <c r="N124" s="23"/>
      <c r="O124" s="23"/>
      <c r="P124" s="23"/>
      <c r="Q124" s="23"/>
      <c r="R124" s="23"/>
      <c r="S124" s="2"/>
      <c r="T124" s="2"/>
      <c r="U124" s="2"/>
      <c r="V124" s="2"/>
      <c r="W124" s="2"/>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row>
    <row r="125" spans="1:53" ht="18" customHeight="1" x14ac:dyDescent="0.25">
      <c r="A125" s="1"/>
      <c r="B125" s="137"/>
      <c r="C125" s="23"/>
      <c r="D125" s="23"/>
      <c r="E125" s="23"/>
      <c r="F125" s="23"/>
      <c r="G125" s="23"/>
      <c r="H125" s="23"/>
      <c r="I125" s="23"/>
      <c r="J125" s="23"/>
      <c r="K125" s="23"/>
      <c r="L125" s="23"/>
      <c r="M125" s="23"/>
      <c r="N125" s="23"/>
      <c r="O125" s="23"/>
      <c r="P125" s="23"/>
      <c r="Q125" s="23"/>
      <c r="R125" s="23"/>
      <c r="S125" s="2"/>
      <c r="T125" s="2"/>
      <c r="U125" s="2"/>
      <c r="V125" s="2"/>
      <c r="W125" s="2"/>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row>
    <row r="126" spans="1:53" ht="18" customHeight="1" x14ac:dyDescent="0.25">
      <c r="A126" s="1"/>
      <c r="B126" s="12"/>
      <c r="C126" s="23"/>
      <c r="D126" s="23"/>
      <c r="E126" s="23"/>
      <c r="F126" s="23"/>
      <c r="G126" s="23"/>
      <c r="H126" s="23"/>
      <c r="I126" s="23"/>
      <c r="J126" s="23"/>
      <c r="K126" s="23"/>
      <c r="L126" s="23"/>
      <c r="M126" s="23"/>
      <c r="N126" s="23"/>
      <c r="O126" s="23"/>
      <c r="P126" s="23"/>
      <c r="Q126" s="23"/>
      <c r="R126" s="23"/>
      <c r="S126" s="2"/>
      <c r="T126" s="2"/>
      <c r="U126" s="2"/>
      <c r="V126" s="2"/>
      <c r="W126" s="2"/>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row>
    <row r="127" spans="1:53" ht="18" customHeight="1" x14ac:dyDescent="0.25">
      <c r="A127" s="1"/>
      <c r="B127" s="47"/>
      <c r="C127" s="23"/>
      <c r="D127" s="23"/>
      <c r="E127" s="23"/>
      <c r="F127" s="23"/>
      <c r="G127" s="23"/>
      <c r="H127" s="23"/>
      <c r="I127" s="23"/>
      <c r="J127" s="23"/>
      <c r="K127" s="23"/>
      <c r="L127" s="23"/>
      <c r="M127" s="23"/>
      <c r="N127" s="23"/>
      <c r="O127" s="23"/>
      <c r="P127" s="23"/>
      <c r="Q127" s="23"/>
      <c r="R127" s="23"/>
      <c r="S127" s="2"/>
      <c r="T127" s="2"/>
      <c r="U127" s="2"/>
      <c r="V127" s="2"/>
      <c r="W127" s="2"/>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row>
    <row r="128" spans="1:53" ht="18" customHeight="1" collapsed="1" x14ac:dyDescent="0.25">
      <c r="A128" s="1"/>
      <c r="B128" s="94"/>
      <c r="C128" s="26"/>
      <c r="D128" s="26"/>
      <c r="E128" s="26"/>
      <c r="F128" s="26"/>
      <c r="G128" s="26"/>
      <c r="H128" s="26"/>
      <c r="I128" s="26"/>
      <c r="J128" s="26"/>
      <c r="K128" s="26"/>
      <c r="L128" s="26"/>
      <c r="M128" s="26"/>
      <c r="N128" s="26"/>
      <c r="O128" s="26"/>
      <c r="P128" s="26"/>
      <c r="Q128" s="26"/>
      <c r="R128" s="26"/>
      <c r="S128" s="2"/>
      <c r="T128" s="2"/>
      <c r="U128" s="2"/>
      <c r="V128" s="2"/>
      <c r="W128" s="2"/>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row>
    <row r="129" spans="1:53" ht="18" customHeight="1" x14ac:dyDescent="0.25">
      <c r="A129" s="1"/>
      <c r="B129" s="12"/>
      <c r="C129" s="23"/>
      <c r="D129" s="23"/>
      <c r="E129" s="23"/>
      <c r="F129" s="23"/>
      <c r="G129" s="23"/>
      <c r="H129" s="23"/>
      <c r="I129" s="23"/>
      <c r="J129" s="23"/>
      <c r="K129" s="23"/>
      <c r="L129" s="23"/>
      <c r="M129" s="23"/>
      <c r="N129" s="23"/>
      <c r="O129" s="23"/>
      <c r="P129" s="23"/>
      <c r="Q129" s="23"/>
      <c r="R129" s="23"/>
      <c r="S129" s="2"/>
      <c r="T129" s="2"/>
      <c r="U129" s="2"/>
      <c r="V129" s="2"/>
      <c r="W129" s="2"/>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row>
    <row r="130" spans="1:53" ht="18" customHeight="1" x14ac:dyDescent="0.25">
      <c r="A130" s="1"/>
      <c r="B130" s="12"/>
      <c r="C130" s="23"/>
      <c r="D130" s="23"/>
      <c r="E130" s="23"/>
      <c r="F130" s="23"/>
      <c r="G130" s="23"/>
      <c r="H130" s="23"/>
      <c r="I130" s="23"/>
      <c r="J130" s="23"/>
      <c r="K130" s="23"/>
      <c r="L130" s="23"/>
      <c r="M130" s="23"/>
      <c r="N130" s="23"/>
      <c r="O130" s="23"/>
      <c r="P130" s="23"/>
      <c r="Q130" s="23"/>
      <c r="R130" s="23"/>
      <c r="S130" s="2"/>
      <c r="T130" s="2"/>
      <c r="U130" s="2"/>
      <c r="V130" s="2"/>
      <c r="W130" s="2"/>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row>
    <row r="131" spans="1:53" ht="18" customHeight="1" x14ac:dyDescent="0.25">
      <c r="A131" s="1"/>
      <c r="B131" s="16"/>
      <c r="C131" s="23"/>
      <c r="D131" s="23"/>
      <c r="E131" s="23"/>
      <c r="F131" s="23"/>
      <c r="G131" s="23"/>
      <c r="H131" s="23"/>
      <c r="I131" s="23"/>
      <c r="J131" s="23"/>
      <c r="K131" s="23"/>
      <c r="L131" s="23"/>
      <c r="M131" s="23"/>
      <c r="N131" s="23"/>
      <c r="O131" s="23"/>
      <c r="P131" s="23"/>
      <c r="Q131" s="23"/>
      <c r="R131" s="23"/>
      <c r="S131" s="2"/>
      <c r="T131" s="2"/>
      <c r="U131" s="2"/>
      <c r="V131" s="2"/>
      <c r="W131" s="2"/>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row>
    <row r="132" spans="1:53" ht="18" customHeight="1" x14ac:dyDescent="0.25">
      <c r="A132" s="1"/>
      <c r="B132" s="16"/>
      <c r="C132" s="23"/>
      <c r="D132" s="23"/>
      <c r="E132" s="23"/>
      <c r="F132" s="23"/>
      <c r="G132" s="23"/>
      <c r="H132" s="23"/>
      <c r="I132" s="23"/>
      <c r="J132" s="23"/>
      <c r="K132" s="23"/>
      <c r="L132" s="23"/>
      <c r="M132" s="23"/>
      <c r="N132" s="23"/>
      <c r="O132" s="23"/>
      <c r="P132" s="23"/>
      <c r="Q132" s="23"/>
      <c r="R132" s="23"/>
      <c r="S132" s="2"/>
      <c r="T132" s="2"/>
      <c r="U132" s="2"/>
      <c r="V132" s="2"/>
      <c r="W132" s="2"/>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row>
    <row r="133" spans="1:53" ht="18" customHeight="1" x14ac:dyDescent="0.25">
      <c r="A133" s="1"/>
      <c r="B133" s="16"/>
      <c r="C133" s="23"/>
      <c r="D133" s="23"/>
      <c r="E133" s="23"/>
      <c r="F133" s="23"/>
      <c r="G133" s="23"/>
      <c r="H133" s="23"/>
      <c r="I133" s="23"/>
      <c r="J133" s="23"/>
      <c r="K133" s="23"/>
      <c r="L133" s="23"/>
      <c r="M133" s="23"/>
      <c r="N133" s="23"/>
      <c r="O133" s="23"/>
      <c r="P133" s="23"/>
      <c r="Q133" s="23"/>
      <c r="R133" s="23"/>
      <c r="S133" s="2"/>
      <c r="T133" s="2"/>
      <c r="U133" s="2"/>
      <c r="V133" s="2"/>
      <c r="W133" s="2"/>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row>
    <row r="134" spans="1:53" ht="18" customHeight="1" x14ac:dyDescent="0.25">
      <c r="A134" s="1"/>
      <c r="B134" s="16"/>
      <c r="C134" s="23"/>
      <c r="D134" s="23"/>
      <c r="E134" s="23"/>
      <c r="F134" s="23"/>
      <c r="G134" s="23"/>
      <c r="H134" s="23"/>
      <c r="I134" s="23"/>
      <c r="J134" s="23"/>
      <c r="K134" s="23"/>
      <c r="L134" s="23"/>
      <c r="M134" s="23"/>
      <c r="N134" s="23"/>
      <c r="O134" s="23"/>
      <c r="P134" s="23"/>
      <c r="Q134" s="23"/>
      <c r="R134" s="23"/>
      <c r="S134" s="2"/>
      <c r="T134" s="2"/>
      <c r="U134" s="2"/>
      <c r="V134" s="2"/>
      <c r="W134" s="2"/>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row>
    <row r="135" spans="1:53" ht="18" customHeight="1" x14ac:dyDescent="0.25">
      <c r="A135" s="1"/>
      <c r="B135" s="16"/>
      <c r="C135" s="23"/>
      <c r="D135" s="23"/>
      <c r="E135" s="23"/>
      <c r="F135" s="23"/>
      <c r="G135" s="23"/>
      <c r="H135" s="23"/>
      <c r="I135" s="23"/>
      <c r="J135" s="23"/>
      <c r="K135" s="23"/>
      <c r="L135" s="23"/>
      <c r="M135" s="23"/>
      <c r="N135" s="23"/>
      <c r="O135" s="23"/>
      <c r="P135" s="23"/>
      <c r="Q135" s="23"/>
      <c r="R135" s="23"/>
      <c r="S135" s="2"/>
      <c r="T135" s="2"/>
      <c r="U135" s="2"/>
      <c r="V135" s="2"/>
      <c r="W135" s="2"/>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row>
    <row r="136" spans="1:53" ht="18" customHeight="1" collapsed="1" x14ac:dyDescent="0.25">
      <c r="A136" s="1"/>
      <c r="B136" s="12"/>
      <c r="C136" s="23"/>
      <c r="D136" s="23"/>
      <c r="E136" s="23"/>
      <c r="F136" s="23"/>
      <c r="G136" s="23"/>
      <c r="H136" s="23"/>
      <c r="I136" s="23"/>
      <c r="J136" s="23"/>
      <c r="K136" s="23"/>
      <c r="L136" s="23"/>
      <c r="M136" s="23"/>
      <c r="N136" s="23"/>
      <c r="O136" s="23"/>
      <c r="P136" s="23"/>
      <c r="Q136" s="23"/>
      <c r="R136" s="23"/>
      <c r="S136" s="2"/>
      <c r="T136" s="2"/>
      <c r="U136" s="2"/>
      <c r="V136" s="2"/>
      <c r="W136" s="2"/>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row>
    <row r="137" spans="1:53" ht="18" customHeight="1" x14ac:dyDescent="0.25">
      <c r="A137" s="1"/>
      <c r="B137" s="16"/>
      <c r="C137" s="23"/>
      <c r="D137" s="23"/>
      <c r="E137" s="23"/>
      <c r="F137" s="23"/>
      <c r="G137" s="23"/>
      <c r="H137" s="23"/>
      <c r="I137" s="23"/>
      <c r="J137" s="23"/>
      <c r="K137" s="23"/>
      <c r="L137" s="23"/>
      <c r="M137" s="23"/>
      <c r="N137" s="23"/>
      <c r="O137" s="23"/>
      <c r="P137" s="23"/>
      <c r="Q137" s="23"/>
      <c r="R137" s="23"/>
      <c r="S137" s="2"/>
      <c r="T137" s="2"/>
      <c r="U137" s="2"/>
      <c r="V137" s="2"/>
      <c r="W137" s="2"/>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row>
    <row r="138" spans="1:53" ht="18" customHeight="1" x14ac:dyDescent="0.25">
      <c r="A138" s="1"/>
      <c r="B138" s="16"/>
      <c r="C138" s="23"/>
      <c r="D138" s="23"/>
      <c r="E138" s="23"/>
      <c r="F138" s="23"/>
      <c r="G138" s="23"/>
      <c r="H138" s="23"/>
      <c r="I138" s="23"/>
      <c r="J138" s="23"/>
      <c r="K138" s="23"/>
      <c r="L138" s="23"/>
      <c r="M138" s="23"/>
      <c r="N138" s="23"/>
      <c r="O138" s="23"/>
      <c r="P138" s="23"/>
      <c r="Q138" s="23"/>
      <c r="R138" s="23"/>
      <c r="S138" s="2"/>
      <c r="T138" s="2"/>
      <c r="U138" s="2"/>
      <c r="V138" s="2"/>
      <c r="W138" s="2"/>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row>
    <row r="139" spans="1:53" x14ac:dyDescent="0.25">
      <c r="A139" s="1"/>
      <c r="B139" s="16"/>
      <c r="C139" s="23"/>
      <c r="D139" s="23"/>
      <c r="E139" s="23"/>
      <c r="F139" s="23"/>
      <c r="G139" s="23"/>
      <c r="H139" s="23"/>
      <c r="I139" s="23"/>
      <c r="J139" s="23"/>
      <c r="K139" s="23"/>
      <c r="L139" s="23"/>
      <c r="M139" s="23"/>
      <c r="N139" s="23"/>
      <c r="O139" s="23"/>
      <c r="P139" s="23"/>
      <c r="Q139" s="23"/>
      <c r="R139" s="23"/>
      <c r="S139" s="2"/>
      <c r="T139" s="2"/>
      <c r="U139" s="2"/>
      <c r="V139" s="2"/>
      <c r="W139" s="2"/>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row>
    <row r="140" spans="1:53" x14ac:dyDescent="0.25">
      <c r="A140" s="1"/>
      <c r="B140" s="16"/>
      <c r="C140" s="23"/>
      <c r="D140" s="23"/>
      <c r="E140" s="23"/>
      <c r="F140" s="23"/>
      <c r="G140" s="23"/>
      <c r="H140" s="23"/>
      <c r="I140" s="23"/>
      <c r="J140" s="23"/>
      <c r="K140" s="23"/>
      <c r="L140" s="23"/>
      <c r="M140" s="23"/>
      <c r="N140" s="23"/>
      <c r="O140" s="23"/>
      <c r="P140" s="23"/>
      <c r="Q140" s="23"/>
      <c r="R140" s="23"/>
      <c r="S140" s="2"/>
      <c r="T140" s="2"/>
      <c r="U140" s="2"/>
      <c r="V140" s="2"/>
      <c r="W140" s="2"/>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row>
    <row r="141" spans="1:53" x14ac:dyDescent="0.25">
      <c r="A141" s="1"/>
      <c r="B141" s="16"/>
      <c r="C141" s="23"/>
      <c r="D141" s="23"/>
      <c r="E141" s="23"/>
      <c r="F141" s="23"/>
      <c r="G141" s="23"/>
      <c r="H141" s="23"/>
      <c r="I141" s="23"/>
      <c r="J141" s="23"/>
      <c r="K141" s="23"/>
      <c r="L141" s="23"/>
      <c r="M141" s="23"/>
      <c r="N141" s="23"/>
      <c r="O141" s="23"/>
      <c r="P141" s="23"/>
      <c r="Q141" s="23"/>
      <c r="R141" s="23"/>
      <c r="S141" s="2"/>
      <c r="T141" s="2"/>
      <c r="U141" s="2"/>
      <c r="V141" s="2"/>
      <c r="W141" s="2"/>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row>
    <row r="142" spans="1:53" x14ac:dyDescent="0.25">
      <c r="A142" s="1"/>
      <c r="B142" s="12"/>
      <c r="C142" s="23"/>
      <c r="D142" s="23"/>
      <c r="E142" s="23"/>
      <c r="F142" s="23"/>
      <c r="G142" s="23"/>
      <c r="H142" s="23"/>
      <c r="I142" s="23"/>
      <c r="J142" s="23"/>
      <c r="K142" s="23"/>
      <c r="L142" s="23"/>
      <c r="M142" s="23"/>
      <c r="N142" s="23"/>
      <c r="O142" s="23"/>
      <c r="P142" s="23"/>
      <c r="Q142" s="23"/>
      <c r="R142" s="23"/>
      <c r="S142" s="2"/>
      <c r="T142" s="2"/>
      <c r="U142" s="2"/>
      <c r="V142" s="2"/>
      <c r="W142" s="2"/>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row>
    <row r="143" spans="1:53" x14ac:dyDescent="0.25">
      <c r="A143" s="1"/>
      <c r="B143" s="12"/>
      <c r="C143" s="23"/>
      <c r="D143" s="23"/>
      <c r="E143" s="23"/>
      <c r="F143" s="23"/>
      <c r="G143" s="23"/>
      <c r="H143" s="23"/>
      <c r="I143" s="23"/>
      <c r="J143" s="23"/>
      <c r="K143" s="23"/>
      <c r="L143" s="23"/>
      <c r="M143" s="23"/>
      <c r="N143" s="23"/>
      <c r="O143" s="23"/>
      <c r="P143" s="23"/>
      <c r="Q143" s="23"/>
      <c r="R143" s="23"/>
      <c r="S143" s="2"/>
      <c r="T143" s="2"/>
      <c r="U143" s="2"/>
      <c r="V143" s="2"/>
      <c r="W143" s="2"/>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row>
    <row r="144" spans="1:53" x14ac:dyDescent="0.25">
      <c r="A144" s="1"/>
      <c r="B144" s="12"/>
      <c r="C144" s="23"/>
      <c r="D144" s="23"/>
      <c r="E144" s="23"/>
      <c r="F144" s="23"/>
      <c r="G144" s="23"/>
      <c r="H144" s="23"/>
      <c r="I144" s="23"/>
      <c r="J144" s="23"/>
      <c r="K144" s="23"/>
      <c r="L144" s="23"/>
      <c r="M144" s="23"/>
      <c r="N144" s="23"/>
      <c r="O144" s="23"/>
      <c r="P144" s="23"/>
      <c r="Q144" s="23"/>
      <c r="R144" s="23"/>
      <c r="S144" s="2"/>
      <c r="T144" s="2"/>
      <c r="U144" s="2"/>
      <c r="V144" s="2"/>
      <c r="W144" s="2"/>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row>
    <row r="145" spans="1:53" x14ac:dyDescent="0.25">
      <c r="A145" s="1"/>
      <c r="B145" s="12"/>
      <c r="C145" s="23"/>
      <c r="D145" s="23"/>
      <c r="E145" s="23"/>
      <c r="F145" s="23"/>
      <c r="G145" s="23"/>
      <c r="H145" s="23"/>
      <c r="I145" s="23"/>
      <c r="J145" s="23"/>
      <c r="K145" s="23"/>
      <c r="L145" s="23"/>
      <c r="M145" s="23"/>
      <c r="N145" s="23"/>
      <c r="O145" s="23"/>
      <c r="P145" s="23"/>
      <c r="Q145" s="23"/>
      <c r="R145" s="23"/>
      <c r="S145" s="2"/>
      <c r="T145" s="2"/>
      <c r="U145" s="2"/>
      <c r="V145" s="2"/>
      <c r="W145" s="2"/>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row>
    <row r="146" spans="1:53" x14ac:dyDescent="0.25">
      <c r="A146" s="1"/>
      <c r="B146" s="1"/>
      <c r="C146" s="1"/>
      <c r="D146" s="1"/>
      <c r="E146" s="1"/>
      <c r="F146" s="1"/>
      <c r="G146" s="1"/>
      <c r="H146" s="1"/>
      <c r="I146" s="2"/>
      <c r="J146" s="2"/>
      <c r="K146" s="2"/>
      <c r="L146" s="2"/>
      <c r="M146" s="2"/>
      <c r="N146" s="2"/>
      <c r="O146" s="2"/>
      <c r="P146" s="2"/>
      <c r="Q146" s="2"/>
      <c r="R146" s="2"/>
      <c r="S146" s="2"/>
      <c r="T146" s="2"/>
      <c r="U146" s="2"/>
      <c r="V146" s="2"/>
      <c r="W146" s="2"/>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row>
    <row r="147" spans="1:53" x14ac:dyDescent="0.25">
      <c r="A147" s="1"/>
      <c r="B147" s="1"/>
      <c r="C147" s="1"/>
      <c r="D147" s="1"/>
      <c r="E147" s="1"/>
      <c r="F147" s="1"/>
      <c r="G147" s="1"/>
      <c r="H147" s="1"/>
      <c r="I147" s="2"/>
      <c r="J147" s="2"/>
      <c r="K147" s="2"/>
      <c r="L147" s="2"/>
      <c r="M147" s="2"/>
      <c r="N147" s="2"/>
      <c r="O147" s="2"/>
      <c r="P147" s="2"/>
      <c r="Q147" s="2"/>
      <c r="R147" s="2"/>
      <c r="S147" s="2"/>
      <c r="T147" s="2"/>
      <c r="U147" s="2"/>
      <c r="V147" s="2"/>
      <c r="W147" s="2"/>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row>
    <row r="148" spans="1:53" x14ac:dyDescent="0.25">
      <c r="A148" s="1"/>
      <c r="B148" s="1"/>
      <c r="C148" s="1"/>
      <c r="D148" s="1"/>
      <c r="E148" s="1"/>
      <c r="F148" s="1"/>
      <c r="G148" s="1"/>
      <c r="H148" s="1"/>
      <c r="I148" s="2"/>
      <c r="J148" s="2"/>
      <c r="K148" s="2"/>
      <c r="L148" s="2"/>
      <c r="M148" s="2"/>
      <c r="N148" s="2"/>
      <c r="O148" s="2"/>
      <c r="P148" s="2"/>
      <c r="Q148" s="2"/>
      <c r="R148" s="2"/>
      <c r="S148" s="2"/>
      <c r="T148" s="2"/>
      <c r="U148" s="2"/>
      <c r="V148" s="2"/>
      <c r="W148" s="2"/>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row>
    <row r="149" spans="1:53" x14ac:dyDescent="0.25">
      <c r="A149" s="1"/>
      <c r="B149" s="1"/>
      <c r="C149" s="1"/>
      <c r="D149" s="1"/>
      <c r="E149" s="1"/>
      <c r="F149" s="1"/>
      <c r="G149" s="1"/>
      <c r="H149" s="1"/>
      <c r="I149" s="2"/>
      <c r="J149" s="2"/>
      <c r="K149" s="2"/>
      <c r="L149" s="2"/>
      <c r="M149" s="2"/>
      <c r="N149" s="2"/>
      <c r="O149" s="2"/>
      <c r="P149" s="2"/>
      <c r="Q149" s="2"/>
      <c r="R149" s="2"/>
      <c r="S149" s="2"/>
      <c r="T149" s="2"/>
      <c r="U149" s="2"/>
      <c r="V149" s="2"/>
      <c r="W149" s="2"/>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row>
    <row r="150" spans="1:53" x14ac:dyDescent="0.25">
      <c r="A150" s="1"/>
      <c r="B150" s="1"/>
      <c r="C150" s="1"/>
      <c r="D150" s="1"/>
      <c r="E150" s="1"/>
      <c r="F150" s="1"/>
      <c r="G150" s="1"/>
      <c r="H150" s="1"/>
      <c r="I150" s="2"/>
      <c r="J150" s="2"/>
      <c r="K150" s="2"/>
      <c r="L150" s="2"/>
      <c r="M150" s="2"/>
      <c r="N150" s="2"/>
      <c r="O150" s="2"/>
      <c r="P150" s="2"/>
      <c r="Q150" s="2"/>
      <c r="R150" s="2"/>
      <c r="S150" s="2"/>
      <c r="T150" s="2"/>
      <c r="U150" s="2"/>
      <c r="V150" s="2"/>
      <c r="W150" s="2"/>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row>
    <row r="151" spans="1:53" x14ac:dyDescent="0.25">
      <c r="A151" s="1"/>
      <c r="B151" s="1"/>
      <c r="C151" s="1"/>
      <c r="D151" s="1"/>
      <c r="E151" s="1"/>
      <c r="F151" s="1"/>
      <c r="G151" s="1"/>
      <c r="H151" s="1"/>
      <c r="I151" s="2"/>
      <c r="J151" s="2"/>
      <c r="K151" s="2"/>
      <c r="L151" s="2"/>
      <c r="M151" s="2"/>
      <c r="N151" s="2"/>
      <c r="O151" s="2"/>
      <c r="P151" s="2"/>
      <c r="Q151" s="2"/>
      <c r="R151" s="2"/>
      <c r="S151" s="2"/>
      <c r="T151" s="2"/>
      <c r="U151" s="2"/>
      <c r="V151" s="2"/>
      <c r="W151" s="2"/>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row>
    <row r="152" spans="1:53" x14ac:dyDescent="0.25">
      <c r="A152" s="1"/>
      <c r="B152" s="1"/>
      <c r="C152" s="1"/>
      <c r="D152" s="1"/>
      <c r="E152" s="1"/>
      <c r="F152" s="1"/>
      <c r="G152" s="1"/>
      <c r="H152" s="1"/>
      <c r="I152" s="2"/>
      <c r="J152" s="2"/>
      <c r="K152" s="2"/>
      <c r="L152" s="2"/>
      <c r="M152" s="2"/>
      <c r="N152" s="2"/>
      <c r="O152" s="2"/>
      <c r="P152" s="2"/>
      <c r="Q152" s="2"/>
      <c r="R152" s="2"/>
      <c r="S152" s="2"/>
      <c r="T152" s="2"/>
      <c r="U152" s="2"/>
      <c r="V152" s="2"/>
      <c r="W152" s="2"/>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row>
    <row r="153" spans="1:53" x14ac:dyDescent="0.25">
      <c r="A153" s="1"/>
      <c r="B153" s="1"/>
      <c r="C153" s="1"/>
      <c r="D153" s="1"/>
      <c r="E153" s="1"/>
      <c r="F153" s="1"/>
      <c r="G153" s="1"/>
      <c r="H153" s="1"/>
      <c r="I153" s="2"/>
      <c r="J153" s="2"/>
      <c r="K153" s="2"/>
      <c r="L153" s="2"/>
      <c r="M153" s="2"/>
      <c r="N153" s="2"/>
      <c r="O153" s="2"/>
      <c r="P153" s="2"/>
      <c r="Q153" s="2"/>
      <c r="R153" s="2"/>
      <c r="S153" s="2"/>
      <c r="T153" s="2"/>
      <c r="U153" s="2"/>
      <c r="V153" s="2"/>
      <c r="W153" s="2"/>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row>
    <row r="154" spans="1:53" x14ac:dyDescent="0.25">
      <c r="A154" s="1"/>
      <c r="B154" s="1"/>
      <c r="C154" s="1"/>
      <c r="D154" s="1"/>
      <c r="E154" s="1"/>
      <c r="F154" s="1"/>
      <c r="G154" s="1"/>
      <c r="H154" s="1"/>
      <c r="I154" s="2"/>
      <c r="J154" s="2"/>
      <c r="K154" s="2"/>
      <c r="L154" s="2"/>
      <c r="M154" s="2"/>
      <c r="N154" s="2"/>
      <c r="O154" s="2"/>
      <c r="P154" s="2"/>
      <c r="Q154" s="2"/>
      <c r="R154" s="2"/>
      <c r="S154" s="2"/>
      <c r="T154" s="2"/>
      <c r="U154" s="2"/>
      <c r="V154" s="2"/>
      <c r="W154" s="2"/>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row>
    <row r="155" spans="1:53" x14ac:dyDescent="0.25">
      <c r="A155" s="1"/>
      <c r="B155" s="1"/>
      <c r="C155" s="1"/>
      <c r="D155" s="1"/>
      <c r="E155" s="1"/>
      <c r="F155" s="1"/>
      <c r="G155" s="1"/>
      <c r="H155" s="1"/>
      <c r="I155" s="2"/>
      <c r="J155" s="2"/>
      <c r="K155" s="2"/>
      <c r="L155" s="2"/>
      <c r="M155" s="2"/>
      <c r="N155" s="2"/>
      <c r="O155" s="2"/>
      <c r="P155" s="2"/>
      <c r="Q155" s="2"/>
      <c r="R155" s="2"/>
      <c r="S155" s="2"/>
      <c r="T155" s="2"/>
      <c r="U155" s="2"/>
      <c r="V155" s="2"/>
      <c r="W155" s="2"/>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row>
    <row r="156" spans="1:53" x14ac:dyDescent="0.25">
      <c r="A156" s="1"/>
      <c r="B156" s="1"/>
      <c r="C156" s="1"/>
      <c r="D156" s="1"/>
      <c r="E156" s="1"/>
      <c r="F156" s="1"/>
      <c r="G156" s="1"/>
      <c r="H156" s="1"/>
      <c r="I156" s="2"/>
      <c r="J156" s="2"/>
      <c r="K156" s="2"/>
      <c r="L156" s="2"/>
      <c r="M156" s="2"/>
      <c r="N156" s="2"/>
      <c r="O156" s="2"/>
      <c r="P156" s="2"/>
      <c r="Q156" s="2"/>
      <c r="R156" s="2"/>
      <c r="S156" s="2"/>
      <c r="T156" s="2"/>
      <c r="U156" s="2"/>
      <c r="V156" s="2"/>
      <c r="W156" s="2"/>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row>
    <row r="157" spans="1:53" x14ac:dyDescent="0.25">
      <c r="A157" s="1"/>
      <c r="B157" s="1"/>
      <c r="C157" s="1"/>
      <c r="D157" s="1"/>
      <c r="E157" s="1"/>
      <c r="F157" s="1"/>
      <c r="G157" s="1"/>
      <c r="H157" s="1"/>
      <c r="I157" s="2"/>
      <c r="J157" s="2"/>
      <c r="K157" s="2"/>
      <c r="L157" s="2"/>
      <c r="M157" s="2"/>
      <c r="N157" s="2"/>
      <c r="O157" s="2"/>
      <c r="P157" s="2"/>
      <c r="Q157" s="2"/>
      <c r="R157" s="2"/>
      <c r="S157" s="2"/>
      <c r="T157" s="2"/>
      <c r="U157" s="2"/>
      <c r="V157" s="2"/>
      <c r="W157" s="2"/>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row>
    <row r="158" spans="1:53" x14ac:dyDescent="0.25">
      <c r="A158" s="1"/>
      <c r="B158" s="1"/>
      <c r="C158" s="1"/>
      <c r="D158" s="1"/>
      <c r="E158" s="1"/>
      <c r="F158" s="1"/>
      <c r="G158" s="1"/>
      <c r="H158" s="1"/>
      <c r="I158" s="2"/>
      <c r="J158" s="2"/>
      <c r="K158" s="2"/>
      <c r="L158" s="2"/>
      <c r="M158" s="2"/>
      <c r="N158" s="2"/>
      <c r="O158" s="2"/>
      <c r="P158" s="2"/>
      <c r="Q158" s="2"/>
      <c r="R158" s="2"/>
      <c r="S158" s="2"/>
      <c r="T158" s="2"/>
      <c r="U158" s="2"/>
      <c r="V158" s="2"/>
      <c r="W158" s="2"/>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row>
    <row r="159" spans="1:53" x14ac:dyDescent="0.25">
      <c r="A159" s="1"/>
      <c r="B159" s="1"/>
      <c r="C159" s="1"/>
      <c r="D159" s="1"/>
      <c r="E159" s="1"/>
      <c r="F159" s="1"/>
      <c r="G159" s="1"/>
      <c r="H159" s="1"/>
      <c r="I159" s="2"/>
      <c r="J159" s="2"/>
      <c r="K159" s="2"/>
      <c r="L159" s="2"/>
      <c r="M159" s="2"/>
      <c r="N159" s="2"/>
      <c r="O159" s="2"/>
      <c r="P159" s="2"/>
      <c r="Q159" s="2"/>
      <c r="R159" s="2"/>
      <c r="S159" s="2"/>
      <c r="T159" s="2"/>
      <c r="U159" s="2"/>
      <c r="V159" s="2"/>
      <c r="W159" s="2"/>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row>
    <row r="160" spans="1:53" x14ac:dyDescent="0.25">
      <c r="A160" s="1"/>
      <c r="B160" s="1"/>
      <c r="C160" s="1"/>
      <c r="D160" s="1"/>
      <c r="E160" s="1"/>
      <c r="F160" s="1"/>
      <c r="G160" s="1"/>
      <c r="H160" s="1"/>
      <c r="I160" s="2"/>
      <c r="J160" s="2"/>
      <c r="K160" s="2"/>
      <c r="L160" s="2"/>
      <c r="M160" s="2"/>
      <c r="N160" s="2"/>
      <c r="O160" s="2"/>
      <c r="P160" s="2"/>
      <c r="Q160" s="2"/>
      <c r="R160" s="2"/>
      <c r="S160" s="2"/>
      <c r="T160" s="2"/>
      <c r="U160" s="2"/>
      <c r="V160" s="2"/>
      <c r="W160" s="2"/>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row>
    <row r="161" spans="1:53" x14ac:dyDescent="0.25">
      <c r="A161" s="1"/>
      <c r="B161" s="1"/>
      <c r="C161" s="1"/>
      <c r="D161" s="1"/>
      <c r="E161" s="1"/>
      <c r="F161" s="1"/>
      <c r="G161" s="1"/>
      <c r="H161" s="1"/>
      <c r="I161" s="2"/>
      <c r="J161" s="2"/>
      <c r="K161" s="2"/>
      <c r="L161" s="2"/>
      <c r="M161" s="2"/>
      <c r="N161" s="2"/>
      <c r="O161" s="2"/>
      <c r="P161" s="2"/>
      <c r="Q161" s="2"/>
      <c r="R161" s="2"/>
      <c r="S161" s="2"/>
      <c r="T161" s="2"/>
      <c r="U161" s="2"/>
      <c r="V161" s="2"/>
      <c r="W161" s="2"/>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row>
    <row r="162" spans="1:53" x14ac:dyDescent="0.25">
      <c r="A162" s="1"/>
      <c r="B162" s="1"/>
      <c r="C162" s="1"/>
      <c r="D162" s="1"/>
      <c r="E162" s="1"/>
      <c r="F162" s="1"/>
      <c r="G162" s="1"/>
      <c r="H162" s="1"/>
      <c r="I162" s="2"/>
      <c r="J162" s="2"/>
      <c r="K162" s="2"/>
      <c r="L162" s="2"/>
      <c r="M162" s="2"/>
      <c r="N162" s="2"/>
      <c r="O162" s="2"/>
      <c r="P162" s="2"/>
      <c r="Q162" s="2"/>
      <c r="R162" s="2"/>
      <c r="S162" s="2"/>
      <c r="T162" s="2"/>
      <c r="U162" s="2"/>
      <c r="V162" s="2"/>
      <c r="W162" s="2"/>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row>
    <row r="163" spans="1:53" x14ac:dyDescent="0.25">
      <c r="A163" s="1"/>
      <c r="B163" s="1"/>
      <c r="C163" s="1"/>
      <c r="D163" s="1"/>
      <c r="E163" s="1"/>
      <c r="F163" s="1"/>
      <c r="G163" s="1"/>
      <c r="H163" s="1"/>
      <c r="I163" s="2"/>
      <c r="J163" s="2"/>
      <c r="K163" s="2"/>
      <c r="L163" s="2"/>
      <c r="M163" s="2"/>
      <c r="N163" s="2"/>
      <c r="O163" s="2"/>
      <c r="P163" s="2"/>
      <c r="Q163" s="2"/>
      <c r="R163" s="2"/>
      <c r="S163" s="2"/>
      <c r="T163" s="2"/>
      <c r="U163" s="2"/>
      <c r="V163" s="2"/>
      <c r="W163" s="2"/>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row>
    <row r="164" spans="1:53" x14ac:dyDescent="0.25">
      <c r="A164" s="1"/>
      <c r="B164" s="1"/>
      <c r="C164" s="1"/>
      <c r="D164" s="1"/>
      <c r="E164" s="1"/>
      <c r="F164" s="1"/>
      <c r="G164" s="1"/>
      <c r="H164" s="1"/>
      <c r="I164" s="2"/>
      <c r="J164" s="2"/>
      <c r="K164" s="2"/>
      <c r="L164" s="2"/>
      <c r="M164" s="2"/>
      <c r="N164" s="2"/>
      <c r="O164" s="2"/>
      <c r="P164" s="2"/>
      <c r="Q164" s="2"/>
      <c r="R164" s="2"/>
      <c r="S164" s="2"/>
      <c r="T164" s="2"/>
      <c r="U164" s="2"/>
      <c r="V164" s="2"/>
      <c r="W164" s="2"/>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row>
    <row r="165" spans="1:53" x14ac:dyDescent="0.25">
      <c r="A165" s="1"/>
      <c r="B165" s="1"/>
      <c r="C165" s="1"/>
      <c r="D165" s="1"/>
      <c r="E165" s="1"/>
      <c r="F165" s="1"/>
      <c r="G165" s="1"/>
      <c r="H165" s="1"/>
      <c r="I165" s="2"/>
      <c r="J165" s="2"/>
      <c r="K165" s="2"/>
      <c r="L165" s="2"/>
      <c r="M165" s="2"/>
      <c r="N165" s="2"/>
      <c r="O165" s="2"/>
      <c r="P165" s="2"/>
      <c r="Q165" s="2"/>
      <c r="R165" s="2"/>
      <c r="S165" s="2"/>
      <c r="T165" s="2"/>
      <c r="U165" s="2"/>
      <c r="V165" s="2"/>
      <c r="W165" s="2"/>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row>
    <row r="166" spans="1:53" x14ac:dyDescent="0.25">
      <c r="A166" s="1"/>
      <c r="B166" s="1"/>
      <c r="C166" s="1"/>
      <c r="D166" s="1"/>
      <c r="E166" s="1"/>
      <c r="F166" s="1"/>
      <c r="G166" s="1"/>
      <c r="H166" s="1"/>
      <c r="I166" s="2"/>
      <c r="J166" s="2"/>
      <c r="K166" s="2"/>
      <c r="L166" s="2"/>
      <c r="M166" s="2"/>
      <c r="N166" s="2"/>
      <c r="O166" s="2"/>
      <c r="P166" s="2"/>
      <c r="Q166" s="2"/>
      <c r="R166" s="2"/>
      <c r="S166" s="2"/>
      <c r="T166" s="2"/>
      <c r="U166" s="2"/>
      <c r="V166" s="2"/>
      <c r="W166" s="2"/>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row>
    <row r="167" spans="1:53" x14ac:dyDescent="0.25">
      <c r="A167" s="1"/>
      <c r="B167" s="1"/>
      <c r="C167" s="1"/>
      <c r="D167" s="1"/>
      <c r="E167" s="1"/>
      <c r="F167" s="1"/>
      <c r="G167" s="1"/>
      <c r="H167" s="1"/>
      <c r="I167" s="2"/>
      <c r="J167" s="2"/>
      <c r="K167" s="2"/>
      <c r="L167" s="2"/>
      <c r="M167" s="2"/>
      <c r="N167" s="2"/>
      <c r="O167" s="2"/>
      <c r="P167" s="2"/>
      <c r="Q167" s="2"/>
      <c r="R167" s="2"/>
      <c r="S167" s="2"/>
      <c r="T167" s="2"/>
      <c r="U167" s="2"/>
      <c r="V167" s="2"/>
      <c r="W167" s="2"/>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row>
    <row r="168" spans="1:53" x14ac:dyDescent="0.25">
      <c r="A168" s="1"/>
      <c r="B168" s="1"/>
      <c r="C168" s="1"/>
      <c r="D168" s="1"/>
      <c r="E168" s="1"/>
      <c r="F168" s="1"/>
      <c r="G168" s="1"/>
      <c r="H168" s="1"/>
      <c r="I168" s="2"/>
      <c r="J168" s="2"/>
      <c r="K168" s="2"/>
      <c r="L168" s="2"/>
      <c r="M168" s="2"/>
      <c r="N168" s="2"/>
      <c r="O168" s="2"/>
      <c r="P168" s="2"/>
      <c r="Q168" s="2"/>
      <c r="R168" s="2"/>
      <c r="S168" s="2"/>
      <c r="T168" s="2"/>
      <c r="U168" s="2"/>
      <c r="V168" s="2"/>
      <c r="W168" s="2"/>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row>
    <row r="169" spans="1:53" x14ac:dyDescent="0.25">
      <c r="A169" s="1"/>
      <c r="B169" s="1"/>
      <c r="C169" s="1"/>
      <c r="D169" s="1"/>
      <c r="E169" s="1"/>
      <c r="F169" s="1"/>
      <c r="G169" s="1"/>
      <c r="H169" s="1"/>
      <c r="I169" s="2"/>
      <c r="J169" s="2"/>
      <c r="K169" s="2"/>
      <c r="L169" s="2"/>
      <c r="M169" s="2"/>
      <c r="N169" s="2"/>
      <c r="O169" s="2"/>
      <c r="P169" s="2"/>
      <c r="Q169" s="2"/>
      <c r="R169" s="2"/>
      <c r="S169" s="2"/>
      <c r="T169" s="2"/>
      <c r="U169" s="2"/>
      <c r="V169" s="2"/>
      <c r="W169" s="2"/>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row>
    <row r="170" spans="1:53" x14ac:dyDescent="0.25">
      <c r="A170" s="1"/>
      <c r="B170" s="1"/>
      <c r="C170" s="1"/>
      <c r="D170" s="1"/>
      <c r="E170" s="1"/>
      <c r="F170" s="1"/>
      <c r="G170" s="1"/>
      <c r="H170" s="1"/>
      <c r="I170" s="2"/>
      <c r="J170" s="2"/>
      <c r="K170" s="2"/>
      <c r="L170" s="2"/>
      <c r="M170" s="2"/>
      <c r="N170" s="2"/>
      <c r="O170" s="2"/>
      <c r="P170" s="2"/>
      <c r="Q170" s="2"/>
      <c r="R170" s="2"/>
      <c r="S170" s="2"/>
      <c r="T170" s="2"/>
      <c r="U170" s="2"/>
      <c r="V170" s="2"/>
      <c r="W170" s="2"/>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row>
    <row r="171" spans="1:53" x14ac:dyDescent="0.25">
      <c r="A171" s="1"/>
      <c r="B171" s="1"/>
      <c r="C171" s="1"/>
      <c r="D171" s="1"/>
      <c r="E171" s="1"/>
      <c r="F171" s="1"/>
      <c r="G171" s="1"/>
      <c r="H171" s="1"/>
      <c r="I171" s="2"/>
      <c r="J171" s="2"/>
      <c r="K171" s="2"/>
      <c r="L171" s="2"/>
      <c r="M171" s="2"/>
      <c r="N171" s="2"/>
      <c r="O171" s="2"/>
      <c r="P171" s="2"/>
      <c r="Q171" s="2"/>
      <c r="R171" s="2"/>
      <c r="S171" s="2"/>
      <c r="T171" s="2"/>
      <c r="U171" s="2"/>
      <c r="V171" s="2"/>
      <c r="W171" s="2"/>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row>
    <row r="172" spans="1:53" x14ac:dyDescent="0.25">
      <c r="A172" s="1"/>
      <c r="B172" s="1"/>
      <c r="C172" s="1"/>
      <c r="D172" s="1"/>
      <c r="E172" s="1"/>
      <c r="F172" s="1"/>
      <c r="G172" s="1"/>
      <c r="H172" s="1"/>
      <c r="I172" s="2"/>
      <c r="J172" s="2"/>
      <c r="K172" s="2"/>
      <c r="L172" s="2"/>
      <c r="M172" s="2"/>
      <c r="N172" s="2"/>
      <c r="O172" s="2"/>
      <c r="P172" s="2"/>
      <c r="Q172" s="2"/>
      <c r="R172" s="2"/>
      <c r="S172" s="2"/>
      <c r="T172" s="2"/>
      <c r="U172" s="2"/>
      <c r="V172" s="2"/>
      <c r="W172" s="2"/>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row>
    <row r="173" spans="1:53" x14ac:dyDescent="0.25">
      <c r="A173" s="1"/>
      <c r="B173" s="1"/>
      <c r="C173" s="1"/>
      <c r="D173" s="1"/>
      <c r="E173" s="1"/>
      <c r="F173" s="1"/>
      <c r="G173" s="1"/>
      <c r="H173" s="1"/>
      <c r="I173" s="2"/>
      <c r="J173" s="2"/>
      <c r="K173" s="2"/>
      <c r="L173" s="2"/>
      <c r="M173" s="2"/>
      <c r="N173" s="2"/>
      <c r="O173" s="2"/>
      <c r="P173" s="2"/>
      <c r="Q173" s="2"/>
      <c r="R173" s="2"/>
      <c r="S173" s="2"/>
      <c r="T173" s="2"/>
      <c r="U173" s="2"/>
      <c r="V173" s="2"/>
      <c r="W173" s="2"/>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row>
    <row r="174" spans="1:53" x14ac:dyDescent="0.25">
      <c r="A174" s="1"/>
      <c r="B174" s="1"/>
      <c r="C174" s="1"/>
      <c r="D174" s="1"/>
      <c r="E174" s="1"/>
      <c r="F174" s="1"/>
      <c r="G174" s="1"/>
      <c r="H174" s="1"/>
      <c r="I174" s="2"/>
      <c r="J174" s="2"/>
      <c r="K174" s="2"/>
      <c r="L174" s="2"/>
      <c r="M174" s="2"/>
      <c r="N174" s="2"/>
      <c r="O174" s="2"/>
      <c r="P174" s="2"/>
      <c r="Q174" s="2"/>
      <c r="R174" s="2"/>
      <c r="S174" s="2"/>
      <c r="T174" s="2"/>
      <c r="U174" s="2"/>
      <c r="V174" s="2"/>
      <c r="W174" s="2"/>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row>
    <row r="175" spans="1:53" x14ac:dyDescent="0.25">
      <c r="A175" s="1"/>
      <c r="B175" s="1"/>
      <c r="C175" s="1"/>
      <c r="D175" s="1"/>
      <c r="E175" s="1"/>
      <c r="F175" s="1"/>
      <c r="G175" s="1"/>
      <c r="H175" s="1"/>
      <c r="I175" s="2"/>
      <c r="J175" s="2"/>
      <c r="K175" s="2"/>
      <c r="L175" s="2"/>
      <c r="M175" s="2"/>
      <c r="N175" s="2"/>
      <c r="O175" s="2"/>
      <c r="P175" s="2"/>
      <c r="Q175" s="2"/>
      <c r="R175" s="2"/>
      <c r="S175" s="2"/>
      <c r="T175" s="2"/>
      <c r="U175" s="2"/>
      <c r="V175" s="2"/>
      <c r="W175" s="2"/>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row>
    <row r="176" spans="1:53" x14ac:dyDescent="0.25">
      <c r="A176" s="1"/>
      <c r="B176" s="1"/>
      <c r="C176" s="1"/>
      <c r="D176" s="1"/>
      <c r="E176" s="1"/>
      <c r="F176" s="1"/>
      <c r="G176" s="1"/>
      <c r="H176" s="1"/>
      <c r="I176" s="2"/>
      <c r="J176" s="2"/>
      <c r="K176" s="2"/>
      <c r="L176" s="2"/>
      <c r="M176" s="2"/>
      <c r="N176" s="2"/>
      <c r="O176" s="2"/>
      <c r="P176" s="2"/>
      <c r="Q176" s="2"/>
      <c r="R176" s="2"/>
      <c r="S176" s="2"/>
      <c r="T176" s="2"/>
      <c r="U176" s="2"/>
      <c r="V176" s="2"/>
      <c r="W176" s="2"/>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row>
    <row r="177" spans="1:53" x14ac:dyDescent="0.25">
      <c r="A177" s="1"/>
      <c r="B177" s="1"/>
      <c r="C177" s="1"/>
      <c r="D177" s="1"/>
      <c r="E177" s="1"/>
      <c r="F177" s="1"/>
      <c r="G177" s="1"/>
      <c r="H177" s="1"/>
      <c r="I177" s="2"/>
      <c r="J177" s="2"/>
      <c r="K177" s="2"/>
      <c r="L177" s="2"/>
      <c r="M177" s="2"/>
      <c r="N177" s="2"/>
      <c r="O177" s="2"/>
      <c r="P177" s="2"/>
      <c r="Q177" s="2"/>
      <c r="R177" s="2"/>
      <c r="S177" s="2"/>
      <c r="T177" s="2"/>
      <c r="U177" s="2"/>
      <c r="V177" s="2"/>
      <c r="W177" s="2"/>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row>
    <row r="178" spans="1:53" x14ac:dyDescent="0.25">
      <c r="A178" s="1"/>
      <c r="B178" s="1"/>
      <c r="C178" s="1"/>
      <c r="D178" s="1"/>
      <c r="E178" s="1"/>
      <c r="F178" s="1"/>
      <c r="G178" s="1"/>
      <c r="H178" s="1"/>
      <c r="I178" s="2"/>
      <c r="J178" s="2"/>
      <c r="K178" s="2"/>
      <c r="L178" s="2"/>
      <c r="M178" s="2"/>
      <c r="N178" s="2"/>
      <c r="O178" s="2"/>
      <c r="P178" s="2"/>
      <c r="Q178" s="2"/>
      <c r="R178" s="2"/>
      <c r="S178" s="2"/>
      <c r="T178" s="2"/>
      <c r="U178" s="2"/>
      <c r="V178" s="2"/>
      <c r="W178" s="2"/>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row>
    <row r="179" spans="1:53" x14ac:dyDescent="0.25">
      <c r="A179" s="1"/>
      <c r="B179" s="1"/>
      <c r="C179" s="1"/>
      <c r="D179" s="1"/>
      <c r="E179" s="1"/>
      <c r="F179" s="1"/>
      <c r="G179" s="1"/>
      <c r="H179" s="1"/>
      <c r="I179" s="2"/>
      <c r="J179" s="2"/>
      <c r="K179" s="2"/>
      <c r="L179" s="2"/>
      <c r="M179" s="2"/>
      <c r="N179" s="2"/>
      <c r="O179" s="2"/>
      <c r="P179" s="2"/>
      <c r="Q179" s="2"/>
      <c r="R179" s="2"/>
      <c r="S179" s="2"/>
      <c r="T179" s="2"/>
      <c r="U179" s="2"/>
      <c r="V179" s="2"/>
      <c r="W179" s="2"/>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row>
    <row r="180" spans="1:53" x14ac:dyDescent="0.25">
      <c r="A180" s="1"/>
      <c r="B180" s="1"/>
      <c r="C180" s="1"/>
      <c r="D180" s="1"/>
      <c r="E180" s="1"/>
      <c r="F180" s="1"/>
      <c r="G180" s="1"/>
      <c r="H180" s="1"/>
      <c r="I180" s="2"/>
      <c r="J180" s="2"/>
      <c r="K180" s="2"/>
      <c r="L180" s="2"/>
      <c r="M180" s="2"/>
      <c r="N180" s="2"/>
      <c r="O180" s="2"/>
      <c r="P180" s="2"/>
      <c r="Q180" s="2"/>
      <c r="R180" s="2"/>
      <c r="S180" s="2"/>
      <c r="T180" s="2"/>
      <c r="U180" s="2"/>
      <c r="V180" s="2"/>
      <c r="W180" s="2"/>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row>
    <row r="181" spans="1:53" x14ac:dyDescent="0.25">
      <c r="A181" s="1"/>
      <c r="B181" s="1"/>
      <c r="C181" s="1"/>
      <c r="D181" s="1"/>
      <c r="E181" s="1"/>
      <c r="F181" s="1"/>
      <c r="G181" s="1"/>
      <c r="H181" s="1"/>
      <c r="I181" s="2"/>
      <c r="J181" s="2"/>
      <c r="K181" s="2"/>
      <c r="L181" s="2"/>
      <c r="M181" s="2"/>
      <c r="N181" s="2"/>
      <c r="O181" s="2"/>
      <c r="P181" s="2"/>
      <c r="Q181" s="2"/>
      <c r="R181" s="2"/>
      <c r="S181" s="2"/>
      <c r="T181" s="2"/>
      <c r="U181" s="2"/>
      <c r="V181" s="2"/>
      <c r="W181" s="2"/>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row>
    <row r="182" spans="1:53" x14ac:dyDescent="0.25">
      <c r="A182" s="1"/>
      <c r="B182" s="1"/>
      <c r="C182" s="1"/>
      <c r="D182" s="1"/>
      <c r="E182" s="1"/>
      <c r="F182" s="1"/>
      <c r="G182" s="1"/>
      <c r="H182" s="1"/>
      <c r="I182" s="2"/>
      <c r="J182" s="2"/>
      <c r="K182" s="2"/>
      <c r="L182" s="2"/>
      <c r="M182" s="2"/>
      <c r="N182" s="2"/>
      <c r="O182" s="2"/>
      <c r="P182" s="2"/>
      <c r="Q182" s="2"/>
      <c r="R182" s="2"/>
      <c r="S182" s="2"/>
      <c r="T182" s="2"/>
      <c r="U182" s="2"/>
      <c r="V182" s="2"/>
      <c r="W182" s="2"/>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row>
    <row r="183" spans="1:53" x14ac:dyDescent="0.25">
      <c r="A183" s="1"/>
      <c r="B183" s="1"/>
      <c r="C183" s="1"/>
      <c r="D183" s="1"/>
      <c r="E183" s="1"/>
      <c r="F183" s="1"/>
      <c r="G183" s="1"/>
      <c r="H183" s="1"/>
      <c r="I183" s="2"/>
      <c r="J183" s="2"/>
      <c r="K183" s="2"/>
      <c r="L183" s="2"/>
      <c r="M183" s="2"/>
      <c r="N183" s="2"/>
      <c r="O183" s="2"/>
      <c r="P183" s="2"/>
      <c r="Q183" s="2"/>
      <c r="R183" s="2"/>
      <c r="S183" s="2"/>
      <c r="T183" s="2"/>
      <c r="U183" s="2"/>
      <c r="V183" s="2"/>
      <c r="W183" s="2"/>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row>
    <row r="184" spans="1:53" x14ac:dyDescent="0.25">
      <c r="A184" s="1"/>
      <c r="B184" s="1"/>
      <c r="C184" s="1"/>
      <c r="D184" s="1"/>
      <c r="E184" s="1"/>
      <c r="F184" s="1"/>
      <c r="G184" s="1"/>
      <c r="H184" s="1"/>
      <c r="I184" s="2"/>
      <c r="J184" s="2"/>
      <c r="K184" s="2"/>
      <c r="L184" s="2"/>
      <c r="M184" s="2"/>
      <c r="N184" s="2"/>
      <c r="O184" s="2"/>
      <c r="P184" s="2"/>
      <c r="Q184" s="2"/>
      <c r="R184" s="2"/>
      <c r="S184" s="2"/>
      <c r="T184" s="2"/>
      <c r="U184" s="2"/>
      <c r="V184" s="2"/>
      <c r="W184" s="2"/>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row>
    <row r="185" spans="1:53" x14ac:dyDescent="0.25">
      <c r="A185" s="1"/>
      <c r="B185" s="1"/>
      <c r="C185" s="1"/>
      <c r="D185" s="1"/>
      <c r="E185" s="1"/>
      <c r="F185" s="1"/>
      <c r="G185" s="1"/>
      <c r="H185" s="1"/>
      <c r="I185" s="2"/>
      <c r="J185" s="2"/>
      <c r="K185" s="2"/>
      <c r="L185" s="2"/>
      <c r="M185" s="2"/>
      <c r="N185" s="2"/>
      <c r="O185" s="2"/>
      <c r="P185" s="2"/>
      <c r="Q185" s="2"/>
      <c r="R185" s="2"/>
      <c r="S185" s="2"/>
      <c r="T185" s="2"/>
      <c r="U185" s="2"/>
      <c r="V185" s="2"/>
      <c r="W185" s="2"/>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row>
    <row r="186" spans="1:53" x14ac:dyDescent="0.25">
      <c r="A186" s="1"/>
      <c r="B186" s="1"/>
      <c r="C186" s="1"/>
      <c r="D186" s="1"/>
      <c r="E186" s="1"/>
      <c r="F186" s="1"/>
      <c r="G186" s="1"/>
      <c r="H186" s="1"/>
      <c r="I186" s="2"/>
      <c r="J186" s="2"/>
      <c r="K186" s="2"/>
      <c r="L186" s="2"/>
      <c r="M186" s="2"/>
      <c r="N186" s="2"/>
      <c r="O186" s="2"/>
      <c r="P186" s="2"/>
      <c r="Q186" s="2"/>
      <c r="R186" s="2"/>
      <c r="S186" s="2"/>
      <c r="T186" s="2"/>
      <c r="U186" s="2"/>
      <c r="V186" s="2"/>
      <c r="W186" s="2"/>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row>
    <row r="187" spans="1:53" x14ac:dyDescent="0.25">
      <c r="A187" s="1"/>
      <c r="B187" s="1"/>
      <c r="C187" s="1"/>
      <c r="D187" s="1"/>
      <c r="E187" s="1"/>
      <c r="F187" s="1"/>
      <c r="G187" s="1"/>
      <c r="H187" s="1"/>
      <c r="I187" s="2"/>
      <c r="J187" s="2"/>
      <c r="K187" s="2"/>
      <c r="L187" s="2"/>
      <c r="M187" s="2"/>
      <c r="N187" s="2"/>
      <c r="O187" s="2"/>
      <c r="P187" s="2"/>
      <c r="Q187" s="2"/>
      <c r="R187" s="2"/>
      <c r="S187" s="2"/>
      <c r="T187" s="2"/>
      <c r="U187" s="2"/>
      <c r="V187" s="2"/>
      <c r="W187" s="2"/>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row>
    <row r="188" spans="1:53" x14ac:dyDescent="0.25">
      <c r="A188" s="1"/>
      <c r="B188" s="1"/>
      <c r="C188" s="1"/>
      <c r="D188" s="1"/>
      <c r="E188" s="1"/>
      <c r="F188" s="1"/>
      <c r="G188" s="1"/>
      <c r="H188" s="1"/>
      <c r="I188" s="2"/>
      <c r="J188" s="2"/>
      <c r="K188" s="2"/>
      <c r="L188" s="2"/>
      <c r="M188" s="2"/>
      <c r="N188" s="2"/>
      <c r="O188" s="2"/>
      <c r="P188" s="2"/>
      <c r="Q188" s="2"/>
      <c r="R188" s="2"/>
      <c r="S188" s="2"/>
      <c r="T188" s="2"/>
      <c r="U188" s="2"/>
      <c r="V188" s="2"/>
      <c r="W188" s="2"/>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row>
    <row r="189" spans="1:53" x14ac:dyDescent="0.25">
      <c r="A189" s="1"/>
      <c r="B189" s="1"/>
      <c r="C189" s="1"/>
      <c r="D189" s="1"/>
      <c r="E189" s="1"/>
      <c r="F189" s="1"/>
      <c r="G189" s="1"/>
      <c r="H189" s="1"/>
      <c r="I189" s="2"/>
      <c r="J189" s="2"/>
      <c r="K189" s="2"/>
      <c r="L189" s="2"/>
      <c r="M189" s="2"/>
      <c r="N189" s="2"/>
      <c r="O189" s="2"/>
      <c r="P189" s="2"/>
      <c r="Q189" s="2"/>
      <c r="R189" s="2"/>
      <c r="S189" s="2"/>
      <c r="T189" s="2"/>
      <c r="U189" s="2"/>
      <c r="V189" s="2"/>
      <c r="W189" s="2"/>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row>
    <row r="190" spans="1:53" x14ac:dyDescent="0.25">
      <c r="A190" s="1"/>
      <c r="B190" s="1"/>
      <c r="C190" s="1"/>
      <c r="D190" s="1"/>
      <c r="E190" s="1"/>
      <c r="F190" s="1"/>
      <c r="G190" s="1"/>
      <c r="H190" s="1"/>
      <c r="I190" s="2"/>
      <c r="J190" s="2"/>
      <c r="K190" s="2"/>
      <c r="L190" s="2"/>
      <c r="M190" s="2"/>
      <c r="N190" s="2"/>
      <c r="O190" s="2"/>
      <c r="P190" s="2"/>
      <c r="Q190" s="2"/>
      <c r="R190" s="2"/>
      <c r="S190" s="2"/>
      <c r="T190" s="2"/>
      <c r="U190" s="2"/>
      <c r="V190" s="2"/>
      <c r="W190" s="2"/>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row>
    <row r="191" spans="1:53" x14ac:dyDescent="0.25">
      <c r="A191" s="1"/>
      <c r="B191" s="1"/>
      <c r="C191" s="1"/>
      <c r="D191" s="1"/>
      <c r="E191" s="1"/>
      <c r="F191" s="1"/>
      <c r="G191" s="1"/>
      <c r="H191" s="1"/>
      <c r="I191" s="2"/>
      <c r="J191" s="2"/>
      <c r="K191" s="2"/>
      <c r="L191" s="2"/>
      <c r="M191" s="2"/>
      <c r="N191" s="2"/>
      <c r="O191" s="2"/>
      <c r="P191" s="2"/>
      <c r="Q191" s="2"/>
      <c r="R191" s="2"/>
      <c r="S191" s="2"/>
      <c r="T191" s="2"/>
      <c r="U191" s="2"/>
      <c r="V191" s="2"/>
      <c r="W191" s="2"/>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row>
    <row r="192" spans="1:53" x14ac:dyDescent="0.25">
      <c r="A192" s="1"/>
      <c r="B192" s="1"/>
      <c r="C192" s="1"/>
      <c r="D192" s="1"/>
      <c r="E192" s="1"/>
      <c r="F192" s="1"/>
      <c r="G192" s="1"/>
      <c r="H192" s="1"/>
      <c r="I192" s="2"/>
      <c r="J192" s="2"/>
      <c r="K192" s="2"/>
      <c r="L192" s="2"/>
      <c r="M192" s="2"/>
      <c r="N192" s="2"/>
      <c r="O192" s="2"/>
      <c r="P192" s="2"/>
      <c r="Q192" s="2"/>
      <c r="R192" s="2"/>
      <c r="S192" s="2"/>
      <c r="T192" s="2"/>
      <c r="U192" s="2"/>
      <c r="V192" s="2"/>
      <c r="W192" s="2"/>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row>
    <row r="193" spans="1:53" x14ac:dyDescent="0.25">
      <c r="A193" s="1"/>
      <c r="B193" s="1"/>
      <c r="C193" s="1"/>
      <c r="D193" s="1"/>
      <c r="E193" s="1"/>
      <c r="F193" s="1"/>
      <c r="G193" s="1"/>
      <c r="H193" s="1"/>
      <c r="I193" s="2"/>
      <c r="J193" s="2"/>
      <c r="K193" s="2"/>
      <c r="L193" s="2"/>
      <c r="M193" s="2"/>
      <c r="N193" s="2"/>
      <c r="O193" s="2"/>
      <c r="P193" s="2"/>
      <c r="Q193" s="2"/>
      <c r="R193" s="2"/>
      <c r="S193" s="2"/>
      <c r="T193" s="2"/>
      <c r="U193" s="2"/>
      <c r="V193" s="2"/>
      <c r="W193" s="2"/>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row>
    <row r="194" spans="1:53" x14ac:dyDescent="0.25">
      <c r="A194" s="1"/>
      <c r="B194" s="1"/>
      <c r="C194" s="1"/>
      <c r="D194" s="1"/>
      <c r="E194" s="1"/>
      <c r="F194" s="1"/>
      <c r="G194" s="1"/>
      <c r="H194" s="1"/>
      <c r="I194" s="2"/>
      <c r="J194" s="2"/>
      <c r="K194" s="2"/>
      <c r="L194" s="2"/>
      <c r="M194" s="2"/>
      <c r="N194" s="2"/>
      <c r="O194" s="2"/>
      <c r="P194" s="2"/>
      <c r="Q194" s="2"/>
      <c r="R194" s="2"/>
      <c r="S194" s="2"/>
      <c r="T194" s="2"/>
      <c r="U194" s="2"/>
      <c r="V194" s="2"/>
      <c r="W194" s="2"/>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row>
    <row r="195" spans="1:53" x14ac:dyDescent="0.25">
      <c r="A195" s="1"/>
      <c r="B195" s="1"/>
      <c r="C195" s="1"/>
      <c r="D195" s="1"/>
      <c r="E195" s="1"/>
      <c r="F195" s="1"/>
      <c r="G195" s="1"/>
      <c r="H195" s="1"/>
      <c r="I195" s="2"/>
      <c r="J195" s="2"/>
      <c r="K195" s="2"/>
      <c r="L195" s="2"/>
      <c r="M195" s="2"/>
      <c r="N195" s="2"/>
      <c r="O195" s="2"/>
      <c r="P195" s="2"/>
      <c r="Q195" s="2"/>
      <c r="R195" s="2"/>
      <c r="S195" s="2"/>
      <c r="T195" s="2"/>
      <c r="U195" s="2"/>
      <c r="V195" s="2"/>
      <c r="W195" s="2"/>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row>
    <row r="196" spans="1:53" x14ac:dyDescent="0.25">
      <c r="A196" s="1"/>
      <c r="B196" s="1"/>
      <c r="C196" s="1"/>
      <c r="D196" s="1"/>
      <c r="E196" s="1"/>
      <c r="F196" s="1"/>
      <c r="G196" s="1"/>
      <c r="H196" s="1"/>
      <c r="I196" s="2"/>
      <c r="J196" s="2"/>
      <c r="K196" s="2"/>
      <c r="L196" s="2"/>
      <c r="M196" s="2"/>
      <c r="N196" s="2"/>
      <c r="O196" s="2"/>
      <c r="P196" s="2"/>
      <c r="Q196" s="2"/>
      <c r="R196" s="2"/>
      <c r="S196" s="2"/>
      <c r="T196" s="2"/>
      <c r="U196" s="2"/>
      <c r="V196" s="2"/>
      <c r="W196" s="2"/>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row>
    <row r="197" spans="1:53" x14ac:dyDescent="0.25">
      <c r="A197" s="1"/>
      <c r="B197" s="1"/>
      <c r="C197" s="1"/>
      <c r="D197" s="1"/>
      <c r="E197" s="1"/>
      <c r="F197" s="1"/>
      <c r="G197" s="1"/>
      <c r="H197" s="1"/>
      <c r="I197" s="2"/>
      <c r="J197" s="2"/>
      <c r="K197" s="2"/>
      <c r="L197" s="2"/>
      <c r="M197" s="2"/>
      <c r="N197" s="2"/>
      <c r="O197" s="2"/>
      <c r="P197" s="2"/>
      <c r="Q197" s="2"/>
      <c r="R197" s="2"/>
      <c r="S197" s="2"/>
      <c r="T197" s="2"/>
      <c r="U197" s="2"/>
      <c r="V197" s="2"/>
      <c r="W197" s="2"/>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row>
    <row r="198" spans="1:53" x14ac:dyDescent="0.25">
      <c r="A198" s="1"/>
      <c r="B198" s="1"/>
      <c r="C198" s="1"/>
      <c r="D198" s="1"/>
      <c r="E198" s="1"/>
      <c r="F198" s="1"/>
      <c r="G198" s="1"/>
      <c r="H198" s="1"/>
      <c r="I198" s="2"/>
      <c r="J198" s="2"/>
      <c r="K198" s="2"/>
      <c r="L198" s="2"/>
      <c r="M198" s="2"/>
      <c r="N198" s="2"/>
      <c r="O198" s="2"/>
      <c r="P198" s="2"/>
      <c r="Q198" s="2"/>
      <c r="R198" s="2"/>
      <c r="S198" s="2"/>
      <c r="T198" s="2"/>
      <c r="U198" s="2"/>
      <c r="V198" s="2"/>
      <c r="W198" s="2"/>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row>
    <row r="199" spans="1:53" x14ac:dyDescent="0.25">
      <c r="A199" s="1"/>
      <c r="B199" s="1"/>
      <c r="C199" s="1"/>
      <c r="D199" s="1"/>
      <c r="E199" s="1"/>
      <c r="F199" s="1"/>
      <c r="G199" s="1"/>
      <c r="H199" s="1"/>
      <c r="I199" s="2"/>
      <c r="J199" s="2"/>
      <c r="K199" s="2"/>
      <c r="L199" s="2"/>
      <c r="M199" s="2"/>
      <c r="N199" s="2"/>
      <c r="O199" s="2"/>
      <c r="P199" s="2"/>
      <c r="Q199" s="2"/>
      <c r="R199" s="2"/>
      <c r="S199" s="2"/>
      <c r="T199" s="2"/>
      <c r="U199" s="2"/>
      <c r="V199" s="2"/>
      <c r="W199" s="2"/>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row>
    <row r="200" spans="1:53" x14ac:dyDescent="0.25">
      <c r="A200" s="1"/>
      <c r="B200" s="1"/>
      <c r="C200" s="1"/>
      <c r="D200" s="1"/>
      <c r="E200" s="1"/>
      <c r="F200" s="1"/>
      <c r="G200" s="1"/>
      <c r="H200" s="1"/>
      <c r="I200" s="2"/>
      <c r="J200" s="2"/>
      <c r="K200" s="2"/>
      <c r="L200" s="2"/>
      <c r="M200" s="2"/>
      <c r="N200" s="2"/>
      <c r="O200" s="2"/>
      <c r="P200" s="2"/>
      <c r="Q200" s="2"/>
      <c r="R200" s="2"/>
      <c r="S200" s="2"/>
      <c r="T200" s="2"/>
      <c r="U200" s="2"/>
      <c r="V200" s="2"/>
      <c r="W200" s="2"/>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row>
    <row r="201" spans="1:53" x14ac:dyDescent="0.25">
      <c r="A201" s="1"/>
      <c r="B201" s="1"/>
      <c r="C201" s="1"/>
      <c r="D201" s="1"/>
      <c r="E201" s="1"/>
      <c r="F201" s="1"/>
      <c r="G201" s="1"/>
      <c r="H201" s="1"/>
      <c r="I201" s="2"/>
      <c r="J201" s="2"/>
      <c r="K201" s="2"/>
      <c r="L201" s="2"/>
      <c r="M201" s="2"/>
      <c r="N201" s="2"/>
      <c r="O201" s="2"/>
      <c r="P201" s="2"/>
      <c r="Q201" s="2"/>
      <c r="R201" s="2"/>
      <c r="S201" s="2"/>
      <c r="T201" s="2"/>
      <c r="U201" s="2"/>
      <c r="V201" s="2"/>
      <c r="W201" s="2"/>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row>
    <row r="202" spans="1:53" x14ac:dyDescent="0.25">
      <c r="A202" s="1"/>
      <c r="B202" s="1"/>
      <c r="C202" s="1"/>
      <c r="D202" s="1"/>
      <c r="E202" s="1"/>
      <c r="F202" s="1"/>
      <c r="G202" s="1"/>
      <c r="H202" s="1"/>
      <c r="I202" s="2"/>
      <c r="J202" s="2"/>
      <c r="K202" s="2"/>
      <c r="L202" s="2"/>
      <c r="M202" s="2"/>
      <c r="N202" s="2"/>
      <c r="O202" s="2"/>
      <c r="P202" s="2"/>
      <c r="Q202" s="2"/>
      <c r="R202" s="2"/>
      <c r="S202" s="2"/>
      <c r="T202" s="2"/>
      <c r="U202" s="2"/>
      <c r="V202" s="2"/>
      <c r="W202" s="2"/>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row>
    <row r="203" spans="1:53" x14ac:dyDescent="0.25">
      <c r="A203" s="1"/>
      <c r="B203" s="1"/>
      <c r="C203" s="1"/>
      <c r="D203" s="1"/>
      <c r="E203" s="1"/>
      <c r="F203" s="1"/>
      <c r="G203" s="1"/>
      <c r="H203" s="1"/>
      <c r="I203" s="2"/>
      <c r="J203" s="2"/>
      <c r="K203" s="2"/>
      <c r="L203" s="2"/>
      <c r="M203" s="2"/>
      <c r="N203" s="2"/>
      <c r="O203" s="2"/>
      <c r="P203" s="2"/>
      <c r="Q203" s="2"/>
      <c r="R203" s="2"/>
      <c r="S203" s="2"/>
      <c r="T203" s="2"/>
      <c r="U203" s="2"/>
      <c r="V203" s="2"/>
      <c r="W203" s="2"/>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row>
    <row r="204" spans="1:53" x14ac:dyDescent="0.25">
      <c r="A204" s="1"/>
      <c r="B204" s="1"/>
      <c r="C204" s="1"/>
      <c r="D204" s="1"/>
      <c r="E204" s="1"/>
      <c r="F204" s="1"/>
      <c r="G204" s="1"/>
      <c r="H204" s="1"/>
      <c r="I204" s="2"/>
      <c r="J204" s="2"/>
      <c r="K204" s="2"/>
      <c r="L204" s="2"/>
      <c r="M204" s="2"/>
      <c r="N204" s="2"/>
      <c r="O204" s="2"/>
      <c r="P204" s="2"/>
      <c r="Q204" s="2"/>
      <c r="R204" s="2"/>
      <c r="S204" s="2"/>
      <c r="T204" s="2"/>
      <c r="U204" s="2"/>
      <c r="V204" s="2"/>
      <c r="W204" s="2"/>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row>
    <row r="205" spans="1:53" x14ac:dyDescent="0.25">
      <c r="A205" s="1"/>
      <c r="B205" s="1"/>
      <c r="C205" s="1"/>
      <c r="D205" s="1"/>
      <c r="E205" s="1"/>
      <c r="F205" s="1"/>
      <c r="G205" s="1"/>
      <c r="H205" s="1"/>
      <c r="I205" s="2"/>
      <c r="J205" s="2"/>
      <c r="K205" s="2"/>
      <c r="L205" s="2"/>
      <c r="M205" s="2"/>
      <c r="N205" s="2"/>
      <c r="O205" s="2"/>
      <c r="P205" s="2"/>
      <c r="Q205" s="2"/>
      <c r="R205" s="2"/>
      <c r="S205" s="2"/>
      <c r="T205" s="2"/>
      <c r="U205" s="2"/>
      <c r="V205" s="2"/>
      <c r="W205" s="2"/>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row>
    <row r="206" spans="1:53" x14ac:dyDescent="0.25">
      <c r="A206" s="1"/>
      <c r="B206" s="1"/>
      <c r="C206" s="1"/>
      <c r="D206" s="1"/>
      <c r="E206" s="1"/>
      <c r="F206" s="1"/>
      <c r="G206" s="1"/>
      <c r="H206" s="1"/>
      <c r="I206" s="2"/>
      <c r="J206" s="2"/>
      <c r="K206" s="2"/>
      <c r="L206" s="2"/>
      <c r="M206" s="2"/>
      <c r="N206" s="2"/>
      <c r="O206" s="2"/>
      <c r="P206" s="2"/>
      <c r="Q206" s="2"/>
      <c r="R206" s="2"/>
      <c r="S206" s="2"/>
      <c r="T206" s="2"/>
      <c r="U206" s="2"/>
      <c r="V206" s="2"/>
      <c r="W206" s="2"/>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row>
    <row r="207" spans="1:53" x14ac:dyDescent="0.25">
      <c r="A207" s="1"/>
      <c r="B207" s="1"/>
      <c r="C207" s="1"/>
      <c r="D207" s="1"/>
      <c r="E207" s="1"/>
      <c r="F207" s="1"/>
      <c r="G207" s="1"/>
      <c r="H207" s="1"/>
      <c r="I207" s="2"/>
      <c r="J207" s="2"/>
      <c r="K207" s="2"/>
      <c r="L207" s="2"/>
      <c r="M207" s="2"/>
      <c r="N207" s="2"/>
      <c r="O207" s="2"/>
      <c r="P207" s="2"/>
      <c r="Q207" s="2"/>
      <c r="R207" s="2"/>
      <c r="S207" s="2"/>
      <c r="T207" s="2"/>
      <c r="U207" s="2"/>
      <c r="V207" s="2"/>
      <c r="W207" s="2"/>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row>
    <row r="208" spans="1:53" x14ac:dyDescent="0.25">
      <c r="A208" s="1"/>
      <c r="B208" s="1"/>
      <c r="C208" s="1"/>
      <c r="D208" s="1"/>
      <c r="E208" s="1"/>
      <c r="F208" s="1"/>
      <c r="G208" s="1"/>
      <c r="H208" s="1"/>
      <c r="I208" s="2"/>
      <c r="J208" s="2"/>
      <c r="K208" s="2"/>
      <c r="L208" s="2"/>
      <c r="M208" s="2"/>
      <c r="N208" s="2"/>
      <c r="O208" s="2"/>
      <c r="P208" s="2"/>
      <c r="Q208" s="2"/>
      <c r="R208" s="2"/>
      <c r="S208" s="2"/>
      <c r="T208" s="2"/>
      <c r="U208" s="2"/>
      <c r="V208" s="2"/>
      <c r="W208" s="2"/>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row>
    <row r="209" spans="1:53" x14ac:dyDescent="0.25">
      <c r="A209" s="1"/>
      <c r="B209" s="1"/>
      <c r="C209" s="1"/>
      <c r="D209" s="1"/>
      <c r="E209" s="1"/>
      <c r="F209" s="1"/>
      <c r="G209" s="1"/>
      <c r="H209" s="1"/>
      <c r="I209" s="2"/>
      <c r="J209" s="2"/>
      <c r="K209" s="2"/>
      <c r="L209" s="2"/>
      <c r="M209" s="2"/>
      <c r="N209" s="2"/>
      <c r="O209" s="2"/>
      <c r="P209" s="2"/>
      <c r="Q209" s="2"/>
      <c r="R209" s="2"/>
      <c r="S209" s="2"/>
      <c r="T209" s="2"/>
      <c r="U209" s="2"/>
      <c r="V209" s="2"/>
      <c r="W209" s="2"/>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row>
    <row r="210" spans="1:53" x14ac:dyDescent="0.25">
      <c r="A210" s="1"/>
      <c r="B210" s="1"/>
      <c r="C210" s="1"/>
      <c r="D210" s="1"/>
      <c r="E210" s="1"/>
      <c r="F210" s="1"/>
      <c r="G210" s="1"/>
      <c r="H210" s="1"/>
      <c r="I210" s="2"/>
      <c r="J210" s="2"/>
      <c r="K210" s="2"/>
      <c r="L210" s="2"/>
      <c r="M210" s="2"/>
      <c r="N210" s="2"/>
      <c r="O210" s="2"/>
      <c r="P210" s="2"/>
      <c r="Q210" s="2"/>
      <c r="R210" s="2"/>
      <c r="S210" s="2"/>
      <c r="T210" s="2"/>
      <c r="U210" s="2"/>
      <c r="V210" s="2"/>
      <c r="W210" s="2"/>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row>
    <row r="211" spans="1:53" x14ac:dyDescent="0.25">
      <c r="A211" s="1"/>
      <c r="B211" s="1"/>
      <c r="C211" s="1"/>
      <c r="D211" s="1"/>
      <c r="E211" s="1"/>
      <c r="F211" s="1"/>
      <c r="G211" s="1"/>
      <c r="H211" s="1"/>
      <c r="I211" s="2"/>
      <c r="J211" s="2"/>
      <c r="K211" s="2"/>
      <c r="L211" s="2"/>
      <c r="M211" s="2"/>
      <c r="N211" s="2"/>
      <c r="O211" s="2"/>
      <c r="P211" s="2"/>
      <c r="Q211" s="2"/>
      <c r="R211" s="2"/>
      <c r="S211" s="2"/>
      <c r="T211" s="2"/>
      <c r="U211" s="2"/>
      <c r="V211" s="2"/>
      <c r="W211" s="2"/>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row>
    <row r="212" spans="1:53" x14ac:dyDescent="0.25">
      <c r="A212" s="1"/>
      <c r="B212" s="1"/>
      <c r="C212" s="1"/>
      <c r="D212" s="1"/>
      <c r="E212" s="1"/>
      <c r="F212" s="1"/>
      <c r="G212" s="1"/>
      <c r="H212" s="1"/>
      <c r="I212" s="2"/>
      <c r="J212" s="2"/>
      <c r="K212" s="2"/>
      <c r="L212" s="2"/>
      <c r="M212" s="2"/>
      <c r="N212" s="2"/>
      <c r="O212" s="2"/>
      <c r="P212" s="2"/>
      <c r="Q212" s="2"/>
      <c r="R212" s="2"/>
      <c r="S212" s="2"/>
      <c r="T212" s="2"/>
      <c r="U212" s="2"/>
      <c r="V212" s="2"/>
      <c r="W212" s="2"/>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row>
    <row r="213" spans="1:53" x14ac:dyDescent="0.25">
      <c r="A213" s="1"/>
      <c r="B213" s="1"/>
      <c r="C213" s="1"/>
      <c r="D213" s="1"/>
      <c r="E213" s="1"/>
      <c r="F213" s="1"/>
      <c r="G213" s="1"/>
      <c r="H213" s="1"/>
      <c r="I213" s="2"/>
      <c r="J213" s="2"/>
      <c r="K213" s="2"/>
      <c r="L213" s="2"/>
      <c r="M213" s="2"/>
      <c r="N213" s="2"/>
      <c r="O213" s="2"/>
      <c r="P213" s="2"/>
      <c r="Q213" s="2"/>
      <c r="R213" s="2"/>
      <c r="S213" s="2"/>
      <c r="T213" s="2"/>
      <c r="U213" s="2"/>
      <c r="V213" s="2"/>
      <c r="W213" s="2"/>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row>
    <row r="214" spans="1:53" x14ac:dyDescent="0.25">
      <c r="A214" s="1"/>
      <c r="B214" s="1"/>
      <c r="C214" s="1"/>
      <c r="D214" s="1"/>
      <c r="E214" s="1"/>
      <c r="F214" s="1"/>
      <c r="G214" s="1"/>
      <c r="H214" s="1"/>
      <c r="I214" s="2"/>
      <c r="J214" s="2"/>
      <c r="K214" s="2"/>
      <c r="L214" s="2"/>
      <c r="M214" s="2"/>
      <c r="N214" s="2"/>
      <c r="O214" s="2"/>
      <c r="P214" s="2"/>
      <c r="Q214" s="2"/>
      <c r="R214" s="2"/>
      <c r="S214" s="2"/>
      <c r="T214" s="2"/>
      <c r="U214" s="2"/>
      <c r="V214" s="2"/>
      <c r="W214" s="2"/>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row>
    <row r="215" spans="1:53" x14ac:dyDescent="0.25">
      <c r="A215" s="1"/>
      <c r="B215" s="1"/>
      <c r="C215" s="1"/>
      <c r="D215" s="1"/>
      <c r="E215" s="1"/>
      <c r="F215" s="1"/>
      <c r="G215" s="1"/>
      <c r="H215" s="1"/>
      <c r="I215" s="2"/>
      <c r="J215" s="2"/>
      <c r="K215" s="2"/>
      <c r="L215" s="2"/>
      <c r="M215" s="2"/>
      <c r="N215" s="2"/>
      <c r="O215" s="2"/>
      <c r="P215" s="2"/>
      <c r="Q215" s="2"/>
      <c r="R215" s="2"/>
      <c r="S215" s="2"/>
      <c r="T215" s="2"/>
      <c r="U215" s="2"/>
      <c r="V215" s="2"/>
      <c r="W215" s="2"/>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row>
    <row r="216" spans="1:53" x14ac:dyDescent="0.25">
      <c r="A216" s="1"/>
      <c r="B216" s="1"/>
      <c r="C216" s="1"/>
      <c r="D216" s="1"/>
      <c r="E216" s="1"/>
      <c r="F216" s="1"/>
      <c r="G216" s="1"/>
      <c r="H216" s="1"/>
      <c r="I216" s="2"/>
      <c r="J216" s="2"/>
      <c r="K216" s="2"/>
      <c r="L216" s="2"/>
      <c r="M216" s="2"/>
      <c r="N216" s="2"/>
      <c r="O216" s="2"/>
      <c r="P216" s="2"/>
      <c r="Q216" s="2"/>
      <c r="R216" s="2"/>
      <c r="S216" s="2"/>
      <c r="T216" s="2"/>
      <c r="U216" s="2"/>
      <c r="V216" s="2"/>
      <c r="W216" s="2"/>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row>
    <row r="217" spans="1:53" x14ac:dyDescent="0.25">
      <c r="A217" s="1"/>
      <c r="B217" s="1"/>
      <c r="C217" s="1"/>
      <c r="D217" s="1"/>
      <c r="E217" s="1"/>
      <c r="F217" s="1"/>
      <c r="G217" s="1"/>
      <c r="H217" s="1"/>
      <c r="I217" s="2"/>
      <c r="J217" s="2"/>
      <c r="K217" s="2"/>
      <c r="L217" s="2"/>
      <c r="M217" s="2"/>
      <c r="N217" s="2"/>
      <c r="O217" s="2"/>
      <c r="P217" s="2"/>
      <c r="Q217" s="2"/>
      <c r="R217" s="2"/>
      <c r="S217" s="2"/>
      <c r="T217" s="2"/>
      <c r="U217" s="2"/>
      <c r="V217" s="2"/>
      <c r="W217" s="2"/>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row>
    <row r="218" spans="1:53" x14ac:dyDescent="0.25">
      <c r="A218" s="1"/>
      <c r="B218" s="1"/>
      <c r="C218" s="1"/>
      <c r="D218" s="1"/>
      <c r="E218" s="1"/>
      <c r="F218" s="1"/>
      <c r="G218" s="1"/>
      <c r="H218" s="1"/>
      <c r="I218" s="2"/>
      <c r="J218" s="2"/>
      <c r="K218" s="2"/>
      <c r="L218" s="2"/>
      <c r="M218" s="2"/>
      <c r="N218" s="2"/>
      <c r="O218" s="2"/>
      <c r="P218" s="2"/>
      <c r="Q218" s="2"/>
      <c r="R218" s="2"/>
      <c r="S218" s="2"/>
      <c r="T218" s="2"/>
      <c r="U218" s="2"/>
      <c r="V218" s="2"/>
      <c r="W218" s="2"/>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row>
    <row r="219" spans="1:53" x14ac:dyDescent="0.25">
      <c r="A219" s="1"/>
      <c r="B219" s="1"/>
      <c r="C219" s="1"/>
      <c r="D219" s="1"/>
      <c r="E219" s="1"/>
      <c r="F219" s="1"/>
      <c r="G219" s="1"/>
      <c r="H219" s="1"/>
      <c r="I219" s="2"/>
      <c r="J219" s="2"/>
      <c r="K219" s="2"/>
      <c r="L219" s="2"/>
      <c r="M219" s="2"/>
      <c r="N219" s="2"/>
      <c r="O219" s="2"/>
      <c r="P219" s="2"/>
      <c r="Q219" s="2"/>
      <c r="R219" s="2"/>
      <c r="S219" s="2"/>
      <c r="T219" s="2"/>
      <c r="U219" s="2"/>
      <c r="V219" s="2"/>
      <c r="W219" s="2"/>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row>
    <row r="220" spans="1:53" x14ac:dyDescent="0.25">
      <c r="A220" s="1"/>
      <c r="B220" s="1"/>
      <c r="C220" s="1"/>
      <c r="D220" s="1"/>
      <c r="E220" s="1"/>
      <c r="F220" s="1"/>
      <c r="G220" s="1"/>
      <c r="H220" s="1"/>
      <c r="I220" s="2"/>
      <c r="J220" s="2"/>
      <c r="K220" s="2"/>
      <c r="L220" s="2"/>
      <c r="M220" s="2"/>
      <c r="N220" s="2"/>
      <c r="O220" s="2"/>
      <c r="P220" s="2"/>
      <c r="Q220" s="2"/>
      <c r="R220" s="2"/>
      <c r="S220" s="2"/>
      <c r="T220" s="2"/>
      <c r="U220" s="2"/>
      <c r="V220" s="2"/>
      <c r="W220" s="2"/>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row>
    <row r="221" spans="1:53" x14ac:dyDescent="0.25">
      <c r="A221" s="1"/>
      <c r="B221" s="1"/>
      <c r="C221" s="1"/>
      <c r="D221" s="1"/>
      <c r="E221" s="1"/>
      <c r="F221" s="1"/>
      <c r="G221" s="1"/>
      <c r="H221" s="1"/>
      <c r="I221" s="2"/>
      <c r="J221" s="2"/>
      <c r="K221" s="2"/>
      <c r="L221" s="2"/>
      <c r="M221" s="2"/>
      <c r="N221" s="2"/>
      <c r="O221" s="2"/>
      <c r="P221" s="2"/>
      <c r="Q221" s="2"/>
      <c r="R221" s="2"/>
      <c r="S221" s="2"/>
      <c r="T221" s="2"/>
      <c r="U221" s="2"/>
      <c r="V221" s="2"/>
      <c r="W221" s="2"/>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row>
    <row r="222" spans="1:53" x14ac:dyDescent="0.25">
      <c r="A222" s="1"/>
      <c r="B222" s="1"/>
      <c r="C222" s="1"/>
      <c r="D222" s="1"/>
      <c r="E222" s="1"/>
      <c r="F222" s="1"/>
      <c r="G222" s="1"/>
      <c r="H222" s="1"/>
      <c r="I222" s="2"/>
      <c r="J222" s="2"/>
      <c r="K222" s="2"/>
      <c r="L222" s="2"/>
      <c r="M222" s="2"/>
      <c r="N222" s="2"/>
      <c r="O222" s="2"/>
      <c r="P222" s="2"/>
      <c r="Q222" s="2"/>
      <c r="R222" s="2"/>
      <c r="S222" s="2"/>
      <c r="T222" s="2"/>
      <c r="U222" s="2"/>
      <c r="V222" s="2"/>
      <c r="W222" s="2"/>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row>
    <row r="223" spans="1:53" x14ac:dyDescent="0.25">
      <c r="A223" s="1"/>
      <c r="B223" s="1"/>
      <c r="C223" s="1"/>
      <c r="D223" s="1"/>
      <c r="E223" s="1"/>
      <c r="F223" s="1"/>
      <c r="G223" s="1"/>
      <c r="H223" s="1"/>
      <c r="I223" s="2"/>
      <c r="J223" s="2"/>
      <c r="K223" s="2"/>
      <c r="L223" s="2"/>
      <c r="M223" s="2"/>
      <c r="N223" s="2"/>
      <c r="O223" s="2"/>
      <c r="P223" s="2"/>
      <c r="Q223" s="2"/>
      <c r="R223" s="2"/>
      <c r="S223" s="2"/>
      <c r="T223" s="2"/>
      <c r="U223" s="2"/>
      <c r="V223" s="2"/>
      <c r="W223" s="2"/>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row>
    <row r="224" spans="1:53" x14ac:dyDescent="0.25">
      <c r="A224" s="1"/>
      <c r="B224" s="1"/>
      <c r="C224" s="1"/>
      <c r="D224" s="1"/>
      <c r="E224" s="1"/>
      <c r="F224" s="1"/>
      <c r="G224" s="1"/>
      <c r="H224" s="1"/>
      <c r="I224" s="2"/>
      <c r="J224" s="2"/>
      <c r="K224" s="2"/>
      <c r="L224" s="2"/>
      <c r="M224" s="2"/>
      <c r="N224" s="2"/>
      <c r="O224" s="2"/>
      <c r="P224" s="2"/>
      <c r="Q224" s="2"/>
      <c r="R224" s="2"/>
      <c r="S224" s="2"/>
      <c r="T224" s="2"/>
      <c r="U224" s="2"/>
      <c r="V224" s="2"/>
      <c r="W224" s="2"/>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row>
    <row r="225" spans="1:53" x14ac:dyDescent="0.25">
      <c r="A225" s="1"/>
      <c r="B225" s="1"/>
      <c r="C225" s="1"/>
      <c r="D225" s="1"/>
      <c r="E225" s="1"/>
      <c r="F225" s="1"/>
      <c r="G225" s="1"/>
      <c r="H225" s="1"/>
      <c r="I225" s="2"/>
      <c r="J225" s="2"/>
      <c r="K225" s="2"/>
      <c r="L225" s="2"/>
      <c r="M225" s="2"/>
      <c r="N225" s="2"/>
      <c r="O225" s="2"/>
      <c r="P225" s="2"/>
      <c r="Q225" s="2"/>
      <c r="R225" s="2"/>
      <c r="S225" s="2"/>
      <c r="T225" s="2"/>
      <c r="U225" s="2"/>
      <c r="V225" s="2"/>
      <c r="W225" s="2"/>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row>
    <row r="226" spans="1:53" x14ac:dyDescent="0.25">
      <c r="A226" s="1"/>
      <c r="B226" s="1"/>
      <c r="C226" s="1"/>
      <c r="D226" s="1"/>
      <c r="E226" s="1"/>
      <c r="F226" s="1"/>
      <c r="G226" s="1"/>
      <c r="H226" s="1"/>
      <c r="I226" s="2"/>
      <c r="J226" s="2"/>
      <c r="K226" s="2"/>
      <c r="L226" s="2"/>
      <c r="M226" s="2"/>
      <c r="N226" s="2"/>
      <c r="O226" s="2"/>
      <c r="P226" s="2"/>
      <c r="Q226" s="2"/>
      <c r="R226" s="2"/>
      <c r="S226" s="2"/>
      <c r="T226" s="2"/>
      <c r="U226" s="2"/>
      <c r="V226" s="2"/>
      <c r="W226" s="2"/>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row>
    <row r="227" spans="1:53" x14ac:dyDescent="0.25">
      <c r="A227" s="1"/>
      <c r="B227" s="1"/>
      <c r="C227" s="1"/>
      <c r="D227" s="1"/>
      <c r="E227" s="1"/>
      <c r="F227" s="1"/>
      <c r="G227" s="1"/>
      <c r="H227" s="1"/>
      <c r="I227" s="2"/>
      <c r="J227" s="2"/>
      <c r="K227" s="2"/>
      <c r="L227" s="2"/>
      <c r="M227" s="2"/>
      <c r="N227" s="2"/>
      <c r="O227" s="2"/>
      <c r="P227" s="2"/>
      <c r="Q227" s="2"/>
      <c r="R227" s="2"/>
      <c r="S227" s="2"/>
      <c r="T227" s="2"/>
      <c r="U227" s="2"/>
      <c r="V227" s="2"/>
      <c r="W227" s="2"/>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row>
    <row r="228" spans="1:53" x14ac:dyDescent="0.25">
      <c r="A228" s="1"/>
      <c r="B228" s="1"/>
      <c r="C228" s="1"/>
      <c r="D228" s="1"/>
      <c r="E228" s="1"/>
      <c r="F228" s="1"/>
      <c r="G228" s="1"/>
      <c r="H228" s="1"/>
      <c r="I228" s="2"/>
      <c r="J228" s="2"/>
      <c r="K228" s="2"/>
      <c r="L228" s="2"/>
      <c r="M228" s="2"/>
      <c r="N228" s="2"/>
      <c r="O228" s="2"/>
      <c r="P228" s="2"/>
      <c r="Q228" s="2"/>
      <c r="R228" s="2"/>
      <c r="S228" s="2"/>
      <c r="T228" s="2"/>
      <c r="U228" s="2"/>
      <c r="V228" s="2"/>
      <c r="W228" s="2"/>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row>
    <row r="229" spans="1:53" x14ac:dyDescent="0.25">
      <c r="A229" s="1"/>
      <c r="B229" s="1"/>
      <c r="C229" s="1"/>
      <c r="D229" s="1"/>
      <c r="E229" s="1"/>
      <c r="F229" s="1"/>
      <c r="G229" s="1"/>
      <c r="H229" s="1"/>
      <c r="I229" s="2"/>
      <c r="J229" s="2"/>
      <c r="K229" s="2"/>
      <c r="L229" s="2"/>
      <c r="M229" s="2"/>
      <c r="N229" s="2"/>
      <c r="O229" s="2"/>
      <c r="P229" s="2"/>
      <c r="Q229" s="2"/>
      <c r="R229" s="2"/>
      <c r="S229" s="2"/>
      <c r="T229" s="2"/>
      <c r="U229" s="2"/>
      <c r="V229" s="2"/>
      <c r="W229" s="2"/>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row>
    <row r="230" spans="1:53" x14ac:dyDescent="0.25">
      <c r="A230" s="1"/>
      <c r="B230" s="1"/>
      <c r="C230" s="1"/>
      <c r="D230" s="1"/>
      <c r="E230" s="1"/>
      <c r="F230" s="1"/>
      <c r="G230" s="1"/>
      <c r="H230" s="1"/>
      <c r="I230" s="2"/>
      <c r="J230" s="2"/>
      <c r="K230" s="2"/>
      <c r="L230" s="2"/>
      <c r="M230" s="2"/>
      <c r="N230" s="2"/>
      <c r="O230" s="2"/>
      <c r="P230" s="2"/>
      <c r="Q230" s="2"/>
      <c r="R230" s="2"/>
      <c r="S230" s="2"/>
      <c r="T230" s="2"/>
      <c r="U230" s="2"/>
      <c r="V230" s="2"/>
      <c r="W230" s="2"/>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row>
    <row r="231" spans="1:53" x14ac:dyDescent="0.25">
      <c r="A231" s="1"/>
      <c r="B231" s="1"/>
      <c r="C231" s="1"/>
      <c r="D231" s="1"/>
      <c r="E231" s="1"/>
      <c r="F231" s="1"/>
      <c r="G231" s="1"/>
      <c r="H231" s="1"/>
      <c r="I231" s="2"/>
      <c r="J231" s="2"/>
      <c r="K231" s="2"/>
      <c r="L231" s="2"/>
      <c r="M231" s="2"/>
      <c r="N231" s="2"/>
      <c r="O231" s="2"/>
      <c r="P231" s="2"/>
      <c r="Q231" s="2"/>
      <c r="R231" s="2"/>
      <c r="S231" s="2"/>
      <c r="T231" s="2"/>
      <c r="U231" s="2"/>
      <c r="V231" s="2"/>
      <c r="W231" s="2"/>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row>
    <row r="232" spans="1:53" x14ac:dyDescent="0.25">
      <c r="A232" s="1"/>
      <c r="B232" s="1"/>
      <c r="C232" s="1"/>
      <c r="D232" s="1"/>
      <c r="E232" s="1"/>
      <c r="F232" s="1"/>
      <c r="G232" s="1"/>
      <c r="H232" s="1"/>
      <c r="I232" s="2"/>
      <c r="J232" s="2"/>
      <c r="K232" s="2"/>
      <c r="L232" s="2"/>
      <c r="M232" s="2"/>
      <c r="N232" s="2"/>
      <c r="O232" s="2"/>
      <c r="P232" s="2"/>
      <c r="Q232" s="2"/>
      <c r="R232" s="2"/>
      <c r="S232" s="2"/>
      <c r="T232" s="2"/>
      <c r="U232" s="2"/>
      <c r="V232" s="2"/>
      <c r="W232" s="2"/>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row>
    <row r="233" spans="1:53" x14ac:dyDescent="0.25">
      <c r="A233" s="1"/>
      <c r="B233" s="1"/>
      <c r="C233" s="1"/>
      <c r="D233" s="1"/>
      <c r="E233" s="1"/>
      <c r="F233" s="1"/>
      <c r="G233" s="1"/>
      <c r="H233" s="1"/>
      <c r="I233" s="2"/>
      <c r="J233" s="2"/>
      <c r="K233" s="2"/>
      <c r="L233" s="2"/>
      <c r="M233" s="2"/>
      <c r="N233" s="2"/>
      <c r="O233" s="2"/>
      <c r="P233" s="2"/>
      <c r="Q233" s="2"/>
      <c r="R233" s="2"/>
      <c r="S233" s="2"/>
      <c r="T233" s="2"/>
      <c r="U233" s="2"/>
      <c r="V233" s="2"/>
      <c r="W233" s="2"/>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row>
    <row r="234" spans="1:53" x14ac:dyDescent="0.25">
      <c r="A234" s="1"/>
      <c r="B234" s="1"/>
      <c r="C234" s="1"/>
      <c r="D234" s="1"/>
      <c r="E234" s="1"/>
      <c r="F234" s="1"/>
      <c r="G234" s="1"/>
      <c r="H234" s="1"/>
      <c r="I234" s="2"/>
      <c r="J234" s="2"/>
      <c r="K234" s="2"/>
      <c r="L234" s="2"/>
      <c r="M234" s="2"/>
      <c r="N234" s="2"/>
      <c r="O234" s="2"/>
      <c r="P234" s="2"/>
      <c r="Q234" s="2"/>
      <c r="R234" s="2"/>
      <c r="S234" s="2"/>
      <c r="T234" s="2"/>
      <c r="U234" s="2"/>
      <c r="V234" s="2"/>
      <c r="W234" s="2"/>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row>
    <row r="235" spans="1:53" x14ac:dyDescent="0.25">
      <c r="A235" s="1"/>
      <c r="B235" s="1"/>
      <c r="C235" s="1"/>
      <c r="D235" s="1"/>
      <c r="E235" s="1"/>
      <c r="F235" s="1"/>
      <c r="G235" s="1"/>
      <c r="H235" s="1"/>
      <c r="I235" s="2"/>
      <c r="J235" s="2"/>
      <c r="K235" s="2"/>
      <c r="L235" s="2"/>
      <c r="M235" s="2"/>
      <c r="N235" s="2"/>
      <c r="O235" s="2"/>
      <c r="P235" s="2"/>
      <c r="Q235" s="2"/>
      <c r="R235" s="2"/>
      <c r="S235" s="2"/>
      <c r="T235" s="2"/>
      <c r="U235" s="2"/>
      <c r="V235" s="2"/>
      <c r="W235" s="2"/>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row>
    <row r="236" spans="1:53" x14ac:dyDescent="0.25">
      <c r="A236" s="1"/>
      <c r="B236" s="1"/>
      <c r="C236" s="1"/>
      <c r="D236" s="1"/>
      <c r="E236" s="1"/>
      <c r="F236" s="1"/>
      <c r="G236" s="1"/>
      <c r="H236" s="1"/>
      <c r="I236" s="2"/>
      <c r="J236" s="2"/>
      <c r="K236" s="2"/>
      <c r="L236" s="2"/>
      <c r="M236" s="2"/>
      <c r="N236" s="2"/>
      <c r="O236" s="2"/>
      <c r="P236" s="2"/>
      <c r="Q236" s="2"/>
      <c r="R236" s="2"/>
      <c r="S236" s="2"/>
      <c r="T236" s="2"/>
      <c r="U236" s="2"/>
      <c r="V236" s="2"/>
      <c r="W236" s="2"/>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row>
    <row r="237" spans="1:53" x14ac:dyDescent="0.25">
      <c r="A237" s="1"/>
      <c r="B237" s="1"/>
      <c r="C237" s="1"/>
      <c r="D237" s="1"/>
      <c r="E237" s="1"/>
      <c r="F237" s="1"/>
      <c r="G237" s="1"/>
      <c r="H237" s="1"/>
      <c r="I237" s="2"/>
      <c r="J237" s="2"/>
      <c r="K237" s="2"/>
      <c r="L237" s="2"/>
      <c r="M237" s="2"/>
      <c r="N237" s="2"/>
      <c r="O237" s="2"/>
      <c r="P237" s="2"/>
      <c r="Q237" s="2"/>
      <c r="R237" s="2"/>
      <c r="S237" s="2"/>
      <c r="T237" s="2"/>
      <c r="U237" s="2"/>
      <c r="V237" s="2"/>
      <c r="W237" s="2"/>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row>
    <row r="238" spans="1:53" x14ac:dyDescent="0.25">
      <c r="A238" s="1"/>
      <c r="B238" s="1"/>
      <c r="C238" s="1"/>
      <c r="D238" s="1"/>
      <c r="E238" s="1"/>
      <c r="F238" s="1"/>
      <c r="G238" s="1"/>
      <c r="H238" s="1"/>
      <c r="I238" s="2"/>
      <c r="J238" s="2"/>
      <c r="K238" s="2"/>
      <c r="L238" s="2"/>
      <c r="M238" s="2"/>
      <c r="N238" s="2"/>
      <c r="O238" s="2"/>
      <c r="P238" s="2"/>
      <c r="Q238" s="2"/>
      <c r="R238" s="2"/>
      <c r="S238" s="2"/>
      <c r="T238" s="2"/>
      <c r="U238" s="2"/>
      <c r="V238" s="2"/>
      <c r="W238" s="2"/>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row>
    <row r="239" spans="1:53" x14ac:dyDescent="0.25">
      <c r="A239" s="1"/>
      <c r="B239" s="1"/>
      <c r="C239" s="1"/>
      <c r="D239" s="1"/>
      <c r="E239" s="1"/>
      <c r="F239" s="1"/>
      <c r="G239" s="1"/>
      <c r="H239" s="1"/>
      <c r="I239" s="2"/>
      <c r="J239" s="2"/>
      <c r="K239" s="2"/>
      <c r="L239" s="2"/>
      <c r="M239" s="2"/>
      <c r="N239" s="2"/>
      <c r="O239" s="2"/>
      <c r="P239" s="2"/>
      <c r="Q239" s="2"/>
      <c r="R239" s="2"/>
      <c r="S239" s="2"/>
      <c r="T239" s="2"/>
      <c r="U239" s="2"/>
      <c r="V239" s="2"/>
      <c r="W239" s="2"/>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row>
    <row r="240" spans="1:53" x14ac:dyDescent="0.25">
      <c r="A240" s="1"/>
      <c r="B240" s="1"/>
      <c r="C240" s="1"/>
      <c r="D240" s="1"/>
      <c r="E240" s="1"/>
      <c r="F240" s="1"/>
      <c r="G240" s="1"/>
      <c r="H240" s="1"/>
      <c r="I240" s="2"/>
      <c r="J240" s="2"/>
      <c r="K240" s="2"/>
      <c r="L240" s="2"/>
      <c r="M240" s="2"/>
      <c r="N240" s="2"/>
      <c r="O240" s="2"/>
      <c r="P240" s="2"/>
      <c r="Q240" s="2"/>
      <c r="R240" s="2"/>
      <c r="S240" s="2"/>
      <c r="T240" s="2"/>
      <c r="U240" s="2"/>
      <c r="V240" s="2"/>
      <c r="W240" s="2"/>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row>
    <row r="241" spans="1:53" x14ac:dyDescent="0.25">
      <c r="A241" s="1"/>
      <c r="B241" s="1"/>
      <c r="C241" s="1"/>
      <c r="D241" s="1"/>
      <c r="E241" s="1"/>
      <c r="F241" s="1"/>
      <c r="G241" s="1"/>
      <c r="H241" s="1"/>
      <c r="I241" s="2"/>
      <c r="J241" s="2"/>
      <c r="K241" s="2"/>
      <c r="L241" s="2"/>
      <c r="M241" s="2"/>
      <c r="N241" s="2"/>
      <c r="O241" s="2"/>
      <c r="P241" s="2"/>
      <c r="Q241" s="2"/>
      <c r="R241" s="2"/>
      <c r="S241" s="2"/>
      <c r="T241" s="2"/>
      <c r="U241" s="2"/>
      <c r="V241" s="2"/>
      <c r="W241" s="2"/>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row>
    <row r="242" spans="1:53" x14ac:dyDescent="0.25">
      <c r="A242" s="1"/>
      <c r="B242" s="1"/>
      <c r="C242" s="1"/>
      <c r="D242" s="1"/>
      <c r="E242" s="1"/>
      <c r="F242" s="1"/>
      <c r="G242" s="1"/>
      <c r="H242" s="1"/>
      <c r="I242" s="2"/>
      <c r="J242" s="2"/>
      <c r="K242" s="2"/>
      <c r="L242" s="2"/>
      <c r="M242" s="2"/>
      <c r="N242" s="2"/>
      <c r="O242" s="2"/>
      <c r="P242" s="2"/>
      <c r="Q242" s="2"/>
      <c r="R242" s="2"/>
      <c r="S242" s="2"/>
      <c r="T242" s="2"/>
      <c r="U242" s="2"/>
      <c r="V242" s="2"/>
      <c r="W242" s="2"/>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row>
    <row r="243" spans="1:53" x14ac:dyDescent="0.25">
      <c r="A243" s="1"/>
      <c r="B243" s="1"/>
      <c r="C243" s="1"/>
      <c r="D243" s="1"/>
      <c r="E243" s="1"/>
      <c r="F243" s="1"/>
      <c r="G243" s="1"/>
      <c r="H243" s="1"/>
      <c r="I243" s="2"/>
      <c r="J243" s="2"/>
      <c r="K243" s="2"/>
      <c r="L243" s="2"/>
      <c r="M243" s="2"/>
      <c r="N243" s="2"/>
      <c r="O243" s="2"/>
      <c r="P243" s="2"/>
      <c r="Q243" s="2"/>
      <c r="R243" s="2"/>
      <c r="S243" s="2"/>
      <c r="T243" s="2"/>
      <c r="U243" s="2"/>
      <c r="V243" s="2"/>
      <c r="W243" s="2"/>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row>
    <row r="244" spans="1:53" x14ac:dyDescent="0.25">
      <c r="A244" s="1"/>
      <c r="B244" s="1"/>
      <c r="C244" s="1"/>
      <c r="D244" s="1"/>
      <c r="E244" s="1"/>
      <c r="F244" s="1"/>
      <c r="G244" s="1"/>
      <c r="H244" s="1"/>
      <c r="I244" s="2"/>
      <c r="J244" s="2"/>
      <c r="K244" s="2"/>
      <c r="L244" s="2"/>
      <c r="M244" s="2"/>
      <c r="N244" s="2"/>
      <c r="O244" s="2"/>
      <c r="P244" s="2"/>
      <c r="Q244" s="2"/>
      <c r="R244" s="2"/>
      <c r="S244" s="2"/>
      <c r="T244" s="2"/>
      <c r="U244" s="2"/>
      <c r="V244" s="2"/>
      <c r="W244" s="2"/>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row>
    <row r="245" spans="1:53" x14ac:dyDescent="0.25">
      <c r="A245" s="1"/>
      <c r="B245" s="1"/>
      <c r="C245" s="1"/>
      <c r="D245" s="1"/>
      <c r="E245" s="1"/>
      <c r="F245" s="1"/>
      <c r="G245" s="1"/>
      <c r="H245" s="1"/>
      <c r="I245" s="2"/>
      <c r="J245" s="2"/>
      <c r="K245" s="2"/>
      <c r="L245" s="2"/>
      <c r="M245" s="2"/>
      <c r="N245" s="2"/>
      <c r="O245" s="2"/>
      <c r="P245" s="2"/>
      <c r="Q245" s="2"/>
      <c r="R245" s="2"/>
      <c r="S245" s="2"/>
      <c r="T245" s="2"/>
      <c r="U245" s="2"/>
      <c r="V245" s="2"/>
      <c r="W245" s="2"/>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row>
    <row r="246" spans="1:53" x14ac:dyDescent="0.25">
      <c r="A246" s="1"/>
      <c r="B246" s="1"/>
      <c r="C246" s="1"/>
      <c r="D246" s="1"/>
      <c r="E246" s="1"/>
      <c r="F246" s="1"/>
      <c r="G246" s="1"/>
      <c r="H246" s="1"/>
      <c r="I246" s="2"/>
      <c r="J246" s="2"/>
      <c r="K246" s="2"/>
      <c r="L246" s="2"/>
      <c r="M246" s="2"/>
      <c r="N246" s="2"/>
      <c r="O246" s="2"/>
      <c r="P246" s="2"/>
      <c r="Q246" s="2"/>
      <c r="R246" s="2"/>
      <c r="S246" s="2"/>
      <c r="T246" s="2"/>
      <c r="U246" s="2"/>
      <c r="V246" s="2"/>
      <c r="W246" s="2"/>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row>
    <row r="247" spans="1:53" x14ac:dyDescent="0.25">
      <c r="A247" s="1"/>
      <c r="B247" s="1"/>
      <c r="C247" s="1"/>
      <c r="D247" s="1"/>
      <c r="E247" s="1"/>
      <c r="F247" s="1"/>
      <c r="G247" s="1"/>
      <c r="H247" s="1"/>
      <c r="I247" s="2"/>
      <c r="J247" s="2"/>
      <c r="K247" s="2"/>
      <c r="L247" s="2"/>
      <c r="M247" s="2"/>
      <c r="N247" s="2"/>
      <c r="O247" s="2"/>
      <c r="P247" s="2"/>
      <c r="Q247" s="2"/>
      <c r="R247" s="2"/>
      <c r="S247" s="2"/>
      <c r="T247" s="2"/>
      <c r="U247" s="2"/>
      <c r="V247" s="2"/>
      <c r="W247" s="2"/>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row>
    <row r="248" spans="1:53" x14ac:dyDescent="0.25">
      <c r="A248" s="1"/>
      <c r="B248" s="1"/>
      <c r="C248" s="1"/>
      <c r="D248" s="1"/>
      <c r="E248" s="1"/>
      <c r="F248" s="1"/>
      <c r="G248" s="1"/>
      <c r="H248" s="1"/>
      <c r="I248" s="2"/>
      <c r="J248" s="2"/>
      <c r="K248" s="2"/>
      <c r="L248" s="2"/>
      <c r="M248" s="2"/>
      <c r="N248" s="2"/>
      <c r="O248" s="2"/>
      <c r="P248" s="2"/>
      <c r="Q248" s="2"/>
      <c r="R248" s="2"/>
      <c r="S248" s="2"/>
      <c r="T248" s="2"/>
      <c r="U248" s="2"/>
      <c r="V248" s="2"/>
      <c r="W248" s="2"/>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row>
    <row r="249" spans="1:53" x14ac:dyDescent="0.25">
      <c r="A249" s="1"/>
      <c r="B249" s="1"/>
      <c r="C249" s="1"/>
      <c r="D249" s="1"/>
      <c r="E249" s="1"/>
      <c r="F249" s="1"/>
      <c r="G249" s="1"/>
      <c r="H249" s="1"/>
      <c r="I249" s="2"/>
      <c r="J249" s="2"/>
      <c r="K249" s="2"/>
      <c r="L249" s="2"/>
      <c r="M249" s="2"/>
      <c r="N249" s="2"/>
      <c r="O249" s="2"/>
      <c r="P249" s="2"/>
      <c r="Q249" s="2"/>
      <c r="R249" s="2"/>
      <c r="S249" s="2"/>
      <c r="T249" s="2"/>
      <c r="U249" s="2"/>
      <c r="V249" s="2"/>
      <c r="W249" s="2"/>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row>
    <row r="250" spans="1:53" x14ac:dyDescent="0.25">
      <c r="A250" s="1"/>
      <c r="B250" s="1"/>
      <c r="C250" s="1"/>
      <c r="D250" s="1"/>
      <c r="E250" s="1"/>
      <c r="F250" s="1"/>
      <c r="G250" s="1"/>
      <c r="H250" s="1"/>
      <c r="I250" s="2"/>
      <c r="J250" s="2"/>
      <c r="K250" s="2"/>
      <c r="L250" s="2"/>
      <c r="M250" s="2"/>
      <c r="N250" s="2"/>
      <c r="O250" s="2"/>
      <c r="P250" s="2"/>
      <c r="Q250" s="2"/>
      <c r="R250" s="2"/>
      <c r="S250" s="2"/>
      <c r="T250" s="2"/>
      <c r="U250" s="2"/>
      <c r="V250" s="2"/>
      <c r="W250" s="2"/>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row>
    <row r="251" spans="1:53" x14ac:dyDescent="0.25">
      <c r="A251" s="1"/>
      <c r="B251" s="1"/>
      <c r="C251" s="1"/>
      <c r="D251" s="1"/>
      <c r="E251" s="1"/>
      <c r="F251" s="1"/>
      <c r="G251" s="1"/>
      <c r="H251" s="1"/>
      <c r="I251" s="2"/>
      <c r="J251" s="2"/>
      <c r="K251" s="2"/>
      <c r="L251" s="2"/>
      <c r="M251" s="2"/>
      <c r="N251" s="2"/>
      <c r="O251" s="2"/>
      <c r="P251" s="2"/>
      <c r="Q251" s="2"/>
      <c r="R251" s="2"/>
      <c r="S251" s="2"/>
      <c r="T251" s="2"/>
      <c r="U251" s="2"/>
      <c r="V251" s="2"/>
      <c r="W251" s="2"/>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row>
    <row r="252" spans="1:53" x14ac:dyDescent="0.25">
      <c r="A252" s="1"/>
      <c r="B252" s="1"/>
      <c r="C252" s="1"/>
      <c r="D252" s="1"/>
      <c r="E252" s="1"/>
      <c r="F252" s="1"/>
      <c r="G252" s="1"/>
      <c r="H252" s="1"/>
      <c r="I252" s="2"/>
      <c r="J252" s="2"/>
      <c r="K252" s="2"/>
      <c r="L252" s="2"/>
      <c r="M252" s="2"/>
      <c r="N252" s="2"/>
      <c r="O252" s="2"/>
      <c r="P252" s="2"/>
      <c r="Q252" s="2"/>
      <c r="R252" s="2"/>
      <c r="S252" s="2"/>
      <c r="T252" s="2"/>
      <c r="U252" s="2"/>
      <c r="V252" s="2"/>
      <c r="W252" s="2"/>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row>
    <row r="253" spans="1:53" x14ac:dyDescent="0.25">
      <c r="A253" s="1"/>
      <c r="B253" s="1"/>
      <c r="C253" s="1"/>
      <c r="D253" s="1"/>
      <c r="E253" s="1"/>
      <c r="F253" s="1"/>
      <c r="G253" s="1"/>
      <c r="H253" s="1"/>
      <c r="I253" s="2"/>
      <c r="J253" s="2"/>
      <c r="K253" s="2"/>
      <c r="L253" s="2"/>
      <c r="M253" s="2"/>
      <c r="N253" s="2"/>
      <c r="O253" s="2"/>
      <c r="P253" s="2"/>
      <c r="Q253" s="2"/>
      <c r="R253" s="2"/>
      <c r="S253" s="2"/>
      <c r="T253" s="2"/>
      <c r="U253" s="2"/>
      <c r="V253" s="2"/>
      <c r="W253" s="2"/>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row>
    <row r="254" spans="1:53" x14ac:dyDescent="0.25">
      <c r="A254" s="1"/>
      <c r="B254" s="1"/>
      <c r="C254" s="1"/>
      <c r="D254" s="1"/>
      <c r="E254" s="1"/>
      <c r="F254" s="1"/>
      <c r="G254" s="1"/>
      <c r="H254" s="1"/>
      <c r="I254" s="2"/>
      <c r="J254" s="2"/>
      <c r="K254" s="2"/>
      <c r="L254" s="2"/>
      <c r="M254" s="2"/>
      <c r="N254" s="2"/>
      <c r="O254" s="2"/>
      <c r="P254" s="2"/>
      <c r="Q254" s="2"/>
      <c r="R254" s="2"/>
      <c r="S254" s="2"/>
      <c r="T254" s="2"/>
      <c r="U254" s="2"/>
      <c r="V254" s="2"/>
      <c r="W254" s="2"/>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row>
    <row r="255" spans="1:53" x14ac:dyDescent="0.25">
      <c r="A255" s="1"/>
      <c r="B255" s="1"/>
      <c r="C255" s="1"/>
      <c r="D255" s="1"/>
      <c r="E255" s="1"/>
      <c r="F255" s="1"/>
      <c r="G255" s="1"/>
      <c r="H255" s="1"/>
      <c r="I255" s="2"/>
      <c r="J255" s="2"/>
      <c r="K255" s="2"/>
      <c r="L255" s="2"/>
      <c r="M255" s="2"/>
      <c r="N255" s="2"/>
      <c r="O255" s="2"/>
      <c r="P255" s="2"/>
      <c r="Q255" s="2"/>
      <c r="R255" s="2"/>
      <c r="S255" s="2"/>
      <c r="T255" s="2"/>
      <c r="U255" s="2"/>
      <c r="V255" s="2"/>
      <c r="W255" s="2"/>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row>
    <row r="256" spans="1:53" x14ac:dyDescent="0.25">
      <c r="A256" s="1"/>
      <c r="B256" s="1"/>
      <c r="C256" s="1"/>
      <c r="D256" s="1"/>
      <c r="E256" s="1"/>
      <c r="F256" s="1"/>
      <c r="G256" s="1"/>
      <c r="H256" s="1"/>
      <c r="I256" s="2"/>
      <c r="J256" s="2"/>
      <c r="K256" s="2"/>
      <c r="L256" s="2"/>
      <c r="M256" s="2"/>
      <c r="N256" s="2"/>
      <c r="O256" s="2"/>
      <c r="P256" s="2"/>
      <c r="Q256" s="2"/>
      <c r="R256" s="2"/>
      <c r="S256" s="2"/>
      <c r="T256" s="2"/>
      <c r="U256" s="2"/>
      <c r="V256" s="2"/>
      <c r="W256" s="2"/>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row>
    <row r="257" spans="1:53" x14ac:dyDescent="0.25">
      <c r="A257" s="1"/>
      <c r="B257" s="1"/>
      <c r="C257" s="1"/>
      <c r="D257" s="1"/>
      <c r="E257" s="1"/>
      <c r="F257" s="1"/>
      <c r="G257" s="1"/>
      <c r="H257" s="1"/>
      <c r="I257" s="2"/>
      <c r="J257" s="2"/>
      <c r="K257" s="2"/>
      <c r="L257" s="2"/>
      <c r="M257" s="2"/>
      <c r="N257" s="2"/>
      <c r="O257" s="2"/>
      <c r="P257" s="2"/>
      <c r="Q257" s="2"/>
      <c r="R257" s="2"/>
      <c r="S257" s="2"/>
      <c r="T257" s="2"/>
      <c r="U257" s="2"/>
      <c r="V257" s="2"/>
      <c r="W257" s="2"/>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row>
    <row r="258" spans="1:53" x14ac:dyDescent="0.25">
      <c r="A258" s="1"/>
      <c r="B258" s="1"/>
      <c r="C258" s="1"/>
      <c r="D258" s="1"/>
      <c r="E258" s="1"/>
      <c r="F258" s="1"/>
      <c r="G258" s="1"/>
      <c r="H258" s="1"/>
      <c r="I258" s="2"/>
      <c r="J258" s="2"/>
      <c r="K258" s="2"/>
      <c r="L258" s="2"/>
      <c r="M258" s="2"/>
      <c r="N258" s="2"/>
      <c r="O258" s="2"/>
      <c r="P258" s="2"/>
      <c r="Q258" s="2"/>
      <c r="R258" s="2"/>
      <c r="S258" s="2"/>
      <c r="T258" s="2"/>
      <c r="U258" s="2"/>
      <c r="V258" s="2"/>
      <c r="W258" s="2"/>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row>
    <row r="259" spans="1:53" x14ac:dyDescent="0.25">
      <c r="A259" s="1"/>
      <c r="B259" s="1"/>
      <c r="C259" s="1"/>
      <c r="D259" s="1"/>
      <c r="E259" s="1"/>
      <c r="F259" s="1"/>
      <c r="G259" s="1"/>
      <c r="H259" s="1"/>
      <c r="I259" s="2"/>
      <c r="J259" s="2"/>
      <c r="K259" s="2"/>
      <c r="L259" s="2"/>
      <c r="M259" s="2"/>
      <c r="N259" s="2"/>
      <c r="O259" s="2"/>
      <c r="P259" s="2"/>
      <c r="Q259" s="2"/>
      <c r="R259" s="2"/>
      <c r="S259" s="2"/>
      <c r="T259" s="2"/>
      <c r="U259" s="2"/>
      <c r="V259" s="2"/>
      <c r="W259" s="2"/>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row>
    <row r="260" spans="1:53" x14ac:dyDescent="0.25">
      <c r="A260" s="1"/>
      <c r="B260" s="1"/>
      <c r="C260" s="1"/>
      <c r="D260" s="1"/>
      <c r="E260" s="1"/>
      <c r="F260" s="1"/>
      <c r="G260" s="1"/>
      <c r="H260" s="1"/>
      <c r="I260" s="2"/>
      <c r="J260" s="2"/>
      <c r="K260" s="2"/>
      <c r="L260" s="2"/>
      <c r="M260" s="2"/>
      <c r="N260" s="2"/>
      <c r="O260" s="2"/>
      <c r="P260" s="2"/>
      <c r="Q260" s="2"/>
      <c r="R260" s="2"/>
      <c r="S260" s="2"/>
      <c r="T260" s="2"/>
      <c r="U260" s="2"/>
      <c r="V260" s="2"/>
      <c r="W260" s="2"/>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row>
    <row r="261" spans="1:53" x14ac:dyDescent="0.25">
      <c r="A261" s="1"/>
      <c r="B261" s="1"/>
      <c r="C261" s="1"/>
      <c r="D261" s="1"/>
      <c r="E261" s="1"/>
      <c r="F261" s="1"/>
      <c r="G261" s="1"/>
      <c r="H261" s="1"/>
      <c r="I261" s="2"/>
      <c r="J261" s="2"/>
      <c r="K261" s="2"/>
      <c r="L261" s="2"/>
      <c r="M261" s="2"/>
      <c r="N261" s="2"/>
      <c r="O261" s="2"/>
      <c r="P261" s="2"/>
      <c r="Q261" s="2"/>
      <c r="R261" s="2"/>
      <c r="S261" s="2"/>
      <c r="T261" s="2"/>
      <c r="U261" s="2"/>
      <c r="V261" s="2"/>
      <c r="W261" s="2"/>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row>
    <row r="262" spans="1:53" x14ac:dyDescent="0.25">
      <c r="A262" s="1"/>
      <c r="B262" s="1"/>
      <c r="C262" s="1"/>
      <c r="D262" s="1"/>
      <c r="E262" s="1"/>
      <c r="F262" s="1"/>
      <c r="G262" s="1"/>
      <c r="H262" s="1"/>
      <c r="I262" s="2"/>
      <c r="J262" s="2"/>
      <c r="K262" s="2"/>
      <c r="L262" s="2"/>
      <c r="M262" s="2"/>
      <c r="N262" s="2"/>
      <c r="O262" s="2"/>
      <c r="P262" s="2"/>
      <c r="Q262" s="2"/>
      <c r="R262" s="2"/>
      <c r="S262" s="2"/>
      <c r="T262" s="2"/>
      <c r="U262" s="2"/>
      <c r="V262" s="2"/>
      <c r="W262" s="2"/>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row>
    <row r="263" spans="1:53" x14ac:dyDescent="0.25">
      <c r="A263" s="1"/>
      <c r="B263" s="1"/>
      <c r="C263" s="1"/>
      <c r="D263" s="1"/>
      <c r="E263" s="1"/>
      <c r="F263" s="1"/>
      <c r="G263" s="1"/>
      <c r="H263" s="1"/>
      <c r="I263" s="2"/>
      <c r="J263" s="2"/>
      <c r="K263" s="2"/>
      <c r="L263" s="2"/>
      <c r="M263" s="2"/>
      <c r="N263" s="2"/>
      <c r="O263" s="2"/>
      <c r="P263" s="2"/>
      <c r="Q263" s="2"/>
      <c r="R263" s="2"/>
      <c r="S263" s="2"/>
      <c r="T263" s="2"/>
      <c r="U263" s="2"/>
      <c r="V263" s="2"/>
      <c r="W263" s="2"/>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row>
    <row r="264" spans="1:53" x14ac:dyDescent="0.25">
      <c r="A264" s="1"/>
      <c r="B264" s="1"/>
      <c r="C264" s="1"/>
      <c r="D264" s="1"/>
      <c r="E264" s="1"/>
      <c r="F264" s="1"/>
      <c r="G264" s="1"/>
      <c r="H264" s="1"/>
      <c r="I264" s="2"/>
      <c r="J264" s="2"/>
      <c r="K264" s="2"/>
      <c r="L264" s="2"/>
      <c r="M264" s="2"/>
      <c r="N264" s="2"/>
      <c r="O264" s="2"/>
      <c r="P264" s="2"/>
      <c r="Q264" s="2"/>
      <c r="R264" s="2"/>
      <c r="S264" s="2"/>
      <c r="T264" s="2"/>
      <c r="U264" s="2"/>
      <c r="V264" s="2"/>
      <c r="W264" s="2"/>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row>
    <row r="265" spans="1:53" x14ac:dyDescent="0.25">
      <c r="A265" s="1"/>
      <c r="B265" s="1"/>
      <c r="C265" s="1"/>
      <c r="D265" s="1"/>
      <c r="E265" s="1"/>
      <c r="F265" s="1"/>
      <c r="G265" s="1"/>
      <c r="H265" s="1"/>
      <c r="I265" s="2"/>
      <c r="J265" s="2"/>
      <c r="K265" s="2"/>
      <c r="L265" s="2"/>
      <c r="M265" s="2"/>
      <c r="N265" s="2"/>
      <c r="O265" s="2"/>
      <c r="P265" s="2"/>
      <c r="Q265" s="2"/>
      <c r="R265" s="2"/>
      <c r="S265" s="2"/>
      <c r="T265" s="2"/>
      <c r="U265" s="2"/>
      <c r="V265" s="2"/>
      <c r="W265" s="2"/>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row>
    <row r="266" spans="1:53" x14ac:dyDescent="0.25">
      <c r="A266" s="1"/>
      <c r="B266" s="1"/>
      <c r="C266" s="1"/>
      <c r="D266" s="1"/>
      <c r="E266" s="1"/>
      <c r="F266" s="1"/>
      <c r="G266" s="1"/>
      <c r="H266" s="1"/>
      <c r="I266" s="2"/>
      <c r="J266" s="2"/>
      <c r="K266" s="2"/>
      <c r="L266" s="2"/>
      <c r="M266" s="2"/>
      <c r="N266" s="2"/>
      <c r="O266" s="2"/>
      <c r="P266" s="2"/>
      <c r="Q266" s="2"/>
      <c r="R266" s="2"/>
      <c r="S266" s="2"/>
      <c r="T266" s="2"/>
      <c r="U266" s="2"/>
      <c r="V266" s="2"/>
      <c r="W266" s="2"/>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row>
    <row r="267" spans="1:53" x14ac:dyDescent="0.25">
      <c r="A267" s="1"/>
      <c r="B267" s="1"/>
      <c r="C267" s="1"/>
      <c r="D267" s="1"/>
      <c r="E267" s="1"/>
      <c r="F267" s="1"/>
      <c r="G267" s="1"/>
      <c r="H267" s="1"/>
      <c r="I267" s="2"/>
      <c r="J267" s="2"/>
      <c r="K267" s="2"/>
      <c r="L267" s="2"/>
      <c r="M267" s="2"/>
      <c r="N267" s="2"/>
      <c r="O267" s="2"/>
      <c r="P267" s="2"/>
      <c r="Q267" s="2"/>
      <c r="R267" s="2"/>
      <c r="S267" s="2"/>
      <c r="T267" s="2"/>
      <c r="U267" s="2"/>
      <c r="V267" s="2"/>
      <c r="W267" s="2"/>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row>
    <row r="268" spans="1:53" x14ac:dyDescent="0.25">
      <c r="A268" s="1"/>
      <c r="B268" s="1"/>
      <c r="C268" s="1"/>
      <c r="D268" s="1"/>
      <c r="E268" s="1"/>
      <c r="F268" s="1"/>
      <c r="G268" s="1"/>
      <c r="H268" s="1"/>
      <c r="I268" s="2"/>
      <c r="J268" s="2"/>
      <c r="K268" s="2"/>
      <c r="L268" s="2"/>
      <c r="M268" s="2"/>
      <c r="N268" s="2"/>
      <c r="O268" s="2"/>
      <c r="P268" s="2"/>
      <c r="Q268" s="2"/>
      <c r="R268" s="2"/>
      <c r="S268" s="2"/>
      <c r="T268" s="2"/>
      <c r="U268" s="2"/>
      <c r="V268" s="2"/>
      <c r="W268" s="2"/>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row>
  </sheetData>
  <conditionalFormatting sqref="C12:N13 S60:W68 C8:R11 C14:R145">
    <cfRule type="cellIs" dxfId="154" priority="4" operator="equal">
      <formula>0</formula>
    </cfRule>
  </conditionalFormatting>
  <conditionalFormatting sqref="U122:V123">
    <cfRule type="cellIs" dxfId="153" priority="3" operator="equal">
      <formula>0</formula>
    </cfRule>
  </conditionalFormatting>
  <conditionalFormatting sqref="O12:Q13 R13">
    <cfRule type="cellIs" dxfId="152" priority="2" operator="equal">
      <formula>0</formula>
    </cfRule>
  </conditionalFormatting>
  <conditionalFormatting sqref="R12">
    <cfRule type="cellIs" dxfId="151" priority="1" operator="equal">
      <formula>0</formula>
    </cfRule>
  </conditionalFormatting>
  <pageMargins left="0.511811024" right="0.511811024" top="0.78740157499999996" bottom="0.78740157499999996" header="0.31496062000000002" footer="0.31496062000000002"/>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7DC6BD-7E71-445F-A785-1EC1BD58B3E1}">
  <sheetPr codeName="Planilha5"/>
  <dimension ref="A1:AW322"/>
  <sheetViews>
    <sheetView zoomScale="70" zoomScaleNormal="70" workbookViewId="0"/>
  </sheetViews>
  <sheetFormatPr defaultRowHeight="15" x14ac:dyDescent="0.25"/>
  <cols>
    <col min="1" max="1" width="8.7109375" style="3"/>
    <col min="2" max="2" width="89.5703125" style="3" bestFit="1" customWidth="1"/>
    <col min="3" max="17" width="14.140625" style="8" customWidth="1"/>
    <col min="18" max="18" width="9.42578125" style="8" bestFit="1" customWidth="1"/>
    <col min="19" max="19" width="8.7109375" style="8"/>
    <col min="20" max="49" width="8.7109375" style="3"/>
  </cols>
  <sheetData>
    <row r="1" spans="1:49" s="3" customFormat="1" ht="18" customHeight="1" x14ac:dyDescent="0.25">
      <c r="A1" s="1"/>
      <c r="B1" s="1"/>
      <c r="C1" s="2"/>
      <c r="D1" s="2"/>
      <c r="E1" s="2"/>
      <c r="F1" s="2"/>
      <c r="G1" s="2"/>
      <c r="H1" s="2"/>
      <c r="I1" s="2"/>
      <c r="J1" s="2"/>
      <c r="K1" s="2"/>
      <c r="L1" s="2"/>
      <c r="M1" s="2"/>
      <c r="N1" s="2"/>
      <c r="O1" s="2"/>
      <c r="P1" s="2"/>
      <c r="Q1" s="2"/>
      <c r="R1" s="2"/>
      <c r="S1" s="2"/>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row>
    <row r="2" spans="1:49" s="3" customFormat="1" ht="18" customHeight="1" x14ac:dyDescent="0.25">
      <c r="A2" s="1"/>
      <c r="B2" s="1"/>
      <c r="C2" s="2"/>
      <c r="D2" s="2"/>
      <c r="E2" s="2"/>
      <c r="F2" s="2"/>
      <c r="G2" s="2"/>
      <c r="H2" s="2"/>
      <c r="I2" s="2"/>
      <c r="J2" s="2"/>
      <c r="K2" s="2"/>
      <c r="L2" s="2"/>
      <c r="M2" s="2"/>
      <c r="N2" s="2"/>
      <c r="O2" s="2"/>
      <c r="P2" s="2"/>
      <c r="Q2" s="2"/>
      <c r="R2" s="2"/>
      <c r="S2" s="2"/>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row>
    <row r="3" spans="1:49" s="3" customFormat="1" ht="18" customHeight="1" x14ac:dyDescent="0.25">
      <c r="A3" s="1"/>
      <c r="B3" s="1"/>
      <c r="C3" s="2"/>
      <c r="D3" s="2"/>
      <c r="E3" s="2"/>
      <c r="F3" s="2"/>
      <c r="G3" s="2"/>
      <c r="H3" s="2"/>
      <c r="I3" s="2"/>
      <c r="J3" s="2"/>
      <c r="K3" s="2"/>
      <c r="L3" s="2"/>
      <c r="M3" s="2"/>
      <c r="N3" s="2"/>
      <c r="O3" s="2"/>
      <c r="P3" s="2"/>
      <c r="Q3" s="2"/>
      <c r="R3" s="2"/>
      <c r="S3" s="2"/>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row>
    <row r="4" spans="1:49" s="3" customFormat="1" ht="18" customHeight="1" x14ac:dyDescent="0.25">
      <c r="A4" s="1"/>
      <c r="B4" s="1"/>
      <c r="C4" s="2"/>
      <c r="D4" s="2"/>
      <c r="E4" s="2"/>
      <c r="F4" s="2"/>
      <c r="G4" s="2"/>
      <c r="H4" s="2"/>
      <c r="I4" s="2"/>
      <c r="J4" s="2"/>
      <c r="K4" s="2"/>
      <c r="L4" s="2"/>
      <c r="M4" s="2"/>
      <c r="N4" s="2"/>
      <c r="O4" s="2"/>
      <c r="P4" s="2"/>
      <c r="Q4" s="2"/>
      <c r="R4" s="2"/>
      <c r="S4" s="2"/>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row>
    <row r="5" spans="1:49" s="3" customFormat="1" ht="18" customHeight="1" x14ac:dyDescent="0.25">
      <c r="A5" s="1"/>
      <c r="B5" s="1"/>
      <c r="C5" s="2"/>
      <c r="D5" s="2"/>
      <c r="E5" s="2"/>
      <c r="F5" s="29"/>
      <c r="G5" s="2"/>
      <c r="H5" s="2"/>
      <c r="I5" s="2"/>
      <c r="J5" s="2"/>
      <c r="K5" s="2"/>
      <c r="L5" s="2"/>
      <c r="M5" s="2"/>
      <c r="N5" s="2"/>
      <c r="O5" s="2"/>
      <c r="P5" s="2"/>
      <c r="Q5" s="2"/>
      <c r="R5" s="2"/>
      <c r="S5" s="2"/>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row>
    <row r="6" spans="1:49" s="3" customFormat="1" ht="18" customHeight="1" x14ac:dyDescent="0.25">
      <c r="A6" s="1"/>
      <c r="B6" s="1"/>
      <c r="C6" s="2"/>
      <c r="D6" s="2"/>
      <c r="E6" s="2"/>
      <c r="F6" s="2"/>
      <c r="G6" s="2"/>
      <c r="H6" s="2"/>
      <c r="I6" s="2"/>
      <c r="J6" s="2"/>
      <c r="K6" s="2"/>
      <c r="L6" s="2"/>
      <c r="M6" s="2"/>
      <c r="N6" s="2"/>
      <c r="O6" s="2"/>
      <c r="P6" s="2"/>
      <c r="Q6" s="2"/>
      <c r="R6" s="2"/>
      <c r="S6" s="2"/>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row>
    <row r="7" spans="1:49" ht="18" customHeight="1" thickBot="1" x14ac:dyDescent="0.3">
      <c r="A7" s="1"/>
      <c r="B7" s="81"/>
      <c r="C7" s="15">
        <v>2010</v>
      </c>
      <c r="D7" s="15">
        <v>2011</v>
      </c>
      <c r="E7" s="15">
        <v>2012</v>
      </c>
      <c r="F7" s="15">
        <v>2013</v>
      </c>
      <c r="G7" s="15">
        <v>2014</v>
      </c>
      <c r="H7" s="15">
        <v>2015</v>
      </c>
      <c r="I7" s="15">
        <v>2016</v>
      </c>
      <c r="J7" s="15">
        <f t="shared" ref="J7:P7" si="0">I7+1</f>
        <v>2017</v>
      </c>
      <c r="K7" s="15">
        <f t="shared" si="0"/>
        <v>2018</v>
      </c>
      <c r="L7" s="15">
        <f t="shared" si="0"/>
        <v>2019</v>
      </c>
      <c r="M7" s="15">
        <f t="shared" si="0"/>
        <v>2020</v>
      </c>
      <c r="N7" s="15">
        <f t="shared" si="0"/>
        <v>2021</v>
      </c>
      <c r="O7" s="15">
        <f t="shared" si="0"/>
        <v>2022</v>
      </c>
      <c r="P7" s="15">
        <f t="shared" si="0"/>
        <v>2023</v>
      </c>
      <c r="Q7" s="15">
        <v>2024</v>
      </c>
      <c r="R7" s="2"/>
      <c r="S7" s="2"/>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row>
    <row r="8" spans="1:49" ht="18" customHeight="1" x14ac:dyDescent="0.25">
      <c r="A8" s="1"/>
      <c r="B8" s="25" t="s">
        <v>58</v>
      </c>
      <c r="C8" s="26">
        <f t="shared" ref="C8:O8" si="1">C10+C9+C25+C35</f>
        <v>20457</v>
      </c>
      <c r="D8" s="26">
        <f t="shared" si="1"/>
        <v>43038</v>
      </c>
      <c r="E8" s="26">
        <f t="shared" si="1"/>
        <v>48107</v>
      </c>
      <c r="F8" s="26">
        <f t="shared" si="1"/>
        <v>65030</v>
      </c>
      <c r="G8" s="26">
        <f t="shared" si="1"/>
        <v>109965</v>
      </c>
      <c r="H8" s="26">
        <f t="shared" si="1"/>
        <v>91247</v>
      </c>
      <c r="I8" s="26">
        <f t="shared" si="1"/>
        <v>101709</v>
      </c>
      <c r="J8" s="26">
        <f t="shared" si="1"/>
        <v>171830</v>
      </c>
      <c r="K8" s="26">
        <f t="shared" si="1"/>
        <v>117836</v>
      </c>
      <c r="L8" s="26">
        <f t="shared" si="1"/>
        <v>204882</v>
      </c>
      <c r="M8" s="26">
        <f t="shared" si="1"/>
        <v>220316</v>
      </c>
      <c r="N8" s="26">
        <f t="shared" si="1"/>
        <v>241938</v>
      </c>
      <c r="O8" s="26">
        <f t="shared" si="1"/>
        <v>138250</v>
      </c>
      <c r="P8" s="26">
        <f>P10+P9+P25+P35</f>
        <v>412592</v>
      </c>
      <c r="Q8" s="26">
        <f>Q10+Q9+Q25+Q35</f>
        <v>363955</v>
      </c>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row>
    <row r="9" spans="1:49" ht="18" customHeight="1" x14ac:dyDescent="0.25">
      <c r="A9" s="1"/>
      <c r="B9" s="11" t="s">
        <v>117</v>
      </c>
      <c r="C9" s="23">
        <v>89289</v>
      </c>
      <c r="D9" s="23">
        <v>125452</v>
      </c>
      <c r="E9" s="23">
        <v>133504</v>
      </c>
      <c r="F9" s="23">
        <v>156117</v>
      </c>
      <c r="G9" s="23">
        <v>161487</v>
      </c>
      <c r="H9" s="23">
        <v>164557</v>
      </c>
      <c r="I9" s="23">
        <v>157000</v>
      </c>
      <c r="J9" s="23">
        <v>182933</v>
      </c>
      <c r="K9" s="23">
        <v>142644</v>
      </c>
      <c r="L9" s="23">
        <v>162139</v>
      </c>
      <c r="M9" s="23">
        <v>48584</v>
      </c>
      <c r="N9" s="23">
        <v>343720</v>
      </c>
      <c r="O9" s="23">
        <v>422538</v>
      </c>
      <c r="P9" s="23">
        <v>398673</v>
      </c>
      <c r="Q9" s="23">
        <v>338549</v>
      </c>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row>
    <row r="10" spans="1:49" ht="18" customHeight="1" x14ac:dyDescent="0.25">
      <c r="A10" s="1"/>
      <c r="B10" s="18" t="s">
        <v>57</v>
      </c>
      <c r="C10" s="26">
        <f t="shared" ref="C10:P10" si="2">SUM(C11:C24)</f>
        <v>4405</v>
      </c>
      <c r="D10" s="26">
        <f t="shared" si="2"/>
        <v>-6417</v>
      </c>
      <c r="E10" s="26">
        <f t="shared" si="2"/>
        <v>-3952</v>
      </c>
      <c r="F10" s="26">
        <f t="shared" si="2"/>
        <v>10450</v>
      </c>
      <c r="G10" s="26">
        <f t="shared" si="2"/>
        <v>12418</v>
      </c>
      <c r="H10" s="26">
        <f t="shared" si="2"/>
        <v>14450</v>
      </c>
      <c r="I10" s="26">
        <f t="shared" si="2"/>
        <v>4695</v>
      </c>
      <c r="J10" s="26">
        <f t="shared" si="2"/>
        <v>31017</v>
      </c>
      <c r="K10" s="26">
        <f t="shared" si="2"/>
        <v>75157</v>
      </c>
      <c r="L10" s="26">
        <f t="shared" si="2"/>
        <v>134923</v>
      </c>
      <c r="M10" s="26">
        <f t="shared" si="2"/>
        <v>149850</v>
      </c>
      <c r="N10" s="26">
        <f t="shared" si="2"/>
        <v>203607</v>
      </c>
      <c r="O10" s="26">
        <f t="shared" si="2"/>
        <v>227397</v>
      </c>
      <c r="P10" s="26">
        <f t="shared" si="2"/>
        <v>209837</v>
      </c>
      <c r="Q10" s="26">
        <f>SUM(Q11:Q24)</f>
        <v>667405</v>
      </c>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row>
    <row r="11" spans="1:49" ht="18" customHeight="1" x14ac:dyDescent="0.25">
      <c r="A11" s="1"/>
      <c r="B11" s="12" t="s">
        <v>24</v>
      </c>
      <c r="C11" s="23">
        <v>2670</v>
      </c>
      <c r="D11" s="23">
        <v>4058</v>
      </c>
      <c r="E11" s="23">
        <v>7558</v>
      </c>
      <c r="F11" s="23">
        <v>10970</v>
      </c>
      <c r="G11" s="23">
        <v>13230</v>
      </c>
      <c r="H11" s="23">
        <v>24208</v>
      </c>
      <c r="I11" s="23">
        <v>25815</v>
      </c>
      <c r="J11" s="23">
        <v>32632</v>
      </c>
      <c r="K11" s="23">
        <v>40882</v>
      </c>
      <c r="L11" s="23">
        <v>80322</v>
      </c>
      <c r="M11" s="23">
        <v>81103</v>
      </c>
      <c r="N11" s="23">
        <v>105748</v>
      </c>
      <c r="O11" s="23">
        <v>166030</v>
      </c>
      <c r="P11" s="23">
        <v>222944</v>
      </c>
      <c r="Q11" s="23">
        <v>414855</v>
      </c>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row>
    <row r="12" spans="1:49" ht="18" customHeight="1" x14ac:dyDescent="0.25">
      <c r="A12" s="1"/>
      <c r="B12" s="12" t="s">
        <v>202</v>
      </c>
      <c r="C12" s="23">
        <v>131</v>
      </c>
      <c r="D12" s="23">
        <v>895</v>
      </c>
      <c r="E12" s="23">
        <v>-705</v>
      </c>
      <c r="F12" s="23">
        <v>-2783</v>
      </c>
      <c r="G12" s="23">
        <v>2273</v>
      </c>
      <c r="H12" s="23">
        <v>1597</v>
      </c>
      <c r="I12" s="23">
        <v>-3</v>
      </c>
      <c r="J12" s="23">
        <v>479</v>
      </c>
      <c r="K12" s="23">
        <v>-713</v>
      </c>
      <c r="L12" s="23">
        <v>-3251</v>
      </c>
      <c r="M12" s="23">
        <v>20712</v>
      </c>
      <c r="N12" s="23">
        <v>-2250</v>
      </c>
      <c r="O12" s="23">
        <v>-824</v>
      </c>
      <c r="P12" s="23">
        <v>8168</v>
      </c>
      <c r="Q12" s="23">
        <v>13156</v>
      </c>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row>
    <row r="13" spans="1:49" ht="18" customHeight="1" x14ac:dyDescent="0.25">
      <c r="A13" s="1"/>
      <c r="B13" s="12" t="s">
        <v>212</v>
      </c>
      <c r="C13" s="23">
        <v>0</v>
      </c>
      <c r="D13" s="23">
        <v>0</v>
      </c>
      <c r="E13" s="23">
        <v>0</v>
      </c>
      <c r="F13" s="23">
        <v>0</v>
      </c>
      <c r="G13" s="23">
        <v>0</v>
      </c>
      <c r="H13" s="23">
        <v>0</v>
      </c>
      <c r="I13" s="23">
        <v>0</v>
      </c>
      <c r="J13" s="23">
        <v>-2057</v>
      </c>
      <c r="K13" s="23">
        <v>0</v>
      </c>
      <c r="L13" s="23">
        <v>0</v>
      </c>
      <c r="M13" s="23">
        <v>0</v>
      </c>
      <c r="N13" s="23">
        <v>0</v>
      </c>
      <c r="O13" s="23">
        <v>-67925</v>
      </c>
      <c r="P13" s="23">
        <v>-40977</v>
      </c>
      <c r="Q13" s="23">
        <v>-22363</v>
      </c>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row>
    <row r="14" spans="1:49" ht="18" customHeight="1" x14ac:dyDescent="0.25">
      <c r="A14" s="1"/>
      <c r="B14" s="12" t="s">
        <v>25</v>
      </c>
      <c r="C14" s="23">
        <v>0</v>
      </c>
      <c r="D14" s="23">
        <v>0</v>
      </c>
      <c r="E14" s="23">
        <v>0</v>
      </c>
      <c r="F14" s="23">
        <v>0</v>
      </c>
      <c r="G14" s="23">
        <v>0</v>
      </c>
      <c r="H14" s="23">
        <v>0</v>
      </c>
      <c r="I14" s="23">
        <v>0</v>
      </c>
      <c r="J14" s="23">
        <v>1657</v>
      </c>
      <c r="K14" s="23">
        <v>0</v>
      </c>
      <c r="L14" s="23">
        <v>0</v>
      </c>
      <c r="M14" s="23">
        <v>0</v>
      </c>
      <c r="N14" s="23">
        <v>0</v>
      </c>
      <c r="O14" s="23">
        <v>79316</v>
      </c>
      <c r="P14" s="23">
        <v>39750</v>
      </c>
      <c r="Q14" s="23">
        <v>-117469</v>
      </c>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row>
    <row r="15" spans="1:49" ht="18" customHeight="1" x14ac:dyDescent="0.25">
      <c r="A15" s="1"/>
      <c r="B15" s="12" t="s">
        <v>203</v>
      </c>
      <c r="C15" s="23">
        <v>-112</v>
      </c>
      <c r="D15" s="23">
        <v>-352</v>
      </c>
      <c r="E15" s="23">
        <v>-1220</v>
      </c>
      <c r="F15" s="23">
        <v>1805</v>
      </c>
      <c r="G15" s="23">
        <v>474</v>
      </c>
      <c r="H15" s="23">
        <v>277</v>
      </c>
      <c r="I15" s="23">
        <v>1615</v>
      </c>
      <c r="J15" s="23">
        <v>4707</v>
      </c>
      <c r="K15" s="23">
        <v>-481</v>
      </c>
      <c r="L15" s="23">
        <v>784</v>
      </c>
      <c r="M15" s="23">
        <v>801</v>
      </c>
      <c r="N15" s="23">
        <v>1132</v>
      </c>
      <c r="O15" s="23">
        <v>3702</v>
      </c>
      <c r="P15" s="23">
        <v>-1666</v>
      </c>
      <c r="Q15" s="23">
        <v>35270</v>
      </c>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row>
    <row r="16" spans="1:49" ht="18" customHeight="1" x14ac:dyDescent="0.25">
      <c r="A16" s="1"/>
      <c r="B16" s="12" t="s">
        <v>213</v>
      </c>
      <c r="C16" s="23">
        <v>2031</v>
      </c>
      <c r="D16" s="23">
        <v>4002</v>
      </c>
      <c r="E16" s="23">
        <v>767</v>
      </c>
      <c r="F16" s="23">
        <v>9671</v>
      </c>
      <c r="G16" s="23">
        <v>6466</v>
      </c>
      <c r="H16" s="23">
        <v>2779</v>
      </c>
      <c r="I16" s="23">
        <v>-2318</v>
      </c>
      <c r="J16" s="23">
        <v>-24844</v>
      </c>
      <c r="K16" s="23">
        <v>15588</v>
      </c>
      <c r="L16" s="23">
        <v>16517</v>
      </c>
      <c r="M16" s="23">
        <v>34612</v>
      </c>
      <c r="N16" s="23">
        <v>34056</v>
      </c>
      <c r="O16" s="23">
        <v>4605</v>
      </c>
      <c r="P16" s="23">
        <v>6136</v>
      </c>
      <c r="Q16" s="23">
        <v>413057</v>
      </c>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row>
    <row r="17" spans="1:49" ht="18" customHeight="1" x14ac:dyDescent="0.25">
      <c r="A17" s="1"/>
      <c r="B17" s="12" t="s">
        <v>211</v>
      </c>
      <c r="C17" s="23">
        <v>0</v>
      </c>
      <c r="D17" s="23">
        <v>-14948</v>
      </c>
      <c r="E17" s="23">
        <v>-11732</v>
      </c>
      <c r="F17" s="23">
        <v>-13168</v>
      </c>
      <c r="G17" s="23">
        <v>-15339</v>
      </c>
      <c r="H17" s="23">
        <v>-23970</v>
      </c>
      <c r="I17" s="23">
        <v>-29239</v>
      </c>
      <c r="J17" s="23">
        <v>9375</v>
      </c>
      <c r="K17" s="23">
        <v>-17664</v>
      </c>
      <c r="L17" s="23">
        <v>-13614</v>
      </c>
      <c r="M17" s="23">
        <v>-11650</v>
      </c>
      <c r="N17" s="23">
        <v>-13127</v>
      </c>
      <c r="O17" s="23">
        <v>-54439</v>
      </c>
      <c r="P17" s="23">
        <v>-59201</v>
      </c>
      <c r="Q17" s="23">
        <v>-55966</v>
      </c>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row>
    <row r="18" spans="1:49" ht="18" customHeight="1" x14ac:dyDescent="0.25">
      <c r="A18" s="1"/>
      <c r="B18" s="12" t="s">
        <v>214</v>
      </c>
      <c r="C18" s="23">
        <v>-315</v>
      </c>
      <c r="D18" s="23">
        <v>-68</v>
      </c>
      <c r="E18" s="23">
        <v>148</v>
      </c>
      <c r="F18" s="23">
        <v>-316</v>
      </c>
      <c r="G18" s="23">
        <v>123</v>
      </c>
      <c r="H18" s="23">
        <v>1876</v>
      </c>
      <c r="I18" s="23">
        <v>3154</v>
      </c>
      <c r="J18" s="23">
        <v>3054</v>
      </c>
      <c r="K18" s="23">
        <v>2354</v>
      </c>
      <c r="L18" s="23">
        <v>-2610</v>
      </c>
      <c r="M18" s="23">
        <v>8938</v>
      </c>
      <c r="N18" s="23">
        <v>-265</v>
      </c>
      <c r="O18" s="23">
        <v>-2107</v>
      </c>
      <c r="P18" s="23">
        <v>-1317</v>
      </c>
      <c r="Q18" s="23">
        <v>-13669</v>
      </c>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row>
    <row r="19" spans="1:49" ht="18" customHeight="1" x14ac:dyDescent="0.25">
      <c r="A19" s="1"/>
      <c r="B19" s="12" t="s">
        <v>215</v>
      </c>
      <c r="C19" s="23">
        <v>0</v>
      </c>
      <c r="D19" s="23">
        <v>-4</v>
      </c>
      <c r="E19" s="23">
        <v>457</v>
      </c>
      <c r="F19" s="23">
        <v>338</v>
      </c>
      <c r="G19" s="23">
        <v>740</v>
      </c>
      <c r="H19" s="23">
        <v>2934</v>
      </c>
      <c r="I19" s="23">
        <v>1494</v>
      </c>
      <c r="J19" s="23">
        <v>6014</v>
      </c>
      <c r="K19" s="23">
        <v>2473</v>
      </c>
      <c r="L19" s="23">
        <v>4569</v>
      </c>
      <c r="M19" s="23">
        <v>1026</v>
      </c>
      <c r="N19" s="23">
        <v>7091</v>
      </c>
      <c r="O19" s="23">
        <v>8589</v>
      </c>
      <c r="P19" s="23">
        <v>-1696</v>
      </c>
      <c r="Q19" s="23">
        <v>67990</v>
      </c>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row>
    <row r="20" spans="1:49" ht="18" customHeight="1" x14ac:dyDescent="0.25">
      <c r="A20" s="1"/>
      <c r="B20" s="12" t="s">
        <v>216</v>
      </c>
      <c r="C20" s="23">
        <v>0</v>
      </c>
      <c r="D20" s="23">
        <v>0</v>
      </c>
      <c r="E20" s="23">
        <v>775</v>
      </c>
      <c r="F20" s="23">
        <v>3933</v>
      </c>
      <c r="G20" s="23">
        <v>4451</v>
      </c>
      <c r="H20" s="23">
        <v>4749</v>
      </c>
      <c r="I20" s="23">
        <v>4177</v>
      </c>
      <c r="J20" s="23">
        <v>0</v>
      </c>
      <c r="K20" s="23">
        <v>5364</v>
      </c>
      <c r="L20" s="23">
        <v>3813</v>
      </c>
      <c r="M20" s="23">
        <v>2363</v>
      </c>
      <c r="N20" s="23">
        <v>2661</v>
      </c>
      <c r="O20" s="23">
        <v>16543</v>
      </c>
      <c r="P20" s="23">
        <v>17348</v>
      </c>
      <c r="Q20" s="23">
        <v>17916</v>
      </c>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row>
    <row r="21" spans="1:49" ht="18" customHeight="1" x14ac:dyDescent="0.25">
      <c r="A21" s="1"/>
      <c r="B21" s="12" t="s">
        <v>217</v>
      </c>
      <c r="C21" s="23">
        <v>0</v>
      </c>
      <c r="D21" s="23">
        <v>0</v>
      </c>
      <c r="E21" s="23">
        <v>0</v>
      </c>
      <c r="F21" s="23">
        <v>0</v>
      </c>
      <c r="G21" s="23">
        <v>0</v>
      </c>
      <c r="H21" s="23">
        <v>0</v>
      </c>
      <c r="I21" s="23">
        <v>0</v>
      </c>
      <c r="J21" s="23">
        <v>0</v>
      </c>
      <c r="K21" s="23">
        <v>0</v>
      </c>
      <c r="L21" s="23">
        <v>5608</v>
      </c>
      <c r="M21" s="23">
        <v>5972</v>
      </c>
      <c r="N21" s="23">
        <v>8427</v>
      </c>
      <c r="O21" s="23">
        <v>23574</v>
      </c>
      <c r="P21" s="23">
        <v>43080</v>
      </c>
      <c r="Q21" s="23">
        <v>62767</v>
      </c>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row>
    <row r="22" spans="1:49" ht="18" customHeight="1" x14ac:dyDescent="0.25">
      <c r="A22" s="1"/>
      <c r="B22" s="12" t="s">
        <v>218</v>
      </c>
      <c r="C22" s="23">
        <v>0</v>
      </c>
      <c r="D22" s="23">
        <v>0</v>
      </c>
      <c r="E22" s="23">
        <v>0</v>
      </c>
      <c r="F22" s="23">
        <v>0</v>
      </c>
      <c r="G22" s="23">
        <v>0</v>
      </c>
      <c r="H22" s="23">
        <v>0</v>
      </c>
      <c r="I22" s="23">
        <v>0</v>
      </c>
      <c r="J22" s="23">
        <v>0</v>
      </c>
      <c r="K22" s="23">
        <v>27354</v>
      </c>
      <c r="L22" s="23">
        <v>42785</v>
      </c>
      <c r="M22" s="23">
        <v>5973</v>
      </c>
      <c r="N22" s="23">
        <v>60134</v>
      </c>
      <c r="O22" s="23">
        <v>50333</v>
      </c>
      <c r="P22" s="23">
        <v>-22732</v>
      </c>
      <c r="Q22" s="23">
        <v>-348607</v>
      </c>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row>
    <row r="23" spans="1:49" ht="18" customHeight="1" x14ac:dyDescent="0.25">
      <c r="A23" s="1"/>
      <c r="B23" s="12" t="s">
        <v>219</v>
      </c>
      <c r="C23" s="23">
        <v>0</v>
      </c>
      <c r="D23" s="23">
        <v>0</v>
      </c>
      <c r="E23" s="23">
        <v>0</v>
      </c>
      <c r="F23" s="23">
        <v>0</v>
      </c>
      <c r="G23" s="23">
        <v>0</v>
      </c>
      <c r="H23" s="23">
        <v>0</v>
      </c>
      <c r="I23" s="23">
        <v>0</v>
      </c>
      <c r="J23" s="23">
        <v>0</v>
      </c>
      <c r="K23" s="23">
        <v>0</v>
      </c>
      <c r="L23" s="23">
        <v>0</v>
      </c>
      <c r="M23" s="23">
        <v>0</v>
      </c>
      <c r="N23" s="23">
        <v>0</v>
      </c>
      <c r="O23" s="23">
        <v>0</v>
      </c>
      <c r="P23" s="23">
        <v>0</v>
      </c>
      <c r="Q23" s="23">
        <v>68587</v>
      </c>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row>
    <row r="24" spans="1:49" ht="18" customHeight="1" x14ac:dyDescent="0.25">
      <c r="A24" s="1"/>
      <c r="B24" s="12" t="s">
        <v>220</v>
      </c>
      <c r="C24" s="23">
        <v>0</v>
      </c>
      <c r="D24" s="23">
        <v>0</v>
      </c>
      <c r="E24" s="23">
        <v>0</v>
      </c>
      <c r="F24" s="23">
        <v>0</v>
      </c>
      <c r="G24" s="23">
        <v>0</v>
      </c>
      <c r="H24" s="23">
        <v>0</v>
      </c>
      <c r="I24" s="23">
        <v>0</v>
      </c>
      <c r="J24" s="23">
        <v>0</v>
      </c>
      <c r="K24" s="23">
        <v>0</v>
      </c>
      <c r="L24" s="23">
        <v>0</v>
      </c>
      <c r="M24" s="23">
        <v>0</v>
      </c>
      <c r="N24" s="23">
        <v>0</v>
      </c>
      <c r="O24" s="23">
        <v>0</v>
      </c>
      <c r="P24" s="23">
        <v>0</v>
      </c>
      <c r="Q24" s="23">
        <v>131881</v>
      </c>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row>
    <row r="25" spans="1:49" s="96" customFormat="1" ht="18" customHeight="1" x14ac:dyDescent="0.25">
      <c r="A25" s="95"/>
      <c r="B25" s="18" t="s">
        <v>51</v>
      </c>
      <c r="C25" s="26">
        <f t="shared" ref="C25:P25" si="3">SUM(C26:C34)</f>
        <v>-48695</v>
      </c>
      <c r="D25" s="26">
        <f t="shared" si="3"/>
        <v>-47449</v>
      </c>
      <c r="E25" s="26">
        <f t="shared" si="3"/>
        <v>-43737</v>
      </c>
      <c r="F25" s="26">
        <f t="shared" si="3"/>
        <v>-55231</v>
      </c>
      <c r="G25" s="26">
        <f t="shared" si="3"/>
        <v>-9760</v>
      </c>
      <c r="H25" s="26">
        <f t="shared" si="3"/>
        <v>-48317</v>
      </c>
      <c r="I25" s="26">
        <f t="shared" si="3"/>
        <v>-23444</v>
      </c>
      <c r="J25" s="26">
        <f t="shared" si="3"/>
        <v>3346</v>
      </c>
      <c r="K25" s="26">
        <f t="shared" si="3"/>
        <v>-66170</v>
      </c>
      <c r="L25" s="26">
        <f t="shared" si="3"/>
        <v>-50887</v>
      </c>
      <c r="M25" s="26">
        <f t="shared" si="3"/>
        <v>50373</v>
      </c>
      <c r="N25" s="26">
        <f>SUM(N26:N34)</f>
        <v>-275316</v>
      </c>
      <c r="O25" s="26">
        <f t="shared" si="3"/>
        <v>-412649</v>
      </c>
      <c r="P25" s="26">
        <f t="shared" si="3"/>
        <v>-108762</v>
      </c>
      <c r="Q25" s="26">
        <f>SUM(Q26:Q34)</f>
        <v>-472747</v>
      </c>
      <c r="R25" s="95"/>
      <c r="S25" s="95"/>
      <c r="T25" s="95"/>
      <c r="U25" s="95"/>
      <c r="V25" s="95"/>
      <c r="W25" s="95"/>
      <c r="X25" s="95"/>
      <c r="Y25" s="95"/>
      <c r="Z25" s="95"/>
      <c r="AA25" s="95"/>
      <c r="AB25" s="95"/>
      <c r="AC25" s="95"/>
      <c r="AD25" s="95"/>
      <c r="AE25" s="95"/>
      <c r="AF25" s="95"/>
      <c r="AG25" s="95"/>
      <c r="AH25" s="95"/>
      <c r="AI25" s="95"/>
      <c r="AJ25" s="95"/>
      <c r="AK25" s="95"/>
      <c r="AL25" s="95"/>
      <c r="AM25" s="95"/>
      <c r="AN25" s="95"/>
      <c r="AO25" s="95"/>
      <c r="AP25" s="95"/>
      <c r="AQ25" s="95"/>
      <c r="AR25" s="95"/>
      <c r="AS25" s="95"/>
      <c r="AT25" s="95"/>
      <c r="AU25" s="95"/>
      <c r="AV25" s="95"/>
      <c r="AW25" s="95"/>
    </row>
    <row r="26" spans="1:49" ht="18" customHeight="1" x14ac:dyDescent="0.25">
      <c r="A26" s="1"/>
      <c r="B26" s="12" t="s">
        <v>52</v>
      </c>
      <c r="C26" s="40">
        <v>-29170</v>
      </c>
      <c r="D26" s="40">
        <v>-47118</v>
      </c>
      <c r="E26" s="40">
        <v>-29316</v>
      </c>
      <c r="F26" s="40">
        <v>-38426</v>
      </c>
      <c r="G26" s="40">
        <v>-30538</v>
      </c>
      <c r="H26" s="40">
        <v>-18708</v>
      </c>
      <c r="I26" s="40">
        <v>-38088</v>
      </c>
      <c r="J26" s="40">
        <v>-30859</v>
      </c>
      <c r="K26" s="40">
        <v>-47759</v>
      </c>
      <c r="L26" s="40">
        <v>-27753</v>
      </c>
      <c r="M26" s="40">
        <v>-108797</v>
      </c>
      <c r="N26" s="40">
        <v>-197157</v>
      </c>
      <c r="O26" s="23">
        <v>-58699</v>
      </c>
      <c r="P26" s="40">
        <v>-235857</v>
      </c>
      <c r="Q26" s="23">
        <v>-287336</v>
      </c>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row>
    <row r="27" spans="1:49" ht="18" customHeight="1" x14ac:dyDescent="0.25">
      <c r="A27" s="1"/>
      <c r="B27" s="12" t="s">
        <v>5</v>
      </c>
      <c r="C27" s="23">
        <v>-27657</v>
      </c>
      <c r="D27" s="23">
        <v>-8518</v>
      </c>
      <c r="E27" s="23">
        <v>-19206</v>
      </c>
      <c r="F27" s="23">
        <v>-9313</v>
      </c>
      <c r="G27" s="23">
        <v>-13763</v>
      </c>
      <c r="H27" s="23">
        <v>-11754</v>
      </c>
      <c r="I27" s="23">
        <v>-5020</v>
      </c>
      <c r="J27" s="23">
        <v>-6065</v>
      </c>
      <c r="K27" s="23">
        <v>-39845</v>
      </c>
      <c r="L27" s="23">
        <v>-33208</v>
      </c>
      <c r="M27" s="23">
        <v>-38655</v>
      </c>
      <c r="N27" s="23">
        <v>-166683</v>
      </c>
      <c r="O27" s="40">
        <v>-310601</v>
      </c>
      <c r="P27" s="23">
        <v>-29144</v>
      </c>
      <c r="Q27" s="40">
        <v>-273352</v>
      </c>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row>
    <row r="28" spans="1:49" ht="18" customHeight="1" x14ac:dyDescent="0.25">
      <c r="A28" s="1"/>
      <c r="B28" s="12" t="s">
        <v>204</v>
      </c>
      <c r="C28" s="23">
        <v>47</v>
      </c>
      <c r="D28" s="23">
        <v>-2501</v>
      </c>
      <c r="E28" s="23">
        <v>-1016</v>
      </c>
      <c r="F28" s="23">
        <v>-3629</v>
      </c>
      <c r="G28" s="23">
        <v>3162</v>
      </c>
      <c r="H28" s="23">
        <v>-10597</v>
      </c>
      <c r="I28" s="23">
        <v>9113</v>
      </c>
      <c r="J28" s="23">
        <v>1550</v>
      </c>
      <c r="K28" s="23">
        <v>-1294</v>
      </c>
      <c r="L28" s="23">
        <v>2306</v>
      </c>
      <c r="M28" s="23">
        <v>-25357</v>
      </c>
      <c r="N28" s="23">
        <v>-59360</v>
      </c>
      <c r="O28" s="23">
        <v>-4600</v>
      </c>
      <c r="P28" s="23">
        <v>3973</v>
      </c>
      <c r="Q28" s="23">
        <v>-167204</v>
      </c>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row>
    <row r="29" spans="1:49" ht="18" customHeight="1" x14ac:dyDescent="0.25">
      <c r="A29" s="1"/>
      <c r="B29" s="12" t="s">
        <v>112</v>
      </c>
      <c r="C29" s="23">
        <v>-4063</v>
      </c>
      <c r="D29" s="23">
        <v>1244</v>
      </c>
      <c r="E29" s="23">
        <v>-4109</v>
      </c>
      <c r="F29" s="23">
        <v>-4531</v>
      </c>
      <c r="G29" s="23">
        <v>-8554</v>
      </c>
      <c r="H29" s="23">
        <v>-376</v>
      </c>
      <c r="I29" s="23">
        <v>-6849</v>
      </c>
      <c r="J29" s="23">
        <v>-39212</v>
      </c>
      <c r="K29" s="23">
        <v>-11396</v>
      </c>
      <c r="L29" s="23">
        <v>-40835</v>
      </c>
      <c r="M29" s="23">
        <v>-15140</v>
      </c>
      <c r="N29" s="23">
        <v>-152525</v>
      </c>
      <c r="O29" s="23">
        <v>-19662</v>
      </c>
      <c r="P29" s="23">
        <v>51117</v>
      </c>
      <c r="Q29" s="23">
        <v>-166900</v>
      </c>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row>
    <row r="30" spans="1:49" ht="18" customHeight="1" x14ac:dyDescent="0.25">
      <c r="A30" s="1"/>
      <c r="B30" s="12" t="s">
        <v>53</v>
      </c>
      <c r="C30" s="23">
        <v>3113</v>
      </c>
      <c r="D30" s="23">
        <v>-5200</v>
      </c>
      <c r="E30" s="23">
        <v>-652</v>
      </c>
      <c r="F30" s="23">
        <v>257</v>
      </c>
      <c r="G30" s="23">
        <v>-317</v>
      </c>
      <c r="H30" s="23">
        <v>-1682</v>
      </c>
      <c r="I30" s="23">
        <v>-6112</v>
      </c>
      <c r="J30" s="23">
        <v>-4384</v>
      </c>
      <c r="K30" s="23">
        <v>715</v>
      </c>
      <c r="L30" s="23">
        <v>-3461</v>
      </c>
      <c r="M30" s="23">
        <v>-9108</v>
      </c>
      <c r="N30" s="23">
        <v>-23420</v>
      </c>
      <c r="O30" s="23">
        <v>-26262</v>
      </c>
      <c r="P30" s="23">
        <v>-56685</v>
      </c>
      <c r="Q30" s="23">
        <v>-4193</v>
      </c>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row>
    <row r="31" spans="1:49" ht="18" customHeight="1" x14ac:dyDescent="0.25">
      <c r="A31" s="1"/>
      <c r="B31" s="12" t="s">
        <v>12</v>
      </c>
      <c r="C31" s="23">
        <v>-330</v>
      </c>
      <c r="D31" s="23">
        <v>8542</v>
      </c>
      <c r="E31" s="23">
        <v>-1779</v>
      </c>
      <c r="F31" s="23">
        <v>-648</v>
      </c>
      <c r="G31" s="23">
        <v>35456</v>
      </c>
      <c r="H31" s="23">
        <v>-5434</v>
      </c>
      <c r="I31" s="23">
        <v>1563</v>
      </c>
      <c r="J31" s="23">
        <v>37971</v>
      </c>
      <c r="K31" s="23">
        <v>5705</v>
      </c>
      <c r="L31" s="23">
        <v>29496</v>
      </c>
      <c r="M31" s="23">
        <v>234575</v>
      </c>
      <c r="N31" s="23">
        <v>183093</v>
      </c>
      <c r="O31" s="23">
        <v>90296</v>
      </c>
      <c r="P31" s="23">
        <v>135914</v>
      </c>
      <c r="Q31" s="23">
        <v>205506</v>
      </c>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row>
    <row r="32" spans="1:49" ht="18" customHeight="1" x14ac:dyDescent="0.25">
      <c r="A32" s="1"/>
      <c r="B32" s="12" t="s">
        <v>145</v>
      </c>
      <c r="C32" s="23">
        <v>2843</v>
      </c>
      <c r="D32" s="23">
        <v>-1602</v>
      </c>
      <c r="E32" s="23">
        <v>3256</v>
      </c>
      <c r="F32" s="23">
        <v>-1840</v>
      </c>
      <c r="G32" s="23">
        <v>3537</v>
      </c>
      <c r="H32" s="23">
        <v>-4229</v>
      </c>
      <c r="I32" s="23">
        <v>10764</v>
      </c>
      <c r="J32" s="23">
        <v>10928</v>
      </c>
      <c r="K32" s="23">
        <v>3594</v>
      </c>
      <c r="L32" s="23">
        <v>9135</v>
      </c>
      <c r="M32" s="23">
        <v>-8610</v>
      </c>
      <c r="N32" s="23">
        <v>47242</v>
      </c>
      <c r="O32" s="23">
        <v>-33000</v>
      </c>
      <c r="P32" s="23">
        <v>-19796</v>
      </c>
      <c r="Q32" s="23">
        <v>-14518</v>
      </c>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row>
    <row r="33" spans="1:49" ht="18" customHeight="1" x14ac:dyDescent="0.25">
      <c r="A33" s="1"/>
      <c r="B33" s="12" t="s">
        <v>205</v>
      </c>
      <c r="C33" s="23">
        <v>7719</v>
      </c>
      <c r="D33" s="23">
        <v>7665</v>
      </c>
      <c r="E33" s="23">
        <v>8350</v>
      </c>
      <c r="F33" s="23">
        <v>-2803</v>
      </c>
      <c r="G33" s="23">
        <v>42</v>
      </c>
      <c r="H33" s="23">
        <v>8830</v>
      </c>
      <c r="I33" s="23">
        <v>9012</v>
      </c>
      <c r="J33" s="23">
        <v>32079</v>
      </c>
      <c r="K33" s="23">
        <v>18618</v>
      </c>
      <c r="L33" s="23">
        <v>1465</v>
      </c>
      <c r="M33" s="23">
        <v>5313</v>
      </c>
      <c r="N33" s="23">
        <v>31101</v>
      </c>
      <c r="O33" s="23">
        <v>-29198</v>
      </c>
      <c r="P33" s="23">
        <v>43113</v>
      </c>
      <c r="Q33" s="23">
        <v>118173</v>
      </c>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row>
    <row r="34" spans="1:49" ht="18" customHeight="1" x14ac:dyDescent="0.25">
      <c r="A34" s="1"/>
      <c r="B34" s="12" t="s">
        <v>221</v>
      </c>
      <c r="C34" s="23">
        <v>-1197</v>
      </c>
      <c r="D34" s="23">
        <v>39</v>
      </c>
      <c r="E34" s="23">
        <v>735</v>
      </c>
      <c r="F34" s="23">
        <v>5702</v>
      </c>
      <c r="G34" s="23">
        <v>1215</v>
      </c>
      <c r="H34" s="23">
        <v>-4367</v>
      </c>
      <c r="I34" s="23">
        <v>2173</v>
      </c>
      <c r="J34" s="23">
        <v>1338</v>
      </c>
      <c r="K34" s="23">
        <v>5492</v>
      </c>
      <c r="L34" s="23">
        <v>11968</v>
      </c>
      <c r="M34" s="23">
        <v>16152</v>
      </c>
      <c r="N34" s="23">
        <v>62393</v>
      </c>
      <c r="O34" s="23">
        <v>-20923</v>
      </c>
      <c r="P34" s="23">
        <v>-1397</v>
      </c>
      <c r="Q34" s="23">
        <v>117077</v>
      </c>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row>
    <row r="35" spans="1:49" s="96" customFormat="1" ht="18" customHeight="1" x14ac:dyDescent="0.25">
      <c r="A35" s="95"/>
      <c r="B35" s="18" t="s">
        <v>25</v>
      </c>
      <c r="C35" s="26">
        <v>-24542</v>
      </c>
      <c r="D35" s="26">
        <v>-28548</v>
      </c>
      <c r="E35" s="26">
        <v>-37708</v>
      </c>
      <c r="F35" s="26">
        <v>-46306</v>
      </c>
      <c r="G35" s="26">
        <v>-54180</v>
      </c>
      <c r="H35" s="26">
        <v>-39443</v>
      </c>
      <c r="I35" s="26">
        <v>-36542</v>
      </c>
      <c r="J35" s="26">
        <v>-45466</v>
      </c>
      <c r="K35" s="26">
        <v>-33795</v>
      </c>
      <c r="L35" s="26">
        <v>-41293</v>
      </c>
      <c r="M35" s="26">
        <v>-28491</v>
      </c>
      <c r="N35" s="26">
        <v>-30073</v>
      </c>
      <c r="O35" s="26">
        <v>-99036</v>
      </c>
      <c r="P35" s="26">
        <v>-87156</v>
      </c>
      <c r="Q35" s="26">
        <v>-169252</v>
      </c>
      <c r="R35" s="95"/>
      <c r="S35" s="95"/>
      <c r="T35" s="95"/>
      <c r="U35" s="95"/>
      <c r="V35" s="95"/>
      <c r="W35" s="95"/>
      <c r="X35" s="95"/>
      <c r="Y35" s="95"/>
      <c r="Z35" s="95"/>
      <c r="AA35" s="95"/>
      <c r="AB35" s="95"/>
      <c r="AC35" s="95"/>
      <c r="AD35" s="95"/>
      <c r="AE35" s="95"/>
      <c r="AF35" s="95"/>
      <c r="AG35" s="95"/>
      <c r="AH35" s="95"/>
      <c r="AI35" s="95"/>
      <c r="AJ35" s="95"/>
      <c r="AK35" s="95"/>
      <c r="AL35" s="95"/>
      <c r="AM35" s="95"/>
      <c r="AN35" s="95"/>
      <c r="AO35" s="95"/>
      <c r="AP35" s="95"/>
      <c r="AQ35" s="95"/>
      <c r="AR35" s="95"/>
      <c r="AS35" s="95"/>
      <c r="AT35" s="95"/>
      <c r="AU35" s="95"/>
      <c r="AV35" s="95"/>
      <c r="AW35" s="95"/>
    </row>
    <row r="36" spans="1:49" ht="18" customHeight="1" x14ac:dyDescent="0.25">
      <c r="A36" s="1"/>
      <c r="B36" s="12" t="s">
        <v>206</v>
      </c>
      <c r="C36" s="23">
        <v>-24542</v>
      </c>
      <c r="D36" s="23">
        <v>-28548</v>
      </c>
      <c r="E36" s="23">
        <v>-37708</v>
      </c>
      <c r="F36" s="23">
        <v>-46306</v>
      </c>
      <c r="G36" s="23">
        <v>-54180</v>
      </c>
      <c r="H36" s="26">
        <v>-39443</v>
      </c>
      <c r="I36" s="23">
        <v>-36542</v>
      </c>
      <c r="J36" s="23">
        <v>-45466</v>
      </c>
      <c r="K36" s="23">
        <v>-28746</v>
      </c>
      <c r="L36" s="23">
        <v>-34825</v>
      </c>
      <c r="M36" s="23">
        <v>-19437</v>
      </c>
      <c r="N36" s="23">
        <v>-11549</v>
      </c>
      <c r="O36" s="23">
        <v>-80169</v>
      </c>
      <c r="P36" s="23">
        <v>-58926</v>
      </c>
      <c r="Q36" s="23">
        <v>-6938</v>
      </c>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row>
    <row r="37" spans="1:49" ht="18" customHeight="1" x14ac:dyDescent="0.25">
      <c r="A37" s="1"/>
      <c r="B37" s="12" t="s">
        <v>222</v>
      </c>
      <c r="C37" s="23"/>
      <c r="D37" s="23">
        <v>0</v>
      </c>
      <c r="E37" s="23">
        <v>0</v>
      </c>
      <c r="F37" s="23">
        <v>0</v>
      </c>
      <c r="G37" s="23">
        <v>0</v>
      </c>
      <c r="H37" s="23">
        <v>0</v>
      </c>
      <c r="I37" s="23">
        <v>0</v>
      </c>
      <c r="J37" s="23">
        <v>0</v>
      </c>
      <c r="K37" s="23">
        <v>-5049</v>
      </c>
      <c r="L37" s="23">
        <v>-6468</v>
      </c>
      <c r="M37" s="23">
        <v>-9054</v>
      </c>
      <c r="N37" s="23">
        <v>-18524</v>
      </c>
      <c r="O37" s="23">
        <v>-18867</v>
      </c>
      <c r="P37" s="23">
        <v>-28230</v>
      </c>
      <c r="Q37" s="23">
        <v>-162314</v>
      </c>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row>
    <row r="38" spans="1:49" ht="18" customHeight="1" x14ac:dyDescent="0.25">
      <c r="A38" s="1"/>
      <c r="B38" s="25" t="s">
        <v>59</v>
      </c>
      <c r="C38" s="26">
        <f t="shared" ref="C38:P38" si="4">SUM(C39:C47)</f>
        <v>-12891</v>
      </c>
      <c r="D38" s="26">
        <f t="shared" si="4"/>
        <v>-168294</v>
      </c>
      <c r="E38" s="26">
        <f t="shared" si="4"/>
        <v>-78149</v>
      </c>
      <c r="F38" s="26">
        <f t="shared" si="4"/>
        <v>-5156</v>
      </c>
      <c r="G38" s="26">
        <f t="shared" si="4"/>
        <v>-48021</v>
      </c>
      <c r="H38" s="26">
        <f t="shared" si="4"/>
        <v>-30407</v>
      </c>
      <c r="I38" s="26">
        <f t="shared" si="4"/>
        <v>-20958</v>
      </c>
      <c r="J38" s="26">
        <f t="shared" si="4"/>
        <v>-91697</v>
      </c>
      <c r="K38" s="26">
        <f t="shared" si="4"/>
        <v>72236</v>
      </c>
      <c r="L38" s="26">
        <f t="shared" si="4"/>
        <v>-85409</v>
      </c>
      <c r="M38" s="26">
        <f t="shared" si="4"/>
        <v>-297282</v>
      </c>
      <c r="N38" s="26">
        <f t="shared" si="4"/>
        <v>-10772</v>
      </c>
      <c r="O38" s="26">
        <f t="shared" si="4"/>
        <v>-507248</v>
      </c>
      <c r="P38" s="26">
        <f t="shared" si="4"/>
        <v>-613989</v>
      </c>
      <c r="Q38" s="26">
        <f>SUM(Q39:Q47)</f>
        <v>525068</v>
      </c>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row>
    <row r="39" spans="1:49" ht="18" customHeight="1" x14ac:dyDescent="0.25">
      <c r="A39" s="1"/>
      <c r="B39" s="11" t="s">
        <v>207</v>
      </c>
      <c r="C39" s="23">
        <v>-14183</v>
      </c>
      <c r="D39" s="23">
        <v>-30239</v>
      </c>
      <c r="E39" s="23">
        <v>-57446</v>
      </c>
      <c r="F39" s="23">
        <v>-43756</v>
      </c>
      <c r="G39" s="23">
        <v>-50531</v>
      </c>
      <c r="H39" s="23">
        <v>-25775</v>
      </c>
      <c r="I39" s="23">
        <v>-25066</v>
      </c>
      <c r="J39" s="23">
        <v>-21548</v>
      </c>
      <c r="K39" s="23">
        <v>-48614</v>
      </c>
      <c r="L39" s="23">
        <v>-65607</v>
      </c>
      <c r="M39" s="23">
        <v>-46185</v>
      </c>
      <c r="N39" s="23">
        <v>-168881</v>
      </c>
      <c r="O39" s="23">
        <v>-233143</v>
      </c>
      <c r="P39" s="23">
        <v>-235201</v>
      </c>
      <c r="Q39" s="23">
        <v>-418962</v>
      </c>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row>
    <row r="40" spans="1:49" ht="18" customHeight="1" x14ac:dyDescent="0.25">
      <c r="A40" s="1"/>
      <c r="B40" s="11" t="s">
        <v>237</v>
      </c>
      <c r="C40" s="23">
        <v>0</v>
      </c>
      <c r="D40" s="23">
        <v>0</v>
      </c>
      <c r="E40" s="23">
        <v>3115</v>
      </c>
      <c r="F40" s="23">
        <v>6704</v>
      </c>
      <c r="G40" s="23">
        <v>4826</v>
      </c>
      <c r="H40" s="23">
        <v>3826</v>
      </c>
      <c r="I40" s="23">
        <v>3117</v>
      </c>
      <c r="J40" s="23">
        <v>686</v>
      </c>
      <c r="K40" s="23">
        <v>6437</v>
      </c>
      <c r="L40" s="23">
        <v>6126</v>
      </c>
      <c r="M40" s="23">
        <v>1277</v>
      </c>
      <c r="N40" s="23">
        <v>1472</v>
      </c>
      <c r="O40" s="23">
        <v>0</v>
      </c>
      <c r="P40" s="23">
        <v>0</v>
      </c>
      <c r="Q40" s="23">
        <v>0</v>
      </c>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row>
    <row r="41" spans="1:49" ht="18" customHeight="1" x14ac:dyDescent="0.25">
      <c r="A41" s="1"/>
      <c r="B41" s="11" t="s">
        <v>223</v>
      </c>
      <c r="C41" s="23">
        <f>-1392+2684</f>
        <v>1292</v>
      </c>
      <c r="D41" s="23">
        <f>-347823+209768</f>
        <v>-138055</v>
      </c>
      <c r="E41" s="23">
        <f>-364338+340520</f>
        <v>-23818</v>
      </c>
      <c r="F41" s="23">
        <f>-344794+376690</f>
        <v>31896</v>
      </c>
      <c r="G41" s="23">
        <f>-436176+433860</f>
        <v>-2316</v>
      </c>
      <c r="H41" s="23">
        <f>-728605+720147</f>
        <v>-8458</v>
      </c>
      <c r="I41" s="23">
        <f>-818205+819196</f>
        <v>991</v>
      </c>
      <c r="J41" s="23">
        <f>-1047291+976456</f>
        <v>-70835</v>
      </c>
      <c r="K41" s="23">
        <v>114413</v>
      </c>
      <c r="L41" s="23">
        <v>-25928</v>
      </c>
      <c r="M41" s="23">
        <v>-189024</v>
      </c>
      <c r="N41" s="23">
        <v>302958</v>
      </c>
      <c r="O41" s="23">
        <v>-184370</v>
      </c>
      <c r="P41" s="23">
        <v>-183922</v>
      </c>
      <c r="Q41" s="23">
        <v>477148</v>
      </c>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row>
    <row r="42" spans="1:49" ht="18" customHeight="1" x14ac:dyDescent="0.25">
      <c r="A42" s="1"/>
      <c r="B42" s="11" t="s">
        <v>238</v>
      </c>
      <c r="C42" s="23">
        <v>0</v>
      </c>
      <c r="D42" s="23">
        <v>0</v>
      </c>
      <c r="E42" s="23">
        <v>0</v>
      </c>
      <c r="F42" s="23">
        <v>0</v>
      </c>
      <c r="G42" s="23">
        <v>0</v>
      </c>
      <c r="H42" s="23">
        <v>0</v>
      </c>
      <c r="I42" s="23">
        <v>0</v>
      </c>
      <c r="J42" s="23">
        <v>0</v>
      </c>
      <c r="K42" s="23">
        <v>0</v>
      </c>
      <c r="L42" s="23">
        <v>0</v>
      </c>
      <c r="M42" s="23">
        <v>100000</v>
      </c>
      <c r="N42" s="23">
        <v>0</v>
      </c>
      <c r="O42" s="23">
        <v>0</v>
      </c>
      <c r="P42" s="23">
        <v>0</v>
      </c>
      <c r="Q42" s="23">
        <v>0</v>
      </c>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row>
    <row r="43" spans="1:49" ht="18" customHeight="1" x14ac:dyDescent="0.25">
      <c r="A43" s="1"/>
      <c r="B43" s="11" t="s">
        <v>113</v>
      </c>
      <c r="C43" s="23">
        <v>0</v>
      </c>
      <c r="D43" s="23">
        <v>0</v>
      </c>
      <c r="E43" s="23">
        <v>0</v>
      </c>
      <c r="F43" s="23">
        <v>0</v>
      </c>
      <c r="G43" s="23">
        <v>0</v>
      </c>
      <c r="H43" s="23">
        <v>0</v>
      </c>
      <c r="I43" s="23">
        <v>0</v>
      </c>
      <c r="J43" s="23">
        <v>0</v>
      </c>
      <c r="K43" s="23">
        <v>0</v>
      </c>
      <c r="L43" s="23">
        <v>0</v>
      </c>
      <c r="M43" s="23">
        <v>54</v>
      </c>
      <c r="N43" s="23">
        <v>0</v>
      </c>
      <c r="O43" s="23">
        <v>0</v>
      </c>
      <c r="P43" s="23">
        <v>0</v>
      </c>
      <c r="Q43" s="23">
        <v>0</v>
      </c>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row>
    <row r="44" spans="1:49" ht="18" customHeight="1" x14ac:dyDescent="0.25">
      <c r="A44" s="1"/>
      <c r="B44" s="11" t="s">
        <v>224</v>
      </c>
      <c r="C44" s="23">
        <v>0</v>
      </c>
      <c r="D44" s="23">
        <v>0</v>
      </c>
      <c r="E44" s="23">
        <v>0</v>
      </c>
      <c r="F44" s="23">
        <v>0</v>
      </c>
      <c r="G44" s="23">
        <v>0</v>
      </c>
      <c r="H44" s="23">
        <v>0</v>
      </c>
      <c r="I44" s="23">
        <v>0</v>
      </c>
      <c r="J44" s="23">
        <v>0</v>
      </c>
      <c r="K44" s="23">
        <v>0</v>
      </c>
      <c r="L44" s="23">
        <v>0</v>
      </c>
      <c r="M44" s="23">
        <v>0</v>
      </c>
      <c r="N44" s="23">
        <v>0</v>
      </c>
      <c r="O44" s="23">
        <v>0</v>
      </c>
      <c r="P44" s="23">
        <v>0</v>
      </c>
      <c r="Q44" s="23">
        <v>-979</v>
      </c>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row>
    <row r="45" spans="1:49" ht="18" customHeight="1" x14ac:dyDescent="0.25">
      <c r="A45" s="1"/>
      <c r="B45" s="11" t="s">
        <v>225</v>
      </c>
      <c r="C45" s="23">
        <v>0</v>
      </c>
      <c r="D45" s="23">
        <v>0</v>
      </c>
      <c r="E45" s="23">
        <v>0</v>
      </c>
      <c r="F45" s="23">
        <v>0</v>
      </c>
      <c r="G45" s="23">
        <v>0</v>
      </c>
      <c r="H45" s="23">
        <v>0</v>
      </c>
      <c r="I45" s="23">
        <v>0</v>
      </c>
      <c r="J45" s="23">
        <v>0</v>
      </c>
      <c r="K45" s="23">
        <v>0</v>
      </c>
      <c r="L45" s="23">
        <v>0</v>
      </c>
      <c r="M45" s="23">
        <v>-163404</v>
      </c>
      <c r="N45" s="23">
        <v>-146321</v>
      </c>
      <c r="O45" s="23">
        <v>-89735</v>
      </c>
      <c r="P45" s="23">
        <v>-194866</v>
      </c>
      <c r="Q45" s="23">
        <v>0</v>
      </c>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row>
    <row r="46" spans="1:49" ht="18" customHeight="1" x14ac:dyDescent="0.25">
      <c r="A46" s="1"/>
      <c r="B46" s="11" t="s">
        <v>226</v>
      </c>
      <c r="C46" s="23">
        <v>0</v>
      </c>
      <c r="D46" s="23">
        <v>0</v>
      </c>
      <c r="E46" s="23">
        <v>0</v>
      </c>
      <c r="F46" s="23">
        <v>0</v>
      </c>
      <c r="G46" s="23">
        <v>0</v>
      </c>
      <c r="H46" s="23">
        <v>0</v>
      </c>
      <c r="I46" s="23">
        <v>0</v>
      </c>
      <c r="J46" s="23">
        <v>0</v>
      </c>
      <c r="K46" s="23">
        <v>0</v>
      </c>
      <c r="L46" s="23">
        <v>0</v>
      </c>
      <c r="M46" s="23">
        <v>0</v>
      </c>
      <c r="N46" s="23">
        <v>0</v>
      </c>
      <c r="O46" s="23">
        <v>0</v>
      </c>
      <c r="P46" s="23">
        <v>0</v>
      </c>
      <c r="Q46" s="23">
        <v>467861</v>
      </c>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row>
    <row r="47" spans="1:49" ht="18" customHeight="1" x14ac:dyDescent="0.25">
      <c r="A47" s="1"/>
      <c r="B47" s="11" t="s">
        <v>208</v>
      </c>
      <c r="C47" s="23">
        <v>0</v>
      </c>
      <c r="D47" s="23">
        <v>0</v>
      </c>
      <c r="E47" s="23">
        <v>0</v>
      </c>
      <c r="F47" s="23">
        <v>0</v>
      </c>
      <c r="G47" s="23">
        <v>0</v>
      </c>
      <c r="H47" s="23">
        <v>0</v>
      </c>
      <c r="I47" s="23">
        <v>0</v>
      </c>
      <c r="J47" s="23">
        <v>0</v>
      </c>
      <c r="K47" s="23">
        <v>0</v>
      </c>
      <c r="L47" s="23">
        <v>0</v>
      </c>
      <c r="M47" s="23">
        <v>0</v>
      </c>
      <c r="N47" s="23">
        <v>0</v>
      </c>
      <c r="O47" s="23">
        <v>0</v>
      </c>
      <c r="P47" s="23">
        <v>0</v>
      </c>
      <c r="Q47" s="23">
        <v>0</v>
      </c>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row>
    <row r="48" spans="1:49" s="96" customFormat="1" ht="18" customHeight="1" x14ac:dyDescent="0.25">
      <c r="A48" s="95"/>
      <c r="B48" s="25" t="s">
        <v>60</v>
      </c>
      <c r="C48" s="26">
        <f t="shared" ref="C48:P48" si="5">SUM(C49:C62)</f>
        <v>-38553</v>
      </c>
      <c r="D48" s="26">
        <f t="shared" si="5"/>
        <v>132780</v>
      </c>
      <c r="E48" s="26">
        <f t="shared" si="5"/>
        <v>23032</v>
      </c>
      <c r="F48" s="26">
        <f t="shared" si="5"/>
        <v>-57606</v>
      </c>
      <c r="G48" s="26">
        <f t="shared" si="5"/>
        <v>-64899</v>
      </c>
      <c r="H48" s="26">
        <f t="shared" si="5"/>
        <v>-62076</v>
      </c>
      <c r="I48" s="26">
        <f t="shared" si="5"/>
        <v>-84024</v>
      </c>
      <c r="J48" s="26">
        <f t="shared" si="5"/>
        <v>-75050</v>
      </c>
      <c r="K48" s="26">
        <f t="shared" si="5"/>
        <v>-192556</v>
      </c>
      <c r="L48" s="26">
        <f t="shared" si="5"/>
        <v>-114281</v>
      </c>
      <c r="M48" s="26">
        <f t="shared" si="5"/>
        <v>101451</v>
      </c>
      <c r="N48" s="26">
        <f t="shared" si="5"/>
        <v>-233513</v>
      </c>
      <c r="O48" s="26">
        <f t="shared" si="5"/>
        <v>362426</v>
      </c>
      <c r="P48" s="26">
        <f t="shared" si="5"/>
        <v>242930</v>
      </c>
      <c r="Q48" s="26">
        <f>SUM(Q49:Q62)</f>
        <v>-791771</v>
      </c>
      <c r="R48" s="95"/>
      <c r="S48" s="95"/>
      <c r="T48" s="95"/>
      <c r="U48" s="95"/>
      <c r="V48" s="95"/>
      <c r="W48" s="95"/>
      <c r="X48" s="95"/>
      <c r="Y48" s="95"/>
      <c r="Z48" s="95"/>
      <c r="AA48" s="95"/>
      <c r="AB48" s="95"/>
      <c r="AC48" s="95"/>
      <c r="AD48" s="95"/>
      <c r="AE48" s="95"/>
      <c r="AF48" s="95"/>
      <c r="AG48" s="95"/>
      <c r="AH48" s="95"/>
      <c r="AI48" s="95"/>
      <c r="AJ48" s="95"/>
      <c r="AK48" s="95"/>
      <c r="AL48" s="95"/>
      <c r="AM48" s="95"/>
      <c r="AN48" s="95"/>
      <c r="AO48" s="95"/>
      <c r="AP48" s="95"/>
      <c r="AQ48" s="95"/>
      <c r="AR48" s="95"/>
      <c r="AS48" s="95"/>
      <c r="AT48" s="95"/>
      <c r="AU48" s="95"/>
      <c r="AV48" s="95"/>
      <c r="AW48" s="95"/>
    </row>
    <row r="49" spans="1:49" ht="18" customHeight="1" x14ac:dyDescent="0.25">
      <c r="A49" s="1"/>
      <c r="B49" s="11" t="s">
        <v>227</v>
      </c>
      <c r="C49" s="23">
        <v>55835</v>
      </c>
      <c r="D49" s="23">
        <v>23774</v>
      </c>
      <c r="E49" s="23">
        <v>83844</v>
      </c>
      <c r="F49" s="23">
        <v>36645</v>
      </c>
      <c r="G49" s="23">
        <v>49750</v>
      </c>
      <c r="H49" s="23">
        <v>72055</v>
      </c>
      <c r="I49" s="23">
        <v>71129</v>
      </c>
      <c r="J49" s="23">
        <v>160420</v>
      </c>
      <c r="K49" s="23">
        <v>70400</v>
      </c>
      <c r="L49" s="23">
        <v>153084</v>
      </c>
      <c r="M49" s="23">
        <v>552851</v>
      </c>
      <c r="N49" s="23">
        <v>128180</v>
      </c>
      <c r="O49" s="23">
        <v>214941</v>
      </c>
      <c r="P49" s="23">
        <v>968219</v>
      </c>
      <c r="Q49" s="23">
        <v>658468</v>
      </c>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row>
    <row r="50" spans="1:49" ht="18" customHeight="1" x14ac:dyDescent="0.25">
      <c r="A50" s="1"/>
      <c r="B50" s="11" t="s">
        <v>228</v>
      </c>
      <c r="C50" s="23">
        <v>-50415</v>
      </c>
      <c r="D50" s="23">
        <v>-35886</v>
      </c>
      <c r="E50" s="23">
        <v>-27822</v>
      </c>
      <c r="F50" s="23">
        <v>-40350</v>
      </c>
      <c r="G50" s="23">
        <v>-52966</v>
      </c>
      <c r="H50" s="23">
        <v>-54769</v>
      </c>
      <c r="I50" s="23">
        <v>-81201</v>
      </c>
      <c r="J50" s="23">
        <v>-88451</v>
      </c>
      <c r="K50" s="23">
        <v>-155140</v>
      </c>
      <c r="L50" s="23">
        <v>-88816</v>
      </c>
      <c r="M50" s="23">
        <v>-213882</v>
      </c>
      <c r="N50" s="23">
        <v>-243386</v>
      </c>
      <c r="O50" s="23">
        <v>-336067</v>
      </c>
      <c r="P50" s="23">
        <v>-273847</v>
      </c>
      <c r="Q50" s="23">
        <v>-968544</v>
      </c>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row>
    <row r="51" spans="1:49" ht="18" customHeight="1" x14ac:dyDescent="0.25">
      <c r="A51" s="1"/>
      <c r="B51" s="11" t="s">
        <v>222</v>
      </c>
      <c r="C51" s="23">
        <v>0</v>
      </c>
      <c r="D51" s="23">
        <v>0</v>
      </c>
      <c r="E51" s="23">
        <v>-1365</v>
      </c>
      <c r="F51" s="23">
        <v>-1632</v>
      </c>
      <c r="G51" s="23">
        <v>-2258</v>
      </c>
      <c r="H51" s="23">
        <v>-2507</v>
      </c>
      <c r="I51" s="23">
        <v>-1602</v>
      </c>
      <c r="J51" s="23">
        <v>0</v>
      </c>
      <c r="K51" s="23">
        <v>0</v>
      </c>
      <c r="L51" s="23">
        <v>0</v>
      </c>
      <c r="M51" s="23">
        <v>0</v>
      </c>
      <c r="N51" s="23">
        <v>0</v>
      </c>
      <c r="O51" s="23">
        <v>0</v>
      </c>
      <c r="P51" s="23">
        <v>0</v>
      </c>
      <c r="Q51" s="23">
        <v>0</v>
      </c>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row>
    <row r="52" spans="1:49" ht="18" customHeight="1" x14ac:dyDescent="0.25">
      <c r="A52" s="1"/>
      <c r="B52" s="11" t="s">
        <v>229</v>
      </c>
      <c r="C52" s="23">
        <v>0</v>
      </c>
      <c r="D52" s="23">
        <v>0</v>
      </c>
      <c r="E52" s="23">
        <v>0</v>
      </c>
      <c r="F52" s="23">
        <v>0</v>
      </c>
      <c r="G52" s="23">
        <v>0</v>
      </c>
      <c r="H52" s="23">
        <v>0</v>
      </c>
      <c r="I52" s="23">
        <v>0</v>
      </c>
      <c r="J52" s="23">
        <v>0</v>
      </c>
      <c r="K52" s="23">
        <v>0</v>
      </c>
      <c r="L52" s="23">
        <v>0</v>
      </c>
      <c r="M52" s="23">
        <v>0</v>
      </c>
      <c r="N52" s="23">
        <v>0</v>
      </c>
      <c r="O52" s="23">
        <v>-40760</v>
      </c>
      <c r="P52" s="23">
        <v>0</v>
      </c>
      <c r="Q52" s="23">
        <v>-1792</v>
      </c>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row>
    <row r="53" spans="1:49" ht="18" customHeight="1" x14ac:dyDescent="0.25">
      <c r="A53" s="22"/>
      <c r="B53" s="11" t="s">
        <v>230</v>
      </c>
      <c r="C53" s="23">
        <v>0</v>
      </c>
      <c r="D53" s="23">
        <v>0</v>
      </c>
      <c r="E53" s="23">
        <v>0</v>
      </c>
      <c r="F53" s="23">
        <v>0</v>
      </c>
      <c r="G53" s="23">
        <v>0</v>
      </c>
      <c r="H53" s="23">
        <v>0</v>
      </c>
      <c r="I53" s="23">
        <v>0</v>
      </c>
      <c r="J53" s="23">
        <v>0</v>
      </c>
      <c r="K53" s="23">
        <v>0</v>
      </c>
      <c r="L53" s="23">
        <v>0</v>
      </c>
      <c r="M53" s="23">
        <v>0</v>
      </c>
      <c r="N53" s="23">
        <v>0</v>
      </c>
      <c r="O53" s="23">
        <v>833794</v>
      </c>
      <c r="P53" s="23">
        <v>0</v>
      </c>
      <c r="Q53" s="23">
        <v>0</v>
      </c>
      <c r="R53" s="4"/>
      <c r="S53" s="4"/>
      <c r="T53" s="1"/>
      <c r="U53" s="1"/>
      <c r="V53" s="5"/>
      <c r="W53" s="5"/>
      <c r="X53" s="5"/>
      <c r="Y53" s="1"/>
      <c r="Z53" s="1"/>
      <c r="AA53" s="1"/>
      <c r="AB53" s="1"/>
      <c r="AC53" s="1"/>
      <c r="AD53" s="1"/>
      <c r="AE53" s="1"/>
      <c r="AF53" s="1"/>
      <c r="AG53" s="1"/>
      <c r="AH53" s="1"/>
      <c r="AI53" s="1"/>
      <c r="AJ53" s="1"/>
      <c r="AK53" s="1"/>
      <c r="AL53" s="1"/>
      <c r="AM53" s="1"/>
      <c r="AN53" s="1"/>
      <c r="AO53" s="1"/>
      <c r="AP53" s="1"/>
      <c r="AQ53" s="1"/>
      <c r="AR53" s="1"/>
      <c r="AS53" s="1"/>
      <c r="AT53" s="1"/>
      <c r="AU53" s="1"/>
      <c r="AV53" s="1"/>
      <c r="AW53" s="1"/>
    </row>
    <row r="54" spans="1:49" ht="18" customHeight="1" x14ac:dyDescent="0.25">
      <c r="A54" s="22"/>
      <c r="B54" s="11" t="s">
        <v>209</v>
      </c>
      <c r="C54" s="23">
        <v>-4906</v>
      </c>
      <c r="D54" s="23">
        <v>-8442</v>
      </c>
      <c r="E54" s="23">
        <v>-19532</v>
      </c>
      <c r="F54" s="23">
        <v>-19647</v>
      </c>
      <c r="G54" s="23">
        <v>-28436</v>
      </c>
      <c r="H54" s="23">
        <v>-33511</v>
      </c>
      <c r="I54" s="23">
        <v>-29961</v>
      </c>
      <c r="J54" s="23">
        <v>-24398</v>
      </c>
      <c r="K54" s="23">
        <v>-41922</v>
      </c>
      <c r="L54" s="23">
        <v>-43526</v>
      </c>
      <c r="M54" s="23">
        <v>-42415</v>
      </c>
      <c r="N54" s="23">
        <v>-29590</v>
      </c>
      <c r="O54" s="23">
        <v>-103468</v>
      </c>
      <c r="P54" s="23">
        <v>-263342</v>
      </c>
      <c r="Q54" s="23">
        <v>-118749</v>
      </c>
      <c r="R54" s="4"/>
      <c r="S54" s="4"/>
      <c r="T54" s="1"/>
      <c r="U54" s="1"/>
      <c r="V54" s="5"/>
      <c r="W54" s="5"/>
      <c r="X54" s="5"/>
      <c r="Y54" s="1"/>
      <c r="Z54" s="1"/>
      <c r="AA54" s="1"/>
      <c r="AB54" s="1"/>
      <c r="AC54" s="1"/>
      <c r="AD54" s="1"/>
      <c r="AE54" s="1"/>
      <c r="AF54" s="1"/>
      <c r="AG54" s="1"/>
      <c r="AH54" s="1"/>
      <c r="AI54" s="1"/>
      <c r="AJ54" s="1"/>
      <c r="AK54" s="1"/>
      <c r="AL54" s="1"/>
      <c r="AM54" s="1"/>
      <c r="AN54" s="1"/>
      <c r="AO54" s="1"/>
      <c r="AP54" s="1"/>
      <c r="AQ54" s="1"/>
      <c r="AR54" s="1"/>
      <c r="AS54" s="1"/>
      <c r="AT54" s="1"/>
      <c r="AU54" s="1"/>
      <c r="AV54" s="1"/>
      <c r="AW54" s="1"/>
    </row>
    <row r="55" spans="1:49" ht="18" customHeight="1" x14ac:dyDescent="0.25">
      <c r="A55" s="22"/>
      <c r="B55" s="11" t="s">
        <v>210</v>
      </c>
      <c r="C55" s="23">
        <v>-39485</v>
      </c>
      <c r="D55" s="23">
        <v>-28026</v>
      </c>
      <c r="E55" s="23">
        <v>-13101</v>
      </c>
      <c r="F55" s="23">
        <v>-33708</v>
      </c>
      <c r="G55" s="23">
        <v>-31966</v>
      </c>
      <c r="H55" s="23">
        <v>-44837</v>
      </c>
      <c r="I55" s="23">
        <v>-44142</v>
      </c>
      <c r="J55" s="23">
        <v>-141807</v>
      </c>
      <c r="K55" s="23">
        <v>-73796</v>
      </c>
      <c r="L55" s="23">
        <v>-100000</v>
      </c>
      <c r="M55" s="23">
        <v>-128577</v>
      </c>
      <c r="N55" s="23">
        <v>-2582</v>
      </c>
      <c r="O55" s="23">
        <v>-76215</v>
      </c>
      <c r="P55" s="23">
        <v>-32960</v>
      </c>
      <c r="Q55" s="23">
        <v>-60000</v>
      </c>
      <c r="R55" s="4"/>
      <c r="S55" s="4"/>
      <c r="T55" s="1"/>
      <c r="U55" s="1"/>
      <c r="V55" s="5"/>
      <c r="W55" s="5"/>
      <c r="X55" s="5"/>
      <c r="Y55" s="1"/>
      <c r="Z55" s="1"/>
      <c r="AA55" s="1"/>
      <c r="AB55" s="1"/>
      <c r="AC55" s="1"/>
      <c r="AD55" s="1"/>
      <c r="AE55" s="1"/>
      <c r="AF55" s="1"/>
      <c r="AG55" s="1"/>
      <c r="AH55" s="1"/>
      <c r="AI55" s="1"/>
      <c r="AJ55" s="1"/>
      <c r="AK55" s="1"/>
      <c r="AL55" s="1"/>
      <c r="AM55" s="1"/>
      <c r="AN55" s="1"/>
      <c r="AO55" s="1"/>
      <c r="AP55" s="1"/>
      <c r="AQ55" s="1"/>
      <c r="AR55" s="1"/>
      <c r="AS55" s="1"/>
      <c r="AT55" s="1"/>
      <c r="AU55" s="1"/>
      <c r="AV55" s="1"/>
      <c r="AW55" s="1"/>
    </row>
    <row r="56" spans="1:49" ht="18" customHeight="1" x14ac:dyDescent="0.25">
      <c r="A56" s="22"/>
      <c r="B56" s="11" t="s">
        <v>236</v>
      </c>
      <c r="C56" s="23">
        <v>439</v>
      </c>
      <c r="D56" s="23">
        <v>-99</v>
      </c>
      <c r="E56" s="23">
        <v>68</v>
      </c>
      <c r="F56" s="23">
        <v>-100</v>
      </c>
      <c r="G56" s="23">
        <v>77</v>
      </c>
      <c r="H56" s="23">
        <v>443</v>
      </c>
      <c r="I56" s="23">
        <v>-178</v>
      </c>
      <c r="J56" s="23">
        <v>18</v>
      </c>
      <c r="K56" s="23">
        <v>211</v>
      </c>
      <c r="L56" s="23">
        <v>58</v>
      </c>
      <c r="M56" s="23">
        <v>-2502</v>
      </c>
      <c r="N56" s="23">
        <v>1000</v>
      </c>
      <c r="O56" s="23">
        <v>0</v>
      </c>
      <c r="P56" s="23">
        <v>0</v>
      </c>
      <c r="Q56" s="23">
        <v>0</v>
      </c>
      <c r="R56" s="4"/>
      <c r="S56" s="4"/>
      <c r="T56" s="1"/>
      <c r="U56" s="1"/>
      <c r="V56" s="5"/>
      <c r="W56" s="5"/>
      <c r="X56" s="5"/>
      <c r="Y56" s="1"/>
      <c r="Z56" s="1"/>
      <c r="AA56" s="1"/>
      <c r="AB56" s="1"/>
      <c r="AC56" s="1"/>
      <c r="AD56" s="1"/>
      <c r="AE56" s="1"/>
      <c r="AF56" s="1"/>
      <c r="AG56" s="1"/>
      <c r="AH56" s="1"/>
      <c r="AI56" s="1"/>
      <c r="AJ56" s="1"/>
      <c r="AK56" s="1"/>
      <c r="AL56" s="1"/>
      <c r="AM56" s="1"/>
      <c r="AN56" s="1"/>
      <c r="AO56" s="1"/>
      <c r="AP56" s="1"/>
      <c r="AQ56" s="1"/>
      <c r="AR56" s="1"/>
      <c r="AS56" s="1"/>
      <c r="AT56" s="1"/>
      <c r="AU56" s="1"/>
      <c r="AV56" s="1"/>
      <c r="AW56" s="1"/>
    </row>
    <row r="57" spans="1:49" ht="18" customHeight="1" x14ac:dyDescent="0.25">
      <c r="A57" s="22"/>
      <c r="B57" s="11" t="s">
        <v>240</v>
      </c>
      <c r="C57" s="23">
        <v>-21</v>
      </c>
      <c r="D57" s="23">
        <v>0</v>
      </c>
      <c r="E57" s="23">
        <v>0</v>
      </c>
      <c r="F57" s="23">
        <v>0</v>
      </c>
      <c r="G57" s="23">
        <v>0</v>
      </c>
      <c r="H57" s="23">
        <v>0</v>
      </c>
      <c r="I57" s="23">
        <v>0</v>
      </c>
      <c r="J57" s="23">
        <v>0</v>
      </c>
      <c r="K57" s="23">
        <v>0</v>
      </c>
      <c r="L57" s="23">
        <v>0</v>
      </c>
      <c r="M57" s="23">
        <v>0</v>
      </c>
      <c r="N57" s="23">
        <v>0</v>
      </c>
      <c r="O57" s="23">
        <v>0</v>
      </c>
      <c r="P57" s="23">
        <v>0</v>
      </c>
      <c r="Q57" s="23">
        <v>0</v>
      </c>
      <c r="R57" s="4"/>
      <c r="S57" s="4"/>
      <c r="T57" s="1"/>
      <c r="U57" s="1"/>
      <c r="V57" s="5"/>
      <c r="W57" s="5"/>
      <c r="X57" s="5"/>
      <c r="Y57" s="1"/>
      <c r="Z57" s="1"/>
      <c r="AA57" s="1"/>
      <c r="AB57" s="1"/>
      <c r="AC57" s="1"/>
      <c r="AD57" s="1"/>
      <c r="AE57" s="1"/>
      <c r="AF57" s="1"/>
      <c r="AG57" s="1"/>
      <c r="AH57" s="1"/>
      <c r="AI57" s="1"/>
      <c r="AJ57" s="1"/>
      <c r="AK57" s="1"/>
      <c r="AL57" s="1"/>
      <c r="AM57" s="1"/>
      <c r="AN57" s="1"/>
      <c r="AO57" s="1"/>
      <c r="AP57" s="1"/>
      <c r="AQ57" s="1"/>
      <c r="AR57" s="1"/>
      <c r="AS57" s="1"/>
      <c r="AT57" s="1"/>
      <c r="AU57" s="1"/>
      <c r="AV57" s="1"/>
      <c r="AW57" s="1"/>
    </row>
    <row r="58" spans="1:49" ht="18" customHeight="1" x14ac:dyDescent="0.25">
      <c r="A58" s="22"/>
      <c r="B58" s="11" t="s">
        <v>235</v>
      </c>
      <c r="C58" s="23">
        <v>0</v>
      </c>
      <c r="D58" s="23">
        <v>195588</v>
      </c>
      <c r="E58" s="23">
        <v>940</v>
      </c>
      <c r="F58" s="23">
        <v>1186</v>
      </c>
      <c r="G58" s="23">
        <v>900</v>
      </c>
      <c r="H58" s="23">
        <v>1050</v>
      </c>
      <c r="I58" s="23">
        <v>1931</v>
      </c>
      <c r="J58" s="23">
        <v>20367</v>
      </c>
      <c r="K58" s="23">
        <v>10698</v>
      </c>
      <c r="L58" s="23">
        <v>11642</v>
      </c>
      <c r="M58" s="23">
        <v>0</v>
      </c>
      <c r="N58" s="23">
        <v>2569</v>
      </c>
      <c r="O58" s="23">
        <v>1680</v>
      </c>
      <c r="P58" s="23">
        <v>0</v>
      </c>
      <c r="Q58" s="23">
        <v>0</v>
      </c>
      <c r="R58" s="4"/>
      <c r="S58" s="4"/>
      <c r="T58" s="1"/>
      <c r="U58" s="1"/>
      <c r="V58" s="5"/>
      <c r="W58" s="5"/>
      <c r="X58" s="5"/>
      <c r="Y58" s="1"/>
      <c r="Z58" s="1"/>
      <c r="AA58" s="1"/>
      <c r="AB58" s="1"/>
      <c r="AC58" s="1"/>
      <c r="AD58" s="1"/>
      <c r="AE58" s="1"/>
      <c r="AF58" s="1"/>
      <c r="AG58" s="1"/>
      <c r="AH58" s="1"/>
      <c r="AI58" s="1"/>
      <c r="AJ58" s="1"/>
      <c r="AK58" s="1"/>
      <c r="AL58" s="1"/>
      <c r="AM58" s="1"/>
      <c r="AN58" s="1"/>
      <c r="AO58" s="1"/>
      <c r="AP58" s="1"/>
      <c r="AQ58" s="1"/>
      <c r="AR58" s="1"/>
      <c r="AS58" s="1"/>
      <c r="AT58" s="1"/>
      <c r="AU58" s="1"/>
      <c r="AV58" s="1"/>
      <c r="AW58" s="1"/>
    </row>
    <row r="59" spans="1:49" ht="18" customHeight="1" x14ac:dyDescent="0.25">
      <c r="A59" s="22"/>
      <c r="B59" s="11" t="s">
        <v>239</v>
      </c>
      <c r="C59" s="23">
        <v>0</v>
      </c>
      <c r="D59" s="23">
        <v>-14129</v>
      </c>
      <c r="E59" s="23">
        <v>0</v>
      </c>
      <c r="F59" s="23">
        <v>0</v>
      </c>
      <c r="G59" s="23">
        <v>0</v>
      </c>
      <c r="H59" s="23">
        <v>0</v>
      </c>
      <c r="I59" s="23">
        <v>0</v>
      </c>
      <c r="J59" s="23">
        <v>0</v>
      </c>
      <c r="K59" s="23">
        <v>0</v>
      </c>
      <c r="L59" s="23">
        <v>0</v>
      </c>
      <c r="M59" s="23">
        <v>0</v>
      </c>
      <c r="N59" s="23">
        <v>0</v>
      </c>
      <c r="O59" s="23">
        <v>0</v>
      </c>
      <c r="P59" s="23">
        <v>0</v>
      </c>
      <c r="Q59" s="23">
        <v>0</v>
      </c>
      <c r="R59" s="4"/>
      <c r="S59" s="4"/>
      <c r="T59" s="1"/>
      <c r="U59" s="1"/>
      <c r="V59" s="5"/>
      <c r="W59" s="5"/>
      <c r="X59" s="5"/>
      <c r="Y59" s="1"/>
      <c r="Z59" s="1"/>
      <c r="AA59" s="1"/>
      <c r="AB59" s="1"/>
      <c r="AC59" s="1"/>
      <c r="AD59" s="1"/>
      <c r="AE59" s="1"/>
      <c r="AF59" s="1"/>
      <c r="AG59" s="1"/>
      <c r="AH59" s="1"/>
      <c r="AI59" s="1"/>
      <c r="AJ59" s="1"/>
      <c r="AK59" s="1"/>
      <c r="AL59" s="1"/>
      <c r="AM59" s="1"/>
      <c r="AN59" s="1"/>
      <c r="AO59" s="1"/>
      <c r="AP59" s="1"/>
      <c r="AQ59" s="1"/>
      <c r="AR59" s="1"/>
      <c r="AS59" s="1"/>
      <c r="AT59" s="1"/>
      <c r="AU59" s="1"/>
      <c r="AV59" s="1"/>
      <c r="AW59" s="1"/>
    </row>
    <row r="60" spans="1:49" ht="18" customHeight="1" x14ac:dyDescent="0.25">
      <c r="A60" s="22"/>
      <c r="B60" s="11" t="s">
        <v>231</v>
      </c>
      <c r="C60" s="23">
        <v>0</v>
      </c>
      <c r="D60" s="23">
        <v>0</v>
      </c>
      <c r="E60" s="23">
        <v>0</v>
      </c>
      <c r="F60" s="23">
        <v>0</v>
      </c>
      <c r="G60" s="23">
        <v>0</v>
      </c>
      <c r="H60" s="23">
        <v>0</v>
      </c>
      <c r="I60" s="23">
        <v>0</v>
      </c>
      <c r="J60" s="23">
        <v>-1199</v>
      </c>
      <c r="K60" s="23">
        <v>-3007</v>
      </c>
      <c r="L60" s="23">
        <v>0</v>
      </c>
      <c r="M60" s="23">
        <v>-3672</v>
      </c>
      <c r="N60" s="23">
        <v>-14175</v>
      </c>
      <c r="O60" s="23">
        <v>-26057</v>
      </c>
      <c r="P60" s="23">
        <v>-11248</v>
      </c>
      <c r="Q60" s="23">
        <v>0</v>
      </c>
      <c r="R60" s="4"/>
      <c r="S60" s="4"/>
      <c r="T60" s="1"/>
      <c r="U60" s="1"/>
      <c r="V60" s="5"/>
      <c r="W60" s="5"/>
      <c r="X60" s="5"/>
      <c r="Y60" s="1"/>
      <c r="Z60" s="1"/>
      <c r="AA60" s="1"/>
      <c r="AB60" s="1"/>
      <c r="AC60" s="1"/>
      <c r="AD60" s="1"/>
      <c r="AE60" s="1"/>
      <c r="AF60" s="1"/>
      <c r="AG60" s="1"/>
      <c r="AH60" s="1"/>
      <c r="AI60" s="1"/>
      <c r="AJ60" s="1"/>
      <c r="AK60" s="1"/>
      <c r="AL60" s="1"/>
      <c r="AM60" s="1"/>
      <c r="AN60" s="1"/>
      <c r="AO60" s="1"/>
      <c r="AP60" s="1"/>
      <c r="AQ60" s="1"/>
      <c r="AR60" s="1"/>
      <c r="AS60" s="1"/>
      <c r="AT60" s="1"/>
      <c r="AU60" s="1"/>
      <c r="AV60" s="1"/>
      <c r="AW60" s="1"/>
    </row>
    <row r="61" spans="1:49" ht="18" customHeight="1" x14ac:dyDescent="0.25">
      <c r="A61" s="22"/>
      <c r="B61" s="11" t="s">
        <v>232</v>
      </c>
      <c r="C61" s="23">
        <v>0</v>
      </c>
      <c r="D61" s="23">
        <v>0</v>
      </c>
      <c r="E61" s="23">
        <v>0</v>
      </c>
      <c r="F61" s="23">
        <v>0</v>
      </c>
      <c r="G61" s="23">
        <v>0</v>
      </c>
      <c r="H61" s="23">
        <v>0</v>
      </c>
      <c r="I61" s="23">
        <v>0</v>
      </c>
      <c r="J61" s="23">
        <v>0</v>
      </c>
      <c r="K61" s="23">
        <v>0</v>
      </c>
      <c r="L61" s="23">
        <v>-46723</v>
      </c>
      <c r="M61" s="23">
        <v>-60352</v>
      </c>
      <c r="N61" s="23">
        <v>-75529</v>
      </c>
      <c r="O61" s="23">
        <v>-105422</v>
      </c>
      <c r="P61" s="23">
        <v>-143892</v>
      </c>
      <c r="Q61" s="23">
        <v>-211288</v>
      </c>
      <c r="R61" s="4"/>
      <c r="S61" s="4"/>
      <c r="T61" s="1"/>
      <c r="U61" s="1"/>
      <c r="V61" s="5"/>
      <c r="W61" s="5"/>
      <c r="X61" s="5"/>
      <c r="Y61" s="1"/>
      <c r="Z61" s="1"/>
      <c r="AA61" s="1"/>
      <c r="AB61" s="1"/>
      <c r="AC61" s="1"/>
      <c r="AD61" s="1"/>
      <c r="AE61" s="1"/>
      <c r="AF61" s="1"/>
      <c r="AG61" s="1"/>
      <c r="AH61" s="1"/>
      <c r="AI61" s="1"/>
      <c r="AJ61" s="1"/>
      <c r="AK61" s="1"/>
      <c r="AL61" s="1"/>
      <c r="AM61" s="1"/>
      <c r="AN61" s="1"/>
      <c r="AO61" s="1"/>
      <c r="AP61" s="1"/>
      <c r="AQ61" s="1"/>
      <c r="AR61" s="1"/>
      <c r="AS61" s="1"/>
      <c r="AT61" s="1"/>
      <c r="AU61" s="1"/>
      <c r="AV61" s="1"/>
      <c r="AW61" s="1"/>
    </row>
    <row r="62" spans="1:49" ht="18" customHeight="1" x14ac:dyDescent="0.25">
      <c r="A62" s="22"/>
      <c r="B62" s="11" t="s">
        <v>233</v>
      </c>
      <c r="C62" s="23">
        <v>0</v>
      </c>
      <c r="D62" s="112">
        <v>0</v>
      </c>
      <c r="E62" s="23">
        <v>0</v>
      </c>
      <c r="F62" s="23">
        <v>0</v>
      </c>
      <c r="G62" s="23">
        <v>0</v>
      </c>
      <c r="H62" s="23">
        <v>0</v>
      </c>
      <c r="I62" s="23">
        <v>0</v>
      </c>
      <c r="J62" s="23">
        <v>0</v>
      </c>
      <c r="K62" s="23">
        <v>0</v>
      </c>
      <c r="L62" s="23">
        <v>0</v>
      </c>
      <c r="M62" s="23">
        <v>0</v>
      </c>
      <c r="N62" s="23">
        <v>0</v>
      </c>
      <c r="O62" s="23">
        <v>0</v>
      </c>
      <c r="P62" s="23">
        <v>0</v>
      </c>
      <c r="Q62" s="23">
        <v>-89866</v>
      </c>
      <c r="R62" s="4"/>
      <c r="S62" s="4"/>
      <c r="T62" s="1"/>
      <c r="U62" s="1"/>
      <c r="V62" s="5"/>
      <c r="W62" s="5"/>
      <c r="X62" s="5"/>
      <c r="Y62" s="1"/>
      <c r="Z62" s="1"/>
      <c r="AA62" s="1"/>
      <c r="AB62" s="1"/>
      <c r="AC62" s="1"/>
      <c r="AD62" s="1"/>
      <c r="AE62" s="1"/>
      <c r="AF62" s="1"/>
      <c r="AG62" s="1"/>
      <c r="AH62" s="1"/>
      <c r="AI62" s="1"/>
      <c r="AJ62" s="1"/>
      <c r="AK62" s="1"/>
      <c r="AL62" s="1"/>
      <c r="AM62" s="1"/>
      <c r="AN62" s="1"/>
      <c r="AO62" s="1"/>
      <c r="AP62" s="1"/>
      <c r="AQ62" s="1"/>
      <c r="AR62" s="1"/>
      <c r="AS62" s="1"/>
      <c r="AT62" s="1"/>
      <c r="AU62" s="1"/>
      <c r="AV62" s="1"/>
      <c r="AW62" s="1"/>
    </row>
    <row r="63" spans="1:49" ht="18" customHeight="1" x14ac:dyDescent="0.25">
      <c r="A63" s="22"/>
      <c r="B63" s="25" t="s">
        <v>234</v>
      </c>
      <c r="C63" s="26">
        <v>0</v>
      </c>
      <c r="D63" s="26">
        <v>0</v>
      </c>
      <c r="E63" s="26">
        <v>0</v>
      </c>
      <c r="F63" s="26">
        <v>0</v>
      </c>
      <c r="G63" s="26">
        <v>0</v>
      </c>
      <c r="H63" s="26">
        <v>-773</v>
      </c>
      <c r="I63" s="26">
        <v>-529</v>
      </c>
      <c r="J63" s="26">
        <v>53</v>
      </c>
      <c r="K63" s="26">
        <v>829</v>
      </c>
      <c r="L63" s="26">
        <v>115</v>
      </c>
      <c r="M63" s="26">
        <v>4</v>
      </c>
      <c r="N63" s="26">
        <v>-2200</v>
      </c>
      <c r="O63" s="26">
        <v>1648</v>
      </c>
      <c r="P63" s="26">
        <v>2957</v>
      </c>
      <c r="Q63" s="26">
        <v>10592</v>
      </c>
      <c r="R63" s="4"/>
      <c r="S63" s="4"/>
      <c r="T63" s="1"/>
      <c r="U63" s="1"/>
      <c r="V63" s="5"/>
      <c r="W63" s="5"/>
      <c r="X63" s="5"/>
      <c r="Y63" s="1"/>
      <c r="Z63" s="1"/>
      <c r="AA63" s="1"/>
      <c r="AB63" s="1"/>
      <c r="AC63" s="1"/>
      <c r="AD63" s="1"/>
      <c r="AE63" s="1"/>
      <c r="AF63" s="1"/>
      <c r="AG63" s="1"/>
      <c r="AH63" s="1"/>
      <c r="AI63" s="1"/>
      <c r="AJ63" s="1"/>
      <c r="AK63" s="1"/>
      <c r="AL63" s="1"/>
      <c r="AM63" s="1"/>
      <c r="AN63" s="1"/>
      <c r="AO63" s="1"/>
      <c r="AP63" s="1"/>
      <c r="AQ63" s="1"/>
      <c r="AR63" s="1"/>
      <c r="AS63" s="1"/>
      <c r="AT63" s="1"/>
      <c r="AU63" s="1"/>
      <c r="AV63" s="1"/>
      <c r="AW63" s="1"/>
    </row>
    <row r="64" spans="1:49" s="96" customFormat="1" ht="18" customHeight="1" x14ac:dyDescent="0.25">
      <c r="A64" s="97"/>
      <c r="B64" s="25" t="s">
        <v>61</v>
      </c>
      <c r="C64" s="26">
        <f t="shared" ref="C64:P64" si="6">C8+C38+C48+C63</f>
        <v>-30987</v>
      </c>
      <c r="D64" s="26">
        <f t="shared" si="6"/>
        <v>7524</v>
      </c>
      <c r="E64" s="26">
        <f t="shared" si="6"/>
        <v>-7010</v>
      </c>
      <c r="F64" s="26">
        <f t="shared" si="6"/>
        <v>2268</v>
      </c>
      <c r="G64" s="26">
        <f>G8+G38+G48+G63</f>
        <v>-2955</v>
      </c>
      <c r="H64" s="26">
        <f t="shared" si="6"/>
        <v>-2009</v>
      </c>
      <c r="I64" s="26">
        <f t="shared" si="6"/>
        <v>-3802</v>
      </c>
      <c r="J64" s="26">
        <f t="shared" si="6"/>
        <v>5136</v>
      </c>
      <c r="K64" s="26">
        <f t="shared" si="6"/>
        <v>-1655</v>
      </c>
      <c r="L64" s="26">
        <f t="shared" si="6"/>
        <v>5307</v>
      </c>
      <c r="M64" s="26">
        <f t="shared" si="6"/>
        <v>24489</v>
      </c>
      <c r="N64" s="26">
        <f t="shared" si="6"/>
        <v>-4547</v>
      </c>
      <c r="O64" s="26">
        <f t="shared" si="6"/>
        <v>-4924</v>
      </c>
      <c r="P64" s="26">
        <f t="shared" si="6"/>
        <v>44490</v>
      </c>
      <c r="Q64" s="26">
        <f>Q8+Q38+Q48+Q63</f>
        <v>107844</v>
      </c>
      <c r="R64" s="94"/>
      <c r="S64" s="94"/>
      <c r="T64" s="95"/>
      <c r="U64" s="95"/>
      <c r="V64" s="98"/>
      <c r="W64" s="98"/>
      <c r="X64" s="98"/>
      <c r="Y64" s="95"/>
      <c r="Z64" s="95"/>
      <c r="AA64" s="95"/>
      <c r="AB64" s="95"/>
      <c r="AC64" s="95"/>
      <c r="AD64" s="95"/>
      <c r="AE64" s="95"/>
      <c r="AF64" s="95"/>
      <c r="AG64" s="95"/>
      <c r="AH64" s="95"/>
      <c r="AI64" s="95"/>
      <c r="AJ64" s="95"/>
      <c r="AK64" s="95"/>
      <c r="AL64" s="95"/>
      <c r="AM64" s="95"/>
      <c r="AN64" s="95"/>
      <c r="AO64" s="95"/>
      <c r="AP64" s="95"/>
      <c r="AQ64" s="95"/>
      <c r="AR64" s="95"/>
      <c r="AS64" s="95"/>
      <c r="AT64" s="95"/>
      <c r="AU64" s="95"/>
      <c r="AV64" s="95"/>
      <c r="AW64" s="95"/>
    </row>
    <row r="65" spans="1:49" ht="18" customHeight="1" x14ac:dyDescent="0.25">
      <c r="A65" s="22"/>
      <c r="B65" s="11" t="s">
        <v>114</v>
      </c>
      <c r="C65" s="23">
        <v>38991</v>
      </c>
      <c r="D65" s="23">
        <v>8004</v>
      </c>
      <c r="E65" s="23">
        <v>15528</v>
      </c>
      <c r="F65" s="23">
        <v>11518</v>
      </c>
      <c r="G65" s="23">
        <v>13786</v>
      </c>
      <c r="H65" s="23">
        <v>10831</v>
      </c>
      <c r="I65" s="23">
        <v>8822</v>
      </c>
      <c r="J65" s="23">
        <v>5020</v>
      </c>
      <c r="K65" s="23">
        <v>10156</v>
      </c>
      <c r="L65" s="23">
        <v>8501</v>
      </c>
      <c r="M65" s="23">
        <v>13808</v>
      </c>
      <c r="N65" s="23">
        <v>38297</v>
      </c>
      <c r="O65" s="23">
        <v>33750</v>
      </c>
      <c r="P65" s="23">
        <v>28826</v>
      </c>
      <c r="Q65" s="23">
        <v>73316</v>
      </c>
      <c r="R65" s="4"/>
      <c r="S65" s="4"/>
      <c r="T65" s="1"/>
      <c r="U65" s="1"/>
      <c r="V65" s="5"/>
      <c r="W65" s="5"/>
      <c r="X65" s="5"/>
      <c r="Y65" s="1"/>
      <c r="Z65" s="1"/>
      <c r="AA65" s="1"/>
      <c r="AB65" s="1"/>
      <c r="AC65" s="1"/>
      <c r="AD65" s="1"/>
      <c r="AE65" s="1"/>
      <c r="AF65" s="1"/>
      <c r="AG65" s="1"/>
      <c r="AH65" s="1"/>
      <c r="AI65" s="1"/>
      <c r="AJ65" s="1"/>
      <c r="AK65" s="1"/>
      <c r="AL65" s="1"/>
      <c r="AM65" s="1"/>
      <c r="AN65" s="1"/>
      <c r="AO65" s="1"/>
      <c r="AP65" s="1"/>
      <c r="AQ65" s="1"/>
      <c r="AR65" s="1"/>
      <c r="AS65" s="1"/>
      <c r="AT65" s="1"/>
      <c r="AU65" s="1"/>
      <c r="AV65" s="1"/>
      <c r="AW65" s="1"/>
    </row>
    <row r="66" spans="1:49" ht="18" customHeight="1" x14ac:dyDescent="0.25">
      <c r="A66" s="22"/>
      <c r="B66" s="11" t="s">
        <v>115</v>
      </c>
      <c r="C66" s="23">
        <f t="shared" ref="C66:Q66" si="7">C64+C65</f>
        <v>8004</v>
      </c>
      <c r="D66" s="23">
        <f t="shared" si="7"/>
        <v>15528</v>
      </c>
      <c r="E66" s="23">
        <f t="shared" si="7"/>
        <v>8518</v>
      </c>
      <c r="F66" s="23">
        <f t="shared" si="7"/>
        <v>13786</v>
      </c>
      <c r="G66" s="23">
        <f t="shared" si="7"/>
        <v>10831</v>
      </c>
      <c r="H66" s="23">
        <f t="shared" si="7"/>
        <v>8822</v>
      </c>
      <c r="I66" s="23">
        <f t="shared" si="7"/>
        <v>5020</v>
      </c>
      <c r="J66" s="23">
        <f t="shared" si="7"/>
        <v>10156</v>
      </c>
      <c r="K66" s="23">
        <f t="shared" si="7"/>
        <v>8501</v>
      </c>
      <c r="L66" s="23">
        <f t="shared" si="7"/>
        <v>13808</v>
      </c>
      <c r="M66" s="23">
        <f t="shared" si="7"/>
        <v>38297</v>
      </c>
      <c r="N66" s="23">
        <f t="shared" si="7"/>
        <v>33750</v>
      </c>
      <c r="O66" s="23">
        <f t="shared" si="7"/>
        <v>28826</v>
      </c>
      <c r="P66" s="23">
        <f t="shared" si="7"/>
        <v>73316</v>
      </c>
      <c r="Q66" s="23">
        <f t="shared" si="7"/>
        <v>181160</v>
      </c>
      <c r="R66" s="23"/>
      <c r="S66" s="4"/>
      <c r="T66" s="1"/>
      <c r="U66" s="1"/>
      <c r="V66" s="5"/>
      <c r="W66" s="5"/>
      <c r="X66" s="5"/>
      <c r="Y66" s="1"/>
      <c r="Z66" s="1"/>
      <c r="AA66" s="1"/>
      <c r="AB66" s="1"/>
      <c r="AC66" s="1"/>
      <c r="AD66" s="1"/>
      <c r="AE66" s="1"/>
      <c r="AF66" s="1"/>
      <c r="AG66" s="1"/>
      <c r="AH66" s="1"/>
      <c r="AI66" s="1"/>
      <c r="AJ66" s="1"/>
      <c r="AK66" s="1"/>
      <c r="AL66" s="1"/>
      <c r="AM66" s="1"/>
      <c r="AN66" s="1"/>
      <c r="AO66" s="1"/>
      <c r="AP66" s="1"/>
      <c r="AQ66" s="1"/>
      <c r="AR66" s="1"/>
      <c r="AS66" s="1"/>
      <c r="AT66" s="1"/>
      <c r="AU66" s="1"/>
      <c r="AV66" s="1"/>
      <c r="AW66" s="1"/>
    </row>
    <row r="67" spans="1:49" ht="18" customHeight="1" x14ac:dyDescent="0.25">
      <c r="A67" s="22"/>
      <c r="B67" s="25"/>
      <c r="C67" s="26"/>
      <c r="D67" s="138"/>
      <c r="E67" s="138"/>
      <c r="F67" s="138"/>
      <c r="G67" s="138"/>
      <c r="H67" s="138"/>
      <c r="I67" s="138"/>
      <c r="J67" s="138"/>
      <c r="K67" s="138"/>
      <c r="L67" s="138"/>
      <c r="M67" s="138"/>
      <c r="N67" s="138"/>
      <c r="O67" s="138"/>
      <c r="P67" s="138"/>
      <c r="Q67" s="138"/>
      <c r="R67" s="4"/>
      <c r="S67" s="4"/>
      <c r="T67" s="1"/>
      <c r="U67" s="1"/>
      <c r="V67" s="5"/>
      <c r="W67" s="5"/>
      <c r="X67" s="5"/>
      <c r="Y67" s="1"/>
      <c r="Z67" s="1"/>
      <c r="AA67" s="1"/>
      <c r="AB67" s="1"/>
      <c r="AC67" s="1"/>
      <c r="AD67" s="1"/>
      <c r="AE67" s="1"/>
      <c r="AF67" s="1"/>
      <c r="AG67" s="1"/>
      <c r="AH67" s="1"/>
      <c r="AI67" s="1"/>
      <c r="AJ67" s="1"/>
      <c r="AK67" s="1"/>
      <c r="AL67" s="1"/>
      <c r="AM67" s="1"/>
      <c r="AN67" s="1"/>
      <c r="AO67" s="1"/>
      <c r="AP67" s="1"/>
      <c r="AQ67" s="1"/>
      <c r="AR67" s="1"/>
      <c r="AS67" s="1"/>
      <c r="AT67" s="1"/>
      <c r="AU67" s="1"/>
      <c r="AV67" s="1"/>
      <c r="AW67" s="1"/>
    </row>
    <row r="68" spans="1:49" ht="18" customHeight="1" x14ac:dyDescent="0.25">
      <c r="A68" s="22"/>
      <c r="B68" s="11"/>
      <c r="C68" s="23"/>
      <c r="D68" s="23"/>
      <c r="E68" s="23"/>
      <c r="F68" s="23"/>
      <c r="G68" s="23"/>
      <c r="H68" s="23"/>
      <c r="I68" s="23"/>
      <c r="J68" s="23"/>
      <c r="K68" s="23"/>
      <c r="L68" s="23"/>
      <c r="M68" s="23"/>
      <c r="N68" s="23"/>
      <c r="O68" s="23"/>
      <c r="P68" s="23"/>
      <c r="Q68" s="23"/>
      <c r="R68" s="4"/>
      <c r="S68" s="4"/>
      <c r="T68" s="1"/>
      <c r="U68" s="1"/>
      <c r="V68" s="5"/>
      <c r="W68" s="5"/>
      <c r="X68" s="5"/>
      <c r="Y68" s="1"/>
      <c r="Z68" s="1"/>
      <c r="AA68" s="1"/>
      <c r="AB68" s="1"/>
      <c r="AC68" s="1"/>
      <c r="AD68" s="1"/>
      <c r="AE68" s="1"/>
      <c r="AF68" s="1"/>
      <c r="AG68" s="1"/>
      <c r="AH68" s="1"/>
      <c r="AI68" s="1"/>
      <c r="AJ68" s="1"/>
      <c r="AK68" s="1"/>
      <c r="AL68" s="1"/>
      <c r="AM68" s="1"/>
      <c r="AN68" s="1"/>
      <c r="AO68" s="1"/>
      <c r="AP68" s="1"/>
      <c r="AQ68" s="1"/>
      <c r="AR68" s="1"/>
      <c r="AS68" s="1"/>
      <c r="AT68" s="1"/>
      <c r="AU68" s="1"/>
      <c r="AV68" s="1"/>
      <c r="AW68" s="1"/>
    </row>
    <row r="69" spans="1:49" ht="18" customHeight="1" x14ac:dyDescent="0.25">
      <c r="A69" s="22"/>
      <c r="B69" s="11"/>
      <c r="C69" s="23"/>
      <c r="D69" s="23"/>
      <c r="E69" s="23"/>
      <c r="F69" s="23"/>
      <c r="G69" s="23"/>
      <c r="H69" s="23"/>
      <c r="I69" s="23"/>
      <c r="J69" s="23"/>
      <c r="K69" s="23"/>
      <c r="L69" s="23"/>
      <c r="M69" s="23"/>
      <c r="N69" s="23"/>
      <c r="O69" s="23"/>
      <c r="P69" s="23"/>
      <c r="Q69" s="23"/>
      <c r="R69" s="4"/>
      <c r="S69" s="4"/>
      <c r="T69" s="1"/>
      <c r="U69" s="1"/>
      <c r="V69" s="5"/>
      <c r="W69" s="5"/>
      <c r="X69" s="5"/>
      <c r="Y69" s="1"/>
      <c r="Z69" s="1"/>
      <c r="AA69" s="1"/>
      <c r="AB69" s="1"/>
      <c r="AC69" s="1"/>
      <c r="AD69" s="1"/>
      <c r="AE69" s="1"/>
      <c r="AF69" s="1"/>
      <c r="AG69" s="1"/>
      <c r="AH69" s="1"/>
      <c r="AI69" s="1"/>
      <c r="AJ69" s="1"/>
      <c r="AK69" s="1"/>
      <c r="AL69" s="1"/>
      <c r="AM69" s="1"/>
      <c r="AN69" s="1"/>
      <c r="AO69" s="1"/>
      <c r="AP69" s="1"/>
      <c r="AQ69" s="1"/>
      <c r="AR69" s="1"/>
      <c r="AS69" s="1"/>
      <c r="AT69" s="1"/>
      <c r="AU69" s="1"/>
      <c r="AV69" s="1"/>
      <c r="AW69" s="1"/>
    </row>
    <row r="70" spans="1:49" ht="18" customHeight="1" x14ac:dyDescent="0.25">
      <c r="A70" s="22"/>
      <c r="B70" s="32"/>
      <c r="C70" s="31"/>
      <c r="D70" s="31"/>
      <c r="E70" s="31"/>
      <c r="F70" s="31"/>
      <c r="G70" s="31"/>
      <c r="H70" s="31"/>
      <c r="I70" s="31"/>
      <c r="J70" s="31"/>
      <c r="K70" s="31"/>
      <c r="L70" s="31"/>
      <c r="M70" s="31"/>
      <c r="N70" s="31"/>
      <c r="O70" s="31"/>
      <c r="P70" s="31"/>
      <c r="Q70" s="31"/>
      <c r="R70" s="4"/>
      <c r="S70" s="4"/>
      <c r="T70" s="1"/>
      <c r="U70" s="1"/>
      <c r="V70" s="5"/>
      <c r="W70" s="5"/>
      <c r="X70" s="5"/>
      <c r="Y70" s="1"/>
      <c r="Z70" s="1"/>
      <c r="AA70" s="1"/>
      <c r="AB70" s="1"/>
      <c r="AC70" s="1"/>
      <c r="AD70" s="1"/>
      <c r="AE70" s="1"/>
      <c r="AF70" s="1"/>
      <c r="AG70" s="1"/>
      <c r="AH70" s="1"/>
      <c r="AI70" s="1"/>
      <c r="AJ70" s="1"/>
      <c r="AK70" s="1"/>
      <c r="AL70" s="1"/>
      <c r="AM70" s="1"/>
      <c r="AN70" s="1"/>
      <c r="AO70" s="1"/>
      <c r="AP70" s="1"/>
      <c r="AQ70" s="1"/>
      <c r="AR70" s="1"/>
      <c r="AS70" s="1"/>
      <c r="AT70" s="1"/>
      <c r="AU70" s="1"/>
      <c r="AV70" s="1"/>
      <c r="AW70" s="1"/>
    </row>
    <row r="71" spans="1:49" ht="18" customHeight="1" x14ac:dyDescent="0.25">
      <c r="A71" s="22"/>
      <c r="B71" s="32"/>
      <c r="C71" s="31"/>
      <c r="D71" s="31"/>
      <c r="E71" s="31"/>
      <c r="F71" s="31"/>
      <c r="G71" s="31"/>
      <c r="H71" s="31"/>
      <c r="I71" s="31"/>
      <c r="J71" s="31"/>
      <c r="K71" s="31"/>
      <c r="L71" s="31"/>
      <c r="M71" s="31"/>
      <c r="N71" s="31"/>
      <c r="O71" s="31"/>
      <c r="P71" s="31"/>
      <c r="Q71" s="31"/>
      <c r="R71" s="4"/>
      <c r="S71" s="4"/>
      <c r="T71" s="1"/>
      <c r="U71" s="1"/>
      <c r="V71" s="5"/>
      <c r="W71" s="5"/>
      <c r="X71" s="5"/>
      <c r="Y71" s="1"/>
      <c r="Z71" s="1"/>
      <c r="AA71" s="1"/>
      <c r="AB71" s="1"/>
      <c r="AC71" s="1"/>
      <c r="AD71" s="1"/>
      <c r="AE71" s="1"/>
      <c r="AF71" s="1"/>
      <c r="AG71" s="1"/>
      <c r="AH71" s="1"/>
      <c r="AI71" s="1"/>
      <c r="AJ71" s="1"/>
      <c r="AK71" s="1"/>
      <c r="AL71" s="1"/>
      <c r="AM71" s="1"/>
      <c r="AN71" s="1"/>
      <c r="AO71" s="1"/>
      <c r="AP71" s="1"/>
      <c r="AQ71" s="1"/>
      <c r="AR71" s="1"/>
      <c r="AS71" s="1"/>
      <c r="AT71" s="1"/>
      <c r="AU71" s="1"/>
      <c r="AV71" s="1"/>
      <c r="AW71" s="1"/>
    </row>
    <row r="72" spans="1:49" ht="18" customHeight="1" x14ac:dyDescent="0.25">
      <c r="A72" s="22"/>
      <c r="B72" s="132" t="s">
        <v>124</v>
      </c>
      <c r="C72" s="133"/>
      <c r="D72" s="133"/>
      <c r="E72" s="133"/>
      <c r="F72" s="133"/>
      <c r="G72" s="133"/>
      <c r="H72" s="133"/>
      <c r="I72" s="133"/>
      <c r="J72" s="133"/>
      <c r="K72" s="133"/>
      <c r="L72" s="133"/>
      <c r="M72" s="133"/>
      <c r="N72" s="134"/>
      <c r="O72" s="133"/>
      <c r="P72" s="133"/>
      <c r="Q72" s="134">
        <f>(Dashboard!C15*Dashboard!C8+Dashboard!C10+Dashboard!C11)/(Q8+Q39)</f>
        <v>-199.36496217694403</v>
      </c>
      <c r="R72" s="4"/>
      <c r="S72" s="4"/>
      <c r="T72" s="1"/>
      <c r="U72" s="1"/>
      <c r="V72" s="5"/>
      <c r="W72" s="5"/>
      <c r="X72" s="5"/>
      <c r="Y72" s="1"/>
      <c r="Z72" s="1"/>
      <c r="AA72" s="1"/>
      <c r="AB72" s="1"/>
      <c r="AC72" s="1"/>
      <c r="AD72" s="1"/>
      <c r="AE72" s="1"/>
      <c r="AF72" s="1"/>
      <c r="AG72" s="1"/>
      <c r="AH72" s="1"/>
      <c r="AI72" s="1"/>
      <c r="AJ72" s="1"/>
      <c r="AK72" s="1"/>
      <c r="AL72" s="1"/>
      <c r="AM72" s="1"/>
      <c r="AN72" s="1"/>
      <c r="AO72" s="1"/>
      <c r="AP72" s="1"/>
      <c r="AQ72" s="1"/>
      <c r="AR72" s="1"/>
      <c r="AS72" s="1"/>
      <c r="AT72" s="1"/>
      <c r="AU72" s="1"/>
      <c r="AV72" s="1"/>
      <c r="AW72" s="1"/>
    </row>
    <row r="73" spans="1:49" ht="18" customHeight="1" x14ac:dyDescent="0.25">
      <c r="A73" s="22"/>
      <c r="B73" s="32"/>
      <c r="C73" s="31"/>
      <c r="D73" s="31"/>
      <c r="E73" s="31"/>
      <c r="F73" s="31"/>
      <c r="G73" s="31"/>
      <c r="H73" s="31"/>
      <c r="I73" s="31"/>
      <c r="J73" s="31"/>
      <c r="K73" s="31"/>
      <c r="L73" s="31"/>
      <c r="M73" s="31"/>
      <c r="N73" s="31"/>
      <c r="O73" s="31"/>
      <c r="P73" s="31"/>
      <c r="Q73" s="135">
        <f>2^(1/Q72)-1</f>
        <v>-3.4707383370786715E-3</v>
      </c>
      <c r="R73" s="4"/>
      <c r="S73" s="4"/>
      <c r="T73" s="1"/>
      <c r="U73" s="1"/>
      <c r="V73" s="5"/>
      <c r="W73" s="5"/>
      <c r="X73" s="5"/>
      <c r="Y73" s="1"/>
      <c r="Z73" s="1"/>
      <c r="AA73" s="1"/>
      <c r="AB73" s="1"/>
      <c r="AC73" s="1"/>
      <c r="AD73" s="1"/>
      <c r="AE73" s="1"/>
      <c r="AF73" s="1"/>
      <c r="AG73" s="1"/>
      <c r="AH73" s="1"/>
      <c r="AI73" s="1"/>
      <c r="AJ73" s="1"/>
      <c r="AK73" s="1"/>
      <c r="AL73" s="1"/>
      <c r="AM73" s="1"/>
      <c r="AN73" s="1"/>
      <c r="AO73" s="1"/>
      <c r="AP73" s="1"/>
      <c r="AQ73" s="1"/>
      <c r="AR73" s="1"/>
      <c r="AS73" s="1"/>
      <c r="AT73" s="1"/>
      <c r="AU73" s="1"/>
      <c r="AV73" s="1"/>
      <c r="AW73" s="1"/>
    </row>
    <row r="74" spans="1:49" ht="18" customHeight="1" x14ac:dyDescent="0.25">
      <c r="A74" s="6"/>
      <c r="B74" s="20"/>
      <c r="C74" s="23"/>
      <c r="D74" s="23"/>
      <c r="E74" s="23"/>
      <c r="F74" s="23"/>
      <c r="G74" s="23"/>
      <c r="H74" s="23"/>
      <c r="I74" s="23"/>
      <c r="J74" s="23"/>
      <c r="K74" s="23"/>
      <c r="L74" s="23"/>
      <c r="M74" s="23"/>
      <c r="N74" s="23"/>
      <c r="O74" s="23"/>
      <c r="P74" s="23"/>
      <c r="Q74" s="23"/>
      <c r="R74" s="7"/>
      <c r="S74" s="7"/>
      <c r="T74" s="4"/>
      <c r="U74" s="4"/>
      <c r="V74" s="1"/>
      <c r="W74" s="1"/>
      <c r="X74" s="5"/>
      <c r="Y74" s="5"/>
      <c r="Z74" s="5"/>
      <c r="AA74" s="1"/>
      <c r="AB74" s="1"/>
      <c r="AC74" s="1"/>
      <c r="AD74" s="1"/>
      <c r="AE74" s="1"/>
      <c r="AF74" s="1"/>
      <c r="AG74" s="1"/>
      <c r="AH74" s="1"/>
      <c r="AI74" s="1"/>
      <c r="AJ74" s="1"/>
      <c r="AK74" s="1"/>
      <c r="AL74" s="1"/>
      <c r="AM74" s="1"/>
      <c r="AN74" s="1"/>
      <c r="AO74" s="1"/>
      <c r="AP74" s="1"/>
      <c r="AQ74" s="1"/>
      <c r="AR74" s="1"/>
      <c r="AS74" s="1"/>
      <c r="AT74" s="1"/>
      <c r="AU74" s="1"/>
      <c r="AV74" s="1"/>
      <c r="AW74" s="1"/>
    </row>
    <row r="75" spans="1:49" ht="18" customHeight="1" x14ac:dyDescent="0.25">
      <c r="A75" s="7"/>
      <c r="B75" s="21"/>
      <c r="C75" s="23"/>
      <c r="D75" s="23"/>
      <c r="E75" s="23"/>
      <c r="F75" s="23"/>
      <c r="G75" s="23"/>
      <c r="H75" s="23"/>
      <c r="I75" s="23"/>
      <c r="J75" s="23"/>
      <c r="K75" s="23"/>
      <c r="L75" s="23"/>
      <c r="M75" s="23"/>
      <c r="N75" s="23"/>
      <c r="O75" s="23"/>
      <c r="P75" s="23"/>
      <c r="Q75" s="23"/>
      <c r="R75" s="7"/>
      <c r="S75" s="7"/>
      <c r="T75" s="4"/>
      <c r="U75" s="4"/>
      <c r="V75" s="1"/>
      <c r="W75" s="1"/>
      <c r="X75" s="5"/>
      <c r="Y75" s="5"/>
      <c r="Z75" s="5"/>
      <c r="AA75" s="1"/>
      <c r="AB75" s="1"/>
      <c r="AC75" s="1"/>
      <c r="AD75" s="1"/>
      <c r="AE75" s="1"/>
      <c r="AF75" s="1"/>
      <c r="AG75" s="1"/>
      <c r="AH75" s="1"/>
      <c r="AI75" s="1"/>
      <c r="AJ75" s="1"/>
      <c r="AK75" s="1"/>
      <c r="AL75" s="1"/>
      <c r="AM75" s="1"/>
      <c r="AN75" s="1"/>
      <c r="AO75" s="1"/>
      <c r="AP75" s="1"/>
      <c r="AQ75" s="1"/>
      <c r="AR75" s="1"/>
      <c r="AS75" s="1"/>
      <c r="AT75" s="1"/>
      <c r="AU75" s="1"/>
      <c r="AV75" s="1"/>
      <c r="AW75" s="1"/>
    </row>
    <row r="76" spans="1:49" ht="18" customHeight="1" x14ac:dyDescent="0.25">
      <c r="A76" s="1"/>
      <c r="B76" s="20"/>
      <c r="C76" s="23"/>
      <c r="D76" s="23"/>
      <c r="E76" s="23"/>
      <c r="F76" s="23"/>
      <c r="G76" s="23"/>
      <c r="H76" s="23"/>
      <c r="I76" s="23"/>
      <c r="J76" s="23"/>
      <c r="K76" s="23"/>
      <c r="L76" s="23"/>
      <c r="M76" s="23"/>
      <c r="N76" s="23"/>
      <c r="O76" s="23"/>
      <c r="P76" s="23"/>
      <c r="Q76" s="23"/>
      <c r="R76" s="2"/>
      <c r="S76" s="2"/>
      <c r="T76" s="1"/>
      <c r="U76" s="1"/>
      <c r="V76" s="1"/>
      <c r="W76" s="1"/>
      <c r="X76" s="5"/>
      <c r="Y76" s="5"/>
      <c r="Z76" s="5"/>
      <c r="AA76" s="1"/>
      <c r="AB76" s="1"/>
      <c r="AC76" s="1"/>
      <c r="AD76" s="1"/>
      <c r="AE76" s="1"/>
      <c r="AF76" s="1"/>
      <c r="AG76" s="1"/>
      <c r="AH76" s="1"/>
      <c r="AI76" s="1"/>
      <c r="AJ76" s="1"/>
      <c r="AK76" s="1"/>
      <c r="AL76" s="1"/>
      <c r="AM76" s="1"/>
      <c r="AN76" s="1"/>
      <c r="AO76" s="1"/>
      <c r="AP76" s="1"/>
      <c r="AQ76" s="1"/>
      <c r="AR76" s="1"/>
      <c r="AS76" s="1"/>
      <c r="AT76" s="1"/>
      <c r="AU76" s="1"/>
      <c r="AV76" s="1"/>
      <c r="AW76" s="1"/>
    </row>
    <row r="77" spans="1:49" ht="18" customHeight="1" x14ac:dyDescent="0.25">
      <c r="A77" s="2"/>
      <c r="B77" s="33"/>
      <c r="C77" s="31"/>
      <c r="D77" s="31"/>
      <c r="E77" s="31"/>
      <c r="F77" s="31"/>
      <c r="G77" s="31"/>
      <c r="H77" s="31"/>
      <c r="I77" s="31"/>
      <c r="J77" s="31"/>
      <c r="K77" s="31"/>
      <c r="L77" s="31"/>
      <c r="M77" s="31"/>
      <c r="N77" s="31"/>
      <c r="O77" s="31"/>
      <c r="P77" s="31"/>
      <c r="Q77" s="31"/>
      <c r="R77" s="2"/>
      <c r="S77" s="2"/>
      <c r="T77" s="1"/>
      <c r="U77" s="1"/>
      <c r="V77" s="1"/>
      <c r="W77" s="1"/>
      <c r="X77" s="5"/>
      <c r="Y77" s="5"/>
      <c r="Z77" s="5"/>
      <c r="AA77" s="1"/>
      <c r="AB77" s="1"/>
      <c r="AC77" s="1"/>
      <c r="AD77" s="1"/>
      <c r="AE77" s="1"/>
      <c r="AF77" s="1"/>
      <c r="AG77" s="1"/>
      <c r="AH77" s="1"/>
      <c r="AI77" s="1"/>
      <c r="AJ77" s="1"/>
      <c r="AK77" s="1"/>
      <c r="AL77" s="1"/>
      <c r="AM77" s="1"/>
      <c r="AN77" s="1"/>
      <c r="AO77" s="1"/>
      <c r="AP77" s="1"/>
      <c r="AQ77" s="1"/>
      <c r="AR77" s="1"/>
      <c r="AS77" s="1"/>
      <c r="AT77" s="1"/>
      <c r="AU77" s="1"/>
      <c r="AV77" s="1"/>
      <c r="AW77" s="1"/>
    </row>
    <row r="78" spans="1:49" ht="18" customHeight="1" x14ac:dyDescent="0.25">
      <c r="A78" s="2"/>
      <c r="B78" s="30"/>
      <c r="C78" s="31"/>
      <c r="D78" s="31"/>
      <c r="E78" s="31"/>
      <c r="F78" s="31"/>
      <c r="G78" s="31"/>
      <c r="H78" s="31"/>
      <c r="I78" s="31"/>
      <c r="J78" s="31"/>
      <c r="K78" s="31"/>
      <c r="L78" s="31"/>
      <c r="M78" s="31"/>
      <c r="N78" s="31"/>
      <c r="O78" s="31"/>
      <c r="P78" s="31"/>
      <c r="Q78" s="31"/>
      <c r="R78" s="2"/>
      <c r="S78" s="2"/>
      <c r="T78" s="1"/>
      <c r="U78" s="1"/>
      <c r="V78" s="1"/>
      <c r="W78" s="1"/>
      <c r="X78" s="5"/>
      <c r="Y78" s="5"/>
      <c r="Z78" s="5"/>
      <c r="AA78" s="1"/>
      <c r="AB78" s="1"/>
      <c r="AC78" s="1"/>
      <c r="AD78" s="1"/>
      <c r="AE78" s="1"/>
      <c r="AF78" s="1"/>
      <c r="AG78" s="1"/>
      <c r="AH78" s="1"/>
      <c r="AI78" s="1"/>
      <c r="AJ78" s="1"/>
      <c r="AK78" s="1"/>
      <c r="AL78" s="1"/>
      <c r="AM78" s="1"/>
      <c r="AN78" s="1"/>
      <c r="AO78" s="1"/>
      <c r="AP78" s="1"/>
      <c r="AQ78" s="1"/>
      <c r="AR78" s="1"/>
      <c r="AS78" s="1"/>
      <c r="AT78" s="1"/>
      <c r="AU78" s="1"/>
      <c r="AV78" s="1"/>
      <c r="AW78" s="1"/>
    </row>
    <row r="79" spans="1:49" ht="18" customHeight="1" x14ac:dyDescent="0.25">
      <c r="A79" s="2"/>
      <c r="B79" s="32"/>
      <c r="C79" s="31"/>
      <c r="D79" s="31"/>
      <c r="E79" s="31"/>
      <c r="F79" s="31"/>
      <c r="G79" s="31"/>
      <c r="H79" s="31"/>
      <c r="I79" s="31"/>
      <c r="J79" s="31"/>
      <c r="K79" s="31"/>
      <c r="L79" s="31"/>
      <c r="M79" s="31"/>
      <c r="N79" s="31"/>
      <c r="O79" s="31"/>
      <c r="P79" s="31"/>
      <c r="Q79" s="31"/>
      <c r="R79" s="2"/>
      <c r="S79" s="2"/>
      <c r="T79" s="1"/>
      <c r="U79" s="1"/>
      <c r="V79" s="1"/>
      <c r="W79" s="1"/>
      <c r="X79" s="5"/>
      <c r="Y79" s="5"/>
      <c r="Z79" s="5"/>
      <c r="AA79" s="1"/>
      <c r="AB79" s="1"/>
      <c r="AC79" s="1"/>
      <c r="AD79" s="1"/>
      <c r="AE79" s="1"/>
      <c r="AF79" s="1"/>
      <c r="AG79" s="1"/>
      <c r="AH79" s="1"/>
      <c r="AI79" s="1"/>
      <c r="AJ79" s="1"/>
      <c r="AK79" s="1"/>
      <c r="AL79" s="1"/>
      <c r="AM79" s="1"/>
      <c r="AN79" s="1"/>
      <c r="AO79" s="1"/>
      <c r="AP79" s="1"/>
      <c r="AQ79" s="1"/>
      <c r="AR79" s="1"/>
      <c r="AS79" s="1"/>
      <c r="AT79" s="1"/>
      <c r="AU79" s="1"/>
      <c r="AV79" s="1"/>
      <c r="AW79" s="1"/>
    </row>
    <row r="80" spans="1:49" ht="18" customHeight="1" x14ac:dyDescent="0.25">
      <c r="A80" s="2"/>
      <c r="B80" s="32"/>
      <c r="C80" s="31"/>
      <c r="D80" s="31"/>
      <c r="E80" s="31"/>
      <c r="F80" s="31"/>
      <c r="G80" s="31"/>
      <c r="H80" s="31"/>
      <c r="I80" s="31"/>
      <c r="J80" s="31"/>
      <c r="K80" s="31"/>
      <c r="L80" s="31"/>
      <c r="M80" s="31"/>
      <c r="N80" s="31"/>
      <c r="O80" s="31"/>
      <c r="P80" s="31"/>
      <c r="Q80" s="31"/>
      <c r="R80" s="2"/>
      <c r="S80" s="2"/>
      <c r="T80" s="1"/>
      <c r="U80" s="1"/>
      <c r="V80" s="1"/>
      <c r="W80" s="1"/>
      <c r="X80" s="5"/>
      <c r="Y80" s="5"/>
      <c r="Z80" s="5"/>
      <c r="AA80" s="1"/>
      <c r="AB80" s="1"/>
      <c r="AC80" s="1"/>
      <c r="AD80" s="1"/>
      <c r="AE80" s="1"/>
      <c r="AF80" s="1"/>
      <c r="AG80" s="1"/>
      <c r="AH80" s="1"/>
      <c r="AI80" s="1"/>
      <c r="AJ80" s="1"/>
      <c r="AK80" s="1"/>
      <c r="AL80" s="1"/>
      <c r="AM80" s="1"/>
      <c r="AN80" s="1"/>
      <c r="AO80" s="1"/>
      <c r="AP80" s="1"/>
      <c r="AQ80" s="1"/>
      <c r="AR80" s="1"/>
      <c r="AS80" s="1"/>
      <c r="AT80" s="1"/>
      <c r="AU80" s="1"/>
      <c r="AV80" s="1"/>
      <c r="AW80" s="1"/>
    </row>
    <row r="81" spans="1:49" ht="18" customHeight="1" x14ac:dyDescent="0.25">
      <c r="A81" s="2"/>
      <c r="B81" s="32"/>
      <c r="C81" s="31"/>
      <c r="D81" s="31"/>
      <c r="E81" s="31"/>
      <c r="F81" s="31"/>
      <c r="G81" s="31"/>
      <c r="H81" s="31"/>
      <c r="I81" s="31"/>
      <c r="J81" s="31"/>
      <c r="K81" s="31"/>
      <c r="L81" s="31"/>
      <c r="M81" s="31"/>
      <c r="N81" s="31"/>
      <c r="O81" s="31"/>
      <c r="P81" s="31"/>
      <c r="Q81" s="31"/>
      <c r="R81" s="2"/>
      <c r="S81" s="2"/>
      <c r="T81" s="1"/>
      <c r="U81" s="1"/>
      <c r="V81" s="1"/>
      <c r="W81" s="1"/>
      <c r="X81" s="5"/>
      <c r="Y81" s="5"/>
      <c r="Z81" s="5"/>
      <c r="AA81" s="1"/>
      <c r="AB81" s="1"/>
      <c r="AC81" s="1"/>
      <c r="AD81" s="1"/>
      <c r="AE81" s="1"/>
      <c r="AF81" s="1"/>
      <c r="AG81" s="1"/>
      <c r="AH81" s="1"/>
      <c r="AI81" s="1"/>
      <c r="AJ81" s="1"/>
      <c r="AK81" s="1"/>
      <c r="AL81" s="1"/>
      <c r="AM81" s="1"/>
      <c r="AN81" s="1"/>
      <c r="AO81" s="1"/>
      <c r="AP81" s="1"/>
      <c r="AQ81" s="1"/>
      <c r="AR81" s="1"/>
      <c r="AS81" s="1"/>
      <c r="AT81" s="1"/>
      <c r="AU81" s="1"/>
      <c r="AV81" s="1"/>
      <c r="AW81" s="1"/>
    </row>
    <row r="82" spans="1:49" ht="18" customHeight="1" x14ac:dyDescent="0.25">
      <c r="A82" s="2"/>
      <c r="B82" s="32"/>
      <c r="C82" s="31"/>
      <c r="D82" s="31"/>
      <c r="E82" s="31"/>
      <c r="F82" s="31"/>
      <c r="G82" s="31"/>
      <c r="H82" s="31"/>
      <c r="I82" s="31"/>
      <c r="J82" s="31"/>
      <c r="K82" s="31"/>
      <c r="L82" s="31"/>
      <c r="M82" s="31"/>
      <c r="N82" s="31"/>
      <c r="O82" s="31"/>
      <c r="P82" s="31"/>
      <c r="Q82" s="31"/>
      <c r="R82" s="2"/>
      <c r="S82" s="2"/>
      <c r="T82" s="1"/>
      <c r="U82" s="1"/>
      <c r="V82" s="1"/>
      <c r="W82" s="1"/>
      <c r="X82" s="5"/>
      <c r="Y82" s="5"/>
      <c r="Z82" s="5"/>
      <c r="AA82" s="1"/>
      <c r="AB82" s="1"/>
      <c r="AC82" s="1"/>
      <c r="AD82" s="1"/>
      <c r="AE82" s="1"/>
      <c r="AF82" s="1"/>
      <c r="AG82" s="1"/>
      <c r="AH82" s="1"/>
      <c r="AI82" s="1"/>
      <c r="AJ82" s="1"/>
      <c r="AK82" s="1"/>
      <c r="AL82" s="1"/>
      <c r="AM82" s="1"/>
      <c r="AN82" s="1"/>
      <c r="AO82" s="1"/>
      <c r="AP82" s="1"/>
      <c r="AQ82" s="1"/>
      <c r="AR82" s="1"/>
      <c r="AS82" s="1"/>
      <c r="AT82" s="1"/>
      <c r="AU82" s="1"/>
      <c r="AV82" s="1"/>
      <c r="AW82" s="1"/>
    </row>
    <row r="83" spans="1:49" ht="18" customHeight="1" x14ac:dyDescent="0.25">
      <c r="A83" s="2"/>
      <c r="B83" s="32"/>
      <c r="C83" s="31"/>
      <c r="D83" s="31"/>
      <c r="E83" s="31"/>
      <c r="F83" s="31"/>
      <c r="G83" s="31"/>
      <c r="H83" s="31"/>
      <c r="I83" s="31"/>
      <c r="J83" s="31"/>
      <c r="K83" s="31"/>
      <c r="L83" s="31"/>
      <c r="M83" s="31"/>
      <c r="N83" s="31"/>
      <c r="O83" s="31"/>
      <c r="P83" s="31"/>
      <c r="Q83" s="31"/>
      <c r="R83" s="2"/>
      <c r="S83" s="2"/>
      <c r="T83" s="1"/>
      <c r="U83" s="1"/>
      <c r="V83" s="1"/>
      <c r="W83" s="1"/>
      <c r="X83" s="5"/>
      <c r="Y83" s="5"/>
      <c r="Z83" s="5"/>
      <c r="AA83" s="1"/>
      <c r="AB83" s="1"/>
      <c r="AC83" s="1"/>
      <c r="AD83" s="1"/>
      <c r="AE83" s="1"/>
      <c r="AF83" s="1"/>
      <c r="AG83" s="1"/>
      <c r="AH83" s="1"/>
      <c r="AI83" s="1"/>
      <c r="AJ83" s="1"/>
      <c r="AK83" s="1"/>
      <c r="AL83" s="1"/>
      <c r="AM83" s="1"/>
      <c r="AN83" s="1"/>
      <c r="AO83" s="1"/>
      <c r="AP83" s="1"/>
      <c r="AQ83" s="1"/>
      <c r="AR83" s="1"/>
      <c r="AS83" s="1"/>
      <c r="AT83" s="1"/>
      <c r="AU83" s="1"/>
      <c r="AV83" s="1"/>
      <c r="AW83" s="1"/>
    </row>
    <row r="84" spans="1:49" ht="18" customHeight="1" x14ac:dyDescent="0.25">
      <c r="A84" s="2"/>
      <c r="B84" s="32"/>
      <c r="C84" s="31"/>
      <c r="D84" s="31"/>
      <c r="E84" s="31"/>
      <c r="F84" s="31"/>
      <c r="G84" s="31"/>
      <c r="H84" s="31"/>
      <c r="I84" s="31"/>
      <c r="J84" s="31"/>
      <c r="K84" s="31"/>
      <c r="L84" s="31"/>
      <c r="M84" s="31"/>
      <c r="N84" s="31"/>
      <c r="O84" s="31"/>
      <c r="P84" s="31"/>
      <c r="Q84" s="31"/>
      <c r="R84" s="2"/>
      <c r="S84" s="2"/>
      <c r="T84" s="1"/>
      <c r="U84" s="1"/>
      <c r="V84" s="1"/>
      <c r="W84" s="1"/>
      <c r="X84" s="5"/>
      <c r="Y84" s="5"/>
      <c r="Z84" s="5"/>
      <c r="AA84" s="1"/>
      <c r="AB84" s="1"/>
      <c r="AC84" s="1"/>
      <c r="AD84" s="1"/>
      <c r="AE84" s="1"/>
      <c r="AF84" s="1"/>
      <c r="AG84" s="1"/>
      <c r="AH84" s="1"/>
      <c r="AI84" s="1"/>
      <c r="AJ84" s="1"/>
      <c r="AK84" s="1"/>
      <c r="AL84" s="1"/>
      <c r="AM84" s="1"/>
      <c r="AN84" s="1"/>
      <c r="AO84" s="1"/>
      <c r="AP84" s="1"/>
      <c r="AQ84" s="1"/>
      <c r="AR84" s="1"/>
      <c r="AS84" s="1"/>
      <c r="AT84" s="1"/>
      <c r="AU84" s="1"/>
      <c r="AV84" s="1"/>
      <c r="AW84" s="1"/>
    </row>
    <row r="85" spans="1:49" ht="18" customHeight="1" x14ac:dyDescent="0.25">
      <c r="A85" s="2"/>
      <c r="B85" s="32"/>
      <c r="C85" s="31"/>
      <c r="D85" s="31"/>
      <c r="E85" s="31"/>
      <c r="F85" s="31"/>
      <c r="G85" s="31"/>
      <c r="H85" s="31"/>
      <c r="I85" s="31"/>
      <c r="J85" s="31"/>
      <c r="K85" s="31"/>
      <c r="L85" s="31"/>
      <c r="M85" s="31"/>
      <c r="N85" s="31"/>
      <c r="O85" s="31"/>
      <c r="P85" s="31"/>
      <c r="Q85" s="31"/>
      <c r="R85" s="2"/>
      <c r="S85" s="2"/>
      <c r="T85" s="1"/>
      <c r="U85" s="1"/>
      <c r="V85" s="1"/>
      <c r="W85" s="1"/>
      <c r="X85" s="5"/>
      <c r="Y85" s="5"/>
      <c r="Z85" s="5"/>
      <c r="AA85" s="1"/>
      <c r="AB85" s="1"/>
      <c r="AC85" s="1"/>
      <c r="AD85" s="1"/>
      <c r="AE85" s="1"/>
      <c r="AF85" s="1"/>
      <c r="AG85" s="1"/>
      <c r="AH85" s="1"/>
      <c r="AI85" s="1"/>
      <c r="AJ85" s="1"/>
      <c r="AK85" s="1"/>
      <c r="AL85" s="1"/>
      <c r="AM85" s="1"/>
      <c r="AN85" s="1"/>
      <c r="AO85" s="1"/>
      <c r="AP85" s="1"/>
      <c r="AQ85" s="1"/>
      <c r="AR85" s="1"/>
      <c r="AS85" s="1"/>
      <c r="AT85" s="1"/>
      <c r="AU85" s="1"/>
      <c r="AV85" s="1"/>
      <c r="AW85" s="1"/>
    </row>
    <row r="86" spans="1:49" ht="18" customHeight="1" x14ac:dyDescent="0.25">
      <c r="A86" s="2"/>
      <c r="B86" s="30"/>
      <c r="C86" s="31"/>
      <c r="D86" s="31"/>
      <c r="E86" s="31"/>
      <c r="F86" s="31"/>
      <c r="G86" s="31"/>
      <c r="H86" s="31"/>
      <c r="I86" s="31"/>
      <c r="J86" s="31"/>
      <c r="K86" s="31"/>
      <c r="L86" s="31"/>
      <c r="M86" s="31"/>
      <c r="N86" s="31"/>
      <c r="O86" s="31"/>
      <c r="P86" s="31"/>
      <c r="Q86" s="31"/>
      <c r="R86" s="2"/>
      <c r="S86" s="2"/>
      <c r="T86" s="1"/>
      <c r="U86" s="1"/>
      <c r="V86" s="1"/>
      <c r="W86" s="1"/>
      <c r="X86" s="5"/>
      <c r="Y86" s="5"/>
      <c r="Z86" s="5"/>
      <c r="AA86" s="1"/>
      <c r="AB86" s="1"/>
      <c r="AC86" s="1"/>
      <c r="AD86" s="1"/>
      <c r="AE86" s="1"/>
      <c r="AF86" s="1"/>
      <c r="AG86" s="1"/>
      <c r="AH86" s="1"/>
      <c r="AI86" s="1"/>
      <c r="AJ86" s="1"/>
      <c r="AK86" s="1"/>
      <c r="AL86" s="1"/>
      <c r="AM86" s="1"/>
      <c r="AN86" s="1"/>
      <c r="AO86" s="1"/>
      <c r="AP86" s="1"/>
      <c r="AQ86" s="1"/>
      <c r="AR86" s="1"/>
      <c r="AS86" s="1"/>
      <c r="AT86" s="1"/>
      <c r="AU86" s="1"/>
      <c r="AV86" s="1"/>
      <c r="AW86" s="1"/>
    </row>
    <row r="87" spans="1:49" ht="18" customHeight="1" x14ac:dyDescent="0.25">
      <c r="A87" s="2"/>
      <c r="B87" s="12"/>
      <c r="C87" s="23"/>
      <c r="D87" s="23"/>
      <c r="E87" s="23"/>
      <c r="F87" s="23"/>
      <c r="G87" s="23"/>
      <c r="H87" s="23"/>
      <c r="I87" s="23"/>
      <c r="J87" s="23"/>
      <c r="K87" s="23"/>
      <c r="L87" s="23"/>
      <c r="M87" s="23"/>
      <c r="N87" s="23"/>
      <c r="O87" s="23"/>
      <c r="P87" s="23"/>
      <c r="Q87" s="23"/>
      <c r="R87" s="2"/>
      <c r="S87" s="2"/>
      <c r="T87" s="1"/>
      <c r="U87" s="1"/>
      <c r="V87" s="1"/>
      <c r="W87" s="1"/>
      <c r="X87" s="5"/>
      <c r="Y87" s="5"/>
      <c r="Z87" s="5"/>
      <c r="AA87" s="1"/>
      <c r="AB87" s="1"/>
      <c r="AC87" s="1"/>
      <c r="AD87" s="1"/>
      <c r="AE87" s="1"/>
      <c r="AF87" s="1"/>
      <c r="AG87" s="1"/>
      <c r="AH87" s="1"/>
      <c r="AI87" s="1"/>
      <c r="AJ87" s="1"/>
      <c r="AK87" s="1"/>
      <c r="AL87" s="1"/>
      <c r="AM87" s="1"/>
      <c r="AN87" s="1"/>
      <c r="AO87" s="1"/>
      <c r="AP87" s="1"/>
      <c r="AQ87" s="1"/>
      <c r="AR87" s="1"/>
      <c r="AS87" s="1"/>
      <c r="AT87" s="1"/>
      <c r="AU87" s="1"/>
      <c r="AV87" s="1"/>
      <c r="AW87" s="1"/>
    </row>
    <row r="88" spans="1:49" ht="18" customHeight="1" x14ac:dyDescent="0.25">
      <c r="A88" s="2"/>
      <c r="B88" s="12"/>
      <c r="C88" s="23"/>
      <c r="D88" s="23"/>
      <c r="E88" s="23"/>
      <c r="F88" s="23"/>
      <c r="G88" s="23"/>
      <c r="H88" s="23"/>
      <c r="I88" s="23"/>
      <c r="J88" s="23"/>
      <c r="K88" s="23"/>
      <c r="L88" s="23"/>
      <c r="M88" s="23"/>
      <c r="N88" s="23"/>
      <c r="O88" s="23"/>
      <c r="P88" s="23"/>
      <c r="Q88" s="23"/>
      <c r="R88" s="2"/>
      <c r="S88" s="2"/>
      <c r="T88" s="1"/>
      <c r="U88" s="1"/>
      <c r="V88" s="1"/>
      <c r="W88" s="1"/>
      <c r="X88" s="5"/>
      <c r="Y88" s="5"/>
      <c r="Z88" s="5"/>
      <c r="AA88" s="1"/>
      <c r="AB88" s="1"/>
      <c r="AC88" s="1"/>
      <c r="AD88" s="1"/>
      <c r="AE88" s="1"/>
      <c r="AF88" s="1"/>
      <c r="AG88" s="1"/>
      <c r="AH88" s="1"/>
      <c r="AI88" s="1"/>
      <c r="AJ88" s="1"/>
      <c r="AK88" s="1"/>
      <c r="AL88" s="1"/>
      <c r="AM88" s="1"/>
      <c r="AN88" s="1"/>
      <c r="AO88" s="1"/>
      <c r="AP88" s="1"/>
      <c r="AQ88" s="1"/>
      <c r="AR88" s="1"/>
      <c r="AS88" s="1"/>
      <c r="AT88" s="1"/>
      <c r="AU88" s="1"/>
      <c r="AV88" s="1"/>
      <c r="AW88" s="1"/>
    </row>
    <row r="89" spans="1:49" ht="18" customHeight="1" x14ac:dyDescent="0.25">
      <c r="A89" s="2"/>
      <c r="B89" s="12"/>
      <c r="C89" s="23"/>
      <c r="D89" s="23"/>
      <c r="E89" s="23"/>
      <c r="F89" s="23"/>
      <c r="G89" s="23"/>
      <c r="H89" s="23"/>
      <c r="I89" s="23"/>
      <c r="J89" s="23"/>
      <c r="K89" s="23"/>
      <c r="L89" s="23"/>
      <c r="M89" s="23"/>
      <c r="N89" s="23"/>
      <c r="O89" s="23"/>
      <c r="P89" s="23"/>
      <c r="Q89" s="23"/>
      <c r="R89" s="2"/>
      <c r="S89" s="2"/>
      <c r="T89" s="1"/>
      <c r="U89" s="1"/>
      <c r="V89" s="1"/>
      <c r="W89" s="1"/>
      <c r="X89" s="5"/>
      <c r="Y89" s="5"/>
      <c r="Z89" s="5"/>
      <c r="AA89" s="1"/>
      <c r="AB89" s="1"/>
      <c r="AC89" s="1"/>
      <c r="AD89" s="1"/>
      <c r="AE89" s="1"/>
      <c r="AF89" s="1"/>
      <c r="AG89" s="1"/>
      <c r="AH89" s="1"/>
      <c r="AI89" s="1"/>
      <c r="AJ89" s="1"/>
      <c r="AK89" s="1"/>
      <c r="AL89" s="1"/>
      <c r="AM89" s="1"/>
      <c r="AN89" s="1"/>
      <c r="AO89" s="1"/>
      <c r="AP89" s="1"/>
      <c r="AQ89" s="1"/>
      <c r="AR89" s="1"/>
      <c r="AS89" s="1"/>
      <c r="AT89" s="1"/>
      <c r="AU89" s="1"/>
      <c r="AV89" s="1"/>
      <c r="AW89" s="1"/>
    </row>
    <row r="90" spans="1:49" ht="18" customHeight="1" x14ac:dyDescent="0.25">
      <c r="A90" s="2"/>
      <c r="B90" s="12"/>
      <c r="C90" s="23"/>
      <c r="D90" s="23"/>
      <c r="E90" s="23"/>
      <c r="F90" s="23"/>
      <c r="G90" s="23"/>
      <c r="H90" s="23"/>
      <c r="I90" s="23"/>
      <c r="J90" s="23"/>
      <c r="K90" s="23"/>
      <c r="L90" s="23"/>
      <c r="M90" s="23"/>
      <c r="N90" s="23"/>
      <c r="O90" s="23"/>
      <c r="P90" s="23"/>
      <c r="Q90" s="23"/>
      <c r="R90" s="2"/>
      <c r="S90" s="2"/>
      <c r="T90" s="1"/>
      <c r="U90" s="1"/>
      <c r="V90" s="1"/>
      <c r="W90" s="1"/>
      <c r="X90" s="5"/>
      <c r="Y90" s="5"/>
      <c r="Z90" s="5"/>
      <c r="AA90" s="1"/>
      <c r="AB90" s="1"/>
      <c r="AC90" s="1"/>
      <c r="AD90" s="1"/>
      <c r="AE90" s="1"/>
      <c r="AF90" s="1"/>
      <c r="AG90" s="1"/>
      <c r="AH90" s="1"/>
      <c r="AI90" s="1"/>
      <c r="AJ90" s="1"/>
      <c r="AK90" s="1"/>
      <c r="AL90" s="1"/>
      <c r="AM90" s="1"/>
      <c r="AN90" s="1"/>
      <c r="AO90" s="1"/>
      <c r="AP90" s="1"/>
      <c r="AQ90" s="1"/>
      <c r="AR90" s="1"/>
      <c r="AS90" s="1"/>
      <c r="AT90" s="1"/>
      <c r="AU90" s="1"/>
      <c r="AV90" s="1"/>
      <c r="AW90" s="1"/>
    </row>
    <row r="91" spans="1:49" ht="18" customHeight="1" x14ac:dyDescent="0.25">
      <c r="A91" s="2"/>
      <c r="B91" s="12"/>
      <c r="C91" s="23"/>
      <c r="D91" s="23"/>
      <c r="E91" s="23"/>
      <c r="F91" s="23"/>
      <c r="G91" s="23"/>
      <c r="H91" s="23"/>
      <c r="I91" s="23"/>
      <c r="J91" s="23"/>
      <c r="K91" s="23"/>
      <c r="L91" s="23"/>
      <c r="M91" s="23"/>
      <c r="N91" s="23"/>
      <c r="O91" s="23"/>
      <c r="P91" s="23"/>
      <c r="Q91" s="23"/>
      <c r="R91" s="2"/>
      <c r="S91" s="2"/>
      <c r="T91" s="1"/>
      <c r="U91" s="1"/>
      <c r="V91" s="1"/>
      <c r="W91" s="1"/>
      <c r="X91" s="5"/>
      <c r="Y91" s="5"/>
      <c r="Z91" s="5"/>
      <c r="AA91" s="1"/>
      <c r="AB91" s="1"/>
      <c r="AC91" s="1"/>
      <c r="AD91" s="1"/>
      <c r="AE91" s="1"/>
      <c r="AF91" s="1"/>
      <c r="AG91" s="1"/>
      <c r="AH91" s="1"/>
      <c r="AI91" s="1"/>
      <c r="AJ91" s="1"/>
      <c r="AK91" s="1"/>
      <c r="AL91" s="1"/>
      <c r="AM91" s="1"/>
      <c r="AN91" s="1"/>
      <c r="AO91" s="1"/>
      <c r="AP91" s="1"/>
      <c r="AQ91" s="1"/>
      <c r="AR91" s="1"/>
      <c r="AS91" s="1"/>
      <c r="AT91" s="1"/>
      <c r="AU91" s="1"/>
      <c r="AV91" s="1"/>
      <c r="AW91" s="1"/>
    </row>
    <row r="92" spans="1:49" ht="18" customHeight="1" x14ac:dyDescent="0.25">
      <c r="A92" s="2"/>
      <c r="B92" s="12"/>
      <c r="C92" s="23"/>
      <c r="D92" s="23"/>
      <c r="E92" s="23"/>
      <c r="F92" s="23"/>
      <c r="G92" s="23"/>
      <c r="H92" s="23"/>
      <c r="I92" s="23"/>
      <c r="J92" s="23"/>
      <c r="K92" s="23"/>
      <c r="L92" s="23"/>
      <c r="M92" s="23"/>
      <c r="N92" s="23"/>
      <c r="O92" s="23"/>
      <c r="P92" s="23"/>
      <c r="Q92" s="23"/>
      <c r="R92" s="2"/>
      <c r="S92" s="2"/>
      <c r="T92" s="1"/>
      <c r="U92" s="1"/>
      <c r="V92" s="1"/>
      <c r="W92" s="1"/>
      <c r="X92" s="5"/>
      <c r="Y92" s="5"/>
      <c r="Z92" s="5"/>
      <c r="AA92" s="1"/>
      <c r="AB92" s="1"/>
      <c r="AC92" s="1"/>
      <c r="AD92" s="1"/>
      <c r="AE92" s="1"/>
      <c r="AF92" s="1"/>
      <c r="AG92" s="1"/>
      <c r="AH92" s="1"/>
      <c r="AI92" s="1"/>
      <c r="AJ92" s="1"/>
      <c r="AK92" s="1"/>
      <c r="AL92" s="1"/>
      <c r="AM92" s="1"/>
      <c r="AN92" s="1"/>
      <c r="AO92" s="1"/>
      <c r="AP92" s="1"/>
      <c r="AQ92" s="1"/>
      <c r="AR92" s="1"/>
      <c r="AS92" s="1"/>
      <c r="AT92" s="1"/>
      <c r="AU92" s="1"/>
      <c r="AV92" s="1"/>
      <c r="AW92" s="1"/>
    </row>
    <row r="93" spans="1:49" ht="18" customHeight="1" x14ac:dyDescent="0.25">
      <c r="A93" s="2"/>
      <c r="B93" s="12"/>
      <c r="C93" s="23"/>
      <c r="D93" s="23"/>
      <c r="E93" s="23"/>
      <c r="F93" s="23"/>
      <c r="G93" s="23"/>
      <c r="H93" s="23"/>
      <c r="I93" s="23"/>
      <c r="J93" s="23"/>
      <c r="K93" s="23"/>
      <c r="L93" s="23"/>
      <c r="M93" s="23"/>
      <c r="N93" s="23"/>
      <c r="O93" s="23"/>
      <c r="P93" s="23"/>
      <c r="Q93" s="23"/>
      <c r="R93" s="2"/>
      <c r="S93" s="2"/>
      <c r="T93" s="1"/>
      <c r="U93" s="1"/>
      <c r="V93" s="1"/>
      <c r="W93" s="1"/>
      <c r="X93" s="5"/>
      <c r="Y93" s="5"/>
      <c r="Z93" s="5"/>
      <c r="AA93" s="1"/>
      <c r="AB93" s="1"/>
      <c r="AC93" s="1"/>
      <c r="AD93" s="1"/>
      <c r="AE93" s="1"/>
      <c r="AF93" s="1"/>
      <c r="AG93" s="1"/>
      <c r="AH93" s="1"/>
      <c r="AI93" s="1"/>
      <c r="AJ93" s="1"/>
      <c r="AK93" s="1"/>
      <c r="AL93" s="1"/>
      <c r="AM93" s="1"/>
      <c r="AN93" s="1"/>
      <c r="AO93" s="1"/>
      <c r="AP93" s="1"/>
      <c r="AQ93" s="1"/>
      <c r="AR93" s="1"/>
      <c r="AS93" s="1"/>
      <c r="AT93" s="1"/>
      <c r="AU93" s="1"/>
      <c r="AV93" s="1"/>
      <c r="AW93" s="1"/>
    </row>
    <row r="94" spans="1:49" ht="18" customHeight="1" x14ac:dyDescent="0.25">
      <c r="A94" s="2"/>
      <c r="B94" s="12"/>
      <c r="C94" s="23"/>
      <c r="D94" s="23"/>
      <c r="E94" s="23"/>
      <c r="F94" s="23"/>
      <c r="G94" s="23"/>
      <c r="H94" s="23"/>
      <c r="I94" s="23"/>
      <c r="J94" s="23"/>
      <c r="K94" s="23"/>
      <c r="L94" s="23"/>
      <c r="M94" s="23"/>
      <c r="N94" s="23"/>
      <c r="O94" s="23"/>
      <c r="P94" s="23"/>
      <c r="Q94" s="23"/>
      <c r="R94" s="2"/>
      <c r="S94" s="2"/>
      <c r="T94" s="1"/>
      <c r="U94" s="1"/>
      <c r="V94" s="1"/>
      <c r="W94" s="1"/>
      <c r="X94" s="5"/>
      <c r="Y94" s="5"/>
      <c r="Z94" s="5"/>
      <c r="AA94" s="1"/>
      <c r="AB94" s="1"/>
      <c r="AC94" s="1"/>
      <c r="AD94" s="1"/>
      <c r="AE94" s="1"/>
      <c r="AF94" s="1"/>
      <c r="AG94" s="1"/>
      <c r="AH94" s="1"/>
      <c r="AI94" s="1"/>
      <c r="AJ94" s="1"/>
      <c r="AK94" s="1"/>
      <c r="AL94" s="1"/>
      <c r="AM94" s="1"/>
      <c r="AN94" s="1"/>
      <c r="AO94" s="1"/>
      <c r="AP94" s="1"/>
      <c r="AQ94" s="1"/>
      <c r="AR94" s="1"/>
      <c r="AS94" s="1"/>
      <c r="AT94" s="1"/>
      <c r="AU94" s="1"/>
      <c r="AV94" s="1"/>
      <c r="AW94" s="1"/>
    </row>
    <row r="95" spans="1:49" ht="18" customHeight="1" x14ac:dyDescent="0.25">
      <c r="A95" s="2"/>
      <c r="B95" s="20"/>
      <c r="C95" s="23"/>
      <c r="D95" s="23"/>
      <c r="E95" s="23"/>
      <c r="F95" s="23"/>
      <c r="G95" s="23"/>
      <c r="H95" s="23"/>
      <c r="I95" s="23"/>
      <c r="J95" s="23"/>
      <c r="K95" s="23"/>
      <c r="L95" s="23"/>
      <c r="M95" s="23"/>
      <c r="N95" s="23"/>
      <c r="O95" s="23"/>
      <c r="P95" s="23"/>
      <c r="Q95" s="23"/>
      <c r="R95" s="2"/>
      <c r="S95" s="2"/>
      <c r="T95" s="1"/>
      <c r="U95" s="1"/>
      <c r="V95" s="1"/>
      <c r="W95" s="1"/>
      <c r="X95" s="5"/>
      <c r="Y95" s="5"/>
      <c r="Z95" s="5"/>
      <c r="AA95" s="1"/>
      <c r="AB95" s="1"/>
      <c r="AC95" s="1"/>
      <c r="AD95" s="1"/>
      <c r="AE95" s="1"/>
      <c r="AF95" s="1"/>
      <c r="AG95" s="1"/>
      <c r="AH95" s="1"/>
      <c r="AI95" s="1"/>
      <c r="AJ95" s="1"/>
      <c r="AK95" s="1"/>
      <c r="AL95" s="1"/>
      <c r="AM95" s="1"/>
      <c r="AN95" s="1"/>
      <c r="AO95" s="1"/>
      <c r="AP95" s="1"/>
      <c r="AQ95" s="1"/>
      <c r="AR95" s="1"/>
      <c r="AS95" s="1"/>
      <c r="AT95" s="1"/>
      <c r="AU95" s="1"/>
      <c r="AV95" s="1"/>
      <c r="AW95" s="1"/>
    </row>
    <row r="96" spans="1:49" ht="18" customHeight="1" x14ac:dyDescent="0.25">
      <c r="A96" s="2"/>
      <c r="B96" s="21"/>
      <c r="C96" s="31"/>
      <c r="D96" s="31"/>
      <c r="E96" s="31"/>
      <c r="F96" s="31"/>
      <c r="G96" s="31"/>
      <c r="H96" s="31"/>
      <c r="I96" s="31"/>
      <c r="J96" s="31"/>
      <c r="K96" s="31"/>
      <c r="L96" s="31"/>
      <c r="M96" s="31"/>
      <c r="N96" s="31"/>
      <c r="O96" s="31"/>
      <c r="P96" s="31"/>
      <c r="Q96" s="31"/>
      <c r="R96" s="2"/>
      <c r="S96" s="2"/>
      <c r="T96" s="1"/>
      <c r="U96" s="1"/>
      <c r="V96" s="1"/>
      <c r="W96" s="1"/>
      <c r="X96" s="5"/>
      <c r="Y96" s="5"/>
      <c r="Z96" s="5"/>
      <c r="AA96" s="1"/>
      <c r="AB96" s="1"/>
      <c r="AC96" s="1"/>
      <c r="AD96" s="1"/>
      <c r="AE96" s="1"/>
      <c r="AF96" s="1"/>
      <c r="AG96" s="1"/>
      <c r="AH96" s="1"/>
      <c r="AI96" s="1"/>
      <c r="AJ96" s="1"/>
      <c r="AK96" s="1"/>
      <c r="AL96" s="1"/>
      <c r="AM96" s="1"/>
      <c r="AN96" s="1"/>
      <c r="AO96" s="1"/>
      <c r="AP96" s="1"/>
      <c r="AQ96" s="1"/>
      <c r="AR96" s="1"/>
      <c r="AS96" s="1"/>
      <c r="AT96" s="1"/>
      <c r="AU96" s="1"/>
      <c r="AV96" s="1"/>
      <c r="AW96" s="1"/>
    </row>
    <row r="97" spans="1:49" ht="18" customHeight="1" x14ac:dyDescent="0.25">
      <c r="A97" s="2"/>
      <c r="B97" s="19"/>
      <c r="C97" s="23"/>
      <c r="D97" s="23"/>
      <c r="E97" s="23"/>
      <c r="F97" s="23"/>
      <c r="G97" s="23"/>
      <c r="H97" s="23"/>
      <c r="I97" s="23"/>
      <c r="J97" s="23"/>
      <c r="K97" s="23"/>
      <c r="L97" s="23"/>
      <c r="M97" s="23"/>
      <c r="N97" s="23"/>
      <c r="O97" s="23"/>
      <c r="P97" s="23"/>
      <c r="Q97" s="23"/>
      <c r="R97" s="2"/>
      <c r="S97" s="2"/>
      <c r="T97" s="1"/>
      <c r="U97" s="1"/>
      <c r="V97" s="1"/>
      <c r="W97" s="1"/>
      <c r="X97" s="5"/>
      <c r="Y97" s="5"/>
      <c r="Z97" s="5"/>
      <c r="AA97" s="1"/>
      <c r="AB97" s="1"/>
      <c r="AC97" s="1"/>
      <c r="AD97" s="1"/>
      <c r="AE97" s="1"/>
      <c r="AF97" s="1"/>
      <c r="AG97" s="1"/>
      <c r="AH97" s="1"/>
      <c r="AI97" s="1"/>
      <c r="AJ97" s="1"/>
      <c r="AK97" s="1"/>
      <c r="AL97" s="1"/>
      <c r="AM97" s="1"/>
      <c r="AN97" s="1"/>
      <c r="AO97" s="1"/>
      <c r="AP97" s="1"/>
      <c r="AQ97" s="1"/>
      <c r="AR97" s="1"/>
      <c r="AS97" s="1"/>
      <c r="AT97" s="1"/>
      <c r="AU97" s="1"/>
      <c r="AV97" s="1"/>
      <c r="AW97" s="1"/>
    </row>
    <row r="98" spans="1:49" ht="18" customHeight="1" x14ac:dyDescent="0.25">
      <c r="A98" s="2"/>
      <c r="B98" s="13"/>
      <c r="C98" s="23"/>
      <c r="D98" s="23"/>
      <c r="E98" s="23"/>
      <c r="F98" s="23"/>
      <c r="G98" s="23"/>
      <c r="H98" s="23"/>
      <c r="I98" s="23"/>
      <c r="J98" s="23"/>
      <c r="K98" s="23"/>
      <c r="L98" s="23"/>
      <c r="M98" s="23"/>
      <c r="N98" s="23"/>
      <c r="O98" s="23"/>
      <c r="P98" s="23"/>
      <c r="Q98" s="23"/>
      <c r="R98" s="2"/>
      <c r="S98" s="2"/>
      <c r="T98" s="1"/>
      <c r="U98" s="1"/>
      <c r="V98" s="1"/>
      <c r="W98" s="1"/>
      <c r="X98" s="5"/>
      <c r="Y98" s="5"/>
      <c r="Z98" s="5"/>
      <c r="AA98" s="1"/>
      <c r="AB98" s="1"/>
      <c r="AC98" s="1"/>
      <c r="AD98" s="1"/>
      <c r="AE98" s="1"/>
      <c r="AF98" s="1"/>
      <c r="AG98" s="1"/>
      <c r="AH98" s="1"/>
      <c r="AI98" s="1"/>
      <c r="AJ98" s="1"/>
      <c r="AK98" s="1"/>
      <c r="AL98" s="1"/>
      <c r="AM98" s="1"/>
      <c r="AN98" s="1"/>
      <c r="AO98" s="1"/>
      <c r="AP98" s="1"/>
      <c r="AQ98" s="1"/>
      <c r="AR98" s="1"/>
      <c r="AS98" s="1"/>
      <c r="AT98" s="1"/>
      <c r="AU98" s="1"/>
      <c r="AV98" s="1"/>
      <c r="AW98" s="1"/>
    </row>
    <row r="99" spans="1:49" ht="18" customHeight="1" x14ac:dyDescent="0.25">
      <c r="A99" s="2"/>
      <c r="B99" s="13"/>
      <c r="C99" s="23"/>
      <c r="D99" s="23"/>
      <c r="E99" s="23"/>
      <c r="F99" s="23"/>
      <c r="G99" s="23"/>
      <c r="H99" s="23"/>
      <c r="I99" s="23"/>
      <c r="J99" s="23"/>
      <c r="K99" s="23"/>
      <c r="L99" s="23"/>
      <c r="M99" s="23"/>
      <c r="N99" s="23"/>
      <c r="O99" s="23"/>
      <c r="P99" s="23"/>
      <c r="Q99" s="23"/>
      <c r="R99" s="2"/>
      <c r="S99" s="2"/>
      <c r="T99" s="1"/>
      <c r="U99" s="1"/>
      <c r="V99" s="1"/>
      <c r="W99" s="1"/>
      <c r="X99" s="5"/>
      <c r="Y99" s="5"/>
      <c r="Z99" s="5"/>
      <c r="AA99" s="1"/>
      <c r="AB99" s="1"/>
      <c r="AC99" s="1"/>
      <c r="AD99" s="1"/>
      <c r="AE99" s="1"/>
      <c r="AF99" s="1"/>
      <c r="AG99" s="1"/>
      <c r="AH99" s="1"/>
      <c r="AI99" s="1"/>
      <c r="AJ99" s="1"/>
      <c r="AK99" s="1"/>
      <c r="AL99" s="1"/>
      <c r="AM99" s="1"/>
      <c r="AN99" s="1"/>
      <c r="AO99" s="1"/>
      <c r="AP99" s="1"/>
      <c r="AQ99" s="1"/>
      <c r="AR99" s="1"/>
      <c r="AS99" s="1"/>
      <c r="AT99" s="1"/>
      <c r="AU99" s="1"/>
      <c r="AV99" s="1"/>
      <c r="AW99" s="1"/>
    </row>
    <row r="100" spans="1:49" ht="18" customHeight="1" x14ac:dyDescent="0.25">
      <c r="A100" s="2"/>
      <c r="B100" s="13"/>
      <c r="C100" s="23"/>
      <c r="D100" s="23"/>
      <c r="E100" s="23"/>
      <c r="F100" s="23"/>
      <c r="G100" s="23"/>
      <c r="H100" s="23"/>
      <c r="I100" s="23"/>
      <c r="J100" s="23"/>
      <c r="K100" s="23"/>
      <c r="L100" s="23"/>
      <c r="M100" s="23"/>
      <c r="N100" s="23"/>
      <c r="O100" s="23"/>
      <c r="P100" s="23"/>
      <c r="Q100" s="23"/>
      <c r="R100" s="2"/>
      <c r="S100" s="2"/>
      <c r="T100" s="1"/>
      <c r="U100" s="1"/>
      <c r="V100" s="1"/>
      <c r="W100" s="1"/>
      <c r="X100" s="5"/>
      <c r="Y100" s="5"/>
      <c r="Z100" s="5"/>
      <c r="AA100" s="1"/>
      <c r="AB100" s="1"/>
      <c r="AC100" s="1"/>
      <c r="AD100" s="1"/>
      <c r="AE100" s="1"/>
      <c r="AF100" s="1"/>
      <c r="AG100" s="1"/>
      <c r="AH100" s="1"/>
      <c r="AI100" s="1"/>
      <c r="AJ100" s="1"/>
      <c r="AK100" s="1"/>
      <c r="AL100" s="1"/>
      <c r="AM100" s="1"/>
      <c r="AN100" s="1"/>
      <c r="AO100" s="1"/>
      <c r="AP100" s="1"/>
      <c r="AQ100" s="1"/>
      <c r="AR100" s="1"/>
      <c r="AS100" s="1"/>
      <c r="AT100" s="1"/>
      <c r="AU100" s="1"/>
      <c r="AV100" s="1"/>
      <c r="AW100" s="1"/>
    </row>
    <row r="101" spans="1:49" ht="18" customHeight="1" x14ac:dyDescent="0.25">
      <c r="A101" s="2"/>
      <c r="B101" s="13"/>
      <c r="C101" s="23"/>
      <c r="D101" s="23"/>
      <c r="E101" s="23"/>
      <c r="F101" s="23"/>
      <c r="G101" s="23"/>
      <c r="H101" s="23"/>
      <c r="I101" s="23"/>
      <c r="J101" s="23"/>
      <c r="K101" s="23"/>
      <c r="L101" s="23"/>
      <c r="M101" s="23"/>
      <c r="N101" s="23"/>
      <c r="O101" s="23"/>
      <c r="P101" s="23"/>
      <c r="Q101" s="23"/>
      <c r="R101" s="2"/>
      <c r="S101" s="2"/>
      <c r="T101" s="1"/>
      <c r="U101" s="1"/>
      <c r="V101" s="1"/>
      <c r="W101" s="1"/>
      <c r="X101" s="5"/>
      <c r="Y101" s="5"/>
      <c r="Z101" s="5"/>
      <c r="AA101" s="1"/>
      <c r="AB101" s="1"/>
      <c r="AC101" s="1"/>
      <c r="AD101" s="1"/>
      <c r="AE101" s="1"/>
      <c r="AF101" s="1"/>
      <c r="AG101" s="1"/>
      <c r="AH101" s="1"/>
      <c r="AI101" s="1"/>
      <c r="AJ101" s="1"/>
      <c r="AK101" s="1"/>
      <c r="AL101" s="1"/>
      <c r="AM101" s="1"/>
      <c r="AN101" s="1"/>
      <c r="AO101" s="1"/>
      <c r="AP101" s="1"/>
      <c r="AQ101" s="1"/>
      <c r="AR101" s="1"/>
      <c r="AS101" s="1"/>
      <c r="AT101" s="1"/>
      <c r="AU101" s="1"/>
      <c r="AV101" s="1"/>
      <c r="AW101" s="1"/>
    </row>
    <row r="102" spans="1:49" ht="18" customHeight="1" x14ac:dyDescent="0.25">
      <c r="A102" s="2"/>
      <c r="B102" s="13"/>
      <c r="C102" s="23"/>
      <c r="D102" s="23"/>
      <c r="E102" s="23"/>
      <c r="F102" s="23"/>
      <c r="G102" s="23"/>
      <c r="H102" s="23"/>
      <c r="I102" s="23"/>
      <c r="J102" s="23"/>
      <c r="K102" s="23"/>
      <c r="L102" s="23"/>
      <c r="M102" s="23"/>
      <c r="N102" s="23"/>
      <c r="O102" s="23"/>
      <c r="P102" s="23"/>
      <c r="Q102" s="23"/>
      <c r="R102" s="2"/>
      <c r="S102" s="2"/>
      <c r="T102" s="1"/>
      <c r="U102" s="1"/>
      <c r="V102" s="1"/>
      <c r="W102" s="1"/>
      <c r="X102" s="5"/>
      <c r="Y102" s="5"/>
      <c r="Z102" s="5"/>
      <c r="AA102" s="1"/>
      <c r="AB102" s="1"/>
      <c r="AC102" s="1"/>
      <c r="AD102" s="1"/>
      <c r="AE102" s="1"/>
      <c r="AF102" s="1"/>
      <c r="AG102" s="1"/>
      <c r="AH102" s="1"/>
      <c r="AI102" s="1"/>
      <c r="AJ102" s="1"/>
      <c r="AK102" s="1"/>
      <c r="AL102" s="1"/>
      <c r="AM102" s="1"/>
      <c r="AN102" s="1"/>
      <c r="AO102" s="1"/>
      <c r="AP102" s="1"/>
      <c r="AQ102" s="1"/>
      <c r="AR102" s="1"/>
      <c r="AS102" s="1"/>
      <c r="AT102" s="1"/>
      <c r="AU102" s="1"/>
      <c r="AV102" s="1"/>
      <c r="AW102" s="1"/>
    </row>
    <row r="103" spans="1:49" ht="18" customHeight="1" x14ac:dyDescent="0.25">
      <c r="A103" s="2"/>
      <c r="B103" s="13"/>
      <c r="C103" s="23"/>
      <c r="D103" s="23"/>
      <c r="E103" s="23"/>
      <c r="F103" s="23"/>
      <c r="G103" s="23"/>
      <c r="H103" s="23"/>
      <c r="I103" s="23"/>
      <c r="J103" s="23"/>
      <c r="K103" s="23"/>
      <c r="L103" s="23"/>
      <c r="M103" s="23"/>
      <c r="N103" s="23"/>
      <c r="O103" s="23"/>
      <c r="P103" s="23"/>
      <c r="Q103" s="23"/>
      <c r="R103" s="2"/>
      <c r="S103" s="2"/>
      <c r="T103" s="1"/>
      <c r="U103" s="1"/>
      <c r="V103" s="1"/>
      <c r="W103" s="1"/>
      <c r="X103" s="5"/>
      <c r="Y103" s="5"/>
      <c r="Z103" s="5"/>
      <c r="AA103" s="1"/>
      <c r="AB103" s="1"/>
      <c r="AC103" s="1"/>
      <c r="AD103" s="1"/>
      <c r="AE103" s="1"/>
      <c r="AF103" s="1"/>
      <c r="AG103" s="1"/>
      <c r="AH103" s="1"/>
      <c r="AI103" s="1"/>
      <c r="AJ103" s="1"/>
      <c r="AK103" s="1"/>
      <c r="AL103" s="1"/>
      <c r="AM103" s="1"/>
      <c r="AN103" s="1"/>
      <c r="AO103" s="1"/>
      <c r="AP103" s="1"/>
      <c r="AQ103" s="1"/>
      <c r="AR103" s="1"/>
      <c r="AS103" s="1"/>
      <c r="AT103" s="1"/>
      <c r="AU103" s="1"/>
      <c r="AV103" s="1"/>
      <c r="AW103" s="1"/>
    </row>
    <row r="104" spans="1:49" ht="18" customHeight="1" x14ac:dyDescent="0.25">
      <c r="A104" s="2"/>
      <c r="B104" s="13"/>
      <c r="C104" s="23"/>
      <c r="D104" s="23"/>
      <c r="E104" s="23"/>
      <c r="F104" s="23"/>
      <c r="G104" s="23"/>
      <c r="H104" s="23"/>
      <c r="I104" s="23"/>
      <c r="J104" s="23"/>
      <c r="K104" s="23"/>
      <c r="L104" s="23"/>
      <c r="M104" s="23"/>
      <c r="N104" s="23"/>
      <c r="O104" s="23"/>
      <c r="P104" s="23"/>
      <c r="Q104" s="23"/>
      <c r="R104" s="2"/>
      <c r="S104" s="2"/>
      <c r="T104" s="1"/>
      <c r="U104" s="1"/>
      <c r="V104" s="1"/>
      <c r="W104" s="1"/>
      <c r="X104" s="5"/>
      <c r="Y104" s="5"/>
      <c r="Z104" s="5"/>
      <c r="AA104" s="1"/>
      <c r="AB104" s="1"/>
      <c r="AC104" s="1"/>
      <c r="AD104" s="1"/>
      <c r="AE104" s="1"/>
      <c r="AF104" s="1"/>
      <c r="AG104" s="1"/>
      <c r="AH104" s="1"/>
      <c r="AI104" s="1"/>
      <c r="AJ104" s="1"/>
      <c r="AK104" s="1"/>
      <c r="AL104" s="1"/>
      <c r="AM104" s="1"/>
      <c r="AN104" s="1"/>
      <c r="AO104" s="1"/>
      <c r="AP104" s="1"/>
      <c r="AQ104" s="1"/>
      <c r="AR104" s="1"/>
      <c r="AS104" s="1"/>
      <c r="AT104" s="1"/>
      <c r="AU104" s="1"/>
      <c r="AV104" s="1"/>
      <c r="AW104" s="1"/>
    </row>
    <row r="105" spans="1:49" ht="18" customHeight="1" x14ac:dyDescent="0.25">
      <c r="A105" s="2"/>
      <c r="B105" s="13"/>
      <c r="C105" s="23"/>
      <c r="D105" s="23"/>
      <c r="E105" s="23"/>
      <c r="F105" s="23"/>
      <c r="G105" s="23"/>
      <c r="H105" s="23"/>
      <c r="I105" s="23"/>
      <c r="J105" s="23"/>
      <c r="K105" s="23"/>
      <c r="L105" s="23"/>
      <c r="M105" s="23"/>
      <c r="N105" s="23"/>
      <c r="O105" s="23"/>
      <c r="P105" s="23"/>
      <c r="Q105" s="23"/>
      <c r="R105" s="2"/>
      <c r="S105" s="2"/>
      <c r="T105" s="1"/>
      <c r="U105" s="1"/>
      <c r="V105" s="1"/>
      <c r="W105" s="1"/>
      <c r="X105" s="5"/>
      <c r="Y105" s="5"/>
      <c r="Z105" s="5"/>
      <c r="AA105" s="1"/>
      <c r="AB105" s="1"/>
      <c r="AC105" s="1"/>
      <c r="AD105" s="1"/>
      <c r="AE105" s="1"/>
      <c r="AF105" s="1"/>
      <c r="AG105" s="1"/>
      <c r="AH105" s="1"/>
      <c r="AI105" s="1"/>
      <c r="AJ105" s="1"/>
      <c r="AK105" s="1"/>
      <c r="AL105" s="1"/>
      <c r="AM105" s="1"/>
      <c r="AN105" s="1"/>
      <c r="AO105" s="1"/>
      <c r="AP105" s="1"/>
      <c r="AQ105" s="1"/>
      <c r="AR105" s="1"/>
      <c r="AS105" s="1"/>
      <c r="AT105" s="1"/>
      <c r="AU105" s="1"/>
      <c r="AV105" s="1"/>
      <c r="AW105" s="1"/>
    </row>
    <row r="106" spans="1:49" ht="18" customHeight="1" x14ac:dyDescent="0.25">
      <c r="A106" s="2"/>
      <c r="B106" s="13"/>
      <c r="C106" s="23"/>
      <c r="D106" s="23"/>
      <c r="E106" s="23"/>
      <c r="F106" s="23"/>
      <c r="G106" s="23"/>
      <c r="H106" s="23"/>
      <c r="I106" s="23"/>
      <c r="J106" s="23"/>
      <c r="K106" s="23"/>
      <c r="L106" s="23"/>
      <c r="M106" s="23"/>
      <c r="N106" s="23"/>
      <c r="O106" s="23"/>
      <c r="P106" s="23"/>
      <c r="Q106" s="23"/>
      <c r="R106" s="2"/>
      <c r="S106" s="2"/>
      <c r="T106" s="1"/>
      <c r="U106" s="1"/>
      <c r="V106" s="1"/>
      <c r="W106" s="1"/>
      <c r="X106" s="5"/>
      <c r="Y106" s="5"/>
      <c r="Z106" s="5"/>
      <c r="AA106" s="1"/>
      <c r="AB106" s="1"/>
      <c r="AC106" s="1"/>
      <c r="AD106" s="1"/>
      <c r="AE106" s="1"/>
      <c r="AF106" s="1"/>
      <c r="AG106" s="1"/>
      <c r="AH106" s="1"/>
      <c r="AI106" s="1"/>
      <c r="AJ106" s="1"/>
      <c r="AK106" s="1"/>
      <c r="AL106" s="1"/>
      <c r="AM106" s="1"/>
      <c r="AN106" s="1"/>
      <c r="AO106" s="1"/>
      <c r="AP106" s="1"/>
      <c r="AQ106" s="1"/>
      <c r="AR106" s="1"/>
      <c r="AS106" s="1"/>
      <c r="AT106" s="1"/>
      <c r="AU106" s="1"/>
      <c r="AV106" s="1"/>
      <c r="AW106" s="1"/>
    </row>
    <row r="107" spans="1:49" ht="18" customHeight="1" x14ac:dyDescent="0.25">
      <c r="A107" s="2"/>
      <c r="B107" s="13"/>
      <c r="C107" s="23"/>
      <c r="D107" s="23"/>
      <c r="E107" s="23"/>
      <c r="F107" s="23"/>
      <c r="G107" s="23"/>
      <c r="H107" s="23"/>
      <c r="I107" s="23"/>
      <c r="J107" s="23"/>
      <c r="K107" s="23"/>
      <c r="L107" s="23"/>
      <c r="M107" s="23"/>
      <c r="N107" s="23"/>
      <c r="O107" s="23"/>
      <c r="P107" s="23"/>
      <c r="Q107" s="23"/>
      <c r="R107" s="2"/>
      <c r="S107" s="2"/>
      <c r="T107" s="1"/>
      <c r="U107" s="1"/>
      <c r="V107" s="1"/>
      <c r="W107" s="1"/>
      <c r="X107" s="5"/>
      <c r="Y107" s="5"/>
      <c r="Z107" s="5"/>
      <c r="AA107" s="1"/>
      <c r="AB107" s="1"/>
      <c r="AC107" s="1"/>
      <c r="AD107" s="1"/>
      <c r="AE107" s="1"/>
      <c r="AF107" s="1"/>
      <c r="AG107" s="1"/>
      <c r="AH107" s="1"/>
      <c r="AI107" s="1"/>
      <c r="AJ107" s="1"/>
      <c r="AK107" s="1"/>
      <c r="AL107" s="1"/>
      <c r="AM107" s="1"/>
      <c r="AN107" s="1"/>
      <c r="AO107" s="1"/>
      <c r="AP107" s="1"/>
      <c r="AQ107" s="1"/>
      <c r="AR107" s="1"/>
      <c r="AS107" s="1"/>
      <c r="AT107" s="1"/>
      <c r="AU107" s="1"/>
      <c r="AV107" s="1"/>
      <c r="AW107" s="1"/>
    </row>
    <row r="108" spans="1:49" ht="18" customHeight="1" x14ac:dyDescent="0.25">
      <c r="A108" s="2"/>
      <c r="B108" s="13"/>
      <c r="C108" s="23"/>
      <c r="D108" s="23"/>
      <c r="E108" s="23"/>
      <c r="F108" s="23"/>
      <c r="G108" s="23"/>
      <c r="H108" s="23"/>
      <c r="I108" s="23"/>
      <c r="J108" s="23"/>
      <c r="K108" s="23"/>
      <c r="L108" s="23"/>
      <c r="M108" s="23"/>
      <c r="N108" s="23"/>
      <c r="O108" s="23"/>
      <c r="P108" s="23"/>
      <c r="Q108" s="23"/>
      <c r="R108" s="2"/>
      <c r="S108" s="2"/>
      <c r="T108" s="1"/>
      <c r="U108" s="1"/>
      <c r="V108" s="1"/>
      <c r="W108" s="1"/>
      <c r="X108" s="5"/>
      <c r="Y108" s="5"/>
      <c r="Z108" s="5"/>
      <c r="AA108" s="1"/>
      <c r="AB108" s="1"/>
      <c r="AC108" s="1"/>
      <c r="AD108" s="1"/>
      <c r="AE108" s="1"/>
      <c r="AF108" s="1"/>
      <c r="AG108" s="1"/>
      <c r="AH108" s="1"/>
      <c r="AI108" s="1"/>
      <c r="AJ108" s="1"/>
      <c r="AK108" s="1"/>
      <c r="AL108" s="1"/>
      <c r="AM108" s="1"/>
      <c r="AN108" s="1"/>
      <c r="AO108" s="1"/>
      <c r="AP108" s="1"/>
      <c r="AQ108" s="1"/>
      <c r="AR108" s="1"/>
      <c r="AS108" s="1"/>
      <c r="AT108" s="1"/>
      <c r="AU108" s="1"/>
      <c r="AV108" s="1"/>
      <c r="AW108" s="1"/>
    </row>
    <row r="109" spans="1:49" ht="18" customHeight="1" x14ac:dyDescent="0.25">
      <c r="A109" s="2"/>
      <c r="B109" s="13"/>
      <c r="C109" s="23"/>
      <c r="D109" s="23"/>
      <c r="E109" s="23"/>
      <c r="F109" s="23"/>
      <c r="G109" s="23"/>
      <c r="H109" s="23"/>
      <c r="I109" s="23"/>
      <c r="J109" s="23"/>
      <c r="K109" s="23"/>
      <c r="L109" s="23"/>
      <c r="M109" s="23"/>
      <c r="N109" s="23"/>
      <c r="O109" s="23"/>
      <c r="P109" s="23"/>
      <c r="Q109" s="23"/>
      <c r="R109" s="2"/>
      <c r="S109" s="2"/>
      <c r="T109" s="1"/>
      <c r="U109" s="1"/>
      <c r="V109" s="1"/>
      <c r="W109" s="1"/>
      <c r="X109" s="5"/>
      <c r="Y109" s="5"/>
      <c r="Z109" s="5"/>
      <c r="AA109" s="1"/>
      <c r="AB109" s="1"/>
      <c r="AC109" s="1"/>
      <c r="AD109" s="1"/>
      <c r="AE109" s="1"/>
      <c r="AF109" s="1"/>
      <c r="AG109" s="1"/>
      <c r="AH109" s="1"/>
      <c r="AI109" s="1"/>
      <c r="AJ109" s="1"/>
      <c r="AK109" s="1"/>
      <c r="AL109" s="1"/>
      <c r="AM109" s="1"/>
      <c r="AN109" s="1"/>
      <c r="AO109" s="1"/>
      <c r="AP109" s="1"/>
      <c r="AQ109" s="1"/>
      <c r="AR109" s="1"/>
      <c r="AS109" s="1"/>
      <c r="AT109" s="1"/>
      <c r="AU109" s="1"/>
      <c r="AV109" s="1"/>
      <c r="AW109" s="1"/>
    </row>
    <row r="110" spans="1:49" ht="18" customHeight="1" x14ac:dyDescent="0.25">
      <c r="A110" s="2"/>
      <c r="B110" s="13"/>
      <c r="C110" s="23"/>
      <c r="D110" s="23"/>
      <c r="E110" s="23"/>
      <c r="F110" s="23"/>
      <c r="G110" s="23"/>
      <c r="H110" s="23"/>
      <c r="I110" s="23"/>
      <c r="J110" s="23"/>
      <c r="K110" s="23"/>
      <c r="L110" s="23"/>
      <c r="M110" s="23"/>
      <c r="N110" s="23"/>
      <c r="O110" s="23"/>
      <c r="P110" s="23"/>
      <c r="Q110" s="23"/>
      <c r="R110" s="2"/>
      <c r="S110" s="2"/>
      <c r="T110" s="1"/>
      <c r="U110" s="1"/>
      <c r="V110" s="1"/>
      <c r="W110" s="1"/>
      <c r="X110" s="5"/>
      <c r="Y110" s="5"/>
      <c r="Z110" s="5"/>
      <c r="AA110" s="1"/>
      <c r="AB110" s="1"/>
      <c r="AC110" s="1"/>
      <c r="AD110" s="1"/>
      <c r="AE110" s="1"/>
      <c r="AF110" s="1"/>
      <c r="AG110" s="1"/>
      <c r="AH110" s="1"/>
      <c r="AI110" s="1"/>
      <c r="AJ110" s="1"/>
      <c r="AK110" s="1"/>
      <c r="AL110" s="1"/>
      <c r="AM110" s="1"/>
      <c r="AN110" s="1"/>
      <c r="AO110" s="1"/>
      <c r="AP110" s="1"/>
      <c r="AQ110" s="1"/>
      <c r="AR110" s="1"/>
      <c r="AS110" s="1"/>
      <c r="AT110" s="1"/>
      <c r="AU110" s="1"/>
      <c r="AV110" s="1"/>
      <c r="AW110" s="1"/>
    </row>
    <row r="111" spans="1:49" ht="18" customHeight="1" x14ac:dyDescent="0.25">
      <c r="A111" s="2"/>
      <c r="B111" s="13"/>
      <c r="C111" s="23"/>
      <c r="D111" s="23"/>
      <c r="E111" s="23"/>
      <c r="F111" s="23"/>
      <c r="G111" s="23"/>
      <c r="H111" s="23"/>
      <c r="I111" s="23"/>
      <c r="J111" s="23"/>
      <c r="K111" s="23"/>
      <c r="L111" s="23"/>
      <c r="M111" s="23"/>
      <c r="N111" s="23"/>
      <c r="O111" s="23"/>
      <c r="P111" s="23"/>
      <c r="Q111" s="23"/>
      <c r="R111" s="2"/>
      <c r="S111" s="2"/>
      <c r="T111" s="1"/>
      <c r="U111" s="1"/>
      <c r="V111" s="1"/>
      <c r="W111" s="1"/>
      <c r="X111" s="5"/>
      <c r="Y111" s="5"/>
      <c r="Z111" s="5"/>
      <c r="AA111" s="1"/>
      <c r="AB111" s="1"/>
      <c r="AC111" s="1"/>
      <c r="AD111" s="1"/>
      <c r="AE111" s="1"/>
      <c r="AF111" s="1"/>
      <c r="AG111" s="1"/>
      <c r="AH111" s="1"/>
      <c r="AI111" s="1"/>
      <c r="AJ111" s="1"/>
      <c r="AK111" s="1"/>
      <c r="AL111" s="1"/>
      <c r="AM111" s="1"/>
      <c r="AN111" s="1"/>
      <c r="AO111" s="1"/>
      <c r="AP111" s="1"/>
      <c r="AQ111" s="1"/>
      <c r="AR111" s="1"/>
      <c r="AS111" s="1"/>
      <c r="AT111" s="1"/>
      <c r="AU111" s="1"/>
      <c r="AV111" s="1"/>
      <c r="AW111" s="1"/>
    </row>
    <row r="112" spans="1:49" ht="18" customHeight="1" x14ac:dyDescent="0.25">
      <c r="A112" s="2"/>
      <c r="B112" s="13"/>
      <c r="C112" s="23"/>
      <c r="D112" s="23"/>
      <c r="E112" s="23"/>
      <c r="F112" s="23"/>
      <c r="G112" s="23"/>
      <c r="H112" s="23"/>
      <c r="I112" s="23"/>
      <c r="J112" s="23"/>
      <c r="K112" s="23"/>
      <c r="L112" s="23"/>
      <c r="M112" s="23"/>
      <c r="N112" s="23"/>
      <c r="O112" s="23"/>
      <c r="P112" s="23"/>
      <c r="Q112" s="23"/>
      <c r="R112" s="2"/>
      <c r="S112" s="2"/>
      <c r="T112" s="1"/>
      <c r="U112" s="1"/>
      <c r="V112" s="1"/>
      <c r="W112" s="1"/>
      <c r="X112" s="5"/>
      <c r="Y112" s="5"/>
      <c r="Z112" s="5"/>
      <c r="AA112" s="1"/>
      <c r="AB112" s="1"/>
      <c r="AC112" s="1"/>
      <c r="AD112" s="1"/>
      <c r="AE112" s="1"/>
      <c r="AF112" s="1"/>
      <c r="AG112" s="1"/>
      <c r="AH112" s="1"/>
      <c r="AI112" s="1"/>
      <c r="AJ112" s="1"/>
      <c r="AK112" s="1"/>
      <c r="AL112" s="1"/>
      <c r="AM112" s="1"/>
      <c r="AN112" s="1"/>
      <c r="AO112" s="1"/>
      <c r="AP112" s="1"/>
      <c r="AQ112" s="1"/>
      <c r="AR112" s="1"/>
      <c r="AS112" s="1"/>
      <c r="AT112" s="1"/>
      <c r="AU112" s="1"/>
      <c r="AV112" s="1"/>
      <c r="AW112" s="1"/>
    </row>
    <row r="113" spans="1:49" ht="18" customHeight="1" x14ac:dyDescent="0.25">
      <c r="A113" s="2"/>
      <c r="B113" s="13"/>
      <c r="C113" s="23"/>
      <c r="D113" s="23"/>
      <c r="E113" s="23"/>
      <c r="F113" s="23"/>
      <c r="G113" s="23"/>
      <c r="H113" s="23"/>
      <c r="I113" s="23"/>
      <c r="J113" s="23"/>
      <c r="K113" s="23"/>
      <c r="L113" s="23"/>
      <c r="M113" s="23"/>
      <c r="N113" s="23"/>
      <c r="O113" s="23"/>
      <c r="P113" s="23"/>
      <c r="Q113" s="23"/>
      <c r="R113" s="2"/>
      <c r="S113" s="2"/>
      <c r="T113" s="1"/>
      <c r="U113" s="1"/>
      <c r="V113" s="1"/>
      <c r="W113" s="1"/>
      <c r="X113" s="5"/>
      <c r="Y113" s="5"/>
      <c r="Z113" s="5"/>
      <c r="AA113" s="1"/>
      <c r="AB113" s="1"/>
      <c r="AC113" s="1"/>
      <c r="AD113" s="1"/>
      <c r="AE113" s="1"/>
      <c r="AF113" s="1"/>
      <c r="AG113" s="1"/>
      <c r="AH113" s="1"/>
      <c r="AI113" s="1"/>
      <c r="AJ113" s="1"/>
      <c r="AK113" s="1"/>
      <c r="AL113" s="1"/>
      <c r="AM113" s="1"/>
      <c r="AN113" s="1"/>
      <c r="AO113" s="1"/>
      <c r="AP113" s="1"/>
      <c r="AQ113" s="1"/>
      <c r="AR113" s="1"/>
      <c r="AS113" s="1"/>
      <c r="AT113" s="1"/>
      <c r="AU113" s="1"/>
      <c r="AV113" s="1"/>
      <c r="AW113" s="1"/>
    </row>
    <row r="114" spans="1:49" ht="18" customHeight="1" x14ac:dyDescent="0.25">
      <c r="A114" s="2"/>
      <c r="B114" s="13"/>
      <c r="C114" s="23"/>
      <c r="D114" s="23"/>
      <c r="E114" s="23"/>
      <c r="F114" s="23"/>
      <c r="G114" s="23"/>
      <c r="H114" s="23"/>
      <c r="I114" s="23"/>
      <c r="J114" s="23"/>
      <c r="K114" s="23"/>
      <c r="L114" s="23"/>
      <c r="M114" s="23"/>
      <c r="N114" s="23"/>
      <c r="O114" s="23"/>
      <c r="P114" s="23"/>
      <c r="Q114" s="23"/>
      <c r="R114" s="2"/>
      <c r="S114" s="2"/>
      <c r="T114" s="1"/>
      <c r="U114" s="1"/>
      <c r="V114" s="1"/>
      <c r="W114" s="1"/>
      <c r="X114" s="5"/>
      <c r="Y114" s="5"/>
      <c r="Z114" s="5"/>
      <c r="AA114" s="1"/>
      <c r="AB114" s="1"/>
      <c r="AC114" s="1"/>
      <c r="AD114" s="1"/>
      <c r="AE114" s="1"/>
      <c r="AF114" s="1"/>
      <c r="AG114" s="1"/>
      <c r="AH114" s="1"/>
      <c r="AI114" s="1"/>
      <c r="AJ114" s="1"/>
      <c r="AK114" s="1"/>
      <c r="AL114" s="1"/>
      <c r="AM114" s="1"/>
      <c r="AN114" s="1"/>
      <c r="AO114" s="1"/>
      <c r="AP114" s="1"/>
      <c r="AQ114" s="1"/>
      <c r="AR114" s="1"/>
      <c r="AS114" s="1"/>
      <c r="AT114" s="1"/>
      <c r="AU114" s="1"/>
      <c r="AV114" s="1"/>
      <c r="AW114" s="1"/>
    </row>
    <row r="115" spans="1:49" ht="18" customHeight="1" x14ac:dyDescent="0.25">
      <c r="A115" s="2"/>
      <c r="B115" s="21"/>
      <c r="C115" s="23"/>
      <c r="D115" s="23"/>
      <c r="E115" s="23"/>
      <c r="F115" s="23"/>
      <c r="G115" s="23"/>
      <c r="H115" s="23"/>
      <c r="I115" s="23"/>
      <c r="J115" s="23"/>
      <c r="K115" s="23"/>
      <c r="L115" s="23"/>
      <c r="M115" s="23"/>
      <c r="N115" s="23"/>
      <c r="O115" s="23"/>
      <c r="P115" s="23"/>
      <c r="Q115" s="23"/>
      <c r="R115" s="2"/>
      <c r="S115" s="2"/>
      <c r="T115" s="1"/>
      <c r="U115" s="1"/>
      <c r="V115" s="1"/>
      <c r="W115" s="1"/>
      <c r="X115" s="5"/>
      <c r="Y115" s="5"/>
      <c r="Z115" s="5"/>
      <c r="AA115" s="1"/>
      <c r="AB115" s="1"/>
      <c r="AC115" s="1"/>
      <c r="AD115" s="1"/>
      <c r="AE115" s="1"/>
      <c r="AF115" s="1"/>
      <c r="AG115" s="1"/>
      <c r="AH115" s="1"/>
      <c r="AI115" s="1"/>
      <c r="AJ115" s="1"/>
      <c r="AK115" s="1"/>
      <c r="AL115" s="1"/>
      <c r="AM115" s="1"/>
      <c r="AN115" s="1"/>
      <c r="AO115" s="1"/>
      <c r="AP115" s="1"/>
      <c r="AQ115" s="1"/>
      <c r="AR115" s="1"/>
      <c r="AS115" s="1"/>
      <c r="AT115" s="1"/>
      <c r="AU115" s="1"/>
      <c r="AV115" s="1"/>
      <c r="AW115" s="1"/>
    </row>
    <row r="116" spans="1:49" ht="18" customHeight="1" x14ac:dyDescent="0.25">
      <c r="A116" s="2"/>
      <c r="B116" s="21"/>
      <c r="C116" s="23"/>
      <c r="D116" s="23"/>
      <c r="E116" s="23"/>
      <c r="F116" s="23"/>
      <c r="G116" s="23"/>
      <c r="H116" s="23"/>
      <c r="I116" s="23"/>
      <c r="J116" s="23"/>
      <c r="K116" s="23"/>
      <c r="L116" s="23"/>
      <c r="M116" s="23"/>
      <c r="N116" s="23"/>
      <c r="O116" s="23"/>
      <c r="P116" s="23"/>
      <c r="Q116" s="23"/>
      <c r="R116" s="2"/>
      <c r="S116" s="2"/>
      <c r="T116" s="1"/>
      <c r="U116" s="1"/>
      <c r="V116" s="1"/>
      <c r="W116" s="1"/>
      <c r="X116" s="5"/>
      <c r="Y116" s="5"/>
      <c r="Z116" s="5"/>
      <c r="AA116" s="1"/>
      <c r="AB116" s="1"/>
      <c r="AC116" s="1"/>
      <c r="AD116" s="1"/>
      <c r="AE116" s="1"/>
      <c r="AF116" s="1"/>
      <c r="AG116" s="1"/>
      <c r="AH116" s="1"/>
      <c r="AI116" s="1"/>
      <c r="AJ116" s="1"/>
      <c r="AK116" s="1"/>
      <c r="AL116" s="1"/>
      <c r="AM116" s="1"/>
      <c r="AN116" s="1"/>
      <c r="AO116" s="1"/>
      <c r="AP116" s="1"/>
      <c r="AQ116" s="1"/>
      <c r="AR116" s="1"/>
      <c r="AS116" s="1"/>
      <c r="AT116" s="1"/>
      <c r="AU116" s="1"/>
      <c r="AV116" s="1"/>
      <c r="AW116" s="1"/>
    </row>
    <row r="117" spans="1:49" ht="18" customHeight="1" x14ac:dyDescent="0.25">
      <c r="A117" s="2"/>
      <c r="B117" s="20"/>
      <c r="C117" s="23"/>
      <c r="D117" s="23"/>
      <c r="E117" s="23"/>
      <c r="F117" s="23"/>
      <c r="G117" s="23"/>
      <c r="H117" s="23"/>
      <c r="I117" s="23"/>
      <c r="J117" s="23"/>
      <c r="K117" s="23"/>
      <c r="L117" s="23"/>
      <c r="M117" s="23"/>
      <c r="N117" s="23"/>
      <c r="O117" s="23"/>
      <c r="P117" s="23"/>
      <c r="Q117" s="23"/>
      <c r="R117" s="2"/>
      <c r="S117" s="2"/>
      <c r="T117" s="1"/>
      <c r="U117" s="1"/>
      <c r="V117" s="1"/>
      <c r="W117" s="1"/>
      <c r="X117" s="5"/>
      <c r="Y117" s="5"/>
      <c r="Z117" s="5"/>
      <c r="AA117" s="1"/>
      <c r="AB117" s="1"/>
      <c r="AC117" s="1"/>
      <c r="AD117" s="1"/>
      <c r="AE117" s="1"/>
      <c r="AF117" s="1"/>
      <c r="AG117" s="1"/>
      <c r="AH117" s="1"/>
      <c r="AI117" s="1"/>
      <c r="AJ117" s="1"/>
      <c r="AK117" s="1"/>
      <c r="AL117" s="1"/>
      <c r="AM117" s="1"/>
      <c r="AN117" s="1"/>
      <c r="AO117" s="1"/>
      <c r="AP117" s="1"/>
      <c r="AQ117" s="1"/>
      <c r="AR117" s="1"/>
      <c r="AS117" s="1"/>
      <c r="AT117" s="1"/>
      <c r="AU117" s="1"/>
      <c r="AV117" s="1"/>
      <c r="AW117" s="1"/>
    </row>
    <row r="118" spans="1:49" ht="18" customHeight="1" x14ac:dyDescent="0.25">
      <c r="A118" s="1"/>
      <c r="B118" s="20"/>
      <c r="C118" s="10"/>
      <c r="D118" s="10"/>
      <c r="E118" s="10"/>
      <c r="F118" s="10"/>
      <c r="G118" s="10"/>
      <c r="H118" s="10"/>
      <c r="I118" s="10"/>
      <c r="J118" s="10"/>
      <c r="K118" s="10"/>
      <c r="L118" s="10"/>
      <c r="M118" s="10"/>
      <c r="N118" s="10"/>
      <c r="O118" s="10"/>
      <c r="P118" s="10"/>
      <c r="Q118" s="10"/>
      <c r="R118" s="2"/>
      <c r="S118" s="2"/>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row>
    <row r="119" spans="1:49" ht="18" customHeight="1" x14ac:dyDescent="0.25">
      <c r="A119" s="1"/>
      <c r="B119" s="20"/>
      <c r="C119" s="10"/>
      <c r="D119" s="10"/>
      <c r="E119" s="10"/>
      <c r="F119" s="10"/>
      <c r="G119" s="10"/>
      <c r="H119" s="10"/>
      <c r="I119" s="10"/>
      <c r="J119" s="10"/>
      <c r="K119" s="10"/>
      <c r="L119" s="10"/>
      <c r="M119" s="10"/>
      <c r="N119" s="10"/>
      <c r="O119" s="10"/>
      <c r="P119" s="10"/>
      <c r="Q119" s="10"/>
      <c r="R119" s="2"/>
      <c r="S119" s="2"/>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row>
    <row r="120" spans="1:49" ht="18" customHeight="1" x14ac:dyDescent="0.25">
      <c r="A120" s="1"/>
      <c r="B120" s="33"/>
      <c r="C120" s="42"/>
      <c r="D120" s="42"/>
      <c r="E120" s="42"/>
      <c r="F120" s="42"/>
      <c r="G120" s="42"/>
      <c r="H120" s="42"/>
      <c r="I120" s="42"/>
      <c r="J120" s="42"/>
      <c r="K120" s="42"/>
      <c r="L120" s="42"/>
      <c r="M120" s="42"/>
      <c r="N120" s="42"/>
      <c r="O120" s="42"/>
      <c r="P120" s="42"/>
      <c r="Q120" s="42"/>
      <c r="R120" s="2"/>
      <c r="S120" s="2"/>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row>
    <row r="121" spans="1:49" ht="18" customHeight="1" x14ac:dyDescent="0.25">
      <c r="A121" s="1"/>
      <c r="B121" s="30"/>
      <c r="C121" s="36"/>
      <c r="D121" s="36"/>
      <c r="E121" s="36"/>
      <c r="F121" s="36"/>
      <c r="G121" s="36"/>
      <c r="H121" s="36"/>
      <c r="I121" s="36"/>
      <c r="J121" s="36"/>
      <c r="K121" s="36"/>
      <c r="L121" s="36"/>
      <c r="M121" s="36"/>
      <c r="N121" s="36"/>
      <c r="O121" s="36"/>
      <c r="P121" s="36"/>
      <c r="Q121" s="36"/>
      <c r="R121" s="2"/>
      <c r="S121" s="2"/>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row>
    <row r="122" spans="1:49" ht="18" customHeight="1" x14ac:dyDescent="0.25">
      <c r="A122" s="1"/>
      <c r="B122" s="30"/>
      <c r="C122" s="36"/>
      <c r="D122" s="36"/>
      <c r="E122" s="36"/>
      <c r="F122" s="36"/>
      <c r="G122" s="36"/>
      <c r="H122" s="36"/>
      <c r="I122" s="36"/>
      <c r="J122" s="36"/>
      <c r="K122" s="36"/>
      <c r="L122" s="36"/>
      <c r="M122" s="36"/>
      <c r="N122" s="36"/>
      <c r="O122" s="36"/>
      <c r="P122" s="36"/>
      <c r="Q122" s="36"/>
      <c r="R122" s="2"/>
      <c r="S122" s="2"/>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row>
    <row r="123" spans="1:49" ht="18" customHeight="1" x14ac:dyDescent="0.25">
      <c r="A123" s="1"/>
      <c r="B123" s="32"/>
      <c r="C123" s="36"/>
      <c r="D123" s="36"/>
      <c r="E123" s="36"/>
      <c r="F123" s="36"/>
      <c r="G123" s="36"/>
      <c r="H123" s="36"/>
      <c r="I123" s="36"/>
      <c r="J123" s="36"/>
      <c r="K123" s="36"/>
      <c r="L123" s="36"/>
      <c r="M123" s="36"/>
      <c r="N123" s="36"/>
      <c r="O123" s="36"/>
      <c r="P123" s="36"/>
      <c r="Q123" s="36"/>
      <c r="R123" s="2"/>
      <c r="S123" s="2"/>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row>
    <row r="124" spans="1:49" ht="18" customHeight="1" x14ac:dyDescent="0.25">
      <c r="A124" s="1"/>
      <c r="B124" s="32"/>
      <c r="C124" s="36"/>
      <c r="D124" s="36"/>
      <c r="E124" s="36"/>
      <c r="F124" s="36"/>
      <c r="G124" s="36"/>
      <c r="H124" s="36"/>
      <c r="I124" s="36"/>
      <c r="J124" s="36"/>
      <c r="K124" s="36"/>
      <c r="L124" s="36"/>
      <c r="M124" s="36"/>
      <c r="N124" s="36"/>
      <c r="O124" s="36"/>
      <c r="P124" s="36"/>
      <c r="Q124" s="36"/>
      <c r="R124" s="2"/>
      <c r="S124" s="2"/>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row>
    <row r="125" spans="1:49" ht="18" customHeight="1" x14ac:dyDescent="0.25">
      <c r="A125" s="1"/>
      <c r="B125" s="32"/>
      <c r="C125" s="36"/>
      <c r="D125" s="36"/>
      <c r="E125" s="36"/>
      <c r="F125" s="36"/>
      <c r="G125" s="36"/>
      <c r="H125" s="36"/>
      <c r="I125" s="36"/>
      <c r="J125" s="36"/>
      <c r="K125" s="36"/>
      <c r="L125" s="36"/>
      <c r="M125" s="36"/>
      <c r="N125" s="36"/>
      <c r="O125" s="36"/>
      <c r="P125" s="36"/>
      <c r="Q125" s="36"/>
      <c r="R125" s="2"/>
      <c r="S125" s="2"/>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row>
    <row r="126" spans="1:49" ht="18" customHeight="1" x14ac:dyDescent="0.25">
      <c r="A126" s="1"/>
      <c r="B126" s="32"/>
      <c r="C126" s="36"/>
      <c r="D126" s="36"/>
      <c r="E126" s="36"/>
      <c r="F126" s="36"/>
      <c r="G126" s="36"/>
      <c r="H126" s="36"/>
      <c r="I126" s="36"/>
      <c r="J126" s="36"/>
      <c r="K126" s="36"/>
      <c r="L126" s="36"/>
      <c r="M126" s="36"/>
      <c r="N126" s="36"/>
      <c r="O126" s="36"/>
      <c r="P126" s="36"/>
      <c r="Q126" s="36"/>
      <c r="R126" s="2"/>
      <c r="S126" s="2"/>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row>
    <row r="127" spans="1:49" ht="18" customHeight="1" x14ac:dyDescent="0.25">
      <c r="A127" s="1"/>
      <c r="B127" s="32"/>
      <c r="C127" s="36"/>
      <c r="D127" s="36"/>
      <c r="E127" s="36"/>
      <c r="F127" s="36"/>
      <c r="G127" s="36"/>
      <c r="H127" s="36"/>
      <c r="I127" s="36"/>
      <c r="J127" s="36"/>
      <c r="K127" s="36"/>
      <c r="L127" s="36"/>
      <c r="M127" s="36"/>
      <c r="N127" s="36"/>
      <c r="O127" s="36"/>
      <c r="P127" s="36"/>
      <c r="Q127" s="36"/>
      <c r="R127" s="2"/>
      <c r="S127" s="2"/>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row>
    <row r="128" spans="1:49" ht="18" customHeight="1" x14ac:dyDescent="0.25">
      <c r="A128" s="1"/>
      <c r="B128" s="33"/>
      <c r="C128" s="36"/>
      <c r="D128" s="36"/>
      <c r="E128" s="36"/>
      <c r="F128" s="36"/>
      <c r="G128" s="36"/>
      <c r="H128" s="36"/>
      <c r="I128" s="36"/>
      <c r="J128" s="36"/>
      <c r="K128" s="36"/>
      <c r="L128" s="36"/>
      <c r="M128" s="36"/>
      <c r="N128" s="36"/>
      <c r="O128" s="36"/>
      <c r="P128" s="36"/>
      <c r="Q128" s="36"/>
      <c r="R128" s="2"/>
      <c r="S128" s="2"/>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row>
    <row r="129" spans="1:49" ht="18" customHeight="1" x14ac:dyDescent="0.25">
      <c r="A129" s="1"/>
      <c r="B129" s="33"/>
      <c r="C129" s="36"/>
      <c r="D129" s="36"/>
      <c r="E129" s="36"/>
      <c r="F129" s="36"/>
      <c r="G129" s="36"/>
      <c r="H129" s="36"/>
      <c r="I129" s="36"/>
      <c r="J129" s="36"/>
      <c r="K129" s="36"/>
      <c r="L129" s="36"/>
      <c r="M129" s="36"/>
      <c r="N129" s="36"/>
      <c r="O129" s="36"/>
      <c r="P129" s="36"/>
      <c r="Q129" s="36"/>
      <c r="R129" s="2"/>
      <c r="S129" s="2"/>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row>
    <row r="130" spans="1:49" ht="18" customHeight="1" x14ac:dyDescent="0.25">
      <c r="A130" s="1"/>
      <c r="B130" s="20"/>
      <c r="C130" s="23"/>
      <c r="D130" s="23"/>
      <c r="E130" s="23"/>
      <c r="F130" s="23"/>
      <c r="G130" s="23"/>
      <c r="H130" s="23"/>
      <c r="I130" s="23"/>
      <c r="J130" s="23"/>
      <c r="K130" s="23"/>
      <c r="L130" s="23"/>
      <c r="M130" s="23"/>
      <c r="N130" s="23"/>
      <c r="O130" s="23"/>
      <c r="P130" s="23"/>
      <c r="Q130" s="23"/>
      <c r="R130" s="2"/>
      <c r="S130" s="2"/>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row>
    <row r="131" spans="1:49" ht="18" customHeight="1" x14ac:dyDescent="0.25">
      <c r="A131" s="1"/>
      <c r="B131" s="20"/>
      <c r="C131" s="10"/>
      <c r="D131" s="10"/>
      <c r="E131" s="10"/>
      <c r="F131" s="10"/>
      <c r="G131" s="10"/>
      <c r="H131" s="10"/>
      <c r="I131" s="10"/>
      <c r="J131" s="10"/>
      <c r="K131" s="10"/>
      <c r="L131" s="10"/>
      <c r="M131" s="10"/>
      <c r="N131" s="10"/>
      <c r="O131" s="10"/>
      <c r="P131" s="10"/>
      <c r="Q131" s="10"/>
      <c r="R131" s="2"/>
      <c r="S131" s="2"/>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row>
    <row r="132" spans="1:49" ht="18" customHeight="1" x14ac:dyDescent="0.25">
      <c r="A132" s="1"/>
      <c r="B132" s="20"/>
      <c r="C132" s="10"/>
      <c r="D132" s="10"/>
      <c r="E132" s="10"/>
      <c r="F132" s="10"/>
      <c r="G132" s="10"/>
      <c r="H132" s="10"/>
      <c r="I132" s="10"/>
      <c r="J132" s="10"/>
      <c r="K132" s="10"/>
      <c r="L132" s="10"/>
      <c r="M132" s="10"/>
      <c r="N132" s="10"/>
      <c r="O132" s="10"/>
      <c r="P132" s="10"/>
      <c r="Q132" s="10"/>
      <c r="R132" s="2"/>
      <c r="S132" s="2"/>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row>
    <row r="133" spans="1:49" ht="18" customHeight="1" x14ac:dyDescent="0.25">
      <c r="A133" s="1"/>
      <c r="B133" s="20"/>
      <c r="C133" s="10"/>
      <c r="D133" s="10"/>
      <c r="E133" s="10"/>
      <c r="F133" s="10"/>
      <c r="G133" s="10"/>
      <c r="H133" s="10"/>
      <c r="I133" s="10"/>
      <c r="J133" s="10"/>
      <c r="K133" s="10"/>
      <c r="L133" s="10"/>
      <c r="M133" s="10"/>
      <c r="N133" s="10"/>
      <c r="O133" s="10"/>
      <c r="P133" s="10"/>
      <c r="Q133" s="10"/>
      <c r="R133" s="2"/>
      <c r="S133" s="2"/>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row>
    <row r="134" spans="1:49" ht="15.75" thickBot="1" x14ac:dyDescent="0.3">
      <c r="A134" s="1"/>
      <c r="B134" s="20"/>
      <c r="C134" s="10"/>
      <c r="D134" s="10"/>
      <c r="E134" s="10"/>
      <c r="F134" s="10"/>
      <c r="G134" s="10"/>
      <c r="H134" s="10"/>
      <c r="I134" s="10"/>
      <c r="J134" s="10"/>
      <c r="K134" s="35"/>
      <c r="L134" s="196"/>
      <c r="M134" s="196"/>
      <c r="N134" s="35"/>
      <c r="O134" s="196"/>
      <c r="P134" s="196"/>
      <c r="Q134" s="35"/>
      <c r="R134" s="2"/>
      <c r="S134" s="2"/>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row>
    <row r="135" spans="1:49" x14ac:dyDescent="0.25">
      <c r="A135" s="1"/>
      <c r="B135" s="20"/>
      <c r="C135" s="10"/>
      <c r="D135" s="10"/>
      <c r="E135" s="10"/>
      <c r="F135" s="10"/>
      <c r="G135" s="10"/>
      <c r="H135" s="10"/>
      <c r="I135" s="10"/>
      <c r="J135" s="10"/>
      <c r="K135" s="38"/>
      <c r="L135" s="194"/>
      <c r="M135" s="194"/>
      <c r="N135" s="34"/>
      <c r="O135" s="195"/>
      <c r="P135" s="195"/>
      <c r="Q135" s="99"/>
      <c r="R135" s="2"/>
      <c r="S135" s="2"/>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row>
    <row r="136" spans="1:49" x14ac:dyDescent="0.25">
      <c r="A136" s="1"/>
      <c r="B136" s="20"/>
      <c r="C136" s="10"/>
      <c r="D136" s="10"/>
      <c r="E136" s="10"/>
      <c r="F136" s="10"/>
      <c r="G136" s="10"/>
      <c r="H136" s="10"/>
      <c r="I136" s="10"/>
      <c r="J136" s="10"/>
      <c r="K136" s="10"/>
      <c r="L136" s="10"/>
      <c r="M136" s="10"/>
      <c r="N136" s="10"/>
      <c r="O136" s="10"/>
      <c r="P136" s="10"/>
      <c r="Q136" s="10"/>
      <c r="R136" s="2"/>
      <c r="S136" s="2"/>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row>
    <row r="137" spans="1:49" x14ac:dyDescent="0.25">
      <c r="A137" s="1"/>
      <c r="B137" s="20"/>
      <c r="C137" s="10"/>
      <c r="D137" s="10"/>
      <c r="E137" s="10"/>
      <c r="F137" s="10"/>
      <c r="G137" s="10"/>
      <c r="H137" s="10"/>
      <c r="I137" s="10"/>
      <c r="J137" s="10"/>
      <c r="K137" s="10"/>
      <c r="L137" s="10"/>
      <c r="M137" s="10"/>
      <c r="N137" s="10"/>
      <c r="O137" s="10"/>
      <c r="P137" s="10"/>
      <c r="Q137" s="10"/>
      <c r="R137" s="2"/>
      <c r="S137" s="2"/>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row>
    <row r="138" spans="1:49" ht="15.75" thickBot="1" x14ac:dyDescent="0.3">
      <c r="A138" s="1"/>
      <c r="B138" s="20"/>
      <c r="C138" s="10"/>
      <c r="D138" s="10"/>
      <c r="E138" s="10"/>
      <c r="F138" s="10"/>
      <c r="G138" s="10"/>
      <c r="H138" s="10"/>
      <c r="I138" s="10"/>
      <c r="J138" s="10"/>
      <c r="K138" s="35"/>
      <c r="L138" s="196"/>
      <c r="M138" s="196"/>
      <c r="N138" s="35"/>
      <c r="O138" s="196"/>
      <c r="P138" s="196"/>
      <c r="Q138" s="35"/>
      <c r="R138" s="2"/>
      <c r="S138" s="2"/>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row>
    <row r="139" spans="1:49" x14ac:dyDescent="0.25">
      <c r="A139" s="1"/>
      <c r="B139" s="20"/>
      <c r="C139" s="10"/>
      <c r="D139" s="10"/>
      <c r="E139" s="10"/>
      <c r="F139" s="10"/>
      <c r="G139" s="10"/>
      <c r="H139" s="10"/>
      <c r="I139" s="10"/>
      <c r="J139" s="10"/>
      <c r="K139" s="38"/>
      <c r="L139" s="194"/>
      <c r="M139" s="194"/>
      <c r="N139" s="34"/>
      <c r="O139" s="195"/>
      <c r="P139" s="195"/>
      <c r="Q139" s="99"/>
      <c r="R139" s="2"/>
      <c r="S139" s="2"/>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row>
    <row r="140" spans="1:49" x14ac:dyDescent="0.25">
      <c r="A140" s="1"/>
      <c r="B140" s="20"/>
      <c r="C140" s="10"/>
      <c r="D140" s="10"/>
      <c r="E140" s="10"/>
      <c r="F140" s="10"/>
      <c r="G140" s="10"/>
      <c r="H140" s="10"/>
      <c r="I140" s="10"/>
      <c r="J140" s="10"/>
      <c r="K140" s="10"/>
      <c r="L140" s="10"/>
      <c r="M140" s="10"/>
      <c r="N140" s="10"/>
      <c r="O140" s="10"/>
      <c r="P140" s="10"/>
      <c r="Q140" s="10"/>
      <c r="R140" s="2"/>
      <c r="S140" s="2"/>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row>
    <row r="141" spans="1:49" x14ac:dyDescent="0.25">
      <c r="A141" s="1"/>
      <c r="B141" s="20"/>
      <c r="C141" s="10"/>
      <c r="D141" s="10"/>
      <c r="E141" s="10"/>
      <c r="F141" s="10"/>
      <c r="G141" s="10"/>
      <c r="H141" s="10"/>
      <c r="I141" s="10"/>
      <c r="J141" s="10"/>
      <c r="K141" s="10"/>
      <c r="L141" s="10"/>
      <c r="M141" s="10"/>
      <c r="N141" s="10"/>
      <c r="O141" s="10"/>
      <c r="P141" s="10"/>
      <c r="Q141" s="10"/>
      <c r="R141" s="2"/>
      <c r="S141" s="2"/>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row>
    <row r="142" spans="1:49" x14ac:dyDescent="0.25">
      <c r="A142" s="1"/>
      <c r="B142" s="20"/>
      <c r="C142" s="10"/>
      <c r="D142" s="10"/>
      <c r="E142" s="10"/>
      <c r="F142" s="10"/>
      <c r="G142" s="10"/>
      <c r="H142" s="10"/>
      <c r="I142" s="10"/>
      <c r="J142" s="10"/>
      <c r="K142" s="10"/>
      <c r="L142" s="10"/>
      <c r="M142" s="10"/>
      <c r="N142" s="10"/>
      <c r="O142" s="10"/>
      <c r="P142" s="10"/>
      <c r="Q142" s="10"/>
      <c r="R142" s="2"/>
      <c r="S142" s="2"/>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row>
    <row r="143" spans="1:49" x14ac:dyDescent="0.25">
      <c r="A143" s="1"/>
      <c r="B143" s="20"/>
      <c r="C143" s="10"/>
      <c r="D143" s="10"/>
      <c r="E143" s="10"/>
      <c r="F143" s="10"/>
      <c r="G143" s="10"/>
      <c r="H143" s="10"/>
      <c r="I143" s="10"/>
      <c r="J143" s="10"/>
      <c r="K143" s="10"/>
      <c r="L143" s="10"/>
      <c r="M143" s="10"/>
      <c r="N143" s="10"/>
      <c r="O143" s="10"/>
      <c r="P143" s="10"/>
      <c r="Q143" s="10"/>
      <c r="R143" s="2"/>
      <c r="S143" s="2"/>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row>
    <row r="144" spans="1:49" x14ac:dyDescent="0.25">
      <c r="A144" s="1"/>
      <c r="B144" s="20"/>
      <c r="C144" s="10"/>
      <c r="D144" s="10"/>
      <c r="E144" s="10"/>
      <c r="F144" s="10"/>
      <c r="G144" s="10"/>
      <c r="H144" s="10"/>
      <c r="I144" s="10"/>
      <c r="J144" s="10"/>
      <c r="K144" s="10"/>
      <c r="L144" s="10"/>
      <c r="M144" s="10"/>
      <c r="N144" s="10"/>
      <c r="O144" s="10"/>
      <c r="P144" s="10"/>
      <c r="Q144" s="10"/>
      <c r="R144" s="2"/>
      <c r="S144" s="2"/>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row>
    <row r="145" spans="1:49" x14ac:dyDescent="0.25">
      <c r="A145" s="1"/>
      <c r="B145" s="20"/>
      <c r="C145" s="10"/>
      <c r="D145" s="10"/>
      <c r="E145" s="10"/>
      <c r="F145" s="10"/>
      <c r="G145" s="10"/>
      <c r="H145" s="10"/>
      <c r="I145" s="10"/>
      <c r="J145" s="10"/>
      <c r="K145" s="10"/>
      <c r="L145" s="10"/>
      <c r="M145" s="10"/>
      <c r="N145" s="10"/>
      <c r="O145" s="10"/>
      <c r="P145" s="10"/>
      <c r="Q145" s="10"/>
      <c r="R145" s="2"/>
      <c r="S145" s="2"/>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row>
    <row r="146" spans="1:49" x14ac:dyDescent="0.25">
      <c r="A146" s="1"/>
      <c r="B146" s="20"/>
      <c r="C146" s="10"/>
      <c r="D146" s="10"/>
      <c r="E146" s="10"/>
      <c r="F146" s="10"/>
      <c r="G146" s="10"/>
      <c r="H146" s="10"/>
      <c r="I146" s="10"/>
      <c r="J146" s="10"/>
      <c r="K146" s="10"/>
      <c r="L146" s="10"/>
      <c r="M146" s="10"/>
      <c r="N146" s="10"/>
      <c r="O146" s="10"/>
      <c r="P146" s="10"/>
      <c r="Q146" s="10"/>
      <c r="R146" s="2"/>
      <c r="S146" s="2"/>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row>
    <row r="147" spans="1:49" x14ac:dyDescent="0.25">
      <c r="A147" s="1"/>
      <c r="B147" s="20"/>
      <c r="C147" s="10"/>
      <c r="D147" s="10"/>
      <c r="E147" s="10"/>
      <c r="F147" s="10"/>
      <c r="G147" s="10"/>
      <c r="H147" s="10"/>
      <c r="I147" s="10"/>
      <c r="J147" s="10"/>
      <c r="K147" s="10"/>
      <c r="L147" s="10"/>
      <c r="M147" s="10"/>
      <c r="N147" s="10"/>
      <c r="O147" s="10"/>
      <c r="P147" s="10"/>
      <c r="Q147" s="10"/>
      <c r="R147" s="2"/>
      <c r="S147" s="2"/>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row>
    <row r="148" spans="1:49" x14ac:dyDescent="0.25">
      <c r="A148" s="1"/>
      <c r="B148" s="20"/>
      <c r="C148" s="10"/>
      <c r="D148" s="10"/>
      <c r="E148" s="10"/>
      <c r="F148" s="10"/>
      <c r="G148" s="10"/>
      <c r="H148" s="10"/>
      <c r="I148" s="10"/>
      <c r="J148" s="10"/>
      <c r="K148" s="10"/>
      <c r="L148" s="10"/>
      <c r="M148" s="10"/>
      <c r="N148" s="10"/>
      <c r="O148" s="10"/>
      <c r="P148" s="10"/>
      <c r="Q148" s="10"/>
      <c r="R148" s="2"/>
      <c r="S148" s="2"/>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row>
    <row r="149" spans="1:49" x14ac:dyDescent="0.25">
      <c r="A149" s="1"/>
      <c r="B149" s="20"/>
      <c r="C149" s="10"/>
      <c r="D149" s="10"/>
      <c r="E149" s="10"/>
      <c r="F149" s="10"/>
      <c r="G149" s="10"/>
      <c r="H149" s="10"/>
      <c r="I149" s="10"/>
      <c r="J149" s="10"/>
      <c r="K149" s="10"/>
      <c r="L149" s="10"/>
      <c r="M149" s="10"/>
      <c r="N149" s="10"/>
      <c r="O149" s="10"/>
      <c r="P149" s="10"/>
      <c r="Q149" s="10"/>
      <c r="R149" s="2"/>
      <c r="S149" s="2"/>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row>
    <row r="150" spans="1:49" x14ac:dyDescent="0.25">
      <c r="A150" s="1"/>
      <c r="B150" s="20"/>
      <c r="C150" s="10"/>
      <c r="D150" s="10"/>
      <c r="E150" s="10"/>
      <c r="F150" s="10"/>
      <c r="G150" s="10"/>
      <c r="H150" s="10"/>
      <c r="I150" s="10"/>
      <c r="J150" s="10"/>
      <c r="K150" s="10"/>
      <c r="L150" s="10"/>
      <c r="M150" s="10"/>
      <c r="N150" s="10"/>
      <c r="O150" s="10"/>
      <c r="P150" s="10"/>
      <c r="Q150" s="10"/>
      <c r="R150" s="2"/>
      <c r="S150" s="2"/>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row>
    <row r="151" spans="1:49" x14ac:dyDescent="0.25">
      <c r="A151" s="1"/>
      <c r="B151" s="20"/>
      <c r="C151" s="10"/>
      <c r="D151" s="10"/>
      <c r="E151" s="10"/>
      <c r="F151" s="10"/>
      <c r="G151" s="10"/>
      <c r="H151" s="10"/>
      <c r="I151" s="10"/>
      <c r="J151" s="10"/>
      <c r="K151" s="10"/>
      <c r="L151" s="10"/>
      <c r="M151" s="10"/>
      <c r="N151" s="10"/>
      <c r="O151" s="10"/>
      <c r="P151" s="10"/>
      <c r="Q151" s="10"/>
      <c r="R151" s="2"/>
      <c r="S151" s="2"/>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row>
    <row r="152" spans="1:49" x14ac:dyDescent="0.25">
      <c r="A152" s="1"/>
      <c r="B152" s="20"/>
      <c r="C152" s="10"/>
      <c r="D152" s="10"/>
      <c r="E152" s="10"/>
      <c r="F152" s="10"/>
      <c r="G152" s="10"/>
      <c r="H152" s="10"/>
      <c r="I152" s="10"/>
      <c r="J152" s="10"/>
      <c r="K152" s="10"/>
      <c r="L152" s="10"/>
      <c r="M152" s="10"/>
      <c r="N152" s="10"/>
      <c r="O152" s="10"/>
      <c r="P152" s="10"/>
      <c r="Q152" s="10"/>
      <c r="R152" s="2"/>
      <c r="S152" s="2"/>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row>
    <row r="153" spans="1:49" x14ac:dyDescent="0.25">
      <c r="A153" s="1"/>
      <c r="B153" s="20"/>
      <c r="C153" s="10"/>
      <c r="D153" s="10"/>
      <c r="E153" s="10"/>
      <c r="F153" s="10"/>
      <c r="G153" s="10"/>
      <c r="H153" s="10"/>
      <c r="I153" s="10"/>
      <c r="J153" s="10"/>
      <c r="K153" s="10"/>
      <c r="L153" s="10"/>
      <c r="M153" s="10"/>
      <c r="N153" s="10"/>
      <c r="O153" s="10"/>
      <c r="P153" s="10"/>
      <c r="Q153" s="10"/>
      <c r="R153" s="2"/>
      <c r="S153" s="2"/>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row>
    <row r="154" spans="1:49" x14ac:dyDescent="0.25">
      <c r="A154" s="1"/>
      <c r="B154" s="20"/>
      <c r="C154" s="10"/>
      <c r="D154" s="10"/>
      <c r="E154" s="10"/>
      <c r="F154" s="10"/>
      <c r="G154" s="10"/>
      <c r="H154" s="10"/>
      <c r="I154" s="10"/>
      <c r="J154" s="10"/>
      <c r="K154" s="10"/>
      <c r="L154" s="10"/>
      <c r="M154" s="10"/>
      <c r="N154" s="10"/>
      <c r="O154" s="10"/>
      <c r="P154" s="10"/>
      <c r="Q154" s="10"/>
      <c r="R154" s="2"/>
      <c r="S154" s="2"/>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row>
    <row r="155" spans="1:49" x14ac:dyDescent="0.25">
      <c r="A155" s="1"/>
      <c r="B155" s="20"/>
      <c r="C155" s="10"/>
      <c r="D155" s="10"/>
      <c r="E155" s="10"/>
      <c r="F155" s="10"/>
      <c r="G155" s="10"/>
      <c r="H155" s="10"/>
      <c r="I155" s="10"/>
      <c r="J155" s="10"/>
      <c r="K155" s="10"/>
      <c r="L155" s="10"/>
      <c r="M155" s="10"/>
      <c r="N155" s="10"/>
      <c r="O155" s="10"/>
      <c r="P155" s="10"/>
      <c r="Q155" s="10"/>
      <c r="R155" s="2"/>
      <c r="S155" s="2"/>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row>
    <row r="156" spans="1:49" x14ac:dyDescent="0.25">
      <c r="A156" s="1"/>
      <c r="B156" s="20"/>
      <c r="C156" s="10"/>
      <c r="D156" s="10"/>
      <c r="E156" s="10"/>
      <c r="F156" s="10"/>
      <c r="G156" s="10"/>
      <c r="H156" s="10"/>
      <c r="I156" s="10"/>
      <c r="J156" s="10"/>
      <c r="K156" s="10"/>
      <c r="L156" s="10"/>
      <c r="M156" s="10"/>
      <c r="N156" s="10"/>
      <c r="O156" s="10"/>
      <c r="P156" s="10"/>
      <c r="Q156" s="10"/>
      <c r="R156" s="2"/>
      <c r="S156" s="2"/>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row>
    <row r="157" spans="1:49" x14ac:dyDescent="0.25">
      <c r="A157" s="1"/>
      <c r="B157" s="20"/>
      <c r="C157" s="10"/>
      <c r="D157" s="10"/>
      <c r="E157" s="10"/>
      <c r="F157" s="10"/>
      <c r="G157" s="10"/>
      <c r="H157" s="10"/>
      <c r="I157" s="10"/>
      <c r="J157" s="10"/>
      <c r="K157" s="10"/>
      <c r="L157" s="10"/>
      <c r="M157" s="10"/>
      <c r="N157" s="10"/>
      <c r="O157" s="10"/>
      <c r="P157" s="10"/>
      <c r="Q157" s="10"/>
      <c r="R157" s="2"/>
      <c r="S157" s="2"/>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row>
    <row r="158" spans="1:49" x14ac:dyDescent="0.25">
      <c r="A158" s="1"/>
      <c r="B158" s="20"/>
      <c r="C158" s="10"/>
      <c r="D158" s="10"/>
      <c r="E158" s="10"/>
      <c r="F158" s="10"/>
      <c r="G158" s="10"/>
      <c r="H158" s="10"/>
      <c r="I158" s="10"/>
      <c r="J158" s="10"/>
      <c r="K158" s="10"/>
      <c r="L158" s="10"/>
      <c r="M158" s="10"/>
      <c r="N158" s="10"/>
      <c r="O158" s="10"/>
      <c r="P158" s="10"/>
      <c r="Q158" s="10"/>
      <c r="R158" s="2"/>
      <c r="S158" s="2"/>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row>
    <row r="159" spans="1:49" x14ac:dyDescent="0.25">
      <c r="A159" s="1"/>
      <c r="B159" s="20"/>
      <c r="C159" s="10"/>
      <c r="D159" s="10"/>
      <c r="E159" s="10"/>
      <c r="F159" s="10"/>
      <c r="G159" s="10"/>
      <c r="H159" s="10"/>
      <c r="I159" s="10"/>
      <c r="J159" s="10"/>
      <c r="K159" s="10"/>
      <c r="L159" s="10"/>
      <c r="M159" s="10"/>
      <c r="N159" s="10"/>
      <c r="O159" s="10"/>
      <c r="P159" s="10"/>
      <c r="Q159" s="10"/>
      <c r="R159" s="2"/>
      <c r="S159" s="2"/>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row>
    <row r="160" spans="1:49" x14ac:dyDescent="0.25">
      <c r="A160" s="1"/>
      <c r="B160" s="20"/>
      <c r="C160" s="10"/>
      <c r="D160" s="10"/>
      <c r="E160" s="10"/>
      <c r="F160" s="10"/>
      <c r="G160" s="10"/>
      <c r="H160" s="10"/>
      <c r="I160" s="10"/>
      <c r="J160" s="10"/>
      <c r="K160" s="10"/>
      <c r="L160" s="10"/>
      <c r="M160" s="10"/>
      <c r="N160" s="10"/>
      <c r="O160" s="10"/>
      <c r="P160" s="10"/>
      <c r="Q160" s="10"/>
      <c r="R160" s="2"/>
      <c r="S160" s="2"/>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row>
    <row r="161" spans="1:49" x14ac:dyDescent="0.25">
      <c r="A161" s="1"/>
      <c r="B161" s="20"/>
      <c r="C161" s="10"/>
      <c r="D161" s="10"/>
      <c r="E161" s="10"/>
      <c r="F161" s="10"/>
      <c r="G161" s="10"/>
      <c r="H161" s="10"/>
      <c r="I161" s="10"/>
      <c r="J161" s="10"/>
      <c r="K161" s="10"/>
      <c r="L161" s="10"/>
      <c r="M161" s="10"/>
      <c r="N161" s="10"/>
      <c r="O161" s="10"/>
      <c r="P161" s="10"/>
      <c r="Q161" s="10"/>
      <c r="R161" s="2"/>
      <c r="S161" s="2"/>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row>
    <row r="162" spans="1:49" x14ac:dyDescent="0.25">
      <c r="A162" s="1"/>
      <c r="B162" s="20"/>
      <c r="C162" s="10"/>
      <c r="D162" s="10"/>
      <c r="E162" s="10"/>
      <c r="F162" s="10"/>
      <c r="G162" s="10"/>
      <c r="H162" s="10"/>
      <c r="I162" s="10"/>
      <c r="J162" s="10"/>
      <c r="K162" s="10"/>
      <c r="L162" s="10"/>
      <c r="M162" s="10"/>
      <c r="N162" s="10"/>
      <c r="O162" s="10"/>
      <c r="P162" s="10"/>
      <c r="Q162" s="10"/>
      <c r="R162" s="2"/>
      <c r="S162" s="2"/>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row>
    <row r="163" spans="1:49" x14ac:dyDescent="0.25">
      <c r="A163" s="1"/>
      <c r="B163" s="20"/>
      <c r="C163" s="2"/>
      <c r="D163" s="2"/>
      <c r="E163" s="2"/>
      <c r="F163" s="2"/>
      <c r="G163" s="2"/>
      <c r="H163" s="2"/>
      <c r="I163" s="2"/>
      <c r="J163" s="2"/>
      <c r="K163" s="2"/>
      <c r="L163" s="2"/>
      <c r="M163" s="2"/>
      <c r="N163" s="2"/>
      <c r="O163" s="2"/>
      <c r="P163" s="2"/>
      <c r="Q163" s="2"/>
      <c r="R163" s="2"/>
      <c r="S163" s="2"/>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row>
    <row r="164" spans="1:49" x14ac:dyDescent="0.25">
      <c r="A164" s="1"/>
      <c r="B164" s="20"/>
      <c r="C164" s="17"/>
      <c r="D164" s="17"/>
      <c r="E164" s="17"/>
      <c r="F164" s="17"/>
      <c r="G164" s="17"/>
      <c r="H164" s="17"/>
      <c r="I164" s="17"/>
      <c r="J164" s="17"/>
      <c r="K164" s="17"/>
      <c r="L164" s="17"/>
      <c r="M164" s="17"/>
      <c r="N164" s="17"/>
      <c r="O164" s="17"/>
      <c r="P164" s="17"/>
      <c r="Q164" s="17"/>
      <c r="R164" s="2"/>
      <c r="S164" s="2"/>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row>
    <row r="165" spans="1:49" x14ac:dyDescent="0.25">
      <c r="A165" s="1"/>
      <c r="B165" s="20"/>
      <c r="C165" s="10"/>
      <c r="D165" s="10"/>
      <c r="E165" s="10"/>
      <c r="F165" s="10"/>
      <c r="G165" s="10"/>
      <c r="H165" s="10"/>
      <c r="I165" s="10"/>
      <c r="J165" s="10"/>
      <c r="K165" s="10"/>
      <c r="L165" s="10"/>
      <c r="M165" s="10"/>
      <c r="N165" s="10"/>
      <c r="O165" s="10"/>
      <c r="P165" s="10"/>
      <c r="Q165" s="10"/>
      <c r="R165" s="2"/>
      <c r="S165" s="2"/>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row>
    <row r="166" spans="1:49" x14ac:dyDescent="0.25">
      <c r="A166" s="1"/>
      <c r="B166" s="20"/>
      <c r="C166" s="10"/>
      <c r="D166" s="10"/>
      <c r="E166" s="10"/>
      <c r="F166" s="10"/>
      <c r="G166" s="10"/>
      <c r="H166" s="10"/>
      <c r="I166" s="10"/>
      <c r="J166" s="10"/>
      <c r="K166" s="10"/>
      <c r="L166" s="10"/>
      <c r="M166" s="10"/>
      <c r="N166" s="10"/>
      <c r="O166" s="10"/>
      <c r="P166" s="10"/>
      <c r="Q166" s="10"/>
      <c r="R166" s="2"/>
      <c r="S166" s="2"/>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row>
    <row r="167" spans="1:49" x14ac:dyDescent="0.25">
      <c r="A167" s="1"/>
      <c r="B167" s="20"/>
      <c r="C167" s="10"/>
      <c r="D167" s="10"/>
      <c r="E167" s="10"/>
      <c r="F167" s="10"/>
      <c r="G167" s="10"/>
      <c r="H167" s="10"/>
      <c r="I167" s="10"/>
      <c r="J167" s="10"/>
      <c r="K167" s="10"/>
      <c r="L167" s="10"/>
      <c r="M167" s="10"/>
      <c r="N167" s="10"/>
      <c r="O167" s="10"/>
      <c r="P167" s="10"/>
      <c r="Q167" s="10"/>
      <c r="R167" s="2"/>
      <c r="S167" s="2"/>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row>
    <row r="168" spans="1:49" x14ac:dyDescent="0.25">
      <c r="A168" s="1"/>
      <c r="B168" s="20"/>
      <c r="C168" s="10"/>
      <c r="D168" s="10"/>
      <c r="E168" s="10"/>
      <c r="F168" s="10"/>
      <c r="G168" s="10"/>
      <c r="H168" s="10"/>
      <c r="I168" s="10"/>
      <c r="J168" s="10"/>
      <c r="K168" s="10"/>
      <c r="L168" s="10"/>
      <c r="M168" s="10"/>
      <c r="N168" s="10"/>
      <c r="O168" s="10"/>
      <c r="P168" s="10"/>
      <c r="Q168" s="10"/>
      <c r="R168" s="2"/>
      <c r="S168" s="2"/>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row>
    <row r="169" spans="1:49" x14ac:dyDescent="0.25">
      <c r="A169" s="1"/>
      <c r="B169" s="20"/>
      <c r="C169" s="14"/>
      <c r="D169" s="14"/>
      <c r="E169" s="14"/>
      <c r="F169" s="14"/>
      <c r="G169" s="14"/>
      <c r="H169" s="14"/>
      <c r="I169" s="14"/>
      <c r="J169" s="14"/>
      <c r="K169" s="14"/>
      <c r="L169" s="14"/>
      <c r="M169" s="14"/>
      <c r="N169" s="14"/>
      <c r="O169" s="14"/>
      <c r="P169" s="14"/>
      <c r="Q169" s="14"/>
      <c r="R169" s="2"/>
      <c r="S169" s="2"/>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row>
    <row r="170" spans="1:49" x14ac:dyDescent="0.25">
      <c r="A170" s="1"/>
      <c r="B170" s="20"/>
      <c r="C170" s="10"/>
      <c r="D170" s="10"/>
      <c r="E170" s="10"/>
      <c r="F170" s="10"/>
      <c r="G170" s="10"/>
      <c r="H170" s="10"/>
      <c r="I170" s="10"/>
      <c r="J170" s="10"/>
      <c r="K170" s="10"/>
      <c r="L170" s="10"/>
      <c r="M170" s="10"/>
      <c r="N170" s="10"/>
      <c r="O170" s="10"/>
      <c r="P170" s="10"/>
      <c r="Q170" s="10"/>
      <c r="R170" s="2"/>
      <c r="S170" s="2"/>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row>
    <row r="171" spans="1:49" x14ac:dyDescent="0.25">
      <c r="A171" s="1"/>
      <c r="B171" s="20"/>
      <c r="C171" s="10"/>
      <c r="D171" s="10"/>
      <c r="E171" s="10"/>
      <c r="F171" s="10"/>
      <c r="G171" s="10"/>
      <c r="H171" s="10"/>
      <c r="I171" s="10"/>
      <c r="J171" s="10"/>
      <c r="K171" s="10"/>
      <c r="L171" s="10"/>
      <c r="M171" s="10"/>
      <c r="N171" s="10"/>
      <c r="O171" s="10"/>
      <c r="P171" s="10"/>
      <c r="Q171" s="10"/>
      <c r="R171" s="2"/>
      <c r="S171" s="2"/>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row>
    <row r="172" spans="1:49" x14ac:dyDescent="0.25">
      <c r="A172" s="1"/>
      <c r="B172" s="20"/>
      <c r="C172" s="10"/>
      <c r="D172" s="10"/>
      <c r="E172" s="10"/>
      <c r="F172" s="10"/>
      <c r="G172" s="10"/>
      <c r="H172" s="10"/>
      <c r="I172" s="10"/>
      <c r="J172" s="10"/>
      <c r="K172" s="10"/>
      <c r="L172" s="10"/>
      <c r="M172" s="10"/>
      <c r="N172" s="10"/>
      <c r="O172" s="10"/>
      <c r="P172" s="10"/>
      <c r="Q172" s="10"/>
      <c r="R172" s="2"/>
      <c r="S172" s="2"/>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row>
    <row r="173" spans="1:49" x14ac:dyDescent="0.25">
      <c r="A173" s="1"/>
      <c r="B173" s="20"/>
      <c r="C173" s="10"/>
      <c r="D173" s="10"/>
      <c r="E173" s="10"/>
      <c r="F173" s="10"/>
      <c r="G173" s="10"/>
      <c r="H173" s="10"/>
      <c r="I173" s="10"/>
      <c r="J173" s="10"/>
      <c r="K173" s="10"/>
      <c r="L173" s="10"/>
      <c r="M173" s="10"/>
      <c r="N173" s="10"/>
      <c r="O173" s="10"/>
      <c r="P173" s="10"/>
      <c r="Q173" s="10"/>
      <c r="R173" s="2"/>
      <c r="S173" s="2"/>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row>
    <row r="174" spans="1:49" x14ac:dyDescent="0.25">
      <c r="A174" s="1"/>
      <c r="B174" s="20"/>
      <c r="C174" s="10"/>
      <c r="D174" s="10"/>
      <c r="E174" s="10"/>
      <c r="F174" s="10"/>
      <c r="G174" s="10"/>
      <c r="H174" s="10"/>
      <c r="I174" s="10"/>
      <c r="J174" s="10"/>
      <c r="K174" s="10"/>
      <c r="L174" s="10"/>
      <c r="M174" s="10"/>
      <c r="N174" s="10"/>
      <c r="O174" s="10"/>
      <c r="P174" s="10"/>
      <c r="Q174" s="10"/>
      <c r="R174" s="2"/>
      <c r="S174" s="2"/>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row>
    <row r="175" spans="1:49" x14ac:dyDescent="0.25">
      <c r="A175" s="1"/>
      <c r="B175" s="20"/>
      <c r="C175" s="10"/>
      <c r="D175" s="10"/>
      <c r="E175" s="10"/>
      <c r="F175" s="10"/>
      <c r="G175" s="10"/>
      <c r="H175" s="10"/>
      <c r="I175" s="10"/>
      <c r="J175" s="10"/>
      <c r="K175" s="10"/>
      <c r="L175" s="10"/>
      <c r="M175" s="10"/>
      <c r="N175" s="10"/>
      <c r="O175" s="10"/>
      <c r="P175" s="10"/>
      <c r="Q175" s="10"/>
      <c r="R175" s="2"/>
      <c r="S175" s="2"/>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row>
    <row r="176" spans="1:49" x14ac:dyDescent="0.25">
      <c r="A176" s="1"/>
      <c r="B176" s="20"/>
      <c r="C176" s="10"/>
      <c r="D176" s="10"/>
      <c r="E176" s="10"/>
      <c r="F176" s="10"/>
      <c r="G176" s="10"/>
      <c r="H176" s="10"/>
      <c r="I176" s="10"/>
      <c r="J176" s="10"/>
      <c r="K176" s="10"/>
      <c r="L176" s="10"/>
      <c r="M176" s="10"/>
      <c r="N176" s="10"/>
      <c r="O176" s="10"/>
      <c r="P176" s="10"/>
      <c r="Q176" s="10"/>
      <c r="R176" s="2"/>
      <c r="S176" s="2"/>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row>
    <row r="177" spans="1:49" x14ac:dyDescent="0.25">
      <c r="A177" s="1"/>
      <c r="B177" s="20"/>
      <c r="C177" s="10"/>
      <c r="D177" s="10"/>
      <c r="E177" s="10"/>
      <c r="F177" s="10"/>
      <c r="G177" s="10"/>
      <c r="H177" s="10"/>
      <c r="I177" s="10"/>
      <c r="J177" s="10"/>
      <c r="K177" s="10"/>
      <c r="L177" s="10"/>
      <c r="M177" s="10"/>
      <c r="N177" s="10"/>
      <c r="O177" s="10"/>
      <c r="P177" s="10"/>
      <c r="Q177" s="10"/>
      <c r="R177" s="2"/>
      <c r="S177" s="2"/>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row>
    <row r="178" spans="1:49" x14ac:dyDescent="0.25">
      <c r="A178" s="1"/>
      <c r="B178" s="20"/>
      <c r="C178" s="2"/>
      <c r="D178" s="2"/>
      <c r="E178" s="2"/>
      <c r="F178" s="2"/>
      <c r="G178" s="2"/>
      <c r="H178" s="2"/>
      <c r="I178" s="2"/>
      <c r="J178" s="2"/>
      <c r="K178" s="2"/>
      <c r="L178" s="2"/>
      <c r="M178" s="2"/>
      <c r="N178" s="2"/>
      <c r="O178" s="2"/>
      <c r="P178" s="2"/>
      <c r="Q178" s="2"/>
      <c r="R178" s="2"/>
      <c r="S178" s="2"/>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row>
    <row r="179" spans="1:49" x14ac:dyDescent="0.25">
      <c r="A179" s="1"/>
      <c r="B179" s="20"/>
      <c r="C179" s="17"/>
      <c r="D179" s="17"/>
      <c r="E179" s="17"/>
      <c r="F179" s="17"/>
      <c r="G179" s="17"/>
      <c r="H179" s="17"/>
      <c r="I179" s="17"/>
      <c r="J179" s="17"/>
      <c r="K179" s="17"/>
      <c r="L179" s="17"/>
      <c r="M179" s="17"/>
      <c r="N179" s="17"/>
      <c r="O179" s="17"/>
      <c r="P179" s="17"/>
      <c r="Q179" s="17"/>
      <c r="R179" s="2"/>
      <c r="S179" s="2"/>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row>
    <row r="180" spans="1:49" x14ac:dyDescent="0.25">
      <c r="A180" s="1"/>
      <c r="B180" s="20"/>
      <c r="C180" s="10"/>
      <c r="D180" s="10"/>
      <c r="E180" s="10"/>
      <c r="F180" s="10"/>
      <c r="G180" s="10"/>
      <c r="H180" s="10"/>
      <c r="I180" s="10"/>
      <c r="J180" s="10"/>
      <c r="K180" s="10"/>
      <c r="L180" s="10"/>
      <c r="M180" s="10"/>
      <c r="N180" s="10"/>
      <c r="O180" s="10"/>
      <c r="P180" s="10"/>
      <c r="Q180" s="10"/>
      <c r="R180" s="2"/>
      <c r="S180" s="2"/>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row>
    <row r="181" spans="1:49" x14ac:dyDescent="0.25">
      <c r="A181" s="1"/>
      <c r="B181" s="20"/>
      <c r="C181" s="10"/>
      <c r="D181" s="10"/>
      <c r="E181" s="10"/>
      <c r="F181" s="10"/>
      <c r="G181" s="10"/>
      <c r="H181" s="10"/>
      <c r="I181" s="10"/>
      <c r="J181" s="10"/>
      <c r="K181" s="10"/>
      <c r="L181" s="10"/>
      <c r="M181" s="10"/>
      <c r="N181" s="10"/>
      <c r="O181" s="10"/>
      <c r="P181" s="10"/>
      <c r="Q181" s="10"/>
      <c r="R181" s="2"/>
      <c r="S181" s="2"/>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row>
    <row r="182" spans="1:49" x14ac:dyDescent="0.25">
      <c r="A182" s="1"/>
      <c r="B182" s="20"/>
      <c r="C182" s="14"/>
      <c r="D182" s="14"/>
      <c r="E182" s="14"/>
      <c r="F182" s="14"/>
      <c r="G182" s="14"/>
      <c r="H182" s="14"/>
      <c r="I182" s="14"/>
      <c r="J182" s="14"/>
      <c r="K182" s="14"/>
      <c r="L182" s="14"/>
      <c r="M182" s="14"/>
      <c r="N182" s="14"/>
      <c r="O182" s="14"/>
      <c r="P182" s="14"/>
      <c r="Q182" s="14"/>
      <c r="R182" s="2"/>
      <c r="S182" s="2"/>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row>
    <row r="183" spans="1:49" x14ac:dyDescent="0.25">
      <c r="A183" s="1"/>
      <c r="B183" s="20"/>
      <c r="C183" s="10"/>
      <c r="D183" s="10"/>
      <c r="E183" s="10"/>
      <c r="F183" s="10"/>
      <c r="G183" s="10"/>
      <c r="H183" s="10"/>
      <c r="I183" s="10"/>
      <c r="J183" s="10"/>
      <c r="K183" s="10"/>
      <c r="L183" s="10"/>
      <c r="M183" s="10"/>
      <c r="N183" s="10"/>
      <c r="O183" s="10"/>
      <c r="P183" s="10"/>
      <c r="Q183" s="10"/>
      <c r="R183" s="2"/>
      <c r="S183" s="2"/>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row>
    <row r="184" spans="1:49" x14ac:dyDescent="0.25">
      <c r="A184" s="1"/>
      <c r="B184" s="20"/>
      <c r="C184" s="10"/>
      <c r="D184" s="10"/>
      <c r="E184" s="10"/>
      <c r="F184" s="10"/>
      <c r="G184" s="10"/>
      <c r="H184" s="10"/>
      <c r="I184" s="10"/>
      <c r="J184" s="10"/>
      <c r="K184" s="10"/>
      <c r="L184" s="10"/>
      <c r="M184" s="10"/>
      <c r="N184" s="10"/>
      <c r="O184" s="10"/>
      <c r="P184" s="10"/>
      <c r="Q184" s="10"/>
      <c r="R184" s="2"/>
      <c r="S184" s="2"/>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row>
    <row r="185" spans="1:49" x14ac:dyDescent="0.25">
      <c r="A185" s="1"/>
      <c r="B185" s="20"/>
      <c r="C185" s="10"/>
      <c r="D185" s="10"/>
      <c r="E185" s="10"/>
      <c r="F185" s="10"/>
      <c r="G185" s="10"/>
      <c r="H185" s="10"/>
      <c r="I185" s="10"/>
      <c r="J185" s="10"/>
      <c r="K185" s="10"/>
      <c r="L185" s="10"/>
      <c r="M185" s="10"/>
      <c r="N185" s="10"/>
      <c r="O185" s="10"/>
      <c r="P185" s="10"/>
      <c r="Q185" s="10"/>
      <c r="R185" s="2"/>
      <c r="S185" s="2"/>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row>
    <row r="186" spans="1:49" x14ac:dyDescent="0.25">
      <c r="A186" s="1"/>
      <c r="B186" s="20"/>
      <c r="C186" s="10"/>
      <c r="D186" s="10"/>
      <c r="E186" s="10"/>
      <c r="F186" s="10"/>
      <c r="G186" s="10"/>
      <c r="H186" s="10"/>
      <c r="I186" s="10"/>
      <c r="J186" s="10"/>
      <c r="K186" s="10"/>
      <c r="L186" s="10"/>
      <c r="M186" s="10"/>
      <c r="N186" s="10"/>
      <c r="O186" s="10"/>
      <c r="P186" s="10"/>
      <c r="Q186" s="10"/>
      <c r="R186" s="2"/>
      <c r="S186" s="2"/>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row>
    <row r="187" spans="1:49" x14ac:dyDescent="0.25">
      <c r="A187" s="1"/>
      <c r="B187" s="20"/>
      <c r="C187" s="10"/>
      <c r="D187" s="10"/>
      <c r="E187" s="10"/>
      <c r="F187" s="10"/>
      <c r="G187" s="10"/>
      <c r="H187" s="10"/>
      <c r="I187" s="10"/>
      <c r="J187" s="10"/>
      <c r="K187" s="10"/>
      <c r="L187" s="10"/>
      <c r="M187" s="10"/>
      <c r="N187" s="10"/>
      <c r="O187" s="10"/>
      <c r="P187" s="10"/>
      <c r="Q187" s="10"/>
      <c r="R187" s="2"/>
      <c r="S187" s="2"/>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row>
    <row r="188" spans="1:49" x14ac:dyDescent="0.25">
      <c r="A188" s="1"/>
      <c r="B188" s="20"/>
      <c r="C188" s="10"/>
      <c r="D188" s="10"/>
      <c r="E188" s="10"/>
      <c r="F188" s="10"/>
      <c r="G188" s="10"/>
      <c r="H188" s="10"/>
      <c r="I188" s="10"/>
      <c r="J188" s="10"/>
      <c r="K188" s="10"/>
      <c r="L188" s="10"/>
      <c r="M188" s="10"/>
      <c r="N188" s="10"/>
      <c r="O188" s="10"/>
      <c r="P188" s="10"/>
      <c r="Q188" s="10"/>
      <c r="R188" s="2"/>
      <c r="S188" s="2"/>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row>
    <row r="189" spans="1:49" x14ac:dyDescent="0.25">
      <c r="A189" s="1"/>
      <c r="B189" s="20"/>
      <c r="C189" s="10"/>
      <c r="D189" s="10"/>
      <c r="E189" s="10"/>
      <c r="F189" s="10"/>
      <c r="G189" s="10"/>
      <c r="H189" s="10"/>
      <c r="I189" s="10"/>
      <c r="J189" s="10"/>
      <c r="K189" s="10"/>
      <c r="L189" s="10"/>
      <c r="M189" s="10"/>
      <c r="N189" s="10"/>
      <c r="O189" s="10"/>
      <c r="P189" s="10"/>
      <c r="Q189" s="10"/>
      <c r="R189" s="2"/>
      <c r="S189" s="2"/>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row>
    <row r="190" spans="1:49" x14ac:dyDescent="0.25">
      <c r="A190" s="1"/>
      <c r="B190" s="20"/>
      <c r="C190" s="14"/>
      <c r="D190" s="14"/>
      <c r="E190" s="14"/>
      <c r="F190" s="14"/>
      <c r="G190" s="14"/>
      <c r="H190" s="14"/>
      <c r="I190" s="14"/>
      <c r="J190" s="14"/>
      <c r="K190" s="14"/>
      <c r="L190" s="14"/>
      <c r="M190" s="14"/>
      <c r="N190" s="14"/>
      <c r="O190" s="14"/>
      <c r="P190" s="14"/>
      <c r="Q190" s="14"/>
      <c r="R190" s="2"/>
      <c r="S190" s="2"/>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row>
    <row r="191" spans="1:49" x14ac:dyDescent="0.25">
      <c r="A191" s="1"/>
      <c r="B191" s="20"/>
      <c r="C191" s="14"/>
      <c r="D191" s="14"/>
      <c r="E191" s="14"/>
      <c r="F191" s="14"/>
      <c r="G191" s="14"/>
      <c r="H191" s="14"/>
      <c r="I191" s="14"/>
      <c r="J191" s="14"/>
      <c r="K191" s="14"/>
      <c r="L191" s="14"/>
      <c r="M191" s="14"/>
      <c r="N191" s="14"/>
      <c r="O191" s="14"/>
      <c r="P191" s="14"/>
      <c r="Q191" s="14"/>
      <c r="R191" s="2"/>
      <c r="S191" s="2"/>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row>
    <row r="192" spans="1:49" x14ac:dyDescent="0.25">
      <c r="A192" s="1"/>
      <c r="B192" s="20"/>
      <c r="C192" s="14"/>
      <c r="D192" s="14"/>
      <c r="E192" s="14"/>
      <c r="F192" s="14"/>
      <c r="G192" s="14"/>
      <c r="H192" s="14"/>
      <c r="I192" s="14"/>
      <c r="J192" s="14"/>
      <c r="K192" s="14"/>
      <c r="L192" s="14"/>
      <c r="M192" s="14"/>
      <c r="N192" s="14"/>
      <c r="O192" s="14"/>
      <c r="P192" s="14"/>
      <c r="Q192" s="14"/>
      <c r="R192" s="2"/>
      <c r="S192" s="2"/>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row>
    <row r="193" spans="1:49" x14ac:dyDescent="0.25">
      <c r="A193" s="1"/>
      <c r="B193" s="20"/>
      <c r="C193" s="10"/>
      <c r="D193" s="10"/>
      <c r="E193" s="10"/>
      <c r="F193" s="10"/>
      <c r="G193" s="10"/>
      <c r="H193" s="10"/>
      <c r="I193" s="10"/>
      <c r="J193" s="10"/>
      <c r="K193" s="10"/>
      <c r="L193" s="10"/>
      <c r="M193" s="10"/>
      <c r="N193" s="10"/>
      <c r="O193" s="10"/>
      <c r="P193" s="10"/>
      <c r="Q193" s="10"/>
      <c r="R193" s="2"/>
      <c r="S193" s="2"/>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row>
    <row r="194" spans="1:49" x14ac:dyDescent="0.25">
      <c r="A194" s="1"/>
      <c r="B194" s="1"/>
      <c r="C194" s="2"/>
      <c r="D194" s="2"/>
      <c r="E194" s="2"/>
      <c r="F194" s="2"/>
      <c r="G194" s="2"/>
      <c r="H194" s="2"/>
      <c r="I194" s="2"/>
      <c r="J194" s="2"/>
      <c r="K194" s="2"/>
      <c r="L194" s="2"/>
      <c r="M194" s="2"/>
      <c r="N194" s="2"/>
      <c r="O194" s="2"/>
      <c r="P194" s="2"/>
      <c r="Q194" s="2"/>
      <c r="R194" s="2"/>
      <c r="S194" s="2"/>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row>
    <row r="195" spans="1:49" x14ac:dyDescent="0.25">
      <c r="A195" s="1"/>
      <c r="B195" s="1"/>
      <c r="C195" s="2"/>
      <c r="D195" s="2"/>
      <c r="E195" s="2"/>
      <c r="F195" s="2"/>
      <c r="G195" s="2"/>
      <c r="H195" s="2"/>
      <c r="I195" s="2"/>
      <c r="J195" s="2"/>
      <c r="K195" s="2"/>
      <c r="L195" s="2"/>
      <c r="M195" s="2"/>
      <c r="N195" s="2"/>
      <c r="O195" s="2"/>
      <c r="P195" s="2"/>
      <c r="Q195" s="2"/>
      <c r="R195" s="2"/>
      <c r="S195" s="2"/>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row>
    <row r="196" spans="1:49" x14ac:dyDescent="0.25">
      <c r="A196" s="1"/>
      <c r="B196" s="1"/>
      <c r="C196" s="2"/>
      <c r="D196" s="2"/>
      <c r="E196" s="2"/>
      <c r="F196" s="2"/>
      <c r="G196" s="2"/>
      <c r="H196" s="2"/>
      <c r="I196" s="2"/>
      <c r="J196" s="2"/>
      <c r="K196" s="2"/>
      <c r="L196" s="2"/>
      <c r="M196" s="2"/>
      <c r="N196" s="2"/>
      <c r="O196" s="2"/>
      <c r="P196" s="2"/>
      <c r="Q196" s="2"/>
      <c r="R196" s="2"/>
      <c r="S196" s="2"/>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row>
    <row r="197" spans="1:49" x14ac:dyDescent="0.25">
      <c r="A197" s="1"/>
      <c r="B197" s="1"/>
      <c r="C197" s="2"/>
      <c r="D197" s="2"/>
      <c r="E197" s="2"/>
      <c r="F197" s="2"/>
      <c r="G197" s="2"/>
      <c r="H197" s="2"/>
      <c r="I197" s="2"/>
      <c r="J197" s="2"/>
      <c r="K197" s="2"/>
      <c r="L197" s="2"/>
      <c r="M197" s="2"/>
      <c r="N197" s="2"/>
      <c r="O197" s="2"/>
      <c r="P197" s="2"/>
      <c r="Q197" s="2"/>
      <c r="R197" s="2"/>
      <c r="S197" s="2"/>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row>
    <row r="198" spans="1:49" x14ac:dyDescent="0.25">
      <c r="A198" s="1"/>
      <c r="B198" s="1"/>
      <c r="C198" s="2"/>
      <c r="D198" s="2"/>
      <c r="E198" s="2"/>
      <c r="F198" s="2"/>
      <c r="G198" s="2"/>
      <c r="H198" s="2"/>
      <c r="I198" s="2"/>
      <c r="J198" s="2"/>
      <c r="K198" s="2"/>
      <c r="L198" s="2"/>
      <c r="M198" s="2"/>
      <c r="N198" s="2"/>
      <c r="O198" s="2"/>
      <c r="P198" s="2"/>
      <c r="Q198" s="2"/>
      <c r="R198" s="2"/>
      <c r="S198" s="2"/>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row>
    <row r="199" spans="1:49" x14ac:dyDescent="0.25">
      <c r="A199" s="1"/>
      <c r="B199" s="1"/>
      <c r="C199" s="2"/>
      <c r="D199" s="2"/>
      <c r="E199" s="2"/>
      <c r="F199" s="2"/>
      <c r="G199" s="2"/>
      <c r="H199" s="2"/>
      <c r="I199" s="2"/>
      <c r="J199" s="2"/>
      <c r="K199" s="2"/>
      <c r="L199" s="2"/>
      <c r="M199" s="2"/>
      <c r="N199" s="2"/>
      <c r="O199" s="2"/>
      <c r="P199" s="2"/>
      <c r="Q199" s="2"/>
      <c r="R199" s="2"/>
      <c r="S199" s="2"/>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row>
    <row r="200" spans="1:49" x14ac:dyDescent="0.25">
      <c r="A200" s="1"/>
      <c r="B200" s="1"/>
      <c r="C200" s="2"/>
      <c r="D200" s="2"/>
      <c r="E200" s="2"/>
      <c r="F200" s="2"/>
      <c r="G200" s="2"/>
      <c r="H200" s="2"/>
      <c r="I200" s="2"/>
      <c r="J200" s="2"/>
      <c r="K200" s="2"/>
      <c r="L200" s="2"/>
      <c r="M200" s="2"/>
      <c r="N200" s="2"/>
      <c r="O200" s="2"/>
      <c r="P200" s="2"/>
      <c r="Q200" s="2"/>
      <c r="R200" s="2"/>
      <c r="S200" s="2"/>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row>
    <row r="201" spans="1:49" x14ac:dyDescent="0.25">
      <c r="A201" s="1"/>
      <c r="B201" s="1"/>
      <c r="C201" s="2"/>
      <c r="D201" s="2"/>
      <c r="E201" s="2"/>
      <c r="F201" s="2"/>
      <c r="G201" s="2"/>
      <c r="H201" s="2"/>
      <c r="I201" s="2"/>
      <c r="J201" s="2"/>
      <c r="K201" s="2"/>
      <c r="L201" s="2"/>
      <c r="M201" s="2"/>
      <c r="N201" s="2"/>
      <c r="O201" s="2"/>
      <c r="P201" s="2"/>
      <c r="Q201" s="2"/>
      <c r="R201" s="2"/>
      <c r="S201" s="2"/>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row>
    <row r="202" spans="1:49" x14ac:dyDescent="0.25">
      <c r="A202" s="1"/>
      <c r="B202" s="1"/>
      <c r="C202" s="2"/>
      <c r="D202" s="2"/>
      <c r="E202" s="2"/>
      <c r="F202" s="2"/>
      <c r="G202" s="2"/>
      <c r="H202" s="2"/>
      <c r="I202" s="2"/>
      <c r="J202" s="2"/>
      <c r="K202" s="2"/>
      <c r="L202" s="2"/>
      <c r="M202" s="2"/>
      <c r="N202" s="2"/>
      <c r="O202" s="2"/>
      <c r="P202" s="2"/>
      <c r="Q202" s="2"/>
      <c r="R202" s="2"/>
      <c r="S202" s="2"/>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row>
    <row r="203" spans="1:49" x14ac:dyDescent="0.25">
      <c r="A203" s="1"/>
      <c r="B203" s="1"/>
      <c r="C203" s="2"/>
      <c r="D203" s="2"/>
      <c r="E203" s="2"/>
      <c r="F203" s="2"/>
      <c r="G203" s="2"/>
      <c r="H203" s="2"/>
      <c r="I203" s="2"/>
      <c r="J203" s="2"/>
      <c r="K203" s="2"/>
      <c r="L203" s="2"/>
      <c r="M203" s="2"/>
      <c r="N203" s="2"/>
      <c r="O203" s="2"/>
      <c r="P203" s="2"/>
      <c r="Q203" s="2"/>
      <c r="R203" s="2"/>
      <c r="S203" s="2"/>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row>
    <row r="204" spans="1:49" x14ac:dyDescent="0.25">
      <c r="A204" s="1"/>
      <c r="B204" s="1"/>
      <c r="C204" s="2"/>
      <c r="D204" s="2"/>
      <c r="E204" s="2"/>
      <c r="F204" s="2"/>
      <c r="G204" s="2"/>
      <c r="H204" s="2"/>
      <c r="I204" s="2"/>
      <c r="J204" s="2"/>
      <c r="K204" s="2"/>
      <c r="L204" s="2"/>
      <c r="M204" s="2"/>
      <c r="N204" s="2"/>
      <c r="O204" s="2"/>
      <c r="P204" s="2"/>
      <c r="Q204" s="2"/>
      <c r="R204" s="2"/>
      <c r="S204" s="2"/>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row>
    <row r="205" spans="1:49" x14ac:dyDescent="0.25">
      <c r="A205" s="1"/>
      <c r="B205" s="1"/>
      <c r="C205" s="2"/>
      <c r="D205" s="2"/>
      <c r="E205" s="2"/>
      <c r="F205" s="2"/>
      <c r="G205" s="2"/>
      <c r="H205" s="2"/>
      <c r="I205" s="2"/>
      <c r="J205" s="2"/>
      <c r="K205" s="2"/>
      <c r="L205" s="2"/>
      <c r="M205" s="2"/>
      <c r="N205" s="2"/>
      <c r="O205" s="2"/>
      <c r="P205" s="2"/>
      <c r="Q205" s="2"/>
      <c r="R205" s="2"/>
      <c r="S205" s="2"/>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row>
    <row r="206" spans="1:49" x14ac:dyDescent="0.25">
      <c r="A206" s="1"/>
      <c r="B206" s="1"/>
      <c r="C206" s="2"/>
      <c r="D206" s="2"/>
      <c r="E206" s="2"/>
      <c r="F206" s="2"/>
      <c r="G206" s="2"/>
      <c r="H206" s="2"/>
      <c r="I206" s="2"/>
      <c r="J206" s="2"/>
      <c r="K206" s="2"/>
      <c r="L206" s="2"/>
      <c r="M206" s="2"/>
      <c r="N206" s="2"/>
      <c r="O206" s="2"/>
      <c r="P206" s="2"/>
      <c r="Q206" s="2"/>
      <c r="R206" s="2"/>
      <c r="S206" s="2"/>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row>
    <row r="207" spans="1:49" x14ac:dyDescent="0.25">
      <c r="A207" s="1"/>
      <c r="B207" s="1"/>
      <c r="C207" s="2"/>
      <c r="D207" s="2"/>
      <c r="E207" s="2"/>
      <c r="F207" s="2"/>
      <c r="G207" s="2"/>
      <c r="H207" s="2"/>
      <c r="I207" s="2"/>
      <c r="J207" s="2"/>
      <c r="K207" s="2"/>
      <c r="L207" s="2"/>
      <c r="M207" s="2"/>
      <c r="N207" s="2"/>
      <c r="O207" s="2"/>
      <c r="P207" s="2"/>
      <c r="Q207" s="2"/>
      <c r="R207" s="2"/>
      <c r="S207" s="2"/>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row>
    <row r="208" spans="1:49" x14ac:dyDescent="0.25">
      <c r="A208" s="1"/>
      <c r="B208" s="1"/>
      <c r="C208" s="2"/>
      <c r="D208" s="2"/>
      <c r="E208" s="2"/>
      <c r="F208" s="2"/>
      <c r="G208" s="2"/>
      <c r="H208" s="2"/>
      <c r="I208" s="2"/>
      <c r="J208" s="2"/>
      <c r="K208" s="2"/>
      <c r="L208" s="2"/>
      <c r="M208" s="2"/>
      <c r="N208" s="2"/>
      <c r="O208" s="2"/>
      <c r="P208" s="2"/>
      <c r="Q208" s="2"/>
      <c r="R208" s="2"/>
      <c r="S208" s="2"/>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row>
    <row r="209" spans="1:49" x14ac:dyDescent="0.25">
      <c r="A209" s="1"/>
      <c r="B209" s="1"/>
      <c r="C209" s="2"/>
      <c r="D209" s="2"/>
      <c r="E209" s="2"/>
      <c r="F209" s="2"/>
      <c r="G209" s="2"/>
      <c r="H209" s="2"/>
      <c r="I209" s="2"/>
      <c r="J209" s="2"/>
      <c r="K209" s="2"/>
      <c r="L209" s="2"/>
      <c r="M209" s="2"/>
      <c r="N209" s="2"/>
      <c r="O209" s="2"/>
      <c r="P209" s="2"/>
      <c r="Q209" s="2"/>
      <c r="R209" s="2"/>
      <c r="S209" s="2"/>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row>
    <row r="210" spans="1:49" x14ac:dyDescent="0.25">
      <c r="A210" s="1"/>
      <c r="B210" s="1"/>
      <c r="C210" s="2"/>
      <c r="D210" s="2"/>
      <c r="E210" s="2"/>
      <c r="F210" s="2"/>
      <c r="G210" s="2"/>
      <c r="H210" s="2"/>
      <c r="I210" s="2"/>
      <c r="J210" s="2"/>
      <c r="K210" s="2"/>
      <c r="L210" s="2"/>
      <c r="M210" s="2"/>
      <c r="N210" s="2"/>
      <c r="O210" s="2"/>
      <c r="P210" s="2"/>
      <c r="Q210" s="2"/>
      <c r="R210" s="2"/>
      <c r="S210" s="2"/>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row>
    <row r="211" spans="1:49" x14ac:dyDescent="0.25">
      <c r="A211" s="1"/>
      <c r="B211" s="1"/>
      <c r="C211" s="2"/>
      <c r="D211" s="2"/>
      <c r="E211" s="2"/>
      <c r="F211" s="2"/>
      <c r="G211" s="2"/>
      <c r="H211" s="2"/>
      <c r="I211" s="2"/>
      <c r="J211" s="2"/>
      <c r="K211" s="2"/>
      <c r="L211" s="2"/>
      <c r="M211" s="2"/>
      <c r="N211" s="2"/>
      <c r="O211" s="2"/>
      <c r="P211" s="2"/>
      <c r="Q211" s="2"/>
      <c r="R211" s="2"/>
      <c r="S211" s="2"/>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row>
    <row r="212" spans="1:49" x14ac:dyDescent="0.25">
      <c r="A212" s="1"/>
      <c r="B212" s="1"/>
      <c r="C212" s="2"/>
      <c r="D212" s="2"/>
      <c r="E212" s="2"/>
      <c r="F212" s="2"/>
      <c r="G212" s="2"/>
      <c r="H212" s="2"/>
      <c r="I212" s="2"/>
      <c r="J212" s="2"/>
      <c r="K212" s="2"/>
      <c r="L212" s="2"/>
      <c r="M212" s="2"/>
      <c r="N212" s="2"/>
      <c r="O212" s="2"/>
      <c r="P212" s="2"/>
      <c r="Q212" s="2"/>
      <c r="R212" s="2"/>
      <c r="S212" s="2"/>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row>
    <row r="213" spans="1:49" x14ac:dyDescent="0.25">
      <c r="A213" s="1"/>
      <c r="B213" s="1"/>
      <c r="C213" s="2"/>
      <c r="D213" s="2"/>
      <c r="E213" s="2"/>
      <c r="F213" s="2"/>
      <c r="G213" s="2"/>
      <c r="H213" s="2"/>
      <c r="I213" s="2"/>
      <c r="J213" s="2"/>
      <c r="K213" s="2"/>
      <c r="L213" s="2"/>
      <c r="M213" s="2"/>
      <c r="N213" s="2"/>
      <c r="O213" s="2"/>
      <c r="P213" s="2"/>
      <c r="Q213" s="2"/>
      <c r="R213" s="2"/>
      <c r="S213" s="2"/>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row>
    <row r="214" spans="1:49" x14ac:dyDescent="0.25">
      <c r="A214" s="1"/>
      <c r="B214" s="1"/>
      <c r="C214" s="2"/>
      <c r="D214" s="2"/>
      <c r="E214" s="2"/>
      <c r="F214" s="2"/>
      <c r="G214" s="2"/>
      <c r="H214" s="2"/>
      <c r="I214" s="2"/>
      <c r="J214" s="2"/>
      <c r="K214" s="2"/>
      <c r="L214" s="2"/>
      <c r="M214" s="2"/>
      <c r="N214" s="2"/>
      <c r="O214" s="2"/>
      <c r="P214" s="2"/>
      <c r="Q214" s="2"/>
      <c r="R214" s="2"/>
      <c r="S214" s="2"/>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row>
    <row r="215" spans="1:49" x14ac:dyDescent="0.25">
      <c r="A215" s="1"/>
      <c r="B215" s="1"/>
      <c r="C215" s="2"/>
      <c r="D215" s="2"/>
      <c r="E215" s="2"/>
      <c r="F215" s="2"/>
      <c r="G215" s="2"/>
      <c r="H215" s="2"/>
      <c r="I215" s="2"/>
      <c r="J215" s="2"/>
      <c r="K215" s="2"/>
      <c r="L215" s="2"/>
      <c r="M215" s="2"/>
      <c r="N215" s="2"/>
      <c r="O215" s="2"/>
      <c r="P215" s="2"/>
      <c r="Q215" s="2"/>
      <c r="R215" s="2"/>
      <c r="S215" s="2"/>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row>
    <row r="216" spans="1:49" x14ac:dyDescent="0.25">
      <c r="A216" s="1"/>
      <c r="B216" s="1"/>
      <c r="C216" s="2"/>
      <c r="D216" s="2"/>
      <c r="E216" s="2"/>
      <c r="F216" s="2"/>
      <c r="G216" s="2"/>
      <c r="H216" s="2"/>
      <c r="I216" s="2"/>
      <c r="J216" s="2"/>
      <c r="K216" s="2"/>
      <c r="L216" s="2"/>
      <c r="M216" s="2"/>
      <c r="N216" s="2"/>
      <c r="O216" s="2"/>
      <c r="P216" s="2"/>
      <c r="Q216" s="2"/>
      <c r="R216" s="2"/>
      <c r="S216" s="2"/>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row>
    <row r="217" spans="1:49" x14ac:dyDescent="0.25">
      <c r="A217" s="1"/>
      <c r="B217" s="1"/>
      <c r="C217" s="2"/>
      <c r="D217" s="2"/>
      <c r="E217" s="2"/>
      <c r="F217" s="2"/>
      <c r="G217" s="2"/>
      <c r="H217" s="2"/>
      <c r="I217" s="2"/>
      <c r="J217" s="2"/>
      <c r="K217" s="2"/>
      <c r="L217" s="2"/>
      <c r="M217" s="2"/>
      <c r="N217" s="2"/>
      <c r="O217" s="2"/>
      <c r="P217" s="2"/>
      <c r="Q217" s="2"/>
      <c r="R217" s="2"/>
      <c r="S217" s="2"/>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row>
    <row r="218" spans="1:49" x14ac:dyDescent="0.25">
      <c r="A218" s="1"/>
      <c r="B218" s="1"/>
      <c r="C218" s="2"/>
      <c r="D218" s="2"/>
      <c r="E218" s="2"/>
      <c r="F218" s="2"/>
      <c r="G218" s="2"/>
      <c r="H218" s="2"/>
      <c r="I218" s="2"/>
      <c r="J218" s="2"/>
      <c r="K218" s="2"/>
      <c r="L218" s="2"/>
      <c r="M218" s="2"/>
      <c r="N218" s="2"/>
      <c r="O218" s="2"/>
      <c r="P218" s="2"/>
      <c r="Q218" s="2"/>
      <c r="R218" s="2"/>
      <c r="S218" s="2"/>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row>
    <row r="219" spans="1:49" x14ac:dyDescent="0.25">
      <c r="A219" s="1"/>
      <c r="B219" s="1"/>
      <c r="C219" s="2"/>
      <c r="D219" s="2"/>
      <c r="E219" s="2"/>
      <c r="F219" s="2"/>
      <c r="G219" s="2"/>
      <c r="H219" s="2"/>
      <c r="I219" s="2"/>
      <c r="J219" s="2"/>
      <c r="K219" s="2"/>
      <c r="L219" s="2"/>
      <c r="M219" s="2"/>
      <c r="N219" s="2"/>
      <c r="O219" s="2"/>
      <c r="P219" s="2"/>
      <c r="Q219" s="2"/>
      <c r="R219" s="2"/>
      <c r="S219" s="2"/>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row>
    <row r="220" spans="1:49" x14ac:dyDescent="0.25">
      <c r="A220" s="1"/>
      <c r="B220" s="1"/>
      <c r="C220" s="2"/>
      <c r="D220" s="2"/>
      <c r="E220" s="2"/>
      <c r="F220" s="2"/>
      <c r="G220" s="2"/>
      <c r="H220" s="2"/>
      <c r="I220" s="2"/>
      <c r="J220" s="2"/>
      <c r="K220" s="2"/>
      <c r="L220" s="2"/>
      <c r="M220" s="2"/>
      <c r="N220" s="2"/>
      <c r="O220" s="2"/>
      <c r="P220" s="2"/>
      <c r="Q220" s="2"/>
      <c r="R220" s="2"/>
      <c r="S220" s="2"/>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row>
    <row r="221" spans="1:49" x14ac:dyDescent="0.25">
      <c r="A221" s="1"/>
      <c r="B221" s="1"/>
      <c r="C221" s="2"/>
      <c r="D221" s="2"/>
      <c r="E221" s="2"/>
      <c r="F221" s="2"/>
      <c r="G221" s="2"/>
      <c r="H221" s="2"/>
      <c r="I221" s="2"/>
      <c r="J221" s="2"/>
      <c r="K221" s="2"/>
      <c r="L221" s="2"/>
      <c r="M221" s="2"/>
      <c r="N221" s="2"/>
      <c r="O221" s="2"/>
      <c r="P221" s="2"/>
      <c r="Q221" s="2"/>
      <c r="R221" s="2"/>
      <c r="S221" s="2"/>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row>
    <row r="222" spans="1:49" x14ac:dyDescent="0.25">
      <c r="A222" s="1"/>
      <c r="B222" s="1"/>
      <c r="C222" s="2"/>
      <c r="D222" s="2"/>
      <c r="E222" s="2"/>
      <c r="F222" s="2"/>
      <c r="G222" s="2"/>
      <c r="H222" s="2"/>
      <c r="I222" s="2"/>
      <c r="J222" s="2"/>
      <c r="K222" s="2"/>
      <c r="L222" s="2"/>
      <c r="M222" s="2"/>
      <c r="N222" s="2"/>
      <c r="O222" s="2"/>
      <c r="P222" s="2"/>
      <c r="Q222" s="2"/>
      <c r="R222" s="2"/>
      <c r="S222" s="2"/>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row>
    <row r="223" spans="1:49" x14ac:dyDescent="0.25">
      <c r="A223" s="1"/>
      <c r="B223" s="1"/>
      <c r="C223" s="2"/>
      <c r="D223" s="2"/>
      <c r="E223" s="2"/>
      <c r="F223" s="2"/>
      <c r="G223" s="2"/>
      <c r="H223" s="2"/>
      <c r="I223" s="2"/>
      <c r="J223" s="2"/>
      <c r="K223" s="2"/>
      <c r="L223" s="2"/>
      <c r="M223" s="2"/>
      <c r="N223" s="2"/>
      <c r="O223" s="2"/>
      <c r="P223" s="2"/>
      <c r="Q223" s="2"/>
      <c r="R223" s="2"/>
      <c r="S223" s="2"/>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row>
    <row r="224" spans="1:49" x14ac:dyDescent="0.25">
      <c r="A224" s="1"/>
      <c r="B224" s="1"/>
      <c r="C224" s="2"/>
      <c r="D224" s="2"/>
      <c r="E224" s="2"/>
      <c r="F224" s="2"/>
      <c r="G224" s="2"/>
      <c r="H224" s="2"/>
      <c r="I224" s="2"/>
      <c r="J224" s="2"/>
      <c r="K224" s="2"/>
      <c r="L224" s="2"/>
      <c r="M224" s="2"/>
      <c r="N224" s="2"/>
      <c r="O224" s="2"/>
      <c r="P224" s="2"/>
      <c r="Q224" s="2"/>
      <c r="R224" s="2"/>
      <c r="S224" s="2"/>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row>
    <row r="225" spans="1:49" x14ac:dyDescent="0.25">
      <c r="A225" s="1"/>
      <c r="B225" s="1"/>
      <c r="C225" s="2"/>
      <c r="D225" s="2"/>
      <c r="E225" s="2"/>
      <c r="F225" s="2"/>
      <c r="G225" s="2"/>
      <c r="H225" s="2"/>
      <c r="I225" s="2"/>
      <c r="J225" s="2"/>
      <c r="K225" s="2"/>
      <c r="L225" s="2"/>
      <c r="M225" s="2"/>
      <c r="N225" s="2"/>
      <c r="O225" s="2"/>
      <c r="P225" s="2"/>
      <c r="Q225" s="2"/>
      <c r="R225" s="2"/>
      <c r="S225" s="2"/>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row>
    <row r="226" spans="1:49" x14ac:dyDescent="0.25">
      <c r="A226" s="1"/>
      <c r="B226" s="1"/>
      <c r="C226" s="2"/>
      <c r="D226" s="2"/>
      <c r="E226" s="2"/>
      <c r="F226" s="2"/>
      <c r="G226" s="2"/>
      <c r="H226" s="2"/>
      <c r="I226" s="2"/>
      <c r="J226" s="2"/>
      <c r="K226" s="2"/>
      <c r="L226" s="2"/>
      <c r="M226" s="2"/>
      <c r="N226" s="2"/>
      <c r="O226" s="2"/>
      <c r="P226" s="2"/>
      <c r="Q226" s="2"/>
      <c r="R226" s="2"/>
      <c r="S226" s="2"/>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row>
    <row r="227" spans="1:49" x14ac:dyDescent="0.25">
      <c r="A227" s="1"/>
      <c r="B227" s="1"/>
      <c r="C227" s="2"/>
      <c r="D227" s="2"/>
      <c r="E227" s="2"/>
      <c r="F227" s="2"/>
      <c r="G227" s="2"/>
      <c r="H227" s="2"/>
      <c r="I227" s="2"/>
      <c r="J227" s="2"/>
      <c r="K227" s="2"/>
      <c r="L227" s="2"/>
      <c r="M227" s="2"/>
      <c r="N227" s="2"/>
      <c r="O227" s="2"/>
      <c r="P227" s="2"/>
      <c r="Q227" s="2"/>
      <c r="R227" s="2"/>
      <c r="S227" s="2"/>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row>
    <row r="228" spans="1:49" x14ac:dyDescent="0.25">
      <c r="A228" s="1"/>
      <c r="B228" s="1"/>
      <c r="C228" s="2"/>
      <c r="D228" s="2"/>
      <c r="E228" s="2"/>
      <c r="F228" s="2"/>
      <c r="G228" s="2"/>
      <c r="H228" s="2"/>
      <c r="I228" s="2"/>
      <c r="J228" s="2"/>
      <c r="K228" s="2"/>
      <c r="L228" s="2"/>
      <c r="M228" s="2"/>
      <c r="N228" s="2"/>
      <c r="O228" s="2"/>
      <c r="P228" s="2"/>
      <c r="Q228" s="2"/>
      <c r="R228" s="2"/>
      <c r="S228" s="2"/>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row>
    <row r="229" spans="1:49" x14ac:dyDescent="0.25">
      <c r="A229" s="1"/>
      <c r="B229" s="1"/>
      <c r="C229" s="2"/>
      <c r="D229" s="2"/>
      <c r="E229" s="2"/>
      <c r="F229" s="2"/>
      <c r="G229" s="2"/>
      <c r="H229" s="2"/>
      <c r="I229" s="2"/>
      <c r="J229" s="2"/>
      <c r="K229" s="2"/>
      <c r="L229" s="2"/>
      <c r="M229" s="2"/>
      <c r="N229" s="2"/>
      <c r="O229" s="2"/>
      <c r="P229" s="2"/>
      <c r="Q229" s="2"/>
      <c r="R229" s="2"/>
      <c r="S229" s="2"/>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row>
    <row r="230" spans="1:49" x14ac:dyDescent="0.25">
      <c r="A230" s="1"/>
      <c r="B230" s="1"/>
      <c r="C230" s="2"/>
      <c r="D230" s="2"/>
      <c r="E230" s="2"/>
      <c r="F230" s="2"/>
      <c r="G230" s="2"/>
      <c r="H230" s="2"/>
      <c r="I230" s="2"/>
      <c r="J230" s="2"/>
      <c r="K230" s="2"/>
      <c r="L230" s="2"/>
      <c r="M230" s="2"/>
      <c r="N230" s="2"/>
      <c r="O230" s="2"/>
      <c r="P230" s="2"/>
      <c r="Q230" s="2"/>
      <c r="R230" s="2"/>
      <c r="S230" s="2"/>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row>
    <row r="231" spans="1:49" x14ac:dyDescent="0.25">
      <c r="A231" s="1"/>
      <c r="B231" s="1"/>
      <c r="C231" s="2"/>
      <c r="D231" s="2"/>
      <c r="E231" s="2"/>
      <c r="F231" s="2"/>
      <c r="G231" s="2"/>
      <c r="H231" s="2"/>
      <c r="I231" s="2"/>
      <c r="J231" s="2"/>
      <c r="K231" s="2"/>
      <c r="L231" s="2"/>
      <c r="M231" s="2"/>
      <c r="N231" s="2"/>
      <c r="O231" s="2"/>
      <c r="P231" s="2"/>
      <c r="Q231" s="2"/>
      <c r="R231" s="2"/>
      <c r="S231" s="2"/>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row>
    <row r="232" spans="1:49" x14ac:dyDescent="0.25">
      <c r="A232" s="1"/>
      <c r="B232" s="1"/>
      <c r="C232" s="2"/>
      <c r="D232" s="2"/>
      <c r="E232" s="2"/>
      <c r="F232" s="2"/>
      <c r="G232" s="2"/>
      <c r="H232" s="2"/>
      <c r="I232" s="2"/>
      <c r="J232" s="2"/>
      <c r="K232" s="2"/>
      <c r="L232" s="2"/>
      <c r="M232" s="2"/>
      <c r="N232" s="2"/>
      <c r="O232" s="2"/>
      <c r="P232" s="2"/>
      <c r="Q232" s="2"/>
      <c r="R232" s="2"/>
      <c r="S232" s="2"/>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row>
    <row r="233" spans="1:49" x14ac:dyDescent="0.25">
      <c r="A233" s="1"/>
      <c r="B233" s="1"/>
      <c r="C233" s="2"/>
      <c r="D233" s="2"/>
      <c r="E233" s="2"/>
      <c r="F233" s="2"/>
      <c r="G233" s="2"/>
      <c r="H233" s="2"/>
      <c r="I233" s="2"/>
      <c r="J233" s="2"/>
      <c r="K233" s="2"/>
      <c r="L233" s="2"/>
      <c r="M233" s="2"/>
      <c r="N233" s="2"/>
      <c r="O233" s="2"/>
      <c r="P233" s="2"/>
      <c r="Q233" s="2"/>
      <c r="R233" s="2"/>
      <c r="S233" s="2"/>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row>
    <row r="234" spans="1:49" x14ac:dyDescent="0.25">
      <c r="A234" s="1"/>
      <c r="B234" s="1"/>
      <c r="C234" s="2"/>
      <c r="D234" s="2"/>
      <c r="E234" s="2"/>
      <c r="F234" s="2"/>
      <c r="G234" s="2"/>
      <c r="H234" s="2"/>
      <c r="I234" s="2"/>
      <c r="J234" s="2"/>
      <c r="K234" s="2"/>
      <c r="L234" s="2"/>
      <c r="M234" s="2"/>
      <c r="N234" s="2"/>
      <c r="O234" s="2"/>
      <c r="P234" s="2"/>
      <c r="Q234" s="2"/>
      <c r="R234" s="2"/>
      <c r="S234" s="2"/>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row>
    <row r="235" spans="1:49" x14ac:dyDescent="0.25">
      <c r="A235" s="1"/>
      <c r="B235" s="1"/>
      <c r="C235" s="2"/>
      <c r="D235" s="2"/>
      <c r="E235" s="2"/>
      <c r="F235" s="2"/>
      <c r="G235" s="2"/>
      <c r="H235" s="2"/>
      <c r="I235" s="2"/>
      <c r="J235" s="2"/>
      <c r="K235" s="2"/>
      <c r="L235" s="2"/>
      <c r="M235" s="2"/>
      <c r="N235" s="2"/>
      <c r="O235" s="2"/>
      <c r="P235" s="2"/>
      <c r="Q235" s="2"/>
      <c r="R235" s="2"/>
      <c r="S235" s="2"/>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row>
    <row r="236" spans="1:49" x14ac:dyDescent="0.25">
      <c r="A236" s="1"/>
      <c r="B236" s="1"/>
      <c r="C236" s="2"/>
      <c r="D236" s="2"/>
      <c r="E236" s="2"/>
      <c r="F236" s="2"/>
      <c r="G236" s="2"/>
      <c r="H236" s="2"/>
      <c r="I236" s="2"/>
      <c r="J236" s="2"/>
      <c r="K236" s="2"/>
      <c r="L236" s="2"/>
      <c r="M236" s="2"/>
      <c r="N236" s="2"/>
      <c r="O236" s="2"/>
      <c r="P236" s="2"/>
      <c r="Q236" s="2"/>
      <c r="R236" s="2"/>
      <c r="S236" s="2"/>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row>
    <row r="237" spans="1:49" x14ac:dyDescent="0.25">
      <c r="A237" s="1"/>
      <c r="B237" s="1"/>
      <c r="C237" s="2"/>
      <c r="D237" s="2"/>
      <c r="E237" s="2"/>
      <c r="F237" s="2"/>
      <c r="G237" s="2"/>
      <c r="H237" s="2"/>
      <c r="I237" s="2"/>
      <c r="J237" s="2"/>
      <c r="K237" s="2"/>
      <c r="L237" s="2"/>
      <c r="M237" s="2"/>
      <c r="N237" s="2"/>
      <c r="O237" s="2"/>
      <c r="P237" s="2"/>
      <c r="Q237" s="2"/>
      <c r="R237" s="2"/>
      <c r="S237" s="2"/>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row>
    <row r="238" spans="1:49" x14ac:dyDescent="0.25">
      <c r="A238" s="1"/>
      <c r="B238" s="1"/>
      <c r="C238" s="2"/>
      <c r="D238" s="2"/>
      <c r="E238" s="2"/>
      <c r="F238" s="2"/>
      <c r="G238" s="2"/>
      <c r="H238" s="2"/>
      <c r="I238" s="2"/>
      <c r="J238" s="2"/>
      <c r="K238" s="2"/>
      <c r="L238" s="2"/>
      <c r="M238" s="2"/>
      <c r="N238" s="2"/>
      <c r="O238" s="2"/>
      <c r="P238" s="2"/>
      <c r="Q238" s="2"/>
      <c r="R238" s="2"/>
      <c r="S238" s="2"/>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row>
    <row r="239" spans="1:49" x14ac:dyDescent="0.25">
      <c r="A239" s="1"/>
      <c r="B239" s="1"/>
      <c r="C239" s="2"/>
      <c r="D239" s="2"/>
      <c r="E239" s="2"/>
      <c r="F239" s="2"/>
      <c r="G239" s="2"/>
      <c r="H239" s="2"/>
      <c r="I239" s="2"/>
      <c r="J239" s="2"/>
      <c r="K239" s="2"/>
      <c r="L239" s="2"/>
      <c r="M239" s="2"/>
      <c r="N239" s="2"/>
      <c r="O239" s="2"/>
      <c r="P239" s="2"/>
      <c r="Q239" s="2"/>
      <c r="R239" s="2"/>
      <c r="S239" s="2"/>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row>
    <row r="240" spans="1:49" x14ac:dyDescent="0.25">
      <c r="A240" s="1"/>
      <c r="B240" s="1"/>
      <c r="C240" s="2"/>
      <c r="D240" s="2"/>
      <c r="E240" s="2"/>
      <c r="F240" s="2"/>
      <c r="G240" s="2"/>
      <c r="H240" s="2"/>
      <c r="I240" s="2"/>
      <c r="J240" s="2"/>
      <c r="K240" s="2"/>
      <c r="L240" s="2"/>
      <c r="M240" s="2"/>
      <c r="N240" s="2"/>
      <c r="O240" s="2"/>
      <c r="P240" s="2"/>
      <c r="Q240" s="2"/>
      <c r="R240" s="2"/>
      <c r="S240" s="2"/>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row>
    <row r="241" spans="1:49" x14ac:dyDescent="0.25">
      <c r="A241" s="1"/>
      <c r="B241" s="1"/>
      <c r="C241" s="2"/>
      <c r="D241" s="2"/>
      <c r="E241" s="2"/>
      <c r="F241" s="2"/>
      <c r="G241" s="2"/>
      <c r="H241" s="2"/>
      <c r="I241" s="2"/>
      <c r="J241" s="2"/>
      <c r="K241" s="2"/>
      <c r="L241" s="2"/>
      <c r="M241" s="2"/>
      <c r="N241" s="2"/>
      <c r="O241" s="2"/>
      <c r="P241" s="2"/>
      <c r="Q241" s="2"/>
      <c r="R241" s="2"/>
      <c r="S241" s="2"/>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row>
    <row r="242" spans="1:49" x14ac:dyDescent="0.25">
      <c r="A242" s="1"/>
      <c r="B242" s="1"/>
      <c r="C242" s="2"/>
      <c r="D242" s="2"/>
      <c r="E242" s="2"/>
      <c r="F242" s="2"/>
      <c r="G242" s="2"/>
      <c r="H242" s="2"/>
      <c r="I242" s="2"/>
      <c r="J242" s="2"/>
      <c r="K242" s="2"/>
      <c r="L242" s="2"/>
      <c r="M242" s="2"/>
      <c r="N242" s="2"/>
      <c r="O242" s="2"/>
      <c r="P242" s="2"/>
      <c r="Q242" s="2"/>
      <c r="R242" s="2"/>
      <c r="S242" s="2"/>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row>
    <row r="243" spans="1:49" x14ac:dyDescent="0.25">
      <c r="A243" s="1"/>
      <c r="B243" s="1"/>
      <c r="C243" s="2"/>
      <c r="D243" s="2"/>
      <c r="E243" s="2"/>
      <c r="F243" s="2"/>
      <c r="G243" s="2"/>
      <c r="H243" s="2"/>
      <c r="I243" s="2"/>
      <c r="J243" s="2"/>
      <c r="K243" s="2"/>
      <c r="L243" s="2"/>
      <c r="M243" s="2"/>
      <c r="N243" s="2"/>
      <c r="O243" s="2"/>
      <c r="P243" s="2"/>
      <c r="Q243" s="2"/>
      <c r="R243" s="2"/>
      <c r="S243" s="2"/>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row>
    <row r="244" spans="1:49" x14ac:dyDescent="0.25">
      <c r="A244" s="1"/>
      <c r="B244" s="1"/>
      <c r="C244" s="2"/>
      <c r="D244" s="2"/>
      <c r="E244" s="2"/>
      <c r="F244" s="2"/>
      <c r="G244" s="2"/>
      <c r="H244" s="2"/>
      <c r="I244" s="2"/>
      <c r="J244" s="2"/>
      <c r="K244" s="2"/>
      <c r="L244" s="2"/>
      <c r="M244" s="2"/>
      <c r="N244" s="2"/>
      <c r="O244" s="2"/>
      <c r="P244" s="2"/>
      <c r="Q244" s="2"/>
      <c r="R244" s="2"/>
      <c r="S244" s="2"/>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row>
    <row r="245" spans="1:49" x14ac:dyDescent="0.25">
      <c r="A245" s="1"/>
      <c r="B245" s="1"/>
      <c r="C245" s="2"/>
      <c r="D245" s="2"/>
      <c r="E245" s="2"/>
      <c r="F245" s="2"/>
      <c r="G245" s="2"/>
      <c r="H245" s="2"/>
      <c r="I245" s="2"/>
      <c r="J245" s="2"/>
      <c r="K245" s="2"/>
      <c r="L245" s="2"/>
      <c r="M245" s="2"/>
      <c r="N245" s="2"/>
      <c r="O245" s="2"/>
      <c r="P245" s="2"/>
      <c r="Q245" s="2"/>
      <c r="R245" s="2"/>
      <c r="S245" s="2"/>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row>
    <row r="246" spans="1:49" x14ac:dyDescent="0.25">
      <c r="A246" s="1"/>
      <c r="B246" s="1"/>
      <c r="C246" s="2"/>
      <c r="D246" s="2"/>
      <c r="E246" s="2"/>
      <c r="F246" s="2"/>
      <c r="G246" s="2"/>
      <c r="H246" s="2"/>
      <c r="I246" s="2"/>
      <c r="J246" s="2"/>
      <c r="K246" s="2"/>
      <c r="L246" s="2"/>
      <c r="M246" s="2"/>
      <c r="N246" s="2"/>
      <c r="O246" s="2"/>
      <c r="P246" s="2"/>
      <c r="Q246" s="2"/>
      <c r="R246" s="2"/>
      <c r="S246" s="2"/>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row>
    <row r="247" spans="1:49" x14ac:dyDescent="0.25">
      <c r="A247" s="1"/>
      <c r="B247" s="1"/>
      <c r="C247" s="2"/>
      <c r="D247" s="2"/>
      <c r="E247" s="2"/>
      <c r="F247" s="2"/>
      <c r="G247" s="2"/>
      <c r="H247" s="2"/>
      <c r="I247" s="2"/>
      <c r="J247" s="2"/>
      <c r="K247" s="2"/>
      <c r="L247" s="2"/>
      <c r="M247" s="2"/>
      <c r="N247" s="2"/>
      <c r="O247" s="2"/>
      <c r="P247" s="2"/>
      <c r="Q247" s="2"/>
      <c r="R247" s="2"/>
      <c r="S247" s="2"/>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row>
    <row r="248" spans="1:49" x14ac:dyDescent="0.25">
      <c r="A248" s="1"/>
      <c r="B248" s="1"/>
      <c r="C248" s="2"/>
      <c r="D248" s="2"/>
      <c r="E248" s="2"/>
      <c r="F248" s="2"/>
      <c r="G248" s="2"/>
      <c r="H248" s="2"/>
      <c r="I248" s="2"/>
      <c r="J248" s="2"/>
      <c r="K248" s="2"/>
      <c r="L248" s="2"/>
      <c r="M248" s="2"/>
      <c r="N248" s="2"/>
      <c r="O248" s="2"/>
      <c r="P248" s="2"/>
      <c r="Q248" s="2"/>
      <c r="R248" s="2"/>
      <c r="S248" s="2"/>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row>
    <row r="249" spans="1:49" x14ac:dyDescent="0.25">
      <c r="A249" s="1"/>
      <c r="B249" s="1"/>
      <c r="C249" s="2"/>
      <c r="D249" s="2"/>
      <c r="E249" s="2"/>
      <c r="F249" s="2"/>
      <c r="G249" s="2"/>
      <c r="H249" s="2"/>
      <c r="I249" s="2"/>
      <c r="J249" s="2"/>
      <c r="K249" s="2"/>
      <c r="L249" s="2"/>
      <c r="M249" s="2"/>
      <c r="N249" s="2"/>
      <c r="O249" s="2"/>
      <c r="P249" s="2"/>
      <c r="Q249" s="2"/>
      <c r="R249" s="2"/>
      <c r="S249" s="2"/>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row>
    <row r="250" spans="1:49" x14ac:dyDescent="0.25">
      <c r="A250" s="1"/>
      <c r="B250" s="1"/>
      <c r="C250" s="2"/>
      <c r="D250" s="2"/>
      <c r="E250" s="2"/>
      <c r="F250" s="2"/>
      <c r="G250" s="2"/>
      <c r="H250" s="2"/>
      <c r="I250" s="2"/>
      <c r="J250" s="2"/>
      <c r="K250" s="2"/>
      <c r="L250" s="2"/>
      <c r="M250" s="2"/>
      <c r="N250" s="2"/>
      <c r="O250" s="2"/>
      <c r="P250" s="2"/>
      <c r="Q250" s="2"/>
      <c r="R250" s="2"/>
      <c r="S250" s="2"/>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row>
    <row r="251" spans="1:49" x14ac:dyDescent="0.25">
      <c r="A251" s="1"/>
      <c r="B251" s="1"/>
      <c r="C251" s="2"/>
      <c r="D251" s="2"/>
      <c r="E251" s="2"/>
      <c r="F251" s="2"/>
      <c r="G251" s="2"/>
      <c r="H251" s="2"/>
      <c r="I251" s="2"/>
      <c r="J251" s="2"/>
      <c r="K251" s="2"/>
      <c r="L251" s="2"/>
      <c r="M251" s="2"/>
      <c r="N251" s="2"/>
      <c r="O251" s="2"/>
      <c r="P251" s="2"/>
      <c r="Q251" s="2"/>
      <c r="R251" s="2"/>
      <c r="S251" s="2"/>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row>
    <row r="252" spans="1:49" x14ac:dyDescent="0.25">
      <c r="A252" s="1"/>
      <c r="B252" s="1"/>
      <c r="C252" s="2"/>
      <c r="D252" s="2"/>
      <c r="E252" s="2"/>
      <c r="F252" s="2"/>
      <c r="G252" s="2"/>
      <c r="H252" s="2"/>
      <c r="I252" s="2"/>
      <c r="J252" s="2"/>
      <c r="K252" s="2"/>
      <c r="L252" s="2"/>
      <c r="M252" s="2"/>
      <c r="N252" s="2"/>
      <c r="O252" s="2"/>
      <c r="P252" s="2"/>
      <c r="Q252" s="2"/>
      <c r="R252" s="2"/>
      <c r="S252" s="2"/>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row>
    <row r="253" spans="1:49" x14ac:dyDescent="0.25">
      <c r="A253" s="1"/>
      <c r="B253" s="1"/>
      <c r="C253" s="2"/>
      <c r="D253" s="2"/>
      <c r="E253" s="2"/>
      <c r="F253" s="2"/>
      <c r="G253" s="2"/>
      <c r="H253" s="2"/>
      <c r="I253" s="2"/>
      <c r="J253" s="2"/>
      <c r="K253" s="2"/>
      <c r="L253" s="2"/>
      <c r="M253" s="2"/>
      <c r="N253" s="2"/>
      <c r="O253" s="2"/>
      <c r="P253" s="2"/>
      <c r="Q253" s="2"/>
      <c r="R253" s="2"/>
      <c r="S253" s="2"/>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row>
    <row r="254" spans="1:49" x14ac:dyDescent="0.25">
      <c r="A254" s="1"/>
      <c r="B254" s="1"/>
      <c r="C254" s="2"/>
      <c r="D254" s="2"/>
      <c r="E254" s="2"/>
      <c r="F254" s="2"/>
      <c r="G254" s="2"/>
      <c r="H254" s="2"/>
      <c r="I254" s="2"/>
      <c r="J254" s="2"/>
      <c r="K254" s="2"/>
      <c r="L254" s="2"/>
      <c r="M254" s="2"/>
      <c r="N254" s="2"/>
      <c r="O254" s="2"/>
      <c r="P254" s="2"/>
      <c r="Q254" s="2"/>
      <c r="R254" s="2"/>
      <c r="S254" s="2"/>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row>
    <row r="255" spans="1:49" x14ac:dyDescent="0.25">
      <c r="A255" s="1"/>
      <c r="B255" s="1"/>
      <c r="C255" s="2"/>
      <c r="D255" s="2"/>
      <c r="E255" s="2"/>
      <c r="F255" s="2"/>
      <c r="G255" s="2"/>
      <c r="H255" s="2"/>
      <c r="I255" s="2"/>
      <c r="J255" s="2"/>
      <c r="K255" s="2"/>
      <c r="L255" s="2"/>
      <c r="M255" s="2"/>
      <c r="N255" s="2"/>
      <c r="O255" s="2"/>
      <c r="P255" s="2"/>
      <c r="Q255" s="2"/>
      <c r="R255" s="2"/>
      <c r="S255" s="2"/>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row>
    <row r="256" spans="1:49" x14ac:dyDescent="0.25">
      <c r="A256" s="1"/>
      <c r="B256" s="1"/>
      <c r="C256" s="2"/>
      <c r="D256" s="2"/>
      <c r="E256" s="2"/>
      <c r="F256" s="2"/>
      <c r="G256" s="2"/>
      <c r="H256" s="2"/>
      <c r="I256" s="2"/>
      <c r="J256" s="2"/>
      <c r="K256" s="2"/>
      <c r="L256" s="2"/>
      <c r="M256" s="2"/>
      <c r="N256" s="2"/>
      <c r="O256" s="2"/>
      <c r="P256" s="2"/>
      <c r="Q256" s="2"/>
      <c r="R256" s="2"/>
      <c r="S256" s="2"/>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row>
    <row r="257" spans="1:49" x14ac:dyDescent="0.25">
      <c r="A257" s="1"/>
      <c r="B257" s="1"/>
      <c r="C257" s="2"/>
      <c r="D257" s="2"/>
      <c r="E257" s="2"/>
      <c r="F257" s="2"/>
      <c r="G257" s="2"/>
      <c r="H257" s="2"/>
      <c r="I257" s="2"/>
      <c r="J257" s="2"/>
      <c r="K257" s="2"/>
      <c r="L257" s="2"/>
      <c r="M257" s="2"/>
      <c r="N257" s="2"/>
      <c r="O257" s="2"/>
      <c r="P257" s="2"/>
      <c r="Q257" s="2"/>
      <c r="R257" s="2"/>
      <c r="S257" s="2"/>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row>
    <row r="258" spans="1:49" x14ac:dyDescent="0.25">
      <c r="A258" s="1"/>
      <c r="B258" s="1"/>
      <c r="C258" s="2"/>
      <c r="D258" s="2"/>
      <c r="E258" s="2"/>
      <c r="F258" s="2"/>
      <c r="G258" s="2"/>
      <c r="H258" s="2"/>
      <c r="I258" s="2"/>
      <c r="J258" s="2"/>
      <c r="K258" s="2"/>
      <c r="L258" s="2"/>
      <c r="M258" s="2"/>
      <c r="N258" s="2"/>
      <c r="O258" s="2"/>
      <c r="P258" s="2"/>
      <c r="Q258" s="2"/>
      <c r="R258" s="2"/>
      <c r="S258" s="2"/>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row>
    <row r="259" spans="1:49" x14ac:dyDescent="0.25">
      <c r="A259" s="1"/>
      <c r="B259" s="1"/>
      <c r="C259" s="2"/>
      <c r="D259" s="2"/>
      <c r="E259" s="2"/>
      <c r="F259" s="2"/>
      <c r="G259" s="2"/>
      <c r="H259" s="2"/>
      <c r="I259" s="2"/>
      <c r="J259" s="2"/>
      <c r="K259" s="2"/>
      <c r="L259" s="2"/>
      <c r="M259" s="2"/>
      <c r="N259" s="2"/>
      <c r="O259" s="2"/>
      <c r="P259" s="2"/>
      <c r="Q259" s="2"/>
      <c r="R259" s="2"/>
      <c r="S259" s="2"/>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row>
    <row r="260" spans="1:49" x14ac:dyDescent="0.25">
      <c r="A260" s="1"/>
      <c r="B260" s="1"/>
      <c r="C260" s="2"/>
      <c r="D260" s="2"/>
      <c r="E260" s="2"/>
      <c r="F260" s="2"/>
      <c r="G260" s="2"/>
      <c r="H260" s="2"/>
      <c r="I260" s="2"/>
      <c r="J260" s="2"/>
      <c r="K260" s="2"/>
      <c r="L260" s="2"/>
      <c r="M260" s="2"/>
      <c r="N260" s="2"/>
      <c r="O260" s="2"/>
      <c r="P260" s="2"/>
      <c r="Q260" s="2"/>
      <c r="R260" s="2"/>
      <c r="S260" s="2"/>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row>
    <row r="261" spans="1:49" x14ac:dyDescent="0.25">
      <c r="A261" s="1"/>
      <c r="B261" s="1"/>
      <c r="C261" s="2"/>
      <c r="D261" s="2"/>
      <c r="E261" s="2"/>
      <c r="F261" s="2"/>
      <c r="G261" s="2"/>
      <c r="H261" s="2"/>
      <c r="I261" s="2"/>
      <c r="J261" s="2"/>
      <c r="K261" s="2"/>
      <c r="L261" s="2"/>
      <c r="M261" s="2"/>
      <c r="N261" s="2"/>
      <c r="O261" s="2"/>
      <c r="P261" s="2"/>
      <c r="Q261" s="2"/>
      <c r="R261" s="2"/>
      <c r="S261" s="2"/>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row>
    <row r="262" spans="1:49" x14ac:dyDescent="0.25">
      <c r="A262" s="1"/>
      <c r="B262" s="1"/>
      <c r="C262" s="2"/>
      <c r="D262" s="2"/>
      <c r="E262" s="2"/>
      <c r="F262" s="2"/>
      <c r="G262" s="2"/>
      <c r="H262" s="2"/>
      <c r="I262" s="2"/>
      <c r="J262" s="2"/>
      <c r="K262" s="2"/>
      <c r="L262" s="2"/>
      <c r="M262" s="2"/>
      <c r="N262" s="2"/>
      <c r="O262" s="2"/>
      <c r="P262" s="2"/>
      <c r="Q262" s="2"/>
      <c r="R262" s="2"/>
      <c r="S262" s="2"/>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row>
    <row r="263" spans="1:49" x14ac:dyDescent="0.25">
      <c r="A263" s="1"/>
      <c r="B263" s="1"/>
      <c r="C263" s="2"/>
      <c r="D263" s="2"/>
      <c r="E263" s="2"/>
      <c r="F263" s="2"/>
      <c r="G263" s="2"/>
      <c r="H263" s="2"/>
      <c r="I263" s="2"/>
      <c r="J263" s="2"/>
      <c r="K263" s="2"/>
      <c r="L263" s="2"/>
      <c r="M263" s="2"/>
      <c r="N263" s="2"/>
      <c r="O263" s="2"/>
      <c r="P263" s="2"/>
      <c r="Q263" s="2"/>
      <c r="R263" s="2"/>
      <c r="S263" s="2"/>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row>
    <row r="264" spans="1:49" x14ac:dyDescent="0.25">
      <c r="A264" s="1"/>
      <c r="B264" s="1"/>
      <c r="C264" s="2"/>
      <c r="D264" s="2"/>
      <c r="E264" s="2"/>
      <c r="F264" s="2"/>
      <c r="G264" s="2"/>
      <c r="H264" s="2"/>
      <c r="I264" s="2"/>
      <c r="J264" s="2"/>
      <c r="K264" s="2"/>
      <c r="L264" s="2"/>
      <c r="M264" s="2"/>
      <c r="N264" s="2"/>
      <c r="O264" s="2"/>
      <c r="P264" s="2"/>
      <c r="Q264" s="2"/>
      <c r="R264" s="2"/>
      <c r="S264" s="2"/>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row>
    <row r="265" spans="1:49" x14ac:dyDescent="0.25">
      <c r="A265" s="1"/>
      <c r="B265" s="1"/>
      <c r="C265" s="2"/>
      <c r="D265" s="2"/>
      <c r="E265" s="2"/>
      <c r="F265" s="2"/>
      <c r="G265" s="2"/>
      <c r="H265" s="2"/>
      <c r="I265" s="2"/>
      <c r="J265" s="2"/>
      <c r="K265" s="2"/>
      <c r="L265" s="2"/>
      <c r="M265" s="2"/>
      <c r="N265" s="2"/>
      <c r="O265" s="2"/>
      <c r="P265" s="2"/>
      <c r="Q265" s="2"/>
      <c r="R265" s="2"/>
      <c r="S265" s="2"/>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row>
    <row r="266" spans="1:49" x14ac:dyDescent="0.25">
      <c r="A266" s="1"/>
      <c r="B266" s="1"/>
      <c r="C266" s="2"/>
      <c r="D266" s="2"/>
      <c r="E266" s="2"/>
      <c r="F266" s="2"/>
      <c r="G266" s="2"/>
      <c r="H266" s="2"/>
      <c r="I266" s="2"/>
      <c r="J266" s="2"/>
      <c r="K266" s="2"/>
      <c r="L266" s="2"/>
      <c r="M266" s="2"/>
      <c r="N266" s="2"/>
      <c r="O266" s="2"/>
      <c r="P266" s="2"/>
      <c r="Q266" s="2"/>
      <c r="R266" s="2"/>
      <c r="S266" s="2"/>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row>
    <row r="267" spans="1:49" x14ac:dyDescent="0.25">
      <c r="A267" s="1"/>
      <c r="B267" s="1"/>
      <c r="C267" s="2"/>
      <c r="D267" s="2"/>
      <c r="E267" s="2"/>
      <c r="F267" s="2"/>
      <c r="G267" s="2"/>
      <c r="H267" s="2"/>
      <c r="I267" s="2"/>
      <c r="J267" s="2"/>
      <c r="K267" s="2"/>
      <c r="L267" s="2"/>
      <c r="M267" s="2"/>
      <c r="N267" s="2"/>
      <c r="O267" s="2"/>
      <c r="P267" s="2"/>
      <c r="Q267" s="2"/>
      <c r="R267" s="2"/>
      <c r="S267" s="2"/>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row>
    <row r="268" spans="1:49" x14ac:dyDescent="0.25">
      <c r="A268" s="1"/>
      <c r="B268" s="1"/>
      <c r="C268" s="2"/>
      <c r="D268" s="2"/>
      <c r="E268" s="2"/>
      <c r="F268" s="2"/>
      <c r="G268" s="2"/>
      <c r="H268" s="2"/>
      <c r="I268" s="2"/>
      <c r="J268" s="2"/>
      <c r="K268" s="2"/>
      <c r="L268" s="2"/>
      <c r="M268" s="2"/>
      <c r="N268" s="2"/>
      <c r="O268" s="2"/>
      <c r="P268" s="2"/>
      <c r="Q268" s="2"/>
      <c r="R268" s="2"/>
      <c r="S268" s="2"/>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row>
    <row r="269" spans="1:49" x14ac:dyDescent="0.25">
      <c r="A269" s="1"/>
      <c r="B269" s="1"/>
      <c r="C269" s="2"/>
      <c r="D269" s="2"/>
      <c r="E269" s="2"/>
      <c r="F269" s="2"/>
      <c r="G269" s="2"/>
      <c r="H269" s="2"/>
      <c r="I269" s="2"/>
      <c r="J269" s="2"/>
      <c r="K269" s="2"/>
      <c r="L269" s="2"/>
      <c r="M269" s="2"/>
      <c r="N269" s="2"/>
      <c r="O269" s="2"/>
      <c r="P269" s="2"/>
      <c r="Q269" s="2"/>
      <c r="R269" s="2"/>
      <c r="S269" s="2"/>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row>
    <row r="270" spans="1:49" x14ac:dyDescent="0.25">
      <c r="A270" s="1"/>
      <c r="B270" s="1"/>
      <c r="C270" s="2"/>
      <c r="D270" s="2"/>
      <c r="E270" s="2"/>
      <c r="F270" s="2"/>
      <c r="G270" s="2"/>
      <c r="H270" s="2"/>
      <c r="I270" s="2"/>
      <c r="J270" s="2"/>
      <c r="K270" s="2"/>
      <c r="L270" s="2"/>
      <c r="M270" s="2"/>
      <c r="N270" s="2"/>
      <c r="O270" s="2"/>
      <c r="P270" s="2"/>
      <c r="Q270" s="2"/>
      <c r="R270" s="2"/>
      <c r="S270" s="2"/>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row>
    <row r="271" spans="1:49" x14ac:dyDescent="0.25">
      <c r="A271" s="1"/>
      <c r="B271" s="1"/>
      <c r="C271" s="2"/>
      <c r="D271" s="2"/>
      <c r="E271" s="2"/>
      <c r="F271" s="2"/>
      <c r="G271" s="2"/>
      <c r="H271" s="2"/>
      <c r="I271" s="2"/>
      <c r="J271" s="2"/>
      <c r="K271" s="2"/>
      <c r="L271" s="2"/>
      <c r="M271" s="2"/>
      <c r="N271" s="2"/>
      <c r="O271" s="2"/>
      <c r="P271" s="2"/>
      <c r="Q271" s="2"/>
      <c r="R271" s="2"/>
      <c r="S271" s="2"/>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row>
    <row r="272" spans="1:49" x14ac:dyDescent="0.25">
      <c r="A272" s="1"/>
      <c r="B272" s="1"/>
      <c r="C272" s="2"/>
      <c r="D272" s="2"/>
      <c r="E272" s="2"/>
      <c r="F272" s="2"/>
      <c r="G272" s="2"/>
      <c r="H272" s="2"/>
      <c r="I272" s="2"/>
      <c r="J272" s="2"/>
      <c r="K272" s="2"/>
      <c r="L272" s="2"/>
      <c r="M272" s="2"/>
      <c r="N272" s="2"/>
      <c r="O272" s="2"/>
      <c r="P272" s="2"/>
      <c r="Q272" s="2"/>
      <c r="R272" s="2"/>
      <c r="S272" s="2"/>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row>
    <row r="273" spans="1:49" x14ac:dyDescent="0.25">
      <c r="A273" s="1"/>
      <c r="B273" s="1"/>
      <c r="C273" s="2"/>
      <c r="D273" s="2"/>
      <c r="E273" s="2"/>
      <c r="F273" s="2"/>
      <c r="G273" s="2"/>
      <c r="H273" s="2"/>
      <c r="I273" s="2"/>
      <c r="J273" s="2"/>
      <c r="K273" s="2"/>
      <c r="L273" s="2"/>
      <c r="M273" s="2"/>
      <c r="N273" s="2"/>
      <c r="O273" s="2"/>
      <c r="P273" s="2"/>
      <c r="Q273" s="2"/>
      <c r="R273" s="2"/>
      <c r="S273" s="2"/>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row>
    <row r="274" spans="1:49" x14ac:dyDescent="0.25">
      <c r="A274" s="1"/>
      <c r="B274" s="1"/>
      <c r="C274" s="2"/>
      <c r="D274" s="2"/>
      <c r="E274" s="2"/>
      <c r="F274" s="2"/>
      <c r="G274" s="2"/>
      <c r="H274" s="2"/>
      <c r="I274" s="2"/>
      <c r="J274" s="2"/>
      <c r="K274" s="2"/>
      <c r="L274" s="2"/>
      <c r="M274" s="2"/>
      <c r="N274" s="2"/>
      <c r="O274" s="2"/>
      <c r="P274" s="2"/>
      <c r="Q274" s="2"/>
      <c r="R274" s="2"/>
      <c r="S274" s="2"/>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row>
    <row r="275" spans="1:49" x14ac:dyDescent="0.25">
      <c r="A275" s="1"/>
      <c r="B275" s="1"/>
      <c r="C275" s="2"/>
      <c r="D275" s="2"/>
      <c r="E275" s="2"/>
      <c r="F275" s="2"/>
      <c r="G275" s="2"/>
      <c r="H275" s="2"/>
      <c r="I275" s="2"/>
      <c r="J275" s="2"/>
      <c r="K275" s="2"/>
      <c r="L275" s="2"/>
      <c r="M275" s="2"/>
      <c r="N275" s="2"/>
      <c r="O275" s="2"/>
      <c r="P275" s="2"/>
      <c r="Q275" s="2"/>
      <c r="R275" s="2"/>
      <c r="S275" s="2"/>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row>
    <row r="276" spans="1:49" x14ac:dyDescent="0.25">
      <c r="A276" s="1"/>
      <c r="B276" s="1"/>
      <c r="C276" s="2"/>
      <c r="D276" s="2"/>
      <c r="E276" s="2"/>
      <c r="F276" s="2"/>
      <c r="G276" s="2"/>
      <c r="H276" s="2"/>
      <c r="I276" s="2"/>
      <c r="J276" s="2"/>
      <c r="K276" s="2"/>
      <c r="L276" s="2"/>
      <c r="M276" s="2"/>
      <c r="N276" s="2"/>
      <c r="O276" s="2"/>
      <c r="P276" s="2"/>
      <c r="Q276" s="2"/>
      <c r="R276" s="2"/>
      <c r="S276" s="2"/>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row>
    <row r="277" spans="1:49" x14ac:dyDescent="0.25">
      <c r="A277" s="1"/>
      <c r="B277" s="1"/>
      <c r="C277" s="2"/>
      <c r="D277" s="2"/>
      <c r="E277" s="2"/>
      <c r="F277" s="2"/>
      <c r="G277" s="2"/>
      <c r="H277" s="2"/>
      <c r="I277" s="2"/>
      <c r="J277" s="2"/>
      <c r="K277" s="2"/>
      <c r="L277" s="2"/>
      <c r="M277" s="2"/>
      <c r="N277" s="2"/>
      <c r="O277" s="2"/>
      <c r="P277" s="2"/>
      <c r="Q277" s="2"/>
      <c r="R277" s="2"/>
      <c r="S277" s="2"/>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row>
    <row r="278" spans="1:49" x14ac:dyDescent="0.25">
      <c r="A278" s="1"/>
      <c r="B278" s="1"/>
      <c r="C278" s="2"/>
      <c r="D278" s="2"/>
      <c r="E278" s="2"/>
      <c r="F278" s="2"/>
      <c r="G278" s="2"/>
      <c r="H278" s="2"/>
      <c r="I278" s="2"/>
      <c r="J278" s="2"/>
      <c r="K278" s="2"/>
      <c r="L278" s="2"/>
      <c r="M278" s="2"/>
      <c r="N278" s="2"/>
      <c r="O278" s="2"/>
      <c r="P278" s="2"/>
      <c r="Q278" s="2"/>
      <c r="R278" s="2"/>
      <c r="S278" s="2"/>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row>
    <row r="279" spans="1:49" x14ac:dyDescent="0.25">
      <c r="A279" s="1"/>
      <c r="B279" s="1"/>
      <c r="C279" s="2"/>
      <c r="D279" s="2"/>
      <c r="E279" s="2"/>
      <c r="F279" s="2"/>
      <c r="G279" s="2"/>
      <c r="H279" s="2"/>
      <c r="I279" s="2"/>
      <c r="J279" s="2"/>
      <c r="K279" s="2"/>
      <c r="L279" s="2"/>
      <c r="M279" s="2"/>
      <c r="N279" s="2"/>
      <c r="O279" s="2"/>
      <c r="P279" s="2"/>
      <c r="Q279" s="2"/>
      <c r="R279" s="2"/>
      <c r="S279" s="2"/>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row>
    <row r="280" spans="1:49" x14ac:dyDescent="0.25">
      <c r="A280" s="1"/>
      <c r="B280" s="1"/>
      <c r="C280" s="2"/>
      <c r="D280" s="2"/>
      <c r="E280" s="2"/>
      <c r="F280" s="2"/>
      <c r="G280" s="2"/>
      <c r="H280" s="2"/>
      <c r="I280" s="2"/>
      <c r="J280" s="2"/>
      <c r="K280" s="2"/>
      <c r="L280" s="2"/>
      <c r="M280" s="2"/>
      <c r="N280" s="2"/>
      <c r="O280" s="2"/>
      <c r="P280" s="2"/>
      <c r="Q280" s="2"/>
      <c r="R280" s="2"/>
      <c r="S280" s="2"/>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row>
    <row r="281" spans="1:49" x14ac:dyDescent="0.25">
      <c r="A281" s="1"/>
      <c r="B281" s="1"/>
      <c r="C281" s="2"/>
      <c r="D281" s="2"/>
      <c r="E281" s="2"/>
      <c r="F281" s="2"/>
      <c r="G281" s="2"/>
      <c r="H281" s="2"/>
      <c r="I281" s="2"/>
      <c r="J281" s="2"/>
      <c r="K281" s="2"/>
      <c r="L281" s="2"/>
      <c r="M281" s="2"/>
      <c r="N281" s="2"/>
      <c r="O281" s="2"/>
      <c r="P281" s="2"/>
      <c r="Q281" s="2"/>
      <c r="R281" s="2"/>
      <c r="S281" s="2"/>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row>
    <row r="282" spans="1:49" x14ac:dyDescent="0.25">
      <c r="A282" s="1"/>
      <c r="B282" s="1"/>
      <c r="C282" s="2"/>
      <c r="D282" s="2"/>
      <c r="E282" s="2"/>
      <c r="F282" s="2"/>
      <c r="G282" s="2"/>
      <c r="H282" s="2"/>
      <c r="I282" s="2"/>
      <c r="J282" s="2"/>
      <c r="K282" s="2"/>
      <c r="L282" s="2"/>
      <c r="M282" s="2"/>
      <c r="N282" s="2"/>
      <c r="O282" s="2"/>
      <c r="P282" s="2"/>
      <c r="Q282" s="2"/>
      <c r="R282" s="2"/>
      <c r="S282" s="2"/>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row>
    <row r="283" spans="1:49" x14ac:dyDescent="0.25">
      <c r="A283" s="1"/>
      <c r="B283" s="1"/>
      <c r="C283" s="2"/>
      <c r="D283" s="2"/>
      <c r="E283" s="2"/>
      <c r="F283" s="2"/>
      <c r="G283" s="2"/>
      <c r="H283" s="2"/>
      <c r="I283" s="2"/>
      <c r="J283" s="2"/>
      <c r="K283" s="2"/>
      <c r="L283" s="2"/>
      <c r="M283" s="2"/>
      <c r="N283" s="2"/>
      <c r="O283" s="2"/>
      <c r="P283" s="2"/>
      <c r="Q283" s="2"/>
      <c r="R283" s="2"/>
      <c r="S283" s="2"/>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row>
    <row r="284" spans="1:49" x14ac:dyDescent="0.25">
      <c r="A284" s="1"/>
      <c r="B284" s="1"/>
      <c r="C284" s="2"/>
      <c r="D284" s="2"/>
      <c r="E284" s="2"/>
      <c r="F284" s="2"/>
      <c r="G284" s="2"/>
      <c r="H284" s="2"/>
      <c r="I284" s="2"/>
      <c r="J284" s="2"/>
      <c r="K284" s="2"/>
      <c r="L284" s="2"/>
      <c r="M284" s="2"/>
      <c r="N284" s="2"/>
      <c r="O284" s="2"/>
      <c r="P284" s="2"/>
      <c r="Q284" s="2"/>
      <c r="R284" s="2"/>
      <c r="S284" s="2"/>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row>
    <row r="285" spans="1:49" x14ac:dyDescent="0.25">
      <c r="A285" s="1"/>
      <c r="B285" s="1"/>
      <c r="C285" s="2"/>
      <c r="D285" s="2"/>
      <c r="E285" s="2"/>
      <c r="F285" s="2"/>
      <c r="G285" s="2"/>
      <c r="H285" s="2"/>
      <c r="I285" s="2"/>
      <c r="J285" s="2"/>
      <c r="K285" s="2"/>
      <c r="L285" s="2"/>
      <c r="M285" s="2"/>
      <c r="N285" s="2"/>
      <c r="O285" s="2"/>
      <c r="P285" s="2"/>
      <c r="Q285" s="2"/>
      <c r="R285" s="2"/>
      <c r="S285" s="2"/>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row>
    <row r="286" spans="1:49" x14ac:dyDescent="0.25">
      <c r="A286" s="1"/>
      <c r="B286" s="1"/>
      <c r="C286" s="2"/>
      <c r="D286" s="2"/>
      <c r="E286" s="2"/>
      <c r="F286" s="2"/>
      <c r="G286" s="2"/>
      <c r="H286" s="2"/>
      <c r="I286" s="2"/>
      <c r="J286" s="2"/>
      <c r="K286" s="2"/>
      <c r="L286" s="2"/>
      <c r="M286" s="2"/>
      <c r="N286" s="2"/>
      <c r="O286" s="2"/>
      <c r="P286" s="2"/>
      <c r="Q286" s="2"/>
      <c r="R286" s="2"/>
      <c r="S286" s="2"/>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row>
    <row r="287" spans="1:49" x14ac:dyDescent="0.25">
      <c r="A287" s="1"/>
      <c r="B287" s="1"/>
      <c r="C287" s="2"/>
      <c r="D287" s="2"/>
      <c r="E287" s="2"/>
      <c r="F287" s="2"/>
      <c r="G287" s="2"/>
      <c r="H287" s="2"/>
      <c r="I287" s="2"/>
      <c r="J287" s="2"/>
      <c r="K287" s="2"/>
      <c r="L287" s="2"/>
      <c r="M287" s="2"/>
      <c r="N287" s="2"/>
      <c r="O287" s="2"/>
      <c r="P287" s="2"/>
      <c r="Q287" s="2"/>
      <c r="R287" s="2"/>
      <c r="S287" s="2"/>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row>
    <row r="288" spans="1:49" x14ac:dyDescent="0.25">
      <c r="A288" s="1"/>
      <c r="B288" s="1"/>
      <c r="C288" s="2"/>
      <c r="D288" s="2"/>
      <c r="E288" s="2"/>
      <c r="F288" s="2"/>
      <c r="G288" s="2"/>
      <c r="H288" s="2"/>
      <c r="I288" s="2"/>
      <c r="J288" s="2"/>
      <c r="K288" s="2"/>
      <c r="L288" s="2"/>
      <c r="M288" s="2"/>
      <c r="N288" s="2"/>
      <c r="O288" s="2"/>
      <c r="P288" s="2"/>
      <c r="Q288" s="2"/>
      <c r="R288" s="2"/>
      <c r="S288" s="2"/>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row>
    <row r="289" spans="1:49" x14ac:dyDescent="0.25">
      <c r="A289" s="1"/>
      <c r="B289" s="1"/>
      <c r="C289" s="2"/>
      <c r="D289" s="2"/>
      <c r="E289" s="2"/>
      <c r="F289" s="2"/>
      <c r="G289" s="2"/>
      <c r="H289" s="2"/>
      <c r="I289" s="2"/>
      <c r="J289" s="2"/>
      <c r="K289" s="2"/>
      <c r="L289" s="2"/>
      <c r="M289" s="2"/>
      <c r="N289" s="2"/>
      <c r="O289" s="2"/>
      <c r="P289" s="2"/>
      <c r="Q289" s="2"/>
      <c r="R289" s="2"/>
      <c r="S289" s="2"/>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row>
    <row r="290" spans="1:49" x14ac:dyDescent="0.25">
      <c r="A290" s="1"/>
      <c r="B290" s="1"/>
      <c r="C290" s="2"/>
      <c r="D290" s="2"/>
      <c r="E290" s="2"/>
      <c r="F290" s="2"/>
      <c r="G290" s="2"/>
      <c r="H290" s="2"/>
      <c r="I290" s="2"/>
      <c r="J290" s="2"/>
      <c r="K290" s="2"/>
      <c r="L290" s="2"/>
      <c r="M290" s="2"/>
      <c r="N290" s="2"/>
      <c r="O290" s="2"/>
      <c r="P290" s="2"/>
      <c r="Q290" s="2"/>
      <c r="R290" s="2"/>
      <c r="S290" s="2"/>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row>
    <row r="291" spans="1:49" x14ac:dyDescent="0.25">
      <c r="A291" s="1"/>
      <c r="B291" s="1"/>
      <c r="C291" s="2"/>
      <c r="D291" s="2"/>
      <c r="E291" s="2"/>
      <c r="F291" s="2"/>
      <c r="G291" s="2"/>
      <c r="H291" s="2"/>
      <c r="I291" s="2"/>
      <c r="J291" s="2"/>
      <c r="K291" s="2"/>
      <c r="L291" s="2"/>
      <c r="M291" s="2"/>
      <c r="N291" s="2"/>
      <c r="O291" s="2"/>
      <c r="P291" s="2"/>
      <c r="Q291" s="2"/>
      <c r="R291" s="2"/>
      <c r="S291" s="2"/>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row>
    <row r="292" spans="1:49" x14ac:dyDescent="0.25">
      <c r="A292" s="1"/>
      <c r="B292" s="1"/>
      <c r="C292" s="2"/>
      <c r="D292" s="2"/>
      <c r="E292" s="2"/>
      <c r="F292" s="2"/>
      <c r="G292" s="2"/>
      <c r="H292" s="2"/>
      <c r="I292" s="2"/>
      <c r="J292" s="2"/>
      <c r="K292" s="2"/>
      <c r="L292" s="2"/>
      <c r="M292" s="2"/>
      <c r="N292" s="2"/>
      <c r="O292" s="2"/>
      <c r="P292" s="2"/>
      <c r="Q292" s="2"/>
      <c r="R292" s="2"/>
      <c r="S292" s="2"/>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row>
    <row r="293" spans="1:49" x14ac:dyDescent="0.25">
      <c r="A293" s="1"/>
      <c r="B293" s="1"/>
      <c r="C293" s="2"/>
      <c r="D293" s="2"/>
      <c r="E293" s="2"/>
      <c r="F293" s="2"/>
      <c r="G293" s="2"/>
      <c r="H293" s="2"/>
      <c r="I293" s="2"/>
      <c r="J293" s="2"/>
      <c r="K293" s="2"/>
      <c r="L293" s="2"/>
      <c r="M293" s="2"/>
      <c r="N293" s="2"/>
      <c r="O293" s="2"/>
      <c r="P293" s="2"/>
      <c r="Q293" s="2"/>
      <c r="R293" s="2"/>
      <c r="S293" s="2"/>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row>
    <row r="294" spans="1:49" x14ac:dyDescent="0.25">
      <c r="A294" s="1"/>
      <c r="B294" s="1"/>
      <c r="C294" s="2"/>
      <c r="D294" s="2"/>
      <c r="E294" s="2"/>
      <c r="F294" s="2"/>
      <c r="G294" s="2"/>
      <c r="H294" s="2"/>
      <c r="I294" s="2"/>
      <c r="J294" s="2"/>
      <c r="K294" s="2"/>
      <c r="L294" s="2"/>
      <c r="M294" s="2"/>
      <c r="N294" s="2"/>
      <c r="O294" s="2"/>
      <c r="P294" s="2"/>
      <c r="Q294" s="2"/>
      <c r="R294" s="2"/>
      <c r="S294" s="2"/>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row>
    <row r="295" spans="1:49" x14ac:dyDescent="0.25">
      <c r="A295" s="1"/>
      <c r="B295" s="1"/>
      <c r="C295" s="2"/>
      <c r="D295" s="2"/>
      <c r="E295" s="2"/>
      <c r="F295" s="2"/>
      <c r="G295" s="2"/>
      <c r="H295" s="2"/>
      <c r="I295" s="2"/>
      <c r="J295" s="2"/>
      <c r="K295" s="2"/>
      <c r="L295" s="2"/>
      <c r="M295" s="2"/>
      <c r="N295" s="2"/>
      <c r="O295" s="2"/>
      <c r="P295" s="2"/>
      <c r="Q295" s="2"/>
      <c r="R295" s="2"/>
      <c r="S295" s="2"/>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row>
    <row r="296" spans="1:49" x14ac:dyDescent="0.25">
      <c r="A296" s="1"/>
      <c r="B296" s="1"/>
      <c r="C296" s="2"/>
      <c r="D296" s="2"/>
      <c r="E296" s="2"/>
      <c r="F296" s="2"/>
      <c r="G296" s="2"/>
      <c r="H296" s="2"/>
      <c r="I296" s="2"/>
      <c r="J296" s="2"/>
      <c r="K296" s="2"/>
      <c r="L296" s="2"/>
      <c r="M296" s="2"/>
      <c r="N296" s="2"/>
      <c r="O296" s="2"/>
      <c r="P296" s="2"/>
      <c r="Q296" s="2"/>
      <c r="R296" s="2"/>
      <c r="S296" s="2"/>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row>
    <row r="297" spans="1:49" x14ac:dyDescent="0.25">
      <c r="A297" s="1"/>
      <c r="B297" s="1"/>
      <c r="C297" s="2"/>
      <c r="D297" s="2"/>
      <c r="E297" s="2"/>
      <c r="F297" s="2"/>
      <c r="G297" s="2"/>
      <c r="H297" s="2"/>
      <c r="I297" s="2"/>
      <c r="J297" s="2"/>
      <c r="K297" s="2"/>
      <c r="L297" s="2"/>
      <c r="M297" s="2"/>
      <c r="N297" s="2"/>
      <c r="O297" s="2"/>
      <c r="P297" s="2"/>
      <c r="Q297" s="2"/>
      <c r="R297" s="2"/>
      <c r="S297" s="2"/>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row>
    <row r="298" spans="1:49" x14ac:dyDescent="0.25">
      <c r="A298" s="1"/>
      <c r="B298" s="1"/>
      <c r="C298" s="2"/>
      <c r="D298" s="2"/>
      <c r="E298" s="2"/>
      <c r="F298" s="2"/>
      <c r="G298" s="2"/>
      <c r="H298" s="2"/>
      <c r="I298" s="2"/>
      <c r="J298" s="2"/>
      <c r="K298" s="2"/>
      <c r="L298" s="2"/>
      <c r="M298" s="2"/>
      <c r="N298" s="2"/>
      <c r="O298" s="2"/>
      <c r="P298" s="2"/>
      <c r="Q298" s="2"/>
      <c r="R298" s="2"/>
      <c r="S298" s="2"/>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row>
    <row r="299" spans="1:49" x14ac:dyDescent="0.25">
      <c r="A299" s="1"/>
      <c r="B299" s="1"/>
      <c r="C299" s="2"/>
      <c r="D299" s="2"/>
      <c r="E299" s="2"/>
      <c r="F299" s="2"/>
      <c r="G299" s="2"/>
      <c r="H299" s="2"/>
      <c r="I299" s="2"/>
      <c r="J299" s="2"/>
      <c r="K299" s="2"/>
      <c r="L299" s="2"/>
      <c r="M299" s="2"/>
      <c r="N299" s="2"/>
      <c r="O299" s="2"/>
      <c r="P299" s="2"/>
      <c r="Q299" s="2"/>
      <c r="R299" s="2"/>
      <c r="S299" s="2"/>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row>
    <row r="300" spans="1:49" x14ac:dyDescent="0.25">
      <c r="A300" s="1"/>
      <c r="B300" s="1"/>
      <c r="C300" s="2"/>
      <c r="D300" s="2"/>
      <c r="E300" s="2"/>
      <c r="F300" s="2"/>
      <c r="G300" s="2"/>
      <c r="H300" s="2"/>
      <c r="I300" s="2"/>
      <c r="J300" s="2"/>
      <c r="K300" s="2"/>
      <c r="L300" s="2"/>
      <c r="M300" s="2"/>
      <c r="N300" s="2"/>
      <c r="O300" s="2"/>
      <c r="P300" s="2"/>
      <c r="Q300" s="2"/>
      <c r="R300" s="2"/>
      <c r="S300" s="2"/>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row>
    <row r="301" spans="1:49" x14ac:dyDescent="0.25">
      <c r="A301" s="1"/>
      <c r="B301" s="1"/>
      <c r="C301" s="2"/>
      <c r="D301" s="2"/>
      <c r="E301" s="2"/>
      <c r="F301" s="2"/>
      <c r="G301" s="2"/>
      <c r="H301" s="2"/>
      <c r="I301" s="2"/>
      <c r="J301" s="2"/>
      <c r="K301" s="2"/>
      <c r="L301" s="2"/>
      <c r="M301" s="2"/>
      <c r="N301" s="2"/>
      <c r="O301" s="2"/>
      <c r="P301" s="2"/>
      <c r="Q301" s="2"/>
      <c r="R301" s="2"/>
      <c r="S301" s="2"/>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row>
    <row r="302" spans="1:49" x14ac:dyDescent="0.25">
      <c r="A302" s="1"/>
      <c r="B302" s="1"/>
      <c r="C302" s="2"/>
      <c r="D302" s="2"/>
      <c r="E302" s="2"/>
      <c r="F302" s="2"/>
      <c r="G302" s="2"/>
      <c r="H302" s="2"/>
      <c r="I302" s="2"/>
      <c r="J302" s="2"/>
      <c r="K302" s="2"/>
      <c r="L302" s="2"/>
      <c r="M302" s="2"/>
      <c r="N302" s="2"/>
      <c r="O302" s="2"/>
      <c r="P302" s="2"/>
      <c r="Q302" s="2"/>
      <c r="R302" s="2"/>
      <c r="S302" s="2"/>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row>
    <row r="303" spans="1:49" x14ac:dyDescent="0.25">
      <c r="A303" s="1"/>
      <c r="B303" s="1"/>
      <c r="C303" s="2"/>
      <c r="D303" s="2"/>
      <c r="E303" s="2"/>
      <c r="F303" s="2"/>
      <c r="G303" s="2"/>
      <c r="H303" s="2"/>
      <c r="I303" s="2"/>
      <c r="J303" s="2"/>
      <c r="K303" s="2"/>
      <c r="L303" s="2"/>
      <c r="M303" s="2"/>
      <c r="N303" s="2"/>
      <c r="O303" s="2"/>
      <c r="P303" s="2"/>
      <c r="Q303" s="2"/>
      <c r="R303" s="2"/>
      <c r="S303" s="2"/>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row>
    <row r="304" spans="1:49" x14ac:dyDescent="0.25">
      <c r="A304" s="1"/>
      <c r="B304" s="1"/>
      <c r="C304" s="2"/>
      <c r="D304" s="2"/>
      <c r="E304" s="2"/>
      <c r="F304" s="2"/>
      <c r="G304" s="2"/>
      <c r="H304" s="2"/>
      <c r="I304" s="2"/>
      <c r="J304" s="2"/>
      <c r="K304" s="2"/>
      <c r="L304" s="2"/>
      <c r="M304" s="2"/>
      <c r="N304" s="2"/>
      <c r="O304" s="2"/>
      <c r="P304" s="2"/>
      <c r="Q304" s="2"/>
      <c r="R304" s="2"/>
      <c r="S304" s="2"/>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row>
    <row r="305" spans="1:49" x14ac:dyDescent="0.25">
      <c r="A305" s="1"/>
      <c r="B305" s="1"/>
      <c r="C305" s="2"/>
      <c r="D305" s="2"/>
      <c r="E305" s="2"/>
      <c r="F305" s="2"/>
      <c r="G305" s="2"/>
      <c r="H305" s="2"/>
      <c r="I305" s="2"/>
      <c r="J305" s="2"/>
      <c r="K305" s="2"/>
      <c r="L305" s="2"/>
      <c r="M305" s="2"/>
      <c r="N305" s="2"/>
      <c r="O305" s="2"/>
      <c r="P305" s="2"/>
      <c r="Q305" s="2"/>
      <c r="R305" s="2"/>
      <c r="S305" s="2"/>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row>
    <row r="306" spans="1:49" x14ac:dyDescent="0.25">
      <c r="A306" s="1"/>
      <c r="B306" s="1"/>
      <c r="C306" s="2"/>
      <c r="D306" s="2"/>
      <c r="E306" s="2"/>
      <c r="F306" s="2"/>
      <c r="G306" s="2"/>
      <c r="H306" s="2"/>
      <c r="I306" s="2"/>
      <c r="J306" s="2"/>
      <c r="K306" s="2"/>
      <c r="L306" s="2"/>
      <c r="M306" s="2"/>
      <c r="N306" s="2"/>
      <c r="O306" s="2"/>
      <c r="P306" s="2"/>
      <c r="Q306" s="2"/>
      <c r="R306" s="2"/>
      <c r="S306" s="2"/>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row>
    <row r="307" spans="1:49" x14ac:dyDescent="0.25">
      <c r="A307" s="1"/>
      <c r="B307" s="1"/>
      <c r="C307" s="2"/>
      <c r="D307" s="2"/>
      <c r="E307" s="2"/>
      <c r="F307" s="2"/>
      <c r="G307" s="2"/>
      <c r="H307" s="2"/>
      <c r="I307" s="2"/>
      <c r="J307" s="2"/>
      <c r="K307" s="2"/>
      <c r="L307" s="2"/>
      <c r="M307" s="2"/>
      <c r="N307" s="2"/>
      <c r="O307" s="2"/>
      <c r="P307" s="2"/>
      <c r="Q307" s="2"/>
      <c r="R307" s="2"/>
      <c r="S307" s="2"/>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row>
    <row r="308" spans="1:49" x14ac:dyDescent="0.25">
      <c r="A308" s="1"/>
      <c r="B308" s="1"/>
      <c r="C308" s="2"/>
      <c r="D308" s="2"/>
      <c r="E308" s="2"/>
      <c r="F308" s="2"/>
      <c r="G308" s="2"/>
      <c r="H308" s="2"/>
      <c r="I308" s="2"/>
      <c r="J308" s="2"/>
      <c r="K308" s="2"/>
      <c r="L308" s="2"/>
      <c r="M308" s="2"/>
      <c r="N308" s="2"/>
      <c r="O308" s="2"/>
      <c r="P308" s="2"/>
      <c r="Q308" s="2"/>
      <c r="R308" s="2"/>
      <c r="S308" s="2"/>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row>
    <row r="309" spans="1:49" x14ac:dyDescent="0.25">
      <c r="A309" s="1"/>
      <c r="B309" s="1"/>
      <c r="C309" s="2"/>
      <c r="D309" s="2"/>
      <c r="E309" s="2"/>
      <c r="F309" s="2"/>
      <c r="G309" s="2"/>
      <c r="H309" s="2"/>
      <c r="I309" s="2"/>
      <c r="J309" s="2"/>
      <c r="K309" s="2"/>
      <c r="L309" s="2"/>
      <c r="M309" s="2"/>
      <c r="N309" s="2"/>
      <c r="O309" s="2"/>
      <c r="P309" s="2"/>
      <c r="Q309" s="2"/>
      <c r="R309" s="2"/>
      <c r="S309" s="2"/>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row>
    <row r="310" spans="1:49" x14ac:dyDescent="0.25">
      <c r="A310" s="1"/>
      <c r="B310" s="1"/>
      <c r="C310" s="2"/>
      <c r="D310" s="2"/>
      <c r="E310" s="2"/>
      <c r="F310" s="2"/>
      <c r="G310" s="2"/>
      <c r="H310" s="2"/>
      <c r="I310" s="2"/>
      <c r="J310" s="2"/>
      <c r="K310" s="2"/>
      <c r="L310" s="2"/>
      <c r="M310" s="2"/>
      <c r="N310" s="2"/>
      <c r="O310" s="2"/>
      <c r="P310" s="2"/>
      <c r="Q310" s="2"/>
      <c r="R310" s="2"/>
      <c r="S310" s="2"/>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row>
    <row r="311" spans="1:49" x14ac:dyDescent="0.25">
      <c r="A311" s="1"/>
      <c r="B311" s="1"/>
      <c r="C311" s="2"/>
      <c r="D311" s="2"/>
      <c r="E311" s="2"/>
      <c r="F311" s="2"/>
      <c r="G311" s="2"/>
      <c r="H311" s="2"/>
      <c r="I311" s="2"/>
      <c r="J311" s="2"/>
      <c r="K311" s="2"/>
      <c r="L311" s="2"/>
      <c r="M311" s="2"/>
      <c r="N311" s="2"/>
      <c r="O311" s="2"/>
      <c r="P311" s="2"/>
      <c r="Q311" s="2"/>
      <c r="R311" s="2"/>
      <c r="S311" s="2"/>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row>
    <row r="312" spans="1:49" x14ac:dyDescent="0.25">
      <c r="A312" s="1"/>
      <c r="B312" s="1"/>
      <c r="C312" s="2"/>
      <c r="D312" s="2"/>
      <c r="E312" s="2"/>
      <c r="F312" s="2"/>
      <c r="G312" s="2"/>
      <c r="H312" s="2"/>
      <c r="I312" s="2"/>
      <c r="J312" s="2"/>
      <c r="K312" s="2"/>
      <c r="L312" s="2"/>
      <c r="M312" s="2"/>
      <c r="N312" s="2"/>
      <c r="O312" s="2"/>
      <c r="P312" s="2"/>
      <c r="Q312" s="2"/>
      <c r="R312" s="2"/>
      <c r="S312" s="2"/>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row>
    <row r="313" spans="1:49" x14ac:dyDescent="0.25">
      <c r="A313" s="1"/>
      <c r="B313" s="1"/>
      <c r="C313" s="2"/>
      <c r="D313" s="2"/>
      <c r="E313" s="2"/>
      <c r="F313" s="2"/>
      <c r="G313" s="2"/>
      <c r="H313" s="2"/>
      <c r="I313" s="2"/>
      <c r="J313" s="2"/>
      <c r="K313" s="2"/>
      <c r="L313" s="2"/>
      <c r="M313" s="2"/>
      <c r="N313" s="2"/>
      <c r="O313" s="2"/>
      <c r="P313" s="2"/>
      <c r="Q313" s="2"/>
      <c r="R313" s="2"/>
      <c r="S313" s="2"/>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row>
    <row r="314" spans="1:49" x14ac:dyDescent="0.25">
      <c r="A314" s="1"/>
      <c r="B314" s="1"/>
      <c r="C314" s="2"/>
      <c r="D314" s="2"/>
      <c r="E314" s="2"/>
      <c r="F314" s="2"/>
      <c r="G314" s="2"/>
      <c r="H314" s="2"/>
      <c r="I314" s="2"/>
      <c r="J314" s="2"/>
      <c r="K314" s="2"/>
      <c r="L314" s="2"/>
      <c r="M314" s="2"/>
      <c r="N314" s="2"/>
      <c r="O314" s="2"/>
      <c r="P314" s="2"/>
      <c r="Q314" s="2"/>
      <c r="R314" s="2"/>
      <c r="S314" s="2"/>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row>
    <row r="315" spans="1:49" x14ac:dyDescent="0.25">
      <c r="A315" s="1"/>
      <c r="B315" s="1"/>
      <c r="C315" s="2"/>
      <c r="D315" s="2"/>
      <c r="E315" s="2"/>
      <c r="F315" s="2"/>
      <c r="G315" s="2"/>
      <c r="H315" s="2"/>
      <c r="I315" s="2"/>
      <c r="J315" s="2"/>
      <c r="K315" s="2"/>
      <c r="L315" s="2"/>
      <c r="M315" s="2"/>
      <c r="N315" s="2"/>
      <c r="O315" s="2"/>
      <c r="P315" s="2"/>
      <c r="Q315" s="2"/>
      <c r="R315" s="2"/>
      <c r="S315" s="2"/>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row>
    <row r="316" spans="1:49" x14ac:dyDescent="0.25">
      <c r="A316" s="1"/>
      <c r="B316" s="1"/>
      <c r="C316" s="2"/>
      <c r="D316" s="2"/>
      <c r="E316" s="2"/>
      <c r="F316" s="2"/>
      <c r="G316" s="2"/>
      <c r="H316" s="2"/>
      <c r="I316" s="2"/>
      <c r="J316" s="2"/>
      <c r="K316" s="2"/>
      <c r="L316" s="2"/>
      <c r="M316" s="2"/>
      <c r="N316" s="2"/>
      <c r="O316" s="2"/>
      <c r="P316" s="2"/>
      <c r="Q316" s="2"/>
      <c r="R316" s="2"/>
      <c r="S316" s="2"/>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row>
    <row r="317" spans="1:49" x14ac:dyDescent="0.25">
      <c r="A317" s="1"/>
      <c r="B317" s="1"/>
      <c r="C317" s="2"/>
      <c r="D317" s="2"/>
      <c r="E317" s="2"/>
      <c r="F317" s="2"/>
      <c r="G317" s="2"/>
      <c r="H317" s="2"/>
      <c r="I317" s="2"/>
      <c r="J317" s="2"/>
      <c r="K317" s="2"/>
      <c r="L317" s="2"/>
      <c r="M317" s="2"/>
      <c r="N317" s="2"/>
      <c r="O317" s="2"/>
      <c r="P317" s="2"/>
      <c r="Q317" s="2"/>
      <c r="R317" s="2"/>
      <c r="S317" s="2"/>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row>
    <row r="318" spans="1:49" x14ac:dyDescent="0.25">
      <c r="A318" s="1"/>
      <c r="B318" s="1"/>
      <c r="C318" s="2"/>
      <c r="D318" s="2"/>
      <c r="E318" s="2"/>
      <c r="F318" s="2"/>
      <c r="G318" s="2"/>
      <c r="H318" s="2"/>
      <c r="I318" s="2"/>
      <c r="J318" s="2"/>
      <c r="K318" s="2"/>
      <c r="L318" s="2"/>
      <c r="M318" s="2"/>
      <c r="N318" s="2"/>
      <c r="O318" s="2"/>
      <c r="P318" s="2"/>
      <c r="Q318" s="2"/>
      <c r="R318" s="2"/>
      <c r="S318" s="2"/>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row>
    <row r="319" spans="1:49" x14ac:dyDescent="0.25">
      <c r="A319" s="1"/>
      <c r="B319" s="1"/>
      <c r="C319" s="2"/>
      <c r="D319" s="2"/>
      <c r="E319" s="2"/>
      <c r="F319" s="2"/>
      <c r="G319" s="2"/>
      <c r="H319" s="2"/>
      <c r="I319" s="2"/>
      <c r="J319" s="2"/>
      <c r="K319" s="2"/>
      <c r="L319" s="2"/>
      <c r="M319" s="2"/>
      <c r="N319" s="2"/>
      <c r="O319" s="2"/>
      <c r="P319" s="2"/>
      <c r="Q319" s="2"/>
      <c r="R319" s="2"/>
      <c r="S319" s="2"/>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row>
    <row r="320" spans="1:49" x14ac:dyDescent="0.25">
      <c r="A320" s="1"/>
      <c r="B320" s="1"/>
      <c r="C320" s="2"/>
      <c r="D320" s="2"/>
      <c r="E320" s="2"/>
      <c r="F320" s="2"/>
      <c r="G320" s="2"/>
      <c r="H320" s="2"/>
      <c r="I320" s="2"/>
      <c r="J320" s="2"/>
      <c r="K320" s="2"/>
      <c r="L320" s="2"/>
      <c r="M320" s="2"/>
      <c r="N320" s="2"/>
      <c r="O320" s="2"/>
      <c r="P320" s="2"/>
      <c r="Q320" s="2"/>
      <c r="R320" s="2"/>
      <c r="S320" s="2"/>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row>
    <row r="321" spans="1:49" x14ac:dyDescent="0.25">
      <c r="A321" s="1"/>
      <c r="B321" s="1"/>
      <c r="C321" s="2"/>
      <c r="D321" s="2"/>
      <c r="E321" s="2"/>
      <c r="F321" s="2"/>
      <c r="G321" s="2"/>
      <c r="H321" s="2"/>
      <c r="I321" s="2"/>
      <c r="J321" s="2"/>
      <c r="K321" s="2"/>
      <c r="L321" s="2"/>
      <c r="M321" s="2"/>
      <c r="N321" s="2"/>
      <c r="O321" s="2"/>
      <c r="P321" s="2"/>
      <c r="Q321" s="2"/>
      <c r="R321" s="2"/>
      <c r="S321" s="2"/>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row>
    <row r="322" spans="1:49" x14ac:dyDescent="0.25">
      <c r="A322" s="1"/>
      <c r="B322" s="1"/>
      <c r="C322" s="2"/>
      <c r="D322" s="2"/>
      <c r="E322" s="2"/>
      <c r="F322" s="2"/>
      <c r="G322" s="2"/>
      <c r="H322" s="2"/>
      <c r="I322" s="2"/>
      <c r="J322" s="2"/>
      <c r="K322" s="2"/>
      <c r="L322" s="2"/>
      <c r="M322" s="2"/>
      <c r="N322" s="2"/>
      <c r="O322" s="2"/>
      <c r="P322" s="2"/>
      <c r="Q322" s="2"/>
      <c r="R322" s="2"/>
      <c r="S322" s="2"/>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row>
  </sheetData>
  <mergeCells count="8">
    <mergeCell ref="L139:M139"/>
    <mergeCell ref="O139:P139"/>
    <mergeCell ref="L134:M134"/>
    <mergeCell ref="O134:P134"/>
    <mergeCell ref="L135:M135"/>
    <mergeCell ref="O135:P135"/>
    <mergeCell ref="L138:M138"/>
    <mergeCell ref="O138:P138"/>
  </mergeCells>
  <conditionalFormatting sqref="B73:P117 B72:E72 Q10:Q38 B67:P71 B8:Q8 C25:Q25 C48:Q48 C64:Q64 Q66:Q67 B9:P47 C63:H64 B65:H66 I48:Q66 B48:H62">
    <cfRule type="cellIs" dxfId="150" priority="5" operator="equal">
      <formula>0</formula>
    </cfRule>
  </conditionalFormatting>
  <conditionalFormatting sqref="B63:B64">
    <cfRule type="cellIs" dxfId="149" priority="4" operator="equal">
      <formula>0</formula>
    </cfRule>
  </conditionalFormatting>
  <conditionalFormatting sqref="Q9 Q39:Q47 F72:P72 Q68:Q117">
    <cfRule type="cellIs" dxfId="148" priority="1" operator="equal">
      <formula>0</formula>
    </cfRule>
  </conditionalFormatting>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3F4F34-1C64-4DC7-AF42-00DE4EB76E15}">
  <sheetPr codeName="Planilha6"/>
  <dimension ref="A1:BK390"/>
  <sheetViews>
    <sheetView topLeftCell="B1" zoomScale="70" zoomScaleNormal="70" workbookViewId="0">
      <pane xSplit="13" ySplit="7" topLeftCell="O8" activePane="bottomRight" state="frozen"/>
      <selection activeCell="B1" sqref="B1"/>
      <selection pane="topRight" activeCell="O1" sqref="O1"/>
      <selection pane="bottomLeft" activeCell="B8" sqref="B8"/>
      <selection pane="bottomRight" activeCell="AD89" sqref="AD89"/>
    </sheetView>
  </sheetViews>
  <sheetFormatPr defaultColWidth="12.5703125" defaultRowHeight="15" outlineLevelRow="2" x14ac:dyDescent="0.25"/>
  <cols>
    <col min="1" max="1" width="12.5703125" style="3"/>
    <col min="2" max="2" width="52.140625" style="3" bestFit="1" customWidth="1"/>
    <col min="3" max="14" width="14.5703125" style="8" hidden="1" customWidth="1"/>
    <col min="15" max="23" width="14.5703125" style="8" customWidth="1"/>
    <col min="24" max="24" width="15.42578125" style="8" bestFit="1" customWidth="1"/>
    <col min="25" max="27" width="17.5703125" style="8" bestFit="1" customWidth="1"/>
    <col min="28" max="29" width="19" style="8" bestFit="1" customWidth="1"/>
    <col min="30" max="30" width="20.7109375" style="8" customWidth="1"/>
    <col min="31" max="31" width="56.7109375" style="8" customWidth="1"/>
    <col min="32" max="33" width="12.5703125" style="8"/>
    <col min="34" max="16384" width="12.5703125" style="3"/>
  </cols>
  <sheetData>
    <row r="1" spans="1:63" ht="18" customHeight="1" x14ac:dyDescent="0.25">
      <c r="A1" s="1"/>
      <c r="B1" s="1"/>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row>
    <row r="2" spans="1:63" ht="18" customHeight="1" x14ac:dyDescent="0.25">
      <c r="A2" s="1"/>
      <c r="B2" s="1"/>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row>
    <row r="3" spans="1:63" ht="18" customHeight="1" x14ac:dyDescent="0.25">
      <c r="A3" s="1"/>
      <c r="B3" s="1"/>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row>
    <row r="4" spans="1:63" ht="18" customHeight="1" x14ac:dyDescent="0.25">
      <c r="A4" s="1"/>
      <c r="B4" s="1"/>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row>
    <row r="5" spans="1:63" ht="18" customHeight="1" x14ac:dyDescent="0.25">
      <c r="A5" s="1"/>
      <c r="B5" s="1"/>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row>
    <row r="6" spans="1:63" ht="18" customHeight="1" x14ac:dyDescent="0.25">
      <c r="A6" s="1"/>
      <c r="B6" s="1"/>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row>
    <row r="7" spans="1:63" ht="18" customHeight="1" thickBot="1" x14ac:dyDescent="0.3">
      <c r="A7" s="1"/>
      <c r="B7" s="48"/>
      <c r="C7" s="15">
        <v>2010</v>
      </c>
      <c r="D7" s="15">
        <v>2011</v>
      </c>
      <c r="E7" s="15">
        <v>2012</v>
      </c>
      <c r="F7" s="15">
        <v>2013</v>
      </c>
      <c r="G7" s="15">
        <v>2014</v>
      </c>
      <c r="H7" s="15">
        <v>2015</v>
      </c>
      <c r="I7" s="15">
        <v>2016</v>
      </c>
      <c r="J7" s="15">
        <f>I7+1</f>
        <v>2017</v>
      </c>
      <c r="K7" s="15">
        <f t="shared" ref="K7:V7" si="0">J7+1</f>
        <v>2018</v>
      </c>
      <c r="L7" s="15">
        <f t="shared" si="0"/>
        <v>2019</v>
      </c>
      <c r="M7" s="15">
        <f t="shared" si="0"/>
        <v>2020</v>
      </c>
      <c r="N7" s="15">
        <f t="shared" si="0"/>
        <v>2021</v>
      </c>
      <c r="O7" s="15">
        <f t="shared" si="0"/>
        <v>2022</v>
      </c>
      <c r="P7" s="15">
        <f t="shared" si="0"/>
        <v>2023</v>
      </c>
      <c r="Q7" s="15">
        <f t="shared" si="0"/>
        <v>2024</v>
      </c>
      <c r="R7" s="15" t="s">
        <v>380</v>
      </c>
      <c r="S7" s="15" t="s">
        <v>455</v>
      </c>
      <c r="T7" s="50" t="s">
        <v>384</v>
      </c>
      <c r="U7" s="50">
        <f>Q7+1</f>
        <v>2025</v>
      </c>
      <c r="V7" s="50">
        <f t="shared" si="0"/>
        <v>2026</v>
      </c>
      <c r="W7" s="50">
        <f t="shared" ref="W7" si="1">V7+1</f>
        <v>2027</v>
      </c>
      <c r="X7" s="50">
        <f t="shared" ref="X7" si="2">W7+1</f>
        <v>2028</v>
      </c>
      <c r="Y7" s="50">
        <f t="shared" ref="Y7" si="3">X7+1</f>
        <v>2029</v>
      </c>
      <c r="Z7" s="50">
        <f t="shared" ref="Z7" si="4">Y7+1</f>
        <v>2030</v>
      </c>
      <c r="AA7" s="50">
        <f t="shared" ref="AA7" si="5">Z7+1</f>
        <v>2031</v>
      </c>
      <c r="AB7" s="50">
        <f t="shared" ref="AB7" si="6">AA7+1</f>
        <v>2032</v>
      </c>
      <c r="AC7" s="50">
        <f t="shared" ref="AC7" si="7">AB7+1</f>
        <v>2033</v>
      </c>
      <c r="AD7" s="50" t="s">
        <v>341</v>
      </c>
      <c r="AE7" s="50" t="s">
        <v>72</v>
      </c>
      <c r="AF7" s="2"/>
      <c r="AG7" s="2"/>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row>
    <row r="8" spans="1:63" ht="18" customHeight="1" x14ac:dyDescent="0.25">
      <c r="A8" s="1"/>
      <c r="B8" s="147" t="s">
        <v>77</v>
      </c>
      <c r="C8" s="90">
        <v>0</v>
      </c>
      <c r="D8" s="90">
        <v>0</v>
      </c>
      <c r="E8" s="90">
        <v>0</v>
      </c>
      <c r="F8" s="90">
        <v>0</v>
      </c>
      <c r="G8" s="90">
        <v>0</v>
      </c>
      <c r="H8" s="90">
        <v>0</v>
      </c>
      <c r="I8" s="90">
        <v>0</v>
      </c>
      <c r="J8" s="90">
        <v>0</v>
      </c>
      <c r="K8" s="90">
        <v>0</v>
      </c>
      <c r="L8" s="90">
        <v>0</v>
      </c>
      <c r="M8" s="90">
        <v>0</v>
      </c>
      <c r="N8" s="90">
        <v>0</v>
      </c>
      <c r="O8" s="147">
        <f t="shared" ref="O8:AC8" si="8">O11+O40+O67+O89+O106</f>
        <v>11160624.362432234</v>
      </c>
      <c r="P8" s="147">
        <f t="shared" si="8"/>
        <v>12779439.695272923</v>
      </c>
      <c r="Q8" s="147">
        <f t="shared" si="8"/>
        <v>14159756.998702489</v>
      </c>
      <c r="R8" s="147">
        <f t="shared" si="8"/>
        <v>3311762.5238766689</v>
      </c>
      <c r="S8" s="147">
        <f t="shared" si="8"/>
        <v>3620000</v>
      </c>
      <c r="T8" s="141">
        <f t="shared" si="8"/>
        <v>8517187.6510331854</v>
      </c>
      <c r="U8" s="141">
        <f t="shared" si="8"/>
        <v>15448950.174909856</v>
      </c>
      <c r="V8" s="141">
        <f t="shared" si="8"/>
        <v>17405796.210304208</v>
      </c>
      <c r="W8" s="141">
        <f t="shared" si="8"/>
        <v>19614672.70126706</v>
      </c>
      <c r="X8" s="141">
        <f t="shared" si="8"/>
        <v>21965772.764564492</v>
      </c>
      <c r="Y8" s="141">
        <f t="shared" si="8"/>
        <v>24414664.154848147</v>
      </c>
      <c r="Z8" s="141">
        <f t="shared" si="8"/>
        <v>26897509.790623408</v>
      </c>
      <c r="AA8" s="141">
        <f t="shared" si="8"/>
        <v>29402608.297066204</v>
      </c>
      <c r="AB8" s="141">
        <f t="shared" si="8"/>
        <v>31817710.558135256</v>
      </c>
      <c r="AC8" s="141">
        <f t="shared" si="8"/>
        <v>34049489.220220529</v>
      </c>
      <c r="AD8" s="110">
        <f>(Q8/O8)^(1/COUNTA($P$7:$Q$7))-1</f>
        <v>0.12637669070190816</v>
      </c>
      <c r="AE8" s="102"/>
      <c r="AF8" s="2"/>
      <c r="AG8" s="2"/>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row>
    <row r="9" spans="1:63" ht="18" customHeight="1" x14ac:dyDescent="0.25">
      <c r="A9" s="1"/>
      <c r="B9" s="89"/>
      <c r="C9" s="90"/>
      <c r="D9" s="90"/>
      <c r="E9" s="90"/>
      <c r="F9" s="90"/>
      <c r="G9" s="90"/>
      <c r="H9" s="90"/>
      <c r="I9" s="90"/>
      <c r="J9" s="90"/>
      <c r="K9" s="90"/>
      <c r="L9" s="90"/>
      <c r="M9" s="90"/>
      <c r="N9" s="90"/>
      <c r="O9" s="90"/>
      <c r="P9" s="149">
        <f>P8/O8-1</f>
        <v>0.14504702248467227</v>
      </c>
      <c r="Q9" s="149">
        <f t="shared" ref="Q9:AC9" si="9">Q8/P8-1</f>
        <v>0.10801078422398613</v>
      </c>
      <c r="R9" s="149"/>
      <c r="S9" s="149"/>
      <c r="T9" s="149"/>
      <c r="U9" s="149">
        <f>U8/Q8-1</f>
        <v>9.1046278288921201E-2</v>
      </c>
      <c r="V9" s="149">
        <f t="shared" si="9"/>
        <v>0.12666530820795852</v>
      </c>
      <c r="W9" s="149">
        <f>W8/V8-1</f>
        <v>0.12690465085735059</v>
      </c>
      <c r="X9" s="149">
        <f t="shared" si="9"/>
        <v>0.11986435354312874</v>
      </c>
      <c r="Y9" s="149">
        <f t="shared" si="9"/>
        <v>0.11148669416421542</v>
      </c>
      <c r="Z9" s="149">
        <f t="shared" si="9"/>
        <v>0.10169485109555465</v>
      </c>
      <c r="AA9" s="149">
        <f t="shared" si="9"/>
        <v>9.3134960297182712E-2</v>
      </c>
      <c r="AB9" s="149">
        <f t="shared" si="9"/>
        <v>8.2139048232330758E-2</v>
      </c>
      <c r="AC9" s="149">
        <f t="shared" si="9"/>
        <v>7.0142653979063274E-2</v>
      </c>
      <c r="AD9" s="110"/>
      <c r="AE9" s="102"/>
      <c r="AF9" s="2"/>
      <c r="AG9" s="2"/>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row>
    <row r="10" spans="1:63" ht="18" customHeight="1" thickBot="1" x14ac:dyDescent="0.3">
      <c r="A10" s="1"/>
      <c r="B10" s="157" t="s">
        <v>312</v>
      </c>
      <c r="C10" s="15">
        <v>2010</v>
      </c>
      <c r="D10" s="15">
        <v>2011</v>
      </c>
      <c r="E10" s="15">
        <v>2012</v>
      </c>
      <c r="F10" s="15">
        <v>2013</v>
      </c>
      <c r="G10" s="15">
        <v>2014</v>
      </c>
      <c r="H10" s="15">
        <v>2015</v>
      </c>
      <c r="I10" s="15">
        <v>2016</v>
      </c>
      <c r="J10" s="15">
        <f t="shared" ref="J10" si="10">I10+1</f>
        <v>2017</v>
      </c>
      <c r="K10" s="15">
        <f t="shared" ref="K10" si="11">J10+1</f>
        <v>2018</v>
      </c>
      <c r="L10" s="15">
        <f t="shared" ref="L10" si="12">K10+1</f>
        <v>2019</v>
      </c>
      <c r="M10" s="15">
        <f t="shared" ref="M10" si="13">L10+1</f>
        <v>2020</v>
      </c>
      <c r="N10" s="15">
        <f t="shared" ref="N10" si="14">M10+1</f>
        <v>2021</v>
      </c>
      <c r="O10" s="15"/>
      <c r="P10" s="15"/>
      <c r="Q10" s="15"/>
      <c r="R10" s="15"/>
      <c r="S10" s="15"/>
      <c r="T10" s="50"/>
      <c r="U10" s="50"/>
      <c r="V10" s="50"/>
      <c r="W10" s="50"/>
      <c r="X10" s="50"/>
      <c r="Y10" s="50"/>
      <c r="Z10" s="50"/>
      <c r="AA10" s="50"/>
      <c r="AB10" s="50"/>
      <c r="AC10" s="50"/>
      <c r="AD10" s="50"/>
      <c r="AE10" s="50"/>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row>
    <row r="11" spans="1:63" ht="18" customHeight="1" x14ac:dyDescent="0.25">
      <c r="A11" s="1"/>
      <c r="B11" s="147" t="s">
        <v>287</v>
      </c>
      <c r="C11" s="147"/>
      <c r="D11" s="147"/>
      <c r="E11" s="147"/>
      <c r="F11" s="147"/>
      <c r="G11" s="147"/>
      <c r="H11" s="147"/>
      <c r="I11" s="147"/>
      <c r="J11" s="147"/>
      <c r="K11" s="147"/>
      <c r="L11" s="147"/>
      <c r="M11" s="147"/>
      <c r="N11" s="147"/>
      <c r="O11" s="147">
        <f t="shared" ref="O11:AC11" si="15">O12+O24+O26+O35+O37+O38+O39</f>
        <v>3940577.6440738854</v>
      </c>
      <c r="P11" s="147">
        <f t="shared" si="15"/>
        <v>4451469.0684148595</v>
      </c>
      <c r="Q11" s="147">
        <f t="shared" si="15"/>
        <v>4651171.3310513142</v>
      </c>
      <c r="R11" s="147">
        <f t="shared" si="15"/>
        <v>1039366.5116886218</v>
      </c>
      <c r="S11" s="147">
        <f t="shared" si="15"/>
        <v>1104900</v>
      </c>
      <c r="T11" s="141">
        <f t="shared" si="15"/>
        <v>2617053.6602949388</v>
      </c>
      <c r="U11" s="141">
        <f t="shared" si="15"/>
        <v>4761320.1719835615</v>
      </c>
      <c r="V11" s="141">
        <f t="shared" si="15"/>
        <v>5129368.4700690787</v>
      </c>
      <c r="W11" s="141">
        <f t="shared" si="15"/>
        <v>5539808.0355118718</v>
      </c>
      <c r="X11" s="141">
        <f t="shared" si="15"/>
        <v>5965987.2082644291</v>
      </c>
      <c r="Y11" s="141">
        <f t="shared" si="15"/>
        <v>6403759.6648770096</v>
      </c>
      <c r="Z11" s="141">
        <f t="shared" si="15"/>
        <v>6848228.8749921545</v>
      </c>
      <c r="AA11" s="141">
        <f t="shared" si="15"/>
        <v>7293838.1755539002</v>
      </c>
      <c r="AB11" s="141">
        <f t="shared" si="15"/>
        <v>7734474.5655511646</v>
      </c>
      <c r="AC11" s="141">
        <f t="shared" si="15"/>
        <v>8134150.8361914996</v>
      </c>
      <c r="AD11" s="110"/>
      <c r="AE11" s="110"/>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row>
    <row r="12" spans="1:63" ht="18" hidden="1" customHeight="1" outlineLevel="1" x14ac:dyDescent="0.25">
      <c r="A12" s="1"/>
      <c r="B12" s="146" t="s">
        <v>316</v>
      </c>
      <c r="C12" s="90"/>
      <c r="D12" s="90"/>
      <c r="E12" s="90"/>
      <c r="F12" s="90"/>
      <c r="G12" s="90"/>
      <c r="H12" s="90"/>
      <c r="I12" s="90"/>
      <c r="J12" s="90"/>
      <c r="K12" s="90"/>
      <c r="L12" s="90"/>
      <c r="M12" s="90"/>
      <c r="N12" s="90"/>
      <c r="O12" s="90">
        <v>506960.83395999996</v>
      </c>
      <c r="P12" s="90">
        <v>642102.71194000007</v>
      </c>
      <c r="Q12" s="90">
        <v>726549.54682000005</v>
      </c>
      <c r="R12" s="90">
        <v>160794.45304000002</v>
      </c>
      <c r="S12" s="90">
        <v>187400</v>
      </c>
      <c r="T12" s="141">
        <f>SUM(R12:S12)*Sazonalidade!P35</f>
        <v>437559.17196805496</v>
      </c>
      <c r="U12" s="141">
        <f>T12+R12+S12</f>
        <v>785753.62500805501</v>
      </c>
      <c r="V12" s="141">
        <f t="shared" ref="V12:AC12" si="16">V13*V22</f>
        <v>881864.54456370161</v>
      </c>
      <c r="W12" s="141">
        <f t="shared" si="16"/>
        <v>1006066.0381908824</v>
      </c>
      <c r="X12" s="141">
        <f t="shared" si="16"/>
        <v>1136285.1752330379</v>
      </c>
      <c r="Y12" s="141">
        <f t="shared" si="16"/>
        <v>1270399.0069674463</v>
      </c>
      <c r="Z12" s="141">
        <f t="shared" si="16"/>
        <v>1405852.3245766032</v>
      </c>
      <c r="AA12" s="141">
        <f t="shared" si="16"/>
        <v>1539713.3552033678</v>
      </c>
      <c r="AB12" s="141">
        <f t="shared" si="16"/>
        <v>1668758.7770340466</v>
      </c>
      <c r="AC12" s="141">
        <f t="shared" si="16"/>
        <v>1770553.0624331234</v>
      </c>
      <c r="AD12" s="110"/>
      <c r="AE12" s="5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row>
    <row r="13" spans="1:63" ht="18" hidden="1" customHeight="1" outlineLevel="1" x14ac:dyDescent="0.25">
      <c r="A13" s="1"/>
      <c r="B13" s="54" t="s">
        <v>325</v>
      </c>
      <c r="C13" s="61"/>
      <c r="D13" s="61"/>
      <c r="E13" s="61"/>
      <c r="F13" s="61"/>
      <c r="G13" s="61"/>
      <c r="H13" s="61"/>
      <c r="I13" s="61"/>
      <c r="J13" s="61"/>
      <c r="K13" s="61"/>
      <c r="L13" s="61"/>
      <c r="M13" s="61"/>
      <c r="N13" s="61"/>
      <c r="O13" s="61">
        <f>O14+O15+O16+O17+O18+O19+O20+O21</f>
        <v>76</v>
      </c>
      <c r="P13" s="61">
        <f t="shared" ref="P13:S13" si="17">P14+P15+P16+P17+P18+P19+P20+P21</f>
        <v>83</v>
      </c>
      <c r="Q13" s="61">
        <f t="shared" si="17"/>
        <v>85</v>
      </c>
      <c r="R13" s="61">
        <f t="shared" si="17"/>
        <v>77</v>
      </c>
      <c r="S13" s="61">
        <f t="shared" si="17"/>
        <v>75</v>
      </c>
      <c r="T13" s="74">
        <f t="shared" ref="T13:T21" si="18">R13</f>
        <v>77</v>
      </c>
      <c r="U13" s="74">
        <f t="shared" ref="U13:U21" si="19">T13</f>
        <v>77</v>
      </c>
      <c r="V13" s="74">
        <f t="shared" ref="V13" si="20">V14+V15+V16+V17+V18+V19+V20+V21</f>
        <v>75</v>
      </c>
      <c r="W13" s="74">
        <f t="shared" ref="W13" si="21">W14+W15+W16+W17+W18+W19+W20+W21</f>
        <v>75</v>
      </c>
      <c r="X13" s="74">
        <f t="shared" ref="X13" si="22">X14+X15+X16+X17+X18+X19+X20+X21</f>
        <v>75</v>
      </c>
      <c r="Y13" s="74">
        <f t="shared" ref="Y13" si="23">Y14+Y15+Y16+Y17+Y18+Y19+Y20+Y21</f>
        <v>75</v>
      </c>
      <c r="Z13" s="74">
        <f t="shared" ref="Z13" si="24">Z14+Z15+Z16+Z17+Z18+Z19+Z20+Z21</f>
        <v>75</v>
      </c>
      <c r="AA13" s="74">
        <f t="shared" ref="AA13" si="25">AA14+AA15+AA16+AA17+AA18+AA19+AA20+AA21</f>
        <v>75</v>
      </c>
      <c r="AB13" s="74">
        <f t="shared" ref="AB13" si="26">AB14+AB15+AB16+AB17+AB18+AB19+AB20+AB21</f>
        <v>75</v>
      </c>
      <c r="AC13" s="74">
        <f t="shared" ref="AC13" si="27">AC14+AC15+AC16+AC17+AC18+AC19+AC20+AC21</f>
        <v>75</v>
      </c>
      <c r="AD13" s="110"/>
      <c r="AE13" s="5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row>
    <row r="14" spans="1:63" ht="18" hidden="1" customHeight="1" outlineLevel="2" x14ac:dyDescent="0.25">
      <c r="A14" s="1"/>
      <c r="B14" s="55" t="s">
        <v>318</v>
      </c>
      <c r="C14" s="61"/>
      <c r="D14" s="61"/>
      <c r="E14" s="61"/>
      <c r="F14" s="61"/>
      <c r="G14" s="61"/>
      <c r="H14" s="61"/>
      <c r="I14" s="61"/>
      <c r="J14" s="61"/>
      <c r="K14" s="61"/>
      <c r="L14" s="61"/>
      <c r="M14" s="61"/>
      <c r="N14" s="61"/>
      <c r="O14" s="61">
        <v>18</v>
      </c>
      <c r="P14" s="61">
        <v>24</v>
      </c>
      <c r="Q14" s="61">
        <v>24</v>
      </c>
      <c r="R14" s="61">
        <v>21</v>
      </c>
      <c r="S14" s="61">
        <v>20</v>
      </c>
      <c r="T14" s="74">
        <v>20</v>
      </c>
      <c r="U14" s="74">
        <f t="shared" si="19"/>
        <v>20</v>
      </c>
      <c r="V14" s="74">
        <f t="shared" ref="V14:AC14" si="28">U14</f>
        <v>20</v>
      </c>
      <c r="W14" s="74">
        <f t="shared" si="28"/>
        <v>20</v>
      </c>
      <c r="X14" s="74">
        <f t="shared" si="28"/>
        <v>20</v>
      </c>
      <c r="Y14" s="74">
        <f t="shared" si="28"/>
        <v>20</v>
      </c>
      <c r="Z14" s="74">
        <f t="shared" si="28"/>
        <v>20</v>
      </c>
      <c r="AA14" s="74">
        <f t="shared" si="28"/>
        <v>20</v>
      </c>
      <c r="AB14" s="74">
        <f t="shared" si="28"/>
        <v>20</v>
      </c>
      <c r="AC14" s="74">
        <f t="shared" si="28"/>
        <v>20</v>
      </c>
      <c r="AD14" s="110"/>
      <c r="AE14" s="51" t="s">
        <v>343</v>
      </c>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row>
    <row r="15" spans="1:63" ht="18" hidden="1" customHeight="1" outlineLevel="2" x14ac:dyDescent="0.25">
      <c r="A15" s="1"/>
      <c r="B15" s="55" t="s">
        <v>319</v>
      </c>
      <c r="C15" s="61"/>
      <c r="D15" s="61"/>
      <c r="E15" s="61"/>
      <c r="F15" s="61"/>
      <c r="G15" s="61"/>
      <c r="H15" s="61"/>
      <c r="I15" s="61"/>
      <c r="J15" s="61"/>
      <c r="K15" s="61"/>
      <c r="L15" s="61"/>
      <c r="M15" s="61"/>
      <c r="N15" s="61"/>
      <c r="O15" s="61">
        <v>22</v>
      </c>
      <c r="P15" s="61">
        <v>20</v>
      </c>
      <c r="Q15" s="61">
        <v>19</v>
      </c>
      <c r="R15" s="61">
        <v>16</v>
      </c>
      <c r="S15" s="61">
        <v>16</v>
      </c>
      <c r="T15" s="74">
        <f t="shared" si="18"/>
        <v>16</v>
      </c>
      <c r="U15" s="74">
        <f t="shared" si="19"/>
        <v>16</v>
      </c>
      <c r="V15" s="74">
        <f t="shared" ref="V15:AC15" si="29">U15</f>
        <v>16</v>
      </c>
      <c r="W15" s="74">
        <f t="shared" si="29"/>
        <v>16</v>
      </c>
      <c r="X15" s="74">
        <f t="shared" si="29"/>
        <v>16</v>
      </c>
      <c r="Y15" s="74">
        <f t="shared" si="29"/>
        <v>16</v>
      </c>
      <c r="Z15" s="74">
        <f t="shared" si="29"/>
        <v>16</v>
      </c>
      <c r="AA15" s="74">
        <f t="shared" si="29"/>
        <v>16</v>
      </c>
      <c r="AB15" s="74">
        <f t="shared" si="29"/>
        <v>16</v>
      </c>
      <c r="AC15" s="74">
        <f t="shared" si="29"/>
        <v>16</v>
      </c>
      <c r="AD15" s="110"/>
      <c r="AE15" s="51" t="s">
        <v>343</v>
      </c>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row>
    <row r="16" spans="1:63" ht="18" hidden="1" customHeight="1" outlineLevel="2" x14ac:dyDescent="0.25">
      <c r="A16" s="1"/>
      <c r="B16" s="55" t="s">
        <v>320</v>
      </c>
      <c r="C16" s="61"/>
      <c r="D16" s="61"/>
      <c r="E16" s="61"/>
      <c r="F16" s="61"/>
      <c r="G16" s="61"/>
      <c r="H16" s="61"/>
      <c r="I16" s="61"/>
      <c r="J16" s="61"/>
      <c r="K16" s="61"/>
      <c r="L16" s="61"/>
      <c r="M16" s="61"/>
      <c r="N16" s="61"/>
      <c r="O16" s="61">
        <v>12</v>
      </c>
      <c r="P16" s="61">
        <v>13</v>
      </c>
      <c r="Q16" s="61">
        <v>13</v>
      </c>
      <c r="R16" s="61">
        <v>13</v>
      </c>
      <c r="S16" s="61">
        <v>13</v>
      </c>
      <c r="T16" s="74">
        <f t="shared" si="18"/>
        <v>13</v>
      </c>
      <c r="U16" s="74">
        <f t="shared" si="19"/>
        <v>13</v>
      </c>
      <c r="V16" s="74">
        <f t="shared" ref="V16:AC16" si="30">U16</f>
        <v>13</v>
      </c>
      <c r="W16" s="74">
        <f t="shared" si="30"/>
        <v>13</v>
      </c>
      <c r="X16" s="74">
        <f t="shared" si="30"/>
        <v>13</v>
      </c>
      <c r="Y16" s="74">
        <f t="shared" si="30"/>
        <v>13</v>
      </c>
      <c r="Z16" s="74">
        <f t="shared" si="30"/>
        <v>13</v>
      </c>
      <c r="AA16" s="74">
        <f t="shared" si="30"/>
        <v>13</v>
      </c>
      <c r="AB16" s="74">
        <f t="shared" si="30"/>
        <v>13</v>
      </c>
      <c r="AC16" s="74">
        <f t="shared" si="30"/>
        <v>13</v>
      </c>
      <c r="AD16" s="110"/>
      <c r="AE16" s="51" t="s">
        <v>343</v>
      </c>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row>
    <row r="17" spans="1:63" ht="18" hidden="1" customHeight="1" outlineLevel="2" x14ac:dyDescent="0.25">
      <c r="A17" s="1"/>
      <c r="B17" s="55" t="s">
        <v>321</v>
      </c>
      <c r="C17" s="61"/>
      <c r="D17" s="61"/>
      <c r="E17" s="61"/>
      <c r="F17" s="61"/>
      <c r="G17" s="61"/>
      <c r="H17" s="61"/>
      <c r="I17" s="61"/>
      <c r="J17" s="61"/>
      <c r="K17" s="61"/>
      <c r="L17" s="61"/>
      <c r="M17" s="61"/>
      <c r="N17" s="61"/>
      <c r="O17" s="61">
        <v>2</v>
      </c>
      <c r="P17" s="61">
        <v>2</v>
      </c>
      <c r="Q17" s="61">
        <v>2</v>
      </c>
      <c r="R17" s="61">
        <v>2</v>
      </c>
      <c r="S17" s="61">
        <v>2</v>
      </c>
      <c r="T17" s="74">
        <f t="shared" si="18"/>
        <v>2</v>
      </c>
      <c r="U17" s="74">
        <f t="shared" si="19"/>
        <v>2</v>
      </c>
      <c r="V17" s="74">
        <f t="shared" ref="V17:AC17" si="31">U17</f>
        <v>2</v>
      </c>
      <c r="W17" s="74">
        <f t="shared" si="31"/>
        <v>2</v>
      </c>
      <c r="X17" s="74">
        <f t="shared" si="31"/>
        <v>2</v>
      </c>
      <c r="Y17" s="74">
        <f t="shared" si="31"/>
        <v>2</v>
      </c>
      <c r="Z17" s="74">
        <f t="shared" si="31"/>
        <v>2</v>
      </c>
      <c r="AA17" s="74">
        <f t="shared" si="31"/>
        <v>2</v>
      </c>
      <c r="AB17" s="74">
        <f t="shared" si="31"/>
        <v>2</v>
      </c>
      <c r="AC17" s="74">
        <f t="shared" si="31"/>
        <v>2</v>
      </c>
      <c r="AD17" s="110"/>
      <c r="AE17" s="51" t="s">
        <v>343</v>
      </c>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row>
    <row r="18" spans="1:63" ht="18" hidden="1" customHeight="1" outlineLevel="2" x14ac:dyDescent="0.25">
      <c r="A18" s="1"/>
      <c r="B18" s="55" t="s">
        <v>322</v>
      </c>
      <c r="C18" s="61"/>
      <c r="D18" s="61"/>
      <c r="E18" s="61"/>
      <c r="F18" s="61"/>
      <c r="G18" s="61"/>
      <c r="H18" s="61"/>
      <c r="I18" s="61"/>
      <c r="J18" s="61"/>
      <c r="K18" s="61"/>
      <c r="L18" s="61"/>
      <c r="M18" s="61"/>
      <c r="N18" s="61"/>
      <c r="O18" s="61">
        <v>2</v>
      </c>
      <c r="P18" s="61">
        <v>0</v>
      </c>
      <c r="Q18" s="61">
        <v>0</v>
      </c>
      <c r="R18" s="61">
        <v>0</v>
      </c>
      <c r="S18" s="61">
        <v>0</v>
      </c>
      <c r="T18" s="74">
        <f t="shared" si="18"/>
        <v>0</v>
      </c>
      <c r="U18" s="74">
        <f t="shared" si="19"/>
        <v>0</v>
      </c>
      <c r="V18" s="74">
        <f t="shared" ref="V18:AC18" si="32">U18</f>
        <v>0</v>
      </c>
      <c r="W18" s="74">
        <f t="shared" si="32"/>
        <v>0</v>
      </c>
      <c r="X18" s="74">
        <f t="shared" si="32"/>
        <v>0</v>
      </c>
      <c r="Y18" s="74">
        <f t="shared" si="32"/>
        <v>0</v>
      </c>
      <c r="Z18" s="74">
        <f t="shared" si="32"/>
        <v>0</v>
      </c>
      <c r="AA18" s="74">
        <f t="shared" si="32"/>
        <v>0</v>
      </c>
      <c r="AB18" s="74">
        <f t="shared" si="32"/>
        <v>0</v>
      </c>
      <c r="AC18" s="74">
        <f t="shared" si="32"/>
        <v>0</v>
      </c>
      <c r="AD18" s="110"/>
      <c r="AE18" s="51" t="s">
        <v>343</v>
      </c>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row>
    <row r="19" spans="1:63" ht="18" hidden="1" customHeight="1" outlineLevel="2" x14ac:dyDescent="0.25">
      <c r="A19" s="1"/>
      <c r="B19" s="55" t="s">
        <v>323</v>
      </c>
      <c r="C19" s="61"/>
      <c r="D19" s="61"/>
      <c r="E19" s="61"/>
      <c r="F19" s="61"/>
      <c r="G19" s="61"/>
      <c r="H19" s="61"/>
      <c r="I19" s="61"/>
      <c r="J19" s="61"/>
      <c r="K19" s="61"/>
      <c r="L19" s="61"/>
      <c r="M19" s="61"/>
      <c r="N19" s="61"/>
      <c r="O19" s="61">
        <v>2</v>
      </c>
      <c r="P19" s="61">
        <v>2</v>
      </c>
      <c r="Q19" s="61">
        <v>2</v>
      </c>
      <c r="R19" s="61">
        <v>0</v>
      </c>
      <c r="S19" s="61">
        <v>0</v>
      </c>
      <c r="T19" s="74">
        <f t="shared" si="18"/>
        <v>0</v>
      </c>
      <c r="U19" s="74">
        <f t="shared" si="19"/>
        <v>0</v>
      </c>
      <c r="V19" s="74">
        <f t="shared" ref="V19:AC19" si="33">U19</f>
        <v>0</v>
      </c>
      <c r="W19" s="74">
        <f t="shared" si="33"/>
        <v>0</v>
      </c>
      <c r="X19" s="74">
        <f t="shared" si="33"/>
        <v>0</v>
      </c>
      <c r="Y19" s="74">
        <f t="shared" si="33"/>
        <v>0</v>
      </c>
      <c r="Z19" s="74">
        <f t="shared" si="33"/>
        <v>0</v>
      </c>
      <c r="AA19" s="74">
        <f t="shared" si="33"/>
        <v>0</v>
      </c>
      <c r="AB19" s="74">
        <f t="shared" si="33"/>
        <v>0</v>
      </c>
      <c r="AC19" s="74">
        <f t="shared" si="33"/>
        <v>0</v>
      </c>
      <c r="AD19" s="110"/>
      <c r="AE19" s="51" t="s">
        <v>343</v>
      </c>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row>
    <row r="20" spans="1:63" ht="18" hidden="1" customHeight="1" outlineLevel="2" x14ac:dyDescent="0.25">
      <c r="A20" s="1"/>
      <c r="B20" s="55" t="s">
        <v>282</v>
      </c>
      <c r="C20" s="61"/>
      <c r="D20" s="61"/>
      <c r="E20" s="61"/>
      <c r="F20" s="61"/>
      <c r="G20" s="61"/>
      <c r="H20" s="61"/>
      <c r="I20" s="61"/>
      <c r="J20" s="61"/>
      <c r="K20" s="61"/>
      <c r="L20" s="61"/>
      <c r="M20" s="61"/>
      <c r="N20" s="61"/>
      <c r="O20" s="61">
        <v>18</v>
      </c>
      <c r="P20" s="61">
        <v>21</v>
      </c>
      <c r="Q20" s="61">
        <v>24</v>
      </c>
      <c r="R20" s="61">
        <v>24</v>
      </c>
      <c r="S20" s="61">
        <v>23</v>
      </c>
      <c r="T20" s="74">
        <f>S20</f>
        <v>23</v>
      </c>
      <c r="U20" s="74">
        <f t="shared" si="19"/>
        <v>23</v>
      </c>
      <c r="V20" s="74">
        <f t="shared" ref="V20:AC20" si="34">U20</f>
        <v>23</v>
      </c>
      <c r="W20" s="74">
        <f t="shared" si="34"/>
        <v>23</v>
      </c>
      <c r="X20" s="74">
        <f t="shared" si="34"/>
        <v>23</v>
      </c>
      <c r="Y20" s="74">
        <f t="shared" si="34"/>
        <v>23</v>
      </c>
      <c r="Z20" s="74">
        <f t="shared" si="34"/>
        <v>23</v>
      </c>
      <c r="AA20" s="74">
        <f t="shared" si="34"/>
        <v>23</v>
      </c>
      <c r="AB20" s="74">
        <f t="shared" si="34"/>
        <v>23</v>
      </c>
      <c r="AC20" s="74">
        <f t="shared" si="34"/>
        <v>23</v>
      </c>
      <c r="AD20" s="110"/>
      <c r="AE20" s="51" t="s">
        <v>343</v>
      </c>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row>
    <row r="21" spans="1:63" ht="18" hidden="1" customHeight="1" outlineLevel="2" x14ac:dyDescent="0.25">
      <c r="A21" s="1"/>
      <c r="B21" s="55" t="s">
        <v>284</v>
      </c>
      <c r="C21" s="61"/>
      <c r="D21" s="61"/>
      <c r="E21" s="61"/>
      <c r="F21" s="61"/>
      <c r="G21" s="61"/>
      <c r="H21" s="61"/>
      <c r="I21" s="61"/>
      <c r="J21" s="61"/>
      <c r="K21" s="61"/>
      <c r="L21" s="61"/>
      <c r="M21" s="61"/>
      <c r="N21" s="61"/>
      <c r="O21" s="61">
        <v>0</v>
      </c>
      <c r="P21" s="61">
        <v>1</v>
      </c>
      <c r="Q21" s="61">
        <v>1</v>
      </c>
      <c r="R21" s="61">
        <v>1</v>
      </c>
      <c r="S21" s="61">
        <v>1</v>
      </c>
      <c r="T21" s="74">
        <f t="shared" si="18"/>
        <v>1</v>
      </c>
      <c r="U21" s="74">
        <f t="shared" si="19"/>
        <v>1</v>
      </c>
      <c r="V21" s="74">
        <f t="shared" ref="V21:AC21" si="35">U21</f>
        <v>1</v>
      </c>
      <c r="W21" s="74">
        <f t="shared" si="35"/>
        <v>1</v>
      </c>
      <c r="X21" s="74">
        <f t="shared" si="35"/>
        <v>1</v>
      </c>
      <c r="Y21" s="74">
        <f t="shared" si="35"/>
        <v>1</v>
      </c>
      <c r="Z21" s="74">
        <f t="shared" si="35"/>
        <v>1</v>
      </c>
      <c r="AA21" s="74">
        <f t="shared" si="35"/>
        <v>1</v>
      </c>
      <c r="AB21" s="74">
        <f t="shared" si="35"/>
        <v>1</v>
      </c>
      <c r="AC21" s="74">
        <f t="shared" si="35"/>
        <v>1</v>
      </c>
      <c r="AD21" s="110"/>
      <c r="AE21" s="51" t="s">
        <v>343</v>
      </c>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row>
    <row r="22" spans="1:63" ht="18" hidden="1" customHeight="1" outlineLevel="1" collapsed="1" x14ac:dyDescent="0.25">
      <c r="A22" s="1"/>
      <c r="B22" s="54" t="s">
        <v>326</v>
      </c>
      <c r="C22" s="61"/>
      <c r="D22" s="61"/>
      <c r="E22" s="61"/>
      <c r="F22" s="61"/>
      <c r="G22" s="61"/>
      <c r="H22" s="61"/>
      <c r="I22" s="61"/>
      <c r="J22" s="61"/>
      <c r="K22" s="61"/>
      <c r="L22" s="61"/>
      <c r="M22" s="61"/>
      <c r="N22" s="61"/>
      <c r="O22" s="61">
        <f>O12/O13</f>
        <v>6670.5372889473683</v>
      </c>
      <c r="P22" s="61">
        <f t="shared" ref="P22:T22" si="36">P12/P13</f>
        <v>7736.1772522891579</v>
      </c>
      <c r="Q22" s="61">
        <f t="shared" si="36"/>
        <v>8547.641727294118</v>
      </c>
      <c r="R22" s="61">
        <f t="shared" si="36"/>
        <v>2088.2396498701301</v>
      </c>
      <c r="S22" s="61">
        <f t="shared" si="36"/>
        <v>2498.6666666666665</v>
      </c>
      <c r="T22" s="74">
        <f t="shared" si="36"/>
        <v>5682.5866489357786</v>
      </c>
      <c r="U22" s="74">
        <f>U12/U13</f>
        <v>10204.592532572144</v>
      </c>
      <c r="V22" s="74">
        <f t="shared" ref="V22:AC22" si="37">U22*(1+V23)</f>
        <v>11758.193927516022</v>
      </c>
      <c r="W22" s="74">
        <f t="shared" si="37"/>
        <v>13414.213842545099</v>
      </c>
      <c r="X22" s="74">
        <f t="shared" si="37"/>
        <v>15150.469003107173</v>
      </c>
      <c r="Y22" s="74">
        <f t="shared" si="37"/>
        <v>16938.653426232617</v>
      </c>
      <c r="Z22" s="74">
        <f t="shared" si="37"/>
        <v>18744.697661021375</v>
      </c>
      <c r="AA22" s="74">
        <f t="shared" si="37"/>
        <v>20529.511402711571</v>
      </c>
      <c r="AB22" s="74">
        <f t="shared" si="37"/>
        <v>22250.117027120621</v>
      </c>
      <c r="AC22" s="74">
        <f t="shared" si="37"/>
        <v>23607.374165774978</v>
      </c>
      <c r="AD22" s="110">
        <f>(U22/O22)^(1/COUNTA($P$7:$R$7))-1</f>
        <v>0.15224531405687403</v>
      </c>
      <c r="AE22" s="51" t="s">
        <v>406</v>
      </c>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row>
    <row r="23" spans="1:63" ht="18" hidden="1" customHeight="1" outlineLevel="1" x14ac:dyDescent="0.25">
      <c r="A23" s="1"/>
      <c r="B23" s="77" t="s">
        <v>342</v>
      </c>
      <c r="C23" s="61"/>
      <c r="D23" s="61"/>
      <c r="E23" s="61"/>
      <c r="F23" s="61"/>
      <c r="G23" s="61"/>
      <c r="H23" s="61"/>
      <c r="I23" s="61"/>
      <c r="J23" s="61"/>
      <c r="K23" s="61"/>
      <c r="L23" s="61"/>
      <c r="M23" s="61"/>
      <c r="N23" s="61"/>
      <c r="O23" s="80">
        <v>0</v>
      </c>
      <c r="P23" s="80">
        <f>P22/O22-1</f>
        <v>0.15975324283210046</v>
      </c>
      <c r="Q23" s="80">
        <f>Q22/P22-1</f>
        <v>0.10489217717508281</v>
      </c>
      <c r="R23" s="80">
        <v>0</v>
      </c>
      <c r="S23" s="80">
        <v>0</v>
      </c>
      <c r="T23" s="148">
        <v>0</v>
      </c>
      <c r="U23" s="148">
        <f>U22/Q22-1</f>
        <v>0.1938488834864347</v>
      </c>
      <c r="V23" s="148">
        <f>AD22</f>
        <v>0.15224531405687403</v>
      </c>
      <c r="W23" s="148">
        <f>($AC$23-$V$23)/8+V23</f>
        <v>0.14083964979976477</v>
      </c>
      <c r="X23" s="148">
        <f t="shared" ref="X23:AB23" si="38">($AC$23-$V$23)/8+W23</f>
        <v>0.12943398554265551</v>
      </c>
      <c r="Y23" s="148">
        <f t="shared" si="38"/>
        <v>0.11802832128554624</v>
      </c>
      <c r="Z23" s="148">
        <f t="shared" si="38"/>
        <v>0.10662265702843698</v>
      </c>
      <c r="AA23" s="148">
        <f t="shared" si="38"/>
        <v>9.5216992771327724E-2</v>
      </c>
      <c r="AB23" s="148">
        <f t="shared" si="38"/>
        <v>8.3811328514218464E-2</v>
      </c>
      <c r="AC23" s="148">
        <f>'Painel de Índices'!$Z$45</f>
        <v>6.0999999999999999E-2</v>
      </c>
      <c r="AD23" s="110"/>
      <c r="AE23" s="5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c r="BK23" s="1"/>
    </row>
    <row r="24" spans="1:63" ht="18" hidden="1" customHeight="1" outlineLevel="1" x14ac:dyDescent="0.25">
      <c r="A24" s="1"/>
      <c r="B24" s="146" t="s">
        <v>311</v>
      </c>
      <c r="C24" s="90"/>
      <c r="D24" s="90"/>
      <c r="E24" s="90"/>
      <c r="F24" s="90"/>
      <c r="G24" s="90"/>
      <c r="H24" s="90"/>
      <c r="I24" s="90"/>
      <c r="J24" s="90"/>
      <c r="K24" s="90"/>
      <c r="L24" s="90"/>
      <c r="M24" s="90"/>
      <c r="N24" s="90"/>
      <c r="O24" s="90">
        <v>786858.67337999993</v>
      </c>
      <c r="P24" s="90">
        <v>871391.97811000003</v>
      </c>
      <c r="Q24" s="90">
        <v>980685.68671999988</v>
      </c>
      <c r="R24" s="90">
        <v>238461.40299</v>
      </c>
      <c r="S24" s="90">
        <v>245300</v>
      </c>
      <c r="T24" s="141">
        <f>(R24+S24)*Sazonalidade!P36</f>
        <v>576894.02441664843</v>
      </c>
      <c r="U24" s="141">
        <f>T24+R24+S24</f>
        <v>1060655.4274066484</v>
      </c>
      <c r="V24" s="141">
        <f t="shared" ref="V24:AC24" si="39">U24*(1+V25)</f>
        <v>1171656.1578086906</v>
      </c>
      <c r="W24" s="141">
        <f t="shared" si="39"/>
        <v>1287880.1607728139</v>
      </c>
      <c r="X24" s="141">
        <f t="shared" si="39"/>
        <v>1408605.6867867936</v>
      </c>
      <c r="Y24" s="141">
        <f t="shared" si="39"/>
        <v>1532961.7638125864</v>
      </c>
      <c r="Z24" s="141">
        <f t="shared" si="39"/>
        <v>1659931.5909611781</v>
      </c>
      <c r="AA24" s="141">
        <f t="shared" si="39"/>
        <v>1788360.2659887068</v>
      </c>
      <c r="AB24" s="141">
        <f t="shared" si="39"/>
        <v>1916967.0471650267</v>
      </c>
      <c r="AC24" s="141">
        <f t="shared" si="39"/>
        <v>2033902.0370420932</v>
      </c>
      <c r="AD24" s="110">
        <f>(U24/O24)^(1/COUNTA($P$7:$R$7))-1</f>
        <v>0.10465296036191885</v>
      </c>
      <c r="AE24" s="51" t="s">
        <v>406</v>
      </c>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row>
    <row r="25" spans="1:63" ht="18" hidden="1" customHeight="1" outlineLevel="1" x14ac:dyDescent="0.25">
      <c r="A25" s="1"/>
      <c r="B25" s="77" t="s">
        <v>342</v>
      </c>
      <c r="C25" s="61"/>
      <c r="D25" s="61"/>
      <c r="E25" s="61"/>
      <c r="F25" s="61"/>
      <c r="G25" s="61"/>
      <c r="H25" s="61"/>
      <c r="I25" s="61"/>
      <c r="J25" s="61"/>
      <c r="K25" s="61"/>
      <c r="L25" s="61"/>
      <c r="M25" s="61"/>
      <c r="N25" s="61"/>
      <c r="O25" s="80">
        <v>0</v>
      </c>
      <c r="P25" s="80">
        <f>P24/O24-1</f>
        <v>0.10743136930407338</v>
      </c>
      <c r="Q25" s="80">
        <f>Q24/P24-1</f>
        <v>0.12542427673829604</v>
      </c>
      <c r="R25" s="80">
        <v>0</v>
      </c>
      <c r="S25" s="80"/>
      <c r="T25" s="148">
        <v>0</v>
      </c>
      <c r="U25" s="148">
        <f>U24/Q24-1</f>
        <v>8.1544720973868001E-2</v>
      </c>
      <c r="V25" s="148">
        <f>AD24</f>
        <v>0.10465296036191885</v>
      </c>
      <c r="W25" s="148">
        <f>($AC25-$V25)/8+V25</f>
        <v>9.9196340316678983E-2</v>
      </c>
      <c r="X25" s="148">
        <f t="shared" ref="X25:AB25" si="40">($AC25-$V25)/8+W25</f>
        <v>9.373972027143912E-2</v>
      </c>
      <c r="Y25" s="148">
        <f t="shared" si="40"/>
        <v>8.8283100226199257E-2</v>
      </c>
      <c r="Z25" s="148">
        <f t="shared" si="40"/>
        <v>8.2826480180959394E-2</v>
      </c>
      <c r="AA25" s="148">
        <f t="shared" si="40"/>
        <v>7.7369860135719531E-2</v>
      </c>
      <c r="AB25" s="148">
        <f t="shared" si="40"/>
        <v>7.1913240090479669E-2</v>
      </c>
      <c r="AC25" s="148">
        <f>'Painel de Índices'!$Z$45</f>
        <v>6.0999999999999999E-2</v>
      </c>
      <c r="AD25" s="110"/>
      <c r="AE25" s="5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row>
    <row r="26" spans="1:63" ht="18" hidden="1" customHeight="1" outlineLevel="1" x14ac:dyDescent="0.25">
      <c r="A26" s="1"/>
      <c r="B26" s="146" t="s">
        <v>313</v>
      </c>
      <c r="C26" s="90"/>
      <c r="D26" s="90"/>
      <c r="E26" s="90"/>
      <c r="F26" s="90"/>
      <c r="G26" s="90"/>
      <c r="H26" s="90"/>
      <c r="I26" s="90"/>
      <c r="J26" s="90"/>
      <c r="K26" s="90"/>
      <c r="L26" s="90"/>
      <c r="M26" s="90"/>
      <c r="N26" s="90"/>
      <c r="O26" s="90">
        <v>1068910.5457000001</v>
      </c>
      <c r="P26" s="90">
        <v>1193059.5516900001</v>
      </c>
      <c r="Q26" s="90">
        <v>1199828.8114699996</v>
      </c>
      <c r="R26" s="90">
        <v>260726.02379000001</v>
      </c>
      <c r="S26" s="90">
        <v>267400</v>
      </c>
      <c r="T26" s="141">
        <f>(R26+S26)*Sazonalidade!P37</f>
        <v>635422.37289879785</v>
      </c>
      <c r="U26" s="141">
        <f>T26+R26+S26</f>
        <v>1163548.396688798</v>
      </c>
      <c r="V26" s="141">
        <f t="shared" ref="V26:AC26" si="41">V27*V34</f>
        <v>1198972.8658455589</v>
      </c>
      <c r="W26" s="141">
        <f t="shared" si="41"/>
        <v>1235422.0831156545</v>
      </c>
      <c r="X26" s="141">
        <f t="shared" si="41"/>
        <v>1272924.7046614394</v>
      </c>
      <c r="Y26" s="141">
        <f t="shared" si="41"/>
        <v>1311510.1689000269</v>
      </c>
      <c r="Z26" s="141">
        <f t="shared" si="41"/>
        <v>1351208.7174755007</v>
      </c>
      <c r="AA26" s="141">
        <f t="shared" si="41"/>
        <v>1392051.4167855673</v>
      </c>
      <c r="AB26" s="141">
        <f t="shared" si="41"/>
        <v>1434070.1800771498</v>
      </c>
      <c r="AC26" s="141">
        <f t="shared" si="41"/>
        <v>1477297.7901257868</v>
      </c>
      <c r="AD26" s="110"/>
      <c r="AE26" s="5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row>
    <row r="27" spans="1:63" ht="18" hidden="1" customHeight="1" outlineLevel="1" x14ac:dyDescent="0.25">
      <c r="A27" s="1"/>
      <c r="B27" s="54" t="s">
        <v>334</v>
      </c>
      <c r="C27" s="61"/>
      <c r="D27" s="61"/>
      <c r="E27" s="61"/>
      <c r="F27" s="61"/>
      <c r="G27" s="61"/>
      <c r="H27" s="61"/>
      <c r="I27" s="61"/>
      <c r="J27" s="61"/>
      <c r="K27" s="61"/>
      <c r="L27" s="61"/>
      <c r="M27" s="61"/>
      <c r="N27" s="61"/>
      <c r="O27" s="61">
        <f>O28+O29+O30+O31+O32+O33</f>
        <v>742</v>
      </c>
      <c r="P27" s="61">
        <f t="shared" ref="P27:T27" si="42">P28+P29+P30+P31+P32+P33</f>
        <v>755</v>
      </c>
      <c r="Q27" s="61">
        <f t="shared" si="42"/>
        <v>768</v>
      </c>
      <c r="R27" s="61">
        <f t="shared" si="42"/>
        <v>758</v>
      </c>
      <c r="S27" s="61">
        <f t="shared" si="42"/>
        <v>751</v>
      </c>
      <c r="T27" s="74">
        <f t="shared" si="42"/>
        <v>753</v>
      </c>
      <c r="U27" s="74">
        <f t="shared" ref="U27" si="43">U28+U29+U30+U31+U32+U33</f>
        <v>753</v>
      </c>
      <c r="V27" s="74">
        <f t="shared" ref="V27" si="44">V28+V29+V30+V31+V32+V33</f>
        <v>758</v>
      </c>
      <c r="W27" s="74">
        <f t="shared" ref="W27" si="45">W28+W29+W30+W31+W32+W33</f>
        <v>763</v>
      </c>
      <c r="X27" s="74">
        <f t="shared" ref="X27" si="46">X28+X29+X30+X31+X32+X33</f>
        <v>768</v>
      </c>
      <c r="Y27" s="74">
        <f t="shared" ref="Y27" si="47">Y28+Y29+Y30+Y31+Y32+Y33</f>
        <v>773</v>
      </c>
      <c r="Z27" s="74">
        <f t="shared" ref="Z27" si="48">Z28+Z29+Z30+Z31+Z32+Z33</f>
        <v>778</v>
      </c>
      <c r="AA27" s="74">
        <f t="shared" ref="AA27" si="49">AA28+AA29+AA30+AA31+AA32+AA33</f>
        <v>783</v>
      </c>
      <c r="AB27" s="74">
        <f t="shared" ref="AB27" si="50">AB28+AB29+AB30+AB31+AB32+AB33</f>
        <v>788</v>
      </c>
      <c r="AC27" s="74">
        <f t="shared" ref="AC27" si="51">AC28+AC29+AC30+AC31+AC32+AC33</f>
        <v>793</v>
      </c>
      <c r="AD27" s="110"/>
      <c r="AE27" s="51" t="s">
        <v>405</v>
      </c>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row>
    <row r="28" spans="1:63" ht="18" hidden="1" customHeight="1" outlineLevel="2" x14ac:dyDescent="0.25">
      <c r="A28" s="1"/>
      <c r="B28" s="55" t="s">
        <v>318</v>
      </c>
      <c r="C28" s="61"/>
      <c r="D28" s="61"/>
      <c r="E28" s="61"/>
      <c r="F28" s="61"/>
      <c r="G28" s="61"/>
      <c r="H28" s="61"/>
      <c r="I28" s="61"/>
      <c r="J28" s="61"/>
      <c r="K28" s="61"/>
      <c r="L28" s="61"/>
      <c r="M28" s="61"/>
      <c r="N28" s="61"/>
      <c r="O28" s="61">
        <v>439</v>
      </c>
      <c r="P28" s="61">
        <v>421</v>
      </c>
      <c r="Q28" s="61">
        <v>421</v>
      </c>
      <c r="R28" s="61">
        <v>415</v>
      </c>
      <c r="S28" s="61">
        <v>412</v>
      </c>
      <c r="T28" s="74">
        <f>S28</f>
        <v>412</v>
      </c>
      <c r="U28" s="74">
        <f>T28</f>
        <v>412</v>
      </c>
      <c r="V28" s="74">
        <f t="shared" ref="V28:AC28" si="52">U28</f>
        <v>412</v>
      </c>
      <c r="W28" s="74">
        <f t="shared" si="52"/>
        <v>412</v>
      </c>
      <c r="X28" s="74">
        <f t="shared" si="52"/>
        <v>412</v>
      </c>
      <c r="Y28" s="74">
        <f t="shared" si="52"/>
        <v>412</v>
      </c>
      <c r="Z28" s="74">
        <f t="shared" si="52"/>
        <v>412</v>
      </c>
      <c r="AA28" s="74">
        <f t="shared" si="52"/>
        <v>412</v>
      </c>
      <c r="AB28" s="74">
        <f t="shared" si="52"/>
        <v>412</v>
      </c>
      <c r="AC28" s="74">
        <f t="shared" si="52"/>
        <v>412</v>
      </c>
      <c r="AD28" s="110"/>
      <c r="AE28" s="51" t="s">
        <v>344</v>
      </c>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row>
    <row r="29" spans="1:63" ht="18" hidden="1" customHeight="1" outlineLevel="2" x14ac:dyDescent="0.25">
      <c r="A29" s="1"/>
      <c r="B29" s="55" t="s">
        <v>319</v>
      </c>
      <c r="C29" s="61"/>
      <c r="D29" s="61"/>
      <c r="E29" s="61"/>
      <c r="F29" s="61"/>
      <c r="G29" s="61"/>
      <c r="H29" s="61"/>
      <c r="I29" s="61"/>
      <c r="J29" s="61"/>
      <c r="K29" s="61"/>
      <c r="L29" s="61"/>
      <c r="M29" s="61"/>
      <c r="N29" s="61"/>
      <c r="O29" s="61">
        <v>62</v>
      </c>
      <c r="P29" s="61">
        <v>61</v>
      </c>
      <c r="Q29" s="61">
        <v>54</v>
      </c>
      <c r="R29" s="61">
        <v>54</v>
      </c>
      <c r="S29" s="61">
        <v>52</v>
      </c>
      <c r="T29" s="74">
        <f t="shared" ref="T29:T33" si="53">R29</f>
        <v>54</v>
      </c>
      <c r="U29" s="74">
        <f>Q29</f>
        <v>54</v>
      </c>
      <c r="V29" s="74">
        <f t="shared" ref="V29:AC30" si="54">U29</f>
        <v>54</v>
      </c>
      <c r="W29" s="74">
        <f t="shared" si="54"/>
        <v>54</v>
      </c>
      <c r="X29" s="74">
        <f t="shared" si="54"/>
        <v>54</v>
      </c>
      <c r="Y29" s="74">
        <f t="shared" si="54"/>
        <v>54</v>
      </c>
      <c r="Z29" s="74">
        <f t="shared" si="54"/>
        <v>54</v>
      </c>
      <c r="AA29" s="74">
        <f t="shared" si="54"/>
        <v>54</v>
      </c>
      <c r="AB29" s="74">
        <f t="shared" si="54"/>
        <v>54</v>
      </c>
      <c r="AC29" s="74">
        <f t="shared" si="54"/>
        <v>54</v>
      </c>
      <c r="AD29" s="110"/>
      <c r="AE29" s="51" t="s">
        <v>344</v>
      </c>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row>
    <row r="30" spans="1:63" ht="18" hidden="1" customHeight="1" outlineLevel="2" x14ac:dyDescent="0.25">
      <c r="A30" s="1"/>
      <c r="B30" s="55" t="s">
        <v>321</v>
      </c>
      <c r="C30" s="61"/>
      <c r="D30" s="61"/>
      <c r="E30" s="61"/>
      <c r="F30" s="61"/>
      <c r="G30" s="61"/>
      <c r="H30" s="61"/>
      <c r="I30" s="61"/>
      <c r="J30" s="61"/>
      <c r="K30" s="61"/>
      <c r="L30" s="61"/>
      <c r="M30" s="61"/>
      <c r="N30" s="61"/>
      <c r="O30" s="61">
        <v>226</v>
      </c>
      <c r="P30" s="61">
        <v>252</v>
      </c>
      <c r="Q30" s="61">
        <v>266</v>
      </c>
      <c r="R30" s="61">
        <v>262</v>
      </c>
      <c r="S30" s="61">
        <v>260</v>
      </c>
      <c r="T30" s="74">
        <f>S30</f>
        <v>260</v>
      </c>
      <c r="U30" s="74">
        <f>T30</f>
        <v>260</v>
      </c>
      <c r="V30" s="74">
        <f t="shared" si="54"/>
        <v>260</v>
      </c>
      <c r="W30" s="74">
        <f t="shared" si="54"/>
        <v>260</v>
      </c>
      <c r="X30" s="74">
        <f t="shared" si="54"/>
        <v>260</v>
      </c>
      <c r="Y30" s="74">
        <f t="shared" si="54"/>
        <v>260</v>
      </c>
      <c r="Z30" s="74">
        <f t="shared" si="54"/>
        <v>260</v>
      </c>
      <c r="AA30" s="74">
        <f t="shared" si="54"/>
        <v>260</v>
      </c>
      <c r="AB30" s="74">
        <f t="shared" si="54"/>
        <v>260</v>
      </c>
      <c r="AC30" s="74">
        <f t="shared" si="54"/>
        <v>260</v>
      </c>
      <c r="AD30" s="110"/>
      <c r="AE30" s="51" t="s">
        <v>344</v>
      </c>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row>
    <row r="31" spans="1:63" ht="18" hidden="1" customHeight="1" outlineLevel="2" x14ac:dyDescent="0.25">
      <c r="A31" s="1"/>
      <c r="B31" s="55" t="s">
        <v>323</v>
      </c>
      <c r="C31" s="61"/>
      <c r="D31" s="61"/>
      <c r="E31" s="61"/>
      <c r="F31" s="61"/>
      <c r="G31" s="61"/>
      <c r="H31" s="61"/>
      <c r="I31" s="61"/>
      <c r="J31" s="61"/>
      <c r="K31" s="61"/>
      <c r="L31" s="61"/>
      <c r="M31" s="61"/>
      <c r="N31" s="61"/>
      <c r="O31" s="61">
        <v>0</v>
      </c>
      <c r="P31" s="61">
        <v>1</v>
      </c>
      <c r="Q31" s="61">
        <v>0</v>
      </c>
      <c r="R31" s="61">
        <v>0</v>
      </c>
      <c r="S31" s="61">
        <v>0</v>
      </c>
      <c r="T31" s="74">
        <f t="shared" si="53"/>
        <v>0</v>
      </c>
      <c r="U31" s="74">
        <v>0</v>
      </c>
      <c r="V31" s="74">
        <v>0</v>
      </c>
      <c r="W31" s="74">
        <v>0</v>
      </c>
      <c r="X31" s="74">
        <v>0</v>
      </c>
      <c r="Y31" s="74">
        <v>0</v>
      </c>
      <c r="Z31" s="74">
        <v>0</v>
      </c>
      <c r="AA31" s="74">
        <v>0</v>
      </c>
      <c r="AB31" s="74">
        <v>0</v>
      </c>
      <c r="AC31" s="74">
        <v>0</v>
      </c>
      <c r="AD31" s="110"/>
      <c r="AE31" s="51" t="s">
        <v>345</v>
      </c>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row>
    <row r="32" spans="1:63" ht="18" hidden="1" customHeight="1" outlineLevel="2" x14ac:dyDescent="0.25">
      <c r="A32" s="1"/>
      <c r="B32" s="55" t="s">
        <v>282</v>
      </c>
      <c r="C32" s="61"/>
      <c r="D32" s="61"/>
      <c r="E32" s="61"/>
      <c r="F32" s="61"/>
      <c r="G32" s="61"/>
      <c r="H32" s="61"/>
      <c r="I32" s="61"/>
      <c r="J32" s="61"/>
      <c r="K32" s="61"/>
      <c r="L32" s="61"/>
      <c r="M32" s="61"/>
      <c r="N32" s="61"/>
      <c r="O32" s="61">
        <v>14</v>
      </c>
      <c r="P32" s="61">
        <v>20</v>
      </c>
      <c r="Q32" s="61">
        <v>27</v>
      </c>
      <c r="R32" s="61">
        <v>27</v>
      </c>
      <c r="S32" s="61">
        <v>27</v>
      </c>
      <c r="T32" s="74">
        <f t="shared" si="53"/>
        <v>27</v>
      </c>
      <c r="U32" s="74">
        <f>T32</f>
        <v>27</v>
      </c>
      <c r="V32" s="74">
        <f t="shared" ref="V32:AC32" si="55">U32+5</f>
        <v>32</v>
      </c>
      <c r="W32" s="74">
        <f t="shared" si="55"/>
        <v>37</v>
      </c>
      <c r="X32" s="74">
        <f t="shared" si="55"/>
        <v>42</v>
      </c>
      <c r="Y32" s="74">
        <f t="shared" si="55"/>
        <v>47</v>
      </c>
      <c r="Z32" s="74">
        <f t="shared" si="55"/>
        <v>52</v>
      </c>
      <c r="AA32" s="74">
        <f t="shared" si="55"/>
        <v>57</v>
      </c>
      <c r="AB32" s="74">
        <f t="shared" si="55"/>
        <v>62</v>
      </c>
      <c r="AC32" s="74">
        <f t="shared" si="55"/>
        <v>67</v>
      </c>
      <c r="AD32" s="110"/>
      <c r="AE32" s="51" t="s">
        <v>346</v>
      </c>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row>
    <row r="33" spans="1:63" ht="18" hidden="1" customHeight="1" outlineLevel="2" x14ac:dyDescent="0.25">
      <c r="A33" s="1"/>
      <c r="B33" s="55" t="s">
        <v>324</v>
      </c>
      <c r="C33" s="61"/>
      <c r="D33" s="61"/>
      <c r="E33" s="61"/>
      <c r="F33" s="61"/>
      <c r="G33" s="61"/>
      <c r="H33" s="61"/>
      <c r="I33" s="61"/>
      <c r="J33" s="61"/>
      <c r="K33" s="61"/>
      <c r="L33" s="61"/>
      <c r="M33" s="61"/>
      <c r="N33" s="61"/>
      <c r="O33" s="61">
        <v>1</v>
      </c>
      <c r="P33" s="61">
        <v>0</v>
      </c>
      <c r="Q33" s="61">
        <v>0</v>
      </c>
      <c r="R33" s="61">
        <v>0</v>
      </c>
      <c r="S33" s="61">
        <v>0</v>
      </c>
      <c r="T33" s="74">
        <f t="shared" si="53"/>
        <v>0</v>
      </c>
      <c r="U33" s="74">
        <v>0</v>
      </c>
      <c r="V33" s="74">
        <v>0</v>
      </c>
      <c r="W33" s="74">
        <v>0</v>
      </c>
      <c r="X33" s="74">
        <v>0</v>
      </c>
      <c r="Y33" s="74">
        <v>0</v>
      </c>
      <c r="Z33" s="74">
        <v>0</v>
      </c>
      <c r="AA33" s="74">
        <v>0</v>
      </c>
      <c r="AB33" s="74">
        <v>0</v>
      </c>
      <c r="AC33" s="74">
        <v>0</v>
      </c>
      <c r="AD33" s="110"/>
      <c r="AE33" s="51" t="s">
        <v>345</v>
      </c>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row>
    <row r="34" spans="1:63" ht="18" hidden="1" customHeight="1" outlineLevel="1" collapsed="1" x14ac:dyDescent="0.25">
      <c r="A34" s="1"/>
      <c r="B34" s="54" t="s">
        <v>338</v>
      </c>
      <c r="C34" s="61"/>
      <c r="D34" s="61"/>
      <c r="E34" s="61"/>
      <c r="F34" s="61"/>
      <c r="G34" s="61"/>
      <c r="H34" s="61"/>
      <c r="I34" s="61"/>
      <c r="J34" s="61"/>
      <c r="K34" s="61"/>
      <c r="L34" s="61"/>
      <c r="M34" s="61"/>
      <c r="N34" s="61"/>
      <c r="O34" s="61">
        <f>O26/O27</f>
        <v>1440.5802502695419</v>
      </c>
      <c r="P34" s="61">
        <f t="shared" ref="P34:U34" si="56">P26/P27</f>
        <v>1580.2113267417219</v>
      </c>
      <c r="Q34" s="61">
        <f t="shared" si="56"/>
        <v>1562.2770982682287</v>
      </c>
      <c r="R34" s="61">
        <f t="shared" si="56"/>
        <v>343.96573059366756</v>
      </c>
      <c r="S34" s="61">
        <f t="shared" si="56"/>
        <v>356.05858854860185</v>
      </c>
      <c r="T34" s="74">
        <f t="shared" si="56"/>
        <v>843.85441288020968</v>
      </c>
      <c r="U34" s="74">
        <f t="shared" si="56"/>
        <v>1545.216994274632</v>
      </c>
      <c r="V34" s="74">
        <f>U34*(1+$AD$34)</f>
        <v>1581.7583982131384</v>
      </c>
      <c r="W34" s="74">
        <f t="shared" ref="W34:AC34" si="57">V34*(1+$AD$34)</f>
        <v>1619.1639359313951</v>
      </c>
      <c r="X34" s="74">
        <f t="shared" si="57"/>
        <v>1657.4540425279158</v>
      </c>
      <c r="Y34" s="74">
        <f t="shared" si="57"/>
        <v>1696.6496363519107</v>
      </c>
      <c r="Z34" s="74">
        <f t="shared" si="57"/>
        <v>1736.7721304312347</v>
      </c>
      <c r="AA34" s="74">
        <f t="shared" si="57"/>
        <v>1777.843444170584</v>
      </c>
      <c r="AB34" s="74">
        <f t="shared" si="57"/>
        <v>1819.8860153263322</v>
      </c>
      <c r="AC34" s="74">
        <f t="shared" si="57"/>
        <v>1862.9228122645484</v>
      </c>
      <c r="AD34" s="110">
        <f>(U34/O34)^(1/COUNTA($P$7:$R$7))-1</f>
        <v>2.3648072778063023E-2</v>
      </c>
      <c r="AE34" s="51" t="s">
        <v>388</v>
      </c>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row>
    <row r="35" spans="1:63" ht="18" hidden="1" customHeight="1" outlineLevel="1" x14ac:dyDescent="0.25">
      <c r="A35" s="1"/>
      <c r="B35" s="146" t="s">
        <v>317</v>
      </c>
      <c r="C35" s="90"/>
      <c r="D35" s="90"/>
      <c r="E35" s="90"/>
      <c r="F35" s="90"/>
      <c r="G35" s="90"/>
      <c r="H35" s="90"/>
      <c r="I35" s="90"/>
      <c r="J35" s="90"/>
      <c r="K35" s="90"/>
      <c r="L35" s="90"/>
      <c r="M35" s="90"/>
      <c r="N35" s="90"/>
      <c r="O35" s="90">
        <v>924217.30790000013</v>
      </c>
      <c r="P35" s="90">
        <v>1135653.39087</v>
      </c>
      <c r="Q35" s="90">
        <v>1150015.7032300001</v>
      </c>
      <c r="R35" s="90">
        <v>255060.44887000002</v>
      </c>
      <c r="S35" s="90">
        <v>288600</v>
      </c>
      <c r="T35" s="141">
        <f>(R35+S35)*Sazonalidade!P38</f>
        <v>692789.8555778499</v>
      </c>
      <c r="U35" s="141">
        <f>T35+R35+S35</f>
        <v>1236450.30444785</v>
      </c>
      <c r="V35" s="141">
        <f t="shared" ref="V35" si="58">U35*(1+V36)</f>
        <v>1362419.5137370946</v>
      </c>
      <c r="W35" s="141">
        <f t="shared" ref="W35" si="59">V35*(1+W36)</f>
        <v>1493265.955418414</v>
      </c>
      <c r="X35" s="141">
        <f t="shared" ref="X35" si="60">W35*(1+X36)</f>
        <v>1627958.2446311752</v>
      </c>
      <c r="Y35" s="141">
        <f t="shared" ref="Y35" si="61">X35*(1+Y36)</f>
        <v>1765292.5405299801</v>
      </c>
      <c r="Z35" s="141">
        <f t="shared" ref="Z35" si="62">Y35*(1+Z36)</f>
        <v>1903903.0980461263</v>
      </c>
      <c r="AA35" s="141">
        <f t="shared" ref="AA35" si="63">Z35*(1+AA36)</f>
        <v>2042278.6222303526</v>
      </c>
      <c r="AB35" s="141">
        <f t="shared" ref="AB35" si="64">AA35*(1+AB36)</f>
        <v>2178784.4432899947</v>
      </c>
      <c r="AC35" s="141">
        <f t="shared" ref="AC35" si="65">AB35*(1+AC36)</f>
        <v>2311690.2943306845</v>
      </c>
      <c r="AD35" s="110">
        <f>(U35/O35)^(1/COUNTA($P$7:$R$7))-1</f>
        <v>0.10187971876920487</v>
      </c>
      <c r="AE35" s="5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row>
    <row r="36" spans="1:63" ht="18" hidden="1" customHeight="1" outlineLevel="1" x14ac:dyDescent="0.25">
      <c r="A36" s="1"/>
      <c r="B36" s="77" t="s">
        <v>342</v>
      </c>
      <c r="C36" s="90"/>
      <c r="D36" s="90"/>
      <c r="E36" s="90"/>
      <c r="F36" s="90"/>
      <c r="G36" s="90"/>
      <c r="H36" s="90"/>
      <c r="I36" s="90"/>
      <c r="J36" s="90"/>
      <c r="K36" s="90"/>
      <c r="L36" s="90"/>
      <c r="M36" s="90"/>
      <c r="N36" s="90"/>
      <c r="O36" s="80">
        <v>0</v>
      </c>
      <c r="P36" s="80">
        <f>P35/O35-1</f>
        <v>0.22877312636616098</v>
      </c>
      <c r="Q36" s="80">
        <f>Q35/P35-1</f>
        <v>1.2646739291640285E-2</v>
      </c>
      <c r="R36" s="80">
        <v>0</v>
      </c>
      <c r="S36" s="80">
        <v>0</v>
      </c>
      <c r="T36" s="148">
        <v>0</v>
      </c>
      <c r="U36" s="148">
        <f>U35/Q35-1</f>
        <v>7.5159496496512768E-2</v>
      </c>
      <c r="V36" s="148">
        <f>AD35</f>
        <v>0.10187971876920487</v>
      </c>
      <c r="W36" s="148">
        <f>($AC$36-$V$36)/7+V36</f>
        <v>9.6039758945032749E-2</v>
      </c>
      <c r="X36" s="148">
        <f t="shared" ref="X36:AB36" si="66">($AC$36-$V$36)/7+W36</f>
        <v>9.0199799120860624E-2</v>
      </c>
      <c r="Y36" s="148">
        <f t="shared" si="66"/>
        <v>8.4359839296688499E-2</v>
      </c>
      <c r="Z36" s="148">
        <f t="shared" si="66"/>
        <v>7.8519879472516374E-2</v>
      </c>
      <c r="AA36" s="148">
        <f t="shared" si="66"/>
        <v>7.2679919648344249E-2</v>
      </c>
      <c r="AB36" s="148">
        <f t="shared" si="66"/>
        <v>6.6839959824172124E-2</v>
      </c>
      <c r="AC36" s="148">
        <f>'Painel de Índices'!$Z$45</f>
        <v>6.0999999999999999E-2</v>
      </c>
      <c r="AD36" s="110"/>
      <c r="AE36" s="5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row>
    <row r="37" spans="1:63" ht="18" hidden="1" customHeight="1" outlineLevel="1" x14ac:dyDescent="0.25">
      <c r="A37" s="1"/>
      <c r="B37" s="146" t="s">
        <v>314</v>
      </c>
      <c r="C37" s="90"/>
      <c r="D37" s="90"/>
      <c r="E37" s="90"/>
      <c r="F37" s="90"/>
      <c r="G37" s="90"/>
      <c r="H37" s="90"/>
      <c r="I37" s="90"/>
      <c r="J37" s="90"/>
      <c r="K37" s="90"/>
      <c r="L37" s="90"/>
      <c r="M37" s="90"/>
      <c r="N37" s="90"/>
      <c r="O37" s="90">
        <v>533751.158989046</v>
      </c>
      <c r="P37" s="90">
        <v>429599.33800878807</v>
      </c>
      <c r="Q37" s="90">
        <v>426643.00665695162</v>
      </c>
      <c r="R37" s="90">
        <v>111470.00133986174</v>
      </c>
      <c r="S37" s="90">
        <v>99500</v>
      </c>
      <c r="T37" s="141">
        <f>(R37+S37)*Sazonalidade!P39</f>
        <v>246013.71869649689</v>
      </c>
      <c r="U37" s="141">
        <f>T37+R37+S37</f>
        <v>456983.72003635863</v>
      </c>
      <c r="V37" s="141">
        <f t="shared" ref="V37:AC37" si="67">U37</f>
        <v>456983.72003635863</v>
      </c>
      <c r="W37" s="141">
        <f t="shared" si="67"/>
        <v>456983.72003635863</v>
      </c>
      <c r="X37" s="141">
        <f t="shared" si="67"/>
        <v>456983.72003635863</v>
      </c>
      <c r="Y37" s="141">
        <f t="shared" si="67"/>
        <v>456983.72003635863</v>
      </c>
      <c r="Z37" s="141">
        <f t="shared" si="67"/>
        <v>456983.72003635863</v>
      </c>
      <c r="AA37" s="141">
        <f t="shared" si="67"/>
        <v>456983.72003635863</v>
      </c>
      <c r="AB37" s="141">
        <f t="shared" si="67"/>
        <v>456983.72003635863</v>
      </c>
      <c r="AC37" s="141">
        <f t="shared" si="67"/>
        <v>456983.72003635863</v>
      </c>
      <c r="AD37" s="110">
        <f>(Q37/O37)^(1/COUNTA($P$7:$Q$7))-1</f>
        <v>-0.10594775077589647</v>
      </c>
      <c r="AE37" s="51" t="s">
        <v>349</v>
      </c>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row>
    <row r="38" spans="1:63" ht="18" hidden="1" customHeight="1" outlineLevel="1" x14ac:dyDescent="0.25">
      <c r="A38" s="1"/>
      <c r="B38" s="146" t="s">
        <v>25</v>
      </c>
      <c r="C38" s="90"/>
      <c r="D38" s="90"/>
      <c r="E38" s="90"/>
      <c r="F38" s="90"/>
      <c r="G38" s="90"/>
      <c r="H38" s="90"/>
      <c r="I38" s="90"/>
      <c r="J38" s="90"/>
      <c r="K38" s="90"/>
      <c r="L38" s="90"/>
      <c r="M38" s="90"/>
      <c r="N38" s="90"/>
      <c r="O38" s="90">
        <v>18079.124144839581</v>
      </c>
      <c r="P38" s="90">
        <v>43362.097796069997</v>
      </c>
      <c r="Q38" s="90">
        <v>52448.576154362992</v>
      </c>
      <c r="R38" s="90">
        <v>11654.181658760001</v>
      </c>
      <c r="S38" s="90">
        <v>15100</v>
      </c>
      <c r="T38" s="141">
        <f>U38-R38-S38</f>
        <v>28374.516737090933</v>
      </c>
      <c r="U38" s="141">
        <f>Q38*(1+'Painel de Índices'!R$45)</f>
        <v>55128.698395850937</v>
      </c>
      <c r="V38" s="141">
        <f>U38*(1+'Painel de Índices'!S45)</f>
        <v>57471.6680776746</v>
      </c>
      <c r="W38" s="141">
        <f>V38*(1+'Painel de Índices'!T45)</f>
        <v>60190.077977748602</v>
      </c>
      <c r="X38" s="141">
        <f>W38*(1+'Painel de Índices'!U45)</f>
        <v>63229.676915624907</v>
      </c>
      <c r="Y38" s="141">
        <f>X38*(1+'Painel de Índices'!V45)</f>
        <v>66612.464630610848</v>
      </c>
      <c r="Z38" s="141">
        <f>Y38*(1+'Painel de Índices'!W45)</f>
        <v>70349.423896388122</v>
      </c>
      <c r="AA38" s="141">
        <f>Z38*(1+'Painel de Índices'!X45)</f>
        <v>74450.795309547553</v>
      </c>
      <c r="AB38" s="141">
        <f>AA38*(1+'Painel de Índices'!Y45)</f>
        <v>78910.397948589452</v>
      </c>
      <c r="AC38" s="141">
        <f>AB38*(1+'Painel de Índices'!Z$45)</f>
        <v>83723.932223453405</v>
      </c>
      <c r="AD38" s="110">
        <f>(Q38/O38)^(1/COUNTA($P$7:$Q$7))-1</f>
        <v>0.70324905974922403</v>
      </c>
      <c r="AE38" s="51" t="s">
        <v>348</v>
      </c>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row>
    <row r="39" spans="1:63" ht="18" hidden="1" customHeight="1" outlineLevel="1" thickBot="1" x14ac:dyDescent="0.3">
      <c r="A39" s="1"/>
      <c r="B39" s="146" t="s">
        <v>315</v>
      </c>
      <c r="C39" s="90"/>
      <c r="D39" s="90"/>
      <c r="E39" s="90"/>
      <c r="F39" s="90"/>
      <c r="G39" s="90"/>
      <c r="H39" s="90"/>
      <c r="I39" s="90"/>
      <c r="J39" s="90"/>
      <c r="K39" s="90"/>
      <c r="L39" s="90"/>
      <c r="M39" s="90"/>
      <c r="N39" s="90"/>
      <c r="O39" s="90">
        <v>101800</v>
      </c>
      <c r="P39" s="90">
        <v>136300</v>
      </c>
      <c r="Q39" s="90">
        <v>115000</v>
      </c>
      <c r="R39" s="90">
        <v>1200</v>
      </c>
      <c r="S39" s="90">
        <v>1600</v>
      </c>
      <c r="T39" s="141">
        <v>0</v>
      </c>
      <c r="U39" s="141">
        <f>T39+R39+S39</f>
        <v>2800</v>
      </c>
      <c r="V39" s="141">
        <v>0</v>
      </c>
      <c r="W39" s="141">
        <v>0</v>
      </c>
      <c r="X39" s="141">
        <v>0</v>
      </c>
      <c r="Y39" s="141">
        <v>0</v>
      </c>
      <c r="Z39" s="141">
        <v>0</v>
      </c>
      <c r="AA39" s="141">
        <v>0</v>
      </c>
      <c r="AB39" s="141">
        <v>0</v>
      </c>
      <c r="AC39" s="141">
        <v>0</v>
      </c>
      <c r="AD39" s="152">
        <f>(Q39/O39)^(1/COUNTA($P$7:$Q$7))-1</f>
        <v>6.2857474823327042E-2</v>
      </c>
      <c r="AE39" s="5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row>
    <row r="40" spans="1:63" ht="18" customHeight="1" collapsed="1" x14ac:dyDescent="0.25">
      <c r="A40" s="1"/>
      <c r="B40" s="147" t="s">
        <v>288</v>
      </c>
      <c r="C40" s="147"/>
      <c r="D40" s="147"/>
      <c r="E40" s="147"/>
      <c r="F40" s="147"/>
      <c r="G40" s="147"/>
      <c r="H40" s="147"/>
      <c r="I40" s="147"/>
      <c r="J40" s="147"/>
      <c r="K40" s="147"/>
      <c r="L40" s="147"/>
      <c r="M40" s="147"/>
      <c r="N40" s="147"/>
      <c r="O40" s="147">
        <f t="shared" ref="O40:AC40" si="68">O41+O53+O56+O61+O63+O65+O66</f>
        <v>3522469.9210334378</v>
      </c>
      <c r="P40" s="147">
        <f t="shared" si="68"/>
        <v>4086815.6495759399</v>
      </c>
      <c r="Q40" s="147">
        <f t="shared" si="68"/>
        <v>4762849.4838119969</v>
      </c>
      <c r="R40" s="147">
        <f t="shared" si="68"/>
        <v>1244537.0659985896</v>
      </c>
      <c r="S40" s="147">
        <f t="shared" si="68"/>
        <v>1444900</v>
      </c>
      <c r="T40" s="141">
        <f t="shared" si="68"/>
        <v>3093253.5658452036</v>
      </c>
      <c r="U40" s="141">
        <f t="shared" si="68"/>
        <v>5782690.6318437941</v>
      </c>
      <c r="V40" s="141">
        <f t="shared" si="68"/>
        <v>6862080.9357870892</v>
      </c>
      <c r="W40" s="141">
        <f t="shared" si="68"/>
        <v>8058333.8571801735</v>
      </c>
      <c r="X40" s="141">
        <f t="shared" si="68"/>
        <v>9350780.2457400393</v>
      </c>
      <c r="Y40" s="141">
        <f t="shared" si="68"/>
        <v>10711195.790245064</v>
      </c>
      <c r="Z40" s="141">
        <f t="shared" si="68"/>
        <v>12092990.519920088</v>
      </c>
      <c r="AA40" s="141">
        <f t="shared" si="68"/>
        <v>13444144.433200277</v>
      </c>
      <c r="AB40" s="141">
        <f t="shared" si="68"/>
        <v>14707603.086766358</v>
      </c>
      <c r="AC40" s="141">
        <f t="shared" si="68"/>
        <v>15785343.049530067</v>
      </c>
      <c r="AD40" s="110"/>
      <c r="AE40" s="5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row>
    <row r="41" spans="1:63" ht="18" hidden="1" customHeight="1" outlineLevel="1" x14ac:dyDescent="0.25">
      <c r="A41" s="1"/>
      <c r="B41" s="146" t="s">
        <v>316</v>
      </c>
      <c r="C41" s="61"/>
      <c r="D41" s="61"/>
      <c r="E41" s="61"/>
      <c r="F41" s="61"/>
      <c r="G41" s="61"/>
      <c r="H41" s="61"/>
      <c r="I41" s="61"/>
      <c r="J41" s="61"/>
      <c r="K41" s="61"/>
      <c r="L41" s="61"/>
      <c r="M41" s="61"/>
      <c r="N41" s="61"/>
      <c r="O41" s="90">
        <v>1548417.5650984177</v>
      </c>
      <c r="P41" s="90">
        <v>1731353.8330324742</v>
      </c>
      <c r="Q41" s="90">
        <v>2064881.027248479</v>
      </c>
      <c r="R41" s="90">
        <v>528830.89375475352</v>
      </c>
      <c r="S41" s="90">
        <v>580400</v>
      </c>
      <c r="T41" s="141">
        <f>(R41+S41)*Sazonalidade!P41</f>
        <v>1354299.2408018312</v>
      </c>
      <c r="U41" s="141">
        <f>T41+R41+S41</f>
        <v>2463530.134556585</v>
      </c>
      <c r="V41" s="141">
        <f t="shared" ref="V41:AC41" si="69">V51*V42</f>
        <v>2879605.7068931083</v>
      </c>
      <c r="W41" s="141">
        <f t="shared" si="69"/>
        <v>3330574.5606024615</v>
      </c>
      <c r="X41" s="141">
        <f t="shared" si="69"/>
        <v>3811406.9830539268</v>
      </c>
      <c r="Y41" s="141">
        <f t="shared" si="69"/>
        <v>4315178.8760578511</v>
      </c>
      <c r="Z41" s="141">
        <f t="shared" si="69"/>
        <v>4833093.2088657711</v>
      </c>
      <c r="AA41" s="141">
        <f t="shared" si="69"/>
        <v>5354616.1225714143</v>
      </c>
      <c r="AB41" s="141">
        <f t="shared" si="69"/>
        <v>5867736.4166309731</v>
      </c>
      <c r="AC41" s="141">
        <f t="shared" si="69"/>
        <v>6359348.333034168</v>
      </c>
      <c r="AD41" s="110"/>
      <c r="AE41" s="5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row>
    <row r="42" spans="1:63" ht="18" hidden="1" customHeight="1" outlineLevel="1" x14ac:dyDescent="0.25">
      <c r="A42" s="1"/>
      <c r="B42" s="54" t="s">
        <v>325</v>
      </c>
      <c r="C42" s="61"/>
      <c r="D42" s="61"/>
      <c r="E42" s="61"/>
      <c r="F42" s="61"/>
      <c r="G42" s="61"/>
      <c r="H42" s="61"/>
      <c r="I42" s="61"/>
      <c r="J42" s="61"/>
      <c r="K42" s="61"/>
      <c r="L42" s="61"/>
      <c r="M42" s="61"/>
      <c r="N42" s="61"/>
      <c r="O42" s="61">
        <f>O43+O44+O45+O46+O47+O48+O49+O50</f>
        <v>258</v>
      </c>
      <c r="P42" s="61">
        <f t="shared" ref="P42:T42" si="70">P43+P44+P45+P46+P47+P48+P49+P50</f>
        <v>278</v>
      </c>
      <c r="Q42" s="61">
        <f t="shared" si="70"/>
        <v>282</v>
      </c>
      <c r="R42" s="61">
        <f t="shared" si="70"/>
        <v>278</v>
      </c>
      <c r="S42" s="61">
        <f t="shared" si="70"/>
        <v>278</v>
      </c>
      <c r="T42" s="74">
        <f t="shared" si="70"/>
        <v>278</v>
      </c>
      <c r="U42" s="74">
        <f t="shared" ref="U42" si="71">U43+U44+U45+U46+U47+U48+U49+U50</f>
        <v>277</v>
      </c>
      <c r="V42" s="74">
        <f t="shared" ref="V42" si="72">V43+V44+V45+V46+V47+V48+V49+V50</f>
        <v>284</v>
      </c>
      <c r="W42" s="74">
        <f t="shared" ref="W42" si="73">W43+W44+W45+W46+W47+W48+W49+W50</f>
        <v>291</v>
      </c>
      <c r="X42" s="74">
        <f t="shared" ref="X42" si="74">X43+X44+X45+X46+X47+X48+X49+X50</f>
        <v>298</v>
      </c>
      <c r="Y42" s="74">
        <f t="shared" ref="Y42" si="75">Y43+Y44+Y45+Y46+Y47+Y48+Y49+Y50</f>
        <v>305</v>
      </c>
      <c r="Z42" s="74">
        <f t="shared" ref="Z42" si="76">Z43+Z44+Z45+Z46+Z47+Z48+Z49+Z50</f>
        <v>312</v>
      </c>
      <c r="AA42" s="74">
        <f t="shared" ref="AA42" si="77">AA43+AA44+AA45+AA46+AA47+AA48+AA49+AA50</f>
        <v>319</v>
      </c>
      <c r="AB42" s="74">
        <f t="shared" ref="AB42" si="78">AB43+AB44+AB45+AB46+AB47+AB48+AB49+AB50</f>
        <v>326</v>
      </c>
      <c r="AC42" s="74">
        <f t="shared" ref="AC42" si="79">AC43+AC44+AC45+AC46+AC47+AC48+AC49+AC50</f>
        <v>333</v>
      </c>
      <c r="AD42" s="110"/>
      <c r="AE42" s="5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row>
    <row r="43" spans="1:63" ht="18" hidden="1" customHeight="1" outlineLevel="2" x14ac:dyDescent="0.25">
      <c r="A43" s="1"/>
      <c r="B43" s="55" t="s">
        <v>327</v>
      </c>
      <c r="C43" s="61"/>
      <c r="D43" s="61"/>
      <c r="E43" s="61"/>
      <c r="F43" s="61"/>
      <c r="G43" s="61"/>
      <c r="H43" s="61"/>
      <c r="I43" s="61"/>
      <c r="J43" s="61"/>
      <c r="K43" s="61"/>
      <c r="L43" s="61"/>
      <c r="M43" s="61"/>
      <c r="N43" s="61"/>
      <c r="O43" s="61">
        <v>68</v>
      </c>
      <c r="P43" s="61">
        <v>70</v>
      </c>
      <c r="Q43" s="61">
        <v>64</v>
      </c>
      <c r="R43" s="61">
        <v>63</v>
      </c>
      <c r="S43" s="61">
        <v>62</v>
      </c>
      <c r="T43" s="74">
        <f>S43</f>
        <v>62</v>
      </c>
      <c r="U43" s="74">
        <f>T43</f>
        <v>62</v>
      </c>
      <c r="V43" s="74">
        <f t="shared" ref="V43:AC44" si="80">U43</f>
        <v>62</v>
      </c>
      <c r="W43" s="74">
        <f t="shared" si="80"/>
        <v>62</v>
      </c>
      <c r="X43" s="74">
        <f t="shared" si="80"/>
        <v>62</v>
      </c>
      <c r="Y43" s="74">
        <f t="shared" si="80"/>
        <v>62</v>
      </c>
      <c r="Z43" s="74">
        <f t="shared" si="80"/>
        <v>62</v>
      </c>
      <c r="AA43" s="74">
        <f t="shared" si="80"/>
        <v>62</v>
      </c>
      <c r="AB43" s="74">
        <f t="shared" si="80"/>
        <v>62</v>
      </c>
      <c r="AC43" s="74">
        <f t="shared" si="80"/>
        <v>62</v>
      </c>
      <c r="AD43" s="110"/>
      <c r="AE43" s="51" t="s">
        <v>343</v>
      </c>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row>
    <row r="44" spans="1:63" ht="18" hidden="1" customHeight="1" outlineLevel="2" x14ac:dyDescent="0.25">
      <c r="A44" s="1"/>
      <c r="B44" s="55" t="s">
        <v>283</v>
      </c>
      <c r="C44" s="61"/>
      <c r="D44" s="61"/>
      <c r="E44" s="61"/>
      <c r="F44" s="61"/>
      <c r="G44" s="61"/>
      <c r="H44" s="61"/>
      <c r="I44" s="61"/>
      <c r="J44" s="61"/>
      <c r="K44" s="61"/>
      <c r="L44" s="61"/>
      <c r="M44" s="61"/>
      <c r="N44" s="61"/>
      <c r="O44" s="61">
        <v>5</v>
      </c>
      <c r="P44" s="61">
        <v>7</v>
      </c>
      <c r="Q44" s="61">
        <v>7</v>
      </c>
      <c r="R44" s="61">
        <v>7</v>
      </c>
      <c r="S44" s="61">
        <v>7</v>
      </c>
      <c r="T44" s="74">
        <f>R44</f>
        <v>7</v>
      </c>
      <c r="U44" s="74">
        <f>T44</f>
        <v>7</v>
      </c>
      <c r="V44" s="74">
        <f t="shared" si="80"/>
        <v>7</v>
      </c>
      <c r="W44" s="74">
        <f t="shared" si="80"/>
        <v>7</v>
      </c>
      <c r="X44" s="74">
        <f t="shared" si="80"/>
        <v>7</v>
      </c>
      <c r="Y44" s="74">
        <f t="shared" si="80"/>
        <v>7</v>
      </c>
      <c r="Z44" s="74">
        <f t="shared" si="80"/>
        <v>7</v>
      </c>
      <c r="AA44" s="74">
        <f t="shared" si="80"/>
        <v>7</v>
      </c>
      <c r="AB44" s="74">
        <f t="shared" si="80"/>
        <v>7</v>
      </c>
      <c r="AC44" s="74">
        <f t="shared" si="80"/>
        <v>7</v>
      </c>
      <c r="AD44" s="110"/>
      <c r="AE44" s="51" t="s">
        <v>343</v>
      </c>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row>
    <row r="45" spans="1:63" ht="18" hidden="1" customHeight="1" outlineLevel="2" x14ac:dyDescent="0.25">
      <c r="A45" s="1"/>
      <c r="B45" s="55" t="s">
        <v>328</v>
      </c>
      <c r="C45" s="61"/>
      <c r="D45" s="61"/>
      <c r="E45" s="61"/>
      <c r="F45" s="61"/>
      <c r="G45" s="61"/>
      <c r="H45" s="61"/>
      <c r="I45" s="61"/>
      <c r="J45" s="61"/>
      <c r="K45" s="61"/>
      <c r="L45" s="61"/>
      <c r="M45" s="61"/>
      <c r="N45" s="61"/>
      <c r="O45" s="61">
        <v>10</v>
      </c>
      <c r="P45" s="61">
        <v>10</v>
      </c>
      <c r="Q45" s="61">
        <v>12</v>
      </c>
      <c r="R45" s="61">
        <v>12</v>
      </c>
      <c r="S45" s="61">
        <v>13</v>
      </c>
      <c r="T45" s="74">
        <f>S45</f>
        <v>13</v>
      </c>
      <c r="U45" s="74">
        <f>Q45</f>
        <v>12</v>
      </c>
      <c r="V45" s="74">
        <f t="shared" ref="V45:AC45" si="81">U45</f>
        <v>12</v>
      </c>
      <c r="W45" s="74">
        <f t="shared" si="81"/>
        <v>12</v>
      </c>
      <c r="X45" s="74">
        <f t="shared" si="81"/>
        <v>12</v>
      </c>
      <c r="Y45" s="74">
        <f t="shared" si="81"/>
        <v>12</v>
      </c>
      <c r="Z45" s="74">
        <f t="shared" si="81"/>
        <v>12</v>
      </c>
      <c r="AA45" s="74">
        <f t="shared" si="81"/>
        <v>12</v>
      </c>
      <c r="AB45" s="74">
        <f t="shared" si="81"/>
        <v>12</v>
      </c>
      <c r="AC45" s="74">
        <f t="shared" si="81"/>
        <v>12</v>
      </c>
      <c r="AD45" s="110"/>
      <c r="AE45" s="5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row>
    <row r="46" spans="1:63" ht="18" hidden="1" customHeight="1" outlineLevel="2" x14ac:dyDescent="0.25">
      <c r="A46" s="1"/>
      <c r="B46" s="55" t="s">
        <v>329</v>
      </c>
      <c r="C46" s="61"/>
      <c r="D46" s="61"/>
      <c r="E46" s="61"/>
      <c r="F46" s="61"/>
      <c r="G46" s="61"/>
      <c r="H46" s="61"/>
      <c r="I46" s="61"/>
      <c r="J46" s="61"/>
      <c r="K46" s="61"/>
      <c r="L46" s="61"/>
      <c r="M46" s="61"/>
      <c r="N46" s="61"/>
      <c r="O46" s="61">
        <v>21</v>
      </c>
      <c r="P46" s="61">
        <v>20</v>
      </c>
      <c r="Q46" s="61">
        <v>15</v>
      </c>
      <c r="R46" s="61">
        <v>10</v>
      </c>
      <c r="S46" s="61">
        <v>10</v>
      </c>
      <c r="T46" s="74">
        <f t="shared" ref="T46:T50" si="82">R46</f>
        <v>10</v>
      </c>
      <c r="U46" s="74">
        <f>T46</f>
        <v>10</v>
      </c>
      <c r="V46" s="74">
        <f t="shared" ref="V46:AC46" si="83">U46</f>
        <v>10</v>
      </c>
      <c r="W46" s="74">
        <f t="shared" si="83"/>
        <v>10</v>
      </c>
      <c r="X46" s="74">
        <f t="shared" si="83"/>
        <v>10</v>
      </c>
      <c r="Y46" s="74">
        <f t="shared" si="83"/>
        <v>10</v>
      </c>
      <c r="Z46" s="74">
        <f t="shared" si="83"/>
        <v>10</v>
      </c>
      <c r="AA46" s="74">
        <f t="shared" si="83"/>
        <v>10</v>
      </c>
      <c r="AB46" s="74">
        <f t="shared" si="83"/>
        <v>10</v>
      </c>
      <c r="AC46" s="74">
        <f t="shared" si="83"/>
        <v>10</v>
      </c>
      <c r="AD46" s="110"/>
      <c r="AE46" s="51" t="s">
        <v>343</v>
      </c>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row>
    <row r="47" spans="1:63" ht="18" hidden="1" customHeight="1" outlineLevel="2" x14ac:dyDescent="0.25">
      <c r="A47" s="1"/>
      <c r="B47" s="55" t="s">
        <v>330</v>
      </c>
      <c r="C47" s="61"/>
      <c r="D47" s="61"/>
      <c r="E47" s="61"/>
      <c r="F47" s="61"/>
      <c r="G47" s="61"/>
      <c r="H47" s="61"/>
      <c r="I47" s="61"/>
      <c r="J47" s="61"/>
      <c r="K47" s="61"/>
      <c r="L47" s="61"/>
      <c r="M47" s="61"/>
      <c r="N47" s="61"/>
      <c r="O47" s="61">
        <v>89</v>
      </c>
      <c r="P47" s="61">
        <v>104</v>
      </c>
      <c r="Q47" s="61">
        <v>112</v>
      </c>
      <c r="R47" s="61">
        <v>114</v>
      </c>
      <c r="S47" s="61">
        <v>114</v>
      </c>
      <c r="T47" s="74">
        <f t="shared" si="82"/>
        <v>114</v>
      </c>
      <c r="U47" s="74">
        <f>T47</f>
        <v>114</v>
      </c>
      <c r="V47" s="74">
        <f t="shared" ref="V47:AC47" si="84">U47+5</f>
        <v>119</v>
      </c>
      <c r="W47" s="74">
        <f t="shared" si="84"/>
        <v>124</v>
      </c>
      <c r="X47" s="74">
        <f t="shared" si="84"/>
        <v>129</v>
      </c>
      <c r="Y47" s="74">
        <f t="shared" si="84"/>
        <v>134</v>
      </c>
      <c r="Z47" s="74">
        <f t="shared" si="84"/>
        <v>139</v>
      </c>
      <c r="AA47" s="74">
        <f t="shared" si="84"/>
        <v>144</v>
      </c>
      <c r="AB47" s="74">
        <f t="shared" si="84"/>
        <v>149</v>
      </c>
      <c r="AC47" s="74">
        <f t="shared" si="84"/>
        <v>154</v>
      </c>
      <c r="AD47" s="110"/>
      <c r="AE47" s="51" t="s">
        <v>350</v>
      </c>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row>
    <row r="48" spans="1:63" ht="18" hidden="1" customHeight="1" outlineLevel="2" x14ac:dyDescent="0.25">
      <c r="A48" s="1"/>
      <c r="B48" s="55" t="s">
        <v>331</v>
      </c>
      <c r="C48" s="61"/>
      <c r="D48" s="61"/>
      <c r="E48" s="61"/>
      <c r="F48" s="61"/>
      <c r="G48" s="61"/>
      <c r="H48" s="61"/>
      <c r="I48" s="61"/>
      <c r="J48" s="61"/>
      <c r="K48" s="61"/>
      <c r="L48" s="61"/>
      <c r="M48" s="61"/>
      <c r="N48" s="61"/>
      <c r="O48" s="61">
        <v>36</v>
      </c>
      <c r="P48" s="61">
        <v>36</v>
      </c>
      <c r="Q48" s="61">
        <v>36</v>
      </c>
      <c r="R48" s="61">
        <v>36</v>
      </c>
      <c r="S48" s="61">
        <v>36</v>
      </c>
      <c r="T48" s="74">
        <f t="shared" si="82"/>
        <v>36</v>
      </c>
      <c r="U48" s="74">
        <f>Q48</f>
        <v>36</v>
      </c>
      <c r="V48" s="74">
        <f t="shared" ref="V48:AC48" si="85">U48</f>
        <v>36</v>
      </c>
      <c r="W48" s="74">
        <f t="shared" si="85"/>
        <v>36</v>
      </c>
      <c r="X48" s="74">
        <f t="shared" si="85"/>
        <v>36</v>
      </c>
      <c r="Y48" s="74">
        <f t="shared" si="85"/>
        <v>36</v>
      </c>
      <c r="Z48" s="74">
        <f t="shared" si="85"/>
        <v>36</v>
      </c>
      <c r="AA48" s="74">
        <f t="shared" si="85"/>
        <v>36</v>
      </c>
      <c r="AB48" s="74">
        <f t="shared" si="85"/>
        <v>36</v>
      </c>
      <c r="AC48" s="74">
        <f t="shared" si="85"/>
        <v>36</v>
      </c>
      <c r="AD48" s="110"/>
      <c r="AE48" s="51" t="s">
        <v>343</v>
      </c>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row>
    <row r="49" spans="1:63" ht="18" hidden="1" customHeight="1" outlineLevel="2" x14ac:dyDescent="0.25">
      <c r="A49" s="1"/>
      <c r="B49" s="55" t="s">
        <v>332</v>
      </c>
      <c r="C49" s="61"/>
      <c r="D49" s="61"/>
      <c r="E49" s="61"/>
      <c r="F49" s="61"/>
      <c r="G49" s="61"/>
      <c r="H49" s="61"/>
      <c r="I49" s="61"/>
      <c r="J49" s="61"/>
      <c r="K49" s="61"/>
      <c r="L49" s="61"/>
      <c r="M49" s="61"/>
      <c r="N49" s="61"/>
      <c r="O49" s="61">
        <v>16</v>
      </c>
      <c r="P49" s="61">
        <v>19</v>
      </c>
      <c r="Q49" s="61">
        <v>23</v>
      </c>
      <c r="R49" s="61">
        <v>23</v>
      </c>
      <c r="S49" s="61">
        <v>23</v>
      </c>
      <c r="T49" s="74">
        <f t="shared" si="82"/>
        <v>23</v>
      </c>
      <c r="U49" s="74">
        <f>T49</f>
        <v>23</v>
      </c>
      <c r="V49" s="74">
        <f t="shared" ref="V49:AC49" si="86">U49+2</f>
        <v>25</v>
      </c>
      <c r="W49" s="74">
        <f t="shared" si="86"/>
        <v>27</v>
      </c>
      <c r="X49" s="74">
        <f t="shared" si="86"/>
        <v>29</v>
      </c>
      <c r="Y49" s="74">
        <f t="shared" si="86"/>
        <v>31</v>
      </c>
      <c r="Z49" s="74">
        <f t="shared" si="86"/>
        <v>33</v>
      </c>
      <c r="AA49" s="74">
        <f t="shared" si="86"/>
        <v>35</v>
      </c>
      <c r="AB49" s="74">
        <f t="shared" si="86"/>
        <v>37</v>
      </c>
      <c r="AC49" s="74">
        <f t="shared" si="86"/>
        <v>39</v>
      </c>
      <c r="AD49" s="110"/>
      <c r="AE49" s="51" t="s">
        <v>351</v>
      </c>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c r="BK49" s="1"/>
    </row>
    <row r="50" spans="1:63" ht="18" hidden="1" customHeight="1" outlineLevel="2" x14ac:dyDescent="0.25">
      <c r="A50" s="1"/>
      <c r="B50" s="55" t="s">
        <v>333</v>
      </c>
      <c r="C50" s="61"/>
      <c r="D50" s="61"/>
      <c r="E50" s="61"/>
      <c r="F50" s="61"/>
      <c r="G50" s="61"/>
      <c r="H50" s="61"/>
      <c r="I50" s="61"/>
      <c r="J50" s="61"/>
      <c r="K50" s="61"/>
      <c r="L50" s="61"/>
      <c r="M50" s="61"/>
      <c r="N50" s="61"/>
      <c r="O50" s="61">
        <v>13</v>
      </c>
      <c r="P50" s="61">
        <v>12</v>
      </c>
      <c r="Q50" s="61">
        <v>13</v>
      </c>
      <c r="R50" s="61">
        <v>13</v>
      </c>
      <c r="S50" s="61">
        <v>13</v>
      </c>
      <c r="T50" s="74">
        <f t="shared" si="82"/>
        <v>13</v>
      </c>
      <c r="U50" s="74">
        <f>Q50</f>
        <v>13</v>
      </c>
      <c r="V50" s="74">
        <f t="shared" ref="V50:AC50" si="87">U50</f>
        <v>13</v>
      </c>
      <c r="W50" s="74">
        <f t="shared" si="87"/>
        <v>13</v>
      </c>
      <c r="X50" s="74">
        <f t="shared" si="87"/>
        <v>13</v>
      </c>
      <c r="Y50" s="74">
        <f t="shared" si="87"/>
        <v>13</v>
      </c>
      <c r="Z50" s="74">
        <f t="shared" si="87"/>
        <v>13</v>
      </c>
      <c r="AA50" s="74">
        <f t="shared" si="87"/>
        <v>13</v>
      </c>
      <c r="AB50" s="74">
        <f t="shared" si="87"/>
        <v>13</v>
      </c>
      <c r="AC50" s="74">
        <f t="shared" si="87"/>
        <v>13</v>
      </c>
      <c r="AD50" s="110"/>
      <c r="AE50" s="5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row>
    <row r="51" spans="1:63" ht="18" hidden="1" customHeight="1" outlineLevel="1" collapsed="1" x14ac:dyDescent="0.25">
      <c r="A51" s="1"/>
      <c r="B51" s="54" t="s">
        <v>326</v>
      </c>
      <c r="C51" s="61"/>
      <c r="D51" s="61"/>
      <c r="E51" s="61"/>
      <c r="F51" s="61"/>
      <c r="G51" s="61"/>
      <c r="H51" s="61"/>
      <c r="I51" s="61"/>
      <c r="J51" s="61"/>
      <c r="K51" s="61"/>
      <c r="L51" s="61"/>
      <c r="M51" s="61"/>
      <c r="N51" s="61"/>
      <c r="O51" s="61">
        <f t="shared" ref="O51:U51" si="88">O41/O42</f>
        <v>6001.6184693737123</v>
      </c>
      <c r="P51" s="61">
        <f t="shared" si="88"/>
        <v>6227.8914857283244</v>
      </c>
      <c r="Q51" s="61">
        <f t="shared" si="88"/>
        <v>7322.2731462712018</v>
      </c>
      <c r="R51" s="61">
        <f t="shared" si="88"/>
        <v>1902.2694019955163</v>
      </c>
      <c r="S51" s="61">
        <f t="shared" si="88"/>
        <v>2087.7697841726617</v>
      </c>
      <c r="T51" s="74">
        <f t="shared" si="88"/>
        <v>4871.580002884285</v>
      </c>
      <c r="U51" s="74">
        <f t="shared" si="88"/>
        <v>8893.6105940670932</v>
      </c>
      <c r="V51" s="74">
        <f t="shared" ref="V51:AC51" si="89">U51*(1+V52)</f>
        <v>10139.456714412354</v>
      </c>
      <c r="W51" s="74">
        <f t="shared" si="89"/>
        <v>11445.273404132169</v>
      </c>
      <c r="X51" s="74">
        <f t="shared" si="89"/>
        <v>12789.956318972909</v>
      </c>
      <c r="Y51" s="74">
        <f t="shared" si="89"/>
        <v>14148.127462484757</v>
      </c>
      <c r="Z51" s="74">
        <f t="shared" si="89"/>
        <v>15490.683361749265</v>
      </c>
      <c r="AA51" s="74">
        <f t="shared" si="89"/>
        <v>16785.630478280294</v>
      </c>
      <c r="AB51" s="74">
        <f t="shared" si="89"/>
        <v>17999.191462058199</v>
      </c>
      <c r="AC51" s="74">
        <f t="shared" si="89"/>
        <v>19097.142141243748</v>
      </c>
      <c r="AD51" s="110">
        <f>(U51/O51)^(1/COUNTA($P$7:$R$7))-1</f>
        <v>0.14008327744598592</v>
      </c>
      <c r="AE51" s="51" t="s">
        <v>347</v>
      </c>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row>
    <row r="52" spans="1:63" ht="18" hidden="1" customHeight="1" outlineLevel="1" x14ac:dyDescent="0.25">
      <c r="A52" s="1"/>
      <c r="B52" s="77" t="s">
        <v>342</v>
      </c>
      <c r="C52" s="61"/>
      <c r="D52" s="61"/>
      <c r="E52" s="61"/>
      <c r="F52" s="61"/>
      <c r="G52" s="61"/>
      <c r="H52" s="61"/>
      <c r="I52" s="61"/>
      <c r="J52" s="61"/>
      <c r="K52" s="61"/>
      <c r="L52" s="61"/>
      <c r="M52" s="61"/>
      <c r="N52" s="61"/>
      <c r="O52" s="80">
        <v>0</v>
      </c>
      <c r="P52" s="80">
        <f>P51/O51-1</f>
        <v>3.7701999470523662E-2</v>
      </c>
      <c r="Q52" s="80">
        <f>Q51/P51-1</f>
        <v>0.17572266039810325</v>
      </c>
      <c r="R52" s="80"/>
      <c r="S52" s="80"/>
      <c r="T52" s="148"/>
      <c r="U52" s="148">
        <f>U51/Q51-1</f>
        <v>0.21459694502056093</v>
      </c>
      <c r="V52" s="148">
        <f>AD51</f>
        <v>0.14008327744598592</v>
      </c>
      <c r="W52" s="148">
        <f>($AC52-$V52)/7+V52</f>
        <v>0.12878566638227365</v>
      </c>
      <c r="X52" s="148">
        <f t="shared" ref="X52:AB52" si="90">($AC52-$V52)/7+W52</f>
        <v>0.11748805531856138</v>
      </c>
      <c r="Y52" s="148">
        <f t="shared" si="90"/>
        <v>0.10619044425484911</v>
      </c>
      <c r="Z52" s="148">
        <f t="shared" si="90"/>
        <v>9.4892833191136838E-2</v>
      </c>
      <c r="AA52" s="148">
        <f t="shared" si="90"/>
        <v>8.3595222127424568E-2</v>
      </c>
      <c r="AB52" s="148">
        <f t="shared" si="90"/>
        <v>7.2297611063712297E-2</v>
      </c>
      <c r="AC52" s="148">
        <f>'Painel de Índices'!$Z$45</f>
        <v>6.0999999999999999E-2</v>
      </c>
      <c r="AD52" s="110"/>
      <c r="AE52" s="5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row>
    <row r="53" spans="1:63" ht="18" hidden="1" customHeight="1" outlineLevel="1" x14ac:dyDescent="0.25">
      <c r="A53" s="1"/>
      <c r="B53" s="146" t="s">
        <v>311</v>
      </c>
      <c r="C53" s="61"/>
      <c r="D53" s="61"/>
      <c r="E53" s="61"/>
      <c r="F53" s="61"/>
      <c r="G53" s="61"/>
      <c r="H53" s="61"/>
      <c r="I53" s="61"/>
      <c r="J53" s="61"/>
      <c r="K53" s="61"/>
      <c r="L53" s="61"/>
      <c r="M53" s="61"/>
      <c r="N53" s="61"/>
      <c r="O53" s="90">
        <v>661721.9611617456</v>
      </c>
      <c r="P53" s="90">
        <v>709411.24332712148</v>
      </c>
      <c r="Q53" s="90">
        <v>788579.10342271719</v>
      </c>
      <c r="R53" s="90">
        <v>176913.45937828108</v>
      </c>
      <c r="S53" s="90">
        <v>206700</v>
      </c>
      <c r="T53" s="141">
        <f>(R53+S53)*Sazonalidade!P42</f>
        <v>475070.58062035678</v>
      </c>
      <c r="U53" s="141">
        <f>T53+R53+S53</f>
        <v>858684.03999863786</v>
      </c>
      <c r="V53" s="141">
        <f t="shared" ref="V53:AC53" si="91">U53*(1+V54)</f>
        <v>936596.80475090852</v>
      </c>
      <c r="W53" s="141">
        <f t="shared" si="91"/>
        <v>1021578.990417713</v>
      </c>
      <c r="X53" s="141">
        <f t="shared" si="91"/>
        <v>1114272.0414687186</v>
      </c>
      <c r="Y53" s="141">
        <f t="shared" si="91"/>
        <v>1215375.6038886309</v>
      </c>
      <c r="Z53" s="141">
        <f t="shared" si="91"/>
        <v>1325652.8060962951</v>
      </c>
      <c r="AA53" s="141">
        <f t="shared" si="91"/>
        <v>1445936.019028414</v>
      </c>
      <c r="AB53" s="141">
        <f t="shared" si="91"/>
        <v>1577133.1388649191</v>
      </c>
      <c r="AC53" s="141">
        <f t="shared" si="91"/>
        <v>1720234.4398179303</v>
      </c>
      <c r="AD53" s="110">
        <f>(U53/O53)^(1/COUNTA($P$7:$R$7))-1</f>
        <v>9.0735079636969029E-2</v>
      </c>
      <c r="AE53" s="51" t="s">
        <v>347</v>
      </c>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row>
    <row r="54" spans="1:63" ht="18" hidden="1" customHeight="1" outlineLevel="1" x14ac:dyDescent="0.25">
      <c r="A54" s="1"/>
      <c r="B54" s="77" t="s">
        <v>342</v>
      </c>
      <c r="C54" s="61"/>
      <c r="D54" s="61"/>
      <c r="E54" s="61"/>
      <c r="F54" s="61"/>
      <c r="G54" s="61"/>
      <c r="H54" s="61"/>
      <c r="I54" s="61"/>
      <c r="J54" s="61"/>
      <c r="K54" s="61"/>
      <c r="L54" s="61"/>
      <c r="M54" s="61"/>
      <c r="N54" s="61"/>
      <c r="O54" s="80">
        <v>0</v>
      </c>
      <c r="P54" s="80">
        <f t="shared" ref="P54:Q54" si="92">P53/O53-1</f>
        <v>7.206845920853322E-2</v>
      </c>
      <c r="Q54" s="80">
        <f t="shared" si="92"/>
        <v>0.1115965680559281</v>
      </c>
      <c r="R54" s="80"/>
      <c r="S54" s="80"/>
      <c r="T54" s="148"/>
      <c r="U54" s="148"/>
      <c r="V54" s="148">
        <f>$AD$53</f>
        <v>9.0735079636969029E-2</v>
      </c>
      <c r="W54" s="148">
        <f t="shared" ref="W54:AC54" si="93">$AD$53</f>
        <v>9.0735079636969029E-2</v>
      </c>
      <c r="X54" s="148">
        <f t="shared" si="93"/>
        <v>9.0735079636969029E-2</v>
      </c>
      <c r="Y54" s="148">
        <f t="shared" si="93"/>
        <v>9.0735079636969029E-2</v>
      </c>
      <c r="Z54" s="148">
        <f t="shared" si="93"/>
        <v>9.0735079636969029E-2</v>
      </c>
      <c r="AA54" s="148">
        <f t="shared" si="93"/>
        <v>9.0735079636969029E-2</v>
      </c>
      <c r="AB54" s="148">
        <f t="shared" si="93"/>
        <v>9.0735079636969029E-2</v>
      </c>
      <c r="AC54" s="148">
        <f t="shared" si="93"/>
        <v>9.0735079636969029E-2</v>
      </c>
      <c r="AD54" s="110"/>
      <c r="AE54" s="5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row>
    <row r="55" spans="1:63" ht="18" hidden="1" customHeight="1" outlineLevel="1" x14ac:dyDescent="0.25">
      <c r="A55" s="1"/>
      <c r="B55" s="77"/>
      <c r="C55" s="61"/>
      <c r="D55" s="61"/>
      <c r="E55" s="61"/>
      <c r="F55" s="61"/>
      <c r="G55" s="61"/>
      <c r="H55" s="61"/>
      <c r="I55" s="61"/>
      <c r="J55" s="61"/>
      <c r="K55" s="61"/>
      <c r="L55" s="61"/>
      <c r="M55" s="61"/>
      <c r="N55" s="61"/>
      <c r="O55" s="80"/>
      <c r="P55" s="80"/>
      <c r="Q55" s="80">
        <f>Q53/Q40</f>
        <v>0.16556876426663175</v>
      </c>
      <c r="R55" s="80"/>
      <c r="S55" s="80"/>
      <c r="T55" s="148"/>
      <c r="U55" s="148"/>
      <c r="V55" s="148"/>
      <c r="W55" s="148"/>
      <c r="X55" s="148"/>
      <c r="Y55" s="148"/>
      <c r="Z55" s="148"/>
      <c r="AA55" s="148"/>
      <c r="AB55" s="148"/>
      <c r="AC55" s="148"/>
      <c r="AD55" s="110"/>
      <c r="AE55" s="5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row>
    <row r="56" spans="1:63" ht="18" hidden="1" customHeight="1" outlineLevel="1" x14ac:dyDescent="0.25">
      <c r="A56" s="1"/>
      <c r="B56" s="146" t="s">
        <v>313</v>
      </c>
      <c r="C56" s="61"/>
      <c r="D56" s="61"/>
      <c r="E56" s="61"/>
      <c r="F56" s="61"/>
      <c r="G56" s="61"/>
      <c r="H56" s="61"/>
      <c r="I56" s="61"/>
      <c r="J56" s="61"/>
      <c r="K56" s="61"/>
      <c r="L56" s="61"/>
      <c r="M56" s="61"/>
      <c r="N56" s="61"/>
      <c r="O56" s="90">
        <v>14745.93218</v>
      </c>
      <c r="P56" s="90">
        <v>15259.306390000002</v>
      </c>
      <c r="Q56" s="90">
        <v>9864.1271361499676</v>
      </c>
      <c r="R56" s="90">
        <v>1796.44336</v>
      </c>
      <c r="S56" s="90">
        <v>2400</v>
      </c>
      <c r="T56" s="141">
        <f>(R56+S56)*Sazonalidade!P43</f>
        <v>5406.2421103365432</v>
      </c>
      <c r="U56" s="141">
        <f>T56+R56+S56</f>
        <v>9602.6854703365425</v>
      </c>
      <c r="V56" s="141">
        <f t="shared" ref="V56:AC56" si="94">V57*V59</f>
        <v>6673.8664018838972</v>
      </c>
      <c r="W56" s="141">
        <f t="shared" si="94"/>
        <v>3494.770141346502</v>
      </c>
      <c r="X56" s="141">
        <f t="shared" si="94"/>
        <v>0</v>
      </c>
      <c r="Y56" s="141">
        <f t="shared" si="94"/>
        <v>0</v>
      </c>
      <c r="Z56" s="141">
        <f t="shared" si="94"/>
        <v>0</v>
      </c>
      <c r="AA56" s="141">
        <f t="shared" si="94"/>
        <v>0</v>
      </c>
      <c r="AB56" s="141">
        <f t="shared" si="94"/>
        <v>0</v>
      </c>
      <c r="AC56" s="141">
        <f t="shared" si="94"/>
        <v>0</v>
      </c>
      <c r="AD56" s="110"/>
      <c r="AE56" s="5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row>
    <row r="57" spans="1:63" ht="18" hidden="1" customHeight="1" outlineLevel="1" x14ac:dyDescent="0.25">
      <c r="A57" s="1"/>
      <c r="B57" s="54" t="s">
        <v>334</v>
      </c>
      <c r="C57" s="61"/>
      <c r="D57" s="61"/>
      <c r="E57" s="61"/>
      <c r="F57" s="61"/>
      <c r="G57" s="61"/>
      <c r="H57" s="61"/>
      <c r="I57" s="61"/>
      <c r="J57" s="61"/>
      <c r="K57" s="61"/>
      <c r="L57" s="61"/>
      <c r="M57" s="61"/>
      <c r="N57" s="61"/>
      <c r="O57" s="61">
        <f>O58</f>
        <v>20</v>
      </c>
      <c r="P57" s="61">
        <f t="shared" ref="P57:Q57" si="95">P58</f>
        <v>19</v>
      </c>
      <c r="Q57" s="61">
        <f t="shared" si="95"/>
        <v>12</v>
      </c>
      <c r="R57" s="61">
        <f>Q57</f>
        <v>12</v>
      </c>
      <c r="S57" s="61">
        <v>12</v>
      </c>
      <c r="T57" s="74">
        <v>9</v>
      </c>
      <c r="U57" s="74">
        <f t="shared" ref="U57" si="96">U58</f>
        <v>9</v>
      </c>
      <c r="V57" s="74">
        <f t="shared" ref="V57" si="97">V58</f>
        <v>6</v>
      </c>
      <c r="W57" s="74">
        <f t="shared" ref="W57" si="98">W58</f>
        <v>3</v>
      </c>
      <c r="X57" s="74">
        <f t="shared" ref="X57" si="99">X58</f>
        <v>0</v>
      </c>
      <c r="Y57" s="74">
        <f t="shared" ref="Y57" si="100">Y58</f>
        <v>0</v>
      </c>
      <c r="Z57" s="74">
        <f t="shared" ref="Z57" si="101">Z58</f>
        <v>0</v>
      </c>
      <c r="AA57" s="74">
        <f t="shared" ref="AA57" si="102">AA58</f>
        <v>0</v>
      </c>
      <c r="AB57" s="74">
        <f t="shared" ref="AB57" si="103">AB58</f>
        <v>0</v>
      </c>
      <c r="AC57" s="74">
        <f t="shared" ref="AC57" si="104">AC58</f>
        <v>0</v>
      </c>
      <c r="AD57" s="110"/>
      <c r="AE57" s="5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row>
    <row r="58" spans="1:63" ht="18" hidden="1" customHeight="1" outlineLevel="2" x14ac:dyDescent="0.25">
      <c r="A58" s="1"/>
      <c r="B58" s="55" t="s">
        <v>331</v>
      </c>
      <c r="C58" s="61"/>
      <c r="D58" s="61"/>
      <c r="E58" s="61"/>
      <c r="F58" s="61"/>
      <c r="G58" s="61"/>
      <c r="H58" s="61"/>
      <c r="I58" s="61"/>
      <c r="J58" s="61"/>
      <c r="K58" s="61"/>
      <c r="L58" s="61"/>
      <c r="M58" s="61"/>
      <c r="N58" s="61"/>
      <c r="O58" s="61">
        <v>20</v>
      </c>
      <c r="P58" s="61">
        <v>19</v>
      </c>
      <c r="Q58" s="61">
        <v>12</v>
      </c>
      <c r="R58" s="61">
        <v>12</v>
      </c>
      <c r="S58" s="61">
        <v>12</v>
      </c>
      <c r="T58" s="74"/>
      <c r="U58" s="74">
        <f>Q58-3</f>
        <v>9</v>
      </c>
      <c r="V58" s="74">
        <f>U58-3</f>
        <v>6</v>
      </c>
      <c r="W58" s="74">
        <f>V58-3</f>
        <v>3</v>
      </c>
      <c r="X58" s="74">
        <f>W58-3</f>
        <v>0</v>
      </c>
      <c r="Y58" s="74">
        <v>0</v>
      </c>
      <c r="Z58" s="74">
        <v>0</v>
      </c>
      <c r="AA58" s="74">
        <v>0</v>
      </c>
      <c r="AB58" s="74">
        <v>0</v>
      </c>
      <c r="AC58" s="74">
        <v>0</v>
      </c>
      <c r="AD58" s="110"/>
      <c r="AE58" s="51" t="s">
        <v>352</v>
      </c>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c r="BK58" s="1"/>
    </row>
    <row r="59" spans="1:63" ht="18" hidden="1" customHeight="1" outlineLevel="1" collapsed="1" x14ac:dyDescent="0.25">
      <c r="A59" s="1"/>
      <c r="B59" s="54" t="s">
        <v>338</v>
      </c>
      <c r="C59" s="61"/>
      <c r="D59" s="61"/>
      <c r="E59" s="61"/>
      <c r="F59" s="61"/>
      <c r="G59" s="61"/>
      <c r="H59" s="61"/>
      <c r="I59" s="61"/>
      <c r="J59" s="61"/>
      <c r="K59" s="61"/>
      <c r="L59" s="61"/>
      <c r="M59" s="61"/>
      <c r="N59" s="61"/>
      <c r="O59" s="61">
        <f>O56/O57</f>
        <v>737.29660899999999</v>
      </c>
      <c r="P59" s="61">
        <f t="shared" ref="P59:U59" si="105">P56/P57</f>
        <v>803.12138894736847</v>
      </c>
      <c r="Q59" s="61">
        <f t="shared" si="105"/>
        <v>822.010594679164</v>
      </c>
      <c r="R59" s="61">
        <f t="shared" si="105"/>
        <v>149.70361333333332</v>
      </c>
      <c r="S59" s="61">
        <f t="shared" si="105"/>
        <v>200</v>
      </c>
      <c r="T59" s="74">
        <f t="shared" si="105"/>
        <v>600.69356781517149</v>
      </c>
      <c r="U59" s="74">
        <f t="shared" si="105"/>
        <v>1066.9650522596157</v>
      </c>
      <c r="V59" s="74">
        <f>U59*(1+'Painel de Índices'!S45)</f>
        <v>1112.3110669806495</v>
      </c>
      <c r="W59" s="74">
        <f>V59*(1+'Painel de Índices'!T45)</f>
        <v>1164.923380448834</v>
      </c>
      <c r="X59" s="74">
        <v>0</v>
      </c>
      <c r="Y59" s="74">
        <v>0</v>
      </c>
      <c r="Z59" s="74">
        <v>0</v>
      </c>
      <c r="AA59" s="74">
        <v>0</v>
      </c>
      <c r="AB59" s="74">
        <v>0</v>
      </c>
      <c r="AC59" s="74">
        <v>0</v>
      </c>
      <c r="AD59" s="110">
        <f>(U59/O59)^(1/COUNTA($P$7:$R$7))-1</f>
        <v>0.13110429820960579</v>
      </c>
      <c r="AE59" s="5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c r="BG59" s="1"/>
      <c r="BH59" s="1"/>
      <c r="BI59" s="1"/>
      <c r="BJ59" s="1"/>
      <c r="BK59" s="1"/>
    </row>
    <row r="60" spans="1:63" ht="18" hidden="1" customHeight="1" outlineLevel="1" x14ac:dyDescent="0.25">
      <c r="A60" s="1"/>
      <c r="B60" s="77" t="s">
        <v>342</v>
      </c>
      <c r="C60" s="61"/>
      <c r="D60" s="61"/>
      <c r="E60" s="61"/>
      <c r="F60" s="61"/>
      <c r="G60" s="61"/>
      <c r="H60" s="61"/>
      <c r="I60" s="61"/>
      <c r="J60" s="61"/>
      <c r="K60" s="61"/>
      <c r="L60" s="61"/>
      <c r="M60" s="61"/>
      <c r="N60" s="61"/>
      <c r="O60" s="80">
        <v>0</v>
      </c>
      <c r="P60" s="80">
        <f t="shared" ref="P60" si="106">P59/O59-1</f>
        <v>8.9278560546544483E-2</v>
      </c>
      <c r="Q60" s="80">
        <f t="shared" ref="Q60" si="107">Q59/P59-1</f>
        <v>2.3519739346692159E-2</v>
      </c>
      <c r="R60" s="80">
        <v>0</v>
      </c>
      <c r="S60" s="80">
        <v>0</v>
      </c>
      <c r="T60" s="148">
        <v>0</v>
      </c>
      <c r="U60" s="148">
        <f>U59/Q59-1</f>
        <v>0.29799428275746132</v>
      </c>
      <c r="V60" s="148">
        <f>AD59</f>
        <v>0.13110429820960579</v>
      </c>
      <c r="W60" s="148">
        <f>V60</f>
        <v>0.13110429820960579</v>
      </c>
      <c r="X60" s="148">
        <v>0</v>
      </c>
      <c r="Y60" s="148">
        <v>0</v>
      </c>
      <c r="Z60" s="148">
        <v>0</v>
      </c>
      <c r="AA60" s="148">
        <v>0</v>
      </c>
      <c r="AB60" s="148">
        <v>0</v>
      </c>
      <c r="AC60" s="148">
        <v>0</v>
      </c>
      <c r="AD60" s="110"/>
      <c r="AE60" s="5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c r="BG60" s="1"/>
      <c r="BH60" s="1"/>
      <c r="BI60" s="1"/>
      <c r="BJ60" s="1"/>
      <c r="BK60" s="1"/>
    </row>
    <row r="61" spans="1:63" ht="18" hidden="1" customHeight="1" outlineLevel="1" x14ac:dyDescent="0.25">
      <c r="A61" s="1"/>
      <c r="B61" s="146" t="s">
        <v>317</v>
      </c>
      <c r="C61" s="61"/>
      <c r="D61" s="61"/>
      <c r="E61" s="61"/>
      <c r="F61" s="61"/>
      <c r="G61" s="61"/>
      <c r="H61" s="61"/>
      <c r="I61" s="61"/>
      <c r="J61" s="61"/>
      <c r="K61" s="61"/>
      <c r="L61" s="61"/>
      <c r="M61" s="61"/>
      <c r="N61" s="61"/>
      <c r="O61" s="90">
        <v>691374.7658844901</v>
      </c>
      <c r="P61" s="90">
        <v>837281.76925922022</v>
      </c>
      <c r="Q61" s="90">
        <v>864671.81829654868</v>
      </c>
      <c r="R61" s="90">
        <v>287262.02405869</v>
      </c>
      <c r="S61" s="90">
        <v>243300</v>
      </c>
      <c r="T61" s="141">
        <f>(R61+S61)*Sazonalidade!P44</f>
        <v>607019.48394689104</v>
      </c>
      <c r="U61" s="141">
        <f>T61+R61+S61</f>
        <v>1137581.5080055811</v>
      </c>
      <c r="V61" s="141">
        <f t="shared" ref="V61:AC61" si="108">U61*(1+V62)</f>
        <v>1342988.1795607714</v>
      </c>
      <c r="W61" s="141">
        <f t="shared" si="108"/>
        <v>1565412.2848552677</v>
      </c>
      <c r="X61" s="141">
        <f t="shared" si="108"/>
        <v>1801278.0671542133</v>
      </c>
      <c r="Y61" s="141">
        <f t="shared" si="108"/>
        <v>2045761.435971563</v>
      </c>
      <c r="Z61" s="141">
        <f t="shared" si="108"/>
        <v>2292852.9571254961</v>
      </c>
      <c r="AA61" s="141">
        <f t="shared" si="108"/>
        <v>2535520.7945867972</v>
      </c>
      <c r="AB61" s="141">
        <f t="shared" si="108"/>
        <v>2765977.040323467</v>
      </c>
      <c r="AC61" s="141">
        <f t="shared" si="108"/>
        <v>2934701.6397831985</v>
      </c>
      <c r="AD61" s="110">
        <f>(U61/O61)^(1/COUNTA($P$7:$R$7))-1</f>
        <v>0.18056435526568237</v>
      </c>
      <c r="AE61" s="51" t="s">
        <v>347</v>
      </c>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row>
    <row r="62" spans="1:63" ht="18" hidden="1" customHeight="1" outlineLevel="1" x14ac:dyDescent="0.25">
      <c r="A62" s="1"/>
      <c r="B62" s="77" t="s">
        <v>342</v>
      </c>
      <c r="C62" s="61"/>
      <c r="D62" s="61"/>
      <c r="E62" s="61"/>
      <c r="F62" s="61"/>
      <c r="G62" s="61"/>
      <c r="H62" s="61"/>
      <c r="I62" s="61"/>
      <c r="J62" s="61"/>
      <c r="K62" s="61"/>
      <c r="L62" s="61"/>
      <c r="M62" s="61"/>
      <c r="N62" s="61"/>
      <c r="O62" s="80">
        <v>0</v>
      </c>
      <c r="P62" s="80">
        <f t="shared" ref="P62" si="109">P61/O61-1</f>
        <v>0.21103894815725344</v>
      </c>
      <c r="Q62" s="80">
        <f t="shared" ref="Q62" si="110">Q61/P61-1</f>
        <v>3.2713060337575151E-2</v>
      </c>
      <c r="R62" s="80"/>
      <c r="S62" s="80"/>
      <c r="T62" s="148"/>
      <c r="U62" s="148">
        <f>U61/Q61-1</f>
        <v>0.31562227880478355</v>
      </c>
      <c r="V62" s="148">
        <f>AD61</f>
        <v>0.18056435526568237</v>
      </c>
      <c r="W62" s="148">
        <f>($AC62-$V62)/8+V62</f>
        <v>0.16561881085747207</v>
      </c>
      <c r="X62" s="148">
        <f t="shared" ref="X62:AB62" si="111">($AC62-$V62)/8+W62</f>
        <v>0.15067326644926177</v>
      </c>
      <c r="Y62" s="148">
        <f t="shared" si="111"/>
        <v>0.13572772204105146</v>
      </c>
      <c r="Z62" s="148">
        <f t="shared" si="111"/>
        <v>0.12078217763284116</v>
      </c>
      <c r="AA62" s="148">
        <f t="shared" si="111"/>
        <v>0.10583663322463085</v>
      </c>
      <c r="AB62" s="148">
        <f t="shared" si="111"/>
        <v>9.0891088816420551E-2</v>
      </c>
      <c r="AC62" s="148">
        <f>'Painel de Índices'!$Z$45</f>
        <v>6.0999999999999999E-2</v>
      </c>
      <c r="AD62" s="110"/>
      <c r="AE62" s="5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c r="BG62" s="1"/>
      <c r="BH62" s="1"/>
      <c r="BI62" s="1"/>
      <c r="BJ62" s="1"/>
      <c r="BK62" s="1"/>
    </row>
    <row r="63" spans="1:63" ht="18" hidden="1" customHeight="1" outlineLevel="1" x14ac:dyDescent="0.25">
      <c r="A63" s="1"/>
      <c r="B63" s="146" t="s">
        <v>314</v>
      </c>
      <c r="C63" s="61"/>
      <c r="D63" s="61"/>
      <c r="E63" s="61"/>
      <c r="F63" s="61"/>
      <c r="G63" s="61"/>
      <c r="H63" s="61"/>
      <c r="I63" s="61"/>
      <c r="J63" s="61"/>
      <c r="K63" s="61"/>
      <c r="L63" s="61"/>
      <c r="M63" s="61"/>
      <c r="N63" s="61"/>
      <c r="O63" s="90">
        <v>579500.20754402666</v>
      </c>
      <c r="P63" s="90">
        <v>775217.33031848725</v>
      </c>
      <c r="Q63" s="90">
        <v>995668.37778975209</v>
      </c>
      <c r="R63" s="90">
        <v>236877.70355133113</v>
      </c>
      <c r="S63" s="90">
        <v>398800</v>
      </c>
      <c r="T63" s="141">
        <f>(R63+S63)*Sazonalidade!P45</f>
        <v>636427.17531414377</v>
      </c>
      <c r="U63" s="141">
        <f>T63+R63+S63</f>
        <v>1272104.8788654748</v>
      </c>
      <c r="V63" s="141">
        <f t="shared" ref="V63:AC63" si="112">U63*(1+V64)</f>
        <v>1653278.5293729834</v>
      </c>
      <c r="W63" s="141">
        <f t="shared" si="112"/>
        <v>2092304.4421073601</v>
      </c>
      <c r="X63" s="141">
        <f t="shared" si="112"/>
        <v>2576583.4201498255</v>
      </c>
      <c r="Y63" s="141">
        <f t="shared" si="112"/>
        <v>3085112.8146493011</v>
      </c>
      <c r="Z63" s="141">
        <f t="shared" si="112"/>
        <v>3588832.5561068868</v>
      </c>
      <c r="AA63" s="141">
        <f t="shared" si="112"/>
        <v>4052448.3160704067</v>
      </c>
      <c r="AB63" s="141">
        <f t="shared" si="112"/>
        <v>4437801.4814652577</v>
      </c>
      <c r="AC63" s="141">
        <f t="shared" si="112"/>
        <v>4708507.3718346385</v>
      </c>
      <c r="AD63" s="110">
        <f>(U63/O63)^(1/COUNTA($P$7:$R$7))-1</f>
        <v>0.29964011367321985</v>
      </c>
      <c r="AE63" s="51" t="s">
        <v>347</v>
      </c>
      <c r="AF63" s="1"/>
      <c r="AG63" s="1"/>
      <c r="AH63" s="1"/>
      <c r="AI63" s="1"/>
      <c r="AJ63" s="1"/>
      <c r="AK63" s="1"/>
      <c r="AL63" s="1"/>
      <c r="AM63" s="1"/>
      <c r="AN63" s="1"/>
      <c r="AO63" s="1"/>
      <c r="AP63" s="1"/>
      <c r="AQ63" s="1"/>
      <c r="AR63" s="1"/>
      <c r="AS63" s="1"/>
      <c r="AT63" s="1"/>
      <c r="AU63" s="1"/>
      <c r="AV63" s="1"/>
      <c r="AW63" s="1"/>
      <c r="AX63" s="1"/>
      <c r="AY63" s="1"/>
      <c r="AZ63" s="1"/>
      <c r="BA63" s="1"/>
      <c r="BB63" s="1"/>
      <c r="BC63" s="1"/>
      <c r="BD63" s="1"/>
      <c r="BE63" s="1"/>
      <c r="BF63" s="1"/>
      <c r="BG63" s="1"/>
      <c r="BH63" s="1"/>
      <c r="BI63" s="1"/>
      <c r="BJ63" s="1"/>
      <c r="BK63" s="1"/>
    </row>
    <row r="64" spans="1:63" ht="18" hidden="1" customHeight="1" outlineLevel="1" x14ac:dyDescent="0.25">
      <c r="A64" s="1"/>
      <c r="B64" s="77" t="s">
        <v>342</v>
      </c>
      <c r="C64" s="61"/>
      <c r="D64" s="61"/>
      <c r="E64" s="61"/>
      <c r="F64" s="61"/>
      <c r="G64" s="61"/>
      <c r="H64" s="61"/>
      <c r="I64" s="61"/>
      <c r="J64" s="61"/>
      <c r="K64" s="61"/>
      <c r="L64" s="61"/>
      <c r="M64" s="61"/>
      <c r="N64" s="61"/>
      <c r="O64" s="80">
        <v>0</v>
      </c>
      <c r="P64" s="80">
        <f t="shared" ref="P64" si="113">P63/O63-1</f>
        <v>0.33773434457241547</v>
      </c>
      <c r="Q64" s="80">
        <f t="shared" ref="Q64" si="114">Q63/P63-1</f>
        <v>0.28437321877298016</v>
      </c>
      <c r="R64" s="80"/>
      <c r="S64" s="80"/>
      <c r="T64" s="148"/>
      <c r="U64" s="148">
        <f>U63/Q63-1</f>
        <v>0.27763912889286901</v>
      </c>
      <c r="V64" s="148">
        <f>AD63</f>
        <v>0.29964011367321985</v>
      </c>
      <c r="W64" s="148">
        <f>($AC64-$V64)/7+V64</f>
        <v>0.26554866886275985</v>
      </c>
      <c r="X64" s="148">
        <f t="shared" ref="X64:AB64" si="115">($AC64-$V64)/7+W64</f>
        <v>0.23145722405229988</v>
      </c>
      <c r="Y64" s="148">
        <f t="shared" si="115"/>
        <v>0.1973657792418399</v>
      </c>
      <c r="Z64" s="148">
        <f t="shared" si="115"/>
        <v>0.16327433443137992</v>
      </c>
      <c r="AA64" s="148">
        <f t="shared" si="115"/>
        <v>0.12918288962091995</v>
      </c>
      <c r="AB64" s="148">
        <f t="shared" si="115"/>
        <v>9.5091444810459974E-2</v>
      </c>
      <c r="AC64" s="148">
        <f>'Painel de Índices'!$Z$45</f>
        <v>6.0999999999999999E-2</v>
      </c>
      <c r="AD64" s="110"/>
      <c r="AE64" s="51"/>
      <c r="AF64" s="1"/>
      <c r="AG64" s="1"/>
      <c r="AH64" s="1"/>
      <c r="AI64" s="1"/>
      <c r="AJ64" s="1"/>
      <c r="AK64" s="1"/>
      <c r="AL64" s="1"/>
      <c r="AM64" s="1"/>
      <c r="AN64" s="1"/>
      <c r="AO64" s="1"/>
      <c r="AP64" s="1"/>
      <c r="AQ64" s="1"/>
      <c r="AR64" s="1"/>
      <c r="AS64" s="1"/>
      <c r="AT64" s="1"/>
      <c r="AU64" s="1"/>
      <c r="AV64" s="1"/>
      <c r="AW64" s="1"/>
      <c r="AX64" s="1"/>
      <c r="AY64" s="1"/>
      <c r="AZ64" s="1"/>
      <c r="BA64" s="1"/>
      <c r="BB64" s="1"/>
      <c r="BC64" s="1"/>
      <c r="BD64" s="1"/>
      <c r="BE64" s="1"/>
      <c r="BF64" s="1"/>
      <c r="BG64" s="1"/>
      <c r="BH64" s="1"/>
      <c r="BI64" s="1"/>
      <c r="BJ64" s="1"/>
      <c r="BK64" s="1"/>
    </row>
    <row r="65" spans="1:63" ht="18" hidden="1" customHeight="1" outlineLevel="1" x14ac:dyDescent="0.25">
      <c r="A65" s="1"/>
      <c r="B65" s="146" t="s">
        <v>25</v>
      </c>
      <c r="C65" s="61"/>
      <c r="D65" s="61"/>
      <c r="E65" s="61"/>
      <c r="F65" s="61"/>
      <c r="G65" s="61"/>
      <c r="H65" s="61"/>
      <c r="I65" s="61"/>
      <c r="J65" s="61"/>
      <c r="K65" s="61"/>
      <c r="L65" s="61"/>
      <c r="M65" s="61"/>
      <c r="N65" s="61"/>
      <c r="O65" s="90">
        <v>26709.489164757935</v>
      </c>
      <c r="P65" s="90">
        <v>18292.167248637073</v>
      </c>
      <c r="Q65" s="90">
        <v>39185.029918350701</v>
      </c>
      <c r="R65" s="90">
        <v>12856.541895533883</v>
      </c>
      <c r="S65" s="90">
        <v>13300</v>
      </c>
      <c r="T65" s="141">
        <f>U65-R65-S65</f>
        <v>15030.843051644537</v>
      </c>
      <c r="U65" s="141">
        <f>Q65*(1+'Painel de Índices'!R$45)</f>
        <v>41187.38494717842</v>
      </c>
      <c r="V65" s="141">
        <f>U65*(1+'Painel de Índices'!S$45)</f>
        <v>42937.848807433504</v>
      </c>
      <c r="W65" s="141">
        <f>V65*(1+'Painel de Índices'!T$45)</f>
        <v>44968.809056025108</v>
      </c>
      <c r="X65" s="141">
        <f>W65*(1+'Painel de Índices'!U$45)</f>
        <v>47239.733913354372</v>
      </c>
      <c r="Y65" s="141">
        <f>X65*(1+'Painel de Índices'!V$45)</f>
        <v>49767.059677718833</v>
      </c>
      <c r="Z65" s="141">
        <f>Y65*(1+'Painel de Índices'!W$45)</f>
        <v>52558.991725638858</v>
      </c>
      <c r="AA65" s="141">
        <f>Z65*(1+'Painel de Índices'!X$45)</f>
        <v>55623.180943243606</v>
      </c>
      <c r="AB65" s="141">
        <f>AA65*(1+'Painel de Índices'!Y$45)</f>
        <v>58955.009481743902</v>
      </c>
      <c r="AC65" s="141">
        <f>AB65*(1+'Painel de Índices'!Z$45)</f>
        <v>62551.265060130274</v>
      </c>
      <c r="AD65" s="110">
        <f>(Q65/O65)^(1/COUNTA($P$7:$Q$7))-1</f>
        <v>0.21123190035279604</v>
      </c>
      <c r="AE65" s="51" t="s">
        <v>348</v>
      </c>
      <c r="AF65" s="1"/>
      <c r="AG65" s="1"/>
      <c r="AH65" s="1"/>
      <c r="AI65" s="1"/>
      <c r="AJ65" s="1"/>
      <c r="AK65" s="1"/>
      <c r="AL65" s="1"/>
      <c r="AM65" s="1"/>
      <c r="AN65" s="1"/>
      <c r="AO65" s="1"/>
      <c r="AP65" s="1"/>
      <c r="AQ65" s="1"/>
      <c r="AR65" s="1"/>
      <c r="AS65" s="1"/>
      <c r="AT65" s="1"/>
      <c r="AU65" s="1"/>
      <c r="AV65" s="1"/>
      <c r="AW65" s="1"/>
      <c r="AX65" s="1"/>
      <c r="AY65" s="1"/>
      <c r="AZ65" s="1"/>
      <c r="BA65" s="1"/>
      <c r="BB65" s="1"/>
      <c r="BC65" s="1"/>
      <c r="BD65" s="1"/>
      <c r="BE65" s="1"/>
      <c r="BF65" s="1"/>
      <c r="BG65" s="1"/>
      <c r="BH65" s="1"/>
      <c r="BI65" s="1"/>
      <c r="BJ65" s="1"/>
      <c r="BK65" s="1"/>
    </row>
    <row r="66" spans="1:63" ht="18" hidden="1" customHeight="1" outlineLevel="1" thickBot="1" x14ac:dyDescent="0.3">
      <c r="A66" s="1"/>
      <c r="B66" s="155" t="s">
        <v>315</v>
      </c>
      <c r="C66" s="154"/>
      <c r="D66" s="154"/>
      <c r="E66" s="154"/>
      <c r="F66" s="154"/>
      <c r="G66" s="154"/>
      <c r="H66" s="154"/>
      <c r="I66" s="154"/>
      <c r="J66" s="154"/>
      <c r="K66" s="154"/>
      <c r="L66" s="154"/>
      <c r="M66" s="154"/>
      <c r="N66" s="154"/>
      <c r="O66" s="155">
        <v>0</v>
      </c>
      <c r="P66" s="155">
        <v>0</v>
      </c>
      <c r="Q66" s="155">
        <v>0</v>
      </c>
      <c r="R66" s="155">
        <v>0</v>
      </c>
      <c r="S66" s="155"/>
      <c r="T66" s="151"/>
      <c r="U66" s="151">
        <v>0</v>
      </c>
      <c r="V66" s="151">
        <v>0</v>
      </c>
      <c r="W66" s="151">
        <v>0</v>
      </c>
      <c r="X66" s="151">
        <v>0</v>
      </c>
      <c r="Y66" s="151">
        <v>0</v>
      </c>
      <c r="Z66" s="151">
        <v>0</v>
      </c>
      <c r="AA66" s="151">
        <v>0</v>
      </c>
      <c r="AB66" s="151">
        <v>0</v>
      </c>
      <c r="AC66" s="151">
        <v>0</v>
      </c>
      <c r="AD66" s="152"/>
      <c r="AE66" s="51"/>
      <c r="AF66" s="1"/>
      <c r="AG66" s="1"/>
      <c r="AH66" s="1"/>
      <c r="AI66" s="1"/>
      <c r="AJ66" s="1"/>
      <c r="AK66" s="1"/>
      <c r="AL66" s="1"/>
      <c r="AM66" s="1"/>
      <c r="AN66" s="1"/>
      <c r="AO66" s="1"/>
      <c r="AP66" s="1"/>
      <c r="AQ66" s="1"/>
      <c r="AR66" s="1"/>
      <c r="AS66" s="1"/>
      <c r="AT66" s="1"/>
      <c r="AU66" s="1"/>
      <c r="AV66" s="1"/>
      <c r="AW66" s="1"/>
      <c r="AX66" s="1"/>
      <c r="AY66" s="1"/>
      <c r="AZ66" s="1"/>
      <c r="BA66" s="1"/>
      <c r="BB66" s="1"/>
      <c r="BC66" s="1"/>
      <c r="BD66" s="1"/>
      <c r="BE66" s="1"/>
      <c r="BF66" s="1"/>
      <c r="BG66" s="1"/>
      <c r="BH66" s="1"/>
      <c r="BI66" s="1"/>
      <c r="BJ66" s="1"/>
      <c r="BK66" s="1"/>
    </row>
    <row r="67" spans="1:63" ht="18" customHeight="1" collapsed="1" thickBot="1" x14ac:dyDescent="0.3">
      <c r="A67" s="1"/>
      <c r="B67" s="147" t="s">
        <v>289</v>
      </c>
      <c r="C67" s="150"/>
      <c r="D67" s="150"/>
      <c r="E67" s="150"/>
      <c r="F67" s="150"/>
      <c r="G67" s="150"/>
      <c r="H67" s="150"/>
      <c r="I67" s="150"/>
      <c r="J67" s="150"/>
      <c r="K67" s="150"/>
      <c r="L67" s="150"/>
      <c r="M67" s="150"/>
      <c r="N67" s="150"/>
      <c r="O67" s="147">
        <f t="shared" ref="O67:T67" si="116">O68+O75+O77+O84+O86+O87+O88</f>
        <v>2388930.4857513518</v>
      </c>
      <c r="P67" s="147">
        <f t="shared" si="116"/>
        <v>2587750.7900900794</v>
      </c>
      <c r="Q67" s="147">
        <f t="shared" si="116"/>
        <v>2793966.5357537675</v>
      </c>
      <c r="R67" s="147">
        <f t="shared" si="116"/>
        <v>638973.12920000392</v>
      </c>
      <c r="S67" s="147">
        <f t="shared" si="116"/>
        <v>639500</v>
      </c>
      <c r="T67" s="141">
        <f t="shared" si="116"/>
        <v>1567805.9032869979</v>
      </c>
      <c r="U67" s="141">
        <f>U68+U75+U77+U84+U87+U88+U86</f>
        <v>2846279.0324870022</v>
      </c>
      <c r="V67" s="141">
        <f t="shared" ref="V67:AC67" si="117">V68+V75+V77+V84+V87+V88+V86</f>
        <v>3140378.6718373429</v>
      </c>
      <c r="W67" s="141">
        <f t="shared" si="117"/>
        <v>3473527.3749505524</v>
      </c>
      <c r="X67" s="141">
        <f t="shared" si="117"/>
        <v>3821893.3483111197</v>
      </c>
      <c r="Y67" s="141">
        <f t="shared" si="117"/>
        <v>4175299.4531288585</v>
      </c>
      <c r="Z67" s="141">
        <f t="shared" si="117"/>
        <v>4522801.0204540938</v>
      </c>
      <c r="AA67" s="141">
        <f t="shared" si="117"/>
        <v>4888369.9596831445</v>
      </c>
      <c r="AB67" s="141">
        <f t="shared" si="117"/>
        <v>5160828.8761139587</v>
      </c>
      <c r="AC67" s="141">
        <f t="shared" si="117"/>
        <v>5425286.2916534012</v>
      </c>
      <c r="AD67" s="156"/>
      <c r="AE67" s="5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1"/>
      <c r="BI67" s="1"/>
      <c r="BJ67" s="1"/>
      <c r="BK67" s="1"/>
    </row>
    <row r="68" spans="1:63" ht="18" hidden="1" customHeight="1" outlineLevel="1" x14ac:dyDescent="0.25">
      <c r="A68" s="1"/>
      <c r="B68" s="146" t="s">
        <v>316</v>
      </c>
      <c r="C68" s="61"/>
      <c r="D68" s="61"/>
      <c r="E68" s="61"/>
      <c r="F68" s="61"/>
      <c r="G68" s="61"/>
      <c r="H68" s="61"/>
      <c r="I68" s="61"/>
      <c r="J68" s="61"/>
      <c r="K68" s="61"/>
      <c r="L68" s="61"/>
      <c r="M68" s="61"/>
      <c r="N68" s="61"/>
      <c r="O68" s="90">
        <v>450170.05949005368</v>
      </c>
      <c r="P68" s="90">
        <v>548287.73726218718</v>
      </c>
      <c r="Q68" s="90">
        <v>594414.67715258407</v>
      </c>
      <c r="R68" s="90">
        <v>141482.11224000301</v>
      </c>
      <c r="S68" s="90">
        <v>154600</v>
      </c>
      <c r="T68" s="141">
        <f>(R68+S68)*Sazonalidade!P47</f>
        <v>422155.26581706072</v>
      </c>
      <c r="U68" s="141">
        <f>T68+R68+S68</f>
        <v>718237.37805706379</v>
      </c>
      <c r="V68" s="141">
        <f t="shared" ref="V68:AC68" si="118">V69*V73</f>
        <v>875070.2108145298</v>
      </c>
      <c r="W68" s="141">
        <f t="shared" si="118"/>
        <v>1063875.5791103276</v>
      </c>
      <c r="X68" s="141">
        <f t="shared" si="118"/>
        <v>1273440.4932505824</v>
      </c>
      <c r="Y68" s="141">
        <f t="shared" si="118"/>
        <v>1501155.3131641247</v>
      </c>
      <c r="Z68" s="141">
        <f t="shared" si="118"/>
        <v>1743093.9634251487</v>
      </c>
      <c r="AA68" s="141">
        <f t="shared" si="118"/>
        <v>1994016.2922165163</v>
      </c>
      <c r="AB68" s="141">
        <f t="shared" si="118"/>
        <v>2142447.0525641302</v>
      </c>
      <c r="AC68" s="141">
        <f t="shared" si="118"/>
        <v>2273136.3227705415</v>
      </c>
      <c r="AD68" s="156"/>
      <c r="AE68" s="5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row>
    <row r="69" spans="1:63" ht="18" hidden="1" customHeight="1" outlineLevel="1" x14ac:dyDescent="0.25">
      <c r="A69" s="1"/>
      <c r="B69" s="54" t="s">
        <v>325</v>
      </c>
      <c r="C69" s="61"/>
      <c r="D69" s="61"/>
      <c r="E69" s="61"/>
      <c r="F69" s="61"/>
      <c r="G69" s="61"/>
      <c r="H69" s="61"/>
      <c r="I69" s="61"/>
      <c r="J69" s="61"/>
      <c r="K69" s="61"/>
      <c r="L69" s="61"/>
      <c r="M69" s="61"/>
      <c r="N69" s="61"/>
      <c r="O69" s="61">
        <f>O70+O71+O72</f>
        <v>73</v>
      </c>
      <c r="P69" s="61">
        <f t="shared" ref="P69:S69" si="119">P70+P71+P72</f>
        <v>71</v>
      </c>
      <c r="Q69" s="61">
        <f t="shared" si="119"/>
        <v>69</v>
      </c>
      <c r="R69" s="61">
        <f t="shared" si="119"/>
        <v>68</v>
      </c>
      <c r="S69" s="61">
        <f t="shared" si="119"/>
        <v>67</v>
      </c>
      <c r="T69" s="74">
        <f>T70+T71+T72</f>
        <v>72</v>
      </c>
      <c r="U69" s="74">
        <f t="shared" ref="U69:AA69" si="120">U70+U71+U72</f>
        <v>73</v>
      </c>
      <c r="V69" s="74">
        <f t="shared" si="120"/>
        <v>77</v>
      </c>
      <c r="W69" s="74">
        <f t="shared" si="120"/>
        <v>82</v>
      </c>
      <c r="X69" s="74">
        <f t="shared" si="120"/>
        <v>87</v>
      </c>
      <c r="Y69" s="74">
        <f t="shared" si="120"/>
        <v>92</v>
      </c>
      <c r="Z69" s="74">
        <f t="shared" si="120"/>
        <v>97</v>
      </c>
      <c r="AA69" s="74">
        <f t="shared" si="120"/>
        <v>102</v>
      </c>
      <c r="AB69" s="74">
        <f t="shared" ref="AB69:AC69" si="121">AA69</f>
        <v>102</v>
      </c>
      <c r="AC69" s="74">
        <f t="shared" si="121"/>
        <v>102</v>
      </c>
      <c r="AD69" s="189">
        <f>Dashboard!C14</f>
        <v>42.492127797302309</v>
      </c>
      <c r="AE69" s="5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row>
    <row r="70" spans="1:63" ht="18" hidden="1" customHeight="1" outlineLevel="2" x14ac:dyDescent="0.25">
      <c r="A70" s="1"/>
      <c r="B70" s="55" t="s">
        <v>335</v>
      </c>
      <c r="C70" s="61"/>
      <c r="D70" s="61"/>
      <c r="E70" s="61"/>
      <c r="F70" s="61"/>
      <c r="G70" s="61"/>
      <c r="H70" s="61"/>
      <c r="I70" s="61"/>
      <c r="J70" s="61"/>
      <c r="K70" s="61"/>
      <c r="L70" s="61"/>
      <c r="M70" s="61"/>
      <c r="N70" s="61"/>
      <c r="O70" s="61">
        <v>59</v>
      </c>
      <c r="P70" s="61">
        <v>51</v>
      </c>
      <c r="Q70" s="61">
        <v>43</v>
      </c>
      <c r="R70" s="61">
        <v>43</v>
      </c>
      <c r="S70" s="61">
        <v>42</v>
      </c>
      <c r="T70" s="74">
        <f>S70</f>
        <v>42</v>
      </c>
      <c r="U70" s="74">
        <f>Q70</f>
        <v>43</v>
      </c>
      <c r="V70" s="74">
        <f t="shared" ref="V70:AC70" si="122">U70</f>
        <v>43</v>
      </c>
      <c r="W70" s="74">
        <f t="shared" si="122"/>
        <v>43</v>
      </c>
      <c r="X70" s="74">
        <f t="shared" si="122"/>
        <v>43</v>
      </c>
      <c r="Y70" s="74">
        <f t="shared" si="122"/>
        <v>43</v>
      </c>
      <c r="Z70" s="74">
        <f t="shared" si="122"/>
        <v>43</v>
      </c>
      <c r="AA70" s="74">
        <f t="shared" si="122"/>
        <v>43</v>
      </c>
      <c r="AB70" s="74">
        <f t="shared" si="122"/>
        <v>43</v>
      </c>
      <c r="AC70" s="74">
        <f t="shared" si="122"/>
        <v>43</v>
      </c>
      <c r="AD70" s="110"/>
      <c r="AE70" s="51"/>
      <c r="AF70" s="1"/>
      <c r="AG70" s="1"/>
      <c r="AH70" s="1"/>
      <c r="AI70" s="1"/>
      <c r="AJ70" s="1"/>
      <c r="AK70" s="1"/>
      <c r="AL70" s="1"/>
      <c r="AM70" s="1"/>
      <c r="AN70" s="1"/>
      <c r="AO70" s="1"/>
      <c r="AP70" s="1"/>
      <c r="AQ70" s="1"/>
      <c r="AR70" s="1"/>
      <c r="AS70" s="1"/>
      <c r="AT70" s="1"/>
      <c r="AU70" s="1"/>
      <c r="AV70" s="1"/>
      <c r="AW70" s="1"/>
      <c r="AX70" s="1"/>
      <c r="AY70" s="1"/>
      <c r="AZ70" s="1"/>
      <c r="BA70" s="1"/>
      <c r="BB70" s="1"/>
      <c r="BC70" s="1"/>
      <c r="BD70" s="1"/>
      <c r="BE70" s="1"/>
      <c r="BF70" s="1"/>
      <c r="BG70" s="1"/>
      <c r="BH70" s="1"/>
      <c r="BI70" s="1"/>
      <c r="BJ70" s="1"/>
      <c r="BK70" s="1"/>
    </row>
    <row r="71" spans="1:63" ht="18" hidden="1" customHeight="1" outlineLevel="2" x14ac:dyDescent="0.25">
      <c r="A71" s="1"/>
      <c r="B71" s="55" t="s">
        <v>336</v>
      </c>
      <c r="C71" s="61"/>
      <c r="D71" s="61"/>
      <c r="E71" s="61"/>
      <c r="F71" s="61"/>
      <c r="G71" s="61"/>
      <c r="H71" s="61"/>
      <c r="I71" s="61"/>
      <c r="J71" s="61"/>
      <c r="K71" s="61"/>
      <c r="L71" s="61"/>
      <c r="M71" s="61"/>
      <c r="N71" s="61"/>
      <c r="O71" s="61">
        <v>11</v>
      </c>
      <c r="P71" s="61">
        <v>17</v>
      </c>
      <c r="Q71" s="61">
        <v>24</v>
      </c>
      <c r="R71" s="61">
        <v>24</v>
      </c>
      <c r="S71" s="61">
        <v>24</v>
      </c>
      <c r="T71" s="74">
        <f>R71+5</f>
        <v>29</v>
      </c>
      <c r="U71" s="74">
        <f>T71</f>
        <v>29</v>
      </c>
      <c r="V71" s="74">
        <f t="shared" ref="V71:AC71" si="123">U71+5</f>
        <v>34</v>
      </c>
      <c r="W71" s="74">
        <f t="shared" si="123"/>
        <v>39</v>
      </c>
      <c r="X71" s="74">
        <f t="shared" si="123"/>
        <v>44</v>
      </c>
      <c r="Y71" s="74">
        <f t="shared" si="123"/>
        <v>49</v>
      </c>
      <c r="Z71" s="74">
        <f t="shared" si="123"/>
        <v>54</v>
      </c>
      <c r="AA71" s="74">
        <f t="shared" si="123"/>
        <v>59</v>
      </c>
      <c r="AB71" s="74">
        <f t="shared" si="123"/>
        <v>64</v>
      </c>
      <c r="AC71" s="74">
        <f t="shared" si="123"/>
        <v>69</v>
      </c>
      <c r="AD71" s="110"/>
      <c r="AE71" s="51"/>
      <c r="AF71" s="1"/>
      <c r="AG71" s="1"/>
      <c r="AH71" s="1"/>
      <c r="AI71" s="1"/>
      <c r="AJ71" s="1"/>
      <c r="AK71" s="1"/>
      <c r="AL71" s="1"/>
      <c r="AM71" s="1"/>
      <c r="AN71" s="1"/>
      <c r="AO71" s="1"/>
      <c r="AP71" s="1"/>
      <c r="AQ71" s="1"/>
      <c r="AR71" s="1"/>
      <c r="AS71" s="1"/>
      <c r="AT71" s="1"/>
      <c r="AU71" s="1"/>
      <c r="AV71" s="1"/>
      <c r="AW71" s="1"/>
      <c r="AX71" s="1"/>
      <c r="AY71" s="1"/>
      <c r="AZ71" s="1"/>
      <c r="BA71" s="1"/>
      <c r="BB71" s="1"/>
      <c r="BC71" s="1"/>
      <c r="BD71" s="1"/>
      <c r="BE71" s="1"/>
      <c r="BF71" s="1"/>
      <c r="BG71" s="1"/>
      <c r="BH71" s="1"/>
      <c r="BI71" s="1"/>
      <c r="BJ71" s="1"/>
      <c r="BK71" s="1"/>
    </row>
    <row r="72" spans="1:63" ht="18" hidden="1" customHeight="1" outlineLevel="2" x14ac:dyDescent="0.25">
      <c r="A72" s="1"/>
      <c r="B72" s="55" t="s">
        <v>337</v>
      </c>
      <c r="C72" s="61"/>
      <c r="D72" s="61"/>
      <c r="E72" s="61"/>
      <c r="F72" s="61"/>
      <c r="G72" s="61"/>
      <c r="H72" s="61"/>
      <c r="I72" s="61"/>
      <c r="J72" s="61"/>
      <c r="K72" s="61"/>
      <c r="L72" s="61"/>
      <c r="M72" s="61"/>
      <c r="N72" s="61"/>
      <c r="O72" s="61">
        <v>3</v>
      </c>
      <c r="P72" s="61">
        <v>3</v>
      </c>
      <c r="Q72" s="61">
        <v>2</v>
      </c>
      <c r="R72" s="61">
        <v>1</v>
      </c>
      <c r="S72" s="61">
        <v>1</v>
      </c>
      <c r="T72" s="74">
        <f>R72</f>
        <v>1</v>
      </c>
      <c r="U72" s="74">
        <v>1</v>
      </c>
      <c r="V72" s="74">
        <v>0</v>
      </c>
      <c r="W72" s="74">
        <f t="shared" ref="W72:AC72" si="124">V72</f>
        <v>0</v>
      </c>
      <c r="X72" s="74">
        <f t="shared" si="124"/>
        <v>0</v>
      </c>
      <c r="Y72" s="74">
        <f t="shared" si="124"/>
        <v>0</v>
      </c>
      <c r="Z72" s="74">
        <f t="shared" si="124"/>
        <v>0</v>
      </c>
      <c r="AA72" s="74">
        <f t="shared" si="124"/>
        <v>0</v>
      </c>
      <c r="AB72" s="74">
        <f t="shared" si="124"/>
        <v>0</v>
      </c>
      <c r="AC72" s="74">
        <f t="shared" si="124"/>
        <v>0</v>
      </c>
      <c r="AD72" s="110"/>
      <c r="AE72" s="51"/>
      <c r="AF72" s="1"/>
      <c r="AG72" s="1"/>
      <c r="AH72" s="1"/>
      <c r="AI72" s="1"/>
      <c r="AJ72" s="1"/>
      <c r="AK72" s="1"/>
      <c r="AL72" s="1"/>
      <c r="AM72" s="1"/>
      <c r="AN72" s="1"/>
      <c r="AO72" s="1"/>
      <c r="AP72" s="1"/>
      <c r="AQ72" s="1"/>
      <c r="AR72" s="1"/>
      <c r="AS72" s="1"/>
      <c r="AT72" s="1"/>
      <c r="AU72" s="1"/>
      <c r="AV72" s="1"/>
      <c r="AW72" s="1"/>
      <c r="AX72" s="1"/>
      <c r="AY72" s="1"/>
      <c r="AZ72" s="1"/>
      <c r="BA72" s="1"/>
      <c r="BB72" s="1"/>
      <c r="BC72" s="1"/>
      <c r="BD72" s="1"/>
      <c r="BE72" s="1"/>
      <c r="BF72" s="1"/>
      <c r="BG72" s="1"/>
      <c r="BH72" s="1"/>
      <c r="BI72" s="1"/>
      <c r="BJ72" s="1"/>
      <c r="BK72" s="1"/>
    </row>
    <row r="73" spans="1:63" ht="18" hidden="1" customHeight="1" outlineLevel="1" collapsed="1" x14ac:dyDescent="0.25">
      <c r="A73" s="1"/>
      <c r="B73" s="54" t="s">
        <v>326</v>
      </c>
      <c r="C73" s="61"/>
      <c r="D73" s="61"/>
      <c r="E73" s="61"/>
      <c r="F73" s="61"/>
      <c r="G73" s="61"/>
      <c r="H73" s="61"/>
      <c r="I73" s="61"/>
      <c r="J73" s="61"/>
      <c r="K73" s="61"/>
      <c r="L73" s="61"/>
      <c r="M73" s="61"/>
      <c r="N73" s="61"/>
      <c r="O73" s="61">
        <f>O68/O69</f>
        <v>6166.7131436993659</v>
      </c>
      <c r="P73" s="61">
        <f t="shared" ref="P73:U73" si="125">P68/P69</f>
        <v>7722.362496650524</v>
      </c>
      <c r="Q73" s="61">
        <f t="shared" si="125"/>
        <v>8614.7054659794794</v>
      </c>
      <c r="R73" s="61">
        <f t="shared" si="125"/>
        <v>2080.6192976471029</v>
      </c>
      <c r="S73" s="61">
        <f t="shared" si="125"/>
        <v>2307.4626865671644</v>
      </c>
      <c r="T73" s="74">
        <f t="shared" si="125"/>
        <v>5863.2675807925098</v>
      </c>
      <c r="U73" s="74">
        <f t="shared" si="125"/>
        <v>9838.8681925625169</v>
      </c>
      <c r="V73" s="74">
        <f t="shared" ref="V73:AC73" si="126">U73*(1+V74)</f>
        <v>11364.548192396491</v>
      </c>
      <c r="W73" s="74">
        <f t="shared" si="126"/>
        <v>12974.092428174727</v>
      </c>
      <c r="X73" s="74">
        <f t="shared" si="126"/>
        <v>14637.247048857269</v>
      </c>
      <c r="Y73" s="74">
        <f t="shared" si="126"/>
        <v>16316.905577870921</v>
      </c>
      <c r="Z73" s="74">
        <f t="shared" si="126"/>
        <v>17970.040860053079</v>
      </c>
      <c r="AA73" s="74">
        <f t="shared" si="126"/>
        <v>19549.179335456043</v>
      </c>
      <c r="AB73" s="74">
        <f t="shared" si="126"/>
        <v>21004.382868275785</v>
      </c>
      <c r="AC73" s="74">
        <f t="shared" si="126"/>
        <v>22285.650223240606</v>
      </c>
      <c r="AD73" s="110">
        <f>(U73/O73)^(1/COUNTA($P$7:$R$7))-1</f>
        <v>0.16850470445803967</v>
      </c>
      <c r="AE73" s="51"/>
      <c r="AF73" s="1"/>
      <c r="AG73" s="1"/>
      <c r="AH73" s="1"/>
      <c r="AI73" s="1"/>
      <c r="AJ73" s="1"/>
      <c r="AK73" s="1"/>
      <c r="AL73" s="1"/>
      <c r="AM73" s="1"/>
      <c r="AN73" s="1"/>
      <c r="AO73" s="1"/>
      <c r="AP73" s="1"/>
      <c r="AQ73" s="1"/>
      <c r="AR73" s="1"/>
      <c r="AS73" s="1"/>
      <c r="AT73" s="1"/>
      <c r="AU73" s="1"/>
      <c r="AV73" s="1"/>
      <c r="AW73" s="1"/>
      <c r="AX73" s="1"/>
      <c r="AY73" s="1"/>
      <c r="AZ73" s="1"/>
      <c r="BA73" s="1"/>
      <c r="BB73" s="1"/>
      <c r="BC73" s="1"/>
      <c r="BD73" s="1"/>
      <c r="BE73" s="1"/>
      <c r="BF73" s="1"/>
      <c r="BG73" s="1"/>
      <c r="BH73" s="1"/>
      <c r="BI73" s="1"/>
      <c r="BJ73" s="1"/>
      <c r="BK73" s="1"/>
    </row>
    <row r="74" spans="1:63" ht="18" hidden="1" customHeight="1" outlineLevel="1" x14ac:dyDescent="0.25">
      <c r="A74" s="1"/>
      <c r="B74" s="77" t="s">
        <v>342</v>
      </c>
      <c r="C74" s="61"/>
      <c r="D74" s="61"/>
      <c r="E74" s="61"/>
      <c r="F74" s="61"/>
      <c r="G74" s="61"/>
      <c r="H74" s="61"/>
      <c r="I74" s="61"/>
      <c r="J74" s="61"/>
      <c r="K74" s="61"/>
      <c r="L74" s="61"/>
      <c r="M74" s="61"/>
      <c r="N74" s="61"/>
      <c r="O74" s="80">
        <v>0</v>
      </c>
      <c r="P74" s="80">
        <f>P73/O73-1</f>
        <v>0.25226556136158051</v>
      </c>
      <c r="Q74" s="80">
        <f>Q73/P73-1</f>
        <v>0.11555310563522458</v>
      </c>
      <c r="R74" s="80"/>
      <c r="S74" s="80"/>
      <c r="T74" s="148"/>
      <c r="U74" s="148">
        <f>AD73</f>
        <v>0.16850470445803967</v>
      </c>
      <c r="V74" s="148">
        <f>($AC74-$U74)/8+U74</f>
        <v>0.1550666164007847</v>
      </c>
      <c r="W74" s="148">
        <f t="shared" ref="W74:AB74" si="127">($AC74-$U74)/8+V74</f>
        <v>0.14162852834352974</v>
      </c>
      <c r="X74" s="148">
        <f t="shared" si="127"/>
        <v>0.12819044028627477</v>
      </c>
      <c r="Y74" s="148">
        <f t="shared" si="127"/>
        <v>0.11475235222901981</v>
      </c>
      <c r="Z74" s="148">
        <f t="shared" si="127"/>
        <v>0.10131426417176484</v>
      </c>
      <c r="AA74" s="148">
        <f t="shared" si="127"/>
        <v>8.7876176114509874E-2</v>
      </c>
      <c r="AB74" s="148">
        <f t="shared" si="127"/>
        <v>7.4438088057254909E-2</v>
      </c>
      <c r="AC74" s="148">
        <f>'Painel de Índices'!$Z$45</f>
        <v>6.0999999999999999E-2</v>
      </c>
      <c r="AD74" s="110"/>
      <c r="AE74" s="51"/>
      <c r="AF74" s="1"/>
      <c r="AG74" s="1"/>
      <c r="AH74" s="1"/>
      <c r="AI74" s="1"/>
      <c r="AJ74" s="1"/>
      <c r="AK74" s="1"/>
      <c r="AL74" s="1"/>
      <c r="AM74" s="1"/>
      <c r="AN74" s="1"/>
      <c r="AO74" s="1"/>
      <c r="AP74" s="1"/>
      <c r="AQ74" s="1"/>
      <c r="AR74" s="1"/>
      <c r="AS74" s="1"/>
      <c r="AT74" s="1"/>
      <c r="AU74" s="1"/>
      <c r="AV74" s="1"/>
      <c r="AW74" s="1"/>
      <c r="AX74" s="1"/>
      <c r="AY74" s="1"/>
      <c r="AZ74" s="1"/>
      <c r="BA74" s="1"/>
      <c r="BB74" s="1"/>
      <c r="BC74" s="1"/>
      <c r="BD74" s="1"/>
      <c r="BE74" s="1"/>
      <c r="BF74" s="1"/>
      <c r="BG74" s="1"/>
      <c r="BH74" s="1"/>
      <c r="BI74" s="1"/>
      <c r="BJ74" s="1"/>
      <c r="BK74" s="1"/>
    </row>
    <row r="75" spans="1:63" ht="18" hidden="1" customHeight="1" outlineLevel="1" x14ac:dyDescent="0.25">
      <c r="A75" s="1"/>
      <c r="B75" s="146" t="s">
        <v>311</v>
      </c>
      <c r="C75" s="61"/>
      <c r="D75" s="61"/>
      <c r="E75" s="61"/>
      <c r="F75" s="61"/>
      <c r="G75" s="61"/>
      <c r="H75" s="61"/>
      <c r="I75" s="61"/>
      <c r="J75" s="61"/>
      <c r="K75" s="61"/>
      <c r="L75" s="61"/>
      <c r="M75" s="61"/>
      <c r="N75" s="61"/>
      <c r="O75" s="90">
        <v>266121.93702813063</v>
      </c>
      <c r="P75" s="90">
        <v>305042.16749691393</v>
      </c>
      <c r="Q75" s="90">
        <v>440334.44466783345</v>
      </c>
      <c r="R75" s="90">
        <v>105814.65347000099</v>
      </c>
      <c r="S75" s="90">
        <v>104200</v>
      </c>
      <c r="T75" s="141">
        <f>(R75+S75)*Sazonalidade!P48</f>
        <v>291277.35704011732</v>
      </c>
      <c r="U75" s="141">
        <f>T75+R75+S75</f>
        <v>501292.01051011833</v>
      </c>
      <c r="V75" s="141">
        <f t="shared" ref="V75:AC75" si="128">U75*(1+V76)</f>
        <v>601162.91516763403</v>
      </c>
      <c r="W75" s="141">
        <f t="shared" si="128"/>
        <v>699420.1392788497</v>
      </c>
      <c r="X75" s="141">
        <f t="shared" si="128"/>
        <v>788710.56312235782</v>
      </c>
      <c r="Y75" s="141">
        <f t="shared" si="128"/>
        <v>861178.67040884832</v>
      </c>
      <c r="Z75" s="141">
        <f t="shared" si="128"/>
        <v>909490.79381878476</v>
      </c>
      <c r="AA75" s="141">
        <f t="shared" si="128"/>
        <v>962514.10709841992</v>
      </c>
      <c r="AB75" s="141">
        <f t="shared" si="128"/>
        <v>1020168.7021136153</v>
      </c>
      <c r="AC75" s="141">
        <f t="shared" si="128"/>
        <v>1082398.9929425458</v>
      </c>
      <c r="AD75" s="110">
        <f>(U75/O75)^(1/COUNTA($P$7:$R$7))-1</f>
        <v>0.23500875319079584</v>
      </c>
      <c r="AE75" s="51"/>
      <c r="AF75" s="1"/>
      <c r="AG75" s="1"/>
      <c r="AH75" s="1"/>
      <c r="AI75" s="1"/>
      <c r="AJ75" s="1"/>
      <c r="AK75" s="1"/>
      <c r="AL75" s="1"/>
      <c r="AM75" s="1"/>
      <c r="AN75" s="1"/>
      <c r="AO75" s="1"/>
      <c r="AP75" s="1"/>
      <c r="AQ75" s="1"/>
      <c r="AR75" s="1"/>
      <c r="AS75" s="1"/>
      <c r="AT75" s="1"/>
      <c r="AU75" s="1"/>
      <c r="AV75" s="1"/>
      <c r="AW75" s="1"/>
      <c r="AX75" s="1"/>
      <c r="AY75" s="1"/>
      <c r="AZ75" s="1"/>
      <c r="BA75" s="1"/>
      <c r="BB75" s="1"/>
      <c r="BC75" s="1"/>
      <c r="BD75" s="1"/>
      <c r="BE75" s="1"/>
      <c r="BF75" s="1"/>
      <c r="BG75" s="1"/>
      <c r="BH75" s="1"/>
      <c r="BI75" s="1"/>
      <c r="BJ75" s="1"/>
      <c r="BK75" s="1"/>
    </row>
    <row r="76" spans="1:63" ht="18" hidden="1" customHeight="1" outlineLevel="1" x14ac:dyDescent="0.25">
      <c r="A76" s="1"/>
      <c r="B76" s="77" t="s">
        <v>342</v>
      </c>
      <c r="C76" s="61"/>
      <c r="D76" s="61"/>
      <c r="E76" s="61"/>
      <c r="F76" s="61"/>
      <c r="G76" s="61"/>
      <c r="H76" s="61"/>
      <c r="I76" s="61"/>
      <c r="J76" s="61"/>
      <c r="K76" s="61"/>
      <c r="L76" s="61"/>
      <c r="M76" s="61"/>
      <c r="N76" s="61"/>
      <c r="O76" s="80">
        <v>0</v>
      </c>
      <c r="P76" s="80">
        <f t="shared" ref="P76" si="129">P75/O75-1</f>
        <v>0.1462496136298197</v>
      </c>
      <c r="Q76" s="80">
        <f t="shared" ref="Q76" si="130">Q75/P75-1</f>
        <v>0.44351991818405967</v>
      </c>
      <c r="R76" s="80"/>
      <c r="S76" s="80"/>
      <c r="T76" s="148"/>
      <c r="U76" s="148">
        <f>AD75</f>
        <v>0.23500875319079584</v>
      </c>
      <c r="V76" s="148">
        <f>($Z76-$U76)/5+U76</f>
        <v>0.19922700255263667</v>
      </c>
      <c r="W76" s="148">
        <f t="shared" ref="W76:Y76" si="131">($Z76-$U76)/5+V76</f>
        <v>0.16344525191447751</v>
      </c>
      <c r="X76" s="148">
        <f t="shared" si="131"/>
        <v>0.12766350127631834</v>
      </c>
      <c r="Y76" s="148">
        <f t="shared" si="131"/>
        <v>9.1881750638159176E-2</v>
      </c>
      <c r="Z76" s="148">
        <f>'Painel de Índices'!W45</f>
        <v>5.6099999999999997E-2</v>
      </c>
      <c r="AA76" s="148">
        <f>'Painel de Índices'!X45</f>
        <v>5.8299999999999998E-2</v>
      </c>
      <c r="AB76" s="148">
        <f>'Painel de Índices'!Y45</f>
        <v>5.9900000000000002E-2</v>
      </c>
      <c r="AC76" s="148">
        <f>'Painel de Índices'!Z45</f>
        <v>6.0999999999999999E-2</v>
      </c>
      <c r="AD76" s="110"/>
      <c r="AE76" s="51"/>
      <c r="AF76" s="1"/>
      <c r="AG76" s="1"/>
      <c r="AH76" s="1"/>
      <c r="AI76" s="1"/>
      <c r="AJ76" s="1"/>
      <c r="AK76" s="1"/>
      <c r="AL76" s="1"/>
      <c r="AM76" s="1"/>
      <c r="AN76" s="1"/>
      <c r="AO76" s="1"/>
      <c r="AP76" s="1"/>
      <c r="AQ76" s="1"/>
      <c r="AR76" s="1"/>
      <c r="AS76" s="1"/>
      <c r="AT76" s="1"/>
      <c r="AU76" s="1"/>
      <c r="AV76" s="1"/>
      <c r="AW76" s="1"/>
      <c r="AX76" s="1"/>
      <c r="AY76" s="1"/>
      <c r="AZ76" s="1"/>
      <c r="BA76" s="1"/>
      <c r="BB76" s="1"/>
      <c r="BC76" s="1"/>
      <c r="BD76" s="1"/>
      <c r="BE76" s="1"/>
      <c r="BF76" s="1"/>
      <c r="BG76" s="1"/>
      <c r="BH76" s="1"/>
      <c r="BI76" s="1"/>
      <c r="BJ76" s="1"/>
      <c r="BK76" s="1"/>
    </row>
    <row r="77" spans="1:63" ht="18" hidden="1" customHeight="1" outlineLevel="1" x14ac:dyDescent="0.25">
      <c r="A77" s="1"/>
      <c r="B77" s="146" t="s">
        <v>313</v>
      </c>
      <c r="C77" s="61"/>
      <c r="D77" s="61"/>
      <c r="E77" s="61"/>
      <c r="F77" s="61"/>
      <c r="G77" s="61"/>
      <c r="H77" s="61"/>
      <c r="I77" s="61"/>
      <c r="J77" s="61"/>
      <c r="K77" s="61"/>
      <c r="L77" s="61"/>
      <c r="M77" s="61"/>
      <c r="N77" s="61"/>
      <c r="O77" s="90">
        <v>767774.18689999986</v>
      </c>
      <c r="P77" s="90">
        <v>787484.86675000004</v>
      </c>
      <c r="Q77" s="90">
        <v>823484.42972999939</v>
      </c>
      <c r="R77" s="90">
        <v>170665.582066898</v>
      </c>
      <c r="S77" s="90">
        <v>174100</v>
      </c>
      <c r="T77" s="141">
        <f>(R77+S77)*Sazonalidade!P49</f>
        <v>450993.52125359484</v>
      </c>
      <c r="U77" s="141">
        <f>T77+R77+S77</f>
        <v>795759.1033204929</v>
      </c>
      <c r="V77" s="141">
        <f t="shared" ref="V77:AC77" si="132">V78*V82</f>
        <v>838684.13760094438</v>
      </c>
      <c r="W77" s="141">
        <f t="shared" si="132"/>
        <v>884770.24830714054</v>
      </c>
      <c r="X77" s="141">
        <f t="shared" si="132"/>
        <v>934280.88368394529</v>
      </c>
      <c r="Y77" s="141">
        <f t="shared" si="132"/>
        <v>987504.06130165129</v>
      </c>
      <c r="Z77" s="141">
        <f t="shared" si="132"/>
        <v>1044754.8549559255</v>
      </c>
      <c r="AA77" s="141">
        <f t="shared" si="132"/>
        <v>1106378.1521139741</v>
      </c>
      <c r="AB77" s="141">
        <f t="shared" si="132"/>
        <v>1172751.7131819795</v>
      </c>
      <c r="AC77" s="141">
        <f t="shared" si="132"/>
        <v>1244289.5676860802</v>
      </c>
      <c r="AD77" s="110"/>
      <c r="AE77" s="5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row>
    <row r="78" spans="1:63" ht="18" hidden="1" customHeight="1" outlineLevel="1" x14ac:dyDescent="0.25">
      <c r="A78" s="1"/>
      <c r="B78" s="54" t="s">
        <v>334</v>
      </c>
      <c r="C78" s="61"/>
      <c r="D78" s="61"/>
      <c r="E78" s="61"/>
      <c r="F78" s="61"/>
      <c r="G78" s="61"/>
      <c r="H78" s="61"/>
      <c r="I78" s="61"/>
      <c r="J78" s="61"/>
      <c r="K78" s="61"/>
      <c r="L78" s="61"/>
      <c r="M78" s="61"/>
      <c r="N78" s="61"/>
      <c r="O78" s="61">
        <f>O79+O80+O81</f>
        <v>715</v>
      </c>
      <c r="P78" s="61">
        <f t="shared" ref="P78" si="133">P79+P80+P81</f>
        <v>671</v>
      </c>
      <c r="Q78" s="61">
        <f t="shared" ref="Q78:T78" si="134">Q79+Q80+Q81</f>
        <v>633</v>
      </c>
      <c r="R78" s="61">
        <f t="shared" si="134"/>
        <v>618</v>
      </c>
      <c r="S78" s="61">
        <f t="shared" si="134"/>
        <v>605</v>
      </c>
      <c r="T78" s="74">
        <f t="shared" si="134"/>
        <v>606</v>
      </c>
      <c r="U78" s="74">
        <f>Q78</f>
        <v>633</v>
      </c>
      <c r="V78" s="74">
        <f t="shared" ref="V78:AC78" si="135">U78</f>
        <v>633</v>
      </c>
      <c r="W78" s="74">
        <f t="shared" si="135"/>
        <v>633</v>
      </c>
      <c r="X78" s="74">
        <f t="shared" si="135"/>
        <v>633</v>
      </c>
      <c r="Y78" s="74">
        <f t="shared" si="135"/>
        <v>633</v>
      </c>
      <c r="Z78" s="74">
        <f t="shared" si="135"/>
        <v>633</v>
      </c>
      <c r="AA78" s="74">
        <f t="shared" si="135"/>
        <v>633</v>
      </c>
      <c r="AB78" s="74">
        <f t="shared" si="135"/>
        <v>633</v>
      </c>
      <c r="AC78" s="74">
        <f t="shared" si="135"/>
        <v>633</v>
      </c>
      <c r="AD78" s="110"/>
      <c r="AE78" s="5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row>
    <row r="79" spans="1:63" ht="18" hidden="1" customHeight="1" outlineLevel="2" x14ac:dyDescent="0.25">
      <c r="A79" s="1"/>
      <c r="B79" s="55" t="s">
        <v>335</v>
      </c>
      <c r="C79" s="61"/>
      <c r="D79" s="61"/>
      <c r="E79" s="61"/>
      <c r="F79" s="61"/>
      <c r="G79" s="61"/>
      <c r="H79" s="61"/>
      <c r="I79" s="61"/>
      <c r="J79" s="61"/>
      <c r="K79" s="61"/>
      <c r="L79" s="61"/>
      <c r="M79" s="61"/>
      <c r="N79" s="61"/>
      <c r="O79" s="61">
        <v>686</v>
      </c>
      <c r="P79" s="61">
        <v>636</v>
      </c>
      <c r="Q79" s="61">
        <v>585</v>
      </c>
      <c r="R79" s="61">
        <v>568</v>
      </c>
      <c r="S79" s="61">
        <v>553</v>
      </c>
      <c r="T79" s="74">
        <f>S79</f>
        <v>553</v>
      </c>
      <c r="U79" s="74">
        <f>T79</f>
        <v>553</v>
      </c>
      <c r="V79" s="74">
        <f t="shared" ref="V79:AC79" si="136">U79</f>
        <v>553</v>
      </c>
      <c r="W79" s="74">
        <f t="shared" si="136"/>
        <v>553</v>
      </c>
      <c r="X79" s="74">
        <f t="shared" si="136"/>
        <v>553</v>
      </c>
      <c r="Y79" s="74">
        <f t="shared" si="136"/>
        <v>553</v>
      </c>
      <c r="Z79" s="74">
        <f t="shared" si="136"/>
        <v>553</v>
      </c>
      <c r="AA79" s="74">
        <f t="shared" si="136"/>
        <v>553</v>
      </c>
      <c r="AB79" s="74">
        <f t="shared" si="136"/>
        <v>553</v>
      </c>
      <c r="AC79" s="74">
        <f t="shared" si="136"/>
        <v>553</v>
      </c>
      <c r="AD79" s="110"/>
      <c r="AE79" s="5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row>
    <row r="80" spans="1:63" ht="18" hidden="1" customHeight="1" outlineLevel="2" x14ac:dyDescent="0.25">
      <c r="A80" s="1"/>
      <c r="B80" s="55" t="s">
        <v>336</v>
      </c>
      <c r="C80" s="61"/>
      <c r="D80" s="61"/>
      <c r="E80" s="61"/>
      <c r="F80" s="61"/>
      <c r="G80" s="61"/>
      <c r="H80" s="61"/>
      <c r="I80" s="61"/>
      <c r="J80" s="61"/>
      <c r="K80" s="61"/>
      <c r="L80" s="61"/>
      <c r="M80" s="61"/>
      <c r="N80" s="61"/>
      <c r="O80" s="61">
        <v>10</v>
      </c>
      <c r="P80" s="61">
        <v>16</v>
      </c>
      <c r="Q80" s="61">
        <v>28</v>
      </c>
      <c r="R80" s="61">
        <v>30</v>
      </c>
      <c r="S80" s="61">
        <v>32</v>
      </c>
      <c r="T80" s="74">
        <f>33</f>
        <v>33</v>
      </c>
      <c r="U80" s="74">
        <f>Q80+5</f>
        <v>33</v>
      </c>
      <c r="V80" s="74">
        <f t="shared" ref="V80:AC80" si="137">U80+5</f>
        <v>38</v>
      </c>
      <c r="W80" s="74">
        <f t="shared" si="137"/>
        <v>43</v>
      </c>
      <c r="X80" s="74">
        <f t="shared" si="137"/>
        <v>48</v>
      </c>
      <c r="Y80" s="74">
        <f t="shared" si="137"/>
        <v>53</v>
      </c>
      <c r="Z80" s="74">
        <f t="shared" si="137"/>
        <v>58</v>
      </c>
      <c r="AA80" s="74">
        <f t="shared" si="137"/>
        <v>63</v>
      </c>
      <c r="AB80" s="74">
        <f t="shared" si="137"/>
        <v>68</v>
      </c>
      <c r="AC80" s="74">
        <f t="shared" si="137"/>
        <v>73</v>
      </c>
      <c r="AD80" s="110"/>
      <c r="AE80" s="5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row>
    <row r="81" spans="1:63" ht="18" hidden="1" customHeight="1" outlineLevel="2" x14ac:dyDescent="0.25">
      <c r="A81" s="1"/>
      <c r="B81" s="55" t="s">
        <v>337</v>
      </c>
      <c r="C81" s="61"/>
      <c r="D81" s="61"/>
      <c r="E81" s="61"/>
      <c r="F81" s="61"/>
      <c r="G81" s="61"/>
      <c r="H81" s="61"/>
      <c r="I81" s="61"/>
      <c r="J81" s="61"/>
      <c r="K81" s="61"/>
      <c r="L81" s="61"/>
      <c r="M81" s="61"/>
      <c r="N81" s="61"/>
      <c r="O81" s="61">
        <v>19</v>
      </c>
      <c r="P81" s="61">
        <v>19</v>
      </c>
      <c r="Q81" s="61">
        <v>20</v>
      </c>
      <c r="R81" s="61">
        <v>20</v>
      </c>
      <c r="S81" s="61">
        <v>20</v>
      </c>
      <c r="T81" s="74">
        <f>R81</f>
        <v>20</v>
      </c>
      <c r="U81" s="74">
        <f>Q81</f>
        <v>20</v>
      </c>
      <c r="V81" s="74">
        <f t="shared" ref="V81:AC81" si="138">U81</f>
        <v>20</v>
      </c>
      <c r="W81" s="74">
        <f t="shared" si="138"/>
        <v>20</v>
      </c>
      <c r="X81" s="74">
        <f t="shared" si="138"/>
        <v>20</v>
      </c>
      <c r="Y81" s="74">
        <f t="shared" si="138"/>
        <v>20</v>
      </c>
      <c r="Z81" s="74">
        <f t="shared" si="138"/>
        <v>20</v>
      </c>
      <c r="AA81" s="74">
        <f t="shared" si="138"/>
        <v>20</v>
      </c>
      <c r="AB81" s="74">
        <f t="shared" si="138"/>
        <v>20</v>
      </c>
      <c r="AC81" s="74">
        <f t="shared" si="138"/>
        <v>20</v>
      </c>
      <c r="AD81" s="110"/>
      <c r="AE81" s="5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row>
    <row r="82" spans="1:63" ht="18" hidden="1" customHeight="1" outlineLevel="1" x14ac:dyDescent="0.25">
      <c r="A82" s="1"/>
      <c r="B82" s="54" t="s">
        <v>338</v>
      </c>
      <c r="C82" s="61"/>
      <c r="D82" s="61"/>
      <c r="E82" s="61"/>
      <c r="F82" s="61"/>
      <c r="G82" s="61"/>
      <c r="H82" s="61"/>
      <c r="I82" s="61"/>
      <c r="J82" s="61"/>
      <c r="K82" s="61"/>
      <c r="L82" s="61"/>
      <c r="M82" s="61"/>
      <c r="N82" s="61"/>
      <c r="O82" s="61">
        <f t="shared" ref="O82:Q82" si="139">O77/O78</f>
        <v>1073.8100516083914</v>
      </c>
      <c r="P82" s="61">
        <f t="shared" si="139"/>
        <v>1173.5989072280179</v>
      </c>
      <c r="Q82" s="61">
        <f t="shared" si="139"/>
        <v>1300.9232697156388</v>
      </c>
      <c r="R82" s="61">
        <f t="shared" ref="R82:U82" si="140">R77/R78</f>
        <v>276.15789978462459</v>
      </c>
      <c r="S82" s="61">
        <f t="shared" si="140"/>
        <v>287.76859504132233</v>
      </c>
      <c r="T82" s="74">
        <f t="shared" si="140"/>
        <v>744.21373144157565</v>
      </c>
      <c r="U82" s="74">
        <f t="shared" si="140"/>
        <v>1257.1233859723427</v>
      </c>
      <c r="V82" s="74">
        <f t="shared" ref="V82:AC82" si="141">U82*(1+V83)</f>
        <v>1324.9354464469895</v>
      </c>
      <c r="W82" s="74">
        <f t="shared" si="141"/>
        <v>1397.7413085420862</v>
      </c>
      <c r="X82" s="74">
        <f t="shared" si="141"/>
        <v>1475.957162217923</v>
      </c>
      <c r="Y82" s="74">
        <f t="shared" si="141"/>
        <v>1560.0380115349942</v>
      </c>
      <c r="Z82" s="74">
        <f t="shared" si="141"/>
        <v>1650.4816034058854</v>
      </c>
      <c r="AA82" s="74">
        <f t="shared" si="141"/>
        <v>1747.8327837503541</v>
      </c>
      <c r="AB82" s="74">
        <f t="shared" si="141"/>
        <v>1852.6883304612631</v>
      </c>
      <c r="AC82" s="74">
        <f t="shared" si="141"/>
        <v>1965.7023186194001</v>
      </c>
      <c r="AD82" s="110">
        <f>(U82/O82)^(1/COUNTA($P$7:$R$7))-1</f>
        <v>5.394224722197527E-2</v>
      </c>
      <c r="AE82" s="5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row>
    <row r="83" spans="1:63" ht="18" hidden="1" customHeight="1" outlineLevel="1" x14ac:dyDescent="0.25">
      <c r="A83" s="1"/>
      <c r="B83" s="77" t="s">
        <v>342</v>
      </c>
      <c r="C83" s="61"/>
      <c r="D83" s="61"/>
      <c r="E83" s="61"/>
      <c r="F83" s="61"/>
      <c r="G83" s="61"/>
      <c r="H83" s="61"/>
      <c r="I83" s="61"/>
      <c r="J83" s="61"/>
      <c r="K83" s="61"/>
      <c r="L83" s="61"/>
      <c r="M83" s="61"/>
      <c r="N83" s="61"/>
      <c r="O83" s="80">
        <v>0</v>
      </c>
      <c r="P83" s="80">
        <f>P82/O82-1</f>
        <v>9.2929709002219862E-2</v>
      </c>
      <c r="Q83" s="80">
        <f>Q82/P82-1</f>
        <v>0.10849052576945106</v>
      </c>
      <c r="R83" s="80">
        <v>0</v>
      </c>
      <c r="S83" s="80"/>
      <c r="T83" s="148">
        <v>0</v>
      </c>
      <c r="U83" s="148">
        <f>U82/Q82-1</f>
        <v>-3.3668306780975654E-2</v>
      </c>
      <c r="V83" s="148">
        <f>AD82</f>
        <v>5.394224722197527E-2</v>
      </c>
      <c r="W83" s="148">
        <f>($AC83-$V83)/7+V83</f>
        <v>5.4950497618835949E-2</v>
      </c>
      <c r="X83" s="148">
        <f t="shared" ref="X83:AB83" si="142">($AC83-$V83)/7+W83</f>
        <v>5.5958748015696627E-2</v>
      </c>
      <c r="Y83" s="148">
        <f t="shared" si="142"/>
        <v>5.6966998412557306E-2</v>
      </c>
      <c r="Z83" s="148">
        <f t="shared" si="142"/>
        <v>5.7975248809417984E-2</v>
      </c>
      <c r="AA83" s="148">
        <f t="shared" si="142"/>
        <v>5.8983499206278663E-2</v>
      </c>
      <c r="AB83" s="148">
        <f t="shared" si="142"/>
        <v>5.9991749603139341E-2</v>
      </c>
      <c r="AC83" s="148">
        <f>'Painel de Índices'!Z45</f>
        <v>6.0999999999999999E-2</v>
      </c>
      <c r="AD83" s="110"/>
      <c r="AE83" s="5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row>
    <row r="84" spans="1:63" ht="18" hidden="1" customHeight="1" outlineLevel="1" x14ac:dyDescent="0.25">
      <c r="A84" s="1"/>
      <c r="B84" s="146" t="s">
        <v>317</v>
      </c>
      <c r="C84" s="61"/>
      <c r="D84" s="61"/>
      <c r="E84" s="61"/>
      <c r="F84" s="61"/>
      <c r="G84" s="61"/>
      <c r="H84" s="61"/>
      <c r="I84" s="61"/>
      <c r="J84" s="61"/>
      <c r="K84" s="61"/>
      <c r="L84" s="61"/>
      <c r="M84" s="61"/>
      <c r="N84" s="61"/>
      <c r="O84" s="90">
        <v>731085.15157125215</v>
      </c>
      <c r="P84" s="90">
        <v>761422.25149009924</v>
      </c>
      <c r="Q84" s="90">
        <v>738497.22026535892</v>
      </c>
      <c r="R84" s="90">
        <v>194197.342323102</v>
      </c>
      <c r="S84" s="90">
        <v>199500</v>
      </c>
      <c r="T84" s="141">
        <f>(R84+S84)*Sazonalidade!P50</f>
        <v>395476.0837601361</v>
      </c>
      <c r="U84" s="141">
        <f>T84+R84+S84</f>
        <v>789173.4260832381</v>
      </c>
      <c r="V84" s="141">
        <f>U84*(1+V85)</f>
        <v>809544.29373814561</v>
      </c>
      <c r="W84" s="141">
        <f t="shared" ref="W84:AC84" si="143">V84</f>
        <v>809544.29373814561</v>
      </c>
      <c r="X84" s="141">
        <f t="shared" si="143"/>
        <v>809544.29373814561</v>
      </c>
      <c r="Y84" s="141">
        <f t="shared" si="143"/>
        <v>809544.29373814561</v>
      </c>
      <c r="Z84" s="141">
        <f t="shared" si="143"/>
        <v>809544.29373814561</v>
      </c>
      <c r="AA84" s="141">
        <f t="shared" si="143"/>
        <v>809544.29373814561</v>
      </c>
      <c r="AB84" s="141">
        <f t="shared" si="143"/>
        <v>809544.29373814561</v>
      </c>
      <c r="AC84" s="141">
        <f t="shared" si="143"/>
        <v>809544.29373814561</v>
      </c>
      <c r="AD84" s="110">
        <f>(U84/O84)^(1/COUNTA($P$7:$R$7))-1</f>
        <v>2.5812916377595974E-2</v>
      </c>
      <c r="AE84" s="5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row>
    <row r="85" spans="1:63" ht="18" hidden="1" customHeight="1" outlineLevel="1" x14ac:dyDescent="0.25">
      <c r="A85" s="1"/>
      <c r="B85" s="77" t="s">
        <v>342</v>
      </c>
      <c r="C85" s="61"/>
      <c r="D85" s="61"/>
      <c r="E85" s="61"/>
      <c r="F85" s="61"/>
      <c r="G85" s="61"/>
      <c r="H85" s="61"/>
      <c r="I85" s="61"/>
      <c r="J85" s="61"/>
      <c r="K85" s="61"/>
      <c r="L85" s="61"/>
      <c r="M85" s="61"/>
      <c r="N85" s="61"/>
      <c r="O85" s="80">
        <v>0</v>
      </c>
      <c r="P85" s="80">
        <f>P84/O84-1</f>
        <v>4.1495986963552056E-2</v>
      </c>
      <c r="Q85" s="80">
        <f>Q84/P84-1</f>
        <v>-3.0108170834088677E-2</v>
      </c>
      <c r="R85" s="80">
        <v>0</v>
      </c>
      <c r="S85" s="80"/>
      <c r="T85" s="148">
        <v>0</v>
      </c>
      <c r="U85" s="148">
        <f>U84/Q84-1</f>
        <v>6.8620713019976076E-2</v>
      </c>
      <c r="V85" s="148">
        <f>$AD$84</f>
        <v>2.5812916377595974E-2</v>
      </c>
      <c r="W85" s="148">
        <f t="shared" ref="W85:AC85" si="144">$AD$84</f>
        <v>2.5812916377595974E-2</v>
      </c>
      <c r="X85" s="148">
        <f t="shared" si="144"/>
        <v>2.5812916377595974E-2</v>
      </c>
      <c r="Y85" s="148">
        <f t="shared" si="144"/>
        <v>2.5812916377595974E-2</v>
      </c>
      <c r="Z85" s="148">
        <f t="shared" si="144"/>
        <v>2.5812916377595974E-2</v>
      </c>
      <c r="AA85" s="148">
        <f t="shared" si="144"/>
        <v>2.5812916377595974E-2</v>
      </c>
      <c r="AB85" s="148">
        <f t="shared" si="144"/>
        <v>2.5812916377595974E-2</v>
      </c>
      <c r="AC85" s="148">
        <f t="shared" si="144"/>
        <v>2.5812916377595974E-2</v>
      </c>
      <c r="AD85" s="110"/>
      <c r="AE85" s="5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row>
    <row r="86" spans="1:63" ht="18" hidden="1" customHeight="1" outlineLevel="1" x14ac:dyDescent="0.25">
      <c r="A86" s="1"/>
      <c r="B86" s="146" t="s">
        <v>314</v>
      </c>
      <c r="C86" s="61"/>
      <c r="D86" s="61"/>
      <c r="E86" s="61"/>
      <c r="F86" s="61"/>
      <c r="G86" s="61"/>
      <c r="H86" s="61"/>
      <c r="I86" s="61"/>
      <c r="J86" s="61"/>
      <c r="K86" s="61"/>
      <c r="L86" s="61"/>
      <c r="M86" s="61"/>
      <c r="N86" s="61"/>
      <c r="O86" s="90">
        <v>0</v>
      </c>
      <c r="P86" s="90">
        <v>0</v>
      </c>
      <c r="Q86" s="90">
        <v>0</v>
      </c>
      <c r="R86" s="90">
        <v>0</v>
      </c>
      <c r="S86" s="90">
        <v>0</v>
      </c>
      <c r="T86" s="74">
        <v>0</v>
      </c>
      <c r="U86" s="74">
        <v>0</v>
      </c>
      <c r="V86" s="74">
        <v>0</v>
      </c>
      <c r="W86" s="74">
        <v>0</v>
      </c>
      <c r="X86" s="74">
        <v>0</v>
      </c>
      <c r="Y86" s="74">
        <v>0</v>
      </c>
      <c r="Z86" s="74">
        <v>0</v>
      </c>
      <c r="AA86" s="74">
        <v>0</v>
      </c>
      <c r="AB86" s="74">
        <v>0</v>
      </c>
      <c r="AC86" s="74">
        <v>0</v>
      </c>
      <c r="AD86" s="110"/>
      <c r="AE86" s="5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row>
    <row r="87" spans="1:63" ht="18" hidden="1" customHeight="1" outlineLevel="1" x14ac:dyDescent="0.25">
      <c r="A87" s="1"/>
      <c r="B87" s="146" t="s">
        <v>25</v>
      </c>
      <c r="C87" s="61"/>
      <c r="D87" s="61"/>
      <c r="E87" s="61"/>
      <c r="F87" s="61"/>
      <c r="G87" s="61"/>
      <c r="H87" s="61"/>
      <c r="I87" s="61"/>
      <c r="J87" s="61"/>
      <c r="K87" s="61"/>
      <c r="L87" s="61"/>
      <c r="M87" s="61"/>
      <c r="N87" s="61"/>
      <c r="O87" s="90">
        <v>24679.150761916037</v>
      </c>
      <c r="P87" s="90">
        <v>19713.767090879028</v>
      </c>
      <c r="Q87" s="90">
        <v>23535.763937991665</v>
      </c>
      <c r="R87" s="90">
        <v>3913.4391000000001</v>
      </c>
      <c r="S87" s="90">
        <v>4100</v>
      </c>
      <c r="T87" s="141">
        <f>(R87+S87)*Sazonalidade!P51</f>
        <v>7903.6754160887931</v>
      </c>
      <c r="U87" s="141">
        <f>T87+R87+S87</f>
        <v>15917.114516088794</v>
      </c>
      <c r="V87" s="141">
        <f t="shared" ref="V87:AC87" si="145">U87</f>
        <v>15917.114516088794</v>
      </c>
      <c r="W87" s="141">
        <f t="shared" si="145"/>
        <v>15917.114516088794</v>
      </c>
      <c r="X87" s="141">
        <f t="shared" si="145"/>
        <v>15917.114516088794</v>
      </c>
      <c r="Y87" s="141">
        <f t="shared" si="145"/>
        <v>15917.114516088794</v>
      </c>
      <c r="Z87" s="141">
        <f t="shared" si="145"/>
        <v>15917.114516088794</v>
      </c>
      <c r="AA87" s="141">
        <f t="shared" si="145"/>
        <v>15917.114516088794</v>
      </c>
      <c r="AB87" s="141">
        <f t="shared" si="145"/>
        <v>15917.114516088794</v>
      </c>
      <c r="AC87" s="141">
        <f t="shared" si="145"/>
        <v>15917.114516088794</v>
      </c>
      <c r="AD87" s="110"/>
      <c r="AE87" s="5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row>
    <row r="88" spans="1:63" ht="18" hidden="1" customHeight="1" outlineLevel="1" thickBot="1" x14ac:dyDescent="0.3">
      <c r="A88" s="1"/>
      <c r="B88" s="153" t="s">
        <v>315</v>
      </c>
      <c r="C88" s="154"/>
      <c r="D88" s="154"/>
      <c r="E88" s="154"/>
      <c r="F88" s="154"/>
      <c r="G88" s="154"/>
      <c r="H88" s="154"/>
      <c r="I88" s="154"/>
      <c r="J88" s="154"/>
      <c r="K88" s="154"/>
      <c r="L88" s="154"/>
      <c r="M88" s="154"/>
      <c r="N88" s="154"/>
      <c r="O88" s="155">
        <v>149100</v>
      </c>
      <c r="P88" s="155">
        <v>165800</v>
      </c>
      <c r="Q88" s="155">
        <v>173700</v>
      </c>
      <c r="R88" s="155">
        <v>22900</v>
      </c>
      <c r="S88" s="155">
        <v>3000</v>
      </c>
      <c r="T88" s="151">
        <v>0</v>
      </c>
      <c r="U88" s="151">
        <f>T88+S88+R88</f>
        <v>25900</v>
      </c>
      <c r="V88" s="151">
        <v>0</v>
      </c>
      <c r="W88" s="151">
        <v>0</v>
      </c>
      <c r="X88" s="151">
        <v>0</v>
      </c>
      <c r="Y88" s="151">
        <v>0</v>
      </c>
      <c r="Z88" s="151">
        <v>0</v>
      </c>
      <c r="AA88" s="151">
        <v>0</v>
      </c>
      <c r="AB88" s="151">
        <v>0</v>
      </c>
      <c r="AC88" s="151">
        <v>0</v>
      </c>
      <c r="AD88" s="152"/>
      <c r="AE88" s="5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row>
    <row r="89" spans="1:63" ht="18" customHeight="1" collapsed="1" x14ac:dyDescent="0.25">
      <c r="A89" s="1"/>
      <c r="B89" s="147" t="s">
        <v>290</v>
      </c>
      <c r="C89" s="147"/>
      <c r="D89" s="147"/>
      <c r="E89" s="147"/>
      <c r="F89" s="147"/>
      <c r="G89" s="147"/>
      <c r="H89" s="147"/>
      <c r="I89" s="147"/>
      <c r="J89" s="147"/>
      <c r="K89" s="147"/>
      <c r="L89" s="147"/>
      <c r="M89" s="147"/>
      <c r="N89" s="147"/>
      <c r="O89" s="147">
        <f t="shared" ref="O89:AC89" si="146">O90+O96+O98+O102+O103+O104+O105</f>
        <v>1305510.3807235605</v>
      </c>
      <c r="P89" s="147">
        <f t="shared" si="146"/>
        <v>1647625.2140020449</v>
      </c>
      <c r="Q89" s="147">
        <f t="shared" si="146"/>
        <v>1947668.0559054094</v>
      </c>
      <c r="R89" s="147">
        <f t="shared" si="146"/>
        <v>388085.81698945363</v>
      </c>
      <c r="S89" s="147">
        <f t="shared" si="146"/>
        <v>430500</v>
      </c>
      <c r="T89" s="141">
        <f t="shared" si="146"/>
        <v>1235972.9294260445</v>
      </c>
      <c r="U89" s="141">
        <f t="shared" si="146"/>
        <v>2054558.7464154982</v>
      </c>
      <c r="V89" s="141">
        <f t="shared" si="146"/>
        <v>2269866.540430699</v>
      </c>
      <c r="W89" s="141">
        <f t="shared" si="146"/>
        <v>2538901.8414444667</v>
      </c>
      <c r="X89" s="141">
        <f t="shared" si="146"/>
        <v>2823010.3700689059</v>
      </c>
      <c r="Y89" s="141">
        <f t="shared" si="146"/>
        <v>3120307.6544172172</v>
      </c>
      <c r="Z89" s="141">
        <f t="shared" si="146"/>
        <v>3429387.7830770728</v>
      </c>
      <c r="AA89" s="141">
        <f t="shared" si="146"/>
        <v>3772154.1364488844</v>
      </c>
      <c r="AB89" s="141">
        <f t="shared" si="146"/>
        <v>4210702.4375237739</v>
      </c>
      <c r="AC89" s="141">
        <f t="shared" si="146"/>
        <v>4700607.4506655606</v>
      </c>
      <c r="AD89" s="181"/>
      <c r="AE89" s="5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row>
    <row r="90" spans="1:63" ht="18" hidden="1" customHeight="1" outlineLevel="1" x14ac:dyDescent="0.25">
      <c r="A90" s="1"/>
      <c r="B90" s="146" t="s">
        <v>316</v>
      </c>
      <c r="C90" s="61"/>
      <c r="D90" s="61"/>
      <c r="E90" s="61"/>
      <c r="F90" s="61"/>
      <c r="G90" s="61"/>
      <c r="H90" s="61"/>
      <c r="I90" s="61"/>
      <c r="J90" s="61"/>
      <c r="K90" s="61"/>
      <c r="L90" s="61"/>
      <c r="M90" s="61"/>
      <c r="N90" s="61"/>
      <c r="O90" s="90">
        <v>638315.51439768751</v>
      </c>
      <c r="P90" s="90">
        <v>720948.02630798274</v>
      </c>
      <c r="Q90" s="90">
        <v>857876.88969038636</v>
      </c>
      <c r="R90" s="90">
        <v>167359.44145989278</v>
      </c>
      <c r="S90" s="90">
        <v>207500</v>
      </c>
      <c r="T90" s="141">
        <f>(R90+S90)*Sazonalidade!P53</f>
        <v>605767.42559696839</v>
      </c>
      <c r="U90" s="141">
        <f>T90+R90+S90</f>
        <v>980626.86705686117</v>
      </c>
      <c r="V90" s="141">
        <f t="shared" ref="V90:AC90" si="147">V91*V94</f>
        <v>1107312.5162571517</v>
      </c>
      <c r="W90" s="141">
        <f t="shared" si="147"/>
        <v>1249158.5483361287</v>
      </c>
      <c r="X90" s="141">
        <f t="shared" si="147"/>
        <v>1407896.5025612921</v>
      </c>
      <c r="Y90" s="141">
        <f t="shared" si="147"/>
        <v>1585449.5640586275</v>
      </c>
      <c r="Z90" s="141">
        <f t="shared" si="147"/>
        <v>1783953.3002865389</v>
      </c>
      <c r="AA90" s="141">
        <f t="shared" si="147"/>
        <v>2005778.6032370778</v>
      </c>
      <c r="AB90" s="141">
        <f t="shared" si="147"/>
        <v>2312550.7094216826</v>
      </c>
      <c r="AC90" s="141">
        <f t="shared" si="147"/>
        <v>2659301.3688243846</v>
      </c>
      <c r="AD90" s="110"/>
      <c r="AE90" s="5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row>
    <row r="91" spans="1:63" ht="18" hidden="1" customHeight="1" outlineLevel="1" x14ac:dyDescent="0.25">
      <c r="A91" s="1"/>
      <c r="B91" s="54" t="s">
        <v>325</v>
      </c>
      <c r="C91" s="61"/>
      <c r="D91" s="61"/>
      <c r="E91" s="61"/>
      <c r="F91" s="61"/>
      <c r="G91" s="61"/>
      <c r="H91" s="61"/>
      <c r="I91" s="61"/>
      <c r="J91" s="61"/>
      <c r="K91" s="61"/>
      <c r="L91" s="61"/>
      <c r="M91" s="61"/>
      <c r="N91" s="61"/>
      <c r="O91" s="61">
        <f>O92+O93</f>
        <v>133</v>
      </c>
      <c r="P91" s="61">
        <f t="shared" ref="P91:T91" si="148">P92+P93</f>
        <v>150</v>
      </c>
      <c r="Q91" s="61">
        <f t="shared" si="148"/>
        <v>160</v>
      </c>
      <c r="R91" s="61">
        <f t="shared" si="148"/>
        <v>151</v>
      </c>
      <c r="S91" s="61">
        <f t="shared" si="148"/>
        <v>143</v>
      </c>
      <c r="T91" s="74">
        <f t="shared" si="148"/>
        <v>151</v>
      </c>
      <c r="U91" s="74">
        <f>U92+U93</f>
        <v>156</v>
      </c>
      <c r="V91" s="74">
        <f t="shared" ref="V91:AC91" si="149">V92+V93</f>
        <v>161</v>
      </c>
      <c r="W91" s="74">
        <f t="shared" si="149"/>
        <v>166</v>
      </c>
      <c r="X91" s="74">
        <f t="shared" si="149"/>
        <v>171</v>
      </c>
      <c r="Y91" s="74">
        <f t="shared" si="149"/>
        <v>176</v>
      </c>
      <c r="Z91" s="74">
        <f t="shared" si="149"/>
        <v>181</v>
      </c>
      <c r="AA91" s="74">
        <f t="shared" si="149"/>
        <v>186</v>
      </c>
      <c r="AB91" s="74">
        <f t="shared" si="149"/>
        <v>196</v>
      </c>
      <c r="AC91" s="74">
        <f t="shared" si="149"/>
        <v>206</v>
      </c>
      <c r="AD91" s="110"/>
      <c r="AE91" s="5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row>
    <row r="92" spans="1:63" ht="18" hidden="1" customHeight="1" outlineLevel="2" x14ac:dyDescent="0.25">
      <c r="A92" s="1"/>
      <c r="B92" s="55" t="s">
        <v>339</v>
      </c>
      <c r="C92" s="61"/>
      <c r="D92" s="61"/>
      <c r="E92" s="61"/>
      <c r="F92" s="61"/>
      <c r="G92" s="61"/>
      <c r="H92" s="61"/>
      <c r="I92" s="61"/>
      <c r="J92" s="61"/>
      <c r="K92" s="61"/>
      <c r="L92" s="61"/>
      <c r="M92" s="61"/>
      <c r="N92" s="61"/>
      <c r="O92" s="61">
        <v>104</v>
      </c>
      <c r="P92" s="61">
        <v>118</v>
      </c>
      <c r="Q92" s="61">
        <v>129</v>
      </c>
      <c r="R92" s="61">
        <v>122</v>
      </c>
      <c r="S92" s="61">
        <f>85+29</f>
        <v>114</v>
      </c>
      <c r="T92" s="74">
        <f>R92</f>
        <v>122</v>
      </c>
      <c r="U92" s="74">
        <f>T92+5</f>
        <v>127</v>
      </c>
      <c r="V92" s="74">
        <f t="shared" ref="V92:AA92" si="150">U92+5</f>
        <v>132</v>
      </c>
      <c r="W92" s="74">
        <f t="shared" si="150"/>
        <v>137</v>
      </c>
      <c r="X92" s="74">
        <f t="shared" si="150"/>
        <v>142</v>
      </c>
      <c r="Y92" s="74">
        <f t="shared" si="150"/>
        <v>147</v>
      </c>
      <c r="Z92" s="74">
        <f t="shared" si="150"/>
        <v>152</v>
      </c>
      <c r="AA92" s="74">
        <f t="shared" si="150"/>
        <v>157</v>
      </c>
      <c r="AB92" s="74">
        <f t="shared" ref="AB92:AC92" si="151">AA92+10</f>
        <v>167</v>
      </c>
      <c r="AC92" s="74">
        <f t="shared" si="151"/>
        <v>177</v>
      </c>
      <c r="AD92" s="110"/>
      <c r="AE92" s="51" t="s">
        <v>407</v>
      </c>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row>
    <row r="93" spans="1:63" ht="18" hidden="1" customHeight="1" outlineLevel="2" x14ac:dyDescent="0.25">
      <c r="A93" s="1"/>
      <c r="B93" s="55" t="s">
        <v>340</v>
      </c>
      <c r="C93" s="61"/>
      <c r="D93" s="61"/>
      <c r="E93" s="61"/>
      <c r="F93" s="61"/>
      <c r="G93" s="61"/>
      <c r="H93" s="61"/>
      <c r="I93" s="61"/>
      <c r="J93" s="61"/>
      <c r="K93" s="61"/>
      <c r="L93" s="61"/>
      <c r="M93" s="61"/>
      <c r="N93" s="61"/>
      <c r="O93" s="61">
        <v>29</v>
      </c>
      <c r="P93" s="61">
        <v>32</v>
      </c>
      <c r="Q93" s="61">
        <v>31</v>
      </c>
      <c r="R93" s="61">
        <v>29</v>
      </c>
      <c r="S93" s="61">
        <v>29</v>
      </c>
      <c r="T93" s="74">
        <f>S93</f>
        <v>29</v>
      </c>
      <c r="U93" s="74">
        <f>T93</f>
        <v>29</v>
      </c>
      <c r="V93" s="74">
        <f t="shared" ref="V93:AC93" si="152">U93</f>
        <v>29</v>
      </c>
      <c r="W93" s="74">
        <f t="shared" si="152"/>
        <v>29</v>
      </c>
      <c r="X93" s="74">
        <f t="shared" si="152"/>
        <v>29</v>
      </c>
      <c r="Y93" s="74">
        <f t="shared" si="152"/>
        <v>29</v>
      </c>
      <c r="Z93" s="74">
        <f t="shared" si="152"/>
        <v>29</v>
      </c>
      <c r="AA93" s="74">
        <f t="shared" si="152"/>
        <v>29</v>
      </c>
      <c r="AB93" s="74">
        <f t="shared" si="152"/>
        <v>29</v>
      </c>
      <c r="AC93" s="74">
        <f t="shared" si="152"/>
        <v>29</v>
      </c>
      <c r="AD93" s="110"/>
      <c r="AE93" s="5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row>
    <row r="94" spans="1:63" ht="18" hidden="1" customHeight="1" outlineLevel="1" collapsed="1" x14ac:dyDescent="0.25">
      <c r="A94" s="1"/>
      <c r="B94" s="54" t="s">
        <v>326</v>
      </c>
      <c r="C94" s="61"/>
      <c r="D94" s="61"/>
      <c r="E94" s="61"/>
      <c r="F94" s="61"/>
      <c r="G94" s="61"/>
      <c r="H94" s="61"/>
      <c r="I94" s="61"/>
      <c r="J94" s="61"/>
      <c r="K94" s="61"/>
      <c r="L94" s="61"/>
      <c r="M94" s="61"/>
      <c r="N94" s="61"/>
      <c r="O94" s="61">
        <f>O90/O91</f>
        <v>4799.3647699074245</v>
      </c>
      <c r="P94" s="61">
        <f t="shared" ref="P94:U94" si="153">P90/P91</f>
        <v>4806.3201753865515</v>
      </c>
      <c r="Q94" s="61">
        <f t="shared" si="153"/>
        <v>5361.7305605649144</v>
      </c>
      <c r="R94" s="61">
        <f t="shared" si="153"/>
        <v>1108.3406719198197</v>
      </c>
      <c r="S94" s="61">
        <f t="shared" si="153"/>
        <v>1451.048951048951</v>
      </c>
      <c r="T94" s="74">
        <f t="shared" si="153"/>
        <v>4011.7048052779364</v>
      </c>
      <c r="U94" s="74">
        <f t="shared" si="153"/>
        <v>6286.0696606209049</v>
      </c>
      <c r="V94" s="74">
        <f t="shared" ref="V94:AC94" si="154">U94*(1+$AD$94)</f>
        <v>6877.7174922804461</v>
      </c>
      <c r="W94" s="74">
        <f t="shared" si="154"/>
        <v>7525.0514960007758</v>
      </c>
      <c r="X94" s="74">
        <f t="shared" si="154"/>
        <v>8233.3128804753924</v>
      </c>
      <c r="Y94" s="74">
        <f t="shared" si="154"/>
        <v>9008.2361594240192</v>
      </c>
      <c r="Z94" s="74">
        <f t="shared" si="154"/>
        <v>9856.0955816935857</v>
      </c>
      <c r="AA94" s="74">
        <f t="shared" si="154"/>
        <v>10783.755931382138</v>
      </c>
      <c r="AB94" s="74">
        <f t="shared" si="154"/>
        <v>11798.728109294299</v>
      </c>
      <c r="AC94" s="74">
        <f t="shared" si="154"/>
        <v>12909.229945749439</v>
      </c>
      <c r="AD94" s="110">
        <f>(U94/O94)^(1/COUNTA($P$7:$R$7))-1</f>
        <v>9.4120470119178012E-2</v>
      </c>
      <c r="AE94" s="5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row>
    <row r="95" spans="1:63" ht="18" hidden="1" customHeight="1" outlineLevel="1" x14ac:dyDescent="0.25">
      <c r="A95" s="1"/>
      <c r="B95" s="77" t="s">
        <v>342</v>
      </c>
      <c r="C95" s="61"/>
      <c r="D95" s="61"/>
      <c r="E95" s="61"/>
      <c r="F95" s="61"/>
      <c r="G95" s="61"/>
      <c r="H95" s="61"/>
      <c r="I95" s="61"/>
      <c r="J95" s="61"/>
      <c r="K95" s="61"/>
      <c r="L95" s="61"/>
      <c r="M95" s="61"/>
      <c r="N95" s="61"/>
      <c r="O95" s="80">
        <v>0</v>
      </c>
      <c r="P95" s="80">
        <f>P94/O94-1</f>
        <v>1.4492345992824784E-3</v>
      </c>
      <c r="Q95" s="80">
        <f>Q94/P94-1</f>
        <v>0.11555834087430394</v>
      </c>
      <c r="R95" s="80"/>
      <c r="S95" s="80"/>
      <c r="T95" s="148"/>
      <c r="U95" s="148">
        <f>U94/Q94-1</f>
        <v>0.17239566397730388</v>
      </c>
      <c r="V95" s="148">
        <f>AD94</f>
        <v>9.4120470119178012E-2</v>
      </c>
      <c r="W95" s="148">
        <f>($AC95-$V95)/7+V95</f>
        <v>8.9388974387866874E-2</v>
      </c>
      <c r="X95" s="148">
        <f t="shared" ref="X95" si="155">($AC95-$U95)/8+W95</f>
        <v>7.5464516390703895E-2</v>
      </c>
      <c r="Y95" s="148">
        <f t="shared" ref="Y95" si="156">($AC95-$U95)/8+X95</f>
        <v>6.154005839354091E-2</v>
      </c>
      <c r="Z95" s="148">
        <f t="shared" ref="Z95" si="157">($AC95-$U95)/8+Y95</f>
        <v>4.7615600396377925E-2</v>
      </c>
      <c r="AA95" s="148">
        <f t="shared" ref="AA95" si="158">($AC95-$U95)/8+Z95</f>
        <v>3.3691142399214939E-2</v>
      </c>
      <c r="AB95" s="148">
        <f t="shared" ref="AB95" si="159">($AC95-$U95)/8+AA95</f>
        <v>1.9766684402051954E-2</v>
      </c>
      <c r="AC95" s="148">
        <f>'Painel de Índices'!$Z$45</f>
        <v>6.0999999999999999E-2</v>
      </c>
      <c r="AD95" s="110"/>
      <c r="AE95" s="5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row>
    <row r="96" spans="1:63" ht="18" hidden="1" customHeight="1" outlineLevel="1" x14ac:dyDescent="0.25">
      <c r="A96" s="1"/>
      <c r="B96" s="146" t="s">
        <v>311</v>
      </c>
      <c r="C96" s="61"/>
      <c r="D96" s="61"/>
      <c r="E96" s="61"/>
      <c r="F96" s="61"/>
      <c r="G96" s="61"/>
      <c r="H96" s="61"/>
      <c r="I96" s="61"/>
      <c r="J96" s="61"/>
      <c r="K96" s="61"/>
      <c r="L96" s="61"/>
      <c r="M96" s="61"/>
      <c r="N96" s="61"/>
      <c r="O96" s="90">
        <v>250137.73473596296</v>
      </c>
      <c r="P96" s="90">
        <v>440590.67723621218</v>
      </c>
      <c r="Q96" s="90">
        <v>507917.94101304282</v>
      </c>
      <c r="R96" s="90">
        <v>90475.068076570868</v>
      </c>
      <c r="S96" s="90">
        <v>95200</v>
      </c>
      <c r="T96" s="141">
        <f>(R96+S96)*Sazonalidade!P54</f>
        <v>332027.51365036832</v>
      </c>
      <c r="U96" s="141">
        <f>T96+R96+S96</f>
        <v>517702.58172693918</v>
      </c>
      <c r="V96" s="141">
        <f t="shared" ref="V96:AC96" si="160">U96*(1+V97)</f>
        <v>596813.42105863243</v>
      </c>
      <c r="W96" s="141">
        <f t="shared" si="160"/>
        <v>673583.63542843389</v>
      </c>
      <c r="X96" s="141">
        <f t="shared" si="160"/>
        <v>743943.27453866182</v>
      </c>
      <c r="Y96" s="141">
        <f t="shared" si="160"/>
        <v>803665.43504565011</v>
      </c>
      <c r="Z96" s="141">
        <f t="shared" si="160"/>
        <v>848751.06595171115</v>
      </c>
      <c r="AA96" s="141">
        <f t="shared" si="160"/>
        <v>898233.25309669587</v>
      </c>
      <c r="AB96" s="141">
        <f t="shared" si="160"/>
        <v>952037.42495718796</v>
      </c>
      <c r="AC96" s="141">
        <f t="shared" si="160"/>
        <v>1010111.7078795764</v>
      </c>
      <c r="AD96" s="110">
        <f>(U96/O96)^(1/COUNTA($P$7:$R$7))-1</f>
        <v>0.27438418346723359</v>
      </c>
      <c r="AE96" s="5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row>
    <row r="97" spans="1:63" ht="18" hidden="1" customHeight="1" outlineLevel="1" x14ac:dyDescent="0.25">
      <c r="A97" s="1"/>
      <c r="B97" s="77" t="s">
        <v>342</v>
      </c>
      <c r="C97" s="61"/>
      <c r="D97" s="61"/>
      <c r="E97" s="61"/>
      <c r="F97" s="61"/>
      <c r="G97" s="61"/>
      <c r="H97" s="61"/>
      <c r="I97" s="61"/>
      <c r="J97" s="61"/>
      <c r="K97" s="61"/>
      <c r="L97" s="61"/>
      <c r="M97" s="61"/>
      <c r="N97" s="61"/>
      <c r="O97" s="80">
        <v>0</v>
      </c>
      <c r="P97" s="80">
        <f>P96/O96-1</f>
        <v>0.76139228933725245</v>
      </c>
      <c r="Q97" s="80">
        <f>Q96/P96-1</f>
        <v>0.15281136722903188</v>
      </c>
      <c r="R97" s="80"/>
      <c r="S97" s="80"/>
      <c r="T97" s="148"/>
      <c r="U97" s="148">
        <f>U96/Q96-1</f>
        <v>1.926421558250313E-2</v>
      </c>
      <c r="V97" s="148">
        <f>Q97</f>
        <v>0.15281136722903188</v>
      </c>
      <c r="W97" s="148">
        <f>($Z97-$V97)/4+V97</f>
        <v>0.12863352542177392</v>
      </c>
      <c r="X97" s="148">
        <f t="shared" ref="X97:Y97" si="161">($Z97-$V97)/4+W97</f>
        <v>0.10445568361451595</v>
      </c>
      <c r="Y97" s="148">
        <f t="shared" si="161"/>
        <v>8.0277841807257971E-2</v>
      </c>
      <c r="Z97" s="148">
        <f>'Painel de Índices'!W45</f>
        <v>5.6099999999999997E-2</v>
      </c>
      <c r="AA97" s="148">
        <f>'Painel de Índices'!X45</f>
        <v>5.8299999999999998E-2</v>
      </c>
      <c r="AB97" s="148">
        <f>'Painel de Índices'!Y45</f>
        <v>5.9900000000000002E-2</v>
      </c>
      <c r="AC97" s="148">
        <f>'Painel de Índices'!Z45</f>
        <v>6.0999999999999999E-2</v>
      </c>
      <c r="AD97" s="110"/>
      <c r="AE97" s="5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row>
    <row r="98" spans="1:63" ht="18" hidden="1" customHeight="1" outlineLevel="1" x14ac:dyDescent="0.25">
      <c r="A98" s="1"/>
      <c r="B98" s="146" t="s">
        <v>313</v>
      </c>
      <c r="C98" s="61"/>
      <c r="D98" s="61"/>
      <c r="E98" s="61"/>
      <c r="F98" s="61"/>
      <c r="G98" s="61"/>
      <c r="H98" s="61"/>
      <c r="I98" s="61"/>
      <c r="J98" s="61"/>
      <c r="K98" s="61"/>
      <c r="L98" s="61"/>
      <c r="M98" s="61"/>
      <c r="N98" s="61"/>
      <c r="O98" s="90">
        <v>100707.63887</v>
      </c>
      <c r="P98" s="90">
        <v>115851.8364</v>
      </c>
      <c r="Q98" s="90">
        <v>153958.74096</v>
      </c>
      <c r="R98" s="90">
        <v>32932.50546</v>
      </c>
      <c r="S98" s="90">
        <v>39800</v>
      </c>
      <c r="T98" s="141">
        <f>(R98+S98)*Sazonalidade!P55</f>
        <v>107760.65039945194</v>
      </c>
      <c r="U98" s="141">
        <f>T98+R98+S98</f>
        <v>180493.15585945194</v>
      </c>
      <c r="V98" s="141">
        <f t="shared" ref="V98:AC98" si="162">V99*V101</f>
        <v>201582.09660864159</v>
      </c>
      <c r="W98" s="141">
        <f t="shared" si="162"/>
        <v>224961.36792272748</v>
      </c>
      <c r="X98" s="141">
        <f t="shared" si="162"/>
        <v>250868.75798438108</v>
      </c>
      <c r="Y98" s="141">
        <f t="shared" si="162"/>
        <v>279566.00026810949</v>
      </c>
      <c r="Z98" s="141">
        <f t="shared" si="162"/>
        <v>311341.13216396427</v>
      </c>
      <c r="AA98" s="141">
        <f t="shared" si="162"/>
        <v>346511.08207498561</v>
      </c>
      <c r="AB98" s="141">
        <f t="shared" si="162"/>
        <v>385424.50683203887</v>
      </c>
      <c r="AC98" s="141">
        <f t="shared" si="162"/>
        <v>428464.90333620843</v>
      </c>
      <c r="AD98" s="110"/>
      <c r="AE98" s="5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row>
    <row r="99" spans="1:63" ht="18" hidden="1" customHeight="1" outlineLevel="1" x14ac:dyDescent="0.25">
      <c r="A99" s="1"/>
      <c r="B99" s="54" t="s">
        <v>334</v>
      </c>
      <c r="C99" s="61"/>
      <c r="D99" s="61"/>
      <c r="E99" s="61"/>
      <c r="F99" s="61"/>
      <c r="G99" s="61"/>
      <c r="H99" s="61"/>
      <c r="I99" s="61"/>
      <c r="J99" s="61"/>
      <c r="K99" s="61"/>
      <c r="L99" s="61"/>
      <c r="M99" s="61"/>
      <c r="N99" s="61"/>
      <c r="O99" s="61">
        <f>O100</f>
        <v>75</v>
      </c>
      <c r="P99" s="61">
        <f t="shared" ref="P99:Q99" si="163">P100</f>
        <v>89</v>
      </c>
      <c r="Q99" s="61">
        <f t="shared" si="163"/>
        <v>102</v>
      </c>
      <c r="R99" s="61">
        <v>102</v>
      </c>
      <c r="S99" s="61">
        <v>103</v>
      </c>
      <c r="T99" s="74">
        <v>105</v>
      </c>
      <c r="U99" s="74">
        <f>Q99+3</f>
        <v>105</v>
      </c>
      <c r="V99" s="74">
        <f t="shared" ref="V99:AC99" si="164">U99+3</f>
        <v>108</v>
      </c>
      <c r="W99" s="74">
        <f t="shared" si="164"/>
        <v>111</v>
      </c>
      <c r="X99" s="74">
        <f t="shared" si="164"/>
        <v>114</v>
      </c>
      <c r="Y99" s="74">
        <f t="shared" si="164"/>
        <v>117</v>
      </c>
      <c r="Z99" s="74">
        <f t="shared" si="164"/>
        <v>120</v>
      </c>
      <c r="AA99" s="74">
        <f t="shared" si="164"/>
        <v>123</v>
      </c>
      <c r="AB99" s="74">
        <f t="shared" si="164"/>
        <v>126</v>
      </c>
      <c r="AC99" s="74">
        <f t="shared" si="164"/>
        <v>129</v>
      </c>
      <c r="AD99" s="110"/>
      <c r="AE99" s="5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row>
    <row r="100" spans="1:63" ht="18" hidden="1" customHeight="1" outlineLevel="2" x14ac:dyDescent="0.25">
      <c r="A100" s="1"/>
      <c r="B100" s="55" t="s">
        <v>339</v>
      </c>
      <c r="C100" s="61"/>
      <c r="D100" s="61"/>
      <c r="E100" s="61"/>
      <c r="F100" s="61"/>
      <c r="G100" s="61"/>
      <c r="H100" s="61"/>
      <c r="I100" s="61"/>
      <c r="J100" s="61"/>
      <c r="K100" s="61"/>
      <c r="L100" s="61"/>
      <c r="M100" s="61"/>
      <c r="N100" s="61"/>
      <c r="O100" s="61">
        <v>75</v>
      </c>
      <c r="P100" s="61">
        <v>89</v>
      </c>
      <c r="Q100" s="61">
        <v>102</v>
      </c>
      <c r="R100" s="61">
        <v>102</v>
      </c>
      <c r="S100" s="61">
        <v>103</v>
      </c>
      <c r="T100" s="74"/>
      <c r="U100" s="74"/>
      <c r="V100" s="74"/>
      <c r="W100" s="74"/>
      <c r="X100" s="74"/>
      <c r="Y100" s="74"/>
      <c r="Z100" s="74"/>
      <c r="AA100" s="74"/>
      <c r="AB100" s="74"/>
      <c r="AC100" s="74"/>
      <c r="AD100" s="110"/>
      <c r="AE100" s="5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row>
    <row r="101" spans="1:63" ht="18" hidden="1" customHeight="1" outlineLevel="1" collapsed="1" x14ac:dyDescent="0.25">
      <c r="A101" s="1"/>
      <c r="B101" s="54" t="s">
        <v>338</v>
      </c>
      <c r="C101" s="61"/>
      <c r="D101" s="61"/>
      <c r="E101" s="61"/>
      <c r="F101" s="61"/>
      <c r="G101" s="61"/>
      <c r="H101" s="61"/>
      <c r="I101" s="61"/>
      <c r="J101" s="61"/>
      <c r="K101" s="61"/>
      <c r="L101" s="61"/>
      <c r="M101" s="61"/>
      <c r="N101" s="61"/>
      <c r="O101" s="61">
        <f>O98/O99</f>
        <v>1342.7685182666667</v>
      </c>
      <c r="P101" s="61">
        <f t="shared" ref="P101:U101" si="165">P98/P99</f>
        <v>1301.706026966292</v>
      </c>
      <c r="Q101" s="61">
        <f t="shared" si="165"/>
        <v>1509.3994211764705</v>
      </c>
      <c r="R101" s="61">
        <f t="shared" si="165"/>
        <v>322.86770058823532</v>
      </c>
      <c r="S101" s="61">
        <f t="shared" si="165"/>
        <v>386.40776699029124</v>
      </c>
      <c r="T101" s="61">
        <f t="shared" si="165"/>
        <v>1026.291908566209</v>
      </c>
      <c r="U101" s="74">
        <f t="shared" si="165"/>
        <v>1718.9824367566853</v>
      </c>
      <c r="V101" s="74">
        <f t="shared" ref="V101:AC101" si="166">U101*(1+$AD$101)</f>
        <v>1866.5008945244592</v>
      </c>
      <c r="W101" s="74">
        <f t="shared" si="166"/>
        <v>2026.6789902948422</v>
      </c>
      <c r="X101" s="74">
        <f t="shared" si="166"/>
        <v>2200.6031402138692</v>
      </c>
      <c r="Y101" s="74">
        <f t="shared" si="166"/>
        <v>2389.4529937445254</v>
      </c>
      <c r="Z101" s="74">
        <f t="shared" si="166"/>
        <v>2594.5094346997021</v>
      </c>
      <c r="AA101" s="74">
        <f t="shared" si="166"/>
        <v>2817.1632689023222</v>
      </c>
      <c r="AB101" s="74">
        <f t="shared" si="166"/>
        <v>3058.9246573971341</v>
      </c>
      <c r="AC101" s="74">
        <f t="shared" si="166"/>
        <v>3321.4333591954141</v>
      </c>
      <c r="AD101" s="110">
        <f>(U101/O101)^(1/COUNTA($P$7:$R$7))-1</f>
        <v>8.581731529852421E-2</v>
      </c>
      <c r="AE101" s="5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row>
    <row r="102" spans="1:63" ht="18" hidden="1" customHeight="1" outlineLevel="1" x14ac:dyDescent="0.25">
      <c r="A102" s="1"/>
      <c r="B102" s="146" t="s">
        <v>317</v>
      </c>
      <c r="C102" s="61"/>
      <c r="D102" s="61"/>
      <c r="E102" s="61"/>
      <c r="F102" s="61"/>
      <c r="G102" s="61"/>
      <c r="H102" s="61"/>
      <c r="I102" s="61"/>
      <c r="J102" s="61"/>
      <c r="K102" s="61"/>
      <c r="L102" s="61"/>
      <c r="M102" s="61"/>
      <c r="N102" s="61"/>
      <c r="O102" s="90">
        <v>263983.05319241004</v>
      </c>
      <c r="P102" s="90">
        <v>265748.30399784999</v>
      </c>
      <c r="Q102" s="90">
        <v>278336.11594198004</v>
      </c>
      <c r="R102" s="90">
        <v>68110.517442989993</v>
      </c>
      <c r="S102" s="90">
        <v>78400</v>
      </c>
      <c r="T102" s="141">
        <f>(R102+S102)*Sazonalidade!P56</f>
        <v>182647.25602925578</v>
      </c>
      <c r="U102" s="141">
        <f>T102+R102+S102</f>
        <v>329157.77347224578</v>
      </c>
      <c r="V102" s="141">
        <f t="shared" ref="V102:AC102" si="167">U102*(1+$AD$102)</f>
        <v>354280.13820627297</v>
      </c>
      <c r="W102" s="141">
        <f t="shared" si="167"/>
        <v>381319.92145717656</v>
      </c>
      <c r="X102" s="141">
        <f t="shared" si="167"/>
        <v>410423.46668457048</v>
      </c>
      <c r="Y102" s="141">
        <f t="shared" si="167"/>
        <v>441748.28674482962</v>
      </c>
      <c r="Z102" s="141">
        <f t="shared" si="167"/>
        <v>475463.91637485864</v>
      </c>
      <c r="AA102" s="141">
        <f t="shared" si="167"/>
        <v>511752.8297401247</v>
      </c>
      <c r="AB102" s="141">
        <f t="shared" si="167"/>
        <v>550811.42801286443</v>
      </c>
      <c r="AC102" s="141">
        <f t="shared" si="167"/>
        <v>592851.10232539079</v>
      </c>
      <c r="AD102" s="110">
        <f>(U102/O102)^(1/COUNTA($P$7:$R$7))-1</f>
        <v>7.632317009868661E-2</v>
      </c>
      <c r="AE102" s="5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row>
    <row r="103" spans="1:63" ht="18" hidden="1" customHeight="1" outlineLevel="1" x14ac:dyDescent="0.25">
      <c r="A103" s="1"/>
      <c r="B103" s="146" t="s">
        <v>314</v>
      </c>
      <c r="C103" s="61"/>
      <c r="D103" s="61"/>
      <c r="E103" s="61"/>
      <c r="F103" s="61"/>
      <c r="G103" s="61"/>
      <c r="H103" s="61"/>
      <c r="I103" s="61"/>
      <c r="J103" s="61"/>
      <c r="K103" s="61"/>
      <c r="L103" s="61"/>
      <c r="M103" s="61"/>
      <c r="N103" s="61"/>
      <c r="O103" s="90">
        <v>0</v>
      </c>
      <c r="P103" s="90">
        <v>0</v>
      </c>
      <c r="Q103" s="90">
        <v>0</v>
      </c>
      <c r="R103" s="90">
        <v>0</v>
      </c>
      <c r="S103" s="90">
        <v>0</v>
      </c>
      <c r="T103" s="141"/>
      <c r="U103" s="141">
        <v>0</v>
      </c>
      <c r="V103" s="141">
        <v>0</v>
      </c>
      <c r="W103" s="141">
        <v>0</v>
      </c>
      <c r="X103" s="141">
        <v>0</v>
      </c>
      <c r="Y103" s="141">
        <v>0</v>
      </c>
      <c r="Z103" s="141">
        <v>0</v>
      </c>
      <c r="AA103" s="141">
        <v>0</v>
      </c>
      <c r="AB103" s="141">
        <v>0</v>
      </c>
      <c r="AC103" s="141">
        <v>0</v>
      </c>
      <c r="AD103" s="110"/>
      <c r="AE103" s="5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row>
    <row r="104" spans="1:63" ht="18" hidden="1" customHeight="1" outlineLevel="1" x14ac:dyDescent="0.25">
      <c r="A104" s="1"/>
      <c r="B104" s="146" t="s">
        <v>25</v>
      </c>
      <c r="C104" s="61"/>
      <c r="D104" s="61"/>
      <c r="E104" s="61"/>
      <c r="F104" s="61"/>
      <c r="G104" s="61"/>
      <c r="H104" s="61"/>
      <c r="I104" s="61"/>
      <c r="J104" s="61"/>
      <c r="K104" s="61"/>
      <c r="L104" s="61"/>
      <c r="M104" s="61"/>
      <c r="N104" s="61"/>
      <c r="O104" s="90">
        <v>-33.560472500000017</v>
      </c>
      <c r="P104" s="90">
        <v>786.37005999999997</v>
      </c>
      <c r="Q104" s="90">
        <v>9878.3683000000001</v>
      </c>
      <c r="R104" s="90">
        <v>1708.2845499999999</v>
      </c>
      <c r="S104" s="90">
        <v>400</v>
      </c>
      <c r="T104" s="141">
        <f>U104-R104-S104</f>
        <v>7770.0837499999998</v>
      </c>
      <c r="U104" s="141">
        <f>Q104</f>
        <v>9878.3683000000001</v>
      </c>
      <c r="V104" s="141">
        <f t="shared" ref="V104:AC104" si="168">U104</f>
        <v>9878.3683000000001</v>
      </c>
      <c r="W104" s="141">
        <f t="shared" si="168"/>
        <v>9878.3683000000001</v>
      </c>
      <c r="X104" s="141">
        <f t="shared" si="168"/>
        <v>9878.3683000000001</v>
      </c>
      <c r="Y104" s="141">
        <f t="shared" si="168"/>
        <v>9878.3683000000001</v>
      </c>
      <c r="Z104" s="141">
        <f t="shared" si="168"/>
        <v>9878.3683000000001</v>
      </c>
      <c r="AA104" s="141">
        <f t="shared" si="168"/>
        <v>9878.3683000000001</v>
      </c>
      <c r="AB104" s="141">
        <f t="shared" si="168"/>
        <v>9878.3683000000001</v>
      </c>
      <c r="AC104" s="141">
        <f t="shared" si="168"/>
        <v>9878.3683000000001</v>
      </c>
      <c r="AD104" s="110"/>
      <c r="AE104" s="5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row>
    <row r="105" spans="1:63" ht="18" hidden="1" customHeight="1" outlineLevel="1" x14ac:dyDescent="0.25">
      <c r="A105" s="1"/>
      <c r="B105" s="146" t="s">
        <v>315</v>
      </c>
      <c r="C105" s="61"/>
      <c r="D105" s="61"/>
      <c r="E105" s="61"/>
      <c r="F105" s="61"/>
      <c r="G105" s="61"/>
      <c r="H105" s="61"/>
      <c r="I105" s="61"/>
      <c r="J105" s="61"/>
      <c r="K105" s="61"/>
      <c r="L105" s="61"/>
      <c r="M105" s="61"/>
      <c r="N105" s="61"/>
      <c r="O105" s="90">
        <v>52400</v>
      </c>
      <c r="P105" s="90">
        <v>103700</v>
      </c>
      <c r="Q105" s="90">
        <v>139700</v>
      </c>
      <c r="R105" s="90">
        <v>27500</v>
      </c>
      <c r="S105" s="90">
        <v>9200</v>
      </c>
      <c r="T105" s="141">
        <v>0</v>
      </c>
      <c r="U105" s="141">
        <f>T105+R105+S105</f>
        <v>36700</v>
      </c>
      <c r="V105" s="141">
        <v>0</v>
      </c>
      <c r="W105" s="141">
        <v>0</v>
      </c>
      <c r="X105" s="141">
        <v>0</v>
      </c>
      <c r="Y105" s="141">
        <v>0</v>
      </c>
      <c r="Z105" s="141">
        <v>0</v>
      </c>
      <c r="AA105" s="141">
        <v>0</v>
      </c>
      <c r="AB105" s="141">
        <v>0</v>
      </c>
      <c r="AC105" s="141">
        <v>0</v>
      </c>
      <c r="AD105" s="110"/>
      <c r="AE105" s="5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row>
    <row r="106" spans="1:63" ht="18" customHeight="1" collapsed="1" x14ac:dyDescent="0.25">
      <c r="A106" s="1"/>
      <c r="B106" s="147" t="s">
        <v>25</v>
      </c>
      <c r="C106" s="147">
        <v>0</v>
      </c>
      <c r="D106" s="147">
        <v>0</v>
      </c>
      <c r="E106" s="147">
        <v>0</v>
      </c>
      <c r="F106" s="147">
        <v>0</v>
      </c>
      <c r="G106" s="147">
        <v>0</v>
      </c>
      <c r="H106" s="147">
        <v>0</v>
      </c>
      <c r="I106" s="147">
        <v>0</v>
      </c>
      <c r="J106" s="147">
        <v>0</v>
      </c>
      <c r="K106" s="147">
        <v>0</v>
      </c>
      <c r="L106" s="147">
        <v>0</v>
      </c>
      <c r="M106" s="147">
        <v>0</v>
      </c>
      <c r="N106" s="147">
        <v>0</v>
      </c>
      <c r="O106" s="147">
        <v>3135.9308499999834</v>
      </c>
      <c r="P106" s="147">
        <v>5778.9731899999797</v>
      </c>
      <c r="Q106" s="147">
        <v>4101.5921799999978</v>
      </c>
      <c r="R106" s="147">
        <v>800</v>
      </c>
      <c r="S106" s="147">
        <v>200</v>
      </c>
      <c r="T106" s="141">
        <f>U106-R106-S106</f>
        <v>3101.5921799999978</v>
      </c>
      <c r="U106" s="141">
        <f>Q106</f>
        <v>4101.5921799999978</v>
      </c>
      <c r="V106" s="141">
        <f t="shared" ref="V106:AC106" si="169">U106</f>
        <v>4101.5921799999978</v>
      </c>
      <c r="W106" s="141">
        <f t="shared" si="169"/>
        <v>4101.5921799999978</v>
      </c>
      <c r="X106" s="141">
        <f t="shared" si="169"/>
        <v>4101.5921799999978</v>
      </c>
      <c r="Y106" s="141">
        <f t="shared" si="169"/>
        <v>4101.5921799999978</v>
      </c>
      <c r="Z106" s="141">
        <f t="shared" si="169"/>
        <v>4101.5921799999978</v>
      </c>
      <c r="AA106" s="141">
        <f t="shared" si="169"/>
        <v>4101.5921799999978</v>
      </c>
      <c r="AB106" s="141">
        <f t="shared" si="169"/>
        <v>4101.5921799999978</v>
      </c>
      <c r="AC106" s="141">
        <f t="shared" si="169"/>
        <v>4101.5921799999978</v>
      </c>
      <c r="AD106" s="180"/>
      <c r="AE106" s="5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row>
    <row r="107" spans="1:63" ht="18" customHeight="1" x14ac:dyDescent="0.25">
      <c r="A107" s="1"/>
      <c r="B107" s="19"/>
      <c r="C107" s="101"/>
      <c r="D107" s="101"/>
      <c r="E107" s="101"/>
      <c r="F107" s="101"/>
      <c r="G107" s="101"/>
      <c r="H107" s="101"/>
      <c r="I107" s="108"/>
      <c r="J107" s="108"/>
      <c r="K107" s="108"/>
      <c r="L107" s="108"/>
      <c r="M107" s="108"/>
      <c r="N107" s="108"/>
      <c r="O107" s="108"/>
      <c r="P107" s="108"/>
      <c r="Q107" s="108"/>
      <c r="R107" s="108"/>
      <c r="S107" s="108"/>
      <c r="T107" s="109"/>
      <c r="U107" s="109"/>
      <c r="V107" s="109"/>
      <c r="W107" s="109"/>
      <c r="X107" s="109"/>
      <c r="Y107" s="109"/>
      <c r="Z107" s="109"/>
      <c r="AA107" s="109"/>
      <c r="AB107" s="109"/>
      <c r="AC107" s="109"/>
      <c r="AD107" s="103"/>
      <c r="AE107" s="5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row>
    <row r="108" spans="1:63" ht="18" customHeight="1" thickBot="1" x14ac:dyDescent="0.3">
      <c r="A108" s="1"/>
      <c r="B108" s="157" t="s">
        <v>353</v>
      </c>
      <c r="C108" s="15">
        <v>2010</v>
      </c>
      <c r="D108" s="15">
        <v>2011</v>
      </c>
      <c r="E108" s="15">
        <v>2012</v>
      </c>
      <c r="F108" s="15">
        <v>2013</v>
      </c>
      <c r="G108" s="15">
        <v>2014</v>
      </c>
      <c r="H108" s="15">
        <v>2015</v>
      </c>
      <c r="I108" s="15">
        <v>2016</v>
      </c>
      <c r="J108" s="15">
        <f t="shared" ref="J108:N108" si="170">I108+1</f>
        <v>2017</v>
      </c>
      <c r="K108" s="15">
        <f t="shared" si="170"/>
        <v>2018</v>
      </c>
      <c r="L108" s="15">
        <f t="shared" si="170"/>
        <v>2019</v>
      </c>
      <c r="M108" s="15">
        <f t="shared" si="170"/>
        <v>2020</v>
      </c>
      <c r="N108" s="15">
        <f t="shared" si="170"/>
        <v>2021</v>
      </c>
      <c r="O108" s="15"/>
      <c r="P108" s="15"/>
      <c r="Q108" s="15"/>
      <c r="R108" s="15"/>
      <c r="S108" s="15"/>
      <c r="T108" s="50"/>
      <c r="U108" s="50"/>
      <c r="V108" s="50"/>
      <c r="W108" s="50"/>
      <c r="X108" s="50"/>
      <c r="Y108" s="50"/>
      <c r="Z108" s="50"/>
      <c r="AA108" s="50"/>
      <c r="AB108" s="50"/>
      <c r="AC108" s="50"/>
      <c r="AD108" s="50"/>
      <c r="AE108" s="50" t="s">
        <v>72</v>
      </c>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row>
    <row r="109" spans="1:63" ht="18" customHeight="1" x14ac:dyDescent="0.25">
      <c r="A109" s="1"/>
      <c r="B109" s="48" t="s">
        <v>78</v>
      </c>
      <c r="C109" s="142"/>
      <c r="D109" s="142"/>
      <c r="E109" s="142"/>
      <c r="F109" s="142"/>
      <c r="G109" s="142"/>
      <c r="H109" s="142"/>
      <c r="I109" s="142"/>
      <c r="J109" s="142"/>
      <c r="K109" s="142"/>
      <c r="L109" s="142"/>
      <c r="M109" s="142"/>
      <c r="N109" s="142"/>
      <c r="O109" s="61">
        <f>'DRE Pro Forma'!O9</f>
        <v>-1780699.9999999998</v>
      </c>
      <c r="P109" s="61">
        <f>'DRE Pro Forma'!P9</f>
        <v>-2268800</v>
      </c>
      <c r="Q109" s="61">
        <f>'DRE Pro Forma'!Q9</f>
        <v>-2581300</v>
      </c>
      <c r="R109" s="61">
        <f>R118-R8</f>
        <v>-615224.52387666889</v>
      </c>
      <c r="S109" s="61">
        <f>S118-S8</f>
        <v>-718615</v>
      </c>
      <c r="T109" s="108">
        <f>T110*T8</f>
        <v>-1636500.7299765947</v>
      </c>
      <c r="U109" s="108">
        <f>T109+R109+S109</f>
        <v>-2970340.2538532633</v>
      </c>
      <c r="V109" s="108">
        <f t="shared" ref="V109:AC109" si="171">V110*V8</f>
        <v>-3344366.6349808942</v>
      </c>
      <c r="W109" s="108">
        <f t="shared" si="171"/>
        <v>-3768782.3151321169</v>
      </c>
      <c r="X109" s="108">
        <f t="shared" si="171"/>
        <v>-4220524.9709802046</v>
      </c>
      <c r="Y109" s="108">
        <f t="shared" si="171"/>
        <v>-4691057.3476323094</v>
      </c>
      <c r="Z109" s="108">
        <f t="shared" si="171"/>
        <v>-5168113.7260804847</v>
      </c>
      <c r="AA109" s="108">
        <f t="shared" si="171"/>
        <v>-5649445.7927703159</v>
      </c>
      <c r="AB109" s="108">
        <f t="shared" si="171"/>
        <v>-6113485.8932286156</v>
      </c>
      <c r="AC109" s="108">
        <f t="shared" si="171"/>
        <v>-6542302.0188432354</v>
      </c>
      <c r="AD109" s="102"/>
      <c r="AE109" s="102"/>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row>
    <row r="110" spans="1:63" ht="18" customHeight="1" x14ac:dyDescent="0.25">
      <c r="A110" s="1"/>
      <c r="B110" s="19" t="s">
        <v>291</v>
      </c>
      <c r="C110" s="142"/>
      <c r="D110" s="142"/>
      <c r="E110" s="142"/>
      <c r="F110" s="142"/>
      <c r="G110" s="142"/>
      <c r="H110" s="142"/>
      <c r="I110" s="142"/>
      <c r="J110" s="142"/>
      <c r="K110" s="142"/>
      <c r="L110" s="142"/>
      <c r="M110" s="142"/>
      <c r="N110" s="142"/>
      <c r="O110" s="103">
        <f>O109/O8</f>
        <v>-0.15955200553062354</v>
      </c>
      <c r="P110" s="103">
        <f>P109/P8</f>
        <v>-0.1775351700935075</v>
      </c>
      <c r="Q110" s="103">
        <f>Q109/Q8</f>
        <v>-0.18229832618148278</v>
      </c>
      <c r="R110" s="103">
        <f>R109/R8</f>
        <v>-0.18576951681804224</v>
      </c>
      <c r="S110" s="103">
        <f>S109/S8</f>
        <v>-0.19851243093922652</v>
      </c>
      <c r="T110" s="143">
        <f>AVERAGE(R110:S110)</f>
        <v>-0.19214097387863438</v>
      </c>
      <c r="U110" s="143">
        <f>T110</f>
        <v>-0.19214097387863438</v>
      </c>
      <c r="V110" s="143">
        <f>U110</f>
        <v>-0.19214097387863438</v>
      </c>
      <c r="W110" s="143">
        <f t="shared" ref="W110:AC110" si="172">V110</f>
        <v>-0.19214097387863438</v>
      </c>
      <c r="X110" s="143">
        <f t="shared" si="172"/>
        <v>-0.19214097387863438</v>
      </c>
      <c r="Y110" s="143">
        <f t="shared" si="172"/>
        <v>-0.19214097387863438</v>
      </c>
      <c r="Z110" s="143">
        <f t="shared" si="172"/>
        <v>-0.19214097387863438</v>
      </c>
      <c r="AA110" s="143">
        <f t="shared" si="172"/>
        <v>-0.19214097387863438</v>
      </c>
      <c r="AB110" s="143">
        <f t="shared" si="172"/>
        <v>-0.19214097387863438</v>
      </c>
      <c r="AC110" s="143">
        <f t="shared" si="172"/>
        <v>-0.19214097387863438</v>
      </c>
      <c r="AD110" s="102"/>
      <c r="AE110" s="102"/>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row>
    <row r="111" spans="1:63" ht="18" customHeight="1" x14ac:dyDescent="0.25">
      <c r="A111" s="1"/>
      <c r="B111" s="48" t="s">
        <v>408</v>
      </c>
      <c r="C111" s="142"/>
      <c r="D111" s="142"/>
      <c r="E111" s="142"/>
      <c r="F111" s="142"/>
      <c r="G111" s="142"/>
      <c r="H111" s="142"/>
      <c r="I111" s="142"/>
      <c r="J111" s="142"/>
      <c r="K111" s="142"/>
      <c r="L111" s="142"/>
      <c r="M111" s="142"/>
      <c r="N111" s="142"/>
      <c r="O111" s="103">
        <v>0</v>
      </c>
      <c r="P111" s="103">
        <v>0</v>
      </c>
      <c r="Q111" s="103">
        <v>0</v>
      </c>
      <c r="R111" s="103">
        <v>0</v>
      </c>
      <c r="S111" s="103">
        <v>0</v>
      </c>
      <c r="T111" s="143">
        <v>0</v>
      </c>
      <c r="U111" s="143">
        <v>0</v>
      </c>
      <c r="V111" s="143">
        <v>0</v>
      </c>
      <c r="W111" s="143">
        <v>0</v>
      </c>
      <c r="X111" s="143">
        <v>0</v>
      </c>
      <c r="Y111" s="143"/>
      <c r="Z111" s="143"/>
      <c r="AA111" s="143"/>
      <c r="AB111" s="143"/>
      <c r="AC111" s="143"/>
      <c r="AD111" s="102"/>
      <c r="AE111" s="102"/>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row>
    <row r="112" spans="1:63" ht="18" customHeight="1" x14ac:dyDescent="0.25">
      <c r="A112" s="1"/>
      <c r="B112" s="48" t="s">
        <v>107</v>
      </c>
      <c r="C112" s="31">
        <v>0</v>
      </c>
      <c r="D112" s="31">
        <v>0</v>
      </c>
      <c r="E112" s="31">
        <v>0</v>
      </c>
      <c r="F112" s="31">
        <v>0</v>
      </c>
      <c r="G112" s="31">
        <v>0</v>
      </c>
      <c r="H112" s="31">
        <v>0</v>
      </c>
      <c r="I112" s="31">
        <v>0</v>
      </c>
      <c r="J112" s="31">
        <v>0</v>
      </c>
      <c r="K112" s="31">
        <v>0</v>
      </c>
      <c r="L112" s="31">
        <v>0</v>
      </c>
      <c r="M112" s="31">
        <v>0</v>
      </c>
      <c r="N112" s="31">
        <v>0</v>
      </c>
      <c r="O112" s="31">
        <v>299978</v>
      </c>
      <c r="P112" s="31">
        <v>366899</v>
      </c>
      <c r="Q112" s="31">
        <v>968911</v>
      </c>
      <c r="R112" s="31">
        <v>297869</v>
      </c>
      <c r="S112" s="31">
        <f>603745-R112</f>
        <v>305876</v>
      </c>
      <c r="T112" s="108">
        <f>T113*T8*T114</f>
        <v>766059.20567512361</v>
      </c>
      <c r="U112" s="108">
        <f t="shared" ref="U112:AC112" si="173">U113*U8</f>
        <v>1389520.9292553714</v>
      </c>
      <c r="V112" s="108">
        <f t="shared" si="173"/>
        <v>1565525.0260209122</v>
      </c>
      <c r="W112" s="108">
        <f t="shared" si="173"/>
        <v>1764197.4328565407</v>
      </c>
      <c r="X112" s="108">
        <f t="shared" si="173"/>
        <v>1975661.8176683374</v>
      </c>
      <c r="Y112" s="108">
        <f t="shared" si="173"/>
        <v>1976329.6402559807</v>
      </c>
      <c r="Z112" s="108">
        <f t="shared" si="173"/>
        <v>1935388.6122111504</v>
      </c>
      <c r="AA112" s="108">
        <f t="shared" si="173"/>
        <v>1851185.8345479236</v>
      </c>
      <c r="AB112" s="108">
        <f t="shared" si="173"/>
        <v>1717063.2660847397</v>
      </c>
      <c r="AC112" s="108">
        <f t="shared" si="173"/>
        <v>0</v>
      </c>
      <c r="AD112" s="104"/>
      <c r="AE112" s="106"/>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row>
    <row r="113" spans="1:63" ht="18" customHeight="1" x14ac:dyDescent="0.25">
      <c r="A113" s="1"/>
      <c r="B113" s="19" t="s">
        <v>291</v>
      </c>
      <c r="C113" s="31">
        <v>0</v>
      </c>
      <c r="D113" s="31">
        <v>0</v>
      </c>
      <c r="E113" s="31">
        <v>0</v>
      </c>
      <c r="F113" s="31">
        <v>0</v>
      </c>
      <c r="G113" s="31">
        <v>0</v>
      </c>
      <c r="H113" s="31">
        <v>0</v>
      </c>
      <c r="I113" s="31">
        <v>0</v>
      </c>
      <c r="J113" s="31">
        <v>0</v>
      </c>
      <c r="K113" s="31">
        <v>0</v>
      </c>
      <c r="L113" s="31">
        <v>0</v>
      </c>
      <c r="M113" s="31">
        <v>0</v>
      </c>
      <c r="N113" s="31">
        <v>0</v>
      </c>
      <c r="O113" s="103">
        <f>O112/O8</f>
        <v>2.6878245361411465E-2</v>
      </c>
      <c r="P113" s="103">
        <f>P112/P8</f>
        <v>2.8710100657677103E-2</v>
      </c>
      <c r="Q113" s="103">
        <f>Q112/Q8</f>
        <v>6.8427092363858008E-2</v>
      </c>
      <c r="R113" s="103">
        <f>R112/R8</f>
        <v>8.994274132051043E-2</v>
      </c>
      <c r="S113" s="103">
        <f>S112/S8</f>
        <v>8.4496132596685078E-2</v>
      </c>
      <c r="T113" s="144">
        <f>R113*T114</f>
        <v>8.994274132051043E-2</v>
      </c>
      <c r="U113" s="144">
        <f>T113*U114</f>
        <v>8.994274132051043E-2</v>
      </c>
      <c r="V113" s="144">
        <f>U113*V114</f>
        <v>8.994274132051043E-2</v>
      </c>
      <c r="W113" s="144">
        <f>V113*W114</f>
        <v>8.994274132051043E-2</v>
      </c>
      <c r="X113" s="144">
        <f>W113*X114</f>
        <v>8.994274132051043E-2</v>
      </c>
      <c r="Y113" s="144">
        <f>$X$113*Y114</f>
        <v>8.0948467188459383E-2</v>
      </c>
      <c r="Z113" s="144">
        <f>$X$113*Z114</f>
        <v>7.195419305640835E-2</v>
      </c>
      <c r="AA113" s="144">
        <f>$X$113*AA114</f>
        <v>6.2959918924357303E-2</v>
      </c>
      <c r="AB113" s="144">
        <f>$X$113*AB114</f>
        <v>5.3965644792306255E-2</v>
      </c>
      <c r="AC113" s="144">
        <f>$X$113*AC114</f>
        <v>0</v>
      </c>
      <c r="AD113" s="104"/>
      <c r="AE113" s="105"/>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row>
    <row r="114" spans="1:63" ht="18" customHeight="1" x14ac:dyDescent="0.25">
      <c r="A114" s="1"/>
      <c r="B114" s="54" t="s">
        <v>410</v>
      </c>
      <c r="C114" s="142"/>
      <c r="D114" s="142"/>
      <c r="E114" s="142"/>
      <c r="F114" s="142"/>
      <c r="G114" s="142"/>
      <c r="H114" s="142"/>
      <c r="I114" s="142"/>
      <c r="J114" s="142"/>
      <c r="K114" s="142"/>
      <c r="L114" s="142"/>
      <c r="M114" s="142"/>
      <c r="N114" s="142"/>
      <c r="O114" s="103">
        <v>0</v>
      </c>
      <c r="P114" s="103">
        <v>0</v>
      </c>
      <c r="Q114" s="103">
        <v>0</v>
      </c>
      <c r="R114" s="103">
        <v>0</v>
      </c>
      <c r="S114" s="103">
        <v>0</v>
      </c>
      <c r="T114" s="103">
        <v>1</v>
      </c>
      <c r="U114" s="103">
        <v>1</v>
      </c>
      <c r="V114" s="103">
        <v>1</v>
      </c>
      <c r="W114" s="103">
        <v>1</v>
      </c>
      <c r="X114" s="103">
        <v>1</v>
      </c>
      <c r="Y114" s="103">
        <v>0.9</v>
      </c>
      <c r="Z114" s="103">
        <v>0.8</v>
      </c>
      <c r="AA114" s="103">
        <v>0.7</v>
      </c>
      <c r="AB114" s="103">
        <v>0.6</v>
      </c>
      <c r="AC114" s="103">
        <v>0</v>
      </c>
      <c r="AD114" s="102"/>
      <c r="AE114" s="102"/>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row>
    <row r="115" spans="1:63" ht="18" customHeight="1" x14ac:dyDescent="0.25">
      <c r="A115" s="1"/>
      <c r="B115" s="54" t="s">
        <v>409</v>
      </c>
      <c r="C115" s="31"/>
      <c r="D115" s="31"/>
      <c r="E115" s="31"/>
      <c r="F115" s="31"/>
      <c r="G115" s="31"/>
      <c r="H115" s="31"/>
      <c r="I115" s="31"/>
      <c r="J115" s="31"/>
      <c r="K115" s="31"/>
      <c r="L115" s="31"/>
      <c r="M115" s="31"/>
      <c r="N115" s="31"/>
      <c r="O115" s="31"/>
      <c r="P115" s="31"/>
      <c r="Q115" s="31"/>
      <c r="R115" s="31"/>
      <c r="S115" s="31">
        <v>0</v>
      </c>
      <c r="T115" s="108">
        <f t="shared" ref="T115:AC115" si="174">$X$113*T8-T112</f>
        <v>0</v>
      </c>
      <c r="U115" s="108">
        <f t="shared" si="174"/>
        <v>0</v>
      </c>
      <c r="V115" s="108">
        <f t="shared" si="174"/>
        <v>0</v>
      </c>
      <c r="W115" s="108">
        <f t="shared" si="174"/>
        <v>0</v>
      </c>
      <c r="X115" s="108">
        <f t="shared" si="174"/>
        <v>0</v>
      </c>
      <c r="Y115" s="108">
        <f t="shared" si="174"/>
        <v>219592.18225066457</v>
      </c>
      <c r="Z115" s="108">
        <f t="shared" si="174"/>
        <v>483847.15305278753</v>
      </c>
      <c r="AA115" s="108">
        <f t="shared" si="174"/>
        <v>793365.35766339558</v>
      </c>
      <c r="AB115" s="108">
        <f t="shared" si="174"/>
        <v>1144708.8440564934</v>
      </c>
      <c r="AC115" s="108">
        <f t="shared" si="174"/>
        <v>3062504.4010298033</v>
      </c>
      <c r="AD115" s="104"/>
      <c r="AE115" s="106"/>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row>
    <row r="116" spans="1:63" ht="18" customHeight="1" x14ac:dyDescent="0.25">
      <c r="A116" s="1"/>
      <c r="B116" s="54" t="s">
        <v>411</v>
      </c>
      <c r="C116" s="31"/>
      <c r="D116" s="31"/>
      <c r="E116" s="31"/>
      <c r="F116" s="31"/>
      <c r="G116" s="31"/>
      <c r="H116" s="31"/>
      <c r="I116" s="31"/>
      <c r="J116" s="31"/>
      <c r="K116" s="31"/>
      <c r="L116" s="31"/>
      <c r="M116" s="31"/>
      <c r="N116" s="31"/>
      <c r="O116" s="31">
        <v>0</v>
      </c>
      <c r="P116" s="31">
        <v>0</v>
      </c>
      <c r="Q116" s="31">
        <v>0</v>
      </c>
      <c r="R116" s="31">
        <v>0</v>
      </c>
      <c r="S116" s="31">
        <v>0</v>
      </c>
      <c r="T116" s="108">
        <v>0</v>
      </c>
      <c r="U116" s="108">
        <v>0</v>
      </c>
      <c r="V116" s="108">
        <v>0</v>
      </c>
      <c r="W116" s="108">
        <v>0</v>
      </c>
      <c r="X116" s="108">
        <v>0</v>
      </c>
      <c r="Y116" s="108">
        <f>Y115*Y117</f>
        <v>109796.09112533228</v>
      </c>
      <c r="Z116" s="108">
        <f t="shared" ref="Z116:AC116" si="175">Z115*Z117</f>
        <v>241923.57652639376</v>
      </c>
      <c r="AA116" s="108">
        <f t="shared" si="175"/>
        <v>396682.67883169779</v>
      </c>
      <c r="AB116" s="108">
        <f t="shared" si="175"/>
        <v>572354.42202824668</v>
      </c>
      <c r="AC116" s="108">
        <f t="shared" si="175"/>
        <v>0</v>
      </c>
      <c r="AD116" s="104"/>
      <c r="AE116" s="106"/>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row>
    <row r="117" spans="1:63" ht="18" customHeight="1" x14ac:dyDescent="0.25">
      <c r="A117" s="1"/>
      <c r="B117" s="170" t="s">
        <v>412</v>
      </c>
      <c r="C117" s="31"/>
      <c r="D117" s="31"/>
      <c r="E117" s="31"/>
      <c r="F117" s="31"/>
      <c r="G117" s="31"/>
      <c r="H117" s="31"/>
      <c r="I117" s="31"/>
      <c r="J117" s="31"/>
      <c r="K117" s="31"/>
      <c r="L117" s="31"/>
      <c r="M117" s="31"/>
      <c r="N117" s="31"/>
      <c r="O117" s="103">
        <v>0</v>
      </c>
      <c r="P117" s="103">
        <v>0</v>
      </c>
      <c r="Q117" s="103">
        <v>0</v>
      </c>
      <c r="R117" s="103">
        <v>0</v>
      </c>
      <c r="S117" s="103">
        <v>0</v>
      </c>
      <c r="T117" s="103">
        <v>0</v>
      </c>
      <c r="U117" s="103">
        <v>0</v>
      </c>
      <c r="V117" s="103">
        <v>0</v>
      </c>
      <c r="W117" s="103">
        <v>0</v>
      </c>
      <c r="X117" s="103">
        <v>0</v>
      </c>
      <c r="Y117" s="103">
        <v>0.5</v>
      </c>
      <c r="Z117" s="103">
        <f>Y117</f>
        <v>0.5</v>
      </c>
      <c r="AA117" s="103">
        <f>Z117</f>
        <v>0.5</v>
      </c>
      <c r="AB117" s="103">
        <f>AA117</f>
        <v>0.5</v>
      </c>
      <c r="AC117" s="103">
        <v>0</v>
      </c>
      <c r="AD117" s="104"/>
      <c r="AE117" s="106"/>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row>
    <row r="118" spans="1:63" ht="18" customHeight="1" x14ac:dyDescent="0.25">
      <c r="A118" s="1"/>
      <c r="B118" s="147" t="s">
        <v>0</v>
      </c>
      <c r="C118" s="145"/>
      <c r="D118" s="145"/>
      <c r="E118" s="145"/>
      <c r="F118" s="145"/>
      <c r="G118" s="145"/>
      <c r="H118" s="145"/>
      <c r="I118" s="145"/>
      <c r="J118" s="145"/>
      <c r="K118" s="145"/>
      <c r="L118" s="145"/>
      <c r="M118" s="145"/>
      <c r="N118" s="145"/>
      <c r="O118" s="90">
        <f>O8+O109</f>
        <v>9379924.362432234</v>
      </c>
      <c r="P118" s="90">
        <f>P8+P109</f>
        <v>10510639.695272923</v>
      </c>
      <c r="Q118" s="90">
        <f>Q8+Q109</f>
        <v>11578456.998702489</v>
      </c>
      <c r="R118" s="90">
        <v>2696538</v>
      </c>
      <c r="S118" s="90">
        <v>2901385</v>
      </c>
      <c r="T118" s="101">
        <f>T8+T109+T115</f>
        <v>6880686.921056591</v>
      </c>
      <c r="U118" s="101">
        <f>U8+U109+U115</f>
        <v>12478609.921056593</v>
      </c>
      <c r="V118" s="101">
        <f>V8+V109+V115</f>
        <v>14061429.575323313</v>
      </c>
      <c r="W118" s="101">
        <f>W8+W109+W115</f>
        <v>15845890.386134943</v>
      </c>
      <c r="X118" s="101">
        <f>X8+X109+X115</f>
        <v>17745247.793584287</v>
      </c>
      <c r="Y118" s="101">
        <f>Y8+Y109-Y115+Y116</f>
        <v>19613810.716090508</v>
      </c>
      <c r="Z118" s="101">
        <f>Z8+Z109-Z115+Z116</f>
        <v>21487472.488016527</v>
      </c>
      <c r="AA118" s="101">
        <f t="shared" ref="AA118:AC118" si="176">AA8+AA109-AA115+AA116</f>
        <v>23356479.825464189</v>
      </c>
      <c r="AB118" s="101">
        <f t="shared" si="176"/>
        <v>25131870.242878392</v>
      </c>
      <c r="AC118" s="101">
        <f t="shared" si="176"/>
        <v>24444682.800347492</v>
      </c>
      <c r="AD118" s="49"/>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row>
    <row r="119" spans="1:63" ht="18" customHeight="1" x14ac:dyDescent="0.25">
      <c r="A119" s="1"/>
      <c r="B119" s="19" t="s">
        <v>414</v>
      </c>
      <c r="C119" s="23"/>
      <c r="D119" s="23"/>
      <c r="E119" s="23"/>
      <c r="F119" s="23"/>
      <c r="G119" s="23"/>
      <c r="H119" s="23"/>
      <c r="I119" s="23"/>
      <c r="J119" s="23"/>
      <c r="K119" s="23"/>
      <c r="L119" s="23"/>
      <c r="M119" s="23"/>
      <c r="N119" s="23"/>
      <c r="O119" s="23"/>
      <c r="P119" s="103">
        <f>P118/O118-1</f>
        <v>0.12054631670265326</v>
      </c>
      <c r="Q119" s="103">
        <f t="shared" ref="Q119:AC119" si="177">Q118/P118-1</f>
        <v>0.10159394046299663</v>
      </c>
      <c r="R119" s="103"/>
      <c r="S119" s="103"/>
      <c r="T119" s="112"/>
      <c r="U119" s="112">
        <f>U118/Q118-1</f>
        <v>7.7743772115315357E-2</v>
      </c>
      <c r="V119" s="112">
        <f t="shared" si="177"/>
        <v>0.12684262624443821</v>
      </c>
      <c r="W119" s="112">
        <f t="shared" si="177"/>
        <v>0.12690465085735059</v>
      </c>
      <c r="X119" s="112">
        <f t="shared" si="177"/>
        <v>0.11986435354312874</v>
      </c>
      <c r="Y119" s="112">
        <f t="shared" si="177"/>
        <v>0.10529934235022576</v>
      </c>
      <c r="Z119" s="112">
        <f t="shared" si="177"/>
        <v>9.5527676852154464E-2</v>
      </c>
      <c r="AA119" s="112">
        <f t="shared" si="177"/>
        <v>8.6981255635812937E-2</v>
      </c>
      <c r="AB119" s="112">
        <f t="shared" si="177"/>
        <v>7.6012756660299496E-2</v>
      </c>
      <c r="AC119" s="112">
        <f t="shared" si="177"/>
        <v>-2.7343267169924523E-2</v>
      </c>
      <c r="AD119" s="115"/>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row>
    <row r="120" spans="1:63" ht="18" customHeight="1" x14ac:dyDescent="0.25">
      <c r="A120" s="1"/>
      <c r="B120" s="20"/>
      <c r="C120" s="24"/>
      <c r="D120" s="24"/>
      <c r="E120" s="24"/>
      <c r="F120" s="24"/>
      <c r="G120" s="24"/>
      <c r="H120" s="24"/>
      <c r="I120" s="24"/>
      <c r="J120" s="24"/>
      <c r="K120" s="24"/>
      <c r="L120" s="24"/>
      <c r="M120" s="24"/>
      <c r="N120" s="24"/>
      <c r="O120" s="24"/>
      <c r="P120" s="24"/>
      <c r="Q120" s="24"/>
      <c r="R120" s="24"/>
      <c r="S120" s="24"/>
      <c r="T120" s="24"/>
      <c r="U120" s="24"/>
      <c r="V120" s="24"/>
      <c r="W120" s="24"/>
      <c r="X120" s="24"/>
      <c r="Y120" s="24"/>
      <c r="Z120" s="24"/>
      <c r="AA120" s="24"/>
      <c r="AB120" s="24"/>
      <c r="AC120" s="24"/>
      <c r="AD120" s="24"/>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row>
    <row r="121" spans="1:63" ht="18" customHeight="1" x14ac:dyDescent="0.25">
      <c r="A121" s="1"/>
      <c r="B121" s="13"/>
      <c r="C121" s="37"/>
      <c r="D121" s="37"/>
      <c r="E121" s="37"/>
      <c r="F121" s="37"/>
      <c r="G121" s="37"/>
      <c r="H121" s="37"/>
      <c r="I121" s="37"/>
      <c r="J121" s="37"/>
      <c r="K121" s="37"/>
      <c r="L121" s="37"/>
      <c r="M121" s="37"/>
      <c r="N121" s="37"/>
      <c r="O121" s="37"/>
      <c r="P121" s="37"/>
      <c r="Q121" s="37"/>
      <c r="R121" s="31"/>
      <c r="S121" s="31"/>
      <c r="T121" s="37"/>
      <c r="U121" s="37"/>
      <c r="V121" s="37"/>
      <c r="W121" s="37"/>
      <c r="X121" s="37"/>
      <c r="Y121" s="37"/>
      <c r="Z121" s="37"/>
      <c r="AA121" s="37"/>
      <c r="AB121" s="37"/>
      <c r="AC121" s="37"/>
      <c r="AD121" s="37"/>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row>
    <row r="122" spans="1:63" ht="18" customHeight="1" x14ac:dyDescent="0.25">
      <c r="A122" s="1"/>
      <c r="B122" s="13"/>
      <c r="C122" s="23"/>
      <c r="D122" s="23"/>
      <c r="E122" s="23"/>
      <c r="F122" s="23"/>
      <c r="G122" s="23"/>
      <c r="H122" s="23"/>
      <c r="I122" s="23"/>
      <c r="J122" s="23"/>
      <c r="K122" s="23"/>
      <c r="L122" s="23"/>
      <c r="M122" s="23"/>
      <c r="N122" s="23"/>
      <c r="O122" s="23"/>
      <c r="P122" s="23"/>
      <c r="Q122" s="23"/>
      <c r="R122" s="23"/>
      <c r="S122" s="23"/>
      <c r="T122" s="23"/>
      <c r="U122" s="23"/>
      <c r="V122" s="23"/>
      <c r="W122" s="23"/>
      <c r="X122" s="23"/>
      <c r="Y122" s="23"/>
      <c r="Z122" s="23"/>
      <c r="AA122" s="23"/>
      <c r="AB122" s="23"/>
      <c r="AC122" s="23"/>
      <c r="AD122" s="23"/>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row>
    <row r="123" spans="1:63" ht="18" customHeight="1" x14ac:dyDescent="0.25">
      <c r="A123" s="1"/>
      <c r="B123" s="13"/>
      <c r="C123" s="23"/>
      <c r="D123" s="23"/>
      <c r="E123" s="23"/>
      <c r="F123" s="23"/>
      <c r="G123" s="23"/>
      <c r="H123" s="23"/>
      <c r="I123" s="23"/>
      <c r="J123" s="23"/>
      <c r="K123" s="23"/>
      <c r="L123" s="23"/>
      <c r="M123" s="23"/>
      <c r="N123" s="23"/>
      <c r="O123" s="23"/>
      <c r="P123" s="23"/>
      <c r="Q123" s="23"/>
      <c r="R123" s="23"/>
      <c r="S123" s="23"/>
      <c r="T123" s="23"/>
      <c r="U123" s="23"/>
      <c r="V123" s="23"/>
      <c r="W123" s="23"/>
      <c r="X123" s="23"/>
      <c r="Y123" s="23"/>
      <c r="Z123" s="23"/>
      <c r="AA123" s="23"/>
      <c r="AB123" s="23"/>
      <c r="AC123" s="23"/>
      <c r="AD123" s="23"/>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row>
    <row r="124" spans="1:63" ht="18" customHeight="1" x14ac:dyDescent="0.25">
      <c r="A124" s="1"/>
      <c r="B124" s="13"/>
      <c r="C124" s="23"/>
      <c r="D124" s="23"/>
      <c r="E124" s="23"/>
      <c r="F124" s="23"/>
      <c r="G124" s="23"/>
      <c r="H124" s="23"/>
      <c r="I124" s="23"/>
      <c r="J124" s="23"/>
      <c r="K124" s="23"/>
      <c r="L124" s="23"/>
      <c r="M124" s="23"/>
      <c r="N124" s="23"/>
      <c r="O124" s="23"/>
      <c r="P124" s="23"/>
      <c r="Q124" s="23"/>
      <c r="R124" s="23"/>
      <c r="S124" s="23"/>
      <c r="T124" s="23"/>
      <c r="U124" s="23"/>
      <c r="V124" s="23"/>
      <c r="W124" s="23"/>
      <c r="X124" s="23"/>
      <c r="Y124" s="23"/>
      <c r="Z124" s="23"/>
      <c r="AA124" s="23"/>
      <c r="AB124" s="23"/>
      <c r="AC124" s="23"/>
      <c r="AD124" s="23"/>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row>
    <row r="125" spans="1:63" ht="18" customHeight="1" x14ac:dyDescent="0.25">
      <c r="A125" s="1"/>
      <c r="B125" s="13"/>
      <c r="C125" s="23"/>
      <c r="D125" s="23"/>
      <c r="E125" s="23"/>
      <c r="F125" s="23"/>
      <c r="G125" s="23"/>
      <c r="H125" s="23"/>
      <c r="I125" s="23"/>
      <c r="J125" s="23"/>
      <c r="K125" s="23"/>
      <c r="L125" s="23"/>
      <c r="M125" s="23"/>
      <c r="N125" s="23"/>
      <c r="O125" s="23"/>
      <c r="P125" s="23"/>
      <c r="Q125" s="23"/>
      <c r="R125" s="23"/>
      <c r="S125" s="23"/>
      <c r="T125" s="23"/>
      <c r="U125" s="23"/>
      <c r="V125" s="23"/>
      <c r="W125" s="23"/>
      <c r="X125" s="23"/>
      <c r="Y125" s="23"/>
      <c r="Z125" s="23"/>
      <c r="AA125" s="23"/>
      <c r="AB125" s="23"/>
      <c r="AC125" s="23"/>
      <c r="AD125" s="23"/>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row>
    <row r="126" spans="1:63" ht="18" customHeight="1" x14ac:dyDescent="0.25">
      <c r="A126" s="1"/>
      <c r="B126" s="13"/>
      <c r="C126" s="23"/>
      <c r="D126" s="23"/>
      <c r="E126" s="23"/>
      <c r="F126" s="23"/>
      <c r="G126" s="23"/>
      <c r="H126" s="23"/>
      <c r="I126" s="23"/>
      <c r="J126" s="23"/>
      <c r="K126" s="23"/>
      <c r="L126" s="23"/>
      <c r="M126" s="23"/>
      <c r="N126" s="23"/>
      <c r="O126" s="23"/>
      <c r="P126" s="23"/>
      <c r="Q126" s="23"/>
      <c r="R126" s="23"/>
      <c r="S126" s="23"/>
      <c r="T126" s="23"/>
      <c r="U126" s="23"/>
      <c r="V126" s="23"/>
      <c r="W126" s="23"/>
      <c r="X126" s="23"/>
      <c r="Y126" s="23"/>
      <c r="Z126" s="23"/>
      <c r="AA126" s="23"/>
      <c r="AB126" s="23"/>
      <c r="AC126" s="23"/>
      <c r="AD126" s="23"/>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row>
    <row r="127" spans="1:63" ht="18" customHeight="1" x14ac:dyDescent="0.25">
      <c r="A127" s="1"/>
      <c r="B127" s="20"/>
      <c r="C127" s="37"/>
      <c r="D127" s="37"/>
      <c r="E127" s="37"/>
      <c r="F127" s="37"/>
      <c r="G127" s="37"/>
      <c r="H127" s="37"/>
      <c r="I127" s="37"/>
      <c r="J127" s="37"/>
      <c r="K127" s="37"/>
      <c r="L127" s="37"/>
      <c r="M127" s="37"/>
      <c r="N127" s="23"/>
      <c r="O127" s="23"/>
      <c r="P127" s="23"/>
      <c r="Q127" s="23"/>
      <c r="R127" s="23"/>
      <c r="S127" s="23"/>
      <c r="T127" s="23"/>
      <c r="U127" s="23"/>
      <c r="V127" s="23"/>
      <c r="W127" s="23"/>
      <c r="X127" s="23"/>
      <c r="Y127" s="23"/>
      <c r="Z127" s="23"/>
      <c r="AA127" s="23"/>
      <c r="AB127" s="23"/>
      <c r="AC127" s="23"/>
      <c r="AD127" s="23"/>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row>
    <row r="128" spans="1:63" ht="18" customHeight="1" x14ac:dyDescent="0.25">
      <c r="A128" s="1"/>
      <c r="B128" s="11"/>
      <c r="C128" s="37"/>
      <c r="D128" s="37"/>
      <c r="E128" s="37"/>
      <c r="F128" s="37"/>
      <c r="G128" s="37"/>
      <c r="H128" s="37"/>
      <c r="I128" s="37"/>
      <c r="J128" s="23"/>
      <c r="K128" s="23"/>
      <c r="L128" s="23"/>
      <c r="M128" s="23"/>
      <c r="N128" s="23"/>
      <c r="O128" s="23"/>
      <c r="P128" s="23"/>
      <c r="Q128" s="23"/>
      <c r="R128" s="23"/>
      <c r="S128" s="23"/>
      <c r="T128" s="23"/>
      <c r="U128" s="23"/>
      <c r="V128" s="23"/>
      <c r="W128" s="23"/>
      <c r="X128" s="23"/>
      <c r="Y128" s="23"/>
      <c r="Z128" s="23"/>
      <c r="AA128" s="23"/>
      <c r="AB128" s="23"/>
      <c r="AC128" s="23"/>
      <c r="AD128" s="23"/>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row>
    <row r="129" spans="1:63" ht="18" customHeight="1" x14ac:dyDescent="0.25">
      <c r="A129" s="1"/>
      <c r="B129" s="11"/>
      <c r="C129" s="37"/>
      <c r="D129" s="37"/>
      <c r="E129" s="37"/>
      <c r="F129" s="37"/>
      <c r="G129" s="37"/>
      <c r="H129" s="37"/>
      <c r="I129" s="37"/>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row>
    <row r="130" spans="1:63" ht="18" customHeight="1" x14ac:dyDescent="0.25">
      <c r="A130" s="1"/>
      <c r="B130" s="11"/>
      <c r="C130" s="37"/>
      <c r="D130" s="37"/>
      <c r="E130" s="37"/>
      <c r="F130" s="37"/>
      <c r="G130" s="37"/>
      <c r="H130" s="37"/>
      <c r="I130" s="37"/>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row>
    <row r="131" spans="1:63" ht="18" customHeight="1" x14ac:dyDescent="0.25">
      <c r="A131" s="1"/>
      <c r="B131" s="11"/>
      <c r="C131" s="37"/>
      <c r="D131" s="37"/>
      <c r="E131" s="37"/>
      <c r="F131" s="37"/>
      <c r="G131" s="37"/>
      <c r="H131" s="37"/>
      <c r="I131" s="37"/>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row>
    <row r="132" spans="1:63" ht="18" customHeight="1" x14ac:dyDescent="0.25">
      <c r="A132" s="1"/>
      <c r="B132" s="11"/>
      <c r="C132" s="37"/>
      <c r="D132" s="37"/>
      <c r="E132" s="37"/>
      <c r="F132" s="37"/>
      <c r="G132" s="37"/>
      <c r="H132" s="37"/>
      <c r="I132" s="37"/>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row>
    <row r="133" spans="1:63" ht="18" customHeight="1" x14ac:dyDescent="0.25">
      <c r="A133" s="1"/>
      <c r="B133" s="20"/>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row>
    <row r="134" spans="1:63" ht="18" customHeight="1" x14ac:dyDescent="0.25">
      <c r="A134" s="1"/>
      <c r="B134" s="20"/>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row>
    <row r="135" spans="1:63" ht="18" customHeight="1" x14ac:dyDescent="0.25">
      <c r="A135" s="1"/>
      <c r="B135" s="20"/>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row>
    <row r="136" spans="1:63" ht="18" customHeight="1" x14ac:dyDescent="0.25">
      <c r="A136" s="1"/>
      <c r="B136" s="20"/>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row>
    <row r="137" spans="1:63" ht="18" customHeight="1" x14ac:dyDescent="0.25">
      <c r="A137" s="1"/>
      <c r="B137" s="20"/>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row>
    <row r="138" spans="1:63" ht="18" customHeight="1" x14ac:dyDescent="0.25">
      <c r="A138" s="1"/>
      <c r="B138" s="20"/>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row>
    <row r="139" spans="1:63" ht="18" customHeight="1" collapsed="1" x14ac:dyDescent="0.25">
      <c r="A139" s="1"/>
      <c r="B139" s="20"/>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7"/>
      <c r="AF139" s="4"/>
      <c r="AG139" s="4"/>
      <c r="AH139" s="1"/>
      <c r="AI139" s="1"/>
      <c r="AJ139" s="5"/>
      <c r="AK139" s="5"/>
      <c r="AL139" s="5"/>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row>
    <row r="140" spans="1:63" ht="18" customHeight="1" x14ac:dyDescent="0.25">
      <c r="A140" s="1"/>
      <c r="B140" s="1"/>
      <c r="C140" s="41"/>
      <c r="D140" s="41"/>
      <c r="E140" s="41"/>
      <c r="F140" s="41"/>
      <c r="G140" s="41"/>
      <c r="H140" s="41"/>
      <c r="I140" s="41"/>
      <c r="J140" s="41"/>
      <c r="K140" s="41"/>
      <c r="L140" s="41"/>
      <c r="M140" s="41"/>
      <c r="N140" s="41"/>
      <c r="O140" s="41"/>
      <c r="P140" s="41"/>
      <c r="Q140" s="41"/>
      <c r="R140" s="41"/>
      <c r="S140" s="41"/>
      <c r="T140" s="41"/>
      <c r="U140" s="41"/>
      <c r="V140" s="41"/>
      <c r="W140" s="41"/>
      <c r="X140" s="41"/>
      <c r="Y140" s="41"/>
      <c r="Z140" s="41"/>
      <c r="AA140" s="41"/>
      <c r="AB140" s="41"/>
      <c r="AC140" s="41"/>
      <c r="AD140" s="41"/>
      <c r="AE140" s="7"/>
      <c r="AF140" s="4"/>
      <c r="AG140" s="4"/>
      <c r="AH140" s="1"/>
      <c r="AI140" s="1"/>
      <c r="AJ140" s="5"/>
      <c r="AK140" s="5"/>
      <c r="AL140" s="5"/>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row>
    <row r="141" spans="1:63" ht="18" customHeight="1" x14ac:dyDescent="0.25">
      <c r="A141" s="1"/>
      <c r="B141" s="1"/>
      <c r="C141" s="41"/>
      <c r="D141" s="41"/>
      <c r="E141" s="41"/>
      <c r="F141" s="41"/>
      <c r="G141" s="41"/>
      <c r="H141" s="41"/>
      <c r="I141" s="41"/>
      <c r="J141" s="41"/>
      <c r="K141" s="41"/>
      <c r="L141" s="41"/>
      <c r="M141" s="41"/>
      <c r="N141" s="41"/>
      <c r="O141" s="41"/>
      <c r="P141" s="41"/>
      <c r="Q141" s="41"/>
      <c r="R141" s="41"/>
      <c r="S141" s="41"/>
      <c r="T141" s="41"/>
      <c r="U141" s="41"/>
      <c r="V141" s="41"/>
      <c r="W141" s="41"/>
      <c r="X141" s="41"/>
      <c r="Y141" s="41"/>
      <c r="Z141" s="41"/>
      <c r="AA141" s="41"/>
      <c r="AB141" s="41"/>
      <c r="AC141" s="41"/>
      <c r="AD141" s="41"/>
      <c r="AE141" s="7"/>
      <c r="AF141" s="4"/>
      <c r="AG141" s="4"/>
      <c r="AH141" s="1"/>
      <c r="AI141" s="1"/>
      <c r="AJ141" s="5"/>
      <c r="AK141" s="5"/>
      <c r="AL141" s="5"/>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row>
    <row r="142" spans="1:63" ht="18" customHeight="1" x14ac:dyDescent="0.25">
      <c r="A142" s="1"/>
      <c r="B142" s="1"/>
      <c r="C142" s="41"/>
      <c r="D142" s="41"/>
      <c r="E142" s="41"/>
      <c r="F142" s="41"/>
      <c r="G142" s="41"/>
      <c r="H142" s="41"/>
      <c r="I142" s="41"/>
      <c r="J142" s="41"/>
      <c r="K142" s="41"/>
      <c r="L142" s="41"/>
      <c r="M142" s="41"/>
      <c r="N142" s="41"/>
      <c r="O142" s="41"/>
      <c r="P142" s="41"/>
      <c r="Q142" s="41"/>
      <c r="R142" s="41"/>
      <c r="S142" s="41"/>
      <c r="T142" s="41"/>
      <c r="U142" s="41"/>
      <c r="V142" s="41"/>
      <c r="W142" s="41"/>
      <c r="X142" s="41"/>
      <c r="Y142" s="41"/>
      <c r="Z142" s="41"/>
      <c r="AA142" s="41"/>
      <c r="AB142" s="41"/>
      <c r="AC142" s="41"/>
      <c r="AD142" s="41"/>
      <c r="AE142" s="7"/>
      <c r="AF142" s="4"/>
      <c r="AG142" s="4"/>
      <c r="AH142" s="1"/>
      <c r="AI142" s="1"/>
      <c r="AJ142" s="5"/>
      <c r="AK142" s="5"/>
      <c r="AL142" s="5"/>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row>
    <row r="143" spans="1:63" ht="18" customHeight="1" x14ac:dyDescent="0.25">
      <c r="A143" s="1"/>
      <c r="B143" s="1"/>
      <c r="C143" s="41"/>
      <c r="D143" s="41"/>
      <c r="E143" s="41"/>
      <c r="F143" s="41"/>
      <c r="G143" s="41"/>
      <c r="H143" s="41"/>
      <c r="I143" s="41"/>
      <c r="J143" s="41"/>
      <c r="K143" s="41"/>
      <c r="L143" s="41"/>
      <c r="M143" s="41"/>
      <c r="N143" s="41"/>
      <c r="O143" s="41"/>
      <c r="P143" s="41"/>
      <c r="Q143" s="41"/>
      <c r="R143" s="41"/>
      <c r="S143" s="41"/>
      <c r="T143" s="41"/>
      <c r="U143" s="41"/>
      <c r="V143" s="41"/>
      <c r="W143" s="41"/>
      <c r="X143" s="41"/>
      <c r="Y143" s="41"/>
      <c r="Z143" s="41"/>
      <c r="AA143" s="41"/>
      <c r="AB143" s="41"/>
      <c r="AC143" s="41"/>
      <c r="AD143" s="41"/>
      <c r="AE143" s="7"/>
      <c r="AF143" s="4"/>
      <c r="AG143" s="4"/>
      <c r="AH143" s="1"/>
      <c r="AI143" s="1"/>
      <c r="AJ143" s="5"/>
      <c r="AK143" s="5"/>
      <c r="AL143" s="5"/>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row>
    <row r="144" spans="1:63" ht="18" customHeight="1" x14ac:dyDescent="0.25">
      <c r="A144" s="1"/>
      <c r="B144" s="1"/>
      <c r="C144" s="41"/>
      <c r="D144" s="41"/>
      <c r="E144" s="41"/>
      <c r="F144" s="41"/>
      <c r="G144" s="41"/>
      <c r="H144" s="41"/>
      <c r="I144" s="41"/>
      <c r="J144" s="41"/>
      <c r="K144" s="41"/>
      <c r="L144" s="41"/>
      <c r="M144" s="41"/>
      <c r="N144" s="41"/>
      <c r="O144" s="41"/>
      <c r="P144" s="41"/>
      <c r="Q144" s="41"/>
      <c r="R144" s="41"/>
      <c r="S144" s="41"/>
      <c r="T144" s="41"/>
      <c r="U144" s="41"/>
      <c r="V144" s="41"/>
      <c r="W144" s="41"/>
      <c r="X144" s="41"/>
      <c r="Y144" s="41"/>
      <c r="Z144" s="41"/>
      <c r="AA144" s="41"/>
      <c r="AB144" s="41"/>
      <c r="AC144" s="41"/>
      <c r="AD144" s="41"/>
      <c r="AE144" s="7"/>
      <c r="AF144" s="4"/>
      <c r="AG144" s="4"/>
      <c r="AH144" s="1"/>
      <c r="AI144" s="1"/>
      <c r="AJ144" s="5"/>
      <c r="AK144" s="5"/>
      <c r="AL144" s="5"/>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row>
    <row r="145" spans="1:63" ht="18"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7"/>
      <c r="AF145" s="4"/>
      <c r="AG145" s="4"/>
      <c r="AH145" s="1"/>
      <c r="AI145" s="1"/>
      <c r="AJ145" s="5"/>
      <c r="AK145" s="5"/>
      <c r="AL145" s="5"/>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row>
    <row r="146" spans="1:63" ht="18"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7"/>
      <c r="AF146" s="4"/>
      <c r="AG146" s="4"/>
      <c r="AH146" s="1"/>
      <c r="AI146" s="1"/>
      <c r="AJ146" s="5"/>
      <c r="AK146" s="5"/>
      <c r="AL146" s="5"/>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row>
    <row r="147" spans="1:63" ht="18"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7"/>
      <c r="AF147" s="4"/>
      <c r="AG147" s="4"/>
      <c r="AH147" s="1"/>
      <c r="AI147" s="1"/>
      <c r="AJ147" s="5"/>
      <c r="AK147" s="5"/>
      <c r="AL147" s="5"/>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row>
    <row r="148" spans="1:63" ht="18"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7"/>
      <c r="AF148" s="4"/>
      <c r="AG148" s="4"/>
      <c r="AH148" s="1"/>
      <c r="AI148" s="1"/>
      <c r="AJ148" s="5"/>
      <c r="AK148" s="5"/>
      <c r="AL148" s="5"/>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row>
    <row r="149" spans="1:63" ht="18"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7"/>
      <c r="AF149" s="4"/>
      <c r="AG149" s="4"/>
      <c r="AH149" s="1"/>
      <c r="AI149" s="1"/>
      <c r="AJ149" s="5"/>
      <c r="AK149" s="5"/>
      <c r="AL149" s="5"/>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row>
    <row r="150" spans="1:63" ht="18"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7"/>
      <c r="AF150" s="4"/>
      <c r="AG150" s="4"/>
      <c r="AH150" s="1"/>
      <c r="AI150" s="1"/>
      <c r="AJ150" s="5"/>
      <c r="AK150" s="5"/>
      <c r="AL150" s="5"/>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row>
    <row r="151" spans="1:63" ht="18"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7"/>
      <c r="AF151" s="4"/>
      <c r="AG151" s="4"/>
      <c r="AH151" s="1"/>
      <c r="AI151" s="1"/>
      <c r="AJ151" s="5"/>
      <c r="AK151" s="5"/>
      <c r="AL151" s="5"/>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row>
    <row r="152" spans="1:63" ht="18" customHeight="1" collapsed="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7"/>
      <c r="AF152" s="7"/>
      <c r="AG152" s="7"/>
      <c r="AH152" s="4"/>
      <c r="AI152" s="4"/>
      <c r="AJ152" s="1"/>
      <c r="AK152" s="1"/>
      <c r="AL152" s="5"/>
      <c r="AM152" s="5"/>
      <c r="AN152" s="5"/>
      <c r="AO152" s="1"/>
      <c r="AP152" s="1"/>
      <c r="AQ152" s="1"/>
      <c r="AR152" s="1"/>
      <c r="AS152" s="1"/>
      <c r="AT152" s="1"/>
      <c r="AU152" s="1"/>
      <c r="AV152" s="1"/>
      <c r="AW152" s="1"/>
      <c r="AX152" s="1"/>
      <c r="AY152" s="1"/>
      <c r="AZ152" s="1"/>
      <c r="BA152" s="1"/>
      <c r="BB152" s="1"/>
      <c r="BC152" s="1"/>
      <c r="BD152" s="1"/>
      <c r="BE152" s="1"/>
      <c r="BF152" s="1"/>
      <c r="BG152" s="1"/>
      <c r="BH152" s="1"/>
      <c r="BI152" s="1"/>
      <c r="BJ152" s="1"/>
      <c r="BK152" s="1"/>
    </row>
    <row r="153" spans="1:63" ht="18"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7"/>
      <c r="AF153" s="7"/>
      <c r="AG153" s="7"/>
      <c r="AH153" s="4"/>
      <c r="AI153" s="4"/>
      <c r="AJ153" s="1"/>
      <c r="AK153" s="1"/>
      <c r="AL153" s="5"/>
      <c r="AM153" s="5"/>
      <c r="AN153" s="5"/>
      <c r="AO153" s="1"/>
      <c r="AP153" s="1"/>
      <c r="AQ153" s="1"/>
      <c r="AR153" s="1"/>
      <c r="AS153" s="1"/>
      <c r="AT153" s="1"/>
      <c r="AU153" s="1"/>
      <c r="AV153" s="1"/>
      <c r="AW153" s="1"/>
      <c r="AX153" s="1"/>
      <c r="AY153" s="1"/>
      <c r="AZ153" s="1"/>
      <c r="BA153" s="1"/>
      <c r="BB153" s="1"/>
      <c r="BC153" s="1"/>
      <c r="BD153" s="1"/>
      <c r="BE153" s="1"/>
      <c r="BF153" s="1"/>
      <c r="BG153" s="1"/>
      <c r="BH153" s="1"/>
      <c r="BI153" s="1"/>
      <c r="BJ153" s="1"/>
      <c r="BK153" s="1"/>
    </row>
    <row r="154" spans="1:63" ht="18"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2"/>
      <c r="AF154" s="2"/>
      <c r="AG154" s="2"/>
      <c r="AH154" s="1"/>
      <c r="AI154" s="1"/>
      <c r="AJ154" s="1"/>
      <c r="AK154" s="1"/>
      <c r="AL154" s="5"/>
      <c r="AM154" s="5"/>
      <c r="AN154" s="5"/>
      <c r="AO154" s="1"/>
      <c r="AP154" s="1"/>
      <c r="AQ154" s="1"/>
      <c r="AR154" s="1"/>
      <c r="AS154" s="1"/>
      <c r="AT154" s="1"/>
      <c r="AU154" s="1"/>
      <c r="AV154" s="1"/>
      <c r="AW154" s="1"/>
      <c r="AX154" s="1"/>
      <c r="AY154" s="1"/>
      <c r="AZ154" s="1"/>
      <c r="BA154" s="1"/>
      <c r="BB154" s="1"/>
      <c r="BC154" s="1"/>
      <c r="BD154" s="1"/>
      <c r="BE154" s="1"/>
      <c r="BF154" s="1"/>
      <c r="BG154" s="1"/>
      <c r="BH154" s="1"/>
      <c r="BI154" s="1"/>
      <c r="BJ154" s="1"/>
      <c r="BK154" s="1"/>
    </row>
    <row r="155" spans="1:63" ht="18"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2"/>
      <c r="AF155" s="2"/>
      <c r="AG155" s="2"/>
      <c r="AH155" s="1"/>
      <c r="AI155" s="1"/>
      <c r="AJ155" s="1"/>
      <c r="AK155" s="1"/>
      <c r="AL155" s="5"/>
      <c r="AM155" s="5"/>
      <c r="AN155" s="5"/>
      <c r="AO155" s="1"/>
      <c r="AP155" s="1"/>
      <c r="AQ155" s="1"/>
      <c r="AR155" s="1"/>
      <c r="AS155" s="1"/>
      <c r="AT155" s="1"/>
      <c r="AU155" s="1"/>
      <c r="AV155" s="1"/>
      <c r="AW155" s="1"/>
      <c r="AX155" s="1"/>
      <c r="AY155" s="1"/>
      <c r="AZ155" s="1"/>
      <c r="BA155" s="1"/>
      <c r="BB155" s="1"/>
      <c r="BC155" s="1"/>
      <c r="BD155" s="1"/>
      <c r="BE155" s="1"/>
      <c r="BF155" s="1"/>
      <c r="BG155" s="1"/>
      <c r="BH155" s="1"/>
      <c r="BI155" s="1"/>
      <c r="BJ155" s="1"/>
      <c r="BK155" s="1"/>
    </row>
    <row r="156" spans="1:63" ht="18"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2"/>
      <c r="AF156" s="2"/>
      <c r="AG156" s="2"/>
      <c r="AH156" s="1"/>
      <c r="AI156" s="1"/>
      <c r="AJ156" s="1"/>
      <c r="AK156" s="1"/>
      <c r="AL156" s="5"/>
      <c r="AM156" s="5"/>
      <c r="AN156" s="5"/>
      <c r="AO156" s="1"/>
      <c r="AP156" s="1"/>
      <c r="AQ156" s="1"/>
      <c r="AR156" s="1"/>
      <c r="AS156" s="1"/>
      <c r="AT156" s="1"/>
      <c r="AU156" s="1"/>
      <c r="AV156" s="1"/>
      <c r="AW156" s="1"/>
      <c r="AX156" s="1"/>
      <c r="AY156" s="1"/>
      <c r="AZ156" s="1"/>
      <c r="BA156" s="1"/>
      <c r="BB156" s="1"/>
      <c r="BC156" s="1"/>
      <c r="BD156" s="1"/>
      <c r="BE156" s="1"/>
      <c r="BF156" s="1"/>
      <c r="BG156" s="1"/>
      <c r="BH156" s="1"/>
      <c r="BI156" s="1"/>
      <c r="BJ156" s="1"/>
      <c r="BK156" s="1"/>
    </row>
    <row r="157" spans="1:63" ht="18" hidden="1"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2"/>
      <c r="AF157" s="2"/>
      <c r="AG157" s="2"/>
      <c r="AH157" s="1"/>
      <c r="AI157" s="1"/>
      <c r="AJ157" s="1"/>
      <c r="AK157" s="1"/>
      <c r="AL157" s="5"/>
      <c r="AM157" s="5"/>
      <c r="AN157" s="5"/>
      <c r="AO157" s="1"/>
      <c r="AP157" s="1"/>
      <c r="AQ157" s="1"/>
      <c r="AR157" s="1"/>
      <c r="AS157" s="1"/>
      <c r="AT157" s="1"/>
      <c r="AU157" s="1"/>
      <c r="AV157" s="1"/>
      <c r="AW157" s="1"/>
      <c r="AX157" s="1"/>
      <c r="AY157" s="1"/>
      <c r="AZ157" s="1"/>
      <c r="BA157" s="1"/>
      <c r="BB157" s="1"/>
      <c r="BC157" s="1"/>
      <c r="BD157" s="1"/>
      <c r="BE157" s="1"/>
      <c r="BF157" s="1"/>
      <c r="BG157" s="1"/>
      <c r="BH157" s="1"/>
      <c r="BI157" s="1"/>
      <c r="BJ157" s="1"/>
      <c r="BK157" s="1"/>
    </row>
    <row r="158" spans="1:63" ht="18" hidden="1"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2"/>
      <c r="AF158" s="2"/>
      <c r="AG158" s="2"/>
      <c r="AH158" s="1"/>
      <c r="AI158" s="1"/>
      <c r="AJ158" s="1"/>
      <c r="AK158" s="1"/>
      <c r="AL158" s="5"/>
      <c r="AM158" s="5"/>
      <c r="AN158" s="5"/>
      <c r="AO158" s="1"/>
      <c r="AP158" s="1"/>
      <c r="AQ158" s="1"/>
      <c r="AR158" s="1"/>
      <c r="AS158" s="1"/>
      <c r="AT158" s="1"/>
      <c r="AU158" s="1"/>
      <c r="AV158" s="1"/>
      <c r="AW158" s="1"/>
      <c r="AX158" s="1"/>
      <c r="AY158" s="1"/>
      <c r="AZ158" s="1"/>
      <c r="BA158" s="1"/>
      <c r="BB158" s="1"/>
      <c r="BC158" s="1"/>
      <c r="BD158" s="1"/>
      <c r="BE158" s="1"/>
      <c r="BF158" s="1"/>
      <c r="BG158" s="1"/>
      <c r="BH158" s="1"/>
      <c r="BI158" s="1"/>
      <c r="BJ158" s="1"/>
      <c r="BK158" s="1"/>
    </row>
    <row r="159" spans="1:63" ht="18" hidden="1"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2"/>
      <c r="AF159" s="2"/>
      <c r="AG159" s="2"/>
      <c r="AH159" s="1"/>
      <c r="AI159" s="1"/>
      <c r="AJ159" s="1"/>
      <c r="AK159" s="1"/>
      <c r="AL159" s="5"/>
      <c r="AM159" s="5"/>
      <c r="AN159" s="5"/>
      <c r="AO159" s="1"/>
      <c r="AP159" s="1"/>
      <c r="AQ159" s="1"/>
      <c r="AR159" s="1"/>
      <c r="AS159" s="1"/>
      <c r="AT159" s="1"/>
      <c r="AU159" s="1"/>
      <c r="AV159" s="1"/>
      <c r="AW159" s="1"/>
      <c r="AX159" s="1"/>
      <c r="AY159" s="1"/>
      <c r="AZ159" s="1"/>
      <c r="BA159" s="1"/>
      <c r="BB159" s="1"/>
      <c r="BC159" s="1"/>
      <c r="BD159" s="1"/>
      <c r="BE159" s="1"/>
      <c r="BF159" s="1"/>
      <c r="BG159" s="1"/>
      <c r="BH159" s="1"/>
      <c r="BI159" s="1"/>
      <c r="BJ159" s="1"/>
      <c r="BK159" s="1"/>
    </row>
    <row r="160" spans="1:63" ht="18" hidden="1"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2"/>
      <c r="AF160" s="2"/>
      <c r="AG160" s="2"/>
      <c r="AH160" s="1"/>
      <c r="AI160" s="1"/>
      <c r="AJ160" s="1"/>
      <c r="AK160" s="1"/>
      <c r="AL160" s="5"/>
      <c r="AM160" s="5"/>
      <c r="AN160" s="5"/>
      <c r="AO160" s="1"/>
      <c r="AP160" s="1"/>
      <c r="AQ160" s="1"/>
      <c r="AR160" s="1"/>
      <c r="AS160" s="1"/>
      <c r="AT160" s="1"/>
      <c r="AU160" s="1"/>
      <c r="AV160" s="1"/>
      <c r="AW160" s="1"/>
      <c r="AX160" s="1"/>
      <c r="AY160" s="1"/>
      <c r="AZ160" s="1"/>
      <c r="BA160" s="1"/>
      <c r="BB160" s="1"/>
      <c r="BC160" s="1"/>
      <c r="BD160" s="1"/>
      <c r="BE160" s="1"/>
      <c r="BF160" s="1"/>
      <c r="BG160" s="1"/>
      <c r="BH160" s="1"/>
      <c r="BI160" s="1"/>
      <c r="BJ160" s="1"/>
      <c r="BK160" s="1"/>
    </row>
    <row r="161" spans="1:63" ht="18" hidden="1"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2"/>
      <c r="AF161" s="2"/>
      <c r="AG161" s="2"/>
      <c r="AH161" s="1"/>
      <c r="AI161" s="1"/>
      <c r="AJ161" s="1"/>
      <c r="AK161" s="1"/>
      <c r="AL161" s="5"/>
      <c r="AM161" s="5"/>
      <c r="AN161" s="5"/>
      <c r="AO161" s="1"/>
      <c r="AP161" s="1"/>
      <c r="AQ161" s="1"/>
      <c r="AR161" s="1"/>
      <c r="AS161" s="1"/>
      <c r="AT161" s="1"/>
      <c r="AU161" s="1"/>
      <c r="AV161" s="1"/>
      <c r="AW161" s="1"/>
      <c r="AX161" s="1"/>
      <c r="AY161" s="1"/>
      <c r="AZ161" s="1"/>
      <c r="BA161" s="1"/>
      <c r="BB161" s="1"/>
      <c r="BC161" s="1"/>
      <c r="BD161" s="1"/>
      <c r="BE161" s="1"/>
      <c r="BF161" s="1"/>
      <c r="BG161" s="1"/>
      <c r="BH161" s="1"/>
      <c r="BI161" s="1"/>
      <c r="BJ161" s="1"/>
      <c r="BK161" s="1"/>
    </row>
    <row r="162" spans="1:63" ht="18" hidden="1"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2"/>
      <c r="AF162" s="2"/>
      <c r="AG162" s="2"/>
      <c r="AH162" s="1"/>
      <c r="AI162" s="1"/>
      <c r="AJ162" s="1"/>
      <c r="AK162" s="1"/>
      <c r="AL162" s="5"/>
      <c r="AM162" s="5"/>
      <c r="AN162" s="5"/>
      <c r="AO162" s="1"/>
      <c r="AP162" s="1"/>
      <c r="AQ162" s="1"/>
      <c r="AR162" s="1"/>
      <c r="AS162" s="1"/>
      <c r="AT162" s="1"/>
      <c r="AU162" s="1"/>
      <c r="AV162" s="1"/>
      <c r="AW162" s="1"/>
      <c r="AX162" s="1"/>
      <c r="AY162" s="1"/>
      <c r="AZ162" s="1"/>
      <c r="BA162" s="1"/>
      <c r="BB162" s="1"/>
      <c r="BC162" s="1"/>
      <c r="BD162" s="1"/>
      <c r="BE162" s="1"/>
      <c r="BF162" s="1"/>
      <c r="BG162" s="1"/>
      <c r="BH162" s="1"/>
      <c r="BI162" s="1"/>
      <c r="BJ162" s="1"/>
      <c r="BK162" s="1"/>
    </row>
    <row r="163" spans="1:63" ht="18" hidden="1"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2"/>
      <c r="AF163" s="2"/>
      <c r="AG163" s="2"/>
      <c r="AH163" s="1"/>
      <c r="AI163" s="1"/>
      <c r="AJ163" s="1"/>
      <c r="AK163" s="1"/>
      <c r="AL163" s="5"/>
      <c r="AM163" s="5"/>
      <c r="AN163" s="5"/>
      <c r="AO163" s="1"/>
      <c r="AP163" s="1"/>
      <c r="AQ163" s="1"/>
      <c r="AR163" s="1"/>
      <c r="AS163" s="1"/>
      <c r="AT163" s="1"/>
      <c r="AU163" s="1"/>
      <c r="AV163" s="1"/>
      <c r="AW163" s="1"/>
      <c r="AX163" s="1"/>
      <c r="AY163" s="1"/>
      <c r="AZ163" s="1"/>
      <c r="BA163" s="1"/>
      <c r="BB163" s="1"/>
      <c r="BC163" s="1"/>
      <c r="BD163" s="1"/>
      <c r="BE163" s="1"/>
      <c r="BF163" s="1"/>
      <c r="BG163" s="1"/>
      <c r="BH163" s="1"/>
      <c r="BI163" s="1"/>
      <c r="BJ163" s="1"/>
      <c r="BK163" s="1"/>
    </row>
    <row r="164" spans="1:63" ht="18" customHeight="1" collapsed="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2"/>
      <c r="AF164" s="2"/>
      <c r="AG164" s="2"/>
      <c r="AH164" s="1"/>
      <c r="AI164" s="1"/>
      <c r="AJ164" s="1"/>
      <c r="AK164" s="1"/>
      <c r="AL164" s="5"/>
      <c r="AM164" s="5"/>
      <c r="AN164" s="5"/>
      <c r="AO164" s="1"/>
      <c r="AP164" s="1"/>
      <c r="AQ164" s="1"/>
      <c r="AR164" s="1"/>
      <c r="AS164" s="1"/>
      <c r="AT164" s="1"/>
      <c r="AU164" s="1"/>
      <c r="AV164" s="1"/>
      <c r="AW164" s="1"/>
      <c r="AX164" s="1"/>
      <c r="AY164" s="1"/>
      <c r="AZ164" s="1"/>
      <c r="BA164" s="1"/>
      <c r="BB164" s="1"/>
      <c r="BC164" s="1"/>
      <c r="BD164" s="1"/>
      <c r="BE164" s="1"/>
      <c r="BF164" s="1"/>
      <c r="BG164" s="1"/>
      <c r="BH164" s="1"/>
      <c r="BI164" s="1"/>
      <c r="BJ164" s="1"/>
      <c r="BK164" s="1"/>
    </row>
    <row r="165" spans="1:63" ht="18" hidden="1"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2"/>
      <c r="AF165" s="2"/>
      <c r="AG165" s="2"/>
      <c r="AH165" s="1"/>
      <c r="AI165" s="1"/>
      <c r="AJ165" s="1"/>
      <c r="AK165" s="1"/>
      <c r="AL165" s="5"/>
      <c r="AM165" s="5"/>
      <c r="AN165" s="5"/>
      <c r="AO165" s="1"/>
      <c r="AP165" s="1"/>
      <c r="AQ165" s="1"/>
      <c r="AR165" s="1"/>
      <c r="AS165" s="1"/>
      <c r="AT165" s="1"/>
      <c r="AU165" s="1"/>
      <c r="AV165" s="1"/>
      <c r="AW165" s="1"/>
      <c r="AX165" s="1"/>
      <c r="AY165" s="1"/>
      <c r="AZ165" s="1"/>
      <c r="BA165" s="1"/>
      <c r="BB165" s="1"/>
      <c r="BC165" s="1"/>
      <c r="BD165" s="1"/>
      <c r="BE165" s="1"/>
      <c r="BF165" s="1"/>
      <c r="BG165" s="1"/>
      <c r="BH165" s="1"/>
      <c r="BI165" s="1"/>
      <c r="BJ165" s="1"/>
      <c r="BK165" s="1"/>
    </row>
    <row r="166" spans="1:63" ht="18" hidden="1"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2"/>
      <c r="AF166" s="2"/>
      <c r="AG166" s="2"/>
      <c r="AH166" s="1"/>
      <c r="AI166" s="1"/>
      <c r="AJ166" s="1"/>
      <c r="AK166" s="1"/>
      <c r="AL166" s="5"/>
      <c r="AM166" s="5"/>
      <c r="AN166" s="5"/>
      <c r="AO166" s="1"/>
      <c r="AP166" s="1"/>
      <c r="AQ166" s="1"/>
      <c r="AR166" s="1"/>
      <c r="AS166" s="1"/>
      <c r="AT166" s="1"/>
      <c r="AU166" s="1"/>
      <c r="AV166" s="1"/>
      <c r="AW166" s="1"/>
      <c r="AX166" s="1"/>
      <c r="AY166" s="1"/>
      <c r="AZ166" s="1"/>
      <c r="BA166" s="1"/>
      <c r="BB166" s="1"/>
      <c r="BC166" s="1"/>
      <c r="BD166" s="1"/>
      <c r="BE166" s="1"/>
      <c r="BF166" s="1"/>
      <c r="BG166" s="1"/>
      <c r="BH166" s="1"/>
      <c r="BI166" s="1"/>
      <c r="BJ166" s="1"/>
      <c r="BK166" s="1"/>
    </row>
    <row r="167" spans="1:63" ht="18" hidden="1"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2"/>
      <c r="AF167" s="2"/>
      <c r="AG167" s="2"/>
      <c r="AH167" s="1"/>
      <c r="AI167" s="1"/>
      <c r="AJ167" s="1"/>
      <c r="AK167" s="1"/>
      <c r="AL167" s="5"/>
      <c r="AM167" s="5"/>
      <c r="AN167" s="5"/>
      <c r="AO167" s="1"/>
      <c r="AP167" s="1"/>
      <c r="AQ167" s="1"/>
      <c r="AR167" s="1"/>
      <c r="AS167" s="1"/>
      <c r="AT167" s="1"/>
      <c r="AU167" s="1"/>
      <c r="AV167" s="1"/>
      <c r="AW167" s="1"/>
      <c r="AX167" s="1"/>
      <c r="AY167" s="1"/>
      <c r="AZ167" s="1"/>
      <c r="BA167" s="1"/>
      <c r="BB167" s="1"/>
      <c r="BC167" s="1"/>
      <c r="BD167" s="1"/>
      <c r="BE167" s="1"/>
      <c r="BF167" s="1"/>
      <c r="BG167" s="1"/>
      <c r="BH167" s="1"/>
      <c r="BI167" s="1"/>
      <c r="BJ167" s="1"/>
      <c r="BK167" s="1"/>
    </row>
    <row r="168" spans="1:63" ht="18" hidden="1"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2"/>
      <c r="AF168" s="2"/>
      <c r="AG168" s="2"/>
      <c r="AH168" s="1"/>
      <c r="AI168" s="1"/>
      <c r="AJ168" s="1"/>
      <c r="AK168" s="1"/>
      <c r="AL168" s="5"/>
      <c r="AM168" s="5"/>
      <c r="AN168" s="5"/>
      <c r="AO168" s="1"/>
      <c r="AP168" s="1"/>
      <c r="AQ168" s="1"/>
      <c r="AR168" s="1"/>
      <c r="AS168" s="1"/>
      <c r="AT168" s="1"/>
      <c r="AU168" s="1"/>
      <c r="AV168" s="1"/>
      <c r="AW168" s="1"/>
      <c r="AX168" s="1"/>
      <c r="AY168" s="1"/>
      <c r="AZ168" s="1"/>
      <c r="BA168" s="1"/>
      <c r="BB168" s="1"/>
      <c r="BC168" s="1"/>
      <c r="BD168" s="1"/>
      <c r="BE168" s="1"/>
      <c r="BF168" s="1"/>
      <c r="BG168" s="1"/>
      <c r="BH168" s="1"/>
      <c r="BI168" s="1"/>
      <c r="BJ168" s="1"/>
      <c r="BK168" s="1"/>
    </row>
    <row r="169" spans="1:63" ht="18" hidden="1"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2"/>
      <c r="AF169" s="2"/>
      <c r="AG169" s="2"/>
      <c r="AH169" s="1"/>
      <c r="AI169" s="1"/>
      <c r="AJ169" s="1"/>
      <c r="AK169" s="1"/>
      <c r="AL169" s="5"/>
      <c r="AM169" s="5"/>
      <c r="AN169" s="5"/>
      <c r="AO169" s="1"/>
      <c r="AP169" s="1"/>
      <c r="AQ169" s="1"/>
      <c r="AR169" s="1"/>
      <c r="AS169" s="1"/>
      <c r="AT169" s="1"/>
      <c r="AU169" s="1"/>
      <c r="AV169" s="1"/>
      <c r="AW169" s="1"/>
      <c r="AX169" s="1"/>
      <c r="AY169" s="1"/>
      <c r="AZ169" s="1"/>
      <c r="BA169" s="1"/>
      <c r="BB169" s="1"/>
      <c r="BC169" s="1"/>
      <c r="BD169" s="1"/>
      <c r="BE169" s="1"/>
      <c r="BF169" s="1"/>
      <c r="BG169" s="1"/>
      <c r="BH169" s="1"/>
      <c r="BI169" s="1"/>
      <c r="BJ169" s="1"/>
      <c r="BK169" s="1"/>
    </row>
    <row r="170" spans="1:63" ht="18" hidden="1"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2"/>
      <c r="AF170" s="2"/>
      <c r="AG170" s="2"/>
      <c r="AH170" s="1"/>
      <c r="AI170" s="1"/>
      <c r="AJ170" s="1"/>
      <c r="AK170" s="1"/>
      <c r="AL170" s="5"/>
      <c r="AM170" s="5"/>
      <c r="AN170" s="5"/>
      <c r="AO170" s="1"/>
      <c r="AP170" s="1"/>
      <c r="AQ170" s="1"/>
      <c r="AR170" s="1"/>
      <c r="AS170" s="1"/>
      <c r="AT170" s="1"/>
      <c r="AU170" s="1"/>
      <c r="AV170" s="1"/>
      <c r="AW170" s="1"/>
      <c r="AX170" s="1"/>
      <c r="AY170" s="1"/>
      <c r="AZ170" s="1"/>
      <c r="BA170" s="1"/>
      <c r="BB170" s="1"/>
      <c r="BC170" s="1"/>
      <c r="BD170" s="1"/>
      <c r="BE170" s="1"/>
      <c r="BF170" s="1"/>
      <c r="BG170" s="1"/>
      <c r="BH170" s="1"/>
      <c r="BI170" s="1"/>
      <c r="BJ170" s="1"/>
      <c r="BK170" s="1"/>
    </row>
    <row r="171" spans="1:63" ht="18" hidden="1"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2"/>
      <c r="AF171" s="2"/>
      <c r="AG171" s="2"/>
      <c r="AH171" s="1"/>
      <c r="AI171" s="1"/>
      <c r="AJ171" s="1"/>
      <c r="AK171" s="1"/>
      <c r="AL171" s="5"/>
      <c r="AM171" s="5"/>
      <c r="AN171" s="5"/>
      <c r="AO171" s="1"/>
      <c r="AP171" s="1"/>
      <c r="AQ171" s="1"/>
      <c r="AR171" s="1"/>
      <c r="AS171" s="1"/>
      <c r="AT171" s="1"/>
      <c r="AU171" s="1"/>
      <c r="AV171" s="1"/>
      <c r="AW171" s="1"/>
      <c r="AX171" s="1"/>
      <c r="AY171" s="1"/>
      <c r="AZ171" s="1"/>
      <c r="BA171" s="1"/>
      <c r="BB171" s="1"/>
      <c r="BC171" s="1"/>
      <c r="BD171" s="1"/>
      <c r="BE171" s="1"/>
      <c r="BF171" s="1"/>
      <c r="BG171" s="1"/>
      <c r="BH171" s="1"/>
      <c r="BI171" s="1"/>
      <c r="BJ171" s="1"/>
      <c r="BK171" s="1"/>
    </row>
    <row r="172" spans="1:63" ht="18" hidden="1"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2"/>
      <c r="AF172" s="2"/>
      <c r="AG172" s="2"/>
      <c r="AH172" s="1"/>
      <c r="AI172" s="1"/>
      <c r="AJ172" s="1"/>
      <c r="AK172" s="1"/>
      <c r="AL172" s="5"/>
      <c r="AM172" s="5"/>
      <c r="AN172" s="5"/>
      <c r="AO172" s="1"/>
      <c r="AP172" s="1"/>
      <c r="AQ172" s="1"/>
      <c r="AR172" s="1"/>
      <c r="AS172" s="1"/>
      <c r="AT172" s="1"/>
      <c r="AU172" s="1"/>
      <c r="AV172" s="1"/>
      <c r="AW172" s="1"/>
      <c r="AX172" s="1"/>
      <c r="AY172" s="1"/>
      <c r="AZ172" s="1"/>
      <c r="BA172" s="1"/>
      <c r="BB172" s="1"/>
      <c r="BC172" s="1"/>
      <c r="BD172" s="1"/>
      <c r="BE172" s="1"/>
      <c r="BF172" s="1"/>
      <c r="BG172" s="1"/>
      <c r="BH172" s="1"/>
      <c r="BI172" s="1"/>
      <c r="BJ172" s="1"/>
      <c r="BK172" s="1"/>
    </row>
    <row r="173" spans="1:63" ht="18" customHeight="1" collapsed="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2"/>
      <c r="AF173" s="2"/>
      <c r="AG173" s="2"/>
      <c r="AH173" s="1"/>
      <c r="AI173" s="1"/>
      <c r="AJ173" s="1"/>
      <c r="AK173" s="1"/>
      <c r="AL173" s="5"/>
      <c r="AM173" s="5"/>
      <c r="AN173" s="5"/>
      <c r="AO173" s="1"/>
      <c r="AP173" s="1"/>
      <c r="AQ173" s="1"/>
      <c r="AR173" s="1"/>
      <c r="AS173" s="1"/>
      <c r="AT173" s="1"/>
      <c r="AU173" s="1"/>
      <c r="AV173" s="1"/>
      <c r="AW173" s="1"/>
      <c r="AX173" s="1"/>
      <c r="AY173" s="1"/>
      <c r="AZ173" s="1"/>
      <c r="BA173" s="1"/>
      <c r="BB173" s="1"/>
      <c r="BC173" s="1"/>
      <c r="BD173" s="1"/>
      <c r="BE173" s="1"/>
      <c r="BF173" s="1"/>
      <c r="BG173" s="1"/>
      <c r="BH173" s="1"/>
      <c r="BI173" s="1"/>
      <c r="BJ173" s="1"/>
      <c r="BK173" s="1"/>
    </row>
    <row r="174" spans="1:63" ht="18"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2"/>
      <c r="AF174" s="2"/>
      <c r="AG174" s="2"/>
      <c r="AH174" s="1"/>
      <c r="AI174" s="1"/>
      <c r="AJ174" s="1"/>
      <c r="AK174" s="1"/>
      <c r="AL174" s="5"/>
      <c r="AM174" s="5"/>
      <c r="AN174" s="5"/>
      <c r="AO174" s="1"/>
      <c r="AP174" s="1"/>
      <c r="AQ174" s="1"/>
      <c r="AR174" s="1"/>
      <c r="AS174" s="1"/>
      <c r="AT174" s="1"/>
      <c r="AU174" s="1"/>
      <c r="AV174" s="1"/>
      <c r="AW174" s="1"/>
      <c r="AX174" s="1"/>
      <c r="AY174" s="1"/>
      <c r="AZ174" s="1"/>
      <c r="BA174" s="1"/>
      <c r="BB174" s="1"/>
      <c r="BC174" s="1"/>
      <c r="BD174" s="1"/>
      <c r="BE174" s="1"/>
      <c r="BF174" s="1"/>
      <c r="BG174" s="1"/>
      <c r="BH174" s="1"/>
      <c r="BI174" s="1"/>
      <c r="BJ174" s="1"/>
      <c r="BK174" s="1"/>
    </row>
    <row r="175" spans="1:63" ht="18" hidden="1"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2"/>
      <c r="AF175" s="2"/>
      <c r="AG175" s="2"/>
      <c r="AH175" s="1"/>
      <c r="AI175" s="1"/>
      <c r="AJ175" s="1"/>
      <c r="AK175" s="1"/>
      <c r="AL175" s="5"/>
      <c r="AM175" s="5"/>
      <c r="AN175" s="5"/>
      <c r="AO175" s="1"/>
      <c r="AP175" s="1"/>
      <c r="AQ175" s="1"/>
      <c r="AR175" s="1"/>
      <c r="AS175" s="1"/>
      <c r="AT175" s="1"/>
      <c r="AU175" s="1"/>
      <c r="AV175" s="1"/>
      <c r="AW175" s="1"/>
      <c r="AX175" s="1"/>
      <c r="AY175" s="1"/>
      <c r="AZ175" s="1"/>
      <c r="BA175" s="1"/>
      <c r="BB175" s="1"/>
      <c r="BC175" s="1"/>
      <c r="BD175" s="1"/>
      <c r="BE175" s="1"/>
      <c r="BF175" s="1"/>
      <c r="BG175" s="1"/>
      <c r="BH175" s="1"/>
      <c r="BI175" s="1"/>
      <c r="BJ175" s="1"/>
      <c r="BK175" s="1"/>
    </row>
    <row r="176" spans="1:63" ht="18" hidden="1"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2"/>
      <c r="AF176" s="2"/>
      <c r="AG176" s="2"/>
      <c r="AH176" s="1"/>
      <c r="AI176" s="1"/>
      <c r="AJ176" s="1"/>
      <c r="AK176" s="1"/>
      <c r="AL176" s="5"/>
      <c r="AM176" s="5"/>
      <c r="AN176" s="5"/>
      <c r="AO176" s="1"/>
      <c r="AP176" s="1"/>
      <c r="AQ176" s="1"/>
      <c r="AR176" s="1"/>
      <c r="AS176" s="1"/>
      <c r="AT176" s="1"/>
      <c r="AU176" s="1"/>
      <c r="AV176" s="1"/>
      <c r="AW176" s="1"/>
      <c r="AX176" s="1"/>
      <c r="AY176" s="1"/>
      <c r="AZ176" s="1"/>
      <c r="BA176" s="1"/>
      <c r="BB176" s="1"/>
      <c r="BC176" s="1"/>
      <c r="BD176" s="1"/>
      <c r="BE176" s="1"/>
      <c r="BF176" s="1"/>
      <c r="BG176" s="1"/>
      <c r="BH176" s="1"/>
      <c r="BI176" s="1"/>
      <c r="BJ176" s="1"/>
      <c r="BK176" s="1"/>
    </row>
    <row r="177" spans="1:63" ht="18" hidden="1"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2"/>
      <c r="AF177" s="2"/>
      <c r="AG177" s="2"/>
      <c r="AH177" s="1"/>
      <c r="AI177" s="1"/>
      <c r="AJ177" s="1"/>
      <c r="AK177" s="1"/>
      <c r="AL177" s="5"/>
      <c r="AM177" s="5"/>
      <c r="AN177" s="5"/>
      <c r="AO177" s="1"/>
      <c r="AP177" s="1"/>
      <c r="AQ177" s="1"/>
      <c r="AR177" s="1"/>
      <c r="AS177" s="1"/>
      <c r="AT177" s="1"/>
      <c r="AU177" s="1"/>
      <c r="AV177" s="1"/>
      <c r="AW177" s="1"/>
      <c r="AX177" s="1"/>
      <c r="AY177" s="1"/>
      <c r="AZ177" s="1"/>
      <c r="BA177" s="1"/>
      <c r="BB177" s="1"/>
      <c r="BC177" s="1"/>
      <c r="BD177" s="1"/>
      <c r="BE177" s="1"/>
      <c r="BF177" s="1"/>
      <c r="BG177" s="1"/>
      <c r="BH177" s="1"/>
      <c r="BI177" s="1"/>
      <c r="BJ177" s="1"/>
      <c r="BK177" s="1"/>
    </row>
    <row r="178" spans="1:63" ht="18" hidden="1"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2"/>
      <c r="AF178" s="2"/>
      <c r="AG178" s="2"/>
      <c r="AH178" s="1"/>
      <c r="AI178" s="1"/>
      <c r="AJ178" s="1"/>
      <c r="AK178" s="1"/>
      <c r="AL178" s="5"/>
      <c r="AM178" s="5"/>
      <c r="AN178" s="5"/>
      <c r="AO178" s="1"/>
      <c r="AP178" s="1"/>
      <c r="AQ178" s="1"/>
      <c r="AR178" s="1"/>
      <c r="AS178" s="1"/>
      <c r="AT178" s="1"/>
      <c r="AU178" s="1"/>
      <c r="AV178" s="1"/>
      <c r="AW178" s="1"/>
      <c r="AX178" s="1"/>
      <c r="AY178" s="1"/>
      <c r="AZ178" s="1"/>
      <c r="BA178" s="1"/>
      <c r="BB178" s="1"/>
      <c r="BC178" s="1"/>
      <c r="BD178" s="1"/>
      <c r="BE178" s="1"/>
      <c r="BF178" s="1"/>
      <c r="BG178" s="1"/>
      <c r="BH178" s="1"/>
      <c r="BI178" s="1"/>
      <c r="BJ178" s="1"/>
      <c r="BK178" s="1"/>
    </row>
    <row r="179" spans="1:63" ht="18" hidden="1"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2"/>
      <c r="AF179" s="2"/>
      <c r="AG179" s="2"/>
      <c r="AH179" s="1"/>
      <c r="AI179" s="1"/>
      <c r="AJ179" s="1"/>
      <c r="AK179" s="1"/>
      <c r="AL179" s="5"/>
      <c r="AM179" s="5"/>
      <c r="AN179" s="5"/>
      <c r="AO179" s="1"/>
      <c r="AP179" s="1"/>
      <c r="AQ179" s="1"/>
      <c r="AR179" s="1"/>
      <c r="AS179" s="1"/>
      <c r="AT179" s="1"/>
      <c r="AU179" s="1"/>
      <c r="AV179" s="1"/>
      <c r="AW179" s="1"/>
      <c r="AX179" s="1"/>
      <c r="AY179" s="1"/>
      <c r="AZ179" s="1"/>
      <c r="BA179" s="1"/>
      <c r="BB179" s="1"/>
      <c r="BC179" s="1"/>
      <c r="BD179" s="1"/>
      <c r="BE179" s="1"/>
      <c r="BF179" s="1"/>
      <c r="BG179" s="1"/>
      <c r="BH179" s="1"/>
      <c r="BI179" s="1"/>
      <c r="BJ179" s="1"/>
      <c r="BK179" s="1"/>
    </row>
    <row r="180" spans="1:63" ht="18" hidden="1"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2"/>
      <c r="AF180" s="2"/>
      <c r="AG180" s="2"/>
      <c r="AH180" s="1"/>
      <c r="AI180" s="1"/>
      <c r="AJ180" s="1"/>
      <c r="AK180" s="1"/>
      <c r="AL180" s="5"/>
      <c r="AM180" s="5"/>
      <c r="AN180" s="5"/>
      <c r="AO180" s="1"/>
      <c r="AP180" s="1"/>
      <c r="AQ180" s="1"/>
      <c r="AR180" s="1"/>
      <c r="AS180" s="1"/>
      <c r="AT180" s="1"/>
      <c r="AU180" s="1"/>
      <c r="AV180" s="1"/>
      <c r="AW180" s="1"/>
      <c r="AX180" s="1"/>
      <c r="AY180" s="1"/>
      <c r="AZ180" s="1"/>
      <c r="BA180" s="1"/>
      <c r="BB180" s="1"/>
      <c r="BC180" s="1"/>
      <c r="BD180" s="1"/>
      <c r="BE180" s="1"/>
      <c r="BF180" s="1"/>
      <c r="BG180" s="1"/>
      <c r="BH180" s="1"/>
      <c r="BI180" s="1"/>
      <c r="BJ180" s="1"/>
      <c r="BK180" s="1"/>
    </row>
    <row r="181" spans="1:63" ht="18" hidden="1"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2"/>
      <c r="AF181" s="2"/>
      <c r="AG181" s="2"/>
      <c r="AH181" s="1"/>
      <c r="AI181" s="1"/>
      <c r="AJ181" s="1"/>
      <c r="AK181" s="1"/>
      <c r="AL181" s="5"/>
      <c r="AM181" s="5"/>
      <c r="AN181" s="5"/>
      <c r="AO181" s="1"/>
      <c r="AP181" s="1"/>
      <c r="AQ181" s="1"/>
      <c r="AR181" s="1"/>
      <c r="AS181" s="1"/>
      <c r="AT181" s="1"/>
      <c r="AU181" s="1"/>
      <c r="AV181" s="1"/>
      <c r="AW181" s="1"/>
      <c r="AX181" s="1"/>
      <c r="AY181" s="1"/>
      <c r="AZ181" s="1"/>
      <c r="BA181" s="1"/>
      <c r="BB181" s="1"/>
      <c r="BC181" s="1"/>
      <c r="BD181" s="1"/>
      <c r="BE181" s="1"/>
      <c r="BF181" s="1"/>
      <c r="BG181" s="1"/>
      <c r="BH181" s="1"/>
      <c r="BI181" s="1"/>
      <c r="BJ181" s="1"/>
      <c r="BK181" s="1"/>
    </row>
    <row r="182" spans="1:63" ht="18" hidden="1"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2"/>
      <c r="AF182" s="2"/>
      <c r="AG182" s="2"/>
      <c r="AH182" s="1"/>
      <c r="AI182" s="1"/>
      <c r="AJ182" s="1"/>
      <c r="AK182" s="1"/>
      <c r="AL182" s="5"/>
      <c r="AM182" s="5"/>
      <c r="AN182" s="5"/>
      <c r="AO182" s="1"/>
      <c r="AP182" s="1"/>
      <c r="AQ182" s="1"/>
      <c r="AR182" s="1"/>
      <c r="AS182" s="1"/>
      <c r="AT182" s="1"/>
      <c r="AU182" s="1"/>
      <c r="AV182" s="1"/>
      <c r="AW182" s="1"/>
      <c r="AX182" s="1"/>
      <c r="AY182" s="1"/>
      <c r="AZ182" s="1"/>
      <c r="BA182" s="1"/>
      <c r="BB182" s="1"/>
      <c r="BC182" s="1"/>
      <c r="BD182" s="1"/>
      <c r="BE182" s="1"/>
      <c r="BF182" s="1"/>
      <c r="BG182" s="1"/>
      <c r="BH182" s="1"/>
      <c r="BI182" s="1"/>
      <c r="BJ182" s="1"/>
      <c r="BK182" s="1"/>
    </row>
    <row r="183" spans="1:63" ht="18" hidden="1"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2"/>
      <c r="AF183" s="2"/>
      <c r="AG183" s="2"/>
      <c r="AH183" s="1"/>
      <c r="AI183" s="1"/>
      <c r="AJ183" s="1"/>
      <c r="AK183" s="1"/>
      <c r="AL183" s="5"/>
      <c r="AM183" s="5"/>
      <c r="AN183" s="5"/>
      <c r="AO183" s="1"/>
      <c r="AP183" s="1"/>
      <c r="AQ183" s="1"/>
      <c r="AR183" s="1"/>
      <c r="AS183" s="1"/>
      <c r="AT183" s="1"/>
      <c r="AU183" s="1"/>
      <c r="AV183" s="1"/>
      <c r="AW183" s="1"/>
      <c r="AX183" s="1"/>
      <c r="AY183" s="1"/>
      <c r="AZ183" s="1"/>
      <c r="BA183" s="1"/>
      <c r="BB183" s="1"/>
      <c r="BC183" s="1"/>
      <c r="BD183" s="1"/>
      <c r="BE183" s="1"/>
      <c r="BF183" s="1"/>
      <c r="BG183" s="1"/>
      <c r="BH183" s="1"/>
      <c r="BI183" s="1"/>
      <c r="BJ183" s="1"/>
      <c r="BK183" s="1"/>
    </row>
    <row r="184" spans="1:63" ht="18" hidden="1"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2"/>
      <c r="AF184" s="2"/>
      <c r="AG184" s="2"/>
      <c r="AH184" s="1"/>
      <c r="AI184" s="1"/>
      <c r="AJ184" s="1"/>
      <c r="AK184" s="1"/>
      <c r="AL184" s="5"/>
      <c r="AM184" s="5"/>
      <c r="AN184" s="5"/>
      <c r="AO184" s="1"/>
      <c r="AP184" s="1"/>
      <c r="AQ184" s="1"/>
      <c r="AR184" s="1"/>
      <c r="AS184" s="1"/>
      <c r="AT184" s="1"/>
      <c r="AU184" s="1"/>
      <c r="AV184" s="1"/>
      <c r="AW184" s="1"/>
      <c r="AX184" s="1"/>
      <c r="AY184" s="1"/>
      <c r="AZ184" s="1"/>
      <c r="BA184" s="1"/>
      <c r="BB184" s="1"/>
      <c r="BC184" s="1"/>
      <c r="BD184" s="1"/>
      <c r="BE184" s="1"/>
      <c r="BF184" s="1"/>
      <c r="BG184" s="1"/>
      <c r="BH184" s="1"/>
      <c r="BI184" s="1"/>
      <c r="BJ184" s="1"/>
      <c r="BK184" s="1"/>
    </row>
    <row r="185" spans="1:63" ht="18" hidden="1"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2"/>
      <c r="AF185" s="2"/>
      <c r="AG185" s="2"/>
      <c r="AH185" s="1"/>
      <c r="AI185" s="1"/>
      <c r="AJ185" s="1"/>
      <c r="AK185" s="1"/>
      <c r="AL185" s="5"/>
      <c r="AM185" s="5"/>
      <c r="AN185" s="5"/>
      <c r="AO185" s="1"/>
      <c r="AP185" s="1"/>
      <c r="AQ185" s="1"/>
      <c r="AR185" s="1"/>
      <c r="AS185" s="1"/>
      <c r="AT185" s="1"/>
      <c r="AU185" s="1"/>
      <c r="AV185" s="1"/>
      <c r="AW185" s="1"/>
      <c r="AX185" s="1"/>
      <c r="AY185" s="1"/>
      <c r="AZ185" s="1"/>
      <c r="BA185" s="1"/>
      <c r="BB185" s="1"/>
      <c r="BC185" s="1"/>
      <c r="BD185" s="1"/>
      <c r="BE185" s="1"/>
      <c r="BF185" s="1"/>
      <c r="BG185" s="1"/>
      <c r="BH185" s="1"/>
      <c r="BI185" s="1"/>
      <c r="BJ185" s="1"/>
      <c r="BK185" s="1"/>
    </row>
    <row r="186" spans="1:63" ht="18" hidden="1"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2"/>
      <c r="AF186" s="2"/>
      <c r="AG186" s="2"/>
      <c r="AH186" s="1"/>
      <c r="AI186" s="1"/>
      <c r="AJ186" s="1"/>
      <c r="AK186" s="1"/>
      <c r="AL186" s="5"/>
      <c r="AM186" s="5"/>
      <c r="AN186" s="5"/>
      <c r="AO186" s="1"/>
      <c r="AP186" s="1"/>
      <c r="AQ186" s="1"/>
      <c r="AR186" s="1"/>
      <c r="AS186" s="1"/>
      <c r="AT186" s="1"/>
      <c r="AU186" s="1"/>
      <c r="AV186" s="1"/>
      <c r="AW186" s="1"/>
      <c r="AX186" s="1"/>
      <c r="AY186" s="1"/>
      <c r="AZ186" s="1"/>
      <c r="BA186" s="1"/>
      <c r="BB186" s="1"/>
      <c r="BC186" s="1"/>
      <c r="BD186" s="1"/>
      <c r="BE186" s="1"/>
      <c r="BF186" s="1"/>
      <c r="BG186" s="1"/>
      <c r="BH186" s="1"/>
      <c r="BI186" s="1"/>
      <c r="BJ186" s="1"/>
      <c r="BK186" s="1"/>
    </row>
    <row r="187" spans="1:63" ht="18" hidden="1"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2"/>
      <c r="AF187" s="2"/>
      <c r="AG187" s="2"/>
      <c r="AH187" s="1"/>
      <c r="AI187" s="1"/>
      <c r="AJ187" s="1"/>
      <c r="AK187" s="1"/>
      <c r="AL187" s="5"/>
      <c r="AM187" s="5"/>
      <c r="AN187" s="5"/>
      <c r="AO187" s="1"/>
      <c r="AP187" s="1"/>
      <c r="AQ187" s="1"/>
      <c r="AR187" s="1"/>
      <c r="AS187" s="1"/>
      <c r="AT187" s="1"/>
      <c r="AU187" s="1"/>
      <c r="AV187" s="1"/>
      <c r="AW187" s="1"/>
      <c r="AX187" s="1"/>
      <c r="AY187" s="1"/>
      <c r="AZ187" s="1"/>
      <c r="BA187" s="1"/>
      <c r="BB187" s="1"/>
      <c r="BC187" s="1"/>
      <c r="BD187" s="1"/>
      <c r="BE187" s="1"/>
      <c r="BF187" s="1"/>
      <c r="BG187" s="1"/>
      <c r="BH187" s="1"/>
      <c r="BI187" s="1"/>
      <c r="BJ187" s="1"/>
      <c r="BK187" s="1"/>
    </row>
    <row r="188" spans="1:63" ht="18" hidden="1"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2"/>
      <c r="AF188" s="2"/>
      <c r="AG188" s="2"/>
      <c r="AH188" s="1"/>
      <c r="AI188" s="1"/>
      <c r="AJ188" s="1"/>
      <c r="AK188" s="1"/>
      <c r="AL188" s="5"/>
      <c r="AM188" s="5"/>
      <c r="AN188" s="5"/>
      <c r="AO188" s="1"/>
      <c r="AP188" s="1"/>
      <c r="AQ188" s="1"/>
      <c r="AR188" s="1"/>
      <c r="AS188" s="1"/>
      <c r="AT188" s="1"/>
      <c r="AU188" s="1"/>
      <c r="AV188" s="1"/>
      <c r="AW188" s="1"/>
      <c r="AX188" s="1"/>
      <c r="AY188" s="1"/>
      <c r="AZ188" s="1"/>
      <c r="BA188" s="1"/>
      <c r="BB188" s="1"/>
      <c r="BC188" s="1"/>
      <c r="BD188" s="1"/>
      <c r="BE188" s="1"/>
      <c r="BF188" s="1"/>
      <c r="BG188" s="1"/>
      <c r="BH188" s="1"/>
      <c r="BI188" s="1"/>
      <c r="BJ188" s="1"/>
      <c r="BK188" s="1"/>
    </row>
    <row r="189" spans="1:63" ht="18" hidden="1"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2"/>
      <c r="AF189" s="2"/>
      <c r="AG189" s="2"/>
      <c r="AH189" s="1"/>
      <c r="AI189" s="1"/>
      <c r="AJ189" s="1"/>
      <c r="AK189" s="1"/>
      <c r="AL189" s="5"/>
      <c r="AM189" s="5"/>
      <c r="AN189" s="5"/>
      <c r="AO189" s="1"/>
      <c r="AP189" s="1"/>
      <c r="AQ189" s="1"/>
      <c r="AR189" s="1"/>
      <c r="AS189" s="1"/>
      <c r="AT189" s="1"/>
      <c r="AU189" s="1"/>
      <c r="AV189" s="1"/>
      <c r="AW189" s="1"/>
      <c r="AX189" s="1"/>
      <c r="AY189" s="1"/>
      <c r="AZ189" s="1"/>
      <c r="BA189" s="1"/>
      <c r="BB189" s="1"/>
      <c r="BC189" s="1"/>
      <c r="BD189" s="1"/>
      <c r="BE189" s="1"/>
      <c r="BF189" s="1"/>
      <c r="BG189" s="1"/>
      <c r="BH189" s="1"/>
      <c r="BI189" s="1"/>
      <c r="BJ189" s="1"/>
      <c r="BK189" s="1"/>
    </row>
    <row r="190" spans="1:63" ht="18" hidden="1"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2"/>
      <c r="AF190" s="2"/>
      <c r="AG190" s="2"/>
      <c r="AH190" s="1"/>
      <c r="AI190" s="1"/>
      <c r="AJ190" s="1"/>
      <c r="AK190" s="1"/>
      <c r="AL190" s="5"/>
      <c r="AM190" s="5"/>
      <c r="AN190" s="5"/>
      <c r="AO190" s="1"/>
      <c r="AP190" s="1"/>
      <c r="AQ190" s="1"/>
      <c r="AR190" s="1"/>
      <c r="AS190" s="1"/>
      <c r="AT190" s="1"/>
      <c r="AU190" s="1"/>
      <c r="AV190" s="1"/>
      <c r="AW190" s="1"/>
      <c r="AX190" s="1"/>
      <c r="AY190" s="1"/>
      <c r="AZ190" s="1"/>
      <c r="BA190" s="1"/>
      <c r="BB190" s="1"/>
      <c r="BC190" s="1"/>
      <c r="BD190" s="1"/>
      <c r="BE190" s="1"/>
      <c r="BF190" s="1"/>
      <c r="BG190" s="1"/>
      <c r="BH190" s="1"/>
      <c r="BI190" s="1"/>
      <c r="BJ190" s="1"/>
      <c r="BK190" s="1"/>
    </row>
    <row r="191" spans="1:63" ht="18" hidden="1"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2"/>
      <c r="AF191" s="2"/>
      <c r="AG191" s="2"/>
      <c r="AH191" s="1"/>
      <c r="AI191" s="1"/>
      <c r="AJ191" s="1"/>
      <c r="AK191" s="1"/>
      <c r="AL191" s="5"/>
      <c r="AM191" s="5"/>
      <c r="AN191" s="5"/>
      <c r="AO191" s="1"/>
      <c r="AP191" s="1"/>
      <c r="AQ191" s="1"/>
      <c r="AR191" s="1"/>
      <c r="AS191" s="1"/>
      <c r="AT191" s="1"/>
      <c r="AU191" s="1"/>
      <c r="AV191" s="1"/>
      <c r="AW191" s="1"/>
      <c r="AX191" s="1"/>
      <c r="AY191" s="1"/>
      <c r="AZ191" s="1"/>
      <c r="BA191" s="1"/>
      <c r="BB191" s="1"/>
      <c r="BC191" s="1"/>
      <c r="BD191" s="1"/>
      <c r="BE191" s="1"/>
      <c r="BF191" s="1"/>
      <c r="BG191" s="1"/>
      <c r="BH191" s="1"/>
      <c r="BI191" s="1"/>
      <c r="BJ191" s="1"/>
      <c r="BK191" s="1"/>
    </row>
    <row r="192" spans="1:63" ht="18" hidden="1"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2"/>
      <c r="AF192" s="2"/>
      <c r="AG192" s="2"/>
      <c r="AH192" s="1"/>
      <c r="AI192" s="1"/>
      <c r="AJ192" s="1"/>
      <c r="AK192" s="1"/>
      <c r="AL192" s="5"/>
      <c r="AM192" s="5"/>
      <c r="AN192" s="5"/>
      <c r="AO192" s="1"/>
      <c r="AP192" s="1"/>
      <c r="AQ192" s="1"/>
      <c r="AR192" s="1"/>
      <c r="AS192" s="1"/>
      <c r="AT192" s="1"/>
      <c r="AU192" s="1"/>
      <c r="AV192" s="1"/>
      <c r="AW192" s="1"/>
      <c r="AX192" s="1"/>
      <c r="AY192" s="1"/>
      <c r="AZ192" s="1"/>
      <c r="BA192" s="1"/>
      <c r="BB192" s="1"/>
      <c r="BC192" s="1"/>
      <c r="BD192" s="1"/>
      <c r="BE192" s="1"/>
      <c r="BF192" s="1"/>
      <c r="BG192" s="1"/>
      <c r="BH192" s="1"/>
      <c r="BI192" s="1"/>
      <c r="BJ192" s="1"/>
      <c r="BK192" s="1"/>
    </row>
    <row r="193" spans="1:63" ht="18" customHeight="1" collapsed="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2"/>
      <c r="AF193" s="2"/>
      <c r="AG193" s="2"/>
      <c r="AH193" s="1"/>
      <c r="AI193" s="1"/>
      <c r="AJ193" s="1"/>
      <c r="AK193" s="1"/>
      <c r="AL193" s="5"/>
      <c r="AM193" s="5"/>
      <c r="AN193" s="5"/>
      <c r="AO193" s="1"/>
      <c r="AP193" s="1"/>
      <c r="AQ193" s="1"/>
      <c r="AR193" s="1"/>
      <c r="AS193" s="1"/>
      <c r="AT193" s="1"/>
      <c r="AU193" s="1"/>
      <c r="AV193" s="1"/>
      <c r="AW193" s="1"/>
      <c r="AX193" s="1"/>
      <c r="AY193" s="1"/>
      <c r="AZ193" s="1"/>
      <c r="BA193" s="1"/>
      <c r="BB193" s="1"/>
      <c r="BC193" s="1"/>
      <c r="BD193" s="1"/>
      <c r="BE193" s="1"/>
      <c r="BF193" s="1"/>
      <c r="BG193" s="1"/>
      <c r="BH193" s="1"/>
      <c r="BI193" s="1"/>
      <c r="BJ193" s="1"/>
      <c r="BK193" s="1"/>
    </row>
    <row r="194" spans="1:63" ht="18"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2"/>
      <c r="AF194" s="2"/>
      <c r="AG194" s="2"/>
      <c r="AH194" s="1"/>
      <c r="AI194" s="1"/>
      <c r="AJ194" s="1"/>
      <c r="AK194" s="1"/>
      <c r="AL194" s="5"/>
      <c r="AM194" s="5"/>
      <c r="AN194" s="5"/>
      <c r="AO194" s="1"/>
      <c r="AP194" s="1"/>
      <c r="AQ194" s="1"/>
      <c r="AR194" s="1"/>
      <c r="AS194" s="1"/>
      <c r="AT194" s="1"/>
      <c r="AU194" s="1"/>
      <c r="AV194" s="1"/>
      <c r="AW194" s="1"/>
      <c r="AX194" s="1"/>
      <c r="AY194" s="1"/>
      <c r="AZ194" s="1"/>
      <c r="BA194" s="1"/>
      <c r="BB194" s="1"/>
      <c r="BC194" s="1"/>
      <c r="BD194" s="1"/>
      <c r="BE194" s="1"/>
      <c r="BF194" s="1"/>
      <c r="BG194" s="1"/>
      <c r="BH194" s="1"/>
      <c r="BI194" s="1"/>
      <c r="BJ194" s="1"/>
      <c r="BK194" s="1"/>
    </row>
    <row r="195" spans="1:63" ht="18"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2"/>
      <c r="AF195" s="2"/>
      <c r="AG195" s="2"/>
      <c r="AH195" s="1"/>
      <c r="AI195" s="1"/>
      <c r="AJ195" s="1"/>
      <c r="AK195" s="1"/>
      <c r="AL195" s="5"/>
      <c r="AM195" s="5"/>
      <c r="AN195" s="5"/>
      <c r="AO195" s="1"/>
      <c r="AP195" s="1"/>
      <c r="AQ195" s="1"/>
      <c r="AR195" s="1"/>
      <c r="AS195" s="1"/>
      <c r="AT195" s="1"/>
      <c r="AU195" s="1"/>
      <c r="AV195" s="1"/>
      <c r="AW195" s="1"/>
      <c r="AX195" s="1"/>
      <c r="AY195" s="1"/>
      <c r="AZ195" s="1"/>
      <c r="BA195" s="1"/>
      <c r="BB195" s="1"/>
      <c r="BC195" s="1"/>
      <c r="BD195" s="1"/>
      <c r="BE195" s="1"/>
      <c r="BF195" s="1"/>
      <c r="BG195" s="1"/>
      <c r="BH195" s="1"/>
      <c r="BI195" s="1"/>
      <c r="BJ195" s="1"/>
      <c r="BK195" s="1"/>
    </row>
    <row r="196" spans="1:63" ht="18"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2"/>
      <c r="AF196" s="2"/>
      <c r="AG196" s="2"/>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row>
    <row r="197" spans="1:63" ht="18"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2"/>
      <c r="AF197" s="2"/>
      <c r="AG197" s="2"/>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row>
    <row r="198" spans="1:63" ht="18" customHeight="1" collapsed="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2"/>
      <c r="AF198" s="2"/>
      <c r="AG198" s="2"/>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row>
    <row r="199" spans="1:63" ht="18"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2"/>
      <c r="AF199" s="2"/>
      <c r="AG199" s="2"/>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row>
    <row r="200" spans="1:63" ht="18"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2"/>
      <c r="AF200" s="2"/>
      <c r="AG200" s="2"/>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row>
    <row r="201" spans="1:63" ht="18"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2"/>
      <c r="AF201" s="2"/>
      <c r="AG201" s="2"/>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row>
    <row r="202" spans="1:63" ht="18"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2"/>
      <c r="AF202" s="2"/>
      <c r="AG202" s="2"/>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row>
    <row r="203" spans="1:63" ht="18"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2"/>
      <c r="AF203" s="2"/>
      <c r="AG203" s="2"/>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row>
    <row r="204" spans="1:63" ht="18" customHeight="1" x14ac:dyDescent="0.25">
      <c r="A204" s="1"/>
      <c r="B204" s="20"/>
      <c r="C204" s="10"/>
      <c r="D204" s="10"/>
      <c r="E204" s="10"/>
      <c r="F204" s="10"/>
      <c r="G204" s="10"/>
      <c r="H204" s="10"/>
      <c r="I204" s="10"/>
      <c r="J204" s="10"/>
      <c r="K204" s="10"/>
      <c r="L204" s="10"/>
      <c r="M204" s="10"/>
      <c r="N204" s="10"/>
      <c r="O204" s="10"/>
      <c r="P204" s="10"/>
      <c r="Q204" s="10"/>
      <c r="R204" s="10"/>
      <c r="S204" s="10"/>
      <c r="T204" s="10"/>
      <c r="U204" s="10"/>
      <c r="V204" s="10"/>
      <c r="W204" s="10"/>
      <c r="X204" s="10"/>
      <c r="Y204" s="10"/>
      <c r="Z204" s="10"/>
      <c r="AA204" s="10"/>
      <c r="AB204" s="10"/>
      <c r="AC204" s="10"/>
      <c r="AD204" s="10"/>
      <c r="AE204" s="2"/>
      <c r="AF204" s="2"/>
      <c r="AG204" s="2"/>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row>
    <row r="205" spans="1:63" ht="18" customHeight="1" collapsed="1" x14ac:dyDescent="0.25">
      <c r="A205" s="1"/>
      <c r="B205" s="20"/>
      <c r="C205" s="10"/>
      <c r="D205" s="10"/>
      <c r="E205" s="10"/>
      <c r="F205" s="10"/>
      <c r="G205" s="10"/>
      <c r="H205" s="10"/>
      <c r="I205" s="10"/>
      <c r="J205" s="10"/>
      <c r="K205" s="10"/>
      <c r="L205" s="10"/>
      <c r="M205" s="10"/>
      <c r="N205" s="10"/>
      <c r="O205" s="10"/>
      <c r="P205" s="10"/>
      <c r="Q205" s="10"/>
      <c r="R205" s="10"/>
      <c r="S205" s="10"/>
      <c r="T205" s="10"/>
      <c r="U205" s="10"/>
      <c r="V205" s="10"/>
      <c r="W205" s="10"/>
      <c r="X205" s="10"/>
      <c r="Y205" s="10"/>
      <c r="Z205" s="10"/>
      <c r="AA205" s="10"/>
      <c r="AB205" s="10"/>
      <c r="AC205" s="10"/>
      <c r="AD205" s="10"/>
      <c r="AE205" s="2"/>
      <c r="AF205" s="2"/>
      <c r="AG205" s="2"/>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row>
    <row r="206" spans="1:63" ht="18" customHeight="1" x14ac:dyDescent="0.25">
      <c r="A206" s="1"/>
      <c r="B206" s="20"/>
      <c r="C206" s="10"/>
      <c r="D206" s="10"/>
      <c r="E206" s="10"/>
      <c r="F206" s="10"/>
      <c r="G206" s="10"/>
      <c r="H206" s="10"/>
      <c r="I206" s="10"/>
      <c r="J206" s="10"/>
      <c r="K206" s="10"/>
      <c r="L206" s="10"/>
      <c r="M206" s="10"/>
      <c r="N206" s="10"/>
      <c r="O206" s="10"/>
      <c r="P206" s="10"/>
      <c r="Q206" s="10"/>
      <c r="R206" s="10"/>
      <c r="S206" s="10"/>
      <c r="T206" s="10"/>
      <c r="U206" s="10"/>
      <c r="V206" s="10"/>
      <c r="W206" s="10"/>
      <c r="X206" s="10"/>
      <c r="Y206" s="10"/>
      <c r="Z206" s="10"/>
      <c r="AA206" s="10"/>
      <c r="AB206" s="10"/>
      <c r="AC206" s="10"/>
      <c r="AD206" s="10"/>
      <c r="AE206" s="2"/>
      <c r="AF206" s="2"/>
      <c r="AG206" s="2"/>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row>
    <row r="207" spans="1:63" ht="18" customHeight="1" x14ac:dyDescent="0.25">
      <c r="A207" s="1"/>
      <c r="B207" s="20"/>
      <c r="C207" s="10"/>
      <c r="D207" s="10"/>
      <c r="E207" s="10"/>
      <c r="F207" s="10"/>
      <c r="G207" s="10"/>
      <c r="H207" s="10"/>
      <c r="I207" s="10"/>
      <c r="J207" s="10"/>
      <c r="K207" s="10"/>
      <c r="L207" s="10"/>
      <c r="M207" s="10"/>
      <c r="N207" s="10"/>
      <c r="O207" s="10"/>
      <c r="P207" s="10"/>
      <c r="Q207" s="10"/>
      <c r="R207" s="10"/>
      <c r="S207" s="10"/>
      <c r="T207" s="10"/>
      <c r="U207" s="10"/>
      <c r="V207" s="10"/>
      <c r="W207" s="10"/>
      <c r="X207" s="10"/>
      <c r="Y207" s="10"/>
      <c r="Z207" s="10"/>
      <c r="AA207" s="10"/>
      <c r="AB207" s="10"/>
      <c r="AC207" s="10"/>
      <c r="AD207" s="10"/>
      <c r="AE207" s="2"/>
      <c r="AF207" s="2"/>
      <c r="AG207" s="2"/>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row>
    <row r="208" spans="1:63" ht="18" customHeight="1" collapsed="1" x14ac:dyDescent="0.25">
      <c r="A208" s="1"/>
      <c r="B208" s="20"/>
      <c r="C208" s="10"/>
      <c r="D208" s="10"/>
      <c r="E208" s="10"/>
      <c r="F208" s="10"/>
      <c r="G208" s="10"/>
      <c r="H208" s="10"/>
      <c r="I208" s="10"/>
      <c r="J208" s="10"/>
      <c r="K208" s="10"/>
      <c r="L208" s="10"/>
      <c r="M208" s="10"/>
      <c r="N208" s="10"/>
      <c r="O208" s="10"/>
      <c r="P208" s="10"/>
      <c r="Q208" s="10"/>
      <c r="R208" s="10"/>
      <c r="S208" s="10"/>
      <c r="T208" s="10"/>
      <c r="U208" s="10"/>
      <c r="V208" s="10"/>
      <c r="W208" s="10"/>
      <c r="X208" s="10"/>
      <c r="Y208" s="10"/>
      <c r="Z208" s="10"/>
      <c r="AA208" s="10"/>
      <c r="AB208" s="10"/>
      <c r="AC208" s="10"/>
      <c r="AD208" s="10"/>
      <c r="AE208" s="2"/>
      <c r="AF208" s="2"/>
      <c r="AG208" s="2"/>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row>
    <row r="209" spans="1:63" ht="18" customHeight="1" x14ac:dyDescent="0.25">
      <c r="A209" s="1"/>
      <c r="B209" s="20"/>
      <c r="C209" s="10"/>
      <c r="D209" s="10"/>
      <c r="E209" s="10"/>
      <c r="F209" s="10"/>
      <c r="G209" s="10"/>
      <c r="H209" s="10"/>
      <c r="I209" s="10"/>
      <c r="J209" s="10"/>
      <c r="K209" s="10"/>
      <c r="L209" s="10"/>
      <c r="M209" s="10"/>
      <c r="N209" s="10"/>
      <c r="O209" s="10"/>
      <c r="P209" s="10"/>
      <c r="Q209" s="10"/>
      <c r="R209" s="10"/>
      <c r="S209" s="10"/>
      <c r="T209" s="10"/>
      <c r="U209" s="10"/>
      <c r="V209" s="10"/>
      <c r="W209" s="10"/>
      <c r="X209" s="10"/>
      <c r="Y209" s="10"/>
      <c r="Z209" s="10"/>
      <c r="AA209" s="10"/>
      <c r="AB209" s="10"/>
      <c r="AC209" s="10"/>
      <c r="AD209" s="10"/>
      <c r="AE209" s="2"/>
      <c r="AF209" s="2"/>
      <c r="AG209" s="2"/>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row>
    <row r="210" spans="1:63" ht="18" customHeight="1" x14ac:dyDescent="0.25">
      <c r="A210" s="1"/>
      <c r="B210" s="20"/>
      <c r="C210" s="10"/>
      <c r="D210" s="10"/>
      <c r="E210" s="10"/>
      <c r="F210" s="10"/>
      <c r="G210" s="10"/>
      <c r="H210" s="10"/>
      <c r="I210" s="10"/>
      <c r="J210" s="10"/>
      <c r="K210" s="10"/>
      <c r="L210" s="10"/>
      <c r="M210" s="10"/>
      <c r="N210" s="10"/>
      <c r="O210" s="10"/>
      <c r="P210" s="10"/>
      <c r="Q210" s="10"/>
      <c r="R210" s="10"/>
      <c r="S210" s="10"/>
      <c r="T210" s="10"/>
      <c r="U210" s="10"/>
      <c r="V210" s="10"/>
      <c r="W210" s="10"/>
      <c r="X210" s="10"/>
      <c r="Y210" s="10"/>
      <c r="Z210" s="10"/>
      <c r="AA210" s="10"/>
      <c r="AB210" s="10"/>
      <c r="AC210" s="10"/>
      <c r="AD210" s="10"/>
      <c r="AE210" s="2"/>
      <c r="AF210" s="2"/>
      <c r="AG210" s="2"/>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row>
    <row r="211" spans="1:63" ht="18" customHeight="1" x14ac:dyDescent="0.25">
      <c r="A211" s="1"/>
      <c r="B211" s="20"/>
      <c r="C211" s="10"/>
      <c r="D211" s="10"/>
      <c r="E211" s="10"/>
      <c r="F211" s="10"/>
      <c r="G211" s="10"/>
      <c r="H211" s="10"/>
      <c r="I211" s="10"/>
      <c r="J211" s="10"/>
      <c r="K211" s="10"/>
      <c r="L211" s="10"/>
      <c r="M211" s="10"/>
      <c r="N211" s="10"/>
      <c r="O211" s="10"/>
      <c r="P211" s="10"/>
      <c r="Q211" s="10"/>
      <c r="R211" s="10"/>
      <c r="S211" s="10"/>
      <c r="T211" s="10"/>
      <c r="U211" s="10"/>
      <c r="V211" s="10"/>
      <c r="W211" s="10"/>
      <c r="X211" s="10"/>
      <c r="Y211" s="10"/>
      <c r="Z211" s="10"/>
      <c r="AA211" s="10"/>
      <c r="AB211" s="10"/>
      <c r="AC211" s="10"/>
      <c r="AD211" s="10"/>
      <c r="AE211" s="2"/>
      <c r="AF211" s="2"/>
      <c r="AG211" s="2"/>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row>
    <row r="212" spans="1:63" ht="18" customHeight="1" x14ac:dyDescent="0.25">
      <c r="A212" s="1"/>
      <c r="B212" s="20"/>
      <c r="C212" s="10"/>
      <c r="D212" s="10"/>
      <c r="E212" s="10"/>
      <c r="F212" s="10"/>
      <c r="G212" s="10"/>
      <c r="H212" s="10"/>
      <c r="I212" s="10"/>
      <c r="J212" s="10"/>
      <c r="K212" s="10"/>
      <c r="L212" s="10"/>
      <c r="M212" s="10"/>
      <c r="N212" s="10"/>
      <c r="O212" s="10"/>
      <c r="P212" s="10"/>
      <c r="Q212" s="10"/>
      <c r="R212" s="10"/>
      <c r="S212" s="10"/>
      <c r="T212" s="10"/>
      <c r="U212" s="10"/>
      <c r="V212" s="10"/>
      <c r="W212" s="10"/>
      <c r="X212" s="10"/>
      <c r="Y212" s="10"/>
      <c r="Z212" s="10"/>
      <c r="AA212" s="10"/>
      <c r="AB212" s="10"/>
      <c r="AC212" s="10"/>
      <c r="AD212" s="10"/>
      <c r="AE212" s="2"/>
      <c r="AF212" s="2"/>
      <c r="AG212" s="2"/>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row>
    <row r="213" spans="1:63" ht="18" customHeight="1" x14ac:dyDescent="0.25">
      <c r="A213" s="1"/>
      <c r="B213" s="20"/>
      <c r="C213" s="10"/>
      <c r="D213" s="10"/>
      <c r="E213" s="10"/>
      <c r="F213" s="10"/>
      <c r="G213" s="10"/>
      <c r="H213" s="10"/>
      <c r="I213" s="10"/>
      <c r="J213" s="10"/>
      <c r="K213" s="10"/>
      <c r="L213" s="10"/>
      <c r="M213" s="10"/>
      <c r="N213" s="10"/>
      <c r="O213" s="10"/>
      <c r="P213" s="10"/>
      <c r="Q213" s="10"/>
      <c r="R213" s="10"/>
      <c r="S213" s="10"/>
      <c r="T213" s="10"/>
      <c r="U213" s="10"/>
      <c r="V213" s="10"/>
      <c r="W213" s="10"/>
      <c r="X213" s="10"/>
      <c r="Y213" s="10"/>
      <c r="Z213" s="10"/>
      <c r="AA213" s="10"/>
      <c r="AB213" s="10"/>
      <c r="AC213" s="10"/>
      <c r="AD213" s="10"/>
      <c r="AE213" s="2"/>
      <c r="AF213" s="2"/>
      <c r="AG213" s="2"/>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row>
    <row r="214" spans="1:63" ht="18" customHeight="1" collapsed="1" x14ac:dyDescent="0.25">
      <c r="A214" s="1"/>
      <c r="B214" s="20"/>
      <c r="C214" s="10"/>
      <c r="D214" s="10"/>
      <c r="E214" s="10"/>
      <c r="F214" s="10"/>
      <c r="G214" s="10"/>
      <c r="H214" s="10"/>
      <c r="I214" s="10"/>
      <c r="J214" s="10"/>
      <c r="K214" s="10"/>
      <c r="L214" s="10"/>
      <c r="M214" s="10"/>
      <c r="N214" s="10"/>
      <c r="O214" s="10"/>
      <c r="P214" s="10"/>
      <c r="Q214" s="10"/>
      <c r="R214" s="10"/>
      <c r="S214" s="10"/>
      <c r="T214" s="10"/>
      <c r="U214" s="10"/>
      <c r="V214" s="10"/>
      <c r="W214" s="10"/>
      <c r="X214" s="10"/>
      <c r="Y214" s="10"/>
      <c r="Z214" s="10"/>
      <c r="AA214" s="10"/>
      <c r="AB214" s="10"/>
      <c r="AC214" s="10"/>
      <c r="AD214" s="10"/>
      <c r="AE214" s="2"/>
      <c r="AF214" s="2"/>
      <c r="AG214" s="2"/>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row>
    <row r="215" spans="1:63" ht="18" customHeight="1" x14ac:dyDescent="0.25">
      <c r="A215" s="1"/>
      <c r="B215" s="20"/>
      <c r="C215" s="10"/>
      <c r="D215" s="10"/>
      <c r="E215" s="10"/>
      <c r="F215" s="10"/>
      <c r="G215" s="10"/>
      <c r="H215" s="10"/>
      <c r="I215" s="10"/>
      <c r="J215" s="10"/>
      <c r="K215" s="10"/>
      <c r="L215" s="10"/>
      <c r="M215" s="10"/>
      <c r="N215" s="10"/>
      <c r="O215" s="10"/>
      <c r="P215" s="10"/>
      <c r="Q215" s="10"/>
      <c r="R215" s="10"/>
      <c r="S215" s="10"/>
      <c r="T215" s="10"/>
      <c r="U215" s="10"/>
      <c r="V215" s="10"/>
      <c r="W215" s="10"/>
      <c r="X215" s="10"/>
      <c r="Y215" s="10"/>
      <c r="Z215" s="10"/>
      <c r="AA215" s="10"/>
      <c r="AB215" s="10"/>
      <c r="AC215" s="10"/>
      <c r="AD215" s="10"/>
      <c r="AE215" s="2"/>
      <c r="AF215" s="2"/>
      <c r="AG215" s="2"/>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row>
    <row r="216" spans="1:63" ht="18" customHeight="1" x14ac:dyDescent="0.25">
      <c r="A216" s="1"/>
      <c r="B216" s="20"/>
      <c r="C216" s="10"/>
      <c r="D216" s="10"/>
      <c r="E216" s="10"/>
      <c r="F216" s="10"/>
      <c r="G216" s="10"/>
      <c r="H216" s="10"/>
      <c r="I216" s="10"/>
      <c r="J216" s="10"/>
      <c r="K216" s="10"/>
      <c r="L216" s="10"/>
      <c r="M216" s="10"/>
      <c r="N216" s="10"/>
      <c r="O216" s="10"/>
      <c r="P216" s="10"/>
      <c r="Q216" s="10"/>
      <c r="R216" s="10"/>
      <c r="S216" s="10"/>
      <c r="T216" s="10"/>
      <c r="U216" s="10"/>
      <c r="V216" s="10"/>
      <c r="W216" s="10"/>
      <c r="X216" s="10"/>
      <c r="Y216" s="10"/>
      <c r="Z216" s="10"/>
      <c r="AA216" s="10"/>
      <c r="AB216" s="10"/>
      <c r="AC216" s="10"/>
      <c r="AD216" s="10"/>
      <c r="AE216" s="2"/>
      <c r="AF216" s="2"/>
      <c r="AG216" s="2"/>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row>
    <row r="217" spans="1:63" ht="18" customHeight="1" x14ac:dyDescent="0.25">
      <c r="A217" s="1"/>
      <c r="B217" s="20"/>
      <c r="C217" s="10"/>
      <c r="D217" s="10"/>
      <c r="E217" s="10"/>
      <c r="F217" s="10"/>
      <c r="G217" s="10"/>
      <c r="H217" s="10"/>
      <c r="I217" s="10"/>
      <c r="J217" s="10"/>
      <c r="K217" s="10"/>
      <c r="L217" s="10"/>
      <c r="M217" s="10"/>
      <c r="N217" s="10"/>
      <c r="O217" s="10"/>
      <c r="P217" s="10"/>
      <c r="Q217" s="10"/>
      <c r="R217" s="10"/>
      <c r="S217" s="10"/>
      <c r="T217" s="10"/>
      <c r="U217" s="10"/>
      <c r="V217" s="10"/>
      <c r="W217" s="10"/>
      <c r="X217" s="10"/>
      <c r="Y217" s="10"/>
      <c r="Z217" s="10"/>
      <c r="AA217" s="10"/>
      <c r="AB217" s="10"/>
      <c r="AC217" s="10"/>
      <c r="AD217" s="10"/>
      <c r="AE217" s="2"/>
      <c r="AF217" s="2"/>
      <c r="AG217" s="2"/>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row>
    <row r="218" spans="1:63" ht="18" customHeight="1" x14ac:dyDescent="0.25">
      <c r="A218" s="1"/>
      <c r="B218" s="20"/>
      <c r="C218" s="10"/>
      <c r="D218" s="10"/>
      <c r="E218" s="10"/>
      <c r="F218" s="10"/>
      <c r="G218" s="10"/>
      <c r="H218" s="10"/>
      <c r="I218" s="10"/>
      <c r="J218" s="10"/>
      <c r="K218" s="10"/>
      <c r="L218" s="10"/>
      <c r="M218" s="10"/>
      <c r="N218" s="10"/>
      <c r="O218" s="10"/>
      <c r="P218" s="10"/>
      <c r="Q218" s="10"/>
      <c r="R218" s="10"/>
      <c r="S218" s="10"/>
      <c r="T218" s="10"/>
      <c r="U218" s="10"/>
      <c r="V218" s="10"/>
      <c r="W218" s="10"/>
      <c r="X218" s="10"/>
      <c r="Y218" s="10"/>
      <c r="Z218" s="10"/>
      <c r="AA218" s="10"/>
      <c r="AB218" s="10"/>
      <c r="AC218" s="10"/>
      <c r="AD218" s="10"/>
      <c r="AE218" s="2"/>
      <c r="AF218" s="2"/>
      <c r="AG218" s="2"/>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row>
    <row r="219" spans="1:63" ht="18" customHeight="1" collapsed="1" x14ac:dyDescent="0.25">
      <c r="A219" s="1"/>
      <c r="B219" s="20"/>
      <c r="C219" s="10"/>
      <c r="D219" s="10"/>
      <c r="E219" s="10"/>
      <c r="F219" s="10"/>
      <c r="G219" s="10"/>
      <c r="H219" s="10"/>
      <c r="I219" s="10"/>
      <c r="J219" s="10"/>
      <c r="K219" s="10"/>
      <c r="L219" s="10"/>
      <c r="M219" s="10"/>
      <c r="N219" s="10"/>
      <c r="O219" s="10"/>
      <c r="P219" s="10"/>
      <c r="Q219" s="10"/>
      <c r="R219" s="10"/>
      <c r="S219" s="10"/>
      <c r="T219" s="10"/>
      <c r="U219" s="10"/>
      <c r="V219" s="10"/>
      <c r="W219" s="10"/>
      <c r="X219" s="10"/>
      <c r="Y219" s="10"/>
      <c r="Z219" s="10"/>
      <c r="AA219" s="10"/>
      <c r="AB219" s="10"/>
      <c r="AC219" s="10"/>
      <c r="AD219" s="10"/>
      <c r="AE219" s="2"/>
      <c r="AF219" s="2"/>
      <c r="AG219" s="2"/>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row>
    <row r="220" spans="1:63" ht="18" customHeight="1" x14ac:dyDescent="0.25">
      <c r="A220" s="1"/>
      <c r="B220" s="20"/>
      <c r="C220" s="10"/>
      <c r="D220" s="10"/>
      <c r="E220" s="10"/>
      <c r="F220" s="10"/>
      <c r="G220" s="10"/>
      <c r="H220" s="10"/>
      <c r="I220" s="10"/>
      <c r="J220" s="10"/>
      <c r="K220" s="10"/>
      <c r="L220" s="10"/>
      <c r="M220" s="10"/>
      <c r="N220" s="10"/>
      <c r="O220" s="10"/>
      <c r="P220" s="10"/>
      <c r="Q220" s="10"/>
      <c r="R220" s="10"/>
      <c r="S220" s="10"/>
      <c r="T220" s="10"/>
      <c r="U220" s="10"/>
      <c r="V220" s="10"/>
      <c r="W220" s="10"/>
      <c r="X220" s="10"/>
      <c r="Y220" s="10"/>
      <c r="Z220" s="10"/>
      <c r="AA220" s="10"/>
      <c r="AB220" s="10"/>
      <c r="AC220" s="10"/>
      <c r="AD220" s="10"/>
      <c r="AE220" s="2"/>
      <c r="AF220" s="2"/>
      <c r="AG220" s="2"/>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row>
    <row r="221" spans="1:63" ht="18" customHeight="1" x14ac:dyDescent="0.25">
      <c r="A221" s="1"/>
      <c r="B221" s="20"/>
      <c r="C221" s="10"/>
      <c r="D221" s="10"/>
      <c r="E221" s="10"/>
      <c r="F221" s="10"/>
      <c r="G221" s="10"/>
      <c r="H221" s="10"/>
      <c r="I221" s="10"/>
      <c r="J221" s="10"/>
      <c r="K221" s="10"/>
      <c r="L221" s="10"/>
      <c r="M221" s="10"/>
      <c r="N221" s="10"/>
      <c r="O221" s="10"/>
      <c r="P221" s="10"/>
      <c r="Q221" s="10"/>
      <c r="R221" s="10"/>
      <c r="S221" s="10"/>
      <c r="T221" s="10"/>
      <c r="U221" s="10"/>
      <c r="V221" s="10"/>
      <c r="W221" s="10"/>
      <c r="X221" s="10"/>
      <c r="Y221" s="10"/>
      <c r="Z221" s="10"/>
      <c r="AA221" s="10"/>
      <c r="AB221" s="10"/>
      <c r="AC221" s="10"/>
      <c r="AD221" s="10"/>
      <c r="AE221" s="2"/>
      <c r="AF221" s="2"/>
      <c r="AG221" s="2"/>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row>
    <row r="222" spans="1:63" ht="18" customHeight="1" x14ac:dyDescent="0.25">
      <c r="A222" s="1"/>
      <c r="B222" s="20"/>
      <c r="C222" s="10"/>
      <c r="D222" s="10"/>
      <c r="E222" s="10"/>
      <c r="F222" s="10"/>
      <c r="G222" s="10"/>
      <c r="H222" s="10"/>
      <c r="I222" s="10"/>
      <c r="J222" s="10"/>
      <c r="K222" s="10"/>
      <c r="L222" s="10"/>
      <c r="M222" s="10"/>
      <c r="N222" s="10"/>
      <c r="O222" s="10"/>
      <c r="P222" s="10"/>
      <c r="Q222" s="10"/>
      <c r="R222" s="10"/>
      <c r="S222" s="10"/>
      <c r="T222" s="10"/>
      <c r="U222" s="10"/>
      <c r="V222" s="10"/>
      <c r="W222" s="10"/>
      <c r="X222" s="10"/>
      <c r="Y222" s="10"/>
      <c r="Z222" s="10"/>
      <c r="AA222" s="10"/>
      <c r="AB222" s="10"/>
      <c r="AC222" s="10"/>
      <c r="AD222" s="10"/>
      <c r="AE222" s="2"/>
      <c r="AF222" s="2"/>
      <c r="AG222" s="2"/>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row>
    <row r="223" spans="1:63" ht="18" customHeight="1" x14ac:dyDescent="0.25">
      <c r="A223" s="1"/>
      <c r="B223" s="20"/>
      <c r="C223" s="10"/>
      <c r="D223" s="10"/>
      <c r="E223" s="10"/>
      <c r="F223" s="10"/>
      <c r="G223" s="10"/>
      <c r="H223" s="10"/>
      <c r="I223" s="10"/>
      <c r="J223" s="10"/>
      <c r="K223" s="10"/>
      <c r="L223" s="10"/>
      <c r="M223" s="10"/>
      <c r="N223" s="10"/>
      <c r="O223" s="10"/>
      <c r="P223" s="10"/>
      <c r="Q223" s="10"/>
      <c r="R223" s="10"/>
      <c r="S223" s="10"/>
      <c r="T223" s="10"/>
      <c r="U223" s="10"/>
      <c r="V223" s="10"/>
      <c r="W223" s="10"/>
      <c r="X223" s="10"/>
      <c r="Y223" s="10"/>
      <c r="Z223" s="10"/>
      <c r="AA223" s="10"/>
      <c r="AB223" s="10"/>
      <c r="AC223" s="10"/>
      <c r="AD223" s="10"/>
      <c r="AE223" s="2"/>
      <c r="AF223" s="2"/>
      <c r="AG223" s="2"/>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row>
    <row r="224" spans="1:63" ht="18" customHeight="1" x14ac:dyDescent="0.25">
      <c r="A224" s="1"/>
      <c r="B224" s="20"/>
      <c r="C224" s="10"/>
      <c r="D224" s="10"/>
      <c r="E224" s="10"/>
      <c r="F224" s="10"/>
      <c r="G224" s="10"/>
      <c r="H224" s="10"/>
      <c r="I224" s="10"/>
      <c r="J224" s="10"/>
      <c r="K224" s="10"/>
      <c r="L224" s="10"/>
      <c r="M224" s="10"/>
      <c r="N224" s="10"/>
      <c r="O224" s="10"/>
      <c r="P224" s="10"/>
      <c r="Q224" s="10"/>
      <c r="R224" s="10"/>
      <c r="S224" s="10"/>
      <c r="T224" s="10"/>
      <c r="U224" s="10"/>
      <c r="V224" s="10"/>
      <c r="W224" s="10"/>
      <c r="X224" s="10"/>
      <c r="Y224" s="10"/>
      <c r="Z224" s="10"/>
      <c r="AA224" s="10"/>
      <c r="AB224" s="10"/>
      <c r="AC224" s="10"/>
      <c r="AD224" s="10"/>
      <c r="AE224" s="2"/>
      <c r="AF224" s="2"/>
      <c r="AG224" s="2"/>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row>
    <row r="225" spans="1:63" ht="18" customHeight="1" x14ac:dyDescent="0.25">
      <c r="A225" s="1"/>
      <c r="B225" s="20"/>
      <c r="C225" s="10"/>
      <c r="D225" s="10"/>
      <c r="E225" s="10"/>
      <c r="F225" s="10"/>
      <c r="G225" s="10"/>
      <c r="H225" s="10"/>
      <c r="I225" s="10"/>
      <c r="J225" s="10"/>
      <c r="K225" s="10"/>
      <c r="L225" s="10"/>
      <c r="M225" s="10"/>
      <c r="N225" s="10"/>
      <c r="O225" s="10"/>
      <c r="P225" s="10"/>
      <c r="Q225" s="10"/>
      <c r="R225" s="10"/>
      <c r="S225" s="10"/>
      <c r="T225" s="10"/>
      <c r="U225" s="10"/>
      <c r="V225" s="10"/>
      <c r="W225" s="10"/>
      <c r="X225" s="10"/>
      <c r="Y225" s="10"/>
      <c r="Z225" s="10"/>
      <c r="AA225" s="10"/>
      <c r="AB225" s="10"/>
      <c r="AC225" s="10"/>
      <c r="AD225" s="10"/>
      <c r="AE225" s="2"/>
      <c r="AF225" s="2"/>
      <c r="AG225" s="2"/>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row>
    <row r="226" spans="1:63" ht="18" customHeight="1" x14ac:dyDescent="0.25">
      <c r="A226" s="1"/>
      <c r="B226" s="20"/>
      <c r="C226" s="10"/>
      <c r="D226" s="10"/>
      <c r="E226" s="10"/>
      <c r="F226" s="10"/>
      <c r="G226" s="10"/>
      <c r="H226" s="10"/>
      <c r="I226" s="10"/>
      <c r="J226" s="10"/>
      <c r="K226" s="10"/>
      <c r="L226" s="10"/>
      <c r="M226" s="10"/>
      <c r="N226" s="10"/>
      <c r="O226" s="10"/>
      <c r="P226" s="10"/>
      <c r="Q226" s="10"/>
      <c r="R226" s="10"/>
      <c r="S226" s="10"/>
      <c r="T226" s="10"/>
      <c r="U226" s="10"/>
      <c r="V226" s="10"/>
      <c r="W226" s="10"/>
      <c r="X226" s="10"/>
      <c r="Y226" s="10"/>
      <c r="Z226" s="10"/>
      <c r="AA226" s="10"/>
      <c r="AB226" s="10"/>
      <c r="AC226" s="10"/>
      <c r="AD226" s="10"/>
      <c r="AE226" s="2"/>
      <c r="AF226" s="2"/>
      <c r="AG226" s="2"/>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row>
    <row r="227" spans="1:63" ht="18" customHeight="1" x14ac:dyDescent="0.25">
      <c r="A227" s="1"/>
      <c r="B227" s="20"/>
      <c r="C227" s="10"/>
      <c r="D227" s="10"/>
      <c r="E227" s="10"/>
      <c r="F227" s="10"/>
      <c r="G227" s="10"/>
      <c r="H227" s="10"/>
      <c r="I227" s="10"/>
      <c r="J227" s="10"/>
      <c r="K227" s="10"/>
      <c r="L227" s="10"/>
      <c r="M227" s="10"/>
      <c r="N227" s="10"/>
      <c r="O227" s="10"/>
      <c r="P227" s="10"/>
      <c r="Q227" s="10"/>
      <c r="R227" s="10"/>
      <c r="S227" s="10"/>
      <c r="T227" s="10"/>
      <c r="U227" s="10"/>
      <c r="V227" s="10"/>
      <c r="W227" s="10"/>
      <c r="X227" s="10"/>
      <c r="Y227" s="10"/>
      <c r="Z227" s="10"/>
      <c r="AA227" s="10"/>
      <c r="AB227" s="10"/>
      <c r="AC227" s="10"/>
      <c r="AD227" s="10"/>
      <c r="AE227" s="2"/>
      <c r="AF227" s="2"/>
      <c r="AG227" s="2"/>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row>
    <row r="228" spans="1:63" ht="18" customHeight="1" collapsed="1" x14ac:dyDescent="0.25">
      <c r="A228" s="1"/>
      <c r="B228" s="20"/>
      <c r="C228" s="10"/>
      <c r="D228" s="10"/>
      <c r="E228" s="10"/>
      <c r="F228" s="10"/>
      <c r="G228" s="10"/>
      <c r="H228" s="10"/>
      <c r="I228" s="10"/>
      <c r="J228" s="10"/>
      <c r="K228" s="10"/>
      <c r="L228" s="10"/>
      <c r="M228" s="10"/>
      <c r="N228" s="10"/>
      <c r="O228" s="10"/>
      <c r="P228" s="10"/>
      <c r="Q228" s="10"/>
      <c r="R228" s="10"/>
      <c r="S228" s="10"/>
      <c r="T228" s="10"/>
      <c r="U228" s="10"/>
      <c r="V228" s="10"/>
      <c r="W228" s="10"/>
      <c r="X228" s="10"/>
      <c r="Y228" s="10"/>
      <c r="Z228" s="10"/>
      <c r="AA228" s="10"/>
      <c r="AB228" s="10"/>
      <c r="AC228" s="10"/>
      <c r="AD228" s="10"/>
      <c r="AE228" s="2"/>
      <c r="AF228" s="2"/>
      <c r="AG228" s="2"/>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row>
    <row r="229" spans="1:63" ht="18" customHeight="1" x14ac:dyDescent="0.25">
      <c r="A229" s="1"/>
      <c r="B229" s="20"/>
      <c r="C229" s="10"/>
      <c r="D229" s="10"/>
      <c r="E229" s="10"/>
      <c r="F229" s="10"/>
      <c r="G229" s="10"/>
      <c r="H229" s="10"/>
      <c r="I229" s="10"/>
      <c r="J229" s="10"/>
      <c r="K229" s="10"/>
      <c r="L229" s="10"/>
      <c r="M229" s="10"/>
      <c r="N229" s="10"/>
      <c r="O229" s="10"/>
      <c r="P229" s="10"/>
      <c r="Q229" s="10"/>
      <c r="R229" s="10"/>
      <c r="S229" s="10"/>
      <c r="T229" s="10"/>
      <c r="U229" s="10"/>
      <c r="V229" s="10"/>
      <c r="W229" s="10"/>
      <c r="X229" s="10"/>
      <c r="Y229" s="10"/>
      <c r="Z229" s="10"/>
      <c r="AA229" s="10"/>
      <c r="AB229" s="10"/>
      <c r="AC229" s="10"/>
      <c r="AD229" s="10"/>
      <c r="AE229" s="2"/>
      <c r="AF229" s="2"/>
      <c r="AG229" s="2"/>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row>
    <row r="230" spans="1:63" ht="18" customHeight="1" x14ac:dyDescent="0.25">
      <c r="A230" s="1"/>
      <c r="B230" s="20"/>
      <c r="C230" s="10"/>
      <c r="D230" s="10"/>
      <c r="E230" s="10"/>
      <c r="F230" s="10"/>
      <c r="G230" s="10"/>
      <c r="H230" s="10"/>
      <c r="I230" s="10"/>
      <c r="J230" s="10"/>
      <c r="K230" s="10"/>
      <c r="L230" s="10"/>
      <c r="M230" s="10"/>
      <c r="N230" s="10"/>
      <c r="O230" s="10"/>
      <c r="P230" s="10"/>
      <c r="Q230" s="10"/>
      <c r="R230" s="10"/>
      <c r="S230" s="10"/>
      <c r="T230" s="10"/>
      <c r="U230" s="10"/>
      <c r="V230" s="10"/>
      <c r="W230" s="10"/>
      <c r="X230" s="10"/>
      <c r="Y230" s="10"/>
      <c r="Z230" s="10"/>
      <c r="AA230" s="10"/>
      <c r="AB230" s="10"/>
      <c r="AC230" s="10"/>
      <c r="AD230" s="10"/>
      <c r="AE230" s="2"/>
      <c r="AF230" s="2"/>
      <c r="AG230" s="2"/>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row>
    <row r="231" spans="1:63" ht="18" customHeight="1" collapsed="1" x14ac:dyDescent="0.25">
      <c r="A231" s="1"/>
      <c r="B231" s="20"/>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row>
    <row r="232" spans="1:63" ht="18" customHeight="1" x14ac:dyDescent="0.25">
      <c r="A232" s="1"/>
      <c r="B232" s="20"/>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c r="AA232" s="17"/>
      <c r="AB232" s="17"/>
      <c r="AC232" s="17"/>
      <c r="AD232" s="17"/>
      <c r="AE232" s="2"/>
      <c r="AF232" s="2"/>
      <c r="AG232" s="2"/>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row>
    <row r="233" spans="1:63" ht="18" customHeight="1" x14ac:dyDescent="0.25">
      <c r="A233" s="1"/>
      <c r="B233" s="20"/>
      <c r="C233" s="10"/>
      <c r="D233" s="10"/>
      <c r="E233" s="10"/>
      <c r="F233" s="10"/>
      <c r="G233" s="10"/>
      <c r="H233" s="10"/>
      <c r="I233" s="10"/>
      <c r="J233" s="10"/>
      <c r="K233" s="10"/>
      <c r="L233" s="10"/>
      <c r="M233" s="10"/>
      <c r="N233" s="10"/>
      <c r="O233" s="10"/>
      <c r="P233" s="10"/>
      <c r="Q233" s="10"/>
      <c r="R233" s="10"/>
      <c r="S233" s="10"/>
      <c r="T233" s="10"/>
      <c r="U233" s="10"/>
      <c r="V233" s="10"/>
      <c r="W233" s="10"/>
      <c r="X233" s="10"/>
      <c r="Y233" s="10"/>
      <c r="Z233" s="10"/>
      <c r="AA233" s="10"/>
      <c r="AB233" s="10"/>
      <c r="AC233" s="10"/>
      <c r="AD233" s="10"/>
      <c r="AE233" s="2"/>
      <c r="AF233" s="2"/>
      <c r="AG233" s="2"/>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row>
    <row r="234" spans="1:63" ht="18" customHeight="1" x14ac:dyDescent="0.25">
      <c r="A234" s="1"/>
      <c r="B234" s="20"/>
      <c r="C234" s="10"/>
      <c r="D234" s="10"/>
      <c r="E234" s="10"/>
      <c r="F234" s="10"/>
      <c r="G234" s="10"/>
      <c r="H234" s="10"/>
      <c r="I234" s="10"/>
      <c r="J234" s="10"/>
      <c r="K234" s="10"/>
      <c r="L234" s="10"/>
      <c r="M234" s="10"/>
      <c r="N234" s="10"/>
      <c r="O234" s="10"/>
      <c r="P234" s="10"/>
      <c r="Q234" s="10"/>
      <c r="R234" s="10"/>
      <c r="S234" s="10"/>
      <c r="T234" s="10"/>
      <c r="U234" s="10"/>
      <c r="V234" s="10"/>
      <c r="W234" s="10"/>
      <c r="X234" s="10"/>
      <c r="Y234" s="10"/>
      <c r="Z234" s="10"/>
      <c r="AA234" s="10"/>
      <c r="AB234" s="10"/>
      <c r="AC234" s="10"/>
      <c r="AD234" s="10"/>
      <c r="AE234" s="2"/>
      <c r="AF234" s="2"/>
      <c r="AG234" s="2"/>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row>
    <row r="235" spans="1:63" ht="18" customHeight="1" x14ac:dyDescent="0.25">
      <c r="A235" s="1"/>
      <c r="B235" s="20"/>
      <c r="C235" s="10"/>
      <c r="D235" s="10"/>
      <c r="E235" s="10"/>
      <c r="F235" s="10"/>
      <c r="G235" s="10"/>
      <c r="H235" s="10"/>
      <c r="I235" s="10"/>
      <c r="J235" s="10"/>
      <c r="K235" s="10"/>
      <c r="L235" s="10"/>
      <c r="M235" s="10"/>
      <c r="N235" s="10"/>
      <c r="O235" s="10"/>
      <c r="P235" s="10"/>
      <c r="Q235" s="10"/>
      <c r="R235" s="10"/>
      <c r="S235" s="10"/>
      <c r="T235" s="10"/>
      <c r="U235" s="10"/>
      <c r="V235" s="10"/>
      <c r="W235" s="10"/>
      <c r="X235" s="10"/>
      <c r="Y235" s="10"/>
      <c r="Z235" s="10"/>
      <c r="AA235" s="10"/>
      <c r="AB235" s="10"/>
      <c r="AC235" s="10"/>
      <c r="AD235" s="10"/>
      <c r="AE235" s="2"/>
      <c r="AF235" s="2"/>
      <c r="AG235" s="2"/>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row>
    <row r="236" spans="1:63" ht="18" customHeight="1" collapsed="1" x14ac:dyDescent="0.25">
      <c r="A236" s="1"/>
      <c r="B236" s="20"/>
      <c r="C236" s="10"/>
      <c r="D236" s="10"/>
      <c r="E236" s="10"/>
      <c r="F236" s="10"/>
      <c r="G236" s="10"/>
      <c r="H236" s="10"/>
      <c r="I236" s="10"/>
      <c r="J236" s="10"/>
      <c r="K236" s="10"/>
      <c r="L236" s="10"/>
      <c r="M236" s="10"/>
      <c r="N236" s="10"/>
      <c r="O236" s="10"/>
      <c r="P236" s="10"/>
      <c r="Q236" s="10"/>
      <c r="R236" s="10"/>
      <c r="S236" s="10"/>
      <c r="T236" s="10"/>
      <c r="U236" s="10"/>
      <c r="V236" s="10"/>
      <c r="W236" s="10"/>
      <c r="X236" s="10"/>
      <c r="Y236" s="10"/>
      <c r="Z236" s="10"/>
      <c r="AA236" s="10"/>
      <c r="AB236" s="10"/>
      <c r="AC236" s="10"/>
      <c r="AD236" s="10"/>
      <c r="AE236" s="2"/>
      <c r="AF236" s="2"/>
      <c r="AG236" s="2"/>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row>
    <row r="237" spans="1:63" ht="18" customHeight="1" x14ac:dyDescent="0.25">
      <c r="A237" s="1"/>
      <c r="B237" s="20"/>
      <c r="C237" s="14"/>
      <c r="D237" s="14"/>
      <c r="E237" s="14"/>
      <c r="F237" s="14"/>
      <c r="G237" s="14"/>
      <c r="H237" s="14"/>
      <c r="I237" s="14"/>
      <c r="J237" s="14"/>
      <c r="K237" s="14"/>
      <c r="L237" s="14"/>
      <c r="M237" s="14"/>
      <c r="N237" s="14"/>
      <c r="O237" s="14"/>
      <c r="P237" s="14"/>
      <c r="Q237" s="14"/>
      <c r="R237" s="14"/>
      <c r="S237" s="14"/>
      <c r="T237" s="14"/>
      <c r="U237" s="14"/>
      <c r="V237" s="14"/>
      <c r="W237" s="14"/>
      <c r="X237" s="14"/>
      <c r="Y237" s="14"/>
      <c r="Z237" s="14"/>
      <c r="AA237" s="14"/>
      <c r="AB237" s="14"/>
      <c r="AC237" s="14"/>
      <c r="AD237" s="14"/>
      <c r="AE237" s="2"/>
      <c r="AF237" s="2"/>
      <c r="AG237" s="2"/>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row>
    <row r="238" spans="1:63" ht="18" customHeight="1" x14ac:dyDescent="0.25">
      <c r="A238" s="1"/>
      <c r="B238" s="20"/>
      <c r="C238" s="10"/>
      <c r="D238" s="10"/>
      <c r="E238" s="10"/>
      <c r="F238" s="10"/>
      <c r="G238" s="10"/>
      <c r="H238" s="10"/>
      <c r="I238" s="10"/>
      <c r="J238" s="10"/>
      <c r="K238" s="10"/>
      <c r="L238" s="10"/>
      <c r="M238" s="10"/>
      <c r="N238" s="10"/>
      <c r="O238" s="10"/>
      <c r="P238" s="10"/>
      <c r="Q238" s="10"/>
      <c r="R238" s="10"/>
      <c r="S238" s="10"/>
      <c r="T238" s="10"/>
      <c r="U238" s="10"/>
      <c r="V238" s="10"/>
      <c r="W238" s="10"/>
      <c r="X238" s="10"/>
      <c r="Y238" s="10"/>
      <c r="Z238" s="10"/>
      <c r="AA238" s="10"/>
      <c r="AB238" s="10"/>
      <c r="AC238" s="10"/>
      <c r="AD238" s="10"/>
      <c r="AE238" s="2"/>
      <c r="AF238" s="2"/>
      <c r="AG238" s="2"/>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row>
    <row r="239" spans="1:63" ht="18" customHeight="1" x14ac:dyDescent="0.25">
      <c r="A239" s="1"/>
      <c r="B239" s="20"/>
      <c r="C239" s="10"/>
      <c r="D239" s="10"/>
      <c r="E239" s="10"/>
      <c r="F239" s="10"/>
      <c r="G239" s="10"/>
      <c r="H239" s="10"/>
      <c r="I239" s="10"/>
      <c r="J239" s="10"/>
      <c r="K239" s="10"/>
      <c r="L239" s="10"/>
      <c r="M239" s="10"/>
      <c r="N239" s="10"/>
      <c r="O239" s="10"/>
      <c r="P239" s="10"/>
      <c r="Q239" s="10"/>
      <c r="R239" s="10"/>
      <c r="S239" s="10"/>
      <c r="T239" s="10"/>
      <c r="U239" s="10"/>
      <c r="V239" s="10"/>
      <c r="W239" s="10"/>
      <c r="X239" s="10"/>
      <c r="Y239" s="10"/>
      <c r="Z239" s="10"/>
      <c r="AA239" s="10"/>
      <c r="AB239" s="10"/>
      <c r="AC239" s="10"/>
      <c r="AD239" s="10"/>
      <c r="AE239" s="2"/>
      <c r="AF239" s="2"/>
      <c r="AG239" s="2"/>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row>
    <row r="240" spans="1:63" ht="18" customHeight="1" x14ac:dyDescent="0.25">
      <c r="A240" s="1"/>
      <c r="B240" s="20"/>
      <c r="C240" s="10"/>
      <c r="D240" s="10"/>
      <c r="E240" s="10"/>
      <c r="F240" s="10"/>
      <c r="G240" s="10"/>
      <c r="H240" s="10"/>
      <c r="I240" s="10"/>
      <c r="J240" s="10"/>
      <c r="K240" s="10"/>
      <c r="L240" s="10"/>
      <c r="M240" s="10"/>
      <c r="N240" s="10"/>
      <c r="O240" s="10"/>
      <c r="P240" s="10"/>
      <c r="Q240" s="10"/>
      <c r="R240" s="10"/>
      <c r="S240" s="10"/>
      <c r="T240" s="10"/>
      <c r="U240" s="10"/>
      <c r="V240" s="10"/>
      <c r="W240" s="10"/>
      <c r="X240" s="10"/>
      <c r="Y240" s="10"/>
      <c r="Z240" s="10"/>
      <c r="AA240" s="10"/>
      <c r="AB240" s="10"/>
      <c r="AC240" s="10"/>
      <c r="AD240" s="10"/>
      <c r="AE240" s="2"/>
      <c r="AF240" s="2"/>
      <c r="AG240" s="2"/>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row>
    <row r="241" spans="1:63" ht="18" customHeight="1" collapsed="1" x14ac:dyDescent="0.25">
      <c r="A241" s="1"/>
      <c r="B241" s="20"/>
      <c r="C241" s="10"/>
      <c r="D241" s="10"/>
      <c r="E241" s="10"/>
      <c r="F241" s="10"/>
      <c r="G241" s="10"/>
      <c r="H241" s="10"/>
      <c r="I241" s="10"/>
      <c r="J241" s="10"/>
      <c r="K241" s="10"/>
      <c r="L241" s="10"/>
      <c r="M241" s="10"/>
      <c r="N241" s="10"/>
      <c r="O241" s="10"/>
      <c r="P241" s="10"/>
      <c r="Q241" s="10"/>
      <c r="R241" s="10"/>
      <c r="S241" s="10"/>
      <c r="T241" s="10"/>
      <c r="U241" s="10"/>
      <c r="V241" s="10"/>
      <c r="W241" s="10"/>
      <c r="X241" s="10"/>
      <c r="Y241" s="10"/>
      <c r="Z241" s="10"/>
      <c r="AA241" s="10"/>
      <c r="AB241" s="10"/>
      <c r="AC241" s="10"/>
      <c r="AD241" s="10"/>
      <c r="AE241" s="2"/>
      <c r="AF241" s="2"/>
      <c r="AG241" s="2"/>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row>
    <row r="242" spans="1:63" ht="18" customHeight="1" x14ac:dyDescent="0.25">
      <c r="A242" s="1"/>
      <c r="B242" s="20"/>
      <c r="C242" s="10"/>
      <c r="D242" s="10"/>
      <c r="E242" s="10"/>
      <c r="F242" s="10"/>
      <c r="G242" s="10"/>
      <c r="H242" s="10"/>
      <c r="I242" s="10"/>
      <c r="J242" s="10"/>
      <c r="K242" s="10"/>
      <c r="L242" s="10"/>
      <c r="M242" s="10"/>
      <c r="N242" s="10"/>
      <c r="O242" s="10"/>
      <c r="P242" s="10"/>
      <c r="Q242" s="10"/>
      <c r="R242" s="10"/>
      <c r="S242" s="10"/>
      <c r="T242" s="10"/>
      <c r="U242" s="10"/>
      <c r="V242" s="10"/>
      <c r="W242" s="10"/>
      <c r="X242" s="10"/>
      <c r="Y242" s="10"/>
      <c r="Z242" s="10"/>
      <c r="AA242" s="10"/>
      <c r="AB242" s="10"/>
      <c r="AC242" s="10"/>
      <c r="AD242" s="10"/>
      <c r="AE242" s="2"/>
      <c r="AF242" s="2"/>
      <c r="AG242" s="2"/>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row>
    <row r="243" spans="1:63" ht="18" customHeight="1" x14ac:dyDescent="0.25">
      <c r="A243" s="1"/>
      <c r="B243" s="20"/>
      <c r="C243" s="10"/>
      <c r="D243" s="10"/>
      <c r="E243" s="10"/>
      <c r="F243" s="10"/>
      <c r="G243" s="10"/>
      <c r="H243" s="10"/>
      <c r="I243" s="10"/>
      <c r="J243" s="10"/>
      <c r="K243" s="10"/>
      <c r="L243" s="10"/>
      <c r="M243" s="10"/>
      <c r="N243" s="10"/>
      <c r="O243" s="10"/>
      <c r="P243" s="10"/>
      <c r="Q243" s="10"/>
      <c r="R243" s="10"/>
      <c r="S243" s="10"/>
      <c r="T243" s="10"/>
      <c r="U243" s="10"/>
      <c r="V243" s="10"/>
      <c r="W243" s="10"/>
      <c r="X243" s="10"/>
      <c r="Y243" s="10"/>
      <c r="Z243" s="10"/>
      <c r="AA243" s="10"/>
      <c r="AB243" s="10"/>
      <c r="AC243" s="10"/>
      <c r="AD243" s="10"/>
      <c r="AE243" s="2"/>
      <c r="AF243" s="2"/>
      <c r="AG243" s="2"/>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row>
    <row r="244" spans="1:63" ht="18" customHeight="1" x14ac:dyDescent="0.25">
      <c r="A244" s="1"/>
      <c r="B244" s="20"/>
      <c r="C244" s="10"/>
      <c r="D244" s="10"/>
      <c r="E244" s="10"/>
      <c r="F244" s="10"/>
      <c r="G244" s="10"/>
      <c r="H244" s="10"/>
      <c r="I244" s="10"/>
      <c r="J244" s="10"/>
      <c r="K244" s="10"/>
      <c r="L244" s="10"/>
      <c r="M244" s="10"/>
      <c r="N244" s="10"/>
      <c r="O244" s="10"/>
      <c r="P244" s="10"/>
      <c r="Q244" s="10"/>
      <c r="R244" s="10"/>
      <c r="S244" s="10"/>
      <c r="T244" s="10"/>
      <c r="U244" s="10"/>
      <c r="V244" s="10"/>
      <c r="W244" s="10"/>
      <c r="X244" s="10"/>
      <c r="Y244" s="10"/>
      <c r="Z244" s="10"/>
      <c r="AA244" s="10"/>
      <c r="AB244" s="10"/>
      <c r="AC244" s="10"/>
      <c r="AD244" s="10"/>
      <c r="AE244" s="2"/>
      <c r="AF244" s="2"/>
      <c r="AG244" s="2"/>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row>
    <row r="245" spans="1:63" ht="18" customHeight="1" x14ac:dyDescent="0.25">
      <c r="A245" s="1"/>
      <c r="B245" s="20"/>
      <c r="C245" s="10"/>
      <c r="D245" s="10"/>
      <c r="E245" s="10"/>
      <c r="F245" s="10"/>
      <c r="G245" s="10"/>
      <c r="H245" s="10"/>
      <c r="I245" s="10"/>
      <c r="J245" s="10"/>
      <c r="K245" s="10"/>
      <c r="L245" s="10"/>
      <c r="M245" s="10"/>
      <c r="N245" s="10"/>
      <c r="O245" s="10"/>
      <c r="P245" s="10"/>
      <c r="Q245" s="10"/>
      <c r="R245" s="10"/>
      <c r="S245" s="10"/>
      <c r="T245" s="10"/>
      <c r="U245" s="10"/>
      <c r="V245" s="10"/>
      <c r="W245" s="10"/>
      <c r="X245" s="10"/>
      <c r="Y245" s="10"/>
      <c r="Z245" s="10"/>
      <c r="AA245" s="10"/>
      <c r="AB245" s="10"/>
      <c r="AC245" s="10"/>
      <c r="AD245" s="10"/>
      <c r="AE245" s="2"/>
      <c r="AF245" s="2"/>
      <c r="AG245" s="2"/>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row>
    <row r="246" spans="1:63" ht="18" customHeight="1" collapsed="1" x14ac:dyDescent="0.25">
      <c r="A246" s="1"/>
      <c r="B246" s="20"/>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row>
    <row r="247" spans="1:63" ht="18" customHeight="1" x14ac:dyDescent="0.25">
      <c r="A247" s="1"/>
      <c r="B247" s="20"/>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c r="AA247" s="17"/>
      <c r="AB247" s="17"/>
      <c r="AC247" s="17"/>
      <c r="AD247" s="17"/>
      <c r="AE247" s="2"/>
      <c r="AF247" s="2"/>
      <c r="AG247" s="2"/>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row>
    <row r="248" spans="1:63" ht="18" customHeight="1" x14ac:dyDescent="0.25">
      <c r="A248" s="1"/>
      <c r="B248" s="20"/>
      <c r="C248" s="10"/>
      <c r="D248" s="10"/>
      <c r="E248" s="10"/>
      <c r="F248" s="10"/>
      <c r="G248" s="10"/>
      <c r="H248" s="10"/>
      <c r="I248" s="10"/>
      <c r="J248" s="10"/>
      <c r="K248" s="10"/>
      <c r="L248" s="10"/>
      <c r="M248" s="10"/>
      <c r="N248" s="10"/>
      <c r="O248" s="10"/>
      <c r="P248" s="10"/>
      <c r="Q248" s="10"/>
      <c r="R248" s="10"/>
      <c r="S248" s="10"/>
      <c r="T248" s="10"/>
      <c r="U248" s="10"/>
      <c r="V248" s="10"/>
      <c r="W248" s="10"/>
      <c r="X248" s="10"/>
      <c r="Y248" s="10"/>
      <c r="Z248" s="10"/>
      <c r="AA248" s="10"/>
      <c r="AB248" s="10"/>
      <c r="AC248" s="10"/>
      <c r="AD248" s="10"/>
      <c r="AE248" s="2"/>
      <c r="AF248" s="2"/>
      <c r="AG248" s="2"/>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row>
    <row r="249" spans="1:63" ht="18" customHeight="1" x14ac:dyDescent="0.25">
      <c r="A249" s="1"/>
      <c r="B249" s="20"/>
      <c r="C249" s="10"/>
      <c r="D249" s="10"/>
      <c r="E249" s="10"/>
      <c r="F249" s="10"/>
      <c r="G249" s="10"/>
      <c r="H249" s="10"/>
      <c r="I249" s="10"/>
      <c r="J249" s="10"/>
      <c r="K249" s="10"/>
      <c r="L249" s="10"/>
      <c r="M249" s="10"/>
      <c r="N249" s="10"/>
      <c r="O249" s="10"/>
      <c r="P249" s="10"/>
      <c r="Q249" s="10"/>
      <c r="R249" s="10"/>
      <c r="S249" s="10"/>
      <c r="T249" s="10"/>
      <c r="U249" s="10"/>
      <c r="V249" s="10"/>
      <c r="W249" s="10"/>
      <c r="X249" s="10"/>
      <c r="Y249" s="10"/>
      <c r="Z249" s="10"/>
      <c r="AA249" s="10"/>
      <c r="AB249" s="10"/>
      <c r="AC249" s="10"/>
      <c r="AD249" s="10"/>
      <c r="AE249" s="2"/>
      <c r="AF249" s="2"/>
      <c r="AG249" s="2"/>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row>
    <row r="250" spans="1:63" ht="18" customHeight="1" x14ac:dyDescent="0.25">
      <c r="A250" s="1"/>
      <c r="B250" s="20"/>
      <c r="C250" s="14"/>
      <c r="D250" s="14"/>
      <c r="E250" s="14"/>
      <c r="F250" s="14"/>
      <c r="G250" s="14"/>
      <c r="H250" s="14"/>
      <c r="I250" s="14"/>
      <c r="J250" s="14"/>
      <c r="K250" s="14"/>
      <c r="L250" s="14"/>
      <c r="M250" s="14"/>
      <c r="N250" s="14"/>
      <c r="O250" s="14"/>
      <c r="P250" s="14"/>
      <c r="Q250" s="14"/>
      <c r="R250" s="14"/>
      <c r="S250" s="14"/>
      <c r="T250" s="14"/>
      <c r="U250" s="14"/>
      <c r="V250" s="14"/>
      <c r="W250" s="14"/>
      <c r="X250" s="14"/>
      <c r="Y250" s="14"/>
      <c r="Z250" s="14"/>
      <c r="AA250" s="14"/>
      <c r="AB250" s="14"/>
      <c r="AC250" s="14"/>
      <c r="AD250" s="14"/>
      <c r="AE250" s="2"/>
      <c r="AF250" s="2"/>
      <c r="AG250" s="2"/>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row>
    <row r="251" spans="1:63" ht="18" customHeight="1" x14ac:dyDescent="0.25">
      <c r="A251" s="1"/>
      <c r="B251" s="20"/>
      <c r="C251" s="10"/>
      <c r="D251" s="10"/>
      <c r="E251" s="10"/>
      <c r="F251" s="10"/>
      <c r="G251" s="10"/>
      <c r="H251" s="10"/>
      <c r="I251" s="10"/>
      <c r="J251" s="10"/>
      <c r="K251" s="10"/>
      <c r="L251" s="10"/>
      <c r="M251" s="10"/>
      <c r="N251" s="10"/>
      <c r="O251" s="10"/>
      <c r="P251" s="10"/>
      <c r="Q251" s="10"/>
      <c r="R251" s="10"/>
      <c r="S251" s="10"/>
      <c r="T251" s="10"/>
      <c r="U251" s="10"/>
      <c r="V251" s="10"/>
      <c r="W251" s="10"/>
      <c r="X251" s="10"/>
      <c r="Y251" s="10"/>
      <c r="Z251" s="10"/>
      <c r="AA251" s="10"/>
      <c r="AB251" s="10"/>
      <c r="AC251" s="10"/>
      <c r="AD251" s="10"/>
      <c r="AE251" s="2"/>
      <c r="AF251" s="2"/>
      <c r="AG251" s="2"/>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row>
    <row r="252" spans="1:63" ht="18" customHeight="1" x14ac:dyDescent="0.25">
      <c r="A252" s="1"/>
      <c r="B252" s="20"/>
      <c r="C252" s="10"/>
      <c r="D252" s="10"/>
      <c r="E252" s="10"/>
      <c r="F252" s="10"/>
      <c r="G252" s="10"/>
      <c r="H252" s="10"/>
      <c r="I252" s="10"/>
      <c r="J252" s="10"/>
      <c r="K252" s="10"/>
      <c r="L252" s="10"/>
      <c r="M252" s="10"/>
      <c r="N252" s="10"/>
      <c r="O252" s="10"/>
      <c r="P252" s="10"/>
      <c r="Q252" s="10"/>
      <c r="R252" s="10"/>
      <c r="S252" s="10"/>
      <c r="T252" s="10"/>
      <c r="U252" s="10"/>
      <c r="V252" s="10"/>
      <c r="W252" s="10"/>
      <c r="X252" s="10"/>
      <c r="Y252" s="10"/>
      <c r="Z252" s="10"/>
      <c r="AA252" s="10"/>
      <c r="AB252" s="10"/>
      <c r="AC252" s="10"/>
      <c r="AD252" s="10"/>
      <c r="AE252" s="2"/>
      <c r="AF252" s="2"/>
      <c r="AG252" s="2"/>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row>
    <row r="253" spans="1:63" ht="18" customHeight="1" collapsed="1" x14ac:dyDescent="0.25">
      <c r="A253" s="1"/>
      <c r="B253" s="20"/>
      <c r="C253" s="10"/>
      <c r="D253" s="10"/>
      <c r="E253" s="10"/>
      <c r="F253" s="10"/>
      <c r="G253" s="10"/>
      <c r="H253" s="10"/>
      <c r="I253" s="10"/>
      <c r="J253" s="10"/>
      <c r="K253" s="10"/>
      <c r="L253" s="10"/>
      <c r="M253" s="10"/>
      <c r="N253" s="10"/>
      <c r="O253" s="10"/>
      <c r="P253" s="10"/>
      <c r="Q253" s="10"/>
      <c r="R253" s="10"/>
      <c r="S253" s="10"/>
      <c r="T253" s="10"/>
      <c r="U253" s="10"/>
      <c r="V253" s="10"/>
      <c r="W253" s="10"/>
      <c r="X253" s="10"/>
      <c r="Y253" s="10"/>
      <c r="Z253" s="10"/>
      <c r="AA253" s="10"/>
      <c r="AB253" s="10"/>
      <c r="AC253" s="10"/>
      <c r="AD253" s="10"/>
      <c r="AE253" s="2"/>
      <c r="AF253" s="2"/>
      <c r="AG253" s="2"/>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row>
    <row r="254" spans="1:63" ht="18" customHeight="1" x14ac:dyDescent="0.25">
      <c r="A254" s="1"/>
      <c r="B254" s="20"/>
      <c r="C254" s="10"/>
      <c r="D254" s="10"/>
      <c r="E254" s="10"/>
      <c r="F254" s="10"/>
      <c r="G254" s="10"/>
      <c r="H254" s="10"/>
      <c r="I254" s="10"/>
      <c r="J254" s="10"/>
      <c r="K254" s="10"/>
      <c r="L254" s="10"/>
      <c r="M254" s="10"/>
      <c r="N254" s="10"/>
      <c r="O254" s="10"/>
      <c r="P254" s="10"/>
      <c r="Q254" s="10"/>
      <c r="R254" s="10"/>
      <c r="S254" s="10"/>
      <c r="T254" s="10"/>
      <c r="U254" s="10"/>
      <c r="V254" s="10"/>
      <c r="W254" s="10"/>
      <c r="X254" s="10"/>
      <c r="Y254" s="10"/>
      <c r="Z254" s="10"/>
      <c r="AA254" s="10"/>
      <c r="AB254" s="10"/>
      <c r="AC254" s="10"/>
      <c r="AD254" s="10"/>
      <c r="AE254" s="2"/>
      <c r="AF254" s="2"/>
      <c r="AG254" s="2"/>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row>
    <row r="255" spans="1:63" ht="18" customHeight="1" x14ac:dyDescent="0.25">
      <c r="A255" s="1"/>
      <c r="B255" s="20"/>
      <c r="C255" s="10"/>
      <c r="D255" s="10"/>
      <c r="E255" s="10"/>
      <c r="F255" s="10"/>
      <c r="G255" s="10"/>
      <c r="H255" s="10"/>
      <c r="I255" s="10"/>
      <c r="J255" s="10"/>
      <c r="K255" s="10"/>
      <c r="L255" s="10"/>
      <c r="M255" s="10"/>
      <c r="N255" s="10"/>
      <c r="O255" s="10"/>
      <c r="P255" s="10"/>
      <c r="Q255" s="10"/>
      <c r="R255" s="10"/>
      <c r="S255" s="10"/>
      <c r="T255" s="10"/>
      <c r="U255" s="10"/>
      <c r="V255" s="10"/>
      <c r="W255" s="10"/>
      <c r="X255" s="10"/>
      <c r="Y255" s="10"/>
      <c r="Z255" s="10"/>
      <c r="AA255" s="10"/>
      <c r="AB255" s="10"/>
      <c r="AC255" s="10"/>
      <c r="AD255" s="10"/>
      <c r="AE255" s="2"/>
      <c r="AF255" s="2"/>
      <c r="AG255" s="2"/>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row>
    <row r="256" spans="1:63" ht="18" customHeight="1" x14ac:dyDescent="0.25">
      <c r="A256" s="1"/>
      <c r="B256" s="20"/>
      <c r="C256" s="10"/>
      <c r="D256" s="10"/>
      <c r="E256" s="10"/>
      <c r="F256" s="10"/>
      <c r="G256" s="10"/>
      <c r="H256" s="10"/>
      <c r="I256" s="10"/>
      <c r="J256" s="10"/>
      <c r="K256" s="10"/>
      <c r="L256" s="10"/>
      <c r="M256" s="10"/>
      <c r="N256" s="10"/>
      <c r="O256" s="10"/>
      <c r="P256" s="10"/>
      <c r="Q256" s="10"/>
      <c r="R256" s="10"/>
      <c r="S256" s="10"/>
      <c r="T256" s="10"/>
      <c r="U256" s="10"/>
      <c r="V256" s="10"/>
      <c r="W256" s="10"/>
      <c r="X256" s="10"/>
      <c r="Y256" s="10"/>
      <c r="Z256" s="10"/>
      <c r="AA256" s="10"/>
      <c r="AB256" s="10"/>
      <c r="AC256" s="10"/>
      <c r="AD256" s="10"/>
      <c r="AE256" s="2"/>
      <c r="AF256" s="2"/>
      <c r="AG256" s="2"/>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row>
    <row r="257" spans="1:63" ht="18" customHeight="1" x14ac:dyDescent="0.25">
      <c r="A257" s="1"/>
      <c r="B257" s="20"/>
      <c r="C257" s="10"/>
      <c r="D257" s="10"/>
      <c r="E257" s="10"/>
      <c r="F257" s="10"/>
      <c r="G257" s="10"/>
      <c r="H257" s="10"/>
      <c r="I257" s="10"/>
      <c r="J257" s="10"/>
      <c r="K257" s="10"/>
      <c r="L257" s="10"/>
      <c r="M257" s="10"/>
      <c r="N257" s="10"/>
      <c r="O257" s="10"/>
      <c r="P257" s="10"/>
      <c r="Q257" s="10"/>
      <c r="R257" s="10"/>
      <c r="S257" s="10"/>
      <c r="T257" s="10"/>
      <c r="U257" s="10"/>
      <c r="V257" s="10"/>
      <c r="W257" s="10"/>
      <c r="X257" s="10"/>
      <c r="Y257" s="10"/>
      <c r="Z257" s="10"/>
      <c r="AA257" s="10"/>
      <c r="AB257" s="10"/>
      <c r="AC257" s="10"/>
      <c r="AD257" s="10"/>
      <c r="AE257" s="2"/>
      <c r="AF257" s="2"/>
      <c r="AG257" s="2"/>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row>
    <row r="258" spans="1:63" ht="18" customHeight="1" collapsed="1" x14ac:dyDescent="0.25">
      <c r="A258" s="1"/>
      <c r="B258" s="20"/>
      <c r="C258" s="14"/>
      <c r="D258" s="14"/>
      <c r="E258" s="14"/>
      <c r="F258" s="14"/>
      <c r="G258" s="14"/>
      <c r="H258" s="14"/>
      <c r="I258" s="14"/>
      <c r="J258" s="14"/>
      <c r="K258" s="14"/>
      <c r="L258" s="14"/>
      <c r="M258" s="14"/>
      <c r="N258" s="14"/>
      <c r="O258" s="14"/>
      <c r="P258" s="14"/>
      <c r="Q258" s="14"/>
      <c r="R258" s="14"/>
      <c r="S258" s="14"/>
      <c r="T258" s="14"/>
      <c r="U258" s="14"/>
      <c r="V258" s="14"/>
      <c r="W258" s="14"/>
      <c r="X258" s="14"/>
      <c r="Y258" s="14"/>
      <c r="Z258" s="14"/>
      <c r="AA258" s="14"/>
      <c r="AB258" s="14"/>
      <c r="AC258" s="14"/>
      <c r="AD258" s="14"/>
      <c r="AE258" s="2"/>
      <c r="AF258" s="2"/>
      <c r="AG258" s="2"/>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row>
    <row r="259" spans="1:63" ht="18" customHeight="1" x14ac:dyDescent="0.25">
      <c r="A259" s="1"/>
      <c r="B259" s="20"/>
      <c r="C259" s="14"/>
      <c r="D259" s="14"/>
      <c r="E259" s="14"/>
      <c r="F259" s="14"/>
      <c r="G259" s="14"/>
      <c r="H259" s="14"/>
      <c r="I259" s="14"/>
      <c r="J259" s="14"/>
      <c r="K259" s="14"/>
      <c r="L259" s="14"/>
      <c r="M259" s="14"/>
      <c r="N259" s="14"/>
      <c r="O259" s="14"/>
      <c r="P259" s="14"/>
      <c r="Q259" s="14"/>
      <c r="R259" s="14"/>
      <c r="S259" s="14"/>
      <c r="T259" s="14"/>
      <c r="U259" s="14"/>
      <c r="V259" s="14"/>
      <c r="W259" s="14"/>
      <c r="X259" s="14"/>
      <c r="Y259" s="14"/>
      <c r="Z259" s="14"/>
      <c r="AA259" s="14"/>
      <c r="AB259" s="14"/>
      <c r="AC259" s="14"/>
      <c r="AD259" s="14"/>
      <c r="AE259" s="2"/>
      <c r="AF259" s="2"/>
      <c r="AG259" s="2"/>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row>
    <row r="260" spans="1:63" ht="18" customHeight="1" x14ac:dyDescent="0.25">
      <c r="A260" s="1"/>
      <c r="B260" s="20"/>
      <c r="C260" s="14"/>
      <c r="D260" s="14"/>
      <c r="E260" s="14"/>
      <c r="F260" s="14"/>
      <c r="G260" s="14"/>
      <c r="H260" s="14"/>
      <c r="I260" s="14"/>
      <c r="J260" s="14"/>
      <c r="K260" s="14"/>
      <c r="L260" s="14"/>
      <c r="M260" s="14"/>
      <c r="N260" s="14"/>
      <c r="O260" s="14"/>
      <c r="P260" s="14"/>
      <c r="Q260" s="14"/>
      <c r="R260" s="14"/>
      <c r="S260" s="14"/>
      <c r="T260" s="14"/>
      <c r="U260" s="14"/>
      <c r="V260" s="14"/>
      <c r="W260" s="14"/>
      <c r="X260" s="14"/>
      <c r="Y260" s="14"/>
      <c r="Z260" s="14"/>
      <c r="AA260" s="14"/>
      <c r="AB260" s="14"/>
      <c r="AC260" s="14"/>
      <c r="AD260" s="14"/>
      <c r="AE260" s="2"/>
      <c r="AF260" s="2"/>
      <c r="AG260" s="2"/>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row>
    <row r="261" spans="1:63" ht="18" customHeight="1" x14ac:dyDescent="0.25">
      <c r="A261" s="1"/>
      <c r="B261" s="20"/>
      <c r="C261" s="10"/>
      <c r="D261" s="10"/>
      <c r="E261" s="10"/>
      <c r="F261" s="10"/>
      <c r="G261" s="10"/>
      <c r="H261" s="10"/>
      <c r="I261" s="10"/>
      <c r="J261" s="10"/>
      <c r="K261" s="10"/>
      <c r="L261" s="10"/>
      <c r="M261" s="10"/>
      <c r="N261" s="10"/>
      <c r="O261" s="10"/>
      <c r="P261" s="10"/>
      <c r="Q261" s="10"/>
      <c r="R261" s="10"/>
      <c r="S261" s="10"/>
      <c r="T261" s="10"/>
      <c r="U261" s="10"/>
      <c r="V261" s="10"/>
      <c r="W261" s="10"/>
      <c r="X261" s="10"/>
      <c r="Y261" s="10"/>
      <c r="Z261" s="10"/>
      <c r="AA261" s="10"/>
      <c r="AB261" s="10"/>
      <c r="AC261" s="10"/>
      <c r="AD261" s="10"/>
      <c r="AE261" s="2"/>
      <c r="AF261" s="2"/>
      <c r="AG261" s="2"/>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row>
    <row r="262" spans="1:63" x14ac:dyDescent="0.25">
      <c r="A262" s="1"/>
      <c r="B262" s="1"/>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row>
    <row r="263" spans="1:63" x14ac:dyDescent="0.25">
      <c r="A263" s="1"/>
      <c r="B263" s="1"/>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row>
    <row r="264" spans="1:63" x14ac:dyDescent="0.25">
      <c r="A264" s="1"/>
      <c r="B264" s="1"/>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row>
    <row r="265" spans="1:63" x14ac:dyDescent="0.25">
      <c r="A265" s="1"/>
      <c r="B265" s="1"/>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row>
    <row r="266" spans="1:63" x14ac:dyDescent="0.25">
      <c r="A266" s="1"/>
      <c r="B266" s="1"/>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row>
    <row r="267" spans="1:63" x14ac:dyDescent="0.25">
      <c r="A267" s="1"/>
      <c r="B267" s="1"/>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row>
    <row r="268" spans="1:63" x14ac:dyDescent="0.25">
      <c r="A268" s="1"/>
      <c r="B268" s="1"/>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row>
    <row r="269" spans="1:63" x14ac:dyDescent="0.25">
      <c r="A269" s="1"/>
      <c r="B269" s="1"/>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row>
    <row r="270" spans="1:63" x14ac:dyDescent="0.25">
      <c r="A270" s="1"/>
      <c r="B270" s="1"/>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row>
    <row r="271" spans="1:63" x14ac:dyDescent="0.25">
      <c r="A271" s="1"/>
      <c r="B271" s="1"/>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row>
    <row r="272" spans="1:63" x14ac:dyDescent="0.25">
      <c r="A272" s="1"/>
      <c r="B272" s="1"/>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row>
    <row r="273" spans="1:63" x14ac:dyDescent="0.25">
      <c r="A273" s="1"/>
      <c r="B273" s="1"/>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row>
    <row r="274" spans="1:63" x14ac:dyDescent="0.25">
      <c r="A274" s="1"/>
      <c r="B274" s="1"/>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row>
    <row r="275" spans="1:63" x14ac:dyDescent="0.25">
      <c r="A275" s="1"/>
      <c r="B275" s="1"/>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row>
    <row r="276" spans="1:63" x14ac:dyDescent="0.25">
      <c r="A276" s="1"/>
      <c r="B276" s="1"/>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row>
    <row r="277" spans="1:63" x14ac:dyDescent="0.25">
      <c r="A277" s="1"/>
      <c r="B277" s="1"/>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row>
    <row r="278" spans="1:63" x14ac:dyDescent="0.25">
      <c r="A278" s="1"/>
      <c r="B278" s="1"/>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row>
    <row r="279" spans="1:63" x14ac:dyDescent="0.25">
      <c r="A279" s="1"/>
      <c r="B279" s="1"/>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row>
    <row r="280" spans="1:63" x14ac:dyDescent="0.25">
      <c r="A280" s="1"/>
      <c r="B280" s="1"/>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row>
    <row r="281" spans="1:63" x14ac:dyDescent="0.25">
      <c r="A281" s="1"/>
      <c r="B281" s="1"/>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row>
    <row r="282" spans="1:63" x14ac:dyDescent="0.25">
      <c r="A282" s="1"/>
      <c r="B282" s="1"/>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row>
    <row r="283" spans="1:63" x14ac:dyDescent="0.25">
      <c r="A283" s="1"/>
      <c r="B283" s="1"/>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row>
    <row r="284" spans="1:63" x14ac:dyDescent="0.25">
      <c r="A284" s="1"/>
      <c r="B284" s="1"/>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row>
    <row r="285" spans="1:63" x14ac:dyDescent="0.25">
      <c r="A285" s="1"/>
      <c r="B285" s="1"/>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row>
    <row r="286" spans="1:63" x14ac:dyDescent="0.25">
      <c r="A286" s="1"/>
      <c r="B286" s="1"/>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row>
    <row r="287" spans="1:63" x14ac:dyDescent="0.25">
      <c r="A287" s="1"/>
      <c r="B287" s="1"/>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row>
    <row r="288" spans="1:63" x14ac:dyDescent="0.25">
      <c r="A288" s="1"/>
      <c r="B288" s="1"/>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row>
    <row r="289" spans="1:63" x14ac:dyDescent="0.25">
      <c r="A289" s="1"/>
      <c r="B289" s="1"/>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row>
    <row r="290" spans="1:63" x14ac:dyDescent="0.25">
      <c r="A290" s="1"/>
      <c r="B290" s="1"/>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row>
    <row r="291" spans="1:63" x14ac:dyDescent="0.25">
      <c r="A291" s="1"/>
      <c r="B291" s="1"/>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row>
    <row r="292" spans="1:63" x14ac:dyDescent="0.25">
      <c r="A292" s="1"/>
      <c r="B292" s="1"/>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row>
    <row r="293" spans="1:63" x14ac:dyDescent="0.25">
      <c r="A293" s="1"/>
      <c r="B293" s="1"/>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row>
    <row r="294" spans="1:63" x14ac:dyDescent="0.25">
      <c r="A294" s="1"/>
      <c r="B294" s="1"/>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row>
    <row r="295" spans="1:63" x14ac:dyDescent="0.25">
      <c r="A295" s="1"/>
      <c r="B295" s="1"/>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row>
    <row r="296" spans="1:63" x14ac:dyDescent="0.25">
      <c r="A296" s="1"/>
      <c r="B296" s="1"/>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row>
    <row r="297" spans="1:63" x14ac:dyDescent="0.25">
      <c r="A297" s="1"/>
      <c r="B297" s="1"/>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row>
    <row r="298" spans="1:63" x14ac:dyDescent="0.25">
      <c r="A298" s="1"/>
      <c r="B298" s="1"/>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row>
    <row r="299" spans="1:63" x14ac:dyDescent="0.25">
      <c r="A299" s="1"/>
      <c r="B299" s="1"/>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row>
    <row r="300" spans="1:63" x14ac:dyDescent="0.25">
      <c r="A300" s="1"/>
      <c r="B300" s="1"/>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row>
    <row r="301" spans="1:63" x14ac:dyDescent="0.25">
      <c r="A301" s="1"/>
      <c r="B301" s="1"/>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row>
    <row r="302" spans="1:63" x14ac:dyDescent="0.25">
      <c r="A302" s="1"/>
      <c r="B302" s="1"/>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row>
    <row r="303" spans="1:63" x14ac:dyDescent="0.25">
      <c r="A303" s="1"/>
      <c r="B303" s="1"/>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row>
    <row r="304" spans="1:63" x14ac:dyDescent="0.25">
      <c r="A304" s="1"/>
      <c r="B304" s="1"/>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row>
    <row r="305" spans="1:63" x14ac:dyDescent="0.25">
      <c r="A305" s="1"/>
      <c r="B305" s="1"/>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row>
    <row r="306" spans="1:63" x14ac:dyDescent="0.25">
      <c r="A306" s="1"/>
      <c r="B306" s="1"/>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row>
    <row r="307" spans="1:63" x14ac:dyDescent="0.25">
      <c r="A307" s="1"/>
      <c r="B307" s="1"/>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row>
    <row r="308" spans="1:63" x14ac:dyDescent="0.25">
      <c r="A308" s="1"/>
      <c r="B308" s="1"/>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row>
    <row r="309" spans="1:63" x14ac:dyDescent="0.25">
      <c r="A309" s="1"/>
      <c r="B309" s="1"/>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row>
    <row r="310" spans="1:63" x14ac:dyDescent="0.25">
      <c r="A310" s="1"/>
      <c r="B310" s="1"/>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row>
    <row r="311" spans="1:63" x14ac:dyDescent="0.25">
      <c r="A311" s="1"/>
      <c r="B311" s="1"/>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row>
    <row r="312" spans="1:63" x14ac:dyDescent="0.25">
      <c r="A312" s="1"/>
      <c r="B312" s="1"/>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row>
    <row r="313" spans="1:63" x14ac:dyDescent="0.25">
      <c r="A313" s="1"/>
      <c r="B313" s="1"/>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row>
    <row r="314" spans="1:63" x14ac:dyDescent="0.25">
      <c r="A314" s="1"/>
      <c r="B314" s="1"/>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row>
    <row r="315" spans="1:63" x14ac:dyDescent="0.25">
      <c r="A315" s="1"/>
      <c r="B315" s="1"/>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row>
    <row r="316" spans="1:63" x14ac:dyDescent="0.25">
      <c r="A316" s="1"/>
      <c r="B316" s="1"/>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row>
    <row r="317" spans="1:63" x14ac:dyDescent="0.25">
      <c r="A317" s="1"/>
      <c r="B317" s="1"/>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row>
    <row r="318" spans="1:63" x14ac:dyDescent="0.25">
      <c r="A318" s="1"/>
      <c r="B318" s="1"/>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row>
    <row r="319" spans="1:63" x14ac:dyDescent="0.25">
      <c r="A319" s="1"/>
      <c r="B319" s="1"/>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row>
    <row r="320" spans="1:63" x14ac:dyDescent="0.25">
      <c r="A320" s="1"/>
      <c r="B320" s="1"/>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row>
    <row r="321" spans="1:63" x14ac:dyDescent="0.25">
      <c r="A321" s="1"/>
      <c r="B321" s="1"/>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row>
    <row r="322" spans="1:63" x14ac:dyDescent="0.25">
      <c r="A322" s="1"/>
      <c r="B322" s="1"/>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row>
    <row r="323" spans="1:63" x14ac:dyDescent="0.25">
      <c r="A323" s="1"/>
      <c r="B323" s="1"/>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row>
    <row r="324" spans="1:63" x14ac:dyDescent="0.25">
      <c r="A324" s="1"/>
      <c r="B324" s="1"/>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row>
    <row r="325" spans="1:63" x14ac:dyDescent="0.25">
      <c r="A325" s="1"/>
      <c r="B325" s="1"/>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row>
    <row r="326" spans="1:63" x14ac:dyDescent="0.25">
      <c r="A326" s="1"/>
      <c r="B326" s="1"/>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row>
    <row r="327" spans="1:63" x14ac:dyDescent="0.25">
      <c r="A327" s="1"/>
      <c r="B327" s="1"/>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row>
    <row r="328" spans="1:63" x14ac:dyDescent="0.25">
      <c r="A328" s="1"/>
      <c r="B328" s="1"/>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row>
    <row r="329" spans="1:63" x14ac:dyDescent="0.25">
      <c r="A329" s="1"/>
      <c r="B329" s="1"/>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row>
    <row r="330" spans="1:63" x14ac:dyDescent="0.25">
      <c r="A330" s="1"/>
      <c r="B330" s="1"/>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row>
    <row r="331" spans="1:63" x14ac:dyDescent="0.25">
      <c r="A331" s="1"/>
      <c r="B331" s="1"/>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row>
    <row r="332" spans="1:63" x14ac:dyDescent="0.25">
      <c r="A332" s="1"/>
      <c r="B332" s="1"/>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row>
    <row r="333" spans="1:63" x14ac:dyDescent="0.25">
      <c r="A333" s="1"/>
      <c r="B333" s="1"/>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row>
    <row r="334" spans="1:63" x14ac:dyDescent="0.25">
      <c r="A334" s="1"/>
      <c r="B334" s="1"/>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row>
    <row r="335" spans="1:63" x14ac:dyDescent="0.25">
      <c r="A335" s="1"/>
      <c r="B335" s="1"/>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row>
    <row r="336" spans="1:63" x14ac:dyDescent="0.25">
      <c r="A336" s="1"/>
      <c r="B336" s="1"/>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row>
    <row r="337" spans="1:63" x14ac:dyDescent="0.25">
      <c r="A337" s="1"/>
      <c r="B337" s="1"/>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row>
    <row r="338" spans="1:63" x14ac:dyDescent="0.25">
      <c r="A338" s="1"/>
      <c r="B338" s="1"/>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row>
    <row r="339" spans="1:63" x14ac:dyDescent="0.25">
      <c r="A339" s="1"/>
      <c r="B339" s="1"/>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row>
    <row r="340" spans="1:63" x14ac:dyDescent="0.25">
      <c r="A340" s="1"/>
      <c r="B340" s="1"/>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row>
    <row r="341" spans="1:63" x14ac:dyDescent="0.25">
      <c r="A341" s="1"/>
      <c r="B341" s="1"/>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row>
    <row r="342" spans="1:63" x14ac:dyDescent="0.25">
      <c r="A342" s="1"/>
      <c r="B342" s="1"/>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row>
    <row r="343" spans="1:63" x14ac:dyDescent="0.25">
      <c r="A343" s="1"/>
      <c r="B343" s="1"/>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row>
    <row r="344" spans="1:63" x14ac:dyDescent="0.25">
      <c r="A344" s="1"/>
      <c r="B344" s="1"/>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row>
    <row r="345" spans="1:63" x14ac:dyDescent="0.25">
      <c r="A345" s="1"/>
      <c r="B345" s="1"/>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row>
    <row r="346" spans="1:63" x14ac:dyDescent="0.25">
      <c r="A346" s="1"/>
      <c r="B346" s="1"/>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row>
    <row r="347" spans="1:63" x14ac:dyDescent="0.25">
      <c r="A347" s="1"/>
      <c r="B347" s="1"/>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row>
    <row r="348" spans="1:63" x14ac:dyDescent="0.25">
      <c r="A348" s="1"/>
      <c r="B348" s="1"/>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row>
    <row r="349" spans="1:63" x14ac:dyDescent="0.25">
      <c r="A349" s="1"/>
      <c r="B349" s="1"/>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row>
    <row r="350" spans="1:63" x14ac:dyDescent="0.25">
      <c r="A350" s="1"/>
      <c r="B350" s="1"/>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row>
    <row r="351" spans="1:63" x14ac:dyDescent="0.25">
      <c r="A351" s="1"/>
      <c r="B351" s="1"/>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row>
    <row r="352" spans="1:63" x14ac:dyDescent="0.25">
      <c r="A352" s="1"/>
      <c r="B352" s="1"/>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row>
    <row r="353" spans="1:63" x14ac:dyDescent="0.25">
      <c r="A353" s="1"/>
      <c r="B353" s="1"/>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row>
    <row r="354" spans="1:63" x14ac:dyDescent="0.25">
      <c r="A354" s="1"/>
      <c r="B354" s="1"/>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row>
    <row r="355" spans="1:63" x14ac:dyDescent="0.25">
      <c r="A355" s="1"/>
      <c r="B355" s="1"/>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row>
    <row r="356" spans="1:63" x14ac:dyDescent="0.25">
      <c r="A356" s="1"/>
      <c r="B356" s="1"/>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row>
    <row r="357" spans="1:63" x14ac:dyDescent="0.25">
      <c r="A357" s="1"/>
      <c r="B357" s="1"/>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row>
    <row r="358" spans="1:63" x14ac:dyDescent="0.25">
      <c r="A358" s="1"/>
      <c r="B358" s="1"/>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row>
    <row r="359" spans="1:63" x14ac:dyDescent="0.25">
      <c r="A359" s="1"/>
      <c r="B359" s="1"/>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row>
    <row r="360" spans="1:63" x14ac:dyDescent="0.25">
      <c r="A360" s="1"/>
      <c r="B360" s="1"/>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row>
    <row r="361" spans="1:63" x14ac:dyDescent="0.25">
      <c r="A361" s="1"/>
      <c r="B361" s="1"/>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row>
    <row r="362" spans="1:63" x14ac:dyDescent="0.25">
      <c r="A362" s="1"/>
      <c r="B362" s="1"/>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row>
    <row r="363" spans="1:63" x14ac:dyDescent="0.25">
      <c r="A363" s="1"/>
      <c r="B363" s="1"/>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1"/>
      <c r="AI363" s="1"/>
      <c r="AJ363" s="1"/>
      <c r="AK363" s="1"/>
      <c r="AL363" s="1"/>
      <c r="AM363" s="1"/>
      <c r="AN363" s="1"/>
      <c r="AO363" s="1"/>
      <c r="AP363" s="1"/>
      <c r="AQ363" s="1"/>
      <c r="AR363" s="1"/>
      <c r="AS363" s="1"/>
      <c r="AT363" s="1"/>
      <c r="AU363" s="1"/>
      <c r="AV363" s="1"/>
      <c r="AW363" s="1"/>
      <c r="AX363" s="1"/>
      <c r="AY363" s="1"/>
      <c r="AZ363" s="1"/>
      <c r="BA363" s="1"/>
      <c r="BB363" s="1"/>
      <c r="BC363" s="1"/>
      <c r="BD363" s="1"/>
      <c r="BE363" s="1"/>
      <c r="BF363" s="1"/>
      <c r="BG363" s="1"/>
      <c r="BH363" s="1"/>
      <c r="BI363" s="1"/>
      <c r="BJ363" s="1"/>
      <c r="BK363" s="1"/>
    </row>
    <row r="364" spans="1:63" x14ac:dyDescent="0.25">
      <c r="A364" s="1"/>
      <c r="B364" s="1"/>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1"/>
      <c r="AI364" s="1"/>
      <c r="AJ364" s="1"/>
      <c r="AK364" s="1"/>
      <c r="AL364" s="1"/>
      <c r="AM364" s="1"/>
      <c r="AN364" s="1"/>
      <c r="AO364" s="1"/>
      <c r="AP364" s="1"/>
      <c r="AQ364" s="1"/>
      <c r="AR364" s="1"/>
      <c r="AS364" s="1"/>
      <c r="AT364" s="1"/>
      <c r="AU364" s="1"/>
      <c r="AV364" s="1"/>
      <c r="AW364" s="1"/>
      <c r="AX364" s="1"/>
      <c r="AY364" s="1"/>
      <c r="AZ364" s="1"/>
      <c r="BA364" s="1"/>
      <c r="BB364" s="1"/>
      <c r="BC364" s="1"/>
      <c r="BD364" s="1"/>
      <c r="BE364" s="1"/>
      <c r="BF364" s="1"/>
      <c r="BG364" s="1"/>
      <c r="BH364" s="1"/>
      <c r="BI364" s="1"/>
      <c r="BJ364" s="1"/>
      <c r="BK364" s="1"/>
    </row>
    <row r="365" spans="1:63" x14ac:dyDescent="0.25">
      <c r="A365" s="1"/>
      <c r="B365" s="1"/>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1"/>
      <c r="AI365" s="1"/>
      <c r="AJ365" s="1"/>
      <c r="AK365" s="1"/>
      <c r="AL365" s="1"/>
      <c r="AM365" s="1"/>
      <c r="AN365" s="1"/>
      <c r="AO365" s="1"/>
      <c r="AP365" s="1"/>
      <c r="AQ365" s="1"/>
      <c r="AR365" s="1"/>
      <c r="AS365" s="1"/>
      <c r="AT365" s="1"/>
      <c r="AU365" s="1"/>
      <c r="AV365" s="1"/>
      <c r="AW365" s="1"/>
      <c r="AX365" s="1"/>
      <c r="AY365" s="1"/>
      <c r="AZ365" s="1"/>
      <c r="BA365" s="1"/>
      <c r="BB365" s="1"/>
      <c r="BC365" s="1"/>
      <c r="BD365" s="1"/>
      <c r="BE365" s="1"/>
      <c r="BF365" s="1"/>
      <c r="BG365" s="1"/>
      <c r="BH365" s="1"/>
      <c r="BI365" s="1"/>
      <c r="BJ365" s="1"/>
      <c r="BK365" s="1"/>
    </row>
    <row r="366" spans="1:63" x14ac:dyDescent="0.25">
      <c r="A366" s="1"/>
      <c r="B366" s="1"/>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1"/>
      <c r="AI366" s="1"/>
      <c r="AJ366" s="1"/>
      <c r="AK366" s="1"/>
      <c r="AL366" s="1"/>
      <c r="AM366" s="1"/>
      <c r="AN366" s="1"/>
      <c r="AO366" s="1"/>
      <c r="AP366" s="1"/>
      <c r="AQ366" s="1"/>
      <c r="AR366" s="1"/>
      <c r="AS366" s="1"/>
      <c r="AT366" s="1"/>
      <c r="AU366" s="1"/>
      <c r="AV366" s="1"/>
      <c r="AW366" s="1"/>
      <c r="AX366" s="1"/>
      <c r="AY366" s="1"/>
      <c r="AZ366" s="1"/>
      <c r="BA366" s="1"/>
      <c r="BB366" s="1"/>
      <c r="BC366" s="1"/>
      <c r="BD366" s="1"/>
      <c r="BE366" s="1"/>
      <c r="BF366" s="1"/>
      <c r="BG366" s="1"/>
      <c r="BH366" s="1"/>
      <c r="BI366" s="1"/>
      <c r="BJ366" s="1"/>
      <c r="BK366" s="1"/>
    </row>
    <row r="367" spans="1:63" x14ac:dyDescent="0.25">
      <c r="A367" s="1"/>
      <c r="B367" s="1"/>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1"/>
      <c r="AI367" s="1"/>
      <c r="AJ367" s="1"/>
      <c r="AK367" s="1"/>
      <c r="AL367" s="1"/>
      <c r="AM367" s="1"/>
      <c r="AN367" s="1"/>
      <c r="AO367" s="1"/>
      <c r="AP367" s="1"/>
      <c r="AQ367" s="1"/>
      <c r="AR367" s="1"/>
      <c r="AS367" s="1"/>
      <c r="AT367" s="1"/>
      <c r="AU367" s="1"/>
      <c r="AV367" s="1"/>
      <c r="AW367" s="1"/>
      <c r="AX367" s="1"/>
      <c r="AY367" s="1"/>
      <c r="AZ367" s="1"/>
      <c r="BA367" s="1"/>
      <c r="BB367" s="1"/>
      <c r="BC367" s="1"/>
      <c r="BD367" s="1"/>
      <c r="BE367" s="1"/>
      <c r="BF367" s="1"/>
      <c r="BG367" s="1"/>
      <c r="BH367" s="1"/>
      <c r="BI367" s="1"/>
      <c r="BJ367" s="1"/>
      <c r="BK367" s="1"/>
    </row>
    <row r="368" spans="1:63" x14ac:dyDescent="0.25">
      <c r="A368" s="1"/>
      <c r="B368" s="1"/>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1"/>
      <c r="AI368" s="1"/>
      <c r="AJ368" s="1"/>
      <c r="AK368" s="1"/>
      <c r="AL368" s="1"/>
      <c r="AM368" s="1"/>
      <c r="AN368" s="1"/>
      <c r="AO368" s="1"/>
      <c r="AP368" s="1"/>
      <c r="AQ368" s="1"/>
      <c r="AR368" s="1"/>
      <c r="AS368" s="1"/>
      <c r="AT368" s="1"/>
      <c r="AU368" s="1"/>
      <c r="AV368" s="1"/>
      <c r="AW368" s="1"/>
      <c r="AX368" s="1"/>
      <c r="AY368" s="1"/>
      <c r="AZ368" s="1"/>
      <c r="BA368" s="1"/>
      <c r="BB368" s="1"/>
      <c r="BC368" s="1"/>
      <c r="BD368" s="1"/>
      <c r="BE368" s="1"/>
      <c r="BF368" s="1"/>
      <c r="BG368" s="1"/>
      <c r="BH368" s="1"/>
      <c r="BI368" s="1"/>
      <c r="BJ368" s="1"/>
      <c r="BK368" s="1"/>
    </row>
    <row r="369" spans="1:63" x14ac:dyDescent="0.25">
      <c r="A369" s="1"/>
      <c r="B369" s="1"/>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1"/>
      <c r="AI369" s="1"/>
      <c r="AJ369" s="1"/>
      <c r="AK369" s="1"/>
      <c r="AL369" s="1"/>
      <c r="AM369" s="1"/>
      <c r="AN369" s="1"/>
      <c r="AO369" s="1"/>
      <c r="AP369" s="1"/>
      <c r="AQ369" s="1"/>
      <c r="AR369" s="1"/>
      <c r="AS369" s="1"/>
      <c r="AT369" s="1"/>
      <c r="AU369" s="1"/>
      <c r="AV369" s="1"/>
      <c r="AW369" s="1"/>
      <c r="AX369" s="1"/>
      <c r="AY369" s="1"/>
      <c r="AZ369" s="1"/>
      <c r="BA369" s="1"/>
      <c r="BB369" s="1"/>
      <c r="BC369" s="1"/>
      <c r="BD369" s="1"/>
      <c r="BE369" s="1"/>
      <c r="BF369" s="1"/>
      <c r="BG369" s="1"/>
      <c r="BH369" s="1"/>
      <c r="BI369" s="1"/>
      <c r="BJ369" s="1"/>
      <c r="BK369" s="1"/>
    </row>
    <row r="370" spans="1:63" x14ac:dyDescent="0.25">
      <c r="A370" s="1"/>
      <c r="B370" s="1"/>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1"/>
      <c r="AI370" s="1"/>
      <c r="AJ370" s="1"/>
      <c r="AK370" s="1"/>
      <c r="AL370" s="1"/>
      <c r="AM370" s="1"/>
      <c r="AN370" s="1"/>
      <c r="AO370" s="1"/>
      <c r="AP370" s="1"/>
      <c r="AQ370" s="1"/>
      <c r="AR370" s="1"/>
      <c r="AS370" s="1"/>
      <c r="AT370" s="1"/>
      <c r="AU370" s="1"/>
      <c r="AV370" s="1"/>
      <c r="AW370" s="1"/>
      <c r="AX370" s="1"/>
      <c r="AY370" s="1"/>
      <c r="AZ370" s="1"/>
      <c r="BA370" s="1"/>
      <c r="BB370" s="1"/>
      <c r="BC370" s="1"/>
      <c r="BD370" s="1"/>
      <c r="BE370" s="1"/>
      <c r="BF370" s="1"/>
      <c r="BG370" s="1"/>
      <c r="BH370" s="1"/>
      <c r="BI370" s="1"/>
      <c r="BJ370" s="1"/>
      <c r="BK370" s="1"/>
    </row>
    <row r="371" spans="1:63" x14ac:dyDescent="0.25">
      <c r="A371" s="1"/>
      <c r="B371" s="1"/>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1"/>
      <c r="AI371" s="1"/>
      <c r="AJ371" s="1"/>
      <c r="AK371" s="1"/>
      <c r="AL371" s="1"/>
      <c r="AM371" s="1"/>
      <c r="AN371" s="1"/>
      <c r="AO371" s="1"/>
      <c r="AP371" s="1"/>
      <c r="AQ371" s="1"/>
      <c r="AR371" s="1"/>
      <c r="AS371" s="1"/>
      <c r="AT371" s="1"/>
      <c r="AU371" s="1"/>
      <c r="AV371" s="1"/>
      <c r="AW371" s="1"/>
      <c r="AX371" s="1"/>
      <c r="AY371" s="1"/>
      <c r="AZ371" s="1"/>
      <c r="BA371" s="1"/>
      <c r="BB371" s="1"/>
      <c r="BC371" s="1"/>
      <c r="BD371" s="1"/>
      <c r="BE371" s="1"/>
      <c r="BF371" s="1"/>
      <c r="BG371" s="1"/>
      <c r="BH371" s="1"/>
      <c r="BI371" s="1"/>
      <c r="BJ371" s="1"/>
      <c r="BK371" s="1"/>
    </row>
    <row r="372" spans="1:63" x14ac:dyDescent="0.25">
      <c r="A372" s="1"/>
      <c r="B372" s="1"/>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1"/>
      <c r="AI372" s="1"/>
      <c r="AJ372" s="1"/>
      <c r="AK372" s="1"/>
      <c r="AL372" s="1"/>
      <c r="AM372" s="1"/>
      <c r="AN372" s="1"/>
      <c r="AO372" s="1"/>
      <c r="AP372" s="1"/>
      <c r="AQ372" s="1"/>
      <c r="AR372" s="1"/>
      <c r="AS372" s="1"/>
      <c r="AT372" s="1"/>
      <c r="AU372" s="1"/>
      <c r="AV372" s="1"/>
      <c r="AW372" s="1"/>
      <c r="AX372" s="1"/>
      <c r="AY372" s="1"/>
      <c r="AZ372" s="1"/>
      <c r="BA372" s="1"/>
      <c r="BB372" s="1"/>
      <c r="BC372" s="1"/>
      <c r="BD372" s="1"/>
      <c r="BE372" s="1"/>
      <c r="BF372" s="1"/>
      <c r="BG372" s="1"/>
      <c r="BH372" s="1"/>
      <c r="BI372" s="1"/>
      <c r="BJ372" s="1"/>
      <c r="BK372" s="1"/>
    </row>
    <row r="373" spans="1:63" x14ac:dyDescent="0.25">
      <c r="A373" s="1"/>
      <c r="B373" s="1"/>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1"/>
      <c r="AI373" s="1"/>
      <c r="AJ373" s="1"/>
      <c r="AK373" s="1"/>
      <c r="AL373" s="1"/>
      <c r="AM373" s="1"/>
      <c r="AN373" s="1"/>
      <c r="AO373" s="1"/>
      <c r="AP373" s="1"/>
      <c r="AQ373" s="1"/>
      <c r="AR373" s="1"/>
      <c r="AS373" s="1"/>
      <c r="AT373" s="1"/>
      <c r="AU373" s="1"/>
      <c r="AV373" s="1"/>
      <c r="AW373" s="1"/>
      <c r="AX373" s="1"/>
      <c r="AY373" s="1"/>
      <c r="AZ373" s="1"/>
      <c r="BA373" s="1"/>
      <c r="BB373" s="1"/>
      <c r="BC373" s="1"/>
      <c r="BD373" s="1"/>
      <c r="BE373" s="1"/>
      <c r="BF373" s="1"/>
      <c r="BG373" s="1"/>
      <c r="BH373" s="1"/>
      <c r="BI373" s="1"/>
      <c r="BJ373" s="1"/>
      <c r="BK373" s="1"/>
    </row>
    <row r="374" spans="1:63" x14ac:dyDescent="0.25">
      <c r="A374" s="1"/>
      <c r="B374" s="1"/>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1"/>
      <c r="AI374" s="1"/>
      <c r="AJ374" s="1"/>
      <c r="AK374" s="1"/>
      <c r="AL374" s="1"/>
      <c r="AM374" s="1"/>
      <c r="AN374" s="1"/>
      <c r="AO374" s="1"/>
      <c r="AP374" s="1"/>
      <c r="AQ374" s="1"/>
      <c r="AR374" s="1"/>
      <c r="AS374" s="1"/>
      <c r="AT374" s="1"/>
      <c r="AU374" s="1"/>
      <c r="AV374" s="1"/>
      <c r="AW374" s="1"/>
      <c r="AX374" s="1"/>
      <c r="AY374" s="1"/>
      <c r="AZ374" s="1"/>
      <c r="BA374" s="1"/>
      <c r="BB374" s="1"/>
      <c r="BC374" s="1"/>
      <c r="BD374" s="1"/>
      <c r="BE374" s="1"/>
      <c r="BF374" s="1"/>
      <c r="BG374" s="1"/>
      <c r="BH374" s="1"/>
      <c r="BI374" s="1"/>
      <c r="BJ374" s="1"/>
      <c r="BK374" s="1"/>
    </row>
    <row r="375" spans="1:63" x14ac:dyDescent="0.25">
      <c r="A375" s="1"/>
      <c r="B375" s="1"/>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1"/>
      <c r="AI375" s="1"/>
      <c r="AJ375" s="1"/>
      <c r="AK375" s="1"/>
      <c r="AL375" s="1"/>
      <c r="AM375" s="1"/>
      <c r="AN375" s="1"/>
      <c r="AO375" s="1"/>
      <c r="AP375" s="1"/>
      <c r="AQ375" s="1"/>
      <c r="AR375" s="1"/>
      <c r="AS375" s="1"/>
      <c r="AT375" s="1"/>
      <c r="AU375" s="1"/>
      <c r="AV375" s="1"/>
      <c r="AW375" s="1"/>
      <c r="AX375" s="1"/>
      <c r="AY375" s="1"/>
      <c r="AZ375" s="1"/>
      <c r="BA375" s="1"/>
      <c r="BB375" s="1"/>
      <c r="BC375" s="1"/>
      <c r="BD375" s="1"/>
      <c r="BE375" s="1"/>
      <c r="BF375" s="1"/>
      <c r="BG375" s="1"/>
      <c r="BH375" s="1"/>
      <c r="BI375" s="1"/>
      <c r="BJ375" s="1"/>
      <c r="BK375" s="1"/>
    </row>
    <row r="376" spans="1:63" x14ac:dyDescent="0.25">
      <c r="A376" s="1"/>
      <c r="B376" s="1"/>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1"/>
      <c r="AI376" s="1"/>
      <c r="AJ376" s="1"/>
      <c r="AK376" s="1"/>
      <c r="AL376" s="1"/>
      <c r="AM376" s="1"/>
      <c r="AN376" s="1"/>
      <c r="AO376" s="1"/>
      <c r="AP376" s="1"/>
      <c r="AQ376" s="1"/>
      <c r="AR376" s="1"/>
      <c r="AS376" s="1"/>
      <c r="AT376" s="1"/>
      <c r="AU376" s="1"/>
      <c r="AV376" s="1"/>
      <c r="AW376" s="1"/>
      <c r="AX376" s="1"/>
      <c r="AY376" s="1"/>
      <c r="AZ376" s="1"/>
      <c r="BA376" s="1"/>
      <c r="BB376" s="1"/>
      <c r="BC376" s="1"/>
      <c r="BD376" s="1"/>
      <c r="BE376" s="1"/>
      <c r="BF376" s="1"/>
      <c r="BG376" s="1"/>
      <c r="BH376" s="1"/>
      <c r="BI376" s="1"/>
      <c r="BJ376" s="1"/>
      <c r="BK376" s="1"/>
    </row>
    <row r="377" spans="1:63" x14ac:dyDescent="0.25">
      <c r="A377" s="1"/>
      <c r="B377" s="1"/>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1"/>
      <c r="AI377" s="1"/>
      <c r="AJ377" s="1"/>
      <c r="AK377" s="1"/>
      <c r="AL377" s="1"/>
      <c r="AM377" s="1"/>
      <c r="AN377" s="1"/>
      <c r="AO377" s="1"/>
      <c r="AP377" s="1"/>
      <c r="AQ377" s="1"/>
      <c r="AR377" s="1"/>
      <c r="AS377" s="1"/>
      <c r="AT377" s="1"/>
      <c r="AU377" s="1"/>
      <c r="AV377" s="1"/>
      <c r="AW377" s="1"/>
      <c r="AX377" s="1"/>
      <c r="AY377" s="1"/>
      <c r="AZ377" s="1"/>
      <c r="BA377" s="1"/>
      <c r="BB377" s="1"/>
      <c r="BC377" s="1"/>
      <c r="BD377" s="1"/>
      <c r="BE377" s="1"/>
      <c r="BF377" s="1"/>
      <c r="BG377" s="1"/>
      <c r="BH377" s="1"/>
      <c r="BI377" s="1"/>
      <c r="BJ377" s="1"/>
      <c r="BK377" s="1"/>
    </row>
    <row r="378" spans="1:63" x14ac:dyDescent="0.25">
      <c r="A378" s="1"/>
      <c r="B378" s="1"/>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1"/>
      <c r="AI378" s="1"/>
      <c r="AJ378" s="1"/>
      <c r="AK378" s="1"/>
      <c r="AL378" s="1"/>
      <c r="AM378" s="1"/>
      <c r="AN378" s="1"/>
      <c r="AO378" s="1"/>
      <c r="AP378" s="1"/>
      <c r="AQ378" s="1"/>
      <c r="AR378" s="1"/>
      <c r="AS378" s="1"/>
      <c r="AT378" s="1"/>
      <c r="AU378" s="1"/>
      <c r="AV378" s="1"/>
      <c r="AW378" s="1"/>
      <c r="AX378" s="1"/>
      <c r="AY378" s="1"/>
      <c r="AZ378" s="1"/>
      <c r="BA378" s="1"/>
      <c r="BB378" s="1"/>
      <c r="BC378" s="1"/>
      <c r="BD378" s="1"/>
      <c r="BE378" s="1"/>
      <c r="BF378" s="1"/>
      <c r="BG378" s="1"/>
      <c r="BH378" s="1"/>
      <c r="BI378" s="1"/>
      <c r="BJ378" s="1"/>
      <c r="BK378" s="1"/>
    </row>
    <row r="379" spans="1:63" x14ac:dyDescent="0.25">
      <c r="A379" s="1"/>
      <c r="B379" s="1"/>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1"/>
      <c r="AI379" s="1"/>
      <c r="AJ379" s="1"/>
      <c r="AK379" s="1"/>
      <c r="AL379" s="1"/>
      <c r="AM379" s="1"/>
      <c r="AN379" s="1"/>
      <c r="AO379" s="1"/>
      <c r="AP379" s="1"/>
      <c r="AQ379" s="1"/>
      <c r="AR379" s="1"/>
      <c r="AS379" s="1"/>
      <c r="AT379" s="1"/>
      <c r="AU379" s="1"/>
      <c r="AV379" s="1"/>
      <c r="AW379" s="1"/>
      <c r="AX379" s="1"/>
      <c r="AY379" s="1"/>
      <c r="AZ379" s="1"/>
      <c r="BA379" s="1"/>
      <c r="BB379" s="1"/>
      <c r="BC379" s="1"/>
      <c r="BD379" s="1"/>
      <c r="BE379" s="1"/>
      <c r="BF379" s="1"/>
      <c r="BG379" s="1"/>
      <c r="BH379" s="1"/>
      <c r="BI379" s="1"/>
      <c r="BJ379" s="1"/>
      <c r="BK379" s="1"/>
    </row>
    <row r="380" spans="1:63" x14ac:dyDescent="0.25">
      <c r="A380" s="1"/>
      <c r="B380" s="1"/>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1"/>
      <c r="AI380" s="1"/>
      <c r="AJ380" s="1"/>
      <c r="AK380" s="1"/>
      <c r="AL380" s="1"/>
      <c r="AM380" s="1"/>
      <c r="AN380" s="1"/>
      <c r="AO380" s="1"/>
      <c r="AP380" s="1"/>
      <c r="AQ380" s="1"/>
      <c r="AR380" s="1"/>
      <c r="AS380" s="1"/>
      <c r="AT380" s="1"/>
      <c r="AU380" s="1"/>
      <c r="AV380" s="1"/>
      <c r="AW380" s="1"/>
      <c r="AX380" s="1"/>
      <c r="AY380" s="1"/>
      <c r="AZ380" s="1"/>
      <c r="BA380" s="1"/>
      <c r="BB380" s="1"/>
      <c r="BC380" s="1"/>
      <c r="BD380" s="1"/>
      <c r="BE380" s="1"/>
      <c r="BF380" s="1"/>
      <c r="BG380" s="1"/>
      <c r="BH380" s="1"/>
      <c r="BI380" s="1"/>
      <c r="BJ380" s="1"/>
      <c r="BK380" s="1"/>
    </row>
    <row r="381" spans="1:63" x14ac:dyDescent="0.25">
      <c r="A381" s="1"/>
      <c r="B381" s="1"/>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1"/>
      <c r="AI381" s="1"/>
      <c r="AJ381" s="1"/>
      <c r="AK381" s="1"/>
      <c r="AL381" s="1"/>
      <c r="AM381" s="1"/>
      <c r="AN381" s="1"/>
      <c r="AO381" s="1"/>
      <c r="AP381" s="1"/>
      <c r="AQ381" s="1"/>
      <c r="AR381" s="1"/>
      <c r="AS381" s="1"/>
      <c r="AT381" s="1"/>
      <c r="AU381" s="1"/>
      <c r="AV381" s="1"/>
      <c r="AW381" s="1"/>
      <c r="AX381" s="1"/>
      <c r="AY381" s="1"/>
      <c r="AZ381" s="1"/>
      <c r="BA381" s="1"/>
      <c r="BB381" s="1"/>
      <c r="BC381" s="1"/>
      <c r="BD381" s="1"/>
      <c r="BE381" s="1"/>
      <c r="BF381" s="1"/>
      <c r="BG381" s="1"/>
      <c r="BH381" s="1"/>
      <c r="BI381" s="1"/>
      <c r="BJ381" s="1"/>
      <c r="BK381" s="1"/>
    </row>
    <row r="382" spans="1:63" x14ac:dyDescent="0.25">
      <c r="A382" s="1"/>
      <c r="B382" s="1"/>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1"/>
      <c r="AI382" s="1"/>
      <c r="AJ382" s="1"/>
      <c r="AK382" s="1"/>
      <c r="AL382" s="1"/>
      <c r="AM382" s="1"/>
      <c r="AN382" s="1"/>
      <c r="AO382" s="1"/>
      <c r="AP382" s="1"/>
      <c r="AQ382" s="1"/>
      <c r="AR382" s="1"/>
      <c r="AS382" s="1"/>
      <c r="AT382" s="1"/>
      <c r="AU382" s="1"/>
      <c r="AV382" s="1"/>
      <c r="AW382" s="1"/>
      <c r="AX382" s="1"/>
      <c r="AY382" s="1"/>
      <c r="AZ382" s="1"/>
      <c r="BA382" s="1"/>
      <c r="BB382" s="1"/>
      <c r="BC382" s="1"/>
      <c r="BD382" s="1"/>
      <c r="BE382" s="1"/>
      <c r="BF382" s="1"/>
      <c r="BG382" s="1"/>
      <c r="BH382" s="1"/>
      <c r="BI382" s="1"/>
      <c r="BJ382" s="1"/>
      <c r="BK382" s="1"/>
    </row>
    <row r="383" spans="1:63" x14ac:dyDescent="0.25">
      <c r="A383" s="1"/>
      <c r="B383" s="1"/>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1"/>
      <c r="AI383" s="1"/>
      <c r="AJ383" s="1"/>
      <c r="AK383" s="1"/>
      <c r="AL383" s="1"/>
      <c r="AM383" s="1"/>
      <c r="AN383" s="1"/>
      <c r="AO383" s="1"/>
      <c r="AP383" s="1"/>
      <c r="AQ383" s="1"/>
      <c r="AR383" s="1"/>
      <c r="AS383" s="1"/>
      <c r="AT383" s="1"/>
      <c r="AU383" s="1"/>
      <c r="AV383" s="1"/>
      <c r="AW383" s="1"/>
      <c r="AX383" s="1"/>
      <c r="AY383" s="1"/>
      <c r="AZ383" s="1"/>
      <c r="BA383" s="1"/>
      <c r="BB383" s="1"/>
      <c r="BC383" s="1"/>
      <c r="BD383" s="1"/>
      <c r="BE383" s="1"/>
      <c r="BF383" s="1"/>
      <c r="BG383" s="1"/>
      <c r="BH383" s="1"/>
      <c r="BI383" s="1"/>
      <c r="BJ383" s="1"/>
      <c r="BK383" s="1"/>
    </row>
    <row r="384" spans="1:63" x14ac:dyDescent="0.25">
      <c r="A384" s="1"/>
      <c r="B384" s="1"/>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1"/>
      <c r="AI384" s="1"/>
      <c r="AJ384" s="1"/>
      <c r="AK384" s="1"/>
      <c r="AL384" s="1"/>
      <c r="AM384" s="1"/>
      <c r="AN384" s="1"/>
      <c r="AO384" s="1"/>
      <c r="AP384" s="1"/>
      <c r="AQ384" s="1"/>
      <c r="AR384" s="1"/>
      <c r="AS384" s="1"/>
      <c r="AT384" s="1"/>
      <c r="AU384" s="1"/>
      <c r="AV384" s="1"/>
      <c r="AW384" s="1"/>
      <c r="AX384" s="1"/>
      <c r="AY384" s="1"/>
      <c r="AZ384" s="1"/>
      <c r="BA384" s="1"/>
      <c r="BB384" s="1"/>
      <c r="BC384" s="1"/>
      <c r="BD384" s="1"/>
      <c r="BE384" s="1"/>
      <c r="BF384" s="1"/>
      <c r="BG384" s="1"/>
      <c r="BH384" s="1"/>
      <c r="BI384" s="1"/>
      <c r="BJ384" s="1"/>
      <c r="BK384" s="1"/>
    </row>
    <row r="385" spans="1:63" x14ac:dyDescent="0.25">
      <c r="A385" s="1"/>
      <c r="B385" s="1"/>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1"/>
      <c r="AI385" s="1"/>
      <c r="AJ385" s="1"/>
      <c r="AK385" s="1"/>
      <c r="AL385" s="1"/>
      <c r="AM385" s="1"/>
      <c r="AN385" s="1"/>
      <c r="AO385" s="1"/>
      <c r="AP385" s="1"/>
      <c r="AQ385" s="1"/>
      <c r="AR385" s="1"/>
      <c r="AS385" s="1"/>
      <c r="AT385" s="1"/>
      <c r="AU385" s="1"/>
      <c r="AV385" s="1"/>
      <c r="AW385" s="1"/>
      <c r="AX385" s="1"/>
      <c r="AY385" s="1"/>
      <c r="AZ385" s="1"/>
      <c r="BA385" s="1"/>
      <c r="BB385" s="1"/>
      <c r="BC385" s="1"/>
      <c r="BD385" s="1"/>
      <c r="BE385" s="1"/>
      <c r="BF385" s="1"/>
      <c r="BG385" s="1"/>
      <c r="BH385" s="1"/>
      <c r="BI385" s="1"/>
      <c r="BJ385" s="1"/>
      <c r="BK385" s="1"/>
    </row>
    <row r="386" spans="1:63" x14ac:dyDescent="0.25">
      <c r="A386" s="1"/>
      <c r="B386" s="1"/>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1"/>
      <c r="AI386" s="1"/>
      <c r="AJ386" s="1"/>
      <c r="AK386" s="1"/>
      <c r="AL386" s="1"/>
      <c r="AM386" s="1"/>
      <c r="AN386" s="1"/>
      <c r="AO386" s="1"/>
      <c r="AP386" s="1"/>
      <c r="AQ386" s="1"/>
      <c r="AR386" s="1"/>
      <c r="AS386" s="1"/>
      <c r="AT386" s="1"/>
      <c r="AU386" s="1"/>
      <c r="AV386" s="1"/>
      <c r="AW386" s="1"/>
      <c r="AX386" s="1"/>
      <c r="AY386" s="1"/>
      <c r="AZ386" s="1"/>
      <c r="BA386" s="1"/>
      <c r="BB386" s="1"/>
      <c r="BC386" s="1"/>
      <c r="BD386" s="1"/>
      <c r="BE386" s="1"/>
      <c r="BF386" s="1"/>
      <c r="BG386" s="1"/>
      <c r="BH386" s="1"/>
      <c r="BI386" s="1"/>
      <c r="BJ386" s="1"/>
      <c r="BK386" s="1"/>
    </row>
    <row r="387" spans="1:63" x14ac:dyDescent="0.25">
      <c r="A387" s="1"/>
      <c r="B387" s="1"/>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1"/>
      <c r="AI387" s="1"/>
      <c r="AJ387" s="1"/>
      <c r="AK387" s="1"/>
      <c r="AL387" s="1"/>
      <c r="AM387" s="1"/>
      <c r="AN387" s="1"/>
      <c r="AO387" s="1"/>
      <c r="AP387" s="1"/>
      <c r="AQ387" s="1"/>
      <c r="AR387" s="1"/>
      <c r="AS387" s="1"/>
      <c r="AT387" s="1"/>
      <c r="AU387" s="1"/>
      <c r="AV387" s="1"/>
      <c r="AW387" s="1"/>
      <c r="AX387" s="1"/>
      <c r="AY387" s="1"/>
      <c r="AZ387" s="1"/>
      <c r="BA387" s="1"/>
      <c r="BB387" s="1"/>
      <c r="BC387" s="1"/>
      <c r="BD387" s="1"/>
      <c r="BE387" s="1"/>
      <c r="BF387" s="1"/>
      <c r="BG387" s="1"/>
      <c r="BH387" s="1"/>
      <c r="BI387" s="1"/>
      <c r="BJ387" s="1"/>
      <c r="BK387" s="1"/>
    </row>
    <row r="388" spans="1:63" x14ac:dyDescent="0.25">
      <c r="A388" s="1"/>
      <c r="B388" s="1"/>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1"/>
      <c r="AI388" s="1"/>
      <c r="AJ388" s="1"/>
      <c r="AK388" s="1"/>
      <c r="AL388" s="1"/>
      <c r="AM388" s="1"/>
      <c r="AN388" s="1"/>
      <c r="AO388" s="1"/>
      <c r="AP388" s="1"/>
      <c r="AQ388" s="1"/>
      <c r="AR388" s="1"/>
      <c r="AS388" s="1"/>
      <c r="AT388" s="1"/>
      <c r="AU388" s="1"/>
      <c r="AV388" s="1"/>
      <c r="AW388" s="1"/>
      <c r="AX388" s="1"/>
      <c r="AY388" s="1"/>
      <c r="AZ388" s="1"/>
      <c r="BA388" s="1"/>
      <c r="BB388" s="1"/>
      <c r="BC388" s="1"/>
      <c r="BD388" s="1"/>
      <c r="BE388" s="1"/>
      <c r="BF388" s="1"/>
      <c r="BG388" s="1"/>
      <c r="BH388" s="1"/>
      <c r="BI388" s="1"/>
      <c r="BJ388" s="1"/>
      <c r="BK388" s="1"/>
    </row>
    <row r="389" spans="1:63" x14ac:dyDescent="0.25">
      <c r="A389" s="1"/>
      <c r="B389" s="1"/>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1"/>
      <c r="AI389" s="1"/>
      <c r="AJ389" s="1"/>
      <c r="AK389" s="1"/>
      <c r="AL389" s="1"/>
      <c r="AM389" s="1"/>
      <c r="AN389" s="1"/>
      <c r="AO389" s="1"/>
      <c r="AP389" s="1"/>
      <c r="AQ389" s="1"/>
      <c r="AR389" s="1"/>
      <c r="AS389" s="1"/>
      <c r="AT389" s="1"/>
      <c r="AU389" s="1"/>
      <c r="AV389" s="1"/>
      <c r="AW389" s="1"/>
      <c r="AX389" s="1"/>
      <c r="AY389" s="1"/>
      <c r="AZ389" s="1"/>
      <c r="BA389" s="1"/>
      <c r="BB389" s="1"/>
      <c r="BC389" s="1"/>
      <c r="BD389" s="1"/>
      <c r="BE389" s="1"/>
      <c r="BF389" s="1"/>
      <c r="BG389" s="1"/>
      <c r="BH389" s="1"/>
      <c r="BI389" s="1"/>
      <c r="BJ389" s="1"/>
      <c r="BK389" s="1"/>
    </row>
    <row r="390" spans="1:63" x14ac:dyDescent="0.25">
      <c r="A390" s="1"/>
      <c r="B390" s="1"/>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1"/>
      <c r="AI390" s="1"/>
      <c r="AJ390" s="1"/>
      <c r="AK390" s="1"/>
      <c r="AL390" s="1"/>
      <c r="AM390" s="1"/>
      <c r="AN390" s="1"/>
      <c r="AO390" s="1"/>
      <c r="AP390" s="1"/>
      <c r="AQ390" s="1"/>
      <c r="AR390" s="1"/>
      <c r="AS390" s="1"/>
      <c r="AT390" s="1"/>
      <c r="AU390" s="1"/>
      <c r="AV390" s="1"/>
      <c r="AW390" s="1"/>
      <c r="AX390" s="1"/>
      <c r="AY390" s="1"/>
      <c r="AZ390" s="1"/>
      <c r="BA390" s="1"/>
      <c r="BB390" s="1"/>
      <c r="BC390" s="1"/>
      <c r="BD390" s="1"/>
      <c r="BE390" s="1"/>
      <c r="BF390" s="1"/>
      <c r="BG390" s="1"/>
      <c r="BH390" s="1"/>
      <c r="BI390" s="1"/>
      <c r="BJ390" s="1"/>
      <c r="BK390" s="1"/>
    </row>
  </sheetData>
  <conditionalFormatting sqref="O112:P116 AD118 B11:S11 D24:S24 D23:N23 D25:N25 D37:S39 D36:N36 D53:S53 D52:N52 D54:N55 D61:S61 D60:N60 D63:S63 D62:N62 D65:S66 D64:N64 AD8:AD9 D75:S75 D74:N74 D76:N76 D84:S84 D83:N83 D97:N97 B106:S106 D86:S88 D85:N85 D96:S96 D95:N95 D98:S105 C112:N112 C115:N118 U112:AE113 T114:AE116 O117:AE117 AE12:AE107 C113:S114 O110:S111 I119:AD120 D11:S22 D26:S35 B40:S40 D41:S51 D56:S59 B67:S67 D68:S73 B89:S89 D90:S94 S101:T101 D77:S82">
    <cfRule type="cellIs" dxfId="147" priority="92" operator="equal">
      <formula>0</formula>
    </cfRule>
  </conditionalFormatting>
  <conditionalFormatting sqref="T107:AC107">
    <cfRule type="cellIs" dxfId="146" priority="70" operator="equal">
      <formula>0</formula>
    </cfRule>
  </conditionalFormatting>
  <conditionalFormatting sqref="AD107">
    <cfRule type="cellIs" dxfId="145" priority="63" operator="equal">
      <formula>0</formula>
    </cfRule>
  </conditionalFormatting>
  <conditionalFormatting sqref="C119:H120">
    <cfRule type="cellIs" dxfId="144" priority="62" operator="equal">
      <formula>0</formula>
    </cfRule>
  </conditionalFormatting>
  <conditionalFormatting sqref="I107:S107">
    <cfRule type="cellIs" dxfId="143" priority="56" operator="equal">
      <formula>0</formula>
    </cfRule>
  </conditionalFormatting>
  <conditionalFormatting sqref="C107:H107">
    <cfRule type="cellIs" dxfId="142" priority="55" operator="equal">
      <formula>0</formula>
    </cfRule>
  </conditionalFormatting>
  <conditionalFormatting sqref="Q112:S116">
    <cfRule type="cellIs" dxfId="141" priority="47" operator="equal">
      <formula>0</formula>
    </cfRule>
  </conditionalFormatting>
  <conditionalFormatting sqref="O109:S109">
    <cfRule type="cellIs" dxfId="140" priority="44" operator="equal">
      <formula>0</formula>
    </cfRule>
  </conditionalFormatting>
  <conditionalFormatting sqref="O109:S109">
    <cfRule type="cellIs" dxfId="139" priority="43" operator="equal">
      <formula>0</formula>
    </cfRule>
  </conditionalFormatting>
  <conditionalFormatting sqref="T109:AC109">
    <cfRule type="cellIs" dxfId="138" priority="41" operator="equal">
      <formula>0</formula>
    </cfRule>
  </conditionalFormatting>
  <conditionalFormatting sqref="O118:S118">
    <cfRule type="cellIs" dxfId="137" priority="40" operator="equal">
      <formula>0</formula>
    </cfRule>
  </conditionalFormatting>
  <conditionalFormatting sqref="O118:S118">
    <cfRule type="cellIs" dxfId="136" priority="39" operator="equal">
      <formula>0</formula>
    </cfRule>
  </conditionalFormatting>
  <conditionalFormatting sqref="T118:AC118">
    <cfRule type="cellIs" dxfId="135" priority="38" operator="equal">
      <formula>0</formula>
    </cfRule>
  </conditionalFormatting>
  <conditionalFormatting sqref="AD22:AD25">
    <cfRule type="cellIs" dxfId="134" priority="35" operator="equal">
      <formula>0</formula>
    </cfRule>
  </conditionalFormatting>
  <conditionalFormatting sqref="AD35:AD39">
    <cfRule type="cellIs" dxfId="133" priority="34" operator="equal">
      <formula>0</formula>
    </cfRule>
  </conditionalFormatting>
  <conditionalFormatting sqref="AD51">
    <cfRule type="cellIs" dxfId="132" priority="33" operator="equal">
      <formula>0</formula>
    </cfRule>
  </conditionalFormatting>
  <conditionalFormatting sqref="AD53:AD55">
    <cfRule type="cellIs" dxfId="131" priority="32" operator="equal">
      <formula>0</formula>
    </cfRule>
  </conditionalFormatting>
  <conditionalFormatting sqref="AD59">
    <cfRule type="cellIs" dxfId="130" priority="31" operator="equal">
      <formula>0</formula>
    </cfRule>
  </conditionalFormatting>
  <conditionalFormatting sqref="AD61:AD62">
    <cfRule type="cellIs" dxfId="129" priority="30" operator="equal">
      <formula>0</formula>
    </cfRule>
  </conditionalFormatting>
  <conditionalFormatting sqref="AD63:AD64">
    <cfRule type="cellIs" dxfId="128" priority="29" operator="equal">
      <formula>0</formula>
    </cfRule>
  </conditionalFormatting>
  <conditionalFormatting sqref="AD65">
    <cfRule type="cellIs" dxfId="127" priority="28" operator="equal">
      <formula>0</formula>
    </cfRule>
  </conditionalFormatting>
  <conditionalFormatting sqref="AD85">
    <cfRule type="cellIs" dxfId="126" priority="24" operator="equal">
      <formula>0</formula>
    </cfRule>
  </conditionalFormatting>
  <conditionalFormatting sqref="AD94 AD96">
    <cfRule type="cellIs" dxfId="125" priority="23" operator="equal">
      <formula>0</formula>
    </cfRule>
  </conditionalFormatting>
  <conditionalFormatting sqref="AD101:AD102">
    <cfRule type="cellIs" dxfId="124" priority="22" operator="equal">
      <formula>0</formula>
    </cfRule>
  </conditionalFormatting>
  <conditionalFormatting sqref="B66">
    <cfRule type="cellIs" dxfId="123" priority="21" operator="equal">
      <formula>0</formula>
    </cfRule>
  </conditionalFormatting>
  <conditionalFormatting sqref="O8:S8">
    <cfRule type="cellIs" dxfId="122" priority="20" operator="equal">
      <formula>0</formula>
    </cfRule>
  </conditionalFormatting>
  <conditionalFormatting sqref="B8">
    <cfRule type="cellIs" dxfId="121" priority="19" operator="equal">
      <formula>0</formula>
    </cfRule>
  </conditionalFormatting>
  <conditionalFormatting sqref="B118">
    <cfRule type="cellIs" dxfId="120" priority="18" operator="equal">
      <formula>0</formula>
    </cfRule>
  </conditionalFormatting>
  <conditionalFormatting sqref="AD34">
    <cfRule type="cellIs" dxfId="119" priority="16" operator="equal">
      <formula>0</formula>
    </cfRule>
  </conditionalFormatting>
  <conditionalFormatting sqref="T113:AC113">
    <cfRule type="cellIs" dxfId="118" priority="14" operator="equal">
      <formula>0</formula>
    </cfRule>
  </conditionalFormatting>
  <conditionalFormatting sqref="T112:T113">
    <cfRule type="cellIs" dxfId="117" priority="10" operator="equal">
      <formula>0</formula>
    </cfRule>
  </conditionalFormatting>
  <conditionalFormatting sqref="R121:S121">
    <cfRule type="cellIs" dxfId="116" priority="9" operator="equal">
      <formula>0</formula>
    </cfRule>
  </conditionalFormatting>
  <conditionalFormatting sqref="T114:AC114">
    <cfRule type="cellIs" dxfId="115" priority="8" operator="equal">
      <formula>0</formula>
    </cfRule>
  </conditionalFormatting>
  <conditionalFormatting sqref="O117:AC117">
    <cfRule type="cellIs" dxfId="114" priority="7" operator="equal">
      <formula>0</formula>
    </cfRule>
  </conditionalFormatting>
  <conditionalFormatting sqref="AD73">
    <cfRule type="cellIs" dxfId="113" priority="6" operator="equal">
      <formula>0</formula>
    </cfRule>
  </conditionalFormatting>
  <conditionalFormatting sqref="AD75:AD77">
    <cfRule type="cellIs" dxfId="112" priority="5" operator="equal">
      <formula>0</formula>
    </cfRule>
  </conditionalFormatting>
  <conditionalFormatting sqref="AD82">
    <cfRule type="cellIs" dxfId="111" priority="4" operator="equal">
      <formula>0</formula>
    </cfRule>
  </conditionalFormatting>
  <conditionalFormatting sqref="AD84">
    <cfRule type="cellIs" dxfId="110" priority="2" operator="equal">
      <formula>0</formula>
    </cfRule>
  </conditionalFormatting>
  <pageMargins left="0.511811024" right="0.511811024" top="0.78740157499999996" bottom="0.78740157499999996" header="0.31496062000000002" footer="0.31496062000000002"/>
  <pageSetup orientation="portrait" r:id="rId1"/>
  <ignoredErrors>
    <ignoredError sqref="AC23 U48:AC48 AC52 V53:AC53 U74 AC62 V61:AC61 V63:AC63 V75:AC75 V47:AC47 V49:AC49 U40 AC74" formula="1"/>
  </ignoredErrors>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BDE874-CD6C-41DC-8648-28D0E93DD56F}">
  <sheetPr codeName="Planilha7"/>
  <dimension ref="A1:AZ305"/>
  <sheetViews>
    <sheetView zoomScale="70" zoomScaleNormal="70" workbookViewId="0">
      <selection activeCell="T40" sqref="A40:T42"/>
    </sheetView>
  </sheetViews>
  <sheetFormatPr defaultColWidth="12.5703125" defaultRowHeight="15" x14ac:dyDescent="0.25"/>
  <cols>
    <col min="1" max="1" width="12.5703125" style="3"/>
    <col min="2" max="2" width="57.5703125" style="3" customWidth="1"/>
    <col min="3" max="8" width="14.5703125" style="3" customWidth="1"/>
    <col min="9" max="17" width="14.5703125" style="8" customWidth="1"/>
    <col min="18" max="22" width="12.5703125" style="8"/>
    <col min="23" max="16384" width="12.5703125" style="3"/>
  </cols>
  <sheetData>
    <row r="1" spans="1:52" ht="18" customHeight="1" x14ac:dyDescent="0.25">
      <c r="A1" s="1"/>
      <c r="B1" s="1"/>
      <c r="C1" s="1"/>
      <c r="D1" s="1"/>
      <c r="E1" s="1"/>
      <c r="F1" s="1"/>
      <c r="G1" s="1"/>
      <c r="H1" s="1"/>
      <c r="I1" s="2"/>
      <c r="J1" s="2"/>
      <c r="K1" s="2"/>
      <c r="L1" s="2"/>
      <c r="M1" s="2"/>
      <c r="N1" s="2"/>
      <c r="O1" s="2"/>
      <c r="P1" s="2"/>
      <c r="Q1" s="2"/>
      <c r="R1" s="2"/>
      <c r="S1" s="2"/>
      <c r="T1" s="2"/>
      <c r="U1" s="2"/>
      <c r="V1" s="2"/>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row>
    <row r="2" spans="1:52" ht="18" customHeight="1" x14ac:dyDescent="0.25">
      <c r="A2" s="1"/>
      <c r="B2" s="1"/>
      <c r="C2" s="1"/>
      <c r="D2" s="1"/>
      <c r="E2" s="1"/>
      <c r="F2" s="1"/>
      <c r="G2" s="1"/>
      <c r="H2" s="1"/>
      <c r="I2" s="2"/>
      <c r="J2" s="2"/>
      <c r="K2" s="2"/>
      <c r="L2" s="2"/>
      <c r="M2" s="2"/>
      <c r="N2" s="2"/>
      <c r="O2" s="2"/>
      <c r="P2" s="2"/>
      <c r="Q2" s="2"/>
      <c r="R2" s="2"/>
      <c r="S2" s="2"/>
      <c r="T2" s="2"/>
      <c r="U2" s="2"/>
      <c r="V2" s="2"/>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row>
    <row r="3" spans="1:52" ht="18" customHeight="1" x14ac:dyDescent="0.25">
      <c r="A3" s="1"/>
      <c r="B3" s="1"/>
      <c r="C3" s="1"/>
      <c r="D3" s="1"/>
      <c r="E3" s="1"/>
      <c r="F3" s="1"/>
      <c r="G3" s="1"/>
      <c r="H3" s="1"/>
      <c r="I3" s="2"/>
      <c r="J3" s="2"/>
      <c r="K3" s="2"/>
      <c r="L3" s="2"/>
      <c r="M3" s="2"/>
      <c r="N3" s="2"/>
      <c r="O3" s="2"/>
      <c r="P3" s="2"/>
      <c r="Q3" s="2"/>
      <c r="R3" s="2"/>
      <c r="S3" s="2"/>
      <c r="T3" s="2"/>
      <c r="U3" s="2"/>
      <c r="V3" s="2"/>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row>
    <row r="4" spans="1:52" ht="18" customHeight="1" x14ac:dyDescent="0.25">
      <c r="A4" s="1"/>
      <c r="B4" s="1"/>
      <c r="C4" s="1"/>
      <c r="D4" s="1"/>
      <c r="E4" s="1"/>
      <c r="F4" s="1"/>
      <c r="G4" s="1"/>
      <c r="H4" s="1"/>
      <c r="I4" s="2"/>
      <c r="J4" s="2"/>
      <c r="K4" s="2"/>
      <c r="L4" s="2"/>
      <c r="M4" s="2"/>
      <c r="N4" s="2"/>
      <c r="O4" s="2"/>
      <c r="P4" s="2"/>
      <c r="Q4" s="2"/>
      <c r="R4" s="2"/>
      <c r="S4" s="2"/>
      <c r="T4" s="2"/>
      <c r="U4" s="2"/>
      <c r="V4" s="2"/>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row>
    <row r="5" spans="1:52" ht="18" customHeight="1" x14ac:dyDescent="0.25">
      <c r="A5" s="1"/>
      <c r="B5" s="1"/>
      <c r="C5" s="1"/>
      <c r="D5" s="1"/>
      <c r="E5" s="1"/>
      <c r="F5" s="1"/>
      <c r="G5" s="1"/>
      <c r="H5" s="1"/>
      <c r="I5" s="2"/>
      <c r="J5" s="2"/>
      <c r="K5" s="2"/>
      <c r="L5" s="2"/>
      <c r="M5" s="2"/>
      <c r="N5" s="2"/>
      <c r="O5" s="2"/>
      <c r="P5" s="2"/>
      <c r="Q5" s="2"/>
      <c r="R5" s="2"/>
      <c r="S5" s="2"/>
      <c r="T5" s="2"/>
      <c r="U5" s="2"/>
      <c r="V5" s="2"/>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row>
    <row r="6" spans="1:52" ht="18" customHeight="1" x14ac:dyDescent="0.25">
      <c r="A6" s="1"/>
      <c r="B6" s="1"/>
      <c r="C6" s="1"/>
      <c r="D6" s="1"/>
      <c r="E6" s="1"/>
      <c r="F6" s="1"/>
      <c r="G6" s="1"/>
      <c r="H6" s="1"/>
      <c r="I6" s="2"/>
      <c r="J6" s="2"/>
      <c r="K6" s="2"/>
      <c r="L6" s="2"/>
      <c r="M6" s="2"/>
      <c r="N6" s="2"/>
      <c r="O6" s="2"/>
      <c r="P6" s="2"/>
      <c r="Q6" s="2"/>
      <c r="R6" s="2"/>
      <c r="S6" s="2"/>
      <c r="T6" s="2"/>
      <c r="U6" s="2"/>
      <c r="V6" s="2"/>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row>
    <row r="7" spans="1:52" ht="18" customHeight="1" thickBot="1" x14ac:dyDescent="0.3">
      <c r="A7" s="1"/>
      <c r="B7" s="1"/>
      <c r="C7" s="15">
        <f t="shared" ref="C7:G7" si="0">D7-1</f>
        <v>2010</v>
      </c>
      <c r="D7" s="15">
        <f t="shared" si="0"/>
        <v>2011</v>
      </c>
      <c r="E7" s="15">
        <f t="shared" si="0"/>
        <v>2012</v>
      </c>
      <c r="F7" s="15">
        <f t="shared" si="0"/>
        <v>2013</v>
      </c>
      <c r="G7" s="15">
        <f t="shared" si="0"/>
        <v>2014</v>
      </c>
      <c r="H7" s="15">
        <f>I7-1</f>
        <v>2015</v>
      </c>
      <c r="I7" s="15">
        <v>2016</v>
      </c>
      <c r="J7" s="15">
        <f t="shared" ref="J7:P7" si="1">I7+1</f>
        <v>2017</v>
      </c>
      <c r="K7" s="15">
        <f t="shared" si="1"/>
        <v>2018</v>
      </c>
      <c r="L7" s="15">
        <f t="shared" si="1"/>
        <v>2019</v>
      </c>
      <c r="M7" s="15">
        <f t="shared" si="1"/>
        <v>2020</v>
      </c>
      <c r="N7" s="15">
        <f t="shared" si="1"/>
        <v>2021</v>
      </c>
      <c r="O7" s="15">
        <f t="shared" si="1"/>
        <v>2022</v>
      </c>
      <c r="P7" s="15">
        <f t="shared" si="1"/>
        <v>2023</v>
      </c>
      <c r="Q7" s="15">
        <v>2024</v>
      </c>
      <c r="R7" s="15" t="s">
        <v>380</v>
      </c>
      <c r="S7" s="15" t="s">
        <v>455</v>
      </c>
      <c r="T7" s="2"/>
      <c r="U7" s="2"/>
      <c r="V7" s="2"/>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row>
    <row r="8" spans="1:52" ht="18" customHeight="1" x14ac:dyDescent="0.25">
      <c r="A8" s="1"/>
      <c r="B8" s="20" t="s">
        <v>30</v>
      </c>
      <c r="C8" s="27">
        <f>('Balanço Patrimonial'!C9+'Balanço Patrimonial'!C26)/('Balanço Patrimonial'!C57+'Balanço Patrimonial'!C86+'Balanço Patrimonial'!C91+'Balanço Patrimonial'!C105)</f>
        <v>1.9026718496284998</v>
      </c>
      <c r="D8" s="27">
        <f>('Balanço Patrimonial'!D9+'Balanço Patrimonial'!D26)/('Balanço Patrimonial'!D57+'Balanço Patrimonial'!D86+'Balanço Patrimonial'!D91+'Balanço Patrimonial'!D105)</f>
        <v>3.5486684415512597</v>
      </c>
      <c r="E8" s="27">
        <f>('Balanço Patrimonial'!E9+'Balanço Patrimonial'!E26)/('Balanço Patrimonial'!E57+'Balanço Patrimonial'!E86+'Balanço Patrimonial'!E91+'Balanço Patrimonial'!E105)</f>
        <v>2.8883530751209685</v>
      </c>
      <c r="F8" s="27">
        <f>('Balanço Patrimonial'!F9+'Balanço Patrimonial'!F26)/('Balanço Patrimonial'!F57+'Balanço Patrimonial'!F86+'Balanço Patrimonial'!F91+'Balanço Patrimonial'!F105)</f>
        <v>3.0012518222729287</v>
      </c>
      <c r="G8" s="27">
        <f>('Balanço Patrimonial'!G9+'Balanço Patrimonial'!G26)/('Balanço Patrimonial'!G57+'Balanço Patrimonial'!G86+'Balanço Patrimonial'!G91+'Balanço Patrimonial'!G105)</f>
        <v>2.8638518545428124</v>
      </c>
      <c r="H8" s="27">
        <f>('Balanço Patrimonial'!H9+'Balanço Patrimonial'!H26)/('Balanço Patrimonial'!H57+'Balanço Patrimonial'!H86+'Balanço Patrimonial'!H91+'Balanço Patrimonial'!H105)</f>
        <v>2.9274034706421705</v>
      </c>
      <c r="I8" s="27">
        <f>('Balanço Patrimonial'!I9+'Balanço Patrimonial'!I26)/('Balanço Patrimonial'!I57+'Balanço Patrimonial'!I86+'Balanço Patrimonial'!I91+'Balanço Patrimonial'!I105)</f>
        <v>3.1484586992061754</v>
      </c>
      <c r="J8" s="27">
        <f>('Balanço Patrimonial'!J9+'Balanço Patrimonial'!J26)/('Balanço Patrimonial'!J57+'Balanço Patrimonial'!J86+'Balanço Patrimonial'!J91+'Balanço Patrimonial'!J105)</f>
        <v>2.338409462278439</v>
      </c>
      <c r="K8" s="27">
        <f>('Balanço Patrimonial'!K9+'Balanço Patrimonial'!K26)/('Balanço Patrimonial'!K57+'Balanço Patrimonial'!K86+'Balanço Patrimonial'!K91+'Balanço Patrimonial'!K105)</f>
        <v>2.6754323036886514</v>
      </c>
      <c r="L8" s="27">
        <f>('Balanço Patrimonial'!L9+'Balanço Patrimonial'!L26)/('Balanço Patrimonial'!L57+'Balanço Patrimonial'!L86+'Balanço Patrimonial'!L91+'Balanço Patrimonial'!L105)</f>
        <v>1.5454691251809862</v>
      </c>
      <c r="M8" s="27">
        <f>('Balanço Patrimonial'!M9+'Balanço Patrimonial'!M26)/('Balanço Patrimonial'!M57+'Balanço Patrimonial'!M86+'Balanço Patrimonial'!M91+'Balanço Patrimonial'!M105)</f>
        <v>1.1345435674160143</v>
      </c>
      <c r="N8" s="27">
        <f>('Balanço Patrimonial'!N9+'Balanço Patrimonial'!N26)/('Balanço Patrimonial'!N57+'Balanço Patrimonial'!N86+'Balanço Patrimonial'!N91+'Balanço Patrimonial'!N105)</f>
        <v>1.0994173536571714</v>
      </c>
      <c r="O8" s="27">
        <f>('Balanço Patrimonial'!O9+'Balanço Patrimonial'!O26)/('Balanço Patrimonial'!O57+'Balanço Patrimonial'!O86+'Balanço Patrimonial'!O91+'Balanço Patrimonial'!O105)</f>
        <v>1.3497104309806371</v>
      </c>
      <c r="P8" s="27">
        <f>('Balanço Patrimonial'!P9+'Balanço Patrimonial'!P26)/('Balanço Patrimonial'!P57+'Balanço Patrimonial'!P86+'Balanço Patrimonial'!P91+'Balanço Patrimonial'!P105)</f>
        <v>1.1549400109294818</v>
      </c>
      <c r="Q8" s="27">
        <f>('Balanço Patrimonial'!Q9+'Balanço Patrimonial'!Q26)/('Balanço Patrimonial'!Q57+'Balanço Patrimonial'!Q86+'Balanço Patrimonial'!Q91+'Balanço Patrimonial'!Q105)</f>
        <v>1.2625178928992467</v>
      </c>
      <c r="R8" s="27">
        <f>('Balanço Patrimonial'!R9+'Balanço Patrimonial'!R26)/('Balanço Patrimonial'!R57+'Balanço Patrimonial'!R86+'Balanço Patrimonial'!R91+'Balanço Patrimonial'!R105)</f>
        <v>1.3085588517814279</v>
      </c>
      <c r="S8" s="27">
        <f>('Balanço Patrimonial'!S9+'Balanço Patrimonial'!S26)/('Balanço Patrimonial'!S57+'Balanço Patrimonial'!S86+'Balanço Patrimonial'!S91+'Balanço Patrimonial'!S105)</f>
        <v>1.3980178780361163</v>
      </c>
      <c r="T8" s="2"/>
      <c r="U8" s="2"/>
      <c r="V8" s="2"/>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row>
    <row r="9" spans="1:52" ht="18" customHeight="1" x14ac:dyDescent="0.25">
      <c r="A9" s="1"/>
      <c r="B9" s="20" t="s">
        <v>31</v>
      </c>
      <c r="C9" s="27">
        <f>'Balanço Patrimonial'!C9/'Balanço Patrimonial'!C57</f>
        <v>2.229191990275734</v>
      </c>
      <c r="D9" s="27">
        <f>'Balanço Patrimonial'!D9/'Balanço Patrimonial'!D57</f>
        <v>4.2258058210676515</v>
      </c>
      <c r="E9" s="27">
        <f>'Balanço Patrimonial'!E9/'Balanço Patrimonial'!E57</f>
        <v>4.0305294385408654</v>
      </c>
      <c r="F9" s="27">
        <f>'Balanço Patrimonial'!F9/'Balanço Patrimonial'!F57</f>
        <v>3.8446614764354234</v>
      </c>
      <c r="G9" s="27">
        <f>'Balanço Patrimonial'!G9/'Balanço Patrimonial'!G57</f>
        <v>3.4599699110193902</v>
      </c>
      <c r="H9" s="27">
        <f>'Balanço Patrimonial'!H9/'Balanço Patrimonial'!H57</f>
        <v>3.4502075776319376</v>
      </c>
      <c r="I9" s="27">
        <f>'Balanço Patrimonial'!I9/'Balanço Patrimonial'!I57</f>
        <v>3.4991279789922212</v>
      </c>
      <c r="J9" s="27">
        <f>'Balanço Patrimonial'!J9/'Balanço Patrimonial'!J57</f>
        <v>2.3967967491067048</v>
      </c>
      <c r="K9" s="27">
        <f>'Balanço Patrimonial'!K9/'Balanço Patrimonial'!K57</f>
        <v>3.2904931435114446</v>
      </c>
      <c r="L9" s="27">
        <f>'Balanço Patrimonial'!L9/'Balanço Patrimonial'!L57</f>
        <v>2.1105046926886168</v>
      </c>
      <c r="M9" s="27">
        <f>'Balanço Patrimonial'!M9/'Balanço Patrimonial'!M57</f>
        <v>1.7169597264921255</v>
      </c>
      <c r="N9" s="27">
        <f>'Balanço Patrimonial'!N9/'Balanço Patrimonial'!N57</f>
        <v>1.0841250822909809</v>
      </c>
      <c r="O9" s="27">
        <f>'Balanço Patrimonial'!O9/'Balanço Patrimonial'!O57</f>
        <v>1.457443620976421</v>
      </c>
      <c r="P9" s="27">
        <f>'Balanço Patrimonial'!P9/'Balanço Patrimonial'!P57</f>
        <v>1.2716815506636834</v>
      </c>
      <c r="Q9" s="27">
        <f>'Balanço Patrimonial'!Q9/'Balanço Patrimonial'!Q57</f>
        <v>1.5123939260575072</v>
      </c>
      <c r="R9" s="27">
        <f>'Balanço Patrimonial'!R9/'Balanço Patrimonial'!R57</f>
        <v>1.5456798977850132</v>
      </c>
      <c r="S9" s="27">
        <f>'Balanço Patrimonial'!S9/'Balanço Patrimonial'!S57</f>
        <v>1.6070068507882818</v>
      </c>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row>
    <row r="10" spans="1:52" ht="18" customHeight="1" x14ac:dyDescent="0.25">
      <c r="A10" s="1"/>
      <c r="B10" s="20" t="s">
        <v>32</v>
      </c>
      <c r="C10" s="27">
        <f>('Balanço Patrimonial'!C9-'Balanço Patrimonial'!C18)/'Balanço Patrimonial'!C57</f>
        <v>1.7081973855372869</v>
      </c>
      <c r="D10" s="27">
        <f>('Balanço Patrimonial'!D9-'Balanço Patrimonial'!D18)/'Balanço Patrimonial'!D57</f>
        <v>3.6649660861236537</v>
      </c>
      <c r="E10" s="27">
        <f>('Balanço Patrimonial'!E9-'Balanço Patrimonial'!E18)/'Balanço Patrimonial'!E57</f>
        <v>3.433023591643253</v>
      </c>
      <c r="F10" s="27">
        <f>('Balanço Patrimonial'!F9-'Balanço Patrimonial'!F18)/'Balanço Patrimonial'!F57</f>
        <v>3.2530585291255387</v>
      </c>
      <c r="G10" s="27">
        <f>('Balanço Patrimonial'!G9-'Balanço Patrimonial'!G18)/'Balanço Patrimonial'!G57</f>
        <v>2.9111480232434577</v>
      </c>
      <c r="H10" s="27">
        <f>('Balanço Patrimonial'!H9-'Balanço Patrimonial'!H18)/'Balanço Patrimonial'!H57</f>
        <v>2.8895854737592517</v>
      </c>
      <c r="I10" s="27">
        <f>('Balanço Patrimonial'!I9-'Balanço Patrimonial'!I18)/'Balanço Patrimonial'!I57</f>
        <v>2.9517465193479659</v>
      </c>
      <c r="J10" s="27">
        <f>('Balanço Patrimonial'!J9-'Balanço Patrimonial'!J18)/'Balanço Patrimonial'!J57</f>
        <v>2.0787444825895047</v>
      </c>
      <c r="K10" s="27">
        <f>('Balanço Patrimonial'!K9-'Balanço Patrimonial'!K18)/'Balanço Patrimonial'!K57</f>
        <v>2.7009367342871324</v>
      </c>
      <c r="L10" s="27">
        <f>('Balanço Patrimonial'!L9-'Balanço Patrimonial'!L18)/'Balanço Patrimonial'!L57</f>
        <v>1.724202049244715</v>
      </c>
      <c r="M10" s="27">
        <f>('Balanço Patrimonial'!M9-'Balanço Patrimonial'!M18)/'Balanço Patrimonial'!M57</f>
        <v>1.3977911342545353</v>
      </c>
      <c r="N10" s="27">
        <f>('Balanço Patrimonial'!N9-'Balanço Patrimonial'!N18)/'Balanço Patrimonial'!N57</f>
        <v>0.78755694535878873</v>
      </c>
      <c r="O10" s="27">
        <f>('Balanço Patrimonial'!O9-'Balanço Patrimonial'!O18)/'Balanço Patrimonial'!O57</f>
        <v>0.98533961941101655</v>
      </c>
      <c r="P10" s="27">
        <f>('Balanço Patrimonial'!P9-'Balanço Patrimonial'!P18)/'Balanço Patrimonial'!P57</f>
        <v>0.91022661687060458</v>
      </c>
      <c r="Q10" s="27">
        <f>('Balanço Patrimonial'!Q9-'Balanço Patrimonial'!Q18)/'Balanço Patrimonial'!Q57</f>
        <v>1.0211939788343578</v>
      </c>
      <c r="R10" s="27">
        <f>('Balanço Patrimonial'!R9-'Balanço Patrimonial'!R18)/'Balanço Patrimonial'!R57</f>
        <v>1.0071207669894167</v>
      </c>
      <c r="S10" s="27">
        <f>('Balanço Patrimonial'!S9-'Balanço Patrimonial'!S18)/'Balanço Patrimonial'!S57</f>
        <v>1.0278527573188236</v>
      </c>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row>
    <row r="11" spans="1:52" ht="18" customHeight="1" x14ac:dyDescent="0.25">
      <c r="A11" s="1"/>
      <c r="B11" s="20" t="s">
        <v>33</v>
      </c>
      <c r="C11" s="111">
        <f>('Balanço Patrimonial'!C12+'Balanço Patrimonial'!C13)/'Balanço Patrimonial'!C57</f>
        <v>0.13865608939500565</v>
      </c>
      <c r="D11" s="111">
        <f>('Balanço Patrimonial'!D12+'Balanço Patrimonial'!D13)/'Balanço Patrimonial'!D57</f>
        <v>1.6961824898844777</v>
      </c>
      <c r="E11" s="111">
        <f>('Balanço Patrimonial'!E12+'Balanço Patrimonial'!E13)/'Balanço Patrimonial'!E57</f>
        <v>1.5865419328509316</v>
      </c>
      <c r="F11" s="111">
        <f>('Balanço Patrimonial'!F12+'Balanço Patrimonial'!F13)/'Balanço Patrimonial'!F57</f>
        <v>1.2907757542054776</v>
      </c>
      <c r="G11" s="111">
        <f>('Balanço Patrimonial'!G12+'Balanço Patrimonial'!G13)/'Balanço Patrimonial'!G57</f>
        <v>1.1207026727739466</v>
      </c>
      <c r="H11" s="111">
        <f>('Balanço Patrimonial'!H12+'Balanço Patrimonial'!H13)/'Balanço Patrimonial'!H57</f>
        <v>1.1834126601388044</v>
      </c>
      <c r="I11" s="111">
        <f>('Balanço Patrimonial'!I12+'Balanço Patrimonial'!I13)/'Balanço Patrimonial'!I57</f>
        <v>1.2032106228013675</v>
      </c>
      <c r="J11" s="111">
        <f>('Balanço Patrimonial'!J12+'Balanço Patrimonial'!J13)/'Balanço Patrimonial'!J57</f>
        <v>0.94701884677362858</v>
      </c>
      <c r="K11" s="111">
        <f>('Balanço Patrimonial'!K12+'Balanço Patrimonial'!K13)/'Balanço Patrimonial'!K57</f>
        <v>0.92149721168162757</v>
      </c>
      <c r="L11" s="111">
        <f>('Balanço Patrimonial'!L12+'Balanço Patrimonial'!L13)/'Balanço Patrimonial'!L57</f>
        <v>0.59760598632545592</v>
      </c>
      <c r="M11" s="111">
        <f>('Balanço Patrimonial'!M12+'Balanço Patrimonial'!M13)/'Balanço Patrimonial'!M57</f>
        <v>0.61570541727286487</v>
      </c>
      <c r="N11" s="111">
        <f>('Balanço Patrimonial'!N12+'Balanço Patrimonial'!N13)/'Balanço Patrimonial'!N57</f>
        <v>0.17284990125082292</v>
      </c>
      <c r="O11" s="111">
        <f>('Balanço Patrimonial'!O12+'Balanço Patrimonial'!O13)/'Balanço Patrimonial'!O57</f>
        <v>0.29133279522551608</v>
      </c>
      <c r="P11" s="111">
        <f>('Balanço Patrimonial'!P12+'Balanço Patrimonial'!P13)/'Balanço Patrimonial'!P57</f>
        <v>0.32705996598151277</v>
      </c>
      <c r="Q11" s="111">
        <f>('Balanço Patrimonial'!Q12+'Balanço Patrimonial'!Q13)/'Balanço Patrimonial'!Q57</f>
        <v>0.1714678694357393</v>
      </c>
      <c r="R11" s="111">
        <f>('Balanço Patrimonial'!R12+'Balanço Patrimonial'!R13)/'Balanço Patrimonial'!R57</f>
        <v>0.2418535650633068</v>
      </c>
      <c r="S11" s="111">
        <f>('Balanço Patrimonial'!S12+'Balanço Patrimonial'!S13)/'Balanço Patrimonial'!S57</f>
        <v>0.19265855569158885</v>
      </c>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row>
    <row r="12" spans="1:52" ht="18" customHeight="1" x14ac:dyDescent="0.25">
      <c r="A12" s="1"/>
      <c r="B12" s="20" t="s">
        <v>38</v>
      </c>
      <c r="C12" s="28">
        <f>'DRE + DCF'!C71/'Balanço Patrimonial'!C115</f>
        <v>0.4413546895731032</v>
      </c>
      <c r="D12" s="28">
        <f>'DRE + DCF'!D71/'Balanço Patrimonial'!D115</f>
        <v>0.23854632375724846</v>
      </c>
      <c r="E12" s="28">
        <f>'DRE + DCF'!E71/'Balanço Patrimonial'!E115</f>
        <v>0.21342633493354249</v>
      </c>
      <c r="F12" s="28">
        <f>'DRE + DCF'!F71/'Balanço Patrimonial'!F115</f>
        <v>0.21486098316561136</v>
      </c>
      <c r="G12" s="28">
        <f>'DRE + DCF'!G71/'Balanço Patrimonial'!G115</f>
        <v>0.19565047640696659</v>
      </c>
      <c r="H12" s="28">
        <f>'DRE + DCF'!H71/'Balanço Patrimonial'!H115</f>
        <v>0.19365921945930201</v>
      </c>
      <c r="I12" s="28">
        <f>'DRE + DCF'!I71/'Balanço Patrimonial'!I115</f>
        <v>0.17343463257373834</v>
      </c>
      <c r="J12" s="28">
        <f>'DRE + DCF'!J71/'Balanço Patrimonial'!J115</f>
        <v>0.23229968719923003</v>
      </c>
      <c r="K12" s="28">
        <f>'DRE + DCF'!K71/'Balanço Patrimonial'!K115</f>
        <v>0.2005280160597856</v>
      </c>
      <c r="L12" s="28">
        <f>'DRE + DCF'!L71/'Balanço Patrimonial'!L115</f>
        <v>0.21732382038706771</v>
      </c>
      <c r="M12" s="28">
        <f>'DRE + DCF'!M71/'Balanço Patrimonial'!M115</f>
        <v>3.602558807412444E-2</v>
      </c>
      <c r="N12" s="28">
        <f>'DRE + DCF'!N71/'Balanço Patrimonial'!N115</f>
        <v>0.21590370890561969</v>
      </c>
      <c r="O12" s="28">
        <f>'DRE + DCF'!O71/'Balanço Patrimonial'!O115</f>
        <v>0.15917242304187496</v>
      </c>
      <c r="P12" s="28">
        <f>'DRE + DCF'!P71/'Balanço Patrimonial'!P115</f>
        <v>0.13610772459380854</v>
      </c>
      <c r="Q12" s="28">
        <f>'DRE + DCF'!Q71/'Balanço Patrimonial'!Q115</f>
        <v>4.3843008026447555E-2</v>
      </c>
      <c r="R12" s="28">
        <f>'DRE + DCF'!U71/'Balanço Patrimonial'!R115</f>
        <v>0</v>
      </c>
      <c r="S12" s="28">
        <f>'DRE + DCF'!V71/'Balanço Patrimonial'!S115</f>
        <v>0</v>
      </c>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row>
    <row r="13" spans="1:52" ht="18" customHeight="1" x14ac:dyDescent="0.25">
      <c r="A13" s="1"/>
      <c r="B13" s="20" t="s">
        <v>64</v>
      </c>
      <c r="C13" s="28">
        <f>'DRE + DCF'!C71/('Balanço Patrimonial'!C115-'Balanço Patrimonial'!C12-'Balanço Patrimonial'!C13)</f>
        <v>0.48443857252240757</v>
      </c>
      <c r="D13" s="28">
        <f>'DRE + DCF'!D71/('Balanço Patrimonial'!D115-'Balanço Patrimonial'!D12-'Balanço Patrimonial'!D13)</f>
        <v>0.43522235471289378</v>
      </c>
      <c r="E13" s="28">
        <f>'DRE + DCF'!E71/('Balanço Patrimonial'!E115-'Balanço Patrimonial'!E12-'Balanço Patrimonial'!E13)</f>
        <v>0.38481002601839165</v>
      </c>
      <c r="F13" s="28">
        <f>'DRE + DCF'!F71/('Balanço Patrimonial'!F115-'Balanço Patrimonial'!F12-'Balanço Patrimonial'!F13)</f>
        <v>0.33618568895943757</v>
      </c>
      <c r="G13" s="28">
        <f>'DRE + DCF'!G71/('Balanço Patrimonial'!G115-'Balanço Patrimonial'!G12-'Balanço Patrimonial'!G13)</f>
        <v>0.29994573140236441</v>
      </c>
      <c r="H13" s="28">
        <f>'DRE + DCF'!H71/('Balanço Patrimonial'!H115-'Balanço Patrimonial'!H12-'Balanço Patrimonial'!H13)</f>
        <v>0.30515143710330161</v>
      </c>
      <c r="I13" s="28">
        <f>'DRE + DCF'!I71/('Balanço Patrimonial'!I115-'Balanço Patrimonial'!I12-'Balanço Patrimonial'!I13)</f>
        <v>0.27210411029506509</v>
      </c>
      <c r="J13" s="28">
        <f>'DRE + DCF'!J71/('Balanço Patrimonial'!J115-'Balanço Patrimonial'!J12-'Balanço Patrimonial'!J13)</f>
        <v>0.47232754403131116</v>
      </c>
      <c r="K13" s="28">
        <f>'DRE + DCF'!K71/('Balanço Patrimonial'!K115-'Balanço Patrimonial'!K12-'Balanço Patrimonial'!K13)</f>
        <v>0.29996151751373701</v>
      </c>
      <c r="L13" s="28">
        <f>'DRE + DCF'!L71/('Balanço Patrimonial'!L115-'Balanço Patrimonial'!L12-'Balanço Patrimonial'!L13)</f>
        <v>0.34616386414681843</v>
      </c>
      <c r="M13" s="28">
        <f>'DRE + DCF'!M71/('Balanço Patrimonial'!M115-'Balanço Patrimonial'!M12-'Balanço Patrimonial'!M13)</f>
        <v>6.169929593920491E-2</v>
      </c>
      <c r="N13" s="28">
        <f>'DRE + DCF'!N71/('Balanço Patrimonial'!N115-'Balanço Patrimonial'!N12-'Balanço Patrimonial'!N13)</f>
        <v>0.25854358992874482</v>
      </c>
      <c r="O13" s="28">
        <f>'DRE + DCF'!O71/('Balanço Patrimonial'!O115-'Balanço Patrimonial'!O12-'Balanço Patrimonial'!O13)</f>
        <v>0.19398859311923511</v>
      </c>
      <c r="P13" s="28">
        <f>'DRE + DCF'!P71/('Balanço Patrimonial'!P115-'Balanço Patrimonial'!P12-'Balanço Patrimonial'!P13)</f>
        <v>0.18292912908916964</v>
      </c>
      <c r="Q13" s="28">
        <f>'DRE + DCF'!Q71/('Balanço Patrimonial'!Q115-'Balanço Patrimonial'!Q12-'Balanço Patrimonial'!Q13)</f>
        <v>4.8730989747965539E-2</v>
      </c>
      <c r="R13" s="28">
        <f>'DRE + DCF'!U71/('Balanço Patrimonial'!R115-'Balanço Patrimonial'!R12-'Balanço Patrimonial'!R13)</f>
        <v>0</v>
      </c>
      <c r="S13" s="28">
        <f>'DRE + DCF'!V71/('Balanço Patrimonial'!S115-'Balanço Patrimonial'!S12-'Balanço Patrimonial'!S13)</f>
        <v>0</v>
      </c>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row>
    <row r="14" spans="1:52" ht="18" customHeight="1" x14ac:dyDescent="0.25">
      <c r="A14" s="1"/>
      <c r="B14" s="20" t="s">
        <v>40</v>
      </c>
      <c r="C14" s="28">
        <f>'DRE + DCF'!C74/('Balanço Patrimonial'!C115+'Balanço Patrimonial'!C86+'Balanço Patrimonial'!C97+'Balanço Patrimonial'!C80+'Balanço Patrimonial'!C70)</f>
        <v>0.35806038748724006</v>
      </c>
      <c r="D14" s="28">
        <f>'DRE + DCF'!D74/('Balanço Patrimonial'!D115+'Balanço Patrimonial'!D86+'Balanço Patrimonial'!D97+'Balanço Patrimonial'!D80+'Balanço Patrimonial'!D70)</f>
        <v>0.1927226015244638</v>
      </c>
      <c r="E14" s="28">
        <f>'DRE + DCF'!E74/('Balanço Patrimonial'!E115+'Balanço Patrimonial'!E86+'Balanço Patrimonial'!E97+'Balanço Patrimonial'!E80+'Balanço Patrimonial'!E70)</f>
        <v>0.17029907862105212</v>
      </c>
      <c r="F14" s="28">
        <f>'DRE + DCF'!F74/('Balanço Patrimonial'!F115+'Balanço Patrimonial'!F86+'Balanço Patrimonial'!F97+'Balanço Patrimonial'!F80+'Balanço Patrimonial'!F70)</f>
        <v>0.17204058992430174</v>
      </c>
      <c r="G14" s="28">
        <f>'DRE + DCF'!G74/('Balanço Patrimonial'!G115+'Balanço Patrimonial'!G86+'Balanço Patrimonial'!G97+'Balanço Patrimonial'!G80+'Balanço Patrimonial'!G70)</f>
        <v>0.15225772269769411</v>
      </c>
      <c r="H14" s="28">
        <f>'DRE + DCF'!H74/('Balanço Patrimonial'!H115+'Balanço Patrimonial'!H86+'Balanço Patrimonial'!H97+'Balanço Patrimonial'!H80+'Balanço Patrimonial'!H70)</f>
        <v>0.14735418820119342</v>
      </c>
      <c r="I14" s="28">
        <f>'DRE + DCF'!I74/('Balanço Patrimonial'!I115+'Balanço Patrimonial'!I86+'Balanço Patrimonial'!I97+'Balanço Patrimonial'!I80+'Balanço Patrimonial'!I70)</f>
        <v>0.16046190257660994</v>
      </c>
      <c r="J14" s="28">
        <f>'DRE + DCF'!J74/('Balanço Patrimonial'!J115+'Balanço Patrimonial'!J86+'Balanço Patrimonial'!J97+'Balanço Patrimonial'!J80+'Balanço Patrimonial'!J70)</f>
        <v>0.18813282075811527</v>
      </c>
      <c r="K14" s="28">
        <f>'DRE + DCF'!K74/('Balanço Patrimonial'!K115+'Balanço Patrimonial'!K86+'Balanço Patrimonial'!K97+'Balanço Patrimonial'!K80+'Balanço Patrimonial'!K70)</f>
        <v>0.21713743983664738</v>
      </c>
      <c r="L14" s="28">
        <f>'DRE + DCF'!L74/('Balanço Patrimonial'!L115+'Balanço Patrimonial'!L86+'Balanço Patrimonial'!L97+'Balanço Patrimonial'!L80+'Balanço Patrimonial'!L70)</f>
        <v>0.20838831847157308</v>
      </c>
      <c r="M14" s="28">
        <f>'DRE + DCF'!M74/('Balanço Patrimonial'!M115+'Balanço Patrimonial'!M86+'Balanço Patrimonial'!M97+'Balanço Patrimonial'!M80+'Balanço Patrimonial'!M70)</f>
        <v>6.7666988734310582E-2</v>
      </c>
      <c r="N14" s="28">
        <f>'DRE + DCF'!N74/('Balanço Patrimonial'!N115+'Balanço Patrimonial'!N86+'Balanço Patrimonial'!N97+'Balanço Patrimonial'!N80+'Balanço Patrimonial'!N70)</f>
        <v>0.20336985943584385</v>
      </c>
      <c r="O14" s="28">
        <f>'DRE + DCF'!O74/('Balanço Patrimonial'!O115+'Balanço Patrimonial'!O86+'Balanço Patrimonial'!O97+'Balanço Patrimonial'!O80+'Balanço Patrimonial'!O70)</f>
        <v>0.18137465924687329</v>
      </c>
      <c r="P14" s="28">
        <f>'DRE + DCF'!P74/('Balanço Patrimonial'!P115+'Balanço Patrimonial'!P86+'Balanço Patrimonial'!P97+'Balanço Patrimonial'!P80+'Balanço Patrimonial'!P70)</f>
        <v>0.16409702727356296</v>
      </c>
      <c r="Q14" s="28">
        <f>'DRE + DCF'!Q74/('Balanço Patrimonial'!Q115+'Balanço Patrimonial'!Q86+'Balanço Patrimonial'!Q97+'Balanço Patrimonial'!Q80+'Balanço Patrimonial'!Q70)</f>
        <v>9.0026899513768271E-2</v>
      </c>
      <c r="R14" s="28">
        <f>'DRE + DCF'!U74/('Balanço Patrimonial'!R115+'Balanço Patrimonial'!R86+'Balanço Patrimonial'!R97+'Balanço Patrimonial'!R80+'Balanço Patrimonial'!R70)</f>
        <v>0.20280207722533353</v>
      </c>
      <c r="S14" s="28">
        <f>'DRE + DCF'!V74/('Balanço Patrimonial'!S115+'Balanço Patrimonial'!S86+'Balanço Patrimonial'!S97+'Balanço Patrimonial'!S80+'Balanço Patrimonial'!S70)</f>
        <v>0.1777208544252859</v>
      </c>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row>
    <row r="15" spans="1:52" ht="18" customHeight="1" x14ac:dyDescent="0.25">
      <c r="A15" s="1"/>
      <c r="B15" s="20" t="s">
        <v>279</v>
      </c>
      <c r="C15" s="28">
        <f>'DRE + DCF'!C74/('Balanço Patrimonial'!C115+'Balanço Patrimonial'!C86+'Balanço Patrimonial'!C97+'Balanço Patrimonial'!C80+'Balanço Patrimonial'!C70-'Balanço Patrimonial'!C12-'Balanço Patrimonial'!C13)</f>
        <v>0.38393070456654238</v>
      </c>
      <c r="D15" s="28">
        <f>'DRE + DCF'!D74/('Balanço Patrimonial'!D115+'Balanço Patrimonial'!D86+'Balanço Patrimonial'!D97+'Balanço Patrimonial'!D80+'Balanço Patrimonial'!D70-'Balanço Patrimonial'!D12-'Balanço Patrimonial'!D13)</f>
        <v>0.32696382988970768</v>
      </c>
      <c r="E15" s="28">
        <f>'DRE + DCF'!E74/('Balanço Patrimonial'!E115+'Balanço Patrimonial'!E86+'Balanço Patrimonial'!E97+'Balanço Patrimonial'!E80+'Balanço Patrimonial'!E70-'Balanço Patrimonial'!E12-'Balanço Patrimonial'!E13)</f>
        <v>0.26984723664007354</v>
      </c>
      <c r="F15" s="28">
        <f>'DRE + DCF'!F74/('Balanço Patrimonial'!F115+'Balanço Patrimonial'!F86+'Balanço Patrimonial'!F97+'Balanço Patrimonial'!F80+'Balanço Patrimonial'!F70-'Balanço Patrimonial'!F12-'Balanço Patrimonial'!F13)</f>
        <v>0.24680938706061054</v>
      </c>
      <c r="G15" s="28">
        <f>'DRE + DCF'!G74/('Balanço Patrimonial'!G115+'Balanço Patrimonial'!G86+'Balanço Patrimonial'!G97+'Balanço Patrimonial'!G80+'Balanço Patrimonial'!G70-'Balanço Patrimonial'!G12-'Balanço Patrimonial'!G13)</f>
        <v>0.21644667359536143</v>
      </c>
      <c r="H15" s="28">
        <f>'DRE + DCF'!H74/('Balanço Patrimonial'!H115+'Balanço Patrimonial'!H86+'Balanço Patrimonial'!H97+'Balanço Patrimonial'!H80+'Balanço Patrimonial'!H70-'Balanço Patrimonial'!H12-'Balanço Patrimonial'!H13)</f>
        <v>0.21191315282866546</v>
      </c>
      <c r="I15" s="28">
        <f>'DRE + DCF'!I74/('Balanço Patrimonial'!I115+'Balanço Patrimonial'!I86+'Balanço Patrimonial'!I97+'Balanço Patrimonial'!I80+'Balanço Patrimonial'!I70-'Balanço Patrimonial'!I12-'Balanço Patrimonial'!I13)</f>
        <v>0.23358428534970652</v>
      </c>
      <c r="J15" s="28">
        <f>'DRE + DCF'!J74/('Balanço Patrimonial'!J115+'Balanço Patrimonial'!J86+'Balanço Patrimonial'!J97+'Balanço Patrimonial'!J80+'Balanço Patrimonial'!J70-'Balanço Patrimonial'!J12-'Balanço Patrimonial'!J13)</f>
        <v>0.31308509488290731</v>
      </c>
      <c r="K15" s="28">
        <f>'DRE + DCF'!K74/('Balanço Patrimonial'!K115+'Balanço Patrimonial'!K86+'Balanço Patrimonial'!K97+'Balanço Patrimonial'!K80+'Balanço Patrimonial'!K70-'Balanço Patrimonial'!K12-'Balanço Patrimonial'!K13)</f>
        <v>0.30436878896140956</v>
      </c>
      <c r="L15" s="28">
        <f>'DRE + DCF'!L74/('Balanço Patrimonial'!L115+'Balanço Patrimonial'!L86+'Balanço Patrimonial'!L97+'Balanço Patrimonial'!L80+'Balanço Patrimonial'!L70-'Balanço Patrimonial'!L12-'Balanço Patrimonial'!L13)</f>
        <v>0.27581301049835127</v>
      </c>
      <c r="M15" s="28">
        <f>'DRE + DCF'!M74/('Balanço Patrimonial'!M115+'Balanço Patrimonial'!M86+'Balanço Patrimonial'!M97+'Balanço Patrimonial'!M80+'Balanço Patrimonial'!M70-'Balanço Patrimonial'!M12-'Balanço Patrimonial'!M13)</f>
        <v>9.0890798569594658E-2</v>
      </c>
      <c r="N15" s="28">
        <f>'DRE + DCF'!N74/('Balanço Patrimonial'!N115+'Balanço Patrimonial'!N86+'Balanço Patrimonial'!N97+'Balanço Patrimonial'!N80+'Balanço Patrimonial'!N70-'Balanço Patrimonial'!N12-'Balanço Patrimonial'!N13)</f>
        <v>0.2288460960420089</v>
      </c>
      <c r="O15" s="28">
        <f>'DRE + DCF'!O74/('Balanço Patrimonial'!O115+'Balanço Patrimonial'!O86+'Balanço Patrimonial'!O97+'Balanço Patrimonial'!O80+'Balanço Patrimonial'!O70-'Balanço Patrimonial'!O12-'Balanço Patrimonial'!O13)</f>
        <v>0.21062192150530246</v>
      </c>
      <c r="P15" s="28">
        <f>'DRE + DCF'!P74/('Balanço Patrimonial'!P115+'Balanço Patrimonial'!P86+'Balanço Patrimonial'!P97+'Balanço Patrimonial'!P80+'Balanço Patrimonial'!P70-'Balanço Patrimonial'!P12-'Balanço Patrimonial'!P13)</f>
        <v>0.19668066321052499</v>
      </c>
      <c r="Q15" s="28">
        <f>'DRE + DCF'!Q74/('Balanço Patrimonial'!Q115+'Balanço Patrimonial'!Q86+'Balanço Patrimonial'!Q97+'Balanço Patrimonial'!Q80+'Balanço Patrimonial'!Q70-'Balanço Patrimonial'!Q12-'Balanço Patrimonial'!Q13)</f>
        <v>9.6681954683778562E-2</v>
      </c>
      <c r="R15" s="28">
        <f>'DRE + DCF'!U74/('Balanço Patrimonial'!R115+'Balanço Patrimonial'!R86+'Balanço Patrimonial'!R97+'Balanço Patrimonial'!R80+'Balanço Patrimonial'!R70-'Balanço Patrimonial'!R12-'Balanço Patrimonial'!R13)</f>
        <v>0.22380029609970281</v>
      </c>
      <c r="S15" s="28">
        <f>'DRE + DCF'!V74/('Balanço Patrimonial'!S115+'Balanço Patrimonial'!S86+'Balanço Patrimonial'!S97+'Balanço Patrimonial'!S80+'Balanço Patrimonial'!S70-'Balanço Patrimonial'!S12-'Balanço Patrimonial'!S13)</f>
        <v>0.1906008446323684</v>
      </c>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row>
    <row r="16" spans="1:52" ht="18" customHeight="1" x14ac:dyDescent="0.25">
      <c r="A16" s="1"/>
      <c r="B16" s="20" t="s">
        <v>39</v>
      </c>
      <c r="C16" s="28">
        <f>'DRE + DCF'!C71/'Balanço Patrimonial'!C8</f>
        <v>0.24065842270916929</v>
      </c>
      <c r="D16" s="28">
        <f>'DRE + DCF'!D71/'Balanço Patrimonial'!D8</f>
        <v>0.1794124098169313</v>
      </c>
      <c r="E16" s="28">
        <f>'DRE + DCF'!E71/'Balanço Patrimonial'!E8</f>
        <v>0.15217620104588347</v>
      </c>
      <c r="F16" s="28">
        <f>'DRE + DCF'!F71/'Balanço Patrimonial'!F8</f>
        <v>0.15706824878599052</v>
      </c>
      <c r="G16" s="28">
        <f>'DRE + DCF'!G71/'Balanço Patrimonial'!G8</f>
        <v>0.14155772251161003</v>
      </c>
      <c r="H16" s="28">
        <f>'DRE + DCF'!H71/'Balanço Patrimonial'!H8</f>
        <v>0.14012914135286927</v>
      </c>
      <c r="I16" s="28">
        <f>'DRE + DCF'!I71/'Balanço Patrimonial'!I8</f>
        <v>0.12803754183440849</v>
      </c>
      <c r="J16" s="28">
        <f>'DRE + DCF'!J71/'Balanço Patrimonial'!J8</f>
        <v>0.14712843806880471</v>
      </c>
      <c r="K16" s="28">
        <f>'DRE + DCF'!K71/'Balanço Patrimonial'!K8</f>
        <v>0.1364972555864318</v>
      </c>
      <c r="L16" s="28">
        <f>'DRE + DCF'!L71/'Balanço Patrimonial'!L8</f>
        <v>0.11472783635438624</v>
      </c>
      <c r="M16" s="28">
        <f>'DRE + DCF'!M71/'Balanço Patrimonial'!M8</f>
        <v>1.7152066427894349E-2</v>
      </c>
      <c r="N16" s="28">
        <f>'DRE + DCF'!N71/'Balanço Patrimonial'!N8</f>
        <v>0.10210538135641052</v>
      </c>
      <c r="O16" s="28">
        <f>'DRE + DCF'!O71/'Balanço Patrimonial'!O8</f>
        <v>9.0687713767668029E-2</v>
      </c>
      <c r="P16" s="28">
        <f>'DRE + DCF'!P71/'Balanço Patrimonial'!P8</f>
        <v>6.6713421099134126E-2</v>
      </c>
      <c r="Q16" s="28">
        <f>'DRE + DCF'!Q71/'Balanço Patrimonial'!Q8</f>
        <v>2.2194775050652159E-2</v>
      </c>
      <c r="R16" s="28">
        <f>'DRE + DCF'!U71/'Balanço Patrimonial'!R8</f>
        <v>0</v>
      </c>
      <c r="S16" s="28">
        <f>'DRE + DCF'!V71/'Balanço Patrimonial'!S8</f>
        <v>0</v>
      </c>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row>
    <row r="17" spans="1:52" ht="18" customHeight="1" x14ac:dyDescent="0.25">
      <c r="A17" s="1"/>
      <c r="B17" s="20" t="s">
        <v>29</v>
      </c>
      <c r="C17" s="20"/>
      <c r="D17" s="20"/>
      <c r="E17" s="20"/>
      <c r="F17" s="20"/>
      <c r="G17" s="20"/>
      <c r="H17" s="20"/>
      <c r="I17" s="20"/>
      <c r="J17" s="20"/>
      <c r="K17" s="20"/>
      <c r="L17" s="20"/>
      <c r="M17" s="20"/>
      <c r="N17" s="20"/>
      <c r="O17" s="20"/>
      <c r="P17" s="20"/>
      <c r="Q17" s="20"/>
      <c r="R17" s="20"/>
      <c r="S17" s="20"/>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row>
    <row r="18" spans="1:52" ht="18" customHeight="1" x14ac:dyDescent="0.25">
      <c r="A18" s="1"/>
      <c r="B18" s="20" t="s">
        <v>73</v>
      </c>
      <c r="C18" s="23">
        <f>'DRE + DCF'!C20+'DRE + DCF'!C75+'DRE + DCF'!C80</f>
        <v>90150</v>
      </c>
      <c r="D18" s="23">
        <f>'DRE + DCF'!D20+'DRE + DCF'!D75+'DRE + DCF'!D80</f>
        <v>109613</v>
      </c>
      <c r="E18" s="23">
        <f>'DRE + DCF'!E20+'DRE + DCF'!E75+'DRE + DCF'!E80</f>
        <v>120647</v>
      </c>
      <c r="F18" s="23">
        <f>'DRE + DCF'!F20+'DRE + DCF'!F75+'DRE + DCF'!F80</f>
        <v>137520</v>
      </c>
      <c r="G18" s="23">
        <f>'DRE + DCF'!G20+'DRE + DCF'!G75+'DRE + DCF'!G80</f>
        <v>134840</v>
      </c>
      <c r="H18" s="23">
        <f>'DRE + DCF'!H20+'DRE + DCF'!H75+'DRE + DCF'!H80</f>
        <v>117080</v>
      </c>
      <c r="I18" s="23">
        <f>'DRE + DCF'!I20+'DRE + DCF'!I75+'DRE + DCF'!I80</f>
        <v>125511</v>
      </c>
      <c r="J18" s="23">
        <f>'DRE + DCF'!J20+'DRE + DCF'!J75+'DRE + DCF'!J80</f>
        <v>141001</v>
      </c>
      <c r="K18" s="23">
        <f>'DRE + DCF'!K20+'DRE + DCF'!K75+'DRE + DCF'!K80</f>
        <v>150397</v>
      </c>
      <c r="L18" s="23">
        <f>'DRE + DCF'!L20+'DRE + DCF'!L75+'DRE + DCF'!L80</f>
        <v>142780</v>
      </c>
      <c r="M18" s="23">
        <f>'DRE + DCF'!M20+'DRE + DCF'!M75+'DRE + DCF'!M80</f>
        <v>11006</v>
      </c>
      <c r="N18" s="23">
        <f>'DRE + DCF'!N20+'DRE + DCF'!N75+'DRE + DCF'!N80</f>
        <v>362777</v>
      </c>
      <c r="O18" s="23">
        <f>'DRE + DCF'!O20+'DRE + DCF'!O75+'DRE + DCF'!O80</f>
        <v>384099</v>
      </c>
      <c r="P18" s="23">
        <f>'DRE + DCF'!P20+'DRE + DCF'!P75+'DRE + DCF'!P80</f>
        <v>335840</v>
      </c>
      <c r="Q18" s="23">
        <f>'DRE + DCF'!Q20+'DRE + DCF'!Q75+'DRE + DCF'!Q80</f>
        <v>-31216</v>
      </c>
      <c r="R18" s="23">
        <f>'DRE + DCF'!U20+'DRE + DCF'!U75+'DRE + DCF'!U80</f>
        <v>828781.24282368086</v>
      </c>
      <c r="S18" s="23">
        <f>'DRE + DCF'!V20+'DRE + DCF'!V75+'DRE + DCF'!V80</f>
        <v>992686.57323585078</v>
      </c>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row>
    <row r="19" spans="1:52" ht="18" customHeight="1" x14ac:dyDescent="0.25">
      <c r="A19" s="1"/>
      <c r="B19" s="20" t="s">
        <v>74</v>
      </c>
      <c r="C19" s="23">
        <f>'DRE + DCF'!C20+'DRE + DCF'!C75+'DRE + DCF'!C80-'DRE + DCF'!C21</f>
        <v>89522</v>
      </c>
      <c r="D19" s="23">
        <f>'DRE + DCF'!D20+'DRE + DCF'!D75+'DRE + DCF'!D80-'DRE + DCF'!D21</f>
        <v>109613</v>
      </c>
      <c r="E19" s="23">
        <f>'DRE + DCF'!E20+'DRE + DCF'!E75+'DRE + DCF'!E80-'DRE + DCF'!E21</f>
        <v>120647</v>
      </c>
      <c r="F19" s="23">
        <f>'DRE + DCF'!F20+'DRE + DCF'!F75+'DRE + DCF'!F80-'DRE + DCF'!F21</f>
        <v>136408</v>
      </c>
      <c r="G19" s="23">
        <f>'DRE + DCF'!G20+'DRE + DCF'!G75+'DRE + DCF'!G80-'DRE + DCF'!G21</f>
        <v>134840</v>
      </c>
      <c r="H19" s="23">
        <f>'DRE + DCF'!H20+'DRE + DCF'!H75+'DRE + DCF'!H80-'DRE + DCF'!H21</f>
        <v>117080</v>
      </c>
      <c r="I19" s="23">
        <f>'DRE + DCF'!I20+'DRE + DCF'!I75+'DRE + DCF'!I80-'DRE + DCF'!I21</f>
        <v>125511</v>
      </c>
      <c r="J19" s="23">
        <f>'DRE + DCF'!J20+'DRE + DCF'!J75+'DRE + DCF'!J80-'DRE + DCF'!J21</f>
        <v>141001</v>
      </c>
      <c r="K19" s="23">
        <f>'DRE + DCF'!K20+'DRE + DCF'!K75+'DRE + DCF'!K80-'DRE + DCF'!K21</f>
        <v>150397</v>
      </c>
      <c r="L19" s="23">
        <f>'DRE + DCF'!L20+'DRE + DCF'!L75+'DRE + DCF'!L80-'DRE + DCF'!L21</f>
        <v>88215</v>
      </c>
      <c r="M19" s="23">
        <f>'DRE + DCF'!M20+'DRE + DCF'!M75+'DRE + DCF'!M80-'DRE + DCF'!M21</f>
        <v>-41266</v>
      </c>
      <c r="N19" s="23">
        <f>'DRE + DCF'!N20+'DRE + DCF'!N75+'DRE + DCF'!N80-'DRE + DCF'!N21</f>
        <v>229515</v>
      </c>
      <c r="O19" s="23">
        <f>'DRE + DCF'!O20+'DRE + DCF'!O75+'DRE + DCF'!O80-'DRE + DCF'!O21</f>
        <v>288688</v>
      </c>
      <c r="P19" s="23">
        <f>'DRE + DCF'!P20+'DRE + DCF'!P75+'DRE + DCF'!P80-'DRE + DCF'!P21</f>
        <v>288185</v>
      </c>
      <c r="Q19" s="23">
        <f>'DRE + DCF'!Q20+'DRE + DCF'!Q75+'DRE + DCF'!Q80-'DRE + DCF'!Q21</f>
        <v>-35142</v>
      </c>
      <c r="R19" s="23">
        <f>'DRE + DCF'!U20+'DRE + DCF'!U75+'DRE + DCF'!U80-'DRE + DCF'!U21</f>
        <v>794564.24282368086</v>
      </c>
      <c r="S19" s="23">
        <f>'DRE + DCF'!V20+'DRE + DCF'!V75+'DRE + DCF'!V80-'DRE + DCF'!V21</f>
        <v>992686.57323585078</v>
      </c>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row>
    <row r="20" spans="1:52" ht="18" customHeight="1" x14ac:dyDescent="0.25">
      <c r="A20" s="1"/>
      <c r="B20" s="20" t="s">
        <v>54</v>
      </c>
      <c r="C20" s="23">
        <f>'Balanço Patrimonial'!C70+'Balanço Patrimonial'!C80+'Balanço Patrimonial'!C86+'Balanço Patrimonial'!C97</f>
        <v>46769</v>
      </c>
      <c r="D20" s="23">
        <f>'Balanço Patrimonial'!D70+'Balanço Patrimonial'!D80+'Balanço Patrimonial'!D86+'Balanço Patrimonial'!D97</f>
        <v>38659</v>
      </c>
      <c r="E20" s="23">
        <f>'Balanço Patrimonial'!E70+'Balanço Patrimonial'!E80+'Balanço Patrimonial'!E86+'Balanço Patrimonial'!E97</f>
        <v>94084</v>
      </c>
      <c r="F20" s="23">
        <f>'Balanço Patrimonial'!F70+'Balanço Patrimonial'!F80+'Balanço Patrimonial'!F86+'Balanço Patrimonial'!F97</f>
        <v>98418</v>
      </c>
      <c r="G20" s="23">
        <f>'Balanço Patrimonial'!G70+'Balanço Patrimonial'!G80+'Balanço Patrimonial'!G86+'Balanço Patrimonial'!G97</f>
        <v>99410</v>
      </c>
      <c r="H20" s="23">
        <f>'Balanço Patrimonial'!H70+'Balanço Patrimonial'!H80+'Balanço Patrimonial'!H86+'Balanço Patrimonial'!H97</f>
        <v>123153</v>
      </c>
      <c r="I20" s="23">
        <f>'Balanço Patrimonial'!I70+'Balanço Patrimonial'!I80+'Balanço Patrimonial'!I86+'Balanço Patrimonial'!I97</f>
        <v>106049</v>
      </c>
      <c r="J20" s="23">
        <f>'Balanço Patrimonial'!J70+'Balanço Patrimonial'!J80+'Balanço Patrimonial'!J86+'Balanço Patrimonial'!J97</f>
        <v>181745</v>
      </c>
      <c r="K20" s="23">
        <f>'Balanço Patrimonial'!K70+'Balanço Patrimonial'!K80+'Balanço Patrimonial'!K86+'Balanço Patrimonial'!K97</f>
        <v>111418</v>
      </c>
      <c r="L20" s="23">
        <f>'Balanço Patrimonial'!L70+'Balanço Patrimonial'!L80+'Balanço Patrimonial'!L86+'Balanço Patrimonial'!L97</f>
        <v>389842</v>
      </c>
      <c r="M20" s="23">
        <f>'Balanço Patrimonial'!M70+'Balanço Patrimonial'!M80+'Balanço Patrimonial'!M86+'Balanço Patrimonial'!M97</f>
        <v>847629</v>
      </c>
      <c r="N20" s="23">
        <f>'Balanço Patrimonial'!N70+'Balanço Patrimonial'!N80+'Balanço Patrimonial'!N86+'Balanço Patrimonial'!N97</f>
        <v>766490</v>
      </c>
      <c r="O20" s="23">
        <f>'Balanço Patrimonial'!O70+'Balanço Patrimonial'!O80+'Balanço Patrimonial'!O86+'Balanço Patrimonial'!O97</f>
        <v>776410</v>
      </c>
      <c r="P20" s="23">
        <f>'Balanço Patrimonial'!P70+'Balanço Patrimonial'!P80+'Balanço Patrimonial'!P86+'Balanço Patrimonial'!P97</f>
        <v>1596309</v>
      </c>
      <c r="Q20" s="23">
        <f>'Balanço Patrimonial'!Q70+'Balanço Patrimonial'!Q80+'Balanço Patrimonial'!Q86+'Balanço Patrimonial'!Q97</f>
        <v>3530401</v>
      </c>
      <c r="R20" s="23">
        <f>'Balanço Patrimonial'!R70+'Balanço Patrimonial'!R80+'Balanço Patrimonial'!R86+'Balanço Patrimonial'!R97</f>
        <v>4073275</v>
      </c>
      <c r="S20" s="23">
        <f>'Balanço Patrimonial'!S70+'Balanço Patrimonial'!S80+'Balanço Patrimonial'!S86+'Balanço Patrimonial'!S97</f>
        <v>3841779</v>
      </c>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row>
    <row r="21" spans="1:52" ht="18" customHeight="1" x14ac:dyDescent="0.25">
      <c r="A21" s="1"/>
      <c r="B21" s="20" t="s">
        <v>41</v>
      </c>
      <c r="C21" s="39">
        <f>C20/'Balanço Patrimonial'!C8</f>
        <v>0.17440967198198065</v>
      </c>
      <c r="D21" s="39">
        <f>D20/'Balanço Patrimonial'!D8</f>
        <v>7.5708735126158375E-2</v>
      </c>
      <c r="E21" s="39">
        <f>E20/'Balanço Patrimonial'!E8</f>
        <v>0.14779348121478311</v>
      </c>
      <c r="F21" s="39">
        <f>F20/'Balanço Patrimonial'!F8</f>
        <v>0.13982490985500082</v>
      </c>
      <c r="G21" s="39">
        <f>G20/'Balanço Patrimonial'!G8</f>
        <v>0.1248071271008865</v>
      </c>
      <c r="H21" s="39">
        <f>H20/'Balanço Patrimonial'!H8</f>
        <v>0.14421604125778151</v>
      </c>
      <c r="I21" s="39">
        <f>I20/'Balanço Patrimonial'!I8</f>
        <v>0.11690374668742036</v>
      </c>
      <c r="J21" s="39">
        <f>J20/'Balanço Patrimonial'!J8</f>
        <v>0.17310712744749734</v>
      </c>
      <c r="K21" s="39">
        <f>K20/'Balanço Patrimonial'!K8</f>
        <v>0.10661683087216468</v>
      </c>
      <c r="L21" s="39">
        <f>L20/'Balanço Patrimonial'!L8</f>
        <v>0.27584806357549163</v>
      </c>
      <c r="M21" s="39">
        <f>M20/'Balanço Patrimonial'!M8</f>
        <v>0.2992464373911094</v>
      </c>
      <c r="N21" s="39">
        <f>N20/'Balanço Patrimonial'!N8</f>
        <v>0.22769333689012888</v>
      </c>
      <c r="O21" s="39">
        <f>O20/'Balanço Patrimonial'!O8</f>
        <v>0.16663790675952253</v>
      </c>
      <c r="P21" s="39">
        <f>P20/'Balanço Patrimonial'!P8</f>
        <v>0.26712427107262765</v>
      </c>
      <c r="Q21" s="39">
        <f>Q20/'Balanço Patrimonial'!Q8</f>
        <v>0.23144790276620944</v>
      </c>
      <c r="R21" s="39">
        <f>R20/'Balanço Patrimonial'!R8</f>
        <v>0.26547959956673628</v>
      </c>
      <c r="S21" s="39">
        <f>S20/'Balanço Patrimonial'!S8</f>
        <v>0.24758465407559899</v>
      </c>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row>
    <row r="22" spans="1:52" ht="18" customHeight="1" x14ac:dyDescent="0.25">
      <c r="A22" s="1"/>
      <c r="B22" s="20" t="s">
        <v>42</v>
      </c>
      <c r="C22" s="39">
        <f>C20/'Balanço Patrimonial'!C115</f>
        <v>0.31985802021638921</v>
      </c>
      <c r="D22" s="39">
        <f>D20/'Balanço Patrimonial'!D115</f>
        <v>0.10066215853788729</v>
      </c>
      <c r="E22" s="39">
        <f>E20/'Balanço Patrimonial'!E115</f>
        <v>0.20727959303721752</v>
      </c>
      <c r="F22" s="39">
        <f>F20/'Balanço Patrimonial'!F115</f>
        <v>0.19127301561388574</v>
      </c>
      <c r="G22" s="39">
        <f>G20/'Balanço Patrimonial'!G115</f>
        <v>0.17249905863857448</v>
      </c>
      <c r="H22" s="39">
        <f>H20/'Balanço Patrimonial'!H115</f>
        <v>0.19930733688835661</v>
      </c>
      <c r="I22" s="39">
        <f>I20/'Balanço Patrimonial'!I115</f>
        <v>0.15835323033183565</v>
      </c>
      <c r="J22" s="39">
        <f>J20/'Balanço Patrimonial'!J115</f>
        <v>0.27331719201154958</v>
      </c>
      <c r="K22" s="39">
        <f>K20/'Balanço Patrimonial'!K115</f>
        <v>0.15663070646749383</v>
      </c>
      <c r="L22" s="39">
        <f>L20/'Balanço Patrimonial'!L115</f>
        <v>0.52252667641551542</v>
      </c>
      <c r="M22" s="39">
        <f>M20/'Balanço Patrimonial'!M115</f>
        <v>0.628526535354891</v>
      </c>
      <c r="N22" s="39">
        <f>N20/'Balanço Patrimonial'!N115</f>
        <v>0.48146175328484941</v>
      </c>
      <c r="O22" s="39">
        <f>O20/'Balanço Patrimonial'!O115</f>
        <v>0.29247798061699098</v>
      </c>
      <c r="P22" s="39">
        <f>P20/'Balanço Patrimonial'!P115</f>
        <v>0.5449829452674696</v>
      </c>
      <c r="Q22" s="39">
        <f>Q20/'Balanço Patrimonial'!Q115</f>
        <v>0.45719644535821546</v>
      </c>
      <c r="R22" s="39">
        <f>R20/'Balanço Patrimonial'!R115</f>
        <v>0.52992370680610013</v>
      </c>
      <c r="S22" s="39">
        <f>S20/'Balanço Patrimonial'!S115</f>
        <v>0.46066993079241225</v>
      </c>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row>
    <row r="23" spans="1:52" ht="18" customHeight="1" x14ac:dyDescent="0.25">
      <c r="A23" s="1"/>
      <c r="B23" s="20" t="s">
        <v>43</v>
      </c>
      <c r="C23" s="39">
        <f>C20/(C20+'Balanço Patrimonial'!C115)</f>
        <v>0.24234274847528589</v>
      </c>
      <c r="D23" s="39">
        <f>D20/(D20+'Balanço Patrimonial'!D115)</f>
        <v>9.1456000151405467E-2</v>
      </c>
      <c r="E23" s="39">
        <f>E20/(E20+'Balanço Patrimonial'!E115)</f>
        <v>0.17169145758171331</v>
      </c>
      <c r="F23" s="39">
        <f>F20/(F20+'Balanço Patrimonial'!F115)</f>
        <v>0.16056186374314801</v>
      </c>
      <c r="G23" s="39">
        <f>G20/(G20+'Balanço Patrimonial'!G115)</f>
        <v>0.14712085043280851</v>
      </c>
      <c r="H23" s="39">
        <f>H20/(H20+'Balanço Patrimonial'!H115)</f>
        <v>0.1661853728048277</v>
      </c>
      <c r="I23" s="39">
        <f>I20/(I20+'Balanço Patrimonial'!I115)</f>
        <v>0.13670547652072582</v>
      </c>
      <c r="J23" s="39">
        <f>J20/(J20+'Balanço Patrimonial'!J115)</f>
        <v>0.21464973042559096</v>
      </c>
      <c r="K23" s="39">
        <f>K20/(K20+'Balanço Patrimonial'!K115)</f>
        <v>0.1354198065049346</v>
      </c>
      <c r="L23" s="39">
        <f>L20/(L20+'Balanço Patrimonial'!L115)</f>
        <v>0.34319705822540986</v>
      </c>
      <c r="M23" s="39">
        <f>M20/(M20+'Balanço Patrimonial'!M115)</f>
        <v>0.38594798531662955</v>
      </c>
      <c r="N23" s="39">
        <f>N20/(N20+'Balanço Patrimonial'!N115)</f>
        <v>0.32499101122071017</v>
      </c>
      <c r="O23" s="39">
        <f>O20/(O20+'Balanço Patrimonial'!O115)</f>
        <v>0.22629242819082351</v>
      </c>
      <c r="P23" s="39">
        <f>P20/(P20+'Balanço Patrimonial'!P115)</f>
        <v>0.35274366421767939</v>
      </c>
      <c r="Q23" s="39">
        <f>Q20/(Q20+'Balanço Patrimonial'!Q115)</f>
        <v>0.31375072785455849</v>
      </c>
      <c r="R23" s="39">
        <f>R20/(R20+'Balanço Patrimonial'!R115)</f>
        <v>0.34637263573905896</v>
      </c>
      <c r="S23" s="39">
        <f>S20/(S20+'Balanço Patrimonial'!S115)</f>
        <v>0.3153826344206998</v>
      </c>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row>
    <row r="24" spans="1:52" ht="18" customHeight="1" x14ac:dyDescent="0.25">
      <c r="A24" s="1"/>
      <c r="B24" s="20" t="s">
        <v>68</v>
      </c>
      <c r="C24" s="23">
        <f>C20-'Balanço Patrimonial'!C12-'Balanço Patrimonial'!C13</f>
        <v>33765</v>
      </c>
      <c r="D24" s="23">
        <f>D20-'Balanço Patrimonial'!D12-'Balanço Patrimonial'!D13</f>
        <v>-134891</v>
      </c>
      <c r="E24" s="23">
        <f>E20-'Balanço Patrimonial'!E12-'Balanço Patrimonial'!E13</f>
        <v>-108070</v>
      </c>
      <c r="F24" s="23">
        <f>F20-'Balanço Patrimonial'!F12-'Balanço Patrimonial'!F13</f>
        <v>-87273</v>
      </c>
      <c r="G24" s="23">
        <f>G20-'Balanço Patrimonial'!G12-'Balanço Patrimonial'!G13</f>
        <v>-100975</v>
      </c>
      <c r="H24" s="23">
        <f>H20-'Balanço Patrimonial'!H12-'Balanço Patrimonial'!H13</f>
        <v>-102609</v>
      </c>
      <c r="I24" s="23">
        <f>I20-'Balanço Patrimonial'!I12-'Balanço Patrimonial'!I13</f>
        <v>-136795</v>
      </c>
      <c r="J24" s="23">
        <f>J20-'Balanço Patrimonial'!J12-'Balanço Patrimonial'!J13</f>
        <v>-156175</v>
      </c>
      <c r="K24" s="23">
        <f>K20-'Balanço Patrimonial'!K12-'Balanço Patrimonial'!K13</f>
        <v>-124383</v>
      </c>
      <c r="L24" s="23">
        <f>L20-'Balanço Patrimonial'!L12-'Balanço Patrimonial'!L13</f>
        <v>112159</v>
      </c>
      <c r="M24" s="23">
        <f>M20-'Balanço Patrimonial'!M12-'Balanço Patrimonial'!M13</f>
        <v>286464</v>
      </c>
      <c r="N24" s="23">
        <f>N20-'Balanço Patrimonial'!N12-'Balanço Patrimonial'!N13</f>
        <v>503931</v>
      </c>
      <c r="O24" s="23">
        <f>O20-'Balanço Patrimonial'!O12-'Balanço Patrimonial'!O13</f>
        <v>299976</v>
      </c>
      <c r="P24" s="23">
        <f>P20-'Balanço Patrimonial'!P12-'Balanço Patrimonial'!P13</f>
        <v>846595</v>
      </c>
      <c r="Q24" s="23">
        <f>Q20-'Balanço Patrimonial'!Q12-'Balanço Patrimonial'!Q13</f>
        <v>2755858</v>
      </c>
      <c r="R24" s="23">
        <f>R20-'Balanço Patrimonial'!R12-'Balanço Patrimonial'!R13</f>
        <v>2969903</v>
      </c>
      <c r="S24" s="23">
        <f>S20-'Balanço Patrimonial'!S12-'Balanço Patrimonial'!S13</f>
        <v>3018617</v>
      </c>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row>
    <row r="25" spans="1:52" ht="18" customHeight="1" x14ac:dyDescent="0.25">
      <c r="A25" s="1"/>
      <c r="B25" s="20" t="s">
        <v>69</v>
      </c>
      <c r="C25" s="39">
        <f>C24/C19</f>
        <v>0.37716985768861283</v>
      </c>
      <c r="D25" s="39">
        <f t="shared" ref="D25:Q25" si="2">D24/D19</f>
        <v>-1.2306113325974108</v>
      </c>
      <c r="E25" s="39">
        <f t="shared" si="2"/>
        <v>-0.89575372781751716</v>
      </c>
      <c r="F25" s="39">
        <f t="shared" si="2"/>
        <v>-0.63979385373291886</v>
      </c>
      <c r="G25" s="39">
        <f t="shared" si="2"/>
        <v>-0.74885048946900035</v>
      </c>
      <c r="H25" s="39">
        <f t="shared" si="2"/>
        <v>-0.87640075162282205</v>
      </c>
      <c r="I25" s="39">
        <f t="shared" si="2"/>
        <v>-1.0899044705244958</v>
      </c>
      <c r="J25" s="39">
        <f t="shared" si="2"/>
        <v>-1.1076162580407232</v>
      </c>
      <c r="K25" s="39">
        <f t="shared" si="2"/>
        <v>-0.82703112429104308</v>
      </c>
      <c r="L25" s="39">
        <f t="shared" si="2"/>
        <v>1.2714277617185286</v>
      </c>
      <c r="M25" s="39">
        <f t="shared" si="2"/>
        <v>-6.9418892066107691</v>
      </c>
      <c r="N25" s="39">
        <f t="shared" si="2"/>
        <v>2.1956342722697864</v>
      </c>
      <c r="O25" s="39">
        <f t="shared" si="2"/>
        <v>1.0391010364130133</v>
      </c>
      <c r="P25" s="39">
        <f t="shared" si="2"/>
        <v>2.937678921526103</v>
      </c>
      <c r="Q25" s="39">
        <f t="shared" si="2"/>
        <v>-78.420636275681517</v>
      </c>
      <c r="R25" s="39">
        <f t="shared" ref="R25:S25" si="3">R24/R19</f>
        <v>3.737775802049327</v>
      </c>
      <c r="S25" s="39">
        <f t="shared" si="3"/>
        <v>3.0408560782284417</v>
      </c>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row>
    <row r="26" spans="1:52" ht="18" customHeight="1" collapsed="1" x14ac:dyDescent="0.25">
      <c r="A26" s="1"/>
      <c r="B26" s="20" t="s">
        <v>70</v>
      </c>
      <c r="C26" s="39">
        <f>-'DRE + DCF'!C22/'DRE + DCF'!C34</f>
        <v>11.449577744659711</v>
      </c>
      <c r="D26" s="39">
        <f>-'DRE + DCF'!D22/'DRE + DCF'!D34</f>
        <v>12.416275259421081</v>
      </c>
      <c r="E26" s="39">
        <f>-'DRE + DCF'!E22/'DRE + DCF'!E34</f>
        <v>10.394438138479002</v>
      </c>
      <c r="F26" s="39">
        <f>-'DRE + DCF'!F22/'DRE + DCF'!F34</f>
        <v>11.910295781477291</v>
      </c>
      <c r="G26" s="39">
        <f>-'DRE + DCF'!G22/'DRE + DCF'!G34</f>
        <v>9.8871527777777786</v>
      </c>
      <c r="H26" s="39">
        <f>-'DRE + DCF'!H22/'DRE + DCF'!H34</f>
        <v>8.7468581687612215</v>
      </c>
      <c r="I26" s="39">
        <f>-'DRE + DCF'!I22/'DRE + DCF'!I34</f>
        <v>6.7471910112359552</v>
      </c>
      <c r="J26" s="39">
        <f>-'DRE + DCF'!J22/'DRE + DCF'!J34</f>
        <v>8.7768791386544009</v>
      </c>
      <c r="K26" s="39">
        <f>-'DRE + DCF'!K22/'DRE + DCF'!K34</f>
        <v>7.1820298126384561</v>
      </c>
      <c r="L26" s="39">
        <f>-'DRE + DCF'!L22/'DRE + DCF'!L34</f>
        <v>5.6849827970046549</v>
      </c>
      <c r="M26" s="39">
        <f>-'DRE + DCF'!M22/'DRE + DCF'!M34</f>
        <v>0.77197504069451983</v>
      </c>
      <c r="N26" s="39">
        <f>-'DRE + DCF'!N22/'DRE + DCF'!N34</f>
        <v>3.7879828714113009</v>
      </c>
      <c r="O26" s="39">
        <f>-'DRE + DCF'!O22/'DRE + DCF'!O34</f>
        <v>3.6415603552523046</v>
      </c>
      <c r="P26" s="39">
        <f>-'DRE + DCF'!P22/'DRE + DCF'!P34</f>
        <v>2.4067626617444859</v>
      </c>
      <c r="Q26" s="39">
        <f>-'DRE + DCF'!Q22/'DRE + DCF'!Q34</f>
        <v>0.81573802751544633</v>
      </c>
      <c r="R26" s="39">
        <f>-'DRE + DCF'!R22/'DRE + DCF'!R34</f>
        <v>1.3659719687164682</v>
      </c>
      <c r="S26" s="39">
        <f>-'DRE + DCF'!S22/'DRE + DCF'!S34</f>
        <v>1.6974588810703053</v>
      </c>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row>
    <row r="27" spans="1:52" ht="18" customHeight="1" x14ac:dyDescent="0.25">
      <c r="A27" s="1"/>
      <c r="B27" s="20" t="s">
        <v>71</v>
      </c>
      <c r="C27" s="39">
        <f>-DFC!C8/'DRE + DCF'!C34</f>
        <v>2.5406110283159462</v>
      </c>
      <c r="D27" s="39">
        <f>-DFC!D8/'DRE + DCF'!D34</f>
        <v>4.7010376843255051</v>
      </c>
      <c r="E27" s="39">
        <f>-DFC!E8/'DRE + DCF'!E34</f>
        <v>3.9003567374736501</v>
      </c>
      <c r="F27" s="39">
        <f>-DFC!F8/'DRE + DCF'!F34</f>
        <v>5.2553741716502342</v>
      </c>
      <c r="G27" s="39">
        <f>-DFC!G8/'DRE + DCF'!G34</f>
        <v>7.3427483974358978</v>
      </c>
      <c r="H27" s="39">
        <f>-DFC!H8/'DRE + DCF'!H34</f>
        <v>5.6489197053178977</v>
      </c>
      <c r="I27" s="39">
        <f>-DFC!I8/'DRE + DCF'!I34</f>
        <v>4.5349117174959872</v>
      </c>
      <c r="J27" s="39">
        <f>-DFC!J8/'DRE + DCF'!J34</f>
        <v>8.6857402820603546</v>
      </c>
      <c r="K27" s="39">
        <f>-DFC!K8/'DRE + DCF'!K34</f>
        <v>4.4244358502609549</v>
      </c>
      <c r="L27" s="39">
        <f>-DFC!L8/'DRE + DCF'!L34</f>
        <v>6.9109492005666873</v>
      </c>
      <c r="M27" s="39">
        <f>-DFC!M8/'DRE + DCF'!M34</f>
        <v>4.2693589644213628</v>
      </c>
      <c r="N27" s="39">
        <f>-DFC!N8/'DRE + DCF'!N34</f>
        <v>2.7335464991469602</v>
      </c>
      <c r="O27" s="39">
        <f>-DFC!O8/'DRE + DCF'!O34</f>
        <v>1.1071603039985904</v>
      </c>
      <c r="P27" s="39">
        <f>-DFC!P8/'DRE + DCF'!P34</f>
        <v>1.9427796508014239</v>
      </c>
      <c r="Q27" s="39">
        <f>-DFC!Q8/'DRE + DCF'!Q34</f>
        <v>0.78188509164654429</v>
      </c>
      <c r="R27" s="39">
        <f>-DFC!R8/'DRE + DCF'!R34</f>
        <v>0</v>
      </c>
      <c r="S27" s="39">
        <f>-DFC!S8/'DRE + DCF'!S34</f>
        <v>0</v>
      </c>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row>
    <row r="28" spans="1:52" ht="18" customHeight="1" x14ac:dyDescent="0.25">
      <c r="A28" s="1"/>
      <c r="B28" s="20" t="s">
        <v>48</v>
      </c>
      <c r="C28" s="28">
        <f>-'DRE + DCF'!C34/C20</f>
        <v>0.17216532318416045</v>
      </c>
      <c r="D28" s="28">
        <f>-'DRE + DCF'!D34/D20</f>
        <v>0.2368141959181562</v>
      </c>
      <c r="E28" s="28">
        <f>-'DRE + DCF'!E34/E20</f>
        <v>0.13109561668296416</v>
      </c>
      <c r="F28" s="28">
        <f>-'DRE + DCF'!F34/F20</f>
        <v>0.1257290333069154</v>
      </c>
      <c r="G28" s="28">
        <f>-'DRE + DCF'!G34/G20</f>
        <v>0.15064882808570568</v>
      </c>
      <c r="H28" s="28">
        <f>-'DRE + DCF'!H34/H20</f>
        <v>0.13116205045756091</v>
      </c>
      <c r="I28" s="28">
        <f>-'DRE + DCF'!I34/I20</f>
        <v>0.2114871427359051</v>
      </c>
      <c r="J28" s="28">
        <f>-'DRE + DCF'!J34/J20</f>
        <v>0.1088503122506809</v>
      </c>
      <c r="K28" s="28">
        <f>-'DRE + DCF'!K34/K20</f>
        <v>0.23903678041250068</v>
      </c>
      <c r="L28" s="28">
        <f>-'DRE + DCF'!L34/L20</f>
        <v>7.6046193073091156E-2</v>
      </c>
      <c r="M28" s="28">
        <f>-'DRE + DCF'!M34/M20</f>
        <v>6.0880408763739798E-2</v>
      </c>
      <c r="N28" s="28">
        <f>-'DRE + DCF'!N34/N20</f>
        <v>0.11547052146799044</v>
      </c>
      <c r="O28" s="28">
        <f>-'DRE + DCF'!O34/O20</f>
        <v>0.16082868587473115</v>
      </c>
      <c r="P28" s="28">
        <f>-'DRE + DCF'!P34/P20</f>
        <v>0.1330394052780508</v>
      </c>
      <c r="Q28" s="28">
        <f>-'DRE + DCF'!Q34/Q20</f>
        <v>0.13185017792596365</v>
      </c>
      <c r="R28" s="28">
        <f>-'DRE + DCF'!U34/R20</f>
        <v>0</v>
      </c>
      <c r="S28" s="28">
        <f>-'DRE + DCF'!V34/S20</f>
        <v>0</v>
      </c>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row>
    <row r="29" spans="1:52" ht="18" customHeight="1" x14ac:dyDescent="0.25">
      <c r="A29" s="1"/>
      <c r="B29" s="20" t="s">
        <v>80</v>
      </c>
      <c r="C29" s="28">
        <f>C28*(1-34%)</f>
        <v>0.11362911330154588</v>
      </c>
      <c r="D29" s="28">
        <f t="shared" ref="D29:Q29" si="4">D28*(1-34%)</f>
        <v>0.15629736930598306</v>
      </c>
      <c r="E29" s="28">
        <f t="shared" si="4"/>
        <v>8.6523107010756328E-2</v>
      </c>
      <c r="F29" s="28">
        <f t="shared" si="4"/>
        <v>8.2981161982564153E-2</v>
      </c>
      <c r="G29" s="28">
        <f t="shared" si="4"/>
        <v>9.9428226536565731E-2</v>
      </c>
      <c r="H29" s="28">
        <f t="shared" si="4"/>
        <v>8.6566953301990185E-2</v>
      </c>
      <c r="I29" s="28">
        <f t="shared" si="4"/>
        <v>0.13958151420569734</v>
      </c>
      <c r="J29" s="28">
        <f t="shared" si="4"/>
        <v>7.1841206085449388E-2</v>
      </c>
      <c r="K29" s="28">
        <f t="shared" si="4"/>
        <v>0.15776427507225044</v>
      </c>
      <c r="L29" s="28">
        <f t="shared" si="4"/>
        <v>5.0190487428240158E-2</v>
      </c>
      <c r="M29" s="28">
        <f t="shared" si="4"/>
        <v>4.0181069784068262E-2</v>
      </c>
      <c r="N29" s="28">
        <f t="shared" si="4"/>
        <v>7.6210544168873684E-2</v>
      </c>
      <c r="O29" s="28">
        <f t="shared" si="4"/>
        <v>0.10614693267732254</v>
      </c>
      <c r="P29" s="28">
        <f t="shared" si="4"/>
        <v>8.7806007483513526E-2</v>
      </c>
      <c r="Q29" s="28">
        <f t="shared" si="4"/>
        <v>8.7021117431135997E-2</v>
      </c>
      <c r="R29" s="28">
        <f t="shared" ref="R29:S29" si="5">R28*(1-34%)</f>
        <v>0</v>
      </c>
      <c r="S29" s="28">
        <f t="shared" si="5"/>
        <v>0</v>
      </c>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row>
    <row r="30" spans="1:52" ht="18" customHeight="1" x14ac:dyDescent="0.25">
      <c r="A30" s="1"/>
      <c r="B30" s="20" t="s">
        <v>79</v>
      </c>
      <c r="C30" s="28">
        <f>('DRE + DCF'!C30+'DRE + DCF'!C31)/('Balanço Patrimonial'!C12+'Balanço Patrimonial'!C13)</f>
        <v>0.26407259304829284</v>
      </c>
      <c r="D30" s="28">
        <f>('DRE + DCF'!D30+'DRE + DCF'!D31)/('Balanço Patrimonial'!D12+'Balanço Patrimonial'!D13)</f>
        <v>0.11034860270815328</v>
      </c>
      <c r="E30" s="28">
        <f>('DRE + DCF'!E30+'DRE + DCF'!E31)/('Balanço Patrimonial'!E12+'Balanço Patrimonial'!E13)</f>
        <v>7.9300928994726794E-2</v>
      </c>
      <c r="F30" s="28">
        <f>('DRE + DCF'!F30+'DRE + DCF'!F31)/('Balanço Patrimonial'!F12+'Balanço Patrimonial'!F13)</f>
        <v>0.10075878744796463</v>
      </c>
      <c r="G30" s="28">
        <f>('DRE + DCF'!G30+'DRE + DCF'!G31)/('Balanço Patrimonial'!G12+'Balanço Patrimonial'!G13)</f>
        <v>0.12007884821718193</v>
      </c>
      <c r="H30" s="28">
        <f>('DRE + DCF'!H30+'DRE + DCF'!H31)/('Balanço Patrimonial'!H12+'Balanço Patrimonial'!H13)</f>
        <v>0.13034966026169151</v>
      </c>
      <c r="I30" s="28">
        <f>('DRE + DCF'!I30+'DRE + DCF'!I31)/('Balanço Patrimonial'!I12+'Balanço Patrimonial'!I13)</f>
        <v>0.13504966151109354</v>
      </c>
      <c r="J30" s="28">
        <f>('DRE + DCF'!J30+'DRE + DCF'!J31)/('Balanço Patrimonial'!J12+'Balanço Patrimonial'!J13)</f>
        <v>8.3939985795454544E-2</v>
      </c>
      <c r="K30" s="28">
        <f>('DRE + DCF'!K30+'DRE + DCF'!K31)/('Balanço Patrimonial'!K12+'Balanço Patrimonial'!K13)</f>
        <v>8.7938558360651564E-2</v>
      </c>
      <c r="L30" s="28">
        <f>('DRE + DCF'!L30+'DRE + DCF'!L31)/('Balanço Patrimonial'!L12+'Balanço Patrimonial'!L13)</f>
        <v>5.2758001029951422E-2</v>
      </c>
      <c r="M30" s="28">
        <f>('DRE + DCF'!M30+'DRE + DCF'!M31)/('Balanço Patrimonial'!M12+'Balanço Patrimonial'!M13)</f>
        <v>2.3452995108390582E-2</v>
      </c>
      <c r="N30" s="28">
        <f>('DRE + DCF'!N30+'DRE + DCF'!N31)/('Balanço Patrimonial'!N12+'Balanço Patrimonial'!N13)</f>
        <v>6.5908995692396763E-2</v>
      </c>
      <c r="O30" s="28">
        <f>('DRE + DCF'!O30+'DRE + DCF'!O31)/('Balanço Patrimonial'!O12+'Balanço Patrimonial'!O13)</f>
        <v>0.136600242635916</v>
      </c>
      <c r="P30" s="28">
        <f>('DRE + DCF'!P30+'DRE + DCF'!P31)/('Balanço Patrimonial'!P12+'Balanço Patrimonial'!P13)</f>
        <v>8.6954491979608223E-2</v>
      </c>
      <c r="Q30" s="28">
        <f>('DRE + DCF'!Q30+'DRE + DCF'!Q31)/('Balanço Patrimonial'!Q12+'Balanço Patrimonial'!Q13)</f>
        <v>0.11179753738656215</v>
      </c>
      <c r="R30" s="28">
        <f>('DRE + DCF'!U30+'DRE + DCF'!U31)/('Balanço Patrimonial'!R12+'Balanço Patrimonial'!R13)</f>
        <v>0</v>
      </c>
      <c r="S30" s="28">
        <f>('DRE + DCF'!V30+'DRE + DCF'!V31)/('Balanço Patrimonial'!S12+'Balanço Patrimonial'!S13)</f>
        <v>0</v>
      </c>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row>
    <row r="31" spans="1:52" ht="18" customHeight="1" x14ac:dyDescent="0.25">
      <c r="A31" s="1"/>
      <c r="B31" s="20" t="s">
        <v>65</v>
      </c>
      <c r="C31" s="57">
        <f>'Balanço Patrimonial'!C16*365/'DRE + DCF'!C8</f>
        <v>67.79207061064686</v>
      </c>
      <c r="D31" s="57">
        <f>'Balanço Patrimonial'!D16*365/'DRE + DCF'!D8</f>
        <v>75.989498260529857</v>
      </c>
      <c r="E31" s="57">
        <f>'Balanço Patrimonial'!E16*365/'DRE + DCF'!E8</f>
        <v>68.722814935471973</v>
      </c>
      <c r="F31" s="57">
        <f>'Balanço Patrimonial'!F16*365/'DRE + DCF'!F8</f>
        <v>73.320241704103211</v>
      </c>
      <c r="G31" s="57">
        <f>'Balanço Patrimonial'!G16*365/'DRE + DCF'!G8</f>
        <v>74.697068104079918</v>
      </c>
      <c r="H31" s="57">
        <f>'Balanço Patrimonial'!H16*365/'DRE + DCF'!H8</f>
        <v>71.370771730425133</v>
      </c>
      <c r="I31" s="57">
        <f>'Balanço Patrimonial'!I16*365/'DRE + DCF'!I8</f>
        <v>74.050884504490242</v>
      </c>
      <c r="J31" s="57">
        <f>'Balanço Patrimonial'!J16*365/'DRE + DCF'!J8</f>
        <v>73.256410699320313</v>
      </c>
      <c r="K31" s="57">
        <f>'Balanço Patrimonial'!K16*365/'DRE + DCF'!K8</f>
        <v>74.873038877288067</v>
      </c>
      <c r="L31" s="57">
        <f>'Balanço Patrimonial'!L16*365/'DRE + DCF'!L8</f>
        <v>73.110741697025432</v>
      </c>
      <c r="M31" s="57">
        <f>'Balanço Patrimonial'!M16*365/'DRE + DCF'!M8</f>
        <v>108.11722741637972</v>
      </c>
      <c r="N31" s="57">
        <f>'Balanço Patrimonial'!N16*365/'DRE + DCF'!N8</f>
        <v>79.085624939341045</v>
      </c>
      <c r="O31" s="57">
        <f>'Balanço Patrimonial'!O16*365/'DRE + DCF'!O8</f>
        <v>60.54934511125888</v>
      </c>
      <c r="P31" s="57">
        <f>'Balanço Patrimonial'!P16*365/'DRE + DCF'!P8</f>
        <v>67.479955463338484</v>
      </c>
      <c r="Q31" s="57">
        <f>'Balanço Patrimonial'!Q16*365/'DRE + DCF'!Q8</f>
        <v>101.12666685555105</v>
      </c>
      <c r="R31" s="57">
        <f>'Balanço Patrimonial'!R16*365/'DRE + DCF'!U8</f>
        <v>57.856100568672808</v>
      </c>
      <c r="S31" s="57">
        <f>'Balanço Patrimonial'!S16*365/'DRE + DCF'!V8</f>
        <v>54.457836547509103</v>
      </c>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row>
    <row r="32" spans="1:52" ht="18" customHeight="1" x14ac:dyDescent="0.25">
      <c r="A32" s="1"/>
      <c r="B32" s="20" t="s">
        <v>66</v>
      </c>
      <c r="C32" s="57">
        <f>'Balanço Patrimonial'!C18*365/-'DRE + DCF'!C11</f>
        <v>52.472696567064055</v>
      </c>
      <c r="D32" s="57">
        <f>'Balanço Patrimonial'!D18*365/-'DRE + DCF'!D11</f>
        <v>52.694480015497518</v>
      </c>
      <c r="E32" s="57">
        <f>'Balanço Patrimonial'!E18*365/-'DRE + DCF'!E11</f>
        <v>57.351546859843559</v>
      </c>
      <c r="F32" s="57">
        <f>'Balanço Patrimonial'!F18*365/-'DRE + DCF'!F11</f>
        <v>57.824284605404479</v>
      </c>
      <c r="G32" s="57">
        <f>'Balanço Patrimonial'!G18*365/-'DRE + DCF'!G11</f>
        <v>59.339333344377991</v>
      </c>
      <c r="H32" s="57">
        <f>'Balanço Patrimonial'!H18*365/-'DRE + DCF'!H11</f>
        <v>60.554767023755232</v>
      </c>
      <c r="I32" s="57">
        <f>'Balanço Patrimonial'!I18*365/-'DRE + DCF'!I11</f>
        <v>58.456595135825488</v>
      </c>
      <c r="J32" s="57">
        <f>'Balanço Patrimonial'!J18*365/-'DRE + DCF'!J11</f>
        <v>56.227972895564854</v>
      </c>
      <c r="K32" s="57">
        <f>'Balanço Patrimonial'!K18*365/-'DRE + DCF'!K11</f>
        <v>67.481791989333161</v>
      </c>
      <c r="L32" s="57">
        <f>'Balanço Patrimonial'!L18*365/-'DRE + DCF'!L11</f>
        <v>72.511524103499454</v>
      </c>
      <c r="M32" s="57">
        <f>'Balanço Patrimonial'!M18*365/-'DRE + DCF'!M11</f>
        <v>127.03961214627311</v>
      </c>
      <c r="N32" s="57">
        <f>'Balanço Patrimonial'!N18*365/-'DRE + DCF'!N11</f>
        <v>118.70780141024743</v>
      </c>
      <c r="O32" s="57">
        <f>'Balanço Patrimonial'!O18*365/-'DRE + DCF'!O11</f>
        <v>144.50697710672111</v>
      </c>
      <c r="P32" s="57">
        <f>'Balanço Patrimonial'!P18*365/-'DRE + DCF'!P11</f>
        <v>136.36756568834386</v>
      </c>
      <c r="Q32" s="57">
        <f>'Balanço Patrimonial'!Q18*365/-'DRE + DCF'!Q11</f>
        <v>206.87897668577759</v>
      </c>
      <c r="R32" s="57">
        <f>'Balanço Patrimonial'!R18*365/-'DRE + DCF'!U11</f>
        <v>161.92479342794124</v>
      </c>
      <c r="S32" s="57">
        <f>'Balanço Patrimonial'!S18*365/-'DRE + DCF'!V11</f>
        <v>144.71543620812329</v>
      </c>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row>
    <row r="33" spans="1:52" ht="18" customHeight="1" x14ac:dyDescent="0.25">
      <c r="A33" s="1"/>
      <c r="B33" s="20" t="s">
        <v>67</v>
      </c>
      <c r="C33" s="57">
        <f>-('Balanço Patrimonial'!C61+'Balanço Patrimonial'!C58)*365/('DRE + DCF'!C11+'DRE + DCF'!C14-'DRE + DCF'!C75-'DRE + DCF'!C80)</f>
        <v>33.829791927064186</v>
      </c>
      <c r="D33" s="57">
        <f>-('Balanço Patrimonial'!D61+'Balanço Patrimonial'!D58)*365/('DRE + DCF'!D11+'DRE + DCF'!D14-'DRE + DCF'!D75-'DRE + DCF'!D80)</f>
        <v>33.917322133084333</v>
      </c>
      <c r="E33" s="57">
        <f>-('Balanço Patrimonial'!E61+'Balanço Patrimonial'!E58)*365/('DRE + DCF'!E11+'DRE + DCF'!E14-'DRE + DCF'!E75-'DRE + DCF'!E80)</f>
        <v>27.823384011526805</v>
      </c>
      <c r="F33" s="57">
        <f>-('Balanço Patrimonial'!F61+'Balanço Patrimonial'!F58)*365/('DRE + DCF'!F11+'DRE + DCF'!F14-'DRE + DCF'!F75-'DRE + DCF'!F80)</f>
        <v>23.508836450982589</v>
      </c>
      <c r="G33" s="57">
        <f>-('Balanço Patrimonial'!G61+'Balanço Patrimonial'!G58)*365/('DRE + DCF'!G11+'DRE + DCF'!G14-'DRE + DCF'!G75-'DRE + DCF'!G80)</f>
        <v>37.025674931500241</v>
      </c>
      <c r="H33" s="57">
        <f>-('Balanço Patrimonial'!H61+'Balanço Patrimonial'!H58)*365/('DRE + DCF'!H11+'DRE + DCF'!H14-'DRE + DCF'!H75-'DRE + DCF'!H80)</f>
        <v>31.16595170360846</v>
      </c>
      <c r="I33" s="57">
        <f>-('Balanço Patrimonial'!I61+'Balanço Patrimonial'!I58)*365/('DRE + DCF'!I11+'DRE + DCF'!I14-'DRE + DCF'!I75-'DRE + DCF'!I80)</f>
        <v>32.413771023447957</v>
      </c>
      <c r="J33" s="57">
        <f>-('Balanço Patrimonial'!J61+'Balanço Patrimonial'!J58)*365/('DRE + DCF'!J11+'DRE + DCF'!J14-'DRE + DCF'!J75-'DRE + DCF'!J80)</f>
        <v>45.581320194176271</v>
      </c>
      <c r="K33" s="57">
        <f>-('Balanço Patrimonial'!K61+'Balanço Patrimonial'!K58)*365/('DRE + DCF'!K11+'DRE + DCF'!K14-'DRE + DCF'!K75-'DRE + DCF'!K80)</f>
        <v>43.205690545678713</v>
      </c>
      <c r="L33" s="57">
        <f>-('Balanço Patrimonial'!L61+'Balanço Patrimonial'!L58)*365/('DRE + DCF'!L11+'DRE + DCF'!L14-'DRE + DCF'!L75-'DRE + DCF'!L80)</f>
        <v>49.852425224104181</v>
      </c>
      <c r="M33" s="57">
        <f>-('Balanço Patrimonial'!M61+'Balanço Patrimonial'!M58)*365/('DRE + DCF'!M11+'DRE + DCF'!M14-'DRE + DCF'!M75-'DRE + DCF'!M80)</f>
        <v>118.02759948652118</v>
      </c>
      <c r="N33" s="57">
        <f>-('Balanço Patrimonial'!N61+'Balanço Patrimonial'!N58)*365/('DRE + DCF'!N11+'DRE + DCF'!N14-'DRE + DCF'!N75-'DRE + DCF'!N80)</f>
        <v>106.80000970396935</v>
      </c>
      <c r="O33" s="57">
        <f>-('Balanço Patrimonial'!O61+'Balanço Patrimonial'!O58)*365/('DRE + DCF'!O11+'DRE + DCF'!O14-'DRE + DCF'!O75-'DRE + DCF'!O80)</f>
        <v>86.51678987209057</v>
      </c>
      <c r="P33" s="57">
        <f>-('Balanço Patrimonial'!P61+'Balanço Patrimonial'!P58)*365/('DRE + DCF'!P11+'DRE + DCF'!P14-'DRE + DCF'!P75-'DRE + DCF'!P80)</f>
        <v>85.92554193808671</v>
      </c>
      <c r="Q33" s="57">
        <f>-('Balanço Patrimonial'!Q61+'Balanço Patrimonial'!Q58)*365/('DRE + DCF'!Q11+'DRE + DCF'!Q14-'DRE + DCF'!Q75-'DRE + DCF'!Q80)</f>
        <v>107.82837059121711</v>
      </c>
      <c r="R33" s="57">
        <f>-('Balanço Patrimonial'!R61+'Balanço Patrimonial'!R58)*365/('DRE + DCF'!U11+'DRE + DCF'!U14-'DRE + DCF'!U75-'DRE + DCF'!U80)</f>
        <v>73.073674994166595</v>
      </c>
      <c r="S33" s="57">
        <f>-('Balanço Patrimonial'!S61+'Balanço Patrimonial'!S58)*365/('DRE + DCF'!V11+'DRE + DCF'!V14-'DRE + DCF'!V75-'DRE + DCF'!V80)</f>
        <v>60.502496165893859</v>
      </c>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row>
    <row r="34" spans="1:52" ht="18" customHeight="1" x14ac:dyDescent="0.25">
      <c r="A34" s="1"/>
      <c r="B34" s="20" t="s">
        <v>34</v>
      </c>
      <c r="C34" s="57">
        <f>C31+C32-C33</f>
        <v>86.434975250646744</v>
      </c>
      <c r="D34" s="57">
        <f t="shared" ref="D34:Q34" si="6">D31+D32-D33</f>
        <v>94.766656142943049</v>
      </c>
      <c r="E34" s="57">
        <f t="shared" si="6"/>
        <v>98.250977783788727</v>
      </c>
      <c r="F34" s="57">
        <f t="shared" si="6"/>
        <v>107.6356898585251</v>
      </c>
      <c r="G34" s="57">
        <f t="shared" si="6"/>
        <v>97.010726516957675</v>
      </c>
      <c r="H34" s="57">
        <f t="shared" si="6"/>
        <v>100.75958705057191</v>
      </c>
      <c r="I34" s="57">
        <f t="shared" si="6"/>
        <v>100.09370861686776</v>
      </c>
      <c r="J34" s="57">
        <f t="shared" si="6"/>
        <v>83.903063400708902</v>
      </c>
      <c r="K34" s="57">
        <f t="shared" si="6"/>
        <v>99.149140320942507</v>
      </c>
      <c r="L34" s="57">
        <f t="shared" si="6"/>
        <v>95.769840576420691</v>
      </c>
      <c r="M34" s="57">
        <f t="shared" si="6"/>
        <v>117.12924007613165</v>
      </c>
      <c r="N34" s="57">
        <f t="shared" si="6"/>
        <v>90.993416645619106</v>
      </c>
      <c r="O34" s="57">
        <f t="shared" si="6"/>
        <v>118.53953234588941</v>
      </c>
      <c r="P34" s="57">
        <f t="shared" si="6"/>
        <v>117.92197921359563</v>
      </c>
      <c r="Q34" s="57">
        <f t="shared" si="6"/>
        <v>200.17727295011156</v>
      </c>
      <c r="R34" s="57">
        <f t="shared" ref="R34:S34" si="7">R31+R32-R33</f>
        <v>146.70721900244746</v>
      </c>
      <c r="S34" s="57">
        <f t="shared" si="7"/>
        <v>138.67077658973855</v>
      </c>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row>
    <row r="35" spans="1:52" ht="18" customHeight="1" x14ac:dyDescent="0.25">
      <c r="A35" s="1"/>
      <c r="B35" s="20" t="s">
        <v>75</v>
      </c>
      <c r="C35" s="23">
        <f>'Balanço Patrimonial'!C10+'Balanço Patrimonial'!C16+'Balanço Patrimonial'!C18+'Balanço Patrimonial'!C19+'Balanço Patrimonial'!C21</f>
        <v>216929.25</v>
      </c>
      <c r="D35" s="23">
        <f>'Balanço Patrimonial'!D10+'Balanço Patrimonial'!D16+'Balanço Patrimonial'!D18+'Balanço Patrimonial'!D19+'Balanço Patrimonial'!D21</f>
        <v>283618.375</v>
      </c>
      <c r="E35" s="23">
        <f>'Balanço Patrimonial'!E10+'Balanço Patrimonial'!E16+'Balanço Patrimonial'!E18+'Balanço Patrimonial'!E19+'Balanço Patrimonial'!E21</f>
        <v>343124.75</v>
      </c>
      <c r="F35" s="23">
        <f>'Balanço Patrimonial'!F10+'Balanço Patrimonial'!F16+'Balanço Patrimonial'!F18+'Balanço Patrimonial'!F19+'Balanço Patrimonial'!F21</f>
        <v>402779.16666666669</v>
      </c>
      <c r="G35" s="23">
        <f>'Balanço Patrimonial'!G10+'Balanço Patrimonial'!G16+'Balanço Patrimonial'!G18+'Balanço Patrimonial'!G19+'Balanço Patrimonial'!G21</f>
        <v>457449</v>
      </c>
      <c r="H35" s="23">
        <f>'Balanço Patrimonial'!H10+'Balanço Patrimonial'!H16+'Balanço Patrimonial'!H18+'Balanço Patrimonial'!H19+'Balanço Patrimonial'!H21</f>
        <v>474105.79166666669</v>
      </c>
      <c r="I35" s="23">
        <f>'Balanço Patrimonial'!I10+'Balanço Patrimonial'!I16+'Balanço Patrimonial'!I18+'Balanço Patrimonial'!I19+'Balanço Patrimonial'!I21</f>
        <v>509335.83333333331</v>
      </c>
      <c r="J35" s="23">
        <f>'Balanço Patrimonial'!J10+'Balanço Patrimonial'!J16+'Balanço Patrimonial'!J18+'Balanço Patrimonial'!J19+'Balanço Patrimonial'!J21</f>
        <v>566595</v>
      </c>
      <c r="K35" s="23">
        <f>'Balanço Patrimonial'!K10+'Balanço Patrimonial'!K16+'Balanço Patrimonial'!K18+'Balanço Patrimonial'!K19+'Balanço Patrimonial'!K21</f>
        <v>661277.16666666674</v>
      </c>
      <c r="L35" s="23">
        <f>'Balanço Patrimonial'!L10+'Balanço Patrimonial'!L16+'Balanço Patrimonial'!L18+'Balanço Patrimonial'!L19+'Balanço Patrimonial'!L21</f>
        <v>762090.25</v>
      </c>
      <c r="M35" s="23">
        <f>'Balanço Patrimonial'!M10+'Balanço Patrimonial'!M16+'Balanço Patrimonial'!M18+'Balanço Patrimonial'!M19+'Balanço Patrimonial'!M21</f>
        <v>1063026.0833333335</v>
      </c>
      <c r="N35" s="23">
        <f>'Balanço Patrimonial'!N10+'Balanço Patrimonial'!N16+'Balanço Patrimonial'!N18+'Balanço Patrimonial'!N19+'Balanço Patrimonial'!N21</f>
        <v>1484630.6666666665</v>
      </c>
      <c r="O35" s="23">
        <f>'Balanço Patrimonial'!O10+'Balanço Patrimonial'!O16+'Balanço Patrimonial'!O18+'Balanço Patrimonial'!O19+'Balanço Patrimonial'!O21</f>
        <v>2055673.5</v>
      </c>
      <c r="P35" s="23">
        <f>'Balanço Patrimonial'!P10+'Balanço Patrimonial'!P16+'Balanço Patrimonial'!P18+'Balanço Patrimonial'!P19+'Balanço Patrimonial'!P21</f>
        <v>2333769.5</v>
      </c>
      <c r="Q35" s="23">
        <f>'Balanço Patrimonial'!Q10+'Balanço Patrimonial'!Q16+'Balanço Patrimonial'!Q18+'Balanço Patrimonial'!Q19+'Balanço Patrimonial'!Q21</f>
        <v>6358500.5</v>
      </c>
      <c r="R35" s="23">
        <f>'Balanço Patrimonial'!R10+'Balanço Patrimonial'!R16+'Balanço Patrimonial'!R18+'Balanço Patrimonial'!R19+'Balanço Patrimonial'!R21</f>
        <v>6441827.8709328398</v>
      </c>
      <c r="S35" s="23">
        <f>'Balanço Patrimonial'!S10+'Balanço Patrimonial'!S16+'Balanço Patrimonial'!S18+'Balanço Patrimonial'!S19+'Balanço Patrimonial'!S21</f>
        <v>6536588.8709328398</v>
      </c>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row>
    <row r="36" spans="1:52" ht="18" customHeight="1" x14ac:dyDescent="0.25">
      <c r="A36" s="1"/>
      <c r="B36" s="20" t="s">
        <v>76</v>
      </c>
      <c r="C36" s="23">
        <f>'Balanço Patrimonial'!C58+'Balanço Patrimonial'!C61+'Balanço Patrimonial'!C64+'Balanço Patrimonial'!C79+'Balanço Patrimonial'!C82+'Balanço Patrimonial'!C83+'Balanço Patrimonial'!C84</f>
        <v>51986</v>
      </c>
      <c r="D36" s="23">
        <f>'Balanço Patrimonial'!D58+'Balanço Patrimonial'!D61+'Balanço Patrimonial'!D64+'Balanço Patrimonial'!D79+'Balanço Patrimonial'!D82+'Balanço Patrimonial'!D83+'Balanço Patrimonial'!D84</f>
        <v>63858</v>
      </c>
      <c r="E36" s="23">
        <f>'Balanço Patrimonial'!E58+'Balanço Patrimonial'!E61+'Balanço Patrimonial'!E64+'Balanço Patrimonial'!E79+'Balanço Patrimonial'!E82+'Balanço Patrimonial'!E83+'Balanço Patrimonial'!E84</f>
        <v>70343</v>
      </c>
      <c r="F36" s="23">
        <f>'Balanço Patrimonial'!F58+'Balanço Patrimonial'!F61+'Balanço Patrimonial'!F64+'Balanço Patrimonial'!F79+'Balanço Patrimonial'!F82+'Balanço Patrimonial'!F83+'Balanço Patrimonial'!F84</f>
        <v>66581</v>
      </c>
      <c r="G36" s="23">
        <f>'Balanço Patrimonial'!G58+'Balanço Patrimonial'!G61+'Balanço Patrimonial'!G64+'Balanço Patrimonial'!G79+'Balanço Patrimonial'!G82+'Balanço Patrimonial'!G83+'Balanço Patrimonial'!G84</f>
        <v>102311</v>
      </c>
      <c r="H36" s="23">
        <f>'Balanço Patrimonial'!H58+'Balanço Patrimonial'!H61+'Balanço Patrimonial'!H64+'Balanço Patrimonial'!H79+'Balanço Patrimonial'!H82+'Balanço Patrimonial'!H83+'Balanço Patrimonial'!H84</f>
        <v>98042</v>
      </c>
      <c r="I36" s="23">
        <f>'Balanço Patrimonial'!I58+'Balanço Patrimonial'!I61+'Balanço Patrimonial'!I64+'Balanço Patrimonial'!I79+'Balanço Patrimonial'!I82+'Balanço Patrimonial'!I83+'Balanço Patrimonial'!I84</f>
        <v>112945</v>
      </c>
      <c r="J36" s="23">
        <f>'Balanço Patrimonial'!J58+'Balanço Patrimonial'!J61+'Balanço Patrimonial'!J64+'Balanço Patrimonial'!J79+'Balanço Patrimonial'!J82+'Balanço Patrimonial'!J83+'Balanço Patrimonial'!J84</f>
        <v>175034</v>
      </c>
      <c r="K36" s="23">
        <f>'Balanço Patrimonial'!K58+'Balanço Patrimonial'!K61+'Balanço Patrimonial'!K64+'Balanço Patrimonial'!K79+'Balanço Patrimonial'!K82+'Balanço Patrimonial'!K83+'Balanço Patrimonial'!K84</f>
        <v>193739</v>
      </c>
      <c r="L36" s="23">
        <f>'Balanço Patrimonial'!L58+'Balanço Patrimonial'!L61+'Balanço Patrimonial'!L64+'Balanço Patrimonial'!L79+'Balanço Patrimonial'!L82+'Balanço Patrimonial'!L83+'Balanço Patrimonial'!L84</f>
        <v>243617</v>
      </c>
      <c r="M36" s="23">
        <f>'Balanço Patrimonial'!M58+'Balanço Patrimonial'!M61+'Balanço Patrimonial'!M64+'Balanço Patrimonial'!M79+'Balanço Patrimonial'!M82+'Balanço Patrimonial'!M83+'Balanço Patrimonial'!M84</f>
        <v>619045</v>
      </c>
      <c r="N36" s="23">
        <f>'Balanço Patrimonial'!N58+'Balanço Patrimonial'!N61+'Balanço Patrimonial'!N64+'Balanço Patrimonial'!N79+'Balanço Patrimonial'!N82+'Balanço Patrimonial'!N83+'Balanço Patrimonial'!N84</f>
        <v>898642</v>
      </c>
      <c r="O36" s="23">
        <f>'Balanço Patrimonial'!O58+'Balanço Patrimonial'!O61+'Balanço Patrimonial'!O64+'Balanço Patrimonial'!O79+'Balanço Patrimonial'!O82+'Balanço Patrimonial'!O83+'Balanço Patrimonial'!O84</f>
        <v>1005671</v>
      </c>
      <c r="P36" s="23">
        <f>'Balanço Patrimonial'!P58+'Balanço Patrimonial'!P61+'Balanço Patrimonial'!P64+'Balanço Patrimonial'!P79+'Balanço Patrimonial'!P82+'Balanço Patrimonial'!P83+'Balanço Patrimonial'!P84</f>
        <v>1223156</v>
      </c>
      <c r="Q36" s="23">
        <f>'Balanço Patrimonial'!Q58+'Balanço Patrimonial'!Q61+'Balanço Patrimonial'!Q64+'Balanço Patrimonial'!Q79+'Balanço Patrimonial'!Q82+'Balanço Patrimonial'!Q83+'Balanço Patrimonial'!Q84</f>
        <v>2796003</v>
      </c>
      <c r="R36" s="23">
        <f>'Balanço Patrimonial'!R58+'Balanço Patrimonial'!R61+'Balanço Patrimonial'!R64+'Balanço Patrimonial'!R79+'Balanço Patrimonial'!R82+'Balanço Patrimonial'!R83+'Balanço Patrimonial'!R84</f>
        <v>2447974</v>
      </c>
      <c r="S36" s="23">
        <f>'Balanço Patrimonial'!S58+'Balanço Patrimonial'!S61+'Balanço Patrimonial'!S64+'Balanço Patrimonial'!S79+'Balanço Patrimonial'!S82+'Balanço Patrimonial'!S83+'Balanço Patrimonial'!S84</f>
        <v>2322610</v>
      </c>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row>
    <row r="37" spans="1:52" ht="18" customHeight="1" x14ac:dyDescent="0.25">
      <c r="A37" s="1"/>
      <c r="B37" s="20" t="s">
        <v>50</v>
      </c>
      <c r="C37" s="23">
        <f>C35-C36</f>
        <v>164943.25</v>
      </c>
      <c r="D37" s="23">
        <f t="shared" ref="D37:Q37" si="8">D35-D36</f>
        <v>219760.375</v>
      </c>
      <c r="E37" s="23">
        <f t="shared" si="8"/>
        <v>272781.75</v>
      </c>
      <c r="F37" s="23">
        <f t="shared" si="8"/>
        <v>336198.16666666669</v>
      </c>
      <c r="G37" s="23">
        <f t="shared" si="8"/>
        <v>355138</v>
      </c>
      <c r="H37" s="23">
        <f t="shared" si="8"/>
        <v>376063.79166666669</v>
      </c>
      <c r="I37" s="23">
        <f t="shared" si="8"/>
        <v>396390.83333333331</v>
      </c>
      <c r="J37" s="23">
        <f t="shared" si="8"/>
        <v>391561</v>
      </c>
      <c r="K37" s="23">
        <f t="shared" si="8"/>
        <v>467538.16666666674</v>
      </c>
      <c r="L37" s="23">
        <f t="shared" si="8"/>
        <v>518473.25</v>
      </c>
      <c r="M37" s="23">
        <f t="shared" si="8"/>
        <v>443981.08333333349</v>
      </c>
      <c r="N37" s="23">
        <f t="shared" si="8"/>
        <v>585988.66666666651</v>
      </c>
      <c r="O37" s="23">
        <f t="shared" si="8"/>
        <v>1050002.5</v>
      </c>
      <c r="P37" s="23">
        <f t="shared" si="8"/>
        <v>1110613.5</v>
      </c>
      <c r="Q37" s="23">
        <f t="shared" si="8"/>
        <v>3562497.5</v>
      </c>
      <c r="R37" s="23">
        <f t="shared" ref="R37:S37" si="9">R35-R36</f>
        <v>3993853.8709328398</v>
      </c>
      <c r="S37" s="23">
        <f t="shared" si="9"/>
        <v>4213978.8709328398</v>
      </c>
      <c r="T37" s="23">
        <f>T38*'DRE + DCF'!U8</f>
        <v>4213978.8709328398</v>
      </c>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row>
    <row r="38" spans="1:52" ht="18" customHeight="1" x14ac:dyDescent="0.25">
      <c r="A38" s="1"/>
      <c r="B38" s="20" t="s">
        <v>427</v>
      </c>
      <c r="C38" s="112">
        <f>C37/'DRE + DCF'!C8</f>
        <v>0.23138011718876031</v>
      </c>
      <c r="D38" s="112">
        <f>D37/'DRE + DCF'!D8</f>
        <v>0.25475948825611305</v>
      </c>
      <c r="E38" s="112">
        <f>E37/'DRE + DCF'!E8</f>
        <v>0.24602793433645129</v>
      </c>
      <c r="F38" s="112">
        <f>F37/'DRE + DCF'!F8</f>
        <v>0.27286929608482102</v>
      </c>
      <c r="G38" s="112">
        <f>G37/'DRE + DCF'!G8</f>
        <v>0.26151642679096759</v>
      </c>
      <c r="H38" s="112">
        <f>H37/'DRE + DCF'!H8</f>
        <v>0.26212764961336921</v>
      </c>
      <c r="I38" s="112">
        <f>I37/'DRE + DCF'!I8</f>
        <v>0.25505362963306127</v>
      </c>
      <c r="J38" s="112">
        <f>J37/'DRE + DCF'!J8</f>
        <v>0.23322848124902837</v>
      </c>
      <c r="K38" s="112">
        <f>K37/'DRE + DCF'!K8</f>
        <v>0.25058751498935922</v>
      </c>
      <c r="L38" s="112">
        <f>L37/'DRE + DCF'!L8</f>
        <v>0.25120692136212047</v>
      </c>
      <c r="M38" s="112">
        <f>M37/'DRE + DCF'!M8</f>
        <v>0.21961768241699234</v>
      </c>
      <c r="N38" s="112">
        <f>N37/'DRE + DCF'!N8</f>
        <v>0.1606574324325559</v>
      </c>
      <c r="O38" s="112">
        <f>O37/'DRE + DCF'!O8</f>
        <v>0.20076887522087319</v>
      </c>
      <c r="P38" s="112">
        <f>P37/'DRE + DCF'!P8</f>
        <v>0.18243957481221157</v>
      </c>
      <c r="Q38" s="112">
        <f>Q37/'DRE + DCF'!Q8</f>
        <v>0.35046883663349776</v>
      </c>
      <c r="R38" s="112">
        <f>R37/'DRE + DCF'!U8</f>
        <v>0.25851943502407881</v>
      </c>
      <c r="S38" s="112">
        <f>S37/'DRE + DCF'!U8</f>
        <v>0.27276797602575142</v>
      </c>
      <c r="T38" s="43">
        <f>S38</f>
        <v>0.27276797602575142</v>
      </c>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row>
    <row r="39" spans="1:52" ht="18" customHeight="1" x14ac:dyDescent="0.25">
      <c r="A39" s="1"/>
      <c r="B39" s="20" t="s">
        <v>83</v>
      </c>
      <c r="C39" s="20"/>
      <c r="D39" s="20"/>
      <c r="E39" s="20"/>
      <c r="F39" s="20"/>
      <c r="G39" s="20"/>
      <c r="H39" s="20"/>
      <c r="I39" s="37"/>
      <c r="J39" s="37"/>
      <c r="K39" s="37"/>
      <c r="L39" s="37"/>
      <c r="M39" s="37"/>
      <c r="N39" s="37"/>
      <c r="O39" s="37"/>
      <c r="P39" s="37"/>
      <c r="Q39" s="37"/>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row>
    <row r="40" spans="1:52" ht="18" customHeight="1" x14ac:dyDescent="0.25">
      <c r="A40" s="1"/>
      <c r="B40" s="20" t="s">
        <v>37</v>
      </c>
      <c r="C40" s="23">
        <v>0</v>
      </c>
      <c r="D40" s="23">
        <v>0</v>
      </c>
      <c r="E40" s="23">
        <v>0</v>
      </c>
      <c r="F40" s="23">
        <v>0</v>
      </c>
      <c r="G40" s="23">
        <v>0</v>
      </c>
      <c r="H40" s="23">
        <v>0</v>
      </c>
      <c r="I40" s="23">
        <v>0</v>
      </c>
      <c r="J40" s="23">
        <v>0</v>
      </c>
      <c r="K40" s="23">
        <v>0</v>
      </c>
      <c r="L40" s="23">
        <v>0</v>
      </c>
      <c r="M40" s="23">
        <v>0</v>
      </c>
      <c r="N40" s="23">
        <v>0.35</v>
      </c>
      <c r="O40" s="24">
        <v>0.37</v>
      </c>
      <c r="P40" s="24">
        <v>0.85</v>
      </c>
      <c r="Q40" s="24"/>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row>
    <row r="41" spans="1:52" ht="18" customHeight="1" x14ac:dyDescent="0.25">
      <c r="A41" s="1"/>
      <c r="B41" s="20" t="s">
        <v>35</v>
      </c>
      <c r="C41" s="37">
        <v>0</v>
      </c>
      <c r="D41" s="37">
        <v>0</v>
      </c>
      <c r="E41" s="37">
        <v>0</v>
      </c>
      <c r="F41" s="37">
        <v>0</v>
      </c>
      <c r="G41" s="37">
        <v>0</v>
      </c>
      <c r="H41" s="37">
        <v>0</v>
      </c>
      <c r="I41" s="37">
        <v>0</v>
      </c>
      <c r="J41" s="37">
        <v>0</v>
      </c>
      <c r="K41" s="37">
        <v>0</v>
      </c>
      <c r="L41" s="37">
        <v>0</v>
      </c>
      <c r="M41" s="37">
        <v>0</v>
      </c>
      <c r="N41" s="37">
        <v>3.9592760180999997E-2</v>
      </c>
      <c r="O41" s="37">
        <v>3.1092436974799999E-2</v>
      </c>
      <c r="P41" s="37">
        <v>4.5381740523224773E-2</v>
      </c>
      <c r="Q41" s="37"/>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row>
    <row r="42" spans="1:52" ht="18" customHeight="1" x14ac:dyDescent="0.25">
      <c r="A42" s="1"/>
      <c r="B42" s="20" t="s">
        <v>36</v>
      </c>
      <c r="C42" s="37">
        <v>0</v>
      </c>
      <c r="D42" s="37">
        <v>0</v>
      </c>
      <c r="E42" s="37">
        <v>0</v>
      </c>
      <c r="F42" s="37">
        <v>0</v>
      </c>
      <c r="G42" s="37">
        <v>0</v>
      </c>
      <c r="H42" s="37">
        <v>0</v>
      </c>
      <c r="I42" s="37">
        <v>0</v>
      </c>
      <c r="J42" s="37">
        <v>0</v>
      </c>
      <c r="K42" s="37">
        <v>0</v>
      </c>
      <c r="L42" s="37">
        <v>0</v>
      </c>
      <c r="M42" s="37">
        <v>0</v>
      </c>
      <c r="N42" s="37">
        <v>0.27407237468899998</v>
      </c>
      <c r="O42" s="37">
        <v>0.19272234162499999</v>
      </c>
      <c r="P42" s="37">
        <v>0.42121205416229696</v>
      </c>
      <c r="Q42" s="37"/>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row>
    <row r="43" spans="1:52" ht="18" customHeight="1" x14ac:dyDescent="0.25">
      <c r="A43" s="1"/>
      <c r="B43" s="13"/>
      <c r="C43" s="13"/>
      <c r="D43" s="13"/>
      <c r="E43" s="13"/>
      <c r="F43" s="13"/>
      <c r="G43" s="13"/>
      <c r="H43" s="13"/>
      <c r="I43" s="23"/>
      <c r="J43" s="23"/>
      <c r="K43" s="23"/>
      <c r="L43" s="23"/>
      <c r="M43" s="23"/>
      <c r="N43" s="23"/>
      <c r="O43" s="23"/>
      <c r="P43" s="23"/>
      <c r="Q43" s="23"/>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row>
    <row r="44" spans="1:52" ht="18" customHeight="1" thickBot="1" x14ac:dyDescent="0.3">
      <c r="A44" s="1"/>
      <c r="B44" s="20"/>
      <c r="C44" s="15">
        <v>2010</v>
      </c>
      <c r="D44" s="15">
        <v>2011</v>
      </c>
      <c r="E44" s="15">
        <v>2012</v>
      </c>
      <c r="F44" s="15">
        <v>2013</v>
      </c>
      <c r="G44" s="15">
        <v>2014</v>
      </c>
      <c r="H44" s="15">
        <v>2015</v>
      </c>
      <c r="I44" s="15">
        <v>2016</v>
      </c>
      <c r="J44" s="15">
        <f t="shared" ref="J44:S44" si="10">I44+1</f>
        <v>2017</v>
      </c>
      <c r="K44" s="15">
        <f t="shared" si="10"/>
        <v>2018</v>
      </c>
      <c r="L44" s="15">
        <f t="shared" si="10"/>
        <v>2019</v>
      </c>
      <c r="M44" s="15">
        <f t="shared" si="10"/>
        <v>2020</v>
      </c>
      <c r="N44" s="15">
        <f t="shared" si="10"/>
        <v>2021</v>
      </c>
      <c r="O44" s="15">
        <f t="shared" si="10"/>
        <v>2022</v>
      </c>
      <c r="P44" s="15">
        <f t="shared" si="10"/>
        <v>2023</v>
      </c>
      <c r="Q44" s="15">
        <f t="shared" si="10"/>
        <v>2024</v>
      </c>
      <c r="R44" s="44">
        <f t="shared" si="10"/>
        <v>2025</v>
      </c>
      <c r="S44" s="44">
        <f t="shared" si="10"/>
        <v>2026</v>
      </c>
      <c r="T44" s="44">
        <f>S44+1</f>
        <v>2027</v>
      </c>
      <c r="U44" s="44">
        <f t="shared" ref="U44:Z44" si="11">T44+1</f>
        <v>2028</v>
      </c>
      <c r="V44" s="44">
        <f t="shared" si="11"/>
        <v>2029</v>
      </c>
      <c r="W44" s="44">
        <f t="shared" si="11"/>
        <v>2030</v>
      </c>
      <c r="X44" s="44">
        <f t="shared" si="11"/>
        <v>2031</v>
      </c>
      <c r="Y44" s="44">
        <f t="shared" si="11"/>
        <v>2032</v>
      </c>
      <c r="Z44" s="44">
        <f t="shared" si="11"/>
        <v>2033</v>
      </c>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row>
    <row r="45" spans="1:52" ht="18" customHeight="1" x14ac:dyDescent="0.25">
      <c r="A45" s="1"/>
      <c r="B45" s="20" t="s">
        <v>81</v>
      </c>
      <c r="C45" s="20"/>
      <c r="D45" s="20"/>
      <c r="E45" s="20"/>
      <c r="F45" s="20"/>
      <c r="G45" s="20"/>
      <c r="H45" s="20"/>
      <c r="I45" s="59">
        <v>6.2879882132213849E-2</v>
      </c>
      <c r="J45" s="59">
        <v>2.9474213204347066E-2</v>
      </c>
      <c r="K45" s="59">
        <v>3.7455811701915476E-2</v>
      </c>
      <c r="L45" s="59">
        <v>4.3061516171595302E-2</v>
      </c>
      <c r="M45" s="59">
        <v>4.517456886424509E-2</v>
      </c>
      <c r="N45" s="59">
        <v>0.10060982737443336</v>
      </c>
      <c r="O45" s="37">
        <v>9.7430000000000003E-2</v>
      </c>
      <c r="P45" s="59">
        <v>4.5999999999999999E-2</v>
      </c>
      <c r="Q45" s="59">
        <v>5.0500000000000003E-2</v>
      </c>
      <c r="R45" s="59">
        <v>5.11E-2</v>
      </c>
      <c r="S45" s="59">
        <v>4.2500000000000003E-2</v>
      </c>
      <c r="T45" s="59">
        <v>4.7300000000000002E-2</v>
      </c>
      <c r="U45" s="59">
        <v>5.0500000000000003E-2</v>
      </c>
      <c r="V45" s="59">
        <v>5.3499999999999999E-2</v>
      </c>
      <c r="W45" s="59">
        <v>5.6099999999999997E-2</v>
      </c>
      <c r="X45" s="59">
        <v>5.8299999999999998E-2</v>
      </c>
      <c r="Y45" s="59">
        <v>5.9900000000000002E-2</v>
      </c>
      <c r="Z45" s="59">
        <v>6.0999999999999999E-2</v>
      </c>
      <c r="AA45" s="182"/>
      <c r="AB45" s="182"/>
      <c r="AC45" s="1"/>
      <c r="AD45" s="1"/>
      <c r="AE45" s="1"/>
      <c r="AF45" s="1"/>
      <c r="AG45" s="1"/>
      <c r="AH45" s="1"/>
      <c r="AI45" s="1"/>
      <c r="AJ45" s="1"/>
      <c r="AK45" s="1"/>
      <c r="AL45" s="1"/>
      <c r="AM45" s="1"/>
      <c r="AN45" s="1"/>
      <c r="AO45" s="1"/>
      <c r="AP45" s="1"/>
      <c r="AQ45" s="1"/>
      <c r="AR45" s="1"/>
      <c r="AS45" s="1"/>
      <c r="AT45" s="1"/>
      <c r="AU45" s="1"/>
      <c r="AV45" s="1"/>
      <c r="AW45" s="1"/>
      <c r="AX45" s="1"/>
      <c r="AY45" s="1"/>
      <c r="AZ45" s="1"/>
    </row>
    <row r="46" spans="1:52" ht="18" customHeight="1" x14ac:dyDescent="0.25">
      <c r="A46" s="1"/>
      <c r="B46" s="20" t="s">
        <v>82</v>
      </c>
      <c r="C46" s="20"/>
      <c r="D46" s="20"/>
      <c r="E46" s="20"/>
      <c r="F46" s="20"/>
      <c r="G46" s="20"/>
      <c r="H46" s="20"/>
      <c r="I46" s="37">
        <v>-3.2759999999999997E-2</v>
      </c>
      <c r="J46" s="37">
        <v>1.3229999999999999E-2</v>
      </c>
      <c r="K46" s="37">
        <v>1.7840000000000002E-2</v>
      </c>
      <c r="L46" s="37">
        <v>1.221E-2</v>
      </c>
      <c r="M46" s="37">
        <v>-3.8789999999999998E-2</v>
      </c>
      <c r="N46" s="37">
        <v>4.6189999999999995E-2</v>
      </c>
      <c r="O46" s="37">
        <v>2.7879999999999999E-2</v>
      </c>
      <c r="P46" s="37">
        <v>2.9000000000000001E-2</v>
      </c>
      <c r="Q46" s="37">
        <v>0.02</v>
      </c>
      <c r="R46" s="37">
        <v>0.02</v>
      </c>
      <c r="S46" s="37">
        <v>0.02</v>
      </c>
      <c r="T46" s="37">
        <v>0.02</v>
      </c>
      <c r="U46" s="37">
        <v>0.02</v>
      </c>
      <c r="V46" s="37">
        <v>0.02</v>
      </c>
      <c r="W46" s="37">
        <v>0.02</v>
      </c>
      <c r="X46" s="37">
        <v>0.02</v>
      </c>
      <c r="Y46" s="37">
        <v>0.02</v>
      </c>
      <c r="Z46" s="37">
        <v>0.02</v>
      </c>
      <c r="AA46" s="37"/>
      <c r="AB46" s="1"/>
      <c r="AC46" s="1"/>
      <c r="AD46" s="1"/>
      <c r="AE46" s="1"/>
      <c r="AF46" s="1"/>
      <c r="AG46" s="1"/>
      <c r="AH46" s="1"/>
      <c r="AI46" s="1"/>
      <c r="AJ46" s="1"/>
      <c r="AK46" s="1"/>
      <c r="AL46" s="1"/>
      <c r="AM46" s="1"/>
      <c r="AN46" s="1"/>
      <c r="AO46" s="1"/>
      <c r="AP46" s="1"/>
      <c r="AQ46" s="1"/>
      <c r="AR46" s="1"/>
      <c r="AS46" s="1"/>
      <c r="AT46" s="1"/>
      <c r="AU46" s="1"/>
      <c r="AV46" s="1"/>
      <c r="AW46" s="1"/>
      <c r="AX46" s="1"/>
      <c r="AY46" s="1"/>
      <c r="AZ46" s="1"/>
    </row>
    <row r="47" spans="1:52" ht="18" customHeight="1" x14ac:dyDescent="0.25">
      <c r="A47" s="1"/>
      <c r="B47" s="20" t="s">
        <v>383</v>
      </c>
      <c r="C47" s="20"/>
      <c r="D47" s="20"/>
      <c r="E47" s="20"/>
      <c r="F47" s="20"/>
      <c r="G47" s="20"/>
      <c r="H47" s="20"/>
      <c r="I47" s="1"/>
      <c r="J47" s="1"/>
      <c r="K47" s="1"/>
      <c r="L47" s="1"/>
      <c r="M47" s="1"/>
      <c r="N47" s="1"/>
      <c r="O47" s="1"/>
      <c r="P47" s="1"/>
      <c r="Q47" s="1"/>
      <c r="R47" s="59">
        <v>7.5700000000000003E-2</v>
      </c>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row>
    <row r="48" spans="1:52" ht="18" customHeight="1" x14ac:dyDescent="0.25">
      <c r="A48" s="1"/>
      <c r="B48" s="20"/>
      <c r="C48" s="20"/>
      <c r="D48" s="20"/>
      <c r="E48" s="20"/>
      <c r="F48" s="20"/>
      <c r="G48" s="20"/>
      <c r="H48" s="20"/>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row>
    <row r="49" spans="1:52" ht="18" customHeight="1" x14ac:dyDescent="0.25">
      <c r="A49" s="1"/>
      <c r="B49" s="20"/>
      <c r="C49" s="20"/>
      <c r="D49" s="20"/>
      <c r="E49" s="20"/>
      <c r="F49" s="20"/>
      <c r="G49" s="20"/>
      <c r="H49" s="20"/>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row>
    <row r="50" spans="1:52" ht="18" customHeight="1" x14ac:dyDescent="0.25">
      <c r="A50" s="1"/>
      <c r="B50" s="20"/>
      <c r="C50" s="20"/>
      <c r="D50" s="20"/>
      <c r="E50" s="20"/>
      <c r="F50" s="20"/>
      <c r="G50" s="20"/>
      <c r="H50" s="20"/>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row>
    <row r="51" spans="1:52" ht="18" customHeight="1" x14ac:dyDescent="0.25">
      <c r="A51" s="1"/>
      <c r="B51" s="20"/>
      <c r="C51" s="20"/>
      <c r="D51" s="20"/>
      <c r="E51" s="20"/>
      <c r="F51" s="20"/>
      <c r="G51" s="20"/>
      <c r="H51" s="20"/>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row>
    <row r="52" spans="1:52" ht="18" customHeight="1" x14ac:dyDescent="0.25">
      <c r="A52" s="1"/>
      <c r="B52" s="20"/>
      <c r="C52" s="20"/>
      <c r="D52" s="20"/>
      <c r="E52" s="20"/>
      <c r="F52" s="20"/>
      <c r="G52" s="20"/>
      <c r="H52" s="20"/>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row>
    <row r="53" spans="1:52" ht="18" customHeight="1" x14ac:dyDescent="0.25">
      <c r="A53" s="1"/>
      <c r="B53" s="20"/>
      <c r="C53" s="20"/>
      <c r="D53" s="20"/>
      <c r="E53" s="20"/>
      <c r="F53" s="20"/>
      <c r="G53" s="20"/>
      <c r="H53" s="20"/>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row>
    <row r="54" spans="1:52" ht="18" customHeight="1" collapsed="1" x14ac:dyDescent="0.25">
      <c r="A54" s="1"/>
      <c r="B54" s="20"/>
      <c r="C54" s="20"/>
      <c r="D54" s="20"/>
      <c r="E54" s="20"/>
      <c r="F54" s="20"/>
      <c r="G54" s="20"/>
      <c r="H54" s="20"/>
      <c r="I54" s="1"/>
      <c r="J54" s="1"/>
      <c r="K54" s="1"/>
      <c r="L54" s="1"/>
      <c r="M54" s="1"/>
      <c r="N54" s="1"/>
      <c r="O54" s="1"/>
      <c r="P54" s="1"/>
      <c r="Q54" s="1"/>
      <c r="R54" s="7"/>
      <c r="S54" s="7"/>
      <c r="T54" s="7"/>
      <c r="U54" s="4"/>
      <c r="V54" s="4"/>
      <c r="W54" s="1"/>
      <c r="X54" s="1"/>
      <c r="Y54" s="5"/>
      <c r="Z54" s="5"/>
      <c r="AA54" s="5"/>
      <c r="AB54" s="1"/>
      <c r="AC54" s="1"/>
      <c r="AD54" s="1"/>
      <c r="AE54" s="1"/>
      <c r="AF54" s="1"/>
      <c r="AG54" s="1"/>
      <c r="AH54" s="1"/>
      <c r="AI54" s="1"/>
      <c r="AJ54" s="1"/>
      <c r="AK54" s="1"/>
      <c r="AL54" s="1"/>
      <c r="AM54" s="1"/>
      <c r="AN54" s="1"/>
      <c r="AO54" s="1"/>
      <c r="AP54" s="1"/>
      <c r="AQ54" s="1"/>
      <c r="AR54" s="1"/>
      <c r="AS54" s="1"/>
      <c r="AT54" s="1"/>
      <c r="AU54" s="1"/>
      <c r="AV54" s="1"/>
      <c r="AW54" s="1"/>
      <c r="AX54" s="1"/>
      <c r="AY54" s="1"/>
      <c r="AZ54" s="1"/>
    </row>
    <row r="55" spans="1:52" ht="18" customHeight="1" x14ac:dyDescent="0.25">
      <c r="A55" s="1"/>
      <c r="B55" s="1"/>
      <c r="C55" s="1"/>
      <c r="D55" s="1"/>
      <c r="E55" s="1"/>
      <c r="F55" s="1"/>
      <c r="G55" s="1"/>
      <c r="H55" s="1"/>
      <c r="I55" s="1"/>
      <c r="J55" s="1"/>
      <c r="K55" s="1"/>
      <c r="L55" s="1"/>
      <c r="M55" s="1"/>
      <c r="N55" s="1"/>
      <c r="O55" s="1"/>
      <c r="P55" s="1"/>
      <c r="Q55" s="1"/>
      <c r="R55" s="7"/>
      <c r="S55" s="7"/>
      <c r="T55" s="7"/>
      <c r="U55" s="4"/>
      <c r="V55" s="4"/>
      <c r="W55" s="1"/>
      <c r="X55" s="1"/>
      <c r="Y55" s="5"/>
      <c r="Z55" s="5"/>
      <c r="AA55" s="5"/>
      <c r="AB55" s="1"/>
      <c r="AC55" s="1"/>
      <c r="AD55" s="1"/>
      <c r="AE55" s="1"/>
      <c r="AF55" s="1"/>
      <c r="AG55" s="1"/>
      <c r="AH55" s="1"/>
      <c r="AI55" s="1"/>
      <c r="AJ55" s="1"/>
      <c r="AK55" s="1"/>
      <c r="AL55" s="1"/>
      <c r="AM55" s="1"/>
      <c r="AN55" s="1"/>
      <c r="AO55" s="1"/>
      <c r="AP55" s="1"/>
      <c r="AQ55" s="1"/>
      <c r="AR55" s="1"/>
      <c r="AS55" s="1"/>
      <c r="AT55" s="1"/>
      <c r="AU55" s="1"/>
      <c r="AV55" s="1"/>
      <c r="AW55" s="1"/>
      <c r="AX55" s="1"/>
      <c r="AY55" s="1"/>
      <c r="AZ55" s="1"/>
    </row>
    <row r="56" spans="1:52" ht="18" customHeight="1" x14ac:dyDescent="0.25">
      <c r="A56" s="1"/>
      <c r="B56" s="1"/>
      <c r="C56" s="1"/>
      <c r="D56" s="1"/>
      <c r="E56" s="1"/>
      <c r="F56" s="1"/>
      <c r="G56" s="1"/>
      <c r="H56" s="1"/>
      <c r="I56" s="1"/>
      <c r="J56" s="1"/>
      <c r="K56" s="1"/>
      <c r="L56" s="1"/>
      <c r="M56" s="1"/>
      <c r="N56" s="1"/>
      <c r="O56" s="1"/>
      <c r="P56" s="1"/>
      <c r="Q56" s="1"/>
      <c r="R56" s="7"/>
      <c r="S56" s="7"/>
      <c r="T56" s="7"/>
      <c r="U56" s="4"/>
      <c r="V56" s="4"/>
      <c r="W56" s="1"/>
      <c r="X56" s="1"/>
      <c r="Y56" s="5"/>
      <c r="Z56" s="5"/>
      <c r="AA56" s="5"/>
      <c r="AB56" s="1"/>
      <c r="AC56" s="1"/>
      <c r="AD56" s="1"/>
      <c r="AE56" s="1"/>
      <c r="AF56" s="1"/>
      <c r="AG56" s="1"/>
      <c r="AH56" s="1"/>
      <c r="AI56" s="1"/>
      <c r="AJ56" s="1"/>
      <c r="AK56" s="1"/>
      <c r="AL56" s="1"/>
      <c r="AM56" s="1"/>
      <c r="AN56" s="1"/>
      <c r="AO56" s="1"/>
      <c r="AP56" s="1"/>
      <c r="AQ56" s="1"/>
      <c r="AR56" s="1"/>
      <c r="AS56" s="1"/>
      <c r="AT56" s="1"/>
      <c r="AU56" s="1"/>
      <c r="AV56" s="1"/>
      <c r="AW56" s="1"/>
      <c r="AX56" s="1"/>
      <c r="AY56" s="1"/>
      <c r="AZ56" s="1"/>
    </row>
    <row r="57" spans="1:52" ht="18" customHeight="1" x14ac:dyDescent="0.25">
      <c r="A57" s="1"/>
      <c r="B57" s="1"/>
      <c r="C57" s="1"/>
      <c r="D57" s="1"/>
      <c r="E57" s="1"/>
      <c r="F57" s="1"/>
      <c r="G57" s="1"/>
      <c r="H57" s="1"/>
      <c r="I57" s="1"/>
      <c r="J57" s="1"/>
      <c r="K57" s="1"/>
      <c r="L57" s="1"/>
      <c r="M57" s="1"/>
      <c r="N57" s="1"/>
      <c r="O57" s="1"/>
      <c r="P57" s="1"/>
      <c r="Q57" s="1"/>
      <c r="R57" s="7"/>
      <c r="S57" s="7"/>
      <c r="T57" s="7"/>
      <c r="U57" s="4"/>
      <c r="V57" s="4"/>
      <c r="W57" s="1"/>
      <c r="X57" s="1"/>
      <c r="Y57" s="5"/>
      <c r="Z57" s="5"/>
      <c r="AA57" s="5"/>
      <c r="AB57" s="1"/>
      <c r="AC57" s="1"/>
      <c r="AD57" s="1"/>
      <c r="AE57" s="1"/>
      <c r="AF57" s="1"/>
      <c r="AG57" s="1"/>
      <c r="AH57" s="1"/>
      <c r="AI57" s="1"/>
      <c r="AJ57" s="1"/>
      <c r="AK57" s="1"/>
      <c r="AL57" s="1"/>
      <c r="AM57" s="1"/>
      <c r="AN57" s="1"/>
      <c r="AO57" s="1"/>
      <c r="AP57" s="1"/>
      <c r="AQ57" s="1"/>
      <c r="AR57" s="1"/>
      <c r="AS57" s="1"/>
      <c r="AT57" s="1"/>
      <c r="AU57" s="1"/>
      <c r="AV57" s="1"/>
      <c r="AW57" s="1"/>
      <c r="AX57" s="1"/>
      <c r="AY57" s="1"/>
      <c r="AZ57" s="1"/>
    </row>
    <row r="58" spans="1:52" ht="18" customHeight="1" x14ac:dyDescent="0.25">
      <c r="A58" s="1"/>
      <c r="B58" s="1"/>
      <c r="C58" s="1"/>
      <c r="D58" s="1"/>
      <c r="E58" s="1"/>
      <c r="F58" s="1"/>
      <c r="G58" s="1"/>
      <c r="H58" s="1"/>
      <c r="I58" s="1"/>
      <c r="J58" s="1"/>
      <c r="K58" s="1"/>
      <c r="L58" s="1"/>
      <c r="M58" s="1"/>
      <c r="N58" s="1"/>
      <c r="O58" s="1"/>
      <c r="P58" s="1"/>
      <c r="Q58" s="1"/>
      <c r="R58" s="7"/>
      <c r="S58" s="7"/>
      <c r="T58" s="7"/>
      <c r="U58" s="4"/>
      <c r="V58" s="4"/>
      <c r="W58" s="1"/>
      <c r="X58" s="1"/>
      <c r="Y58" s="5"/>
      <c r="Z58" s="5"/>
      <c r="AA58" s="5"/>
      <c r="AB58" s="1"/>
      <c r="AC58" s="1"/>
      <c r="AD58" s="1"/>
      <c r="AE58" s="1"/>
      <c r="AF58" s="1"/>
      <c r="AG58" s="1"/>
      <c r="AH58" s="1"/>
      <c r="AI58" s="1"/>
      <c r="AJ58" s="1"/>
      <c r="AK58" s="1"/>
      <c r="AL58" s="1"/>
      <c r="AM58" s="1"/>
      <c r="AN58" s="1"/>
      <c r="AO58" s="1"/>
      <c r="AP58" s="1"/>
      <c r="AQ58" s="1"/>
      <c r="AR58" s="1"/>
      <c r="AS58" s="1"/>
      <c r="AT58" s="1"/>
      <c r="AU58" s="1"/>
      <c r="AV58" s="1"/>
      <c r="AW58" s="1"/>
      <c r="AX58" s="1"/>
      <c r="AY58" s="1"/>
      <c r="AZ58" s="1"/>
    </row>
    <row r="59" spans="1:52" ht="18" customHeight="1" x14ac:dyDescent="0.25">
      <c r="A59" s="1"/>
      <c r="B59" s="1"/>
      <c r="C59" s="1"/>
      <c r="D59" s="1"/>
      <c r="E59" s="1"/>
      <c r="F59" s="1"/>
      <c r="G59" s="1"/>
      <c r="H59" s="1"/>
      <c r="I59" s="1"/>
      <c r="J59" s="1"/>
      <c r="K59" s="1"/>
      <c r="L59" s="1"/>
      <c r="M59" s="1"/>
      <c r="N59" s="1"/>
      <c r="O59" s="1"/>
      <c r="P59" s="1"/>
      <c r="Q59" s="1"/>
      <c r="R59" s="7"/>
      <c r="S59" s="7"/>
      <c r="T59" s="7"/>
      <c r="U59" s="4"/>
      <c r="V59" s="4"/>
      <c r="W59" s="1"/>
      <c r="X59" s="1"/>
      <c r="Y59" s="5"/>
      <c r="Z59" s="5"/>
      <c r="AA59" s="5"/>
      <c r="AB59" s="1"/>
      <c r="AC59" s="1"/>
      <c r="AD59" s="1"/>
      <c r="AE59" s="1"/>
      <c r="AF59" s="1"/>
      <c r="AG59" s="1"/>
      <c r="AH59" s="1"/>
      <c r="AI59" s="1"/>
      <c r="AJ59" s="1"/>
      <c r="AK59" s="1"/>
      <c r="AL59" s="1"/>
      <c r="AM59" s="1"/>
      <c r="AN59" s="1"/>
      <c r="AO59" s="1"/>
      <c r="AP59" s="1"/>
      <c r="AQ59" s="1"/>
      <c r="AR59" s="1"/>
      <c r="AS59" s="1"/>
      <c r="AT59" s="1"/>
      <c r="AU59" s="1"/>
      <c r="AV59" s="1"/>
      <c r="AW59" s="1"/>
      <c r="AX59" s="1"/>
      <c r="AY59" s="1"/>
      <c r="AZ59" s="1"/>
    </row>
    <row r="60" spans="1:52" ht="18" customHeight="1" x14ac:dyDescent="0.25">
      <c r="A60" s="1"/>
      <c r="B60" s="1"/>
      <c r="C60" s="1"/>
      <c r="D60" s="1"/>
      <c r="E60" s="1"/>
      <c r="F60" s="1"/>
      <c r="G60" s="1"/>
      <c r="H60" s="1"/>
      <c r="I60" s="1"/>
      <c r="J60" s="1"/>
      <c r="K60" s="1"/>
      <c r="L60" s="1"/>
      <c r="M60" s="1"/>
      <c r="N60" s="1"/>
      <c r="O60" s="1"/>
      <c r="P60" s="1"/>
      <c r="Q60" s="1"/>
      <c r="R60" s="7"/>
      <c r="S60" s="7"/>
      <c r="T60" s="7"/>
      <c r="U60" s="4"/>
      <c r="V60" s="4"/>
      <c r="W60" s="1"/>
      <c r="X60" s="1"/>
      <c r="Y60" s="5"/>
      <c r="Z60" s="5"/>
      <c r="AA60" s="5"/>
      <c r="AB60" s="1"/>
      <c r="AC60" s="1"/>
      <c r="AD60" s="1"/>
      <c r="AE60" s="1"/>
      <c r="AF60" s="1"/>
      <c r="AG60" s="1"/>
      <c r="AH60" s="1"/>
      <c r="AI60" s="1"/>
      <c r="AJ60" s="1"/>
      <c r="AK60" s="1"/>
      <c r="AL60" s="1"/>
      <c r="AM60" s="1"/>
      <c r="AN60" s="1"/>
      <c r="AO60" s="1"/>
      <c r="AP60" s="1"/>
      <c r="AQ60" s="1"/>
      <c r="AR60" s="1"/>
      <c r="AS60" s="1"/>
      <c r="AT60" s="1"/>
      <c r="AU60" s="1"/>
      <c r="AV60" s="1"/>
      <c r="AW60" s="1"/>
      <c r="AX60" s="1"/>
      <c r="AY60" s="1"/>
      <c r="AZ60" s="1"/>
    </row>
    <row r="61" spans="1:52" ht="18" customHeight="1" x14ac:dyDescent="0.25">
      <c r="A61" s="1"/>
      <c r="B61" s="1"/>
      <c r="C61" s="1"/>
      <c r="D61" s="1"/>
      <c r="E61" s="1"/>
      <c r="F61" s="1"/>
      <c r="G61" s="1"/>
      <c r="H61" s="1"/>
      <c r="I61" s="1"/>
      <c r="J61" s="1"/>
      <c r="K61" s="1"/>
      <c r="L61" s="1"/>
      <c r="M61" s="1"/>
      <c r="N61" s="1"/>
      <c r="O61" s="1"/>
      <c r="P61" s="1"/>
      <c r="Q61" s="1"/>
      <c r="R61" s="7"/>
      <c r="S61" s="7"/>
      <c r="T61" s="7"/>
      <c r="U61" s="4"/>
      <c r="V61" s="4"/>
      <c r="W61" s="1"/>
      <c r="X61" s="1"/>
      <c r="Y61" s="5"/>
      <c r="Z61" s="5"/>
      <c r="AA61" s="5"/>
      <c r="AB61" s="1"/>
      <c r="AC61" s="1"/>
      <c r="AD61" s="1"/>
      <c r="AE61" s="1"/>
      <c r="AF61" s="1"/>
      <c r="AG61" s="1"/>
      <c r="AH61" s="1"/>
      <c r="AI61" s="1"/>
      <c r="AJ61" s="1"/>
      <c r="AK61" s="1"/>
      <c r="AL61" s="1"/>
      <c r="AM61" s="1"/>
      <c r="AN61" s="1"/>
      <c r="AO61" s="1"/>
      <c r="AP61" s="1"/>
      <c r="AQ61" s="1"/>
      <c r="AR61" s="1"/>
      <c r="AS61" s="1"/>
      <c r="AT61" s="1"/>
      <c r="AU61" s="1"/>
      <c r="AV61" s="1"/>
      <c r="AW61" s="1"/>
      <c r="AX61" s="1"/>
      <c r="AY61" s="1"/>
      <c r="AZ61" s="1"/>
    </row>
    <row r="62" spans="1:52" ht="18" customHeight="1" x14ac:dyDescent="0.25">
      <c r="A62" s="1"/>
      <c r="B62" s="1"/>
      <c r="C62" s="1"/>
      <c r="D62" s="1"/>
      <c r="E62" s="1"/>
      <c r="F62" s="1"/>
      <c r="G62" s="1"/>
      <c r="H62" s="1"/>
      <c r="I62" s="1"/>
      <c r="J62" s="1"/>
      <c r="K62" s="1"/>
      <c r="L62" s="1"/>
      <c r="M62" s="1"/>
      <c r="N62" s="1"/>
      <c r="O62" s="1"/>
      <c r="P62" s="1"/>
      <c r="Q62" s="1"/>
      <c r="R62" s="7"/>
      <c r="S62" s="7"/>
      <c r="T62" s="7"/>
      <c r="U62" s="4"/>
      <c r="V62" s="4"/>
      <c r="W62" s="1"/>
      <c r="X62" s="1"/>
      <c r="Y62" s="5"/>
      <c r="Z62" s="5"/>
      <c r="AA62" s="5"/>
      <c r="AB62" s="1"/>
      <c r="AC62" s="1"/>
      <c r="AD62" s="1"/>
      <c r="AE62" s="1"/>
      <c r="AF62" s="1"/>
      <c r="AG62" s="1"/>
      <c r="AH62" s="1"/>
      <c r="AI62" s="1"/>
      <c r="AJ62" s="1"/>
      <c r="AK62" s="1"/>
      <c r="AL62" s="1"/>
      <c r="AM62" s="1"/>
      <c r="AN62" s="1"/>
      <c r="AO62" s="1"/>
      <c r="AP62" s="1"/>
      <c r="AQ62" s="1"/>
      <c r="AR62" s="1"/>
      <c r="AS62" s="1"/>
      <c r="AT62" s="1"/>
      <c r="AU62" s="1"/>
      <c r="AV62" s="1"/>
      <c r="AW62" s="1"/>
      <c r="AX62" s="1"/>
      <c r="AY62" s="1"/>
      <c r="AZ62" s="1"/>
    </row>
    <row r="63" spans="1:52" ht="18" customHeight="1" x14ac:dyDescent="0.25">
      <c r="A63" s="1"/>
      <c r="B63" s="1"/>
      <c r="C63" s="1"/>
      <c r="D63" s="1"/>
      <c r="E63" s="1"/>
      <c r="F63" s="1"/>
      <c r="G63" s="1"/>
      <c r="H63" s="1"/>
      <c r="I63" s="1"/>
      <c r="J63" s="1"/>
      <c r="K63" s="1"/>
      <c r="L63" s="1"/>
      <c r="M63" s="1"/>
      <c r="N63" s="1"/>
      <c r="O63" s="1"/>
      <c r="P63" s="1"/>
      <c r="Q63" s="1"/>
      <c r="R63" s="7"/>
      <c r="S63" s="7"/>
      <c r="T63" s="7"/>
      <c r="U63" s="4"/>
      <c r="V63" s="4"/>
      <c r="W63" s="1"/>
      <c r="X63" s="1"/>
      <c r="Y63" s="5"/>
      <c r="Z63" s="5"/>
      <c r="AA63" s="5"/>
      <c r="AB63" s="1"/>
      <c r="AC63" s="1"/>
      <c r="AD63" s="1"/>
      <c r="AE63" s="1"/>
      <c r="AF63" s="1"/>
      <c r="AG63" s="1"/>
      <c r="AH63" s="1"/>
      <c r="AI63" s="1"/>
      <c r="AJ63" s="1"/>
      <c r="AK63" s="1"/>
      <c r="AL63" s="1"/>
      <c r="AM63" s="1"/>
      <c r="AN63" s="1"/>
      <c r="AO63" s="1"/>
      <c r="AP63" s="1"/>
      <c r="AQ63" s="1"/>
      <c r="AR63" s="1"/>
      <c r="AS63" s="1"/>
      <c r="AT63" s="1"/>
      <c r="AU63" s="1"/>
      <c r="AV63" s="1"/>
      <c r="AW63" s="1"/>
      <c r="AX63" s="1"/>
      <c r="AY63" s="1"/>
      <c r="AZ63" s="1"/>
    </row>
    <row r="64" spans="1:52" ht="18" customHeight="1" x14ac:dyDescent="0.25">
      <c r="A64" s="1"/>
      <c r="B64" s="1"/>
      <c r="C64" s="1"/>
      <c r="D64" s="1"/>
      <c r="E64" s="1"/>
      <c r="F64" s="1"/>
      <c r="G64" s="1"/>
      <c r="H64" s="1"/>
      <c r="I64" s="1"/>
      <c r="J64" s="1"/>
      <c r="K64" s="1"/>
      <c r="L64" s="1"/>
      <c r="M64" s="1"/>
      <c r="N64" s="1"/>
      <c r="O64" s="1"/>
      <c r="P64" s="1"/>
      <c r="Q64" s="1"/>
      <c r="R64" s="7"/>
      <c r="S64" s="7"/>
      <c r="T64" s="7"/>
      <c r="U64" s="4"/>
      <c r="V64" s="4"/>
      <c r="W64" s="1"/>
      <c r="X64" s="1"/>
      <c r="Y64" s="5"/>
      <c r="Z64" s="5"/>
      <c r="AA64" s="5"/>
      <c r="AB64" s="1"/>
      <c r="AC64" s="1"/>
      <c r="AD64" s="1"/>
      <c r="AE64" s="1"/>
      <c r="AF64" s="1"/>
      <c r="AG64" s="1"/>
      <c r="AH64" s="1"/>
      <c r="AI64" s="1"/>
      <c r="AJ64" s="1"/>
      <c r="AK64" s="1"/>
      <c r="AL64" s="1"/>
      <c r="AM64" s="1"/>
      <c r="AN64" s="1"/>
      <c r="AO64" s="1"/>
      <c r="AP64" s="1"/>
      <c r="AQ64" s="1"/>
      <c r="AR64" s="1"/>
      <c r="AS64" s="1"/>
      <c r="AT64" s="1"/>
      <c r="AU64" s="1"/>
      <c r="AV64" s="1"/>
      <c r="AW64" s="1"/>
      <c r="AX64" s="1"/>
      <c r="AY64" s="1"/>
      <c r="AZ64" s="1"/>
    </row>
    <row r="65" spans="1:52" ht="18" customHeight="1" x14ac:dyDescent="0.25">
      <c r="A65" s="1"/>
      <c r="B65" s="1"/>
      <c r="C65" s="1"/>
      <c r="D65" s="1"/>
      <c r="E65" s="1"/>
      <c r="F65" s="1"/>
      <c r="G65" s="1"/>
      <c r="H65" s="1"/>
      <c r="I65" s="1"/>
      <c r="J65" s="1"/>
      <c r="K65" s="1"/>
      <c r="L65" s="1"/>
      <c r="M65" s="1"/>
      <c r="N65" s="1"/>
      <c r="O65" s="1"/>
      <c r="P65" s="1"/>
      <c r="Q65" s="1"/>
      <c r="R65" s="7"/>
      <c r="S65" s="7"/>
      <c r="T65" s="7"/>
      <c r="U65" s="4"/>
      <c r="V65" s="4"/>
      <c r="W65" s="1"/>
      <c r="X65" s="1"/>
      <c r="Y65" s="5"/>
      <c r="Z65" s="5"/>
      <c r="AA65" s="5"/>
      <c r="AB65" s="1"/>
      <c r="AC65" s="1"/>
      <c r="AD65" s="1"/>
      <c r="AE65" s="1"/>
      <c r="AF65" s="1"/>
      <c r="AG65" s="1"/>
      <c r="AH65" s="1"/>
      <c r="AI65" s="1"/>
      <c r="AJ65" s="1"/>
      <c r="AK65" s="1"/>
      <c r="AL65" s="1"/>
      <c r="AM65" s="1"/>
      <c r="AN65" s="1"/>
      <c r="AO65" s="1"/>
      <c r="AP65" s="1"/>
      <c r="AQ65" s="1"/>
      <c r="AR65" s="1"/>
      <c r="AS65" s="1"/>
      <c r="AT65" s="1"/>
      <c r="AU65" s="1"/>
      <c r="AV65" s="1"/>
      <c r="AW65" s="1"/>
      <c r="AX65" s="1"/>
      <c r="AY65" s="1"/>
      <c r="AZ65" s="1"/>
    </row>
    <row r="66" spans="1:52" ht="18" customHeight="1" x14ac:dyDescent="0.25">
      <c r="A66" s="1"/>
      <c r="B66" s="1"/>
      <c r="C66" s="1"/>
      <c r="D66" s="1"/>
      <c r="E66" s="1"/>
      <c r="F66" s="1"/>
      <c r="G66" s="1"/>
      <c r="H66" s="1"/>
      <c r="I66" s="1"/>
      <c r="J66" s="1"/>
      <c r="K66" s="1"/>
      <c r="L66" s="1"/>
      <c r="M66" s="1"/>
      <c r="N66" s="1"/>
      <c r="O66" s="1"/>
      <c r="P66" s="1"/>
      <c r="Q66" s="1"/>
      <c r="R66" s="7"/>
      <c r="S66" s="7"/>
      <c r="T66" s="7"/>
      <c r="U66" s="4"/>
      <c r="V66" s="4"/>
      <c r="W66" s="1"/>
      <c r="X66" s="1"/>
      <c r="Y66" s="5"/>
      <c r="Z66" s="5"/>
      <c r="AA66" s="5"/>
      <c r="AB66" s="1"/>
      <c r="AC66" s="1"/>
      <c r="AD66" s="1"/>
      <c r="AE66" s="1"/>
      <c r="AF66" s="1"/>
      <c r="AG66" s="1"/>
      <c r="AH66" s="1"/>
      <c r="AI66" s="1"/>
      <c r="AJ66" s="1"/>
      <c r="AK66" s="1"/>
      <c r="AL66" s="1"/>
      <c r="AM66" s="1"/>
      <c r="AN66" s="1"/>
      <c r="AO66" s="1"/>
      <c r="AP66" s="1"/>
      <c r="AQ66" s="1"/>
      <c r="AR66" s="1"/>
      <c r="AS66" s="1"/>
      <c r="AT66" s="1"/>
      <c r="AU66" s="1"/>
      <c r="AV66" s="1"/>
      <c r="AW66" s="1"/>
      <c r="AX66" s="1"/>
      <c r="AY66" s="1"/>
      <c r="AZ66" s="1"/>
    </row>
    <row r="67" spans="1:52" ht="18" customHeight="1" collapsed="1" x14ac:dyDescent="0.25">
      <c r="A67" s="1"/>
      <c r="B67" s="1"/>
      <c r="C67" s="1"/>
      <c r="D67" s="1"/>
      <c r="E67" s="1"/>
      <c r="F67" s="1"/>
      <c r="G67" s="1"/>
      <c r="H67" s="1"/>
      <c r="I67" s="1"/>
      <c r="J67" s="1"/>
      <c r="K67" s="1"/>
      <c r="L67" s="1"/>
      <c r="M67" s="1"/>
      <c r="N67" s="1"/>
      <c r="O67" s="1"/>
      <c r="P67" s="1"/>
      <c r="Q67" s="1"/>
      <c r="R67" s="7"/>
      <c r="S67" s="7"/>
      <c r="T67" s="7"/>
      <c r="U67" s="7"/>
      <c r="V67" s="7"/>
      <c r="W67" s="4"/>
      <c r="X67" s="4"/>
      <c r="Y67" s="1"/>
      <c r="Z67" s="1"/>
      <c r="AA67" s="5"/>
      <c r="AB67" s="5"/>
      <c r="AC67" s="5"/>
      <c r="AD67" s="1"/>
      <c r="AE67" s="1"/>
      <c r="AF67" s="1"/>
      <c r="AG67" s="1"/>
      <c r="AH67" s="1"/>
      <c r="AI67" s="1"/>
      <c r="AJ67" s="1"/>
      <c r="AK67" s="1"/>
      <c r="AL67" s="1"/>
      <c r="AM67" s="1"/>
      <c r="AN67" s="1"/>
      <c r="AO67" s="1"/>
      <c r="AP67" s="1"/>
      <c r="AQ67" s="1"/>
      <c r="AR67" s="1"/>
      <c r="AS67" s="1"/>
      <c r="AT67" s="1"/>
      <c r="AU67" s="1"/>
      <c r="AV67" s="1"/>
      <c r="AW67" s="1"/>
      <c r="AX67" s="1"/>
      <c r="AY67" s="1"/>
      <c r="AZ67" s="1"/>
    </row>
    <row r="68" spans="1:52" ht="18" customHeight="1" x14ac:dyDescent="0.25">
      <c r="A68" s="1"/>
      <c r="B68" s="1"/>
      <c r="C68" s="1"/>
      <c r="D68" s="1"/>
      <c r="E68" s="1"/>
      <c r="F68" s="1"/>
      <c r="G68" s="1"/>
      <c r="H68" s="1"/>
      <c r="I68" s="1"/>
      <c r="J68" s="1"/>
      <c r="K68" s="1"/>
      <c r="L68" s="1"/>
      <c r="M68" s="1"/>
      <c r="N68" s="1"/>
      <c r="O68" s="1"/>
      <c r="P68" s="1"/>
      <c r="Q68" s="1"/>
      <c r="R68" s="7"/>
      <c r="S68" s="7"/>
      <c r="T68" s="7"/>
      <c r="U68" s="7"/>
      <c r="V68" s="7"/>
      <c r="W68" s="4"/>
      <c r="X68" s="4"/>
      <c r="Y68" s="1"/>
      <c r="Z68" s="1"/>
      <c r="AA68" s="5"/>
      <c r="AB68" s="5"/>
      <c r="AC68" s="5"/>
      <c r="AD68" s="1"/>
      <c r="AE68" s="1"/>
      <c r="AF68" s="1"/>
      <c r="AG68" s="1"/>
      <c r="AH68" s="1"/>
      <c r="AI68" s="1"/>
      <c r="AJ68" s="1"/>
      <c r="AK68" s="1"/>
      <c r="AL68" s="1"/>
      <c r="AM68" s="1"/>
      <c r="AN68" s="1"/>
      <c r="AO68" s="1"/>
      <c r="AP68" s="1"/>
      <c r="AQ68" s="1"/>
      <c r="AR68" s="1"/>
      <c r="AS68" s="1"/>
      <c r="AT68" s="1"/>
      <c r="AU68" s="1"/>
      <c r="AV68" s="1"/>
      <c r="AW68" s="1"/>
      <c r="AX68" s="1"/>
      <c r="AY68" s="1"/>
      <c r="AZ68" s="1"/>
    </row>
    <row r="69" spans="1:52" ht="18" customHeight="1" x14ac:dyDescent="0.25">
      <c r="A69" s="1"/>
      <c r="B69" s="1"/>
      <c r="C69" s="1"/>
      <c r="D69" s="1"/>
      <c r="E69" s="1"/>
      <c r="F69" s="1"/>
      <c r="G69" s="1"/>
      <c r="H69" s="1"/>
      <c r="I69" s="1"/>
      <c r="J69" s="1"/>
      <c r="K69" s="1"/>
      <c r="L69" s="1"/>
      <c r="M69" s="1"/>
      <c r="N69" s="1"/>
      <c r="O69" s="1"/>
      <c r="P69" s="1"/>
      <c r="Q69" s="1"/>
      <c r="R69" s="2"/>
      <c r="S69" s="2"/>
      <c r="T69" s="2"/>
      <c r="U69" s="2"/>
      <c r="V69" s="2"/>
      <c r="W69" s="1"/>
      <c r="X69" s="1"/>
      <c r="Y69" s="1"/>
      <c r="Z69" s="1"/>
      <c r="AA69" s="5"/>
      <c r="AB69" s="5"/>
      <c r="AC69" s="5"/>
      <c r="AD69" s="1"/>
      <c r="AE69" s="1"/>
      <c r="AF69" s="1"/>
      <c r="AG69" s="1"/>
      <c r="AH69" s="1"/>
      <c r="AI69" s="1"/>
      <c r="AJ69" s="1"/>
      <c r="AK69" s="1"/>
      <c r="AL69" s="1"/>
      <c r="AM69" s="1"/>
      <c r="AN69" s="1"/>
      <c r="AO69" s="1"/>
      <c r="AP69" s="1"/>
      <c r="AQ69" s="1"/>
      <c r="AR69" s="1"/>
      <c r="AS69" s="1"/>
      <c r="AT69" s="1"/>
      <c r="AU69" s="1"/>
      <c r="AV69" s="1"/>
      <c r="AW69" s="1"/>
      <c r="AX69" s="1"/>
      <c r="AY69" s="1"/>
      <c r="AZ69" s="1"/>
    </row>
    <row r="70" spans="1:52" ht="18" customHeight="1" x14ac:dyDescent="0.25">
      <c r="A70" s="1"/>
      <c r="B70" s="1"/>
      <c r="C70" s="1"/>
      <c r="D70" s="1"/>
      <c r="E70" s="1"/>
      <c r="F70" s="1"/>
      <c r="G70" s="1"/>
      <c r="H70" s="1"/>
      <c r="I70" s="1"/>
      <c r="J70" s="1"/>
      <c r="K70" s="1"/>
      <c r="L70" s="1"/>
      <c r="M70" s="1"/>
      <c r="N70" s="1"/>
      <c r="O70" s="1"/>
      <c r="P70" s="1"/>
      <c r="Q70" s="1"/>
      <c r="R70" s="9"/>
      <c r="S70" s="2"/>
      <c r="T70" s="2"/>
      <c r="U70" s="2"/>
      <c r="V70" s="2"/>
      <c r="W70" s="1"/>
      <c r="X70" s="1"/>
      <c r="Y70" s="1"/>
      <c r="Z70" s="1"/>
      <c r="AA70" s="5"/>
      <c r="AB70" s="5"/>
      <c r="AC70" s="5"/>
      <c r="AD70" s="1"/>
      <c r="AE70" s="1"/>
      <c r="AF70" s="1"/>
      <c r="AG70" s="1"/>
      <c r="AH70" s="1"/>
      <c r="AI70" s="1"/>
      <c r="AJ70" s="1"/>
      <c r="AK70" s="1"/>
      <c r="AL70" s="1"/>
      <c r="AM70" s="1"/>
      <c r="AN70" s="1"/>
      <c r="AO70" s="1"/>
      <c r="AP70" s="1"/>
      <c r="AQ70" s="1"/>
      <c r="AR70" s="1"/>
      <c r="AS70" s="1"/>
      <c r="AT70" s="1"/>
      <c r="AU70" s="1"/>
      <c r="AV70" s="1"/>
      <c r="AW70" s="1"/>
      <c r="AX70" s="1"/>
      <c r="AY70" s="1"/>
      <c r="AZ70" s="1"/>
    </row>
    <row r="71" spans="1:52" ht="18" customHeight="1" x14ac:dyDescent="0.25">
      <c r="A71" s="1"/>
      <c r="B71" s="1"/>
      <c r="C71" s="1"/>
      <c r="D71" s="1"/>
      <c r="E71" s="1"/>
      <c r="F71" s="1"/>
      <c r="G71" s="1"/>
      <c r="H71" s="1"/>
      <c r="I71" s="1"/>
      <c r="J71" s="1"/>
      <c r="K71" s="1"/>
      <c r="L71" s="1"/>
      <c r="M71" s="1"/>
      <c r="N71" s="1"/>
      <c r="O71" s="1"/>
      <c r="P71" s="1"/>
      <c r="Q71" s="1"/>
      <c r="R71" s="2"/>
      <c r="S71" s="2"/>
      <c r="T71" s="2"/>
      <c r="U71" s="2"/>
      <c r="V71" s="2"/>
      <c r="W71" s="1"/>
      <c r="X71" s="1"/>
      <c r="Y71" s="1"/>
      <c r="Z71" s="1"/>
      <c r="AA71" s="5"/>
      <c r="AB71" s="5"/>
      <c r="AC71" s="5"/>
      <c r="AD71" s="1"/>
      <c r="AE71" s="1"/>
      <c r="AF71" s="1"/>
      <c r="AG71" s="1"/>
      <c r="AH71" s="1"/>
      <c r="AI71" s="1"/>
      <c r="AJ71" s="1"/>
      <c r="AK71" s="1"/>
      <c r="AL71" s="1"/>
      <c r="AM71" s="1"/>
      <c r="AN71" s="1"/>
      <c r="AO71" s="1"/>
      <c r="AP71" s="1"/>
      <c r="AQ71" s="1"/>
      <c r="AR71" s="1"/>
      <c r="AS71" s="1"/>
      <c r="AT71" s="1"/>
      <c r="AU71" s="1"/>
      <c r="AV71" s="1"/>
      <c r="AW71" s="1"/>
      <c r="AX71" s="1"/>
      <c r="AY71" s="1"/>
      <c r="AZ71" s="1"/>
    </row>
    <row r="72" spans="1:52" ht="18" hidden="1" customHeight="1" x14ac:dyDescent="0.25">
      <c r="A72" s="1"/>
      <c r="B72" s="1"/>
      <c r="C72" s="1"/>
      <c r="D72" s="1"/>
      <c r="E72" s="1"/>
      <c r="F72" s="1"/>
      <c r="G72" s="1"/>
      <c r="H72" s="1"/>
      <c r="I72" s="1"/>
      <c r="J72" s="1"/>
      <c r="K72" s="1"/>
      <c r="L72" s="1"/>
      <c r="M72" s="1"/>
      <c r="N72" s="1"/>
      <c r="O72" s="1"/>
      <c r="P72" s="1"/>
      <c r="Q72" s="1"/>
      <c r="R72" s="2"/>
      <c r="S72" s="2"/>
      <c r="T72" s="2"/>
      <c r="U72" s="2"/>
      <c r="V72" s="2"/>
      <c r="W72" s="1"/>
      <c r="X72" s="1"/>
      <c r="Y72" s="1"/>
      <c r="Z72" s="1"/>
      <c r="AA72" s="5"/>
      <c r="AB72" s="5"/>
      <c r="AC72" s="5"/>
      <c r="AD72" s="1"/>
      <c r="AE72" s="1"/>
      <c r="AF72" s="1"/>
      <c r="AG72" s="1"/>
      <c r="AH72" s="1"/>
      <c r="AI72" s="1"/>
      <c r="AJ72" s="1"/>
      <c r="AK72" s="1"/>
      <c r="AL72" s="1"/>
      <c r="AM72" s="1"/>
      <c r="AN72" s="1"/>
      <c r="AO72" s="1"/>
      <c r="AP72" s="1"/>
      <c r="AQ72" s="1"/>
      <c r="AR72" s="1"/>
      <c r="AS72" s="1"/>
      <c r="AT72" s="1"/>
      <c r="AU72" s="1"/>
      <c r="AV72" s="1"/>
      <c r="AW72" s="1"/>
      <c r="AX72" s="1"/>
      <c r="AY72" s="1"/>
      <c r="AZ72" s="1"/>
    </row>
    <row r="73" spans="1:52" ht="18" hidden="1" customHeight="1" x14ac:dyDescent="0.25">
      <c r="A73" s="1"/>
      <c r="B73" s="1"/>
      <c r="C73" s="1"/>
      <c r="D73" s="1"/>
      <c r="E73" s="1"/>
      <c r="F73" s="1"/>
      <c r="G73" s="1"/>
      <c r="H73" s="1"/>
      <c r="I73" s="1"/>
      <c r="J73" s="1"/>
      <c r="K73" s="1"/>
      <c r="L73" s="1"/>
      <c r="M73" s="1"/>
      <c r="N73" s="1"/>
      <c r="O73" s="1"/>
      <c r="P73" s="1"/>
      <c r="Q73" s="1"/>
      <c r="R73" s="2"/>
      <c r="S73" s="2"/>
      <c r="T73" s="2"/>
      <c r="U73" s="2"/>
      <c r="V73" s="2"/>
      <c r="W73" s="1"/>
      <c r="X73" s="1"/>
      <c r="Y73" s="1"/>
      <c r="Z73" s="1"/>
      <c r="AA73" s="5"/>
      <c r="AB73" s="5"/>
      <c r="AC73" s="5"/>
      <c r="AD73" s="1"/>
      <c r="AE73" s="1"/>
      <c r="AF73" s="1"/>
      <c r="AG73" s="1"/>
      <c r="AH73" s="1"/>
      <c r="AI73" s="1"/>
      <c r="AJ73" s="1"/>
      <c r="AK73" s="1"/>
      <c r="AL73" s="1"/>
      <c r="AM73" s="1"/>
      <c r="AN73" s="1"/>
      <c r="AO73" s="1"/>
      <c r="AP73" s="1"/>
      <c r="AQ73" s="1"/>
      <c r="AR73" s="1"/>
      <c r="AS73" s="1"/>
      <c r="AT73" s="1"/>
      <c r="AU73" s="1"/>
      <c r="AV73" s="1"/>
      <c r="AW73" s="1"/>
      <c r="AX73" s="1"/>
      <c r="AY73" s="1"/>
      <c r="AZ73" s="1"/>
    </row>
    <row r="74" spans="1:52" ht="18" hidden="1" customHeight="1" x14ac:dyDescent="0.25">
      <c r="A74" s="1"/>
      <c r="B74" s="1"/>
      <c r="C74" s="1"/>
      <c r="D74" s="1"/>
      <c r="E74" s="1"/>
      <c r="F74" s="1"/>
      <c r="G74" s="1"/>
      <c r="H74" s="1"/>
      <c r="I74" s="1"/>
      <c r="J74" s="1"/>
      <c r="K74" s="1"/>
      <c r="L74" s="1"/>
      <c r="M74" s="1"/>
      <c r="N74" s="1"/>
      <c r="O74" s="1"/>
      <c r="P74" s="1"/>
      <c r="Q74" s="1"/>
      <c r="R74" s="2"/>
      <c r="S74" s="2"/>
      <c r="T74" s="2"/>
      <c r="U74" s="2"/>
      <c r="V74" s="2"/>
      <c r="W74" s="1"/>
      <c r="X74" s="1"/>
      <c r="Y74" s="1"/>
      <c r="Z74" s="1"/>
      <c r="AA74" s="5"/>
      <c r="AB74" s="5"/>
      <c r="AC74" s="5"/>
      <c r="AD74" s="1"/>
      <c r="AE74" s="1"/>
      <c r="AF74" s="1"/>
      <c r="AG74" s="1"/>
      <c r="AH74" s="1"/>
      <c r="AI74" s="1"/>
      <c r="AJ74" s="1"/>
      <c r="AK74" s="1"/>
      <c r="AL74" s="1"/>
      <c r="AM74" s="1"/>
      <c r="AN74" s="1"/>
      <c r="AO74" s="1"/>
      <c r="AP74" s="1"/>
      <c r="AQ74" s="1"/>
      <c r="AR74" s="1"/>
      <c r="AS74" s="1"/>
      <c r="AT74" s="1"/>
      <c r="AU74" s="1"/>
      <c r="AV74" s="1"/>
      <c r="AW74" s="1"/>
      <c r="AX74" s="1"/>
      <c r="AY74" s="1"/>
      <c r="AZ74" s="1"/>
    </row>
    <row r="75" spans="1:52" ht="18" hidden="1" customHeight="1" x14ac:dyDescent="0.25">
      <c r="A75" s="1"/>
      <c r="B75" s="1"/>
      <c r="C75" s="1"/>
      <c r="D75" s="1"/>
      <c r="E75" s="1"/>
      <c r="F75" s="1"/>
      <c r="G75" s="1"/>
      <c r="H75" s="1"/>
      <c r="I75" s="1"/>
      <c r="J75" s="1"/>
      <c r="K75" s="1"/>
      <c r="L75" s="1"/>
      <c r="M75" s="1"/>
      <c r="N75" s="1"/>
      <c r="O75" s="1"/>
      <c r="P75" s="1"/>
      <c r="Q75" s="1"/>
      <c r="R75" s="2"/>
      <c r="S75" s="2"/>
      <c r="T75" s="2"/>
      <c r="U75" s="2"/>
      <c r="V75" s="2"/>
      <c r="W75" s="1"/>
      <c r="X75" s="1"/>
      <c r="Y75" s="1"/>
      <c r="Z75" s="1"/>
      <c r="AA75" s="5"/>
      <c r="AB75" s="5"/>
      <c r="AC75" s="5"/>
      <c r="AD75" s="1"/>
      <c r="AE75" s="1"/>
      <c r="AF75" s="1"/>
      <c r="AG75" s="1"/>
      <c r="AH75" s="1"/>
      <c r="AI75" s="1"/>
      <c r="AJ75" s="1"/>
      <c r="AK75" s="1"/>
      <c r="AL75" s="1"/>
      <c r="AM75" s="1"/>
      <c r="AN75" s="1"/>
      <c r="AO75" s="1"/>
      <c r="AP75" s="1"/>
      <c r="AQ75" s="1"/>
      <c r="AR75" s="1"/>
      <c r="AS75" s="1"/>
      <c r="AT75" s="1"/>
      <c r="AU75" s="1"/>
      <c r="AV75" s="1"/>
      <c r="AW75" s="1"/>
      <c r="AX75" s="1"/>
      <c r="AY75" s="1"/>
      <c r="AZ75" s="1"/>
    </row>
    <row r="76" spans="1:52" ht="18" hidden="1" customHeight="1" x14ac:dyDescent="0.25">
      <c r="A76" s="1"/>
      <c r="B76" s="1"/>
      <c r="C76" s="1"/>
      <c r="D76" s="1"/>
      <c r="E76" s="1"/>
      <c r="F76" s="1"/>
      <c r="G76" s="1"/>
      <c r="H76" s="1"/>
      <c r="I76" s="1"/>
      <c r="J76" s="1"/>
      <c r="K76" s="1"/>
      <c r="L76" s="1"/>
      <c r="M76" s="1"/>
      <c r="N76" s="1"/>
      <c r="O76" s="1"/>
      <c r="P76" s="1"/>
      <c r="Q76" s="1"/>
      <c r="R76" s="2"/>
      <c r="S76" s="2"/>
      <c r="T76" s="2"/>
      <c r="U76" s="2"/>
      <c r="V76" s="2"/>
      <c r="W76" s="1"/>
      <c r="X76" s="1"/>
      <c r="Y76" s="1"/>
      <c r="Z76" s="1"/>
      <c r="AA76" s="5"/>
      <c r="AB76" s="5"/>
      <c r="AC76" s="5"/>
      <c r="AD76" s="1"/>
      <c r="AE76" s="1"/>
      <c r="AF76" s="1"/>
      <c r="AG76" s="1"/>
      <c r="AH76" s="1"/>
      <c r="AI76" s="1"/>
      <c r="AJ76" s="1"/>
      <c r="AK76" s="1"/>
      <c r="AL76" s="1"/>
      <c r="AM76" s="1"/>
      <c r="AN76" s="1"/>
      <c r="AO76" s="1"/>
      <c r="AP76" s="1"/>
      <c r="AQ76" s="1"/>
      <c r="AR76" s="1"/>
      <c r="AS76" s="1"/>
      <c r="AT76" s="1"/>
      <c r="AU76" s="1"/>
      <c r="AV76" s="1"/>
      <c r="AW76" s="1"/>
      <c r="AX76" s="1"/>
      <c r="AY76" s="1"/>
      <c r="AZ76" s="1"/>
    </row>
    <row r="77" spans="1:52" ht="18" hidden="1" customHeight="1" x14ac:dyDescent="0.25">
      <c r="A77" s="1"/>
      <c r="B77" s="1"/>
      <c r="C77" s="1"/>
      <c r="D77" s="1"/>
      <c r="E77" s="1"/>
      <c r="F77" s="1"/>
      <c r="G77" s="1"/>
      <c r="H77" s="1"/>
      <c r="I77" s="1"/>
      <c r="J77" s="1"/>
      <c r="K77" s="1"/>
      <c r="L77" s="1"/>
      <c r="M77" s="1"/>
      <c r="N77" s="1"/>
      <c r="O77" s="1"/>
      <c r="P77" s="1"/>
      <c r="Q77" s="1"/>
      <c r="R77" s="2"/>
      <c r="S77" s="2"/>
      <c r="T77" s="2"/>
      <c r="U77" s="2"/>
      <c r="V77" s="2"/>
      <c r="W77" s="1"/>
      <c r="X77" s="1"/>
      <c r="Y77" s="1"/>
      <c r="Z77" s="1"/>
      <c r="AA77" s="5"/>
      <c r="AB77" s="5"/>
      <c r="AC77" s="5"/>
      <c r="AD77" s="1"/>
      <c r="AE77" s="1"/>
      <c r="AF77" s="1"/>
      <c r="AG77" s="1"/>
      <c r="AH77" s="1"/>
      <c r="AI77" s="1"/>
      <c r="AJ77" s="1"/>
      <c r="AK77" s="1"/>
      <c r="AL77" s="1"/>
      <c r="AM77" s="1"/>
      <c r="AN77" s="1"/>
      <c r="AO77" s="1"/>
      <c r="AP77" s="1"/>
      <c r="AQ77" s="1"/>
      <c r="AR77" s="1"/>
      <c r="AS77" s="1"/>
      <c r="AT77" s="1"/>
      <c r="AU77" s="1"/>
      <c r="AV77" s="1"/>
      <c r="AW77" s="1"/>
      <c r="AX77" s="1"/>
      <c r="AY77" s="1"/>
      <c r="AZ77" s="1"/>
    </row>
    <row r="78" spans="1:52" ht="18" hidden="1" customHeight="1" x14ac:dyDescent="0.25">
      <c r="A78" s="1"/>
      <c r="B78" s="1"/>
      <c r="C78" s="1"/>
      <c r="D78" s="1"/>
      <c r="E78" s="1"/>
      <c r="F78" s="1"/>
      <c r="G78" s="1"/>
      <c r="H78" s="1"/>
      <c r="I78" s="1"/>
      <c r="J78" s="1"/>
      <c r="K78" s="1"/>
      <c r="L78" s="1"/>
      <c r="M78" s="1"/>
      <c r="N78" s="1"/>
      <c r="O78" s="1"/>
      <c r="P78" s="1"/>
      <c r="Q78" s="1"/>
      <c r="R78" s="2"/>
      <c r="S78" s="2"/>
      <c r="T78" s="2"/>
      <c r="U78" s="2"/>
      <c r="V78" s="2"/>
      <c r="W78" s="1"/>
      <c r="X78" s="1"/>
      <c r="Y78" s="1"/>
      <c r="Z78" s="1"/>
      <c r="AA78" s="5"/>
      <c r="AB78" s="5"/>
      <c r="AC78" s="5"/>
      <c r="AD78" s="1"/>
      <c r="AE78" s="1"/>
      <c r="AF78" s="1"/>
      <c r="AG78" s="1"/>
      <c r="AH78" s="1"/>
      <c r="AI78" s="1"/>
      <c r="AJ78" s="1"/>
      <c r="AK78" s="1"/>
      <c r="AL78" s="1"/>
      <c r="AM78" s="1"/>
      <c r="AN78" s="1"/>
      <c r="AO78" s="1"/>
      <c r="AP78" s="1"/>
      <c r="AQ78" s="1"/>
      <c r="AR78" s="1"/>
      <c r="AS78" s="1"/>
      <c r="AT78" s="1"/>
      <c r="AU78" s="1"/>
      <c r="AV78" s="1"/>
      <c r="AW78" s="1"/>
      <c r="AX78" s="1"/>
      <c r="AY78" s="1"/>
      <c r="AZ78" s="1"/>
    </row>
    <row r="79" spans="1:52" ht="18" customHeight="1" collapsed="1" x14ac:dyDescent="0.25">
      <c r="A79" s="1"/>
      <c r="B79" s="1"/>
      <c r="C79" s="1"/>
      <c r="D79" s="1"/>
      <c r="E79" s="1"/>
      <c r="F79" s="1"/>
      <c r="G79" s="1"/>
      <c r="H79" s="1"/>
      <c r="I79" s="1"/>
      <c r="J79" s="1"/>
      <c r="K79" s="1"/>
      <c r="L79" s="1"/>
      <c r="M79" s="1"/>
      <c r="N79" s="1"/>
      <c r="O79" s="1"/>
      <c r="P79" s="1"/>
      <c r="Q79" s="1"/>
      <c r="R79" s="2"/>
      <c r="S79" s="2"/>
      <c r="T79" s="2"/>
      <c r="U79" s="2"/>
      <c r="V79" s="2"/>
      <c r="W79" s="1"/>
      <c r="X79" s="1"/>
      <c r="Y79" s="1"/>
      <c r="Z79" s="1"/>
      <c r="AA79" s="5"/>
      <c r="AB79" s="5"/>
      <c r="AC79" s="5"/>
      <c r="AD79" s="1"/>
      <c r="AE79" s="1"/>
      <c r="AF79" s="1"/>
      <c r="AG79" s="1"/>
      <c r="AH79" s="1"/>
      <c r="AI79" s="1"/>
      <c r="AJ79" s="1"/>
      <c r="AK79" s="1"/>
      <c r="AL79" s="1"/>
      <c r="AM79" s="1"/>
      <c r="AN79" s="1"/>
      <c r="AO79" s="1"/>
      <c r="AP79" s="1"/>
      <c r="AQ79" s="1"/>
      <c r="AR79" s="1"/>
      <c r="AS79" s="1"/>
      <c r="AT79" s="1"/>
      <c r="AU79" s="1"/>
      <c r="AV79" s="1"/>
      <c r="AW79" s="1"/>
      <c r="AX79" s="1"/>
      <c r="AY79" s="1"/>
      <c r="AZ79" s="1"/>
    </row>
    <row r="80" spans="1:52" ht="18" hidden="1" customHeight="1" x14ac:dyDescent="0.25">
      <c r="A80" s="1"/>
      <c r="B80" s="1"/>
      <c r="C80" s="1"/>
      <c r="D80" s="1"/>
      <c r="E80" s="1"/>
      <c r="F80" s="1"/>
      <c r="G80" s="1"/>
      <c r="H80" s="1"/>
      <c r="I80" s="1"/>
      <c r="J80" s="1"/>
      <c r="K80" s="1"/>
      <c r="L80" s="1"/>
      <c r="M80" s="1"/>
      <c r="N80" s="1"/>
      <c r="O80" s="1"/>
      <c r="P80" s="1"/>
      <c r="Q80" s="1"/>
      <c r="R80" s="2"/>
      <c r="S80" s="2"/>
      <c r="T80" s="2"/>
      <c r="U80" s="2"/>
      <c r="V80" s="2"/>
      <c r="W80" s="1"/>
      <c r="X80" s="1"/>
      <c r="Y80" s="1"/>
      <c r="Z80" s="1"/>
      <c r="AA80" s="5"/>
      <c r="AB80" s="5"/>
      <c r="AC80" s="5"/>
      <c r="AD80" s="1"/>
      <c r="AE80" s="1"/>
      <c r="AF80" s="1"/>
      <c r="AG80" s="1"/>
      <c r="AH80" s="1"/>
      <c r="AI80" s="1"/>
      <c r="AJ80" s="1"/>
      <c r="AK80" s="1"/>
      <c r="AL80" s="1"/>
      <c r="AM80" s="1"/>
      <c r="AN80" s="1"/>
      <c r="AO80" s="1"/>
      <c r="AP80" s="1"/>
      <c r="AQ80" s="1"/>
      <c r="AR80" s="1"/>
      <c r="AS80" s="1"/>
      <c r="AT80" s="1"/>
      <c r="AU80" s="1"/>
      <c r="AV80" s="1"/>
      <c r="AW80" s="1"/>
      <c r="AX80" s="1"/>
      <c r="AY80" s="1"/>
      <c r="AZ80" s="1"/>
    </row>
    <row r="81" spans="1:52" ht="18" hidden="1" customHeight="1" x14ac:dyDescent="0.25">
      <c r="A81" s="1"/>
      <c r="B81" s="1"/>
      <c r="C81" s="1"/>
      <c r="D81" s="1"/>
      <c r="E81" s="1"/>
      <c r="F81" s="1"/>
      <c r="G81" s="1"/>
      <c r="H81" s="1"/>
      <c r="I81" s="1"/>
      <c r="J81" s="1"/>
      <c r="K81" s="1"/>
      <c r="L81" s="1"/>
      <c r="M81" s="1"/>
      <c r="N81" s="1"/>
      <c r="O81" s="1"/>
      <c r="P81" s="1"/>
      <c r="Q81" s="1"/>
      <c r="R81" s="2"/>
      <c r="S81" s="2"/>
      <c r="T81" s="2"/>
      <c r="U81" s="2"/>
      <c r="V81" s="2"/>
      <c r="W81" s="1"/>
      <c r="X81" s="1"/>
      <c r="Y81" s="1"/>
      <c r="Z81" s="1"/>
      <c r="AA81" s="5"/>
      <c r="AB81" s="5"/>
      <c r="AC81" s="5"/>
      <c r="AD81" s="1"/>
      <c r="AE81" s="1"/>
      <c r="AF81" s="1"/>
      <c r="AG81" s="1"/>
      <c r="AH81" s="1"/>
      <c r="AI81" s="1"/>
      <c r="AJ81" s="1"/>
      <c r="AK81" s="1"/>
      <c r="AL81" s="1"/>
      <c r="AM81" s="1"/>
      <c r="AN81" s="1"/>
      <c r="AO81" s="1"/>
      <c r="AP81" s="1"/>
      <c r="AQ81" s="1"/>
      <c r="AR81" s="1"/>
      <c r="AS81" s="1"/>
      <c r="AT81" s="1"/>
      <c r="AU81" s="1"/>
      <c r="AV81" s="1"/>
      <c r="AW81" s="1"/>
      <c r="AX81" s="1"/>
      <c r="AY81" s="1"/>
      <c r="AZ81" s="1"/>
    </row>
    <row r="82" spans="1:52" ht="18" hidden="1" customHeight="1" x14ac:dyDescent="0.25">
      <c r="A82" s="1"/>
      <c r="B82" s="1"/>
      <c r="C82" s="1"/>
      <c r="D82" s="1"/>
      <c r="E82" s="1"/>
      <c r="F82" s="1"/>
      <c r="G82" s="1"/>
      <c r="H82" s="1"/>
      <c r="I82" s="1"/>
      <c r="J82" s="1"/>
      <c r="K82" s="1"/>
      <c r="L82" s="1"/>
      <c r="M82" s="1"/>
      <c r="N82" s="1"/>
      <c r="O82" s="1"/>
      <c r="P82" s="1"/>
      <c r="Q82" s="1"/>
      <c r="R82" s="2"/>
      <c r="S82" s="2"/>
      <c r="T82" s="2"/>
      <c r="U82" s="2"/>
      <c r="V82" s="2"/>
      <c r="W82" s="1"/>
      <c r="X82" s="1"/>
      <c r="Y82" s="1"/>
      <c r="Z82" s="1"/>
      <c r="AA82" s="5"/>
      <c r="AB82" s="5"/>
      <c r="AC82" s="5"/>
      <c r="AD82" s="1"/>
      <c r="AE82" s="1"/>
      <c r="AF82" s="1"/>
      <c r="AG82" s="1"/>
      <c r="AH82" s="1"/>
      <c r="AI82" s="1"/>
      <c r="AJ82" s="1"/>
      <c r="AK82" s="1"/>
      <c r="AL82" s="1"/>
      <c r="AM82" s="1"/>
      <c r="AN82" s="1"/>
      <c r="AO82" s="1"/>
      <c r="AP82" s="1"/>
      <c r="AQ82" s="1"/>
      <c r="AR82" s="1"/>
      <c r="AS82" s="1"/>
      <c r="AT82" s="1"/>
      <c r="AU82" s="1"/>
      <c r="AV82" s="1"/>
      <c r="AW82" s="1"/>
      <c r="AX82" s="1"/>
      <c r="AY82" s="1"/>
      <c r="AZ82" s="1"/>
    </row>
    <row r="83" spans="1:52" ht="18" hidden="1" customHeight="1" x14ac:dyDescent="0.25">
      <c r="A83" s="1"/>
      <c r="B83" s="1"/>
      <c r="C83" s="1"/>
      <c r="D83" s="1"/>
      <c r="E83" s="1"/>
      <c r="F83" s="1"/>
      <c r="G83" s="1"/>
      <c r="H83" s="1"/>
      <c r="I83" s="1"/>
      <c r="J83" s="1"/>
      <c r="K83" s="1"/>
      <c r="L83" s="1"/>
      <c r="M83" s="1"/>
      <c r="N83" s="1"/>
      <c r="O83" s="1"/>
      <c r="P83" s="1"/>
      <c r="Q83" s="1"/>
      <c r="R83" s="2"/>
      <c r="S83" s="2"/>
      <c r="T83" s="2"/>
      <c r="U83" s="2"/>
      <c r="V83" s="2"/>
      <c r="W83" s="1"/>
      <c r="X83" s="1"/>
      <c r="Y83" s="1"/>
      <c r="Z83" s="1"/>
      <c r="AA83" s="5"/>
      <c r="AB83" s="5"/>
      <c r="AC83" s="5"/>
      <c r="AD83" s="1"/>
      <c r="AE83" s="1"/>
      <c r="AF83" s="1"/>
      <c r="AG83" s="1"/>
      <c r="AH83" s="1"/>
      <c r="AI83" s="1"/>
      <c r="AJ83" s="1"/>
      <c r="AK83" s="1"/>
      <c r="AL83" s="1"/>
      <c r="AM83" s="1"/>
      <c r="AN83" s="1"/>
      <c r="AO83" s="1"/>
      <c r="AP83" s="1"/>
      <c r="AQ83" s="1"/>
      <c r="AR83" s="1"/>
      <c r="AS83" s="1"/>
      <c r="AT83" s="1"/>
      <c r="AU83" s="1"/>
      <c r="AV83" s="1"/>
      <c r="AW83" s="1"/>
      <c r="AX83" s="1"/>
      <c r="AY83" s="1"/>
      <c r="AZ83" s="1"/>
    </row>
    <row r="84" spans="1:52" ht="18" hidden="1" customHeight="1" x14ac:dyDescent="0.25">
      <c r="A84" s="1"/>
      <c r="B84" s="1"/>
      <c r="C84" s="1"/>
      <c r="D84" s="1"/>
      <c r="E84" s="1"/>
      <c r="F84" s="1"/>
      <c r="G84" s="1"/>
      <c r="H84" s="1"/>
      <c r="I84" s="1"/>
      <c r="J84" s="1"/>
      <c r="K84" s="1"/>
      <c r="L84" s="1"/>
      <c r="M84" s="1"/>
      <c r="N84" s="1"/>
      <c r="O84" s="1"/>
      <c r="P84" s="1"/>
      <c r="Q84" s="1"/>
      <c r="R84" s="2"/>
      <c r="S84" s="2"/>
      <c r="T84" s="2"/>
      <c r="U84" s="2"/>
      <c r="V84" s="2"/>
      <c r="W84" s="1"/>
      <c r="X84" s="1"/>
      <c r="Y84" s="1"/>
      <c r="Z84" s="1"/>
      <c r="AA84" s="5"/>
      <c r="AB84" s="5"/>
      <c r="AC84" s="5"/>
      <c r="AD84" s="1"/>
      <c r="AE84" s="1"/>
      <c r="AF84" s="1"/>
      <c r="AG84" s="1"/>
      <c r="AH84" s="1"/>
      <c r="AI84" s="1"/>
      <c r="AJ84" s="1"/>
      <c r="AK84" s="1"/>
      <c r="AL84" s="1"/>
      <c r="AM84" s="1"/>
      <c r="AN84" s="1"/>
      <c r="AO84" s="1"/>
      <c r="AP84" s="1"/>
      <c r="AQ84" s="1"/>
      <c r="AR84" s="1"/>
      <c r="AS84" s="1"/>
      <c r="AT84" s="1"/>
      <c r="AU84" s="1"/>
      <c r="AV84" s="1"/>
      <c r="AW84" s="1"/>
      <c r="AX84" s="1"/>
      <c r="AY84" s="1"/>
      <c r="AZ84" s="1"/>
    </row>
    <row r="85" spans="1:52" ht="18" hidden="1" customHeight="1" x14ac:dyDescent="0.25">
      <c r="A85" s="1"/>
      <c r="B85" s="1"/>
      <c r="C85" s="1"/>
      <c r="D85" s="1"/>
      <c r="E85" s="1"/>
      <c r="F85" s="1"/>
      <c r="G85" s="1"/>
      <c r="H85" s="1"/>
      <c r="I85" s="1"/>
      <c r="J85" s="1"/>
      <c r="K85" s="1"/>
      <c r="L85" s="1"/>
      <c r="M85" s="1"/>
      <c r="N85" s="1"/>
      <c r="O85" s="1"/>
      <c r="P85" s="1"/>
      <c r="Q85" s="1"/>
      <c r="R85" s="2"/>
      <c r="S85" s="2"/>
      <c r="T85" s="2"/>
      <c r="U85" s="2"/>
      <c r="V85" s="2"/>
      <c r="W85" s="1"/>
      <c r="X85" s="1"/>
      <c r="Y85" s="1"/>
      <c r="Z85" s="1"/>
      <c r="AA85" s="5"/>
      <c r="AB85" s="5"/>
      <c r="AC85" s="5"/>
      <c r="AD85" s="1"/>
      <c r="AE85" s="1"/>
      <c r="AF85" s="1"/>
      <c r="AG85" s="1"/>
      <c r="AH85" s="1"/>
      <c r="AI85" s="1"/>
      <c r="AJ85" s="1"/>
      <c r="AK85" s="1"/>
      <c r="AL85" s="1"/>
      <c r="AM85" s="1"/>
      <c r="AN85" s="1"/>
      <c r="AO85" s="1"/>
      <c r="AP85" s="1"/>
      <c r="AQ85" s="1"/>
      <c r="AR85" s="1"/>
      <c r="AS85" s="1"/>
      <c r="AT85" s="1"/>
      <c r="AU85" s="1"/>
      <c r="AV85" s="1"/>
      <c r="AW85" s="1"/>
      <c r="AX85" s="1"/>
      <c r="AY85" s="1"/>
      <c r="AZ85" s="1"/>
    </row>
    <row r="86" spans="1:52" ht="18" hidden="1" customHeight="1" x14ac:dyDescent="0.25">
      <c r="A86" s="1"/>
      <c r="B86" s="1"/>
      <c r="C86" s="1"/>
      <c r="D86" s="1"/>
      <c r="E86" s="1"/>
      <c r="F86" s="1"/>
      <c r="G86" s="1"/>
      <c r="H86" s="1"/>
      <c r="I86" s="1"/>
      <c r="J86" s="1"/>
      <c r="K86" s="1"/>
      <c r="L86" s="1"/>
      <c r="M86" s="1"/>
      <c r="N86" s="1"/>
      <c r="O86" s="1"/>
      <c r="P86" s="1"/>
      <c r="Q86" s="1"/>
      <c r="R86" s="2"/>
      <c r="S86" s="2"/>
      <c r="T86" s="2"/>
      <c r="U86" s="2"/>
      <c r="V86" s="2"/>
      <c r="W86" s="1"/>
      <c r="X86" s="1"/>
      <c r="Y86" s="1"/>
      <c r="Z86" s="1"/>
      <c r="AA86" s="5"/>
      <c r="AB86" s="5"/>
      <c r="AC86" s="5"/>
      <c r="AD86" s="1"/>
      <c r="AE86" s="1"/>
      <c r="AF86" s="1"/>
      <c r="AG86" s="1"/>
      <c r="AH86" s="1"/>
      <c r="AI86" s="1"/>
      <c r="AJ86" s="1"/>
      <c r="AK86" s="1"/>
      <c r="AL86" s="1"/>
      <c r="AM86" s="1"/>
      <c r="AN86" s="1"/>
      <c r="AO86" s="1"/>
      <c r="AP86" s="1"/>
      <c r="AQ86" s="1"/>
      <c r="AR86" s="1"/>
      <c r="AS86" s="1"/>
      <c r="AT86" s="1"/>
      <c r="AU86" s="1"/>
      <c r="AV86" s="1"/>
      <c r="AW86" s="1"/>
      <c r="AX86" s="1"/>
      <c r="AY86" s="1"/>
      <c r="AZ86" s="1"/>
    </row>
    <row r="87" spans="1:52" ht="18" hidden="1" customHeight="1" x14ac:dyDescent="0.25">
      <c r="A87" s="1"/>
      <c r="B87" s="1"/>
      <c r="C87" s="1"/>
      <c r="D87" s="1"/>
      <c r="E87" s="1"/>
      <c r="F87" s="1"/>
      <c r="G87" s="1"/>
      <c r="H87" s="1"/>
      <c r="I87" s="1"/>
      <c r="J87" s="1"/>
      <c r="K87" s="1"/>
      <c r="L87" s="1"/>
      <c r="M87" s="1"/>
      <c r="N87" s="1"/>
      <c r="O87" s="1"/>
      <c r="P87" s="1"/>
      <c r="Q87" s="1"/>
      <c r="R87" s="2"/>
      <c r="S87" s="2"/>
      <c r="T87" s="2"/>
      <c r="U87" s="2"/>
      <c r="V87" s="2"/>
      <c r="W87" s="1"/>
      <c r="X87" s="1"/>
      <c r="Y87" s="1"/>
      <c r="Z87" s="1"/>
      <c r="AA87" s="5"/>
      <c r="AB87" s="5"/>
      <c r="AC87" s="5"/>
      <c r="AD87" s="1"/>
      <c r="AE87" s="1"/>
      <c r="AF87" s="1"/>
      <c r="AG87" s="1"/>
      <c r="AH87" s="1"/>
      <c r="AI87" s="1"/>
      <c r="AJ87" s="1"/>
      <c r="AK87" s="1"/>
      <c r="AL87" s="1"/>
      <c r="AM87" s="1"/>
      <c r="AN87" s="1"/>
      <c r="AO87" s="1"/>
      <c r="AP87" s="1"/>
      <c r="AQ87" s="1"/>
      <c r="AR87" s="1"/>
      <c r="AS87" s="1"/>
      <c r="AT87" s="1"/>
      <c r="AU87" s="1"/>
      <c r="AV87" s="1"/>
      <c r="AW87" s="1"/>
      <c r="AX87" s="1"/>
      <c r="AY87" s="1"/>
      <c r="AZ87" s="1"/>
    </row>
    <row r="88" spans="1:52" ht="18" customHeight="1" collapsed="1" x14ac:dyDescent="0.25">
      <c r="A88" s="1"/>
      <c r="B88" s="1"/>
      <c r="C88" s="1"/>
      <c r="D88" s="1"/>
      <c r="E88" s="1"/>
      <c r="F88" s="1"/>
      <c r="G88" s="1"/>
      <c r="H88" s="1"/>
      <c r="I88" s="1"/>
      <c r="J88" s="1"/>
      <c r="K88" s="1"/>
      <c r="L88" s="1"/>
      <c r="M88" s="1"/>
      <c r="N88" s="1"/>
      <c r="O88" s="1"/>
      <c r="P88" s="1"/>
      <c r="Q88" s="1"/>
      <c r="R88" s="2"/>
      <c r="S88" s="2"/>
      <c r="T88" s="2"/>
      <c r="U88" s="2"/>
      <c r="V88" s="2"/>
      <c r="W88" s="1"/>
      <c r="X88" s="1"/>
      <c r="Y88" s="1"/>
      <c r="Z88" s="1"/>
      <c r="AA88" s="5"/>
      <c r="AB88" s="5"/>
      <c r="AC88" s="5"/>
      <c r="AD88" s="1"/>
      <c r="AE88" s="1"/>
      <c r="AF88" s="1"/>
      <c r="AG88" s="1"/>
      <c r="AH88" s="1"/>
      <c r="AI88" s="1"/>
      <c r="AJ88" s="1"/>
      <c r="AK88" s="1"/>
      <c r="AL88" s="1"/>
      <c r="AM88" s="1"/>
      <c r="AN88" s="1"/>
      <c r="AO88" s="1"/>
      <c r="AP88" s="1"/>
      <c r="AQ88" s="1"/>
      <c r="AR88" s="1"/>
      <c r="AS88" s="1"/>
      <c r="AT88" s="1"/>
      <c r="AU88" s="1"/>
      <c r="AV88" s="1"/>
      <c r="AW88" s="1"/>
      <c r="AX88" s="1"/>
      <c r="AY88" s="1"/>
      <c r="AZ88" s="1"/>
    </row>
    <row r="89" spans="1:52" ht="18" customHeight="1" x14ac:dyDescent="0.25">
      <c r="A89" s="1"/>
      <c r="B89" s="1"/>
      <c r="C89" s="1"/>
      <c r="D89" s="1"/>
      <c r="E89" s="1"/>
      <c r="F89" s="1"/>
      <c r="G89" s="1"/>
      <c r="H89" s="1"/>
      <c r="I89" s="1"/>
      <c r="J89" s="1"/>
      <c r="K89" s="1"/>
      <c r="L89" s="1"/>
      <c r="M89" s="1"/>
      <c r="N89" s="1"/>
      <c r="O89" s="1"/>
      <c r="P89" s="1"/>
      <c r="Q89" s="1"/>
      <c r="R89" s="2"/>
      <c r="S89" s="2"/>
      <c r="T89" s="2"/>
      <c r="U89" s="2"/>
      <c r="V89" s="2"/>
      <c r="W89" s="1"/>
      <c r="X89" s="1"/>
      <c r="Y89" s="1"/>
      <c r="Z89" s="1"/>
      <c r="AA89" s="5"/>
      <c r="AB89" s="5"/>
      <c r="AC89" s="5"/>
      <c r="AD89" s="1"/>
      <c r="AE89" s="1"/>
      <c r="AF89" s="1"/>
      <c r="AG89" s="1"/>
      <c r="AH89" s="1"/>
      <c r="AI89" s="1"/>
      <c r="AJ89" s="1"/>
      <c r="AK89" s="1"/>
      <c r="AL89" s="1"/>
      <c r="AM89" s="1"/>
      <c r="AN89" s="1"/>
      <c r="AO89" s="1"/>
      <c r="AP89" s="1"/>
      <c r="AQ89" s="1"/>
      <c r="AR89" s="1"/>
      <c r="AS89" s="1"/>
      <c r="AT89" s="1"/>
      <c r="AU89" s="1"/>
      <c r="AV89" s="1"/>
      <c r="AW89" s="1"/>
      <c r="AX89" s="1"/>
      <c r="AY89" s="1"/>
      <c r="AZ89" s="1"/>
    </row>
    <row r="90" spans="1:52" ht="18" hidden="1" customHeight="1" x14ac:dyDescent="0.25">
      <c r="A90" s="1"/>
      <c r="B90" s="1"/>
      <c r="C90" s="1"/>
      <c r="D90" s="1"/>
      <c r="E90" s="1"/>
      <c r="F90" s="1"/>
      <c r="G90" s="1"/>
      <c r="H90" s="1"/>
      <c r="I90" s="1"/>
      <c r="J90" s="1"/>
      <c r="K90" s="1"/>
      <c r="L90" s="1"/>
      <c r="M90" s="1"/>
      <c r="N90" s="1"/>
      <c r="O90" s="1"/>
      <c r="P90" s="1"/>
      <c r="Q90" s="1"/>
      <c r="R90" s="2"/>
      <c r="S90" s="2"/>
      <c r="T90" s="2"/>
      <c r="U90" s="2"/>
      <c r="V90" s="2"/>
      <c r="W90" s="1"/>
      <c r="X90" s="1"/>
      <c r="Y90" s="1"/>
      <c r="Z90" s="1"/>
      <c r="AA90" s="5"/>
      <c r="AB90" s="5"/>
      <c r="AC90" s="5"/>
      <c r="AD90" s="1"/>
      <c r="AE90" s="1"/>
      <c r="AF90" s="1"/>
      <c r="AG90" s="1"/>
      <c r="AH90" s="1"/>
      <c r="AI90" s="1"/>
      <c r="AJ90" s="1"/>
      <c r="AK90" s="1"/>
      <c r="AL90" s="1"/>
      <c r="AM90" s="1"/>
      <c r="AN90" s="1"/>
      <c r="AO90" s="1"/>
      <c r="AP90" s="1"/>
      <c r="AQ90" s="1"/>
      <c r="AR90" s="1"/>
      <c r="AS90" s="1"/>
      <c r="AT90" s="1"/>
      <c r="AU90" s="1"/>
      <c r="AV90" s="1"/>
      <c r="AW90" s="1"/>
      <c r="AX90" s="1"/>
      <c r="AY90" s="1"/>
      <c r="AZ90" s="1"/>
    </row>
    <row r="91" spans="1:52" ht="18" hidden="1" customHeight="1" x14ac:dyDescent="0.25">
      <c r="A91" s="1"/>
      <c r="B91" s="1"/>
      <c r="C91" s="1"/>
      <c r="D91" s="1"/>
      <c r="E91" s="1"/>
      <c r="F91" s="1"/>
      <c r="G91" s="1"/>
      <c r="H91" s="1"/>
      <c r="I91" s="1"/>
      <c r="J91" s="1"/>
      <c r="K91" s="1"/>
      <c r="L91" s="1"/>
      <c r="M91" s="1"/>
      <c r="N91" s="1"/>
      <c r="O91" s="1"/>
      <c r="P91" s="1"/>
      <c r="Q91" s="1"/>
      <c r="R91" s="2"/>
      <c r="S91" s="2"/>
      <c r="T91" s="2"/>
      <c r="U91" s="2"/>
      <c r="V91" s="2"/>
      <c r="W91" s="1"/>
      <c r="X91" s="1"/>
      <c r="Y91" s="1"/>
      <c r="Z91" s="1"/>
      <c r="AA91" s="5"/>
      <c r="AB91" s="5"/>
      <c r="AC91" s="5"/>
      <c r="AD91" s="1"/>
      <c r="AE91" s="1"/>
      <c r="AF91" s="1"/>
      <c r="AG91" s="1"/>
      <c r="AH91" s="1"/>
      <c r="AI91" s="1"/>
      <c r="AJ91" s="1"/>
      <c r="AK91" s="1"/>
      <c r="AL91" s="1"/>
      <c r="AM91" s="1"/>
      <c r="AN91" s="1"/>
      <c r="AO91" s="1"/>
      <c r="AP91" s="1"/>
      <c r="AQ91" s="1"/>
      <c r="AR91" s="1"/>
      <c r="AS91" s="1"/>
      <c r="AT91" s="1"/>
      <c r="AU91" s="1"/>
      <c r="AV91" s="1"/>
      <c r="AW91" s="1"/>
      <c r="AX91" s="1"/>
      <c r="AY91" s="1"/>
      <c r="AZ91" s="1"/>
    </row>
    <row r="92" spans="1:52" ht="18" hidden="1" customHeight="1" x14ac:dyDescent="0.25">
      <c r="A92" s="1"/>
      <c r="B92" s="1"/>
      <c r="C92" s="1"/>
      <c r="D92" s="1"/>
      <c r="E92" s="1"/>
      <c r="F92" s="1"/>
      <c r="G92" s="1"/>
      <c r="H92" s="1"/>
      <c r="I92" s="1"/>
      <c r="J92" s="1"/>
      <c r="K92" s="1"/>
      <c r="L92" s="1"/>
      <c r="M92" s="1"/>
      <c r="N92" s="1"/>
      <c r="O92" s="1"/>
      <c r="P92" s="1"/>
      <c r="Q92" s="1"/>
      <c r="R92" s="2"/>
      <c r="S92" s="2"/>
      <c r="T92" s="2"/>
      <c r="U92" s="2"/>
      <c r="V92" s="2"/>
      <c r="W92" s="1"/>
      <c r="X92" s="1"/>
      <c r="Y92" s="1"/>
      <c r="Z92" s="1"/>
      <c r="AA92" s="5"/>
      <c r="AB92" s="5"/>
      <c r="AC92" s="5"/>
      <c r="AD92" s="1"/>
      <c r="AE92" s="1"/>
      <c r="AF92" s="1"/>
      <c r="AG92" s="1"/>
      <c r="AH92" s="1"/>
      <c r="AI92" s="1"/>
      <c r="AJ92" s="1"/>
      <c r="AK92" s="1"/>
      <c r="AL92" s="1"/>
      <c r="AM92" s="1"/>
      <c r="AN92" s="1"/>
      <c r="AO92" s="1"/>
      <c r="AP92" s="1"/>
      <c r="AQ92" s="1"/>
      <c r="AR92" s="1"/>
      <c r="AS92" s="1"/>
      <c r="AT92" s="1"/>
      <c r="AU92" s="1"/>
      <c r="AV92" s="1"/>
      <c r="AW92" s="1"/>
      <c r="AX92" s="1"/>
      <c r="AY92" s="1"/>
      <c r="AZ92" s="1"/>
    </row>
    <row r="93" spans="1:52" ht="18" hidden="1" customHeight="1" x14ac:dyDescent="0.25">
      <c r="A93" s="1"/>
      <c r="B93" s="1"/>
      <c r="C93" s="1"/>
      <c r="D93" s="1"/>
      <c r="E93" s="1"/>
      <c r="F93" s="1"/>
      <c r="G93" s="1"/>
      <c r="H93" s="1"/>
      <c r="I93" s="1"/>
      <c r="J93" s="1"/>
      <c r="K93" s="1"/>
      <c r="L93" s="1"/>
      <c r="M93" s="1"/>
      <c r="N93" s="1"/>
      <c r="O93" s="1"/>
      <c r="P93" s="1"/>
      <c r="Q93" s="1"/>
      <c r="R93" s="2"/>
      <c r="S93" s="2"/>
      <c r="T93" s="2"/>
      <c r="U93" s="2"/>
      <c r="V93" s="2"/>
      <c r="W93" s="1"/>
      <c r="X93" s="1"/>
      <c r="Y93" s="1"/>
      <c r="Z93" s="1"/>
      <c r="AA93" s="5"/>
      <c r="AB93" s="5"/>
      <c r="AC93" s="5"/>
      <c r="AD93" s="1"/>
      <c r="AE93" s="1"/>
      <c r="AF93" s="1"/>
      <c r="AG93" s="1"/>
      <c r="AH93" s="1"/>
      <c r="AI93" s="1"/>
      <c r="AJ93" s="1"/>
      <c r="AK93" s="1"/>
      <c r="AL93" s="1"/>
      <c r="AM93" s="1"/>
      <c r="AN93" s="1"/>
      <c r="AO93" s="1"/>
      <c r="AP93" s="1"/>
      <c r="AQ93" s="1"/>
      <c r="AR93" s="1"/>
      <c r="AS93" s="1"/>
      <c r="AT93" s="1"/>
      <c r="AU93" s="1"/>
      <c r="AV93" s="1"/>
      <c r="AW93" s="1"/>
      <c r="AX93" s="1"/>
      <c r="AY93" s="1"/>
      <c r="AZ93" s="1"/>
    </row>
    <row r="94" spans="1:52" ht="18" hidden="1" customHeight="1" x14ac:dyDescent="0.25">
      <c r="A94" s="1"/>
      <c r="B94" s="1"/>
      <c r="C94" s="1"/>
      <c r="D94" s="1"/>
      <c r="E94" s="1"/>
      <c r="F94" s="1"/>
      <c r="G94" s="1"/>
      <c r="H94" s="1"/>
      <c r="I94" s="1"/>
      <c r="J94" s="1"/>
      <c r="K94" s="1"/>
      <c r="L94" s="1"/>
      <c r="M94" s="1"/>
      <c r="N94" s="1"/>
      <c r="O94" s="1"/>
      <c r="P94" s="1"/>
      <c r="Q94" s="1"/>
      <c r="R94" s="2"/>
      <c r="S94" s="2"/>
      <c r="T94" s="2"/>
      <c r="U94" s="2"/>
      <c r="V94" s="2"/>
      <c r="W94" s="1"/>
      <c r="X94" s="1"/>
      <c r="Y94" s="1"/>
      <c r="Z94" s="1"/>
      <c r="AA94" s="5"/>
      <c r="AB94" s="5"/>
      <c r="AC94" s="5"/>
      <c r="AD94" s="1"/>
      <c r="AE94" s="1"/>
      <c r="AF94" s="1"/>
      <c r="AG94" s="1"/>
      <c r="AH94" s="1"/>
      <c r="AI94" s="1"/>
      <c r="AJ94" s="1"/>
      <c r="AK94" s="1"/>
      <c r="AL94" s="1"/>
      <c r="AM94" s="1"/>
      <c r="AN94" s="1"/>
      <c r="AO94" s="1"/>
      <c r="AP94" s="1"/>
      <c r="AQ94" s="1"/>
      <c r="AR94" s="1"/>
      <c r="AS94" s="1"/>
      <c r="AT94" s="1"/>
      <c r="AU94" s="1"/>
      <c r="AV94" s="1"/>
      <c r="AW94" s="1"/>
      <c r="AX94" s="1"/>
      <c r="AY94" s="1"/>
      <c r="AZ94" s="1"/>
    </row>
    <row r="95" spans="1:52" ht="18" hidden="1" customHeight="1" x14ac:dyDescent="0.25">
      <c r="A95" s="1"/>
      <c r="B95" s="1"/>
      <c r="C95" s="1"/>
      <c r="D95" s="1"/>
      <c r="E95" s="1"/>
      <c r="F95" s="1"/>
      <c r="G95" s="1"/>
      <c r="H95" s="1"/>
      <c r="I95" s="1"/>
      <c r="J95" s="1"/>
      <c r="K95" s="1"/>
      <c r="L95" s="1"/>
      <c r="M95" s="1"/>
      <c r="N95" s="1"/>
      <c r="O95" s="1"/>
      <c r="P95" s="1"/>
      <c r="Q95" s="1"/>
      <c r="R95" s="2"/>
      <c r="S95" s="2"/>
      <c r="T95" s="2"/>
      <c r="U95" s="2"/>
      <c r="V95" s="2"/>
      <c r="W95" s="1"/>
      <c r="X95" s="1"/>
      <c r="Y95" s="1"/>
      <c r="Z95" s="1"/>
      <c r="AA95" s="5"/>
      <c r="AB95" s="5"/>
      <c r="AC95" s="5"/>
      <c r="AD95" s="1"/>
      <c r="AE95" s="1"/>
      <c r="AF95" s="1"/>
      <c r="AG95" s="1"/>
      <c r="AH95" s="1"/>
      <c r="AI95" s="1"/>
      <c r="AJ95" s="1"/>
      <c r="AK95" s="1"/>
      <c r="AL95" s="1"/>
      <c r="AM95" s="1"/>
      <c r="AN95" s="1"/>
      <c r="AO95" s="1"/>
      <c r="AP95" s="1"/>
      <c r="AQ95" s="1"/>
      <c r="AR95" s="1"/>
      <c r="AS95" s="1"/>
      <c r="AT95" s="1"/>
      <c r="AU95" s="1"/>
      <c r="AV95" s="1"/>
      <c r="AW95" s="1"/>
      <c r="AX95" s="1"/>
      <c r="AY95" s="1"/>
      <c r="AZ95" s="1"/>
    </row>
    <row r="96" spans="1:52" ht="18" hidden="1" customHeight="1" x14ac:dyDescent="0.25">
      <c r="A96" s="1"/>
      <c r="B96" s="1"/>
      <c r="C96" s="1"/>
      <c r="D96" s="1"/>
      <c r="E96" s="1"/>
      <c r="F96" s="1"/>
      <c r="G96" s="1"/>
      <c r="H96" s="1"/>
      <c r="I96" s="1"/>
      <c r="J96" s="1"/>
      <c r="K96" s="1"/>
      <c r="L96" s="1"/>
      <c r="M96" s="1"/>
      <c r="N96" s="1"/>
      <c r="O96" s="1"/>
      <c r="P96" s="1"/>
      <c r="Q96" s="1"/>
      <c r="R96" s="2"/>
      <c r="S96" s="2"/>
      <c r="T96" s="2"/>
      <c r="U96" s="2"/>
      <c r="V96" s="2"/>
      <c r="W96" s="1"/>
      <c r="X96" s="1"/>
      <c r="Y96" s="1"/>
      <c r="Z96" s="1"/>
      <c r="AA96" s="5"/>
      <c r="AB96" s="5"/>
      <c r="AC96" s="5"/>
      <c r="AD96" s="1"/>
      <c r="AE96" s="1"/>
      <c r="AF96" s="1"/>
      <c r="AG96" s="1"/>
      <c r="AH96" s="1"/>
      <c r="AI96" s="1"/>
      <c r="AJ96" s="1"/>
      <c r="AK96" s="1"/>
      <c r="AL96" s="1"/>
      <c r="AM96" s="1"/>
      <c r="AN96" s="1"/>
      <c r="AO96" s="1"/>
      <c r="AP96" s="1"/>
      <c r="AQ96" s="1"/>
      <c r="AR96" s="1"/>
      <c r="AS96" s="1"/>
      <c r="AT96" s="1"/>
      <c r="AU96" s="1"/>
      <c r="AV96" s="1"/>
      <c r="AW96" s="1"/>
      <c r="AX96" s="1"/>
      <c r="AY96" s="1"/>
      <c r="AZ96" s="1"/>
    </row>
    <row r="97" spans="1:52" ht="18" hidden="1" customHeight="1" x14ac:dyDescent="0.25">
      <c r="A97" s="1"/>
      <c r="B97" s="1"/>
      <c r="C97" s="1"/>
      <c r="D97" s="1"/>
      <c r="E97" s="1"/>
      <c r="F97" s="1"/>
      <c r="G97" s="1"/>
      <c r="H97" s="1"/>
      <c r="I97" s="1"/>
      <c r="J97" s="1"/>
      <c r="K97" s="1"/>
      <c r="L97" s="1"/>
      <c r="M97" s="1"/>
      <c r="N97" s="1"/>
      <c r="O97" s="1"/>
      <c r="P97" s="1"/>
      <c r="Q97" s="1"/>
      <c r="R97" s="2"/>
      <c r="S97" s="2"/>
      <c r="T97" s="2"/>
      <c r="U97" s="2"/>
      <c r="V97" s="2"/>
      <c r="W97" s="1"/>
      <c r="X97" s="1"/>
      <c r="Y97" s="1"/>
      <c r="Z97" s="1"/>
      <c r="AA97" s="5"/>
      <c r="AB97" s="5"/>
      <c r="AC97" s="5"/>
      <c r="AD97" s="1"/>
      <c r="AE97" s="1"/>
      <c r="AF97" s="1"/>
      <c r="AG97" s="1"/>
      <c r="AH97" s="1"/>
      <c r="AI97" s="1"/>
      <c r="AJ97" s="1"/>
      <c r="AK97" s="1"/>
      <c r="AL97" s="1"/>
      <c r="AM97" s="1"/>
      <c r="AN97" s="1"/>
      <c r="AO97" s="1"/>
      <c r="AP97" s="1"/>
      <c r="AQ97" s="1"/>
      <c r="AR97" s="1"/>
      <c r="AS97" s="1"/>
      <c r="AT97" s="1"/>
      <c r="AU97" s="1"/>
      <c r="AV97" s="1"/>
      <c r="AW97" s="1"/>
      <c r="AX97" s="1"/>
      <c r="AY97" s="1"/>
      <c r="AZ97" s="1"/>
    </row>
    <row r="98" spans="1:52" ht="18" hidden="1" customHeight="1" x14ac:dyDescent="0.25">
      <c r="A98" s="1"/>
      <c r="B98" s="1"/>
      <c r="C98" s="1"/>
      <c r="D98" s="1"/>
      <c r="E98" s="1"/>
      <c r="F98" s="1"/>
      <c r="G98" s="1"/>
      <c r="H98" s="1"/>
      <c r="I98" s="1"/>
      <c r="J98" s="1"/>
      <c r="K98" s="1"/>
      <c r="L98" s="1"/>
      <c r="M98" s="1"/>
      <c r="N98" s="1"/>
      <c r="O98" s="1"/>
      <c r="P98" s="1"/>
      <c r="Q98" s="1"/>
      <c r="R98" s="2"/>
      <c r="S98" s="2"/>
      <c r="T98" s="2"/>
      <c r="U98" s="2"/>
      <c r="V98" s="2"/>
      <c r="W98" s="1"/>
      <c r="X98" s="1"/>
      <c r="Y98" s="1"/>
      <c r="Z98" s="1"/>
      <c r="AA98" s="5"/>
      <c r="AB98" s="5"/>
      <c r="AC98" s="5"/>
      <c r="AD98" s="1"/>
      <c r="AE98" s="1"/>
      <c r="AF98" s="1"/>
      <c r="AG98" s="1"/>
      <c r="AH98" s="1"/>
      <c r="AI98" s="1"/>
      <c r="AJ98" s="1"/>
      <c r="AK98" s="1"/>
      <c r="AL98" s="1"/>
      <c r="AM98" s="1"/>
      <c r="AN98" s="1"/>
      <c r="AO98" s="1"/>
      <c r="AP98" s="1"/>
      <c r="AQ98" s="1"/>
      <c r="AR98" s="1"/>
      <c r="AS98" s="1"/>
      <c r="AT98" s="1"/>
      <c r="AU98" s="1"/>
      <c r="AV98" s="1"/>
      <c r="AW98" s="1"/>
      <c r="AX98" s="1"/>
      <c r="AY98" s="1"/>
      <c r="AZ98" s="1"/>
    </row>
    <row r="99" spans="1:52" ht="18" hidden="1" customHeight="1" x14ac:dyDescent="0.25">
      <c r="A99" s="1"/>
      <c r="B99" s="1"/>
      <c r="C99" s="1"/>
      <c r="D99" s="1"/>
      <c r="E99" s="1"/>
      <c r="F99" s="1"/>
      <c r="G99" s="1"/>
      <c r="H99" s="1"/>
      <c r="I99" s="1"/>
      <c r="J99" s="1"/>
      <c r="K99" s="1"/>
      <c r="L99" s="1"/>
      <c r="M99" s="1"/>
      <c r="N99" s="1"/>
      <c r="O99" s="1"/>
      <c r="P99" s="1"/>
      <c r="Q99" s="1"/>
      <c r="R99" s="2"/>
      <c r="S99" s="2"/>
      <c r="T99" s="2"/>
      <c r="U99" s="2"/>
      <c r="V99" s="2"/>
      <c r="W99" s="1"/>
      <c r="X99" s="1"/>
      <c r="Y99" s="1"/>
      <c r="Z99" s="1"/>
      <c r="AA99" s="5"/>
      <c r="AB99" s="5"/>
      <c r="AC99" s="5"/>
      <c r="AD99" s="1"/>
      <c r="AE99" s="1"/>
      <c r="AF99" s="1"/>
      <c r="AG99" s="1"/>
      <c r="AH99" s="1"/>
      <c r="AI99" s="1"/>
      <c r="AJ99" s="1"/>
      <c r="AK99" s="1"/>
      <c r="AL99" s="1"/>
      <c r="AM99" s="1"/>
      <c r="AN99" s="1"/>
      <c r="AO99" s="1"/>
      <c r="AP99" s="1"/>
      <c r="AQ99" s="1"/>
      <c r="AR99" s="1"/>
      <c r="AS99" s="1"/>
      <c r="AT99" s="1"/>
      <c r="AU99" s="1"/>
      <c r="AV99" s="1"/>
      <c r="AW99" s="1"/>
      <c r="AX99" s="1"/>
      <c r="AY99" s="1"/>
      <c r="AZ99" s="1"/>
    </row>
    <row r="100" spans="1:52" ht="18" hidden="1" customHeight="1" x14ac:dyDescent="0.25">
      <c r="A100" s="1"/>
      <c r="B100" s="1"/>
      <c r="C100" s="1"/>
      <c r="D100" s="1"/>
      <c r="E100" s="1"/>
      <c r="F100" s="1"/>
      <c r="G100" s="1"/>
      <c r="H100" s="1"/>
      <c r="I100" s="1"/>
      <c r="J100" s="1"/>
      <c r="K100" s="1"/>
      <c r="L100" s="1"/>
      <c r="M100" s="1"/>
      <c r="N100" s="1"/>
      <c r="O100" s="1"/>
      <c r="P100" s="1"/>
      <c r="Q100" s="1"/>
      <c r="R100" s="2"/>
      <c r="S100" s="2"/>
      <c r="T100" s="2"/>
      <c r="U100" s="2"/>
      <c r="V100" s="2"/>
      <c r="W100" s="1"/>
      <c r="X100" s="1"/>
      <c r="Y100" s="1"/>
      <c r="Z100" s="1"/>
      <c r="AA100" s="5"/>
      <c r="AB100" s="5"/>
      <c r="AC100" s="5"/>
      <c r="AD100" s="1"/>
      <c r="AE100" s="1"/>
      <c r="AF100" s="1"/>
      <c r="AG100" s="1"/>
      <c r="AH100" s="1"/>
      <c r="AI100" s="1"/>
      <c r="AJ100" s="1"/>
      <c r="AK100" s="1"/>
      <c r="AL100" s="1"/>
      <c r="AM100" s="1"/>
      <c r="AN100" s="1"/>
      <c r="AO100" s="1"/>
      <c r="AP100" s="1"/>
      <c r="AQ100" s="1"/>
      <c r="AR100" s="1"/>
      <c r="AS100" s="1"/>
      <c r="AT100" s="1"/>
      <c r="AU100" s="1"/>
      <c r="AV100" s="1"/>
      <c r="AW100" s="1"/>
      <c r="AX100" s="1"/>
      <c r="AY100" s="1"/>
      <c r="AZ100" s="1"/>
    </row>
    <row r="101" spans="1:52" ht="18" hidden="1" customHeight="1" x14ac:dyDescent="0.25">
      <c r="A101" s="1"/>
      <c r="B101" s="1"/>
      <c r="C101" s="1"/>
      <c r="D101" s="1"/>
      <c r="E101" s="1"/>
      <c r="F101" s="1"/>
      <c r="G101" s="1"/>
      <c r="H101" s="1"/>
      <c r="I101" s="1"/>
      <c r="J101" s="1"/>
      <c r="K101" s="1"/>
      <c r="L101" s="1"/>
      <c r="M101" s="1"/>
      <c r="N101" s="1"/>
      <c r="O101" s="1"/>
      <c r="P101" s="1"/>
      <c r="Q101" s="1"/>
      <c r="R101" s="2"/>
      <c r="S101" s="2"/>
      <c r="T101" s="2"/>
      <c r="U101" s="2"/>
      <c r="V101" s="2"/>
      <c r="W101" s="1"/>
      <c r="X101" s="1"/>
      <c r="Y101" s="1"/>
      <c r="Z101" s="1"/>
      <c r="AA101" s="5"/>
      <c r="AB101" s="5"/>
      <c r="AC101" s="5"/>
      <c r="AD101" s="1"/>
      <c r="AE101" s="1"/>
      <c r="AF101" s="1"/>
      <c r="AG101" s="1"/>
      <c r="AH101" s="1"/>
      <c r="AI101" s="1"/>
      <c r="AJ101" s="1"/>
      <c r="AK101" s="1"/>
      <c r="AL101" s="1"/>
      <c r="AM101" s="1"/>
      <c r="AN101" s="1"/>
      <c r="AO101" s="1"/>
      <c r="AP101" s="1"/>
      <c r="AQ101" s="1"/>
      <c r="AR101" s="1"/>
      <c r="AS101" s="1"/>
      <c r="AT101" s="1"/>
      <c r="AU101" s="1"/>
      <c r="AV101" s="1"/>
      <c r="AW101" s="1"/>
      <c r="AX101" s="1"/>
      <c r="AY101" s="1"/>
      <c r="AZ101" s="1"/>
    </row>
    <row r="102" spans="1:52" ht="18" hidden="1" customHeight="1" x14ac:dyDescent="0.25">
      <c r="A102" s="1"/>
      <c r="B102" s="1"/>
      <c r="C102" s="1"/>
      <c r="D102" s="1"/>
      <c r="E102" s="1"/>
      <c r="F102" s="1"/>
      <c r="G102" s="1"/>
      <c r="H102" s="1"/>
      <c r="I102" s="1"/>
      <c r="J102" s="1"/>
      <c r="K102" s="1"/>
      <c r="L102" s="1"/>
      <c r="M102" s="1"/>
      <c r="N102" s="1"/>
      <c r="O102" s="1"/>
      <c r="P102" s="1"/>
      <c r="Q102" s="1"/>
      <c r="R102" s="2"/>
      <c r="S102" s="2"/>
      <c r="T102" s="2"/>
      <c r="U102" s="2"/>
      <c r="V102" s="2"/>
      <c r="W102" s="1"/>
      <c r="X102" s="1"/>
      <c r="Y102" s="1"/>
      <c r="Z102" s="1"/>
      <c r="AA102" s="5"/>
      <c r="AB102" s="5"/>
      <c r="AC102" s="5"/>
      <c r="AD102" s="1"/>
      <c r="AE102" s="1"/>
      <c r="AF102" s="1"/>
      <c r="AG102" s="1"/>
      <c r="AH102" s="1"/>
      <c r="AI102" s="1"/>
      <c r="AJ102" s="1"/>
      <c r="AK102" s="1"/>
      <c r="AL102" s="1"/>
      <c r="AM102" s="1"/>
      <c r="AN102" s="1"/>
      <c r="AO102" s="1"/>
      <c r="AP102" s="1"/>
      <c r="AQ102" s="1"/>
      <c r="AR102" s="1"/>
      <c r="AS102" s="1"/>
      <c r="AT102" s="1"/>
      <c r="AU102" s="1"/>
      <c r="AV102" s="1"/>
      <c r="AW102" s="1"/>
      <c r="AX102" s="1"/>
      <c r="AY102" s="1"/>
      <c r="AZ102" s="1"/>
    </row>
    <row r="103" spans="1:52" ht="18" hidden="1" customHeight="1" x14ac:dyDescent="0.25">
      <c r="A103" s="1"/>
      <c r="B103" s="1"/>
      <c r="C103" s="1"/>
      <c r="D103" s="1"/>
      <c r="E103" s="1"/>
      <c r="F103" s="1"/>
      <c r="G103" s="1"/>
      <c r="H103" s="1"/>
      <c r="I103" s="1"/>
      <c r="J103" s="1"/>
      <c r="K103" s="1"/>
      <c r="L103" s="1"/>
      <c r="M103" s="1"/>
      <c r="N103" s="1"/>
      <c r="O103" s="1"/>
      <c r="P103" s="1"/>
      <c r="Q103" s="1"/>
      <c r="R103" s="2"/>
      <c r="S103" s="2"/>
      <c r="T103" s="2"/>
      <c r="U103" s="2"/>
      <c r="V103" s="2"/>
      <c r="W103" s="1"/>
      <c r="X103" s="1"/>
      <c r="Y103" s="1"/>
      <c r="Z103" s="1"/>
      <c r="AA103" s="5"/>
      <c r="AB103" s="5"/>
      <c r="AC103" s="5"/>
      <c r="AD103" s="1"/>
      <c r="AE103" s="1"/>
      <c r="AF103" s="1"/>
      <c r="AG103" s="1"/>
      <c r="AH103" s="1"/>
      <c r="AI103" s="1"/>
      <c r="AJ103" s="1"/>
      <c r="AK103" s="1"/>
      <c r="AL103" s="1"/>
      <c r="AM103" s="1"/>
      <c r="AN103" s="1"/>
      <c r="AO103" s="1"/>
      <c r="AP103" s="1"/>
      <c r="AQ103" s="1"/>
      <c r="AR103" s="1"/>
      <c r="AS103" s="1"/>
      <c r="AT103" s="1"/>
      <c r="AU103" s="1"/>
      <c r="AV103" s="1"/>
      <c r="AW103" s="1"/>
      <c r="AX103" s="1"/>
      <c r="AY103" s="1"/>
      <c r="AZ103" s="1"/>
    </row>
    <row r="104" spans="1:52" ht="18" hidden="1" customHeight="1" x14ac:dyDescent="0.25">
      <c r="A104" s="1"/>
      <c r="B104" s="1"/>
      <c r="C104" s="1"/>
      <c r="D104" s="1"/>
      <c r="E104" s="1"/>
      <c r="F104" s="1"/>
      <c r="G104" s="1"/>
      <c r="H104" s="1"/>
      <c r="I104" s="1"/>
      <c r="J104" s="1"/>
      <c r="K104" s="1"/>
      <c r="L104" s="1"/>
      <c r="M104" s="1"/>
      <c r="N104" s="1"/>
      <c r="O104" s="1"/>
      <c r="P104" s="1"/>
      <c r="Q104" s="1"/>
      <c r="R104" s="2"/>
      <c r="S104" s="2"/>
      <c r="T104" s="2"/>
      <c r="U104" s="2"/>
      <c r="V104" s="2"/>
      <c r="W104" s="1"/>
      <c r="X104" s="1"/>
      <c r="Y104" s="1"/>
      <c r="Z104" s="1"/>
      <c r="AA104" s="5"/>
      <c r="AB104" s="5"/>
      <c r="AC104" s="5"/>
      <c r="AD104" s="1"/>
      <c r="AE104" s="1"/>
      <c r="AF104" s="1"/>
      <c r="AG104" s="1"/>
      <c r="AH104" s="1"/>
      <c r="AI104" s="1"/>
      <c r="AJ104" s="1"/>
      <c r="AK104" s="1"/>
      <c r="AL104" s="1"/>
      <c r="AM104" s="1"/>
      <c r="AN104" s="1"/>
      <c r="AO104" s="1"/>
      <c r="AP104" s="1"/>
      <c r="AQ104" s="1"/>
      <c r="AR104" s="1"/>
      <c r="AS104" s="1"/>
      <c r="AT104" s="1"/>
      <c r="AU104" s="1"/>
      <c r="AV104" s="1"/>
      <c r="AW104" s="1"/>
      <c r="AX104" s="1"/>
      <c r="AY104" s="1"/>
      <c r="AZ104" s="1"/>
    </row>
    <row r="105" spans="1:52" ht="18" hidden="1" customHeight="1" x14ac:dyDescent="0.25">
      <c r="A105" s="1"/>
      <c r="B105" s="1"/>
      <c r="C105" s="1"/>
      <c r="D105" s="1"/>
      <c r="E105" s="1"/>
      <c r="F105" s="1"/>
      <c r="G105" s="1"/>
      <c r="H105" s="1"/>
      <c r="I105" s="1"/>
      <c r="J105" s="1"/>
      <c r="K105" s="1"/>
      <c r="L105" s="1"/>
      <c r="M105" s="1"/>
      <c r="N105" s="1"/>
      <c r="O105" s="1"/>
      <c r="P105" s="1"/>
      <c r="Q105" s="1"/>
      <c r="R105" s="2"/>
      <c r="S105" s="2"/>
      <c r="T105" s="2"/>
      <c r="U105" s="2"/>
      <c r="V105" s="2"/>
      <c r="W105" s="1"/>
      <c r="X105" s="1"/>
      <c r="Y105" s="1"/>
      <c r="Z105" s="1"/>
      <c r="AA105" s="5"/>
      <c r="AB105" s="5"/>
      <c r="AC105" s="5"/>
      <c r="AD105" s="1"/>
      <c r="AE105" s="1"/>
      <c r="AF105" s="1"/>
      <c r="AG105" s="1"/>
      <c r="AH105" s="1"/>
      <c r="AI105" s="1"/>
      <c r="AJ105" s="1"/>
      <c r="AK105" s="1"/>
      <c r="AL105" s="1"/>
      <c r="AM105" s="1"/>
      <c r="AN105" s="1"/>
      <c r="AO105" s="1"/>
      <c r="AP105" s="1"/>
      <c r="AQ105" s="1"/>
      <c r="AR105" s="1"/>
      <c r="AS105" s="1"/>
      <c r="AT105" s="1"/>
      <c r="AU105" s="1"/>
      <c r="AV105" s="1"/>
      <c r="AW105" s="1"/>
      <c r="AX105" s="1"/>
      <c r="AY105" s="1"/>
      <c r="AZ105" s="1"/>
    </row>
    <row r="106" spans="1:52" ht="18" hidden="1" customHeight="1" x14ac:dyDescent="0.25">
      <c r="A106" s="1"/>
      <c r="B106" s="1"/>
      <c r="C106" s="1"/>
      <c r="D106" s="1"/>
      <c r="E106" s="1"/>
      <c r="F106" s="1"/>
      <c r="G106" s="1"/>
      <c r="H106" s="1"/>
      <c r="I106" s="1"/>
      <c r="J106" s="1"/>
      <c r="K106" s="1"/>
      <c r="L106" s="1"/>
      <c r="M106" s="1"/>
      <c r="N106" s="1"/>
      <c r="O106" s="1"/>
      <c r="P106" s="1"/>
      <c r="Q106" s="1"/>
      <c r="R106" s="2"/>
      <c r="S106" s="2"/>
      <c r="T106" s="2"/>
      <c r="U106" s="2"/>
      <c r="V106" s="2"/>
      <c r="W106" s="1"/>
      <c r="X106" s="1"/>
      <c r="Y106" s="1"/>
      <c r="Z106" s="1"/>
      <c r="AA106" s="5"/>
      <c r="AB106" s="5"/>
      <c r="AC106" s="5"/>
      <c r="AD106" s="1"/>
      <c r="AE106" s="1"/>
      <c r="AF106" s="1"/>
      <c r="AG106" s="1"/>
      <c r="AH106" s="1"/>
      <c r="AI106" s="1"/>
      <c r="AJ106" s="1"/>
      <c r="AK106" s="1"/>
      <c r="AL106" s="1"/>
      <c r="AM106" s="1"/>
      <c r="AN106" s="1"/>
      <c r="AO106" s="1"/>
      <c r="AP106" s="1"/>
      <c r="AQ106" s="1"/>
      <c r="AR106" s="1"/>
      <c r="AS106" s="1"/>
      <c r="AT106" s="1"/>
      <c r="AU106" s="1"/>
      <c r="AV106" s="1"/>
      <c r="AW106" s="1"/>
      <c r="AX106" s="1"/>
      <c r="AY106" s="1"/>
      <c r="AZ106" s="1"/>
    </row>
    <row r="107" spans="1:52" ht="18" hidden="1" customHeight="1" x14ac:dyDescent="0.25">
      <c r="A107" s="1"/>
      <c r="B107" s="1"/>
      <c r="C107" s="1"/>
      <c r="D107" s="1"/>
      <c r="E107" s="1"/>
      <c r="F107" s="1"/>
      <c r="G107" s="1"/>
      <c r="H107" s="1"/>
      <c r="I107" s="1"/>
      <c r="J107" s="1"/>
      <c r="K107" s="1"/>
      <c r="L107" s="1"/>
      <c r="M107" s="1"/>
      <c r="N107" s="1"/>
      <c r="O107" s="1"/>
      <c r="P107" s="1"/>
      <c r="Q107" s="1"/>
      <c r="R107" s="2"/>
      <c r="S107" s="2"/>
      <c r="T107" s="2"/>
      <c r="U107" s="2"/>
      <c r="V107" s="2"/>
      <c r="W107" s="1"/>
      <c r="X107" s="1"/>
      <c r="Y107" s="1"/>
      <c r="Z107" s="1"/>
      <c r="AA107" s="5"/>
      <c r="AB107" s="5"/>
      <c r="AC107" s="5"/>
      <c r="AD107" s="1"/>
      <c r="AE107" s="1"/>
      <c r="AF107" s="1"/>
      <c r="AG107" s="1"/>
      <c r="AH107" s="1"/>
      <c r="AI107" s="1"/>
      <c r="AJ107" s="1"/>
      <c r="AK107" s="1"/>
      <c r="AL107" s="1"/>
      <c r="AM107" s="1"/>
      <c r="AN107" s="1"/>
      <c r="AO107" s="1"/>
      <c r="AP107" s="1"/>
      <c r="AQ107" s="1"/>
      <c r="AR107" s="1"/>
      <c r="AS107" s="1"/>
      <c r="AT107" s="1"/>
      <c r="AU107" s="1"/>
      <c r="AV107" s="1"/>
      <c r="AW107" s="1"/>
      <c r="AX107" s="1"/>
      <c r="AY107" s="1"/>
      <c r="AZ107" s="1"/>
    </row>
    <row r="108" spans="1:52" ht="18" customHeight="1" collapsed="1" x14ac:dyDescent="0.25">
      <c r="A108" s="1"/>
      <c r="B108" s="1"/>
      <c r="C108" s="1"/>
      <c r="D108" s="1"/>
      <c r="E108" s="1"/>
      <c r="F108" s="1"/>
      <c r="G108" s="1"/>
      <c r="H108" s="1"/>
      <c r="I108" s="1"/>
      <c r="J108" s="1"/>
      <c r="K108" s="1"/>
      <c r="L108" s="1"/>
      <c r="M108" s="1"/>
      <c r="N108" s="1"/>
      <c r="O108" s="1"/>
      <c r="P108" s="1"/>
      <c r="Q108" s="1"/>
      <c r="R108" s="2"/>
      <c r="S108" s="2"/>
      <c r="T108" s="2"/>
      <c r="U108" s="2"/>
      <c r="V108" s="2"/>
      <c r="W108" s="1"/>
      <c r="X108" s="1"/>
      <c r="Y108" s="1"/>
      <c r="Z108" s="1"/>
      <c r="AA108" s="5"/>
      <c r="AB108" s="5"/>
      <c r="AC108" s="5"/>
      <c r="AD108" s="1"/>
      <c r="AE108" s="1"/>
      <c r="AF108" s="1"/>
      <c r="AG108" s="1"/>
      <c r="AH108" s="1"/>
      <c r="AI108" s="1"/>
      <c r="AJ108" s="1"/>
      <c r="AK108" s="1"/>
      <c r="AL108" s="1"/>
      <c r="AM108" s="1"/>
      <c r="AN108" s="1"/>
      <c r="AO108" s="1"/>
      <c r="AP108" s="1"/>
      <c r="AQ108" s="1"/>
      <c r="AR108" s="1"/>
      <c r="AS108" s="1"/>
      <c r="AT108" s="1"/>
      <c r="AU108" s="1"/>
      <c r="AV108" s="1"/>
      <c r="AW108" s="1"/>
      <c r="AX108" s="1"/>
      <c r="AY108" s="1"/>
      <c r="AZ108" s="1"/>
    </row>
    <row r="109" spans="1:52" ht="18" customHeight="1" x14ac:dyDescent="0.25">
      <c r="A109" s="1"/>
      <c r="B109" s="1"/>
      <c r="C109" s="1"/>
      <c r="D109" s="1"/>
      <c r="E109" s="1"/>
      <c r="F109" s="1"/>
      <c r="G109" s="1"/>
      <c r="H109" s="1"/>
      <c r="I109" s="1"/>
      <c r="J109" s="1"/>
      <c r="K109" s="1"/>
      <c r="L109" s="1"/>
      <c r="M109" s="1"/>
      <c r="N109" s="1"/>
      <c r="O109" s="1"/>
      <c r="P109" s="1"/>
      <c r="Q109" s="1"/>
      <c r="R109" s="2"/>
      <c r="S109" s="2"/>
      <c r="T109" s="2"/>
      <c r="U109" s="2"/>
      <c r="V109" s="2"/>
      <c r="W109" s="1"/>
      <c r="X109" s="1"/>
      <c r="Y109" s="1"/>
      <c r="Z109" s="1"/>
      <c r="AA109" s="5"/>
      <c r="AB109" s="5"/>
      <c r="AC109" s="5"/>
      <c r="AD109" s="1"/>
      <c r="AE109" s="1"/>
      <c r="AF109" s="1"/>
      <c r="AG109" s="1"/>
      <c r="AH109" s="1"/>
      <c r="AI109" s="1"/>
      <c r="AJ109" s="1"/>
      <c r="AK109" s="1"/>
      <c r="AL109" s="1"/>
      <c r="AM109" s="1"/>
      <c r="AN109" s="1"/>
      <c r="AO109" s="1"/>
      <c r="AP109" s="1"/>
      <c r="AQ109" s="1"/>
      <c r="AR109" s="1"/>
      <c r="AS109" s="1"/>
      <c r="AT109" s="1"/>
      <c r="AU109" s="1"/>
      <c r="AV109" s="1"/>
      <c r="AW109" s="1"/>
      <c r="AX109" s="1"/>
      <c r="AY109" s="1"/>
      <c r="AZ109" s="1"/>
    </row>
    <row r="110" spans="1:52" ht="18" customHeight="1" x14ac:dyDescent="0.25">
      <c r="A110" s="1"/>
      <c r="B110" s="1"/>
      <c r="C110" s="1"/>
      <c r="D110" s="1"/>
      <c r="E110" s="1"/>
      <c r="F110" s="1"/>
      <c r="G110" s="1"/>
      <c r="H110" s="1"/>
      <c r="I110" s="1"/>
      <c r="J110" s="1"/>
      <c r="K110" s="1"/>
      <c r="L110" s="1"/>
      <c r="M110" s="1"/>
      <c r="N110" s="1"/>
      <c r="O110" s="1"/>
      <c r="P110" s="1"/>
      <c r="Q110" s="1"/>
      <c r="R110" s="2"/>
      <c r="S110" s="2"/>
      <c r="T110" s="2"/>
      <c r="U110" s="2"/>
      <c r="V110" s="2"/>
      <c r="W110" s="1"/>
      <c r="X110" s="1"/>
      <c r="Y110" s="1"/>
      <c r="Z110" s="1"/>
      <c r="AA110" s="5"/>
      <c r="AB110" s="5"/>
      <c r="AC110" s="5"/>
      <c r="AD110" s="1"/>
      <c r="AE110" s="1"/>
      <c r="AF110" s="1"/>
      <c r="AG110" s="1"/>
      <c r="AH110" s="1"/>
      <c r="AI110" s="1"/>
      <c r="AJ110" s="1"/>
      <c r="AK110" s="1"/>
      <c r="AL110" s="1"/>
      <c r="AM110" s="1"/>
      <c r="AN110" s="1"/>
      <c r="AO110" s="1"/>
      <c r="AP110" s="1"/>
      <c r="AQ110" s="1"/>
      <c r="AR110" s="1"/>
      <c r="AS110" s="1"/>
      <c r="AT110" s="1"/>
      <c r="AU110" s="1"/>
      <c r="AV110" s="1"/>
      <c r="AW110" s="1"/>
      <c r="AX110" s="1"/>
      <c r="AY110" s="1"/>
      <c r="AZ110" s="1"/>
    </row>
    <row r="111" spans="1:52" ht="18" customHeight="1" x14ac:dyDescent="0.25">
      <c r="A111" s="1"/>
      <c r="B111" s="1"/>
      <c r="C111" s="1"/>
      <c r="D111" s="1"/>
      <c r="E111" s="1"/>
      <c r="F111" s="1"/>
      <c r="G111" s="1"/>
      <c r="H111" s="1"/>
      <c r="I111" s="1"/>
      <c r="J111" s="1"/>
      <c r="K111" s="1"/>
      <c r="L111" s="1"/>
      <c r="M111" s="1"/>
      <c r="N111" s="1"/>
      <c r="O111" s="1"/>
      <c r="P111" s="1"/>
      <c r="Q111" s="1"/>
      <c r="R111" s="2"/>
      <c r="S111" s="2"/>
      <c r="T111" s="2"/>
      <c r="U111" s="2"/>
      <c r="V111" s="2"/>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row>
    <row r="112" spans="1:52" ht="18" customHeight="1" x14ac:dyDescent="0.25">
      <c r="A112" s="1"/>
      <c r="B112" s="1"/>
      <c r="C112" s="1"/>
      <c r="D112" s="1"/>
      <c r="E112" s="1"/>
      <c r="F112" s="1"/>
      <c r="G112" s="1"/>
      <c r="H112" s="1"/>
      <c r="I112" s="1"/>
      <c r="J112" s="1"/>
      <c r="K112" s="1"/>
      <c r="L112" s="1"/>
      <c r="M112" s="1"/>
      <c r="N112" s="1"/>
      <c r="O112" s="1"/>
      <c r="P112" s="1"/>
      <c r="Q112" s="1"/>
      <c r="R112" s="2"/>
      <c r="S112" s="2"/>
      <c r="T112" s="2"/>
      <c r="U112" s="2"/>
      <c r="V112" s="2"/>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row>
    <row r="113" spans="1:52" ht="18" customHeight="1" collapsed="1" x14ac:dyDescent="0.25">
      <c r="A113" s="1"/>
      <c r="B113" s="1"/>
      <c r="C113" s="1"/>
      <c r="D113" s="1"/>
      <c r="E113" s="1"/>
      <c r="F113" s="1"/>
      <c r="G113" s="1"/>
      <c r="H113" s="1"/>
      <c r="I113" s="1"/>
      <c r="J113" s="1"/>
      <c r="K113" s="1"/>
      <c r="L113" s="1"/>
      <c r="M113" s="1"/>
      <c r="N113" s="1"/>
      <c r="O113" s="1"/>
      <c r="P113" s="1"/>
      <c r="Q113" s="1"/>
      <c r="R113" s="2"/>
      <c r="S113" s="2"/>
      <c r="T113" s="2"/>
      <c r="U113" s="2"/>
      <c r="V113" s="2"/>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row>
    <row r="114" spans="1:52" ht="18" customHeight="1" x14ac:dyDescent="0.25">
      <c r="A114" s="1"/>
      <c r="B114" s="1"/>
      <c r="C114" s="1"/>
      <c r="D114" s="1"/>
      <c r="E114" s="1"/>
      <c r="F114" s="1"/>
      <c r="G114" s="1"/>
      <c r="H114" s="1"/>
      <c r="I114" s="1"/>
      <c r="J114" s="1"/>
      <c r="K114" s="1"/>
      <c r="L114" s="1"/>
      <c r="M114" s="1"/>
      <c r="N114" s="1"/>
      <c r="O114" s="1"/>
      <c r="P114" s="1"/>
      <c r="Q114" s="1"/>
      <c r="R114" s="2"/>
      <c r="S114" s="2"/>
      <c r="T114" s="2"/>
      <c r="U114" s="2"/>
      <c r="V114" s="2"/>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row>
    <row r="115" spans="1:52" ht="18" customHeight="1" x14ac:dyDescent="0.25">
      <c r="A115" s="1"/>
      <c r="B115" s="1"/>
      <c r="C115" s="1"/>
      <c r="D115" s="1"/>
      <c r="E115" s="1"/>
      <c r="F115" s="1"/>
      <c r="G115" s="1"/>
      <c r="H115" s="1"/>
      <c r="I115" s="1"/>
      <c r="J115" s="1"/>
      <c r="K115" s="1"/>
      <c r="L115" s="1"/>
      <c r="M115" s="1"/>
      <c r="N115" s="1"/>
      <c r="O115" s="1"/>
      <c r="P115" s="1"/>
      <c r="Q115" s="1"/>
      <c r="R115" s="2"/>
      <c r="S115" s="2"/>
      <c r="T115" s="2"/>
      <c r="U115" s="2"/>
      <c r="V115" s="2"/>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row>
    <row r="116" spans="1:52" ht="18" customHeight="1" x14ac:dyDescent="0.25">
      <c r="A116" s="1"/>
      <c r="B116" s="1"/>
      <c r="C116" s="1"/>
      <c r="D116" s="1"/>
      <c r="E116" s="1"/>
      <c r="F116" s="1"/>
      <c r="G116" s="1"/>
      <c r="H116" s="1"/>
      <c r="I116" s="1"/>
      <c r="J116" s="1"/>
      <c r="K116" s="1"/>
      <c r="L116" s="1"/>
      <c r="M116" s="1"/>
      <c r="N116" s="1"/>
      <c r="O116" s="1"/>
      <c r="P116" s="1"/>
      <c r="Q116" s="1"/>
      <c r="R116" s="2"/>
      <c r="S116" s="2"/>
      <c r="T116" s="2"/>
      <c r="U116" s="2"/>
      <c r="V116" s="2"/>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row>
    <row r="117" spans="1:52" ht="18" customHeight="1" x14ac:dyDescent="0.25">
      <c r="A117" s="1"/>
      <c r="B117" s="1"/>
      <c r="C117" s="1"/>
      <c r="D117" s="1"/>
      <c r="E117" s="1"/>
      <c r="F117" s="1"/>
      <c r="G117" s="1"/>
      <c r="H117" s="1"/>
      <c r="I117" s="1"/>
      <c r="J117" s="1"/>
      <c r="K117" s="1"/>
      <c r="L117" s="1"/>
      <c r="M117" s="1"/>
      <c r="N117" s="1"/>
      <c r="O117" s="1"/>
      <c r="P117" s="1"/>
      <c r="Q117" s="1"/>
      <c r="R117" s="2"/>
      <c r="S117" s="2"/>
      <c r="T117" s="2"/>
      <c r="U117" s="2"/>
      <c r="V117" s="2"/>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row>
    <row r="118" spans="1:52" ht="18" customHeight="1" x14ac:dyDescent="0.25">
      <c r="A118" s="1"/>
      <c r="B118" s="1"/>
      <c r="C118" s="1"/>
      <c r="D118" s="1"/>
      <c r="E118" s="1"/>
      <c r="F118" s="1"/>
      <c r="G118" s="1"/>
      <c r="H118" s="1"/>
      <c r="I118" s="1"/>
      <c r="J118" s="1"/>
      <c r="K118" s="1"/>
      <c r="L118" s="1"/>
      <c r="M118" s="1"/>
      <c r="N118" s="1"/>
      <c r="O118" s="1"/>
      <c r="P118" s="1"/>
      <c r="Q118" s="1"/>
      <c r="R118" s="2"/>
      <c r="S118" s="2"/>
      <c r="T118" s="2"/>
      <c r="U118" s="2"/>
      <c r="V118" s="2"/>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row>
    <row r="119" spans="1:52" ht="18" customHeight="1" x14ac:dyDescent="0.25">
      <c r="A119" s="1"/>
      <c r="B119" s="20"/>
      <c r="C119" s="20"/>
      <c r="D119" s="20"/>
      <c r="E119" s="20"/>
      <c r="F119" s="20"/>
      <c r="G119" s="20"/>
      <c r="H119" s="20"/>
      <c r="I119" s="10"/>
      <c r="J119" s="10"/>
      <c r="K119" s="10"/>
      <c r="L119" s="10"/>
      <c r="M119" s="10"/>
      <c r="N119" s="10"/>
      <c r="O119" s="10"/>
      <c r="P119" s="10"/>
      <c r="Q119" s="10"/>
      <c r="R119" s="2"/>
      <c r="S119" s="2"/>
      <c r="T119" s="2"/>
      <c r="U119" s="2"/>
      <c r="V119" s="2"/>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row>
    <row r="120" spans="1:52" ht="18" customHeight="1" collapsed="1" x14ac:dyDescent="0.25">
      <c r="A120" s="1"/>
      <c r="B120" s="20"/>
      <c r="C120" s="20"/>
      <c r="D120" s="20"/>
      <c r="E120" s="20"/>
      <c r="F120" s="20"/>
      <c r="G120" s="20"/>
      <c r="H120" s="20"/>
      <c r="I120" s="10"/>
      <c r="J120" s="10"/>
      <c r="K120" s="10"/>
      <c r="L120" s="10"/>
      <c r="M120" s="10"/>
      <c r="N120" s="10"/>
      <c r="O120" s="10"/>
      <c r="P120" s="10"/>
      <c r="Q120" s="10"/>
      <c r="R120" s="2"/>
      <c r="S120" s="2"/>
      <c r="T120" s="2"/>
      <c r="U120" s="2"/>
      <c r="V120" s="2"/>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row>
    <row r="121" spans="1:52" ht="18" customHeight="1" x14ac:dyDescent="0.25">
      <c r="A121" s="1"/>
      <c r="B121" s="20"/>
      <c r="C121" s="20"/>
      <c r="D121" s="20"/>
      <c r="E121" s="20"/>
      <c r="F121" s="20"/>
      <c r="G121" s="20"/>
      <c r="H121" s="20"/>
      <c r="I121" s="10"/>
      <c r="J121" s="10"/>
      <c r="K121" s="10"/>
      <c r="L121" s="10"/>
      <c r="M121" s="10"/>
      <c r="N121" s="10"/>
      <c r="O121" s="10"/>
      <c r="P121" s="10"/>
      <c r="Q121" s="10"/>
      <c r="R121" s="2"/>
      <c r="S121" s="2"/>
      <c r="T121" s="2"/>
      <c r="U121" s="2"/>
      <c r="V121" s="2"/>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row>
    <row r="122" spans="1:52" ht="18" customHeight="1" x14ac:dyDescent="0.25">
      <c r="A122" s="1"/>
      <c r="B122" s="20"/>
      <c r="C122" s="20"/>
      <c r="D122" s="20"/>
      <c r="E122" s="20"/>
      <c r="F122" s="20"/>
      <c r="G122" s="20"/>
      <c r="H122" s="20"/>
      <c r="I122" s="10"/>
      <c r="J122" s="10"/>
      <c r="K122" s="10"/>
      <c r="L122" s="10"/>
      <c r="M122" s="10"/>
      <c r="N122" s="10"/>
      <c r="O122" s="10"/>
      <c r="P122" s="10"/>
      <c r="Q122" s="10"/>
      <c r="R122" s="2"/>
      <c r="S122" s="2"/>
      <c r="T122" s="2"/>
      <c r="U122" s="2"/>
      <c r="V122" s="2"/>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row>
    <row r="123" spans="1:52" ht="18" customHeight="1" collapsed="1" x14ac:dyDescent="0.25">
      <c r="A123" s="1"/>
      <c r="B123" s="20"/>
      <c r="C123" s="20"/>
      <c r="D123" s="20"/>
      <c r="E123" s="20"/>
      <c r="F123" s="20"/>
      <c r="G123" s="20"/>
      <c r="H123" s="20"/>
      <c r="I123" s="10"/>
      <c r="J123" s="10"/>
      <c r="K123" s="10"/>
      <c r="L123" s="10"/>
      <c r="M123" s="10"/>
      <c r="N123" s="10"/>
      <c r="O123" s="10"/>
      <c r="P123" s="10"/>
      <c r="Q123" s="10"/>
      <c r="R123" s="2"/>
      <c r="S123" s="2"/>
      <c r="T123" s="2"/>
      <c r="U123" s="2"/>
      <c r="V123" s="2"/>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row>
    <row r="124" spans="1:52" ht="18" customHeight="1" x14ac:dyDescent="0.25">
      <c r="A124" s="1"/>
      <c r="B124" s="20"/>
      <c r="C124" s="20"/>
      <c r="D124" s="20"/>
      <c r="E124" s="20"/>
      <c r="F124" s="20"/>
      <c r="G124" s="20"/>
      <c r="H124" s="20"/>
      <c r="I124" s="10"/>
      <c r="J124" s="10"/>
      <c r="K124" s="10"/>
      <c r="L124" s="10"/>
      <c r="M124" s="10"/>
      <c r="N124" s="10"/>
      <c r="O124" s="10"/>
      <c r="P124" s="10"/>
      <c r="Q124" s="10"/>
      <c r="R124" s="2"/>
      <c r="S124" s="2"/>
      <c r="T124" s="2"/>
      <c r="U124" s="2"/>
      <c r="V124" s="2"/>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row>
    <row r="125" spans="1:52" ht="18" customHeight="1" x14ac:dyDescent="0.25">
      <c r="A125" s="1"/>
      <c r="B125" s="20"/>
      <c r="C125" s="20"/>
      <c r="D125" s="20"/>
      <c r="E125" s="20"/>
      <c r="F125" s="20"/>
      <c r="G125" s="20"/>
      <c r="H125" s="20"/>
      <c r="I125" s="10"/>
      <c r="J125" s="10"/>
      <c r="K125" s="10"/>
      <c r="L125" s="10"/>
      <c r="M125" s="10"/>
      <c r="N125" s="10"/>
      <c r="O125" s="10"/>
      <c r="P125" s="10"/>
      <c r="Q125" s="10"/>
      <c r="R125" s="2"/>
      <c r="S125" s="2"/>
      <c r="T125" s="2"/>
      <c r="U125" s="2"/>
      <c r="V125" s="2"/>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row>
    <row r="126" spans="1:52" ht="18" customHeight="1" x14ac:dyDescent="0.25">
      <c r="A126" s="1"/>
      <c r="B126" s="20"/>
      <c r="C126" s="20"/>
      <c r="D126" s="20"/>
      <c r="E126" s="20"/>
      <c r="F126" s="20"/>
      <c r="G126" s="20"/>
      <c r="H126" s="20"/>
      <c r="I126" s="10"/>
      <c r="J126" s="10"/>
      <c r="K126" s="10"/>
      <c r="L126" s="10"/>
      <c r="M126" s="10"/>
      <c r="N126" s="10"/>
      <c r="O126" s="10"/>
      <c r="P126" s="10"/>
      <c r="Q126" s="10"/>
      <c r="R126" s="2"/>
      <c r="S126" s="2"/>
      <c r="T126" s="2"/>
      <c r="U126" s="2"/>
      <c r="V126" s="2"/>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row>
    <row r="127" spans="1:52" ht="18" customHeight="1" x14ac:dyDescent="0.25">
      <c r="A127" s="1"/>
      <c r="B127" s="20"/>
      <c r="C127" s="20"/>
      <c r="D127" s="20"/>
      <c r="E127" s="20"/>
      <c r="F127" s="20"/>
      <c r="G127" s="20"/>
      <c r="H127" s="20"/>
      <c r="I127" s="10"/>
      <c r="J127" s="10"/>
      <c r="K127" s="10"/>
      <c r="L127" s="10"/>
      <c r="M127" s="10"/>
      <c r="N127" s="10"/>
      <c r="O127" s="10"/>
      <c r="P127" s="10"/>
      <c r="Q127" s="10"/>
      <c r="R127" s="2"/>
      <c r="S127" s="2"/>
      <c r="T127" s="2"/>
      <c r="U127" s="2"/>
      <c r="V127" s="2"/>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row>
    <row r="128" spans="1:52" ht="18" customHeight="1" x14ac:dyDescent="0.25">
      <c r="A128" s="1"/>
      <c r="B128" s="20"/>
      <c r="C128" s="20"/>
      <c r="D128" s="20"/>
      <c r="E128" s="20"/>
      <c r="F128" s="20"/>
      <c r="G128" s="20"/>
      <c r="H128" s="20"/>
      <c r="I128" s="10"/>
      <c r="J128" s="10"/>
      <c r="K128" s="10"/>
      <c r="L128" s="10"/>
      <c r="M128" s="10"/>
      <c r="N128" s="10"/>
      <c r="O128" s="10"/>
      <c r="P128" s="10"/>
      <c r="Q128" s="10"/>
      <c r="R128" s="2"/>
      <c r="S128" s="2"/>
      <c r="T128" s="2"/>
      <c r="U128" s="2"/>
      <c r="V128" s="2"/>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row>
    <row r="129" spans="1:52" ht="18" customHeight="1" collapsed="1" x14ac:dyDescent="0.25">
      <c r="A129" s="1"/>
      <c r="B129" s="20"/>
      <c r="C129" s="20"/>
      <c r="D129" s="20"/>
      <c r="E129" s="20"/>
      <c r="F129" s="20"/>
      <c r="G129" s="20"/>
      <c r="H129" s="20"/>
      <c r="I129" s="10"/>
      <c r="J129" s="10"/>
      <c r="K129" s="10"/>
      <c r="L129" s="10"/>
      <c r="M129" s="10"/>
      <c r="N129" s="10"/>
      <c r="O129" s="10"/>
      <c r="P129" s="10"/>
      <c r="Q129" s="10"/>
      <c r="R129" s="2"/>
      <c r="S129" s="2"/>
      <c r="T129" s="2"/>
      <c r="U129" s="2"/>
      <c r="V129" s="2"/>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row>
    <row r="130" spans="1:52" ht="18" customHeight="1" x14ac:dyDescent="0.25">
      <c r="A130" s="1"/>
      <c r="B130" s="20"/>
      <c r="C130" s="20"/>
      <c r="D130" s="20"/>
      <c r="E130" s="20"/>
      <c r="F130" s="20"/>
      <c r="G130" s="20"/>
      <c r="H130" s="20"/>
      <c r="I130" s="10"/>
      <c r="J130" s="10"/>
      <c r="K130" s="10"/>
      <c r="L130" s="10"/>
      <c r="M130" s="10"/>
      <c r="N130" s="10"/>
      <c r="O130" s="10"/>
      <c r="P130" s="10"/>
      <c r="Q130" s="10"/>
      <c r="R130" s="2"/>
      <c r="S130" s="2"/>
      <c r="T130" s="2"/>
      <c r="U130" s="2"/>
      <c r="V130" s="2"/>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row>
    <row r="131" spans="1:52" ht="18" customHeight="1" x14ac:dyDescent="0.25">
      <c r="A131" s="1"/>
      <c r="B131" s="20"/>
      <c r="C131" s="20"/>
      <c r="D131" s="20"/>
      <c r="E131" s="20"/>
      <c r="F131" s="20"/>
      <c r="G131" s="20"/>
      <c r="H131" s="20"/>
      <c r="I131" s="10"/>
      <c r="J131" s="10"/>
      <c r="K131" s="10"/>
      <c r="L131" s="10"/>
      <c r="M131" s="10"/>
      <c r="N131" s="10"/>
      <c r="O131" s="10"/>
      <c r="P131" s="10"/>
      <c r="Q131" s="10"/>
      <c r="R131" s="2"/>
      <c r="S131" s="2"/>
      <c r="T131" s="2"/>
      <c r="U131" s="2"/>
      <c r="V131" s="2"/>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row>
    <row r="132" spans="1:52" ht="18" customHeight="1" x14ac:dyDescent="0.25">
      <c r="A132" s="1"/>
      <c r="B132" s="20"/>
      <c r="C132" s="20"/>
      <c r="D132" s="20"/>
      <c r="E132" s="20"/>
      <c r="F132" s="20"/>
      <c r="G132" s="20"/>
      <c r="H132" s="20"/>
      <c r="I132" s="10"/>
      <c r="J132" s="10"/>
      <c r="K132" s="10"/>
      <c r="L132" s="10"/>
      <c r="M132" s="10"/>
      <c r="N132" s="10"/>
      <c r="O132" s="10"/>
      <c r="P132" s="10"/>
      <c r="Q132" s="10"/>
      <c r="R132" s="2"/>
      <c r="S132" s="2"/>
      <c r="T132" s="2"/>
      <c r="U132" s="2"/>
      <c r="V132" s="2"/>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row>
    <row r="133" spans="1:52" ht="18" customHeight="1" x14ac:dyDescent="0.25">
      <c r="A133" s="1"/>
      <c r="B133" s="20"/>
      <c r="C133" s="20"/>
      <c r="D133" s="20"/>
      <c r="E133" s="20"/>
      <c r="F133" s="20"/>
      <c r="G133" s="20"/>
      <c r="H133" s="20"/>
      <c r="I133" s="10"/>
      <c r="J133" s="10"/>
      <c r="K133" s="10"/>
      <c r="L133" s="10"/>
      <c r="M133" s="10"/>
      <c r="N133" s="10"/>
      <c r="O133" s="10"/>
      <c r="P133" s="10"/>
      <c r="Q133" s="10"/>
      <c r="R133" s="2"/>
      <c r="S133" s="2"/>
      <c r="T133" s="2"/>
      <c r="U133" s="2"/>
      <c r="V133" s="2"/>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row>
    <row r="134" spans="1:52" ht="18" customHeight="1" collapsed="1" x14ac:dyDescent="0.25">
      <c r="A134" s="1"/>
      <c r="B134" s="20"/>
      <c r="C134" s="20"/>
      <c r="D134" s="20"/>
      <c r="E134" s="20"/>
      <c r="F134" s="20"/>
      <c r="G134" s="20"/>
      <c r="H134" s="20"/>
      <c r="I134" s="10"/>
      <c r="J134" s="10"/>
      <c r="K134" s="10"/>
      <c r="L134" s="10"/>
      <c r="M134" s="10"/>
      <c r="N134" s="10"/>
      <c r="O134" s="10"/>
      <c r="P134" s="10"/>
      <c r="Q134" s="10"/>
      <c r="R134" s="2"/>
      <c r="S134" s="2"/>
      <c r="T134" s="2"/>
      <c r="U134" s="2"/>
      <c r="V134" s="2"/>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row>
    <row r="135" spans="1:52" ht="18" customHeight="1" x14ac:dyDescent="0.25">
      <c r="A135" s="1"/>
      <c r="B135" s="20"/>
      <c r="C135" s="20"/>
      <c r="D135" s="20"/>
      <c r="E135" s="20"/>
      <c r="F135" s="20"/>
      <c r="G135" s="20"/>
      <c r="H135" s="20"/>
      <c r="I135" s="10"/>
      <c r="J135" s="10"/>
      <c r="K135" s="10"/>
      <c r="L135" s="10"/>
      <c r="M135" s="10"/>
      <c r="N135" s="10"/>
      <c r="O135" s="10"/>
      <c r="P135" s="10"/>
      <c r="Q135" s="10"/>
      <c r="R135" s="2"/>
      <c r="S135" s="2"/>
      <c r="T135" s="2"/>
      <c r="U135" s="2"/>
      <c r="V135" s="2"/>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row>
    <row r="136" spans="1:52" ht="18" customHeight="1" x14ac:dyDescent="0.25">
      <c r="A136" s="1"/>
      <c r="B136" s="20"/>
      <c r="C136" s="20"/>
      <c r="D136" s="20"/>
      <c r="E136" s="20"/>
      <c r="F136" s="20"/>
      <c r="G136" s="20"/>
      <c r="H136" s="20"/>
      <c r="I136" s="10"/>
      <c r="J136" s="10"/>
      <c r="K136" s="10"/>
      <c r="L136" s="10"/>
      <c r="M136" s="10"/>
      <c r="N136" s="10"/>
      <c r="O136" s="10"/>
      <c r="P136" s="10"/>
      <c r="Q136" s="10"/>
      <c r="R136" s="2"/>
      <c r="S136" s="2"/>
      <c r="T136" s="2"/>
      <c r="U136" s="2"/>
      <c r="V136" s="2"/>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row>
    <row r="137" spans="1:52" ht="18" customHeight="1" x14ac:dyDescent="0.25">
      <c r="A137" s="1"/>
      <c r="B137" s="20"/>
      <c r="C137" s="20"/>
      <c r="D137" s="20"/>
      <c r="E137" s="20"/>
      <c r="F137" s="20"/>
      <c r="G137" s="20"/>
      <c r="H137" s="20"/>
      <c r="I137" s="10"/>
      <c r="J137" s="10"/>
      <c r="K137" s="10"/>
      <c r="L137" s="10"/>
      <c r="M137" s="10"/>
      <c r="N137" s="10"/>
      <c r="O137" s="10"/>
      <c r="P137" s="10"/>
      <c r="Q137" s="10"/>
      <c r="R137" s="2"/>
      <c r="S137" s="2"/>
      <c r="T137" s="2"/>
      <c r="U137" s="2"/>
      <c r="V137" s="2"/>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row>
    <row r="138" spans="1:52" ht="18" customHeight="1" x14ac:dyDescent="0.25">
      <c r="A138" s="1"/>
      <c r="B138" s="20"/>
      <c r="C138" s="20"/>
      <c r="D138" s="20"/>
      <c r="E138" s="20"/>
      <c r="F138" s="20"/>
      <c r="G138" s="20"/>
      <c r="H138" s="20"/>
      <c r="I138" s="10"/>
      <c r="J138" s="10"/>
      <c r="K138" s="10"/>
      <c r="L138" s="10"/>
      <c r="M138" s="10"/>
      <c r="N138" s="10"/>
      <c r="O138" s="10"/>
      <c r="P138" s="10"/>
      <c r="Q138" s="10"/>
      <c r="R138" s="2"/>
      <c r="S138" s="2"/>
      <c r="T138" s="2"/>
      <c r="U138" s="2"/>
      <c r="V138" s="2"/>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row>
    <row r="139" spans="1:52" ht="18" customHeight="1" x14ac:dyDescent="0.25">
      <c r="A139" s="1"/>
      <c r="B139" s="20"/>
      <c r="C139" s="20"/>
      <c r="D139" s="20"/>
      <c r="E139" s="20"/>
      <c r="F139" s="20"/>
      <c r="G139" s="20"/>
      <c r="H139" s="20"/>
      <c r="I139" s="10"/>
      <c r="J139" s="10"/>
      <c r="K139" s="10"/>
      <c r="L139" s="10"/>
      <c r="M139" s="10"/>
      <c r="N139" s="10"/>
      <c r="O139" s="10"/>
      <c r="P139" s="10"/>
      <c r="Q139" s="10"/>
      <c r="R139" s="2"/>
      <c r="S139" s="2"/>
      <c r="T139" s="2"/>
      <c r="U139" s="2"/>
      <c r="V139" s="2"/>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row>
    <row r="140" spans="1:52" ht="18" customHeight="1" x14ac:dyDescent="0.25">
      <c r="A140" s="1"/>
      <c r="B140" s="20"/>
      <c r="C140" s="20"/>
      <c r="D140" s="20"/>
      <c r="E140" s="20"/>
      <c r="F140" s="20"/>
      <c r="G140" s="20"/>
      <c r="H140" s="20"/>
      <c r="I140" s="10"/>
      <c r="J140" s="10"/>
      <c r="K140" s="10"/>
      <c r="L140" s="10"/>
      <c r="M140" s="10"/>
      <c r="N140" s="10"/>
      <c r="O140" s="10"/>
      <c r="P140" s="10"/>
      <c r="Q140" s="10"/>
      <c r="R140" s="2"/>
      <c r="S140" s="2"/>
      <c r="T140" s="2"/>
      <c r="U140" s="2"/>
      <c r="V140" s="2"/>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row>
    <row r="141" spans="1:52" ht="18" customHeight="1" x14ac:dyDescent="0.25">
      <c r="A141" s="1"/>
      <c r="B141" s="20"/>
      <c r="C141" s="20"/>
      <c r="D141" s="20"/>
      <c r="E141" s="20"/>
      <c r="F141" s="20"/>
      <c r="G141" s="20"/>
      <c r="H141" s="20"/>
      <c r="I141" s="10"/>
      <c r="J141" s="10"/>
      <c r="K141" s="10"/>
      <c r="L141" s="10"/>
      <c r="M141" s="10"/>
      <c r="N141" s="10"/>
      <c r="O141" s="10"/>
      <c r="P141" s="10"/>
      <c r="Q141" s="10"/>
      <c r="R141" s="2"/>
      <c r="S141" s="2"/>
      <c r="T141" s="2"/>
      <c r="U141" s="2"/>
      <c r="V141" s="2"/>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row>
    <row r="142" spans="1:52" ht="18" customHeight="1" x14ac:dyDescent="0.25">
      <c r="A142" s="1"/>
      <c r="B142" s="20"/>
      <c r="C142" s="20"/>
      <c r="D142" s="20"/>
      <c r="E142" s="20"/>
      <c r="F142" s="20"/>
      <c r="G142" s="20"/>
      <c r="H142" s="20"/>
      <c r="I142" s="10"/>
      <c r="J142" s="10"/>
      <c r="K142" s="10"/>
      <c r="L142" s="10"/>
      <c r="M142" s="10"/>
      <c r="N142" s="10"/>
      <c r="O142" s="10"/>
      <c r="P142" s="10"/>
      <c r="Q142" s="10"/>
      <c r="R142" s="2"/>
      <c r="S142" s="2"/>
      <c r="T142" s="2"/>
      <c r="U142" s="2"/>
      <c r="V142" s="2"/>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row>
    <row r="143" spans="1:52" ht="18" customHeight="1" collapsed="1" x14ac:dyDescent="0.25">
      <c r="A143" s="1"/>
      <c r="B143" s="20"/>
      <c r="C143" s="20"/>
      <c r="D143" s="20"/>
      <c r="E143" s="20"/>
      <c r="F143" s="20"/>
      <c r="G143" s="20"/>
      <c r="H143" s="20"/>
      <c r="I143" s="10"/>
      <c r="J143" s="10"/>
      <c r="K143" s="10"/>
      <c r="L143" s="10"/>
      <c r="M143" s="10"/>
      <c r="N143" s="10"/>
      <c r="O143" s="10"/>
      <c r="P143" s="10"/>
      <c r="Q143" s="10"/>
      <c r="R143" s="2"/>
      <c r="S143" s="2"/>
      <c r="T143" s="2"/>
      <c r="U143" s="2"/>
      <c r="V143" s="2"/>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row>
    <row r="144" spans="1:52" ht="18" customHeight="1" x14ac:dyDescent="0.25">
      <c r="A144" s="1"/>
      <c r="B144" s="20"/>
      <c r="C144" s="20"/>
      <c r="D144" s="20"/>
      <c r="E144" s="20"/>
      <c r="F144" s="20"/>
      <c r="G144" s="20"/>
      <c r="H144" s="20"/>
      <c r="I144" s="10"/>
      <c r="J144" s="10"/>
      <c r="K144" s="10"/>
      <c r="L144" s="10"/>
      <c r="M144" s="10"/>
      <c r="N144" s="10"/>
      <c r="O144" s="10"/>
      <c r="P144" s="10"/>
      <c r="Q144" s="10"/>
      <c r="R144" s="2"/>
      <c r="S144" s="2"/>
      <c r="T144" s="2"/>
      <c r="U144" s="2"/>
      <c r="V144" s="2"/>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row>
    <row r="145" spans="1:52" ht="18" customHeight="1" x14ac:dyDescent="0.25">
      <c r="A145" s="1"/>
      <c r="B145" s="20"/>
      <c r="C145" s="20"/>
      <c r="D145" s="20"/>
      <c r="E145" s="20"/>
      <c r="F145" s="20"/>
      <c r="G145" s="20"/>
      <c r="H145" s="20"/>
      <c r="I145" s="10"/>
      <c r="J145" s="10"/>
      <c r="K145" s="10"/>
      <c r="L145" s="10"/>
      <c r="M145" s="10"/>
      <c r="N145" s="10"/>
      <c r="O145" s="10"/>
      <c r="P145" s="10"/>
      <c r="Q145" s="10"/>
      <c r="R145" s="2"/>
      <c r="S145" s="2"/>
      <c r="T145" s="2"/>
      <c r="U145" s="2"/>
      <c r="V145" s="2"/>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row>
    <row r="146" spans="1:52" ht="18" customHeight="1" collapsed="1" x14ac:dyDescent="0.25">
      <c r="A146" s="1"/>
      <c r="B146" s="20"/>
      <c r="C146" s="20"/>
      <c r="D146" s="20"/>
      <c r="E146" s="20"/>
      <c r="F146" s="20"/>
      <c r="G146" s="20"/>
      <c r="H146" s="20"/>
      <c r="I146" s="2"/>
      <c r="J146" s="2"/>
      <c r="K146" s="2"/>
      <c r="L146" s="2"/>
      <c r="M146" s="2"/>
      <c r="N146" s="2"/>
      <c r="O146" s="2"/>
      <c r="P146" s="2"/>
      <c r="Q146" s="2"/>
      <c r="R146" s="2"/>
      <c r="S146" s="2"/>
      <c r="T146" s="2"/>
      <c r="U146" s="2"/>
      <c r="V146" s="2"/>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row>
    <row r="147" spans="1:52" ht="18" customHeight="1" x14ac:dyDescent="0.25">
      <c r="A147" s="1"/>
      <c r="B147" s="20"/>
      <c r="C147" s="20"/>
      <c r="D147" s="20"/>
      <c r="E147" s="20"/>
      <c r="F147" s="20"/>
      <c r="G147" s="20"/>
      <c r="H147" s="20"/>
      <c r="I147" s="17"/>
      <c r="J147" s="17"/>
      <c r="K147" s="17"/>
      <c r="L147" s="17"/>
      <c r="M147" s="17"/>
      <c r="N147" s="17"/>
      <c r="O147" s="17"/>
      <c r="P147" s="17"/>
      <c r="Q147" s="17"/>
      <c r="R147" s="2"/>
      <c r="S147" s="2"/>
      <c r="T147" s="2"/>
      <c r="U147" s="2"/>
      <c r="V147" s="2"/>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row>
    <row r="148" spans="1:52" ht="18" customHeight="1" x14ac:dyDescent="0.25">
      <c r="A148" s="1"/>
      <c r="B148" s="20"/>
      <c r="C148" s="20"/>
      <c r="D148" s="20"/>
      <c r="E148" s="20"/>
      <c r="F148" s="20"/>
      <c r="G148" s="20"/>
      <c r="H148" s="20"/>
      <c r="I148" s="10"/>
      <c r="J148" s="10"/>
      <c r="K148" s="10"/>
      <c r="L148" s="10"/>
      <c r="M148" s="10"/>
      <c r="N148" s="10"/>
      <c r="O148" s="10"/>
      <c r="P148" s="10"/>
      <c r="Q148" s="10"/>
      <c r="R148" s="2"/>
      <c r="S148" s="2"/>
      <c r="T148" s="2"/>
      <c r="U148" s="2"/>
      <c r="V148" s="2"/>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row>
    <row r="149" spans="1:52" ht="18" customHeight="1" x14ac:dyDescent="0.25">
      <c r="A149" s="1"/>
      <c r="B149" s="20"/>
      <c r="C149" s="20"/>
      <c r="D149" s="20"/>
      <c r="E149" s="20"/>
      <c r="F149" s="20"/>
      <c r="G149" s="20"/>
      <c r="H149" s="20"/>
      <c r="I149" s="10"/>
      <c r="J149" s="10"/>
      <c r="K149" s="10"/>
      <c r="L149" s="10"/>
      <c r="M149" s="10"/>
      <c r="N149" s="10"/>
      <c r="O149" s="10"/>
      <c r="P149" s="10"/>
      <c r="Q149" s="10"/>
      <c r="R149" s="2"/>
      <c r="S149" s="2"/>
      <c r="T149" s="2"/>
      <c r="U149" s="2"/>
      <c r="V149" s="2"/>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row>
    <row r="150" spans="1:52" ht="18" customHeight="1" x14ac:dyDescent="0.25">
      <c r="A150" s="1"/>
      <c r="B150" s="20"/>
      <c r="C150" s="20"/>
      <c r="D150" s="20"/>
      <c r="E150" s="20"/>
      <c r="F150" s="20"/>
      <c r="G150" s="20"/>
      <c r="H150" s="20"/>
      <c r="I150" s="10"/>
      <c r="J150" s="10"/>
      <c r="K150" s="10"/>
      <c r="L150" s="10"/>
      <c r="M150" s="10"/>
      <c r="N150" s="10"/>
      <c r="O150" s="10"/>
      <c r="P150" s="10"/>
      <c r="Q150" s="10"/>
      <c r="R150" s="2"/>
      <c r="S150" s="2"/>
      <c r="T150" s="2"/>
      <c r="U150" s="2"/>
      <c r="V150" s="2"/>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row>
    <row r="151" spans="1:52" ht="18" customHeight="1" collapsed="1" x14ac:dyDescent="0.25">
      <c r="A151" s="1"/>
      <c r="B151" s="20"/>
      <c r="C151" s="20"/>
      <c r="D151" s="20"/>
      <c r="E151" s="20"/>
      <c r="F151" s="20"/>
      <c r="G151" s="20"/>
      <c r="H151" s="20"/>
      <c r="I151" s="10"/>
      <c r="J151" s="10"/>
      <c r="K151" s="10"/>
      <c r="L151" s="10"/>
      <c r="M151" s="10"/>
      <c r="N151" s="10"/>
      <c r="O151" s="10"/>
      <c r="P151" s="10"/>
      <c r="Q151" s="10"/>
      <c r="R151" s="2"/>
      <c r="S151" s="2"/>
      <c r="T151" s="2"/>
      <c r="U151" s="2"/>
      <c r="V151" s="2"/>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row>
    <row r="152" spans="1:52" ht="18" customHeight="1" x14ac:dyDescent="0.25">
      <c r="A152" s="1"/>
      <c r="B152" s="20"/>
      <c r="C152" s="20"/>
      <c r="D152" s="20"/>
      <c r="E152" s="20"/>
      <c r="F152" s="20"/>
      <c r="G152" s="20"/>
      <c r="H152" s="20"/>
      <c r="I152" s="14"/>
      <c r="J152" s="14"/>
      <c r="K152" s="14"/>
      <c r="L152" s="14"/>
      <c r="M152" s="14"/>
      <c r="N152" s="14"/>
      <c r="O152" s="14"/>
      <c r="P152" s="14"/>
      <c r="Q152" s="14"/>
      <c r="R152" s="2"/>
      <c r="S152" s="2"/>
      <c r="T152" s="2"/>
      <c r="U152" s="2"/>
      <c r="V152" s="2"/>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row>
    <row r="153" spans="1:52" ht="18" customHeight="1" x14ac:dyDescent="0.25">
      <c r="A153" s="1"/>
      <c r="B153" s="20"/>
      <c r="C153" s="20"/>
      <c r="D153" s="20"/>
      <c r="E153" s="20"/>
      <c r="F153" s="20"/>
      <c r="G153" s="20"/>
      <c r="H153" s="20"/>
      <c r="I153" s="10"/>
      <c r="J153" s="10"/>
      <c r="K153" s="10"/>
      <c r="L153" s="10"/>
      <c r="M153" s="10"/>
      <c r="N153" s="10"/>
      <c r="O153" s="10"/>
      <c r="P153" s="10"/>
      <c r="Q153" s="10"/>
      <c r="R153" s="2"/>
      <c r="S153" s="2"/>
      <c r="T153" s="2"/>
      <c r="U153" s="2"/>
      <c r="V153" s="2"/>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row>
    <row r="154" spans="1:52" ht="18" customHeight="1" x14ac:dyDescent="0.25">
      <c r="A154" s="1"/>
      <c r="B154" s="20"/>
      <c r="C154" s="20"/>
      <c r="D154" s="20"/>
      <c r="E154" s="20"/>
      <c r="F154" s="20"/>
      <c r="G154" s="20"/>
      <c r="H154" s="20"/>
      <c r="I154" s="10"/>
      <c r="J154" s="10"/>
      <c r="K154" s="10"/>
      <c r="L154" s="10"/>
      <c r="M154" s="10"/>
      <c r="N154" s="10"/>
      <c r="O154" s="10"/>
      <c r="P154" s="10"/>
      <c r="Q154" s="10"/>
      <c r="R154" s="2"/>
      <c r="S154" s="2"/>
      <c r="T154" s="2"/>
      <c r="U154" s="2"/>
      <c r="V154" s="2"/>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row>
    <row r="155" spans="1:52" ht="18" customHeight="1" x14ac:dyDescent="0.25">
      <c r="A155" s="1"/>
      <c r="B155" s="20"/>
      <c r="C155" s="20"/>
      <c r="D155" s="20"/>
      <c r="E155" s="20"/>
      <c r="F155" s="20"/>
      <c r="G155" s="20"/>
      <c r="H155" s="20"/>
      <c r="I155" s="10"/>
      <c r="J155" s="10"/>
      <c r="K155" s="10"/>
      <c r="L155" s="10"/>
      <c r="M155" s="10"/>
      <c r="N155" s="10"/>
      <c r="O155" s="10"/>
      <c r="P155" s="10"/>
      <c r="Q155" s="10"/>
      <c r="R155" s="2"/>
      <c r="S155" s="2"/>
      <c r="T155" s="2"/>
      <c r="U155" s="2"/>
      <c r="V155" s="2"/>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row>
    <row r="156" spans="1:52" ht="18" customHeight="1" collapsed="1" x14ac:dyDescent="0.25">
      <c r="A156" s="1"/>
      <c r="B156" s="20"/>
      <c r="C156" s="20"/>
      <c r="D156" s="20"/>
      <c r="E156" s="20"/>
      <c r="F156" s="20"/>
      <c r="G156" s="20"/>
      <c r="H156" s="20"/>
      <c r="I156" s="10"/>
      <c r="J156" s="10"/>
      <c r="K156" s="10"/>
      <c r="L156" s="10"/>
      <c r="M156" s="10"/>
      <c r="N156" s="10"/>
      <c r="O156" s="10"/>
      <c r="P156" s="10"/>
      <c r="Q156" s="10"/>
      <c r="R156" s="2"/>
      <c r="S156" s="2"/>
      <c r="T156" s="2"/>
      <c r="U156" s="2"/>
      <c r="V156" s="2"/>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row>
    <row r="157" spans="1:52" ht="18" customHeight="1" x14ac:dyDescent="0.25">
      <c r="A157" s="1"/>
      <c r="B157" s="20"/>
      <c r="C157" s="20"/>
      <c r="D157" s="20"/>
      <c r="E157" s="20"/>
      <c r="F157" s="20"/>
      <c r="G157" s="20"/>
      <c r="H157" s="20"/>
      <c r="I157" s="10"/>
      <c r="J157" s="10"/>
      <c r="K157" s="10"/>
      <c r="L157" s="10"/>
      <c r="M157" s="10"/>
      <c r="N157" s="10"/>
      <c r="O157" s="10"/>
      <c r="P157" s="10"/>
      <c r="Q157" s="10"/>
      <c r="R157" s="2"/>
      <c r="S157" s="2"/>
      <c r="T157" s="2"/>
      <c r="U157" s="2"/>
      <c r="V157" s="2"/>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row>
    <row r="158" spans="1:52" ht="18" customHeight="1" x14ac:dyDescent="0.25">
      <c r="A158" s="1"/>
      <c r="B158" s="20"/>
      <c r="C158" s="20"/>
      <c r="D158" s="20"/>
      <c r="E158" s="20"/>
      <c r="F158" s="20"/>
      <c r="G158" s="20"/>
      <c r="H158" s="20"/>
      <c r="I158" s="10"/>
      <c r="J158" s="10"/>
      <c r="K158" s="10"/>
      <c r="L158" s="10"/>
      <c r="M158" s="10"/>
      <c r="N158" s="10"/>
      <c r="O158" s="10"/>
      <c r="P158" s="10"/>
      <c r="Q158" s="10"/>
      <c r="R158" s="2"/>
      <c r="S158" s="2"/>
      <c r="T158" s="2"/>
      <c r="U158" s="2"/>
      <c r="V158" s="2"/>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row>
    <row r="159" spans="1:52" ht="18" customHeight="1" x14ac:dyDescent="0.25">
      <c r="A159" s="1"/>
      <c r="B159" s="20"/>
      <c r="C159" s="20"/>
      <c r="D159" s="20"/>
      <c r="E159" s="20"/>
      <c r="F159" s="20"/>
      <c r="G159" s="20"/>
      <c r="H159" s="20"/>
      <c r="I159" s="10"/>
      <c r="J159" s="10"/>
      <c r="K159" s="10"/>
      <c r="L159" s="10"/>
      <c r="M159" s="10"/>
      <c r="N159" s="10"/>
      <c r="O159" s="10"/>
      <c r="P159" s="10"/>
      <c r="Q159" s="10"/>
      <c r="R159" s="2"/>
      <c r="S159" s="2"/>
      <c r="T159" s="2"/>
      <c r="U159" s="2"/>
      <c r="V159" s="2"/>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row>
    <row r="160" spans="1:52" ht="18" customHeight="1" x14ac:dyDescent="0.25">
      <c r="A160" s="1"/>
      <c r="B160" s="20"/>
      <c r="C160" s="20"/>
      <c r="D160" s="20"/>
      <c r="E160" s="20"/>
      <c r="F160" s="20"/>
      <c r="G160" s="20"/>
      <c r="H160" s="20"/>
      <c r="I160" s="10"/>
      <c r="J160" s="10"/>
      <c r="K160" s="10"/>
      <c r="L160" s="10"/>
      <c r="M160" s="10"/>
      <c r="N160" s="10"/>
      <c r="O160" s="10"/>
      <c r="P160" s="10"/>
      <c r="Q160" s="10"/>
      <c r="R160" s="2"/>
      <c r="S160" s="2"/>
      <c r="T160" s="2"/>
      <c r="U160" s="2"/>
      <c r="V160" s="2"/>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row>
    <row r="161" spans="1:52" ht="18" customHeight="1" collapsed="1" x14ac:dyDescent="0.25">
      <c r="A161" s="1"/>
      <c r="B161" s="20"/>
      <c r="C161" s="20"/>
      <c r="D161" s="20"/>
      <c r="E161" s="20"/>
      <c r="F161" s="20"/>
      <c r="G161" s="20"/>
      <c r="H161" s="20"/>
      <c r="I161" s="2"/>
      <c r="J161" s="2"/>
      <c r="K161" s="2"/>
      <c r="L161" s="2"/>
      <c r="M161" s="2"/>
      <c r="N161" s="2"/>
      <c r="O161" s="2"/>
      <c r="P161" s="2"/>
      <c r="Q161" s="2"/>
      <c r="R161" s="2"/>
      <c r="S161" s="2"/>
      <c r="T161" s="2"/>
      <c r="U161" s="2"/>
      <c r="V161" s="2"/>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row>
    <row r="162" spans="1:52" ht="18" customHeight="1" x14ac:dyDescent="0.25">
      <c r="A162" s="1"/>
      <c r="B162" s="20"/>
      <c r="C162" s="20"/>
      <c r="D162" s="20"/>
      <c r="E162" s="20"/>
      <c r="F162" s="20"/>
      <c r="G162" s="20"/>
      <c r="H162" s="20"/>
      <c r="I162" s="17"/>
      <c r="J162" s="17"/>
      <c r="K162" s="17"/>
      <c r="L162" s="17"/>
      <c r="M162" s="17"/>
      <c r="N162" s="17"/>
      <c r="O162" s="17"/>
      <c r="P162" s="17"/>
      <c r="Q162" s="17"/>
      <c r="R162" s="2"/>
      <c r="S162" s="2"/>
      <c r="T162" s="2"/>
      <c r="U162" s="2"/>
      <c r="V162" s="2"/>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row>
    <row r="163" spans="1:52" ht="18" customHeight="1" x14ac:dyDescent="0.25">
      <c r="A163" s="1"/>
      <c r="B163" s="20"/>
      <c r="C163" s="20"/>
      <c r="D163" s="20"/>
      <c r="E163" s="20"/>
      <c r="F163" s="20"/>
      <c r="G163" s="20"/>
      <c r="H163" s="20"/>
      <c r="I163" s="10"/>
      <c r="J163" s="10"/>
      <c r="K163" s="10"/>
      <c r="L163" s="10"/>
      <c r="M163" s="10"/>
      <c r="N163" s="10"/>
      <c r="O163" s="10"/>
      <c r="P163" s="10"/>
      <c r="Q163" s="10"/>
      <c r="R163" s="2"/>
      <c r="S163" s="2"/>
      <c r="T163" s="2"/>
      <c r="U163" s="2"/>
      <c r="V163" s="2"/>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row>
    <row r="164" spans="1:52" ht="18" customHeight="1" x14ac:dyDescent="0.25">
      <c r="A164" s="1"/>
      <c r="B164" s="20"/>
      <c r="C164" s="20"/>
      <c r="D164" s="20"/>
      <c r="E164" s="20"/>
      <c r="F164" s="20"/>
      <c r="G164" s="20"/>
      <c r="H164" s="20"/>
      <c r="I164" s="10"/>
      <c r="J164" s="10"/>
      <c r="K164" s="10"/>
      <c r="L164" s="10"/>
      <c r="M164" s="10"/>
      <c r="N164" s="10"/>
      <c r="O164" s="10"/>
      <c r="P164" s="10"/>
      <c r="Q164" s="10"/>
      <c r="R164" s="2"/>
      <c r="S164" s="2"/>
      <c r="T164" s="2"/>
      <c r="U164" s="2"/>
      <c r="V164" s="2"/>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row>
    <row r="165" spans="1:52" ht="18" customHeight="1" x14ac:dyDescent="0.25">
      <c r="A165" s="1"/>
      <c r="B165" s="20"/>
      <c r="C165" s="20"/>
      <c r="D165" s="20"/>
      <c r="E165" s="20"/>
      <c r="F165" s="20"/>
      <c r="G165" s="20"/>
      <c r="H165" s="20"/>
      <c r="I165" s="14"/>
      <c r="J165" s="14"/>
      <c r="K165" s="14"/>
      <c r="L165" s="14"/>
      <c r="M165" s="14"/>
      <c r="N165" s="14"/>
      <c r="O165" s="14"/>
      <c r="P165" s="14"/>
      <c r="Q165" s="14"/>
      <c r="R165" s="2"/>
      <c r="S165" s="2"/>
      <c r="T165" s="2"/>
      <c r="U165" s="2"/>
      <c r="V165" s="2"/>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row>
    <row r="166" spans="1:52" ht="18" customHeight="1" x14ac:dyDescent="0.25">
      <c r="A166" s="1"/>
      <c r="B166" s="20"/>
      <c r="C166" s="20"/>
      <c r="D166" s="20"/>
      <c r="E166" s="20"/>
      <c r="F166" s="20"/>
      <c r="G166" s="20"/>
      <c r="H166" s="20"/>
      <c r="I166" s="10"/>
      <c r="J166" s="10"/>
      <c r="K166" s="10"/>
      <c r="L166" s="10"/>
      <c r="M166" s="10"/>
      <c r="N166" s="10"/>
      <c r="O166" s="10"/>
      <c r="P166" s="10"/>
      <c r="Q166" s="10"/>
      <c r="R166" s="2"/>
      <c r="S166" s="2"/>
      <c r="T166" s="2"/>
      <c r="U166" s="2"/>
      <c r="V166" s="2"/>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row>
    <row r="167" spans="1:52" ht="18" customHeight="1" x14ac:dyDescent="0.25">
      <c r="A167" s="1"/>
      <c r="B167" s="20"/>
      <c r="C167" s="20"/>
      <c r="D167" s="20"/>
      <c r="E167" s="20"/>
      <c r="F167" s="20"/>
      <c r="G167" s="20"/>
      <c r="H167" s="20"/>
      <c r="I167" s="10"/>
      <c r="J167" s="10"/>
      <c r="K167" s="10"/>
      <c r="L167" s="10"/>
      <c r="M167" s="10"/>
      <c r="N167" s="10"/>
      <c r="O167" s="10"/>
      <c r="P167" s="10"/>
      <c r="Q167" s="10"/>
      <c r="R167" s="2"/>
      <c r="S167" s="2"/>
      <c r="T167" s="2"/>
      <c r="U167" s="2"/>
      <c r="V167" s="2"/>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row>
    <row r="168" spans="1:52" ht="18" customHeight="1" collapsed="1" x14ac:dyDescent="0.25">
      <c r="A168" s="1"/>
      <c r="B168" s="20"/>
      <c r="C168" s="20"/>
      <c r="D168" s="20"/>
      <c r="E168" s="20"/>
      <c r="F168" s="20"/>
      <c r="G168" s="20"/>
      <c r="H168" s="20"/>
      <c r="I168" s="10"/>
      <c r="J168" s="10"/>
      <c r="K168" s="10"/>
      <c r="L168" s="10"/>
      <c r="M168" s="10"/>
      <c r="N168" s="10"/>
      <c r="O168" s="10"/>
      <c r="P168" s="10"/>
      <c r="Q168" s="10"/>
      <c r="R168" s="2"/>
      <c r="S168" s="2"/>
      <c r="T168" s="2"/>
      <c r="U168" s="2"/>
      <c r="V168" s="2"/>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row>
    <row r="169" spans="1:52" ht="18" customHeight="1" x14ac:dyDescent="0.25">
      <c r="A169" s="1"/>
      <c r="B169" s="20"/>
      <c r="C169" s="20"/>
      <c r="D169" s="20"/>
      <c r="E169" s="20"/>
      <c r="F169" s="20"/>
      <c r="G169" s="20"/>
      <c r="H169" s="20"/>
      <c r="I169" s="10"/>
      <c r="J169" s="10"/>
      <c r="K169" s="10"/>
      <c r="L169" s="10"/>
      <c r="M169" s="10"/>
      <c r="N169" s="10"/>
      <c r="O169" s="10"/>
      <c r="P169" s="10"/>
      <c r="Q169" s="10"/>
      <c r="R169" s="2"/>
      <c r="S169" s="2"/>
      <c r="T169" s="2"/>
      <c r="U169" s="2"/>
      <c r="V169" s="2"/>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row>
    <row r="170" spans="1:52" ht="18" customHeight="1" x14ac:dyDescent="0.25">
      <c r="A170" s="1"/>
      <c r="B170" s="20"/>
      <c r="C170" s="20"/>
      <c r="D170" s="20"/>
      <c r="E170" s="20"/>
      <c r="F170" s="20"/>
      <c r="G170" s="20"/>
      <c r="H170" s="20"/>
      <c r="I170" s="10"/>
      <c r="J170" s="10"/>
      <c r="K170" s="10"/>
      <c r="L170" s="10"/>
      <c r="M170" s="10"/>
      <c r="N170" s="10"/>
      <c r="O170" s="10"/>
      <c r="P170" s="10"/>
      <c r="Q170" s="10"/>
      <c r="R170" s="2"/>
      <c r="S170" s="2"/>
      <c r="T170" s="2"/>
      <c r="U170" s="2"/>
      <c r="V170" s="2"/>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row>
    <row r="171" spans="1:52" ht="18" customHeight="1" x14ac:dyDescent="0.25">
      <c r="A171" s="1"/>
      <c r="B171" s="20"/>
      <c r="C171" s="20"/>
      <c r="D171" s="20"/>
      <c r="E171" s="20"/>
      <c r="F171" s="20"/>
      <c r="G171" s="20"/>
      <c r="H171" s="20"/>
      <c r="I171" s="10"/>
      <c r="J171" s="10"/>
      <c r="K171" s="10"/>
      <c r="L171" s="10"/>
      <c r="M171" s="10"/>
      <c r="N171" s="10"/>
      <c r="O171" s="10"/>
      <c r="P171" s="10"/>
      <c r="Q171" s="10"/>
      <c r="R171" s="2"/>
      <c r="S171" s="2"/>
      <c r="T171" s="2"/>
      <c r="U171" s="2"/>
      <c r="V171" s="2"/>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row>
    <row r="172" spans="1:52" ht="18" customHeight="1" x14ac:dyDescent="0.25">
      <c r="A172" s="1"/>
      <c r="B172" s="20"/>
      <c r="C172" s="20"/>
      <c r="D172" s="20"/>
      <c r="E172" s="20"/>
      <c r="F172" s="20"/>
      <c r="G172" s="20"/>
      <c r="H172" s="20"/>
      <c r="I172" s="10"/>
      <c r="J172" s="10"/>
      <c r="K172" s="10"/>
      <c r="L172" s="10"/>
      <c r="M172" s="10"/>
      <c r="N172" s="10"/>
      <c r="O172" s="10"/>
      <c r="P172" s="10"/>
      <c r="Q172" s="10"/>
      <c r="R172" s="2"/>
      <c r="S172" s="2"/>
      <c r="T172" s="2"/>
      <c r="U172" s="2"/>
      <c r="V172" s="2"/>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row>
    <row r="173" spans="1:52" ht="18" customHeight="1" collapsed="1" x14ac:dyDescent="0.25">
      <c r="A173" s="1"/>
      <c r="B173" s="20"/>
      <c r="C173" s="20"/>
      <c r="D173" s="20"/>
      <c r="E173" s="20"/>
      <c r="F173" s="20"/>
      <c r="G173" s="20"/>
      <c r="H173" s="20"/>
      <c r="I173" s="14"/>
      <c r="J173" s="14"/>
      <c r="K173" s="14"/>
      <c r="L173" s="14"/>
      <c r="M173" s="14"/>
      <c r="N173" s="14"/>
      <c r="O173" s="14"/>
      <c r="P173" s="14"/>
      <c r="Q173" s="14"/>
      <c r="R173" s="2"/>
      <c r="S173" s="2"/>
      <c r="T173" s="2"/>
      <c r="U173" s="2"/>
      <c r="V173" s="2"/>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row>
    <row r="174" spans="1:52" ht="18" customHeight="1" x14ac:dyDescent="0.25">
      <c r="A174" s="1"/>
      <c r="B174" s="20"/>
      <c r="C174" s="20"/>
      <c r="D174" s="20"/>
      <c r="E174" s="20"/>
      <c r="F174" s="20"/>
      <c r="G174" s="20"/>
      <c r="H174" s="20"/>
      <c r="I174" s="14"/>
      <c r="J174" s="14"/>
      <c r="K174" s="14"/>
      <c r="L174" s="14"/>
      <c r="M174" s="14"/>
      <c r="N174" s="14"/>
      <c r="O174" s="14"/>
      <c r="P174" s="14"/>
      <c r="Q174" s="14"/>
      <c r="R174" s="2"/>
      <c r="S174" s="2"/>
      <c r="T174" s="2"/>
      <c r="U174" s="2"/>
      <c r="V174" s="2"/>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row>
    <row r="175" spans="1:52" ht="18" customHeight="1" x14ac:dyDescent="0.25">
      <c r="A175" s="1"/>
      <c r="B175" s="20"/>
      <c r="C175" s="20"/>
      <c r="D175" s="20"/>
      <c r="E175" s="20"/>
      <c r="F175" s="20"/>
      <c r="G175" s="20"/>
      <c r="H175" s="20"/>
      <c r="I175" s="14"/>
      <c r="J175" s="14"/>
      <c r="K175" s="14"/>
      <c r="L175" s="14"/>
      <c r="M175" s="14"/>
      <c r="N175" s="14"/>
      <c r="O175" s="14"/>
      <c r="P175" s="14"/>
      <c r="Q175" s="14"/>
      <c r="R175" s="2"/>
      <c r="S175" s="2"/>
      <c r="T175" s="2"/>
      <c r="U175" s="2"/>
      <c r="V175" s="2"/>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row>
    <row r="176" spans="1:52" ht="18" customHeight="1" x14ac:dyDescent="0.25">
      <c r="A176" s="1"/>
      <c r="B176" s="20"/>
      <c r="C176" s="20"/>
      <c r="D176" s="20"/>
      <c r="E176" s="20"/>
      <c r="F176" s="20"/>
      <c r="G176" s="20"/>
      <c r="H176" s="20"/>
      <c r="I176" s="10"/>
      <c r="J176" s="10"/>
      <c r="K176" s="10"/>
      <c r="L176" s="10"/>
      <c r="M176" s="10"/>
      <c r="N176" s="10"/>
      <c r="O176" s="10"/>
      <c r="P176" s="10"/>
      <c r="Q176" s="10"/>
      <c r="R176" s="2"/>
      <c r="S176" s="2"/>
      <c r="T176" s="2"/>
      <c r="U176" s="2"/>
      <c r="V176" s="2"/>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row>
    <row r="177" spans="1:52" x14ac:dyDescent="0.25">
      <c r="A177" s="1"/>
      <c r="B177" s="1"/>
      <c r="C177" s="1"/>
      <c r="D177" s="1"/>
      <c r="E177" s="1"/>
      <c r="F177" s="1"/>
      <c r="G177" s="1"/>
      <c r="H177" s="1"/>
      <c r="I177" s="2"/>
      <c r="J177" s="2"/>
      <c r="K177" s="2"/>
      <c r="L177" s="2"/>
      <c r="M177" s="2"/>
      <c r="N177" s="2"/>
      <c r="O177" s="2"/>
      <c r="P177" s="2"/>
      <c r="Q177" s="2"/>
      <c r="R177" s="2"/>
      <c r="S177" s="2"/>
      <c r="T177" s="2"/>
      <c r="U177" s="2"/>
      <c r="V177" s="2"/>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row>
    <row r="178" spans="1:52" x14ac:dyDescent="0.25">
      <c r="A178" s="1"/>
      <c r="B178" s="1"/>
      <c r="C178" s="1"/>
      <c r="D178" s="1"/>
      <c r="E178" s="1"/>
      <c r="F178" s="1"/>
      <c r="G178" s="1"/>
      <c r="H178" s="1"/>
      <c r="I178" s="2"/>
      <c r="J178" s="2"/>
      <c r="K178" s="2"/>
      <c r="L178" s="2"/>
      <c r="M178" s="2"/>
      <c r="N178" s="2"/>
      <c r="O178" s="2"/>
      <c r="P178" s="2"/>
      <c r="Q178" s="2"/>
      <c r="R178" s="2"/>
      <c r="S178" s="2"/>
      <c r="T178" s="2"/>
      <c r="U178" s="2"/>
      <c r="V178" s="2"/>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row>
    <row r="179" spans="1:52" x14ac:dyDescent="0.25">
      <c r="A179" s="1"/>
      <c r="B179" s="1"/>
      <c r="C179" s="1"/>
      <c r="D179" s="1"/>
      <c r="E179" s="1"/>
      <c r="F179" s="1"/>
      <c r="G179" s="1"/>
      <c r="H179" s="1"/>
      <c r="I179" s="2"/>
      <c r="J179" s="2"/>
      <c r="K179" s="2"/>
      <c r="L179" s="2"/>
      <c r="M179" s="2"/>
      <c r="N179" s="2"/>
      <c r="O179" s="2"/>
      <c r="P179" s="2"/>
      <c r="Q179" s="2"/>
      <c r="R179" s="2"/>
      <c r="S179" s="2"/>
      <c r="T179" s="2"/>
      <c r="U179" s="2"/>
      <c r="V179" s="2"/>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row>
    <row r="180" spans="1:52" x14ac:dyDescent="0.25">
      <c r="A180" s="1"/>
      <c r="B180" s="1"/>
      <c r="C180" s="1"/>
      <c r="D180" s="1"/>
      <c r="E180" s="1"/>
      <c r="F180" s="1"/>
      <c r="G180" s="1"/>
      <c r="H180" s="1"/>
      <c r="I180" s="2"/>
      <c r="J180" s="2"/>
      <c r="K180" s="2"/>
      <c r="L180" s="2"/>
      <c r="M180" s="2"/>
      <c r="N180" s="2"/>
      <c r="O180" s="2"/>
      <c r="P180" s="2"/>
      <c r="Q180" s="2"/>
      <c r="R180" s="2"/>
      <c r="S180" s="2"/>
      <c r="T180" s="2"/>
      <c r="U180" s="2"/>
      <c r="V180" s="2"/>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row>
    <row r="181" spans="1:52" x14ac:dyDescent="0.25">
      <c r="A181" s="1"/>
      <c r="B181" s="1"/>
      <c r="C181" s="1"/>
      <c r="D181" s="1"/>
      <c r="E181" s="1"/>
      <c r="F181" s="1"/>
      <c r="G181" s="1"/>
      <c r="H181" s="1"/>
      <c r="I181" s="2"/>
      <c r="J181" s="2"/>
      <c r="K181" s="2"/>
      <c r="L181" s="2"/>
      <c r="M181" s="2"/>
      <c r="N181" s="2"/>
      <c r="O181" s="2"/>
      <c r="P181" s="2"/>
      <c r="Q181" s="2"/>
      <c r="R181" s="2"/>
      <c r="S181" s="2"/>
      <c r="T181" s="2"/>
      <c r="U181" s="2"/>
      <c r="V181" s="2"/>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row>
    <row r="182" spans="1:52" x14ac:dyDescent="0.25">
      <c r="A182" s="1"/>
      <c r="B182" s="1"/>
      <c r="C182" s="1"/>
      <c r="D182" s="1"/>
      <c r="E182" s="1"/>
      <c r="F182" s="1"/>
      <c r="G182" s="1"/>
      <c r="H182" s="1"/>
      <c r="I182" s="2"/>
      <c r="J182" s="2"/>
      <c r="K182" s="2"/>
      <c r="L182" s="2"/>
      <c r="M182" s="2"/>
      <c r="N182" s="2"/>
      <c r="O182" s="2"/>
      <c r="P182" s="2"/>
      <c r="Q182" s="2"/>
      <c r="R182" s="2"/>
      <c r="S182" s="2"/>
      <c r="T182" s="2"/>
      <c r="U182" s="2"/>
      <c r="V182" s="2"/>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row>
    <row r="183" spans="1:52" x14ac:dyDescent="0.25">
      <c r="A183" s="1"/>
      <c r="B183" s="1"/>
      <c r="C183" s="1"/>
      <c r="D183" s="1"/>
      <c r="E183" s="1"/>
      <c r="F183" s="1"/>
      <c r="G183" s="1"/>
      <c r="H183" s="1"/>
      <c r="I183" s="2"/>
      <c r="J183" s="2"/>
      <c r="K183" s="2"/>
      <c r="L183" s="2"/>
      <c r="M183" s="2"/>
      <c r="N183" s="2"/>
      <c r="O183" s="2"/>
      <c r="P183" s="2"/>
      <c r="Q183" s="2"/>
      <c r="R183" s="2"/>
      <c r="S183" s="2"/>
      <c r="T183" s="2"/>
      <c r="U183" s="2"/>
      <c r="V183" s="2"/>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row>
    <row r="184" spans="1:52" x14ac:dyDescent="0.25">
      <c r="A184" s="1"/>
      <c r="B184" s="1"/>
      <c r="C184" s="1"/>
      <c r="D184" s="1"/>
      <c r="E184" s="1"/>
      <c r="F184" s="1"/>
      <c r="G184" s="1"/>
      <c r="H184" s="1"/>
      <c r="I184" s="2"/>
      <c r="J184" s="2"/>
      <c r="K184" s="2"/>
      <c r="L184" s="2"/>
      <c r="M184" s="2"/>
      <c r="N184" s="2"/>
      <c r="O184" s="2"/>
      <c r="P184" s="2"/>
      <c r="Q184" s="2"/>
      <c r="R184" s="2"/>
      <c r="S184" s="2"/>
      <c r="T184" s="2"/>
      <c r="U184" s="2"/>
      <c r="V184" s="2"/>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row>
    <row r="185" spans="1:52" x14ac:dyDescent="0.25">
      <c r="A185" s="1"/>
      <c r="B185" s="1"/>
      <c r="C185" s="1"/>
      <c r="D185" s="1"/>
      <c r="E185" s="1"/>
      <c r="F185" s="1"/>
      <c r="G185" s="1"/>
      <c r="H185" s="1"/>
      <c r="I185" s="2"/>
      <c r="J185" s="2"/>
      <c r="K185" s="2"/>
      <c r="L185" s="2"/>
      <c r="M185" s="2"/>
      <c r="N185" s="2"/>
      <c r="O185" s="2"/>
      <c r="P185" s="2"/>
      <c r="Q185" s="2"/>
      <c r="R185" s="2"/>
      <c r="S185" s="2"/>
      <c r="T185" s="2"/>
      <c r="U185" s="2"/>
      <c r="V185" s="2"/>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row>
    <row r="186" spans="1:52" x14ac:dyDescent="0.25">
      <c r="A186" s="1"/>
      <c r="B186" s="1"/>
      <c r="C186" s="1"/>
      <c r="D186" s="1"/>
      <c r="E186" s="1"/>
      <c r="F186" s="1"/>
      <c r="G186" s="1"/>
      <c r="H186" s="1"/>
      <c r="I186" s="2"/>
      <c r="J186" s="2"/>
      <c r="K186" s="2"/>
      <c r="L186" s="2"/>
      <c r="M186" s="2"/>
      <c r="N186" s="2"/>
      <c r="O186" s="2"/>
      <c r="P186" s="2"/>
      <c r="Q186" s="2"/>
      <c r="R186" s="2"/>
      <c r="S186" s="2"/>
      <c r="T186" s="2"/>
      <c r="U186" s="2"/>
      <c r="V186" s="2"/>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row>
    <row r="187" spans="1:52" x14ac:dyDescent="0.25">
      <c r="A187" s="1"/>
      <c r="B187" s="1"/>
      <c r="C187" s="1"/>
      <c r="D187" s="1"/>
      <c r="E187" s="1"/>
      <c r="F187" s="1"/>
      <c r="G187" s="1"/>
      <c r="H187" s="1"/>
      <c r="I187" s="2"/>
      <c r="J187" s="2"/>
      <c r="K187" s="2"/>
      <c r="L187" s="2"/>
      <c r="M187" s="2"/>
      <c r="N187" s="2"/>
      <c r="O187" s="2"/>
      <c r="P187" s="2"/>
      <c r="Q187" s="2"/>
      <c r="R187" s="2"/>
      <c r="S187" s="2"/>
      <c r="T187" s="2"/>
      <c r="U187" s="2"/>
      <c r="V187" s="2"/>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row>
    <row r="188" spans="1:52" x14ac:dyDescent="0.25">
      <c r="A188" s="1"/>
      <c r="B188" s="1"/>
      <c r="C188" s="1"/>
      <c r="D188" s="1"/>
      <c r="E188" s="1"/>
      <c r="F188" s="1"/>
      <c r="G188" s="1"/>
      <c r="H188" s="1"/>
      <c r="I188" s="2"/>
      <c r="J188" s="2"/>
      <c r="K188" s="2"/>
      <c r="L188" s="2"/>
      <c r="M188" s="2"/>
      <c r="N188" s="2"/>
      <c r="O188" s="2"/>
      <c r="P188" s="2"/>
      <c r="Q188" s="2"/>
      <c r="R188" s="2"/>
      <c r="S188" s="2"/>
      <c r="T188" s="2"/>
      <c r="U188" s="2"/>
      <c r="V188" s="2"/>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row>
    <row r="189" spans="1:52" x14ac:dyDescent="0.25">
      <c r="A189" s="1"/>
      <c r="B189" s="1"/>
      <c r="C189" s="1"/>
      <c r="D189" s="1"/>
      <c r="E189" s="1"/>
      <c r="F189" s="1"/>
      <c r="G189" s="1"/>
      <c r="H189" s="1"/>
      <c r="I189" s="2"/>
      <c r="J189" s="2"/>
      <c r="K189" s="2"/>
      <c r="L189" s="2"/>
      <c r="M189" s="2"/>
      <c r="N189" s="2"/>
      <c r="O189" s="2"/>
      <c r="P189" s="2"/>
      <c r="Q189" s="2"/>
      <c r="R189" s="2"/>
      <c r="S189" s="2"/>
      <c r="T189" s="2"/>
      <c r="U189" s="2"/>
      <c r="V189" s="2"/>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row>
    <row r="190" spans="1:52" x14ac:dyDescent="0.25">
      <c r="A190" s="1"/>
      <c r="B190" s="1"/>
      <c r="C190" s="1"/>
      <c r="D190" s="1"/>
      <c r="E190" s="1"/>
      <c r="F190" s="1"/>
      <c r="G190" s="1"/>
      <c r="H190" s="1"/>
      <c r="I190" s="2"/>
      <c r="J190" s="2"/>
      <c r="K190" s="2"/>
      <c r="L190" s="2"/>
      <c r="M190" s="2"/>
      <c r="N190" s="2"/>
      <c r="O190" s="2"/>
      <c r="P190" s="2"/>
      <c r="Q190" s="2"/>
      <c r="R190" s="2"/>
      <c r="S190" s="2"/>
      <c r="T190" s="2"/>
      <c r="U190" s="2"/>
      <c r="V190" s="2"/>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row>
    <row r="191" spans="1:52" x14ac:dyDescent="0.25">
      <c r="A191" s="1"/>
      <c r="B191" s="1"/>
      <c r="C191" s="1"/>
      <c r="D191" s="1"/>
      <c r="E191" s="1"/>
      <c r="F191" s="1"/>
      <c r="G191" s="1"/>
      <c r="H191" s="1"/>
      <c r="I191" s="2"/>
      <c r="J191" s="2"/>
      <c r="K191" s="2"/>
      <c r="L191" s="2"/>
      <c r="M191" s="2"/>
      <c r="N191" s="2"/>
      <c r="O191" s="2"/>
      <c r="P191" s="2"/>
      <c r="Q191" s="2"/>
      <c r="R191" s="2"/>
      <c r="S191" s="2"/>
      <c r="T191" s="2"/>
      <c r="U191" s="2"/>
      <c r="V191" s="2"/>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row>
    <row r="192" spans="1:52" x14ac:dyDescent="0.25">
      <c r="A192" s="1"/>
      <c r="B192" s="1"/>
      <c r="C192" s="1"/>
      <c r="D192" s="1"/>
      <c r="E192" s="1"/>
      <c r="F192" s="1"/>
      <c r="G192" s="1"/>
      <c r="H192" s="1"/>
      <c r="I192" s="2"/>
      <c r="J192" s="2"/>
      <c r="K192" s="2"/>
      <c r="L192" s="2"/>
      <c r="M192" s="2"/>
      <c r="N192" s="2"/>
      <c r="O192" s="2"/>
      <c r="P192" s="2"/>
      <c r="Q192" s="2"/>
      <c r="R192" s="2"/>
      <c r="S192" s="2"/>
      <c r="T192" s="2"/>
      <c r="U192" s="2"/>
      <c r="V192" s="2"/>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row>
    <row r="193" spans="1:52" x14ac:dyDescent="0.25">
      <c r="A193" s="1"/>
      <c r="B193" s="1"/>
      <c r="C193" s="1"/>
      <c r="D193" s="1"/>
      <c r="E193" s="1"/>
      <c r="F193" s="1"/>
      <c r="G193" s="1"/>
      <c r="H193" s="1"/>
      <c r="I193" s="2"/>
      <c r="J193" s="2"/>
      <c r="K193" s="2"/>
      <c r="L193" s="2"/>
      <c r="M193" s="2"/>
      <c r="N193" s="2"/>
      <c r="O193" s="2"/>
      <c r="P193" s="2"/>
      <c r="Q193" s="2"/>
      <c r="R193" s="2"/>
      <c r="S193" s="2"/>
      <c r="T193" s="2"/>
      <c r="U193" s="2"/>
      <c r="V193" s="2"/>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row>
    <row r="194" spans="1:52" x14ac:dyDescent="0.25">
      <c r="A194" s="1"/>
      <c r="B194" s="1"/>
      <c r="C194" s="1"/>
      <c r="D194" s="1"/>
      <c r="E194" s="1"/>
      <c r="F194" s="1"/>
      <c r="G194" s="1"/>
      <c r="H194" s="1"/>
      <c r="I194" s="2"/>
      <c r="J194" s="2"/>
      <c r="K194" s="2"/>
      <c r="L194" s="2"/>
      <c r="M194" s="2"/>
      <c r="N194" s="2"/>
      <c r="O194" s="2"/>
      <c r="P194" s="2"/>
      <c r="Q194" s="2"/>
      <c r="R194" s="2"/>
      <c r="S194" s="2"/>
      <c r="T194" s="2"/>
      <c r="U194" s="2"/>
      <c r="V194" s="2"/>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row>
    <row r="195" spans="1:52" x14ac:dyDescent="0.25">
      <c r="A195" s="1"/>
      <c r="B195" s="1"/>
      <c r="C195" s="1"/>
      <c r="D195" s="1"/>
      <c r="E195" s="1"/>
      <c r="F195" s="1"/>
      <c r="G195" s="1"/>
      <c r="H195" s="1"/>
      <c r="I195" s="2"/>
      <c r="J195" s="2"/>
      <c r="K195" s="2"/>
      <c r="L195" s="2"/>
      <c r="M195" s="2"/>
      <c r="N195" s="2"/>
      <c r="O195" s="2"/>
      <c r="P195" s="2"/>
      <c r="Q195" s="2"/>
      <c r="R195" s="2"/>
      <c r="S195" s="2"/>
      <c r="T195" s="2"/>
      <c r="U195" s="2"/>
      <c r="V195" s="2"/>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row>
    <row r="196" spans="1:52" x14ac:dyDescent="0.25">
      <c r="A196" s="1"/>
      <c r="B196" s="1"/>
      <c r="C196" s="1"/>
      <c r="D196" s="1"/>
      <c r="E196" s="1"/>
      <c r="F196" s="1"/>
      <c r="G196" s="1"/>
      <c r="H196" s="1"/>
      <c r="I196" s="2"/>
      <c r="J196" s="2"/>
      <c r="K196" s="2"/>
      <c r="L196" s="2"/>
      <c r="M196" s="2"/>
      <c r="N196" s="2"/>
      <c r="O196" s="2"/>
      <c r="P196" s="2"/>
      <c r="Q196" s="2"/>
      <c r="R196" s="2"/>
      <c r="S196" s="2"/>
      <c r="T196" s="2"/>
      <c r="U196" s="2"/>
      <c r="V196" s="2"/>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row>
    <row r="197" spans="1:52" x14ac:dyDescent="0.25">
      <c r="A197" s="1"/>
      <c r="B197" s="1"/>
      <c r="C197" s="1"/>
      <c r="D197" s="1"/>
      <c r="E197" s="1"/>
      <c r="F197" s="1"/>
      <c r="G197" s="1"/>
      <c r="H197" s="1"/>
      <c r="I197" s="2"/>
      <c r="J197" s="2"/>
      <c r="K197" s="2"/>
      <c r="L197" s="2"/>
      <c r="M197" s="2"/>
      <c r="N197" s="2"/>
      <c r="O197" s="2"/>
      <c r="P197" s="2"/>
      <c r="Q197" s="2"/>
      <c r="R197" s="2"/>
      <c r="S197" s="2"/>
      <c r="T197" s="2"/>
      <c r="U197" s="2"/>
      <c r="V197" s="2"/>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row>
    <row r="198" spans="1:52" x14ac:dyDescent="0.25">
      <c r="A198" s="1"/>
      <c r="B198" s="1"/>
      <c r="C198" s="1"/>
      <c r="D198" s="1"/>
      <c r="E198" s="1"/>
      <c r="F198" s="1"/>
      <c r="G198" s="1"/>
      <c r="H198" s="1"/>
      <c r="I198" s="2"/>
      <c r="J198" s="2"/>
      <c r="K198" s="2"/>
      <c r="L198" s="2"/>
      <c r="M198" s="2"/>
      <c r="N198" s="2"/>
      <c r="O198" s="2"/>
      <c r="P198" s="2"/>
      <c r="Q198" s="2"/>
      <c r="R198" s="2"/>
      <c r="S198" s="2"/>
      <c r="T198" s="2"/>
      <c r="U198" s="2"/>
      <c r="V198" s="2"/>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row>
    <row r="199" spans="1:52" x14ac:dyDescent="0.25">
      <c r="A199" s="1"/>
      <c r="B199" s="1"/>
      <c r="C199" s="1"/>
      <c r="D199" s="1"/>
      <c r="E199" s="1"/>
      <c r="F199" s="1"/>
      <c r="G199" s="1"/>
      <c r="H199" s="1"/>
      <c r="I199" s="2"/>
      <c r="J199" s="2"/>
      <c r="K199" s="2"/>
      <c r="L199" s="2"/>
      <c r="M199" s="2"/>
      <c r="N199" s="2"/>
      <c r="O199" s="2"/>
      <c r="P199" s="2"/>
      <c r="Q199" s="2"/>
      <c r="R199" s="2"/>
      <c r="S199" s="2"/>
      <c r="T199" s="2"/>
      <c r="U199" s="2"/>
      <c r="V199" s="2"/>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row>
    <row r="200" spans="1:52" x14ac:dyDescent="0.25">
      <c r="A200" s="1"/>
      <c r="B200" s="1"/>
      <c r="C200" s="1"/>
      <c r="D200" s="1"/>
      <c r="E200" s="1"/>
      <c r="F200" s="1"/>
      <c r="G200" s="1"/>
      <c r="H200" s="1"/>
      <c r="I200" s="2"/>
      <c r="J200" s="2"/>
      <c r="K200" s="2"/>
      <c r="L200" s="2"/>
      <c r="M200" s="2"/>
      <c r="N200" s="2"/>
      <c r="O200" s="2"/>
      <c r="P200" s="2"/>
      <c r="Q200" s="2"/>
      <c r="R200" s="2"/>
      <c r="S200" s="2"/>
      <c r="T200" s="2"/>
      <c r="U200" s="2"/>
      <c r="V200" s="2"/>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row>
    <row r="201" spans="1:52" x14ac:dyDescent="0.25">
      <c r="A201" s="1"/>
      <c r="B201" s="1"/>
      <c r="C201" s="1"/>
      <c r="D201" s="1"/>
      <c r="E201" s="1"/>
      <c r="F201" s="1"/>
      <c r="G201" s="1"/>
      <c r="H201" s="1"/>
      <c r="I201" s="2"/>
      <c r="J201" s="2"/>
      <c r="K201" s="2"/>
      <c r="L201" s="2"/>
      <c r="M201" s="2"/>
      <c r="N201" s="2"/>
      <c r="O201" s="2"/>
      <c r="P201" s="2"/>
      <c r="Q201" s="2"/>
      <c r="R201" s="2"/>
      <c r="S201" s="2"/>
      <c r="T201" s="2"/>
      <c r="U201" s="2"/>
      <c r="V201" s="2"/>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row>
    <row r="202" spans="1:52" x14ac:dyDescent="0.25">
      <c r="A202" s="1"/>
      <c r="B202" s="1"/>
      <c r="C202" s="1"/>
      <c r="D202" s="1"/>
      <c r="E202" s="1"/>
      <c r="F202" s="1"/>
      <c r="G202" s="1"/>
      <c r="H202" s="1"/>
      <c r="I202" s="2"/>
      <c r="J202" s="2"/>
      <c r="K202" s="2"/>
      <c r="L202" s="2"/>
      <c r="M202" s="2"/>
      <c r="N202" s="2"/>
      <c r="O202" s="2"/>
      <c r="P202" s="2"/>
      <c r="Q202" s="2"/>
      <c r="R202" s="2"/>
      <c r="S202" s="2"/>
      <c r="T202" s="2"/>
      <c r="U202" s="2"/>
      <c r="V202" s="2"/>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row>
    <row r="203" spans="1:52" x14ac:dyDescent="0.25">
      <c r="A203" s="1"/>
      <c r="B203" s="1"/>
      <c r="C203" s="1"/>
      <c r="D203" s="1"/>
      <c r="E203" s="1"/>
      <c r="F203" s="1"/>
      <c r="G203" s="1"/>
      <c r="H203" s="1"/>
      <c r="I203" s="2"/>
      <c r="J203" s="2"/>
      <c r="K203" s="2"/>
      <c r="L203" s="2"/>
      <c r="M203" s="2"/>
      <c r="N203" s="2"/>
      <c r="O203" s="2"/>
      <c r="P203" s="2"/>
      <c r="Q203" s="2"/>
      <c r="R203" s="2"/>
      <c r="S203" s="2"/>
      <c r="T203" s="2"/>
      <c r="U203" s="2"/>
      <c r="V203" s="2"/>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row>
    <row r="204" spans="1:52" x14ac:dyDescent="0.25">
      <c r="A204" s="1"/>
      <c r="B204" s="1"/>
      <c r="C204" s="1"/>
      <c r="D204" s="1"/>
      <c r="E204" s="1"/>
      <c r="F204" s="1"/>
      <c r="G204" s="1"/>
      <c r="H204" s="1"/>
      <c r="I204" s="2"/>
      <c r="J204" s="2"/>
      <c r="K204" s="2"/>
      <c r="L204" s="2"/>
      <c r="M204" s="2"/>
      <c r="N204" s="2"/>
      <c r="O204" s="2"/>
      <c r="P204" s="2"/>
      <c r="Q204" s="2"/>
      <c r="R204" s="2"/>
      <c r="S204" s="2"/>
      <c r="T204" s="2"/>
      <c r="U204" s="2"/>
      <c r="V204" s="2"/>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row>
    <row r="205" spans="1:52" x14ac:dyDescent="0.25">
      <c r="A205" s="1"/>
      <c r="B205" s="1"/>
      <c r="C205" s="1"/>
      <c r="D205" s="1"/>
      <c r="E205" s="1"/>
      <c r="F205" s="1"/>
      <c r="G205" s="1"/>
      <c r="H205" s="1"/>
      <c r="I205" s="2"/>
      <c r="J205" s="2"/>
      <c r="K205" s="2"/>
      <c r="L205" s="2"/>
      <c r="M205" s="2"/>
      <c r="N205" s="2"/>
      <c r="O205" s="2"/>
      <c r="P205" s="2"/>
      <c r="Q205" s="2"/>
      <c r="R205" s="2"/>
      <c r="S205" s="2"/>
      <c r="T205" s="2"/>
      <c r="U205" s="2"/>
      <c r="V205" s="2"/>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row>
    <row r="206" spans="1:52" x14ac:dyDescent="0.25">
      <c r="A206" s="1"/>
      <c r="B206" s="1"/>
      <c r="C206" s="1"/>
      <c r="D206" s="1"/>
      <c r="E206" s="1"/>
      <c r="F206" s="1"/>
      <c r="G206" s="1"/>
      <c r="H206" s="1"/>
      <c r="I206" s="2"/>
      <c r="J206" s="2"/>
      <c r="K206" s="2"/>
      <c r="L206" s="2"/>
      <c r="M206" s="2"/>
      <c r="N206" s="2"/>
      <c r="O206" s="2"/>
      <c r="P206" s="2"/>
      <c r="Q206" s="2"/>
      <c r="R206" s="2"/>
      <c r="S206" s="2"/>
      <c r="T206" s="2"/>
      <c r="U206" s="2"/>
      <c r="V206" s="2"/>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row>
    <row r="207" spans="1:52" x14ac:dyDescent="0.25">
      <c r="A207" s="1"/>
      <c r="B207" s="1"/>
      <c r="C207" s="1"/>
      <c r="D207" s="1"/>
      <c r="E207" s="1"/>
      <c r="F207" s="1"/>
      <c r="G207" s="1"/>
      <c r="H207" s="1"/>
      <c r="I207" s="2"/>
      <c r="J207" s="2"/>
      <c r="K207" s="2"/>
      <c r="L207" s="2"/>
      <c r="M207" s="2"/>
      <c r="N207" s="2"/>
      <c r="O207" s="2"/>
      <c r="P207" s="2"/>
      <c r="Q207" s="2"/>
      <c r="R207" s="2"/>
      <c r="S207" s="2"/>
      <c r="T207" s="2"/>
      <c r="U207" s="2"/>
      <c r="V207" s="2"/>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row>
    <row r="208" spans="1:52" x14ac:dyDescent="0.25">
      <c r="A208" s="1"/>
      <c r="B208" s="1"/>
      <c r="C208" s="1"/>
      <c r="D208" s="1"/>
      <c r="E208" s="1"/>
      <c r="F208" s="1"/>
      <c r="G208" s="1"/>
      <c r="H208" s="1"/>
      <c r="I208" s="2"/>
      <c r="J208" s="2"/>
      <c r="K208" s="2"/>
      <c r="L208" s="2"/>
      <c r="M208" s="2"/>
      <c r="N208" s="2"/>
      <c r="O208" s="2"/>
      <c r="P208" s="2"/>
      <c r="Q208" s="2"/>
      <c r="R208" s="2"/>
      <c r="S208" s="2"/>
      <c r="T208" s="2"/>
      <c r="U208" s="2"/>
      <c r="V208" s="2"/>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row>
    <row r="209" spans="1:52" x14ac:dyDescent="0.25">
      <c r="A209" s="1"/>
      <c r="B209" s="1"/>
      <c r="C209" s="1"/>
      <c r="D209" s="1"/>
      <c r="E209" s="1"/>
      <c r="F209" s="1"/>
      <c r="G209" s="1"/>
      <c r="H209" s="1"/>
      <c r="I209" s="2"/>
      <c r="J209" s="2"/>
      <c r="K209" s="2"/>
      <c r="L209" s="2"/>
      <c r="M209" s="2"/>
      <c r="N209" s="2"/>
      <c r="O209" s="2"/>
      <c r="P209" s="2"/>
      <c r="Q209" s="2"/>
      <c r="R209" s="2"/>
      <c r="S209" s="2"/>
      <c r="T209" s="2"/>
      <c r="U209" s="2"/>
      <c r="V209" s="2"/>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row>
    <row r="210" spans="1:52" x14ac:dyDescent="0.25">
      <c r="A210" s="1"/>
      <c r="B210" s="1"/>
      <c r="C210" s="1"/>
      <c r="D210" s="1"/>
      <c r="E210" s="1"/>
      <c r="F210" s="1"/>
      <c r="G210" s="1"/>
      <c r="H210" s="1"/>
      <c r="I210" s="2"/>
      <c r="J210" s="2"/>
      <c r="K210" s="2"/>
      <c r="L210" s="2"/>
      <c r="M210" s="2"/>
      <c r="N210" s="2"/>
      <c r="O210" s="2"/>
      <c r="P210" s="2"/>
      <c r="Q210" s="2"/>
      <c r="R210" s="2"/>
      <c r="S210" s="2"/>
      <c r="T210" s="2"/>
      <c r="U210" s="2"/>
      <c r="V210" s="2"/>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row>
    <row r="211" spans="1:52" x14ac:dyDescent="0.25">
      <c r="A211" s="1"/>
      <c r="B211" s="1"/>
      <c r="C211" s="1"/>
      <c r="D211" s="1"/>
      <c r="E211" s="1"/>
      <c r="F211" s="1"/>
      <c r="G211" s="1"/>
      <c r="H211" s="1"/>
      <c r="I211" s="2"/>
      <c r="J211" s="2"/>
      <c r="K211" s="2"/>
      <c r="L211" s="2"/>
      <c r="M211" s="2"/>
      <c r="N211" s="2"/>
      <c r="O211" s="2"/>
      <c r="P211" s="2"/>
      <c r="Q211" s="2"/>
      <c r="R211" s="2"/>
      <c r="S211" s="2"/>
      <c r="T211" s="2"/>
      <c r="U211" s="2"/>
      <c r="V211" s="2"/>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row>
    <row r="212" spans="1:52" x14ac:dyDescent="0.25">
      <c r="A212" s="1"/>
      <c r="B212" s="1"/>
      <c r="C212" s="1"/>
      <c r="D212" s="1"/>
      <c r="E212" s="1"/>
      <c r="F212" s="1"/>
      <c r="G212" s="1"/>
      <c r="H212" s="1"/>
      <c r="I212" s="2"/>
      <c r="J212" s="2"/>
      <c r="K212" s="2"/>
      <c r="L212" s="2"/>
      <c r="M212" s="2"/>
      <c r="N212" s="2"/>
      <c r="O212" s="2"/>
      <c r="P212" s="2"/>
      <c r="Q212" s="2"/>
      <c r="R212" s="2"/>
      <c r="S212" s="2"/>
      <c r="T212" s="2"/>
      <c r="U212" s="2"/>
      <c r="V212" s="2"/>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row>
    <row r="213" spans="1:52" x14ac:dyDescent="0.25">
      <c r="A213" s="1"/>
      <c r="B213" s="1"/>
      <c r="C213" s="1"/>
      <c r="D213" s="1"/>
      <c r="E213" s="1"/>
      <c r="F213" s="1"/>
      <c r="G213" s="1"/>
      <c r="H213" s="1"/>
      <c r="I213" s="2"/>
      <c r="J213" s="2"/>
      <c r="K213" s="2"/>
      <c r="L213" s="2"/>
      <c r="M213" s="2"/>
      <c r="N213" s="2"/>
      <c r="O213" s="2"/>
      <c r="P213" s="2"/>
      <c r="Q213" s="2"/>
      <c r="R213" s="2"/>
      <c r="S213" s="2"/>
      <c r="T213" s="2"/>
      <c r="U213" s="2"/>
      <c r="V213" s="2"/>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row>
    <row r="214" spans="1:52" x14ac:dyDescent="0.25">
      <c r="A214" s="1"/>
      <c r="B214" s="1"/>
      <c r="C214" s="1"/>
      <c r="D214" s="1"/>
      <c r="E214" s="1"/>
      <c r="F214" s="1"/>
      <c r="G214" s="1"/>
      <c r="H214" s="1"/>
      <c r="I214" s="2"/>
      <c r="J214" s="2"/>
      <c r="K214" s="2"/>
      <c r="L214" s="2"/>
      <c r="M214" s="2"/>
      <c r="N214" s="2"/>
      <c r="O214" s="2"/>
      <c r="P214" s="2"/>
      <c r="Q214" s="2"/>
      <c r="R214" s="2"/>
      <c r="S214" s="2"/>
      <c r="T214" s="2"/>
      <c r="U214" s="2"/>
      <c r="V214" s="2"/>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row>
    <row r="215" spans="1:52" x14ac:dyDescent="0.25">
      <c r="A215" s="1"/>
      <c r="B215" s="1"/>
      <c r="C215" s="1"/>
      <c r="D215" s="1"/>
      <c r="E215" s="1"/>
      <c r="F215" s="1"/>
      <c r="G215" s="1"/>
      <c r="H215" s="1"/>
      <c r="I215" s="2"/>
      <c r="J215" s="2"/>
      <c r="K215" s="2"/>
      <c r="L215" s="2"/>
      <c r="M215" s="2"/>
      <c r="N215" s="2"/>
      <c r="O215" s="2"/>
      <c r="P215" s="2"/>
      <c r="Q215" s="2"/>
      <c r="R215" s="2"/>
      <c r="S215" s="2"/>
      <c r="T215" s="2"/>
      <c r="U215" s="2"/>
      <c r="V215" s="2"/>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row>
    <row r="216" spans="1:52" x14ac:dyDescent="0.25">
      <c r="A216" s="1"/>
      <c r="B216" s="1"/>
      <c r="C216" s="1"/>
      <c r="D216" s="1"/>
      <c r="E216" s="1"/>
      <c r="F216" s="1"/>
      <c r="G216" s="1"/>
      <c r="H216" s="1"/>
      <c r="I216" s="2"/>
      <c r="J216" s="2"/>
      <c r="K216" s="2"/>
      <c r="L216" s="2"/>
      <c r="M216" s="2"/>
      <c r="N216" s="2"/>
      <c r="O216" s="2"/>
      <c r="P216" s="2"/>
      <c r="Q216" s="2"/>
      <c r="R216" s="2"/>
      <c r="S216" s="2"/>
      <c r="T216" s="2"/>
      <c r="U216" s="2"/>
      <c r="V216" s="2"/>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row>
    <row r="217" spans="1:52" x14ac:dyDescent="0.25">
      <c r="A217" s="1"/>
      <c r="B217" s="1"/>
      <c r="C217" s="1"/>
      <c r="D217" s="1"/>
      <c r="E217" s="1"/>
      <c r="F217" s="1"/>
      <c r="G217" s="1"/>
      <c r="H217" s="1"/>
      <c r="I217" s="2"/>
      <c r="J217" s="2"/>
      <c r="K217" s="2"/>
      <c r="L217" s="2"/>
      <c r="M217" s="2"/>
      <c r="N217" s="2"/>
      <c r="O217" s="2"/>
      <c r="P217" s="2"/>
      <c r="Q217" s="2"/>
      <c r="R217" s="2"/>
      <c r="S217" s="2"/>
      <c r="T217" s="2"/>
      <c r="U217" s="2"/>
      <c r="V217" s="2"/>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row>
    <row r="218" spans="1:52" x14ac:dyDescent="0.25">
      <c r="A218" s="1"/>
      <c r="B218" s="1"/>
      <c r="C218" s="1"/>
      <c r="D218" s="1"/>
      <c r="E218" s="1"/>
      <c r="F218" s="1"/>
      <c r="G218" s="1"/>
      <c r="H218" s="1"/>
      <c r="I218" s="2"/>
      <c r="J218" s="2"/>
      <c r="K218" s="2"/>
      <c r="L218" s="2"/>
      <c r="M218" s="2"/>
      <c r="N218" s="2"/>
      <c r="O218" s="2"/>
      <c r="P218" s="2"/>
      <c r="Q218" s="2"/>
      <c r="R218" s="2"/>
      <c r="S218" s="2"/>
      <c r="T218" s="2"/>
      <c r="U218" s="2"/>
      <c r="V218" s="2"/>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row>
    <row r="219" spans="1:52" x14ac:dyDescent="0.25">
      <c r="A219" s="1"/>
      <c r="B219" s="1"/>
      <c r="C219" s="1"/>
      <c r="D219" s="1"/>
      <c r="E219" s="1"/>
      <c r="F219" s="1"/>
      <c r="G219" s="1"/>
      <c r="H219" s="1"/>
      <c r="I219" s="2"/>
      <c r="J219" s="2"/>
      <c r="K219" s="2"/>
      <c r="L219" s="2"/>
      <c r="M219" s="2"/>
      <c r="N219" s="2"/>
      <c r="O219" s="2"/>
      <c r="P219" s="2"/>
      <c r="Q219" s="2"/>
      <c r="R219" s="2"/>
      <c r="S219" s="2"/>
      <c r="T219" s="2"/>
      <c r="U219" s="2"/>
      <c r="V219" s="2"/>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row>
    <row r="220" spans="1:52" x14ac:dyDescent="0.25">
      <c r="A220" s="1"/>
      <c r="B220" s="1"/>
      <c r="C220" s="1"/>
      <c r="D220" s="1"/>
      <c r="E220" s="1"/>
      <c r="F220" s="1"/>
      <c r="G220" s="1"/>
      <c r="H220" s="1"/>
      <c r="I220" s="2"/>
      <c r="J220" s="2"/>
      <c r="K220" s="2"/>
      <c r="L220" s="2"/>
      <c r="M220" s="2"/>
      <c r="N220" s="2"/>
      <c r="O220" s="2"/>
      <c r="P220" s="2"/>
      <c r="Q220" s="2"/>
      <c r="R220" s="2"/>
      <c r="S220" s="2"/>
      <c r="T220" s="2"/>
      <c r="U220" s="2"/>
      <c r="V220" s="2"/>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row>
    <row r="221" spans="1:52" x14ac:dyDescent="0.25">
      <c r="A221" s="1"/>
      <c r="B221" s="1"/>
      <c r="C221" s="1"/>
      <c r="D221" s="1"/>
      <c r="E221" s="1"/>
      <c r="F221" s="1"/>
      <c r="G221" s="1"/>
      <c r="H221" s="1"/>
      <c r="I221" s="2"/>
      <c r="J221" s="2"/>
      <c r="K221" s="2"/>
      <c r="L221" s="2"/>
      <c r="M221" s="2"/>
      <c r="N221" s="2"/>
      <c r="O221" s="2"/>
      <c r="P221" s="2"/>
      <c r="Q221" s="2"/>
      <c r="R221" s="2"/>
      <c r="S221" s="2"/>
      <c r="T221" s="2"/>
      <c r="U221" s="2"/>
      <c r="V221" s="2"/>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row>
    <row r="222" spans="1:52" x14ac:dyDescent="0.25">
      <c r="A222" s="1"/>
      <c r="B222" s="1"/>
      <c r="C222" s="1"/>
      <c r="D222" s="1"/>
      <c r="E222" s="1"/>
      <c r="F222" s="1"/>
      <c r="G222" s="1"/>
      <c r="H222" s="1"/>
      <c r="I222" s="2"/>
      <c r="J222" s="2"/>
      <c r="K222" s="2"/>
      <c r="L222" s="2"/>
      <c r="M222" s="2"/>
      <c r="N222" s="2"/>
      <c r="O222" s="2"/>
      <c r="P222" s="2"/>
      <c r="Q222" s="2"/>
      <c r="R222" s="2"/>
      <c r="S222" s="2"/>
      <c r="T222" s="2"/>
      <c r="U222" s="2"/>
      <c r="V222" s="2"/>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row>
    <row r="223" spans="1:52" x14ac:dyDescent="0.25">
      <c r="A223" s="1"/>
      <c r="B223" s="1"/>
      <c r="C223" s="1"/>
      <c r="D223" s="1"/>
      <c r="E223" s="1"/>
      <c r="F223" s="1"/>
      <c r="G223" s="1"/>
      <c r="H223" s="1"/>
      <c r="I223" s="2"/>
      <c r="J223" s="2"/>
      <c r="K223" s="2"/>
      <c r="L223" s="2"/>
      <c r="M223" s="2"/>
      <c r="N223" s="2"/>
      <c r="O223" s="2"/>
      <c r="P223" s="2"/>
      <c r="Q223" s="2"/>
      <c r="R223" s="2"/>
      <c r="S223" s="2"/>
      <c r="T223" s="2"/>
      <c r="U223" s="2"/>
      <c r="V223" s="2"/>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row>
    <row r="224" spans="1:52" x14ac:dyDescent="0.25">
      <c r="A224" s="1"/>
      <c r="B224" s="1"/>
      <c r="C224" s="1"/>
      <c r="D224" s="1"/>
      <c r="E224" s="1"/>
      <c r="F224" s="1"/>
      <c r="G224" s="1"/>
      <c r="H224" s="1"/>
      <c r="I224" s="2"/>
      <c r="J224" s="2"/>
      <c r="K224" s="2"/>
      <c r="L224" s="2"/>
      <c r="M224" s="2"/>
      <c r="N224" s="2"/>
      <c r="O224" s="2"/>
      <c r="P224" s="2"/>
      <c r="Q224" s="2"/>
      <c r="R224" s="2"/>
      <c r="S224" s="2"/>
      <c r="T224" s="2"/>
      <c r="U224" s="2"/>
      <c r="V224" s="2"/>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row>
    <row r="225" spans="1:52" x14ac:dyDescent="0.25">
      <c r="A225" s="1"/>
      <c r="B225" s="1"/>
      <c r="C225" s="1"/>
      <c r="D225" s="1"/>
      <c r="E225" s="1"/>
      <c r="F225" s="1"/>
      <c r="G225" s="1"/>
      <c r="H225" s="1"/>
      <c r="I225" s="2"/>
      <c r="J225" s="2"/>
      <c r="K225" s="2"/>
      <c r="L225" s="2"/>
      <c r="M225" s="2"/>
      <c r="N225" s="2"/>
      <c r="O225" s="2"/>
      <c r="P225" s="2"/>
      <c r="Q225" s="2"/>
      <c r="R225" s="2"/>
      <c r="S225" s="2"/>
      <c r="T225" s="2"/>
      <c r="U225" s="2"/>
      <c r="V225" s="2"/>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row>
    <row r="226" spans="1:52" x14ac:dyDescent="0.25">
      <c r="A226" s="1"/>
      <c r="B226" s="1"/>
      <c r="C226" s="1"/>
      <c r="D226" s="1"/>
      <c r="E226" s="1"/>
      <c r="F226" s="1"/>
      <c r="G226" s="1"/>
      <c r="H226" s="1"/>
      <c r="I226" s="2"/>
      <c r="J226" s="2"/>
      <c r="K226" s="2"/>
      <c r="L226" s="2"/>
      <c r="M226" s="2"/>
      <c r="N226" s="2"/>
      <c r="O226" s="2"/>
      <c r="P226" s="2"/>
      <c r="Q226" s="2"/>
      <c r="R226" s="2"/>
      <c r="S226" s="2"/>
      <c r="T226" s="2"/>
      <c r="U226" s="2"/>
      <c r="V226" s="2"/>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row>
    <row r="227" spans="1:52" x14ac:dyDescent="0.25">
      <c r="A227" s="1"/>
      <c r="B227" s="1"/>
      <c r="C227" s="1"/>
      <c r="D227" s="1"/>
      <c r="E227" s="1"/>
      <c r="F227" s="1"/>
      <c r="G227" s="1"/>
      <c r="H227" s="1"/>
      <c r="I227" s="2"/>
      <c r="J227" s="2"/>
      <c r="K227" s="2"/>
      <c r="L227" s="2"/>
      <c r="M227" s="2"/>
      <c r="N227" s="2"/>
      <c r="O227" s="2"/>
      <c r="P227" s="2"/>
      <c r="Q227" s="2"/>
      <c r="R227" s="2"/>
      <c r="S227" s="2"/>
      <c r="T227" s="2"/>
      <c r="U227" s="2"/>
      <c r="V227" s="2"/>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row>
    <row r="228" spans="1:52" x14ac:dyDescent="0.25">
      <c r="A228" s="1"/>
      <c r="B228" s="1"/>
      <c r="C228" s="1"/>
      <c r="D228" s="1"/>
      <c r="E228" s="1"/>
      <c r="F228" s="1"/>
      <c r="G228" s="1"/>
      <c r="H228" s="1"/>
      <c r="I228" s="2"/>
      <c r="J228" s="2"/>
      <c r="K228" s="2"/>
      <c r="L228" s="2"/>
      <c r="M228" s="2"/>
      <c r="N228" s="2"/>
      <c r="O228" s="2"/>
      <c r="P228" s="2"/>
      <c r="Q228" s="2"/>
      <c r="R228" s="2"/>
      <c r="S228" s="2"/>
      <c r="T228" s="2"/>
      <c r="U228" s="2"/>
      <c r="V228" s="2"/>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row>
    <row r="229" spans="1:52" x14ac:dyDescent="0.25">
      <c r="A229" s="1"/>
      <c r="B229" s="1"/>
      <c r="C229" s="1"/>
      <c r="D229" s="1"/>
      <c r="E229" s="1"/>
      <c r="F229" s="1"/>
      <c r="G229" s="1"/>
      <c r="H229" s="1"/>
      <c r="I229" s="2"/>
      <c r="J229" s="2"/>
      <c r="K229" s="2"/>
      <c r="L229" s="2"/>
      <c r="M229" s="2"/>
      <c r="N229" s="2"/>
      <c r="O229" s="2"/>
      <c r="P229" s="2"/>
      <c r="Q229" s="2"/>
      <c r="R229" s="2"/>
      <c r="S229" s="2"/>
      <c r="T229" s="2"/>
      <c r="U229" s="2"/>
      <c r="V229" s="2"/>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row>
    <row r="230" spans="1:52" x14ac:dyDescent="0.25">
      <c r="A230" s="1"/>
      <c r="B230" s="1"/>
      <c r="C230" s="1"/>
      <c r="D230" s="1"/>
      <c r="E230" s="1"/>
      <c r="F230" s="1"/>
      <c r="G230" s="1"/>
      <c r="H230" s="1"/>
      <c r="I230" s="2"/>
      <c r="J230" s="2"/>
      <c r="K230" s="2"/>
      <c r="L230" s="2"/>
      <c r="M230" s="2"/>
      <c r="N230" s="2"/>
      <c r="O230" s="2"/>
      <c r="P230" s="2"/>
      <c r="Q230" s="2"/>
      <c r="R230" s="2"/>
      <c r="S230" s="2"/>
      <c r="T230" s="2"/>
      <c r="U230" s="2"/>
      <c r="V230" s="2"/>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row>
    <row r="231" spans="1:52" x14ac:dyDescent="0.25">
      <c r="A231" s="1"/>
      <c r="B231" s="1"/>
      <c r="C231" s="1"/>
      <c r="D231" s="1"/>
      <c r="E231" s="1"/>
      <c r="F231" s="1"/>
      <c r="G231" s="1"/>
      <c r="H231" s="1"/>
      <c r="I231" s="2"/>
      <c r="J231" s="2"/>
      <c r="K231" s="2"/>
      <c r="L231" s="2"/>
      <c r="M231" s="2"/>
      <c r="N231" s="2"/>
      <c r="O231" s="2"/>
      <c r="P231" s="2"/>
      <c r="Q231" s="2"/>
      <c r="R231" s="2"/>
      <c r="S231" s="2"/>
      <c r="T231" s="2"/>
      <c r="U231" s="2"/>
      <c r="V231" s="2"/>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row>
    <row r="232" spans="1:52" x14ac:dyDescent="0.25">
      <c r="A232" s="1"/>
      <c r="B232" s="1"/>
      <c r="C232" s="1"/>
      <c r="D232" s="1"/>
      <c r="E232" s="1"/>
      <c r="F232" s="1"/>
      <c r="G232" s="1"/>
      <c r="H232" s="1"/>
      <c r="I232" s="2"/>
      <c r="J232" s="2"/>
      <c r="K232" s="2"/>
      <c r="L232" s="2"/>
      <c r="M232" s="2"/>
      <c r="N232" s="2"/>
      <c r="O232" s="2"/>
      <c r="P232" s="2"/>
      <c r="Q232" s="2"/>
      <c r="R232" s="2"/>
      <c r="S232" s="2"/>
      <c r="T232" s="2"/>
      <c r="U232" s="2"/>
      <c r="V232" s="2"/>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row>
    <row r="233" spans="1:52" x14ac:dyDescent="0.25">
      <c r="A233" s="1"/>
      <c r="B233" s="1"/>
      <c r="C233" s="1"/>
      <c r="D233" s="1"/>
      <c r="E233" s="1"/>
      <c r="F233" s="1"/>
      <c r="G233" s="1"/>
      <c r="H233" s="1"/>
      <c r="I233" s="2"/>
      <c r="J233" s="2"/>
      <c r="K233" s="2"/>
      <c r="L233" s="2"/>
      <c r="M233" s="2"/>
      <c r="N233" s="2"/>
      <c r="O233" s="2"/>
      <c r="P233" s="2"/>
      <c r="Q233" s="2"/>
      <c r="R233" s="2"/>
      <c r="S233" s="2"/>
      <c r="T233" s="2"/>
      <c r="U233" s="2"/>
      <c r="V233" s="2"/>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row>
    <row r="234" spans="1:52" x14ac:dyDescent="0.25">
      <c r="A234" s="1"/>
      <c r="B234" s="1"/>
      <c r="C234" s="1"/>
      <c r="D234" s="1"/>
      <c r="E234" s="1"/>
      <c r="F234" s="1"/>
      <c r="G234" s="1"/>
      <c r="H234" s="1"/>
      <c r="I234" s="2"/>
      <c r="J234" s="2"/>
      <c r="K234" s="2"/>
      <c r="L234" s="2"/>
      <c r="M234" s="2"/>
      <c r="N234" s="2"/>
      <c r="O234" s="2"/>
      <c r="P234" s="2"/>
      <c r="Q234" s="2"/>
      <c r="R234" s="2"/>
      <c r="S234" s="2"/>
      <c r="T234" s="2"/>
      <c r="U234" s="2"/>
      <c r="V234" s="2"/>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row>
    <row r="235" spans="1:52" x14ac:dyDescent="0.25">
      <c r="A235" s="1"/>
      <c r="B235" s="1"/>
      <c r="C235" s="1"/>
      <c r="D235" s="1"/>
      <c r="E235" s="1"/>
      <c r="F235" s="1"/>
      <c r="G235" s="1"/>
      <c r="H235" s="1"/>
      <c r="I235" s="2"/>
      <c r="J235" s="2"/>
      <c r="K235" s="2"/>
      <c r="L235" s="2"/>
      <c r="M235" s="2"/>
      <c r="N235" s="2"/>
      <c r="O235" s="2"/>
      <c r="P235" s="2"/>
      <c r="Q235" s="2"/>
      <c r="R235" s="2"/>
      <c r="S235" s="2"/>
      <c r="T235" s="2"/>
      <c r="U235" s="2"/>
      <c r="V235" s="2"/>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row>
    <row r="236" spans="1:52" x14ac:dyDescent="0.25">
      <c r="A236" s="1"/>
      <c r="B236" s="1"/>
      <c r="C236" s="1"/>
      <c r="D236" s="1"/>
      <c r="E236" s="1"/>
      <c r="F236" s="1"/>
      <c r="G236" s="1"/>
      <c r="H236" s="1"/>
      <c r="I236" s="2"/>
      <c r="J236" s="2"/>
      <c r="K236" s="2"/>
      <c r="L236" s="2"/>
      <c r="M236" s="2"/>
      <c r="N236" s="2"/>
      <c r="O236" s="2"/>
      <c r="P236" s="2"/>
      <c r="Q236" s="2"/>
      <c r="R236" s="2"/>
      <c r="S236" s="2"/>
      <c r="T236" s="2"/>
      <c r="U236" s="2"/>
      <c r="V236" s="2"/>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row>
    <row r="237" spans="1:52" x14ac:dyDescent="0.25">
      <c r="A237" s="1"/>
      <c r="B237" s="1"/>
      <c r="C237" s="1"/>
      <c r="D237" s="1"/>
      <c r="E237" s="1"/>
      <c r="F237" s="1"/>
      <c r="G237" s="1"/>
      <c r="H237" s="1"/>
      <c r="I237" s="2"/>
      <c r="J237" s="2"/>
      <c r="K237" s="2"/>
      <c r="L237" s="2"/>
      <c r="M237" s="2"/>
      <c r="N237" s="2"/>
      <c r="O237" s="2"/>
      <c r="P237" s="2"/>
      <c r="Q237" s="2"/>
      <c r="R237" s="2"/>
      <c r="S237" s="2"/>
      <c r="T237" s="2"/>
      <c r="U237" s="2"/>
      <c r="V237" s="2"/>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row>
    <row r="238" spans="1:52" x14ac:dyDescent="0.25">
      <c r="A238" s="1"/>
      <c r="B238" s="1"/>
      <c r="C238" s="1"/>
      <c r="D238" s="1"/>
      <c r="E238" s="1"/>
      <c r="F238" s="1"/>
      <c r="G238" s="1"/>
      <c r="H238" s="1"/>
      <c r="I238" s="2"/>
      <c r="J238" s="2"/>
      <c r="K238" s="2"/>
      <c r="L238" s="2"/>
      <c r="M238" s="2"/>
      <c r="N238" s="2"/>
      <c r="O238" s="2"/>
      <c r="P238" s="2"/>
      <c r="Q238" s="2"/>
      <c r="R238" s="2"/>
      <c r="S238" s="2"/>
      <c r="T238" s="2"/>
      <c r="U238" s="2"/>
      <c r="V238" s="2"/>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row>
    <row r="239" spans="1:52" x14ac:dyDescent="0.25">
      <c r="A239" s="1"/>
      <c r="B239" s="1"/>
      <c r="C239" s="1"/>
      <c r="D239" s="1"/>
      <c r="E239" s="1"/>
      <c r="F239" s="1"/>
      <c r="G239" s="1"/>
      <c r="H239" s="1"/>
      <c r="I239" s="2"/>
      <c r="J239" s="2"/>
      <c r="K239" s="2"/>
      <c r="L239" s="2"/>
      <c r="M239" s="2"/>
      <c r="N239" s="2"/>
      <c r="O239" s="2"/>
      <c r="P239" s="2"/>
      <c r="Q239" s="2"/>
      <c r="R239" s="2"/>
      <c r="S239" s="2"/>
      <c r="T239" s="2"/>
      <c r="U239" s="2"/>
      <c r="V239" s="2"/>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row>
    <row r="240" spans="1:52" x14ac:dyDescent="0.25">
      <c r="A240" s="1"/>
      <c r="B240" s="1"/>
      <c r="C240" s="1"/>
      <c r="D240" s="1"/>
      <c r="E240" s="1"/>
      <c r="F240" s="1"/>
      <c r="G240" s="1"/>
      <c r="H240" s="1"/>
      <c r="I240" s="2"/>
      <c r="J240" s="2"/>
      <c r="K240" s="2"/>
      <c r="L240" s="2"/>
      <c r="M240" s="2"/>
      <c r="N240" s="2"/>
      <c r="O240" s="2"/>
      <c r="P240" s="2"/>
      <c r="Q240" s="2"/>
      <c r="R240" s="2"/>
      <c r="S240" s="2"/>
      <c r="T240" s="2"/>
      <c r="U240" s="2"/>
      <c r="V240" s="2"/>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row>
    <row r="241" spans="1:52" x14ac:dyDescent="0.25">
      <c r="A241" s="1"/>
      <c r="B241" s="1"/>
      <c r="C241" s="1"/>
      <c r="D241" s="1"/>
      <c r="E241" s="1"/>
      <c r="F241" s="1"/>
      <c r="G241" s="1"/>
      <c r="H241" s="1"/>
      <c r="I241" s="2"/>
      <c r="J241" s="2"/>
      <c r="K241" s="2"/>
      <c r="L241" s="2"/>
      <c r="M241" s="2"/>
      <c r="N241" s="2"/>
      <c r="O241" s="2"/>
      <c r="P241" s="2"/>
      <c r="Q241" s="2"/>
      <c r="R241" s="2"/>
      <c r="S241" s="2"/>
      <c r="T241" s="2"/>
      <c r="U241" s="2"/>
      <c r="V241" s="2"/>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row>
    <row r="242" spans="1:52" x14ac:dyDescent="0.25">
      <c r="A242" s="1"/>
      <c r="B242" s="1"/>
      <c r="C242" s="1"/>
      <c r="D242" s="1"/>
      <c r="E242" s="1"/>
      <c r="F242" s="1"/>
      <c r="G242" s="1"/>
      <c r="H242" s="1"/>
      <c r="I242" s="2"/>
      <c r="J242" s="2"/>
      <c r="K242" s="2"/>
      <c r="L242" s="2"/>
      <c r="M242" s="2"/>
      <c r="N242" s="2"/>
      <c r="O242" s="2"/>
      <c r="P242" s="2"/>
      <c r="Q242" s="2"/>
      <c r="R242" s="2"/>
      <c r="S242" s="2"/>
      <c r="T242" s="2"/>
      <c r="U242" s="2"/>
      <c r="V242" s="2"/>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row>
    <row r="243" spans="1:52" x14ac:dyDescent="0.25">
      <c r="A243" s="1"/>
      <c r="B243" s="1"/>
      <c r="C243" s="1"/>
      <c r="D243" s="1"/>
      <c r="E243" s="1"/>
      <c r="F243" s="1"/>
      <c r="G243" s="1"/>
      <c r="H243" s="1"/>
      <c r="I243" s="2"/>
      <c r="J243" s="2"/>
      <c r="K243" s="2"/>
      <c r="L243" s="2"/>
      <c r="M243" s="2"/>
      <c r="N243" s="2"/>
      <c r="O243" s="2"/>
      <c r="P243" s="2"/>
      <c r="Q243" s="2"/>
      <c r="R243" s="2"/>
      <c r="S243" s="2"/>
      <c r="T243" s="2"/>
      <c r="U243" s="2"/>
      <c r="V243" s="2"/>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row>
    <row r="244" spans="1:52" x14ac:dyDescent="0.25">
      <c r="A244" s="1"/>
      <c r="B244" s="1"/>
      <c r="C244" s="1"/>
      <c r="D244" s="1"/>
      <c r="E244" s="1"/>
      <c r="F244" s="1"/>
      <c r="G244" s="1"/>
      <c r="H244" s="1"/>
      <c r="I244" s="2"/>
      <c r="J244" s="2"/>
      <c r="K244" s="2"/>
      <c r="L244" s="2"/>
      <c r="M244" s="2"/>
      <c r="N244" s="2"/>
      <c r="O244" s="2"/>
      <c r="P244" s="2"/>
      <c r="Q244" s="2"/>
      <c r="R244" s="2"/>
      <c r="S244" s="2"/>
      <c r="T244" s="2"/>
      <c r="U244" s="2"/>
      <c r="V244" s="2"/>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row>
    <row r="245" spans="1:52" x14ac:dyDescent="0.25">
      <c r="A245" s="1"/>
      <c r="B245" s="1"/>
      <c r="C245" s="1"/>
      <c r="D245" s="1"/>
      <c r="E245" s="1"/>
      <c r="F245" s="1"/>
      <c r="G245" s="1"/>
      <c r="H245" s="1"/>
      <c r="I245" s="2"/>
      <c r="J245" s="2"/>
      <c r="K245" s="2"/>
      <c r="L245" s="2"/>
      <c r="M245" s="2"/>
      <c r="N245" s="2"/>
      <c r="O245" s="2"/>
      <c r="P245" s="2"/>
      <c r="Q245" s="2"/>
      <c r="R245" s="2"/>
      <c r="S245" s="2"/>
      <c r="T245" s="2"/>
      <c r="U245" s="2"/>
      <c r="V245" s="2"/>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row>
    <row r="246" spans="1:52" x14ac:dyDescent="0.25">
      <c r="A246" s="1"/>
      <c r="B246" s="1"/>
      <c r="C246" s="1"/>
      <c r="D246" s="1"/>
      <c r="E246" s="1"/>
      <c r="F246" s="1"/>
      <c r="G246" s="1"/>
      <c r="H246" s="1"/>
      <c r="I246" s="2"/>
      <c r="J246" s="2"/>
      <c r="K246" s="2"/>
      <c r="L246" s="2"/>
      <c r="M246" s="2"/>
      <c r="N246" s="2"/>
      <c r="O246" s="2"/>
      <c r="P246" s="2"/>
      <c r="Q246" s="2"/>
      <c r="R246" s="2"/>
      <c r="S246" s="2"/>
      <c r="T246" s="2"/>
      <c r="U246" s="2"/>
      <c r="V246" s="2"/>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row>
    <row r="247" spans="1:52" x14ac:dyDescent="0.25">
      <c r="A247" s="1"/>
      <c r="B247" s="1"/>
      <c r="C247" s="1"/>
      <c r="D247" s="1"/>
      <c r="E247" s="1"/>
      <c r="F247" s="1"/>
      <c r="G247" s="1"/>
      <c r="H247" s="1"/>
      <c r="I247" s="2"/>
      <c r="J247" s="2"/>
      <c r="K247" s="2"/>
      <c r="L247" s="2"/>
      <c r="M247" s="2"/>
      <c r="N247" s="2"/>
      <c r="O247" s="2"/>
      <c r="P247" s="2"/>
      <c r="Q247" s="2"/>
      <c r="R247" s="2"/>
      <c r="S247" s="2"/>
      <c r="T247" s="2"/>
      <c r="U247" s="2"/>
      <c r="V247" s="2"/>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row>
    <row r="248" spans="1:52" x14ac:dyDescent="0.25">
      <c r="A248" s="1"/>
      <c r="B248" s="1"/>
      <c r="C248" s="1"/>
      <c r="D248" s="1"/>
      <c r="E248" s="1"/>
      <c r="F248" s="1"/>
      <c r="G248" s="1"/>
      <c r="H248" s="1"/>
      <c r="I248" s="2"/>
      <c r="J248" s="2"/>
      <c r="K248" s="2"/>
      <c r="L248" s="2"/>
      <c r="M248" s="2"/>
      <c r="N248" s="2"/>
      <c r="O248" s="2"/>
      <c r="P248" s="2"/>
      <c r="Q248" s="2"/>
      <c r="R248" s="2"/>
      <c r="S248" s="2"/>
      <c r="T248" s="2"/>
      <c r="U248" s="2"/>
      <c r="V248" s="2"/>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row>
    <row r="249" spans="1:52" x14ac:dyDescent="0.25">
      <c r="A249" s="1"/>
      <c r="B249" s="1"/>
      <c r="C249" s="1"/>
      <c r="D249" s="1"/>
      <c r="E249" s="1"/>
      <c r="F249" s="1"/>
      <c r="G249" s="1"/>
      <c r="H249" s="1"/>
      <c r="I249" s="2"/>
      <c r="J249" s="2"/>
      <c r="K249" s="2"/>
      <c r="L249" s="2"/>
      <c r="M249" s="2"/>
      <c r="N249" s="2"/>
      <c r="O249" s="2"/>
      <c r="P249" s="2"/>
      <c r="Q249" s="2"/>
      <c r="R249" s="2"/>
      <c r="S249" s="2"/>
      <c r="T249" s="2"/>
      <c r="U249" s="2"/>
      <c r="V249" s="2"/>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row>
    <row r="250" spans="1:52" x14ac:dyDescent="0.25">
      <c r="A250" s="1"/>
      <c r="B250" s="1"/>
      <c r="C250" s="1"/>
      <c r="D250" s="1"/>
      <c r="E250" s="1"/>
      <c r="F250" s="1"/>
      <c r="G250" s="1"/>
      <c r="H250" s="1"/>
      <c r="I250" s="2"/>
      <c r="J250" s="2"/>
      <c r="K250" s="2"/>
      <c r="L250" s="2"/>
      <c r="M250" s="2"/>
      <c r="N250" s="2"/>
      <c r="O250" s="2"/>
      <c r="P250" s="2"/>
      <c r="Q250" s="2"/>
      <c r="R250" s="2"/>
      <c r="S250" s="2"/>
      <c r="T250" s="2"/>
      <c r="U250" s="2"/>
      <c r="V250" s="2"/>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row>
    <row r="251" spans="1:52" x14ac:dyDescent="0.25">
      <c r="A251" s="1"/>
      <c r="B251" s="1"/>
      <c r="C251" s="1"/>
      <c r="D251" s="1"/>
      <c r="E251" s="1"/>
      <c r="F251" s="1"/>
      <c r="G251" s="1"/>
      <c r="H251" s="1"/>
      <c r="I251" s="2"/>
      <c r="J251" s="2"/>
      <c r="K251" s="2"/>
      <c r="L251" s="2"/>
      <c r="M251" s="2"/>
      <c r="N251" s="2"/>
      <c r="O251" s="2"/>
      <c r="P251" s="2"/>
      <c r="Q251" s="2"/>
      <c r="R251" s="2"/>
      <c r="S251" s="2"/>
      <c r="T251" s="2"/>
      <c r="U251" s="2"/>
      <c r="V251" s="2"/>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row>
    <row r="252" spans="1:52" x14ac:dyDescent="0.25">
      <c r="A252" s="1"/>
      <c r="B252" s="1"/>
      <c r="C252" s="1"/>
      <c r="D252" s="1"/>
      <c r="E252" s="1"/>
      <c r="F252" s="1"/>
      <c r="G252" s="1"/>
      <c r="H252" s="1"/>
      <c r="I252" s="2"/>
      <c r="J252" s="2"/>
      <c r="K252" s="2"/>
      <c r="L252" s="2"/>
      <c r="M252" s="2"/>
      <c r="N252" s="2"/>
      <c r="O252" s="2"/>
      <c r="P252" s="2"/>
      <c r="Q252" s="2"/>
      <c r="R252" s="2"/>
      <c r="S252" s="2"/>
      <c r="T252" s="2"/>
      <c r="U252" s="2"/>
      <c r="V252" s="2"/>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row>
    <row r="253" spans="1:52" x14ac:dyDescent="0.25">
      <c r="A253" s="1"/>
      <c r="B253" s="1"/>
      <c r="C253" s="1"/>
      <c r="D253" s="1"/>
      <c r="E253" s="1"/>
      <c r="F253" s="1"/>
      <c r="G253" s="1"/>
      <c r="H253" s="1"/>
      <c r="I253" s="2"/>
      <c r="J253" s="2"/>
      <c r="K253" s="2"/>
      <c r="L253" s="2"/>
      <c r="M253" s="2"/>
      <c r="N253" s="2"/>
      <c r="O253" s="2"/>
      <c r="P253" s="2"/>
      <c r="Q253" s="2"/>
      <c r="R253" s="2"/>
      <c r="S253" s="2"/>
      <c r="T253" s="2"/>
      <c r="U253" s="2"/>
      <c r="V253" s="2"/>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row>
    <row r="254" spans="1:52" x14ac:dyDescent="0.25">
      <c r="A254" s="1"/>
      <c r="B254" s="1"/>
      <c r="C254" s="1"/>
      <c r="D254" s="1"/>
      <c r="E254" s="1"/>
      <c r="F254" s="1"/>
      <c r="G254" s="1"/>
      <c r="H254" s="1"/>
      <c r="I254" s="2"/>
      <c r="J254" s="2"/>
      <c r="K254" s="2"/>
      <c r="L254" s="2"/>
      <c r="M254" s="2"/>
      <c r="N254" s="2"/>
      <c r="O254" s="2"/>
      <c r="P254" s="2"/>
      <c r="Q254" s="2"/>
      <c r="R254" s="2"/>
      <c r="S254" s="2"/>
      <c r="T254" s="2"/>
      <c r="U254" s="2"/>
      <c r="V254" s="2"/>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row>
    <row r="255" spans="1:52" x14ac:dyDescent="0.25">
      <c r="A255" s="1"/>
      <c r="B255" s="1"/>
      <c r="C255" s="1"/>
      <c r="D255" s="1"/>
      <c r="E255" s="1"/>
      <c r="F255" s="1"/>
      <c r="G255" s="1"/>
      <c r="H255" s="1"/>
      <c r="I255" s="2"/>
      <c r="J255" s="2"/>
      <c r="K255" s="2"/>
      <c r="L255" s="2"/>
      <c r="M255" s="2"/>
      <c r="N255" s="2"/>
      <c r="O255" s="2"/>
      <c r="P255" s="2"/>
      <c r="Q255" s="2"/>
      <c r="R255" s="2"/>
      <c r="S255" s="2"/>
      <c r="T255" s="2"/>
      <c r="U255" s="2"/>
      <c r="V255" s="2"/>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row>
    <row r="256" spans="1:52" x14ac:dyDescent="0.25">
      <c r="A256" s="1"/>
      <c r="B256" s="1"/>
      <c r="C256" s="1"/>
      <c r="D256" s="1"/>
      <c r="E256" s="1"/>
      <c r="F256" s="1"/>
      <c r="G256" s="1"/>
      <c r="H256" s="1"/>
      <c r="I256" s="2"/>
      <c r="J256" s="2"/>
      <c r="K256" s="2"/>
      <c r="L256" s="2"/>
      <c r="M256" s="2"/>
      <c r="N256" s="2"/>
      <c r="O256" s="2"/>
      <c r="P256" s="2"/>
      <c r="Q256" s="2"/>
      <c r="R256" s="2"/>
      <c r="S256" s="2"/>
      <c r="T256" s="2"/>
      <c r="U256" s="2"/>
      <c r="V256" s="2"/>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row>
    <row r="257" spans="1:52" x14ac:dyDescent="0.25">
      <c r="A257" s="1"/>
      <c r="B257" s="1"/>
      <c r="C257" s="1"/>
      <c r="D257" s="1"/>
      <c r="E257" s="1"/>
      <c r="F257" s="1"/>
      <c r="G257" s="1"/>
      <c r="H257" s="1"/>
      <c r="I257" s="2"/>
      <c r="J257" s="2"/>
      <c r="K257" s="2"/>
      <c r="L257" s="2"/>
      <c r="M257" s="2"/>
      <c r="N257" s="2"/>
      <c r="O257" s="2"/>
      <c r="P257" s="2"/>
      <c r="Q257" s="2"/>
      <c r="R257" s="2"/>
      <c r="S257" s="2"/>
      <c r="T257" s="2"/>
      <c r="U257" s="2"/>
      <c r="V257" s="2"/>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row>
    <row r="258" spans="1:52" x14ac:dyDescent="0.25">
      <c r="A258" s="1"/>
      <c r="B258" s="1"/>
      <c r="C258" s="1"/>
      <c r="D258" s="1"/>
      <c r="E258" s="1"/>
      <c r="F258" s="1"/>
      <c r="G258" s="1"/>
      <c r="H258" s="1"/>
      <c r="I258" s="2"/>
      <c r="J258" s="2"/>
      <c r="K258" s="2"/>
      <c r="L258" s="2"/>
      <c r="M258" s="2"/>
      <c r="N258" s="2"/>
      <c r="O258" s="2"/>
      <c r="P258" s="2"/>
      <c r="Q258" s="2"/>
      <c r="R258" s="2"/>
      <c r="S258" s="2"/>
      <c r="T258" s="2"/>
      <c r="U258" s="2"/>
      <c r="V258" s="2"/>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row>
    <row r="259" spans="1:52" x14ac:dyDescent="0.25">
      <c r="A259" s="1"/>
      <c r="B259" s="1"/>
      <c r="C259" s="1"/>
      <c r="D259" s="1"/>
      <c r="E259" s="1"/>
      <c r="F259" s="1"/>
      <c r="G259" s="1"/>
      <c r="H259" s="1"/>
      <c r="I259" s="2"/>
      <c r="J259" s="2"/>
      <c r="K259" s="2"/>
      <c r="L259" s="2"/>
      <c r="M259" s="2"/>
      <c r="N259" s="2"/>
      <c r="O259" s="2"/>
      <c r="P259" s="2"/>
      <c r="Q259" s="2"/>
      <c r="R259" s="2"/>
      <c r="S259" s="2"/>
      <c r="T259" s="2"/>
      <c r="U259" s="2"/>
      <c r="V259" s="2"/>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row>
    <row r="260" spans="1:52" x14ac:dyDescent="0.25">
      <c r="A260" s="1"/>
      <c r="B260" s="1"/>
      <c r="C260" s="1"/>
      <c r="D260" s="1"/>
      <c r="E260" s="1"/>
      <c r="F260" s="1"/>
      <c r="G260" s="1"/>
      <c r="H260" s="1"/>
      <c r="I260" s="2"/>
      <c r="J260" s="2"/>
      <c r="K260" s="2"/>
      <c r="L260" s="2"/>
      <c r="M260" s="2"/>
      <c r="N260" s="2"/>
      <c r="O260" s="2"/>
      <c r="P260" s="2"/>
      <c r="Q260" s="2"/>
      <c r="R260" s="2"/>
      <c r="S260" s="2"/>
      <c r="T260" s="2"/>
      <c r="U260" s="2"/>
      <c r="V260" s="2"/>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row>
    <row r="261" spans="1:52" x14ac:dyDescent="0.25">
      <c r="A261" s="1"/>
      <c r="B261" s="1"/>
      <c r="C261" s="1"/>
      <c r="D261" s="1"/>
      <c r="E261" s="1"/>
      <c r="F261" s="1"/>
      <c r="G261" s="1"/>
      <c r="H261" s="1"/>
      <c r="I261" s="2"/>
      <c r="J261" s="2"/>
      <c r="K261" s="2"/>
      <c r="L261" s="2"/>
      <c r="M261" s="2"/>
      <c r="N261" s="2"/>
      <c r="O261" s="2"/>
      <c r="P261" s="2"/>
      <c r="Q261" s="2"/>
      <c r="R261" s="2"/>
      <c r="S261" s="2"/>
      <c r="T261" s="2"/>
      <c r="U261" s="2"/>
      <c r="V261" s="2"/>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row>
    <row r="262" spans="1:52" x14ac:dyDescent="0.25">
      <c r="A262" s="1"/>
      <c r="B262" s="1"/>
      <c r="C262" s="1"/>
      <c r="D262" s="1"/>
      <c r="E262" s="1"/>
      <c r="F262" s="1"/>
      <c r="G262" s="1"/>
      <c r="H262" s="1"/>
      <c r="I262" s="2"/>
      <c r="J262" s="2"/>
      <c r="K262" s="2"/>
      <c r="L262" s="2"/>
      <c r="M262" s="2"/>
      <c r="N262" s="2"/>
      <c r="O262" s="2"/>
      <c r="P262" s="2"/>
      <c r="Q262" s="2"/>
      <c r="R262" s="2"/>
      <c r="S262" s="2"/>
      <c r="T262" s="2"/>
      <c r="U262" s="2"/>
      <c r="V262" s="2"/>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row>
    <row r="263" spans="1:52" x14ac:dyDescent="0.25">
      <c r="A263" s="1"/>
      <c r="B263" s="1"/>
      <c r="C263" s="1"/>
      <c r="D263" s="1"/>
      <c r="E263" s="1"/>
      <c r="F263" s="1"/>
      <c r="G263" s="1"/>
      <c r="H263" s="1"/>
      <c r="I263" s="2"/>
      <c r="J263" s="2"/>
      <c r="K263" s="2"/>
      <c r="L263" s="2"/>
      <c r="M263" s="2"/>
      <c r="N263" s="2"/>
      <c r="O263" s="2"/>
      <c r="P263" s="2"/>
      <c r="Q263" s="2"/>
      <c r="R263" s="2"/>
      <c r="S263" s="2"/>
      <c r="T263" s="2"/>
      <c r="U263" s="2"/>
      <c r="V263" s="2"/>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row>
    <row r="264" spans="1:52" x14ac:dyDescent="0.25">
      <c r="A264" s="1"/>
      <c r="B264" s="1"/>
      <c r="C264" s="1"/>
      <c r="D264" s="1"/>
      <c r="E264" s="1"/>
      <c r="F264" s="1"/>
      <c r="G264" s="1"/>
      <c r="H264" s="1"/>
      <c r="I264" s="2"/>
      <c r="J264" s="2"/>
      <c r="K264" s="2"/>
      <c r="L264" s="2"/>
      <c r="M264" s="2"/>
      <c r="N264" s="2"/>
      <c r="O264" s="2"/>
      <c r="P264" s="2"/>
      <c r="Q264" s="2"/>
      <c r="R264" s="2"/>
      <c r="S264" s="2"/>
      <c r="T264" s="2"/>
      <c r="U264" s="2"/>
      <c r="V264" s="2"/>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row>
    <row r="265" spans="1:52" x14ac:dyDescent="0.25">
      <c r="A265" s="1"/>
      <c r="B265" s="1"/>
      <c r="C265" s="1"/>
      <c r="D265" s="1"/>
      <c r="E265" s="1"/>
      <c r="F265" s="1"/>
      <c r="G265" s="1"/>
      <c r="H265" s="1"/>
      <c r="I265" s="2"/>
      <c r="J265" s="2"/>
      <c r="K265" s="2"/>
      <c r="L265" s="2"/>
      <c r="M265" s="2"/>
      <c r="N265" s="2"/>
      <c r="O265" s="2"/>
      <c r="P265" s="2"/>
      <c r="Q265" s="2"/>
      <c r="R265" s="2"/>
      <c r="S265" s="2"/>
      <c r="T265" s="2"/>
      <c r="U265" s="2"/>
      <c r="V265" s="2"/>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row>
    <row r="266" spans="1:52" x14ac:dyDescent="0.25">
      <c r="A266" s="1"/>
      <c r="B266" s="1"/>
      <c r="C266" s="1"/>
      <c r="D266" s="1"/>
      <c r="E266" s="1"/>
      <c r="F266" s="1"/>
      <c r="G266" s="1"/>
      <c r="H266" s="1"/>
      <c r="I266" s="2"/>
      <c r="J266" s="2"/>
      <c r="K266" s="2"/>
      <c r="L266" s="2"/>
      <c r="M266" s="2"/>
      <c r="N266" s="2"/>
      <c r="O266" s="2"/>
      <c r="P266" s="2"/>
      <c r="Q266" s="2"/>
      <c r="R266" s="2"/>
      <c r="S266" s="2"/>
      <c r="T266" s="2"/>
      <c r="U266" s="2"/>
      <c r="V266" s="2"/>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row>
    <row r="267" spans="1:52" x14ac:dyDescent="0.25">
      <c r="A267" s="1"/>
      <c r="B267" s="1"/>
      <c r="C267" s="1"/>
      <c r="D267" s="1"/>
      <c r="E267" s="1"/>
      <c r="F267" s="1"/>
      <c r="G267" s="1"/>
      <c r="H267" s="1"/>
      <c r="I267" s="2"/>
      <c r="J267" s="2"/>
      <c r="K267" s="2"/>
      <c r="L267" s="2"/>
      <c r="M267" s="2"/>
      <c r="N267" s="2"/>
      <c r="O267" s="2"/>
      <c r="P267" s="2"/>
      <c r="Q267" s="2"/>
      <c r="R267" s="2"/>
      <c r="S267" s="2"/>
      <c r="T267" s="2"/>
      <c r="U267" s="2"/>
      <c r="V267" s="2"/>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row>
    <row r="268" spans="1:52" x14ac:dyDescent="0.25">
      <c r="A268" s="1"/>
      <c r="B268" s="1"/>
      <c r="C268" s="1"/>
      <c r="D268" s="1"/>
      <c r="E268" s="1"/>
      <c r="F268" s="1"/>
      <c r="G268" s="1"/>
      <c r="H268" s="1"/>
      <c r="I268" s="2"/>
      <c r="J268" s="2"/>
      <c r="K268" s="2"/>
      <c r="L268" s="2"/>
      <c r="M268" s="2"/>
      <c r="N268" s="2"/>
      <c r="O268" s="2"/>
      <c r="P268" s="2"/>
      <c r="Q268" s="2"/>
      <c r="R268" s="2"/>
      <c r="S268" s="2"/>
      <c r="T268" s="2"/>
      <c r="U268" s="2"/>
      <c r="V268" s="2"/>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row>
    <row r="269" spans="1:52" x14ac:dyDescent="0.25">
      <c r="A269" s="1"/>
      <c r="B269" s="1"/>
      <c r="C269" s="1"/>
      <c r="D269" s="1"/>
      <c r="E269" s="1"/>
      <c r="F269" s="1"/>
      <c r="G269" s="1"/>
      <c r="H269" s="1"/>
      <c r="I269" s="2"/>
      <c r="J269" s="2"/>
      <c r="K269" s="2"/>
      <c r="L269" s="2"/>
      <c r="M269" s="2"/>
      <c r="N269" s="2"/>
      <c r="O269" s="2"/>
      <c r="P269" s="2"/>
      <c r="Q269" s="2"/>
      <c r="R269" s="2"/>
      <c r="S269" s="2"/>
      <c r="T269" s="2"/>
      <c r="U269" s="2"/>
      <c r="V269" s="2"/>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row>
    <row r="270" spans="1:52" x14ac:dyDescent="0.25">
      <c r="A270" s="1"/>
      <c r="B270" s="1"/>
      <c r="C270" s="1"/>
      <c r="D270" s="1"/>
      <c r="E270" s="1"/>
      <c r="F270" s="1"/>
      <c r="G270" s="1"/>
      <c r="H270" s="1"/>
      <c r="I270" s="2"/>
      <c r="J270" s="2"/>
      <c r="K270" s="2"/>
      <c r="L270" s="2"/>
      <c r="M270" s="2"/>
      <c r="N270" s="2"/>
      <c r="O270" s="2"/>
      <c r="P270" s="2"/>
      <c r="Q270" s="2"/>
      <c r="R270" s="2"/>
      <c r="S270" s="2"/>
      <c r="T270" s="2"/>
      <c r="U270" s="2"/>
      <c r="V270" s="2"/>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row>
    <row r="271" spans="1:52" x14ac:dyDescent="0.25">
      <c r="A271" s="1"/>
      <c r="B271" s="1"/>
      <c r="C271" s="1"/>
      <c r="D271" s="1"/>
      <c r="E271" s="1"/>
      <c r="F271" s="1"/>
      <c r="G271" s="1"/>
      <c r="H271" s="1"/>
      <c r="I271" s="2"/>
      <c r="J271" s="2"/>
      <c r="K271" s="2"/>
      <c r="L271" s="2"/>
      <c r="M271" s="2"/>
      <c r="N271" s="2"/>
      <c r="O271" s="2"/>
      <c r="P271" s="2"/>
      <c r="Q271" s="2"/>
      <c r="R271" s="2"/>
      <c r="S271" s="2"/>
      <c r="T271" s="2"/>
      <c r="U271" s="2"/>
      <c r="V271" s="2"/>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row>
    <row r="272" spans="1:52" x14ac:dyDescent="0.25">
      <c r="A272" s="1"/>
      <c r="B272" s="1"/>
      <c r="C272" s="1"/>
      <c r="D272" s="1"/>
      <c r="E272" s="1"/>
      <c r="F272" s="1"/>
      <c r="G272" s="1"/>
      <c r="H272" s="1"/>
      <c r="I272" s="2"/>
      <c r="J272" s="2"/>
      <c r="K272" s="2"/>
      <c r="L272" s="2"/>
      <c r="M272" s="2"/>
      <c r="N272" s="2"/>
      <c r="O272" s="2"/>
      <c r="P272" s="2"/>
      <c r="Q272" s="2"/>
      <c r="R272" s="2"/>
      <c r="S272" s="2"/>
      <c r="T272" s="2"/>
      <c r="U272" s="2"/>
      <c r="V272" s="2"/>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row>
    <row r="273" spans="1:52" x14ac:dyDescent="0.25">
      <c r="A273" s="1"/>
      <c r="B273" s="1"/>
      <c r="C273" s="1"/>
      <c r="D273" s="1"/>
      <c r="E273" s="1"/>
      <c r="F273" s="1"/>
      <c r="G273" s="1"/>
      <c r="H273" s="1"/>
      <c r="I273" s="2"/>
      <c r="J273" s="2"/>
      <c r="K273" s="2"/>
      <c r="L273" s="2"/>
      <c r="M273" s="2"/>
      <c r="N273" s="2"/>
      <c r="O273" s="2"/>
      <c r="P273" s="2"/>
      <c r="Q273" s="2"/>
      <c r="R273" s="2"/>
      <c r="S273" s="2"/>
      <c r="T273" s="2"/>
      <c r="U273" s="2"/>
      <c r="V273" s="2"/>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row>
    <row r="274" spans="1:52" x14ac:dyDescent="0.25">
      <c r="A274" s="1"/>
      <c r="B274" s="1"/>
      <c r="C274" s="1"/>
      <c r="D274" s="1"/>
      <c r="E274" s="1"/>
      <c r="F274" s="1"/>
      <c r="G274" s="1"/>
      <c r="H274" s="1"/>
      <c r="I274" s="2"/>
      <c r="J274" s="2"/>
      <c r="K274" s="2"/>
      <c r="L274" s="2"/>
      <c r="M274" s="2"/>
      <c r="N274" s="2"/>
      <c r="O274" s="2"/>
      <c r="P274" s="2"/>
      <c r="Q274" s="2"/>
      <c r="R274" s="2"/>
      <c r="S274" s="2"/>
      <c r="T274" s="2"/>
      <c r="U274" s="2"/>
      <c r="V274" s="2"/>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row>
    <row r="275" spans="1:52" x14ac:dyDescent="0.25">
      <c r="A275" s="1"/>
      <c r="B275" s="1"/>
      <c r="C275" s="1"/>
      <c r="D275" s="1"/>
      <c r="E275" s="1"/>
      <c r="F275" s="1"/>
      <c r="G275" s="1"/>
      <c r="H275" s="1"/>
      <c r="I275" s="2"/>
      <c r="J275" s="2"/>
      <c r="K275" s="2"/>
      <c r="L275" s="2"/>
      <c r="M275" s="2"/>
      <c r="N275" s="2"/>
      <c r="O275" s="2"/>
      <c r="P275" s="2"/>
      <c r="Q275" s="2"/>
      <c r="R275" s="2"/>
      <c r="S275" s="2"/>
      <c r="T275" s="2"/>
      <c r="U275" s="2"/>
      <c r="V275" s="2"/>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row>
    <row r="276" spans="1:52" x14ac:dyDescent="0.25">
      <c r="A276" s="1"/>
      <c r="B276" s="1"/>
      <c r="C276" s="1"/>
      <c r="D276" s="1"/>
      <c r="E276" s="1"/>
      <c r="F276" s="1"/>
      <c r="G276" s="1"/>
      <c r="H276" s="1"/>
      <c r="I276" s="2"/>
      <c r="J276" s="2"/>
      <c r="K276" s="2"/>
      <c r="L276" s="2"/>
      <c r="M276" s="2"/>
      <c r="N276" s="2"/>
      <c r="O276" s="2"/>
      <c r="P276" s="2"/>
      <c r="Q276" s="2"/>
      <c r="R276" s="2"/>
      <c r="S276" s="2"/>
      <c r="T276" s="2"/>
      <c r="U276" s="2"/>
      <c r="V276" s="2"/>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row>
    <row r="277" spans="1:52" x14ac:dyDescent="0.25">
      <c r="A277" s="1"/>
      <c r="B277" s="1"/>
      <c r="C277" s="1"/>
      <c r="D277" s="1"/>
      <c r="E277" s="1"/>
      <c r="F277" s="1"/>
      <c r="G277" s="1"/>
      <c r="H277" s="1"/>
      <c r="I277" s="2"/>
      <c r="J277" s="2"/>
      <c r="K277" s="2"/>
      <c r="L277" s="2"/>
      <c r="M277" s="2"/>
      <c r="N277" s="2"/>
      <c r="O277" s="2"/>
      <c r="P277" s="2"/>
      <c r="Q277" s="2"/>
      <c r="R277" s="2"/>
      <c r="S277" s="2"/>
      <c r="T277" s="2"/>
      <c r="U277" s="2"/>
      <c r="V277" s="2"/>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row>
    <row r="278" spans="1:52" x14ac:dyDescent="0.25">
      <c r="A278" s="1"/>
      <c r="B278" s="1"/>
      <c r="C278" s="1"/>
      <c r="D278" s="1"/>
      <c r="E278" s="1"/>
      <c r="F278" s="1"/>
      <c r="G278" s="1"/>
      <c r="H278" s="1"/>
      <c r="I278" s="2"/>
      <c r="J278" s="2"/>
      <c r="K278" s="2"/>
      <c r="L278" s="2"/>
      <c r="M278" s="2"/>
      <c r="N278" s="2"/>
      <c r="O278" s="2"/>
      <c r="P278" s="2"/>
      <c r="Q278" s="2"/>
      <c r="R278" s="2"/>
      <c r="S278" s="2"/>
      <c r="T278" s="2"/>
      <c r="U278" s="2"/>
      <c r="V278" s="2"/>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row>
    <row r="279" spans="1:52" x14ac:dyDescent="0.25">
      <c r="A279" s="1"/>
      <c r="B279" s="1"/>
      <c r="C279" s="1"/>
      <c r="D279" s="1"/>
      <c r="E279" s="1"/>
      <c r="F279" s="1"/>
      <c r="G279" s="1"/>
      <c r="H279" s="1"/>
      <c r="I279" s="2"/>
      <c r="J279" s="2"/>
      <c r="K279" s="2"/>
      <c r="L279" s="2"/>
      <c r="M279" s="2"/>
      <c r="N279" s="2"/>
      <c r="O279" s="2"/>
      <c r="P279" s="2"/>
      <c r="Q279" s="2"/>
      <c r="R279" s="2"/>
      <c r="S279" s="2"/>
      <c r="T279" s="2"/>
      <c r="U279" s="2"/>
      <c r="V279" s="2"/>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row>
    <row r="280" spans="1:52" x14ac:dyDescent="0.25">
      <c r="A280" s="1"/>
      <c r="B280" s="1"/>
      <c r="C280" s="1"/>
      <c r="D280" s="1"/>
      <c r="E280" s="1"/>
      <c r="F280" s="1"/>
      <c r="G280" s="1"/>
      <c r="H280" s="1"/>
      <c r="I280" s="2"/>
      <c r="J280" s="2"/>
      <c r="K280" s="2"/>
      <c r="L280" s="2"/>
      <c r="M280" s="2"/>
      <c r="N280" s="2"/>
      <c r="O280" s="2"/>
      <c r="P280" s="2"/>
      <c r="Q280" s="2"/>
      <c r="R280" s="2"/>
      <c r="S280" s="2"/>
      <c r="T280" s="2"/>
      <c r="U280" s="2"/>
      <c r="V280" s="2"/>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row>
    <row r="281" spans="1:52" x14ac:dyDescent="0.25">
      <c r="A281" s="1"/>
      <c r="B281" s="1"/>
      <c r="C281" s="1"/>
      <c r="D281" s="1"/>
      <c r="E281" s="1"/>
      <c r="F281" s="1"/>
      <c r="G281" s="1"/>
      <c r="H281" s="1"/>
      <c r="I281" s="2"/>
      <c r="J281" s="2"/>
      <c r="K281" s="2"/>
      <c r="L281" s="2"/>
      <c r="M281" s="2"/>
      <c r="N281" s="2"/>
      <c r="O281" s="2"/>
      <c r="P281" s="2"/>
      <c r="Q281" s="2"/>
      <c r="R281" s="2"/>
      <c r="S281" s="2"/>
      <c r="T281" s="2"/>
      <c r="U281" s="2"/>
      <c r="V281" s="2"/>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row>
    <row r="282" spans="1:52" x14ac:dyDescent="0.25">
      <c r="A282" s="1"/>
      <c r="B282" s="1"/>
      <c r="C282" s="1"/>
      <c r="D282" s="1"/>
      <c r="E282" s="1"/>
      <c r="F282" s="1"/>
      <c r="G282" s="1"/>
      <c r="H282" s="1"/>
      <c r="I282" s="2"/>
      <c r="J282" s="2"/>
      <c r="K282" s="2"/>
      <c r="L282" s="2"/>
      <c r="M282" s="2"/>
      <c r="N282" s="2"/>
      <c r="O282" s="2"/>
      <c r="P282" s="2"/>
      <c r="Q282" s="2"/>
      <c r="R282" s="2"/>
      <c r="S282" s="2"/>
      <c r="T282" s="2"/>
      <c r="U282" s="2"/>
      <c r="V282" s="2"/>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row>
    <row r="283" spans="1:52" x14ac:dyDescent="0.25">
      <c r="A283" s="1"/>
      <c r="B283" s="1"/>
      <c r="C283" s="1"/>
      <c r="D283" s="1"/>
      <c r="E283" s="1"/>
      <c r="F283" s="1"/>
      <c r="G283" s="1"/>
      <c r="H283" s="1"/>
      <c r="I283" s="2"/>
      <c r="J283" s="2"/>
      <c r="K283" s="2"/>
      <c r="L283" s="2"/>
      <c r="M283" s="2"/>
      <c r="N283" s="2"/>
      <c r="O283" s="2"/>
      <c r="P283" s="2"/>
      <c r="Q283" s="2"/>
      <c r="R283" s="2"/>
      <c r="S283" s="2"/>
      <c r="T283" s="2"/>
      <c r="U283" s="2"/>
      <c r="V283" s="2"/>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row>
    <row r="284" spans="1:52" x14ac:dyDescent="0.25">
      <c r="A284" s="1"/>
      <c r="B284" s="1"/>
      <c r="C284" s="1"/>
      <c r="D284" s="1"/>
      <c r="E284" s="1"/>
      <c r="F284" s="1"/>
      <c r="G284" s="1"/>
      <c r="H284" s="1"/>
      <c r="I284" s="2"/>
      <c r="J284" s="2"/>
      <c r="K284" s="2"/>
      <c r="L284" s="2"/>
      <c r="M284" s="2"/>
      <c r="N284" s="2"/>
      <c r="O284" s="2"/>
      <c r="P284" s="2"/>
      <c r="Q284" s="2"/>
      <c r="R284" s="2"/>
      <c r="S284" s="2"/>
      <c r="T284" s="2"/>
      <c r="U284" s="2"/>
      <c r="V284" s="2"/>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row>
    <row r="285" spans="1:52" x14ac:dyDescent="0.25">
      <c r="A285" s="1"/>
      <c r="B285" s="1"/>
      <c r="C285" s="1"/>
      <c r="D285" s="1"/>
      <c r="E285" s="1"/>
      <c r="F285" s="1"/>
      <c r="G285" s="1"/>
      <c r="H285" s="1"/>
      <c r="I285" s="2"/>
      <c r="J285" s="2"/>
      <c r="K285" s="2"/>
      <c r="L285" s="2"/>
      <c r="M285" s="2"/>
      <c r="N285" s="2"/>
      <c r="O285" s="2"/>
      <c r="P285" s="2"/>
      <c r="Q285" s="2"/>
      <c r="R285" s="2"/>
      <c r="S285" s="2"/>
      <c r="T285" s="2"/>
      <c r="U285" s="2"/>
      <c r="V285" s="2"/>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row>
    <row r="286" spans="1:52" x14ac:dyDescent="0.25">
      <c r="A286" s="1"/>
      <c r="B286" s="1"/>
      <c r="C286" s="1"/>
      <c r="D286" s="1"/>
      <c r="E286" s="1"/>
      <c r="F286" s="1"/>
      <c r="G286" s="1"/>
      <c r="H286" s="1"/>
      <c r="I286" s="2"/>
      <c r="J286" s="2"/>
      <c r="K286" s="2"/>
      <c r="L286" s="2"/>
      <c r="M286" s="2"/>
      <c r="N286" s="2"/>
      <c r="O286" s="2"/>
      <c r="P286" s="2"/>
      <c r="Q286" s="2"/>
      <c r="R286" s="2"/>
      <c r="S286" s="2"/>
      <c r="T286" s="2"/>
      <c r="U286" s="2"/>
      <c r="V286" s="2"/>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row>
    <row r="287" spans="1:52" x14ac:dyDescent="0.25">
      <c r="A287" s="1"/>
      <c r="B287" s="1"/>
      <c r="C287" s="1"/>
      <c r="D287" s="1"/>
      <c r="E287" s="1"/>
      <c r="F287" s="1"/>
      <c r="G287" s="1"/>
      <c r="H287" s="1"/>
      <c r="I287" s="2"/>
      <c r="J287" s="2"/>
      <c r="K287" s="2"/>
      <c r="L287" s="2"/>
      <c r="M287" s="2"/>
      <c r="N287" s="2"/>
      <c r="O287" s="2"/>
      <c r="P287" s="2"/>
      <c r="Q287" s="2"/>
      <c r="R287" s="2"/>
      <c r="S287" s="2"/>
      <c r="T287" s="2"/>
      <c r="U287" s="2"/>
      <c r="V287" s="2"/>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row>
    <row r="288" spans="1:52" x14ac:dyDescent="0.25">
      <c r="A288" s="1"/>
      <c r="B288" s="1"/>
      <c r="C288" s="1"/>
      <c r="D288" s="1"/>
      <c r="E288" s="1"/>
      <c r="F288" s="1"/>
      <c r="G288" s="1"/>
      <c r="H288" s="1"/>
      <c r="I288" s="2"/>
      <c r="J288" s="2"/>
      <c r="K288" s="2"/>
      <c r="L288" s="2"/>
      <c r="M288" s="2"/>
      <c r="N288" s="2"/>
      <c r="O288" s="2"/>
      <c r="P288" s="2"/>
      <c r="Q288" s="2"/>
      <c r="R288" s="2"/>
      <c r="S288" s="2"/>
      <c r="T288" s="2"/>
      <c r="U288" s="2"/>
      <c r="V288" s="2"/>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row>
    <row r="289" spans="1:52" x14ac:dyDescent="0.25">
      <c r="A289" s="1"/>
      <c r="B289" s="1"/>
      <c r="C289" s="1"/>
      <c r="D289" s="1"/>
      <c r="E289" s="1"/>
      <c r="F289" s="1"/>
      <c r="G289" s="1"/>
      <c r="H289" s="1"/>
      <c r="I289" s="2"/>
      <c r="J289" s="2"/>
      <c r="K289" s="2"/>
      <c r="L289" s="2"/>
      <c r="M289" s="2"/>
      <c r="N289" s="2"/>
      <c r="O289" s="2"/>
      <c r="P289" s="2"/>
      <c r="Q289" s="2"/>
      <c r="R289" s="2"/>
      <c r="S289" s="2"/>
      <c r="T289" s="2"/>
      <c r="U289" s="2"/>
      <c r="V289" s="2"/>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row>
    <row r="290" spans="1:52" x14ac:dyDescent="0.25">
      <c r="A290" s="1"/>
      <c r="B290" s="1"/>
      <c r="C290" s="1"/>
      <c r="D290" s="1"/>
      <c r="E290" s="1"/>
      <c r="F290" s="1"/>
      <c r="G290" s="1"/>
      <c r="H290" s="1"/>
      <c r="I290" s="2"/>
      <c r="J290" s="2"/>
      <c r="K290" s="2"/>
      <c r="L290" s="2"/>
      <c r="M290" s="2"/>
      <c r="N290" s="2"/>
      <c r="O290" s="2"/>
      <c r="P290" s="2"/>
      <c r="Q290" s="2"/>
      <c r="R290" s="2"/>
      <c r="S290" s="2"/>
      <c r="T290" s="2"/>
      <c r="U290" s="2"/>
      <c r="V290" s="2"/>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row>
    <row r="291" spans="1:52" x14ac:dyDescent="0.25">
      <c r="A291" s="1"/>
      <c r="B291" s="1"/>
      <c r="C291" s="1"/>
      <c r="D291" s="1"/>
      <c r="E291" s="1"/>
      <c r="F291" s="1"/>
      <c r="G291" s="1"/>
      <c r="H291" s="1"/>
      <c r="I291" s="2"/>
      <c r="J291" s="2"/>
      <c r="K291" s="2"/>
      <c r="L291" s="2"/>
      <c r="M291" s="2"/>
      <c r="N291" s="2"/>
      <c r="O291" s="2"/>
      <c r="P291" s="2"/>
      <c r="Q291" s="2"/>
      <c r="R291" s="2"/>
      <c r="S291" s="2"/>
      <c r="T291" s="2"/>
      <c r="U291" s="2"/>
      <c r="V291" s="2"/>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row>
    <row r="292" spans="1:52" x14ac:dyDescent="0.25">
      <c r="A292" s="1"/>
      <c r="B292" s="1"/>
      <c r="C292" s="1"/>
      <c r="D292" s="1"/>
      <c r="E292" s="1"/>
      <c r="F292" s="1"/>
      <c r="G292" s="1"/>
      <c r="H292" s="1"/>
      <c r="I292" s="2"/>
      <c r="J292" s="2"/>
      <c r="K292" s="2"/>
      <c r="L292" s="2"/>
      <c r="M292" s="2"/>
      <c r="N292" s="2"/>
      <c r="O292" s="2"/>
      <c r="P292" s="2"/>
      <c r="Q292" s="2"/>
      <c r="R292" s="2"/>
      <c r="S292" s="2"/>
      <c r="T292" s="2"/>
      <c r="U292" s="2"/>
      <c r="V292" s="2"/>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row>
    <row r="293" spans="1:52" x14ac:dyDescent="0.25">
      <c r="A293" s="1"/>
      <c r="B293" s="1"/>
      <c r="C293" s="1"/>
      <c r="D293" s="1"/>
      <c r="E293" s="1"/>
      <c r="F293" s="1"/>
      <c r="G293" s="1"/>
      <c r="H293" s="1"/>
      <c r="I293" s="2"/>
      <c r="J293" s="2"/>
      <c r="K293" s="2"/>
      <c r="L293" s="2"/>
      <c r="M293" s="2"/>
      <c r="N293" s="2"/>
      <c r="O293" s="2"/>
      <c r="P293" s="2"/>
      <c r="Q293" s="2"/>
      <c r="R293" s="2"/>
      <c r="S293" s="2"/>
      <c r="T293" s="2"/>
      <c r="U293" s="2"/>
      <c r="V293" s="2"/>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row>
    <row r="294" spans="1:52" x14ac:dyDescent="0.25">
      <c r="A294" s="1"/>
      <c r="B294" s="1"/>
      <c r="C294" s="1"/>
      <c r="D294" s="1"/>
      <c r="E294" s="1"/>
      <c r="F294" s="1"/>
      <c r="G294" s="1"/>
      <c r="H294" s="1"/>
      <c r="I294" s="2"/>
      <c r="J294" s="2"/>
      <c r="K294" s="2"/>
      <c r="L294" s="2"/>
      <c r="M294" s="2"/>
      <c r="N294" s="2"/>
      <c r="O294" s="2"/>
      <c r="P294" s="2"/>
      <c r="Q294" s="2"/>
      <c r="R294" s="2"/>
      <c r="S294" s="2"/>
      <c r="T294" s="2"/>
      <c r="U294" s="2"/>
      <c r="V294" s="2"/>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row>
    <row r="295" spans="1:52" x14ac:dyDescent="0.25">
      <c r="A295" s="1"/>
      <c r="B295" s="1"/>
      <c r="C295" s="1"/>
      <c r="D295" s="1"/>
      <c r="E295" s="1"/>
      <c r="F295" s="1"/>
      <c r="G295" s="1"/>
      <c r="H295" s="1"/>
      <c r="I295" s="2"/>
      <c r="J295" s="2"/>
      <c r="K295" s="2"/>
      <c r="L295" s="2"/>
      <c r="M295" s="2"/>
      <c r="N295" s="2"/>
      <c r="O295" s="2"/>
      <c r="P295" s="2"/>
      <c r="Q295" s="2"/>
      <c r="R295" s="2"/>
      <c r="S295" s="2"/>
      <c r="T295" s="2"/>
      <c r="U295" s="2"/>
      <c r="V295" s="2"/>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row>
    <row r="296" spans="1:52" x14ac:dyDescent="0.25">
      <c r="A296" s="1"/>
      <c r="B296" s="1"/>
      <c r="C296" s="1"/>
      <c r="D296" s="1"/>
      <c r="E296" s="1"/>
      <c r="F296" s="1"/>
      <c r="G296" s="1"/>
      <c r="H296" s="1"/>
      <c r="I296" s="2"/>
      <c r="J296" s="2"/>
      <c r="K296" s="2"/>
      <c r="L296" s="2"/>
      <c r="M296" s="2"/>
      <c r="N296" s="2"/>
      <c r="O296" s="2"/>
      <c r="P296" s="2"/>
      <c r="Q296" s="2"/>
      <c r="R296" s="2"/>
      <c r="S296" s="2"/>
      <c r="T296" s="2"/>
      <c r="U296" s="2"/>
      <c r="V296" s="2"/>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row>
    <row r="297" spans="1:52" x14ac:dyDescent="0.25">
      <c r="A297" s="1"/>
      <c r="B297" s="1"/>
      <c r="C297" s="1"/>
      <c r="D297" s="1"/>
      <c r="E297" s="1"/>
      <c r="F297" s="1"/>
      <c r="G297" s="1"/>
      <c r="H297" s="1"/>
      <c r="I297" s="2"/>
      <c r="J297" s="2"/>
      <c r="K297" s="2"/>
      <c r="L297" s="2"/>
      <c r="M297" s="2"/>
      <c r="N297" s="2"/>
      <c r="O297" s="2"/>
      <c r="P297" s="2"/>
      <c r="Q297" s="2"/>
      <c r="R297" s="2"/>
      <c r="S297" s="2"/>
      <c r="T297" s="2"/>
      <c r="U297" s="2"/>
      <c r="V297" s="2"/>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row>
    <row r="298" spans="1:52" x14ac:dyDescent="0.25">
      <c r="A298" s="1"/>
      <c r="B298" s="1"/>
      <c r="C298" s="1"/>
      <c r="D298" s="1"/>
      <c r="E298" s="1"/>
      <c r="F298" s="1"/>
      <c r="G298" s="1"/>
      <c r="H298" s="1"/>
      <c r="I298" s="2"/>
      <c r="J298" s="2"/>
      <c r="K298" s="2"/>
      <c r="L298" s="2"/>
      <c r="M298" s="2"/>
      <c r="N298" s="2"/>
      <c r="O298" s="2"/>
      <c r="P298" s="2"/>
      <c r="Q298" s="2"/>
      <c r="R298" s="2"/>
      <c r="S298" s="2"/>
      <c r="T298" s="2"/>
      <c r="U298" s="2"/>
      <c r="V298" s="2"/>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row>
    <row r="299" spans="1:52" x14ac:dyDescent="0.25">
      <c r="A299" s="1"/>
      <c r="B299" s="1"/>
      <c r="C299" s="1"/>
      <c r="D299" s="1"/>
      <c r="E299" s="1"/>
      <c r="F299" s="1"/>
      <c r="G299" s="1"/>
      <c r="H299" s="1"/>
      <c r="I299" s="2"/>
      <c r="J299" s="2"/>
      <c r="K299" s="2"/>
      <c r="L299" s="2"/>
      <c r="M299" s="2"/>
      <c r="N299" s="2"/>
      <c r="O299" s="2"/>
      <c r="P299" s="2"/>
      <c r="Q299" s="2"/>
      <c r="R299" s="2"/>
      <c r="S299" s="2"/>
      <c r="T299" s="2"/>
      <c r="U299" s="2"/>
      <c r="V299" s="2"/>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row>
    <row r="300" spans="1:52" x14ac:dyDescent="0.25">
      <c r="A300" s="1"/>
      <c r="B300" s="1"/>
      <c r="C300" s="1"/>
      <c r="D300" s="1"/>
      <c r="E300" s="1"/>
      <c r="F300" s="1"/>
      <c r="G300" s="1"/>
      <c r="H300" s="1"/>
      <c r="I300" s="2"/>
      <c r="J300" s="2"/>
      <c r="K300" s="2"/>
      <c r="L300" s="2"/>
      <c r="M300" s="2"/>
      <c r="N300" s="2"/>
      <c r="O300" s="2"/>
      <c r="P300" s="2"/>
      <c r="Q300" s="2"/>
      <c r="R300" s="2"/>
      <c r="S300" s="2"/>
      <c r="T300" s="2"/>
      <c r="U300" s="2"/>
      <c r="V300" s="2"/>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row>
    <row r="301" spans="1:52" x14ac:dyDescent="0.25">
      <c r="A301" s="1"/>
      <c r="B301" s="1"/>
      <c r="C301" s="1"/>
      <c r="D301" s="1"/>
      <c r="E301" s="1"/>
      <c r="F301" s="1"/>
      <c r="G301" s="1"/>
      <c r="H301" s="1"/>
      <c r="I301" s="2"/>
      <c r="J301" s="2"/>
      <c r="K301" s="2"/>
      <c r="L301" s="2"/>
      <c r="M301" s="2"/>
      <c r="N301" s="2"/>
      <c r="O301" s="2"/>
      <c r="P301" s="2"/>
      <c r="Q301" s="2"/>
      <c r="R301" s="2"/>
      <c r="S301" s="2"/>
      <c r="T301" s="2"/>
      <c r="U301" s="2"/>
      <c r="V301" s="2"/>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row>
    <row r="302" spans="1:52" x14ac:dyDescent="0.25">
      <c r="A302" s="1"/>
      <c r="B302" s="1"/>
      <c r="C302" s="1"/>
      <c r="D302" s="1"/>
      <c r="E302" s="1"/>
      <c r="F302" s="1"/>
      <c r="G302" s="1"/>
      <c r="H302" s="1"/>
      <c r="I302" s="2"/>
      <c r="J302" s="2"/>
      <c r="K302" s="2"/>
      <c r="L302" s="2"/>
      <c r="M302" s="2"/>
      <c r="N302" s="2"/>
      <c r="O302" s="2"/>
      <c r="P302" s="2"/>
      <c r="Q302" s="2"/>
      <c r="R302" s="2"/>
      <c r="S302" s="2"/>
      <c r="T302" s="2"/>
      <c r="U302" s="2"/>
      <c r="V302" s="2"/>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row>
    <row r="303" spans="1:52" x14ac:dyDescent="0.25">
      <c r="A303" s="1"/>
      <c r="B303" s="1"/>
      <c r="C303" s="1"/>
      <c r="D303" s="1"/>
      <c r="E303" s="1"/>
      <c r="F303" s="1"/>
      <c r="G303" s="1"/>
      <c r="H303" s="1"/>
      <c r="I303" s="2"/>
      <c r="J303" s="2"/>
      <c r="K303" s="2"/>
      <c r="L303" s="2"/>
      <c r="M303" s="2"/>
      <c r="N303" s="2"/>
      <c r="O303" s="2"/>
      <c r="P303" s="2"/>
      <c r="Q303" s="2"/>
      <c r="R303" s="2"/>
      <c r="S303" s="2"/>
      <c r="T303" s="2"/>
      <c r="U303" s="2"/>
      <c r="V303" s="2"/>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row>
    <row r="304" spans="1:52" x14ac:dyDescent="0.25">
      <c r="A304" s="1"/>
      <c r="B304" s="1"/>
      <c r="C304" s="1"/>
      <c r="D304" s="1"/>
      <c r="E304" s="1"/>
      <c r="F304" s="1"/>
      <c r="G304" s="1"/>
      <c r="H304" s="1"/>
      <c r="I304" s="2"/>
      <c r="J304" s="2"/>
      <c r="K304" s="2"/>
      <c r="L304" s="2"/>
      <c r="M304" s="2"/>
      <c r="N304" s="2"/>
      <c r="O304" s="2"/>
      <c r="P304" s="2"/>
      <c r="Q304" s="2"/>
      <c r="R304" s="2"/>
      <c r="S304" s="2"/>
      <c r="T304" s="2"/>
      <c r="U304" s="2"/>
      <c r="V304" s="2"/>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row>
    <row r="305" spans="1:52" x14ac:dyDescent="0.25">
      <c r="A305" s="1"/>
      <c r="B305" s="1"/>
      <c r="C305" s="1"/>
      <c r="D305" s="1"/>
      <c r="E305" s="1"/>
      <c r="F305" s="1"/>
      <c r="G305" s="1"/>
      <c r="H305" s="1"/>
      <c r="I305" s="2"/>
      <c r="J305" s="2"/>
      <c r="K305" s="2"/>
      <c r="L305" s="2"/>
      <c r="M305" s="2"/>
      <c r="N305" s="2"/>
      <c r="O305" s="2"/>
      <c r="P305" s="2"/>
      <c r="Q305" s="2"/>
      <c r="R305" s="2"/>
      <c r="S305" s="2"/>
      <c r="T305" s="2"/>
      <c r="U305" s="2"/>
      <c r="V305" s="2"/>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row>
  </sheetData>
  <conditionalFormatting sqref="C18:S18">
    <cfRule type="cellIs" dxfId="109" priority="12" operator="equal">
      <formula>0</formula>
    </cfRule>
  </conditionalFormatting>
  <conditionalFormatting sqref="C19:S19">
    <cfRule type="cellIs" dxfId="108" priority="11" operator="equal">
      <formula>0</formula>
    </cfRule>
  </conditionalFormatting>
  <conditionalFormatting sqref="C20:S20">
    <cfRule type="cellIs" dxfId="107" priority="10" operator="equal">
      <formula>0</formula>
    </cfRule>
  </conditionalFormatting>
  <conditionalFormatting sqref="C24:S24">
    <cfRule type="cellIs" dxfId="106" priority="9" operator="equal">
      <formula>0</formula>
    </cfRule>
  </conditionalFormatting>
  <conditionalFormatting sqref="C31:R33">
    <cfRule type="cellIs" dxfId="105" priority="8" operator="equal">
      <formula>0</formula>
    </cfRule>
  </conditionalFormatting>
  <conditionalFormatting sqref="C34:S34">
    <cfRule type="cellIs" dxfId="104" priority="7" operator="equal">
      <formula>0</formula>
    </cfRule>
  </conditionalFormatting>
  <conditionalFormatting sqref="C35:R36">
    <cfRule type="cellIs" dxfId="103" priority="6" operator="equal">
      <formula>0</formula>
    </cfRule>
  </conditionalFormatting>
  <conditionalFormatting sqref="C37:R38">
    <cfRule type="cellIs" dxfId="102" priority="5" operator="equal">
      <formula>0</formula>
    </cfRule>
  </conditionalFormatting>
  <conditionalFormatting sqref="C40:Q42">
    <cfRule type="cellIs" dxfId="101" priority="4" operator="equal">
      <formula>0</formula>
    </cfRule>
  </conditionalFormatting>
  <conditionalFormatting sqref="S31:S33">
    <cfRule type="cellIs" dxfId="100" priority="3" operator="equal">
      <formula>0</formula>
    </cfRule>
  </conditionalFormatting>
  <conditionalFormatting sqref="S35:S36">
    <cfRule type="cellIs" dxfId="99" priority="2" operator="equal">
      <formula>0</formula>
    </cfRule>
  </conditionalFormatting>
  <conditionalFormatting sqref="S37:S38 T37">
    <cfRule type="cellIs" dxfId="98" priority="1" operator="equal">
      <formula>0</formula>
    </cfRule>
  </conditionalFormatting>
  <pageMargins left="0.511811024" right="0.511811024" top="0.78740157499999996" bottom="0.78740157499999996" header="0.31496062000000002" footer="0.31496062000000002"/>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B3399-8F4C-47F2-9983-C1E89EF3C63E}">
  <sheetPr codeName="Planilha12"/>
  <dimension ref="A1:AS419"/>
  <sheetViews>
    <sheetView showGridLines="0" topLeftCell="A7" zoomScale="55" zoomScaleNormal="55" workbookViewId="0">
      <selection activeCell="X47" sqref="A46:X47"/>
    </sheetView>
  </sheetViews>
  <sheetFormatPr defaultColWidth="9" defaultRowHeight="15" x14ac:dyDescent="0.25"/>
  <cols>
    <col min="1" max="1" width="14" style="3" customWidth="1"/>
    <col min="2" max="2" width="31.28515625" style="8" bestFit="1" customWidth="1"/>
    <col min="3" max="15" width="14" style="8" customWidth="1"/>
    <col min="16" max="16" width="22.140625" style="3" bestFit="1" customWidth="1"/>
    <col min="17" max="17" width="15.140625" style="3" bestFit="1" customWidth="1"/>
    <col min="18" max="16384" width="9" style="3"/>
  </cols>
  <sheetData>
    <row r="1" spans="1:45" ht="18" customHeight="1" x14ac:dyDescent="0.25">
      <c r="A1" s="1"/>
      <c r="B1" s="1"/>
      <c r="C1" s="2"/>
      <c r="D1" s="2"/>
      <c r="E1" s="2"/>
      <c r="F1" s="2"/>
      <c r="G1" s="2"/>
      <c r="H1" s="2"/>
      <c r="I1" s="2"/>
      <c r="J1" s="2"/>
      <c r="K1" s="2"/>
      <c r="L1" s="2"/>
      <c r="M1" s="2"/>
      <c r="N1" s="2"/>
      <c r="O1" s="2"/>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row>
    <row r="2" spans="1:45" ht="18" customHeight="1" x14ac:dyDescent="0.25">
      <c r="A2" s="1"/>
      <c r="B2" s="1"/>
      <c r="C2" s="2"/>
      <c r="D2" s="2"/>
      <c r="E2" s="2"/>
      <c r="F2" s="2"/>
      <c r="G2" s="2"/>
      <c r="H2" s="2"/>
      <c r="I2" s="2"/>
      <c r="J2" s="2"/>
      <c r="K2" s="2"/>
      <c r="L2" s="2"/>
      <c r="M2" s="2"/>
      <c r="N2" s="2"/>
      <c r="O2" s="2"/>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row>
    <row r="3" spans="1:45" ht="18" customHeight="1" x14ac:dyDescent="0.25">
      <c r="A3" s="1"/>
      <c r="B3" s="1"/>
      <c r="C3" s="2"/>
      <c r="D3" s="2"/>
      <c r="E3" s="2"/>
      <c r="F3" s="2"/>
      <c r="G3" s="2"/>
      <c r="H3" s="2"/>
      <c r="I3" s="2"/>
      <c r="J3" s="2"/>
      <c r="K3" s="2"/>
      <c r="L3" s="2"/>
      <c r="M3" s="2"/>
      <c r="N3" s="2"/>
      <c r="O3" s="2"/>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row>
    <row r="4" spans="1:45" ht="18" customHeight="1" x14ac:dyDescent="0.25">
      <c r="A4" s="1"/>
      <c r="B4" s="1"/>
      <c r="C4" s="2"/>
      <c r="D4" s="2"/>
      <c r="E4" s="2"/>
      <c r="F4" s="2"/>
      <c r="G4" s="2"/>
      <c r="H4" s="2"/>
      <c r="I4" s="2"/>
      <c r="J4" s="2"/>
      <c r="K4" s="2"/>
      <c r="L4" s="2"/>
      <c r="M4" s="2"/>
      <c r="N4" s="2"/>
      <c r="O4" s="2"/>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row>
    <row r="5" spans="1:45" ht="18" customHeight="1" x14ac:dyDescent="0.25">
      <c r="A5" s="1"/>
      <c r="B5" s="1"/>
      <c r="C5" s="2"/>
      <c r="D5" s="2"/>
      <c r="E5" s="2"/>
      <c r="F5" s="2"/>
      <c r="G5" s="2"/>
      <c r="H5" s="2"/>
      <c r="I5" s="2"/>
      <c r="J5" s="2"/>
      <c r="K5" s="2"/>
      <c r="L5" s="2"/>
      <c r="M5" s="2"/>
      <c r="N5" s="2"/>
      <c r="O5" s="2"/>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row>
    <row r="6" spans="1:45" ht="18" customHeight="1" x14ac:dyDescent="0.25">
      <c r="A6" s="1"/>
      <c r="B6" s="1"/>
      <c r="C6" s="2"/>
      <c r="D6" s="2"/>
      <c r="E6" s="2"/>
      <c r="F6" s="2"/>
      <c r="G6" s="2"/>
      <c r="H6" s="2"/>
      <c r="I6" s="2"/>
      <c r="J6" s="2"/>
      <c r="K6" s="2"/>
      <c r="L6" s="2"/>
      <c r="M6" s="2"/>
      <c r="N6" s="2"/>
      <c r="O6" s="2"/>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row>
    <row r="7" spans="1:45" s="166" customFormat="1" ht="18" customHeight="1" thickBot="1" x14ac:dyDescent="0.3">
      <c r="A7" s="163"/>
      <c r="B7" s="164" t="s">
        <v>387</v>
      </c>
      <c r="C7" s="165" t="s">
        <v>389</v>
      </c>
      <c r="D7" s="165" t="s">
        <v>390</v>
      </c>
      <c r="E7" s="165" t="s">
        <v>391</v>
      </c>
      <c r="F7" s="165" t="s">
        <v>392</v>
      </c>
      <c r="G7" s="165" t="s">
        <v>393</v>
      </c>
      <c r="H7" s="165" t="s">
        <v>394</v>
      </c>
      <c r="I7" s="165" t="s">
        <v>395</v>
      </c>
      <c r="J7" s="165" t="s">
        <v>396</v>
      </c>
      <c r="K7" s="165" t="s">
        <v>397</v>
      </c>
      <c r="L7" s="165" t="s">
        <v>398</v>
      </c>
      <c r="M7" s="165" t="s">
        <v>399</v>
      </c>
      <c r="N7" s="165" t="s">
        <v>400</v>
      </c>
      <c r="O7" s="165" t="s">
        <v>380</v>
      </c>
      <c r="P7" s="163"/>
      <c r="Q7" s="163"/>
      <c r="R7" s="163"/>
      <c r="S7" s="163"/>
      <c r="T7" s="163"/>
      <c r="U7" s="163"/>
      <c r="V7" s="163"/>
      <c r="W7" s="163"/>
      <c r="X7" s="163"/>
      <c r="Y7" s="163"/>
      <c r="Z7" s="163"/>
      <c r="AA7" s="163"/>
      <c r="AB7" s="163"/>
      <c r="AC7" s="163"/>
      <c r="AD7" s="163"/>
      <c r="AE7" s="163"/>
      <c r="AF7" s="163"/>
      <c r="AG7" s="163"/>
      <c r="AH7" s="163"/>
      <c r="AI7" s="163"/>
      <c r="AJ7" s="163"/>
      <c r="AK7" s="163"/>
      <c r="AL7" s="163"/>
      <c r="AM7" s="163"/>
      <c r="AN7" s="163"/>
      <c r="AO7" s="163"/>
      <c r="AP7" s="163"/>
      <c r="AQ7" s="163"/>
      <c r="AR7" s="163"/>
      <c r="AS7" s="163"/>
    </row>
    <row r="8" spans="1:45" ht="18" customHeight="1" x14ac:dyDescent="0.25">
      <c r="A8" s="1"/>
      <c r="B8" s="25" t="s">
        <v>287</v>
      </c>
      <c r="C8" s="167"/>
      <c r="D8" s="167"/>
      <c r="E8" s="167"/>
      <c r="F8" s="167"/>
      <c r="G8" s="167"/>
      <c r="H8" s="167"/>
      <c r="I8" s="167"/>
      <c r="J8" s="167"/>
      <c r="K8" s="167"/>
      <c r="L8" s="167"/>
      <c r="M8" s="167"/>
      <c r="N8" s="167"/>
      <c r="O8" s="167"/>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row>
    <row r="9" spans="1:45" s="166" customFormat="1" ht="18" customHeight="1" x14ac:dyDescent="0.25">
      <c r="A9" s="163"/>
      <c r="B9" s="20" t="s">
        <v>316</v>
      </c>
      <c r="C9" s="62">
        <v>88.840500349999999</v>
      </c>
      <c r="D9" s="62">
        <v>132.34615260999999</v>
      </c>
      <c r="E9" s="62">
        <v>120.20706122999999</v>
      </c>
      <c r="F9" s="62">
        <v>165.56711976999998</v>
      </c>
      <c r="G9" s="62">
        <v>125.49204166999999</v>
      </c>
      <c r="H9" s="62">
        <v>164.46338483</v>
      </c>
      <c r="I9" s="62">
        <v>148.17386728</v>
      </c>
      <c r="J9" s="62">
        <v>203.97341815999999</v>
      </c>
      <c r="K9" s="62">
        <v>142.4564206</v>
      </c>
      <c r="L9" s="62">
        <v>178.33856740000002</v>
      </c>
      <c r="M9" s="62">
        <v>175.94417596000002</v>
      </c>
      <c r="N9" s="62">
        <v>229.81038286000003</v>
      </c>
      <c r="O9" s="62">
        <v>160.79445304000004</v>
      </c>
      <c r="P9" s="163"/>
      <c r="Q9" s="163"/>
      <c r="R9" s="163"/>
      <c r="S9" s="163"/>
      <c r="T9" s="163"/>
      <c r="U9" s="163"/>
      <c r="V9" s="163"/>
      <c r="W9" s="163"/>
      <c r="X9" s="163"/>
      <c r="Y9" s="163"/>
      <c r="Z9" s="163"/>
      <c r="AA9" s="163"/>
      <c r="AB9" s="163"/>
      <c r="AC9" s="163"/>
      <c r="AD9" s="163"/>
      <c r="AE9" s="163"/>
      <c r="AF9" s="163"/>
      <c r="AG9" s="163"/>
      <c r="AH9" s="163"/>
      <c r="AI9" s="163"/>
      <c r="AJ9" s="163"/>
      <c r="AK9" s="163"/>
      <c r="AL9" s="163"/>
      <c r="AM9" s="163"/>
      <c r="AN9" s="163"/>
      <c r="AO9" s="163"/>
      <c r="AP9" s="163"/>
      <c r="AQ9" s="163"/>
      <c r="AR9" s="163"/>
      <c r="AS9" s="163"/>
    </row>
    <row r="10" spans="1:45" ht="18" customHeight="1" x14ac:dyDescent="0.25">
      <c r="A10" s="1"/>
      <c r="B10" s="20" t="s">
        <v>311</v>
      </c>
      <c r="C10" s="62">
        <v>169.70797440999999</v>
      </c>
      <c r="D10" s="62">
        <v>182.64218566000002</v>
      </c>
      <c r="E10" s="62">
        <v>215.61439958999992</v>
      </c>
      <c r="F10" s="62">
        <v>218.89411372000006</v>
      </c>
      <c r="G10" s="62">
        <v>190.07682128000005</v>
      </c>
      <c r="H10" s="62">
        <v>197.18155657</v>
      </c>
      <c r="I10" s="62">
        <v>232.32742422999993</v>
      </c>
      <c r="J10" s="62">
        <v>251.80617603000002</v>
      </c>
      <c r="K10" s="62">
        <v>231.17994567</v>
      </c>
      <c r="L10" s="62">
        <v>235.70786035999998</v>
      </c>
      <c r="M10" s="62">
        <v>250.08653424999997</v>
      </c>
      <c r="N10" s="62">
        <v>263.71134644</v>
      </c>
      <c r="O10" s="62">
        <v>238.46140299000001</v>
      </c>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row>
    <row r="11" spans="1:45" ht="18" customHeight="1" x14ac:dyDescent="0.25">
      <c r="A11" s="1"/>
      <c r="B11" s="20" t="s">
        <v>313</v>
      </c>
      <c r="C11" s="62">
        <v>237.06212898000001</v>
      </c>
      <c r="D11" s="62">
        <v>237.86526434000004</v>
      </c>
      <c r="E11" s="62">
        <v>288.50024123999998</v>
      </c>
      <c r="F11" s="62">
        <v>305.48291114</v>
      </c>
      <c r="G11" s="62">
        <v>275.31909840999998</v>
      </c>
      <c r="H11" s="62">
        <v>278.02147297999994</v>
      </c>
      <c r="I11" s="62">
        <v>313.40113048000006</v>
      </c>
      <c r="J11" s="62">
        <v>326.31784981999999</v>
      </c>
      <c r="K11" s="62">
        <v>268.48366701999993</v>
      </c>
      <c r="L11" s="62">
        <v>275.72083255999996</v>
      </c>
      <c r="M11" s="62">
        <v>305.27845165000002</v>
      </c>
      <c r="N11" s="62">
        <v>350.34586023999998</v>
      </c>
      <c r="O11" s="62">
        <v>260.72602379</v>
      </c>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row>
    <row r="12" spans="1:45" ht="18" customHeight="1" x14ac:dyDescent="0.25">
      <c r="A12" s="1"/>
      <c r="B12" s="20" t="s">
        <v>317</v>
      </c>
      <c r="C12" s="62">
        <v>193.10575533000002</v>
      </c>
      <c r="D12" s="62">
        <v>185.31313532000001</v>
      </c>
      <c r="E12" s="62">
        <v>282.08922386</v>
      </c>
      <c r="F12" s="62">
        <v>263.70919339000011</v>
      </c>
      <c r="G12" s="62">
        <v>246.47027590000002</v>
      </c>
      <c r="H12" s="62">
        <v>252.36219672000004</v>
      </c>
      <c r="I12" s="62">
        <v>326.32550557000002</v>
      </c>
      <c r="J12" s="62">
        <v>310.49541268000002</v>
      </c>
      <c r="K12" s="62">
        <v>252.52727449000002</v>
      </c>
      <c r="L12" s="62">
        <v>288.42694556000004</v>
      </c>
      <c r="M12" s="62">
        <v>321.77132979000004</v>
      </c>
      <c r="N12" s="62">
        <v>287.29015339000006</v>
      </c>
      <c r="O12" s="62">
        <v>255.06044887000002</v>
      </c>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row>
    <row r="13" spans="1:45" ht="18" customHeight="1" thickBot="1" x14ac:dyDescent="0.3">
      <c r="A13" s="1"/>
      <c r="B13" s="20" t="s">
        <v>314</v>
      </c>
      <c r="C13" s="62">
        <v>119.89032299745001</v>
      </c>
      <c r="D13" s="62">
        <v>125.918646336545</v>
      </c>
      <c r="E13" s="62">
        <v>137.00695443604999</v>
      </c>
      <c r="F13" s="62">
        <v>150.93523521900102</v>
      </c>
      <c r="G13" s="62">
        <v>103.899817266469</v>
      </c>
      <c r="H13" s="62">
        <v>102.58987907288501</v>
      </c>
      <c r="I13" s="62">
        <v>122.95203121851502</v>
      </c>
      <c r="J13" s="62">
        <v>100.15761045091899</v>
      </c>
      <c r="K13" s="62">
        <v>86.214633971748995</v>
      </c>
      <c r="L13" s="62">
        <v>103.12324996008201</v>
      </c>
      <c r="M13" s="62">
        <v>120.19579655686798</v>
      </c>
      <c r="N13" s="62">
        <v>117.10932616825265</v>
      </c>
      <c r="O13" s="62">
        <v>111.47000133986174</v>
      </c>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row>
    <row r="14" spans="1:45" ht="18" customHeight="1" x14ac:dyDescent="0.25">
      <c r="A14" s="1"/>
      <c r="B14" s="167" t="s">
        <v>288</v>
      </c>
      <c r="C14" s="167"/>
      <c r="D14" s="167"/>
      <c r="E14" s="167"/>
      <c r="F14" s="167"/>
      <c r="G14" s="167"/>
      <c r="H14" s="167"/>
      <c r="I14" s="167"/>
      <c r="J14" s="167"/>
      <c r="K14" s="167"/>
      <c r="L14" s="167"/>
      <c r="M14" s="167"/>
      <c r="N14" s="167"/>
      <c r="O14" s="167"/>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row>
    <row r="15" spans="1:45" ht="18" customHeight="1" x14ac:dyDescent="0.25">
      <c r="A15" s="1"/>
      <c r="B15" s="20" t="s">
        <v>316</v>
      </c>
      <c r="C15" s="62">
        <v>309.04123309666335</v>
      </c>
      <c r="D15" s="62">
        <v>370.26839092710827</v>
      </c>
      <c r="E15" s="62">
        <v>388.37434413892589</v>
      </c>
      <c r="F15" s="62">
        <v>480.73359693572019</v>
      </c>
      <c r="G15" s="62">
        <v>377.59347836079576</v>
      </c>
      <c r="H15" s="62">
        <v>422.35493204639113</v>
      </c>
      <c r="I15" s="62">
        <v>410.46740252266187</v>
      </c>
      <c r="J15" s="62">
        <v>520.93802010262527</v>
      </c>
      <c r="K15" s="62">
        <v>429.35015267561522</v>
      </c>
      <c r="L15" s="62">
        <v>499.91587912939417</v>
      </c>
      <c r="M15" s="62">
        <v>493.09579127638625</v>
      </c>
      <c r="N15" s="62">
        <v>642.51920416708322</v>
      </c>
      <c r="O15" s="62">
        <v>528.83089375475356</v>
      </c>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row>
    <row r="16" spans="1:45" ht="18" customHeight="1" x14ac:dyDescent="0.25">
      <c r="A16" s="1"/>
      <c r="B16" s="20" t="s">
        <v>311</v>
      </c>
      <c r="C16" s="62">
        <v>155.60975219214762</v>
      </c>
      <c r="D16" s="62">
        <v>145.78309663457458</v>
      </c>
      <c r="E16" s="62">
        <v>174.05626066676112</v>
      </c>
      <c r="F16" s="62">
        <v>186.27285166826226</v>
      </c>
      <c r="G16" s="62">
        <v>159.62924486680433</v>
      </c>
      <c r="H16" s="62">
        <v>161.98057900853544</v>
      </c>
      <c r="I16" s="62">
        <v>175.52756097381476</v>
      </c>
      <c r="J16" s="62">
        <v>212.27385847796691</v>
      </c>
      <c r="K16" s="62">
        <v>159.68556509973354</v>
      </c>
      <c r="L16" s="62">
        <v>180.52503119241214</v>
      </c>
      <c r="M16" s="62">
        <v>197.27113151272349</v>
      </c>
      <c r="N16" s="62">
        <v>251.09737561784794</v>
      </c>
      <c r="O16" s="62">
        <v>176.91345937828109</v>
      </c>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row>
    <row r="17" spans="1:45" ht="18" customHeight="1" x14ac:dyDescent="0.25">
      <c r="A17" s="1"/>
      <c r="B17" s="20" t="s">
        <v>313</v>
      </c>
      <c r="C17" s="62">
        <v>3.0448609399999995</v>
      </c>
      <c r="D17" s="62">
        <v>3.0388751799999998</v>
      </c>
      <c r="E17" s="62">
        <v>3.9796989500000004</v>
      </c>
      <c r="F17" s="62">
        <v>4.6824971099999999</v>
      </c>
      <c r="G17" s="62">
        <v>3.7769616200000002</v>
      </c>
      <c r="H17" s="62">
        <v>2.6491858100000001</v>
      </c>
      <c r="I17" s="62">
        <v>4.2946650399999999</v>
      </c>
      <c r="J17" s="62">
        <v>4.5384939199999996</v>
      </c>
      <c r="K17" s="62">
        <v>2.50504098</v>
      </c>
      <c r="L17" s="62">
        <v>2.2033201899999995</v>
      </c>
      <c r="M17" s="62">
        <v>2.887011196149968</v>
      </c>
      <c r="N17" s="62">
        <v>2.2687547700000001</v>
      </c>
      <c r="O17" s="62">
        <v>1.79644336</v>
      </c>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row>
    <row r="18" spans="1:45" ht="18" customHeight="1" x14ac:dyDescent="0.25">
      <c r="A18" s="1"/>
      <c r="B18" s="20" t="s">
        <v>317</v>
      </c>
      <c r="C18" s="62">
        <v>144.06047929650001</v>
      </c>
      <c r="D18" s="62">
        <v>166.57428440006001</v>
      </c>
      <c r="E18" s="62">
        <v>221.05359493159997</v>
      </c>
      <c r="F18" s="62">
        <v>159.68640725632997</v>
      </c>
      <c r="G18" s="62">
        <v>206.65435801001016</v>
      </c>
      <c r="H18" s="62">
        <v>197.79922425684001</v>
      </c>
      <c r="I18" s="62">
        <v>259.41606131279002</v>
      </c>
      <c r="J18" s="62">
        <v>173.41212567957999</v>
      </c>
      <c r="K18" s="62">
        <v>183.18327753680501</v>
      </c>
      <c r="L18" s="62">
        <v>220.47022232836002</v>
      </c>
      <c r="M18" s="62">
        <v>265.88374721145362</v>
      </c>
      <c r="N18" s="62">
        <v>195.13457121993002</v>
      </c>
      <c r="O18" s="62">
        <v>287.26202405869003</v>
      </c>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row>
    <row r="19" spans="1:45" ht="18" customHeight="1" thickBot="1" x14ac:dyDescent="0.3">
      <c r="A19" s="1"/>
      <c r="B19" s="20" t="s">
        <v>314</v>
      </c>
      <c r="C19" s="62">
        <v>93.580055826300836</v>
      </c>
      <c r="D19" s="62">
        <v>178.920082808426</v>
      </c>
      <c r="E19" s="62">
        <v>160.95763956396183</v>
      </c>
      <c r="F19" s="62">
        <v>146.04242934533792</v>
      </c>
      <c r="G19" s="62">
        <v>165.71558516660122</v>
      </c>
      <c r="H19" s="62">
        <v>244.27668476386626</v>
      </c>
      <c r="I19" s="62">
        <v>194.7528480305655</v>
      </c>
      <c r="J19" s="62">
        <v>170.47221235745417</v>
      </c>
      <c r="K19" s="62">
        <v>203.12084835842933</v>
      </c>
      <c r="L19" s="62">
        <v>294.72255833761892</v>
      </c>
      <c r="M19" s="62">
        <v>260.36032974229983</v>
      </c>
      <c r="N19" s="62">
        <v>237.46464135140403</v>
      </c>
      <c r="O19" s="62">
        <v>236.87770355133114</v>
      </c>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row>
    <row r="20" spans="1:45" ht="18" customHeight="1" x14ac:dyDescent="0.25">
      <c r="A20" s="1"/>
      <c r="B20" s="167" t="s">
        <v>289</v>
      </c>
      <c r="C20" s="167"/>
      <c r="D20" s="167"/>
      <c r="E20" s="167"/>
      <c r="F20" s="167"/>
      <c r="G20" s="167"/>
      <c r="H20" s="167"/>
      <c r="I20" s="167"/>
      <c r="J20" s="167"/>
      <c r="K20" s="167"/>
      <c r="L20" s="167"/>
      <c r="M20" s="167"/>
      <c r="N20" s="167"/>
      <c r="O20" s="167"/>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row>
    <row r="21" spans="1:45" ht="18" customHeight="1" x14ac:dyDescent="0.25">
      <c r="A21" s="1"/>
      <c r="B21" s="20" t="s">
        <v>316</v>
      </c>
      <c r="C21" s="62">
        <v>82.638821105164809</v>
      </c>
      <c r="D21" s="62">
        <v>109.40398658645529</v>
      </c>
      <c r="E21" s="62">
        <v>99.349255379862484</v>
      </c>
      <c r="F21" s="62">
        <v>158.77799641857109</v>
      </c>
      <c r="G21" s="62">
        <v>107.24601836702604</v>
      </c>
      <c r="H21" s="62">
        <v>119.30024787658427</v>
      </c>
      <c r="I21" s="62">
        <v>120.62216640553044</v>
      </c>
      <c r="J21" s="62">
        <v>201.11930461304647</v>
      </c>
      <c r="K21" s="62">
        <v>111.40956347073754</v>
      </c>
      <c r="L21" s="62">
        <v>124.52182576824579</v>
      </c>
      <c r="M21" s="62">
        <v>135.77647741775726</v>
      </c>
      <c r="N21" s="62">
        <v>222.70681049584348</v>
      </c>
      <c r="O21" s="62">
        <v>141.48211224000318</v>
      </c>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row>
    <row r="22" spans="1:45" ht="18" customHeight="1" x14ac:dyDescent="0.25">
      <c r="A22" s="1"/>
      <c r="B22" s="20" t="s">
        <v>311</v>
      </c>
      <c r="C22" s="62">
        <v>64.119661080706479</v>
      </c>
      <c r="D22" s="62">
        <v>60.021273646565042</v>
      </c>
      <c r="E22" s="62">
        <v>67.961516774994095</v>
      </c>
      <c r="F22" s="62">
        <v>74.019485525865036</v>
      </c>
      <c r="G22" s="62">
        <v>60.710721438984748</v>
      </c>
      <c r="H22" s="62">
        <v>66.297834328158601</v>
      </c>
      <c r="I22" s="62">
        <v>82.350366256992857</v>
      </c>
      <c r="J22" s="62">
        <v>95.683245472777742</v>
      </c>
      <c r="K22" s="62">
        <v>74.816789839266988</v>
      </c>
      <c r="L22" s="62">
        <v>89.866040296783567</v>
      </c>
      <c r="M22" s="62">
        <v>126.38389457134807</v>
      </c>
      <c r="N22" s="62">
        <v>149.26771996043482</v>
      </c>
      <c r="O22" s="62">
        <v>105.81465347000065</v>
      </c>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row>
    <row r="23" spans="1:45" ht="18" customHeight="1" x14ac:dyDescent="0.25">
      <c r="A23" s="1"/>
      <c r="B23" s="20" t="s">
        <v>313</v>
      </c>
      <c r="C23" s="62">
        <v>155.07191134999997</v>
      </c>
      <c r="D23" s="62">
        <v>182.29143372999997</v>
      </c>
      <c r="E23" s="62">
        <v>193.75637293999998</v>
      </c>
      <c r="F23" s="62">
        <v>236.65446888000005</v>
      </c>
      <c r="G23" s="62">
        <v>159.25083992999996</v>
      </c>
      <c r="H23" s="62">
        <v>187.98240554000006</v>
      </c>
      <c r="I23" s="62">
        <v>203.73065489000007</v>
      </c>
      <c r="J23" s="62">
        <v>236.52096638999998</v>
      </c>
      <c r="K23" s="62">
        <v>156.51200040000009</v>
      </c>
      <c r="L23" s="62">
        <v>188.87149948000001</v>
      </c>
      <c r="M23" s="62">
        <v>220.16955660999997</v>
      </c>
      <c r="N23" s="62">
        <v>257.93137323999929</v>
      </c>
      <c r="O23" s="62">
        <v>170.6655820668976</v>
      </c>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row>
    <row r="24" spans="1:45" ht="18" customHeight="1" x14ac:dyDescent="0.25">
      <c r="A24" s="1"/>
      <c r="B24" s="20" t="s">
        <v>317</v>
      </c>
      <c r="C24" s="62">
        <v>177.6223647499998</v>
      </c>
      <c r="D24" s="62">
        <v>176.25856671999986</v>
      </c>
      <c r="E24" s="62">
        <v>190.34390378999981</v>
      </c>
      <c r="F24" s="62">
        <v>186.86031631125272</v>
      </c>
      <c r="G24" s="62">
        <v>211.06047566999968</v>
      </c>
      <c r="H24" s="62">
        <v>194.33391875009957</v>
      </c>
      <c r="I24" s="62">
        <v>179.48933758000024</v>
      </c>
      <c r="J24" s="62">
        <v>176.53851948999977</v>
      </c>
      <c r="K24" s="62">
        <v>170.5913661999999</v>
      </c>
      <c r="L24" s="62">
        <v>184.00023736999984</v>
      </c>
      <c r="M24" s="62">
        <v>176.82702151000015</v>
      </c>
      <c r="N24" s="62">
        <v>207.07859518535901</v>
      </c>
      <c r="O24" s="62">
        <v>194.19734232310213</v>
      </c>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row>
    <row r="25" spans="1:45" ht="18" customHeight="1" thickBot="1" x14ac:dyDescent="0.3">
      <c r="A25" s="1"/>
      <c r="B25" s="20" t="s">
        <v>25</v>
      </c>
      <c r="C25" s="62">
        <v>5.9601919799999994</v>
      </c>
      <c r="D25" s="62">
        <v>6.8105682500000002</v>
      </c>
      <c r="E25" s="62">
        <v>6.8781182500000035</v>
      </c>
      <c r="F25" s="62">
        <v>5.0302722819160328</v>
      </c>
      <c r="G25" s="62">
        <v>5.7188688000015988</v>
      </c>
      <c r="H25" s="62">
        <v>6.5246714899014924</v>
      </c>
      <c r="I25" s="62">
        <v>5.0488583009736407</v>
      </c>
      <c r="J25" s="62">
        <v>2.4213685000022949</v>
      </c>
      <c r="K25" s="62">
        <v>2.6145168200010502</v>
      </c>
      <c r="L25" s="62">
        <v>6.1362407899999996</v>
      </c>
      <c r="M25" s="62">
        <v>7.693583807639401</v>
      </c>
      <c r="N25" s="62">
        <v>7.0914225203512142</v>
      </c>
      <c r="O25" s="62">
        <v>3.9134391000000002</v>
      </c>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row>
    <row r="26" spans="1:45" ht="18" customHeight="1" x14ac:dyDescent="0.25">
      <c r="A26" s="1"/>
      <c r="B26" s="167" t="s">
        <v>290</v>
      </c>
      <c r="C26" s="167"/>
      <c r="D26" s="167"/>
      <c r="E26" s="167"/>
      <c r="F26" s="167"/>
      <c r="G26" s="167"/>
      <c r="H26" s="167"/>
      <c r="I26" s="167"/>
      <c r="J26" s="167"/>
      <c r="K26" s="167"/>
      <c r="L26" s="167"/>
      <c r="M26" s="167"/>
      <c r="N26" s="167"/>
      <c r="O26" s="167"/>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row>
    <row r="27" spans="1:45" ht="18" customHeight="1" x14ac:dyDescent="0.25">
      <c r="A27" s="1"/>
      <c r="B27" s="20" t="s">
        <v>316</v>
      </c>
      <c r="C27" s="62">
        <v>104.90625879112518</v>
      </c>
      <c r="D27" s="62">
        <v>139.02526542931435</v>
      </c>
      <c r="E27" s="62">
        <v>152.59183611964673</v>
      </c>
      <c r="F27" s="62">
        <v>241.79215405760124</v>
      </c>
      <c r="G27" s="62">
        <v>120.83235764664703</v>
      </c>
      <c r="H27" s="62">
        <v>156.72444581714291</v>
      </c>
      <c r="I27" s="62">
        <v>178.74027216310571</v>
      </c>
      <c r="J27" s="62">
        <v>264.65095068108707</v>
      </c>
      <c r="K27" s="62">
        <v>142.8492931089107</v>
      </c>
      <c r="L27" s="62">
        <v>182.85042194309466</v>
      </c>
      <c r="M27" s="62">
        <v>207.42342398306667</v>
      </c>
      <c r="N27" s="62">
        <v>324.75375065531426</v>
      </c>
      <c r="O27" s="62">
        <v>167.35944145989279</v>
      </c>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row>
    <row r="28" spans="1:45" ht="18" customHeight="1" x14ac:dyDescent="0.25">
      <c r="A28" s="1"/>
      <c r="B28" s="20" t="s">
        <v>311</v>
      </c>
      <c r="C28" s="62">
        <v>39.903822700273324</v>
      </c>
      <c r="D28" s="62">
        <v>44.260808034889742</v>
      </c>
      <c r="E28" s="62">
        <v>51.42855799065034</v>
      </c>
      <c r="F28" s="62">
        <v>114.54454601014956</v>
      </c>
      <c r="G28" s="62">
        <v>77.302365036223037</v>
      </c>
      <c r="H28" s="62">
        <v>86.564554819856099</v>
      </c>
      <c r="I28" s="62">
        <v>90.564207931811509</v>
      </c>
      <c r="J28" s="62">
        <v>186.15954944832148</v>
      </c>
      <c r="K28" s="62">
        <v>82.550985018725612</v>
      </c>
      <c r="L28" s="62">
        <v>104.1379803868052</v>
      </c>
      <c r="M28" s="62">
        <v>123.85824654858888</v>
      </c>
      <c r="N28" s="62">
        <v>197.37072905892308</v>
      </c>
      <c r="O28" s="62">
        <v>90.475068076570864</v>
      </c>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row>
    <row r="29" spans="1:45" ht="18" customHeight="1" x14ac:dyDescent="0.25">
      <c r="A29" s="1"/>
      <c r="B29" s="20" t="s">
        <v>313</v>
      </c>
      <c r="C29" s="62">
        <v>15.791651989999998</v>
      </c>
      <c r="D29" s="62">
        <v>19.25453752</v>
      </c>
      <c r="E29" s="62">
        <v>29.62152021</v>
      </c>
      <c r="F29" s="62">
        <v>36.039929149999999</v>
      </c>
      <c r="G29" s="62">
        <v>22.681470800000003</v>
      </c>
      <c r="H29" s="62">
        <v>28.933776329999993</v>
      </c>
      <c r="I29" s="62">
        <v>29.699974500000007</v>
      </c>
      <c r="J29" s="62">
        <v>34.53661477</v>
      </c>
      <c r="K29" s="62">
        <v>32.075249149999998</v>
      </c>
      <c r="L29" s="62">
        <v>31.87442995</v>
      </c>
      <c r="M29" s="62">
        <v>40.344647190000011</v>
      </c>
      <c r="N29" s="62">
        <v>49.664414669999999</v>
      </c>
      <c r="O29" s="62">
        <v>32.932505460000002</v>
      </c>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row>
    <row r="30" spans="1:45" ht="18" customHeight="1" x14ac:dyDescent="0.25">
      <c r="A30" s="1"/>
      <c r="B30" s="20" t="s">
        <v>317</v>
      </c>
      <c r="C30" s="62">
        <v>42.898807452829992</v>
      </c>
      <c r="D30" s="62">
        <v>58.383130509660006</v>
      </c>
      <c r="E30" s="62">
        <v>79.034960859970013</v>
      </c>
      <c r="F30" s="62">
        <v>83.666154369950007</v>
      </c>
      <c r="G30" s="62">
        <v>73.761491017889995</v>
      </c>
      <c r="H30" s="62">
        <v>64.516595380000012</v>
      </c>
      <c r="I30" s="62">
        <v>74.899720930030014</v>
      </c>
      <c r="J30" s="62">
        <v>52.570496669929994</v>
      </c>
      <c r="K30" s="62">
        <v>61.904198920009996</v>
      </c>
      <c r="L30" s="62">
        <v>58.147369493080014</v>
      </c>
      <c r="M30" s="62">
        <v>86.943531535809981</v>
      </c>
      <c r="N30" s="62">
        <v>71.341015993080021</v>
      </c>
      <c r="O30" s="62">
        <v>68.110517442989988</v>
      </c>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row>
    <row r="31" spans="1:45" ht="18" customHeight="1" thickBot="1" x14ac:dyDescent="0.3">
      <c r="A31" s="1"/>
      <c r="B31" s="20" t="s">
        <v>25</v>
      </c>
      <c r="C31" s="62">
        <v>-8.3128620000000014E-2</v>
      </c>
      <c r="D31" s="62">
        <v>4.8819880000000003E-2</v>
      </c>
      <c r="E31" s="62">
        <v>-7.9698142500000013E-2</v>
      </c>
      <c r="F31" s="62">
        <v>8.0446409999999996E-2</v>
      </c>
      <c r="G31" s="62">
        <v>9.0795039999999994E-2</v>
      </c>
      <c r="H31" s="62">
        <v>0.28477967999999998</v>
      </c>
      <c r="I31" s="62">
        <v>0.24238423000000001</v>
      </c>
      <c r="J31" s="62">
        <v>0.16841110999999997</v>
      </c>
      <c r="K31" s="62">
        <v>0.99357797000000003</v>
      </c>
      <c r="L31" s="62">
        <v>0.72074851000000018</v>
      </c>
      <c r="M31" s="62">
        <v>7.7148871499999991</v>
      </c>
      <c r="N31" s="62">
        <v>0.44915467000000026</v>
      </c>
      <c r="O31" s="62">
        <v>1.7082845499999999</v>
      </c>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row>
    <row r="32" spans="1:45" ht="18" customHeight="1" x14ac:dyDescent="0.25">
      <c r="A32" s="1"/>
      <c r="B32" s="167"/>
      <c r="C32" s="167"/>
      <c r="D32" s="167"/>
      <c r="E32" s="167"/>
      <c r="F32" s="167"/>
      <c r="G32" s="167"/>
      <c r="H32" s="167"/>
      <c r="I32" s="167"/>
      <c r="J32" s="167"/>
      <c r="K32" s="167"/>
      <c r="L32" s="167"/>
      <c r="M32" s="167"/>
      <c r="N32" s="167"/>
      <c r="O32" s="167"/>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row>
    <row r="33" spans="1:45" ht="18" customHeight="1" thickBot="1" x14ac:dyDescent="0.3">
      <c r="A33" s="1"/>
      <c r="B33" s="164" t="s">
        <v>385</v>
      </c>
      <c r="C33" s="165" t="s">
        <v>389</v>
      </c>
      <c r="D33" s="165" t="s">
        <v>390</v>
      </c>
      <c r="E33" s="165" t="s">
        <v>391</v>
      </c>
      <c r="F33" s="165" t="s">
        <v>392</v>
      </c>
      <c r="G33" s="165" t="s">
        <v>393</v>
      </c>
      <c r="H33" s="165" t="s">
        <v>394</v>
      </c>
      <c r="I33" s="165" t="s">
        <v>395</v>
      </c>
      <c r="J33" s="165" t="s">
        <v>396</v>
      </c>
      <c r="K33" s="165" t="s">
        <v>397</v>
      </c>
      <c r="L33" s="165" t="s">
        <v>398</v>
      </c>
      <c r="M33" s="165" t="s">
        <v>399</v>
      </c>
      <c r="N33" s="165" t="s">
        <v>400</v>
      </c>
      <c r="O33" s="165" t="s">
        <v>380</v>
      </c>
      <c r="P33" s="165" t="s">
        <v>386</v>
      </c>
      <c r="Q33" s="165" t="s">
        <v>401</v>
      </c>
      <c r="R33" s="165" t="s">
        <v>402</v>
      </c>
      <c r="S33" s="165" t="s">
        <v>403</v>
      </c>
      <c r="T33" s="165" t="s">
        <v>404</v>
      </c>
      <c r="U33" s="1"/>
      <c r="V33" s="1"/>
      <c r="W33" s="1"/>
      <c r="X33" s="1"/>
      <c r="Y33" s="1"/>
      <c r="Z33" s="1"/>
      <c r="AA33" s="1"/>
      <c r="AB33" s="1"/>
      <c r="AC33" s="1"/>
      <c r="AD33" s="1"/>
      <c r="AE33" s="1"/>
      <c r="AF33" s="1"/>
      <c r="AG33" s="1"/>
      <c r="AH33" s="1"/>
      <c r="AI33" s="1"/>
      <c r="AJ33" s="1"/>
      <c r="AK33" s="1"/>
      <c r="AL33" s="1"/>
      <c r="AM33" s="1"/>
      <c r="AN33" s="1"/>
      <c r="AO33" s="1"/>
      <c r="AP33" s="1"/>
      <c r="AQ33" s="1"/>
      <c r="AR33" s="1"/>
      <c r="AS33" s="1"/>
    </row>
    <row r="34" spans="1:45" ht="18" customHeight="1" x14ac:dyDescent="0.25">
      <c r="A34" s="1"/>
      <c r="B34" s="25" t="s">
        <v>287</v>
      </c>
      <c r="C34" s="167"/>
      <c r="D34" s="167"/>
      <c r="E34" s="167"/>
      <c r="F34" s="167"/>
      <c r="G34" s="167"/>
      <c r="H34" s="167"/>
      <c r="I34" s="167"/>
      <c r="J34" s="167"/>
      <c r="K34" s="167"/>
      <c r="L34" s="167"/>
      <c r="M34" s="167"/>
      <c r="N34" s="167"/>
      <c r="O34" s="167"/>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row>
    <row r="35" spans="1:45" ht="18" customHeight="1" x14ac:dyDescent="0.25">
      <c r="A35" s="1"/>
      <c r="B35" s="20" t="s">
        <v>316</v>
      </c>
      <c r="C35" s="112">
        <f>C9/SUM($C$9:$F$9)</f>
        <v>0.17524134883565712</v>
      </c>
      <c r="D35" s="112">
        <f t="shared" ref="D35:F35" si="0">D9/SUM($C$9:$F$9)</f>
        <v>0.26105794322652215</v>
      </c>
      <c r="E35" s="112">
        <f t="shared" si="0"/>
        <v>0.23711311244900732</v>
      </c>
      <c r="F35" s="112">
        <f t="shared" si="0"/>
        <v>0.32658759548881344</v>
      </c>
      <c r="G35" s="112">
        <f>G9/SUM($G$9:$J$9)</f>
        <v>0.19543920207227894</v>
      </c>
      <c r="H35" s="112">
        <f t="shared" ref="H35:J35" si="1">H9/SUM($G$9:$J$9)</f>
        <v>0.25613251863257652</v>
      </c>
      <c r="I35" s="112">
        <f t="shared" si="1"/>
        <v>0.23076349706158195</v>
      </c>
      <c r="J35" s="112">
        <f t="shared" si="1"/>
        <v>0.31766478223356243</v>
      </c>
      <c r="K35" s="112">
        <f>K9/SUM($K$9:$N$9)</f>
        <v>0.19607254759638995</v>
      </c>
      <c r="L35" s="112">
        <f t="shared" ref="L35:N35" si="2">L9/SUM($K$9:$N$9)</f>
        <v>0.2454596086124636</v>
      </c>
      <c r="M35" s="112">
        <f t="shared" si="2"/>
        <v>0.24216404336095407</v>
      </c>
      <c r="N35" s="112">
        <f t="shared" si="2"/>
        <v>0.31630380043019241</v>
      </c>
      <c r="O35" s="62"/>
      <c r="P35" s="168">
        <f>1/SUM(Q35:R35)*SUM(S35:T35)</f>
        <v>1.2566517592334787</v>
      </c>
      <c r="Q35" s="43">
        <f>AVERAGE(C35,G35,K35)</f>
        <v>0.18891769950144199</v>
      </c>
      <c r="R35" s="43">
        <f t="shared" ref="R35:T39" si="3">AVERAGE(D35,H35,L35)</f>
        <v>0.25421669015718745</v>
      </c>
      <c r="S35" s="43">
        <f t="shared" si="3"/>
        <v>0.23668021762384781</v>
      </c>
      <c r="T35" s="43">
        <f t="shared" si="3"/>
        <v>0.32018539271752272</v>
      </c>
      <c r="U35" s="1"/>
      <c r="V35" s="1"/>
      <c r="W35" s="1"/>
      <c r="X35" s="1"/>
      <c r="Y35" s="1"/>
      <c r="Z35" s="1"/>
      <c r="AA35" s="1"/>
      <c r="AB35" s="1"/>
      <c r="AC35" s="1"/>
      <c r="AD35" s="1"/>
      <c r="AE35" s="1"/>
      <c r="AF35" s="1"/>
      <c r="AG35" s="1"/>
      <c r="AH35" s="1"/>
      <c r="AI35" s="1"/>
      <c r="AJ35" s="1"/>
      <c r="AK35" s="1"/>
      <c r="AL35" s="1"/>
      <c r="AM35" s="1"/>
      <c r="AN35" s="1"/>
      <c r="AO35" s="1"/>
      <c r="AP35" s="1"/>
      <c r="AQ35" s="1"/>
      <c r="AR35" s="1"/>
      <c r="AS35" s="1"/>
    </row>
    <row r="36" spans="1:45" ht="18" customHeight="1" x14ac:dyDescent="0.25">
      <c r="A36" s="1"/>
      <c r="B36" s="20" t="s">
        <v>311</v>
      </c>
      <c r="C36" s="112">
        <f>C10/SUM($C$10:$F$10)</f>
        <v>0.21567783409059837</v>
      </c>
      <c r="D36" s="112">
        <f t="shared" ref="D36:F36" si="4">D10/SUM($C$10:$F$10)</f>
        <v>0.23211561597897781</v>
      </c>
      <c r="E36" s="112">
        <f t="shared" si="4"/>
        <v>0.27401921956812769</v>
      </c>
      <c r="F36" s="112">
        <f t="shared" si="4"/>
        <v>0.27818733036229604</v>
      </c>
      <c r="G36" s="112">
        <f>G10/SUM($G$10:$J$10)</f>
        <v>0.21813010224430332</v>
      </c>
      <c r="H36" s="112">
        <f t="shared" ref="H36:J36" si="5">H10/SUM($G$10:$J$10)</f>
        <v>0.22628341954406747</v>
      </c>
      <c r="I36" s="112">
        <f t="shared" si="5"/>
        <v>0.26661643676581115</v>
      </c>
      <c r="J36" s="112">
        <f t="shared" si="5"/>
        <v>0.28897004144581795</v>
      </c>
      <c r="K36" s="112">
        <f>K10/SUM($K$10:$N$10)</f>
        <v>0.23573296602625468</v>
      </c>
      <c r="L36" s="112">
        <f t="shared" ref="L36:N36" si="6">L10/SUM($K$10:$N$10)</f>
        <v>0.24035005665102363</v>
      </c>
      <c r="M36" s="112">
        <f t="shared" si="6"/>
        <v>0.25501191425199554</v>
      </c>
      <c r="N36" s="112">
        <f t="shared" si="6"/>
        <v>0.2689050630707262</v>
      </c>
      <c r="O36" s="62"/>
      <c r="P36" s="168">
        <f t="shared" ref="P36:P39" si="7">1/SUM(Q36:R36)*SUM(S36:T36)</f>
        <v>1.1925176767948427</v>
      </c>
      <c r="Q36" s="43">
        <f>AVERAGE(C36,G36,K36)</f>
        <v>0.22318030078705212</v>
      </c>
      <c r="R36" s="43">
        <f t="shared" si="3"/>
        <v>0.23291636405802296</v>
      </c>
      <c r="S36" s="43">
        <f t="shared" si="3"/>
        <v>0.26521585686197813</v>
      </c>
      <c r="T36" s="43">
        <f t="shared" si="3"/>
        <v>0.27868747829294671</v>
      </c>
      <c r="U36" s="1"/>
      <c r="V36" s="1"/>
      <c r="W36" s="1"/>
      <c r="X36" s="1"/>
      <c r="Y36" s="1"/>
      <c r="Z36" s="1"/>
      <c r="AA36" s="1"/>
      <c r="AB36" s="1"/>
      <c r="AC36" s="1"/>
      <c r="AD36" s="1"/>
      <c r="AE36" s="1"/>
      <c r="AF36" s="1"/>
      <c r="AG36" s="1"/>
      <c r="AH36" s="1"/>
      <c r="AI36" s="1"/>
      <c r="AJ36" s="1"/>
      <c r="AK36" s="1"/>
      <c r="AL36" s="1"/>
      <c r="AM36" s="1"/>
      <c r="AN36" s="1"/>
      <c r="AO36" s="1"/>
      <c r="AP36" s="1"/>
      <c r="AQ36" s="1"/>
      <c r="AR36" s="1"/>
      <c r="AS36" s="1"/>
    </row>
    <row r="37" spans="1:45" ht="18" customHeight="1" x14ac:dyDescent="0.25">
      <c r="A37" s="1"/>
      <c r="B37" s="20" t="s">
        <v>313</v>
      </c>
      <c r="C37" s="112">
        <f>C11/SUM($C$11:$F$11)</f>
        <v>0.22177920307143623</v>
      </c>
      <c r="D37" s="112">
        <f t="shared" ref="D37:F37" si="8">D11/SUM($C$11:$F$11)</f>
        <v>0.22253056188553985</v>
      </c>
      <c r="E37" s="112">
        <f t="shared" si="8"/>
        <v>0.26990120211702945</v>
      </c>
      <c r="F37" s="112">
        <f t="shared" si="8"/>
        <v>0.28578903292599445</v>
      </c>
      <c r="G37" s="112">
        <f>G11/SUM($G$11:$J$11)</f>
        <v>0.23076727227907717</v>
      </c>
      <c r="H37" s="112">
        <f t="shared" ref="H37:J37" si="9">H11/SUM($G$11:$J$11)</f>
        <v>0.23303235164261102</v>
      </c>
      <c r="I37" s="112">
        <f t="shared" si="9"/>
        <v>0.2626869128502925</v>
      </c>
      <c r="J37" s="112">
        <f t="shared" si="9"/>
        <v>0.27351346322801928</v>
      </c>
      <c r="K37" s="112">
        <f>K11/SUM($K$11:$N$11)</f>
        <v>0.22376831132356334</v>
      </c>
      <c r="L37" s="112">
        <f t="shared" ref="L37:N37" si="10">L11/SUM($K$11:$N$11)</f>
        <v>0.22980014309057453</v>
      </c>
      <c r="M37" s="112">
        <f t="shared" si="10"/>
        <v>0.25443500667064378</v>
      </c>
      <c r="N37" s="112">
        <f t="shared" si="10"/>
        <v>0.29199653891521832</v>
      </c>
      <c r="O37" s="62"/>
      <c r="P37" s="168">
        <f t="shared" si="7"/>
        <v>1.2031642908614977</v>
      </c>
      <c r="Q37" s="43">
        <f>AVERAGE(C37,G37,K37)</f>
        <v>0.22543826222469224</v>
      </c>
      <c r="R37" s="43">
        <f t="shared" si="3"/>
        <v>0.2284543522062418</v>
      </c>
      <c r="S37" s="43">
        <f t="shared" si="3"/>
        <v>0.26234104054598856</v>
      </c>
      <c r="T37" s="43">
        <f t="shared" si="3"/>
        <v>0.28376634502307735</v>
      </c>
      <c r="U37" s="1"/>
      <c r="V37" s="1"/>
      <c r="W37" s="1"/>
      <c r="X37" s="1"/>
      <c r="Y37" s="1"/>
      <c r="Z37" s="1"/>
      <c r="AA37" s="1"/>
      <c r="AB37" s="1"/>
      <c r="AC37" s="1"/>
      <c r="AD37" s="1"/>
      <c r="AE37" s="1"/>
      <c r="AF37" s="1"/>
      <c r="AG37" s="1"/>
      <c r="AH37" s="1"/>
      <c r="AI37" s="1"/>
      <c r="AJ37" s="1"/>
      <c r="AK37" s="1"/>
      <c r="AL37" s="1"/>
      <c r="AM37" s="1"/>
      <c r="AN37" s="1"/>
      <c r="AO37" s="1"/>
      <c r="AP37" s="1"/>
      <c r="AQ37" s="1"/>
      <c r="AR37" s="1"/>
      <c r="AS37" s="1"/>
    </row>
    <row r="38" spans="1:45" ht="18" customHeight="1" x14ac:dyDescent="0.25">
      <c r="A38" s="1"/>
      <c r="B38" s="20" t="s">
        <v>317</v>
      </c>
      <c r="C38" s="112">
        <f>C12/SUM($C$12:$F$12)</f>
        <v>0.20893977388150575</v>
      </c>
      <c r="D38" s="112">
        <f t="shared" ref="D38:F38" si="11">D12/SUM($C$12:$F$12)</f>
        <v>0.20050818539750914</v>
      </c>
      <c r="E38" s="112">
        <f t="shared" si="11"/>
        <v>0.30521958574976388</v>
      </c>
      <c r="F38" s="112">
        <f t="shared" si="11"/>
        <v>0.28533245497122123</v>
      </c>
      <c r="G38" s="112">
        <f>G12/SUM($G$12:$J$12)</f>
        <v>0.21702948970300204</v>
      </c>
      <c r="H38" s="112">
        <f t="shared" ref="H38:J38" si="12">H12/SUM($G$12:$J$12)</f>
        <v>0.22221762269090808</v>
      </c>
      <c r="I38" s="112">
        <f t="shared" si="12"/>
        <v>0.2873460407845117</v>
      </c>
      <c r="J38" s="112">
        <f t="shared" si="12"/>
        <v>0.27340684682157823</v>
      </c>
      <c r="K38" s="112">
        <f>K12/SUM($K$12:$N$12)</f>
        <v>0.21958593589699466</v>
      </c>
      <c r="L38" s="112">
        <f t="shared" ref="L38:N38" si="13">L12/SUM($K$12:$N$12)</f>
        <v>0.25080261491204647</v>
      </c>
      <c r="M38" s="112">
        <f t="shared" si="13"/>
        <v>0.27979733571137733</v>
      </c>
      <c r="N38" s="112">
        <f t="shared" si="13"/>
        <v>0.24981411347958157</v>
      </c>
      <c r="O38" s="62"/>
      <c r="P38" s="168">
        <f t="shared" si="7"/>
        <v>1.274306153809452</v>
      </c>
      <c r="Q38" s="43">
        <f>AVERAGE(C38,G38,K38)</f>
        <v>0.21518506649383418</v>
      </c>
      <c r="R38" s="43">
        <f t="shared" si="3"/>
        <v>0.22450947433348789</v>
      </c>
      <c r="S38" s="43">
        <f t="shared" si="3"/>
        <v>0.29078765408188428</v>
      </c>
      <c r="T38" s="43">
        <f t="shared" si="3"/>
        <v>0.26951780509079371</v>
      </c>
      <c r="U38" s="1"/>
      <c r="V38" s="1"/>
      <c r="W38" s="1"/>
      <c r="X38" s="1"/>
      <c r="Y38" s="1"/>
      <c r="Z38" s="1"/>
      <c r="AA38" s="1"/>
      <c r="AB38" s="1"/>
      <c r="AC38" s="1"/>
      <c r="AD38" s="1"/>
      <c r="AE38" s="1"/>
      <c r="AF38" s="1"/>
      <c r="AG38" s="1"/>
      <c r="AH38" s="1"/>
      <c r="AI38" s="1"/>
      <c r="AJ38" s="1"/>
      <c r="AK38" s="1"/>
      <c r="AL38" s="1"/>
      <c r="AM38" s="1"/>
      <c r="AN38" s="1"/>
      <c r="AO38" s="1"/>
      <c r="AP38" s="1"/>
      <c r="AQ38" s="1"/>
      <c r="AR38" s="1"/>
      <c r="AS38" s="1"/>
    </row>
    <row r="39" spans="1:45" ht="18" customHeight="1" thickBot="1" x14ac:dyDescent="0.3">
      <c r="A39" s="1"/>
      <c r="B39" s="20" t="s">
        <v>314</v>
      </c>
      <c r="C39" s="112">
        <f>C13/SUM($C$13:$F$13)</f>
        <v>0.22461838438820231</v>
      </c>
      <c r="D39" s="112">
        <f t="shared" ref="D39:F39" si="14">D13/SUM($C$13:$F$13)</f>
        <v>0.2359126424662793</v>
      </c>
      <c r="E39" s="112">
        <f t="shared" si="14"/>
        <v>0.2566869450842012</v>
      </c>
      <c r="F39" s="112">
        <f t="shared" si="14"/>
        <v>0.2827820280613173</v>
      </c>
      <c r="G39" s="112">
        <f>G13/SUM($G$13:$J$13)</f>
        <v>0.24185283373119071</v>
      </c>
      <c r="H39" s="112">
        <f t="shared" ref="H39:J39" si="15">H13/SUM($G$13:$J$13)</f>
        <v>0.23880362467128943</v>
      </c>
      <c r="I39" s="112">
        <f t="shared" si="15"/>
        <v>0.28620163100903073</v>
      </c>
      <c r="J39" s="112">
        <f t="shared" si="15"/>
        <v>0.23314191058848918</v>
      </c>
      <c r="K39" s="112">
        <f>K13/SUM($K$13:$N$13)</f>
        <v>0.2020767541633961</v>
      </c>
      <c r="L39" s="112">
        <f t="shared" ref="L39:N39" si="16">L13/SUM($K$13:$N$13)</f>
        <v>0.24170852059225176</v>
      </c>
      <c r="M39" s="112">
        <f t="shared" si="16"/>
        <v>0.2817245206916355</v>
      </c>
      <c r="N39" s="112">
        <f t="shared" si="16"/>
        <v>0.2744902045527165</v>
      </c>
      <c r="O39" s="62"/>
      <c r="P39" s="168">
        <f t="shared" si="7"/>
        <v>1.1661075846521967</v>
      </c>
      <c r="Q39" s="43">
        <f>AVERAGE(C39,G39,K39)</f>
        <v>0.22284932409426306</v>
      </c>
      <c r="R39" s="43">
        <f t="shared" si="3"/>
        <v>0.23880826257660684</v>
      </c>
      <c r="S39" s="43">
        <f t="shared" si="3"/>
        <v>0.27487103226162252</v>
      </c>
      <c r="T39" s="43">
        <f t="shared" si="3"/>
        <v>0.26347138106750762</v>
      </c>
      <c r="U39" s="1"/>
      <c r="V39" s="1"/>
      <c r="W39" s="1"/>
      <c r="X39" s="1"/>
      <c r="Y39" s="1"/>
      <c r="Z39" s="1"/>
      <c r="AA39" s="1"/>
      <c r="AB39" s="1"/>
      <c r="AC39" s="1"/>
      <c r="AD39" s="1"/>
      <c r="AE39" s="1"/>
      <c r="AF39" s="1"/>
      <c r="AG39" s="1"/>
      <c r="AH39" s="1"/>
      <c r="AI39" s="1"/>
      <c r="AJ39" s="1"/>
      <c r="AK39" s="1"/>
      <c r="AL39" s="1"/>
      <c r="AM39" s="1"/>
      <c r="AN39" s="1"/>
      <c r="AO39" s="1"/>
      <c r="AP39" s="1"/>
      <c r="AQ39" s="1"/>
      <c r="AR39" s="1"/>
      <c r="AS39" s="1"/>
    </row>
    <row r="40" spans="1:45" ht="18" customHeight="1" x14ac:dyDescent="0.25">
      <c r="A40" s="1"/>
      <c r="B40" s="167" t="s">
        <v>288</v>
      </c>
      <c r="C40" s="167"/>
      <c r="D40" s="167"/>
      <c r="E40" s="167"/>
      <c r="F40" s="167"/>
      <c r="G40" s="167"/>
      <c r="H40" s="167"/>
      <c r="I40" s="167"/>
      <c r="J40" s="167"/>
      <c r="K40" s="167"/>
      <c r="L40" s="167"/>
      <c r="M40" s="167"/>
      <c r="N40" s="167"/>
      <c r="O40" s="167"/>
      <c r="P40" s="167"/>
      <c r="Q40" s="167"/>
      <c r="R40" s="167"/>
      <c r="S40" s="167"/>
      <c r="T40" s="167"/>
      <c r="U40" s="1"/>
      <c r="V40" s="1"/>
      <c r="W40" s="1"/>
      <c r="X40" s="1"/>
      <c r="Y40" s="1"/>
      <c r="Z40" s="1"/>
      <c r="AA40" s="1"/>
      <c r="AB40" s="1"/>
      <c r="AC40" s="1"/>
      <c r="AD40" s="1"/>
      <c r="AE40" s="1"/>
      <c r="AF40" s="1"/>
      <c r="AG40" s="1"/>
      <c r="AH40" s="1"/>
      <c r="AI40" s="1"/>
      <c r="AJ40" s="1"/>
      <c r="AK40" s="1"/>
      <c r="AL40" s="1"/>
      <c r="AM40" s="1"/>
      <c r="AN40" s="1"/>
      <c r="AO40" s="1"/>
      <c r="AP40" s="1"/>
      <c r="AQ40" s="1"/>
      <c r="AR40" s="1"/>
      <c r="AS40" s="1"/>
    </row>
    <row r="41" spans="1:45" ht="18" customHeight="1" x14ac:dyDescent="0.25">
      <c r="A41" s="1"/>
      <c r="B41" s="20" t="s">
        <v>316</v>
      </c>
      <c r="C41" s="112">
        <f>C15/SUM($C$15:$F$15)</f>
        <v>0.19958520237854613</v>
      </c>
      <c r="D41" s="112">
        <f t="shared" ref="D41:F41" si="17">D15/SUM($C$15:$F$15)</f>
        <v>0.23912696372930511</v>
      </c>
      <c r="E41" s="112">
        <f t="shared" si="17"/>
        <v>0.25082016175284133</v>
      </c>
      <c r="F41" s="112">
        <f t="shared" si="17"/>
        <v>0.31046767213930737</v>
      </c>
      <c r="G41" s="112">
        <f>G15/SUM($G$15:$J$15)</f>
        <v>0.21809145603671265</v>
      </c>
      <c r="H41" s="112">
        <f t="shared" ref="H41:J41" si="18">H15/SUM($G$15:$J$15)</f>
        <v>0.24394489675552603</v>
      </c>
      <c r="I41" s="112">
        <f t="shared" si="18"/>
        <v>0.23707886550476304</v>
      </c>
      <c r="J41" s="112">
        <f t="shared" si="18"/>
        <v>0.30088478170299826</v>
      </c>
      <c r="K41" s="112">
        <f>K15/SUM($K$15:$N$15)</f>
        <v>0.20792972912717314</v>
      </c>
      <c r="L41" s="112">
        <f t="shared" ref="L41:N41" si="19">L15/SUM($K$15:$N$15)</f>
        <v>0.24210396266536882</v>
      </c>
      <c r="M41" s="112">
        <f t="shared" si="19"/>
        <v>0.23880106639047016</v>
      </c>
      <c r="N41" s="112">
        <f t="shared" si="19"/>
        <v>0.31116524181698785</v>
      </c>
      <c r="O41" s="62"/>
      <c r="P41" s="168">
        <f t="shared" ref="P41:P45" si="20">1/SUM(Q41:R41)*SUM(S41:T41)</f>
        <v>1.2209353782218595</v>
      </c>
      <c r="Q41" s="43">
        <f>AVERAGE(C41,G41,K41)</f>
        <v>0.20853546251414398</v>
      </c>
      <c r="R41" s="43">
        <f t="shared" ref="R41:R45" si="21">AVERAGE(D41,H41,L41)</f>
        <v>0.24172527438339997</v>
      </c>
      <c r="S41" s="43">
        <f t="shared" ref="S41:S45" si="22">AVERAGE(E41,I41,M41)</f>
        <v>0.24223336454935818</v>
      </c>
      <c r="T41" s="43">
        <f t="shared" ref="T41:T45" si="23">AVERAGE(F41,J41,N41)</f>
        <v>0.30750589855309785</v>
      </c>
      <c r="U41" s="1"/>
      <c r="V41" s="1"/>
      <c r="W41" s="1"/>
      <c r="X41" s="1"/>
      <c r="Y41" s="1"/>
      <c r="Z41" s="1"/>
      <c r="AA41" s="1"/>
      <c r="AB41" s="1"/>
      <c r="AC41" s="1"/>
      <c r="AD41" s="1"/>
      <c r="AE41" s="1"/>
      <c r="AF41" s="1"/>
      <c r="AG41" s="1"/>
      <c r="AH41" s="1"/>
      <c r="AI41" s="1"/>
      <c r="AJ41" s="1"/>
      <c r="AK41" s="1"/>
      <c r="AL41" s="1"/>
      <c r="AM41" s="1"/>
      <c r="AN41" s="1"/>
      <c r="AO41" s="1"/>
      <c r="AP41" s="1"/>
      <c r="AQ41" s="1"/>
      <c r="AR41" s="1"/>
      <c r="AS41" s="1"/>
    </row>
    <row r="42" spans="1:45" ht="18" customHeight="1" x14ac:dyDescent="0.25">
      <c r="A42" s="1"/>
      <c r="B42" s="20" t="s">
        <v>311</v>
      </c>
      <c r="C42" s="112">
        <f>C16/SUM($C$16:$F$16)</f>
        <v>0.23515881491820659</v>
      </c>
      <c r="D42" s="112">
        <f t="shared" ref="D42:F42" si="24">D16/SUM($C$16:$F$16)</f>
        <v>0.22030868732032396</v>
      </c>
      <c r="E42" s="112">
        <f t="shared" si="24"/>
        <v>0.26303533943649227</v>
      </c>
      <c r="F42" s="112">
        <f t="shared" si="24"/>
        <v>0.28149715832497713</v>
      </c>
      <c r="G42" s="112">
        <f>G16/SUM($G$16:$J$16)</f>
        <v>0.22501651386034857</v>
      </c>
      <c r="H42" s="112">
        <f t="shared" ref="H42:J42" si="25">H16/SUM($G$16:$J$16)</f>
        <v>0.22833100057570344</v>
      </c>
      <c r="I42" s="112">
        <f t="shared" si="25"/>
        <v>0.24742709200744378</v>
      </c>
      <c r="J42" s="112">
        <f t="shared" si="25"/>
        <v>0.29922539355650429</v>
      </c>
      <c r="K42" s="112">
        <f>K16/SUM($K$16:$N$16)</f>
        <v>0.20249783998414456</v>
      </c>
      <c r="L42" s="112">
        <f t="shared" ref="L42:N42" si="26">L16/SUM($K$16:$N$16)</f>
        <v>0.22892444196006279</v>
      </c>
      <c r="M42" s="112">
        <f t="shared" si="26"/>
        <v>0.25016023206358856</v>
      </c>
      <c r="N42" s="112">
        <f t="shared" si="26"/>
        <v>0.31841748599220421</v>
      </c>
      <c r="O42" s="62"/>
      <c r="P42" s="168">
        <f t="shared" si="20"/>
        <v>1.2384095735074037</v>
      </c>
      <c r="Q42" s="43">
        <f>AVERAGE(C42,G42,K42)</f>
        <v>0.22089105625423322</v>
      </c>
      <c r="R42" s="43">
        <f t="shared" si="21"/>
        <v>0.22585470995203005</v>
      </c>
      <c r="S42" s="43">
        <f t="shared" si="22"/>
        <v>0.25354088783584156</v>
      </c>
      <c r="T42" s="43">
        <f t="shared" si="23"/>
        <v>0.29971334595789517</v>
      </c>
      <c r="U42" s="1"/>
      <c r="V42" s="1"/>
      <c r="W42" s="1"/>
      <c r="X42" s="1"/>
      <c r="Y42" s="1"/>
      <c r="Z42" s="1"/>
      <c r="AA42" s="1"/>
      <c r="AB42" s="1"/>
      <c r="AC42" s="1"/>
      <c r="AD42" s="1"/>
      <c r="AE42" s="1"/>
      <c r="AF42" s="1"/>
      <c r="AG42" s="1"/>
      <c r="AH42" s="1"/>
      <c r="AI42" s="1"/>
      <c r="AJ42" s="1"/>
      <c r="AK42" s="1"/>
      <c r="AL42" s="1"/>
      <c r="AM42" s="1"/>
      <c r="AN42" s="1"/>
      <c r="AO42" s="1"/>
      <c r="AP42" s="1"/>
      <c r="AQ42" s="1"/>
      <c r="AR42" s="1"/>
      <c r="AS42" s="1"/>
    </row>
    <row r="43" spans="1:45" ht="18" customHeight="1" x14ac:dyDescent="0.25">
      <c r="A43" s="1"/>
      <c r="B43" s="20" t="s">
        <v>313</v>
      </c>
      <c r="C43" s="112">
        <f>C17/SUM($C$17:$F$17)</f>
        <v>0.20648819639424107</v>
      </c>
      <c r="D43" s="112">
        <f t="shared" ref="D43:F43" si="27">D17/SUM($C$17:$F$17)</f>
        <v>0.20608227020884071</v>
      </c>
      <c r="E43" s="112">
        <f t="shared" si="27"/>
        <v>0.26988452824960707</v>
      </c>
      <c r="F43" s="112">
        <f t="shared" si="27"/>
        <v>0.31754500514731104</v>
      </c>
      <c r="G43" s="112">
        <f>G17/SUM($G$17:$J$17)</f>
        <v>0.24751856496407898</v>
      </c>
      <c r="H43" s="112">
        <f t="shared" ref="H43:J43" si="28">H17/SUM($G$17:$J$17)</f>
        <v>0.17361115520533174</v>
      </c>
      <c r="I43" s="112">
        <f t="shared" si="28"/>
        <v>0.28144562604853762</v>
      </c>
      <c r="J43" s="112">
        <f t="shared" si="28"/>
        <v>0.29742465378205174</v>
      </c>
      <c r="K43" s="112">
        <f>K17/SUM($K$17:$N$17)</f>
        <v>0.25395465259359318</v>
      </c>
      <c r="L43" s="112">
        <f t="shared" ref="L43:N43" si="29">L17/SUM($K$17:$N$17)</f>
        <v>0.2233669699902073</v>
      </c>
      <c r="M43" s="112">
        <f t="shared" si="29"/>
        <v>0.29267781693219203</v>
      </c>
      <c r="N43" s="112">
        <f t="shared" si="29"/>
        <v>0.23000056048400749</v>
      </c>
      <c r="O43" s="62"/>
      <c r="P43" s="168">
        <f t="shared" si="20"/>
        <v>1.2882914522016908</v>
      </c>
      <c r="Q43" s="43">
        <f>AVERAGE(C43,G43,K43)</f>
        <v>0.23598713798397108</v>
      </c>
      <c r="R43" s="43">
        <f t="shared" si="21"/>
        <v>0.20102013180145992</v>
      </c>
      <c r="S43" s="43">
        <f t="shared" si="22"/>
        <v>0.28133599041011226</v>
      </c>
      <c r="T43" s="43">
        <f t="shared" si="23"/>
        <v>0.28165673980445677</v>
      </c>
      <c r="U43" s="1"/>
      <c r="V43" s="1"/>
      <c r="W43" s="1"/>
      <c r="X43" s="1"/>
      <c r="Y43" s="1"/>
      <c r="Z43" s="1"/>
      <c r="AA43" s="1"/>
      <c r="AB43" s="1"/>
      <c r="AC43" s="1"/>
      <c r="AD43" s="1"/>
      <c r="AE43" s="1"/>
      <c r="AF43" s="1"/>
      <c r="AG43" s="1"/>
      <c r="AH43" s="1"/>
      <c r="AI43" s="1"/>
      <c r="AJ43" s="1"/>
      <c r="AK43" s="1"/>
      <c r="AL43" s="1"/>
      <c r="AM43" s="1"/>
      <c r="AN43" s="1"/>
      <c r="AO43" s="1"/>
      <c r="AP43" s="1"/>
      <c r="AQ43" s="1"/>
      <c r="AR43" s="1"/>
      <c r="AS43" s="1"/>
    </row>
    <row r="44" spans="1:45" ht="18" customHeight="1" x14ac:dyDescent="0.25">
      <c r="A44" s="1"/>
      <c r="B44" s="20" t="s">
        <v>317</v>
      </c>
      <c r="C44" s="112">
        <f>C18/SUM($C$18:$F$18)</f>
        <v>0.20836814764594491</v>
      </c>
      <c r="D44" s="112">
        <f t="shared" ref="D44:F44" si="30">D18/SUM($C$18:$F$18)</f>
        <v>0.24093197006830022</v>
      </c>
      <c r="E44" s="112">
        <f t="shared" si="30"/>
        <v>0.31973049327133246</v>
      </c>
      <c r="F44" s="112">
        <f t="shared" si="30"/>
        <v>0.23096938901442238</v>
      </c>
      <c r="G44" s="112">
        <f>G18/SUM($G$18:$J$18)</f>
        <v>0.24681578603203833</v>
      </c>
      <c r="H44" s="112">
        <f t="shared" ref="H44:J44" si="31">H18/SUM($G$18:$J$18)</f>
        <v>0.23623973615458227</v>
      </c>
      <c r="I44" s="112">
        <f t="shared" si="31"/>
        <v>0.30983125494575953</v>
      </c>
      <c r="J44" s="112">
        <f t="shared" si="31"/>
        <v>0.20711322286761993</v>
      </c>
      <c r="K44" s="112">
        <f>K18/SUM($K$18:$N$18)</f>
        <v>0.21185295236947377</v>
      </c>
      <c r="L44" s="112">
        <f t="shared" ref="L44:N44" si="32">L18/SUM($K$18:$N$18)</f>
        <v>0.25497560769668492</v>
      </c>
      <c r="M44" s="112">
        <f t="shared" si="32"/>
        <v>0.3074967190850042</v>
      </c>
      <c r="N44" s="112">
        <f t="shared" si="32"/>
        <v>0.22567472084883708</v>
      </c>
      <c r="O44" s="62"/>
      <c r="P44" s="168">
        <f t="shared" si="20"/>
        <v>1.1441065444211729</v>
      </c>
      <c r="Q44" s="43">
        <f>AVERAGE(C44,G44,K44)</f>
        <v>0.22234562868248567</v>
      </c>
      <c r="R44" s="43">
        <f t="shared" si="21"/>
        <v>0.24404910463985582</v>
      </c>
      <c r="S44" s="43">
        <f t="shared" si="22"/>
        <v>0.31235282243403206</v>
      </c>
      <c r="T44" s="43">
        <f t="shared" si="23"/>
        <v>0.22125244424362647</v>
      </c>
      <c r="U44" s="1"/>
      <c r="V44" s="1"/>
      <c r="W44" s="1"/>
      <c r="X44" s="1"/>
      <c r="Y44" s="1"/>
      <c r="Z44" s="1"/>
      <c r="AA44" s="1"/>
      <c r="AB44" s="1"/>
      <c r="AC44" s="1"/>
      <c r="AD44" s="1"/>
      <c r="AE44" s="1"/>
      <c r="AF44" s="1"/>
      <c r="AG44" s="1"/>
      <c r="AH44" s="1"/>
      <c r="AI44" s="1"/>
      <c r="AJ44" s="1"/>
      <c r="AK44" s="1"/>
      <c r="AL44" s="1"/>
      <c r="AM44" s="1"/>
      <c r="AN44" s="1"/>
      <c r="AO44" s="1"/>
      <c r="AP44" s="1"/>
      <c r="AQ44" s="1"/>
      <c r="AR44" s="1"/>
      <c r="AS44" s="1"/>
    </row>
    <row r="45" spans="1:45" ht="18" customHeight="1" thickBot="1" x14ac:dyDescent="0.3">
      <c r="A45" s="1"/>
      <c r="B45" s="20" t="s">
        <v>314</v>
      </c>
      <c r="C45" s="112">
        <f>C19/SUM($C$19:$F$19)</f>
        <v>0.16148407646461671</v>
      </c>
      <c r="D45" s="112">
        <f t="shared" ref="D45:F45" si="33">D19/SUM($C$19:$F$19)</f>
        <v>0.30874895380401196</v>
      </c>
      <c r="E45" s="112">
        <f t="shared" si="33"/>
        <v>0.27775251409505897</v>
      </c>
      <c r="F45" s="112">
        <f t="shared" si="33"/>
        <v>0.25201445563631242</v>
      </c>
      <c r="G45" s="112">
        <f>G19/SUM($G$19:$J$19)</f>
        <v>0.21376661574183242</v>
      </c>
      <c r="H45" s="112">
        <f t="shared" ref="H45:J45" si="34">H19/SUM($G$19:$J$19)</f>
        <v>0.31510735791150157</v>
      </c>
      <c r="I45" s="112">
        <f t="shared" si="34"/>
        <v>0.25122354778956507</v>
      </c>
      <c r="J45" s="112">
        <f t="shared" si="34"/>
        <v>0.21990247855710096</v>
      </c>
      <c r="K45" s="112">
        <f>K19/SUM($K$19:$N$19)</f>
        <v>0.20400451886332865</v>
      </c>
      <c r="L45" s="112">
        <f t="shared" ref="L45:N45" si="35">L19/SUM($K$19:$N$19)</f>
        <v>0.29600473903958141</v>
      </c>
      <c r="M45" s="112">
        <f t="shared" si="35"/>
        <v>0.26149301870996872</v>
      </c>
      <c r="N45" s="112">
        <f t="shared" si="35"/>
        <v>0.23849772338712125</v>
      </c>
      <c r="O45" s="62"/>
      <c r="P45" s="168">
        <f t="shared" si="20"/>
        <v>1.001179012192225</v>
      </c>
      <c r="Q45" s="43">
        <f>AVERAGE(C45,G45,K45)</f>
        <v>0.19308507035659259</v>
      </c>
      <c r="R45" s="43">
        <f t="shared" si="21"/>
        <v>0.30662035025169837</v>
      </c>
      <c r="S45" s="43">
        <f t="shared" si="22"/>
        <v>0.2634896935315309</v>
      </c>
      <c r="T45" s="43">
        <f t="shared" si="23"/>
        <v>0.23680488586017823</v>
      </c>
      <c r="U45" s="1"/>
      <c r="V45" s="1"/>
      <c r="W45" s="1"/>
      <c r="X45" s="1"/>
      <c r="Y45" s="1"/>
      <c r="Z45" s="1"/>
      <c r="AA45" s="1"/>
      <c r="AB45" s="1"/>
      <c r="AC45" s="1"/>
      <c r="AD45" s="1"/>
      <c r="AE45" s="1"/>
      <c r="AF45" s="1"/>
      <c r="AG45" s="1"/>
      <c r="AH45" s="1"/>
      <c r="AI45" s="1"/>
      <c r="AJ45" s="1"/>
      <c r="AK45" s="1"/>
      <c r="AL45" s="1"/>
      <c r="AM45" s="1"/>
      <c r="AN45" s="1"/>
      <c r="AO45" s="1"/>
      <c r="AP45" s="1"/>
      <c r="AQ45" s="1"/>
      <c r="AR45" s="1"/>
      <c r="AS45" s="1"/>
    </row>
    <row r="46" spans="1:45" ht="18" customHeight="1" x14ac:dyDescent="0.25">
      <c r="A46" s="1"/>
      <c r="B46" s="167" t="s">
        <v>289</v>
      </c>
      <c r="C46" s="167"/>
      <c r="D46" s="167"/>
      <c r="E46" s="167"/>
      <c r="F46" s="167"/>
      <c r="G46" s="167"/>
      <c r="H46" s="167"/>
      <c r="I46" s="167"/>
      <c r="J46" s="167"/>
      <c r="K46" s="167"/>
      <c r="L46" s="167"/>
      <c r="M46" s="167"/>
      <c r="N46" s="167"/>
      <c r="O46" s="167"/>
      <c r="P46" s="167"/>
      <c r="Q46" s="167"/>
      <c r="R46" s="167"/>
      <c r="S46" s="167"/>
      <c r="T46" s="167"/>
      <c r="U46" s="1"/>
      <c r="V46" s="1"/>
      <c r="W46" s="1"/>
      <c r="X46" s="1"/>
      <c r="Y46" s="1"/>
      <c r="Z46" s="1"/>
      <c r="AA46" s="1"/>
      <c r="AB46" s="1"/>
      <c r="AC46" s="1"/>
      <c r="AD46" s="1"/>
      <c r="AE46" s="1"/>
      <c r="AF46" s="1"/>
      <c r="AG46" s="1"/>
      <c r="AH46" s="1"/>
      <c r="AI46" s="1"/>
      <c r="AJ46" s="1"/>
      <c r="AK46" s="1"/>
      <c r="AL46" s="1"/>
      <c r="AM46" s="1"/>
      <c r="AN46" s="1"/>
      <c r="AO46" s="1"/>
      <c r="AP46" s="1"/>
      <c r="AQ46" s="1"/>
      <c r="AR46" s="1"/>
      <c r="AS46" s="1"/>
    </row>
    <row r="47" spans="1:45" ht="18" customHeight="1" x14ac:dyDescent="0.25">
      <c r="A47" s="1"/>
      <c r="B47" s="20" t="s">
        <v>316</v>
      </c>
      <c r="C47" s="112">
        <f>C21/SUM($C$21:$F$21)</f>
        <v>0.18357245081731313</v>
      </c>
      <c r="D47" s="112">
        <f t="shared" ref="D47:F47" si="36">D21/SUM($C$21:$F$21)</f>
        <v>0.24302812743785446</v>
      </c>
      <c r="E47" s="112">
        <f t="shared" si="36"/>
        <v>0.22069272108501378</v>
      </c>
      <c r="F47" s="112">
        <f t="shared" si="36"/>
        <v>0.35270670065981857</v>
      </c>
      <c r="G47" s="112">
        <f>G21/SUM($G$21:$J$21)</f>
        <v>0.19560170888108297</v>
      </c>
      <c r="H47" s="112">
        <f t="shared" ref="H47:J47" si="37">H21/SUM($G$21:$J$21)</f>
        <v>0.21758693432083046</v>
      </c>
      <c r="I47" s="112">
        <f t="shared" si="37"/>
        <v>0.2199979284742781</v>
      </c>
      <c r="J47" s="112">
        <f t="shared" si="37"/>
        <v>0.36681342832380853</v>
      </c>
      <c r="K47" s="112">
        <f>K21/SUM($K$21:$N$21)</f>
        <v>0.18742734281801576</v>
      </c>
      <c r="L47" s="112">
        <f t="shared" ref="L47:N47" si="38">L21/SUM($K$21:$N$21)</f>
        <v>0.20948645878789679</v>
      </c>
      <c r="M47" s="112">
        <f t="shared" si="38"/>
        <v>0.22842046577343167</v>
      </c>
      <c r="N47" s="112">
        <f t="shared" si="38"/>
        <v>0.37466573262065578</v>
      </c>
      <c r="O47" s="62"/>
      <c r="P47" s="168">
        <f t="shared" ref="P47:P51" si="39">1/SUM(Q47:R47)*SUM(S47:T47)</f>
        <v>1.4258046952693424</v>
      </c>
      <c r="Q47" s="43">
        <f>AVERAGE(C47,G47,K47)</f>
        <v>0.18886716750547061</v>
      </c>
      <c r="R47" s="43">
        <f t="shared" ref="R47:R51" si="40">AVERAGE(D47,H47,L47)</f>
        <v>0.22336717351552723</v>
      </c>
      <c r="S47" s="43">
        <f t="shared" ref="S47:S51" si="41">AVERAGE(E47,I47,M47)</f>
        <v>0.22303703844424119</v>
      </c>
      <c r="T47" s="43">
        <f t="shared" ref="T47:T51" si="42">AVERAGE(F47,J47,N47)</f>
        <v>0.36472862053476091</v>
      </c>
      <c r="U47" s="1"/>
      <c r="V47" s="1"/>
      <c r="W47" s="1"/>
      <c r="X47" s="1"/>
      <c r="Y47" s="1"/>
      <c r="Z47" s="1"/>
      <c r="AA47" s="1"/>
      <c r="AB47" s="1"/>
      <c r="AC47" s="1"/>
      <c r="AD47" s="1"/>
      <c r="AE47" s="1"/>
      <c r="AF47" s="1"/>
      <c r="AG47" s="1"/>
      <c r="AH47" s="1"/>
      <c r="AI47" s="1"/>
      <c r="AJ47" s="1"/>
      <c r="AK47" s="1"/>
      <c r="AL47" s="1"/>
      <c r="AM47" s="1"/>
      <c r="AN47" s="1"/>
      <c r="AO47" s="1"/>
      <c r="AP47" s="1"/>
      <c r="AQ47" s="1"/>
      <c r="AR47" s="1"/>
      <c r="AS47" s="1"/>
    </row>
    <row r="48" spans="1:45" ht="18" customHeight="1" x14ac:dyDescent="0.25">
      <c r="A48" s="1"/>
      <c r="B48" s="20" t="s">
        <v>311</v>
      </c>
      <c r="C48" s="112">
        <f>C22/SUM($C$22:$F$22)</f>
        <v>0.24094090775360863</v>
      </c>
      <c r="D48" s="112">
        <f t="shared" ref="D48:F48" si="43">D22/SUM($C$22:$F$22)</f>
        <v>0.22554049589763972</v>
      </c>
      <c r="E48" s="112">
        <f t="shared" si="43"/>
        <v>0.25537735646276377</v>
      </c>
      <c r="F48" s="112">
        <f t="shared" si="43"/>
        <v>0.27814123988598782</v>
      </c>
      <c r="G48" s="112">
        <f>G22/SUM($G$22:$J$22)</f>
        <v>0.1990240298158088</v>
      </c>
      <c r="H48" s="112">
        <f t="shared" ref="H48:J48" si="44">H22/SUM($G$22:$J$22)</f>
        <v>0.21733990048713286</v>
      </c>
      <c r="I48" s="112">
        <f t="shared" si="44"/>
        <v>0.26996387723289428</v>
      </c>
      <c r="J48" s="112">
        <f t="shared" si="44"/>
        <v>0.31367219246416395</v>
      </c>
      <c r="K48" s="112">
        <f>K22/SUM($K$22:$N$22)</f>
        <v>0.16990901062873942</v>
      </c>
      <c r="L48" s="112">
        <f t="shared" ref="L48:N48" si="45">L22/SUM($K$22:$N$22)</f>
        <v>0.20408587469139297</v>
      </c>
      <c r="M48" s="112">
        <f t="shared" si="45"/>
        <v>0.28701796123781737</v>
      </c>
      <c r="N48" s="112">
        <f t="shared" si="45"/>
        <v>0.33898715344205022</v>
      </c>
      <c r="O48" s="62"/>
      <c r="P48" s="168">
        <f t="shared" si="39"/>
        <v>1.3869382551523914</v>
      </c>
      <c r="Q48" s="43">
        <f>AVERAGE(C48,G48,K48)</f>
        <v>0.2032913160660523</v>
      </c>
      <c r="R48" s="43">
        <f t="shared" si="40"/>
        <v>0.21565542369205518</v>
      </c>
      <c r="S48" s="43">
        <f t="shared" si="41"/>
        <v>0.27078639831115847</v>
      </c>
      <c r="T48" s="43">
        <f t="shared" si="42"/>
        <v>0.31026686193073399</v>
      </c>
      <c r="U48" s="1"/>
      <c r="V48" s="1"/>
      <c r="W48" s="1"/>
      <c r="X48" s="1"/>
      <c r="Y48" s="1"/>
      <c r="Z48" s="1"/>
      <c r="AA48" s="1"/>
      <c r="AB48" s="1"/>
      <c r="AC48" s="1"/>
      <c r="AD48" s="1"/>
      <c r="AE48" s="1"/>
      <c r="AF48" s="1"/>
      <c r="AG48" s="1"/>
      <c r="AH48" s="1"/>
      <c r="AI48" s="1"/>
      <c r="AJ48" s="1"/>
      <c r="AK48" s="1"/>
      <c r="AL48" s="1"/>
      <c r="AM48" s="1"/>
      <c r="AN48" s="1"/>
      <c r="AO48" s="1"/>
      <c r="AP48" s="1"/>
      <c r="AQ48" s="1"/>
      <c r="AR48" s="1"/>
      <c r="AS48" s="1"/>
    </row>
    <row r="49" spans="1:45" ht="18" customHeight="1" x14ac:dyDescent="0.25">
      <c r="A49" s="1"/>
      <c r="B49" s="20" t="s">
        <v>313</v>
      </c>
      <c r="C49" s="112">
        <f>C23/SUM($C$23:$F$23)</f>
        <v>0.20197593771174488</v>
      </c>
      <c r="D49" s="112">
        <f t="shared" ref="D49:F49" si="46">D23/SUM($C$23:$F$23)</f>
        <v>0.23742844815612799</v>
      </c>
      <c r="E49" s="112">
        <f t="shared" si="46"/>
        <v>0.25236114504229362</v>
      </c>
      <c r="F49" s="112">
        <f t="shared" si="46"/>
        <v>0.30823446908983343</v>
      </c>
      <c r="G49" s="112">
        <f>G23/SUM($G$23:$J$23)</f>
        <v>0.2022271749643117</v>
      </c>
      <c r="H49" s="112">
        <f t="shared" ref="H49:J49" si="47">H23/SUM($G$23:$J$23)</f>
        <v>0.2387124038533151</v>
      </c>
      <c r="I49" s="112">
        <f t="shared" si="47"/>
        <v>0.25871056510686913</v>
      </c>
      <c r="J49" s="112">
        <f t="shared" si="47"/>
        <v>0.30034985607550402</v>
      </c>
      <c r="K49" s="112">
        <f>K23/SUM($K$23:$N$23)</f>
        <v>0.19006066751173012</v>
      </c>
      <c r="L49" s="112">
        <f t="shared" ref="L49:N49" si="48">L23/SUM($K$23:$N$23)</f>
        <v>0.22935649134486541</v>
      </c>
      <c r="M49" s="112">
        <f t="shared" si="48"/>
        <v>0.2673633509770042</v>
      </c>
      <c r="N49" s="112">
        <f t="shared" si="48"/>
        <v>0.31321949016640033</v>
      </c>
      <c r="O49" s="62"/>
      <c r="P49" s="168">
        <f t="shared" si="39"/>
        <v>1.3081164266741814</v>
      </c>
      <c r="Q49" s="43">
        <f>AVERAGE(C49,G49,K49)</f>
        <v>0.19808792672926223</v>
      </c>
      <c r="R49" s="43">
        <f t="shared" si="40"/>
        <v>0.23516578111810285</v>
      </c>
      <c r="S49" s="43">
        <f t="shared" si="41"/>
        <v>0.25947835370872235</v>
      </c>
      <c r="T49" s="43">
        <f t="shared" si="42"/>
        <v>0.30726793844391259</v>
      </c>
      <c r="U49" s="1"/>
      <c r="V49" s="1"/>
      <c r="W49" s="1"/>
      <c r="X49" s="1"/>
      <c r="Y49" s="1"/>
      <c r="Z49" s="1"/>
      <c r="AA49" s="1"/>
      <c r="AB49" s="1"/>
      <c r="AC49" s="1"/>
      <c r="AD49" s="1"/>
      <c r="AE49" s="1"/>
      <c r="AF49" s="1"/>
      <c r="AG49" s="1"/>
      <c r="AH49" s="1"/>
      <c r="AI49" s="1"/>
      <c r="AJ49" s="1"/>
      <c r="AK49" s="1"/>
      <c r="AL49" s="1"/>
      <c r="AM49" s="1"/>
      <c r="AN49" s="1"/>
      <c r="AO49" s="1"/>
      <c r="AP49" s="1"/>
      <c r="AQ49" s="1"/>
      <c r="AR49" s="1"/>
      <c r="AS49" s="1"/>
    </row>
    <row r="50" spans="1:45" ht="18" customHeight="1" x14ac:dyDescent="0.25">
      <c r="A50" s="1"/>
      <c r="B50" s="20" t="s">
        <v>317</v>
      </c>
      <c r="C50" s="112">
        <f>C24/SUM($C$24:$F$24)</f>
        <v>0.24295714988637485</v>
      </c>
      <c r="D50" s="112">
        <f t="shared" ref="D50:F50" si="49">D24/SUM($C$24:$F$24)</f>
        <v>0.24109170640544944</v>
      </c>
      <c r="E50" s="112">
        <f t="shared" si="49"/>
        <v>0.26035804910127314</v>
      </c>
      <c r="F50" s="112">
        <f t="shared" si="49"/>
        <v>0.25559309460690249</v>
      </c>
      <c r="G50" s="112">
        <f>G24/SUM($G$24:$J$24)</f>
        <v>0.27719241886739643</v>
      </c>
      <c r="H50" s="112">
        <f t="shared" ref="H50:J50" si="50">H24/SUM($G$24:$J$24)</f>
        <v>0.255224900992569</v>
      </c>
      <c r="I50" s="112">
        <f t="shared" si="50"/>
        <v>0.23572904157810015</v>
      </c>
      <c r="J50" s="112">
        <f t="shared" si="50"/>
        <v>0.23185363856193439</v>
      </c>
      <c r="K50" s="112">
        <f>K24/SUM($K$24:$N$24)</f>
        <v>0.23099798011250811</v>
      </c>
      <c r="L50" s="112">
        <f t="shared" ref="L50:N50" si="51">L24/SUM($K$24:$N$24)</f>
        <v>0.24915494915997699</v>
      </c>
      <c r="M50" s="112">
        <f t="shared" si="51"/>
        <v>0.23944168868565566</v>
      </c>
      <c r="N50" s="112">
        <f t="shared" si="51"/>
        <v>0.28040538204185922</v>
      </c>
      <c r="O50" s="62"/>
      <c r="P50" s="168">
        <f t="shared" si="39"/>
        <v>1.004518042785197</v>
      </c>
      <c r="Q50" s="43">
        <f>AVERAGE(C50,G50,K50)</f>
        <v>0.25038251628875979</v>
      </c>
      <c r="R50" s="43">
        <f t="shared" si="40"/>
        <v>0.24849051885266515</v>
      </c>
      <c r="S50" s="43">
        <f t="shared" si="41"/>
        <v>0.24517625978834298</v>
      </c>
      <c r="T50" s="43">
        <f t="shared" si="42"/>
        <v>0.25595070507023204</v>
      </c>
      <c r="U50" s="1"/>
      <c r="V50" s="1"/>
      <c r="W50" s="1"/>
      <c r="X50" s="1"/>
      <c r="Y50" s="1"/>
      <c r="Z50" s="1"/>
      <c r="AA50" s="1"/>
      <c r="AB50" s="1"/>
      <c r="AC50" s="1"/>
      <c r="AD50" s="1"/>
      <c r="AE50" s="1"/>
      <c r="AF50" s="1"/>
      <c r="AG50" s="1"/>
      <c r="AH50" s="1"/>
      <c r="AI50" s="1"/>
      <c r="AJ50" s="1"/>
      <c r="AK50" s="1"/>
      <c r="AL50" s="1"/>
      <c r="AM50" s="1"/>
      <c r="AN50" s="1"/>
      <c r="AO50" s="1"/>
      <c r="AP50" s="1"/>
      <c r="AQ50" s="1"/>
      <c r="AR50" s="1"/>
      <c r="AS50" s="1"/>
    </row>
    <row r="51" spans="1:45" ht="18" customHeight="1" thickBot="1" x14ac:dyDescent="0.3">
      <c r="A51" s="1"/>
      <c r="B51" s="20" t="s">
        <v>25</v>
      </c>
      <c r="C51" s="112">
        <f>C25/SUM($C$25:$F$25)</f>
        <v>0.24150717492262941</v>
      </c>
      <c r="D51" s="112">
        <f t="shared" ref="D51:F51" si="52">D25/SUM($C$25:$F$25)</f>
        <v>0.27596444933226066</v>
      </c>
      <c r="E51" s="112">
        <f t="shared" si="52"/>
        <v>0.27870157755241981</v>
      </c>
      <c r="F51" s="112">
        <f t="shared" si="52"/>
        <v>0.20382679819269003</v>
      </c>
      <c r="G51" s="112">
        <f>G25/SUM($G$25:$J$25)</f>
        <v>0.29009517935552503</v>
      </c>
      <c r="H51" s="112">
        <f t="shared" ref="H51:J51" si="53">H25/SUM($G$25:$J$25)</f>
        <v>0.33097030414447087</v>
      </c>
      <c r="I51" s="112">
        <f t="shared" si="53"/>
        <v>0.25610824545601923</v>
      </c>
      <c r="J51" s="112">
        <f t="shared" si="53"/>
        <v>0.12282627104398479</v>
      </c>
      <c r="K51" s="112">
        <f>K25/SUM($K$25:$N$25)</f>
        <v>0.11108697499215953</v>
      </c>
      <c r="L51" s="112">
        <f t="shared" ref="L51:N51" si="54">L25/SUM($K$25:$N$25)</f>
        <v>0.26071984772479884</v>
      </c>
      <c r="M51" s="112">
        <f t="shared" si="54"/>
        <v>0.32688906244595445</v>
      </c>
      <c r="N51" s="112">
        <f t="shared" si="54"/>
        <v>0.30130411483708708</v>
      </c>
      <c r="O51" s="62"/>
      <c r="P51" s="168">
        <f t="shared" si="39"/>
        <v>0.98630254968666242</v>
      </c>
      <c r="Q51" s="43">
        <f>AVERAGE(C51,G51,K51)</f>
        <v>0.21422977642343799</v>
      </c>
      <c r="R51" s="43">
        <f t="shared" si="40"/>
        <v>0.28921820040051011</v>
      </c>
      <c r="S51" s="43">
        <f t="shared" si="41"/>
        <v>0.28723296181813113</v>
      </c>
      <c r="T51" s="43">
        <f t="shared" si="42"/>
        <v>0.20931906135792064</v>
      </c>
      <c r="U51" s="1"/>
      <c r="V51" s="1"/>
      <c r="W51" s="1"/>
      <c r="X51" s="1"/>
      <c r="Y51" s="1"/>
      <c r="Z51" s="1"/>
      <c r="AA51" s="1"/>
      <c r="AB51" s="1"/>
      <c r="AC51" s="1"/>
      <c r="AD51" s="1"/>
      <c r="AE51" s="1"/>
      <c r="AF51" s="1"/>
      <c r="AG51" s="1"/>
      <c r="AH51" s="1"/>
      <c r="AI51" s="1"/>
      <c r="AJ51" s="1"/>
      <c r="AK51" s="1"/>
      <c r="AL51" s="1"/>
      <c r="AM51" s="1"/>
      <c r="AN51" s="1"/>
      <c r="AO51" s="1"/>
      <c r="AP51" s="1"/>
      <c r="AQ51" s="1"/>
      <c r="AR51" s="1"/>
      <c r="AS51" s="1"/>
    </row>
    <row r="52" spans="1:45" ht="18" customHeight="1" x14ac:dyDescent="0.25">
      <c r="A52" s="1"/>
      <c r="B52" s="167" t="s">
        <v>290</v>
      </c>
      <c r="C52" s="167"/>
      <c r="D52" s="167"/>
      <c r="E52" s="167"/>
      <c r="F52" s="167"/>
      <c r="G52" s="167"/>
      <c r="H52" s="167"/>
      <c r="I52" s="167"/>
      <c r="J52" s="167"/>
      <c r="K52" s="167"/>
      <c r="L52" s="167"/>
      <c r="M52" s="167"/>
      <c r="N52" s="167"/>
      <c r="O52" s="167"/>
      <c r="P52" s="167"/>
      <c r="Q52" s="167"/>
      <c r="R52" s="167"/>
      <c r="S52" s="167"/>
      <c r="T52" s="167"/>
      <c r="U52" s="1"/>
      <c r="V52" s="1"/>
      <c r="W52" s="1"/>
      <c r="X52" s="1"/>
      <c r="Y52" s="1"/>
      <c r="Z52" s="1"/>
      <c r="AA52" s="1"/>
      <c r="AB52" s="1"/>
      <c r="AC52" s="1"/>
      <c r="AD52" s="1"/>
      <c r="AE52" s="1"/>
      <c r="AF52" s="1"/>
      <c r="AG52" s="1"/>
      <c r="AH52" s="1"/>
      <c r="AI52" s="1"/>
      <c r="AJ52" s="1"/>
      <c r="AK52" s="1"/>
      <c r="AL52" s="1"/>
      <c r="AM52" s="1"/>
      <c r="AN52" s="1"/>
      <c r="AO52" s="1"/>
      <c r="AP52" s="1"/>
      <c r="AQ52" s="1"/>
      <c r="AR52" s="1"/>
      <c r="AS52" s="1"/>
    </row>
    <row r="53" spans="1:45" ht="18" customHeight="1" x14ac:dyDescent="0.25">
      <c r="A53" s="1"/>
      <c r="B53" s="20" t="s">
        <v>316</v>
      </c>
      <c r="C53" s="112">
        <f>C27/SUM($C$27:$F$27)</f>
        <v>0.16434859630525259</v>
      </c>
      <c r="D53" s="112">
        <f t="shared" ref="D53:F53" si="55">D27/SUM($C$27:$F$27)</f>
        <v>0.21780022934347468</v>
      </c>
      <c r="E53" s="112">
        <f t="shared" si="55"/>
        <v>0.23905393598905691</v>
      </c>
      <c r="F53" s="112">
        <f t="shared" si="55"/>
        <v>0.37879723836221585</v>
      </c>
      <c r="G53" s="112">
        <f>G27/SUM($G$27:$J$27)</f>
        <v>0.1676020368145491</v>
      </c>
      <c r="H53" s="112">
        <f t="shared" ref="H53:J53" si="56">H27/SUM($G$27:$J$27)</f>
        <v>0.21738660776940888</v>
      </c>
      <c r="I53" s="112">
        <f t="shared" si="56"/>
        <v>0.24792393576336588</v>
      </c>
      <c r="J53" s="112">
        <f t="shared" si="56"/>
        <v>0.36708741965267616</v>
      </c>
      <c r="K53" s="112">
        <f>K27/SUM($K$27:$N$27)</f>
        <v>0.16651491003617783</v>
      </c>
      <c r="L53" s="112">
        <f t="shared" ref="L53:N53" si="57">L27/SUM($K$27:$N$27)</f>
        <v>0.21314296274968622</v>
      </c>
      <c r="M53" s="112">
        <f t="shared" si="57"/>
        <v>0.24178693525352715</v>
      </c>
      <c r="N53" s="112">
        <f t="shared" si="57"/>
        <v>0.37855519196060894</v>
      </c>
      <c r="O53" s="62"/>
      <c r="P53" s="168">
        <f>1/SUM(Q53:R53)*SUM(S53:T53)</f>
        <v>1.6159855097628135</v>
      </c>
      <c r="Q53" s="43">
        <f>AVERAGE(C53,G53,K53)</f>
        <v>0.16615518105199314</v>
      </c>
      <c r="R53" s="43">
        <f t="shared" ref="R53:R57" si="58">AVERAGE(D53,H53,L53)</f>
        <v>0.21610993328752326</v>
      </c>
      <c r="S53" s="43">
        <f t="shared" ref="S53:S57" si="59">AVERAGE(E53,I53,M53)</f>
        <v>0.24292160233531665</v>
      </c>
      <c r="T53" s="43">
        <f t="shared" ref="T53:T57" si="60">AVERAGE(F53,J53,N53)</f>
        <v>0.37481328332516695</v>
      </c>
      <c r="U53" s="1"/>
      <c r="V53" s="1"/>
      <c r="W53" s="1"/>
      <c r="X53" s="1"/>
      <c r="Y53" s="1"/>
      <c r="Z53" s="1"/>
      <c r="AA53" s="1"/>
      <c r="AB53" s="1"/>
      <c r="AC53" s="1"/>
      <c r="AD53" s="1"/>
      <c r="AE53" s="1"/>
      <c r="AF53" s="1"/>
      <c r="AG53" s="1"/>
      <c r="AH53" s="1"/>
      <c r="AI53" s="1"/>
      <c r="AJ53" s="1"/>
      <c r="AK53" s="1"/>
      <c r="AL53" s="1"/>
      <c r="AM53" s="1"/>
      <c r="AN53" s="1"/>
      <c r="AO53" s="1"/>
      <c r="AP53" s="1"/>
      <c r="AQ53" s="1"/>
      <c r="AR53" s="1"/>
      <c r="AS53" s="1"/>
    </row>
    <row r="54" spans="1:45" ht="18" customHeight="1" x14ac:dyDescent="0.25">
      <c r="A54" s="1"/>
      <c r="B54" s="20" t="s">
        <v>311</v>
      </c>
      <c r="C54" s="112">
        <f>C28/SUM($C$28:$F$28)</f>
        <v>0.15952740094330217</v>
      </c>
      <c r="D54" s="112">
        <f t="shared" ref="D54:F54" si="61">D28/SUM($C$28:$F$28)</f>
        <v>0.17694574583722833</v>
      </c>
      <c r="E54" s="112">
        <f t="shared" si="61"/>
        <v>0.20560095838773229</v>
      </c>
      <c r="F54" s="112">
        <f t="shared" si="61"/>
        <v>0.45792589483173723</v>
      </c>
      <c r="G54" s="112">
        <f>G28/SUM($G$28:$J$28)</f>
        <v>0.17545165848976696</v>
      </c>
      <c r="H54" s="112">
        <f t="shared" ref="H54:J54" si="62">H28/SUM($G$28:$J$28)</f>
        <v>0.19647386858675309</v>
      </c>
      <c r="I54" s="112">
        <f t="shared" si="62"/>
        <v>0.20555180263893252</v>
      </c>
      <c r="J54" s="112">
        <f t="shared" si="62"/>
        <v>0.42252267028454732</v>
      </c>
      <c r="K54" s="112">
        <f>K28/SUM($K$28:$N$28)</f>
        <v>0.16252819275113142</v>
      </c>
      <c r="L54" s="112">
        <f t="shared" ref="L54:N54" si="63">L28/SUM($K$28:$N$28)</f>
        <v>0.20502914344608877</v>
      </c>
      <c r="M54" s="112">
        <f t="shared" si="63"/>
        <v>0.24385483667214727</v>
      </c>
      <c r="N54" s="112">
        <f t="shared" si="63"/>
        <v>0.38858782713063256</v>
      </c>
      <c r="O54" s="62"/>
      <c r="P54" s="168">
        <f t="shared" ref="P54:P57" si="64">1/SUM(Q54:R54)*SUM(S54:T54)</f>
        <v>1.7882180795185862</v>
      </c>
      <c r="Q54" s="43">
        <f>AVERAGE(C54,G54,K54)</f>
        <v>0.16583575072806686</v>
      </c>
      <c r="R54" s="43">
        <f t="shared" si="58"/>
        <v>0.19281625262335675</v>
      </c>
      <c r="S54" s="43">
        <f t="shared" si="59"/>
        <v>0.21833586589960405</v>
      </c>
      <c r="T54" s="43">
        <f t="shared" si="60"/>
        <v>0.42301213074897231</v>
      </c>
      <c r="U54" s="1"/>
      <c r="V54" s="1"/>
      <c r="W54" s="1"/>
      <c r="X54" s="1"/>
      <c r="Y54" s="1"/>
      <c r="Z54" s="1"/>
      <c r="AA54" s="1"/>
      <c r="AB54" s="1"/>
      <c r="AC54" s="1"/>
      <c r="AD54" s="1"/>
      <c r="AE54" s="1"/>
      <c r="AF54" s="1"/>
      <c r="AG54" s="1"/>
      <c r="AH54" s="1"/>
      <c r="AI54" s="1"/>
      <c r="AJ54" s="1"/>
      <c r="AK54" s="1"/>
      <c r="AL54" s="1"/>
      <c r="AM54" s="1"/>
      <c r="AN54" s="1"/>
      <c r="AO54" s="1"/>
      <c r="AP54" s="1"/>
      <c r="AQ54" s="1"/>
      <c r="AR54" s="1"/>
      <c r="AS54" s="1"/>
    </row>
    <row r="55" spans="1:45" ht="18" customHeight="1" x14ac:dyDescent="0.25">
      <c r="A55" s="1"/>
      <c r="B55" s="20" t="s">
        <v>313</v>
      </c>
      <c r="C55" s="112">
        <f>C29/SUM($C$29:$F$29)</f>
        <v>0.15680689337166262</v>
      </c>
      <c r="D55" s="112">
        <f t="shared" ref="D55:F55" si="65">D29/SUM($C$29:$F$29)</f>
        <v>0.19119242329626071</v>
      </c>
      <c r="E55" s="112">
        <f t="shared" si="65"/>
        <v>0.29413379702246212</v>
      </c>
      <c r="F55" s="112">
        <f t="shared" si="65"/>
        <v>0.35786688630961438</v>
      </c>
      <c r="G55" s="112">
        <f>G29/SUM($G$29:$J$29)</f>
        <v>0.19577998506374994</v>
      </c>
      <c r="H55" s="112">
        <f t="shared" ref="H55:J55" si="66">H29/SUM($G$29:$J$29)</f>
        <v>0.24974810265502179</v>
      </c>
      <c r="I55" s="112">
        <f t="shared" si="66"/>
        <v>0.2563617066669131</v>
      </c>
      <c r="J55" s="112">
        <f t="shared" si="66"/>
        <v>0.29811020561431512</v>
      </c>
      <c r="K55" s="112">
        <f>K29/SUM($K$29:$N$29)</f>
        <v>0.20833665532724421</v>
      </c>
      <c r="L55" s="112">
        <f t="shared" ref="L55:N55" si="67">L29/SUM($K$29:$N$29)</f>
        <v>0.20703228508656935</v>
      </c>
      <c r="M55" s="112">
        <f t="shared" si="67"/>
        <v>0.26204843543428269</v>
      </c>
      <c r="N55" s="112">
        <f t="shared" si="67"/>
        <v>0.32258262415190381</v>
      </c>
      <c r="O55" s="62"/>
      <c r="P55" s="168">
        <f t="shared" si="64"/>
        <v>1.4816023415928665</v>
      </c>
      <c r="Q55" s="43">
        <f>AVERAGE(C55,G55,K55)</f>
        <v>0.18697451125421893</v>
      </c>
      <c r="R55" s="43">
        <f t="shared" si="58"/>
        <v>0.21599093701261729</v>
      </c>
      <c r="S55" s="43">
        <f t="shared" si="59"/>
        <v>0.27084797970788599</v>
      </c>
      <c r="T55" s="43">
        <f t="shared" si="60"/>
        <v>0.32618657202527773</v>
      </c>
      <c r="U55" s="1"/>
      <c r="V55" s="1"/>
      <c r="W55" s="1"/>
      <c r="X55" s="1"/>
      <c r="Y55" s="1"/>
      <c r="Z55" s="1"/>
      <c r="AA55" s="1"/>
      <c r="AB55" s="1"/>
      <c r="AC55" s="1"/>
      <c r="AD55" s="1"/>
      <c r="AE55" s="1"/>
      <c r="AF55" s="1"/>
      <c r="AG55" s="1"/>
      <c r="AH55" s="1"/>
      <c r="AI55" s="1"/>
      <c r="AJ55" s="1"/>
      <c r="AK55" s="1"/>
      <c r="AL55" s="1"/>
      <c r="AM55" s="1"/>
      <c r="AN55" s="1"/>
      <c r="AO55" s="1"/>
      <c r="AP55" s="1"/>
      <c r="AQ55" s="1"/>
      <c r="AR55" s="1"/>
      <c r="AS55" s="1"/>
    </row>
    <row r="56" spans="1:45" ht="18" customHeight="1" x14ac:dyDescent="0.25">
      <c r="A56" s="1"/>
      <c r="B56" s="20" t="s">
        <v>317</v>
      </c>
      <c r="C56" s="112">
        <f>C30/SUM($C$30:$F$30)</f>
        <v>0.16250591442914417</v>
      </c>
      <c r="D56" s="112">
        <f t="shared" ref="D56:F56" si="68">D30/SUM($C$30:$F$30)</f>
        <v>0.22116241858565877</v>
      </c>
      <c r="E56" s="112">
        <f t="shared" si="68"/>
        <v>0.2993940705821127</v>
      </c>
      <c r="F56" s="112">
        <f t="shared" si="68"/>
        <v>0.31693759640308439</v>
      </c>
      <c r="G56" s="112">
        <f>G30/SUM($G$30:$J$30)</f>
        <v>0.2775614741777872</v>
      </c>
      <c r="H56" s="112">
        <f t="shared" ref="H56:J56" si="69">H30/SUM($G$30:$J$30)</f>
        <v>0.24277330996822455</v>
      </c>
      <c r="I56" s="112">
        <f t="shared" si="69"/>
        <v>0.28184458678854246</v>
      </c>
      <c r="J56" s="112">
        <f t="shared" si="69"/>
        <v>0.1978206290654457</v>
      </c>
      <c r="K56" s="112">
        <f>K30/SUM($K$30:$N$30)</f>
        <v>0.22240807201934987</v>
      </c>
      <c r="L56" s="112">
        <f t="shared" ref="L56:N56" si="70">L30/SUM($K$30:$N$30)</f>
        <v>0.2089106162033281</v>
      </c>
      <c r="M56" s="112">
        <f t="shared" si="70"/>
        <v>0.31236884671457305</v>
      </c>
      <c r="N56" s="112">
        <f t="shared" si="70"/>
        <v>0.25631246506274907</v>
      </c>
      <c r="O56" s="62"/>
      <c r="P56" s="168">
        <f t="shared" si="64"/>
        <v>1.2466494502712222</v>
      </c>
      <c r="Q56" s="43">
        <f>AVERAGE(C56,G56,K56)</f>
        <v>0.22082515354209376</v>
      </c>
      <c r="R56" s="43">
        <f t="shared" si="58"/>
        <v>0.22428211491907046</v>
      </c>
      <c r="S56" s="43">
        <f t="shared" si="59"/>
        <v>0.2978691680284094</v>
      </c>
      <c r="T56" s="43">
        <f t="shared" si="60"/>
        <v>0.25702356351042638</v>
      </c>
      <c r="U56" s="1"/>
      <c r="V56" s="1"/>
      <c r="W56" s="1"/>
      <c r="X56" s="1"/>
      <c r="Y56" s="1"/>
      <c r="Z56" s="1"/>
      <c r="AA56" s="1"/>
      <c r="AB56" s="1"/>
      <c r="AC56" s="1"/>
      <c r="AD56" s="1"/>
      <c r="AE56" s="1"/>
      <c r="AF56" s="1"/>
      <c r="AG56" s="1"/>
      <c r="AH56" s="1"/>
      <c r="AI56" s="1"/>
      <c r="AJ56" s="1"/>
      <c r="AK56" s="1"/>
      <c r="AL56" s="1"/>
      <c r="AM56" s="1"/>
      <c r="AN56" s="1"/>
      <c r="AO56" s="1"/>
      <c r="AP56" s="1"/>
      <c r="AQ56" s="1"/>
      <c r="AR56" s="1"/>
      <c r="AS56" s="1"/>
    </row>
    <row r="57" spans="1:45" ht="18" customHeight="1" x14ac:dyDescent="0.25">
      <c r="A57" s="1"/>
      <c r="B57" s="20" t="s">
        <v>25</v>
      </c>
      <c r="C57" s="112">
        <f>C31/SUM($C$31:$F$31)</f>
        <v>2.4769800246405933</v>
      </c>
      <c r="D57" s="112">
        <f t="shared" ref="D57:F57" si="71">D31/SUM($C$31:$F$31)</f>
        <v>-1.4546839291371709</v>
      </c>
      <c r="E57" s="112">
        <f t="shared" si="71"/>
        <v>2.3747622295842219</v>
      </c>
      <c r="F57" s="112">
        <f t="shared" si="71"/>
        <v>-2.3970583250876443</v>
      </c>
      <c r="G57" s="112">
        <f>G31/SUM($G$31:$J$31)</f>
        <v>0.11546095740216762</v>
      </c>
      <c r="H57" s="112">
        <f t="shared" ref="H57:J57" si="72">H31/SUM($G$31:$J$31)</f>
        <v>0.36214461166031675</v>
      </c>
      <c r="I57" s="112">
        <f t="shared" si="72"/>
        <v>0.30823176304550559</v>
      </c>
      <c r="J57" s="112">
        <f t="shared" si="72"/>
        <v>0.21416266789200999</v>
      </c>
      <c r="K57" s="112">
        <f>K31/SUM($K$31:$N$31)</f>
        <v>0.10058118302797033</v>
      </c>
      <c r="L57" s="112">
        <f t="shared" ref="L57:N57" si="73">L31/SUM($K$31:$N$31)</f>
        <v>7.2962303906000364E-2</v>
      </c>
      <c r="M57" s="112">
        <f t="shared" si="73"/>
        <v>0.78098800487120923</v>
      </c>
      <c r="N57" s="112">
        <f t="shared" si="73"/>
        <v>4.5468508194820012E-2</v>
      </c>
      <c r="O57" s="62"/>
      <c r="P57" s="168">
        <f t="shared" si="64"/>
        <v>0.79270888998731537</v>
      </c>
      <c r="Q57" s="43">
        <f>AVERAGE(C57,G57,K57)</f>
        <v>0.897674055023577</v>
      </c>
      <c r="R57" s="43">
        <f t="shared" si="58"/>
        <v>-0.33985900452361789</v>
      </c>
      <c r="S57" s="43">
        <f t="shared" si="59"/>
        <v>1.1546606658336456</v>
      </c>
      <c r="T57" s="43">
        <f t="shared" si="60"/>
        <v>-0.71247571633360474</v>
      </c>
      <c r="U57" s="1"/>
      <c r="V57" s="1"/>
      <c r="W57" s="1"/>
      <c r="X57" s="1"/>
      <c r="Y57" s="1"/>
      <c r="Z57" s="1"/>
      <c r="AA57" s="1"/>
      <c r="AB57" s="1"/>
      <c r="AC57" s="1"/>
      <c r="AD57" s="1"/>
      <c r="AE57" s="1"/>
      <c r="AF57" s="1"/>
      <c r="AG57" s="1"/>
      <c r="AH57" s="1"/>
      <c r="AI57" s="1"/>
      <c r="AJ57" s="1"/>
      <c r="AK57" s="1"/>
      <c r="AL57" s="1"/>
      <c r="AM57" s="1"/>
      <c r="AN57" s="1"/>
      <c r="AO57" s="1"/>
      <c r="AP57" s="1"/>
      <c r="AQ57" s="1"/>
      <c r="AR57" s="1"/>
      <c r="AS57" s="1"/>
    </row>
    <row r="58" spans="1:45" ht="18" customHeight="1" x14ac:dyDescent="0.25">
      <c r="A58" s="1"/>
      <c r="B58" s="20"/>
      <c r="C58" s="73"/>
      <c r="D58" s="73"/>
      <c r="E58" s="73"/>
      <c r="F58" s="73"/>
      <c r="G58" s="73"/>
      <c r="H58" s="73"/>
      <c r="I58" s="73"/>
      <c r="J58" s="73"/>
      <c r="K58" s="73"/>
      <c r="L58" s="73"/>
      <c r="M58" s="73"/>
      <c r="N58" s="73"/>
      <c r="O58" s="73"/>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row>
    <row r="59" spans="1:45" ht="18" customHeight="1"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row>
    <row r="60" spans="1:45" ht="18" customHeight="1"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row>
    <row r="61" spans="1:45" ht="18" customHeight="1" x14ac:dyDescent="0.25">
      <c r="A61" s="1"/>
      <c r="B61" s="20"/>
      <c r="C61" s="73"/>
      <c r="D61" s="73"/>
      <c r="E61" s="73"/>
      <c r="F61" s="73"/>
      <c r="G61" s="73"/>
      <c r="H61" s="73"/>
      <c r="I61" s="73"/>
      <c r="J61" s="73"/>
      <c r="K61" s="73"/>
      <c r="L61" s="73"/>
      <c r="M61" s="73"/>
      <c r="N61" s="73"/>
      <c r="O61" s="73"/>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row>
    <row r="62" spans="1:45" ht="18" customHeight="1"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row>
    <row r="63" spans="1:45" ht="18" customHeight="1" x14ac:dyDescent="0.25">
      <c r="A63" s="1"/>
      <c r="B63" s="20"/>
      <c r="C63" s="73"/>
      <c r="D63" s="73"/>
      <c r="E63" s="73"/>
      <c r="F63" s="73"/>
      <c r="G63" s="73"/>
      <c r="H63" s="73"/>
      <c r="I63" s="73"/>
      <c r="J63" s="73"/>
      <c r="K63" s="73"/>
      <c r="L63" s="73"/>
      <c r="M63" s="73"/>
      <c r="N63" s="73"/>
      <c r="O63" s="73"/>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row>
    <row r="64" spans="1:45" ht="18" customHeight="1"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row>
    <row r="65" spans="1:45" ht="18"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row>
    <row r="66" spans="1:45" ht="18" customHeigh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row>
    <row r="67" spans="1:45" ht="18"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row>
    <row r="68" spans="1:45" ht="18" customHeigh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row>
    <row r="69" spans="1:45" ht="18" customHeight="1"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row>
    <row r="70" spans="1:45" ht="18" customHeight="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row>
    <row r="71" spans="1:45" ht="18" customHeight="1"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row>
    <row r="72" spans="1:45" ht="18" customHeight="1"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row>
    <row r="73" spans="1:45" ht="18" customHeight="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row>
    <row r="74" spans="1:45" ht="18" customHeight="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row>
    <row r="75" spans="1:45" ht="18" customHeight="1"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row>
    <row r="76" spans="1:45" ht="18" customHeight="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row>
    <row r="77" spans="1:45" ht="18"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row>
    <row r="78" spans="1:45" ht="18"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row>
    <row r="79" spans="1:45" ht="18"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row>
    <row r="80" spans="1:45" ht="18"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row>
    <row r="81" spans="1:45" ht="18" customHeight="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row>
    <row r="82" spans="1:45" ht="18" customHeight="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row>
    <row r="83" spans="1:45" ht="18" customHeight="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row>
    <row r="84" spans="1:45" ht="18" customHeight="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row>
    <row r="85" spans="1:45" ht="18" customHeigh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row>
    <row r="86" spans="1:45" ht="18" customHeigh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row>
    <row r="87" spans="1:45" ht="18" customHeigh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row>
    <row r="88" spans="1:45" ht="18" customHeigh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row>
    <row r="89" spans="1:45" ht="18" customHeigh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row>
    <row r="90" spans="1:45" ht="18" customHeight="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row>
    <row r="91" spans="1:45" ht="18" customHeigh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row>
    <row r="92" spans="1:45" ht="18" customHeigh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row>
    <row r="93" spans="1:45" ht="18" customHeigh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row>
    <row r="94" spans="1:45" ht="18" customHeigh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row>
    <row r="95" spans="1:45" ht="18" customHeigh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row>
    <row r="96" spans="1:45" ht="18" customHeigh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row>
    <row r="97" spans="1:45" ht="18"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row>
    <row r="98" spans="1:45" ht="18"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row>
    <row r="99" spans="1:45" ht="18"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row>
    <row r="100" spans="1:45" ht="18" customHeigh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row>
    <row r="101" spans="1:45" ht="18" customHeigh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row>
    <row r="102" spans="1:45" ht="18" customHeigh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row>
    <row r="103" spans="1:45" ht="18"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row>
    <row r="104" spans="1:45" ht="18"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row>
    <row r="105" spans="1:45" ht="18"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row>
    <row r="106" spans="1:45" ht="18"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row>
    <row r="107" spans="1:45" ht="18"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row>
    <row r="108" spans="1:45" ht="18"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row>
    <row r="109" spans="1:45" ht="18"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row>
    <row r="110" spans="1:45" ht="18" customHeigh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row>
    <row r="111" spans="1:45" ht="18" customHeigh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row>
    <row r="112" spans="1:45" ht="18" customHeigh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row>
    <row r="113" spans="1:45" ht="18"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row>
    <row r="114" spans="1:45" ht="18"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row>
    <row r="115" spans="1:45" ht="18"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row>
    <row r="116" spans="1:45" ht="18"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row>
    <row r="117" spans="1:45" ht="18"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row>
    <row r="118" spans="1:45" ht="18"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row>
    <row r="119" spans="1:45" ht="18" customHeigh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row>
    <row r="120" spans="1:45" ht="18" customHeigh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row>
    <row r="121" spans="1:45" ht="18" customHeigh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row>
    <row r="122" spans="1:45" ht="18"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row>
    <row r="123" spans="1:45" ht="18"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row>
    <row r="124" spans="1:45" ht="18"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row>
    <row r="125" spans="1:45" ht="18"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row>
    <row r="126" spans="1:45" ht="18"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row>
    <row r="127" spans="1:45" ht="18"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row>
    <row r="128" spans="1:45" ht="18" customHeigh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row>
    <row r="129" spans="1:45" ht="18" customHeigh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row>
    <row r="130" spans="1:45" ht="18" customHeigh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row>
    <row r="131" spans="1:45" ht="18"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row>
    <row r="132" spans="1:45" ht="18"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row>
    <row r="133" spans="1:45" ht="18"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row>
    <row r="134" spans="1:45" ht="18"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row>
    <row r="135" spans="1:45" ht="18"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row>
    <row r="136" spans="1:45" ht="18"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row>
    <row r="137" spans="1:45" ht="18" customHeigh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row>
    <row r="138" spans="1:45" ht="18" customHeigh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row>
    <row r="139" spans="1:45" ht="18"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row>
    <row r="140" spans="1:45" ht="18"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row>
    <row r="141" spans="1:45" ht="18"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row>
    <row r="142" spans="1:45" ht="18"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row>
    <row r="143" spans="1:45" ht="18"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row>
    <row r="144" spans="1:45" ht="18"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row>
    <row r="145" spans="1:45" ht="18"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row>
    <row r="146" spans="1:45" ht="18"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row>
    <row r="147" spans="1:45" ht="18"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row>
    <row r="148" spans="1:45" ht="18"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row>
    <row r="149" spans="1:45" ht="18"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row>
    <row r="150" spans="1:45" ht="18"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row>
    <row r="151" spans="1:45" ht="18"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row>
    <row r="152" spans="1:45" ht="18"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row>
    <row r="153" spans="1:45" ht="18"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row>
    <row r="154" spans="1:45" ht="18"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row>
    <row r="155" spans="1:45" ht="18"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row>
    <row r="156" spans="1:45" ht="18"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row>
    <row r="157" spans="1:45" ht="18"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row>
    <row r="158" spans="1:45" ht="18"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row>
    <row r="159" spans="1:45" ht="18"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row>
    <row r="160" spans="1:45" ht="18"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row>
    <row r="161" spans="1:45" ht="18"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row>
    <row r="162" spans="1:45" ht="18"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row>
    <row r="163" spans="1:45" ht="18"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row>
    <row r="164" spans="1:45" ht="18"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row>
    <row r="165" spans="1:45" ht="18"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row>
    <row r="166" spans="1:45" ht="18"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row>
    <row r="167" spans="1:45" ht="18"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row>
    <row r="168" spans="1:45" ht="18"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row>
    <row r="169" spans="1:45" ht="18"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row>
    <row r="170" spans="1:45" ht="18"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row>
    <row r="171" spans="1:45" ht="18"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row>
    <row r="172" spans="1:45" ht="18"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row>
    <row r="173" spans="1:45" ht="18"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row>
    <row r="174" spans="1:45" ht="18"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row>
    <row r="175" spans="1:45" ht="18"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row>
    <row r="176" spans="1:45" ht="18"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row>
    <row r="177" spans="1:45" ht="18"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row>
    <row r="178" spans="1:45" ht="18"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row>
    <row r="179" spans="1:45" ht="18"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row>
    <row r="180" spans="1:45" ht="18"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row>
    <row r="181" spans="1:45" ht="18"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row>
    <row r="182" spans="1:45" ht="18"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row>
    <row r="183" spans="1:45" ht="18"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row>
    <row r="184" spans="1:45" ht="18"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row>
    <row r="185" spans="1:45" ht="18"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row>
    <row r="186" spans="1:45" ht="18"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row>
    <row r="187" spans="1:45" ht="18"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row>
    <row r="188" spans="1:45" ht="18"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row>
    <row r="189" spans="1:45" ht="18"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row>
    <row r="190" spans="1:45" ht="18"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row>
    <row r="191" spans="1:45" ht="18"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row>
    <row r="192" spans="1:45" ht="18"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row>
    <row r="193" spans="1:45" ht="18"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row>
    <row r="194" spans="1:45" ht="18"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row>
    <row r="195" spans="1:45" ht="18"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row>
    <row r="196" spans="1:45" ht="18"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row>
    <row r="197" spans="1:45" ht="18"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row>
    <row r="198" spans="1:45" ht="18"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row>
    <row r="199" spans="1:45" ht="18"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row>
    <row r="200" spans="1:45" ht="18"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row>
    <row r="201" spans="1:45" ht="18"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row>
    <row r="202" spans="1:45" ht="18"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row>
    <row r="203" spans="1:45" ht="18"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row>
    <row r="204" spans="1:45" ht="18"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row>
    <row r="205" spans="1:45" ht="18"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row>
    <row r="206" spans="1:45" ht="18"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row>
    <row r="207" spans="1:45" ht="18"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row>
    <row r="208" spans="1:45" ht="18"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row>
    <row r="209" spans="1:45" ht="18"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row>
    <row r="210" spans="1:45" ht="18"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row>
    <row r="211" spans="1:45" ht="18"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row>
    <row r="212" spans="1:45" ht="18"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row>
    <row r="213" spans="1:45" ht="18"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row>
    <row r="214" spans="1:45" ht="18"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row>
    <row r="215" spans="1:45" ht="18"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row>
    <row r="216" spans="1:45" ht="18"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row>
    <row r="217" spans="1:45" ht="18"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row>
    <row r="218" spans="1:45" ht="18"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row>
    <row r="219" spans="1:45" ht="18"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row>
    <row r="220" spans="1:45" ht="18"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row>
    <row r="221" spans="1:45" ht="18"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row>
    <row r="222" spans="1:45" ht="18"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row>
    <row r="223" spans="1:45" ht="18"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row>
    <row r="224" spans="1:45" ht="18"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row>
    <row r="225" spans="1:45" ht="18"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row>
    <row r="226" spans="1:45" ht="18"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row>
    <row r="227" spans="1:45" ht="18"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row>
    <row r="228" spans="1:45" ht="18"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row>
    <row r="229" spans="1:45" ht="18"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row>
    <row r="230" spans="1:45" ht="18"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row>
    <row r="231" spans="1:45" ht="18"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row>
    <row r="232" spans="1:45" ht="18"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row>
    <row r="233" spans="1:45" ht="18"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row>
    <row r="234" spans="1:45" ht="18"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row>
    <row r="235" spans="1:45" ht="18"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row>
    <row r="236" spans="1:45" ht="18"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row>
    <row r="237" spans="1:45" ht="18"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row>
    <row r="238" spans="1:45" ht="18"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row>
    <row r="239" spans="1:45" ht="18"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row>
    <row r="240" spans="1:45" ht="18"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row>
    <row r="241" spans="1:45" ht="18"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row>
    <row r="242" spans="1:45" ht="18"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row>
    <row r="243" spans="1:45" ht="18"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row>
    <row r="244" spans="1:45" ht="18"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row>
    <row r="245" spans="1:45" ht="18"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row>
    <row r="246" spans="1:45" ht="18"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row>
    <row r="247" spans="1:45" ht="18"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row>
    <row r="248" spans="1:45" ht="18"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row>
    <row r="249" spans="1:45" ht="18"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row>
    <row r="250" spans="1:45" ht="18"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row>
    <row r="251" spans="1:45" ht="18"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row>
    <row r="252" spans="1:45" ht="18"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row>
    <row r="253" spans="1:45" ht="18"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row>
    <row r="254" spans="1:45" ht="18"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row>
    <row r="255" spans="1:45" ht="18"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row>
    <row r="256" spans="1:45" ht="18"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row>
    <row r="257" spans="1:45" ht="18"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row>
    <row r="258" spans="1:45" ht="18"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row>
    <row r="259" spans="1:45" ht="18"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row>
    <row r="260" spans="1:45" ht="18"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row>
    <row r="261" spans="1:45" ht="18"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row>
    <row r="262" spans="1:45" ht="18"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row>
    <row r="263" spans="1:45" ht="18"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row>
    <row r="264" spans="1:45" ht="18"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row>
    <row r="265" spans="1:45" ht="18"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row>
    <row r="266" spans="1:45" ht="18"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row>
    <row r="267" spans="1:45" ht="18"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row>
    <row r="268" spans="1:45" ht="18"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row>
    <row r="269" spans="1:45" ht="18"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row>
    <row r="270" spans="1:45" ht="18"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row>
    <row r="271" spans="1:45" ht="18"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row>
    <row r="272" spans="1:45" ht="18"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row>
    <row r="273" spans="1:45" ht="18"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row>
    <row r="274" spans="1:45" ht="18"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row>
    <row r="275" spans="1:45" ht="18"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row>
    <row r="276" spans="1:45" ht="18"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row>
    <row r="277" spans="1:45" ht="18"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row>
    <row r="278" spans="1:45" ht="18"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row>
    <row r="279" spans="1:45" ht="18"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row>
    <row r="280" spans="1:45" ht="18"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row>
    <row r="281" spans="1:45" ht="18"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row>
    <row r="282" spans="1:45" ht="18"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row>
    <row r="283" spans="1:45" ht="18"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row>
    <row r="284" spans="1:45" ht="18"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row>
    <row r="285" spans="1:45" ht="18"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row>
    <row r="286" spans="1:45" ht="18"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row>
    <row r="287" spans="1:45" ht="18"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row>
    <row r="288" spans="1:45" ht="18"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row>
    <row r="289" spans="1:45" ht="18"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row>
    <row r="290" spans="1:45" ht="18"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row>
    <row r="291" spans="1:45" ht="18"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row>
    <row r="292" spans="1:45" ht="18"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row>
    <row r="293" spans="1:45" ht="18"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row>
    <row r="294" spans="1:45" ht="18"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row>
    <row r="295" spans="1:45" ht="18"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row>
    <row r="296" spans="1:45" ht="18"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row>
    <row r="297" spans="1:45" ht="18"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row>
    <row r="298" spans="1:45" ht="18"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row>
    <row r="299" spans="1:45" ht="18"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row>
    <row r="300" spans="1:45" ht="18"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row>
    <row r="301" spans="1:45" ht="18"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row>
    <row r="302" spans="1:45" ht="18"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row>
    <row r="303" spans="1:45" ht="18"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row>
    <row r="304" spans="1:45" ht="18"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row>
    <row r="305" spans="1:45" ht="18"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row>
    <row r="306" spans="1:45" ht="18"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row>
    <row r="307" spans="1:45" ht="18"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row>
    <row r="308" spans="1:45" ht="18"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row>
    <row r="309" spans="1:45" ht="18"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row>
    <row r="310" spans="1:45" ht="18"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row>
    <row r="311" spans="1:45" ht="18"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row>
    <row r="312" spans="1:45" ht="18"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row>
    <row r="313" spans="1:45" ht="18"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row>
    <row r="314" spans="1:45" ht="18"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row>
    <row r="315" spans="1:45" ht="18"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row>
    <row r="316" spans="1:45" ht="18"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row>
    <row r="317" spans="1:45" ht="18"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row>
    <row r="318" spans="1:45" ht="18"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row>
    <row r="319" spans="1:45" ht="18"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row>
    <row r="320" spans="1:45" ht="18"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row>
    <row r="321" spans="1:45" ht="18"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row>
    <row r="322" spans="1:45" ht="18"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row>
    <row r="323" spans="1:45" ht="18"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row>
    <row r="324" spans="1:45" ht="18"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row>
    <row r="325" spans="1:45" ht="18"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row>
    <row r="326" spans="1:45" ht="18"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row>
    <row r="327" spans="1:45" ht="18"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row>
    <row r="328" spans="1:45" ht="18"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row>
    <row r="329" spans="1:45" ht="18"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row>
    <row r="330" spans="1:45" ht="18"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row>
    <row r="331" spans="1:45" ht="18"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row>
    <row r="332" spans="1:45" ht="18"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row>
    <row r="333" spans="1:45" ht="18"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row>
    <row r="334" spans="1:45" ht="18"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row>
    <row r="335" spans="1:45" ht="18"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row>
    <row r="336" spans="1:45" ht="18"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row>
    <row r="337" spans="1:45" ht="18"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row>
    <row r="338" spans="1:45" ht="18"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row>
    <row r="339" spans="1:45" ht="18"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row>
    <row r="340" spans="1:45" ht="18"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row>
    <row r="341" spans="1:45" ht="18"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row>
    <row r="342" spans="1:45" ht="18"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row>
    <row r="343" spans="1:45" ht="18"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row>
    <row r="344" spans="1:45" ht="18"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row>
    <row r="345" spans="1:45" ht="18"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row>
    <row r="346" spans="1:45" ht="18"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row>
    <row r="347" spans="1:45" ht="18"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row>
    <row r="348" spans="1:45" ht="18"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row>
    <row r="349" spans="1:45" ht="18"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row>
    <row r="350" spans="1:45" ht="18"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row>
    <row r="351" spans="1:45" ht="18"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row>
    <row r="352" spans="1:45" ht="18"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row>
    <row r="353" spans="1:45" ht="18"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row>
    <row r="354" spans="1:45" ht="18"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row>
    <row r="355" spans="1:45" ht="18"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row>
    <row r="356" spans="1:45" ht="18"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row>
    <row r="357" spans="1:45" ht="18"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row>
    <row r="358" spans="1:45" ht="18" customHeight="1" x14ac:dyDescent="0.25">
      <c r="A358" s="1"/>
      <c r="B358" s="27"/>
      <c r="C358" s="27"/>
      <c r="D358" s="27"/>
      <c r="E358" s="27"/>
      <c r="F358" s="27"/>
      <c r="G358" s="27"/>
      <c r="H358" s="27"/>
      <c r="I358" s="27"/>
      <c r="J358" s="27"/>
      <c r="K358" s="27"/>
      <c r="L358" s="27"/>
      <c r="M358" s="27"/>
      <c r="N358" s="27"/>
      <c r="O358" s="27"/>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row>
    <row r="359" spans="1:45" ht="18" customHeight="1" x14ac:dyDescent="0.25">
      <c r="A359" s="1"/>
      <c r="B359" s="27"/>
      <c r="C359" s="27"/>
      <c r="D359" s="27"/>
      <c r="E359" s="27"/>
      <c r="F359" s="27"/>
      <c r="G359" s="27"/>
      <c r="H359" s="27"/>
      <c r="I359" s="27"/>
      <c r="J359" s="27"/>
      <c r="K359" s="27"/>
      <c r="L359" s="27"/>
      <c r="M359" s="27"/>
      <c r="N359" s="27"/>
      <c r="O359" s="27"/>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row>
    <row r="360" spans="1:45" ht="18" customHeight="1" x14ac:dyDescent="0.25">
      <c r="A360" s="1"/>
      <c r="B360" s="27"/>
      <c r="C360" s="27"/>
      <c r="D360" s="27"/>
      <c r="E360" s="27"/>
      <c r="F360" s="27"/>
      <c r="G360" s="27"/>
      <c r="H360" s="27"/>
      <c r="I360" s="27"/>
      <c r="J360" s="27"/>
      <c r="K360" s="27"/>
      <c r="L360" s="27"/>
      <c r="M360" s="27"/>
      <c r="N360" s="27"/>
      <c r="O360" s="27"/>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row>
    <row r="361" spans="1:45" ht="18" customHeight="1" x14ac:dyDescent="0.25">
      <c r="A361" s="1"/>
      <c r="B361" s="27"/>
      <c r="C361" s="27"/>
      <c r="D361" s="27"/>
      <c r="E361" s="27"/>
      <c r="F361" s="27"/>
      <c r="G361" s="27"/>
      <c r="H361" s="27"/>
      <c r="I361" s="27"/>
      <c r="J361" s="27"/>
      <c r="K361" s="27"/>
      <c r="L361" s="27"/>
      <c r="M361" s="27"/>
      <c r="N361" s="27"/>
      <c r="O361" s="27"/>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row>
    <row r="362" spans="1:45" ht="18" customHeight="1" x14ac:dyDescent="0.25">
      <c r="A362" s="1"/>
      <c r="B362" s="27"/>
      <c r="C362" s="27"/>
      <c r="D362" s="27"/>
      <c r="E362" s="27"/>
      <c r="F362" s="27"/>
      <c r="G362" s="27"/>
      <c r="H362" s="27"/>
      <c r="I362" s="27"/>
      <c r="J362" s="27"/>
      <c r="K362" s="27"/>
      <c r="L362" s="27"/>
      <c r="M362" s="27"/>
      <c r="N362" s="27"/>
      <c r="O362" s="27"/>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row>
    <row r="363" spans="1:45" ht="18" customHeight="1" x14ac:dyDescent="0.25">
      <c r="A363" s="1"/>
      <c r="B363" s="27"/>
      <c r="C363" s="27"/>
      <c r="D363" s="27"/>
      <c r="E363" s="27"/>
      <c r="F363" s="27"/>
      <c r="G363" s="27"/>
      <c r="H363" s="27"/>
      <c r="I363" s="27"/>
      <c r="J363" s="27"/>
      <c r="K363" s="27"/>
      <c r="L363" s="27"/>
      <c r="M363" s="27"/>
      <c r="N363" s="27"/>
      <c r="O363" s="27"/>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row>
    <row r="364" spans="1:45" ht="18" customHeight="1" x14ac:dyDescent="0.25">
      <c r="A364" s="1"/>
      <c r="B364" s="27"/>
      <c r="C364" s="27"/>
      <c r="D364" s="27"/>
      <c r="E364" s="27"/>
      <c r="F364" s="27"/>
      <c r="G364" s="27"/>
      <c r="H364" s="27"/>
      <c r="I364" s="27"/>
      <c r="J364" s="27"/>
      <c r="K364" s="27"/>
      <c r="L364" s="27"/>
      <c r="M364" s="27"/>
      <c r="N364" s="27"/>
      <c r="O364" s="27"/>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row>
    <row r="365" spans="1:45" ht="18" customHeight="1" x14ac:dyDescent="0.25">
      <c r="A365" s="1"/>
      <c r="B365" s="27"/>
      <c r="C365" s="27"/>
      <c r="D365" s="27"/>
      <c r="E365" s="27"/>
      <c r="F365" s="27"/>
      <c r="G365" s="27"/>
      <c r="H365" s="27"/>
      <c r="I365" s="27"/>
      <c r="J365" s="27"/>
      <c r="K365" s="27"/>
      <c r="L365" s="27"/>
      <c r="M365" s="27"/>
      <c r="N365" s="27"/>
      <c r="O365" s="27"/>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row>
    <row r="366" spans="1:45" ht="18" customHeight="1" x14ac:dyDescent="0.25">
      <c r="A366" s="1"/>
      <c r="B366" s="27"/>
      <c r="C366" s="27"/>
      <c r="D366" s="27"/>
      <c r="E366" s="27"/>
      <c r="F366" s="27"/>
      <c r="G366" s="27"/>
      <c r="H366" s="27"/>
      <c r="I366" s="27"/>
      <c r="J366" s="27"/>
      <c r="K366" s="27"/>
      <c r="L366" s="27"/>
      <c r="M366" s="27"/>
      <c r="N366" s="27"/>
      <c r="O366" s="27"/>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row>
    <row r="367" spans="1:45" ht="18" customHeight="1" x14ac:dyDescent="0.25">
      <c r="A367" s="1"/>
      <c r="B367" s="27"/>
      <c r="C367" s="27"/>
      <c r="D367" s="27"/>
      <c r="E367" s="27"/>
      <c r="F367" s="27"/>
      <c r="G367" s="27"/>
      <c r="H367" s="27"/>
      <c r="I367" s="27"/>
      <c r="J367" s="27"/>
      <c r="K367" s="27"/>
      <c r="L367" s="27"/>
      <c r="M367" s="27"/>
      <c r="N367" s="27"/>
      <c r="O367" s="27"/>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row>
    <row r="368" spans="1:45" ht="18" customHeight="1" x14ac:dyDescent="0.25">
      <c r="A368" s="1"/>
      <c r="B368" s="27"/>
      <c r="C368" s="27"/>
      <c r="D368" s="27"/>
      <c r="E368" s="27"/>
      <c r="F368" s="27"/>
      <c r="G368" s="27"/>
      <c r="H368" s="27"/>
      <c r="I368" s="27"/>
      <c r="J368" s="27"/>
      <c r="K368" s="27"/>
      <c r="L368" s="27"/>
      <c r="M368" s="27"/>
      <c r="N368" s="27"/>
      <c r="O368" s="27"/>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S368" s="1"/>
    </row>
    <row r="369" spans="1:45" ht="18" customHeight="1" x14ac:dyDescent="0.25">
      <c r="A369" s="1"/>
      <c r="B369" s="27"/>
      <c r="C369" s="27"/>
      <c r="D369" s="27"/>
      <c r="E369" s="27"/>
      <c r="F369" s="27"/>
      <c r="G369" s="27"/>
      <c r="H369" s="27"/>
      <c r="I369" s="27"/>
      <c r="J369" s="27"/>
      <c r="K369" s="27"/>
      <c r="L369" s="27"/>
      <c r="M369" s="27"/>
      <c r="N369" s="27"/>
      <c r="O369" s="27"/>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row>
    <row r="370" spans="1:45" ht="18" customHeight="1" x14ac:dyDescent="0.25">
      <c r="A370" s="1"/>
      <c r="B370" s="27"/>
      <c r="C370" s="27"/>
      <c r="D370" s="27"/>
      <c r="E370" s="27"/>
      <c r="F370" s="27"/>
      <c r="G370" s="27"/>
      <c r="H370" s="27"/>
      <c r="I370" s="27"/>
      <c r="J370" s="27"/>
      <c r="K370" s="27"/>
      <c r="L370" s="27"/>
      <c r="M370" s="27"/>
      <c r="N370" s="27"/>
      <c r="O370" s="27"/>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row>
    <row r="371" spans="1:45" ht="18" customHeight="1" x14ac:dyDescent="0.25">
      <c r="A371" s="1"/>
      <c r="B371" s="27"/>
      <c r="C371" s="27"/>
      <c r="D371" s="27"/>
      <c r="E371" s="27"/>
      <c r="F371" s="27"/>
      <c r="G371" s="27"/>
      <c r="H371" s="27"/>
      <c r="I371" s="27"/>
      <c r="J371" s="27"/>
      <c r="K371" s="27"/>
      <c r="L371" s="27"/>
      <c r="M371" s="27"/>
      <c r="N371" s="27"/>
      <c r="O371" s="27"/>
      <c r="P371" s="1"/>
      <c r="Q371" s="1"/>
      <c r="R371" s="1"/>
      <c r="S371" s="1"/>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
      <c r="AR371" s="1"/>
      <c r="AS371" s="1"/>
    </row>
    <row r="372" spans="1:45" ht="18" customHeight="1" x14ac:dyDescent="0.25">
      <c r="A372" s="1"/>
      <c r="B372" s="27"/>
      <c r="C372" s="27"/>
      <c r="D372" s="27"/>
      <c r="E372" s="27"/>
      <c r="F372" s="27"/>
      <c r="G372" s="27"/>
      <c r="H372" s="27"/>
      <c r="I372" s="27"/>
      <c r="J372" s="27"/>
      <c r="K372" s="27"/>
      <c r="L372" s="27"/>
      <c r="M372" s="27"/>
      <c r="N372" s="27"/>
      <c r="O372" s="27"/>
      <c r="P372" s="1"/>
      <c r="Q372" s="1"/>
      <c r="R372" s="1"/>
      <c r="S372" s="1"/>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
      <c r="AR372" s="1"/>
      <c r="AS372" s="1"/>
    </row>
    <row r="373" spans="1:45" ht="18" customHeight="1" x14ac:dyDescent="0.25">
      <c r="A373" s="1"/>
      <c r="B373" s="27"/>
      <c r="C373" s="27"/>
      <c r="D373" s="27"/>
      <c r="E373" s="27"/>
      <c r="F373" s="27"/>
      <c r="G373" s="27"/>
      <c r="H373" s="27"/>
      <c r="I373" s="27"/>
      <c r="J373" s="27"/>
      <c r="K373" s="27"/>
      <c r="L373" s="27"/>
      <c r="M373" s="27"/>
      <c r="N373" s="27"/>
      <c r="O373" s="27"/>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row>
    <row r="374" spans="1:45" ht="18" customHeight="1" x14ac:dyDescent="0.25">
      <c r="A374" s="1"/>
      <c r="B374" s="27"/>
      <c r="C374" s="27"/>
      <c r="D374" s="27"/>
      <c r="E374" s="27"/>
      <c r="F374" s="27"/>
      <c r="G374" s="27"/>
      <c r="H374" s="27"/>
      <c r="I374" s="27"/>
      <c r="J374" s="27"/>
      <c r="K374" s="27"/>
      <c r="L374" s="27"/>
      <c r="M374" s="27"/>
      <c r="N374" s="27"/>
      <c r="O374" s="27"/>
      <c r="P374" s="1"/>
      <c r="Q374" s="1"/>
      <c r="R374" s="1"/>
      <c r="S374" s="1"/>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
      <c r="AR374" s="1"/>
      <c r="AS374" s="1"/>
    </row>
    <row r="375" spans="1:45" ht="18" customHeight="1" x14ac:dyDescent="0.25">
      <c r="A375" s="1"/>
      <c r="B375" s="27"/>
      <c r="C375" s="27"/>
      <c r="D375" s="27"/>
      <c r="E375" s="27"/>
      <c r="F375" s="27"/>
      <c r="G375" s="27"/>
      <c r="H375" s="27"/>
      <c r="I375" s="27"/>
      <c r="J375" s="27"/>
      <c r="K375" s="27"/>
      <c r="L375" s="27"/>
      <c r="M375" s="27"/>
      <c r="N375" s="27"/>
      <c r="O375" s="27"/>
      <c r="P375" s="1"/>
      <c r="Q375" s="1"/>
      <c r="R375" s="1"/>
      <c r="S375" s="1"/>
      <c r="T375" s="1"/>
      <c r="U375" s="1"/>
      <c r="V375" s="1"/>
      <c r="W375" s="1"/>
      <c r="X375" s="1"/>
      <c r="Y375" s="1"/>
      <c r="Z375" s="1"/>
      <c r="AA375" s="1"/>
      <c r="AB375" s="1"/>
      <c r="AC375" s="1"/>
      <c r="AD375" s="1"/>
      <c r="AE375" s="1"/>
      <c r="AF375" s="1"/>
      <c r="AG375" s="1"/>
      <c r="AH375" s="1"/>
      <c r="AI375" s="1"/>
      <c r="AJ375" s="1"/>
      <c r="AK375" s="1"/>
      <c r="AL375" s="1"/>
      <c r="AM375" s="1"/>
      <c r="AN375" s="1"/>
      <c r="AO375" s="1"/>
      <c r="AP375" s="1"/>
      <c r="AQ375" s="1"/>
      <c r="AR375" s="1"/>
      <c r="AS375" s="1"/>
    </row>
    <row r="376" spans="1:45" ht="18" customHeight="1" x14ac:dyDescent="0.25">
      <c r="A376" s="1"/>
      <c r="B376" s="27"/>
      <c r="C376" s="27"/>
      <c r="D376" s="27"/>
      <c r="E376" s="27"/>
      <c r="F376" s="27"/>
      <c r="G376" s="27"/>
      <c r="H376" s="27"/>
      <c r="I376" s="27"/>
      <c r="J376" s="27"/>
      <c r="K376" s="27"/>
      <c r="L376" s="27"/>
      <c r="M376" s="27"/>
      <c r="N376" s="27"/>
      <c r="O376" s="27"/>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row>
    <row r="377" spans="1:45" ht="18" customHeight="1" x14ac:dyDescent="0.25">
      <c r="A377" s="1"/>
      <c r="B377" s="27"/>
      <c r="C377" s="27"/>
      <c r="D377" s="27"/>
      <c r="E377" s="27"/>
      <c r="F377" s="27"/>
      <c r="G377" s="27"/>
      <c r="H377" s="27"/>
      <c r="I377" s="27"/>
      <c r="J377" s="27"/>
      <c r="K377" s="27"/>
      <c r="L377" s="27"/>
      <c r="M377" s="27"/>
      <c r="N377" s="27"/>
      <c r="O377" s="27"/>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row>
    <row r="378" spans="1:45" ht="18" customHeight="1" x14ac:dyDescent="0.25">
      <c r="A378" s="1"/>
      <c r="B378" s="27"/>
      <c r="C378" s="27"/>
      <c r="D378" s="27"/>
      <c r="E378" s="27"/>
      <c r="F378" s="27"/>
      <c r="G378" s="27"/>
      <c r="H378" s="27"/>
      <c r="I378" s="27"/>
      <c r="J378" s="27"/>
      <c r="K378" s="27"/>
      <c r="L378" s="27"/>
      <c r="M378" s="27"/>
      <c r="N378" s="27"/>
      <c r="O378" s="27"/>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row>
    <row r="379" spans="1:45" ht="18" customHeight="1" x14ac:dyDescent="0.25">
      <c r="A379" s="1"/>
      <c r="B379" s="27"/>
      <c r="C379" s="27"/>
      <c r="D379" s="27"/>
      <c r="E379" s="27"/>
      <c r="F379" s="27"/>
      <c r="G379" s="27"/>
      <c r="H379" s="27"/>
      <c r="I379" s="27"/>
      <c r="J379" s="27"/>
      <c r="K379" s="27"/>
      <c r="L379" s="27"/>
      <c r="M379" s="27"/>
      <c r="N379" s="27"/>
      <c r="O379" s="27"/>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c r="AS379" s="1"/>
    </row>
    <row r="380" spans="1:45" ht="18" customHeight="1" x14ac:dyDescent="0.25">
      <c r="A380" s="1"/>
      <c r="B380" s="27"/>
      <c r="C380" s="27"/>
      <c r="D380" s="27"/>
      <c r="E380" s="27"/>
      <c r="F380" s="27"/>
      <c r="G380" s="27"/>
      <c r="H380" s="27"/>
      <c r="I380" s="27"/>
      <c r="J380" s="27"/>
      <c r="K380" s="27"/>
      <c r="L380" s="27"/>
      <c r="M380" s="27"/>
      <c r="N380" s="27"/>
      <c r="O380" s="27"/>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c r="AS380" s="1"/>
    </row>
    <row r="381" spans="1:45" ht="18" customHeight="1" x14ac:dyDescent="0.25">
      <c r="A381" s="1"/>
      <c r="B381" s="27"/>
      <c r="C381" s="27"/>
      <c r="D381" s="27"/>
      <c r="E381" s="27"/>
      <c r="F381" s="27"/>
      <c r="G381" s="27"/>
      <c r="H381" s="27"/>
      <c r="I381" s="27"/>
      <c r="J381" s="27"/>
      <c r="K381" s="27"/>
      <c r="L381" s="27"/>
      <c r="M381" s="27"/>
      <c r="N381" s="27"/>
      <c r="O381" s="27"/>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c r="AS381" s="1"/>
    </row>
    <row r="382" spans="1:45" ht="18" customHeight="1" x14ac:dyDescent="0.25">
      <c r="A382" s="1"/>
      <c r="B382" s="27"/>
      <c r="C382" s="27"/>
      <c r="D382" s="27"/>
      <c r="E382" s="27"/>
      <c r="F382" s="27"/>
      <c r="G382" s="27"/>
      <c r="H382" s="27"/>
      <c r="I382" s="27"/>
      <c r="J382" s="27"/>
      <c r="K382" s="27"/>
      <c r="L382" s="27"/>
      <c r="M382" s="27"/>
      <c r="N382" s="27"/>
      <c r="O382" s="27"/>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c r="AS382" s="1"/>
    </row>
    <row r="383" spans="1:45" ht="18" customHeight="1" x14ac:dyDescent="0.25">
      <c r="A383" s="1"/>
      <c r="B383" s="27"/>
      <c r="C383" s="27"/>
      <c r="D383" s="27"/>
      <c r="E383" s="27"/>
      <c r="F383" s="27"/>
      <c r="G383" s="27"/>
      <c r="H383" s="27"/>
      <c r="I383" s="27"/>
      <c r="J383" s="27"/>
      <c r="K383" s="27"/>
      <c r="L383" s="27"/>
      <c r="M383" s="27"/>
      <c r="N383" s="27"/>
      <c r="O383" s="27"/>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row>
    <row r="384" spans="1:45" ht="18" customHeight="1" x14ac:dyDescent="0.25">
      <c r="A384" s="1"/>
      <c r="B384" s="27"/>
      <c r="C384" s="27"/>
      <c r="D384" s="27"/>
      <c r="E384" s="27"/>
      <c r="F384" s="27"/>
      <c r="G384" s="27"/>
      <c r="H384" s="27"/>
      <c r="I384" s="27"/>
      <c r="J384" s="27"/>
      <c r="K384" s="27"/>
      <c r="L384" s="27"/>
      <c r="M384" s="27"/>
      <c r="N384" s="27"/>
      <c r="O384" s="27"/>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row>
    <row r="385" spans="1:45" ht="18" customHeight="1" x14ac:dyDescent="0.25">
      <c r="A385" s="1"/>
      <c r="B385" s="27"/>
      <c r="C385" s="27"/>
      <c r="D385" s="27"/>
      <c r="E385" s="27"/>
      <c r="F385" s="27"/>
      <c r="G385" s="27"/>
      <c r="H385" s="27"/>
      <c r="I385" s="27"/>
      <c r="J385" s="27"/>
      <c r="K385" s="27"/>
      <c r="L385" s="27"/>
      <c r="M385" s="27"/>
      <c r="N385" s="27"/>
      <c r="O385" s="27"/>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c r="AS385" s="1"/>
    </row>
    <row r="386" spans="1:45" ht="18" customHeight="1" x14ac:dyDescent="0.25">
      <c r="A386" s="1"/>
      <c r="B386" s="27"/>
      <c r="C386" s="27"/>
      <c r="D386" s="27"/>
      <c r="E386" s="27"/>
      <c r="F386" s="27"/>
      <c r="G386" s="27"/>
      <c r="H386" s="27"/>
      <c r="I386" s="27"/>
      <c r="J386" s="27"/>
      <c r="K386" s="27"/>
      <c r="L386" s="27"/>
      <c r="M386" s="27"/>
      <c r="N386" s="27"/>
      <c r="O386" s="27"/>
      <c r="P386" s="1"/>
      <c r="Q386" s="1"/>
      <c r="R386" s="1"/>
      <c r="S386" s="1"/>
      <c r="T386" s="1"/>
      <c r="U386" s="1"/>
      <c r="V386" s="1"/>
      <c r="W386" s="1"/>
      <c r="X386" s="1"/>
      <c r="Y386" s="1"/>
      <c r="Z386" s="1"/>
      <c r="AA386" s="1"/>
      <c r="AB386" s="1"/>
      <c r="AC386" s="1"/>
      <c r="AD386" s="1"/>
      <c r="AE386" s="1"/>
      <c r="AF386" s="1"/>
      <c r="AG386" s="1"/>
      <c r="AH386" s="1"/>
      <c r="AI386" s="1"/>
      <c r="AJ386" s="1"/>
      <c r="AK386" s="1"/>
      <c r="AL386" s="1"/>
      <c r="AM386" s="1"/>
      <c r="AN386" s="1"/>
      <c r="AO386" s="1"/>
      <c r="AP386" s="1"/>
      <c r="AQ386" s="1"/>
      <c r="AR386" s="1"/>
      <c r="AS386" s="1"/>
    </row>
    <row r="387" spans="1:45" ht="18" customHeight="1" x14ac:dyDescent="0.25">
      <c r="A387" s="1"/>
      <c r="B387" s="27"/>
      <c r="C387" s="27"/>
      <c r="D387" s="27"/>
      <c r="E387" s="27"/>
      <c r="F387" s="27"/>
      <c r="G387" s="27"/>
      <c r="H387" s="27"/>
      <c r="I387" s="27"/>
      <c r="J387" s="27"/>
      <c r="K387" s="27"/>
      <c r="L387" s="27"/>
      <c r="M387" s="27"/>
      <c r="N387" s="27"/>
      <c r="O387" s="27"/>
      <c r="P387" s="1"/>
      <c r="Q387" s="1"/>
      <c r="R387" s="1"/>
      <c r="S387" s="1"/>
      <c r="T387" s="1"/>
      <c r="U387" s="1"/>
      <c r="V387" s="1"/>
      <c r="W387" s="1"/>
      <c r="X387" s="1"/>
      <c r="Y387" s="1"/>
      <c r="Z387" s="1"/>
      <c r="AA387" s="1"/>
      <c r="AB387" s="1"/>
      <c r="AC387" s="1"/>
      <c r="AD387" s="1"/>
      <c r="AE387" s="1"/>
      <c r="AF387" s="1"/>
      <c r="AG387" s="1"/>
      <c r="AH387" s="1"/>
      <c r="AI387" s="1"/>
      <c r="AJ387" s="1"/>
      <c r="AK387" s="1"/>
      <c r="AL387" s="1"/>
      <c r="AM387" s="1"/>
      <c r="AN387" s="1"/>
      <c r="AO387" s="1"/>
      <c r="AP387" s="1"/>
      <c r="AQ387" s="1"/>
      <c r="AR387" s="1"/>
      <c r="AS387" s="1"/>
    </row>
    <row r="388" spans="1:45" ht="18" customHeight="1" x14ac:dyDescent="0.25">
      <c r="A388" s="1"/>
      <c r="B388" s="27"/>
      <c r="C388" s="27"/>
      <c r="D388" s="27"/>
      <c r="E388" s="27"/>
      <c r="F388" s="27"/>
      <c r="G388" s="27"/>
      <c r="H388" s="27"/>
      <c r="I388" s="27"/>
      <c r="J388" s="27"/>
      <c r="K388" s="27"/>
      <c r="L388" s="27"/>
      <c r="M388" s="27"/>
      <c r="N388" s="27"/>
      <c r="O388" s="27"/>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row>
    <row r="389" spans="1:45" ht="18" customHeight="1" x14ac:dyDescent="0.25">
      <c r="A389" s="1"/>
      <c r="B389" s="27"/>
      <c r="C389" s="27"/>
      <c r="D389" s="27"/>
      <c r="E389" s="27"/>
      <c r="F389" s="27"/>
      <c r="G389" s="27"/>
      <c r="H389" s="27"/>
      <c r="I389" s="27"/>
      <c r="J389" s="27"/>
      <c r="K389" s="27"/>
      <c r="L389" s="27"/>
      <c r="M389" s="27"/>
      <c r="N389" s="27"/>
      <c r="O389" s="27"/>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row>
    <row r="390" spans="1:45" ht="18" customHeight="1" x14ac:dyDescent="0.25">
      <c r="A390" s="1"/>
      <c r="B390" s="27"/>
      <c r="C390" s="27"/>
      <c r="D390" s="27"/>
      <c r="E390" s="27"/>
      <c r="F390" s="27"/>
      <c r="G390" s="27"/>
      <c r="H390" s="27"/>
      <c r="I390" s="27"/>
      <c r="J390" s="27"/>
      <c r="K390" s="27"/>
      <c r="L390" s="27"/>
      <c r="M390" s="27"/>
      <c r="N390" s="27"/>
      <c r="O390" s="27"/>
      <c r="P390" s="1"/>
      <c r="Q390" s="1"/>
      <c r="R390" s="1"/>
      <c r="S390" s="1"/>
      <c r="T390" s="1"/>
      <c r="U390" s="1"/>
      <c r="V390" s="1"/>
      <c r="W390" s="1"/>
      <c r="X390" s="1"/>
      <c r="Y390" s="1"/>
      <c r="Z390" s="1"/>
      <c r="AA390" s="1"/>
      <c r="AB390" s="1"/>
      <c r="AC390" s="1"/>
      <c r="AD390" s="1"/>
      <c r="AE390" s="1"/>
      <c r="AF390" s="1"/>
      <c r="AG390" s="1"/>
      <c r="AH390" s="1"/>
      <c r="AI390" s="1"/>
      <c r="AJ390" s="1"/>
      <c r="AK390" s="1"/>
      <c r="AL390" s="1"/>
      <c r="AM390" s="1"/>
      <c r="AN390" s="1"/>
      <c r="AO390" s="1"/>
      <c r="AP390" s="1"/>
      <c r="AQ390" s="1"/>
      <c r="AR390" s="1"/>
      <c r="AS390" s="1"/>
    </row>
    <row r="391" spans="1:45" ht="18" customHeight="1" x14ac:dyDescent="0.25">
      <c r="A391" s="1"/>
      <c r="B391" s="27"/>
      <c r="C391" s="27"/>
      <c r="D391" s="27"/>
      <c r="E391" s="27"/>
      <c r="F391" s="27"/>
      <c r="G391" s="27"/>
      <c r="H391" s="27"/>
      <c r="I391" s="27"/>
      <c r="J391" s="27"/>
      <c r="K391" s="27"/>
      <c r="L391" s="27"/>
      <c r="M391" s="27"/>
      <c r="N391" s="27"/>
      <c r="O391" s="27"/>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row>
    <row r="392" spans="1:45" ht="18" customHeight="1" x14ac:dyDescent="0.25">
      <c r="A392" s="1"/>
      <c r="B392" s="27"/>
      <c r="C392" s="27"/>
      <c r="D392" s="27"/>
      <c r="E392" s="27"/>
      <c r="F392" s="27"/>
      <c r="G392" s="27"/>
      <c r="H392" s="27"/>
      <c r="I392" s="27"/>
      <c r="J392" s="27"/>
      <c r="K392" s="27"/>
      <c r="L392" s="27"/>
      <c r="M392" s="27"/>
      <c r="N392" s="27"/>
      <c r="O392" s="27"/>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c r="AS392" s="1"/>
    </row>
    <row r="393" spans="1:45" ht="18" customHeight="1" x14ac:dyDescent="0.25">
      <c r="A393" s="1"/>
      <c r="B393" s="27"/>
      <c r="C393" s="27"/>
      <c r="D393" s="27"/>
      <c r="E393" s="27"/>
      <c r="F393" s="27"/>
      <c r="G393" s="27"/>
      <c r="H393" s="27"/>
      <c r="I393" s="27"/>
      <c r="J393" s="27"/>
      <c r="K393" s="27"/>
      <c r="L393" s="27"/>
      <c r="M393" s="27"/>
      <c r="N393" s="27"/>
      <c r="O393" s="27"/>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row>
    <row r="394" spans="1:45" ht="18" customHeight="1" x14ac:dyDescent="0.25">
      <c r="A394" s="1"/>
      <c r="B394" s="27"/>
      <c r="C394" s="27"/>
      <c r="D394" s="27"/>
      <c r="E394" s="27"/>
      <c r="F394" s="27"/>
      <c r="G394" s="27"/>
      <c r="H394" s="27"/>
      <c r="I394" s="27"/>
      <c r="J394" s="27"/>
      <c r="K394" s="27"/>
      <c r="L394" s="27"/>
      <c r="M394" s="27"/>
      <c r="N394" s="27"/>
      <c r="O394" s="27"/>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row>
    <row r="395" spans="1:45" ht="18" customHeight="1" x14ac:dyDescent="0.25">
      <c r="A395" s="1"/>
      <c r="B395" s="27"/>
      <c r="C395" s="27"/>
      <c r="D395" s="27"/>
      <c r="E395" s="27"/>
      <c r="F395" s="27"/>
      <c r="G395" s="27"/>
      <c r="H395" s="27"/>
      <c r="I395" s="27"/>
      <c r="J395" s="27"/>
      <c r="K395" s="27"/>
      <c r="L395" s="27"/>
      <c r="M395" s="27"/>
      <c r="N395" s="27"/>
      <c r="O395" s="27"/>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row>
    <row r="396" spans="1:45" ht="18" customHeight="1" x14ac:dyDescent="0.25">
      <c r="A396" s="1"/>
      <c r="B396" s="27"/>
      <c r="C396" s="27"/>
      <c r="D396" s="27"/>
      <c r="E396" s="27"/>
      <c r="F396" s="27"/>
      <c r="G396" s="27"/>
      <c r="H396" s="27"/>
      <c r="I396" s="27"/>
      <c r="J396" s="27"/>
      <c r="K396" s="27"/>
      <c r="L396" s="27"/>
      <c r="M396" s="27"/>
      <c r="N396" s="27"/>
      <c r="O396" s="27"/>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row>
    <row r="397" spans="1:45" ht="18" customHeight="1" x14ac:dyDescent="0.25">
      <c r="A397" s="1"/>
      <c r="B397" s="27"/>
      <c r="C397" s="27"/>
      <c r="D397" s="27"/>
      <c r="E397" s="27"/>
      <c r="F397" s="27"/>
      <c r="G397" s="27"/>
      <c r="H397" s="27"/>
      <c r="I397" s="27"/>
      <c r="J397" s="27"/>
      <c r="K397" s="27"/>
      <c r="L397" s="27"/>
      <c r="M397" s="27"/>
      <c r="N397" s="27"/>
      <c r="O397" s="27"/>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row>
    <row r="398" spans="1:45" ht="18" customHeight="1" x14ac:dyDescent="0.25">
      <c r="A398" s="1"/>
      <c r="B398" s="27"/>
      <c r="C398" s="27"/>
      <c r="D398" s="27"/>
      <c r="E398" s="27"/>
      <c r="F398" s="27"/>
      <c r="G398" s="27"/>
      <c r="H398" s="27"/>
      <c r="I398" s="27"/>
      <c r="J398" s="27"/>
      <c r="K398" s="27"/>
      <c r="L398" s="27"/>
      <c r="M398" s="27"/>
      <c r="N398" s="27"/>
      <c r="O398" s="27"/>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row>
    <row r="399" spans="1:45" ht="18" customHeight="1" x14ac:dyDescent="0.25">
      <c r="A399" s="1"/>
      <c r="B399" s="27"/>
      <c r="C399" s="27"/>
      <c r="D399" s="27"/>
      <c r="E399" s="27"/>
      <c r="F399" s="27"/>
      <c r="G399" s="27"/>
      <c r="H399" s="27"/>
      <c r="I399" s="27"/>
      <c r="J399" s="27"/>
      <c r="K399" s="27"/>
      <c r="L399" s="27"/>
      <c r="M399" s="27"/>
      <c r="N399" s="27"/>
      <c r="O399" s="27"/>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row>
    <row r="400" spans="1:45" ht="18" customHeight="1" x14ac:dyDescent="0.25">
      <c r="A400" s="1"/>
      <c r="B400" s="27"/>
      <c r="C400" s="27"/>
      <c r="D400" s="27"/>
      <c r="E400" s="27"/>
      <c r="F400" s="27"/>
      <c r="G400" s="27"/>
      <c r="H400" s="27"/>
      <c r="I400" s="27"/>
      <c r="J400" s="27"/>
      <c r="K400" s="27"/>
      <c r="L400" s="27"/>
      <c r="M400" s="27"/>
      <c r="N400" s="27"/>
      <c r="O400" s="27"/>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row>
    <row r="401" spans="1:45" ht="18" customHeight="1" x14ac:dyDescent="0.25">
      <c r="A401" s="1"/>
      <c r="B401" s="27"/>
      <c r="C401" s="27"/>
      <c r="D401" s="27"/>
      <c r="E401" s="27"/>
      <c r="F401" s="27"/>
      <c r="G401" s="27"/>
      <c r="H401" s="27"/>
      <c r="I401" s="27"/>
      <c r="J401" s="27"/>
      <c r="K401" s="27"/>
      <c r="L401" s="27"/>
      <c r="M401" s="27"/>
      <c r="N401" s="27"/>
      <c r="O401" s="27"/>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row>
    <row r="402" spans="1:45" ht="18" customHeight="1" x14ac:dyDescent="0.25">
      <c r="A402" s="1"/>
      <c r="B402" s="27"/>
      <c r="C402" s="27"/>
      <c r="D402" s="27"/>
      <c r="E402" s="27"/>
      <c r="F402" s="27"/>
      <c r="G402" s="27"/>
      <c r="H402" s="27"/>
      <c r="I402" s="27"/>
      <c r="J402" s="27"/>
      <c r="K402" s="27"/>
      <c r="L402" s="27"/>
      <c r="M402" s="27"/>
      <c r="N402" s="27"/>
      <c r="O402" s="27"/>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row>
    <row r="403" spans="1:45" ht="18" customHeight="1" x14ac:dyDescent="0.25">
      <c r="A403" s="1"/>
      <c r="B403" s="27"/>
      <c r="C403" s="27"/>
      <c r="D403" s="27"/>
      <c r="E403" s="27"/>
      <c r="F403" s="27"/>
      <c r="G403" s="27"/>
      <c r="H403" s="27"/>
      <c r="I403" s="27"/>
      <c r="J403" s="27"/>
      <c r="K403" s="27"/>
      <c r="L403" s="27"/>
      <c r="M403" s="27"/>
      <c r="N403" s="27"/>
      <c r="O403" s="27"/>
      <c r="P403" s="1"/>
      <c r="Q403" s="1"/>
      <c r="R403" s="1"/>
      <c r="S403" s="1"/>
      <c r="T403" s="1"/>
      <c r="U403" s="1"/>
      <c r="V403" s="1"/>
      <c r="W403" s="1"/>
      <c r="X403" s="1"/>
      <c r="Y403" s="1"/>
      <c r="Z403" s="1"/>
      <c r="AA403" s="1"/>
      <c r="AB403" s="1"/>
      <c r="AC403" s="1"/>
      <c r="AD403" s="1"/>
      <c r="AE403" s="1"/>
      <c r="AF403" s="1"/>
      <c r="AG403" s="1"/>
      <c r="AH403" s="1"/>
      <c r="AI403" s="1"/>
      <c r="AJ403" s="1"/>
      <c r="AK403" s="1"/>
      <c r="AL403" s="1"/>
      <c r="AM403" s="1"/>
      <c r="AN403" s="1"/>
      <c r="AO403" s="1"/>
      <c r="AP403" s="1"/>
      <c r="AQ403" s="1"/>
      <c r="AR403" s="1"/>
      <c r="AS403" s="1"/>
    </row>
    <row r="404" spans="1:45" ht="18" customHeight="1" x14ac:dyDescent="0.25">
      <c r="A404" s="1"/>
      <c r="B404" s="27"/>
      <c r="C404" s="27"/>
      <c r="D404" s="27"/>
      <c r="E404" s="27"/>
      <c r="F404" s="27"/>
      <c r="G404" s="27"/>
      <c r="H404" s="27"/>
      <c r="I404" s="27"/>
      <c r="J404" s="27"/>
      <c r="K404" s="27"/>
      <c r="L404" s="27"/>
      <c r="M404" s="27"/>
      <c r="N404" s="27"/>
      <c r="O404" s="27"/>
      <c r="P404" s="1"/>
      <c r="Q404" s="1"/>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c r="AR404" s="1"/>
      <c r="AS404" s="1"/>
    </row>
    <row r="405" spans="1:45" ht="18" customHeight="1" x14ac:dyDescent="0.25">
      <c r="A405" s="1"/>
      <c r="B405" s="27"/>
      <c r="C405" s="27"/>
      <c r="D405" s="27"/>
      <c r="E405" s="27"/>
      <c r="F405" s="27"/>
      <c r="G405" s="27"/>
      <c r="H405" s="27"/>
      <c r="I405" s="27"/>
      <c r="J405" s="27"/>
      <c r="K405" s="27"/>
      <c r="L405" s="27"/>
      <c r="M405" s="27"/>
      <c r="N405" s="27"/>
      <c r="O405" s="27"/>
      <c r="P405" s="1"/>
      <c r="Q405" s="1"/>
      <c r="R405" s="1"/>
      <c r="S405" s="1"/>
      <c r="T405" s="1"/>
      <c r="U405" s="1"/>
      <c r="V405" s="1"/>
      <c r="W405" s="1"/>
      <c r="X405" s="1"/>
      <c r="Y405" s="1"/>
      <c r="Z405" s="1"/>
      <c r="AA405" s="1"/>
      <c r="AB405" s="1"/>
      <c r="AC405" s="1"/>
      <c r="AD405" s="1"/>
      <c r="AE405" s="1"/>
      <c r="AF405" s="1"/>
      <c r="AG405" s="1"/>
      <c r="AH405" s="1"/>
      <c r="AI405" s="1"/>
      <c r="AJ405" s="1"/>
      <c r="AK405" s="1"/>
      <c r="AL405" s="1"/>
      <c r="AM405" s="1"/>
      <c r="AN405" s="1"/>
      <c r="AO405" s="1"/>
      <c r="AP405" s="1"/>
      <c r="AQ405" s="1"/>
      <c r="AR405" s="1"/>
      <c r="AS405" s="1"/>
    </row>
    <row r="406" spans="1:45" ht="18" customHeight="1" x14ac:dyDescent="0.25">
      <c r="A406" s="1"/>
      <c r="B406" s="27"/>
      <c r="C406" s="27"/>
      <c r="D406" s="27"/>
      <c r="E406" s="27"/>
      <c r="F406" s="27"/>
      <c r="G406" s="27"/>
      <c r="H406" s="27"/>
      <c r="I406" s="27"/>
      <c r="J406" s="27"/>
      <c r="K406" s="27"/>
      <c r="L406" s="27"/>
      <c r="M406" s="27"/>
      <c r="N406" s="27"/>
      <c r="O406" s="27"/>
      <c r="P406" s="1"/>
      <c r="Q406" s="1"/>
      <c r="R406" s="1"/>
      <c r="S406" s="1"/>
      <c r="T406" s="1"/>
      <c r="U406" s="1"/>
      <c r="V406" s="1"/>
      <c r="W406" s="1"/>
      <c r="X406" s="1"/>
      <c r="Y406" s="1"/>
      <c r="Z406" s="1"/>
      <c r="AA406" s="1"/>
      <c r="AB406" s="1"/>
      <c r="AC406" s="1"/>
      <c r="AD406" s="1"/>
      <c r="AE406" s="1"/>
      <c r="AF406" s="1"/>
      <c r="AG406" s="1"/>
      <c r="AH406" s="1"/>
      <c r="AI406" s="1"/>
      <c r="AJ406" s="1"/>
      <c r="AK406" s="1"/>
      <c r="AL406" s="1"/>
      <c r="AM406" s="1"/>
      <c r="AN406" s="1"/>
      <c r="AO406" s="1"/>
      <c r="AP406" s="1"/>
      <c r="AQ406" s="1"/>
      <c r="AR406" s="1"/>
      <c r="AS406" s="1"/>
    </row>
    <row r="407" spans="1:45" ht="18" customHeight="1" x14ac:dyDescent="0.25">
      <c r="A407" s="1"/>
      <c r="B407" s="27"/>
      <c r="C407" s="27"/>
      <c r="D407" s="27"/>
      <c r="E407" s="27"/>
      <c r="F407" s="27"/>
      <c r="G407" s="27"/>
      <c r="H407" s="27"/>
      <c r="I407" s="27"/>
      <c r="J407" s="27"/>
      <c r="K407" s="27"/>
      <c r="L407" s="27"/>
      <c r="M407" s="27"/>
      <c r="N407" s="27"/>
      <c r="O407" s="27"/>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row>
    <row r="408" spans="1:45" ht="18" customHeight="1" x14ac:dyDescent="0.25">
      <c r="A408" s="1"/>
      <c r="B408" s="27"/>
      <c r="C408" s="27"/>
      <c r="D408" s="27"/>
      <c r="E408" s="27"/>
      <c r="F408" s="27"/>
      <c r="G408" s="27"/>
      <c r="H408" s="27"/>
      <c r="I408" s="27"/>
      <c r="J408" s="27"/>
      <c r="K408" s="27"/>
      <c r="L408" s="27"/>
      <c r="M408" s="27"/>
      <c r="N408" s="27"/>
      <c r="O408" s="27"/>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row>
    <row r="409" spans="1:45" ht="18" customHeight="1" x14ac:dyDescent="0.25">
      <c r="A409" s="1"/>
      <c r="B409" s="27"/>
      <c r="C409" s="27"/>
      <c r="D409" s="27"/>
      <c r="E409" s="27"/>
      <c r="F409" s="27"/>
      <c r="G409" s="27"/>
      <c r="H409" s="27"/>
      <c r="I409" s="27"/>
      <c r="J409" s="27"/>
      <c r="K409" s="27"/>
      <c r="L409" s="27"/>
      <c r="M409" s="27"/>
      <c r="N409" s="27"/>
      <c r="O409" s="27"/>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c r="AS409" s="1"/>
    </row>
    <row r="410" spans="1:45" ht="18" customHeight="1" x14ac:dyDescent="0.25">
      <c r="A410" s="1"/>
      <c r="B410" s="27"/>
      <c r="C410" s="27"/>
      <c r="D410" s="27"/>
      <c r="E410" s="27"/>
      <c r="F410" s="27"/>
      <c r="G410" s="27"/>
      <c r="H410" s="27"/>
      <c r="I410" s="27"/>
      <c r="J410" s="27"/>
      <c r="K410" s="27"/>
      <c r="L410" s="27"/>
      <c r="M410" s="27"/>
      <c r="N410" s="27"/>
      <c r="O410" s="27"/>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c r="AS410" s="1"/>
    </row>
    <row r="411" spans="1:45" ht="18" customHeight="1" x14ac:dyDescent="0.25">
      <c r="A411" s="1"/>
      <c r="B411" s="27"/>
      <c r="C411" s="27"/>
      <c r="D411" s="27"/>
      <c r="E411" s="27"/>
      <c r="F411" s="27"/>
      <c r="G411" s="27"/>
      <c r="H411" s="27"/>
      <c r="I411" s="27"/>
      <c r="J411" s="27"/>
      <c r="K411" s="27"/>
      <c r="L411" s="27"/>
      <c r="M411" s="27"/>
      <c r="N411" s="27"/>
      <c r="O411" s="27"/>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c r="AS411" s="1"/>
    </row>
    <row r="412" spans="1:45" ht="18" customHeight="1" x14ac:dyDescent="0.25">
      <c r="A412" s="1"/>
      <c r="B412" s="27"/>
      <c r="C412" s="27"/>
      <c r="D412" s="27"/>
      <c r="E412" s="27"/>
      <c r="F412" s="27"/>
      <c r="G412" s="27"/>
      <c r="H412" s="27"/>
      <c r="I412" s="27"/>
      <c r="J412" s="27"/>
      <c r="K412" s="27"/>
      <c r="L412" s="27"/>
      <c r="M412" s="27"/>
      <c r="N412" s="27"/>
      <c r="O412" s="27"/>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c r="AS412" s="1"/>
    </row>
    <row r="413" spans="1:45" ht="18" customHeight="1" x14ac:dyDescent="0.25">
      <c r="A413" s="1"/>
      <c r="B413" s="27"/>
      <c r="C413" s="27"/>
      <c r="D413" s="27"/>
      <c r="E413" s="27"/>
      <c r="F413" s="27"/>
      <c r="G413" s="27"/>
      <c r="H413" s="27"/>
      <c r="I413" s="27"/>
      <c r="J413" s="27"/>
      <c r="K413" s="27"/>
      <c r="L413" s="27"/>
      <c r="M413" s="27"/>
      <c r="N413" s="27"/>
      <c r="O413" s="27"/>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row>
    <row r="414" spans="1:45" ht="18" customHeight="1" x14ac:dyDescent="0.25">
      <c r="A414" s="1"/>
      <c r="B414" s="27"/>
      <c r="C414" s="27"/>
      <c r="D414" s="27"/>
      <c r="E414" s="27"/>
      <c r="F414" s="27"/>
      <c r="G414" s="27"/>
      <c r="H414" s="27"/>
      <c r="I414" s="27"/>
      <c r="J414" s="27"/>
      <c r="K414" s="27"/>
      <c r="L414" s="27"/>
      <c r="M414" s="27"/>
      <c r="N414" s="27"/>
      <c r="O414" s="27"/>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row>
    <row r="415" spans="1:45" ht="18" customHeight="1" x14ac:dyDescent="0.25">
      <c r="A415" s="1"/>
      <c r="B415" s="27"/>
      <c r="C415" s="27"/>
      <c r="D415" s="27"/>
      <c r="E415" s="27"/>
      <c r="F415" s="27"/>
      <c r="G415" s="27"/>
      <c r="H415" s="27"/>
      <c r="I415" s="27"/>
      <c r="J415" s="27"/>
      <c r="K415" s="27"/>
      <c r="L415" s="27"/>
      <c r="M415" s="27"/>
      <c r="N415" s="27"/>
      <c r="O415" s="27"/>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row>
    <row r="416" spans="1:45" ht="18" customHeight="1" x14ac:dyDescent="0.25">
      <c r="A416" s="1"/>
      <c r="B416" s="27"/>
      <c r="C416" s="27"/>
      <c r="D416" s="27"/>
      <c r="E416" s="27"/>
      <c r="F416" s="27"/>
      <c r="G416" s="27"/>
      <c r="H416" s="27"/>
      <c r="I416" s="27"/>
      <c r="J416" s="27"/>
      <c r="K416" s="27"/>
      <c r="L416" s="27"/>
      <c r="M416" s="27"/>
      <c r="N416" s="27"/>
      <c r="O416" s="27"/>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row>
    <row r="417" spans="1:45" ht="18" customHeight="1" x14ac:dyDescent="0.25">
      <c r="A417" s="1"/>
      <c r="B417" s="27"/>
      <c r="C417" s="27"/>
      <c r="D417" s="27"/>
      <c r="E417" s="27"/>
      <c r="F417" s="27"/>
      <c r="G417" s="27"/>
      <c r="H417" s="27"/>
      <c r="I417" s="27"/>
      <c r="J417" s="27"/>
      <c r="K417" s="27"/>
      <c r="L417" s="27"/>
      <c r="M417" s="27"/>
      <c r="N417" s="27"/>
      <c r="O417" s="27"/>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row>
    <row r="418" spans="1:45" ht="18" customHeight="1" x14ac:dyDescent="0.25">
      <c r="A418" s="1"/>
      <c r="B418" s="27"/>
      <c r="C418" s="27"/>
      <c r="D418" s="27"/>
      <c r="E418" s="27"/>
      <c r="F418" s="27"/>
      <c r="G418" s="27"/>
      <c r="H418" s="27"/>
      <c r="I418" s="27"/>
      <c r="J418" s="27"/>
      <c r="K418" s="27"/>
      <c r="L418" s="27"/>
      <c r="M418" s="27"/>
      <c r="N418" s="27"/>
      <c r="O418" s="27"/>
      <c r="P418" s="1"/>
      <c r="Q418" s="1"/>
      <c r="R418" s="1"/>
      <c r="S418" s="1"/>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
      <c r="AR418" s="1"/>
      <c r="AS418" s="1"/>
    </row>
    <row r="419" spans="1:45" ht="18" customHeight="1" x14ac:dyDescent="0.25">
      <c r="A419" s="1"/>
      <c r="B419" s="27"/>
      <c r="C419" s="27"/>
      <c r="D419" s="27"/>
      <c r="E419" s="27"/>
      <c r="F419" s="27"/>
      <c r="G419" s="27"/>
      <c r="H419" s="27"/>
      <c r="I419" s="27"/>
      <c r="J419" s="27"/>
      <c r="K419" s="27"/>
      <c r="L419" s="27"/>
      <c r="M419" s="27"/>
      <c r="N419" s="27"/>
      <c r="O419" s="27"/>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row>
  </sheetData>
  <conditionalFormatting sqref="C8:O12 C14:O32 C34:O34 O35:O38 C41:O45 C35:N40 O40:T40 C47:O51 C46:T46 C53:O57 C52:T52">
    <cfRule type="cellIs" dxfId="97" priority="224" operator="equal">
      <formula>0</formula>
    </cfRule>
  </conditionalFormatting>
  <conditionalFormatting sqref="B9:B10">
    <cfRule type="cellIs" dxfId="96" priority="221" operator="equal">
      <formula>0</formula>
    </cfRule>
  </conditionalFormatting>
  <conditionalFormatting sqref="B9:B10">
    <cfRule type="cellIs" dxfId="95" priority="222" operator="equal">
      <formula>0</formula>
    </cfRule>
  </conditionalFormatting>
  <conditionalFormatting sqref="B15:B18">
    <cfRule type="cellIs" dxfId="94" priority="182" operator="equal">
      <formula>0</formula>
    </cfRule>
  </conditionalFormatting>
  <conditionalFormatting sqref="B15:B18">
    <cfRule type="cellIs" dxfId="93" priority="183" operator="equal">
      <formula>0</formula>
    </cfRule>
  </conditionalFormatting>
  <conditionalFormatting sqref="B21:B24">
    <cfRule type="cellIs" dxfId="92" priority="180" operator="equal">
      <formula>0</formula>
    </cfRule>
  </conditionalFormatting>
  <conditionalFormatting sqref="B21:B24">
    <cfRule type="cellIs" dxfId="91" priority="181" operator="equal">
      <formula>0</formula>
    </cfRule>
  </conditionalFormatting>
  <conditionalFormatting sqref="B27:B31">
    <cfRule type="cellIs" dxfId="90" priority="178" operator="equal">
      <formula>0</formula>
    </cfRule>
  </conditionalFormatting>
  <conditionalFormatting sqref="B27:B31">
    <cfRule type="cellIs" dxfId="89" priority="179" operator="equal">
      <formula>0</formula>
    </cfRule>
  </conditionalFormatting>
  <conditionalFormatting sqref="C26:O26 C32:O32">
    <cfRule type="cellIs" dxfId="88" priority="160" operator="equal">
      <formula>0</formula>
    </cfRule>
  </conditionalFormatting>
  <conditionalFormatting sqref="C26:O26 C32:O32">
    <cfRule type="cellIs" dxfId="87" priority="159" operator="equal">
      <formula>0</formula>
    </cfRule>
  </conditionalFormatting>
  <conditionalFormatting sqref="C9:O12 C15:O19">
    <cfRule type="cellIs" dxfId="86" priority="116" operator="equal">
      <formula>0</formula>
    </cfRule>
  </conditionalFormatting>
  <conditionalFormatting sqref="C9:O12 C15:O19">
    <cfRule type="cellIs" dxfId="85" priority="115" operator="equal">
      <formula>0</formula>
    </cfRule>
  </conditionalFormatting>
  <conditionalFormatting sqref="C13:O13">
    <cfRule type="cellIs" dxfId="84" priority="114" operator="equal">
      <formula>0</formula>
    </cfRule>
  </conditionalFormatting>
  <conditionalFormatting sqref="C13:O13">
    <cfRule type="cellIs" dxfId="83" priority="113" operator="equal">
      <formula>0</formula>
    </cfRule>
  </conditionalFormatting>
  <conditionalFormatting sqref="C13:O13">
    <cfRule type="cellIs" dxfId="82" priority="112" operator="equal">
      <formula>0</formula>
    </cfRule>
  </conditionalFormatting>
  <conditionalFormatting sqref="C13:O13">
    <cfRule type="cellIs" dxfId="81" priority="111" operator="equal">
      <formula>0</formula>
    </cfRule>
  </conditionalFormatting>
  <conditionalFormatting sqref="F10:F13 F18:F19">
    <cfRule type="cellIs" dxfId="80" priority="110" operator="equal">
      <formula>0</formula>
    </cfRule>
  </conditionalFormatting>
  <conditionalFormatting sqref="F10:F13 F18:F19">
    <cfRule type="cellIs" dxfId="79" priority="109" operator="equal">
      <formula>0</formula>
    </cfRule>
  </conditionalFormatting>
  <conditionalFormatting sqref="F13">
    <cfRule type="cellIs" dxfId="78" priority="108" operator="equal">
      <formula>0</formula>
    </cfRule>
  </conditionalFormatting>
  <conditionalFormatting sqref="F13">
    <cfRule type="cellIs" dxfId="77" priority="107" operator="equal">
      <formula>0</formula>
    </cfRule>
  </conditionalFormatting>
  <conditionalFormatting sqref="C21:O25">
    <cfRule type="cellIs" dxfId="76" priority="106" operator="equal">
      <formula>0</formula>
    </cfRule>
  </conditionalFormatting>
  <conditionalFormatting sqref="C21:O25">
    <cfRule type="cellIs" dxfId="75" priority="105" operator="equal">
      <formula>0</formula>
    </cfRule>
  </conditionalFormatting>
  <conditionalFormatting sqref="F24:F25">
    <cfRule type="cellIs" dxfId="74" priority="100" operator="equal">
      <formula>0</formula>
    </cfRule>
  </conditionalFormatting>
  <conditionalFormatting sqref="F24:F25">
    <cfRule type="cellIs" dxfId="73" priority="99" operator="equal">
      <formula>0</formula>
    </cfRule>
  </conditionalFormatting>
  <conditionalFormatting sqref="C27:O31">
    <cfRule type="cellIs" dxfId="72" priority="96" operator="equal">
      <formula>0</formula>
    </cfRule>
  </conditionalFormatting>
  <conditionalFormatting sqref="C27:O31">
    <cfRule type="cellIs" dxfId="71" priority="95" operator="equal">
      <formula>0</formula>
    </cfRule>
  </conditionalFormatting>
  <conditionalFormatting sqref="F30:F31">
    <cfRule type="cellIs" dxfId="70" priority="90" operator="equal">
      <formula>0</formula>
    </cfRule>
  </conditionalFormatting>
  <conditionalFormatting sqref="F30:F31">
    <cfRule type="cellIs" dxfId="69" priority="89" operator="equal">
      <formula>0</formula>
    </cfRule>
  </conditionalFormatting>
  <conditionalFormatting sqref="C63:O63 C58:O58 C61:O61">
    <cfRule type="cellIs" dxfId="68" priority="65" operator="equal">
      <formula>0</formula>
    </cfRule>
  </conditionalFormatting>
  <conditionalFormatting sqref="F63 F58 F61">
    <cfRule type="cellIs" dxfId="67" priority="60" operator="equal">
      <formula>0</formula>
    </cfRule>
  </conditionalFormatting>
  <conditionalFormatting sqref="F63 F58 F61">
    <cfRule type="cellIs" dxfId="66" priority="59" operator="equal">
      <formula>0</formula>
    </cfRule>
  </conditionalFormatting>
  <conditionalFormatting sqref="F63 F58 F61">
    <cfRule type="cellIs" dxfId="65" priority="58" operator="equal">
      <formula>0</formula>
    </cfRule>
  </conditionalFormatting>
  <conditionalFormatting sqref="B25">
    <cfRule type="cellIs" dxfId="64" priority="51" operator="equal">
      <formula>0</formula>
    </cfRule>
  </conditionalFormatting>
  <conditionalFormatting sqref="B25">
    <cfRule type="cellIs" dxfId="63" priority="52" operator="equal">
      <formula>0</formula>
    </cfRule>
  </conditionalFormatting>
  <conditionalFormatting sqref="B35:B36">
    <cfRule type="cellIs" dxfId="62" priority="49" operator="equal">
      <formula>0</formula>
    </cfRule>
  </conditionalFormatting>
  <conditionalFormatting sqref="B35:B36">
    <cfRule type="cellIs" dxfId="61" priority="50" operator="equal">
      <formula>0</formula>
    </cfRule>
  </conditionalFormatting>
  <conditionalFormatting sqref="B41:B44">
    <cfRule type="cellIs" dxfId="60" priority="47" operator="equal">
      <formula>0</formula>
    </cfRule>
  </conditionalFormatting>
  <conditionalFormatting sqref="B41:B44">
    <cfRule type="cellIs" dxfId="59" priority="48" operator="equal">
      <formula>0</formula>
    </cfRule>
  </conditionalFormatting>
  <conditionalFormatting sqref="B47:B50">
    <cfRule type="cellIs" dxfId="58" priority="45" operator="equal">
      <formula>0</formula>
    </cfRule>
  </conditionalFormatting>
  <conditionalFormatting sqref="B47:B50">
    <cfRule type="cellIs" dxfId="57" priority="46" operator="equal">
      <formula>0</formula>
    </cfRule>
  </conditionalFormatting>
  <conditionalFormatting sqref="B53:B57">
    <cfRule type="cellIs" dxfId="56" priority="43" operator="equal">
      <formula>0</formula>
    </cfRule>
  </conditionalFormatting>
  <conditionalFormatting sqref="B53:B57">
    <cfRule type="cellIs" dxfId="55" priority="44" operator="equal">
      <formula>0</formula>
    </cfRule>
  </conditionalFormatting>
  <conditionalFormatting sqref="C52:N52">
    <cfRule type="cellIs" dxfId="54" priority="42" operator="equal">
      <formula>0</formula>
    </cfRule>
  </conditionalFormatting>
  <conditionalFormatting sqref="C52:N52">
    <cfRule type="cellIs" dxfId="53" priority="41" operator="equal">
      <formula>0</formula>
    </cfRule>
  </conditionalFormatting>
  <conditionalFormatting sqref="O35:O38 C35:N39 C41:O45">
    <cfRule type="cellIs" dxfId="52" priority="40" operator="equal">
      <formula>0</formula>
    </cfRule>
  </conditionalFormatting>
  <conditionalFormatting sqref="O35:O38 C35:N39 C41:O45">
    <cfRule type="cellIs" dxfId="51" priority="39" operator="equal">
      <formula>0</formula>
    </cfRule>
  </conditionalFormatting>
  <conditionalFormatting sqref="O39">
    <cfRule type="cellIs" dxfId="50" priority="38" operator="equal">
      <formula>0</formula>
    </cfRule>
  </conditionalFormatting>
  <conditionalFormatting sqref="O39">
    <cfRule type="cellIs" dxfId="49" priority="37" operator="equal">
      <formula>0</formula>
    </cfRule>
  </conditionalFormatting>
  <conditionalFormatting sqref="O39">
    <cfRule type="cellIs" dxfId="48" priority="36" operator="equal">
      <formula>0</formula>
    </cfRule>
  </conditionalFormatting>
  <conditionalFormatting sqref="O39">
    <cfRule type="cellIs" dxfId="47" priority="35" operator="equal">
      <formula>0</formula>
    </cfRule>
  </conditionalFormatting>
  <conditionalFormatting sqref="F36:F39 F42:F45">
    <cfRule type="cellIs" dxfId="46" priority="34" operator="equal">
      <formula>0</formula>
    </cfRule>
  </conditionalFormatting>
  <conditionalFormatting sqref="F36:F39 F42:F45">
    <cfRule type="cellIs" dxfId="45" priority="33" operator="equal">
      <formula>0</formula>
    </cfRule>
  </conditionalFormatting>
  <conditionalFormatting sqref="C47:O51">
    <cfRule type="cellIs" dxfId="44" priority="30" operator="equal">
      <formula>0</formula>
    </cfRule>
  </conditionalFormatting>
  <conditionalFormatting sqref="C47:O51">
    <cfRule type="cellIs" dxfId="43" priority="29" operator="equal">
      <formula>0</formula>
    </cfRule>
  </conditionalFormatting>
  <conditionalFormatting sqref="F50:F51">
    <cfRule type="cellIs" dxfId="42" priority="28" operator="equal">
      <formula>0</formula>
    </cfRule>
  </conditionalFormatting>
  <conditionalFormatting sqref="F50:F51">
    <cfRule type="cellIs" dxfId="41" priority="27" operator="equal">
      <formula>0</formula>
    </cfRule>
  </conditionalFormatting>
  <conditionalFormatting sqref="C53:O57">
    <cfRule type="cellIs" dxfId="40" priority="26" operator="equal">
      <formula>0</formula>
    </cfRule>
  </conditionalFormatting>
  <conditionalFormatting sqref="C53:O57">
    <cfRule type="cellIs" dxfId="39" priority="25" operator="equal">
      <formula>0</formula>
    </cfRule>
  </conditionalFormatting>
  <conditionalFormatting sqref="F56:F57">
    <cfRule type="cellIs" dxfId="38" priority="24" operator="equal">
      <formula>0</formula>
    </cfRule>
  </conditionalFormatting>
  <conditionalFormatting sqref="F56:F57">
    <cfRule type="cellIs" dxfId="37" priority="23" operator="equal">
      <formula>0</formula>
    </cfRule>
  </conditionalFormatting>
  <conditionalFormatting sqref="B51">
    <cfRule type="cellIs" dxfId="36" priority="21" operator="equal">
      <formula>0</formula>
    </cfRule>
  </conditionalFormatting>
  <conditionalFormatting sqref="B51">
    <cfRule type="cellIs" dxfId="35" priority="22" operator="equal">
      <formula>0</formula>
    </cfRule>
  </conditionalFormatting>
  <conditionalFormatting sqref="C47:F51">
    <cfRule type="cellIs" dxfId="34" priority="20" operator="equal">
      <formula>0</formula>
    </cfRule>
  </conditionalFormatting>
  <conditionalFormatting sqref="C47:F51">
    <cfRule type="cellIs" dxfId="33" priority="19" operator="equal">
      <formula>0</formula>
    </cfRule>
  </conditionalFormatting>
  <conditionalFormatting sqref="F48:F51">
    <cfRule type="cellIs" dxfId="32" priority="18" operator="equal">
      <formula>0</formula>
    </cfRule>
  </conditionalFormatting>
  <conditionalFormatting sqref="F48:F51">
    <cfRule type="cellIs" dxfId="31" priority="17" operator="equal">
      <formula>0</formula>
    </cfRule>
  </conditionalFormatting>
  <conditionalFormatting sqref="G47:J51">
    <cfRule type="cellIs" dxfId="30" priority="16" operator="equal">
      <formula>0</formula>
    </cfRule>
  </conditionalFormatting>
  <conditionalFormatting sqref="G47:J51">
    <cfRule type="cellIs" dxfId="29" priority="15" operator="equal">
      <formula>0</formula>
    </cfRule>
  </conditionalFormatting>
  <conditionalFormatting sqref="K47:N51">
    <cfRule type="cellIs" dxfId="28" priority="14" operator="equal">
      <formula>0</formula>
    </cfRule>
  </conditionalFormatting>
  <conditionalFormatting sqref="K47:N51">
    <cfRule type="cellIs" dxfId="27" priority="13" operator="equal">
      <formula>0</formula>
    </cfRule>
  </conditionalFormatting>
  <conditionalFormatting sqref="C53:F57">
    <cfRule type="cellIs" dxfId="26" priority="12" operator="equal">
      <formula>0</formula>
    </cfRule>
  </conditionalFormatting>
  <conditionalFormatting sqref="C53:F57">
    <cfRule type="cellIs" dxfId="25" priority="11" operator="equal">
      <formula>0</formula>
    </cfRule>
  </conditionalFormatting>
  <conditionalFormatting sqref="C53:F57">
    <cfRule type="cellIs" dxfId="24" priority="10" operator="equal">
      <formula>0</formula>
    </cfRule>
  </conditionalFormatting>
  <conditionalFormatting sqref="C53:F57">
    <cfRule type="cellIs" dxfId="23" priority="9" operator="equal">
      <formula>0</formula>
    </cfRule>
  </conditionalFormatting>
  <conditionalFormatting sqref="G53:J57">
    <cfRule type="cellIs" dxfId="22" priority="8" operator="equal">
      <formula>0</formula>
    </cfRule>
  </conditionalFormatting>
  <conditionalFormatting sqref="G53:J57">
    <cfRule type="cellIs" dxfId="21" priority="7" operator="equal">
      <formula>0</formula>
    </cfRule>
  </conditionalFormatting>
  <conditionalFormatting sqref="G53:J57">
    <cfRule type="cellIs" dxfId="20" priority="6" operator="equal">
      <formula>0</formula>
    </cfRule>
  </conditionalFormatting>
  <conditionalFormatting sqref="G53:J57">
    <cfRule type="cellIs" dxfId="19" priority="5" operator="equal">
      <formula>0</formula>
    </cfRule>
  </conditionalFormatting>
  <conditionalFormatting sqref="K53:N57">
    <cfRule type="cellIs" dxfId="18" priority="4" operator="equal">
      <formula>0</formula>
    </cfRule>
  </conditionalFormatting>
  <conditionalFormatting sqref="K53:N57">
    <cfRule type="cellIs" dxfId="17" priority="3" operator="equal">
      <formula>0</formula>
    </cfRule>
  </conditionalFormatting>
  <conditionalFormatting sqref="K53:N57">
    <cfRule type="cellIs" dxfId="16" priority="2" operator="equal">
      <formula>0</formula>
    </cfRule>
  </conditionalFormatting>
  <conditionalFormatting sqref="K53:N57">
    <cfRule type="cellIs" dxfId="15" priority="1" operator="equal">
      <formula>0</formula>
    </cfRule>
  </conditionalFormatting>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7DDA5-E7DE-4196-96CC-D40DD240F10B}">
  <sheetPr codeName="Planilha13"/>
  <dimension ref="A1:AJ363"/>
  <sheetViews>
    <sheetView showGridLines="0" zoomScale="85" zoomScaleNormal="85" workbookViewId="0">
      <selection activeCell="G11" sqref="G1:G1048576"/>
    </sheetView>
  </sheetViews>
  <sheetFormatPr defaultColWidth="9" defaultRowHeight="15" x14ac:dyDescent="0.25"/>
  <cols>
    <col min="1" max="1" width="14" style="3" customWidth="1"/>
    <col min="2" max="2" width="31.28515625" style="8" bestFit="1" customWidth="1"/>
    <col min="3" max="6" width="14" style="8" customWidth="1"/>
    <col min="7" max="7" width="22.140625" style="3" bestFit="1" customWidth="1"/>
    <col min="8" max="8" width="15.140625" style="3" bestFit="1" customWidth="1"/>
    <col min="9" max="16384" width="9" style="3"/>
  </cols>
  <sheetData>
    <row r="1" spans="1:36" ht="18" customHeight="1" x14ac:dyDescent="0.25">
      <c r="A1" s="1"/>
      <c r="B1" s="1"/>
      <c r="C1" s="2"/>
      <c r="D1" s="2"/>
      <c r="E1" s="2"/>
      <c r="F1" s="2"/>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row>
    <row r="2" spans="1:36" ht="18" customHeight="1" x14ac:dyDescent="0.25">
      <c r="A2" s="1"/>
      <c r="B2" s="1"/>
      <c r="C2" s="2"/>
      <c r="D2" s="2"/>
      <c r="E2" s="2"/>
      <c r="F2" s="2"/>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row>
    <row r="3" spans="1:36" ht="18" customHeight="1" x14ac:dyDescent="0.25">
      <c r="A3" s="1"/>
      <c r="B3" s="1"/>
      <c r="C3" s="2"/>
      <c r="D3" s="2"/>
      <c r="E3" s="2"/>
      <c r="F3" s="2"/>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row>
    <row r="4" spans="1:36" ht="18" customHeight="1" x14ac:dyDescent="0.25">
      <c r="A4" s="1"/>
      <c r="B4" s="1"/>
      <c r="C4" s="2"/>
      <c r="D4" s="2"/>
      <c r="E4" s="2"/>
      <c r="F4" s="2"/>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row>
    <row r="5" spans="1:36" ht="18" customHeight="1" x14ac:dyDescent="0.25">
      <c r="A5" s="1"/>
      <c r="B5" s="1"/>
      <c r="C5" s="2"/>
      <c r="D5" s="2"/>
      <c r="E5" s="2"/>
      <c r="F5" s="2"/>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row>
    <row r="6" spans="1:36" ht="18" customHeight="1" x14ac:dyDescent="0.25">
      <c r="A6" s="1"/>
      <c r="B6" s="1"/>
      <c r="C6" s="2"/>
      <c r="D6" s="2"/>
      <c r="E6" s="2"/>
      <c r="F6" s="2"/>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row>
    <row r="7" spans="1:36" s="166" customFormat="1" ht="18" customHeight="1" thickBot="1" x14ac:dyDescent="0.3">
      <c r="A7" s="163"/>
      <c r="B7" s="176" t="s">
        <v>420</v>
      </c>
      <c r="C7" s="165">
        <v>2021</v>
      </c>
      <c r="D7" s="165">
        <f t="shared" ref="D7:F7" si="0">C7+1</f>
        <v>2022</v>
      </c>
      <c r="E7" s="165">
        <f t="shared" si="0"/>
        <v>2023</v>
      </c>
      <c r="F7" s="165">
        <f t="shared" si="0"/>
        <v>2024</v>
      </c>
      <c r="G7" s="163"/>
      <c r="H7" s="163"/>
      <c r="I7" s="163"/>
      <c r="J7" s="163"/>
      <c r="K7" s="163"/>
      <c r="L7" s="163"/>
      <c r="M7" s="163"/>
      <c r="N7" s="163"/>
      <c r="O7" s="163"/>
      <c r="P7" s="163"/>
      <c r="Q7" s="163"/>
      <c r="R7" s="163"/>
      <c r="S7" s="163"/>
      <c r="T7" s="163"/>
      <c r="U7" s="163"/>
      <c r="V7" s="163"/>
      <c r="W7" s="163"/>
      <c r="X7" s="163"/>
      <c r="Y7" s="163"/>
      <c r="Z7" s="163"/>
      <c r="AA7" s="163"/>
      <c r="AB7" s="163"/>
      <c r="AC7" s="163"/>
      <c r="AD7" s="163"/>
      <c r="AE7" s="163"/>
      <c r="AF7" s="163"/>
      <c r="AG7" s="163"/>
      <c r="AH7" s="163"/>
      <c r="AI7" s="163"/>
      <c r="AJ7" s="163"/>
    </row>
    <row r="8" spans="1:36" ht="18" customHeight="1" x14ac:dyDescent="0.25">
      <c r="A8" s="1"/>
      <c r="B8" s="167" t="s">
        <v>418</v>
      </c>
      <c r="C8" s="63">
        <v>64215</v>
      </c>
      <c r="D8" s="63">
        <v>79184</v>
      </c>
      <c r="E8" s="63">
        <v>86153</v>
      </c>
      <c r="F8" s="63">
        <v>84683</v>
      </c>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row>
    <row r="9" spans="1:36" ht="18" customHeight="1" thickBot="1" x14ac:dyDescent="0.3">
      <c r="A9" s="1"/>
      <c r="B9" s="20" t="s">
        <v>419</v>
      </c>
      <c r="C9" s="62">
        <v>-20355</v>
      </c>
      <c r="D9" s="62">
        <v>-24988</v>
      </c>
      <c r="E9" s="62">
        <v>-26876</v>
      </c>
      <c r="F9" s="62">
        <v>-27918</v>
      </c>
      <c r="G9" s="1"/>
      <c r="H9" s="95" t="s">
        <v>452</v>
      </c>
      <c r="I9" s="165">
        <v>2021</v>
      </c>
      <c r="J9" s="165">
        <f t="shared" ref="J9" si="1">I9+1</f>
        <v>2022</v>
      </c>
      <c r="K9" s="165">
        <f t="shared" ref="K9" si="2">J9+1</f>
        <v>2023</v>
      </c>
      <c r="L9" s="165">
        <f t="shared" ref="L9" si="3">K9+1</f>
        <v>2024</v>
      </c>
      <c r="M9" s="1"/>
      <c r="N9" s="1"/>
      <c r="O9" s="1"/>
      <c r="P9" s="1"/>
      <c r="Q9" s="1"/>
      <c r="R9" s="1"/>
      <c r="S9" s="1"/>
      <c r="T9" s="1"/>
      <c r="U9" s="1"/>
      <c r="V9" s="1"/>
      <c r="W9" s="1"/>
      <c r="X9" s="1"/>
      <c r="Y9" s="1"/>
      <c r="Z9" s="1"/>
      <c r="AA9" s="1"/>
      <c r="AB9" s="1"/>
      <c r="AC9" s="1"/>
      <c r="AD9" s="1"/>
      <c r="AE9" s="1"/>
      <c r="AF9" s="1"/>
      <c r="AG9" s="1"/>
      <c r="AH9" s="1"/>
      <c r="AI9" s="1"/>
      <c r="AJ9" s="1"/>
    </row>
    <row r="10" spans="1:36" ht="18" customHeight="1" thickBot="1" x14ac:dyDescent="0.3">
      <c r="A10" s="1"/>
      <c r="B10" s="95" t="s">
        <v>15</v>
      </c>
      <c r="C10" s="63">
        <f>C9+C8</f>
        <v>43860</v>
      </c>
      <c r="D10" s="63">
        <f>D9+D8</f>
        <v>54196</v>
      </c>
      <c r="E10" s="63">
        <f>E9+E8</f>
        <v>59277</v>
      </c>
      <c r="F10" s="63">
        <f>F9+F8</f>
        <v>56765</v>
      </c>
      <c r="G10" s="1"/>
      <c r="H10" s="176" t="s">
        <v>420</v>
      </c>
      <c r="I10" s="179">
        <v>0.68301798645176359</v>
      </c>
      <c r="J10" s="179">
        <v>0.68443119822186305</v>
      </c>
      <c r="K10" s="179">
        <v>0.68804336471161776</v>
      </c>
      <c r="L10" s="179">
        <v>0.67032344154080514</v>
      </c>
      <c r="M10" s="1"/>
      <c r="N10" s="1" t="s">
        <v>453</v>
      </c>
      <c r="O10" s="1"/>
      <c r="P10" s="1"/>
      <c r="Q10" s="1"/>
      <c r="R10" s="1"/>
      <c r="S10" s="1"/>
      <c r="T10" s="1"/>
      <c r="U10" s="1"/>
      <c r="V10" s="1"/>
      <c r="W10" s="1"/>
      <c r="X10" s="1"/>
      <c r="Y10" s="1"/>
      <c r="Z10" s="1"/>
      <c r="AA10" s="1"/>
      <c r="AB10" s="1"/>
      <c r="AC10" s="1"/>
      <c r="AD10" s="1"/>
      <c r="AE10" s="1"/>
      <c r="AF10" s="1"/>
      <c r="AG10" s="1"/>
      <c r="AH10" s="1"/>
      <c r="AI10" s="1"/>
      <c r="AJ10" s="1"/>
    </row>
    <row r="11" spans="1:36" ht="18" customHeight="1" thickBot="1" x14ac:dyDescent="0.3">
      <c r="A11" s="1"/>
      <c r="B11" s="1"/>
      <c r="C11" s="175">
        <f>C10/C8</f>
        <v>0.68301798645176359</v>
      </c>
      <c r="D11" s="175">
        <f>D10/D8</f>
        <v>0.68443119822186305</v>
      </c>
      <c r="E11" s="175">
        <f t="shared" ref="E11" si="4">E10/E8</f>
        <v>0.68804336471161776</v>
      </c>
      <c r="F11" s="175">
        <f t="shared" ref="F11" si="5">F10/F8</f>
        <v>0.67032344154080514</v>
      </c>
      <c r="G11" s="1"/>
      <c r="H11" s="176" t="s">
        <v>421</v>
      </c>
      <c r="I11" s="179">
        <v>0.57057295425025256</v>
      </c>
      <c r="J11" s="179">
        <v>0.56980564340323625</v>
      </c>
      <c r="K11" s="179">
        <v>0.57754471861351431</v>
      </c>
      <c r="L11" s="179">
        <v>0.57838061710499067</v>
      </c>
      <c r="M11" s="1"/>
      <c r="N11" s="177">
        <f>AVERAGE(I11:L12)</f>
        <v>0.57771179282186946</v>
      </c>
      <c r="O11" s="1"/>
      <c r="P11" s="1"/>
      <c r="Q11" s="1"/>
      <c r="R11" s="1"/>
      <c r="S11" s="1"/>
      <c r="T11" s="1"/>
      <c r="U11" s="1"/>
      <c r="V11" s="1"/>
      <c r="W11" s="1"/>
      <c r="X11" s="1"/>
      <c r="Y11" s="1"/>
      <c r="Z11" s="1"/>
      <c r="AA11" s="1"/>
      <c r="AB11" s="1"/>
      <c r="AC11" s="1"/>
      <c r="AD11" s="1"/>
      <c r="AE11" s="1"/>
      <c r="AF11" s="1"/>
      <c r="AG11" s="1"/>
      <c r="AH11" s="1"/>
      <c r="AI11" s="1"/>
      <c r="AJ11" s="1"/>
    </row>
    <row r="12" spans="1:36" ht="18" customHeight="1" thickBot="1" x14ac:dyDescent="0.3">
      <c r="A12" s="1"/>
      <c r="B12" s="95" t="s">
        <v>294</v>
      </c>
      <c r="C12" s="63">
        <f>C14-C10</f>
        <v>-26705</v>
      </c>
      <c r="D12" s="63">
        <f>D14-D10</f>
        <v>-33141</v>
      </c>
      <c r="E12" s="63">
        <f t="shared" ref="E12" si="6">E14-E10</f>
        <v>-36717</v>
      </c>
      <c r="F12" s="63">
        <f t="shared" ref="F12" si="7">F14-F10</f>
        <v>-37858</v>
      </c>
      <c r="G12" s="1"/>
      <c r="H12" s="176" t="s">
        <v>423</v>
      </c>
      <c r="I12" s="179">
        <v>0.58155919909991582</v>
      </c>
      <c r="J12" s="179">
        <v>0.56768467010926171</v>
      </c>
      <c r="K12" s="179">
        <v>0.58183711771917068</v>
      </c>
      <c r="L12" s="179">
        <v>0.59430942227461314</v>
      </c>
      <c r="M12" s="1"/>
      <c r="N12" s="1"/>
      <c r="O12" s="1"/>
      <c r="P12" s="1"/>
      <c r="Q12" s="1"/>
      <c r="R12" s="1"/>
      <c r="S12" s="1"/>
      <c r="T12" s="1"/>
      <c r="U12" s="1"/>
      <c r="V12" s="1"/>
      <c r="W12" s="1"/>
      <c r="X12" s="1"/>
      <c r="Y12" s="1"/>
      <c r="Z12" s="1"/>
      <c r="AA12" s="1"/>
      <c r="AB12" s="1"/>
      <c r="AC12" s="1"/>
      <c r="AD12" s="1"/>
      <c r="AE12" s="1"/>
      <c r="AF12" s="1"/>
      <c r="AG12" s="1"/>
      <c r="AH12" s="1"/>
      <c r="AI12" s="1"/>
      <c r="AJ12" s="1"/>
    </row>
    <row r="13" spans="1:36" ht="18" customHeight="1" x14ac:dyDescent="0.25">
      <c r="A13" s="1"/>
      <c r="B13" s="1"/>
      <c r="C13" s="175">
        <f t="shared" ref="C13:E13" si="8">C12/C8</f>
        <v>-0.41586856653429882</v>
      </c>
      <c r="D13" s="175">
        <f t="shared" si="8"/>
        <v>-0.41853152151949891</v>
      </c>
      <c r="E13" s="175">
        <f t="shared" si="8"/>
        <v>-0.42618365001799124</v>
      </c>
      <c r="F13" s="175">
        <f t="shared" ref="F13" si="9">F12/F8</f>
        <v>-0.44705548929537214</v>
      </c>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row>
    <row r="14" spans="1:36" ht="18" customHeight="1" thickBot="1" x14ac:dyDescent="0.3">
      <c r="A14" s="1"/>
      <c r="B14" s="25" t="s">
        <v>18</v>
      </c>
      <c r="C14" s="63">
        <v>17155</v>
      </c>
      <c r="D14" s="63">
        <v>21055</v>
      </c>
      <c r="E14" s="63">
        <v>22560</v>
      </c>
      <c r="F14" s="63">
        <v>18907</v>
      </c>
      <c r="G14" s="1"/>
      <c r="H14" s="95" t="s">
        <v>454</v>
      </c>
      <c r="I14" s="165">
        <v>2021</v>
      </c>
      <c r="J14" s="165">
        <f t="shared" ref="J14" si="10">I14+1</f>
        <v>2022</v>
      </c>
      <c r="K14" s="165">
        <f t="shared" ref="K14" si="11">J14+1</f>
        <v>2023</v>
      </c>
      <c r="L14" s="165">
        <f t="shared" ref="L14" si="12">K14+1</f>
        <v>2024</v>
      </c>
      <c r="M14" s="1"/>
      <c r="N14" s="1"/>
      <c r="O14" s="1"/>
      <c r="P14" s="1"/>
      <c r="Q14" s="1"/>
      <c r="R14" s="1"/>
      <c r="S14" s="1"/>
      <c r="T14" s="1"/>
      <c r="U14" s="1"/>
      <c r="V14" s="1"/>
      <c r="W14" s="1"/>
      <c r="X14" s="1"/>
      <c r="Y14" s="1"/>
      <c r="Z14" s="1"/>
      <c r="AA14" s="1"/>
      <c r="AB14" s="1"/>
      <c r="AC14" s="1"/>
      <c r="AD14" s="1"/>
      <c r="AE14" s="1"/>
      <c r="AF14" s="1"/>
      <c r="AG14" s="1"/>
      <c r="AH14" s="1"/>
      <c r="AI14" s="1"/>
      <c r="AJ14" s="1"/>
    </row>
    <row r="15" spans="1:36" ht="18" customHeight="1" thickBot="1" x14ac:dyDescent="0.3">
      <c r="A15" s="1"/>
      <c r="B15" s="1"/>
      <c r="C15" s="63"/>
      <c r="D15" s="63"/>
      <c r="E15" s="63"/>
      <c r="F15" s="63"/>
      <c r="G15" s="1"/>
      <c r="H15" s="176" t="s">
        <v>420</v>
      </c>
      <c r="I15" s="179">
        <v>0.41586856653429882</v>
      </c>
      <c r="J15" s="179">
        <v>0.41853152151949891</v>
      </c>
      <c r="K15" s="179">
        <v>0.42618365001799124</v>
      </c>
      <c r="L15" s="179">
        <v>0.44705548929537214</v>
      </c>
      <c r="M15" s="1"/>
      <c r="N15" s="1" t="s">
        <v>453</v>
      </c>
      <c r="O15" s="1"/>
      <c r="P15" s="1"/>
      <c r="Q15" s="1"/>
      <c r="R15" s="1"/>
      <c r="S15" s="1"/>
      <c r="T15" s="1"/>
      <c r="U15" s="1"/>
      <c r="V15" s="1"/>
      <c r="W15" s="1"/>
      <c r="X15" s="1"/>
      <c r="Y15" s="1"/>
      <c r="Z15" s="1"/>
      <c r="AA15" s="1"/>
      <c r="AB15" s="1"/>
      <c r="AC15" s="1"/>
      <c r="AD15" s="1"/>
      <c r="AE15" s="1"/>
      <c r="AF15" s="1"/>
      <c r="AG15" s="1"/>
      <c r="AH15" s="1"/>
      <c r="AI15" s="1"/>
      <c r="AJ15" s="1"/>
    </row>
    <row r="16" spans="1:36" ht="18" customHeight="1" thickBot="1" x14ac:dyDescent="0.3">
      <c r="A16" s="1"/>
      <c r="B16" s="176" t="s">
        <v>421</v>
      </c>
      <c r="C16" s="165">
        <v>2021</v>
      </c>
      <c r="D16" s="165">
        <f t="shared" ref="D16:F16" si="13">C16+1</f>
        <v>2022</v>
      </c>
      <c r="E16" s="165">
        <f t="shared" si="13"/>
        <v>2023</v>
      </c>
      <c r="F16" s="165">
        <f t="shared" si="13"/>
        <v>2024</v>
      </c>
      <c r="G16" s="1"/>
      <c r="H16" s="176" t="s">
        <v>421</v>
      </c>
      <c r="I16" s="179">
        <v>0.41607735603983259</v>
      </c>
      <c r="J16" s="179">
        <v>0.4003193220547146</v>
      </c>
      <c r="K16" s="179">
        <v>0.38812696469802765</v>
      </c>
      <c r="L16" s="179">
        <v>0.38284323876579002</v>
      </c>
      <c r="M16" s="1"/>
      <c r="N16" s="177">
        <f>AVERAGE(I15:L16)</f>
        <v>0.41187576361569073</v>
      </c>
      <c r="O16" s="1"/>
      <c r="P16" s="1"/>
      <c r="Q16" s="1"/>
      <c r="R16" s="1"/>
      <c r="S16" s="1"/>
      <c r="T16" s="1"/>
      <c r="U16" s="1"/>
      <c r="V16" s="1"/>
      <c r="W16" s="1"/>
      <c r="X16" s="1"/>
      <c r="Y16" s="1"/>
      <c r="Z16" s="1"/>
      <c r="AA16" s="1"/>
      <c r="AB16" s="1"/>
      <c r="AC16" s="1"/>
      <c r="AD16" s="1"/>
      <c r="AE16" s="1"/>
      <c r="AF16" s="1"/>
      <c r="AG16" s="1"/>
      <c r="AH16" s="1"/>
      <c r="AI16" s="1"/>
      <c r="AJ16" s="1"/>
    </row>
    <row r="17" spans="1:36" ht="18" customHeight="1" thickBot="1" x14ac:dyDescent="0.3">
      <c r="A17" s="1"/>
      <c r="B17" s="167" t="s">
        <v>422</v>
      </c>
      <c r="C17" s="63">
        <v>27716</v>
      </c>
      <c r="D17" s="63">
        <v>32569</v>
      </c>
      <c r="E17" s="63">
        <v>35947</v>
      </c>
      <c r="F17" s="63">
        <v>38632</v>
      </c>
      <c r="G17" s="1"/>
      <c r="H17" s="176" t="s">
        <v>423</v>
      </c>
      <c r="I17" s="179">
        <v>0.4639256338274329</v>
      </c>
      <c r="J17" s="179">
        <v>0.51552492187673138</v>
      </c>
      <c r="K17" s="179">
        <v>0.48107445458194553</v>
      </c>
      <c r="L17" s="179">
        <v>0.50505610835673587</v>
      </c>
      <c r="M17" s="1"/>
      <c r="N17" s="1"/>
      <c r="O17" s="1"/>
      <c r="P17" s="1"/>
      <c r="Q17" s="1"/>
      <c r="R17" s="1"/>
      <c r="S17" s="1"/>
      <c r="T17" s="1"/>
      <c r="U17" s="1"/>
      <c r="V17" s="1"/>
      <c r="W17" s="1"/>
      <c r="X17" s="1"/>
      <c r="Y17" s="1"/>
      <c r="Z17" s="1"/>
      <c r="AA17" s="1"/>
      <c r="AB17" s="1"/>
      <c r="AC17" s="1"/>
      <c r="AD17" s="1"/>
      <c r="AE17" s="1"/>
      <c r="AF17" s="1"/>
      <c r="AG17" s="1"/>
      <c r="AH17" s="1"/>
      <c r="AI17" s="1"/>
      <c r="AJ17" s="1"/>
    </row>
    <row r="18" spans="1:36" ht="18" customHeight="1" x14ac:dyDescent="0.25">
      <c r="A18" s="1"/>
      <c r="B18" s="20" t="s">
        <v>419</v>
      </c>
      <c r="C18" s="62">
        <v>-11902</v>
      </c>
      <c r="D18" s="62">
        <v>-14011</v>
      </c>
      <c r="E18" s="62">
        <v>-15186</v>
      </c>
      <c r="F18" s="62">
        <v>-16288</v>
      </c>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row>
    <row r="19" spans="1:36" ht="18" customHeight="1" x14ac:dyDescent="0.25">
      <c r="A19" s="1"/>
      <c r="B19" s="95" t="s">
        <v>15</v>
      </c>
      <c r="C19" s="63">
        <f>C18+C17</f>
        <v>15814</v>
      </c>
      <c r="D19" s="63">
        <f>D18+D17</f>
        <v>18558</v>
      </c>
      <c r="E19" s="63">
        <f>E18+E17</f>
        <v>20761</v>
      </c>
      <c r="F19" s="63">
        <f>F18+F17</f>
        <v>22344</v>
      </c>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row>
    <row r="20" spans="1:36" ht="18" customHeight="1" x14ac:dyDescent="0.25">
      <c r="A20" s="1"/>
      <c r="B20" s="1"/>
      <c r="C20" s="175">
        <f>C19/C17</f>
        <v>0.57057295425025256</v>
      </c>
      <c r="D20" s="175">
        <f>D19/D17</f>
        <v>0.56980564340323625</v>
      </c>
      <c r="E20" s="175">
        <f t="shared" ref="E20" si="14">E19/E17</f>
        <v>0.57754471861351431</v>
      </c>
      <c r="F20" s="175">
        <f t="shared" ref="F20" si="15">F19/F17</f>
        <v>0.57838061710499067</v>
      </c>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ht="18" customHeight="1" x14ac:dyDescent="0.25">
      <c r="A21" s="1"/>
      <c r="B21" s="95" t="s">
        <v>294</v>
      </c>
      <c r="C21" s="63">
        <f>C23-C19</f>
        <v>-11532</v>
      </c>
      <c r="D21" s="63">
        <f>D23-D19</f>
        <v>-13038</v>
      </c>
      <c r="E21" s="63">
        <f>E23-E19</f>
        <v>-13952</v>
      </c>
      <c r="F21" s="63">
        <f>F23-F19</f>
        <v>-14790</v>
      </c>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row>
    <row r="22" spans="1:36" ht="18" customHeight="1" x14ac:dyDescent="0.25">
      <c r="A22" s="1"/>
      <c r="B22" s="1"/>
      <c r="C22" s="175">
        <f t="shared" ref="C22" si="16">C21/C17</f>
        <v>-0.41607735603983259</v>
      </c>
      <c r="D22" s="175">
        <f t="shared" ref="D22" si="17">D21/D17</f>
        <v>-0.4003193220547146</v>
      </c>
      <c r="E22" s="175">
        <f t="shared" ref="E22" si="18">E21/E17</f>
        <v>-0.38812696469802765</v>
      </c>
      <c r="F22" s="175">
        <f t="shared" ref="F22" si="19">F21/F17</f>
        <v>-0.38284323876579002</v>
      </c>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row>
    <row r="23" spans="1:36" ht="18" customHeight="1" x14ac:dyDescent="0.25">
      <c r="A23" s="1"/>
      <c r="B23" s="25" t="s">
        <v>18</v>
      </c>
      <c r="C23" s="63">
        <v>4282</v>
      </c>
      <c r="D23" s="63">
        <v>5520</v>
      </c>
      <c r="E23" s="63">
        <v>6809</v>
      </c>
      <c r="F23" s="63">
        <v>7554</v>
      </c>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row>
    <row r="24" spans="1:36" ht="18" customHeight="1" x14ac:dyDescent="0.25">
      <c r="A24" s="1"/>
      <c r="B24" s="1"/>
      <c r="C24" s="63"/>
      <c r="D24" s="63"/>
      <c r="E24" s="63"/>
      <c r="F24" s="63"/>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row>
    <row r="25" spans="1:36" ht="18" customHeight="1" thickBot="1" x14ac:dyDescent="0.3">
      <c r="A25" s="1"/>
      <c r="B25" s="176" t="s">
        <v>423</v>
      </c>
      <c r="C25" s="165">
        <v>2021</v>
      </c>
      <c r="D25" s="165">
        <f t="shared" ref="D25:F25" si="20">C25+1</f>
        <v>2022</v>
      </c>
      <c r="E25" s="165">
        <f t="shared" si="20"/>
        <v>2023</v>
      </c>
      <c r="F25" s="165">
        <f t="shared" si="20"/>
        <v>2024</v>
      </c>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row>
    <row r="26" spans="1:36" ht="18" customHeight="1" x14ac:dyDescent="0.25">
      <c r="A26" s="1"/>
      <c r="B26" s="167" t="s">
        <v>418</v>
      </c>
      <c r="C26" s="63">
        <v>9154.7000000000007</v>
      </c>
      <c r="D26" s="63">
        <v>9024.2000000000007</v>
      </c>
      <c r="E26" s="63">
        <v>9217.7000000000007</v>
      </c>
      <c r="F26" s="63">
        <v>8652.9</v>
      </c>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row>
    <row r="27" spans="1:36" ht="18" customHeight="1" x14ac:dyDescent="0.25">
      <c r="A27" s="1"/>
      <c r="B27" s="20" t="s">
        <v>419</v>
      </c>
      <c r="C27" s="62">
        <f>C28-C26</f>
        <v>-3830.7000000000007</v>
      </c>
      <c r="D27" s="62">
        <f t="shared" ref="D27:E27" si="21">D28-D26</f>
        <v>-3901.3000000000011</v>
      </c>
      <c r="E27" s="62">
        <f t="shared" si="21"/>
        <v>-3854.5000000000009</v>
      </c>
      <c r="F27" s="62">
        <v>-3510.4</v>
      </c>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row>
    <row r="28" spans="1:36" ht="18" customHeight="1" x14ac:dyDescent="0.25">
      <c r="A28" s="1"/>
      <c r="B28" s="95" t="s">
        <v>15</v>
      </c>
      <c r="C28" s="63">
        <v>5324</v>
      </c>
      <c r="D28" s="63">
        <v>5122.8999999999996</v>
      </c>
      <c r="E28" s="63">
        <v>5363.2</v>
      </c>
      <c r="F28" s="63">
        <v>5142.5</v>
      </c>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ht="18" customHeight="1" x14ac:dyDescent="0.25">
      <c r="A29" s="1"/>
      <c r="B29" s="1"/>
      <c r="C29" s="175">
        <f>C28/C26</f>
        <v>0.58155919909991582</v>
      </c>
      <c r="D29" s="175">
        <f>D28/D26</f>
        <v>0.56768467010926171</v>
      </c>
      <c r="E29" s="175">
        <f t="shared" ref="E29:F29" si="22">E28/E26</f>
        <v>0.58183711771917068</v>
      </c>
      <c r="F29" s="175">
        <f t="shared" si="22"/>
        <v>0.59430942227461314</v>
      </c>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row>
    <row r="30" spans="1:36" ht="18" customHeight="1" x14ac:dyDescent="0.25">
      <c r="A30" s="1"/>
      <c r="B30" s="95" t="s">
        <v>294</v>
      </c>
      <c r="C30" s="63">
        <f>C32-C28</f>
        <v>-4247.1000000000004</v>
      </c>
      <c r="D30" s="63">
        <f>D32-D28</f>
        <v>-4652.2</v>
      </c>
      <c r="E30" s="63">
        <f t="shared" ref="E30:F30" si="23">E32-E28</f>
        <v>-4434.3999999999996</v>
      </c>
      <c r="F30" s="63">
        <f t="shared" si="23"/>
        <v>-4370.2</v>
      </c>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row>
    <row r="31" spans="1:36" ht="18" customHeight="1" x14ac:dyDescent="0.25">
      <c r="A31" s="1"/>
      <c r="B31" s="1"/>
      <c r="C31" s="175">
        <f t="shared" ref="C31" si="24">C30/C26</f>
        <v>-0.4639256338274329</v>
      </c>
      <c r="D31" s="175">
        <f t="shared" ref="D31" si="25">D30/D26</f>
        <v>-0.51552492187673138</v>
      </c>
      <c r="E31" s="175">
        <f t="shared" ref="E31:F31" si="26">E30/E26</f>
        <v>-0.48107445458194553</v>
      </c>
      <c r="F31" s="175">
        <f t="shared" si="26"/>
        <v>-0.50505610835673587</v>
      </c>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row>
    <row r="32" spans="1:36" ht="18" customHeight="1" x14ac:dyDescent="0.25">
      <c r="A32" s="1"/>
      <c r="B32" s="25" t="s">
        <v>18</v>
      </c>
      <c r="C32" s="63">
        <v>1076.9000000000001</v>
      </c>
      <c r="D32" s="63">
        <v>470.7</v>
      </c>
      <c r="E32" s="63">
        <v>928.8</v>
      </c>
      <c r="F32" s="63">
        <v>772.3</v>
      </c>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row>
    <row r="33" spans="1:36" ht="18"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row>
    <row r="34" spans="1:36" ht="18" customHeight="1"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row>
    <row r="35" spans="1:36" ht="18" customHeight="1"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row>
    <row r="36" spans="1:36" ht="18" customHeight="1" x14ac:dyDescent="0.25">
      <c r="A36" s="1"/>
      <c r="B36" s="1" t="s">
        <v>424</v>
      </c>
      <c r="C36" s="177">
        <f>AVERAGE(C29,C20,C11)</f>
        <v>0.6117167132673107</v>
      </c>
      <c r="D36" s="177">
        <f t="shared" ref="D36:F36" si="27">AVERAGE(D29,D20,D11)</f>
        <v>0.60730717057812023</v>
      </c>
      <c r="E36" s="177">
        <f t="shared" si="27"/>
        <v>0.61580840034810091</v>
      </c>
      <c r="F36" s="177">
        <f t="shared" si="27"/>
        <v>0.61433782697346961</v>
      </c>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row>
    <row r="37" spans="1:36" ht="18" customHeight="1" x14ac:dyDescent="0.25">
      <c r="A37" s="1"/>
      <c r="B37" s="1" t="s">
        <v>425</v>
      </c>
      <c r="C37" s="177">
        <f>AVERAGE(C31,C22,C13)</f>
        <v>-0.43195718546718814</v>
      </c>
      <c r="D37" s="177">
        <f t="shared" ref="D37:F37" si="28">AVERAGE(D31,D22,D13)</f>
        <v>-0.44479192181698163</v>
      </c>
      <c r="E37" s="177">
        <f t="shared" si="28"/>
        <v>-0.4317950230993215</v>
      </c>
      <c r="F37" s="177">
        <f t="shared" si="28"/>
        <v>-0.44498494547263268</v>
      </c>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row>
    <row r="38" spans="1:36" ht="18" customHeight="1"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row>
    <row r="39" spans="1:36" ht="18" customHeight="1"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ht="18" customHeight="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row>
    <row r="41" spans="1:36" ht="18" customHeight="1"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row>
    <row r="42" spans="1:36" ht="18"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row>
    <row r="43" spans="1:36" ht="18" customHeight="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row>
    <row r="44" spans="1:36" ht="18"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row>
    <row r="45" spans="1:36" ht="18" customHeight="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row>
    <row r="46" spans="1:36" ht="18" customHeight="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row>
    <row r="47" spans="1:36" ht="18" customHeight="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row>
    <row r="48" spans="1:36" ht="18" customHeight="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row>
    <row r="49" spans="1:36" ht="18" customHeight="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row>
    <row r="50" spans="1:36" ht="18" customHeight="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ht="18" customHeight="1"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row>
    <row r="52" spans="1:36" ht="18" customHeight="1"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row>
    <row r="53" spans="1:36" ht="18" customHeight="1"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row>
    <row r="54" spans="1:36" ht="18" customHeight="1"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row>
    <row r="55" spans="1:36" ht="18" customHeight="1"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row>
    <row r="56" spans="1:36" ht="18" customHeight="1"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row>
    <row r="57" spans="1:36" ht="18" customHeight="1"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row>
    <row r="58" spans="1:36" ht="18" customHeight="1"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row>
    <row r="59" spans="1:36" ht="18" customHeight="1"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row>
    <row r="60" spans="1:36" ht="18" customHeight="1"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row>
    <row r="61" spans="1:36" ht="18" customHeight="1"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row>
    <row r="62" spans="1:36" ht="18" customHeight="1"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row>
    <row r="63" spans="1:36" ht="18" customHeight="1"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row>
    <row r="64" spans="1:36" ht="18" customHeight="1"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row>
    <row r="65" spans="1:36" ht="18"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row>
    <row r="66" spans="1:36" ht="18" customHeigh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row>
    <row r="67" spans="1:36" ht="18"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row>
    <row r="68" spans="1:36" ht="18" customHeigh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row>
    <row r="69" spans="1:36" ht="18" customHeight="1"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row>
    <row r="70" spans="1:36" ht="18" customHeight="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row>
    <row r="71" spans="1:36" ht="18" customHeight="1"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row>
    <row r="72" spans="1:36" ht="18" customHeight="1"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row>
    <row r="73" spans="1:36" ht="18" customHeight="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row>
    <row r="74" spans="1:36" ht="18" customHeight="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row>
    <row r="75" spans="1:36" ht="18" customHeight="1"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row>
    <row r="76" spans="1:36" ht="18" customHeight="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row>
    <row r="77" spans="1:36" ht="18"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row>
    <row r="78" spans="1:36" ht="18"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row>
    <row r="79" spans="1:36" ht="18"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row>
    <row r="80" spans="1:36" ht="18"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ht="18" customHeight="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ht="18" customHeight="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ht="18" customHeight="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ht="18" customHeight="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ht="18" customHeigh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ht="18" customHeigh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ht="18" customHeigh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ht="18" customHeigh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ht="18" customHeigh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ht="18" customHeight="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ht="18" customHeigh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ht="18" customHeigh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ht="18" customHeigh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ht="18" customHeigh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ht="18" customHeigh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ht="18" customHeigh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ht="18"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ht="18"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ht="18"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ht="18" customHeigh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ht="18" customHeigh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ht="18" customHeigh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ht="18"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ht="18"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ht="18"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ht="18"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ht="18"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ht="18"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ht="18"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ht="18" customHeigh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ht="18" customHeigh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ht="18" customHeigh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ht="18"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ht="18"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ht="18"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ht="18"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ht="18"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ht="18"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ht="18" customHeigh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ht="18" customHeigh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ht="18" customHeigh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ht="18"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ht="18"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ht="18"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ht="18"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ht="18"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ht="18"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ht="18" customHeigh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ht="18" customHeigh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ht="18" customHeigh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ht="18"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ht="18"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ht="18"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ht="18"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ht="18"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ht="18"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ht="18" customHeigh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ht="18" customHeigh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ht="18"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ht="18"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ht="18"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ht="18"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ht="18"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ht="18"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ht="18"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ht="18"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ht="18"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ht="18"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ht="18"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ht="18"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ht="18"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ht="18"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ht="18"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ht="18"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ht="18"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ht="18"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ht="18"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ht="18"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ht="18"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ht="18"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ht="18"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ht="18"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ht="18"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ht="18"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ht="18"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ht="18"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ht="18"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ht="18"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ht="18"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ht="18"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ht="18"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ht="18"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ht="18"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ht="18"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ht="18"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ht="18"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ht="18"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ht="18"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ht="18"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ht="18"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ht="18"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ht="18"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ht="18"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ht="18"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ht="18"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ht="18"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ht="18"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ht="18"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ht="18"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ht="18"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ht="18"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ht="18"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ht="18"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ht="18"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ht="18"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ht="18"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ht="18"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ht="18"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ht="18"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ht="18"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ht="18"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ht="18"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ht="18"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ht="18"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ht="18"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ht="18"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ht="18"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ht="18"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ht="18"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ht="18"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ht="18"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ht="18"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ht="18"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ht="18"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ht="18"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ht="18"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ht="18"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ht="18"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ht="18"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ht="18"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ht="18"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ht="18"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ht="18"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ht="18"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ht="18"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ht="18"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ht="18"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ht="18"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ht="18"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ht="18"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ht="18"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ht="18"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ht="18"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ht="18"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ht="18"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ht="18"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ht="18"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ht="18"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ht="18"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ht="18"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ht="18"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ht="18"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ht="18"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ht="18"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ht="18"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ht="18"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ht="18"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ht="18"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ht="18"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ht="18"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ht="18"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ht="18"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ht="18"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ht="18"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row r="255" spans="1:36" ht="18"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row>
    <row r="256" spans="1:36" ht="18"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row>
    <row r="257" spans="1:36" ht="18"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row>
    <row r="258" spans="1:36" ht="18"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row>
    <row r="259" spans="1:36" ht="18"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row>
    <row r="260" spans="1:36" ht="18"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row>
    <row r="261" spans="1:36" ht="18"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row>
    <row r="262" spans="1:36" ht="18"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row>
    <row r="263" spans="1:36" ht="18"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row>
    <row r="264" spans="1:36" ht="18"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row>
    <row r="265" spans="1:36" ht="18"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row>
    <row r="266" spans="1:36" ht="18"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row>
    <row r="267" spans="1:36" ht="18"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row>
    <row r="268" spans="1:36" ht="18"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row>
    <row r="269" spans="1:36" ht="18"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row>
    <row r="270" spans="1:36" ht="18"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row>
    <row r="271" spans="1:36" ht="18"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row>
    <row r="272" spans="1:36" ht="18"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row>
    <row r="273" spans="1:36" ht="18"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row>
    <row r="274" spans="1:36" ht="18"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row>
    <row r="275" spans="1:36" ht="18"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row>
    <row r="276" spans="1:36" ht="18"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row>
    <row r="277" spans="1:36" ht="18"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row>
    <row r="278" spans="1:36" ht="18"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row>
    <row r="279" spans="1:36" ht="18"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row>
    <row r="280" spans="1:36" ht="18"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row>
    <row r="281" spans="1:36" ht="18"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row>
    <row r="282" spans="1:36" ht="18"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row>
    <row r="283" spans="1:36" ht="18"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row>
    <row r="284" spans="1:36" ht="18"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row>
    <row r="285" spans="1:36" ht="18"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row>
    <row r="286" spans="1:36" ht="18"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row>
    <row r="287" spans="1:36" ht="18"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row>
    <row r="288" spans="1:36" ht="18"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row>
    <row r="289" spans="1:36" ht="18"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row>
    <row r="290" spans="1:36" ht="18"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row>
    <row r="291" spans="1:36" ht="18"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row>
    <row r="292" spans="1:36" ht="18"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row>
    <row r="293" spans="1:36" ht="18"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row>
    <row r="294" spans="1:36" ht="18"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row>
    <row r="295" spans="1:36" ht="18"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row>
    <row r="296" spans="1:36" ht="18"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row>
    <row r="297" spans="1:36" ht="18"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row>
    <row r="298" spans="1:36" ht="18"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row>
    <row r="299" spans="1:36" ht="18"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row>
    <row r="300" spans="1:36" ht="18"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row>
    <row r="301" spans="1:36" ht="18"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row>
    <row r="302" spans="1:36" ht="18" customHeight="1" x14ac:dyDescent="0.25">
      <c r="A302" s="1"/>
      <c r="B302" s="27"/>
      <c r="C302" s="27"/>
      <c r="D302" s="27"/>
      <c r="E302" s="27"/>
      <c r="F302" s="27"/>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row>
    <row r="303" spans="1:36" ht="18" customHeight="1" x14ac:dyDescent="0.25">
      <c r="A303" s="1"/>
      <c r="B303" s="27"/>
      <c r="C303" s="27"/>
      <c r="D303" s="27"/>
      <c r="E303" s="27"/>
      <c r="F303" s="27"/>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row>
    <row r="304" spans="1:36" ht="18" customHeight="1" x14ac:dyDescent="0.25">
      <c r="A304" s="1"/>
      <c r="B304" s="27"/>
      <c r="C304" s="27"/>
      <c r="D304" s="27"/>
      <c r="E304" s="27"/>
      <c r="F304" s="27"/>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row>
    <row r="305" spans="1:36" ht="18" customHeight="1" x14ac:dyDescent="0.25">
      <c r="A305" s="1"/>
      <c r="B305" s="27"/>
      <c r="C305" s="27"/>
      <c r="D305" s="27"/>
      <c r="E305" s="27"/>
      <c r="F305" s="27"/>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row>
    <row r="306" spans="1:36" ht="18" customHeight="1" x14ac:dyDescent="0.25">
      <c r="A306" s="1"/>
      <c r="B306" s="27"/>
      <c r="C306" s="27"/>
      <c r="D306" s="27"/>
      <c r="E306" s="27"/>
      <c r="F306" s="27"/>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row>
    <row r="307" spans="1:36" ht="18" customHeight="1" x14ac:dyDescent="0.25">
      <c r="A307" s="1"/>
      <c r="B307" s="27"/>
      <c r="C307" s="27"/>
      <c r="D307" s="27"/>
      <c r="E307" s="27"/>
      <c r="F307" s="27"/>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row>
    <row r="308" spans="1:36" ht="18" customHeight="1" x14ac:dyDescent="0.25">
      <c r="A308" s="1"/>
      <c r="B308" s="27"/>
      <c r="C308" s="27"/>
      <c r="D308" s="27"/>
      <c r="E308" s="27"/>
      <c r="F308" s="27"/>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row>
    <row r="309" spans="1:36" ht="18" customHeight="1" x14ac:dyDescent="0.25">
      <c r="A309" s="1"/>
      <c r="B309" s="27"/>
      <c r="C309" s="27"/>
      <c r="D309" s="27"/>
      <c r="E309" s="27"/>
      <c r="F309" s="27"/>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row>
    <row r="310" spans="1:36" ht="18" customHeight="1" x14ac:dyDescent="0.25">
      <c r="A310" s="1"/>
      <c r="B310" s="27"/>
      <c r="C310" s="27"/>
      <c r="D310" s="27"/>
      <c r="E310" s="27"/>
      <c r="F310" s="27"/>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row>
    <row r="311" spans="1:36" ht="18" customHeight="1" x14ac:dyDescent="0.25">
      <c r="A311" s="1"/>
      <c r="B311" s="27"/>
      <c r="C311" s="27"/>
      <c r="D311" s="27"/>
      <c r="E311" s="27"/>
      <c r="F311" s="27"/>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row>
    <row r="312" spans="1:36" ht="18" customHeight="1" x14ac:dyDescent="0.25">
      <c r="A312" s="1"/>
      <c r="B312" s="27"/>
      <c r="C312" s="27"/>
      <c r="D312" s="27"/>
      <c r="E312" s="27"/>
      <c r="F312" s="27"/>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row>
    <row r="313" spans="1:36" ht="18" customHeight="1" x14ac:dyDescent="0.25">
      <c r="A313" s="1"/>
      <c r="B313" s="27"/>
      <c r="C313" s="27"/>
      <c r="D313" s="27"/>
      <c r="E313" s="27"/>
      <c r="F313" s="27"/>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row>
    <row r="314" spans="1:36" ht="18" customHeight="1" x14ac:dyDescent="0.25">
      <c r="A314" s="1"/>
      <c r="B314" s="27"/>
      <c r="C314" s="27"/>
      <c r="D314" s="27"/>
      <c r="E314" s="27"/>
      <c r="F314" s="27"/>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row>
    <row r="315" spans="1:36" ht="18" customHeight="1" x14ac:dyDescent="0.25">
      <c r="A315" s="1"/>
      <c r="B315" s="27"/>
      <c r="C315" s="27"/>
      <c r="D315" s="27"/>
      <c r="E315" s="27"/>
      <c r="F315" s="27"/>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row>
    <row r="316" spans="1:36" ht="18" customHeight="1" x14ac:dyDescent="0.25">
      <c r="A316" s="1"/>
      <c r="B316" s="27"/>
      <c r="C316" s="27"/>
      <c r="D316" s="27"/>
      <c r="E316" s="27"/>
      <c r="F316" s="27"/>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row>
    <row r="317" spans="1:36" ht="18" customHeight="1" x14ac:dyDescent="0.25">
      <c r="A317" s="1"/>
      <c r="B317" s="27"/>
      <c r="C317" s="27"/>
      <c r="D317" s="27"/>
      <c r="E317" s="27"/>
      <c r="F317" s="27"/>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row>
    <row r="318" spans="1:36" ht="18" customHeight="1" x14ac:dyDescent="0.25">
      <c r="A318" s="1"/>
      <c r="B318" s="27"/>
      <c r="C318" s="27"/>
      <c r="D318" s="27"/>
      <c r="E318" s="27"/>
      <c r="F318" s="27"/>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row>
    <row r="319" spans="1:36" ht="18" customHeight="1" x14ac:dyDescent="0.25">
      <c r="A319" s="1"/>
      <c r="B319" s="27"/>
      <c r="C319" s="27"/>
      <c r="D319" s="27"/>
      <c r="E319" s="27"/>
      <c r="F319" s="27"/>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row>
    <row r="320" spans="1:36" ht="18" customHeight="1" x14ac:dyDescent="0.25">
      <c r="A320" s="1"/>
      <c r="B320" s="27"/>
      <c r="C320" s="27"/>
      <c r="D320" s="27"/>
      <c r="E320" s="27"/>
      <c r="F320" s="27"/>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row>
    <row r="321" spans="1:36" ht="18" customHeight="1" x14ac:dyDescent="0.25">
      <c r="A321" s="1"/>
      <c r="B321" s="27"/>
      <c r="C321" s="27"/>
      <c r="D321" s="27"/>
      <c r="E321" s="27"/>
      <c r="F321" s="27"/>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row>
    <row r="322" spans="1:36" ht="18" customHeight="1" x14ac:dyDescent="0.25">
      <c r="A322" s="1"/>
      <c r="B322" s="27"/>
      <c r="C322" s="27"/>
      <c r="D322" s="27"/>
      <c r="E322" s="27"/>
      <c r="F322" s="27"/>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row>
    <row r="323" spans="1:36" ht="18" customHeight="1" x14ac:dyDescent="0.25">
      <c r="A323" s="1"/>
      <c r="B323" s="27"/>
      <c r="C323" s="27"/>
      <c r="D323" s="27"/>
      <c r="E323" s="27"/>
      <c r="F323" s="27"/>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row>
    <row r="324" spans="1:36" ht="18" customHeight="1" x14ac:dyDescent="0.25">
      <c r="A324" s="1"/>
      <c r="B324" s="27"/>
      <c r="C324" s="27"/>
      <c r="D324" s="27"/>
      <c r="E324" s="27"/>
      <c r="F324" s="27"/>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row>
    <row r="325" spans="1:36" ht="18" customHeight="1" x14ac:dyDescent="0.25">
      <c r="A325" s="1"/>
      <c r="B325" s="27"/>
      <c r="C325" s="27"/>
      <c r="D325" s="27"/>
      <c r="E325" s="27"/>
      <c r="F325" s="27"/>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row>
    <row r="326" spans="1:36" ht="18" customHeight="1" x14ac:dyDescent="0.25">
      <c r="A326" s="1"/>
      <c r="B326" s="27"/>
      <c r="C326" s="27"/>
      <c r="D326" s="27"/>
      <c r="E326" s="27"/>
      <c r="F326" s="27"/>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row>
    <row r="327" spans="1:36" ht="18" customHeight="1" x14ac:dyDescent="0.25">
      <c r="A327" s="1"/>
      <c r="B327" s="27"/>
      <c r="C327" s="27"/>
      <c r="D327" s="27"/>
      <c r="E327" s="27"/>
      <c r="F327" s="27"/>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row>
    <row r="328" spans="1:36" ht="18" customHeight="1" x14ac:dyDescent="0.25">
      <c r="A328" s="1"/>
      <c r="B328" s="27"/>
      <c r="C328" s="27"/>
      <c r="D328" s="27"/>
      <c r="E328" s="27"/>
      <c r="F328" s="27"/>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row>
    <row r="329" spans="1:36" ht="18" customHeight="1" x14ac:dyDescent="0.25">
      <c r="A329" s="1"/>
      <c r="B329" s="27"/>
      <c r="C329" s="27"/>
      <c r="D329" s="27"/>
      <c r="E329" s="27"/>
      <c r="F329" s="27"/>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row>
    <row r="330" spans="1:36" ht="18" customHeight="1" x14ac:dyDescent="0.25">
      <c r="A330" s="1"/>
      <c r="B330" s="27"/>
      <c r="C330" s="27"/>
      <c r="D330" s="27"/>
      <c r="E330" s="27"/>
      <c r="F330" s="27"/>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row>
    <row r="331" spans="1:36" ht="18" customHeight="1" x14ac:dyDescent="0.25">
      <c r="A331" s="1"/>
      <c r="B331" s="27"/>
      <c r="C331" s="27"/>
      <c r="D331" s="27"/>
      <c r="E331" s="27"/>
      <c r="F331" s="27"/>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row>
    <row r="332" spans="1:36" ht="18" customHeight="1" x14ac:dyDescent="0.25">
      <c r="A332" s="1"/>
      <c r="B332" s="27"/>
      <c r="C332" s="27"/>
      <c r="D332" s="27"/>
      <c r="E332" s="27"/>
      <c r="F332" s="27"/>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row>
    <row r="333" spans="1:36" ht="18" customHeight="1" x14ac:dyDescent="0.25">
      <c r="A333" s="1"/>
      <c r="B333" s="27"/>
      <c r="C333" s="27"/>
      <c r="D333" s="27"/>
      <c r="E333" s="27"/>
      <c r="F333" s="27"/>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row>
    <row r="334" spans="1:36" ht="18" customHeight="1" x14ac:dyDescent="0.25">
      <c r="A334" s="1"/>
      <c r="B334" s="27"/>
      <c r="C334" s="27"/>
      <c r="D334" s="27"/>
      <c r="E334" s="27"/>
      <c r="F334" s="27"/>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row>
    <row r="335" spans="1:36" ht="18" customHeight="1" x14ac:dyDescent="0.25">
      <c r="A335" s="1"/>
      <c r="B335" s="27"/>
      <c r="C335" s="27"/>
      <c r="D335" s="27"/>
      <c r="E335" s="27"/>
      <c r="F335" s="27"/>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row>
    <row r="336" spans="1:36" ht="18" customHeight="1" x14ac:dyDescent="0.25">
      <c r="A336" s="1"/>
      <c r="B336" s="27"/>
      <c r="C336" s="27"/>
      <c r="D336" s="27"/>
      <c r="E336" s="27"/>
      <c r="F336" s="27"/>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row>
    <row r="337" spans="1:36" ht="18" customHeight="1" x14ac:dyDescent="0.25">
      <c r="A337" s="1"/>
      <c r="B337" s="27"/>
      <c r="C337" s="27"/>
      <c r="D337" s="27"/>
      <c r="E337" s="27"/>
      <c r="F337" s="27"/>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row>
    <row r="338" spans="1:36" ht="18" customHeight="1" x14ac:dyDescent="0.25">
      <c r="A338" s="1"/>
      <c r="B338" s="27"/>
      <c r="C338" s="27"/>
      <c r="D338" s="27"/>
      <c r="E338" s="27"/>
      <c r="F338" s="27"/>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row>
    <row r="339" spans="1:36" ht="18" customHeight="1" x14ac:dyDescent="0.25">
      <c r="A339" s="1"/>
      <c r="B339" s="27"/>
      <c r="C339" s="27"/>
      <c r="D339" s="27"/>
      <c r="E339" s="27"/>
      <c r="F339" s="27"/>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row>
    <row r="340" spans="1:36" ht="18" customHeight="1" x14ac:dyDescent="0.25">
      <c r="A340" s="1"/>
      <c r="B340" s="27"/>
      <c r="C340" s="27"/>
      <c r="D340" s="27"/>
      <c r="E340" s="27"/>
      <c r="F340" s="27"/>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row>
    <row r="341" spans="1:36" ht="18" customHeight="1" x14ac:dyDescent="0.25">
      <c r="A341" s="1"/>
      <c r="B341" s="27"/>
      <c r="C341" s="27"/>
      <c r="D341" s="27"/>
      <c r="E341" s="27"/>
      <c r="F341" s="27"/>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row>
    <row r="342" spans="1:36" ht="18" customHeight="1" x14ac:dyDescent="0.25">
      <c r="A342" s="1"/>
      <c r="B342" s="27"/>
      <c r="C342" s="27"/>
      <c r="D342" s="27"/>
      <c r="E342" s="27"/>
      <c r="F342" s="27"/>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row>
    <row r="343" spans="1:36" ht="18" customHeight="1" x14ac:dyDescent="0.25">
      <c r="A343" s="1"/>
      <c r="B343" s="27"/>
      <c r="C343" s="27"/>
      <c r="D343" s="27"/>
      <c r="E343" s="27"/>
      <c r="F343" s="27"/>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row>
    <row r="344" spans="1:36" ht="18" customHeight="1" x14ac:dyDescent="0.25">
      <c r="A344" s="1"/>
      <c r="B344" s="27"/>
      <c r="C344" s="27"/>
      <c r="D344" s="27"/>
      <c r="E344" s="27"/>
      <c r="F344" s="27"/>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row>
    <row r="345" spans="1:36" ht="18" customHeight="1" x14ac:dyDescent="0.25">
      <c r="A345" s="1"/>
      <c r="B345" s="27"/>
      <c r="C345" s="27"/>
      <c r="D345" s="27"/>
      <c r="E345" s="27"/>
      <c r="F345" s="27"/>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row>
    <row r="346" spans="1:36" ht="18" customHeight="1" x14ac:dyDescent="0.25">
      <c r="A346" s="1"/>
      <c r="B346" s="27"/>
      <c r="C346" s="27"/>
      <c r="D346" s="27"/>
      <c r="E346" s="27"/>
      <c r="F346" s="27"/>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row>
    <row r="347" spans="1:36" ht="18" customHeight="1" x14ac:dyDescent="0.25">
      <c r="A347" s="1"/>
      <c r="B347" s="27"/>
      <c r="C347" s="27"/>
      <c r="D347" s="27"/>
      <c r="E347" s="27"/>
      <c r="F347" s="27"/>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row>
    <row r="348" spans="1:36" ht="18" customHeight="1" x14ac:dyDescent="0.25">
      <c r="A348" s="1"/>
      <c r="B348" s="27"/>
      <c r="C348" s="27"/>
      <c r="D348" s="27"/>
      <c r="E348" s="27"/>
      <c r="F348" s="27"/>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row>
    <row r="349" spans="1:36" ht="18" customHeight="1" x14ac:dyDescent="0.25">
      <c r="A349" s="1"/>
      <c r="B349" s="27"/>
      <c r="C349" s="27"/>
      <c r="D349" s="27"/>
      <c r="E349" s="27"/>
      <c r="F349" s="27"/>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row>
    <row r="350" spans="1:36" ht="18" customHeight="1" x14ac:dyDescent="0.25">
      <c r="A350" s="1"/>
      <c r="B350" s="27"/>
      <c r="C350" s="27"/>
      <c r="D350" s="27"/>
      <c r="E350" s="27"/>
      <c r="F350" s="27"/>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row>
    <row r="351" spans="1:36" ht="18" customHeight="1" x14ac:dyDescent="0.25">
      <c r="A351" s="1"/>
      <c r="B351" s="27"/>
      <c r="C351" s="27"/>
      <c r="D351" s="27"/>
      <c r="E351" s="27"/>
      <c r="F351" s="27"/>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row>
    <row r="352" spans="1:36" ht="18" customHeight="1" x14ac:dyDescent="0.25">
      <c r="A352" s="1"/>
      <c r="B352" s="27"/>
      <c r="C352" s="27"/>
      <c r="D352" s="27"/>
      <c r="E352" s="27"/>
      <c r="F352" s="27"/>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row>
    <row r="353" spans="1:36" ht="18" customHeight="1" x14ac:dyDescent="0.25">
      <c r="A353" s="1"/>
      <c r="B353" s="27"/>
      <c r="C353" s="27"/>
      <c r="D353" s="27"/>
      <c r="E353" s="27"/>
      <c r="F353" s="27"/>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row>
    <row r="354" spans="1:36" ht="18" customHeight="1" x14ac:dyDescent="0.25">
      <c r="A354" s="1"/>
      <c r="B354" s="27"/>
      <c r="C354" s="27"/>
      <c r="D354" s="27"/>
      <c r="E354" s="27"/>
      <c r="F354" s="27"/>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row>
    <row r="355" spans="1:36" ht="18" customHeight="1" x14ac:dyDescent="0.25">
      <c r="A355" s="1"/>
      <c r="B355" s="27"/>
      <c r="C355" s="27"/>
      <c r="D355" s="27"/>
      <c r="E355" s="27"/>
      <c r="F355" s="27"/>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row>
    <row r="356" spans="1:36" ht="18" customHeight="1" x14ac:dyDescent="0.25">
      <c r="A356" s="1"/>
      <c r="B356" s="27"/>
      <c r="C356" s="27"/>
      <c r="D356" s="27"/>
      <c r="E356" s="27"/>
      <c r="F356" s="27"/>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row>
    <row r="357" spans="1:36" ht="18" customHeight="1" x14ac:dyDescent="0.25">
      <c r="A357" s="1"/>
      <c r="B357" s="27"/>
      <c r="C357" s="27"/>
      <c r="D357" s="27"/>
      <c r="E357" s="27"/>
      <c r="F357" s="27"/>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row>
    <row r="358" spans="1:36" ht="18" customHeight="1" x14ac:dyDescent="0.25">
      <c r="A358" s="1"/>
      <c r="B358" s="27"/>
      <c r="C358" s="27"/>
      <c r="D358" s="27"/>
      <c r="E358" s="27"/>
      <c r="F358" s="27"/>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row>
    <row r="359" spans="1:36" ht="18" customHeight="1" x14ac:dyDescent="0.25">
      <c r="A359" s="1"/>
      <c r="B359" s="27"/>
      <c r="C359" s="27"/>
      <c r="D359" s="27"/>
      <c r="E359" s="27"/>
      <c r="F359" s="27"/>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row>
    <row r="360" spans="1:36" ht="18" customHeight="1" x14ac:dyDescent="0.25">
      <c r="A360" s="1"/>
      <c r="B360" s="27"/>
      <c r="C360" s="27"/>
      <c r="D360" s="27"/>
      <c r="E360" s="27"/>
      <c r="F360" s="27"/>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row>
    <row r="361" spans="1:36" ht="18" customHeight="1" x14ac:dyDescent="0.25">
      <c r="A361" s="1"/>
      <c r="B361" s="27"/>
      <c r="C361" s="27"/>
      <c r="D361" s="27"/>
      <c r="E361" s="27"/>
      <c r="F361" s="27"/>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row>
    <row r="362" spans="1:36" ht="18" customHeight="1" x14ac:dyDescent="0.25">
      <c r="A362" s="1"/>
      <c r="B362" s="27"/>
      <c r="C362" s="27"/>
      <c r="D362" s="27"/>
      <c r="E362" s="27"/>
      <c r="F362" s="27"/>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row>
    <row r="363" spans="1:36" ht="18" customHeight="1" x14ac:dyDescent="0.25">
      <c r="A363" s="1"/>
      <c r="B363" s="27"/>
      <c r="C363" s="27"/>
      <c r="D363" s="27"/>
      <c r="E363" s="27"/>
      <c r="F363" s="27"/>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row>
  </sheetData>
  <conditionalFormatting sqref="C9:F15 B8:D8 B17:D17 C18:F24">
    <cfRule type="cellIs" dxfId="14" priority="111" operator="equal">
      <formula>0</formula>
    </cfRule>
  </conditionalFormatting>
  <conditionalFormatting sqref="C9 C14">
    <cfRule type="cellIs" dxfId="13" priority="81" operator="equal">
      <formula>0</formula>
    </cfRule>
  </conditionalFormatting>
  <conditionalFormatting sqref="C9 C14">
    <cfRule type="cellIs" dxfId="12" priority="80" operator="equal">
      <formula>0</formula>
    </cfRule>
  </conditionalFormatting>
  <conditionalFormatting sqref="C9 C14">
    <cfRule type="cellIs" dxfId="11" priority="79" operator="equal">
      <formula>0</formula>
    </cfRule>
  </conditionalFormatting>
  <conditionalFormatting sqref="C8:F8">
    <cfRule type="cellIs" dxfId="10" priority="28" operator="equal">
      <formula>0</formula>
    </cfRule>
  </conditionalFormatting>
  <conditionalFormatting sqref="B26">
    <cfRule type="cellIs" dxfId="9" priority="18" operator="equal">
      <formula>0</formula>
    </cfRule>
  </conditionalFormatting>
  <conditionalFormatting sqref="C18 C23">
    <cfRule type="cellIs" dxfId="8" priority="13" operator="equal">
      <formula>0</formula>
    </cfRule>
  </conditionalFormatting>
  <conditionalFormatting sqref="C18 C23">
    <cfRule type="cellIs" dxfId="7" priority="12" operator="equal">
      <formula>0</formula>
    </cfRule>
  </conditionalFormatting>
  <conditionalFormatting sqref="C18 C23">
    <cfRule type="cellIs" dxfId="6" priority="11" operator="equal">
      <formula>0</formula>
    </cfRule>
  </conditionalFormatting>
  <conditionalFormatting sqref="C17:F17">
    <cfRule type="cellIs" dxfId="5" priority="10" operator="equal">
      <formula>0</formula>
    </cfRule>
  </conditionalFormatting>
  <conditionalFormatting sqref="C26:D26 C27:F32">
    <cfRule type="cellIs" dxfId="4" priority="5" operator="equal">
      <formula>0</formula>
    </cfRule>
  </conditionalFormatting>
  <conditionalFormatting sqref="C32 C27:E27">
    <cfRule type="cellIs" dxfId="3" priority="4" operator="equal">
      <formula>0</formula>
    </cfRule>
  </conditionalFormatting>
  <conditionalFormatting sqref="C32 C27:E27">
    <cfRule type="cellIs" dxfId="2" priority="3" operator="equal">
      <formula>0</formula>
    </cfRule>
  </conditionalFormatting>
  <conditionalFormatting sqref="C32 C27:E27">
    <cfRule type="cellIs" dxfId="1" priority="2" operator="equal">
      <formula>0</formula>
    </cfRule>
  </conditionalFormatting>
  <conditionalFormatting sqref="C26:F26">
    <cfRule type="cellIs" dxfId="0" priority="1" operator="equal">
      <formula>0</formula>
    </cfRule>
  </conditionalFormatting>
  <pageMargins left="0.511811024" right="0.511811024" top="0.78740157499999996" bottom="0.78740157499999996" header="0.31496062000000002" footer="0.31496062000000002"/>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48cf7b68-070d-4812-a015-43016722d3f1" xsi:nil="true"/>
    <lcf76f155ced4ddcb4097134ff3c332f xmlns="d90828d2-d74b-45ef-89ac-97d68c70f74e">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634E4790C582D344A3F9EDD850BF11E4" ma:contentTypeVersion="13" ma:contentTypeDescription="Create a new document." ma:contentTypeScope="" ma:versionID="0820cbb0742eb05ff302c47869ac0505">
  <xsd:schema xmlns:xsd="http://www.w3.org/2001/XMLSchema" xmlns:xs="http://www.w3.org/2001/XMLSchema" xmlns:p="http://schemas.microsoft.com/office/2006/metadata/properties" xmlns:ns2="d90828d2-d74b-45ef-89ac-97d68c70f74e" xmlns:ns3="48cf7b68-070d-4812-a015-43016722d3f1" targetNamespace="http://schemas.microsoft.com/office/2006/metadata/properties" ma:root="true" ma:fieldsID="4cd8edc37a626340e912d0286cc63198" ns2:_="" ns3:_="">
    <xsd:import namespace="d90828d2-d74b-45ef-89ac-97d68c70f74e"/>
    <xsd:import namespace="48cf7b68-070d-4812-a015-43016722d3f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90828d2-d74b-45ef-89ac-97d68c70f74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291b8996-0338-4ab5-869f-20b64aa0ada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8cf7b68-070d-4812-a015-43016722d3f1"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108ccb2b-b979-4375-b1a3-d0b8ae88e056}" ma:internalName="TaxCatchAll" ma:showField="CatchAllData" ma:web="48cf7b68-070d-4812-a015-43016722d3f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F510218-44CF-4567-B01D-56F3547667E3}">
  <ds:schemaRefs>
    <ds:schemaRef ds:uri="http://schemas.microsoft.com/office/2006/metadata/properties"/>
    <ds:schemaRef ds:uri="http://schemas.microsoft.com/office/infopath/2007/PartnerControls"/>
    <ds:schemaRef ds:uri="48cf7b68-070d-4812-a015-43016722d3f1"/>
    <ds:schemaRef ds:uri="d90828d2-d74b-45ef-89ac-97d68c70f74e"/>
  </ds:schemaRefs>
</ds:datastoreItem>
</file>

<file path=customXml/itemProps2.xml><?xml version="1.0" encoding="utf-8"?>
<ds:datastoreItem xmlns:ds="http://schemas.openxmlformats.org/officeDocument/2006/customXml" ds:itemID="{40BDCB40-7366-45D3-9ACC-93AFFE9031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90828d2-d74b-45ef-89ac-97d68c70f74e"/>
    <ds:schemaRef ds:uri="48cf7b68-070d-4812-a015-43016722d3f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4F35114-0117-4926-BB32-FDF1B430547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11</vt:i4>
      </vt:variant>
    </vt:vector>
  </HeadingPairs>
  <TitlesOfParts>
    <vt:vector size="11" baseType="lpstr">
      <vt:lpstr>Dashboard</vt:lpstr>
      <vt:lpstr>DRE + DCF</vt:lpstr>
      <vt:lpstr>Custos e Despesas</vt:lpstr>
      <vt:lpstr>DRE Pro Forma</vt:lpstr>
      <vt:lpstr>Balanço Patrimonial</vt:lpstr>
      <vt:lpstr>B.P Pro Forma</vt:lpstr>
      <vt:lpstr>DFC</vt:lpstr>
      <vt:lpstr>Projeções - Receita Líquida</vt:lpstr>
      <vt:lpstr>Painel de Índices</vt:lpstr>
      <vt:lpstr>Sazonalidade</vt:lpstr>
      <vt:lpstr>Internacional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lzweig</dc:creator>
  <cp:lastModifiedBy>Gabriel Lacombe</cp:lastModifiedBy>
  <cp:lastPrinted>2024-05-14T16:07:43Z</cp:lastPrinted>
  <dcterms:created xsi:type="dcterms:W3CDTF">2013-04-03T15:49:21Z</dcterms:created>
  <dcterms:modified xsi:type="dcterms:W3CDTF">2025-11-25T14:51:22Z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0x010100634E4790C582D344A3F9EDD850BF11E4</vt:lpwstr>
  </property>
  <property fmtid="{D5CDD505-2E9C-101B-9397-08002B2CF9AE}" pid="3" name="MediaServiceImageTags">
    <vt:lpwstr/>
  </property>
</Properties>
</file>