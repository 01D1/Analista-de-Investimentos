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comments4.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comments5.xml" ContentType="application/vnd.openxmlformats-officedocument.spreadsheetml.comments+xml"/>
  <Override PartName="/xl/drawings/drawing8.xml" ContentType="application/vnd.openxmlformats-officedocument.drawing+xml"/>
  <Override PartName="/xl/comments6.xml" ContentType="application/vnd.openxmlformats-officedocument.spreadsheetml.comments+xml"/>
  <Override PartName="/xl/drawings/drawing9.xml" ContentType="application/vnd.openxmlformats-officedocument.drawing+xml"/>
  <Override PartName="/xl/comments7.xml" ContentType="application/vnd.openxmlformats-officedocument.spreadsheetml.comments+xml"/>
  <Override PartName="/xl/drawings/drawing10.xml" ContentType="application/vnd.openxmlformats-officedocument.drawing+xml"/>
  <Override PartName="/xl/comments8.xml" ContentType="application/vnd.openxmlformats-officedocument.spreadsheetml.comments+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924"/>
  <workbookPr codeName="ThisWorkbook"/>
  <mc:AlternateContent xmlns:mc="http://schemas.openxmlformats.org/markup-compatibility/2006">
    <mc:Choice Requires="x15">
      <x15ac:absPath xmlns:x15ac="http://schemas.microsoft.com/office/spreadsheetml/2010/11/ac" url="C:\Users\thiag\Desktop\"/>
    </mc:Choice>
  </mc:AlternateContent>
  <xr:revisionPtr revIDLastSave="0" documentId="8_{9FF9CA59-C21C-4390-9232-E2BEF5EC8E66}" xr6:coauthVersionLast="47" xr6:coauthVersionMax="47" xr10:uidLastSave="{00000000-0000-0000-0000-000000000000}"/>
  <bookViews>
    <workbookView xWindow="-120" yWindow="-120" windowWidth="38640" windowHeight="21120" tabRatio="817" activeTab="10" xr2:uid="{00000000-000D-0000-FFFF-FFFF00000000}"/>
  </bookViews>
  <sheets>
    <sheet name="Dashboard" sheetId="20" r:id="rId1"/>
    <sheet name="WACC" sheetId="41" r:id="rId2"/>
    <sheet name="DRE Consolidado" sheetId="24" r:id="rId3"/>
    <sheet name="DRE + DCF" sheetId="45" r:id="rId4"/>
    <sheet name="DRE - Contas Abertas" sheetId="32" r:id="rId5"/>
    <sheet name="Balanço Patrimonial" sheetId="26" r:id="rId6"/>
    <sheet name="Painel de Índices" sheetId="38" r:id="rId7"/>
    <sheet name="Projeções - Receita e EBIT" sheetId="28" r:id="rId8"/>
    <sheet name="Projeções - CG + Capex" sheetId="27" r:id="rId9"/>
    <sheet name="Projeções 2023" sheetId="37" r:id="rId10"/>
    <sheet name="Processos" sheetId="34" r:id="rId11"/>
    <sheet name="To-Do" sheetId="22" state="hidden" r:id="rId12"/>
  </sheets>
  <externalReferences>
    <externalReference r:id="rId13"/>
    <externalReference r:id="rId14"/>
    <externalReference r:id="rId15"/>
  </externalReferences>
  <definedNames>
    <definedName name="_xlnm._FilterDatabase" localSheetId="5" hidden="1">'Balanço Patrimonial'!$E$15:$N$30</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0</definedName>
    <definedName name="solver_nwt" localSheetId="0" hidden="1">1</definedName>
    <definedName name="solver_opt" localSheetId="0" hidden="1">Dashboard!$F$18</definedName>
    <definedName name="solver_pre" localSheetId="0" hidden="1">0.000001</definedName>
    <definedName name="solver_rbv" localSheetId="0" hidden="1">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3</definedName>
    <definedName name="solver_val" localSheetId="0" hidden="1">16.5</definedName>
    <definedName name="solver_ver" localSheetId="0" hidden="1">3</definedName>
  </definedName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24" i="20" l="1"/>
  <c r="F16" i="41"/>
  <c r="G16" i="41"/>
  <c r="H16" i="41"/>
  <c r="I16" i="41"/>
  <c r="J16" i="41"/>
  <c r="K16" i="41"/>
  <c r="L16" i="41"/>
  <c r="M16" i="41"/>
  <c r="N16" i="41"/>
  <c r="O16" i="41"/>
  <c r="P16" i="41"/>
  <c r="O16" i="37" l="1"/>
  <c r="O14" i="37"/>
  <c r="O13" i="37"/>
  <c r="O12" i="37"/>
  <c r="O11" i="37"/>
  <c r="O10" i="38"/>
  <c r="O11" i="38"/>
  <c r="O12" i="38"/>
  <c r="O13" i="38"/>
  <c r="O148" i="32"/>
  <c r="O147" i="32"/>
  <c r="O146" i="32"/>
  <c r="X17" i="27" l="1"/>
  <c r="W17" i="27"/>
  <c r="V17" i="27"/>
  <c r="U17" i="27"/>
  <c r="T17" i="27"/>
  <c r="G55" i="38"/>
  <c r="F62" i="38"/>
  <c r="G60" i="38"/>
  <c r="H60" i="38"/>
  <c r="I60" i="38"/>
  <c r="J60" i="38"/>
  <c r="F60" i="38"/>
  <c r="G59" i="38"/>
  <c r="H59" i="38"/>
  <c r="I59" i="38"/>
  <c r="J59" i="38"/>
  <c r="F59" i="38"/>
  <c r="N73" i="24"/>
  <c r="O73" i="24"/>
  <c r="P73" i="24"/>
  <c r="Q73" i="24"/>
  <c r="R73" i="24"/>
  <c r="S73" i="24"/>
  <c r="T73" i="24"/>
  <c r="U73" i="24"/>
  <c r="W73" i="24"/>
  <c r="X73" i="24"/>
  <c r="Y73" i="24"/>
  <c r="V73" i="24"/>
  <c r="O64" i="24"/>
  <c r="P64" i="24"/>
  <c r="Q64" i="24"/>
  <c r="R64" i="24"/>
  <c r="S64" i="24"/>
  <c r="T64" i="24"/>
  <c r="U64" i="24"/>
  <c r="V64" i="24"/>
  <c r="W64" i="24"/>
  <c r="X64" i="24"/>
  <c r="Y64" i="24"/>
  <c r="N64" i="24"/>
  <c r="O63" i="24"/>
  <c r="P63" i="24"/>
  <c r="Q63" i="24"/>
  <c r="R63" i="24"/>
  <c r="S63" i="24"/>
  <c r="T63" i="24"/>
  <c r="U63" i="24"/>
  <c r="V63" i="24"/>
  <c r="W63" i="24"/>
  <c r="X63" i="24"/>
  <c r="Y63" i="24"/>
  <c r="N63" i="24"/>
  <c r="O62" i="24"/>
  <c r="P62" i="24"/>
  <c r="Q62" i="24"/>
  <c r="R62" i="24"/>
  <c r="S62" i="24"/>
  <c r="T62" i="24"/>
  <c r="U62" i="24"/>
  <c r="V62" i="24"/>
  <c r="W62" i="24"/>
  <c r="X62" i="24"/>
  <c r="Y62" i="24"/>
  <c r="N62" i="24"/>
  <c r="O72" i="24"/>
  <c r="P72" i="24"/>
  <c r="Q72" i="24"/>
  <c r="R72" i="24"/>
  <c r="S72" i="24"/>
  <c r="T72" i="24"/>
  <c r="U72" i="24"/>
  <c r="V72" i="24"/>
  <c r="W72" i="24"/>
  <c r="X72" i="24"/>
  <c r="Y72" i="24"/>
  <c r="N72" i="24"/>
  <c r="O71" i="24"/>
  <c r="P71" i="24"/>
  <c r="Q71" i="24"/>
  <c r="R71" i="24"/>
  <c r="S71" i="24"/>
  <c r="T71" i="24"/>
  <c r="U71" i="24"/>
  <c r="V71" i="24"/>
  <c r="W71" i="24"/>
  <c r="X71" i="24"/>
  <c r="Y71" i="24"/>
  <c r="N71" i="24"/>
  <c r="N66" i="24" l="1"/>
  <c r="N75" i="24"/>
  <c r="T48" i="27" l="1"/>
  <c r="F53" i="20" l="1"/>
  <c r="F48" i="20" l="1"/>
  <c r="F52" i="20" s="1"/>
  <c r="F54" i="20" s="1"/>
  <c r="F17" i="20" s="1"/>
  <c r="R44" i="28"/>
  <c r="Q43" i="28"/>
  <c r="O129" i="28"/>
  <c r="O110" i="28"/>
  <c r="O94" i="28"/>
  <c r="O71" i="28"/>
  <c r="O52" i="28"/>
  <c r="O33" i="28"/>
  <c r="O16" i="28"/>
  <c r="O17" i="28"/>
  <c r="O18" i="28"/>
  <c r="O19" i="28"/>
  <c r="O20" i="28"/>
  <c r="O21" i="28"/>
  <c r="T26" i="24"/>
  <c r="H17" i="41"/>
  <c r="I17" i="41" s="1"/>
  <c r="J17" i="41" s="1"/>
  <c r="K17" i="41" s="1"/>
  <c r="L17" i="41" s="1"/>
  <c r="M17" i="41" s="1"/>
  <c r="N17" i="41" s="1"/>
  <c r="O17" i="41" s="1"/>
  <c r="P17" i="41" s="1"/>
  <c r="G17" i="41"/>
  <c r="R76" i="28" l="1"/>
  <c r="S76" i="28"/>
  <c r="T76" i="28"/>
  <c r="U76" i="28"/>
  <c r="Q76" i="28"/>
  <c r="N11" i="37"/>
  <c r="M11" i="37"/>
  <c r="M14" i="37"/>
  <c r="M12" i="37"/>
  <c r="M13" i="37"/>
  <c r="M16" i="37"/>
  <c r="N14" i="37"/>
  <c r="N12" i="37"/>
  <c r="N16" i="37" s="1"/>
  <c r="R99" i="28"/>
  <c r="Q58" i="28"/>
  <c r="R58" i="28"/>
  <c r="S58" i="28"/>
  <c r="T58" i="28"/>
  <c r="U58" i="28"/>
  <c r="U55" i="24"/>
  <c r="T55" i="24"/>
  <c r="T56" i="24" s="1"/>
  <c r="F19" i="41"/>
  <c r="F32" i="20" s="1"/>
  <c r="P20" i="28"/>
  <c r="Q20" i="28"/>
  <c r="R20" i="28"/>
  <c r="S20" i="28"/>
  <c r="T20" i="28"/>
  <c r="U20" i="28"/>
  <c r="N20" i="28"/>
  <c r="Q25" i="28"/>
  <c r="Q37" i="28" s="1"/>
  <c r="O31" i="28"/>
  <c r="O29" i="28"/>
  <c r="P25" i="28" l="1"/>
  <c r="N13" i="37"/>
  <c r="O32" i="28"/>
  <c r="O37" i="28"/>
  <c r="O38" i="28" s="1"/>
  <c r="G59" i="32" l="1"/>
  <c r="H59" i="32"/>
  <c r="I59" i="32"/>
  <c r="J59" i="32"/>
  <c r="K59" i="32"/>
  <c r="L59" i="32"/>
  <c r="M59" i="32"/>
  <c r="N59" i="32"/>
  <c r="O59" i="32"/>
  <c r="F59" i="32"/>
  <c r="M18" i="26" l="1"/>
  <c r="N18" i="26"/>
  <c r="F18" i="26"/>
  <c r="G19" i="26"/>
  <c r="G18" i="26" s="1"/>
  <c r="H19" i="26"/>
  <c r="H18" i="26" s="1"/>
  <c r="I19" i="26"/>
  <c r="I18" i="26" s="1"/>
  <c r="J19" i="26"/>
  <c r="J18" i="26" s="1"/>
  <c r="K19" i="26"/>
  <c r="K18" i="26" s="1"/>
  <c r="L19" i="26"/>
  <c r="L18" i="26" s="1"/>
  <c r="M19" i="26"/>
  <c r="N19" i="26"/>
  <c r="O19" i="26"/>
  <c r="O18" i="26" s="1"/>
  <c r="F19" i="26"/>
  <c r="I37" i="20"/>
  <c r="S18" i="27" l="1"/>
  <c r="T57" i="27"/>
  <c r="T32" i="45" s="1"/>
  <c r="S57" i="27"/>
  <c r="Q57" i="27"/>
  <c r="R57" i="27"/>
  <c r="P57" i="27"/>
  <c r="M57" i="27"/>
  <c r="N57" i="27"/>
  <c r="O57" i="27"/>
  <c r="L57" i="27"/>
  <c r="T24" i="45"/>
  <c r="T14" i="45" s="1"/>
  <c r="T74" i="24" s="1"/>
  <c r="T75" i="24" s="1"/>
  <c r="G18" i="41" l="1"/>
  <c r="H18" i="41"/>
  <c r="I18" i="41"/>
  <c r="J18" i="41"/>
  <c r="K18" i="41"/>
  <c r="L18" i="41"/>
  <c r="M18" i="41"/>
  <c r="N18" i="41"/>
  <c r="O18" i="41"/>
  <c r="P18" i="41"/>
  <c r="F18" i="41"/>
  <c r="T42" i="24" l="1"/>
  <c r="T17" i="45" s="1"/>
  <c r="T38" i="24"/>
  <c r="G56" i="32"/>
  <c r="H56" i="32"/>
  <c r="I56" i="32"/>
  <c r="J56" i="32"/>
  <c r="K56" i="32"/>
  <c r="L56" i="32"/>
  <c r="M56" i="32"/>
  <c r="N56" i="32"/>
  <c r="O56" i="32"/>
  <c r="T35" i="24" s="1"/>
  <c r="F56" i="32"/>
  <c r="T25" i="24"/>
  <c r="T27" i="24"/>
  <c r="T29" i="24"/>
  <c r="T23" i="24" s="1"/>
  <c r="O53" i="32" s="1"/>
  <c r="T21" i="24"/>
  <c r="T22" i="24" s="1"/>
  <c r="O127" i="28"/>
  <c r="O128" i="28" s="1"/>
  <c r="O125" i="28"/>
  <c r="J109" i="28"/>
  <c r="L109" i="28"/>
  <c r="M109" i="28"/>
  <c r="O109" i="28"/>
  <c r="N109" i="28"/>
  <c r="O107" i="28"/>
  <c r="O108" i="28" s="1"/>
  <c r="O92" i="28"/>
  <c r="O93" i="28" s="1"/>
  <c r="O90" i="28"/>
  <c r="O69" i="28"/>
  <c r="O70" i="28" s="1"/>
  <c r="O66" i="28"/>
  <c r="O67" i="28"/>
  <c r="O68" i="28" s="1"/>
  <c r="O50" i="28"/>
  <c r="O51" i="28" s="1"/>
  <c r="O48" i="28"/>
  <c r="O49" i="28" s="1"/>
  <c r="O47" i="28"/>
  <c r="O99" i="32"/>
  <c r="O80" i="32"/>
  <c r="O85" i="32" s="1"/>
  <c r="O47" i="32"/>
  <c r="O89" i="26"/>
  <c r="O73" i="26"/>
  <c r="O53" i="26"/>
  <c r="O52" i="26" s="1"/>
  <c r="O36" i="26"/>
  <c r="O133" i="28" l="1"/>
  <c r="O134" i="28" s="1"/>
  <c r="O98" i="28"/>
  <c r="O99" i="28" s="1"/>
  <c r="Q99" i="28" s="1"/>
  <c r="O91" i="28"/>
  <c r="O115" i="28"/>
  <c r="O126" i="28"/>
  <c r="O17" i="26"/>
  <c r="O107" i="32"/>
  <c r="T34" i="24"/>
  <c r="O56" i="28"/>
  <c r="O75" i="28"/>
  <c r="O76" i="28" s="1"/>
  <c r="L37" i="27"/>
  <c r="M37" i="27"/>
  <c r="N37" i="27"/>
  <c r="O37" i="27"/>
  <c r="P37" i="27"/>
  <c r="Q37" i="27"/>
  <c r="R37" i="27"/>
  <c r="S37" i="27"/>
  <c r="T37" i="27"/>
  <c r="U37" i="27"/>
  <c r="AC23" i="45" s="1"/>
  <c r="K37" i="27"/>
  <c r="T54" i="24" l="1"/>
  <c r="T33" i="24"/>
  <c r="T41" i="24"/>
  <c r="T36" i="24"/>
  <c r="O58" i="28"/>
  <c r="Q81" i="28"/>
  <c r="T45" i="24" l="1"/>
  <c r="O106" i="32"/>
  <c r="O108" i="32" s="1"/>
  <c r="O114" i="32" s="1"/>
  <c r="O116" i="32" s="1"/>
  <c r="T57" i="24"/>
  <c r="T37" i="24"/>
  <c r="T49" i="24"/>
  <c r="T48" i="24"/>
  <c r="X120" i="28"/>
  <c r="X110" i="28"/>
  <c r="X62" i="28"/>
  <c r="X43" i="28"/>
  <c r="Y25" i="28"/>
  <c r="X25" i="28"/>
  <c r="I33" i="37"/>
  <c r="H33" i="37"/>
  <c r="G33" i="37"/>
  <c r="N33" i="37" s="1"/>
  <c r="F33" i="37"/>
  <c r="I25" i="37"/>
  <c r="H25" i="37"/>
  <c r="G25" i="37"/>
  <c r="F25" i="37"/>
  <c r="M25" i="37"/>
  <c r="N25" i="37"/>
  <c r="O25" i="37"/>
  <c r="P25" i="37"/>
  <c r="O135" i="32" l="1"/>
  <c r="O133" i="32"/>
  <c r="O33" i="37"/>
  <c r="M33" i="37"/>
  <c r="P33" i="37"/>
  <c r="N34" i="38"/>
  <c r="N35" i="38"/>
  <c r="S15" i="24" l="1"/>
  <c r="S55" i="24" l="1"/>
  <c r="S56" i="24" s="1"/>
  <c r="R84" i="28" l="1"/>
  <c r="Q44" i="28"/>
  <c r="S31" i="27"/>
  <c r="S32" i="27" s="1"/>
  <c r="S29" i="45" s="1"/>
  <c r="S30" i="27"/>
  <c r="S28" i="27"/>
  <c r="S24" i="45" l="1"/>
  <c r="N52" i="32"/>
  <c r="N129" i="28"/>
  <c r="N127" i="28" s="1"/>
  <c r="N128" i="28" s="1"/>
  <c r="N125" i="28"/>
  <c r="N121" i="28"/>
  <c r="N111" i="28"/>
  <c r="N107" i="28"/>
  <c r="N108" i="28" s="1"/>
  <c r="N94" i="28"/>
  <c r="N92" i="28" s="1"/>
  <c r="N90" i="28"/>
  <c r="N91" i="28" s="1"/>
  <c r="N71" i="28"/>
  <c r="N69" i="28"/>
  <c r="N70" i="28" s="1"/>
  <c r="N67" i="28"/>
  <c r="N68" i="28" s="1"/>
  <c r="N66" i="28"/>
  <c r="N63" i="28"/>
  <c r="N52" i="28"/>
  <c r="N50" i="28" s="1"/>
  <c r="N51" i="28" s="1"/>
  <c r="N48" i="28"/>
  <c r="N49" i="28" s="1"/>
  <c r="N47" i="28"/>
  <c r="N44" i="28"/>
  <c r="N33" i="28"/>
  <c r="N31" i="28" s="1"/>
  <c r="N29" i="28"/>
  <c r="N30" i="28" s="1"/>
  <c r="N26" i="28"/>
  <c r="N16" i="28"/>
  <c r="N17" i="28"/>
  <c r="N18" i="28"/>
  <c r="N19" i="28"/>
  <c r="N21" i="28"/>
  <c r="S42" i="24"/>
  <c r="S17" i="45" s="1"/>
  <c r="S38" i="24"/>
  <c r="S29" i="24"/>
  <c r="S25" i="24"/>
  <c r="S26" i="24"/>
  <c r="S27" i="24" s="1"/>
  <c r="S21" i="24"/>
  <c r="S17" i="24"/>
  <c r="S23" i="24" l="1"/>
  <c r="N133" i="28"/>
  <c r="N134" i="28" s="1"/>
  <c r="N115" i="28"/>
  <c r="N53" i="32"/>
  <c r="S34" i="24"/>
  <c r="N54" i="32"/>
  <c r="S41" i="24"/>
  <c r="N106" i="32" s="1"/>
  <c r="S22" i="24"/>
  <c r="N98" i="28"/>
  <c r="N99" i="28" s="1"/>
  <c r="S99" i="28" s="1"/>
  <c r="T99" i="28" s="1"/>
  <c r="U99" i="28" s="1"/>
  <c r="N75" i="28"/>
  <c r="N76" i="28" s="1"/>
  <c r="N37" i="28"/>
  <c r="N32" i="28"/>
  <c r="N126" i="28"/>
  <c r="N56" i="28"/>
  <c r="S13" i="45"/>
  <c r="N93" i="28"/>
  <c r="N10" i="28"/>
  <c r="N12" i="28"/>
  <c r="N122" i="28" s="1"/>
  <c r="R82" i="28"/>
  <c r="R85" i="28"/>
  <c r="R83" i="28"/>
  <c r="S54" i="24" l="1"/>
  <c r="S33" i="24"/>
  <c r="S45" i="24"/>
  <c r="S49" i="24" s="1"/>
  <c r="R81" i="28"/>
  <c r="N26" i="38"/>
  <c r="S25" i="45"/>
  <c r="S31" i="45"/>
  <c r="Q86" i="28"/>
  <c r="S48" i="24"/>
  <c r="N58" i="28"/>
  <c r="S15" i="45"/>
  <c r="N38" i="28"/>
  <c r="K125" i="28"/>
  <c r="J35" i="20"/>
  <c r="S16" i="45" l="1"/>
  <c r="S26" i="45"/>
  <c r="N57" i="28"/>
  <c r="S35" i="24" l="1"/>
  <c r="S36" i="24" s="1"/>
  <c r="S32" i="45" l="1"/>
  <c r="S14" i="45" s="1"/>
  <c r="S74" i="24" s="1"/>
  <c r="S75" i="24" s="1"/>
  <c r="N36" i="38"/>
  <c r="N37" i="38" s="1"/>
  <c r="N25" i="38"/>
  <c r="S37" i="24"/>
  <c r="S57" i="24"/>
  <c r="S39" i="45" s="1"/>
  <c r="S23" i="45"/>
  <c r="G35" i="38"/>
  <c r="H35" i="38"/>
  <c r="I35" i="38"/>
  <c r="J35" i="38"/>
  <c r="K35" i="38"/>
  <c r="L35" i="38"/>
  <c r="M35" i="38"/>
  <c r="F35" i="38"/>
  <c r="G34" i="38"/>
  <c r="H34" i="38"/>
  <c r="I34" i="38"/>
  <c r="J34" i="38"/>
  <c r="K34" i="38"/>
  <c r="L34" i="38"/>
  <c r="M34" i="38"/>
  <c r="F34" i="38"/>
  <c r="S28" i="45" l="1"/>
  <c r="S33" i="45"/>
  <c r="K66" i="28"/>
  <c r="L66" i="28"/>
  <c r="M66" i="28"/>
  <c r="J66" i="28"/>
  <c r="J47" i="28"/>
  <c r="K47" i="28"/>
  <c r="L47" i="28"/>
  <c r="M47" i="28"/>
  <c r="I47" i="28"/>
  <c r="P31" i="27"/>
  <c r="Q31" i="27"/>
  <c r="Q32" i="27" s="1"/>
  <c r="R31" i="27"/>
  <c r="R32" i="27" s="1"/>
  <c r="O31" i="27"/>
  <c r="O32" i="27" s="1"/>
  <c r="T47" i="28" l="1"/>
  <c r="R47" i="28"/>
  <c r="Q47" i="28"/>
  <c r="T66" i="28"/>
  <c r="S47" i="28"/>
  <c r="R66" i="28"/>
  <c r="S66" i="28"/>
  <c r="Q66" i="28"/>
  <c r="U47" i="28"/>
  <c r="U66" i="28"/>
  <c r="P32" i="27"/>
  <c r="Q46" i="28" l="1"/>
  <c r="N73" i="26" l="1"/>
  <c r="N107" i="32"/>
  <c r="N108" i="32" s="1"/>
  <c r="N114" i="32" s="1"/>
  <c r="N99" i="32"/>
  <c r="N80" i="32"/>
  <c r="N85" i="32" s="1"/>
  <c r="N47" i="32"/>
  <c r="P81" i="28"/>
  <c r="L39" i="27" l="1"/>
  <c r="M39" i="27"/>
  <c r="N39" i="27"/>
  <c r="O39" i="27"/>
  <c r="P39" i="27"/>
  <c r="Q39" i="27"/>
  <c r="R39" i="27"/>
  <c r="S39" i="27"/>
  <c r="T39" i="27"/>
  <c r="U39" i="27"/>
  <c r="K39" i="27"/>
  <c r="Q63" i="28" s="1"/>
  <c r="S44" i="28" l="1"/>
  <c r="S63" i="28"/>
  <c r="U63" i="28"/>
  <c r="U44" i="28"/>
  <c r="T44" i="28"/>
  <c r="T63" i="28"/>
  <c r="R63" i="28"/>
  <c r="Q62" i="28"/>
  <c r="R62" i="28" s="1"/>
  <c r="Q65" i="28" l="1"/>
  <c r="T31" i="27" s="1"/>
  <c r="T27" i="27"/>
  <c r="S43" i="28"/>
  <c r="S62" i="28"/>
  <c r="T62" i="28" s="1"/>
  <c r="U62" i="28" s="1"/>
  <c r="Y62" i="28" s="1"/>
  <c r="O56" i="24"/>
  <c r="N56" i="24"/>
  <c r="M56" i="24"/>
  <c r="L56" i="24"/>
  <c r="K56" i="24"/>
  <c r="P55" i="24"/>
  <c r="P56" i="24" s="1"/>
  <c r="Q55" i="24"/>
  <c r="Q56" i="24" s="1"/>
  <c r="R55" i="24"/>
  <c r="R56" i="24" s="1"/>
  <c r="T43" i="28" l="1"/>
  <c r="V56" i="24"/>
  <c r="F46" i="32"/>
  <c r="M46" i="32"/>
  <c r="M47" i="32" s="1"/>
  <c r="L46" i="32"/>
  <c r="L47" i="32" s="1"/>
  <c r="K46" i="32"/>
  <c r="K47" i="32" s="1"/>
  <c r="J46" i="32"/>
  <c r="J47" i="32" s="1"/>
  <c r="I46" i="32"/>
  <c r="I47" i="32" s="1"/>
  <c r="H46" i="32"/>
  <c r="H47" i="32" s="1"/>
  <c r="G46" i="32"/>
  <c r="G47" i="32" s="1"/>
  <c r="U43" i="28" l="1"/>
  <c r="R32" i="45"/>
  <c r="Q32" i="45"/>
  <c r="P32" i="45"/>
  <c r="O32" i="45"/>
  <c r="O14" i="45" s="1"/>
  <c r="O74" i="24" s="1"/>
  <c r="O75" i="24" s="1"/>
  <c r="R24" i="45"/>
  <c r="R14" i="45" s="1"/>
  <c r="R74" i="24" s="1"/>
  <c r="R75" i="24" s="1"/>
  <c r="Q24" i="45"/>
  <c r="Q14" i="45" s="1"/>
  <c r="Q74" i="24" s="1"/>
  <c r="Q75" i="24" s="1"/>
  <c r="P24" i="45"/>
  <c r="P14" i="45" s="1"/>
  <c r="P74" i="24" s="1"/>
  <c r="P75" i="24" s="1"/>
  <c r="Y43" i="28" l="1"/>
  <c r="P26" i="24"/>
  <c r="G26" i="28" l="1"/>
  <c r="H26" i="28"/>
  <c r="I26" i="28"/>
  <c r="J26" i="28"/>
  <c r="P28" i="27"/>
  <c r="Q28" i="27"/>
  <c r="R28" i="27"/>
  <c r="O28" i="27"/>
  <c r="P18" i="27"/>
  <c r="Q18" i="27"/>
  <c r="R18" i="27"/>
  <c r="O18" i="27"/>
  <c r="P43" i="28"/>
  <c r="P62" i="28"/>
  <c r="L111" i="28"/>
  <c r="M111" i="28"/>
  <c r="J111" i="28"/>
  <c r="T18" i="27" l="1"/>
  <c r="T19" i="27" s="1"/>
  <c r="O10" i="28"/>
  <c r="K110" i="28"/>
  <c r="K107" i="28"/>
  <c r="L107" i="28"/>
  <c r="M107" i="28"/>
  <c r="J107" i="28"/>
  <c r="L21" i="28"/>
  <c r="M21" i="28"/>
  <c r="K111" i="28" l="1"/>
  <c r="K109" i="28"/>
  <c r="O12" i="28"/>
  <c r="O122" i="28" s="1"/>
  <c r="T13" i="45"/>
  <c r="J115" i="28"/>
  <c r="K115" i="28"/>
  <c r="L115" i="28"/>
  <c r="M115" i="28"/>
  <c r="T33" i="45" l="1"/>
  <c r="T25" i="45"/>
  <c r="V25" i="45" s="1"/>
  <c r="V33" i="45" l="1"/>
  <c r="X33" i="45"/>
  <c r="Z33" i="45"/>
  <c r="W33" i="45"/>
  <c r="Y33" i="45"/>
  <c r="T15" i="45"/>
  <c r="T23" i="45" s="1"/>
  <c r="N116" i="32"/>
  <c r="N55" i="32"/>
  <c r="N57" i="32"/>
  <c r="N60" i="32" s="1"/>
  <c r="U37" i="24"/>
  <c r="N61" i="32" l="1"/>
  <c r="N105" i="32"/>
  <c r="N109" i="32" s="1"/>
  <c r="N137" i="32" s="1"/>
  <c r="T26" i="45"/>
  <c r="T16" i="45"/>
  <c r="O57" i="28"/>
  <c r="N133" i="32"/>
  <c r="N135" i="32"/>
  <c r="N104" i="32"/>
  <c r="N58" i="32"/>
  <c r="G121" i="28"/>
  <c r="H121" i="28"/>
  <c r="I121" i="28"/>
  <c r="J121" i="28"/>
  <c r="M129" i="28"/>
  <c r="M127" i="28" s="1"/>
  <c r="M128" i="28" s="1"/>
  <c r="L129" i="28"/>
  <c r="L127" i="28" s="1"/>
  <c r="L128" i="28" s="1"/>
  <c r="K127" i="28"/>
  <c r="K128" i="28" s="1"/>
  <c r="M125" i="28"/>
  <c r="M126" i="28" s="1"/>
  <c r="L125" i="28"/>
  <c r="L126" i="28" s="1"/>
  <c r="K126" i="28"/>
  <c r="N136" i="32" l="1"/>
  <c r="N138" i="32"/>
  <c r="N134" i="32"/>
  <c r="M133" i="28"/>
  <c r="M134" i="28" s="1"/>
  <c r="L133" i="28"/>
  <c r="L134" i="28" s="1"/>
  <c r="K133" i="28"/>
  <c r="K134" i="28" s="1"/>
  <c r="M121" i="28"/>
  <c r="L121" i="28"/>
  <c r="K121" i="28"/>
  <c r="S134" i="28" l="1"/>
  <c r="U134" i="28"/>
  <c r="R134" i="28"/>
  <c r="T134" i="28"/>
  <c r="Q134" i="28"/>
  <c r="F33" i="28"/>
  <c r="F31" i="28" s="1"/>
  <c r="F32" i="28" s="1"/>
  <c r="H33" i="28"/>
  <c r="H31" i="28" s="1"/>
  <c r="H32" i="28" s="1"/>
  <c r="G33" i="28"/>
  <c r="G31" i="28" s="1"/>
  <c r="G32" i="28" s="1"/>
  <c r="I31" i="28"/>
  <c r="I32" i="28" s="1"/>
  <c r="F29" i="28"/>
  <c r="F30" i="28" s="1"/>
  <c r="G29" i="28"/>
  <c r="G30" i="28" s="1"/>
  <c r="H29" i="28"/>
  <c r="I29" i="28"/>
  <c r="I37" i="28" l="1"/>
  <c r="I38" i="28" s="1"/>
  <c r="H37" i="28"/>
  <c r="H38" i="28" s="1"/>
  <c r="I30" i="28"/>
  <c r="H30" i="28"/>
  <c r="G37" i="28"/>
  <c r="G38" i="28" s="1"/>
  <c r="F37" i="28"/>
  <c r="F38" i="28" s="1"/>
  <c r="I52" i="28" l="1"/>
  <c r="I50" i="28" s="1"/>
  <c r="I51" i="28" s="1"/>
  <c r="J44" i="28"/>
  <c r="I48" i="28"/>
  <c r="I49" i="28" s="1"/>
  <c r="I56" i="28" l="1"/>
  <c r="I58" i="28" s="1"/>
  <c r="K23" i="45"/>
  <c r="L23" i="45"/>
  <c r="M23" i="45"/>
  <c r="N23" i="45"/>
  <c r="K2" i="45"/>
  <c r="R29" i="45" l="1"/>
  <c r="S30" i="45" s="1"/>
  <c r="Q29" i="45"/>
  <c r="P29" i="45"/>
  <c r="O29" i="45"/>
  <c r="O28" i="45" l="1"/>
  <c r="Q28" i="45"/>
  <c r="Q30" i="45"/>
  <c r="P28" i="45"/>
  <c r="P30" i="45"/>
  <c r="R30" i="45"/>
  <c r="R28" i="45"/>
  <c r="G65" i="26"/>
  <c r="F65" i="26"/>
  <c r="F20" i="26"/>
  <c r="F16" i="26" s="1"/>
  <c r="K10" i="27" s="1"/>
  <c r="U23" i="45" l="1"/>
  <c r="G14" i="41"/>
  <c r="H14" i="41" s="1"/>
  <c r="I14" i="41" s="1"/>
  <c r="J14" i="41" s="1"/>
  <c r="K14" i="41" s="1"/>
  <c r="L14" i="41" s="1"/>
  <c r="M14" i="41" s="1"/>
  <c r="N14" i="41" s="1"/>
  <c r="O14" i="41" s="1"/>
  <c r="P14" i="41" s="1"/>
  <c r="J34" i="20"/>
  <c r="J33" i="20"/>
  <c r="K37" i="20" l="1"/>
  <c r="K35" i="20"/>
  <c r="K34" i="20"/>
  <c r="K33" i="20"/>
  <c r="F36" i="20"/>
  <c r="F12" i="20" l="1"/>
  <c r="K36" i="20"/>
  <c r="G19" i="41" l="1"/>
  <c r="H19" i="41" l="1"/>
  <c r="I19" i="41" l="1"/>
  <c r="J19" i="41" l="1"/>
  <c r="K19" i="41" l="1"/>
  <c r="L19" i="41" l="1"/>
  <c r="P30" i="27"/>
  <c r="Q30" i="27"/>
  <c r="R30" i="27"/>
  <c r="O30" i="27"/>
  <c r="M19" i="41" l="1"/>
  <c r="W18" i="27"/>
  <c r="W19" i="27" s="1"/>
  <c r="U18" i="27"/>
  <c r="U19" i="27" s="1"/>
  <c r="X18" i="27"/>
  <c r="X19" i="27" s="1"/>
  <c r="V18" i="27"/>
  <c r="V19" i="27" s="1"/>
  <c r="N19" i="41" l="1"/>
  <c r="T29" i="27"/>
  <c r="T30" i="27" s="1"/>
  <c r="U29" i="27"/>
  <c r="Q17" i="28"/>
  <c r="P17" i="28" s="1"/>
  <c r="Q18" i="28"/>
  <c r="P18" i="28" s="1"/>
  <c r="Q19" i="28"/>
  <c r="P19" i="28" s="1"/>
  <c r="S85" i="28"/>
  <c r="O19" i="41" l="1"/>
  <c r="S84" i="28"/>
  <c r="S81" i="28" s="1"/>
  <c r="U30" i="27" l="1"/>
  <c r="R86" i="28"/>
  <c r="R18" i="28"/>
  <c r="R65" i="28"/>
  <c r="V30" i="27"/>
  <c r="W30" i="27" s="1"/>
  <c r="X30" i="27" s="1"/>
  <c r="P19" i="41"/>
  <c r="R19" i="28"/>
  <c r="S19" i="28"/>
  <c r="T81" i="28"/>
  <c r="S18" i="28" l="1"/>
  <c r="S65" i="28"/>
  <c r="U28" i="27"/>
  <c r="U27" i="27" s="1"/>
  <c r="T19" i="28"/>
  <c r="U81" i="28"/>
  <c r="Y81" i="28" s="1"/>
  <c r="T18" i="28" l="1"/>
  <c r="T65" i="28"/>
  <c r="V28" i="27"/>
  <c r="U19" i="28"/>
  <c r="U65" i="28" l="1"/>
  <c r="W28" i="27"/>
  <c r="V27" i="27"/>
  <c r="U18" i="28"/>
  <c r="X28" i="27" l="1"/>
  <c r="X27" i="27" s="1"/>
  <c r="W27" i="27"/>
  <c r="M63" i="28"/>
  <c r="M67" i="28"/>
  <c r="M68" i="28" s="1"/>
  <c r="M71" i="28"/>
  <c r="M69" i="28" s="1"/>
  <c r="M70" i="28" s="1"/>
  <c r="J16" i="28"/>
  <c r="K16" i="28"/>
  <c r="L16" i="28"/>
  <c r="M16" i="28"/>
  <c r="J17" i="28"/>
  <c r="K17" i="28"/>
  <c r="L17" i="28"/>
  <c r="M17" i="28"/>
  <c r="J18" i="28"/>
  <c r="K18" i="28"/>
  <c r="L18" i="28"/>
  <c r="M18" i="28"/>
  <c r="J19" i="28"/>
  <c r="K19" i="28"/>
  <c r="L19" i="28"/>
  <c r="M19" i="28"/>
  <c r="M52" i="28"/>
  <c r="M50" i="28" s="1"/>
  <c r="M51" i="28" s="1"/>
  <c r="J31" i="28"/>
  <c r="J32" i="28" s="1"/>
  <c r="M33" i="28"/>
  <c r="M31" i="28" s="1"/>
  <c r="M32" i="28" s="1"/>
  <c r="L71" i="28"/>
  <c r="L69" i="28" s="1"/>
  <c r="L70" i="28" s="1"/>
  <c r="L52" i="28"/>
  <c r="L50" i="28" s="1"/>
  <c r="L51" i="28" s="1"/>
  <c r="L33" i="28"/>
  <c r="L31" i="28" s="1"/>
  <c r="L32" i="28" s="1"/>
  <c r="K71" i="28"/>
  <c r="K69" i="28" s="1"/>
  <c r="K70" i="28" s="1"/>
  <c r="K52" i="28"/>
  <c r="K50" i="28" s="1"/>
  <c r="K51" i="28" s="1"/>
  <c r="K33" i="28"/>
  <c r="K31" i="28" s="1"/>
  <c r="K32" i="28" s="1"/>
  <c r="J71" i="28"/>
  <c r="J52" i="28"/>
  <c r="J50" i="28" s="1"/>
  <c r="J51" i="28" s="1"/>
  <c r="L67" i="28"/>
  <c r="L68" i="28" s="1"/>
  <c r="K67" i="28"/>
  <c r="K68" i="28" s="1"/>
  <c r="J67" i="28"/>
  <c r="J68" i="28" s="1"/>
  <c r="M48" i="28"/>
  <c r="M49" i="28" s="1"/>
  <c r="L48" i="28"/>
  <c r="L49" i="28" s="1"/>
  <c r="K48" i="28"/>
  <c r="K49" i="28" s="1"/>
  <c r="J48" i="28"/>
  <c r="J49" i="28" s="1"/>
  <c r="K29" i="28"/>
  <c r="K30" i="28" s="1"/>
  <c r="L29" i="28"/>
  <c r="L30" i="28" s="1"/>
  <c r="M29" i="28"/>
  <c r="M30" i="28" s="1"/>
  <c r="J29" i="28"/>
  <c r="J30" i="28" s="1"/>
  <c r="U86" i="28"/>
  <c r="T86" i="28"/>
  <c r="S86" i="28"/>
  <c r="M44" i="28"/>
  <c r="L44" i="28"/>
  <c r="K44" i="28"/>
  <c r="M26" i="28"/>
  <c r="L26" i="28"/>
  <c r="K26" i="28"/>
  <c r="L63" i="28"/>
  <c r="K63" i="28"/>
  <c r="J10" i="28" l="1"/>
  <c r="X10" i="28" s="1"/>
  <c r="J12" i="28"/>
  <c r="J122" i="28" s="1"/>
  <c r="L12" i="28"/>
  <c r="L122" i="28" s="1"/>
  <c r="K12" i="28"/>
  <c r="K122" i="28" s="1"/>
  <c r="M12" i="28"/>
  <c r="M122" i="28" s="1"/>
  <c r="Q13" i="45"/>
  <c r="P13" i="45"/>
  <c r="O13" i="45"/>
  <c r="R13" i="45"/>
  <c r="M10" i="28"/>
  <c r="N11" i="28" s="1"/>
  <c r="L10" i="28"/>
  <c r="K10" i="28"/>
  <c r="K56" i="28"/>
  <c r="K58" i="28" s="1"/>
  <c r="J69" i="28"/>
  <c r="J75" i="28" s="1"/>
  <c r="J76" i="28" s="1"/>
  <c r="M75" i="28"/>
  <c r="M76" i="28" s="1"/>
  <c r="M56" i="28"/>
  <c r="M58" i="28" s="1"/>
  <c r="K75" i="28"/>
  <c r="K76" i="28" s="1"/>
  <c r="L75" i="28"/>
  <c r="L76" i="28" s="1"/>
  <c r="L56" i="28"/>
  <c r="L58" i="28" s="1"/>
  <c r="M37" i="28"/>
  <c r="K37" i="28"/>
  <c r="L37" i="28"/>
  <c r="J56" i="28"/>
  <c r="J58" i="28" s="1"/>
  <c r="J37" i="28"/>
  <c r="F99" i="32"/>
  <c r="H99" i="32"/>
  <c r="I99" i="32"/>
  <c r="J99" i="32"/>
  <c r="K99" i="32"/>
  <c r="L99" i="32"/>
  <c r="M99" i="32"/>
  <c r="G99" i="32"/>
  <c r="G80" i="32"/>
  <c r="G85" i="32" s="1"/>
  <c r="H80" i="32"/>
  <c r="H85" i="32" s="1"/>
  <c r="I80" i="32"/>
  <c r="I85" i="32" s="1"/>
  <c r="J80" i="32"/>
  <c r="J85" i="32" s="1"/>
  <c r="K80" i="32"/>
  <c r="K85" i="32" s="1"/>
  <c r="L80" i="32"/>
  <c r="L85" i="32" s="1"/>
  <c r="M80" i="32"/>
  <c r="M85" i="32" s="1"/>
  <c r="F80" i="32"/>
  <c r="F85" i="32" s="1"/>
  <c r="U75" i="28" l="1"/>
  <c r="R75" i="28"/>
  <c r="T75" i="28"/>
  <c r="Q56" i="28"/>
  <c r="P56" i="28" s="1"/>
  <c r="P58" i="28" s="1"/>
  <c r="T122" i="28"/>
  <c r="S122" i="28"/>
  <c r="U122" i="28"/>
  <c r="Q122" i="28"/>
  <c r="R122" i="28"/>
  <c r="O15" i="45"/>
  <c r="O16" i="45" s="1"/>
  <c r="R15" i="45"/>
  <c r="R16" i="45" s="1"/>
  <c r="M11" i="28"/>
  <c r="L11" i="28"/>
  <c r="M57" i="28"/>
  <c r="R25" i="45"/>
  <c r="R33" i="45"/>
  <c r="R31" i="45"/>
  <c r="Q15" i="45"/>
  <c r="O33" i="45"/>
  <c r="O31" i="45"/>
  <c r="P15" i="45"/>
  <c r="P33" i="45"/>
  <c r="P25" i="45"/>
  <c r="P31" i="45"/>
  <c r="Q25" i="45"/>
  <c r="Q33" i="45"/>
  <c r="Q31" i="45"/>
  <c r="Q75" i="28"/>
  <c r="P75" i="28" s="1"/>
  <c r="P76" i="28" s="1"/>
  <c r="S75" i="28"/>
  <c r="M38" i="28"/>
  <c r="J38" i="28"/>
  <c r="K38" i="28"/>
  <c r="L38" i="28"/>
  <c r="Q98" i="28"/>
  <c r="J70" i="28"/>
  <c r="F45" i="32"/>
  <c r="F19" i="32"/>
  <c r="K57" i="27" s="1"/>
  <c r="F29" i="32"/>
  <c r="F23" i="32"/>
  <c r="F17" i="32"/>
  <c r="P98" i="28" l="1"/>
  <c r="P99" i="28" s="1"/>
  <c r="V15" i="45"/>
  <c r="Y25" i="45"/>
  <c r="X25" i="45"/>
  <c r="Z25" i="45"/>
  <c r="W25" i="45"/>
  <c r="F47" i="32"/>
  <c r="J57" i="28"/>
  <c r="Q16" i="45"/>
  <c r="L57" i="28"/>
  <c r="P16" i="45"/>
  <c r="K57" i="28"/>
  <c r="R98" i="28"/>
  <c r="H107" i="32"/>
  <c r="G107" i="32"/>
  <c r="G52" i="32"/>
  <c r="H52" i="32"/>
  <c r="I52" i="32"/>
  <c r="J52" i="32"/>
  <c r="K52" i="32"/>
  <c r="L52" i="32"/>
  <c r="M52" i="32"/>
  <c r="S98" i="28" l="1"/>
  <c r="M89" i="26"/>
  <c r="I89" i="26"/>
  <c r="J89" i="26"/>
  <c r="K89" i="26"/>
  <c r="L89" i="26"/>
  <c r="N89" i="26"/>
  <c r="H89" i="26"/>
  <c r="G89" i="26"/>
  <c r="F89" i="26"/>
  <c r="G73" i="26"/>
  <c r="H73" i="26"/>
  <c r="I73" i="26"/>
  <c r="J73" i="26"/>
  <c r="K73" i="26"/>
  <c r="L73" i="26"/>
  <c r="M73" i="26"/>
  <c r="F73" i="26"/>
  <c r="G53" i="26"/>
  <c r="G13" i="38" s="1"/>
  <c r="H53" i="26"/>
  <c r="H13" i="38" s="1"/>
  <c r="I53" i="26"/>
  <c r="I13" i="38" s="1"/>
  <c r="J53" i="26"/>
  <c r="K53" i="26"/>
  <c r="K13" i="38" s="1"/>
  <c r="L53" i="26"/>
  <c r="L13" i="38" s="1"/>
  <c r="M53" i="26"/>
  <c r="N53" i="26"/>
  <c r="N13" i="38" s="1"/>
  <c r="F53" i="26"/>
  <c r="G36" i="26"/>
  <c r="H36" i="26"/>
  <c r="I36" i="26"/>
  <c r="J36" i="26"/>
  <c r="K36" i="26"/>
  <c r="L36" i="26"/>
  <c r="M36" i="26"/>
  <c r="N36" i="26"/>
  <c r="F36" i="26"/>
  <c r="G20" i="26"/>
  <c r="H20" i="26"/>
  <c r="I20" i="26"/>
  <c r="J20" i="26"/>
  <c r="K20" i="26"/>
  <c r="L20" i="26"/>
  <c r="L16" i="26" s="1"/>
  <c r="M20" i="26"/>
  <c r="M16" i="26" s="1"/>
  <c r="R25" i="28" l="1"/>
  <c r="P37" i="28"/>
  <c r="N29" i="38"/>
  <c r="N28" i="38"/>
  <c r="N18" i="38"/>
  <c r="N20" i="38"/>
  <c r="N11" i="38"/>
  <c r="G29" i="38"/>
  <c r="G28" i="38"/>
  <c r="J11" i="38"/>
  <c r="J12" i="38"/>
  <c r="H12" i="38"/>
  <c r="H11" i="38"/>
  <c r="L29" i="38"/>
  <c r="L28" i="38"/>
  <c r="K28" i="38"/>
  <c r="K29" i="38"/>
  <c r="I29" i="38"/>
  <c r="I28" i="38"/>
  <c r="K17" i="26"/>
  <c r="K12" i="38"/>
  <c r="K11" i="38"/>
  <c r="J52" i="26"/>
  <c r="J13" i="38"/>
  <c r="G12" i="38"/>
  <c r="G11" i="38"/>
  <c r="M28" i="38"/>
  <c r="M29" i="38"/>
  <c r="H28" i="38"/>
  <c r="H29" i="38"/>
  <c r="F11" i="38"/>
  <c r="F12" i="38"/>
  <c r="M17" i="26"/>
  <c r="M11" i="38"/>
  <c r="M12" i="38"/>
  <c r="F52" i="26"/>
  <c r="F13" i="38"/>
  <c r="M52" i="26"/>
  <c r="M13" i="38"/>
  <c r="I11" i="38"/>
  <c r="I12" i="38"/>
  <c r="J28" i="38"/>
  <c r="J29" i="38"/>
  <c r="L17" i="26"/>
  <c r="L11" i="38"/>
  <c r="N12" i="38"/>
  <c r="L12" i="38"/>
  <c r="F28" i="38"/>
  <c r="F29" i="38"/>
  <c r="I17" i="26"/>
  <c r="N52" i="26"/>
  <c r="N17" i="26"/>
  <c r="F17" i="26"/>
  <c r="G17" i="26"/>
  <c r="I52" i="26"/>
  <c r="J17" i="26"/>
  <c r="L52" i="26"/>
  <c r="H16" i="26"/>
  <c r="M10" i="27" s="1"/>
  <c r="I21" i="26"/>
  <c r="I16" i="26"/>
  <c r="G16" i="26"/>
  <c r="L10" i="27" s="1"/>
  <c r="L66" i="27" s="1"/>
  <c r="K21" i="26"/>
  <c r="K16" i="26"/>
  <c r="J21" i="26"/>
  <c r="J16" i="26"/>
  <c r="K52" i="26"/>
  <c r="H17" i="26"/>
  <c r="G52" i="26"/>
  <c r="H52" i="26"/>
  <c r="U98" i="28"/>
  <c r="T98" i="28"/>
  <c r="G21" i="26"/>
  <c r="F21" i="26"/>
  <c r="H21" i="26"/>
  <c r="M21" i="26"/>
  <c r="L21" i="26"/>
  <c r="K25" i="24"/>
  <c r="L25" i="24"/>
  <c r="M25" i="24"/>
  <c r="N25" i="24"/>
  <c r="O25" i="24"/>
  <c r="P25" i="24"/>
  <c r="Q25" i="24"/>
  <c r="R25" i="24"/>
  <c r="L17" i="24"/>
  <c r="M17" i="24"/>
  <c r="N17" i="24"/>
  <c r="O17" i="24"/>
  <c r="P17" i="24"/>
  <c r="Q17" i="24"/>
  <c r="R17" i="24"/>
  <c r="L14" i="24"/>
  <c r="L15" i="24" s="1"/>
  <c r="L21" i="24"/>
  <c r="L27" i="24"/>
  <c r="L29" i="24"/>
  <c r="L38" i="24"/>
  <c r="L42" i="24"/>
  <c r="M42" i="24"/>
  <c r="M17" i="45" s="1"/>
  <c r="M38" i="24"/>
  <c r="M29" i="24"/>
  <c r="M23" i="24" s="1"/>
  <c r="M27" i="24"/>
  <c r="M21" i="24"/>
  <c r="M14" i="24"/>
  <c r="M15" i="24" s="1"/>
  <c r="S25" i="28" l="1"/>
  <c r="R37" i="28"/>
  <c r="N27" i="38"/>
  <c r="N19" i="38"/>
  <c r="N10" i="38"/>
  <c r="M27" i="38"/>
  <c r="M10" i="38"/>
  <c r="I27" i="38"/>
  <c r="I10" i="38"/>
  <c r="K27" i="38"/>
  <c r="K10" i="38"/>
  <c r="J27" i="38"/>
  <c r="J10" i="38"/>
  <c r="G27" i="38"/>
  <c r="G10" i="38"/>
  <c r="F27" i="38"/>
  <c r="F10" i="38"/>
  <c r="H27" i="38"/>
  <c r="H10" i="38"/>
  <c r="L27" i="38"/>
  <c r="L10" i="38"/>
  <c r="H53" i="32"/>
  <c r="H54" i="32" s="1"/>
  <c r="H55" i="32" s="1"/>
  <c r="H36" i="38"/>
  <c r="H37" i="38" s="1"/>
  <c r="L23" i="24"/>
  <c r="M66" i="27"/>
  <c r="L11" i="27"/>
  <c r="M11" i="27"/>
  <c r="L22" i="24"/>
  <c r="M22" i="24"/>
  <c r="M34" i="24"/>
  <c r="M54" i="24" l="1"/>
  <c r="M33" i="24"/>
  <c r="T25" i="28"/>
  <c r="S37" i="28"/>
  <c r="H57" i="32"/>
  <c r="H25" i="38"/>
  <c r="H26" i="38"/>
  <c r="L34" i="24"/>
  <c r="G36" i="38"/>
  <c r="G37" i="38" s="1"/>
  <c r="G53" i="32"/>
  <c r="G54" i="32" s="1"/>
  <c r="G55" i="32" s="1"/>
  <c r="L41" i="24"/>
  <c r="M41" i="24"/>
  <c r="L54" i="24" l="1"/>
  <c r="L33" i="24"/>
  <c r="H58" i="32"/>
  <c r="H60" i="32"/>
  <c r="U25" i="28"/>
  <c r="U37" i="28" s="1"/>
  <c r="T37" i="28"/>
  <c r="H104" i="32"/>
  <c r="G25" i="38"/>
  <c r="G26" i="38"/>
  <c r="G57" i="32"/>
  <c r="L45" i="24"/>
  <c r="G106" i="32"/>
  <c r="M45" i="24"/>
  <c r="H106" i="32"/>
  <c r="G58" i="32" l="1"/>
  <c r="G60" i="32"/>
  <c r="H61" i="32"/>
  <c r="H105" i="32"/>
  <c r="H109" i="32" s="1"/>
  <c r="H137" i="32" s="1"/>
  <c r="H138" i="32" s="1"/>
  <c r="G108" i="32"/>
  <c r="G114" i="32" s="1"/>
  <c r="G116" i="32" s="1"/>
  <c r="H108" i="32"/>
  <c r="H114" i="32" s="1"/>
  <c r="H116" i="32" s="1"/>
  <c r="H18" i="38"/>
  <c r="H19" i="38"/>
  <c r="G18" i="38"/>
  <c r="G19" i="38"/>
  <c r="G104" i="32"/>
  <c r="M48" i="24"/>
  <c r="L48" i="24"/>
  <c r="M49" i="24"/>
  <c r="L49" i="24"/>
  <c r="H133" i="32" l="1"/>
  <c r="H134" i="32" s="1"/>
  <c r="H135" i="32"/>
  <c r="H136" i="32" s="1"/>
  <c r="G133" i="32"/>
  <c r="G134" i="32" s="1"/>
  <c r="G135" i="32"/>
  <c r="G136" i="32" s="1"/>
  <c r="G105" i="32"/>
  <c r="G109" i="32" s="1"/>
  <c r="G137" i="32" s="1"/>
  <c r="G138" i="32" s="1"/>
  <c r="G61" i="32"/>
  <c r="R35" i="24"/>
  <c r="Q35" i="24"/>
  <c r="P35" i="24"/>
  <c r="M35" i="24"/>
  <c r="M36" i="24" s="1"/>
  <c r="L35" i="24"/>
  <c r="L36" i="24" s="1"/>
  <c r="K35" i="24"/>
  <c r="L57" i="24" l="1"/>
  <c r="M57" i="24"/>
  <c r="L37" i="24"/>
  <c r="M37" i="24"/>
  <c r="N35" i="24"/>
  <c r="O35" i="24"/>
  <c r="M39" i="45" l="1"/>
  <c r="H20" i="38" s="1"/>
  <c r="L39" i="45"/>
  <c r="G20" i="38" s="1"/>
  <c r="M107" i="32"/>
  <c r="F3" i="32" l="1"/>
  <c r="N14" i="24" l="1"/>
  <c r="N15" i="24" s="1"/>
  <c r="O14" i="24"/>
  <c r="O15" i="24" s="1"/>
  <c r="P14" i="24"/>
  <c r="P15" i="24" s="1"/>
  <c r="Q14" i="24"/>
  <c r="Q15" i="24" s="1"/>
  <c r="R14" i="24"/>
  <c r="R15" i="24" s="1"/>
  <c r="K14" i="24"/>
  <c r="K15" i="24" s="1"/>
  <c r="R46" i="28" l="1"/>
  <c r="U31" i="27" s="1"/>
  <c r="S46" i="28" l="1"/>
  <c r="V31" i="27" s="1"/>
  <c r="R17" i="28"/>
  <c r="R56" i="28"/>
  <c r="W15" i="45" s="1"/>
  <c r="U32" i="27" l="1"/>
  <c r="W29" i="45" s="1"/>
  <c r="S56" i="28"/>
  <c r="X15" i="45" s="1"/>
  <c r="T46" i="28"/>
  <c r="W31" i="27" s="1"/>
  <c r="S17" i="28"/>
  <c r="V32" i="27" l="1"/>
  <c r="X29" i="45" s="1"/>
  <c r="X30" i="45" s="1"/>
  <c r="T17" i="28"/>
  <c r="T56" i="28"/>
  <c r="Y15" i="45" s="1"/>
  <c r="U46" i="28" l="1"/>
  <c r="X31" i="27" s="1"/>
  <c r="U56" i="28"/>
  <c r="Z15" i="45" s="1"/>
  <c r="U17" i="28"/>
  <c r="F9" i="26"/>
  <c r="K2" i="24"/>
  <c r="Q29" i="24"/>
  <c r="Q23" i="24" s="1"/>
  <c r="L36" i="38" s="1"/>
  <c r="L37" i="38" s="1"/>
  <c r="N21" i="24" l="1"/>
  <c r="O21" i="24"/>
  <c r="P21" i="24"/>
  <c r="Q21" i="24"/>
  <c r="R21" i="24"/>
  <c r="K21" i="24" l="1"/>
  <c r="K27" i="24" l="1"/>
  <c r="N27" i="24"/>
  <c r="O27" i="24"/>
  <c r="P27" i="24"/>
  <c r="Q27" i="24"/>
  <c r="R27" i="24"/>
  <c r="F3" i="41" l="1"/>
  <c r="G9" i="41"/>
  <c r="H9" i="41" s="1"/>
  <c r="I9" i="41" s="1"/>
  <c r="J9" i="41" s="1"/>
  <c r="K9" i="41" s="1"/>
  <c r="L9" i="41" s="1"/>
  <c r="M9" i="41" s="1"/>
  <c r="N9" i="41" s="1"/>
  <c r="O9" i="41" s="1"/>
  <c r="P9" i="41" s="1"/>
  <c r="R42" i="24" l="1"/>
  <c r="R17" i="45" s="1"/>
  <c r="Q42" i="24"/>
  <c r="Q17" i="45" s="1"/>
  <c r="P42" i="24"/>
  <c r="P17" i="45" s="1"/>
  <c r="O42" i="24"/>
  <c r="O17" i="45" s="1"/>
  <c r="N42" i="24"/>
  <c r="N17" i="45" s="1"/>
  <c r="K42" i="24"/>
  <c r="P26" i="45" l="1"/>
  <c r="Q26" i="45"/>
  <c r="O26" i="45"/>
  <c r="R26" i="45"/>
  <c r="K107" i="32" l="1"/>
  <c r="J107" i="32"/>
  <c r="I107" i="32"/>
  <c r="F107" i="32"/>
  <c r="M21" i="37" l="1"/>
  <c r="N21" i="37"/>
  <c r="O21" i="37"/>
  <c r="P21" i="37"/>
  <c r="M22" i="37"/>
  <c r="N22" i="37"/>
  <c r="O22" i="37"/>
  <c r="P22" i="37"/>
  <c r="M23" i="37"/>
  <c r="N23" i="37"/>
  <c r="O23" i="37"/>
  <c r="P23" i="37"/>
  <c r="M29" i="37"/>
  <c r="N29" i="37"/>
  <c r="O29" i="37"/>
  <c r="P29" i="37"/>
  <c r="E3" i="38" l="1"/>
  <c r="F3" i="37"/>
  <c r="M24" i="37" l="1"/>
  <c r="N24" i="37"/>
  <c r="O24" i="37"/>
  <c r="P24" i="37"/>
  <c r="M30" i="37"/>
  <c r="N30" i="37"/>
  <c r="O30" i="37"/>
  <c r="P30" i="37"/>
  <c r="M32" i="37"/>
  <c r="N32" i="37"/>
  <c r="O32" i="37"/>
  <c r="P32" i="37"/>
  <c r="F3" i="34" l="1"/>
  <c r="K29" i="24" l="1"/>
  <c r="K23" i="24" s="1"/>
  <c r="F36" i="38" s="1"/>
  <c r="R29" i="24" l="1"/>
  <c r="R23" i="24" s="1"/>
  <c r="M36" i="38" s="1"/>
  <c r="M37" i="38" s="1"/>
  <c r="R38" i="24"/>
  <c r="M53" i="32" l="1"/>
  <c r="R22" i="24"/>
  <c r="R34" i="24" l="1"/>
  <c r="R54" i="24" l="1"/>
  <c r="R33" i="24"/>
  <c r="M25" i="38"/>
  <c r="M26" i="38"/>
  <c r="R36" i="24"/>
  <c r="R41" i="24"/>
  <c r="R45" i="24" s="1"/>
  <c r="M19" i="38" l="1"/>
  <c r="M18" i="38"/>
  <c r="R23" i="45"/>
  <c r="R57" i="24"/>
  <c r="R48" i="24"/>
  <c r="R37" i="24"/>
  <c r="M106" i="32"/>
  <c r="M108" i="32" s="1"/>
  <c r="M114" i="32" s="1"/>
  <c r="R49" i="24"/>
  <c r="R39" i="45" l="1"/>
  <c r="M20" i="38" s="1"/>
  <c r="L107" i="32"/>
  <c r="O29" i="24" l="1"/>
  <c r="O23" i="24" s="1"/>
  <c r="J36" i="38" s="1"/>
  <c r="J37" i="38" s="1"/>
  <c r="P29" i="24"/>
  <c r="P23" i="24" s="1"/>
  <c r="K36" i="38" s="1"/>
  <c r="K37" i="38" s="1"/>
  <c r="N29" i="24"/>
  <c r="N23" i="24" s="1"/>
  <c r="I36" i="38" s="1"/>
  <c r="I37" i="38" s="1"/>
  <c r="F52" i="32"/>
  <c r="Q10" i="27"/>
  <c r="P10" i="27"/>
  <c r="O10" i="27"/>
  <c r="N10" i="27"/>
  <c r="N66" i="27" s="1"/>
  <c r="P38" i="24"/>
  <c r="O38" i="24"/>
  <c r="Q38" i="24"/>
  <c r="K38" i="24"/>
  <c r="N38" i="24"/>
  <c r="Q66" i="27" l="1"/>
  <c r="Q34" i="45" s="1"/>
  <c r="Q35" i="45" s="1"/>
  <c r="O66" i="27"/>
  <c r="O34" i="45" s="1"/>
  <c r="O35" i="45" s="1"/>
  <c r="P66" i="27"/>
  <c r="P34" i="45" s="1"/>
  <c r="P35" i="45" s="1"/>
  <c r="R10" i="27"/>
  <c r="R66" i="27" l="1"/>
  <c r="R34" i="45" s="1"/>
  <c r="R35" i="45" s="1"/>
  <c r="P27" i="45"/>
  <c r="P36" i="45" s="1"/>
  <c r="P65" i="24" s="1"/>
  <c r="P66" i="24" s="1"/>
  <c r="O27" i="45"/>
  <c r="O36" i="45" s="1"/>
  <c r="O65" i="24" s="1"/>
  <c r="O66" i="24" s="1"/>
  <c r="Q27" i="45"/>
  <c r="Q36" i="45" s="1"/>
  <c r="Q65" i="24" s="1"/>
  <c r="Q66" i="24" s="1"/>
  <c r="R11" i="27"/>
  <c r="R27" i="45" l="1"/>
  <c r="R36" i="45" s="1"/>
  <c r="R65" i="24" s="1"/>
  <c r="R66" i="24" s="1"/>
  <c r="K11" i="28"/>
  <c r="L3" i="27"/>
  <c r="I53" i="32" l="1"/>
  <c r="I54" i="32" s="1"/>
  <c r="J53" i="32"/>
  <c r="J54" i="32" s="1"/>
  <c r="J55" i="32" s="1"/>
  <c r="M54" i="32"/>
  <c r="M55" i="32" s="1"/>
  <c r="L53" i="32"/>
  <c r="L54" i="32" s="1"/>
  <c r="L55" i="32" s="1"/>
  <c r="F37" i="38"/>
  <c r="F53" i="32"/>
  <c r="F54" i="32" s="1"/>
  <c r="F57" i="32" s="1"/>
  <c r="K53" i="32"/>
  <c r="K54" i="32" s="1"/>
  <c r="Q3" i="28"/>
  <c r="F104" i="32" l="1"/>
  <c r="F60" i="32"/>
  <c r="K57" i="32"/>
  <c r="K55" i="32"/>
  <c r="I57" i="32"/>
  <c r="I55" i="32"/>
  <c r="M57" i="32"/>
  <c r="M60" i="32" s="1"/>
  <c r="J57" i="32"/>
  <c r="J60" i="32" s="1"/>
  <c r="L57" i="32"/>
  <c r="F55" i="32"/>
  <c r="F58" i="32"/>
  <c r="Q34" i="24"/>
  <c r="Q54" i="24" l="1"/>
  <c r="Q33" i="24"/>
  <c r="L58" i="32"/>
  <c r="L60" i="32"/>
  <c r="J61" i="32"/>
  <c r="J105" i="32"/>
  <c r="J109" i="32" s="1"/>
  <c r="J137" i="32" s="1"/>
  <c r="I58" i="32"/>
  <c r="I60" i="32"/>
  <c r="K58" i="32"/>
  <c r="K60" i="32"/>
  <c r="F61" i="32"/>
  <c r="F105" i="32"/>
  <c r="F109" i="32" s="1"/>
  <c r="F137" i="32" s="1"/>
  <c r="M105" i="32"/>
  <c r="M109" i="32" s="1"/>
  <c r="M137" i="32" s="1"/>
  <c r="M61" i="32"/>
  <c r="K104" i="32"/>
  <c r="I104" i="32"/>
  <c r="L25" i="38"/>
  <c r="L26" i="38"/>
  <c r="M104" i="32"/>
  <c r="M58" i="32"/>
  <c r="J104" i="32"/>
  <c r="J58" i="32"/>
  <c r="L104" i="32"/>
  <c r="Q36" i="24"/>
  <c r="Q22" i="24"/>
  <c r="Q41" i="24"/>
  <c r="L106" i="32" s="1"/>
  <c r="L108" i="32" s="1"/>
  <c r="L114" i="32" s="1"/>
  <c r="K105" i="32" l="1"/>
  <c r="K109" i="32" s="1"/>
  <c r="K137" i="32" s="1"/>
  <c r="K61" i="32"/>
  <c r="I61" i="32"/>
  <c r="I105" i="32"/>
  <c r="I109" i="32" s="1"/>
  <c r="I137" i="32" s="1"/>
  <c r="L105" i="32"/>
  <c r="L109" i="32" s="1"/>
  <c r="L137" i="32" s="1"/>
  <c r="L61" i="32"/>
  <c r="Q23" i="45"/>
  <c r="Q57" i="24"/>
  <c r="M116" i="32"/>
  <c r="Q45" i="24"/>
  <c r="Q37" i="24"/>
  <c r="L116" i="32"/>
  <c r="Q39" i="45" l="1"/>
  <c r="L20" i="38" s="1"/>
  <c r="L18" i="38"/>
  <c r="L19" i="38"/>
  <c r="Q48" i="24"/>
  <c r="L138" i="32"/>
  <c r="L135" i="32"/>
  <c r="L136" i="32" s="1"/>
  <c r="M138" i="32"/>
  <c r="M135" i="32"/>
  <c r="M136" i="32" s="1"/>
  <c r="L133" i="32"/>
  <c r="L134" i="32" s="1"/>
  <c r="M133" i="32"/>
  <c r="M134" i="32" s="1"/>
  <c r="P31" i="37"/>
  <c r="M31" i="37"/>
  <c r="N31" i="37"/>
  <c r="O31" i="37"/>
  <c r="Q49" i="24"/>
  <c r="K11" i="27" l="1"/>
  <c r="Q11" i="27"/>
  <c r="N11" i="27"/>
  <c r="O11" i="27"/>
  <c r="P11" i="27"/>
  <c r="K34" i="24"/>
  <c r="K33" i="24" s="1"/>
  <c r="F25" i="38" l="1"/>
  <c r="K54" i="24"/>
  <c r="F26" i="38"/>
  <c r="K36" i="24"/>
  <c r="K22" i="24"/>
  <c r="K41" i="24"/>
  <c r="O22" i="24"/>
  <c r="O34" i="24"/>
  <c r="P22" i="24"/>
  <c r="P34" i="24"/>
  <c r="N22" i="24"/>
  <c r="N34" i="24"/>
  <c r="N54" i="24" l="1"/>
  <c r="N33" i="24"/>
  <c r="O54" i="24"/>
  <c r="O33" i="24"/>
  <c r="P54" i="24"/>
  <c r="P33" i="24"/>
  <c r="J25" i="38"/>
  <c r="J26" i="38"/>
  <c r="I25" i="38"/>
  <c r="I26" i="38"/>
  <c r="K25" i="38"/>
  <c r="K26" i="38"/>
  <c r="K57" i="24"/>
  <c r="K45" i="24"/>
  <c r="F18" i="38" s="1"/>
  <c r="K37" i="24"/>
  <c r="O36" i="24"/>
  <c r="N36" i="24"/>
  <c r="P36" i="24"/>
  <c r="F106" i="32"/>
  <c r="O41" i="24"/>
  <c r="N41" i="24"/>
  <c r="P41" i="24"/>
  <c r="V54" i="24" l="1"/>
  <c r="K39" i="45"/>
  <c r="F20" i="38" s="1"/>
  <c r="F108" i="32"/>
  <c r="F114" i="32" s="1"/>
  <c r="F116" i="32" s="1"/>
  <c r="N57" i="24"/>
  <c r="P23" i="45"/>
  <c r="P57" i="24"/>
  <c r="O23" i="45"/>
  <c r="O57" i="24"/>
  <c r="K48" i="24"/>
  <c r="F138" i="32"/>
  <c r="N37" i="24"/>
  <c r="O37" i="24"/>
  <c r="P37" i="24"/>
  <c r="N45" i="24"/>
  <c r="I106" i="32"/>
  <c r="O45" i="24"/>
  <c r="J106" i="32"/>
  <c r="P45" i="24"/>
  <c r="K106" i="32"/>
  <c r="K49" i="24"/>
  <c r="F19" i="38"/>
  <c r="F135" i="32" l="1"/>
  <c r="F136" i="32" s="1"/>
  <c r="F133" i="32"/>
  <c r="F134" i="32" s="1"/>
  <c r="W23" i="45"/>
  <c r="X23" i="45"/>
  <c r="Y23" i="45"/>
  <c r="N39" i="45"/>
  <c r="I20" i="38" s="1"/>
  <c r="O39" i="45"/>
  <c r="J20" i="38" s="1"/>
  <c r="P39" i="45"/>
  <c r="K20" i="38" s="1"/>
  <c r="K108" i="32"/>
  <c r="K114" i="32" s="1"/>
  <c r="K116" i="32" s="1"/>
  <c r="J108" i="32"/>
  <c r="J114" i="32" s="1"/>
  <c r="J116" i="32" s="1"/>
  <c r="I108" i="32"/>
  <c r="I114" i="32" s="1"/>
  <c r="I116" i="32" s="1"/>
  <c r="Z23" i="45"/>
  <c r="K18" i="38"/>
  <c r="K19" i="38"/>
  <c r="I18" i="38"/>
  <c r="I19" i="38"/>
  <c r="O49" i="24"/>
  <c r="J18" i="38"/>
  <c r="J19" i="38"/>
  <c r="N48" i="24"/>
  <c r="O48" i="24"/>
  <c r="P48" i="24"/>
  <c r="J138" i="32"/>
  <c r="K138" i="32"/>
  <c r="P49" i="24"/>
  <c r="N49" i="24"/>
  <c r="K135" i="32" l="1"/>
  <c r="K136" i="32" s="1"/>
  <c r="K133" i="32"/>
  <c r="K134" i="32" s="1"/>
  <c r="J133" i="32"/>
  <c r="J134" i="32" s="1"/>
  <c r="J135" i="32"/>
  <c r="J136" i="32" s="1"/>
  <c r="I138" i="32"/>
  <c r="I135" i="32"/>
  <c r="I136" i="32" s="1"/>
  <c r="I133" i="32"/>
  <c r="I134" i="32" s="1"/>
  <c r="P13" i="41" l="1"/>
  <c r="N13" i="41"/>
  <c r="L13" i="41"/>
  <c r="M13" i="41"/>
  <c r="I13" i="41"/>
  <c r="K13" i="41"/>
  <c r="F13" i="41"/>
  <c r="G13" i="41"/>
  <c r="J13" i="41"/>
  <c r="H13" i="41"/>
  <c r="O13" i="41"/>
  <c r="F20" i="41" l="1"/>
  <c r="F21" i="41" s="1"/>
  <c r="U37" i="45" l="1"/>
  <c r="G20" i="41" l="1"/>
  <c r="G21" i="41" l="1"/>
  <c r="W37" i="45" s="1"/>
  <c r="M18" i="20" l="1"/>
  <c r="L18" i="20" l="1"/>
  <c r="N18" i="20"/>
  <c r="O18" i="20" l="1"/>
  <c r="K18" i="20"/>
  <c r="J18" i="20" l="1"/>
  <c r="P18" i="20"/>
  <c r="I18" i="20" l="1"/>
  <c r="Q18" i="20"/>
  <c r="R18" i="20" l="1"/>
  <c r="W29" i="27" l="1"/>
  <c r="W32" i="27" s="1"/>
  <c r="Y29" i="45" s="1"/>
  <c r="Y30" i="45" s="1"/>
  <c r="X29" i="27"/>
  <c r="X32" i="27" s="1"/>
  <c r="Z29" i="45" s="1"/>
  <c r="Z30" i="45" l="1"/>
  <c r="T32" i="27"/>
  <c r="V29" i="45" s="1"/>
  <c r="T29" i="45" s="1"/>
  <c r="T28" i="45" s="1"/>
  <c r="V30" i="45" l="1"/>
  <c r="U29" i="45"/>
  <c r="W30" i="45"/>
  <c r="U26" i="28"/>
  <c r="S26" i="28"/>
  <c r="R26" i="28"/>
  <c r="T26" i="28"/>
  <c r="Q26" i="28"/>
  <c r="Q16" i="28" l="1"/>
  <c r="P16" i="28" s="1"/>
  <c r="P12" i="28" s="1"/>
  <c r="Q12" i="28" l="1"/>
  <c r="Q120" i="28" s="1"/>
  <c r="Q21" i="28" s="1"/>
  <c r="R16" i="28"/>
  <c r="P120" i="28" l="1"/>
  <c r="P122" i="28" s="1"/>
  <c r="Q121" i="28"/>
  <c r="Q133" i="28"/>
  <c r="P133" i="28" s="1"/>
  <c r="P134" i="28" s="1"/>
  <c r="S16" i="28"/>
  <c r="R12" i="28"/>
  <c r="R120" i="28" s="1"/>
  <c r="P21" i="28"/>
  <c r="V13" i="45"/>
  <c r="Q10" i="28"/>
  <c r="V16" i="24" l="1"/>
  <c r="V17" i="24" s="1"/>
  <c r="Q11" i="28"/>
  <c r="P10" i="28"/>
  <c r="U13" i="45"/>
  <c r="U31" i="45" s="1"/>
  <c r="V32" i="45"/>
  <c r="V31" i="45"/>
  <c r="V24" i="45"/>
  <c r="R21" i="28"/>
  <c r="R133" i="28"/>
  <c r="R121" i="28"/>
  <c r="T16" i="28"/>
  <c r="S12" i="28"/>
  <c r="S120" i="28" s="1"/>
  <c r="U24" i="45" l="1"/>
  <c r="U25" i="45" s="1"/>
  <c r="V14" i="45"/>
  <c r="V74" i="24" s="1"/>
  <c r="V75" i="24" s="1"/>
  <c r="F50" i="38" s="1"/>
  <c r="F58" i="38" s="1"/>
  <c r="U16" i="28"/>
  <c r="T12" i="28"/>
  <c r="T120" i="28" s="1"/>
  <c r="V28" i="45"/>
  <c r="U32" i="45"/>
  <c r="U33" i="45" s="1"/>
  <c r="S133" i="28"/>
  <c r="S21" i="28"/>
  <c r="S121" i="28"/>
  <c r="W13" i="45"/>
  <c r="R10" i="28"/>
  <c r="J10" i="37"/>
  <c r="V55" i="24"/>
  <c r="N20" i="26"/>
  <c r="T133" i="28" l="1"/>
  <c r="T121" i="28"/>
  <c r="T21" i="28"/>
  <c r="W16" i="24"/>
  <c r="O20" i="26" s="1"/>
  <c r="R11" i="28"/>
  <c r="X13" i="45"/>
  <c r="S10" i="28"/>
  <c r="N21" i="26"/>
  <c r="N16" i="26"/>
  <c r="S10" i="27" s="1"/>
  <c r="J15" i="37"/>
  <c r="H10" i="37"/>
  <c r="H15" i="37" s="1"/>
  <c r="F10" i="37"/>
  <c r="F15" i="37" s="1"/>
  <c r="I10" i="37"/>
  <c r="I15" i="37" s="1"/>
  <c r="J12" i="37"/>
  <c r="G10" i="37"/>
  <c r="G15" i="37" s="1"/>
  <c r="W24" i="45"/>
  <c r="W14" i="45" s="1"/>
  <c r="W74" i="24" s="1"/>
  <c r="W75" i="24" s="1"/>
  <c r="G50" i="38" s="1"/>
  <c r="G58" i="38" s="1"/>
  <c r="W31" i="45"/>
  <c r="W32" i="45"/>
  <c r="W28" i="45" s="1"/>
  <c r="U28" i="45"/>
  <c r="V17" i="45"/>
  <c r="U17" i="45" s="1"/>
  <c r="V26" i="45"/>
  <c r="V16" i="45"/>
  <c r="U15" i="45"/>
  <c r="Q57" i="28"/>
  <c r="U12" i="28"/>
  <c r="U120" i="28" s="1"/>
  <c r="Y120" i="28" s="1"/>
  <c r="P57" i="28" l="1"/>
  <c r="U14" i="45"/>
  <c r="U74" i="24" s="1"/>
  <c r="U75" i="24" s="1"/>
  <c r="S11" i="27"/>
  <c r="S66" i="27"/>
  <c r="S34" i="45" s="1"/>
  <c r="O21" i="26"/>
  <c r="O16" i="26"/>
  <c r="T66" i="27" s="1"/>
  <c r="G12" i="37"/>
  <c r="I12" i="37"/>
  <c r="J11" i="37"/>
  <c r="H12" i="37"/>
  <c r="J13" i="37"/>
  <c r="F12" i="37"/>
  <c r="X31" i="45"/>
  <c r="X24" i="45"/>
  <c r="X32" i="45"/>
  <c r="X28" i="45" s="1"/>
  <c r="U21" i="28"/>
  <c r="U121" i="28"/>
  <c r="U133" i="28"/>
  <c r="X16" i="24"/>
  <c r="S11" i="28"/>
  <c r="U26" i="45"/>
  <c r="W17" i="24"/>
  <c r="T10" i="28"/>
  <c r="Y13" i="45"/>
  <c r="X14" i="45" l="1"/>
  <c r="X74" i="24" s="1"/>
  <c r="X75" i="24" s="1"/>
  <c r="H50" i="38" s="1"/>
  <c r="H58" i="38" s="1"/>
  <c r="F25" i="20"/>
  <c r="F29" i="20" s="1"/>
  <c r="S35" i="45"/>
  <c r="S27" i="45"/>
  <c r="S36" i="45" s="1"/>
  <c r="S65" i="24" s="1"/>
  <c r="S66" i="24" s="1"/>
  <c r="V11" i="27"/>
  <c r="V10" i="27" s="1"/>
  <c r="U11" i="27"/>
  <c r="U10" i="27" s="1"/>
  <c r="T11" i="27"/>
  <c r="T10" i="27" s="1"/>
  <c r="W11" i="27"/>
  <c r="X11" i="27"/>
  <c r="F14" i="37"/>
  <c r="F16" i="37" s="1"/>
  <c r="F13" i="37"/>
  <c r="F11" i="37"/>
  <c r="G11" i="37"/>
  <c r="G14" i="37"/>
  <c r="G16" i="37" s="1"/>
  <c r="G13" i="37"/>
  <c r="Y16" i="24"/>
  <c r="T11" i="28"/>
  <c r="I14" i="37"/>
  <c r="I16" i="37" s="1"/>
  <c r="I13" i="37"/>
  <c r="I11" i="37"/>
  <c r="R57" i="28"/>
  <c r="W26" i="45"/>
  <c r="W16" i="45"/>
  <c r="W17" i="45"/>
  <c r="X17" i="24"/>
  <c r="Y31" i="45"/>
  <c r="Y24" i="45"/>
  <c r="Y32" i="45"/>
  <c r="Y28" i="45" s="1"/>
  <c r="H13" i="37"/>
  <c r="H11" i="37"/>
  <c r="H14" i="37"/>
  <c r="H16" i="37" s="1"/>
  <c r="Z13" i="45"/>
  <c r="U10" i="28"/>
  <c r="Y14" i="45" l="1"/>
  <c r="Y74" i="24" s="1"/>
  <c r="Y75" i="24" s="1"/>
  <c r="I50" i="38" s="1"/>
  <c r="I58" i="38" s="1"/>
  <c r="F13" i="20"/>
  <c r="V35" i="45"/>
  <c r="W35" i="45"/>
  <c r="W34" i="45" s="1"/>
  <c r="W27" i="45" s="1"/>
  <c r="W36" i="45" s="1"/>
  <c r="Y35" i="45"/>
  <c r="Z35" i="45"/>
  <c r="X35" i="45"/>
  <c r="X34" i="45" s="1"/>
  <c r="X17" i="45"/>
  <c r="X26" i="45"/>
  <c r="X16" i="45"/>
  <c r="S57" i="28"/>
  <c r="U11" i="28"/>
  <c r="Y10" i="28"/>
  <c r="Z16" i="24"/>
  <c r="Y17" i="24"/>
  <c r="Z31" i="45"/>
  <c r="Z24" i="45"/>
  <c r="Z32" i="45"/>
  <c r="Z28" i="45" s="1"/>
  <c r="W10" i="27"/>
  <c r="J14" i="37"/>
  <c r="J16" i="37" s="1"/>
  <c r="Z14" i="45" l="1"/>
  <c r="Z74" i="24" s="1"/>
  <c r="Z75" i="24" s="1"/>
  <c r="J50" i="38" s="1"/>
  <c r="J58" i="38" s="1"/>
  <c r="W38" i="45"/>
  <c r="W65" i="24"/>
  <c r="W66" i="24" s="1"/>
  <c r="G56" i="38" s="1"/>
  <c r="G57" i="38" s="1"/>
  <c r="F55" i="38"/>
  <c r="Y34" i="45"/>
  <c r="T57" i="28"/>
  <c r="Y16" i="45"/>
  <c r="Y26" i="45"/>
  <c r="Y17" i="45"/>
  <c r="Z17" i="24"/>
  <c r="X10" i="27"/>
  <c r="Z34" i="45" s="1"/>
  <c r="X27" i="45"/>
  <c r="X36" i="45" s="1"/>
  <c r="X65" i="24" s="1"/>
  <c r="X66" i="24" s="1"/>
  <c r="H56" i="38" s="1"/>
  <c r="H57" i="38" s="1"/>
  <c r="Y27" i="45" l="1"/>
  <c r="Y36" i="45" s="1"/>
  <c r="Y65" i="24" s="1"/>
  <c r="Y66" i="24" s="1"/>
  <c r="I56" i="38" s="1"/>
  <c r="I57" i="38" s="1"/>
  <c r="U57" i="28" l="1"/>
  <c r="F40" i="20" s="1"/>
  <c r="Z16" i="45"/>
  <c r="Z17" i="45"/>
  <c r="Z26" i="45"/>
  <c r="AA26" i="45" l="1"/>
  <c r="Z27" i="45"/>
  <c r="Z36" i="45" s="1"/>
  <c r="Z65" i="24" s="1"/>
  <c r="Z66" i="24" s="1"/>
  <c r="J56" i="38" s="1"/>
  <c r="J57" i="38" s="1"/>
  <c r="K26" i="20" l="1"/>
  <c r="K27" i="20" l="1"/>
  <c r="K28" i="20" l="1"/>
  <c r="K29" i="20" s="1"/>
  <c r="F14" i="20" s="1"/>
  <c r="O52" i="32" l="1"/>
  <c r="O54" i="32" s="1"/>
  <c r="O111" i="28"/>
  <c r="U16" i="24"/>
  <c r="R111" i="28" l="1"/>
  <c r="R110" i="28" s="1"/>
  <c r="R115" i="28" s="1"/>
  <c r="S111" i="28"/>
  <c r="S110" i="28" s="1"/>
  <c r="S115" i="28" s="1"/>
  <c r="T111" i="28"/>
  <c r="T110" i="28" s="1"/>
  <c r="T115" i="28" s="1"/>
  <c r="U111" i="28"/>
  <c r="U110" i="28" s="1"/>
  <c r="Q111" i="28"/>
  <c r="Q110" i="28" s="1"/>
  <c r="Q115" i="28" s="1"/>
  <c r="U34" i="24"/>
  <c r="U56" i="24"/>
  <c r="O57" i="32"/>
  <c r="O60" i="32" s="1"/>
  <c r="O55" i="32"/>
  <c r="Y110" i="28" l="1"/>
  <c r="U115" i="28"/>
  <c r="U36" i="24"/>
  <c r="U57" i="24" s="1"/>
  <c r="U54" i="24"/>
  <c r="O105" i="32"/>
  <c r="O109" i="32" s="1"/>
  <c r="O137" i="32" s="1"/>
  <c r="O61" i="32"/>
  <c r="O58" i="32"/>
  <c r="O104" i="32"/>
  <c r="O134" i="32" l="1"/>
  <c r="O136" i="32"/>
  <c r="O138" i="32"/>
  <c r="H20" i="41"/>
  <c r="H21" i="41" s="1"/>
  <c r="O20" i="41"/>
  <c r="N20" i="41"/>
  <c r="M20" i="41"/>
  <c r="L20" i="41"/>
  <c r="K20" i="41"/>
  <c r="J20" i="41"/>
  <c r="I20" i="41"/>
  <c r="P20" i="41"/>
  <c r="H13" i="20" s="1"/>
  <c r="AB23" i="45" l="1"/>
  <c r="AA27" i="45" s="1"/>
  <c r="AA36" i="45" s="1"/>
  <c r="I21" i="41"/>
  <c r="X37" i="45"/>
  <c r="X38" i="45" s="1"/>
  <c r="H14" i="20"/>
  <c r="H12" i="20"/>
  <c r="H11" i="20" l="1"/>
  <c r="H15" i="20"/>
  <c r="J21" i="41"/>
  <c r="Y37" i="45"/>
  <c r="Y38" i="45" s="1"/>
  <c r="K21" i="41" l="1"/>
  <c r="L21" i="41" s="1"/>
  <c r="M21" i="41" s="1"/>
  <c r="N21" i="41" s="1"/>
  <c r="O21" i="41" s="1"/>
  <c r="P21" i="41" s="1"/>
  <c r="Z37" i="45"/>
  <c r="F16" i="20" s="1"/>
  <c r="H16" i="20"/>
  <c r="H10" i="20"/>
  <c r="H17" i="20" l="1"/>
  <c r="H9" i="20"/>
  <c r="Z38" i="45"/>
  <c r="AA38" i="45"/>
  <c r="V34" i="45"/>
  <c r="T34" i="45" s="1"/>
  <c r="V27" i="45" l="1"/>
  <c r="V36" i="45" s="1"/>
  <c r="V65" i="24" s="1"/>
  <c r="V66" i="24" s="1"/>
  <c r="U34" i="45"/>
  <c r="U27" i="45" s="1"/>
  <c r="T27" i="45" l="1"/>
  <c r="T36" i="45" s="1"/>
  <c r="T35" i="45"/>
  <c r="U36" i="45" l="1"/>
  <c r="T65" i="24"/>
  <c r="T66" i="24" s="1"/>
  <c r="U38" i="45"/>
  <c r="F11" i="20" s="1"/>
  <c r="U65" i="24" l="1"/>
  <c r="U66" i="24" s="1"/>
  <c r="F56" i="38" s="1"/>
  <c r="F41" i="20"/>
  <c r="F43" i="20" s="1"/>
  <c r="F44" i="20" s="1"/>
  <c r="F15" i="20" s="1"/>
  <c r="F57" i="38" l="1"/>
  <c r="F54" i="38" s="1"/>
  <c r="F63" i="38" s="1"/>
  <c r="I10" i="20"/>
  <c r="O11" i="20"/>
  <c r="K13" i="20"/>
  <c r="Q14" i="20"/>
  <c r="M16" i="20"/>
  <c r="J9" i="20"/>
  <c r="L12" i="20"/>
  <c r="J14" i="20"/>
  <c r="Q15" i="20"/>
  <c r="K11" i="20"/>
  <c r="K16" i="20"/>
  <c r="J10" i="20"/>
  <c r="P11" i="20"/>
  <c r="L13" i="20"/>
  <c r="R14" i="20"/>
  <c r="N16" i="20"/>
  <c r="K9" i="20"/>
  <c r="P13" i="20"/>
  <c r="N15" i="20"/>
  <c r="L17" i="20"/>
  <c r="F18" i="20"/>
  <c r="P12" i="20"/>
  <c r="O17" i="20"/>
  <c r="I13" i="20"/>
  <c r="K10" i="20"/>
  <c r="Q11" i="20"/>
  <c r="M13" i="20"/>
  <c r="I15" i="20"/>
  <c r="O16" i="20"/>
  <c r="L9" i="20"/>
  <c r="L15" i="20"/>
  <c r="R13" i="20"/>
  <c r="P15" i="20"/>
  <c r="M17" i="20"/>
  <c r="N17" i="20"/>
  <c r="J16" i="20"/>
  <c r="P14" i="20"/>
  <c r="L10" i="20"/>
  <c r="R11" i="20"/>
  <c r="N13" i="20"/>
  <c r="J15" i="20"/>
  <c r="P16" i="20"/>
  <c r="M9" i="20"/>
  <c r="R16" i="20"/>
  <c r="Q9" i="20"/>
  <c r="I11" i="20"/>
  <c r="R15" i="20"/>
  <c r="P17" i="20"/>
  <c r="L16" i="20"/>
  <c r="M10" i="20"/>
  <c r="I12" i="20"/>
  <c r="O13" i="20"/>
  <c r="K15" i="20"/>
  <c r="Q16" i="20"/>
  <c r="N9" i="20"/>
  <c r="P9" i="20"/>
  <c r="J17" i="20"/>
  <c r="I9" i="20"/>
  <c r="L14" i="20"/>
  <c r="R12" i="20"/>
  <c r="R17" i="20"/>
  <c r="N10" i="20"/>
  <c r="J12" i="20"/>
  <c r="O9" i="20"/>
  <c r="K17" i="20"/>
  <c r="K14" i="20"/>
  <c r="I16" i="20"/>
  <c r="J13" i="20"/>
  <c r="O10" i="20"/>
  <c r="K12" i="20"/>
  <c r="Q13" i="20"/>
  <c r="M15" i="20"/>
  <c r="I17" i="20"/>
  <c r="R9" i="20"/>
  <c r="O12" i="20"/>
  <c r="Q12" i="20"/>
  <c r="Q17" i="20"/>
  <c r="P10" i="20"/>
  <c r="Q10" i="20"/>
  <c r="M12" i="20"/>
  <c r="I14" i="20"/>
  <c r="O15" i="20"/>
  <c r="N12" i="20"/>
  <c r="J11" i="20"/>
  <c r="M14" i="20"/>
  <c r="O14" i="20"/>
  <c r="R10" i="20"/>
  <c r="N14" i="20"/>
  <c r="L11" i="20"/>
  <c r="M11" i="20"/>
  <c r="N11" i="20"/>
  <c r="F20" i="20" l="1"/>
  <c r="E20" i="20" s="1"/>
  <c r="O25" i="20"/>
  <c r="F52" i="38"/>
  <c r="F61" i="38" s="1"/>
  <c r="G54" i="38"/>
  <c r="G53" i="38" s="1"/>
  <c r="H55" i="38" s="1"/>
  <c r="G63" i="38" l="1"/>
  <c r="H54" i="38"/>
  <c r="H63" i="38" s="1"/>
  <c r="G61" i="38"/>
  <c r="H53" i="38" l="1"/>
  <c r="I55" i="38" s="1"/>
  <c r="I54" i="38" l="1"/>
  <c r="I63" i="38" s="1"/>
  <c r="H61" i="38"/>
  <c r="I53" i="38" l="1"/>
  <c r="J55" i="38" l="1"/>
  <c r="J54" i="38" s="1"/>
  <c r="I61" i="38"/>
  <c r="J63" i="38" l="1"/>
  <c r="J53" i="38"/>
  <c r="J61"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Thiago Duarte</author>
    <author>Rafael Monnerat</author>
  </authors>
  <commentList>
    <comment ref="E16" authorId="0" shapeId="0" xr:uid="{C5190BD6-32C5-449C-A53A-97A086811BA8}">
      <text>
        <r>
          <rPr>
            <b/>
            <sz val="9"/>
            <color indexed="81"/>
            <rFont val="Segoe UI"/>
            <family val="2"/>
          </rPr>
          <t>Thiago Duarte:</t>
        </r>
        <r>
          <rPr>
            <sz val="9"/>
            <color indexed="81"/>
            <rFont val="Segoe UI"/>
            <family val="2"/>
          </rPr>
          <t xml:space="preserve">
Perpetuidade do EBIT da holding com crescimento de 3,5% (meta de inflação)</t>
        </r>
      </text>
    </comment>
    <comment ref="F18" authorId="1" shapeId="0" xr:uid="{EB9BE9B5-59C4-4DDE-9A69-6D82737F365A}">
      <text>
        <r>
          <rPr>
            <b/>
            <sz val="9"/>
            <color indexed="81"/>
            <rFont val="Tahoma"/>
            <family val="2"/>
          </rPr>
          <t>Rafael Monnerat:</t>
        </r>
        <r>
          <rPr>
            <sz val="9"/>
            <color indexed="81"/>
            <rFont val="Tahoma"/>
            <family val="2"/>
          </rPr>
          <t xml:space="preserve">
Ajustado pela participação de Simpar em Automob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8" authorId="0" shapeId="0" xr:uid="{78CC833E-F71C-436F-9261-6BC4F644D920}">
      <text>
        <r>
          <rPr>
            <b/>
            <sz val="9"/>
            <color indexed="81"/>
            <rFont val="Segoe UI"/>
            <family val="2"/>
          </rPr>
          <t>Thiago Duarte:</t>
        </r>
        <r>
          <rPr>
            <sz val="9"/>
            <color indexed="81"/>
            <rFont val="Segoe UI"/>
            <family val="2"/>
          </rPr>
          <t xml:space="preserve">
Última debenture emitida a DI + 3,2%</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T35" authorId="0" shapeId="0" xr:uid="{C203300F-B81D-49B7-BD39-3CF582505E09}">
      <text>
        <r>
          <rPr>
            <b/>
            <sz val="9"/>
            <color indexed="81"/>
            <rFont val="Segoe UI"/>
            <family val="2"/>
          </rPr>
          <t>Thiago Duarte:</t>
        </r>
        <r>
          <rPr>
            <sz val="9"/>
            <color indexed="81"/>
            <rFont val="Segoe UI"/>
            <family val="2"/>
          </rPr>
          <t xml:space="preserve">
Ajustado pela compra vantajosa da JSL</t>
        </r>
      </text>
    </comment>
    <comment ref="R37" authorId="0" shapeId="0" xr:uid="{D4168CC8-D0CB-4FC0-B70F-1AFD723A9AB2}">
      <text>
        <r>
          <rPr>
            <b/>
            <sz val="9"/>
            <color indexed="81"/>
            <rFont val="Segoe UI"/>
            <family val="2"/>
          </rPr>
          <t>Thiago Duarte:</t>
        </r>
        <r>
          <rPr>
            <sz val="9"/>
            <color indexed="81"/>
            <rFont val="Segoe UI"/>
            <family val="2"/>
          </rPr>
          <t xml:space="preserve">
Mudança em razão do ganho de margem em Seminovos e valorização de ativos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Gabriel Lacombe</author>
    <author>Thiago Duarte</author>
  </authors>
  <commentList>
    <comment ref="K9" authorId="0" shapeId="0" xr:uid="{BFCCF80F-EAB1-4D9B-92FC-572796D60D73}">
      <text>
        <r>
          <rPr>
            <b/>
            <sz val="9"/>
            <color indexed="81"/>
            <rFont val="Segoe UI"/>
            <family val="2"/>
          </rPr>
          <t>Adoção do IFRS 16</t>
        </r>
      </text>
    </comment>
    <comment ref="E47" authorId="1" shapeId="0" xr:uid="{95D4B18C-65FA-4B88-AD40-A65452C99AFF}">
      <text>
        <r>
          <rPr>
            <b/>
            <sz val="9"/>
            <color indexed="81"/>
            <rFont val="Segoe UI"/>
            <family val="2"/>
          </rPr>
          <t>Thiago Duarte:</t>
        </r>
        <r>
          <rPr>
            <sz val="9"/>
            <color indexed="81"/>
            <rFont val="Segoe UI"/>
            <family val="2"/>
          </rPr>
          <t xml:space="preserve">
A soma dos custos + despesas operacionais de 2014, 2015 não batem com a aba DRE + DCF pois as notas explicativas das DFs não conversam com a DRE</t>
        </r>
      </text>
    </comment>
    <comment ref="K51" authorId="0" shapeId="0" xr:uid="{30B57251-2A02-49AE-83BE-0D62E7355BB1}">
      <text>
        <r>
          <rPr>
            <b/>
            <sz val="9"/>
            <color indexed="81"/>
            <rFont val="Segoe UI"/>
            <family val="2"/>
          </rPr>
          <t>Adoção do IFRS 16</t>
        </r>
      </text>
    </comment>
    <comment ref="K65" authorId="0" shapeId="0" xr:uid="{19819AEE-A2C1-4454-94E9-C4F56BCC940F}">
      <text>
        <r>
          <rPr>
            <b/>
            <sz val="9"/>
            <color indexed="81"/>
            <rFont val="Segoe UI"/>
            <family val="2"/>
          </rPr>
          <t>Adoção do IFRS 16</t>
        </r>
      </text>
    </comment>
    <comment ref="K89" authorId="0" shapeId="0" xr:uid="{F0A11115-587B-4633-AE4F-F7738C94D2F7}">
      <text>
        <r>
          <rPr>
            <b/>
            <sz val="9"/>
            <color indexed="81"/>
            <rFont val="Segoe UI"/>
            <family val="2"/>
          </rPr>
          <t>Adoção do IFRS 16</t>
        </r>
      </text>
    </comment>
    <comment ref="E99" authorId="1" shapeId="0" xr:uid="{4E3B0434-0CD8-4AA2-9539-CDECEE3E926A}">
      <text>
        <r>
          <rPr>
            <b/>
            <sz val="9"/>
            <color indexed="81"/>
            <rFont val="Segoe UI"/>
            <family val="2"/>
          </rPr>
          <t xml:space="preserve">Thiago Duarte:
</t>
        </r>
        <r>
          <rPr>
            <sz val="9"/>
            <color indexed="81"/>
            <rFont val="Segoe UI"/>
            <family val="2"/>
          </rPr>
          <t>A soma das despesas financeiras de 2014 a 2017 não batem com a aba DRE + DCF, por divergência na DFP apresentada pela empresa.</t>
        </r>
      </text>
    </comment>
    <comment ref="K103" authorId="0" shapeId="0" xr:uid="{A3653A47-E752-454F-9EFC-4E270432AD42}">
      <text>
        <r>
          <rPr>
            <b/>
            <sz val="9"/>
            <color indexed="81"/>
            <rFont val="Segoe UI"/>
            <family val="2"/>
          </rPr>
          <t>Adoção do IFRS 16</t>
        </r>
      </text>
    </comment>
    <comment ref="E109" authorId="1" shapeId="0" xr:uid="{C479DB12-0BA7-4B20-A9EE-460050539F87}">
      <text>
        <r>
          <rPr>
            <b/>
            <sz val="9"/>
            <color indexed="81"/>
            <rFont val="Segoe UI"/>
            <family val="2"/>
          </rPr>
          <t>Thiago Duarte:</t>
        </r>
        <r>
          <rPr>
            <sz val="9"/>
            <color indexed="81"/>
            <rFont val="Segoe UI"/>
            <family val="2"/>
          </rPr>
          <t xml:space="preserve">
Aqui a gente tira o efeitos dos incentivos no EBIT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53" authorId="0" shapeId="0" xr:uid="{F754EA12-E9D4-474B-8B0C-0F785CEA6858}">
      <text>
        <r>
          <rPr>
            <b/>
            <sz val="9"/>
            <color indexed="81"/>
            <rFont val="Segoe UI"/>
            <family val="2"/>
          </rPr>
          <t>Thiago Duarte:</t>
        </r>
        <r>
          <rPr>
            <sz val="9"/>
            <color indexed="81"/>
            <rFont val="Segoe UI"/>
            <family val="2"/>
          </rPr>
          <t xml:space="preserve">
Considera empréstimos e financiamentos + derivativos</t>
        </r>
      </text>
    </comment>
    <comment ref="F56" authorId="0" shapeId="0" xr:uid="{C86A7ED6-7E2A-4B81-B1F9-CE1CB0BFAB45}">
      <text>
        <r>
          <rPr>
            <b/>
            <sz val="9"/>
            <color indexed="81"/>
            <rFont val="Segoe UI"/>
            <family val="2"/>
          </rPr>
          <t>Thiago Duarte:</t>
        </r>
        <r>
          <rPr>
            <sz val="9"/>
            <color indexed="81"/>
            <rFont val="Segoe UI"/>
            <family val="2"/>
          </rPr>
          <t xml:space="preserve">
YTG</t>
        </r>
      </text>
    </comment>
    <comment ref="F57" authorId="0" shapeId="0" xr:uid="{5E5F0437-813F-422E-A643-A05B8CA919BA}">
      <text>
        <r>
          <rPr>
            <b/>
            <sz val="9"/>
            <color indexed="81"/>
            <rFont val="Segoe UI"/>
            <family val="2"/>
          </rPr>
          <t>Thiago Duarte:</t>
        </r>
        <r>
          <rPr>
            <sz val="9"/>
            <color indexed="81"/>
            <rFont val="Segoe UI"/>
            <family val="2"/>
          </rPr>
          <t xml:space="preserve">
YTG</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3" authorId="0" shapeId="0" xr:uid="{B1D34663-075F-48F2-97D5-05E5F228FED2}">
      <text>
        <r>
          <rPr>
            <b/>
            <sz val="9"/>
            <color indexed="81"/>
            <rFont val="Segoe UI"/>
            <family val="2"/>
          </rPr>
          <t>Thiago Duarte:</t>
        </r>
        <r>
          <rPr>
            <sz val="9"/>
            <color indexed="81"/>
            <rFont val="Segoe UI"/>
            <family val="2"/>
          </rPr>
          <t xml:space="preserve">
Tirada do VBOX da empresa.</t>
        </r>
      </text>
    </comment>
    <comment ref="E14" authorId="0" shapeId="0" xr:uid="{B7C7AF9C-5BB3-49D0-B64A-81CA759B8FFC}">
      <text>
        <r>
          <rPr>
            <b/>
            <sz val="9"/>
            <color indexed="81"/>
            <rFont val="Segoe UI"/>
            <family val="2"/>
          </rPr>
          <t>Thiago Duarte:</t>
        </r>
        <r>
          <rPr>
            <sz val="9"/>
            <color indexed="81"/>
            <rFont val="Segoe UI"/>
            <family val="2"/>
          </rPr>
          <t xml:space="preserve">
Tirada do VBOX da empresa.</t>
        </r>
      </text>
    </comment>
    <comment ref="E15" authorId="0" shapeId="0" xr:uid="{ED1EA099-8FEA-4DD5-BEDD-846902856C16}">
      <text>
        <r>
          <rPr>
            <b/>
            <sz val="9"/>
            <color indexed="81"/>
            <rFont val="Segoe UI"/>
            <family val="2"/>
          </rPr>
          <t>Thiago Duarte:</t>
        </r>
        <r>
          <rPr>
            <sz val="9"/>
            <color indexed="81"/>
            <rFont val="Segoe UI"/>
            <family val="2"/>
          </rPr>
          <t xml:space="preserve">
Tirada do VBOX da empresa.</t>
        </r>
      </text>
    </comment>
    <comment ref="O24" authorId="0" shapeId="0" xr:uid="{A15C0D80-E5D9-4CCE-8BE3-845D00F1762A}">
      <text>
        <r>
          <rPr>
            <b/>
            <sz val="9"/>
            <color indexed="81"/>
            <rFont val="Segoe UI"/>
            <family val="2"/>
          </rPr>
          <t>Thiago Duarte:</t>
        </r>
        <r>
          <rPr>
            <sz val="9"/>
            <color indexed="81"/>
            <rFont val="Segoe UI"/>
            <family val="2"/>
          </rPr>
          <t xml:space="preserve">
Houve mudança na contabilização do balanço do BBC, para adequar com o balanço de bancos. Como se trata de um valor pouco substancial em relação à Receita Líquida do grupo, apenas vamos seguir o reportado conforme ITR.</t>
        </r>
      </text>
    </comment>
    <comment ref="Q25" authorId="0" shapeId="0" xr:uid="{CFB264A5-A234-4B5D-B68F-69F0F7A0F130}">
      <text>
        <r>
          <rPr>
            <b/>
            <sz val="9"/>
            <color indexed="81"/>
            <rFont val="Segoe UI"/>
            <family val="2"/>
          </rPr>
          <t>Thiago Duarte:</t>
        </r>
        <r>
          <rPr>
            <sz val="9"/>
            <color indexed="81"/>
            <rFont val="Segoe UI"/>
            <family val="2"/>
          </rPr>
          <t xml:space="preserve">
Receita realizada até agora e anualizada.</t>
        </r>
      </text>
    </comment>
    <comment ref="N38" authorId="0" shapeId="0" xr:uid="{EA19E86B-1528-4603-A649-EDF795842BA8}">
      <text>
        <r>
          <rPr>
            <b/>
            <sz val="9"/>
            <color indexed="81"/>
            <rFont val="Segoe UI"/>
            <family val="2"/>
          </rPr>
          <t>Thiago Duarte:</t>
        </r>
        <r>
          <rPr>
            <sz val="9"/>
            <color indexed="81"/>
            <rFont val="Segoe UI"/>
            <family val="2"/>
          </rPr>
          <t xml:space="preserve">
O gasto com implementação está alto.</t>
        </r>
      </text>
    </comment>
    <comment ref="Q38" authorId="0" shapeId="0" xr:uid="{ED09C2AA-2789-4739-99E0-2C338F3344BF}">
      <text>
        <r>
          <rPr>
            <b/>
            <sz val="9"/>
            <color indexed="81"/>
            <rFont val="Segoe UI"/>
            <family val="2"/>
          </rPr>
          <t>Thiago Duarte:</t>
        </r>
        <r>
          <rPr>
            <sz val="9"/>
            <color indexed="81"/>
            <rFont val="Segoe UI"/>
            <family val="2"/>
          </rPr>
          <t xml:space="preserve">
Zeramos a margem enquanto aguardamos o resultado do resto do ano.</t>
        </r>
      </text>
    </comment>
    <comment ref="Q43" authorId="0" shapeId="0" xr:uid="{A0C40386-4B78-4CEF-8A35-0E23FF256BE0}">
      <text>
        <r>
          <rPr>
            <b/>
            <sz val="9"/>
            <color indexed="81"/>
            <rFont val="Segoe UI"/>
            <family val="2"/>
          </rPr>
          <t>Thiago Duarte:</t>
        </r>
        <r>
          <rPr>
            <sz val="9"/>
            <color indexed="81"/>
            <rFont val="Segoe UI"/>
            <family val="2"/>
          </rPr>
          <t xml:space="preserve">
Consolidação das aquisições de 2022, decotada média dos custos sobre Receita Bruta da holding, ajustada pela inflação.</t>
        </r>
      </text>
    </comment>
    <comment ref="R43" authorId="0" shapeId="0" xr:uid="{BBFDBB0D-DCF7-4997-8B9E-2D57CF52744C}">
      <text>
        <r>
          <rPr>
            <b/>
            <sz val="9"/>
            <color indexed="81"/>
            <rFont val="Segoe UI"/>
            <charset val="1"/>
          </rPr>
          <t>Thiago Duarte:</t>
        </r>
        <r>
          <rPr>
            <sz val="9"/>
            <color indexed="81"/>
            <rFont val="Segoe UI"/>
            <charset val="1"/>
          </rPr>
          <t xml:space="preserve">
Ajustado pela aquisição da Nova Quality, do Grupo Alta e da Best Points</t>
        </r>
      </text>
    </comment>
    <comment ref="Q62" authorId="0" shapeId="0" xr:uid="{E2456AF8-2F69-49B5-87DB-FD9D2B6D87AE}">
      <text>
        <r>
          <rPr>
            <b/>
            <sz val="9"/>
            <color indexed="81"/>
            <rFont val="Segoe UI"/>
            <family val="2"/>
          </rPr>
          <t>Thiago Duarte:</t>
        </r>
        <r>
          <rPr>
            <sz val="9"/>
            <color indexed="81"/>
            <rFont val="Segoe UI"/>
            <family val="2"/>
          </rPr>
          <t xml:space="preserve">
Receita realizada até agora e anualizada.</t>
        </r>
      </text>
    </comment>
    <comment ref="Q81" authorId="0" shapeId="0" xr:uid="{AECFC71F-8C1F-48C4-AA0D-5AE214BD6228}">
      <text>
        <r>
          <rPr>
            <b/>
            <sz val="9"/>
            <color indexed="81"/>
            <rFont val="Segoe UI"/>
            <family val="2"/>
          </rPr>
          <t>Thiago Duarte:</t>
        </r>
        <r>
          <rPr>
            <sz val="9"/>
            <color indexed="81"/>
            <rFont val="Segoe UI"/>
            <family val="2"/>
          </rPr>
          <t xml:space="preserve">
Receita realizada até agora e anualizada.</t>
        </r>
      </text>
    </comment>
    <comment ref="S81" authorId="0" shapeId="0" xr:uid="{D4C96EA7-EB2E-4BFF-869B-1C4F1DD070E5}">
      <text>
        <r>
          <rPr>
            <b/>
            <sz val="9"/>
            <color indexed="81"/>
            <rFont val="Segoe UI"/>
            <family val="2"/>
          </rPr>
          <t>Thiago Duarte:</t>
        </r>
        <r>
          <rPr>
            <sz val="9"/>
            <color indexed="81"/>
            <rFont val="Segoe UI"/>
            <family val="2"/>
          </rPr>
          <t xml:space="preserve">
Maturidade das operações</t>
        </r>
      </text>
    </comment>
    <comment ref="Q99" authorId="0" shapeId="0" xr:uid="{15F8A17F-D68C-491A-9A60-8FAEFBA29D59}">
      <text>
        <r>
          <rPr>
            <b/>
            <sz val="9"/>
            <color indexed="81"/>
            <rFont val="Segoe UI"/>
            <family val="2"/>
          </rPr>
          <t>Thiago Duarte:</t>
        </r>
        <r>
          <rPr>
            <sz val="9"/>
            <color indexed="81"/>
            <rFont val="Segoe UI"/>
            <family val="2"/>
          </rPr>
          <t xml:space="preserve">
Com os novos investimentos em fase pre operacional, mantivemos a Margem observada no 1S para o ano todo.</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E16" authorId="0" shapeId="0" xr:uid="{AAFEBD86-6AD3-409A-8B79-B356BF156756}">
      <text>
        <r>
          <rPr>
            <b/>
            <sz val="9"/>
            <color indexed="81"/>
            <rFont val="Segoe UI"/>
            <family val="2"/>
          </rPr>
          <t>Thiago Duarte:</t>
        </r>
        <r>
          <rPr>
            <sz val="9"/>
            <color indexed="81"/>
            <rFont val="Segoe UI"/>
            <family val="2"/>
          </rPr>
          <t xml:space="preserve">
Sem informações claras nos documentos da empresa.</t>
        </r>
      </text>
    </comment>
    <comment ref="T18" authorId="0" shapeId="0" xr:uid="{DC5F79C6-44F7-4B1C-8FB2-C3CA729543E8}">
      <text>
        <r>
          <rPr>
            <b/>
            <sz val="9"/>
            <color indexed="81"/>
            <rFont val="Segoe UI"/>
            <family val="2"/>
          </rPr>
          <t>Thiago Duarte:</t>
        </r>
        <r>
          <rPr>
            <sz val="9"/>
            <color indexed="81"/>
            <rFont val="Segoe UI"/>
            <family val="2"/>
          </rPr>
          <t xml:space="preserve">
Média de 2018 a 2021. Em 2022 tiveram muitas aquisições, que não devem se repetir tão cedo.</t>
        </r>
      </text>
    </comment>
    <comment ref="T28" authorId="0" shapeId="0" xr:uid="{43497309-01FB-42B5-B498-1853447E9AE9}">
      <text>
        <r>
          <rPr>
            <b/>
            <sz val="9"/>
            <color indexed="81"/>
            <rFont val="Segoe UI"/>
            <family val="2"/>
          </rPr>
          <t>Thiago Duarte:</t>
        </r>
        <r>
          <rPr>
            <sz val="9"/>
            <color indexed="81"/>
            <rFont val="Segoe UI"/>
            <family val="2"/>
          </rPr>
          <t xml:space="preserve">
Desde a cessão das concessões para a CS Infra, a CS Brasil é outra empresa. Menor e focada em GTF com motoristas. É dificil projetar o que ela vai virar. Mas não parece ser um foco de crescimento da Simpar. Na call de resultados do 3T22, perguntado, o CEO disse que o crescimento da CS Brasil depende da demanda de empresas públicas. Isso reforça o nossa ideia de baixo investimento. No 2T23 o Capex Bruto foi muito abaixo do piso do guidance e chegou a R$ 45 milhões. Por isso diminuímos drasticamente o percentual.</t>
        </r>
      </text>
    </comment>
    <comment ref="S29" authorId="0" shapeId="0" xr:uid="{D5D5D134-624F-475E-8FEE-CDDF9D4C33E6}">
      <text>
        <r>
          <rPr>
            <b/>
            <sz val="9"/>
            <color indexed="81"/>
            <rFont val="Segoe UI"/>
            <family val="2"/>
          </rPr>
          <t>Thiago Duarte:</t>
        </r>
        <r>
          <rPr>
            <sz val="9"/>
            <color indexed="81"/>
            <rFont val="Segoe UI"/>
            <family val="2"/>
          </rPr>
          <t xml:space="preserve">
A Simpar realizou 63% do piso do Guidance para o CAPEX de CS Infra + CS Brasil. Não há abertura dos números, por isso jogamos o valor total como CAPEX da CS Infra.</t>
        </r>
      </text>
    </comment>
    <comment ref="T29" authorId="0" shapeId="0" xr:uid="{B34644D6-7F77-4C5C-AEF3-31B90825A296}">
      <text>
        <r>
          <rPr>
            <b/>
            <sz val="9"/>
            <color indexed="81"/>
            <rFont val="Segoe UI"/>
            <family val="2"/>
          </rPr>
          <t>Thiago Duarte:</t>
        </r>
        <r>
          <rPr>
            <sz val="9"/>
            <color indexed="81"/>
            <rFont val="Segoe UI"/>
            <family val="2"/>
          </rPr>
          <t xml:space="preserve">
Capex por ano projetado para as concessões pela empresa, até 2025. Quando as concessões ficam maduras. </t>
        </r>
      </text>
    </comment>
    <comment ref="W29" authorId="0" shapeId="0" xr:uid="{D114D4A5-6779-4209-94B6-3ADB10B2CADA}">
      <text>
        <r>
          <rPr>
            <b/>
            <sz val="9"/>
            <color indexed="81"/>
            <rFont val="Segoe UI"/>
            <family val="2"/>
          </rPr>
          <t>Thiago Duarte:</t>
        </r>
        <r>
          <rPr>
            <sz val="9"/>
            <color indexed="81"/>
            <rFont val="Segoe UI"/>
            <family val="2"/>
          </rPr>
          <t xml:space="preserve">
Projetado como % da Receita da empresa igual ao ano de menor investimento, já que uma vez investido o valor mais pesado para atingir a maturidade das concessões, o valor do Capex de manutenção tende a ser menor.</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Thiago Duarte</author>
  </authors>
  <commentList>
    <comment ref="J12" authorId="0" shapeId="0" xr:uid="{D3A308D0-4C41-40D7-A7B1-72A198563DF0}">
      <text>
        <r>
          <rPr>
            <b/>
            <sz val="9"/>
            <color indexed="81"/>
            <rFont val="Segoe UI"/>
            <family val="2"/>
          </rPr>
          <t>Thiago Duarte:</t>
        </r>
        <r>
          <rPr>
            <sz val="9"/>
            <color indexed="81"/>
            <rFont val="Segoe UI"/>
            <family val="2"/>
          </rPr>
          <t xml:space="preserve">
Mantida a de 2022.</t>
        </r>
      </text>
    </comment>
    <comment ref="E31" authorId="0" shapeId="0" xr:uid="{76779DC7-2BF0-4EE5-93E3-E59944494C5F}">
      <text>
        <r>
          <rPr>
            <b/>
            <sz val="9"/>
            <color indexed="81"/>
            <rFont val="Segoe UI"/>
            <family val="2"/>
          </rPr>
          <t>Thiago Duarte:</t>
        </r>
        <r>
          <rPr>
            <sz val="9"/>
            <color indexed="81"/>
            <rFont val="Segoe UI"/>
            <family val="2"/>
          </rPr>
          <t xml:space="preserve">
No 1T20 ocorreu a restruturação do grupo. Os dados não conciliam direito entre DFP e Planilha do RI, o que gera essa pequena diferença para aba DRE+DCF</t>
        </r>
      </text>
    </comment>
  </commentList>
</comments>
</file>

<file path=xl/sharedStrings.xml><?xml version="1.0" encoding="utf-8"?>
<sst xmlns="http://schemas.openxmlformats.org/spreadsheetml/2006/main" count="1014" uniqueCount="539">
  <si>
    <t>Ativo Total</t>
  </si>
  <si>
    <t>Passivo Total</t>
  </si>
  <si>
    <t>Passivo Não Circulante</t>
  </si>
  <si>
    <t>Patrimônio Líquido</t>
  </si>
  <si>
    <t>Ativo Circulante</t>
  </si>
  <si>
    <t>Estoques</t>
  </si>
  <si>
    <t>Ativo Não Circulante</t>
  </si>
  <si>
    <t>Imobilizado</t>
  </si>
  <si>
    <t>Intangível</t>
  </si>
  <si>
    <t>Passivo Circulante</t>
  </si>
  <si>
    <t>Fornecedores</t>
  </si>
  <si>
    <t>Imposto de renda e contribuição social diferidos</t>
  </si>
  <si>
    <t>Receita Líquida</t>
  </si>
  <si>
    <t>Custos das Vendas e Serviços</t>
  </si>
  <si>
    <t>Lucro Bruto</t>
  </si>
  <si>
    <t>Despesas/ Receitas Operacionais</t>
  </si>
  <si>
    <t>EBIT</t>
  </si>
  <si>
    <t>Resultado Financeiro</t>
  </si>
  <si>
    <t>Resultado Antes dos Tributos Sobre o Lucro</t>
  </si>
  <si>
    <t>Resultado Operacional Outros</t>
  </si>
  <si>
    <t>Custo de Capital Próprio (Ke)</t>
  </si>
  <si>
    <t>Custo de Capital de Terceiros (Kd)</t>
  </si>
  <si>
    <t>-</t>
  </si>
  <si>
    <t>WACC</t>
  </si>
  <si>
    <t>NOPAT</t>
  </si>
  <si>
    <t>Taxa de Reinvestimento</t>
  </si>
  <si>
    <t>ROIC</t>
  </si>
  <si>
    <t>Perpetuidade</t>
  </si>
  <si>
    <t>ROIC Perp.</t>
  </si>
  <si>
    <t>Growth</t>
  </si>
  <si>
    <t>(%) da Receita Líquida</t>
  </si>
  <si>
    <t>Imposto de Renda e CSLL</t>
  </si>
  <si>
    <t>Capital de Giro</t>
  </si>
  <si>
    <t>Páginas</t>
  </si>
  <si>
    <t>Dashboard</t>
  </si>
  <si>
    <t>Beta</t>
  </si>
  <si>
    <t>DRE + DCF</t>
  </si>
  <si>
    <t>Balanço Patrimonial</t>
  </si>
  <si>
    <t>Tirar todos os "VULC3" de dentro da célula e linkar com o dashboard</t>
  </si>
  <si>
    <t>Outras Receitas Operacionais</t>
  </si>
  <si>
    <t>Outras Despesas Operacionais</t>
  </si>
  <si>
    <t>Resultado de Equivalência Patrimonial</t>
  </si>
  <si>
    <t>Corrente</t>
  </si>
  <si>
    <t>Diferido</t>
  </si>
  <si>
    <t>Despesas Financeiras</t>
  </si>
  <si>
    <t>Receitas Financeiras</t>
  </si>
  <si>
    <t>Data do Último Resultado:</t>
  </si>
  <si>
    <t>Crescimento da Receita (YoY)¹</t>
  </si>
  <si>
    <t>¹- "YoY", ou "year over year", significa "de um ano pro outro".</t>
  </si>
  <si>
    <t>Margem Líquida</t>
  </si>
  <si>
    <t>Margem EBIT</t>
  </si>
  <si>
    <t>Margem Bruta</t>
  </si>
  <si>
    <t>Ticker</t>
  </si>
  <si>
    <t>Cotação</t>
  </si>
  <si>
    <t>Valor da Ação</t>
  </si>
  <si>
    <t>Ações Emitidas (mil)</t>
  </si>
  <si>
    <t>Valor da Empresa (mil)</t>
  </si>
  <si>
    <t>Dívida (mil)</t>
  </si>
  <si>
    <t>Atribuído a Sócios da Empresa Controladora</t>
  </si>
  <si>
    <t xml:space="preserve"> </t>
  </si>
  <si>
    <t>Pessoal</t>
  </si>
  <si>
    <t>Total:</t>
  </si>
  <si>
    <t>Eventos não recorrentes</t>
  </si>
  <si>
    <t>EBIT recorrente</t>
  </si>
  <si>
    <t>Margem EBIT recorrente</t>
  </si>
  <si>
    <t>EBIT Recorrente</t>
  </si>
  <si>
    <t>Lucro antes do IR Não Recorrente</t>
  </si>
  <si>
    <t>Lucro Antes do IR Recorrente</t>
  </si>
  <si>
    <t>Alíquota Vigente</t>
  </si>
  <si>
    <t>Efeito Fiscal das adiçoes e exclusões permanentes:</t>
  </si>
  <si>
    <t>Aplicações financeiras</t>
  </si>
  <si>
    <t>Juros recebidos</t>
  </si>
  <si>
    <t>Outras receitas financeiras</t>
  </si>
  <si>
    <t>Custos das Vendas e Serviços + Despesas</t>
  </si>
  <si>
    <t>IRPJ e CSLL calculados às aliquotas nominais</t>
  </si>
  <si>
    <t>Lucro (prejuízo) líquido antes de imposto Recorrente e da CSLL</t>
  </si>
  <si>
    <t>Despesas indedutíveis</t>
  </si>
  <si>
    <t>D&amp;A do Arrendamento</t>
  </si>
  <si>
    <t>D&amp;A do Arrendamento como (%) da Receita</t>
  </si>
  <si>
    <t>TIR</t>
  </si>
  <si>
    <t>Remota</t>
  </si>
  <si>
    <t>Tributário</t>
  </si>
  <si>
    <t>Possível</t>
  </si>
  <si>
    <t>Cível</t>
  </si>
  <si>
    <t>Provável</t>
  </si>
  <si>
    <t>Trabalhista</t>
  </si>
  <si>
    <t>Administrativo</t>
  </si>
  <si>
    <t>Valor das Provisões</t>
  </si>
  <si>
    <t>Valor de Perdas Possiveis</t>
  </si>
  <si>
    <t>Valor de Perdas Remotas</t>
  </si>
  <si>
    <t>Tributários</t>
  </si>
  <si>
    <t>Cíveis</t>
  </si>
  <si>
    <t>Trabalhistas</t>
  </si>
  <si>
    <t>Eventos não Recorrentes</t>
  </si>
  <si>
    <t>Premissa</t>
  </si>
  <si>
    <t>Nível de Otimismo (0-5)</t>
  </si>
  <si>
    <t>Crescimento do Capex Bruto (YoY)¹</t>
  </si>
  <si>
    <t>Perdas pela Não Recuperabilidade de Ativos</t>
  </si>
  <si>
    <t>Gráficos</t>
  </si>
  <si>
    <t>Ciclo de Caixa</t>
  </si>
  <si>
    <t>Painel de Índices</t>
  </si>
  <si>
    <t>4º Trimestre</t>
  </si>
  <si>
    <t>3º Trimestre</t>
  </si>
  <si>
    <t>2º Trimestre</t>
  </si>
  <si>
    <t>1º Trimestre</t>
  </si>
  <si>
    <t>D&amp;A de Arrendamento</t>
  </si>
  <si>
    <t>CPV + Despesas Operacionais</t>
  </si>
  <si>
    <t>Payout</t>
  </si>
  <si>
    <t>Dividend Yield (12 meses)</t>
  </si>
  <si>
    <t>Proventos por ação</t>
  </si>
  <si>
    <t>Prazo Médio de Compras</t>
  </si>
  <si>
    <t>Prazo Médio de Estoques</t>
  </si>
  <si>
    <t>Prazo Médio de Recebimento</t>
  </si>
  <si>
    <t>Dívida/(Dívida + Patrimônio Líquido)</t>
  </si>
  <si>
    <t>Dívida/Patrimônio Líquido</t>
  </si>
  <si>
    <t>Dívida/Ativo</t>
  </si>
  <si>
    <t>Cobertura de Juros</t>
  </si>
  <si>
    <t>Divida Líquida/EBITDA</t>
  </si>
  <si>
    <t>Retorno sobre o Ativo (ROA)</t>
  </si>
  <si>
    <t>Retorno sobre o Equity (ROE)</t>
  </si>
  <si>
    <t>Liquidez Imediata</t>
  </si>
  <si>
    <t>Liquidez Seca</t>
  </si>
  <si>
    <t>Liquidez Corrente</t>
  </si>
  <si>
    <t>Liquidez Geral</t>
  </si>
  <si>
    <t>Receita Bruta</t>
  </si>
  <si>
    <t>Deduções</t>
  </si>
  <si>
    <t>IRPJ + CSLL</t>
  </si>
  <si>
    <t>DRE - Contas Abertas</t>
  </si>
  <si>
    <t>Processos</t>
  </si>
  <si>
    <t>Projeções - CG + Capex</t>
  </si>
  <si>
    <t>Desconto</t>
  </si>
  <si>
    <t>Ano</t>
  </si>
  <si>
    <t>Inflação</t>
  </si>
  <si>
    <t>DI</t>
  </si>
  <si>
    <t>CDS</t>
  </si>
  <si>
    <t>Taxa Livre de Risco</t>
  </si>
  <si>
    <t>Prêmio de Risco</t>
  </si>
  <si>
    <t>Projeções - CG + CAPEX</t>
  </si>
  <si>
    <t>Caixa e equivalentes de caixa</t>
  </si>
  <si>
    <t>Contas a receber</t>
  </si>
  <si>
    <t>Tributos a recuperar</t>
  </si>
  <si>
    <t>Imposto de renda e contribuição social a recuperar</t>
  </si>
  <si>
    <t>Ativo imobilizado disponibilizado para venda</t>
  </si>
  <si>
    <t>Despesas antecipadas</t>
  </si>
  <si>
    <t>Adiantamentos a terceiros</t>
  </si>
  <si>
    <t>Outros créditos</t>
  </si>
  <si>
    <t>Depósitos judiciais</t>
  </si>
  <si>
    <t>Floor plan</t>
  </si>
  <si>
    <t>Risco sacado a pagar - montadoras</t>
  </si>
  <si>
    <t>Empréstimos e financiamentos</t>
  </si>
  <si>
    <t>Partes relacionadas</t>
  </si>
  <si>
    <t>Cessão de direitos creditórios</t>
  </si>
  <si>
    <t>Imposto de renda e contribuição social a recolher</t>
  </si>
  <si>
    <t>Tributos a recolher</t>
  </si>
  <si>
    <t>Adiantamentos de clientes</t>
  </si>
  <si>
    <t>Outras contas a pagar</t>
  </si>
  <si>
    <t>Provisão para demandas judiciais e administrativas</t>
  </si>
  <si>
    <t>Reservas de lucros</t>
  </si>
  <si>
    <t>Capital social</t>
  </si>
  <si>
    <t>Custo de Venda de Ativos Desmobilizados</t>
  </si>
  <si>
    <t>Outros resultados abrangentes</t>
  </si>
  <si>
    <t>Lucro das operações descontinuadas, líquido de impostos</t>
  </si>
  <si>
    <t>Resultado Líquido de Operações Continuadas</t>
  </si>
  <si>
    <t>Lucro Líquido do exercício</t>
  </si>
  <si>
    <t>Obrigações sociais e trabalhistas</t>
  </si>
  <si>
    <t>Caixa Operacional</t>
  </si>
  <si>
    <t>Excesso de Caixa</t>
  </si>
  <si>
    <t>Peças, pneus e manutenções</t>
  </si>
  <si>
    <t>Combustíveis e lubrificantes</t>
  </si>
  <si>
    <t>Propaganda e publicidade</t>
  </si>
  <si>
    <t>Energia elétrica</t>
  </si>
  <si>
    <t>Comunicação</t>
  </si>
  <si>
    <t>Viagens, refeições e estadias</t>
  </si>
  <si>
    <t>Despesas tributárias</t>
  </si>
  <si>
    <t>Juros sobre empréstimos, financiamentos e debêntures</t>
  </si>
  <si>
    <t>Despesa total do serviço da dívida</t>
  </si>
  <si>
    <t>Juros passivos</t>
  </si>
  <si>
    <t>Despesas bancárias</t>
  </si>
  <si>
    <t>Outras despesas financeiras</t>
  </si>
  <si>
    <t>Incentivos fiscais – PAT</t>
  </si>
  <si>
    <t>Juros sobre capital próprio</t>
  </si>
  <si>
    <t>Outras adições/exclusões</t>
  </si>
  <si>
    <t>Como % do EBIT Recorrente</t>
  </si>
  <si>
    <t xml:space="preserve">IRPJ + CSLL - Não-Recorrentes </t>
  </si>
  <si>
    <t>IRPJ + CSLL - Não-Recorrentes - Incentivos</t>
  </si>
  <si>
    <t>Como % do EBIT Recorrente sem Incentivos</t>
  </si>
  <si>
    <t>Número</t>
  </si>
  <si>
    <t>Descrição</t>
  </si>
  <si>
    <t>Valor do Processo</t>
  </si>
  <si>
    <t>Chance de Perda</t>
  </si>
  <si>
    <t>Comentário</t>
  </si>
  <si>
    <t>Receita de variação monetária</t>
  </si>
  <si>
    <t>Variação monetária</t>
  </si>
  <si>
    <t>Despesas Tributárias</t>
  </si>
  <si>
    <t>Títulos, valores mobiliários e aplicações financeiras</t>
  </si>
  <si>
    <t>Instrumentos financeiros derivativos</t>
  </si>
  <si>
    <t>Dividendos a receber</t>
  </si>
  <si>
    <t>Ativos mantidos para distribuição aos proprietários</t>
  </si>
  <si>
    <t>Títulos. valores mobiliários e aplicações financeiras</t>
  </si>
  <si>
    <t>Ativo de indenização por combinação de negócios</t>
  </si>
  <si>
    <t>Investimentos</t>
  </si>
  <si>
    <t>Debêntures</t>
  </si>
  <si>
    <t>Arrendamentos a pagar</t>
  </si>
  <si>
    <t>Arrendamentos por direito de uso</t>
  </si>
  <si>
    <t>Dividendos e juros sobre capital próprio a pagar</t>
  </si>
  <si>
    <t>Compra de Ações Controlada a Termo</t>
  </si>
  <si>
    <t>Passivos mantidos para distribuição aos proprietários</t>
  </si>
  <si>
    <t>Obrigações por aquisições de empresas</t>
  </si>
  <si>
    <t>Aterro sanitário – custo de encerramento</t>
  </si>
  <si>
    <t>Compra de ações de controladas a termo</t>
  </si>
  <si>
    <t>Reservas de capital</t>
  </si>
  <si>
    <t>Ações em tesouraria</t>
  </si>
  <si>
    <t>Ajustes de avaliação patrimonial</t>
  </si>
  <si>
    <t>Outros ajustes patrimoniais reflexos de controladas</t>
  </si>
  <si>
    <t>Participações de não controladores</t>
  </si>
  <si>
    <t>Prejuízos Acumulados</t>
  </si>
  <si>
    <t>Custo de venda de veículos novos e usados</t>
  </si>
  <si>
    <t>Custo de venda de veículos novos</t>
  </si>
  <si>
    <t>Custo de venda de veículos usados</t>
  </si>
  <si>
    <t>Custo de venda de peças</t>
  </si>
  <si>
    <t>Custo / despesas com frota</t>
  </si>
  <si>
    <t>Custo de venda de ativos desmobilizados</t>
  </si>
  <si>
    <t>Agregados e terceiros</t>
  </si>
  <si>
    <t>Depreciação e amortização (i)</t>
  </si>
  <si>
    <t>Prestação de serviços</t>
  </si>
  <si>
    <t>Reversão (provisão) de perdas esperadas ("impairment") de contas a receber</t>
  </si>
  <si>
    <t>Provisão para perdas de valor recuperável ("Impairment")</t>
  </si>
  <si>
    <t>Indenizações judiciais</t>
  </si>
  <si>
    <t>Resultado na venda de veículos avariados (ii)</t>
  </si>
  <si>
    <t>Alugueis de imóveis (nota 4.1.(d)) (i)</t>
  </si>
  <si>
    <t>Aluguéis de veículos, máquinas e equipamentos</t>
  </si>
  <si>
    <t>Crédito de impostos extemporâneos</t>
  </si>
  <si>
    <t>Provisão para perdas tributárias ICMS RJ</t>
  </si>
  <si>
    <t>Perdas estimadas com créditos de liquidação duvidosa</t>
  </si>
  <si>
    <t>Material de embalagem</t>
  </si>
  <si>
    <t>Baixa da mais valia de ativo vendido</t>
  </si>
  <si>
    <t>Gasto com infraestrutura das filiais</t>
  </si>
  <si>
    <t>Outros custos</t>
  </si>
  <si>
    <t>Recuperação de PIS e COFINS</t>
  </si>
  <si>
    <t>Telefones</t>
  </si>
  <si>
    <t>Manutenção Predial</t>
  </si>
  <si>
    <t>Impostos, manutenção e conservação de automóveis</t>
  </si>
  <si>
    <t>Equivalência Patrimonial</t>
  </si>
  <si>
    <t>Baixa de crédito de imposto</t>
  </si>
  <si>
    <t>Créditos diferidos constituidos sobre prejuízos fiscais de exercícios anteriores</t>
  </si>
  <si>
    <t>Créditos diferidos não constituídos sobre prejuízos fiscais no exterior</t>
  </si>
  <si>
    <t>Mais valia de combinação de negócios</t>
  </si>
  <si>
    <t>Provisão para desvalorização de investimento</t>
  </si>
  <si>
    <t>Benefícios fiscais não tributáveis (ICMS presumido)</t>
  </si>
  <si>
    <t>Atualização monetária sobre exlcusão do ICMS da base do PIS e COFINS</t>
  </si>
  <si>
    <t>Juros e encargos bancários sobre arrendamento mercantil</t>
  </si>
  <si>
    <t>Juros de risco sacado - montadoras</t>
  </si>
  <si>
    <t>Variação cambial</t>
  </si>
  <si>
    <t>Resultado na apuração dos swaps, líquido</t>
  </si>
  <si>
    <t>Juros sobre arrendamentos a pagar por direito de uso</t>
  </si>
  <si>
    <t>Juros de alongamento</t>
  </si>
  <si>
    <t>Juros sobre arrendamento por direito de uso</t>
  </si>
  <si>
    <t>Ganho na liquidação antecipada de swaps</t>
  </si>
  <si>
    <t>IOF</t>
  </si>
  <si>
    <t>Descontos</t>
  </si>
  <si>
    <t>AVP</t>
  </si>
  <si>
    <t>SIMPAR (SIMH3)</t>
  </si>
  <si>
    <t>Despesas Comerciais Gerais e Administrativas</t>
  </si>
  <si>
    <t>Automob</t>
  </si>
  <si>
    <t>CS Brasil</t>
  </si>
  <si>
    <t>CS Infra</t>
  </si>
  <si>
    <t>Ciclus</t>
  </si>
  <si>
    <t>BRT</t>
  </si>
  <si>
    <t>Transcerrados</t>
  </si>
  <si>
    <t>Controladas</t>
  </si>
  <si>
    <t>Total</t>
  </si>
  <si>
    <t>JSL</t>
  </si>
  <si>
    <t>Movida</t>
  </si>
  <si>
    <t>Vamos</t>
  </si>
  <si>
    <t>BBC</t>
  </si>
  <si>
    <t>CAPEX Bruto (Ex empresas de Capital Aberto)</t>
  </si>
  <si>
    <t>D&amp;A do Arrendamento Movida</t>
  </si>
  <si>
    <t>D&amp;A do Arrendamento JSL</t>
  </si>
  <si>
    <t>D&amp;A do Arrendamento Vamos</t>
  </si>
  <si>
    <t>D&amp;A do Arrendamento Ex empresas de capital aberto</t>
  </si>
  <si>
    <t>Imposto de Renda e CSLL Ex empresas de capital aberto</t>
  </si>
  <si>
    <t>Imposto de Renda e CSLL Movida</t>
  </si>
  <si>
    <t>Imposto de Renda e CSLL JSL</t>
  </si>
  <si>
    <t>Imposto de Renda e CSLL Vamos</t>
  </si>
  <si>
    <t>Depreciação &amp; Amortização JSL</t>
  </si>
  <si>
    <t>Depreciação &amp; Amortização Movida</t>
  </si>
  <si>
    <t>Depreciação &amp; Amortização Vamos</t>
  </si>
  <si>
    <t>Depreciação &amp; Amortização Ex empresas de capital aberto</t>
  </si>
  <si>
    <t>∆ Capital de Giro JSL</t>
  </si>
  <si>
    <t>∆ Capital de Giro Movida</t>
  </si>
  <si>
    <t>∆ Capital de Giro Vamos</t>
  </si>
  <si>
    <t>∆ Capital de Giro Ex empresas de capital aberto</t>
  </si>
  <si>
    <t>CAPEX Líquido Ex Empresas de Capital Aberto</t>
  </si>
  <si>
    <t>Alíquota Efetiva Ex Empresas de Capital Aberto</t>
  </si>
  <si>
    <t>SIMH3</t>
  </si>
  <si>
    <t>Empresas de Capital Aberto</t>
  </si>
  <si>
    <t>Alíquota Efetiva</t>
  </si>
  <si>
    <t>NOPAT Ex Empresas de Capital Aberto</t>
  </si>
  <si>
    <t>FCFF Ex Empresas de Capital Aberto</t>
  </si>
  <si>
    <t>FCFF Descontado Ex Empresas de Capital Aberto</t>
  </si>
  <si>
    <t>Holding excluindo empresas de capital aberto</t>
  </si>
  <si>
    <t>Empresa</t>
  </si>
  <si>
    <t>Valor do Equity</t>
  </si>
  <si>
    <t>Participação Simpar</t>
  </si>
  <si>
    <t>Valor da Participação da Simpar</t>
  </si>
  <si>
    <t>Market Cap</t>
  </si>
  <si>
    <t>Valor de mercado da Participação</t>
  </si>
  <si>
    <t>Simpar</t>
  </si>
  <si>
    <t>Fundos para capitalizações de concessionárias</t>
  </si>
  <si>
    <t>% da Receita Bruta</t>
  </si>
  <si>
    <t>EBIT Recorrente Excluindo Empresas de Capital Aberto</t>
  </si>
  <si>
    <t>Margem EBIT Excluindo Empresas de Capital Aberto</t>
  </si>
  <si>
    <t>Ativos/Passivos Não-Operacionais</t>
  </si>
  <si>
    <t>Receita Líquida Ex empresas de capital aberto</t>
  </si>
  <si>
    <t>2027E</t>
  </si>
  <si>
    <t>Eliminações</t>
  </si>
  <si>
    <t>% da Receita</t>
  </si>
  <si>
    <t xml:space="preserve">Custos cálculados com base na média histórica, em cima da Receita Líquida do grupo todo. </t>
  </si>
  <si>
    <t xml:space="preserve">Percentual fixo da Receita Líquida, com base na média histórica. </t>
  </si>
  <si>
    <t>CAGR (2017 a 2022)</t>
  </si>
  <si>
    <t>CAGR (2023 a 2027)</t>
  </si>
  <si>
    <t>Dívida Bruta (R$ Mil)</t>
  </si>
  <si>
    <t>Holding + Empresas de Capital Fechado</t>
  </si>
  <si>
    <t>Total Holding</t>
  </si>
  <si>
    <t>D&amp;A do Arrendamento Simpar</t>
  </si>
  <si>
    <t>Depreciação e Amortização Simpar</t>
  </si>
  <si>
    <t>∆ Capital de Giro Simpar</t>
  </si>
  <si>
    <t>D&amp;A do Arrendamento como (%) da Receita das empresas de Capital Fechado</t>
  </si>
  <si>
    <t>ROIC - Simpar Consolidado</t>
  </si>
  <si>
    <t>Crescemos a Receita conforme calendário de maturidade das concessões fornecidos pela Simpar. Daí em diante, crescemos a Receita com a inflação, por se tratarem de concessões com preços regulados.</t>
  </si>
  <si>
    <t>DRE Consolidado</t>
  </si>
  <si>
    <t>Projeções - Receita e EBIT</t>
  </si>
  <si>
    <t xml:space="preserve">  DRE + DCF</t>
  </si>
  <si>
    <t>% EBIT Simpar Capital Fechado</t>
  </si>
  <si>
    <t>Participação da Simpar na Automob</t>
  </si>
  <si>
    <t>CAGR (2018 a 2022)</t>
  </si>
  <si>
    <t>Crescimento com base no CAGR histórico de 2018 a 2022, cuja operação é mais parecida com a atual.</t>
  </si>
  <si>
    <t>Crescimento com o PIB. Difícil projetar Automob agora, depois das últimas aquisições. Por isso, usamos um modelo de crescimento bem conservador.</t>
  </si>
  <si>
    <t>Crescimento com o PIB. Difícil projetar CS Brasil agora, depois das últimas transformações. Por isso, usamos um modelo de crescimento bem conservador.</t>
  </si>
  <si>
    <t>Provisão para créditos de impostos diferidos sobre prejuízos fiscais</t>
  </si>
  <si>
    <t>Compensação de prejuízo fiscal sem constituição de imposto diferido</t>
  </si>
  <si>
    <t>Obrigações a pagar por aquisição de emrpesas</t>
  </si>
  <si>
    <t>Receita Líquida Ex Eliminações</t>
  </si>
  <si>
    <t>% sobre Receita Líquida Ex Eliminações</t>
  </si>
  <si>
    <t>Aquisição SAGAMAR</t>
  </si>
  <si>
    <t>Aquisição Autostar</t>
  </si>
  <si>
    <t>Aquisição Grupo Green</t>
  </si>
  <si>
    <t>Aquisição UAB Motors</t>
  </si>
  <si>
    <t>Capex líquido de Renovação</t>
  </si>
  <si>
    <t>Automob (Aquisições + Bruto de Renovação)</t>
  </si>
  <si>
    <t>Custo de Venda de Ativos</t>
  </si>
  <si>
    <t>Total Capex Líquido</t>
  </si>
  <si>
    <t>0427983-81.2012.8.19.0001</t>
  </si>
  <si>
    <t>O Ministério Público do Estado do Rio de Janeiro ajuizou três ações civis públicas discutindo a aquisição de veículos pela Polícia do Rio de Janeiro com gestão e manutenção de frota (processo 0152872-07.2014.8.19.0001, da 7ª Vara da Fazenda Pública do Rio de Janeiro; processo 0145782-45.2014.8.19.0001, da 13ª Vara da Fazenda Pública do Rio de Janeiro; e processo 0167693-16.2014.8.19.0001, da 9ª Vara da Fazenda Pública do Rio de Janeiro). Sobre o mesmo assunto, foram propostas quatro ações populares pelo Sr. Carlos Fernando dos Santos Azeredo (Processos: 0242335-28.2012.8.19.0001; 0043810-66.2013.8.19.0001; 0427983-81.2012.8.19.0001 e 0136630-70.2014.8.19.0001), as quais foram apensadas para julgamento em conjunto com as ações civis públicas acima referidas. Em todos os casos, a Companhia ratifica que cumpriu todas as suas obrigações contratuais.</t>
  </si>
  <si>
    <t>0152872-07.2014.8.19.0001</t>
  </si>
  <si>
    <t xml:space="preserve">Ação Civil Pública proposta pelo MP, sendo um dos processos apensos ao processo explicado anteiormente. </t>
  </si>
  <si>
    <t>0167693-16.2014.8.19.0001</t>
  </si>
  <si>
    <t xml:space="preserve">Ação Popular, sendo um dos processos apensos ao processo explicado anteiormente. </t>
  </si>
  <si>
    <t>0136630-70.2014.8.19.0001</t>
  </si>
  <si>
    <t xml:space="preserve">Ação Civil Pública, sendo um dos processos apensos ao processo explicado anteiormente. </t>
  </si>
  <si>
    <t>Consequências: Desembolso de caixa e suspensão/invalidação dos contratos discutidos.</t>
  </si>
  <si>
    <t>0315594-41.2015.8.05.0001</t>
  </si>
  <si>
    <t>Trata-se de ação civil pública proposta pelo Ministério Público do Estado da Bahia para discutir suposto ato de improbidade administrativa praticado pela Companhia e outras 27 pessoas, referente a um processo licitatório. O MP, em linhas gerais,
alega a existência de uma organização de pessoas que agiram para fraudar diversas licitações relacionadas à Polícia Militar do Estado da Bahia, em benefício de empresas participantes. A Companhia foi mencionada em uma única licitação
por ela vencida, referente a um contrato de venda de frota para a Polícia Militar do Estado da Bahia, com o fornecimento e manutenção, por 30 meses, de um total de 191 viaturas (“Contrato”).</t>
  </si>
  <si>
    <t>Consequências: Desembolso de caixa, suspensão/invalidação do contrato discutido, restrições ao
exercício de atividades e/ou recebimento de benefícios junto ao Poder Público.</t>
  </si>
  <si>
    <t>0000225-70.2009.8.26.0045</t>
  </si>
  <si>
    <t xml:space="preserve">Trata-se de ação civil pública, na qual se discute o preço do contrato de prestação de serviços de coleta e transporte de resíduos sólidos firmado pela Companhia com o Município de Arujá- SP, alegando que seria superior aos preços praticados por outros Municípios na mesma região </t>
  </si>
  <si>
    <t xml:space="preserve">A JSL alega que o MP não considerou as diferenças de prestação de serviços em cada município. O processo encontra-se em primeira instância, sem sentença, ainda. </t>
  </si>
  <si>
    <t>0009283-48.2007.8.26.0278</t>
  </si>
  <si>
    <t>Trata-se de Ação Popular que tem por objeto o Contrato Emergencial n.º 160/0-A, mantido entre a JSL e a Prefeitura Municipal de Itaquaquecetuba, cujo objeto é a locação de veículos leves e caminhões sem motorista, com manutenção de frota e outras avenças.  O Autor questiona a dispensa de licitação e critica a modalidade da contratação realizada pela Administração Pública, sustentando que a locação de veículos seria mais onerosa aos cofres públicos do que a sua aquisição.</t>
  </si>
  <si>
    <t>O processo já teve decisão do STJ e determinou um ressarcimento parcial aos cofres públicos, cuja estimativa de perda é essa de R$ 1.869.</t>
  </si>
  <si>
    <t>0039632-44.2010.8.26.0564</t>
  </si>
  <si>
    <t>Trata-se de execução por quantia certa, com base em 40 (quarenta) contratos de mútuos no valor originário total de R$ 7.080.915,00, celebrados entre, de um lado e na condição de mutuante, a empresa Selpa, e do outro lado e na condição de mutuaria, a Transportadora Grande ABC Ltda., incorporada pela JSL em 29 de dezembro de 2011. Tais contratos teriam sido celebrados entre 2005 e 2006, antes da aquisição da Transportadora Grande ABC Ltda. pela Companhia.</t>
  </si>
  <si>
    <t>0015304-72.2013.8.26.0361</t>
  </si>
  <si>
    <t xml:space="preserve">Trata-se de Ação Civil Pública que discute o contrato de concessão dos serviços de transporte público coletivo urbano de Mogi das Cruzes. O Ministério Público (“MP”) ajuizou Ação de Responsabilidade Civil por Ato de Improbidade
Administrativa com base em gravação de conversa mantida unicamente entre representantes da empresa Eroles, que na ocasião explorava os serviços de transporte público coletivo de Mogi das Cruzes a título de permissão, com o então
prefeito municipal. Nesta conversa, supostamente teria sido prometido pagamento de quantia ao então prefeito em troca de favorecimento das empresas Júlio Simões Transportes e Serviços Ltda. </t>
  </si>
  <si>
    <t>Consequências: Desembolso de caixa, suspensão/invalidação dos contratos discutidos, restrições
ao exercício de atividades e/ou recebimento de benefícios junto ao Poder Público.</t>
  </si>
  <si>
    <t>0010938-33.2016.4.01.3200</t>
  </si>
  <si>
    <t xml:space="preserve">O Ministério Público Federal (“MPF”) ajuizou seis ações civis públicas por improbidade administrativa decorrente de fatos ocorridos em período anterior à compra da Quick Logística Ltda. pela JSL S.A., movidas contra agentes públicos, despachantes e sociedades empresárias – entre as quais a Quick -, que supostamente estariam envolvidos em um esquema de pagamento indevido de valores para vistoriadores da SUFRAMA para facilitação de ingresso de mercadorias na Zona Franca de Manaus, (processo 10938-33.2016.4.01.3200, processo 10959-09.2016.4.01.3200, processo 11391- 28.2016.4.01.3200, processo 10960-91.2016.4.01.3200, processo 11345-39.2016.4.01.3200 e processo 10939-18.2016.4.01.3200, todos em trâmite na 3ª Vara Federal da Seção Judiciária do Estado
do Amazonas). </t>
  </si>
  <si>
    <t>MPF e a Quick celebraram acordo de não persecução cível para o encerramento das referidas ações, o qual será submetido à homologação judicial nos respectivos processos.</t>
  </si>
  <si>
    <t>0011391-28.2016.4.01.3200</t>
  </si>
  <si>
    <t>Um dos processos apensos ao anterior</t>
  </si>
  <si>
    <t>0010939-18.2016.4.01.3200</t>
  </si>
  <si>
    <t>0010960-91.2016.4.01.3200</t>
  </si>
  <si>
    <t>0011345-39.2016.4.01.3200</t>
  </si>
  <si>
    <t>0010959-09.2016.4.01.3200</t>
  </si>
  <si>
    <t>0206683-08.2016.8.19.0001</t>
  </si>
  <si>
    <t xml:space="preserve">O Ministério Público do Estado do Rio de Janeiro propôs Ação Civil Pública questionando supostas irregularidades relacionadas aos contratos administrativos nos 034/2007, 035/2007, 036/2007 e 037/2007, firmados após regular processo licitatório (Pregão Presencial nº 04/2007), entre o Município do Rio de Janeiro e as empresas Viação Saens Peña S.A, Consórcio Trespan Rio, Breda Transportes e Turismo Rio – EIRELI e Júlio Simões Transportes e Serviços Ltda. (atual JSL), cujo objeto é a prestação de serviços de transportes, com o fornecimento de veículos e mão-de-obra operacional, para o evento esportivo internacional dos Jogos Pan-americanos e Parapan-americanos, sediados na cidade do Rio de Janeiro em 2007, sendo pleiteado em face da JSL S.A. a condenação na devolução aos cofres públicos da quantia de R$ 6.582.655,87, em razão de alegado sobrepreço e inadimplemento parcial do contrato. </t>
  </si>
  <si>
    <t>1007206-52.2021.4.01.3814</t>
  </si>
  <si>
    <t>Trata-se de Ação Civil Pública ajuizada pelo Ministério Público Federal (“MPF”) em face da Companhia, por suposto excesso de peso em seus veículos de transporte de carga (ou de seus contratados), quando trafegavam em rodovias federais.</t>
  </si>
  <si>
    <t>0546979-57.2014.8.05.0001</t>
  </si>
  <si>
    <t>Trata-se de ação civil pública ajuizada pelo Ministério Público do Estado da Bahia, na qual alega irregularidades no edital de licitação do Pregão Presencial nº 076/2014 – que resultou na celebração do Contrato SEMGE nº 056/2014, em virtude de exigências e restrições que alega serem excessivas e indevidas, bem como em razão do suposto caráter genérico do Termo de Referência, que indicava apenas o valor global de cada Secretaria, sem qualquer detalhamento de custos unitários, além de alegar discrepâncias de valores em relação a Contrato anterior, sugerindo sobrepreço.</t>
  </si>
  <si>
    <t>Em defesa, a Pronto Express demonstrou a diferença de objeto e escopo entre os contratos comparados pelo Ministério Público, evidenciando a regularidade da contratação e o atendimento de requisitos legais pela Contratada. O processo se encontra na fase inicial, de modo que não houve prolação de sentença.</t>
  </si>
  <si>
    <t>0005434-42.2009.8.26.0361</t>
  </si>
  <si>
    <t>Trata-se de ação penal, movida contra o Diretor Presidente da controladora da Companhia, Sr. Fernando Antonio Simões e dos Srs. Antonio Alexandre Eroles, Antonio Adriano Eroles e José Carlos Pavanelli pelos mesmos fatos discutidos na ação civil pública processo nº 0015304-72.2013.8.26.0361, reportada abaixo. A denúncia foi recebida em 29 de novembro de 2013. O Sr. Fernando Antonio Simões apresentou resposta prévia à denúncia, rejeitando todas as alegações e acusações apresentadas contra si pelo Ministério Público e requerendo sua absolvição sumária uma vez que jamais participou de qualquer suposto acordo ilícito e pelos demais argumentos descritos no item 4.3 acima mencionado. Em audiência de instrução, o corréu Antonio Alexandre Eroles, em seu interrogatório perante o juízo, negou a participação do Sr. Fernando Antonio Simões em qualquer ato ilícito, desmentindo falsa afirmação anteriormente feita em relação ao mesmo e que deu origem à sua indevida inclusão em ambas as ações. A Ação Penal foi julgada improcedente em primeira instância e o Tribunal de Justiça do Estado de São Paulo, em julgamento realizado no dia 22/10/2020, manteve a improcedência.</t>
  </si>
  <si>
    <t>As principais consequência de uma condenação aqui são: Condenação criminal dos réus e restrição à administração de empresas.</t>
  </si>
  <si>
    <t>0000080-25-2015-5-18-0191</t>
  </si>
  <si>
    <t>Ação Civil Pública, requerendo a antecipação de tutela e a condenação da JSL às seguintes obrigações: (a) consignar em registro mecânico, manual ou sistema eletrônico os horários de entrada, saída e período de repouso efetivamente praticados pelo empregado; (b) respeitar a jornada legal de trabalho pactuada com os seus empregados, observado o limite legal; (c) respeitar o limite de prorrogação legal de 02 horas diárias; (d) remunerar as horas extras com 50%, quando não houver compensação; (e) conceder o descanso semanal remunerado conforme escala de revezamento; (f) compensar ou remunerar em dobro as horas trabalhadas em domingos e feriados; (g) arbitramento de multa de R$ 10.000,00, por dia, para a hipótese de descumprimento; (h) indenização por dano moral coletivo no valor de R$ 2.000.000,00.</t>
  </si>
  <si>
    <t>10003410220175020044</t>
  </si>
  <si>
    <t xml:space="preserve">Ação anulatória, para anular autos de infração lavrados em decorrência de suposta terceirização ilícita. </t>
  </si>
  <si>
    <t xml:space="preserve">O processo já teve sentença procedente. Está pendente de julgamento de recurso interposto pela União. </t>
  </si>
  <si>
    <t>10005763020195020001</t>
  </si>
  <si>
    <t>Idem ao anterior</t>
  </si>
  <si>
    <t>0100759-80.2018.5.01.0262</t>
  </si>
  <si>
    <t>Trata-se de ação civil pública ajuizada pelo Ministério Público do Trabalho visando: (i) declarar inconstitucional o artigo 235-C, caput da CLT, impedindo a prorrogação da jornada diária de trabalho dos motoristas da Companhia além do limite de 2 horas, sem  justificativa legal; (ii) reconhecer a não concessão dos intervalos intrajornada e interjornada, e do descanso semanal remunerado; e (iii) ondenação ao pagamento de dano moral coletivo</t>
  </si>
  <si>
    <t>0010963-36.2021.5.15.0116</t>
  </si>
  <si>
    <t>A presente ação visa a condenação da Companhia ao cumprimento de obrigação de fazer consistente em manter o percentual de empregados previsto no artigo 93 da Lei n.º 8.213/1991, com beneficiários reabilitados ou pessoas portadoras de deficiência,  considerando para o cálculo do percentual a somatória de todos os trabalhadores de todos os estabelecimentos da Ré.</t>
  </si>
  <si>
    <t>10932.000003/2008-41</t>
  </si>
  <si>
    <t>Auto de infração que impõe multa isolada à Transportadora Grande ABC Ltda (empresa esta incorporada pela JSL S.A.) por alegada realização de compensações de débitos de COFINS (de Janeiro a Setembro de 2002 e de Janeiro de 2003 a Dezembro de 2005) e de PIS (de Abril de 2003 a Dezembro de 2005), nos meses de outubro e novembro de 2005 e junho de 2006 de forma indevida, utilizando-se de créditos de terceiros para tanto.</t>
  </si>
  <si>
    <t>10.803.720003/2013-02</t>
  </si>
  <si>
    <t>Auto de infração lavrado (processo administrativo fiscal nº 10.803.720003/2013-02), com a constituição de créditos tributários no valor total de R$ 68.104.480,07 (sessenta e oito milhões, cento e quatro mil, quatrocentos e oitenta reais e sete centavos), incluindo Imposto de Renda Pessoa Jurídica – IRPJ, Contribuição Social sobre o Lucro Líquido – CSLL, contribuição ao PIS e COFINS.</t>
  </si>
  <si>
    <t>10.803.720334/2013-34</t>
  </si>
  <si>
    <t xml:space="preserve">Autos de infração lavrados (processo administrativo fiscal nº 10.803.720334/2013-34), com a constituição de créditos tributários no valor total de R$ 71.197.415,46 (setenta e um milhões, cento e noventa e sete mil, quatrocentos e quinze reais e quarenta e seis centavos), incluindo Imposto de Renda Pessoa Jurídica – IRPJ, Contribuição Social sobre o Lucro Líquido – CSLL, contribuição ao PIS e COFINS </t>
  </si>
  <si>
    <t>19515.720.098/2018-81</t>
  </si>
  <si>
    <t>Trata-se de autos de infração lavrados contra a Companhia , relativos ao exercício de 2013, com a constituição de créditos de contribuição ao PIS e de COFINS.Em apertada síntese, a fiscalização, a partir das declarações apresentadas pela JSL à Receita Federal do Brasil e da documentação contida no procedimento administrativo, refez a apuração da contribuição ao PIS e da COFINS da referida companhia no exercício de 2013, tendo sido apontadas supostas inconsistências.</t>
  </si>
  <si>
    <t>4.117.807-5</t>
  </si>
  <si>
    <t>Trata-se de Auto de Infração por meio do qual foram constituídos em face da JSL supostos créditos tributários de ICMS, sob alegação de creditamento indevido do ICMS incidente na aquisição de bens destinados ao ativo imobilizado (caminhões e semirreboques) que teriam sido dados em locação a terceiros.</t>
  </si>
  <si>
    <t>4.121.117-0</t>
  </si>
  <si>
    <t>4.060.192-4</t>
  </si>
  <si>
    <t>2.081.717-0</t>
  </si>
  <si>
    <t>Auto de Infração, com imposição de crédito de ICMS + multa em decorrência do suposto não pagamento do tributo em razão do diferencial de alíquotas, nas aquisições de máquinas, equipamentos e veículos leves;</t>
  </si>
  <si>
    <t>003603646.2013.4.03.6182</t>
  </si>
  <si>
    <t>Cobrança de supostos débitos de COFINS devidos pela empresa (inscrição em dívida ativa nº 80613015708-20).</t>
  </si>
  <si>
    <t>4.011.801.72704-6</t>
  </si>
  <si>
    <t>Trata-se de auto de infração lavrado por suposta omissão de recolhimento de ICMS, em decorrência da utilização irregular do benefício do LOGPRODUZIR, benefício fiscal concedido pelo Estado de Goiás que consiste na concessão de crédito outorgado do ICMS, incidente sobre as prestações interestaduais de transporte realizadas pela empresa operadora de logística. Processo aguarda julgamento em segunda instância.</t>
  </si>
  <si>
    <t>4.011.900.76996-0</t>
  </si>
  <si>
    <t>Auto de infração, com imposição de crédito de ICMS e encargos em decorrência (i) de pretensa omissão de pagamento de ICMS por conta do suposto indevido aproveitamento de créditos de ICMS sobre aquisições de bens do ativo imobilizado; e (ii) de suposto estorno indevido de débito do imposto.</t>
  </si>
  <si>
    <t>15.746-720.226/2020-36</t>
  </si>
  <si>
    <t xml:space="preserve">Auto de infração porque o Agente Fiscal glosou os créditos a título de contribuição ao PIS e COFINS descontados pela JSL amparado em 2 (duas) premissas: (i) os serviços prestados à JSL teriam sido realizados por pessoas físicas e, ainda, (ii) os serviços prestados não se enquadrariam no conceito de “insumo”, com base na interpretação do Parecer Normativo COSIT/RFB nº 05/2018. </t>
  </si>
  <si>
    <t>1001548-15.2022.8.26.0053</t>
  </si>
  <si>
    <t xml:space="preserve">Ação anulatória que tem por objeto a desconstituição do débito objeto do Auto de Infração nº 4.121.118-2, sob a alegação de suposto creditamento indevido de ICMS decorrente de aquisição de ativo imobilizado, pelo fato de não ter apresentado os CTe’s que demonstrassem a utilização de seus ativos em operações de saídas tributadas (descumprimento de obrigação acessória), razão pela qual presumiu que referidos bens do ativo imobilizado teriam sido utilizados na atividade de locação de bens
para terceiros, ao que teriam sido violados o artigo 66, inciso I, do RICMS/SP e o artigo 20, §1º, da Lei Complementar nº 87/96. </t>
  </si>
  <si>
    <t>000672.2017</t>
  </si>
  <si>
    <t>Trata-se de Notificação Fiscal de Lançamento de Imposto sobre Serviços – ISS, face a prestação de serviços materializadas em notas fiscais emitidas pela Pronto Express Logística S.A. no período de novembro/2012 a novembro/2013.</t>
  </si>
  <si>
    <t>000595.2017</t>
  </si>
  <si>
    <t>5056523-69.2017.8.09.0051</t>
  </si>
  <si>
    <t>Ação Civil Pública. Inobservância ao Estatuto da Pessoa com Deficiência pelo fato de não disponibilizar em sua
frota a cota mínima de carros adaptados.</t>
  </si>
  <si>
    <t>A ação envolve norma que precisa de regulamentação, ainda. A defesa da empresa se sustenta nessa ausencia de regulamentação</t>
  </si>
  <si>
    <t>O Ministério Público do Estado do Rio de Janeiro ajuizou três ações civis públicas discutindo a aquisição de veículos pela Polícia do Rio de Janeiro com gestão e manutenção de frota (processo 0152872-07.2014.8.19.0001, da 7ª Vara da
Fazenda Pública do Rio de Janeiro; processo 0145782-45.2014.8.19.0001, da 13ª Vara da Fazenda Pública do Rio de Janeiro; e processo 0167693-16.2014.8.19.0001, da 9ª Vara da Fazenda Pública do Rio de Janeiro). Sobre o mesmo assunto, foram propostas quatro ações populares pelo Sr. Carlos Fernando dos Santos Azeredo (Processos: 0242335-28.2012.8.19.0001; 0043810-66.2013.8.19.0001; 0427983-81.2012.8.19.0001 e 0136630-70.2014.8.19.0001), as quais foram apensadas para julgamento em conjunto com as ações civis públicas acima referidas. Em todos os casos, a Companhia ratifica que cumpriu todas as suas obrigações contratuais.</t>
  </si>
  <si>
    <t>0242335-28.2012.8.19.0001</t>
  </si>
  <si>
    <t xml:space="preserve">O Ministério Público do Estado do Rio de Janeiro ajuizou três ações civis públicas discutindo a aquisição conforme já relatado no processo da primeira linha. </t>
  </si>
  <si>
    <t xml:space="preserve"> 0145782-45.2014.8.19.0001</t>
  </si>
  <si>
    <t xml:space="preserve"> 0043810-66.2013.8.19.0001</t>
  </si>
  <si>
    <t>O Ministério Público do Estado do Rio de Janeiro ajuizou três ações civis públicas discutindo a aquisição conforme já relatado no processo da primeira linha. Essa é uma das ações popuplares</t>
  </si>
  <si>
    <t xml:space="preserve"> 0034695-44.2013.8.26.0577</t>
  </si>
  <si>
    <t>Trata-se de Ação Popular tendo por objeto discussão a respeito do reajuste tarifário aplicado nos contratos de transporte coletivo urbano do Município de São Jose dos Campos</t>
  </si>
  <si>
    <t>1001512-60.2016.8.26.0577</t>
  </si>
  <si>
    <t>Trata-se de Ação Popular que tem por objeto discussão de reajuste tarifário no serviço de transporte coletivo no Município de São José dos Campos</t>
  </si>
  <si>
    <t>1000098-27.2016.8.26.0577</t>
  </si>
  <si>
    <t>Trata-se de Ação Popular objetivando a anulação do ato (Lei Complementar
Municipal nº. 536, de 28 de abril de 2014), que concedeu isenção temporária
de ISSQN às empresas que operam o serviço de transporte coletivo na cidade, bem como a condenação dos Réus a restituir aos cofres públicos os valores não arrecadados no período, estimados em R$ 15.000.000,00.</t>
  </si>
  <si>
    <t xml:space="preserve"> 0179606-92.2014.8.19.0001</t>
  </si>
  <si>
    <t>Trata-se de Ação Popular que questiona três processos licitatórios para locação de veículos e equipamentos para limpeza urbana realizados pela Comlurb sob os nºs. 698/2013, 073/2014 e 074/2014</t>
  </si>
  <si>
    <t xml:space="preserve"> 0804667-19.2018.4.05.8300</t>
  </si>
  <si>
    <t xml:space="preserve">A Yolanda Logística sagrou-se vencedora em procedimento licitatório, tendo então celebrado, em 25.5.98, contrato de permissão para exploração de serviços públicos de movimentação e armazenagem de cargas em terminal alfandegado, regulado pela Lei nº 9.074/95 e pelo Decreto nº 1.910/96, que estabeleciam o prazo máximo de 10 (dez) anos para a delegação. Ocorre que, em 30.5.03, sobreveio a Lei Federal nº 10.684/03, que introduziu dois novos parágrafos no artigo 1º da Lei nº 9.074/95, os quais determinavam que “o prazo das concessões e permissões de que se trata o inciso VI deste artigo será de vinte e cinco anos, podendo ser prorrogados por dez anos” e que “ao término do prazo, as atuais concessões e permissões, mencionadas no § 2º, incluídas as anteriores à Lei n. 8.987, de 13 de fevereiro de 1995, seriam prorrogadas pelo prazo previsto no § 2º”.   </t>
  </si>
  <si>
    <t xml:space="preserve"> 1015595-42.2019.8.26.0071</t>
  </si>
  <si>
    <t>Inobservância ao Estatuto da Pessoa com Deficiênc</t>
  </si>
  <si>
    <t>0009137-51.2011.4.02.5101</t>
  </si>
  <si>
    <t xml:space="preserve">Trata-se de ação civil pública movida por Universidade Federal Rural do Rio de Janeiro em face de Ciclus Ambiental do Brasil S.A, Município do Rio de Janeiro, Município de Seropédica e Instituto Estadual do Ambiente – INEA.
Pleiteia a autora seja declarada a nulidade do licenciamento ambiental concedido pelo INEA à Central de Tratamento de Resíduos Sólidos Santa Rosa (“CTR Santa Rosa”), localizado no Município de Seropédica, condenando os réus à paralisação definitiva das atividades da CTR, com transferência para áreas adequadas, bem como retirada de todo e qualquer resíduo no local, às expensas das rés. O principal fundamento utilizado é no sentido de que o empreendimento causará danos ao ecossistema daquela região, e que no procedimento de expedição da licença teriam supostas irregularidades. </t>
  </si>
  <si>
    <t xml:space="preserve">Se a Simpar perder esse processo, a Ciclus poderá ter que parar de operar. </t>
  </si>
  <si>
    <t>0190756-70.2014.8.19.0001</t>
  </si>
  <si>
    <t xml:space="preserve">Trata-se de processo relativo à regularidade ambiental da Estação de Transferência de Resíduos (ETR) de Santa Cruz, oriundos da cidade do Rio de Janeiro e destinados ao Aterro Sanitário de Seropédica (CTR RIO), relativos a apuração de supostas irregularidades ambientais ocorridas no licenciamento, instalação e na operação da ETR Santa Cruz. </t>
  </si>
  <si>
    <t>Não há impacto direto a Companhia, em caso de perda, afetará somente a logística da disposição dos resíduos que deverá ser transferida para outro local.</t>
  </si>
  <si>
    <t>0047867-20.2019.8.19.0001</t>
  </si>
  <si>
    <t xml:space="preserve">Trata-se de potencial suspensão de todas as atividades que envolvam recebimento, armazenamento e transferência de resíduos na Estação de Transferência de Resíduos (ETR) de Jacarepaguá, instalada supostamente
em caráter de ilegalidade, até que seja obtida licença ambiental de operação válida e atendidas todas as suas condicionantes, precedida de processo de licenciamento ambiental, no qual seja elaborado EIA/RIMA e realizada audiência pública pelo órgão ambiental competente  </t>
  </si>
  <si>
    <t>Não há impacto</t>
  </si>
  <si>
    <t>627262/2018</t>
  </si>
  <si>
    <t xml:space="preserve">No ano de 2017 a CS Brasil foi surpreendida por uma decisão proferida em recurso administrativo interposto no Pregão Eletrônico n.º 019/2015, onde a empresa foi desclassificada por apresentar certidão negativa de débitos que
não correspondia à certidão original emitida pelo Posto Fiscal da SEFAZ na cidade de Mogi das Cruzes. Após rápida apuração interna, a CS Brasil constatou que um de seus funcionários à época havia alterado o conteúdo
da referida certidão através de montagem em máquina fotocopiadora (apesar da empresa dispor à época de outra certidão que lhe dava plenas condições de participar da referida licitação). O empregado autor do fato foi prontamente despedido por justa causa e a CS Brasil levou o caso ao conhecimento das autoridades competentes, pedindo, inclusive, a instauração de inquérito policial junto à 2º Delegacia de Polícia de Mogi das Cruzes. Após confessar sua conduta e afirmar que agiu por conta própria e
por mero comodismo, o referido funcionário foi denunciado em ação penal e condenado pelo Tribunal de Justiça do Estado de São Paulo. </t>
  </si>
  <si>
    <t xml:space="preserve">Entendemos que não se trata de hipótese de aplicação de qualquer penalidade à CS Brasil, que é vítima dos fatos acima mencionados, porém, na remota hipótese de ser aplicada qualquer penalidade à empresa, caberá recurso ainda no âmbito
administrativo </t>
  </si>
  <si>
    <t xml:space="preserve"> 396/2020</t>
  </si>
  <si>
    <t>Após sagrar-se vencedora do Pregão Eletrônico nº 81/2020 por ter apresentado a proposta com o menor preço, a CS Frotas firmou o Contrato nº 396/2020 com a Alesp, cujo objeto é o fornecimento de 94 (noventa e
quatro) veículos para locação pelo período de 12 (doze) meses. Na mesma data, a Alesp emitiu a ordem de serviço para entrega dos veículos no prazo de 30 (trinta) dias. Imediatamente, a CS Frotas cotou com diversas
montadoras a aquisição dos veículos. Contudo, em razão do impacto da pandemia na indústria automobilística e que perdura até hoje, as montadoras informaram que não poderiam fornecer os veículos até a data aprazada pela Alesp. Por essa razão, a CS Frotas solicitou a prorrogação do prazo de entrega apresentando cronograma com as datas (05/02/2021 e 05/03/2021). Não obstante os argumentos da CS Frotas, a Alesp negou o requerimento de prorrogação do prazo de entrega e rescindiu o contrato. A
CS Frotas apresentou defesa demonstrando que o atraso na entrega não caracterizaria inadimplemento contratual e, muito menos, que a rescisão contratual era a medida mais condizente ao interesse público. Contudo, a Mesa Diretora da Alesp aplicou as seguintes penalidades: i) rescisão contratual; ii) multa correspondente a 30% do valor do contrato e iii) proibição de contratar com a Administração Pública pelo prazo de 2 (dois) anos.</t>
  </si>
  <si>
    <t xml:space="preserve">Trata-se de ação civil pública ajuizada pelo Ministério Público do Trabalho visando: (i) declarar inconstitucional o artigo 235-C, caput da CLT, impedindo a prorrogação da jornada diária de trabalho dos motoristas da Companhia
além do limite de 2 horas, sem justificativa legal; (ii) reconhecer a não concessão dos intervalos intrajornada e interjornada, e do descanso semanal remunerado; e (iii) condenação ao pagamento de dano moral coletivo. </t>
  </si>
  <si>
    <t xml:space="preserve">O Agente Fiscal glosou os créditos a título de contribuição ao PIS e COFINS descontados pela JSL amparado em 2 (duas) premissas: (i) os serviços prestados à JSL teriam sido realizados por pessoas físicas e, ainda, (ii) os serviços prestados não se enquadrariam no conceito de “insumo”, com base na interpretação do Parecer Normativo COSIT/RFB nº 05/2018. </t>
  </si>
  <si>
    <t xml:space="preserve"> 03.620796-7</t>
  </si>
  <si>
    <t>Auto de infração lavrado contra a CS BRASIL, por meio do qual foi constituído crédito tributário de ICMS referente ao período de janeiro de 2016, sob o entendimento equivocado de que a CS BRASIL não faria jus ao crédito de
ICMS acumulado no período autuado, na medida em que não teriam sido localizadas operações de exportação ou quaisquer tipos de saídas isentas ou não tributadas, no período de 2010 a 2016, que a autorizasse a manter
créditos referentes a aquisição de mercadorias para a venda através de saída não tributadas, infringido os artigos 2º, 3º, 33, 34, 35 e 39 da Lei nº 2657/1996.</t>
  </si>
  <si>
    <t>15746-720.070/2020-93</t>
  </si>
  <si>
    <t xml:space="preserve">Autuação em decorrência de divergências de contas, na Parte-B do e-Lalur e do e-LACs relativos ano-calendário de 2017, no montante total de R$ 851.052.060,99. </t>
  </si>
  <si>
    <t>10314-720.075/2020-82 (</t>
  </si>
  <si>
    <t>Auto de infração lavrados contra a MOVIDA, relativos ao exercício de 2016, com a constituição de créditos de contribuição ao PIS e de COFINS nos valores (incluídos os encargos), respectivamente, de R$ 1.738.182,18 (um milhão, setecentos e trinta e oito mil, cento e oitenta e dois reais e dezoito centavos) e de R$ 8.006.319,40 (oito milhões, seis mil, trezentos e dezenove reais e quarenta centavos), totalizando R$ 9.744.501,58 (nove milhões, setecentos e quarenta e quatro mil, quinhentos e um reais e cinquenta e oito centavos).</t>
  </si>
  <si>
    <t>Valor total provisionado</t>
  </si>
  <si>
    <t>Numero de Processos em Unidades</t>
  </si>
  <si>
    <t>Crescimento PIB Real (FMI)</t>
  </si>
  <si>
    <t>Crescimento PIB Nominal</t>
  </si>
  <si>
    <t>% médio do EBIT projetado que vem da Automob</t>
  </si>
  <si>
    <t>Valor da Empresa da Automob baseado no EBIT</t>
  </si>
  <si>
    <t>Dívida Líquida Automob</t>
  </si>
  <si>
    <t>Valor do Equity Automob</t>
  </si>
  <si>
    <t>Valor do Equity da Automob que não pertence à Simpar</t>
  </si>
  <si>
    <t>Portos</t>
  </si>
  <si>
    <t>YTG2023</t>
  </si>
  <si>
    <t>Despesas com captação</t>
  </si>
  <si>
    <t>YTG 2023E</t>
  </si>
  <si>
    <t>1T23E</t>
  </si>
  <si>
    <t>2T23E</t>
  </si>
  <si>
    <t>3T23E</t>
  </si>
  <si>
    <t>4T23E</t>
  </si>
  <si>
    <t>2023E</t>
  </si>
  <si>
    <t>Projeções 2023</t>
  </si>
  <si>
    <t>CAGR (2015 a 2022)</t>
  </si>
  <si>
    <t>Inflação Implícita</t>
  </si>
  <si>
    <t>Custo de Construção</t>
  </si>
  <si>
    <t>Juros sobre cessão de direitos creditórios</t>
  </si>
  <si>
    <t>Valor Justo do Equity (R$ Mil)</t>
  </si>
  <si>
    <t>∆ Capital de Giro Ex empresas de capital aberto % da ∆ Capital de Giro do Grupo todo</t>
  </si>
  <si>
    <t>Preço Teto</t>
  </si>
  <si>
    <t>YTD 2023</t>
  </si>
  <si>
    <t>Caixa</t>
  </si>
  <si>
    <t>EBIT Recorrente sem Incentivos</t>
  </si>
  <si>
    <t>Lucro Antes do IR Recorrente sem Incentivos</t>
  </si>
  <si>
    <t>Incentivos Fiscais</t>
  </si>
  <si>
    <t>Ebit Recorrente sem incentivos</t>
  </si>
  <si>
    <t>Margem EBIT recorrente sem Incentivos</t>
  </si>
  <si>
    <t>Holding</t>
  </si>
  <si>
    <t xml:space="preserve">O EBIT foi igulado aos custos administrativos da holding. </t>
  </si>
  <si>
    <t>Desconto de Holding</t>
  </si>
  <si>
    <t>Atualização Monetária de impostos a recuperar e depósitos judiciais</t>
  </si>
  <si>
    <t>Receita de financiamentos e produtos de créditos concedidos</t>
  </si>
  <si>
    <t>Não tributação sobre incentivos fiscais tratados como subvenção para investimento</t>
  </si>
  <si>
    <t>Participação de não controladores</t>
  </si>
  <si>
    <t>Passivo Judicial Capital Fechado</t>
  </si>
  <si>
    <t>Holding Total</t>
  </si>
  <si>
    <t>Atualizado em: 08/11/2023</t>
  </si>
  <si>
    <t>2024E</t>
  </si>
  <si>
    <t>2025E</t>
  </si>
  <si>
    <t>2026E</t>
  </si>
  <si>
    <t>EBITDA</t>
  </si>
  <si>
    <t>Resultado Financeiro Líquido Total</t>
  </si>
  <si>
    <t>Resultado Financeiro Sobre Dívida Líquida</t>
  </si>
  <si>
    <t>FCFF</t>
  </si>
  <si>
    <t>Resultado Financeiro Sobre Variação de Caixa</t>
  </si>
  <si>
    <t>Resultado Financeiro Máximo</t>
  </si>
  <si>
    <t>EBITDA Excluindo Empresas de Capital Aberto</t>
  </si>
  <si>
    <t>EBITDA - A</t>
  </si>
  <si>
    <t>Capital Fechado</t>
  </si>
  <si>
    <t>Dívida Líquida para Covenant dos Bonds</t>
  </si>
  <si>
    <t>Dívida Líquida Para Covenant Local</t>
  </si>
  <si>
    <t>Dívida Líquida Máxima Bonds</t>
  </si>
  <si>
    <t>Dívida Líquida Máxima Local</t>
  </si>
  <si>
    <t>Divida Líquida/EBITDA Local</t>
  </si>
  <si>
    <t>Divida Líquida/EBITDA Bonds</t>
  </si>
  <si>
    <t>Aquisição Best Points</t>
  </si>
  <si>
    <t>Aquisição Grupo Alta</t>
  </si>
  <si>
    <t>Aquisição Nova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</si>
</sst>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5" formatCode="&quot;R$&quot;\ #,##0;\-&quot;R$&quot;\ #,##0"/>
    <numFmt numFmtId="6" formatCode="&quot;R$&quot;\ #,##0;[Red]\-&quot;R$&quot;\ #,##0"/>
    <numFmt numFmtId="7" formatCode="&quot;R$&quot;\ #,##0.00;\-&quot;R$&quot;\ #,##0.00"/>
    <numFmt numFmtId="8" formatCode="&quot;R$&quot;\ #,##0.00;[Red]\-&quot;R$&quot;\ #,##0.00"/>
    <numFmt numFmtId="44" formatCode="_-&quot;R$&quot;\ * #,##0.00_-;\-&quot;R$&quot;\ * #,##0.00_-;_-&quot;R$&quot;\ * &quot;-&quot;??_-;_-@_-"/>
    <numFmt numFmtId="43" formatCode="_-* #,##0.00_-;\-* #,##0.00_-;_-* &quot;-&quot;??_-;_-@_-"/>
    <numFmt numFmtId="164" formatCode="0.0%"/>
    <numFmt numFmtId="165" formatCode="General&quot;E&quot;"/>
    <numFmt numFmtId="166" formatCode="#,##0;\(#,##0\)"/>
    <numFmt numFmtId="167" formatCode="0.0"/>
    <numFmt numFmtId="168" formatCode="#,##0.0"/>
    <numFmt numFmtId="169" formatCode="0.000"/>
    <numFmt numFmtId="170" formatCode="#,##0.000"/>
    <numFmt numFmtId="171" formatCode="#,##0.00;\(#,##0.00\)"/>
    <numFmt numFmtId="172" formatCode="&quot;R$&quot;\ #,##0.00"/>
  </numFmts>
  <fonts count="32">
    <font>
      <sz val="11"/>
      <color theme="1"/>
      <name val="Calibri"/>
      <family val="2"/>
      <scheme val="minor"/>
    </font>
    <font>
      <b/>
      <sz val="11"/>
      <color theme="1"/>
      <name val="Calibri"/>
      <family val="2"/>
      <scheme val="minor"/>
    </font>
    <font>
      <sz val="11"/>
      <color theme="1"/>
      <name val="SF Pro Display"/>
      <family val="3"/>
    </font>
    <font>
      <sz val="11"/>
      <color theme="1"/>
      <name val="Calibri"/>
      <family val="2"/>
      <scheme val="minor"/>
    </font>
    <font>
      <b/>
      <sz val="9"/>
      <color indexed="81"/>
      <name val="Segoe UI"/>
      <family val="2"/>
    </font>
    <font>
      <sz val="9"/>
      <color indexed="81"/>
      <name val="Segoe UI"/>
      <family val="2"/>
    </font>
    <font>
      <sz val="10"/>
      <color rgb="FF000000"/>
      <name val="Arial"/>
      <family val="2"/>
    </font>
    <font>
      <sz val="11"/>
      <color rgb="FF00C556"/>
      <name val="Calibri"/>
      <family val="2"/>
      <scheme val="minor"/>
    </font>
    <font>
      <b/>
      <sz val="22"/>
      <color theme="1" tint="0.249977111117893"/>
      <name val="Calibri"/>
      <family val="2"/>
      <scheme val="minor"/>
    </font>
    <font>
      <b/>
      <sz val="20"/>
      <color theme="1" tint="0.249977111117893"/>
      <name val="Calibri"/>
      <family val="2"/>
      <scheme val="minor"/>
    </font>
    <font>
      <b/>
      <sz val="10"/>
      <color rgb="FFCBCBCB"/>
      <name val="Calibri"/>
      <family val="2"/>
      <scheme val="minor"/>
    </font>
    <font>
      <sz val="11"/>
      <color rgb="FF6B7280"/>
      <name val="Calibri"/>
      <family val="2"/>
      <scheme val="minor"/>
    </font>
    <font>
      <sz val="11"/>
      <color theme="1" tint="0.249977111117893"/>
      <name val="Calibri"/>
      <family val="2"/>
      <scheme val="minor"/>
    </font>
    <font>
      <b/>
      <sz val="11"/>
      <color theme="1" tint="0.249977111117893"/>
      <name val="Calibri"/>
      <family val="2"/>
      <scheme val="minor"/>
    </font>
    <font>
      <b/>
      <sz val="10"/>
      <color theme="1" tint="0.249977111117893"/>
      <name val="Calibri"/>
      <family val="2"/>
      <scheme val="minor"/>
    </font>
    <font>
      <sz val="11"/>
      <color theme="1" tint="0.34998626667073579"/>
      <name val="Calibri"/>
      <family val="2"/>
      <scheme val="minor"/>
    </font>
    <font>
      <sz val="10"/>
      <color theme="1" tint="0.249977111117893"/>
      <name val="Calibri"/>
      <family val="2"/>
      <scheme val="minor"/>
    </font>
    <font>
      <sz val="10"/>
      <color theme="1"/>
      <name val="Calibri"/>
      <family val="2"/>
      <scheme val="minor"/>
    </font>
    <font>
      <sz val="10"/>
      <color rgb="FF00C556"/>
      <name val="Calibri"/>
      <family val="2"/>
      <scheme val="minor"/>
    </font>
    <font>
      <sz val="9"/>
      <color theme="1"/>
      <name val="Calibri"/>
      <family val="2"/>
      <scheme val="minor"/>
    </font>
    <font>
      <b/>
      <sz val="14"/>
      <color theme="1" tint="0.249977111117893"/>
      <name val="Calibri"/>
      <family val="2"/>
      <scheme val="minor"/>
    </font>
    <font>
      <b/>
      <sz val="10"/>
      <name val="Calibri"/>
      <family val="2"/>
      <scheme val="minor"/>
    </font>
    <font>
      <b/>
      <sz val="10"/>
      <color rgb="FF00C556"/>
      <name val="Calibri"/>
      <family val="2"/>
      <scheme val="minor"/>
    </font>
    <font>
      <i/>
      <sz val="10"/>
      <color theme="1" tint="0.249977111117893"/>
      <name val="Calibri"/>
      <family val="2"/>
      <scheme val="minor"/>
    </font>
    <font>
      <sz val="10"/>
      <color rgb="FF000000"/>
      <name val="Calibri"/>
      <family val="2"/>
      <scheme val="minor"/>
    </font>
    <font>
      <i/>
      <sz val="10"/>
      <color rgb="FF434343"/>
      <name val="Calibri"/>
      <family val="2"/>
      <scheme val="minor"/>
    </font>
    <font>
      <sz val="8"/>
      <name val="Calibri"/>
      <family val="2"/>
      <scheme val="minor"/>
    </font>
    <font>
      <sz val="10"/>
      <name val="Calibri"/>
      <family val="2"/>
      <scheme val="minor"/>
    </font>
    <font>
      <sz val="9"/>
      <color indexed="81"/>
      <name val="Tahoma"/>
      <family val="2"/>
    </font>
    <font>
      <b/>
      <sz val="9"/>
      <color indexed="81"/>
      <name val="Tahoma"/>
      <family val="2"/>
    </font>
    <font>
      <sz val="9"/>
      <color indexed="81"/>
      <name val="Segoe UI"/>
      <charset val="1"/>
    </font>
    <font>
      <b/>
      <sz val="9"/>
      <color indexed="81"/>
      <name val="Segoe UI"/>
      <charset val="1"/>
    </font>
  </fonts>
  <fills count="5">
    <fill>
      <patternFill patternType="none"/>
    </fill>
    <fill>
      <patternFill patternType="gray125"/>
    </fill>
    <fill>
      <patternFill patternType="solid">
        <fgColor theme="0"/>
        <bgColor indexed="64"/>
      </patternFill>
    </fill>
    <fill>
      <patternFill patternType="solid">
        <fgColor rgb="FFF9FBFD"/>
        <bgColor indexed="64"/>
      </patternFill>
    </fill>
    <fill>
      <patternFill patternType="solid">
        <fgColor theme="4" tint="0.59999389629810485"/>
        <bgColor indexed="64"/>
      </patternFill>
    </fill>
  </fills>
  <borders count="68">
    <border>
      <left/>
      <right/>
      <top/>
      <bottom/>
      <diagonal/>
    </border>
    <border>
      <left/>
      <right style="thin">
        <color rgb="FFE5E7EB"/>
      </right>
      <top/>
      <bottom/>
      <diagonal/>
    </border>
    <border>
      <left/>
      <right/>
      <top/>
      <bottom style="thin">
        <color rgb="FFE5E7EB"/>
      </bottom>
      <diagonal/>
    </border>
    <border>
      <left/>
      <right/>
      <top style="thin">
        <color rgb="FFE5E7EB"/>
      </top>
      <bottom style="thin">
        <color rgb="FFE5E7EB"/>
      </bottom>
      <diagonal/>
    </border>
    <border>
      <left/>
      <right/>
      <top style="thin">
        <color rgb="FFE5E7EB"/>
      </top>
      <bottom/>
      <diagonal/>
    </border>
    <border>
      <left style="medium">
        <color rgb="FFE5E7EB"/>
      </left>
      <right/>
      <top/>
      <bottom style="thin">
        <color rgb="FFE5E7EB"/>
      </bottom>
      <diagonal/>
    </border>
    <border>
      <left style="medium">
        <color rgb="FFE5E7EB"/>
      </left>
      <right/>
      <top/>
      <bottom/>
      <diagonal/>
    </border>
    <border>
      <left/>
      <right style="medium">
        <color rgb="FFE5E7EB"/>
      </right>
      <top/>
      <bottom/>
      <diagonal/>
    </border>
    <border>
      <left style="medium">
        <color rgb="FFE5E7EB"/>
      </left>
      <right/>
      <top style="thin">
        <color rgb="FFE5E7EB"/>
      </top>
      <bottom style="thin">
        <color rgb="FFE5E7EB"/>
      </bottom>
      <diagonal/>
    </border>
    <border>
      <left/>
      <right style="thin">
        <color rgb="FFE5E7EB"/>
      </right>
      <top style="thin">
        <color rgb="FFE5E7EB"/>
      </top>
      <bottom style="thin">
        <color rgb="FFE5E7EB"/>
      </bottom>
      <diagonal/>
    </border>
    <border>
      <left style="thin">
        <color rgb="FFE5E7EB"/>
      </left>
      <right/>
      <top/>
      <bottom/>
      <diagonal/>
    </border>
    <border>
      <left style="thin">
        <color rgb="FFE5E7EB"/>
      </left>
      <right/>
      <top style="thin">
        <color rgb="FFE5E7EB"/>
      </top>
      <bottom style="thin">
        <color rgb="FFE5E7EB"/>
      </bottom>
      <diagonal/>
    </border>
    <border>
      <left/>
      <right style="thin">
        <color rgb="FFE5E7EB"/>
      </right>
      <top/>
      <bottom style="thin">
        <color rgb="FFE5E7EB"/>
      </bottom>
      <diagonal/>
    </border>
    <border>
      <left style="medium">
        <color rgb="FFE5E7EB"/>
      </left>
      <right style="thin">
        <color rgb="FFE5E7EB"/>
      </right>
      <top/>
      <bottom style="thin">
        <color rgb="FFE5E7EB"/>
      </bottom>
      <diagonal/>
    </border>
    <border>
      <left style="thin">
        <color rgb="FFE5E7EB"/>
      </left>
      <right style="medium">
        <color rgb="FFE5E7EB"/>
      </right>
      <top style="thin">
        <color rgb="FFE5E7EB"/>
      </top>
      <bottom style="thin">
        <color rgb="FFE5E7EB"/>
      </bottom>
      <diagonal/>
    </border>
    <border>
      <left style="medium">
        <color rgb="FFE5E7EB"/>
      </left>
      <right style="thin">
        <color rgb="FFE5E7EB"/>
      </right>
      <top style="thin">
        <color rgb="FFE5E7EB"/>
      </top>
      <bottom style="thin">
        <color rgb="FFE5E7EB"/>
      </bottom>
      <diagonal/>
    </border>
    <border>
      <left style="medium">
        <color rgb="FFE5E7EB"/>
      </left>
      <right style="thin">
        <color rgb="FFE5E7EB"/>
      </right>
      <top/>
      <bottom/>
      <diagonal/>
    </border>
    <border>
      <left style="medium">
        <color rgb="FFE5E7EB"/>
      </left>
      <right style="thin">
        <color theme="2"/>
      </right>
      <top/>
      <bottom style="thin">
        <color rgb="FFE5E7EB"/>
      </bottom>
      <diagonal/>
    </border>
    <border>
      <left style="medium">
        <color rgb="FFE5E7EB"/>
      </left>
      <right style="thin">
        <color theme="2"/>
      </right>
      <top style="thin">
        <color rgb="FFE5E7EB"/>
      </top>
      <bottom style="medium">
        <color rgb="FFE5E7EB"/>
      </bottom>
      <diagonal/>
    </border>
    <border>
      <left/>
      <right style="thin">
        <color rgb="FFE5E7EB"/>
      </right>
      <top style="thin">
        <color rgb="FFE5E7EB"/>
      </top>
      <bottom style="medium">
        <color rgb="FFE5E7EB"/>
      </bottom>
      <diagonal/>
    </border>
    <border>
      <left style="medium">
        <color rgb="FFE5E7EB"/>
      </left>
      <right style="thin">
        <color theme="2"/>
      </right>
      <top style="thin">
        <color rgb="FFE5E7EB"/>
      </top>
      <bottom style="thin">
        <color rgb="FFE5E7EB"/>
      </bottom>
      <diagonal/>
    </border>
    <border>
      <left/>
      <right/>
      <top/>
      <bottom style="thin">
        <color theme="0" tint="-0.14999847407452621"/>
      </bottom>
      <diagonal/>
    </border>
    <border>
      <left/>
      <right style="medium">
        <color theme="2"/>
      </right>
      <top/>
      <bottom/>
      <diagonal/>
    </border>
    <border>
      <left/>
      <right style="medium">
        <color theme="0" tint="-0.14999847407452621"/>
      </right>
      <top/>
      <bottom/>
      <diagonal/>
    </border>
    <border>
      <left/>
      <right/>
      <top style="thin">
        <color theme="2"/>
      </top>
      <bottom/>
      <diagonal/>
    </border>
    <border>
      <left/>
      <right/>
      <top/>
      <bottom style="thin">
        <color theme="2"/>
      </bottom>
      <diagonal/>
    </border>
    <border>
      <left style="thin">
        <color theme="0" tint="-0.249977111117893"/>
      </left>
      <right/>
      <top/>
      <bottom/>
      <diagonal/>
    </border>
    <border>
      <left style="medium">
        <color theme="0"/>
      </left>
      <right/>
      <top/>
      <bottom/>
      <diagonal/>
    </border>
    <border>
      <left style="thin">
        <color rgb="FFE5E7EB"/>
      </left>
      <right style="medium">
        <color theme="2"/>
      </right>
      <top style="thin">
        <color rgb="FFE5E7EB"/>
      </top>
      <bottom style="thin">
        <color rgb="FFE5E7EB"/>
      </bottom>
      <diagonal/>
    </border>
    <border>
      <left/>
      <right style="medium">
        <color theme="2"/>
      </right>
      <top style="thin">
        <color rgb="FFE5E7EB"/>
      </top>
      <bottom style="thin">
        <color rgb="FFE5E7EB"/>
      </bottom>
      <diagonal/>
    </border>
    <border>
      <left style="thin">
        <color rgb="FFE5E7EB"/>
      </left>
      <right style="medium">
        <color theme="2"/>
      </right>
      <top/>
      <bottom/>
      <diagonal/>
    </border>
    <border>
      <left style="thin">
        <color rgb="FFE5E7EB"/>
      </left>
      <right style="thin">
        <color theme="2"/>
      </right>
      <top/>
      <bottom style="thin">
        <color rgb="FFE5E7EB"/>
      </bottom>
      <diagonal/>
    </border>
    <border>
      <left style="medium">
        <color theme="2"/>
      </left>
      <right style="thin">
        <color rgb="FFE5E7EB"/>
      </right>
      <top/>
      <bottom style="thin">
        <color rgb="FFE5E7EB"/>
      </bottom>
      <diagonal/>
    </border>
    <border>
      <left style="thin">
        <color theme="2"/>
      </left>
      <right style="thin">
        <color theme="2"/>
      </right>
      <top style="thin">
        <color rgb="FFE5E7EB"/>
      </top>
      <bottom style="thin">
        <color rgb="FFE5E7EB"/>
      </bottom>
      <diagonal/>
    </border>
    <border>
      <left style="medium">
        <color theme="2"/>
      </left>
      <right/>
      <top/>
      <bottom/>
      <diagonal/>
    </border>
    <border>
      <left/>
      <right style="medium">
        <color theme="2"/>
      </right>
      <top style="thin">
        <color rgb="FFE5E7EB"/>
      </top>
      <bottom/>
      <diagonal/>
    </border>
    <border>
      <left style="thin">
        <color theme="2"/>
      </left>
      <right/>
      <top style="thin">
        <color rgb="FFE5E7EB"/>
      </top>
      <bottom style="thin">
        <color rgb="FFE5E7EB"/>
      </bottom>
      <diagonal/>
    </border>
    <border>
      <left/>
      <right style="thin">
        <color theme="2"/>
      </right>
      <top style="thin">
        <color rgb="FFE5E7EB"/>
      </top>
      <bottom style="thin">
        <color rgb="FFE5E7EB"/>
      </bottom>
      <diagonal/>
    </border>
    <border>
      <left style="thin">
        <color rgb="FFE5E7EB"/>
      </left>
      <right style="thin">
        <color theme="2"/>
      </right>
      <top style="thin">
        <color rgb="FFE5E7EB"/>
      </top>
      <bottom style="thin">
        <color rgb="FFE5E7EB"/>
      </bottom>
      <diagonal/>
    </border>
    <border>
      <left/>
      <right style="thin">
        <color theme="2"/>
      </right>
      <top/>
      <bottom/>
      <diagonal/>
    </border>
    <border>
      <left style="medium">
        <color theme="0"/>
      </left>
      <right style="thin">
        <color theme="2"/>
      </right>
      <top style="medium">
        <color theme="0"/>
      </top>
      <bottom/>
      <diagonal/>
    </border>
    <border>
      <left style="medium">
        <color theme="0"/>
      </left>
      <right style="thin">
        <color theme="2"/>
      </right>
      <top/>
      <bottom/>
      <diagonal/>
    </border>
    <border>
      <left style="medium">
        <color rgb="FFE5E7EB"/>
      </left>
      <right style="thin">
        <color theme="6" tint="0.59999389629810485"/>
      </right>
      <top/>
      <bottom/>
      <diagonal/>
    </border>
    <border>
      <left style="medium">
        <color rgb="FFE5E7EB"/>
      </left>
      <right style="thin">
        <color theme="6" tint="0.59999389629810485"/>
      </right>
      <top style="thin">
        <color rgb="FFE5E7EB"/>
      </top>
      <bottom style="thin">
        <color rgb="FFE5E7EB"/>
      </bottom>
      <diagonal/>
    </border>
    <border>
      <left style="medium">
        <color rgb="FFE5E7EB"/>
      </left>
      <right style="thin">
        <color theme="6" tint="0.59999389629810485"/>
      </right>
      <top style="thin">
        <color rgb="FFE5E7EB"/>
      </top>
      <bottom style="medium">
        <color theme="2"/>
      </bottom>
      <diagonal/>
    </border>
    <border>
      <left/>
      <right style="thin">
        <color rgb="FFE5E7EB"/>
      </right>
      <top style="thin">
        <color rgb="FFE5E7EB"/>
      </top>
      <bottom style="medium">
        <color theme="2"/>
      </bottom>
      <diagonal/>
    </border>
    <border>
      <left/>
      <right style="medium">
        <color theme="2"/>
      </right>
      <top style="thin">
        <color rgb="FFE5E7EB"/>
      </top>
      <bottom style="medium">
        <color theme="2"/>
      </bottom>
      <diagonal/>
    </border>
    <border>
      <left/>
      <right/>
      <top style="medium">
        <color theme="2"/>
      </top>
      <bottom/>
      <diagonal/>
    </border>
    <border>
      <left/>
      <right style="thin">
        <color rgb="FFE5E7EB"/>
      </right>
      <top style="thin">
        <color rgb="FFE5E7EB"/>
      </top>
      <bottom/>
      <diagonal/>
    </border>
    <border>
      <left style="thin">
        <color rgb="FFE5E7EB"/>
      </left>
      <right style="medium">
        <color theme="2"/>
      </right>
      <top style="thin">
        <color rgb="FFE5E7EB"/>
      </top>
      <bottom/>
      <diagonal/>
    </border>
    <border>
      <left style="medium">
        <color theme="2"/>
      </left>
      <right style="thin">
        <color rgb="FFE5E7EB"/>
      </right>
      <top style="thin">
        <color rgb="FFE5E7EB"/>
      </top>
      <bottom/>
      <diagonal/>
    </border>
    <border>
      <left style="thin">
        <color rgb="FFE5E7EB"/>
      </left>
      <right style="medium">
        <color rgb="FFE5E7EB"/>
      </right>
      <top style="thin">
        <color rgb="FFE5E7EB"/>
      </top>
      <bottom/>
      <diagonal/>
    </border>
    <border>
      <left style="medium">
        <color rgb="FFE5E7EB"/>
      </left>
      <right/>
      <top style="thin">
        <color rgb="FFE5E7EB"/>
      </top>
      <bottom/>
      <diagonal/>
    </border>
    <border>
      <left style="medium">
        <color rgb="FFE5E7EB"/>
      </left>
      <right style="thin">
        <color theme="2"/>
      </right>
      <top/>
      <bottom/>
      <diagonal/>
    </border>
    <border>
      <left style="medium">
        <color rgb="FFE5E7EB"/>
      </left>
      <right style="thin">
        <color theme="2"/>
      </right>
      <top style="thin">
        <color theme="2"/>
      </top>
      <bottom style="medium">
        <color theme="2"/>
      </bottom>
      <diagonal/>
    </border>
    <border>
      <left style="thin">
        <color theme="2"/>
      </left>
      <right/>
      <top/>
      <bottom style="thin">
        <color rgb="FFE5E7EB"/>
      </bottom>
      <diagonal/>
    </border>
    <border>
      <left style="medium">
        <color rgb="FFE5E7EB"/>
      </left>
      <right style="thin">
        <color theme="2"/>
      </right>
      <top style="thin">
        <color rgb="FFE5E7EB"/>
      </top>
      <bottom style="medium">
        <color theme="2"/>
      </bottom>
      <diagonal/>
    </border>
    <border>
      <left style="thin">
        <color rgb="FFE5E7EB"/>
      </left>
      <right style="thin">
        <color rgb="FFE5E7EB"/>
      </right>
      <top style="thin">
        <color rgb="FFE5E7EB"/>
      </top>
      <bottom style="medium">
        <color theme="2"/>
      </bottom>
      <diagonal/>
    </border>
    <border>
      <left style="medium">
        <color theme="2"/>
      </left>
      <right style="medium">
        <color theme="2"/>
      </right>
      <top/>
      <bottom/>
      <diagonal/>
    </border>
    <border>
      <left style="medium">
        <color rgb="FFE5E7EB"/>
      </left>
      <right style="thin">
        <color theme="2"/>
      </right>
      <top style="thin">
        <color rgb="FFE5E7EB"/>
      </top>
      <bottom/>
      <diagonal/>
    </border>
    <border>
      <left/>
      <right/>
      <top style="thin">
        <color theme="2"/>
      </top>
      <bottom style="medium">
        <color theme="2"/>
      </bottom>
      <diagonal/>
    </border>
    <border>
      <left/>
      <right style="thin">
        <color rgb="FFE5E7EB"/>
      </right>
      <top style="thin">
        <color theme="2"/>
      </top>
      <bottom style="medium">
        <color theme="2"/>
      </bottom>
      <diagonal/>
    </border>
    <border>
      <left style="thin">
        <color rgb="FFE5E7EB"/>
      </left>
      <right style="thin">
        <color theme="2"/>
      </right>
      <top style="thin">
        <color rgb="FFE5E7EB"/>
      </top>
      <bottom style="medium">
        <color rgb="FFE5E7EB"/>
      </bottom>
      <diagonal/>
    </border>
    <border>
      <left/>
      <right style="medium">
        <color rgb="FFE5E7EB"/>
      </right>
      <top style="thin">
        <color rgb="FFE5E7EB"/>
      </top>
      <bottom style="medium">
        <color rgb="FFE5E7EB"/>
      </bottom>
      <diagonal/>
    </border>
    <border>
      <left style="medium">
        <color theme="2"/>
      </left>
      <right style="medium">
        <color rgb="FFE5E7EB"/>
      </right>
      <top/>
      <bottom/>
      <diagonal/>
    </border>
    <border>
      <left style="medium">
        <color theme="2"/>
      </left>
      <right style="thin">
        <color rgb="FFE5E7EB"/>
      </right>
      <top style="medium">
        <color theme="2"/>
      </top>
      <bottom/>
      <diagonal/>
    </border>
    <border>
      <left style="medium">
        <color theme="2"/>
      </left>
      <right style="thin">
        <color rgb="FFE5E7EB"/>
      </right>
      <top style="thin">
        <color theme="2"/>
      </top>
      <bottom/>
      <diagonal/>
    </border>
    <border>
      <left style="thin">
        <color rgb="FFE5E7EB"/>
      </left>
      <right style="medium">
        <color theme="2"/>
      </right>
      <top style="medium">
        <color theme="2"/>
      </top>
      <bottom style="thin">
        <color theme="2"/>
      </bottom>
      <diagonal/>
    </border>
  </borders>
  <cellStyleXfs count="5">
    <xf numFmtId="0" fontId="0" fillId="0" borderId="0"/>
    <xf numFmtId="9" fontId="3" fillId="0" borderId="0" applyFont="0" applyFill="0" applyBorder="0" applyAlignment="0" applyProtection="0"/>
    <xf numFmtId="0" fontId="6" fillId="0" borderId="0"/>
    <xf numFmtId="43" fontId="3" fillId="0" borderId="0" applyFont="0" applyFill="0" applyBorder="0" applyAlignment="0" applyProtection="0"/>
    <xf numFmtId="44" fontId="3" fillId="0" borderId="0" applyFont="0" applyFill="0" applyBorder="0" applyAlignment="0" applyProtection="0"/>
  </cellStyleXfs>
  <cellXfs count="415">
    <xf numFmtId="0" fontId="0" fillId="0" borderId="0" xfId="0"/>
    <xf numFmtId="0" fontId="1" fillId="0" borderId="0" xfId="0" applyFont="1" applyAlignment="1">
      <alignment vertical="center"/>
    </xf>
    <xf numFmtId="0" fontId="2" fillId="0" borderId="0" xfId="0" applyFont="1"/>
    <xf numFmtId="0" fontId="0" fillId="0" borderId="1" xfId="0" applyBorder="1" applyAlignment="1">
      <alignment vertical="center"/>
    </xf>
    <xf numFmtId="0" fontId="0" fillId="3" borderId="0" xfId="0" applyFill="1" applyAlignment="1">
      <alignment vertical="center"/>
    </xf>
    <xf numFmtId="0" fontId="0" fillId="0" borderId="0" xfId="0" applyAlignment="1">
      <alignment vertical="center"/>
    </xf>
    <xf numFmtId="0" fontId="8" fillId="3" borderId="0" xfId="0" applyFont="1" applyFill="1" applyAlignment="1">
      <alignment vertical="center"/>
    </xf>
    <xf numFmtId="0" fontId="8" fillId="3" borderId="0" xfId="0" applyFont="1" applyFill="1"/>
    <xf numFmtId="0" fontId="8" fillId="3" borderId="0" xfId="0" applyFont="1" applyFill="1" applyAlignment="1">
      <alignment horizontal="center" vertical="center"/>
    </xf>
    <xf numFmtId="0" fontId="10" fillId="0" borderId="1" xfId="0" applyFont="1" applyBorder="1" applyAlignment="1">
      <alignment horizontal="left" vertical="center" indent="2"/>
    </xf>
    <xf numFmtId="0" fontId="0" fillId="3" borderId="0" xfId="0" applyFill="1" applyAlignment="1">
      <alignment horizontal="left" vertical="center"/>
    </xf>
    <xf numFmtId="0" fontId="0" fillId="0" borderId="0" xfId="0" applyAlignment="1">
      <alignment horizontal="left" vertical="center"/>
    </xf>
    <xf numFmtId="0" fontId="11" fillId="0" borderId="1" xfId="0" applyFont="1" applyBorder="1" applyAlignment="1">
      <alignment horizontal="left" vertical="center" indent="2"/>
    </xf>
    <xf numFmtId="0" fontId="12" fillId="2" borderId="6" xfId="0" applyFont="1" applyFill="1" applyBorder="1" applyAlignment="1">
      <alignment vertical="center"/>
    </xf>
    <xf numFmtId="0" fontId="12" fillId="2" borderId="0" xfId="0" applyFont="1" applyFill="1" applyAlignment="1">
      <alignment horizontal="right" vertical="center"/>
    </xf>
    <xf numFmtId="0" fontId="12" fillId="2" borderId="7" xfId="0" applyFont="1" applyFill="1" applyBorder="1" applyAlignment="1">
      <alignment vertical="center"/>
    </xf>
    <xf numFmtId="0" fontId="13" fillId="2" borderId="16" xfId="0" applyFont="1" applyFill="1" applyBorder="1" applyAlignment="1">
      <alignment horizontal="left" vertical="center" indent="2"/>
    </xf>
    <xf numFmtId="0" fontId="7" fillId="2" borderId="0" xfId="0" applyFont="1" applyFill="1" applyAlignment="1">
      <alignment horizontal="right" vertical="center"/>
    </xf>
    <xf numFmtId="10" fontId="14" fillId="2" borderId="0" xfId="0" applyNumberFormat="1" applyFont="1" applyFill="1" applyAlignment="1">
      <alignment horizontal="center" vertical="center"/>
    </xf>
    <xf numFmtId="3" fontId="12" fillId="2" borderId="0" xfId="0" applyNumberFormat="1" applyFont="1" applyFill="1" applyAlignment="1">
      <alignment vertical="center"/>
    </xf>
    <xf numFmtId="0" fontId="12" fillId="2" borderId="0" xfId="0" applyFont="1" applyFill="1" applyAlignment="1">
      <alignment horizontal="left" vertical="center" indent="4"/>
    </xf>
    <xf numFmtId="5" fontId="0" fillId="3" borderId="0" xfId="0" applyNumberFormat="1" applyFill="1" applyAlignment="1">
      <alignment vertical="center"/>
    </xf>
    <xf numFmtId="0" fontId="12" fillId="2" borderId="16" xfId="0" applyFont="1" applyFill="1" applyBorder="1" applyAlignment="1">
      <alignment horizontal="left" vertical="center" indent="4"/>
    </xf>
    <xf numFmtId="5" fontId="12" fillId="2" borderId="0" xfId="0" applyNumberFormat="1" applyFont="1" applyFill="1" applyAlignment="1">
      <alignment vertical="center"/>
    </xf>
    <xf numFmtId="6" fontId="12" fillId="2" borderId="0" xfId="0" applyNumberFormat="1" applyFont="1" applyFill="1" applyAlignment="1">
      <alignment vertical="center"/>
    </xf>
    <xf numFmtId="8" fontId="13" fillId="2" borderId="0" xfId="0" applyNumberFormat="1" applyFont="1" applyFill="1" applyAlignment="1">
      <alignment vertical="center"/>
    </xf>
    <xf numFmtId="8" fontId="15" fillId="2" borderId="0" xfId="0" applyNumberFormat="1" applyFont="1" applyFill="1" applyAlignment="1">
      <alignment vertical="center" wrapText="1"/>
    </xf>
    <xf numFmtId="9" fontId="13" fillId="2" borderId="0" xfId="0" applyNumberFormat="1" applyFont="1" applyFill="1" applyAlignment="1">
      <alignment vertical="center"/>
    </xf>
    <xf numFmtId="10" fontId="14" fillId="2" borderId="7" xfId="0" applyNumberFormat="1" applyFont="1" applyFill="1" applyBorder="1" applyAlignment="1">
      <alignment horizontal="center" vertical="center"/>
    </xf>
    <xf numFmtId="0" fontId="0" fillId="2" borderId="6" xfId="0" applyFill="1" applyBorder="1" applyAlignment="1">
      <alignment horizontal="left" vertical="center"/>
    </xf>
    <xf numFmtId="0" fontId="0" fillId="2" borderId="0" xfId="0" applyFill="1" applyAlignment="1">
      <alignment horizontal="left" vertical="center"/>
    </xf>
    <xf numFmtId="0" fontId="0" fillId="2" borderId="7" xfId="0" applyFill="1" applyBorder="1" applyAlignment="1">
      <alignment horizontal="left" vertical="center"/>
    </xf>
    <xf numFmtId="0" fontId="0" fillId="3" borderId="4" xfId="0" applyFill="1" applyBorder="1" applyAlignment="1">
      <alignment vertical="center"/>
    </xf>
    <xf numFmtId="0" fontId="7" fillId="0" borderId="1" xfId="0" applyFont="1" applyBorder="1" applyAlignment="1">
      <alignment horizontal="left" vertical="center" indent="2"/>
    </xf>
    <xf numFmtId="0" fontId="0" fillId="3" borderId="24" xfId="0" applyFill="1" applyBorder="1" applyAlignment="1">
      <alignment vertical="center"/>
    </xf>
    <xf numFmtId="0" fontId="16" fillId="2" borderId="5" xfId="0" applyFont="1" applyFill="1" applyBorder="1" applyAlignment="1">
      <alignment horizontal="left" vertical="center" indent="2"/>
    </xf>
    <xf numFmtId="0" fontId="16" fillId="2" borderId="2" xfId="0" applyFont="1" applyFill="1" applyBorder="1" applyAlignment="1">
      <alignment vertical="center"/>
    </xf>
    <xf numFmtId="0" fontId="14" fillId="2" borderId="1" xfId="0" applyFont="1" applyFill="1" applyBorder="1" applyAlignment="1">
      <alignment horizontal="center" vertical="center"/>
    </xf>
    <xf numFmtId="165" fontId="14" fillId="2" borderId="1" xfId="0" applyNumberFormat="1" applyFont="1" applyFill="1" applyBorder="1" applyAlignment="1">
      <alignment horizontal="center" vertical="center"/>
    </xf>
    <xf numFmtId="0" fontId="17" fillId="3" borderId="0" xfId="0" applyFont="1" applyFill="1" applyAlignment="1">
      <alignment horizontal="left" vertical="center"/>
    </xf>
    <xf numFmtId="3" fontId="14" fillId="2" borderId="9" xfId="0" applyNumberFormat="1" applyFont="1" applyFill="1" applyBorder="1" applyAlignment="1">
      <alignment horizontal="center" vertical="center"/>
    </xf>
    <xf numFmtId="3" fontId="14" fillId="2" borderId="28" xfId="0" applyNumberFormat="1" applyFont="1" applyFill="1" applyBorder="1" applyAlignment="1">
      <alignment horizontal="center" vertical="center"/>
    </xf>
    <xf numFmtId="166" fontId="16" fillId="2" borderId="9" xfId="0" applyNumberFormat="1" applyFont="1" applyFill="1" applyBorder="1" applyAlignment="1">
      <alignment horizontal="center" vertical="center"/>
    </xf>
    <xf numFmtId="0" fontId="17" fillId="3" borderId="0" xfId="0" applyFont="1" applyFill="1" applyAlignment="1">
      <alignment vertical="center"/>
    </xf>
    <xf numFmtId="164" fontId="16" fillId="2" borderId="9" xfId="0" applyNumberFormat="1" applyFont="1" applyFill="1" applyBorder="1" applyAlignment="1">
      <alignment horizontal="center" vertical="center"/>
    </xf>
    <xf numFmtId="166" fontId="16" fillId="2" borderId="28" xfId="0" applyNumberFormat="1" applyFont="1" applyFill="1" applyBorder="1" applyAlignment="1">
      <alignment horizontal="center" vertical="center"/>
    </xf>
    <xf numFmtId="166" fontId="14" fillId="2" borderId="9" xfId="0" applyNumberFormat="1" applyFont="1" applyFill="1" applyBorder="1" applyAlignment="1">
      <alignment horizontal="center" vertical="center"/>
    </xf>
    <xf numFmtId="0" fontId="16" fillId="2" borderId="5" xfId="0" applyFont="1" applyFill="1" applyBorder="1" applyAlignment="1">
      <alignment horizontal="left" vertical="center" indent="8"/>
    </xf>
    <xf numFmtId="0" fontId="16" fillId="2" borderId="2" xfId="0" applyFont="1" applyFill="1" applyBorder="1" applyAlignment="1">
      <alignment horizontal="left" vertical="center" indent="8"/>
    </xf>
    <xf numFmtId="0" fontId="16" fillId="2" borderId="12" xfId="0" applyFont="1" applyFill="1" applyBorder="1" applyAlignment="1">
      <alignment horizontal="left" vertical="center" indent="8"/>
    </xf>
    <xf numFmtId="0" fontId="0" fillId="3" borderId="0" xfId="0" applyFill="1" applyAlignment="1">
      <alignment horizontal="left" vertical="center" indent="2"/>
    </xf>
    <xf numFmtId="0" fontId="0" fillId="3" borderId="0" xfId="0" applyFill="1" applyAlignment="1">
      <alignment horizontal="center" vertical="center"/>
    </xf>
    <xf numFmtId="0" fontId="14" fillId="2" borderId="7" xfId="0" applyFont="1" applyFill="1" applyBorder="1" applyAlignment="1">
      <alignment horizontal="center" vertical="center"/>
    </xf>
    <xf numFmtId="0" fontId="16" fillId="2" borderId="20" xfId="0" applyFont="1" applyFill="1" applyBorder="1" applyAlignment="1">
      <alignment horizontal="left" vertical="center" indent="4"/>
    </xf>
    <xf numFmtId="166" fontId="14" fillId="2" borderId="14" xfId="0" applyNumberFormat="1" applyFont="1" applyFill="1" applyBorder="1" applyAlignment="1">
      <alignment horizontal="center" vertical="center"/>
    </xf>
    <xf numFmtId="164" fontId="14" fillId="2" borderId="9" xfId="0" applyNumberFormat="1" applyFont="1" applyFill="1" applyBorder="1" applyAlignment="1">
      <alignment horizontal="center" vertical="center"/>
    </xf>
    <xf numFmtId="9" fontId="14" fillId="2" borderId="14" xfId="0" applyNumberFormat="1" applyFont="1" applyFill="1" applyBorder="1" applyAlignment="1">
      <alignment horizontal="center" vertical="center"/>
    </xf>
    <xf numFmtId="166" fontId="16" fillId="2" borderId="14" xfId="0" applyNumberFormat="1" applyFont="1" applyFill="1" applyBorder="1" applyAlignment="1">
      <alignment horizontal="center" vertical="center"/>
    </xf>
    <xf numFmtId="0" fontId="1" fillId="3" borderId="0" xfId="0" applyFont="1" applyFill="1" applyAlignment="1">
      <alignment vertical="center"/>
    </xf>
    <xf numFmtId="9" fontId="16" fillId="2" borderId="9" xfId="0" applyNumberFormat="1" applyFont="1" applyFill="1" applyBorder="1" applyAlignment="1">
      <alignment horizontal="center" vertical="center"/>
    </xf>
    <xf numFmtId="10" fontId="16" fillId="2" borderId="9" xfId="0" applyNumberFormat="1" applyFont="1" applyFill="1" applyBorder="1" applyAlignment="1">
      <alignment horizontal="center" vertical="center"/>
    </xf>
    <xf numFmtId="10" fontId="16" fillId="2" borderId="9" xfId="1" applyNumberFormat="1" applyFont="1" applyFill="1" applyBorder="1" applyAlignment="1">
      <alignment horizontal="center" vertical="center"/>
    </xf>
    <xf numFmtId="0" fontId="19" fillId="3" borderId="0" xfId="0" applyFont="1" applyFill="1" applyAlignment="1">
      <alignment horizontal="left" vertical="center" indent="2"/>
    </xf>
    <xf numFmtId="164" fontId="0" fillId="3" borderId="0" xfId="0" applyNumberFormat="1" applyFill="1" applyAlignment="1">
      <alignment horizontal="center" vertical="center"/>
    </xf>
    <xf numFmtId="0" fontId="0" fillId="0" borderId="0" xfId="0" applyAlignment="1">
      <alignment horizontal="center" vertical="center"/>
    </xf>
    <xf numFmtId="0" fontId="9" fillId="3" borderId="0" xfId="0" applyFont="1" applyFill="1" applyAlignment="1">
      <alignment vertical="center"/>
    </xf>
    <xf numFmtId="0" fontId="0" fillId="0" borderId="7" xfId="0" applyBorder="1" applyAlignment="1">
      <alignment vertical="center"/>
    </xf>
    <xf numFmtId="0" fontId="16" fillId="2" borderId="13" xfId="0" applyFont="1" applyFill="1" applyBorder="1" applyAlignment="1">
      <alignment horizontal="left" vertical="center" indent="2"/>
    </xf>
    <xf numFmtId="0" fontId="18" fillId="2" borderId="15" xfId="0" applyFont="1" applyFill="1" applyBorder="1" applyAlignment="1">
      <alignment horizontal="left" vertical="center" indent="2"/>
    </xf>
    <xf numFmtId="0" fontId="14" fillId="2" borderId="15" xfId="0" applyFont="1" applyFill="1" applyBorder="1" applyAlignment="1">
      <alignment horizontal="left" vertical="center" indent="2"/>
    </xf>
    <xf numFmtId="0" fontId="18" fillId="2" borderId="13" xfId="0" applyFont="1" applyFill="1" applyBorder="1" applyAlignment="1">
      <alignment horizontal="left" vertical="center" indent="4"/>
    </xf>
    <xf numFmtId="0" fontId="16" fillId="2" borderId="13" xfId="0" applyFont="1" applyFill="1" applyBorder="1" applyAlignment="1">
      <alignment horizontal="left" vertical="center" indent="6"/>
    </xf>
    <xf numFmtId="0" fontId="16" fillId="2" borderId="13" xfId="0" applyFont="1" applyFill="1" applyBorder="1" applyAlignment="1">
      <alignment horizontal="left" vertical="center" indent="8"/>
    </xf>
    <xf numFmtId="0" fontId="16" fillId="2" borderId="13" xfId="0" applyFont="1" applyFill="1" applyBorder="1" applyAlignment="1">
      <alignment horizontal="left" vertical="center" indent="4"/>
    </xf>
    <xf numFmtId="164" fontId="20" fillId="3" borderId="0" xfId="1" applyNumberFormat="1" applyFont="1" applyFill="1" applyBorder="1" applyAlignment="1">
      <alignment vertical="center"/>
    </xf>
    <xf numFmtId="0" fontId="9" fillId="3" borderId="0" xfId="0" applyFont="1" applyFill="1" applyAlignment="1">
      <alignment horizontal="center" vertical="center"/>
    </xf>
    <xf numFmtId="164" fontId="8" fillId="3" borderId="0" xfId="1" applyNumberFormat="1" applyFont="1" applyFill="1" applyBorder="1" applyAlignment="1">
      <alignment vertical="center"/>
    </xf>
    <xf numFmtId="0" fontId="11" fillId="2" borderId="1" xfId="0" applyFont="1" applyFill="1" applyBorder="1" applyAlignment="1">
      <alignment horizontal="left" vertical="center" indent="2"/>
    </xf>
    <xf numFmtId="0" fontId="18" fillId="2" borderId="13" xfId="0" applyFont="1" applyFill="1" applyBorder="1" applyAlignment="1">
      <alignment horizontal="left" vertical="center" indent="2"/>
    </xf>
    <xf numFmtId="0" fontId="21" fillId="2" borderId="13" xfId="0" applyFont="1" applyFill="1" applyBorder="1" applyAlignment="1">
      <alignment horizontal="left" vertical="center" indent="2"/>
    </xf>
    <xf numFmtId="166" fontId="21" fillId="2" borderId="9" xfId="0" applyNumberFormat="1" applyFont="1" applyFill="1" applyBorder="1" applyAlignment="1">
      <alignment horizontal="center" vertical="center"/>
    </xf>
    <xf numFmtId="1" fontId="16" fillId="2" borderId="9" xfId="0" applyNumberFormat="1" applyFont="1" applyFill="1" applyBorder="1" applyAlignment="1">
      <alignment horizontal="center" vertical="center"/>
    </xf>
    <xf numFmtId="164" fontId="21" fillId="2" borderId="9" xfId="0" applyNumberFormat="1" applyFont="1" applyFill="1" applyBorder="1" applyAlignment="1">
      <alignment horizontal="center" vertical="center"/>
    </xf>
    <xf numFmtId="10" fontId="16" fillId="2" borderId="9" xfId="0" applyNumberFormat="1" applyFont="1" applyFill="1" applyBorder="1" applyAlignment="1">
      <alignment horizontal="center" vertical="center" wrapText="1"/>
    </xf>
    <xf numFmtId="3" fontId="16" fillId="2" borderId="9" xfId="0" applyNumberFormat="1" applyFont="1" applyFill="1" applyBorder="1" applyAlignment="1">
      <alignment horizontal="center" vertical="center"/>
    </xf>
    <xf numFmtId="9" fontId="16" fillId="2" borderId="9" xfId="1" applyFont="1" applyFill="1" applyBorder="1" applyAlignment="1">
      <alignment horizontal="center" vertical="center"/>
    </xf>
    <xf numFmtId="0" fontId="16" fillId="2" borderId="13" xfId="0" applyFont="1" applyFill="1" applyBorder="1" applyAlignment="1">
      <alignment horizontal="left" vertical="center" indent="7"/>
    </xf>
    <xf numFmtId="166" fontId="16" fillId="2" borderId="9" xfId="0" applyNumberFormat="1" applyFont="1" applyFill="1" applyBorder="1" applyAlignment="1">
      <alignment horizontal="center" vertical="center" wrapText="1"/>
    </xf>
    <xf numFmtId="0" fontId="0" fillId="3" borderId="34" xfId="0" applyFill="1" applyBorder="1" applyAlignment="1">
      <alignment vertical="center"/>
    </xf>
    <xf numFmtId="166" fontId="16" fillId="2" borderId="3" xfId="0" applyNumberFormat="1" applyFont="1" applyFill="1" applyBorder="1" applyAlignment="1">
      <alignment horizontal="center" vertical="center"/>
    </xf>
    <xf numFmtId="0" fontId="0" fillId="3" borderId="22" xfId="0" applyFill="1" applyBorder="1" applyAlignment="1">
      <alignment vertical="center"/>
    </xf>
    <xf numFmtId="165" fontId="14" fillId="2" borderId="22" xfId="0" applyNumberFormat="1" applyFont="1" applyFill="1" applyBorder="1" applyAlignment="1">
      <alignment horizontal="center" vertical="center"/>
    </xf>
    <xf numFmtId="164" fontId="21" fillId="2" borderId="29" xfId="0" applyNumberFormat="1" applyFont="1" applyFill="1" applyBorder="1" applyAlignment="1">
      <alignment horizontal="center" vertical="center"/>
    </xf>
    <xf numFmtId="164" fontId="0" fillId="3" borderId="0" xfId="0" applyNumberFormat="1" applyFill="1" applyAlignment="1">
      <alignment horizontal="left" vertical="center" indent="2"/>
    </xf>
    <xf numFmtId="10" fontId="0" fillId="3" borderId="0" xfId="1" applyNumberFormat="1" applyFont="1" applyFill="1" applyAlignment="1">
      <alignment horizontal="left" vertical="center" indent="2"/>
    </xf>
    <xf numFmtId="168" fontId="0" fillId="3" borderId="0" xfId="0" applyNumberFormat="1" applyFill="1" applyAlignment="1">
      <alignment horizontal="left" vertical="center" indent="2"/>
    </xf>
    <xf numFmtId="0" fontId="19" fillId="3" borderId="0" xfId="0" applyFont="1" applyFill="1" applyAlignment="1">
      <alignment vertical="center"/>
    </xf>
    <xf numFmtId="164" fontId="0" fillId="3" borderId="0" xfId="1" applyNumberFormat="1" applyFont="1" applyFill="1" applyAlignment="1">
      <alignment horizontal="left" vertical="center" indent="2"/>
    </xf>
    <xf numFmtId="43" fontId="0" fillId="0" borderId="0" xfId="3" applyFont="1" applyAlignment="1">
      <alignment vertical="center"/>
    </xf>
    <xf numFmtId="0" fontId="0" fillId="2" borderId="27" xfId="0" applyFill="1" applyBorder="1" applyAlignment="1">
      <alignment vertical="center"/>
    </xf>
    <xf numFmtId="43" fontId="0" fillId="3" borderId="0" xfId="3" applyFont="1" applyFill="1" applyAlignment="1">
      <alignment vertical="center"/>
    </xf>
    <xf numFmtId="43" fontId="9" fillId="3" borderId="0" xfId="3" applyFont="1" applyFill="1" applyAlignment="1">
      <alignment vertical="center"/>
    </xf>
    <xf numFmtId="0" fontId="0" fillId="3" borderId="23" xfId="0" applyFill="1" applyBorder="1" applyAlignment="1">
      <alignment horizontal="left" vertical="center"/>
    </xf>
    <xf numFmtId="166" fontId="22" fillId="2" borderId="9" xfId="0" applyNumberFormat="1" applyFont="1" applyFill="1" applyBorder="1" applyAlignment="1">
      <alignment horizontal="center" vertical="center"/>
    </xf>
    <xf numFmtId="0" fontId="14" fillId="2" borderId="30" xfId="0" applyFont="1" applyFill="1" applyBorder="1" applyAlignment="1">
      <alignment horizontal="center" vertical="center"/>
    </xf>
    <xf numFmtId="0" fontId="14" fillId="2" borderId="17" xfId="0" applyFont="1" applyFill="1" applyBorder="1" applyAlignment="1">
      <alignment horizontal="left" vertical="center" indent="4"/>
    </xf>
    <xf numFmtId="0" fontId="0" fillId="3" borderId="23" xfId="0" applyFill="1" applyBorder="1" applyAlignment="1">
      <alignment vertical="center"/>
    </xf>
    <xf numFmtId="0" fontId="16" fillId="2" borderId="17" xfId="0" applyFont="1" applyFill="1" applyBorder="1" applyAlignment="1">
      <alignment horizontal="left" vertical="center" indent="4"/>
    </xf>
    <xf numFmtId="3" fontId="16" fillId="2" borderId="28" xfId="0" applyNumberFormat="1" applyFont="1" applyFill="1" applyBorder="1" applyAlignment="1">
      <alignment horizontal="center" vertical="center"/>
    </xf>
    <xf numFmtId="0" fontId="18" fillId="2" borderId="17" xfId="0" applyFont="1" applyFill="1" applyBorder="1" applyAlignment="1">
      <alignment horizontal="left" vertical="center" indent="4"/>
    </xf>
    <xf numFmtId="164" fontId="16" fillId="2" borderId="9" xfId="1" applyNumberFormat="1" applyFont="1" applyFill="1" applyBorder="1" applyAlignment="1">
      <alignment horizontal="center" vertical="center"/>
    </xf>
    <xf numFmtId="164" fontId="16" fillId="2" borderId="29" xfId="1" applyNumberFormat="1" applyFont="1" applyFill="1" applyBorder="1" applyAlignment="1">
      <alignment horizontal="center" vertical="center"/>
    </xf>
    <xf numFmtId="164" fontId="16" fillId="2" borderId="28" xfId="1" applyNumberFormat="1" applyFont="1" applyFill="1" applyBorder="1" applyAlignment="1">
      <alignment horizontal="center" vertical="center"/>
    </xf>
    <xf numFmtId="3" fontId="0" fillId="3" borderId="0" xfId="0" applyNumberFormat="1" applyFill="1" applyAlignment="1">
      <alignment vertical="center"/>
    </xf>
    <xf numFmtId="0" fontId="0" fillId="0" borderId="26" xfId="0" applyBorder="1" applyAlignment="1">
      <alignment vertical="center"/>
    </xf>
    <xf numFmtId="0" fontId="0" fillId="2" borderId="0" xfId="0" applyFill="1" applyAlignment="1">
      <alignment vertical="center"/>
    </xf>
    <xf numFmtId="0" fontId="16" fillId="2" borderId="12" xfId="0" applyFont="1" applyFill="1" applyBorder="1" applyAlignment="1">
      <alignment horizontal="center" vertical="center"/>
    </xf>
    <xf numFmtId="4" fontId="16" fillId="2" borderId="9" xfId="0" applyNumberFormat="1" applyFont="1" applyFill="1" applyBorder="1" applyAlignment="1">
      <alignment horizontal="center" vertical="center"/>
    </xf>
    <xf numFmtId="0" fontId="16" fillId="2" borderId="32" xfId="0" applyFont="1" applyFill="1" applyBorder="1" applyAlignment="1">
      <alignment horizontal="center" vertical="center"/>
    </xf>
    <xf numFmtId="0" fontId="14" fillId="2" borderId="31" xfId="0" applyFont="1" applyFill="1" applyBorder="1" applyAlignment="1">
      <alignment horizontal="center" vertical="center"/>
    </xf>
    <xf numFmtId="2" fontId="16" fillId="2" borderId="9" xfId="1" applyNumberFormat="1" applyFont="1" applyFill="1" applyBorder="1" applyAlignment="1">
      <alignment horizontal="center" vertical="center"/>
    </xf>
    <xf numFmtId="167" fontId="16" fillId="2" borderId="9" xfId="1" applyNumberFormat="1" applyFont="1" applyFill="1" applyBorder="1" applyAlignment="1">
      <alignment horizontal="center" vertical="center"/>
    </xf>
    <xf numFmtId="0" fontId="0" fillId="2" borderId="1" xfId="0" applyFill="1" applyBorder="1" applyAlignment="1">
      <alignment vertical="center"/>
    </xf>
    <xf numFmtId="0" fontId="10" fillId="2" borderId="1" xfId="0" applyFont="1" applyFill="1" applyBorder="1" applyAlignment="1">
      <alignment horizontal="left" vertical="center" indent="2"/>
    </xf>
    <xf numFmtId="0" fontId="16" fillId="2" borderId="17" xfId="0" applyFont="1" applyFill="1" applyBorder="1" applyAlignment="1">
      <alignment horizontal="left" vertical="center" indent="2"/>
    </xf>
    <xf numFmtId="0" fontId="14" fillId="2" borderId="18" xfId="0" applyFont="1" applyFill="1" applyBorder="1" applyAlignment="1">
      <alignment horizontal="left" vertical="center" indent="2"/>
    </xf>
    <xf numFmtId="166" fontId="14" fillId="2" borderId="19" xfId="0" applyNumberFormat="1" applyFont="1" applyFill="1" applyBorder="1" applyAlignment="1">
      <alignment horizontal="center" vertical="center"/>
    </xf>
    <xf numFmtId="166" fontId="0" fillId="3" borderId="0" xfId="0" applyNumberFormat="1" applyFill="1" applyAlignment="1">
      <alignment vertical="center"/>
    </xf>
    <xf numFmtId="0" fontId="22" fillId="2" borderId="17" xfId="0" applyFont="1" applyFill="1" applyBorder="1" applyAlignment="1">
      <alignment horizontal="left" vertical="center" indent="2"/>
    </xf>
    <xf numFmtId="0" fontId="14" fillId="2" borderId="17" xfId="0" applyFont="1" applyFill="1" applyBorder="1" applyAlignment="1">
      <alignment horizontal="left" vertical="center" indent="2"/>
    </xf>
    <xf numFmtId="0" fontId="14" fillId="2" borderId="13" xfId="0" applyFont="1" applyFill="1" applyBorder="1" applyAlignment="1">
      <alignment horizontal="left" vertical="center" indent="4"/>
    </xf>
    <xf numFmtId="9" fontId="16" fillId="2" borderId="12" xfId="1" applyFont="1" applyFill="1" applyBorder="1" applyAlignment="1">
      <alignment horizontal="center" vertical="center"/>
    </xf>
    <xf numFmtId="0" fontId="23" fillId="2" borderId="13" xfId="0" applyFont="1" applyFill="1" applyBorder="1" applyAlignment="1">
      <alignment horizontal="left" vertical="center" indent="4"/>
    </xf>
    <xf numFmtId="0" fontId="17" fillId="0" borderId="0" xfId="0" applyFont="1" applyAlignment="1">
      <alignment wrapText="1"/>
    </xf>
    <xf numFmtId="0" fontId="24" fillId="0" borderId="0" xfId="2" applyFont="1"/>
    <xf numFmtId="0" fontId="25" fillId="0" borderId="0" xfId="2" applyFont="1"/>
    <xf numFmtId="0" fontId="17" fillId="0" borderId="0" xfId="2" applyFont="1"/>
    <xf numFmtId="0" fontId="16" fillId="2" borderId="13" xfId="0" applyFont="1" applyFill="1" applyBorder="1" applyAlignment="1">
      <alignment horizontal="left" vertical="center"/>
    </xf>
    <xf numFmtId="166" fontId="16" fillId="2" borderId="36" xfId="0" applyNumberFormat="1" applyFont="1" applyFill="1" applyBorder="1" applyAlignment="1">
      <alignment horizontal="center" vertical="center"/>
    </xf>
    <xf numFmtId="3" fontId="16" fillId="2" borderId="29" xfId="0" applyNumberFormat="1" applyFont="1" applyFill="1" applyBorder="1" applyAlignment="1">
      <alignment horizontal="center" vertical="center"/>
    </xf>
    <xf numFmtId="4" fontId="0" fillId="3" borderId="0" xfId="0" applyNumberFormat="1" applyFill="1" applyAlignment="1">
      <alignment vertical="center"/>
    </xf>
    <xf numFmtId="0" fontId="0" fillId="2" borderId="39" xfId="0" applyFill="1" applyBorder="1" applyAlignment="1">
      <alignment vertical="center"/>
    </xf>
    <xf numFmtId="0" fontId="10" fillId="2" borderId="39" xfId="0" applyFont="1" applyFill="1" applyBorder="1" applyAlignment="1">
      <alignment horizontal="left" vertical="center" indent="2"/>
    </xf>
    <xf numFmtId="0" fontId="11" fillId="2" borderId="39" xfId="0" applyFont="1" applyFill="1" applyBorder="1" applyAlignment="1">
      <alignment horizontal="left" vertical="center" indent="2"/>
    </xf>
    <xf numFmtId="43" fontId="0" fillId="3" borderId="0" xfId="3" applyFont="1" applyFill="1" applyBorder="1" applyAlignment="1">
      <alignment vertical="center"/>
    </xf>
    <xf numFmtId="0" fontId="0" fillId="2" borderId="40" xfId="0" applyFill="1" applyBorder="1" applyAlignment="1">
      <alignment vertical="center"/>
    </xf>
    <xf numFmtId="0" fontId="0" fillId="2" borderId="41" xfId="0" applyFill="1" applyBorder="1" applyAlignment="1">
      <alignment vertical="center"/>
    </xf>
    <xf numFmtId="43" fontId="0" fillId="2" borderId="41" xfId="3" applyFont="1" applyFill="1" applyBorder="1" applyAlignment="1">
      <alignment vertical="center"/>
    </xf>
    <xf numFmtId="0" fontId="11" fillId="2" borderId="41" xfId="0" applyFont="1" applyFill="1" applyBorder="1" applyAlignment="1">
      <alignment horizontal="left" vertical="center" indent="2"/>
    </xf>
    <xf numFmtId="165" fontId="14" fillId="2" borderId="30" xfId="0" applyNumberFormat="1" applyFont="1" applyFill="1" applyBorder="1" applyAlignment="1">
      <alignment horizontal="center" vertical="center"/>
    </xf>
    <xf numFmtId="169" fontId="0" fillId="3" borderId="0" xfId="0" applyNumberFormat="1" applyFill="1" applyAlignment="1">
      <alignment vertical="center"/>
    </xf>
    <xf numFmtId="14" fontId="12" fillId="2" borderId="42" xfId="0" applyNumberFormat="1" applyFont="1" applyFill="1" applyBorder="1" applyAlignment="1">
      <alignment horizontal="center" vertical="center"/>
    </xf>
    <xf numFmtId="0" fontId="13" fillId="2" borderId="1" xfId="0" applyFont="1" applyFill="1" applyBorder="1" applyAlignment="1">
      <alignment horizontal="center" vertical="center"/>
    </xf>
    <xf numFmtId="0" fontId="12" fillId="2" borderId="43" xfId="0" applyFont="1" applyFill="1" applyBorder="1" applyAlignment="1">
      <alignment horizontal="left" vertical="center" indent="5"/>
    </xf>
    <xf numFmtId="10" fontId="12" fillId="2" borderId="9" xfId="1" applyNumberFormat="1" applyFont="1" applyFill="1" applyBorder="1" applyAlignment="1">
      <alignment horizontal="center" vertical="center"/>
    </xf>
    <xf numFmtId="0" fontId="13" fillId="2" borderId="43" xfId="0" applyFont="1" applyFill="1" applyBorder="1" applyAlignment="1">
      <alignment horizontal="left" vertical="center" indent="2"/>
    </xf>
    <xf numFmtId="10" fontId="13" fillId="2" borderId="9" xfId="1" applyNumberFormat="1" applyFont="1" applyFill="1" applyBorder="1" applyAlignment="1">
      <alignment horizontal="center" vertical="center"/>
    </xf>
    <xf numFmtId="4" fontId="12" fillId="2" borderId="9" xfId="0" applyNumberFormat="1" applyFont="1" applyFill="1" applyBorder="1" applyAlignment="1">
      <alignment horizontal="center" vertical="center"/>
    </xf>
    <xf numFmtId="164" fontId="12" fillId="2" borderId="9" xfId="1" applyNumberFormat="1" applyFont="1" applyFill="1" applyBorder="1" applyAlignment="1">
      <alignment horizontal="center" vertical="center"/>
    </xf>
    <xf numFmtId="10" fontId="13" fillId="2" borderId="1" xfId="1" applyNumberFormat="1" applyFont="1" applyFill="1" applyBorder="1" applyAlignment="1">
      <alignment horizontal="center" vertical="center"/>
    </xf>
    <xf numFmtId="3" fontId="12" fillId="2" borderId="11" xfId="0" applyNumberFormat="1" applyFont="1" applyFill="1" applyBorder="1" applyAlignment="1">
      <alignment horizontal="center" vertical="center"/>
    </xf>
    <xf numFmtId="3" fontId="12" fillId="2" borderId="9" xfId="0" applyNumberFormat="1" applyFont="1" applyFill="1" applyBorder="1" applyAlignment="1">
      <alignment horizontal="center" vertical="center"/>
    </xf>
    <xf numFmtId="0" fontId="13" fillId="2" borderId="0" xfId="0" applyFont="1" applyFill="1" applyAlignment="1">
      <alignment horizontal="center" vertical="center"/>
    </xf>
    <xf numFmtId="0" fontId="0" fillId="3" borderId="34" xfId="0" applyFill="1" applyBorder="1" applyAlignment="1">
      <alignment horizontal="left" vertical="center"/>
    </xf>
    <xf numFmtId="10" fontId="13" fillId="2" borderId="3" xfId="1" applyNumberFormat="1" applyFont="1" applyFill="1" applyBorder="1" applyAlignment="1">
      <alignment horizontal="center" vertical="center"/>
    </xf>
    <xf numFmtId="164" fontId="12" fillId="2" borderId="3" xfId="1" applyNumberFormat="1" applyFont="1" applyFill="1" applyBorder="1" applyAlignment="1">
      <alignment horizontal="center" vertical="center"/>
    </xf>
    <xf numFmtId="10" fontId="13" fillId="2" borderId="0" xfId="1" applyNumberFormat="1" applyFont="1" applyFill="1" applyBorder="1" applyAlignment="1">
      <alignment horizontal="center" vertical="center"/>
    </xf>
    <xf numFmtId="0" fontId="11" fillId="0" borderId="1" xfId="0" applyFont="1" applyBorder="1" applyAlignment="1">
      <alignment horizontal="left" vertical="center" indent="3"/>
    </xf>
    <xf numFmtId="0" fontId="7" fillId="0" borderId="1" xfId="0" applyFont="1" applyBorder="1" applyAlignment="1">
      <alignment horizontal="left" vertical="center" indent="3"/>
    </xf>
    <xf numFmtId="9" fontId="0" fillId="3" borderId="0" xfId="0" applyNumberFormat="1" applyFill="1" applyAlignment="1">
      <alignment vertical="center"/>
    </xf>
    <xf numFmtId="10" fontId="0" fillId="3" borderId="0" xfId="0" applyNumberFormat="1" applyFill="1" applyAlignment="1">
      <alignment vertical="center"/>
    </xf>
    <xf numFmtId="10" fontId="13" fillId="2" borderId="0" xfId="0" applyNumberFormat="1" applyFont="1" applyFill="1" applyAlignment="1">
      <alignment vertical="center"/>
    </xf>
    <xf numFmtId="0" fontId="13" fillId="2" borderId="44" xfId="0" applyFont="1" applyFill="1" applyBorder="1" applyAlignment="1">
      <alignment horizontal="left" vertical="center" indent="2"/>
    </xf>
    <xf numFmtId="2" fontId="12" fillId="2" borderId="45" xfId="1" applyNumberFormat="1" applyFont="1" applyFill="1" applyBorder="1" applyAlignment="1">
      <alignment horizontal="center" vertical="center"/>
    </xf>
    <xf numFmtId="2" fontId="12" fillId="2" borderId="46" xfId="1" applyNumberFormat="1" applyFont="1" applyFill="1" applyBorder="1" applyAlignment="1">
      <alignment horizontal="center" vertical="center"/>
    </xf>
    <xf numFmtId="0" fontId="17" fillId="3" borderId="34" xfId="0" applyFont="1" applyFill="1" applyBorder="1" applyAlignment="1">
      <alignment horizontal="left" vertical="center"/>
    </xf>
    <xf numFmtId="164" fontId="0" fillId="3" borderId="0" xfId="0" applyNumberFormat="1" applyFill="1" applyAlignment="1">
      <alignment vertical="center"/>
    </xf>
    <xf numFmtId="166" fontId="16" fillId="2" borderId="48" xfId="0" applyNumberFormat="1" applyFont="1" applyFill="1" applyBorder="1" applyAlignment="1">
      <alignment horizontal="center" vertical="center"/>
    </xf>
    <xf numFmtId="0" fontId="0" fillId="3" borderId="47" xfId="0" applyFill="1" applyBorder="1" applyAlignment="1">
      <alignment vertical="center"/>
    </xf>
    <xf numFmtId="167" fontId="16" fillId="2" borderId="48" xfId="1" applyNumberFormat="1" applyFont="1" applyFill="1" applyBorder="1" applyAlignment="1">
      <alignment horizontal="center" vertical="center"/>
    </xf>
    <xf numFmtId="10" fontId="16" fillId="2" borderId="48" xfId="1" applyNumberFormat="1" applyFont="1" applyFill="1" applyBorder="1" applyAlignment="1">
      <alignment horizontal="center" vertical="center"/>
    </xf>
    <xf numFmtId="0" fontId="0" fillId="3" borderId="47" xfId="0" applyFill="1" applyBorder="1" applyAlignment="1">
      <alignment horizontal="left" vertical="center"/>
    </xf>
    <xf numFmtId="0" fontId="0" fillId="3" borderId="47" xfId="0" applyFill="1" applyBorder="1" applyAlignment="1">
      <alignment horizontal="center" vertical="center"/>
    </xf>
    <xf numFmtId="0" fontId="16" fillId="2" borderId="1" xfId="0" applyFont="1" applyFill="1" applyBorder="1" applyAlignment="1">
      <alignment horizontal="center" vertical="center"/>
    </xf>
    <xf numFmtId="2" fontId="16" fillId="2" borderId="48" xfId="1" applyNumberFormat="1" applyFont="1" applyFill="1" applyBorder="1" applyAlignment="1">
      <alignment horizontal="center" vertical="center"/>
    </xf>
    <xf numFmtId="0" fontId="16" fillId="2" borderId="50" xfId="0" applyFont="1" applyFill="1" applyBorder="1" applyAlignment="1">
      <alignment horizontal="center" vertical="center"/>
    </xf>
    <xf numFmtId="4" fontId="16" fillId="2" borderId="48" xfId="0" applyNumberFormat="1" applyFont="1" applyFill="1" applyBorder="1" applyAlignment="1">
      <alignment horizontal="center" vertical="center"/>
    </xf>
    <xf numFmtId="10" fontId="16" fillId="2" borderId="48" xfId="0" applyNumberFormat="1" applyFont="1" applyFill="1" applyBorder="1" applyAlignment="1">
      <alignment horizontal="center" vertical="center"/>
    </xf>
    <xf numFmtId="164" fontId="16" fillId="2" borderId="48" xfId="0" applyNumberFormat="1" applyFont="1" applyFill="1" applyBorder="1" applyAlignment="1">
      <alignment horizontal="center" vertical="center"/>
    </xf>
    <xf numFmtId="166" fontId="16" fillId="2" borderId="49" xfId="0" applyNumberFormat="1" applyFont="1" applyFill="1" applyBorder="1" applyAlignment="1">
      <alignment horizontal="center" vertical="center"/>
    </xf>
    <xf numFmtId="166" fontId="0" fillId="3" borderId="47" xfId="0" applyNumberFormat="1" applyFill="1" applyBorder="1" applyAlignment="1">
      <alignment horizontal="center" vertical="center"/>
    </xf>
    <xf numFmtId="166" fontId="14" fillId="2" borderId="51" xfId="0" applyNumberFormat="1" applyFont="1" applyFill="1" applyBorder="1" applyAlignment="1">
      <alignment horizontal="center" vertical="center"/>
    </xf>
    <xf numFmtId="0" fontId="0" fillId="3" borderId="47" xfId="0" applyFill="1" applyBorder="1" applyAlignment="1">
      <alignment horizontal="left" vertical="center" indent="2"/>
    </xf>
    <xf numFmtId="0" fontId="14" fillId="2" borderId="53" xfId="0" applyFont="1" applyFill="1" applyBorder="1" applyAlignment="1">
      <alignment horizontal="left" vertical="center" indent="4"/>
    </xf>
    <xf numFmtId="3" fontId="14" fillId="2" borderId="48" xfId="0" applyNumberFormat="1" applyFont="1" applyFill="1" applyBorder="1" applyAlignment="1">
      <alignment horizontal="center" vertical="center"/>
    </xf>
    <xf numFmtId="3" fontId="14" fillId="2" borderId="49" xfId="0" applyNumberFormat="1" applyFont="1" applyFill="1" applyBorder="1" applyAlignment="1">
      <alignment horizontal="center" vertical="center"/>
    </xf>
    <xf numFmtId="3" fontId="16" fillId="2" borderId="48" xfId="0" applyNumberFormat="1" applyFont="1" applyFill="1" applyBorder="1" applyAlignment="1">
      <alignment horizontal="center" vertical="center"/>
    </xf>
    <xf numFmtId="164" fontId="16" fillId="2" borderId="48" xfId="1" applyNumberFormat="1" applyFont="1" applyFill="1" applyBorder="1" applyAlignment="1">
      <alignment horizontal="center" vertical="center"/>
    </xf>
    <xf numFmtId="3" fontId="16" fillId="2" borderId="49" xfId="0" applyNumberFormat="1" applyFont="1" applyFill="1" applyBorder="1" applyAlignment="1">
      <alignment horizontal="center" vertical="center"/>
    </xf>
    <xf numFmtId="164" fontId="16" fillId="2" borderId="49" xfId="1" applyNumberFormat="1" applyFont="1" applyFill="1" applyBorder="1" applyAlignment="1">
      <alignment horizontal="center" vertical="center"/>
    </xf>
    <xf numFmtId="164" fontId="0" fillId="3" borderId="34" xfId="1" applyNumberFormat="1" applyFont="1" applyFill="1" applyBorder="1" applyAlignment="1">
      <alignment horizontal="left" vertical="center" indent="2"/>
    </xf>
    <xf numFmtId="0" fontId="16" fillId="2" borderId="5" xfId="0" applyFont="1" applyFill="1" applyBorder="1" applyAlignment="1">
      <alignment horizontal="left" vertical="center" indent="4"/>
    </xf>
    <xf numFmtId="0" fontId="16" fillId="2" borderId="2" xfId="0" applyFont="1" applyFill="1" applyBorder="1" applyAlignment="1">
      <alignment horizontal="left" vertical="center" indent="4"/>
    </xf>
    <xf numFmtId="0" fontId="16" fillId="2" borderId="12" xfId="0" applyFont="1" applyFill="1" applyBorder="1" applyAlignment="1">
      <alignment horizontal="left" vertical="center" indent="4"/>
    </xf>
    <xf numFmtId="3" fontId="18" fillId="2" borderId="9" xfId="0" applyNumberFormat="1" applyFont="1" applyFill="1" applyBorder="1" applyAlignment="1">
      <alignment horizontal="center" vertical="center"/>
    </xf>
    <xf numFmtId="170" fontId="16" fillId="2" borderId="9" xfId="0" applyNumberFormat="1" applyFont="1" applyFill="1" applyBorder="1" applyAlignment="1">
      <alignment horizontal="center" vertical="center"/>
    </xf>
    <xf numFmtId="169" fontId="16" fillId="2" borderId="9" xfId="0" applyNumberFormat="1" applyFont="1" applyFill="1" applyBorder="1" applyAlignment="1">
      <alignment horizontal="center" vertical="center"/>
    </xf>
    <xf numFmtId="10" fontId="16" fillId="2" borderId="48" xfId="0" applyNumberFormat="1" applyFont="1" applyFill="1" applyBorder="1" applyAlignment="1">
      <alignment horizontal="left" vertical="center" indent="4"/>
    </xf>
    <xf numFmtId="10" fontId="16" fillId="2" borderId="12" xfId="1" applyNumberFormat="1" applyFont="1" applyFill="1" applyBorder="1" applyAlignment="1">
      <alignment horizontal="center" vertical="center"/>
    </xf>
    <xf numFmtId="44" fontId="0" fillId="2" borderId="1" xfId="4" applyFont="1" applyFill="1" applyBorder="1" applyAlignment="1">
      <alignment vertical="center"/>
    </xf>
    <xf numFmtId="44" fontId="0" fillId="0" borderId="0" xfId="4" applyFont="1" applyAlignment="1">
      <alignment vertical="center"/>
    </xf>
    <xf numFmtId="44" fontId="0" fillId="0" borderId="0" xfId="4" applyFont="1"/>
    <xf numFmtId="166" fontId="16" fillId="2" borderId="11" xfId="0" applyNumberFormat="1" applyFont="1" applyFill="1" applyBorder="1" applyAlignment="1">
      <alignment horizontal="center" vertical="center"/>
    </xf>
    <xf numFmtId="166" fontId="14" fillId="2" borderId="11" xfId="0" applyNumberFormat="1" applyFont="1" applyFill="1" applyBorder="1" applyAlignment="1">
      <alignment horizontal="center" vertical="center"/>
    </xf>
    <xf numFmtId="0" fontId="21" fillId="2" borderId="53" xfId="0" applyFont="1" applyFill="1" applyBorder="1" applyAlignment="1">
      <alignment horizontal="left" vertical="center" indent="2"/>
    </xf>
    <xf numFmtId="166" fontId="21" fillId="2" borderId="48" xfId="0" applyNumberFormat="1" applyFont="1" applyFill="1" applyBorder="1" applyAlignment="1">
      <alignment horizontal="center" vertical="center"/>
    </xf>
    <xf numFmtId="0" fontId="14" fillId="2" borderId="53" xfId="0" applyFont="1" applyFill="1" applyBorder="1" applyAlignment="1">
      <alignment horizontal="left" vertical="center" indent="2"/>
    </xf>
    <xf numFmtId="166" fontId="14" fillId="2" borderId="48" xfId="0" applyNumberFormat="1" applyFont="1" applyFill="1" applyBorder="1" applyAlignment="1">
      <alignment horizontal="center" vertical="center"/>
    </xf>
    <xf numFmtId="165" fontId="14" fillId="2" borderId="10" xfId="0" applyNumberFormat="1" applyFont="1" applyFill="1" applyBorder="1" applyAlignment="1">
      <alignment horizontal="center" vertical="center"/>
    </xf>
    <xf numFmtId="170" fontId="16" fillId="2" borderId="3" xfId="0" applyNumberFormat="1" applyFont="1" applyFill="1" applyBorder="1" applyAlignment="1">
      <alignment horizontal="center" vertical="center"/>
    </xf>
    <xf numFmtId="0" fontId="16" fillId="2" borderId="16" xfId="0" applyFont="1" applyFill="1" applyBorder="1" applyAlignment="1">
      <alignment horizontal="left" vertical="center"/>
    </xf>
    <xf numFmtId="0" fontId="17" fillId="3" borderId="34" xfId="0" applyFont="1" applyFill="1" applyBorder="1" applyAlignment="1">
      <alignment vertical="center"/>
    </xf>
    <xf numFmtId="166" fontId="0" fillId="3" borderId="47" xfId="0" applyNumberFormat="1" applyFill="1" applyBorder="1" applyAlignment="1">
      <alignment vertical="center"/>
    </xf>
    <xf numFmtId="171" fontId="0" fillId="3" borderId="0" xfId="0" applyNumberFormat="1" applyFill="1" applyAlignment="1">
      <alignment horizontal="center" vertical="center"/>
    </xf>
    <xf numFmtId="0" fontId="14" fillId="2" borderId="13" xfId="0" applyFont="1" applyFill="1" applyBorder="1" applyAlignment="1">
      <alignment horizontal="center" vertical="center"/>
    </xf>
    <xf numFmtId="49" fontId="16" fillId="2" borderId="13" xfId="0" applyNumberFormat="1" applyFont="1" applyFill="1" applyBorder="1" applyAlignment="1">
      <alignment horizontal="left" vertical="center"/>
    </xf>
    <xf numFmtId="166" fontId="16" fillId="2" borderId="28" xfId="0" applyNumberFormat="1" applyFont="1" applyFill="1" applyBorder="1" applyAlignment="1">
      <alignment horizontal="center" vertical="center" wrapText="1"/>
    </xf>
    <xf numFmtId="166" fontId="16" fillId="2" borderId="48" xfId="0" applyNumberFormat="1" applyFont="1" applyFill="1" applyBorder="1" applyAlignment="1">
      <alignment horizontal="center" vertical="center" wrapText="1"/>
    </xf>
    <xf numFmtId="166" fontId="16" fillId="2" borderId="49" xfId="0" applyNumberFormat="1" applyFont="1" applyFill="1" applyBorder="1" applyAlignment="1">
      <alignment horizontal="center" vertical="center" wrapText="1"/>
    </xf>
    <xf numFmtId="3" fontId="16" fillId="2" borderId="36" xfId="0" applyNumberFormat="1" applyFont="1" applyFill="1" applyBorder="1" applyAlignment="1">
      <alignment horizontal="center" vertical="center"/>
    </xf>
    <xf numFmtId="0" fontId="14" fillId="2" borderId="0" xfId="0" applyFont="1" applyFill="1" applyAlignment="1">
      <alignment horizontal="center" vertical="center"/>
    </xf>
    <xf numFmtId="0" fontId="23" fillId="2" borderId="16" xfId="0" applyFont="1" applyFill="1" applyBorder="1" applyAlignment="1">
      <alignment horizontal="left" vertical="center" indent="4"/>
    </xf>
    <xf numFmtId="10" fontId="16" fillId="2" borderId="1" xfId="1" applyNumberFormat="1" applyFont="1" applyFill="1" applyBorder="1" applyAlignment="1">
      <alignment horizontal="center" vertical="center"/>
    </xf>
    <xf numFmtId="3" fontId="16" fillId="2" borderId="11" xfId="0" applyNumberFormat="1" applyFont="1" applyFill="1" applyBorder="1" applyAlignment="1">
      <alignment horizontal="center" vertical="center"/>
    </xf>
    <xf numFmtId="3" fontId="16" fillId="2" borderId="3" xfId="0" applyNumberFormat="1" applyFont="1" applyFill="1" applyBorder="1" applyAlignment="1">
      <alignment horizontal="center" vertical="center"/>
    </xf>
    <xf numFmtId="0" fontId="1" fillId="3" borderId="0" xfId="0" applyFont="1" applyFill="1" applyAlignment="1">
      <alignment horizontal="left" vertical="center"/>
    </xf>
    <xf numFmtId="0" fontId="21" fillId="2" borderId="54" xfId="0" applyFont="1" applyFill="1" applyBorder="1" applyAlignment="1">
      <alignment horizontal="left" vertical="center" indent="2"/>
    </xf>
    <xf numFmtId="166" fontId="14" fillId="2" borderId="36" xfId="0" applyNumberFormat="1" applyFont="1" applyFill="1" applyBorder="1" applyAlignment="1">
      <alignment horizontal="center" vertical="center"/>
    </xf>
    <xf numFmtId="10" fontId="16" fillId="2" borderId="55" xfId="1" applyNumberFormat="1" applyFont="1" applyFill="1" applyBorder="1" applyAlignment="1">
      <alignment horizontal="center" vertical="center"/>
    </xf>
    <xf numFmtId="0" fontId="0" fillId="3" borderId="34" xfId="0" applyFill="1" applyBorder="1" applyAlignment="1">
      <alignment horizontal="center" vertical="center"/>
    </xf>
    <xf numFmtId="3" fontId="16" fillId="2" borderId="37" xfId="0" applyNumberFormat="1" applyFont="1" applyFill="1" applyBorder="1" applyAlignment="1">
      <alignment horizontal="center" vertical="center"/>
    </xf>
    <xf numFmtId="3" fontId="16" fillId="2" borderId="33" xfId="0" applyNumberFormat="1" applyFont="1" applyFill="1" applyBorder="1" applyAlignment="1">
      <alignment horizontal="center" vertical="center"/>
    </xf>
    <xf numFmtId="3" fontId="16" fillId="2" borderId="38" xfId="0" applyNumberFormat="1" applyFont="1" applyFill="1" applyBorder="1" applyAlignment="1">
      <alignment horizontal="center" vertical="center"/>
    </xf>
    <xf numFmtId="0" fontId="14" fillId="2" borderId="2" xfId="0" applyFont="1" applyFill="1" applyBorder="1" applyAlignment="1">
      <alignment horizontal="left" vertical="center" indent="2"/>
    </xf>
    <xf numFmtId="0" fontId="14" fillId="2" borderId="12" xfId="0" applyFont="1" applyFill="1" applyBorder="1" applyAlignment="1">
      <alignment horizontal="left" vertical="center" indent="2"/>
    </xf>
    <xf numFmtId="0" fontId="22" fillId="2" borderId="13" xfId="0" applyFont="1" applyFill="1" applyBorder="1" applyAlignment="1">
      <alignment horizontal="left" vertical="center" indent="2"/>
    </xf>
    <xf numFmtId="164" fontId="18" fillId="2" borderId="9" xfId="0" applyNumberFormat="1" applyFont="1" applyFill="1" applyBorder="1" applyAlignment="1">
      <alignment horizontal="center" vertical="center"/>
    </xf>
    <xf numFmtId="3" fontId="12" fillId="2" borderId="3" xfId="0" applyNumberFormat="1" applyFont="1" applyFill="1" applyBorder="1" applyAlignment="1">
      <alignment horizontal="center" vertical="center"/>
    </xf>
    <xf numFmtId="10" fontId="12" fillId="2" borderId="9" xfId="0" applyNumberFormat="1" applyFont="1" applyFill="1" applyBorder="1" applyAlignment="1">
      <alignment horizontal="center" vertical="center"/>
    </xf>
    <xf numFmtId="0" fontId="14" fillId="2" borderId="20" xfId="0" applyFont="1" applyFill="1" applyBorder="1" applyAlignment="1">
      <alignment horizontal="left" vertical="center" indent="4"/>
    </xf>
    <xf numFmtId="3" fontId="12" fillId="2" borderId="48" xfId="0" applyNumberFormat="1" applyFont="1" applyFill="1" applyBorder="1" applyAlignment="1">
      <alignment horizontal="center" vertical="center"/>
    </xf>
    <xf numFmtId="3" fontId="13" fillId="2" borderId="9" xfId="0" applyNumberFormat="1" applyFont="1" applyFill="1" applyBorder="1" applyAlignment="1">
      <alignment horizontal="center" vertical="center"/>
    </xf>
    <xf numFmtId="3" fontId="13" fillId="2" borderId="9" xfId="0" applyNumberFormat="1" applyFont="1" applyFill="1" applyBorder="1" applyAlignment="1">
      <alignment horizontal="center" vertical="center" wrapText="1"/>
    </xf>
    <xf numFmtId="10" fontId="13" fillId="2" borderId="9" xfId="0" applyNumberFormat="1" applyFont="1" applyFill="1" applyBorder="1" applyAlignment="1">
      <alignment horizontal="center" vertical="center"/>
    </xf>
    <xf numFmtId="3" fontId="13" fillId="2" borderId="3" xfId="0" applyNumberFormat="1" applyFont="1" applyFill="1" applyBorder="1" applyAlignment="1">
      <alignment horizontal="center" vertical="center"/>
    </xf>
    <xf numFmtId="10" fontId="13" fillId="2" borderId="9" xfId="0" applyNumberFormat="1" applyFont="1" applyFill="1" applyBorder="1" applyAlignment="1">
      <alignment horizontal="center" vertical="center" wrapText="1"/>
    </xf>
    <xf numFmtId="3" fontId="13" fillId="2" borderId="3" xfId="0" applyNumberFormat="1" applyFont="1" applyFill="1" applyBorder="1" applyAlignment="1">
      <alignment horizontal="center" vertical="center" wrapText="1"/>
    </xf>
    <xf numFmtId="10" fontId="12" fillId="2" borderId="48" xfId="0" applyNumberFormat="1" applyFont="1" applyFill="1" applyBorder="1" applyAlignment="1">
      <alignment horizontal="center" vertical="center"/>
    </xf>
    <xf numFmtId="3" fontId="12" fillId="2" borderId="48" xfId="0" applyNumberFormat="1" applyFont="1" applyFill="1" applyBorder="1" applyAlignment="1">
      <alignment horizontal="center" vertical="center" wrapText="1"/>
    </xf>
    <xf numFmtId="3" fontId="13" fillId="2" borderId="48" xfId="0" applyNumberFormat="1" applyFont="1" applyFill="1" applyBorder="1" applyAlignment="1">
      <alignment horizontal="center" vertical="center"/>
    </xf>
    <xf numFmtId="3" fontId="13" fillId="2" borderId="4" xfId="0" applyNumberFormat="1" applyFont="1" applyFill="1" applyBorder="1" applyAlignment="1">
      <alignment horizontal="center" vertical="center"/>
    </xf>
    <xf numFmtId="166" fontId="14" fillId="2" borderId="3" xfId="0" applyNumberFormat="1" applyFont="1" applyFill="1" applyBorder="1" applyAlignment="1">
      <alignment horizontal="center" vertical="center"/>
    </xf>
    <xf numFmtId="164" fontId="16" fillId="2" borderId="3" xfId="0" applyNumberFormat="1" applyFont="1" applyFill="1" applyBorder="1" applyAlignment="1">
      <alignment horizontal="center" vertical="center"/>
    </xf>
    <xf numFmtId="3" fontId="27" fillId="2" borderId="9" xfId="0" applyNumberFormat="1" applyFont="1" applyFill="1" applyBorder="1" applyAlignment="1">
      <alignment horizontal="center" vertical="center"/>
    </xf>
    <xf numFmtId="0" fontId="16" fillId="0" borderId="13" xfId="0" applyFont="1" applyBorder="1" applyAlignment="1">
      <alignment horizontal="left" vertical="center" indent="6"/>
    </xf>
    <xf numFmtId="3" fontId="16" fillId="0" borderId="9" xfId="0" applyNumberFormat="1" applyFont="1" applyBorder="1" applyAlignment="1">
      <alignment horizontal="center" vertical="center"/>
    </xf>
    <xf numFmtId="3" fontId="16" fillId="0" borderId="3" xfId="0" applyNumberFormat="1" applyFont="1" applyBorder="1" applyAlignment="1">
      <alignment horizontal="center" vertical="center"/>
    </xf>
    <xf numFmtId="1" fontId="16" fillId="2" borderId="48" xfId="0" applyNumberFormat="1" applyFont="1" applyFill="1" applyBorder="1" applyAlignment="1">
      <alignment horizontal="center" vertical="center"/>
    </xf>
    <xf numFmtId="164" fontId="21" fillId="2" borderId="48" xfId="0" applyNumberFormat="1" applyFont="1" applyFill="1" applyBorder="1" applyAlignment="1">
      <alignment horizontal="center" vertical="center"/>
    </xf>
    <xf numFmtId="164" fontId="21" fillId="2" borderId="35" xfId="0" applyNumberFormat="1" applyFont="1" applyFill="1" applyBorder="1" applyAlignment="1">
      <alignment horizontal="center" vertical="center"/>
    </xf>
    <xf numFmtId="0" fontId="0" fillId="0" borderId="0" xfId="0" applyAlignment="1">
      <alignment horizontal="left" vertical="center" indent="2"/>
    </xf>
    <xf numFmtId="0" fontId="22" fillId="2" borderId="16" xfId="0" applyFont="1" applyFill="1" applyBorder="1" applyAlignment="1">
      <alignment horizontal="left" vertical="center" indent="2"/>
    </xf>
    <xf numFmtId="164" fontId="18" fillId="2" borderId="48" xfId="0" applyNumberFormat="1" applyFont="1" applyFill="1" applyBorder="1" applyAlignment="1">
      <alignment horizontal="center" vertical="center"/>
    </xf>
    <xf numFmtId="10" fontId="16" fillId="2" borderId="48" xfId="0" applyNumberFormat="1" applyFont="1" applyFill="1" applyBorder="1" applyAlignment="1">
      <alignment horizontal="center" vertical="center" wrapText="1"/>
    </xf>
    <xf numFmtId="0" fontId="1" fillId="3" borderId="47" xfId="0" applyFont="1" applyFill="1" applyBorder="1" applyAlignment="1">
      <alignment horizontal="left" vertical="center"/>
    </xf>
    <xf numFmtId="164" fontId="0" fillId="3" borderId="47" xfId="1" applyNumberFormat="1" applyFont="1" applyFill="1" applyBorder="1" applyAlignment="1">
      <alignment horizontal="left" vertical="center" indent="2"/>
    </xf>
    <xf numFmtId="0" fontId="14" fillId="2" borderId="56" xfId="0" applyFont="1" applyFill="1" applyBorder="1" applyAlignment="1">
      <alignment horizontal="left" vertical="center" indent="4"/>
    </xf>
    <xf numFmtId="3" fontId="16" fillId="2" borderId="45" xfId="0" applyNumberFormat="1" applyFont="1" applyFill="1" applyBorder="1" applyAlignment="1">
      <alignment horizontal="center" vertical="center"/>
    </xf>
    <xf numFmtId="3" fontId="16" fillId="2" borderId="46" xfId="0" applyNumberFormat="1" applyFont="1" applyFill="1" applyBorder="1" applyAlignment="1">
      <alignment horizontal="center" vertical="center"/>
    </xf>
    <xf numFmtId="3" fontId="16" fillId="2" borderId="57" xfId="0" applyNumberFormat="1" applyFont="1" applyFill="1" applyBorder="1" applyAlignment="1">
      <alignment horizontal="center" vertical="center"/>
    </xf>
    <xf numFmtId="164" fontId="16" fillId="2" borderId="45" xfId="1" applyNumberFormat="1" applyFont="1" applyFill="1" applyBorder="1" applyAlignment="1">
      <alignment horizontal="center" vertical="center"/>
    </xf>
    <xf numFmtId="164" fontId="16" fillId="2" borderId="46" xfId="1" applyNumberFormat="1" applyFont="1" applyFill="1" applyBorder="1" applyAlignment="1">
      <alignment horizontal="center" vertical="center"/>
    </xf>
    <xf numFmtId="169" fontId="0" fillId="3" borderId="0" xfId="3" applyNumberFormat="1" applyFont="1" applyFill="1" applyAlignment="1">
      <alignment vertical="center"/>
    </xf>
    <xf numFmtId="0" fontId="14" fillId="2" borderId="5" xfId="0" applyFont="1" applyFill="1" applyBorder="1" applyAlignment="1">
      <alignment horizontal="left" vertical="center" indent="2"/>
    </xf>
    <xf numFmtId="1" fontId="14" fillId="2" borderId="28" xfId="0" applyNumberFormat="1" applyFont="1" applyFill="1" applyBorder="1" applyAlignment="1">
      <alignment horizontal="center" vertical="center"/>
    </xf>
    <xf numFmtId="0" fontId="14" fillId="2" borderId="13" xfId="0" applyFont="1" applyFill="1" applyBorder="1" applyAlignment="1">
      <alignment horizontal="left" vertical="center" indent="7"/>
    </xf>
    <xf numFmtId="170" fontId="14" fillId="2" borderId="9" xfId="0" applyNumberFormat="1" applyFont="1" applyFill="1" applyBorder="1" applyAlignment="1">
      <alignment horizontal="center" vertical="center"/>
    </xf>
    <xf numFmtId="166" fontId="27" fillId="2" borderId="9" xfId="0" applyNumberFormat="1" applyFont="1" applyFill="1" applyBorder="1" applyAlignment="1">
      <alignment horizontal="center" vertical="center"/>
    </xf>
    <xf numFmtId="166" fontId="27" fillId="2" borderId="9" xfId="0" applyNumberFormat="1" applyFont="1" applyFill="1" applyBorder="1" applyAlignment="1">
      <alignment horizontal="center" vertical="center" wrapText="1"/>
    </xf>
    <xf numFmtId="169" fontId="16" fillId="2" borderId="9" xfId="0" applyNumberFormat="1" applyFont="1" applyFill="1" applyBorder="1" applyAlignment="1">
      <alignment horizontal="center" vertical="center" wrapText="1"/>
    </xf>
    <xf numFmtId="0" fontId="0" fillId="3" borderId="58" xfId="0" applyFill="1" applyBorder="1" applyAlignment="1">
      <alignment vertical="center"/>
    </xf>
    <xf numFmtId="0" fontId="14" fillId="2" borderId="0" xfId="0" applyFont="1" applyFill="1" applyAlignment="1">
      <alignment horizontal="left" vertical="center" indent="2"/>
    </xf>
    <xf numFmtId="0" fontId="14" fillId="2" borderId="1" xfId="0" applyFont="1" applyFill="1" applyBorder="1" applyAlignment="1">
      <alignment horizontal="left" vertical="center" indent="2"/>
    </xf>
    <xf numFmtId="0" fontId="16" fillId="2" borderId="59" xfId="0" applyFont="1" applyFill="1" applyBorder="1" applyAlignment="1">
      <alignment horizontal="left" vertical="center" indent="4"/>
    </xf>
    <xf numFmtId="0" fontId="17" fillId="3" borderId="47" xfId="0" applyFont="1" applyFill="1" applyBorder="1" applyAlignment="1">
      <alignment vertical="center"/>
    </xf>
    <xf numFmtId="0" fontId="14" fillId="2" borderId="54" xfId="0" applyFont="1" applyFill="1" applyBorder="1" applyAlignment="1">
      <alignment horizontal="left" vertical="center" indent="4"/>
    </xf>
    <xf numFmtId="0" fontId="14" fillId="2" borderId="60" xfId="0" applyFont="1" applyFill="1" applyBorder="1" applyAlignment="1">
      <alignment horizontal="left" vertical="center" indent="2"/>
    </xf>
    <xf numFmtId="0" fontId="14" fillId="2" borderId="61" xfId="0" applyFont="1" applyFill="1" applyBorder="1" applyAlignment="1">
      <alignment horizontal="left" vertical="center" indent="2"/>
    </xf>
    <xf numFmtId="166" fontId="14" fillId="2" borderId="4" xfId="0" applyNumberFormat="1" applyFont="1" applyFill="1" applyBorder="1" applyAlignment="1">
      <alignment horizontal="center" vertical="center"/>
    </xf>
    <xf numFmtId="166" fontId="16" fillId="2" borderId="4" xfId="0" applyNumberFormat="1" applyFont="1" applyFill="1" applyBorder="1" applyAlignment="1">
      <alignment horizontal="center" vertical="center"/>
    </xf>
    <xf numFmtId="0" fontId="14" fillId="2" borderId="54" xfId="0" applyFont="1" applyFill="1" applyBorder="1" applyAlignment="1">
      <alignment horizontal="left" vertical="center" indent="3"/>
    </xf>
    <xf numFmtId="0" fontId="14" fillId="2" borderId="60" xfId="0" applyFont="1" applyFill="1" applyBorder="1" applyAlignment="1">
      <alignment horizontal="left" vertical="center" indent="1"/>
    </xf>
    <xf numFmtId="0" fontId="14" fillId="2" borderId="61" xfId="0" applyFont="1" applyFill="1" applyBorder="1" applyAlignment="1">
      <alignment horizontal="left" vertical="center" indent="1"/>
    </xf>
    <xf numFmtId="164" fontId="14" fillId="2" borderId="63" xfId="0" applyNumberFormat="1" applyFont="1" applyFill="1" applyBorder="1" applyAlignment="1">
      <alignment horizontal="center" vertical="center"/>
    </xf>
    <xf numFmtId="164" fontId="14" fillId="2" borderId="62" xfId="0" applyNumberFormat="1" applyFont="1" applyFill="1" applyBorder="1" applyAlignment="1">
      <alignment horizontal="center" vertical="center"/>
    </xf>
    <xf numFmtId="165" fontId="14" fillId="2" borderId="0" xfId="0" applyNumberFormat="1" applyFont="1" applyFill="1" applyAlignment="1">
      <alignment horizontal="center" vertical="center"/>
    </xf>
    <xf numFmtId="0" fontId="16" fillId="2" borderId="53" xfId="0" applyFont="1" applyFill="1" applyBorder="1" applyAlignment="1">
      <alignment horizontal="left" vertical="center" indent="2"/>
    </xf>
    <xf numFmtId="0" fontId="16" fillId="2" borderId="16" xfId="0" applyFont="1" applyFill="1" applyBorder="1" applyAlignment="1">
      <alignment horizontal="left" vertical="center" indent="6"/>
    </xf>
    <xf numFmtId="9" fontId="16" fillId="2" borderId="48" xfId="1" applyFont="1" applyFill="1" applyBorder="1" applyAlignment="1">
      <alignment horizontal="center" vertical="center"/>
    </xf>
    <xf numFmtId="0" fontId="27" fillId="2" borderId="13" xfId="0" applyFont="1" applyFill="1" applyBorder="1" applyAlignment="1">
      <alignment horizontal="left" vertical="center" indent="3"/>
    </xf>
    <xf numFmtId="3" fontId="14" fillId="2" borderId="4" xfId="0" applyNumberFormat="1" applyFont="1" applyFill="1" applyBorder="1" applyAlignment="1">
      <alignment horizontal="center" vertical="center"/>
    </xf>
    <xf numFmtId="0" fontId="0" fillId="3" borderId="64" xfId="0" applyFill="1" applyBorder="1" applyAlignment="1">
      <alignment vertical="center"/>
    </xf>
    <xf numFmtId="169" fontId="16" fillId="2" borderId="48" xfId="0" applyNumberFormat="1" applyFont="1" applyFill="1" applyBorder="1" applyAlignment="1">
      <alignment horizontal="center" vertical="center"/>
    </xf>
    <xf numFmtId="0" fontId="16" fillId="2" borderId="52" xfId="0" applyFont="1" applyFill="1" applyBorder="1" applyAlignment="1">
      <alignment horizontal="left" vertical="center" indent="4"/>
    </xf>
    <xf numFmtId="0" fontId="16" fillId="2" borderId="4" xfId="0" applyFont="1" applyFill="1" applyBorder="1" applyAlignment="1">
      <alignment horizontal="left" vertical="center" indent="4"/>
    </xf>
    <xf numFmtId="0" fontId="16" fillId="2" borderId="48" xfId="0" applyFont="1" applyFill="1" applyBorder="1" applyAlignment="1">
      <alignment horizontal="left" vertical="center" indent="4"/>
    </xf>
    <xf numFmtId="10" fontId="16" fillId="2" borderId="3" xfId="0" applyNumberFormat="1" applyFont="1" applyFill="1" applyBorder="1" applyAlignment="1">
      <alignment horizontal="center" vertical="center"/>
    </xf>
    <xf numFmtId="3" fontId="14" fillId="2" borderId="3" xfId="0" applyNumberFormat="1" applyFont="1" applyFill="1" applyBorder="1" applyAlignment="1">
      <alignment horizontal="center" vertical="center"/>
    </xf>
    <xf numFmtId="3" fontId="12" fillId="2" borderId="65" xfId="0" applyNumberFormat="1" applyFont="1" applyFill="1" applyBorder="1" applyAlignment="1">
      <alignment horizontal="center" vertical="center"/>
    </xf>
    <xf numFmtId="164" fontId="12" fillId="2" borderId="67" xfId="1" applyNumberFormat="1" applyFont="1" applyFill="1" applyBorder="1" applyAlignment="1">
      <alignment horizontal="center" vertical="center"/>
    </xf>
    <xf numFmtId="3" fontId="12" fillId="2" borderId="66" xfId="0" applyNumberFormat="1" applyFont="1" applyFill="1" applyBorder="1" applyAlignment="1">
      <alignment horizontal="center" vertical="center" wrapText="1"/>
    </xf>
    <xf numFmtId="164" fontId="12" fillId="2" borderId="30" xfId="1" applyNumberFormat="1" applyFont="1" applyFill="1" applyBorder="1" applyAlignment="1">
      <alignment horizontal="center" vertical="center"/>
    </xf>
    <xf numFmtId="0" fontId="12" fillId="2" borderId="16" xfId="0" applyFont="1" applyFill="1" applyBorder="1" applyAlignment="1">
      <alignment horizontal="left" vertical="center" wrapText="1" indent="4"/>
    </xf>
    <xf numFmtId="3" fontId="13" fillId="2" borderId="66" xfId="0" applyNumberFormat="1" applyFont="1" applyFill="1" applyBorder="1" applyAlignment="1">
      <alignment horizontal="center" vertical="center" wrapText="1"/>
    </xf>
    <xf numFmtId="172" fontId="16" fillId="2" borderId="0" xfId="0" applyNumberFormat="1" applyFont="1" applyFill="1" applyAlignment="1">
      <alignment horizontal="center" vertical="center"/>
    </xf>
    <xf numFmtId="7" fontId="0" fillId="3" borderId="0" xfId="0" applyNumberFormat="1" applyFill="1" applyAlignment="1">
      <alignment vertical="center"/>
    </xf>
    <xf numFmtId="10" fontId="12" fillId="2" borderId="0" xfId="0" applyNumberFormat="1" applyFont="1" applyFill="1" applyAlignment="1">
      <alignment vertical="top"/>
    </xf>
    <xf numFmtId="6" fontId="0" fillId="0" borderId="0" xfId="0" applyNumberFormat="1" applyAlignment="1">
      <alignment vertical="center"/>
    </xf>
    <xf numFmtId="10" fontId="12" fillId="2" borderId="0" xfId="0" applyNumberFormat="1" applyFont="1" applyFill="1" applyAlignment="1">
      <alignment horizontal="center" vertical="top"/>
    </xf>
    <xf numFmtId="10" fontId="12" fillId="2" borderId="7" xfId="0" applyNumberFormat="1" applyFont="1" applyFill="1" applyBorder="1" applyAlignment="1">
      <alignment horizontal="center" vertical="top"/>
    </xf>
    <xf numFmtId="0" fontId="16" fillId="2" borderId="8" xfId="0" applyFont="1" applyFill="1" applyBorder="1" applyAlignment="1">
      <alignment horizontal="left" vertical="center" indent="2"/>
    </xf>
    <xf numFmtId="0" fontId="14" fillId="2" borderId="32" xfId="0" applyFont="1" applyFill="1" applyBorder="1" applyAlignment="1">
      <alignment horizontal="center" vertical="center"/>
    </xf>
    <xf numFmtId="2" fontId="14" fillId="2" borderId="9" xfId="1" applyNumberFormat="1" applyFont="1" applyFill="1" applyBorder="1" applyAlignment="1">
      <alignment horizontal="center" vertical="center"/>
    </xf>
    <xf numFmtId="0" fontId="14" fillId="4" borderId="0" xfId="0" applyFont="1" applyFill="1" applyAlignment="1">
      <alignment horizontal="center" vertical="center"/>
    </xf>
    <xf numFmtId="166" fontId="16" fillId="4" borderId="9" xfId="0" applyNumberFormat="1" applyFont="1" applyFill="1" applyBorder="1" applyAlignment="1">
      <alignment horizontal="center" vertical="center"/>
    </xf>
    <xf numFmtId="3" fontId="12" fillId="4" borderId="9" xfId="0" applyNumberFormat="1" applyFont="1" applyFill="1" applyBorder="1" applyAlignment="1">
      <alignment horizontal="center" vertical="center"/>
    </xf>
    <xf numFmtId="3" fontId="12" fillId="4" borderId="3" xfId="0" applyNumberFormat="1" applyFont="1" applyFill="1" applyBorder="1" applyAlignment="1">
      <alignment horizontal="center" vertical="center"/>
    </xf>
    <xf numFmtId="8" fontId="0" fillId="3" borderId="0" xfId="0" applyNumberFormat="1" applyFill="1" applyAlignment="1">
      <alignment vertical="center"/>
    </xf>
    <xf numFmtId="10" fontId="12" fillId="2" borderId="0" xfId="0" applyNumberFormat="1" applyFont="1" applyFill="1" applyAlignment="1">
      <alignment horizontal="center" vertical="top"/>
    </xf>
    <xf numFmtId="10" fontId="12" fillId="2" borderId="7" xfId="0" applyNumberFormat="1" applyFont="1" applyFill="1" applyBorder="1" applyAlignment="1">
      <alignment horizontal="center" vertical="top"/>
    </xf>
    <xf numFmtId="0" fontId="12" fillId="2" borderId="0" xfId="0" applyFont="1" applyFill="1" applyAlignment="1">
      <alignment horizontal="right" vertical="center" textRotation="90"/>
    </xf>
    <xf numFmtId="0" fontId="9" fillId="3" borderId="0" xfId="0" applyFont="1" applyFill="1" applyAlignment="1">
      <alignment horizontal="center" vertical="center" shrinkToFit="1"/>
    </xf>
    <xf numFmtId="0" fontId="9" fillId="3" borderId="2" xfId="0" applyFont="1" applyFill="1" applyBorder="1" applyAlignment="1">
      <alignment horizontal="center" vertical="center" shrinkToFit="1"/>
    </xf>
    <xf numFmtId="0" fontId="9" fillId="3" borderId="0" xfId="0" applyFont="1" applyFill="1" applyAlignment="1">
      <alignment horizontal="center" vertical="center"/>
    </xf>
    <xf numFmtId="0" fontId="0" fillId="0" borderId="1" xfId="0" applyBorder="1" applyAlignment="1">
      <alignment horizontal="left" vertical="center"/>
    </xf>
    <xf numFmtId="0" fontId="16" fillId="2" borderId="8" xfId="0" applyFont="1" applyFill="1" applyBorder="1" applyAlignment="1">
      <alignment horizontal="left" vertical="center" indent="4"/>
    </xf>
    <xf numFmtId="0" fontId="16" fillId="2" borderId="3" xfId="0" applyFont="1" applyFill="1" applyBorder="1" applyAlignment="1">
      <alignment horizontal="left" vertical="center" indent="4"/>
    </xf>
    <xf numFmtId="0" fontId="16" fillId="2" borderId="9" xfId="0" applyFont="1" applyFill="1" applyBorder="1" applyAlignment="1">
      <alignment horizontal="left" vertical="center" indent="4"/>
    </xf>
    <xf numFmtId="0" fontId="16" fillId="2" borderId="5" xfId="0" applyFont="1" applyFill="1" applyBorder="1" applyAlignment="1">
      <alignment horizontal="left" vertical="center" indent="2"/>
    </xf>
    <xf numFmtId="0" fontId="16" fillId="2" borderId="2" xfId="0" applyFont="1" applyFill="1" applyBorder="1" applyAlignment="1">
      <alignment horizontal="left" vertical="center" indent="2"/>
    </xf>
    <xf numFmtId="0" fontId="16" fillId="2" borderId="12" xfId="0" applyFont="1" applyFill="1" applyBorder="1" applyAlignment="1">
      <alignment horizontal="left" vertical="center" indent="2"/>
    </xf>
    <xf numFmtId="0" fontId="16" fillId="2" borderId="8" xfId="0" applyFont="1" applyFill="1" applyBorder="1" applyAlignment="1">
      <alignment horizontal="left" vertical="center" indent="2"/>
    </xf>
    <xf numFmtId="0" fontId="16" fillId="2" borderId="3" xfId="0" applyFont="1" applyFill="1" applyBorder="1" applyAlignment="1">
      <alignment horizontal="left" vertical="center" indent="2"/>
    </xf>
    <xf numFmtId="0" fontId="16" fillId="2" borderId="9" xfId="0" applyFont="1" applyFill="1" applyBorder="1" applyAlignment="1">
      <alignment horizontal="left" vertical="center" indent="2"/>
    </xf>
    <xf numFmtId="0" fontId="14" fillId="2" borderId="5" xfId="0" applyFont="1" applyFill="1" applyBorder="1" applyAlignment="1">
      <alignment horizontal="left" vertical="center" indent="2"/>
    </xf>
    <xf numFmtId="0" fontId="14" fillId="2" borderId="2" xfId="0" applyFont="1" applyFill="1" applyBorder="1" applyAlignment="1">
      <alignment horizontal="left" vertical="center" indent="2"/>
    </xf>
    <xf numFmtId="0" fontId="14" fillId="2" borderId="12" xfId="0" applyFont="1" applyFill="1" applyBorder="1" applyAlignment="1">
      <alignment horizontal="left" vertical="center" indent="2"/>
    </xf>
    <xf numFmtId="0" fontId="16" fillId="2" borderId="5" xfId="0" applyFont="1" applyFill="1" applyBorder="1" applyAlignment="1">
      <alignment horizontal="left" vertical="center" indent="6"/>
    </xf>
    <xf numFmtId="0" fontId="16" fillId="2" borderId="2" xfId="0" applyFont="1" applyFill="1" applyBorder="1" applyAlignment="1">
      <alignment horizontal="left" vertical="center" indent="6"/>
    </xf>
    <xf numFmtId="0" fontId="16" fillId="2" borderId="12" xfId="0" applyFont="1" applyFill="1" applyBorder="1" applyAlignment="1">
      <alignment horizontal="left" vertical="center" indent="6"/>
    </xf>
    <xf numFmtId="0" fontId="18" fillId="2" borderId="5" xfId="0" applyFont="1" applyFill="1" applyBorder="1" applyAlignment="1">
      <alignment horizontal="left" vertical="center" indent="4"/>
    </xf>
    <xf numFmtId="0" fontId="18" fillId="2" borderId="2" xfId="0" applyFont="1" applyFill="1" applyBorder="1" applyAlignment="1">
      <alignment horizontal="left" vertical="center" indent="4"/>
    </xf>
    <xf numFmtId="0" fontId="18" fillId="2" borderId="12" xfId="0" applyFont="1" applyFill="1" applyBorder="1" applyAlignment="1">
      <alignment horizontal="left" vertical="center" indent="4"/>
    </xf>
    <xf numFmtId="0" fontId="16" fillId="2" borderId="5" xfId="0" applyFont="1" applyFill="1" applyBorder="1" applyAlignment="1">
      <alignment horizontal="left" vertical="center" indent="4"/>
    </xf>
    <xf numFmtId="0" fontId="16" fillId="2" borderId="2" xfId="0" applyFont="1" applyFill="1" applyBorder="1" applyAlignment="1">
      <alignment horizontal="left" vertical="center" indent="4"/>
    </xf>
    <xf numFmtId="0" fontId="16" fillId="2" borderId="12" xfId="0" applyFont="1" applyFill="1" applyBorder="1" applyAlignment="1">
      <alignment horizontal="left" vertical="center" indent="4"/>
    </xf>
    <xf numFmtId="0" fontId="16" fillId="2" borderId="2" xfId="0" applyFont="1" applyFill="1" applyBorder="1" applyAlignment="1">
      <alignment horizontal="center" vertical="center"/>
    </xf>
    <xf numFmtId="0" fontId="16" fillId="2" borderId="12" xfId="0" applyFont="1" applyFill="1" applyBorder="1" applyAlignment="1">
      <alignment horizontal="center" vertical="center"/>
    </xf>
    <xf numFmtId="0" fontId="16" fillId="2" borderId="8" xfId="0" applyFont="1" applyFill="1" applyBorder="1" applyAlignment="1">
      <alignment horizontal="left" vertical="center" indent="8"/>
    </xf>
    <xf numFmtId="0" fontId="16" fillId="2" borderId="3" xfId="0" applyFont="1" applyFill="1" applyBorder="1" applyAlignment="1">
      <alignment horizontal="left" vertical="center" indent="8"/>
    </xf>
    <xf numFmtId="0" fontId="16" fillId="2" borderId="9" xfId="0" applyFont="1" applyFill="1" applyBorder="1" applyAlignment="1">
      <alignment horizontal="left" vertical="center" indent="8"/>
    </xf>
    <xf numFmtId="0" fontId="16" fillId="2" borderId="5" xfId="0" applyFont="1" applyFill="1" applyBorder="1" applyAlignment="1">
      <alignment horizontal="left" vertical="center" indent="8"/>
    </xf>
    <xf numFmtId="0" fontId="16" fillId="2" borderId="2" xfId="0" applyFont="1" applyFill="1" applyBorder="1" applyAlignment="1">
      <alignment horizontal="left" vertical="center" indent="8"/>
    </xf>
    <xf numFmtId="0" fontId="16" fillId="2" borderId="12" xfId="0" applyFont="1" applyFill="1" applyBorder="1" applyAlignment="1">
      <alignment horizontal="left" vertical="center" indent="8"/>
    </xf>
    <xf numFmtId="0" fontId="16" fillId="2" borderId="8" xfId="0" applyFont="1" applyFill="1" applyBorder="1" applyAlignment="1">
      <alignment horizontal="left" vertical="center" indent="6"/>
    </xf>
    <xf numFmtId="0" fontId="16" fillId="2" borderId="3" xfId="0" applyFont="1" applyFill="1" applyBorder="1" applyAlignment="1">
      <alignment horizontal="left" vertical="center" indent="6"/>
    </xf>
    <xf numFmtId="0" fontId="16" fillId="2" borderId="9" xfId="0" applyFont="1" applyFill="1" applyBorder="1" applyAlignment="1">
      <alignment horizontal="left" vertical="center" indent="6"/>
    </xf>
    <xf numFmtId="0" fontId="18" fillId="2" borderId="6" xfId="0" applyFont="1" applyFill="1" applyBorder="1" applyAlignment="1">
      <alignment horizontal="left" vertical="center" indent="4"/>
    </xf>
    <xf numFmtId="0" fontId="18" fillId="2" borderId="0" xfId="0" applyFont="1" applyFill="1" applyAlignment="1">
      <alignment horizontal="left" vertical="center" indent="4"/>
    </xf>
    <xf numFmtId="0" fontId="18" fillId="2" borderId="1" xfId="0" applyFont="1" applyFill="1" applyBorder="1" applyAlignment="1">
      <alignment horizontal="left" vertical="center" indent="4"/>
    </xf>
    <xf numFmtId="0" fontId="18" fillId="2" borderId="6" xfId="0" applyFont="1" applyFill="1" applyBorder="1" applyAlignment="1">
      <alignment horizontal="left" vertical="center" indent="2"/>
    </xf>
    <xf numFmtId="0" fontId="18" fillId="2" borderId="0" xfId="0" applyFont="1" applyFill="1" applyAlignment="1">
      <alignment horizontal="left" vertical="center" indent="2"/>
    </xf>
    <xf numFmtId="0" fontId="18" fillId="2" borderId="1" xfId="0" applyFont="1" applyFill="1" applyBorder="1" applyAlignment="1">
      <alignment horizontal="left" vertical="center" indent="2"/>
    </xf>
    <xf numFmtId="0" fontId="14" fillId="2" borderId="5" xfId="0" applyFont="1" applyFill="1" applyBorder="1" applyAlignment="1">
      <alignment horizontal="left" vertical="center" indent="4"/>
    </xf>
    <xf numFmtId="0" fontId="14" fillId="2" borderId="2" xfId="0" applyFont="1" applyFill="1" applyBorder="1" applyAlignment="1">
      <alignment horizontal="left" vertical="center" indent="4"/>
    </xf>
    <xf numFmtId="0" fontId="14" fillId="2" borderId="12" xfId="0" applyFont="1" applyFill="1" applyBorder="1" applyAlignment="1">
      <alignment horizontal="left" vertical="center" indent="4"/>
    </xf>
    <xf numFmtId="0" fontId="14" fillId="2" borderId="5" xfId="0" applyFont="1" applyFill="1" applyBorder="1" applyAlignment="1">
      <alignment horizontal="left" vertical="center" indent="6"/>
    </xf>
    <xf numFmtId="0" fontId="14" fillId="2" borderId="2" xfId="0" applyFont="1" applyFill="1" applyBorder="1" applyAlignment="1">
      <alignment horizontal="left" vertical="center" indent="6"/>
    </xf>
    <xf numFmtId="0" fontId="14" fillId="2" borderId="12" xfId="0" applyFont="1" applyFill="1" applyBorder="1" applyAlignment="1">
      <alignment horizontal="left" vertical="center" indent="6"/>
    </xf>
    <xf numFmtId="0" fontId="14" fillId="2" borderId="6" xfId="0" applyFont="1" applyFill="1" applyBorder="1" applyAlignment="1">
      <alignment horizontal="left" vertical="center" indent="2"/>
    </xf>
    <xf numFmtId="0" fontId="14" fillId="2" borderId="0" xfId="0" applyFont="1" applyFill="1" applyAlignment="1">
      <alignment horizontal="left" vertical="center" indent="2"/>
    </xf>
    <xf numFmtId="0" fontId="14" fillId="2" borderId="1" xfId="0" applyFont="1" applyFill="1" applyBorder="1" applyAlignment="1">
      <alignment horizontal="left" vertical="center" indent="2"/>
    </xf>
    <xf numFmtId="0" fontId="14" fillId="2" borderId="8" xfId="0" applyFont="1" applyFill="1" applyBorder="1" applyAlignment="1">
      <alignment horizontal="left" vertical="center" indent="2"/>
    </xf>
    <xf numFmtId="0" fontId="14" fillId="2" borderId="3" xfId="0" applyFont="1" applyFill="1" applyBorder="1" applyAlignment="1">
      <alignment horizontal="left" vertical="center" indent="2"/>
    </xf>
    <xf numFmtId="0" fontId="14" fillId="2" borderId="9" xfId="0" applyFont="1" applyFill="1" applyBorder="1" applyAlignment="1">
      <alignment horizontal="left" vertical="center" indent="2"/>
    </xf>
    <xf numFmtId="0" fontId="9" fillId="3" borderId="21" xfId="0" applyFont="1" applyFill="1" applyBorder="1" applyAlignment="1">
      <alignment horizontal="center" vertical="center"/>
    </xf>
    <xf numFmtId="0" fontId="9" fillId="3" borderId="25" xfId="0" applyFont="1" applyFill="1" applyBorder="1" applyAlignment="1">
      <alignment horizontal="center" vertical="center"/>
    </xf>
    <xf numFmtId="0" fontId="16" fillId="2" borderId="5" xfId="0" applyFont="1" applyFill="1" applyBorder="1" applyAlignment="1">
      <alignment horizontal="left" vertical="center" indent="3"/>
    </xf>
    <xf numFmtId="0" fontId="16" fillId="2" borderId="2" xfId="0" applyFont="1" applyFill="1" applyBorder="1" applyAlignment="1">
      <alignment horizontal="left" vertical="center" indent="3"/>
    </xf>
    <xf numFmtId="0" fontId="16" fillId="2" borderId="12" xfId="0" applyFont="1" applyFill="1" applyBorder="1" applyAlignment="1">
      <alignment horizontal="left" vertical="center" indent="3"/>
    </xf>
    <xf numFmtId="0" fontId="16" fillId="2" borderId="6" xfId="0" applyFont="1" applyFill="1" applyBorder="1" applyAlignment="1">
      <alignment horizontal="left" vertical="center" indent="3"/>
    </xf>
    <xf numFmtId="0" fontId="16" fillId="2" borderId="0" xfId="0" applyFont="1" applyFill="1" applyAlignment="1">
      <alignment horizontal="left" vertical="center" indent="3"/>
    </xf>
    <xf numFmtId="0" fontId="16" fillId="2" borderId="1" xfId="0" applyFont="1" applyFill="1" applyBorder="1" applyAlignment="1">
      <alignment horizontal="left" vertical="center" indent="3"/>
    </xf>
    <xf numFmtId="0" fontId="14" fillId="2" borderId="8" xfId="0" applyFont="1" applyFill="1" applyBorder="1" applyAlignment="1">
      <alignment horizontal="left" vertical="center" indent="4"/>
    </xf>
    <xf numFmtId="0" fontId="14" fillId="2" borderId="3" xfId="0" applyFont="1" applyFill="1" applyBorder="1" applyAlignment="1">
      <alignment horizontal="left" vertical="center" indent="4"/>
    </xf>
    <xf numFmtId="0" fontId="14" fillId="2" borderId="9" xfId="0" applyFont="1" applyFill="1" applyBorder="1" applyAlignment="1">
      <alignment horizontal="left" vertical="center" indent="4"/>
    </xf>
    <xf numFmtId="0" fontId="14" fillId="2" borderId="8" xfId="0" applyFont="1" applyFill="1" applyBorder="1" applyAlignment="1">
      <alignment horizontal="left" vertical="center" indent="5"/>
    </xf>
    <xf numFmtId="0" fontId="14" fillId="2" borderId="3" xfId="0" applyFont="1" applyFill="1" applyBorder="1" applyAlignment="1">
      <alignment horizontal="left" vertical="center" indent="5"/>
    </xf>
    <xf numFmtId="0" fontId="14" fillId="2" borderId="9" xfId="0" applyFont="1" applyFill="1" applyBorder="1" applyAlignment="1">
      <alignment horizontal="left" vertical="center" indent="5"/>
    </xf>
    <xf numFmtId="0" fontId="16" fillId="2" borderId="52" xfId="0" applyFont="1" applyFill="1" applyBorder="1" applyAlignment="1">
      <alignment horizontal="left" vertical="center" indent="4"/>
    </xf>
    <xf numFmtId="0" fontId="16" fillId="2" borderId="4" xfId="0" applyFont="1" applyFill="1" applyBorder="1" applyAlignment="1">
      <alignment horizontal="left" vertical="center" indent="4"/>
    </xf>
    <xf numFmtId="0" fontId="16" fillId="2" borderId="48" xfId="0" applyFont="1" applyFill="1" applyBorder="1" applyAlignment="1">
      <alignment horizontal="left" vertical="center" indent="4"/>
    </xf>
    <xf numFmtId="43" fontId="9" fillId="3" borderId="0" xfId="3" applyFont="1" applyFill="1" applyAlignment="1">
      <alignment horizontal="center" vertical="center"/>
    </xf>
    <xf numFmtId="43" fontId="9" fillId="3" borderId="25" xfId="3" applyFont="1" applyFill="1" applyBorder="1" applyAlignment="1">
      <alignment horizontal="center" vertical="center"/>
    </xf>
    <xf numFmtId="0" fontId="9" fillId="3" borderId="2" xfId="0" applyFont="1" applyFill="1" applyBorder="1" applyAlignment="1">
      <alignment horizontal="center" vertical="center"/>
    </xf>
  </cellXfs>
  <cellStyles count="5">
    <cellStyle name="Moeda" xfId="4" builtinId="4"/>
    <cellStyle name="Normal" xfId="0" builtinId="0"/>
    <cellStyle name="Normal 2" xfId="2" xr:uid="{2D6B5196-4656-4F66-A1AD-064433AF1156}"/>
    <cellStyle name="Porcentagem" xfId="1" builtinId="5"/>
    <cellStyle name="Vírgula" xfId="3" builtinId="3"/>
  </cellStyles>
  <dxfs count="176">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3" formatCode="\-"/>
    </dxf>
    <dxf>
      <numFmt numFmtId="173" formatCode="\-"/>
    </dxf>
    <dxf>
      <numFmt numFmtId="173" formatCode="\-"/>
    </dxf>
    <dxf>
      <numFmt numFmtId="173" formatCode="\-"/>
    </dxf>
    <dxf>
      <numFmt numFmtId="174" formatCode="&quot;-&quot;"/>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3" formatCode="\-"/>
    </dxf>
    <dxf>
      <numFmt numFmtId="174" formatCode="&quot;-&quot;"/>
    </dxf>
    <dxf>
      <numFmt numFmtId="173" formatCode="\-"/>
    </dxf>
    <dxf>
      <numFmt numFmtId="174" formatCode="&quot;-&quot;"/>
    </dxf>
    <dxf>
      <numFmt numFmtId="174" formatCode="&quot;-&quot;"/>
    </dxf>
    <dxf>
      <numFmt numFmtId="173" formatCode="\-"/>
    </dxf>
    <dxf>
      <numFmt numFmtId="173" formatCode="\-"/>
    </dxf>
    <dxf>
      <numFmt numFmtId="174" formatCode="&quot;-&quot;"/>
    </dxf>
    <dxf>
      <numFmt numFmtId="173" formatCode="\-"/>
    </dxf>
    <dxf>
      <numFmt numFmtId="174" formatCode="&quot;-&quot;"/>
    </dxf>
    <dxf>
      <numFmt numFmtId="174" formatCode="&quot;-&quot;"/>
    </dxf>
    <dxf>
      <numFmt numFmtId="174" formatCode="&quot;-&quot;"/>
    </dxf>
    <dxf>
      <font>
        <color rgb="FF00C556"/>
      </font>
    </dxf>
    <dxf>
      <font>
        <color rgb="FFFF5757"/>
      </font>
    </dxf>
  </dxfs>
  <tableStyles count="0" defaultTableStyle="TableStyleMedium2" defaultPivotStyle="PivotStyleLight16"/>
  <colors>
    <mruColors>
      <color rgb="FF00C556"/>
      <color rgb="FFD9FBE2"/>
      <color rgb="FFC0F8C7"/>
      <color rgb="FF30E278"/>
      <color rgb="FF199144"/>
      <color rgb="FF2E6D41"/>
      <color rgb="FF00CC66"/>
      <color rgb="FF00FF00"/>
      <color rgb="FF339966"/>
      <color rgb="FFADF1D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200024</xdr:rowOff>
    </xdr:from>
    <xdr:to>
      <xdr:col>18</xdr:col>
      <xdr:colOff>0</xdr:colOff>
      <xdr:row>7</xdr:row>
      <xdr:rowOff>285750</xdr:rowOff>
    </xdr:to>
    <xdr:sp macro="" textlink="">
      <xdr:nvSpPr>
        <xdr:cNvPr id="3" name="Retângulo: Cantos Superiores Arredondados 2">
          <a:extLst>
            <a:ext uri="{FF2B5EF4-FFF2-40B4-BE49-F238E27FC236}">
              <a16:creationId xmlns:a16="http://schemas.microsoft.com/office/drawing/2014/main" id="{00000000-0008-0000-0000-000003000000}"/>
            </a:ext>
          </a:extLst>
        </xdr:cNvPr>
        <xdr:cNvSpPr/>
      </xdr:nvSpPr>
      <xdr:spPr>
        <a:xfrm>
          <a:off x="4438650" y="1343024"/>
          <a:ext cx="11620500" cy="40005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Dashboard</a:t>
          </a:r>
        </a:p>
      </xdr:txBody>
    </xdr:sp>
    <xdr:clientData/>
  </xdr:twoCellAnchor>
  <xdr:twoCellAnchor>
    <xdr:from>
      <xdr:col>4</xdr:col>
      <xdr:colOff>0</xdr:colOff>
      <xdr:row>20</xdr:row>
      <xdr:rowOff>349344</xdr:rowOff>
    </xdr:from>
    <xdr:to>
      <xdr:col>18</xdr:col>
      <xdr:colOff>3375</xdr:colOff>
      <xdr:row>21</xdr:row>
      <xdr:rowOff>73119</xdr:rowOff>
    </xdr:to>
    <xdr:grpSp>
      <xdr:nvGrpSpPr>
        <xdr:cNvPr id="4" name="Agrupar 3">
          <a:extLst>
            <a:ext uri="{FF2B5EF4-FFF2-40B4-BE49-F238E27FC236}">
              <a16:creationId xmlns:a16="http://schemas.microsoft.com/office/drawing/2014/main" id="{00000000-0008-0000-0000-000004000000}"/>
            </a:ext>
          </a:extLst>
        </xdr:cNvPr>
        <xdr:cNvGrpSpPr/>
      </xdr:nvGrpSpPr>
      <xdr:grpSpPr>
        <a:xfrm>
          <a:off x="4997824" y="6759109"/>
          <a:ext cx="14145198" cy="104775"/>
          <a:chOff x="5048250" y="5231131"/>
          <a:chExt cx="9258300" cy="179069"/>
        </a:xfrm>
      </xdr:grpSpPr>
      <xdr:sp macro="" textlink="">
        <xdr:nvSpPr>
          <xdr:cNvPr id="5" name="Retângulo: Cantos Superiores Arredondados 4">
            <a:extLst>
              <a:ext uri="{FF2B5EF4-FFF2-40B4-BE49-F238E27FC236}">
                <a16:creationId xmlns:a16="http://schemas.microsoft.com/office/drawing/2014/main" id="{00000000-0008-0000-0000-000005000000}"/>
              </a:ext>
            </a:extLst>
          </xdr:cNvPr>
          <xdr:cNvSpPr/>
        </xdr:nvSpPr>
        <xdr:spPr>
          <a:xfrm rot="10800000">
            <a:off x="5048250" y="5276847"/>
            <a:ext cx="9258300" cy="133353"/>
          </a:xfrm>
          <a:prstGeom prst="round2SameRect">
            <a:avLst/>
          </a:prstGeom>
          <a:solidFill>
            <a:schemeClr val="bg1"/>
          </a:solidFill>
          <a:ln w="19050">
            <a:solidFill>
              <a:srgbClr val="E5E7EB"/>
            </a:solid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pt-BR" sz="1100" b="0">
              <a:solidFill>
                <a:schemeClr val="tx1">
                  <a:lumMod val="75000"/>
                  <a:lumOff val="25000"/>
                </a:schemeClr>
              </a:solidFill>
              <a:latin typeface="SF Pro Display" panose="00000500000000000000" pitchFamily="2" charset="0"/>
              <a:ea typeface="SF Pro Display" panose="00000500000000000000" pitchFamily="2" charset="0"/>
            </a:endParaRPr>
          </a:p>
        </xdr:txBody>
      </xdr:sp>
      <xdr:sp macro="" textlink="">
        <xdr:nvSpPr>
          <xdr:cNvPr id="6" name="Retângulo 5">
            <a:extLst>
              <a:ext uri="{FF2B5EF4-FFF2-40B4-BE49-F238E27FC236}">
                <a16:creationId xmlns:a16="http://schemas.microsoft.com/office/drawing/2014/main" id="{00000000-0008-0000-0000-000006000000}"/>
              </a:ext>
            </a:extLst>
          </xdr:cNvPr>
          <xdr:cNvSpPr/>
        </xdr:nvSpPr>
        <xdr:spPr>
          <a:xfrm>
            <a:off x="5057774" y="5231131"/>
            <a:ext cx="9234000" cy="45719"/>
          </a:xfrm>
          <a:prstGeom prst="rect">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grpSp>
    <xdr:clientData/>
  </xdr:twoCellAnchor>
  <xdr:twoCellAnchor>
    <xdr:from>
      <xdr:col>4</xdr:col>
      <xdr:colOff>0</xdr:colOff>
      <xdr:row>23</xdr:row>
      <xdr:rowOff>0</xdr:rowOff>
    </xdr:from>
    <xdr:to>
      <xdr:col>6</xdr:col>
      <xdr:colOff>0</xdr:colOff>
      <xdr:row>24</xdr:row>
      <xdr:rowOff>14289</xdr:rowOff>
    </xdr:to>
    <xdr:sp macro="" textlink="">
      <xdr:nvSpPr>
        <xdr:cNvPr id="7" name="Retângulo: Cantos Superiores Arredondados 6">
          <a:extLst>
            <a:ext uri="{FF2B5EF4-FFF2-40B4-BE49-F238E27FC236}">
              <a16:creationId xmlns:a16="http://schemas.microsoft.com/office/drawing/2014/main" id="{A7134545-4323-4AFE-9131-D322742B9F5A}"/>
            </a:ext>
          </a:extLst>
        </xdr:cNvPr>
        <xdr:cNvSpPr/>
      </xdr:nvSpPr>
      <xdr:spPr>
        <a:xfrm>
          <a:off x="5000625" y="6786563"/>
          <a:ext cx="5012531"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Ativos</a:t>
          </a:r>
          <a:r>
            <a:rPr lang="pt-BR" sz="1100" baseline="0">
              <a:solidFill>
                <a:schemeClr val="tx1">
                  <a:lumMod val="75000"/>
                  <a:lumOff val="25000"/>
                </a:schemeClr>
              </a:solidFill>
              <a:latin typeface="+mn-lt"/>
              <a:ea typeface="SF Pro Display" panose="00000500000000000000" pitchFamily="2" charset="0"/>
            </a:rPr>
            <a:t> Não-Operacionais</a:t>
          </a:r>
          <a:endParaRPr lang="pt-BR" sz="1100">
            <a:solidFill>
              <a:schemeClr val="tx1">
                <a:lumMod val="75000"/>
                <a:lumOff val="25000"/>
              </a:schemeClr>
            </a:solidFill>
            <a:latin typeface="+mn-lt"/>
            <a:ea typeface="SF Pro Display" panose="00000500000000000000" pitchFamily="2" charset="0"/>
          </a:endParaRPr>
        </a:p>
      </xdr:txBody>
    </xdr:sp>
    <xdr:clientData/>
  </xdr:twoCellAnchor>
  <xdr:twoCellAnchor>
    <xdr:from>
      <xdr:col>7</xdr:col>
      <xdr:colOff>7144</xdr:colOff>
      <xdr:row>22</xdr:row>
      <xdr:rowOff>238125</xdr:rowOff>
    </xdr:from>
    <xdr:to>
      <xdr:col>11</xdr:col>
      <xdr:colOff>23812</xdr:colOff>
      <xdr:row>24</xdr:row>
      <xdr:rowOff>11906</xdr:rowOff>
    </xdr:to>
    <xdr:sp macro="" textlink="">
      <xdr:nvSpPr>
        <xdr:cNvPr id="8" name="Retângulo: Cantos Superiores Arredondados 7">
          <a:extLst>
            <a:ext uri="{FF2B5EF4-FFF2-40B4-BE49-F238E27FC236}">
              <a16:creationId xmlns:a16="http://schemas.microsoft.com/office/drawing/2014/main" id="{4CDEEBAC-4D72-4CA7-9964-34C7C587226A}"/>
            </a:ext>
          </a:extLst>
        </xdr:cNvPr>
        <xdr:cNvSpPr/>
      </xdr:nvSpPr>
      <xdr:spPr>
        <a:xfrm>
          <a:off x="9972675" y="6643688"/>
          <a:ext cx="4529137" cy="53578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Valuation</a:t>
          </a:r>
          <a:r>
            <a:rPr lang="pt-BR" sz="1100" baseline="0">
              <a:solidFill>
                <a:schemeClr val="tx1">
                  <a:lumMod val="75000"/>
                  <a:lumOff val="25000"/>
                </a:schemeClr>
              </a:solidFill>
              <a:latin typeface="+mn-lt"/>
              <a:ea typeface="SF Pro Display" panose="00000500000000000000" pitchFamily="2" charset="0"/>
            </a:rPr>
            <a:t> Empresas de Capital Aberto</a:t>
          </a:r>
        </a:p>
      </xdr:txBody>
    </xdr:sp>
    <xdr:clientData/>
  </xdr:twoCellAnchor>
  <xdr:twoCellAnchor>
    <xdr:from>
      <xdr:col>4</xdr:col>
      <xdr:colOff>0</xdr:colOff>
      <xdr:row>30</xdr:row>
      <xdr:rowOff>0</xdr:rowOff>
    </xdr:from>
    <xdr:to>
      <xdr:col>6</xdr:col>
      <xdr:colOff>0</xdr:colOff>
      <xdr:row>31</xdr:row>
      <xdr:rowOff>14289</xdr:rowOff>
    </xdr:to>
    <xdr:sp macro="" textlink="">
      <xdr:nvSpPr>
        <xdr:cNvPr id="10" name="Retângulo: Cantos Superiores Arredondados 6">
          <a:extLst>
            <a:ext uri="{FF2B5EF4-FFF2-40B4-BE49-F238E27FC236}">
              <a16:creationId xmlns:a16="http://schemas.microsoft.com/office/drawing/2014/main" id="{6D90EA11-6348-4FC3-BD5A-BC00F285ADED}"/>
            </a:ext>
          </a:extLst>
        </xdr:cNvPr>
        <xdr:cNvSpPr/>
      </xdr:nvSpPr>
      <xdr:spPr>
        <a:xfrm>
          <a:off x="5000625" y="9453563"/>
          <a:ext cx="4476750"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Dívida</a:t>
          </a:r>
        </a:p>
      </xdr:txBody>
    </xdr:sp>
    <xdr:clientData/>
  </xdr:twoCellAnchor>
  <xdr:twoCellAnchor>
    <xdr:from>
      <xdr:col>6</xdr:col>
      <xdr:colOff>1023937</xdr:colOff>
      <xdr:row>29</xdr:row>
      <xdr:rowOff>238125</xdr:rowOff>
    </xdr:from>
    <xdr:to>
      <xdr:col>11</xdr:col>
      <xdr:colOff>23812</xdr:colOff>
      <xdr:row>31</xdr:row>
      <xdr:rowOff>35718</xdr:rowOff>
    </xdr:to>
    <xdr:sp macro="" textlink="">
      <xdr:nvSpPr>
        <xdr:cNvPr id="12" name="Retângulo: Cantos Superiores Arredondados 7">
          <a:extLst>
            <a:ext uri="{FF2B5EF4-FFF2-40B4-BE49-F238E27FC236}">
              <a16:creationId xmlns:a16="http://schemas.microsoft.com/office/drawing/2014/main" id="{9DE7E639-73B4-4D34-93AF-1FC9C41A1298}"/>
            </a:ext>
          </a:extLst>
        </xdr:cNvPr>
        <xdr:cNvSpPr/>
      </xdr:nvSpPr>
      <xdr:spPr>
        <a:xfrm>
          <a:off x="11132343" y="6643688"/>
          <a:ext cx="3036094" cy="559593"/>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Valor</a:t>
          </a:r>
          <a:r>
            <a:rPr lang="pt-BR" sz="1100" baseline="0">
              <a:solidFill>
                <a:schemeClr val="tx1">
                  <a:lumMod val="75000"/>
                  <a:lumOff val="25000"/>
                </a:schemeClr>
              </a:solidFill>
              <a:latin typeface="+mn-lt"/>
              <a:ea typeface="SF Pro Display" panose="00000500000000000000" pitchFamily="2" charset="0"/>
            </a:rPr>
            <a:t> de Mercado das Empresas em 08/11/2023</a:t>
          </a:r>
        </a:p>
      </xdr:txBody>
    </xdr:sp>
    <xdr:clientData/>
  </xdr:twoCellAnchor>
  <xdr:twoCellAnchor>
    <xdr:from>
      <xdr:col>3</xdr:col>
      <xdr:colOff>1176338</xdr:colOff>
      <xdr:row>36</xdr:row>
      <xdr:rowOff>377918</xdr:rowOff>
    </xdr:from>
    <xdr:to>
      <xdr:col>5</xdr:col>
      <xdr:colOff>1259682</xdr:colOff>
      <xdr:row>38</xdr:row>
      <xdr:rowOff>11207</xdr:rowOff>
    </xdr:to>
    <xdr:sp macro="" textlink="">
      <xdr:nvSpPr>
        <xdr:cNvPr id="9" name="Retângulo: Cantos Superiores Arredondados 6">
          <a:extLst>
            <a:ext uri="{FF2B5EF4-FFF2-40B4-BE49-F238E27FC236}">
              <a16:creationId xmlns:a16="http://schemas.microsoft.com/office/drawing/2014/main" id="{5ADDF472-1DBA-46EC-B0C7-359084E629D6}"/>
            </a:ext>
          </a:extLst>
        </xdr:cNvPr>
        <xdr:cNvSpPr/>
      </xdr:nvSpPr>
      <xdr:spPr>
        <a:xfrm>
          <a:off x="4997544" y="12502683"/>
          <a:ext cx="4453638"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Valor</a:t>
          </a:r>
          <a:r>
            <a:rPr lang="pt-BR" sz="1100" baseline="0">
              <a:solidFill>
                <a:schemeClr val="tx1">
                  <a:lumMod val="75000"/>
                  <a:lumOff val="25000"/>
                </a:schemeClr>
              </a:solidFill>
              <a:latin typeface="+mn-lt"/>
              <a:ea typeface="SF Pro Display" panose="00000500000000000000" pitchFamily="2" charset="0"/>
            </a:rPr>
            <a:t> do Equity da Automob que não pertence à Simpar</a:t>
          </a:r>
          <a:endParaRPr lang="pt-BR" sz="110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1000125</xdr:colOff>
      <xdr:row>1</xdr:row>
      <xdr:rowOff>35718</xdr:rowOff>
    </xdr:from>
    <xdr:to>
      <xdr:col>0</xdr:col>
      <xdr:colOff>1349600</xdr:colOff>
      <xdr:row>4</xdr:row>
      <xdr:rowOff>61435</xdr:rowOff>
    </xdr:to>
    <xdr:pic>
      <xdr:nvPicPr>
        <xdr:cNvPr id="11" name="Imagem 10">
          <a:extLst>
            <a:ext uri="{FF2B5EF4-FFF2-40B4-BE49-F238E27FC236}">
              <a16:creationId xmlns:a16="http://schemas.microsoft.com/office/drawing/2014/main" id="{0C6808B1-2236-49AE-92CB-F958BF4CD02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226218"/>
          <a:ext cx="349475" cy="597217"/>
        </a:xfrm>
        <a:prstGeom prst="rect">
          <a:avLst/>
        </a:prstGeom>
      </xdr:spPr>
    </xdr:pic>
    <xdr:clientData/>
  </xdr:twoCellAnchor>
  <xdr:twoCellAnchor>
    <xdr:from>
      <xdr:col>4</xdr:col>
      <xdr:colOff>0</xdr:colOff>
      <xdr:row>46</xdr:row>
      <xdr:rowOff>0</xdr:rowOff>
    </xdr:from>
    <xdr:to>
      <xdr:col>6</xdr:col>
      <xdr:colOff>0</xdr:colOff>
      <xdr:row>47</xdr:row>
      <xdr:rowOff>14289</xdr:rowOff>
    </xdr:to>
    <xdr:sp macro="" textlink="">
      <xdr:nvSpPr>
        <xdr:cNvPr id="14" name="Retângulo: Cantos Superiores Arredondados 6">
          <a:extLst>
            <a:ext uri="{FF2B5EF4-FFF2-40B4-BE49-F238E27FC236}">
              <a16:creationId xmlns:a16="http://schemas.microsoft.com/office/drawing/2014/main" id="{4D42A8E3-CE9E-40E4-B9E8-809C1720B95C}"/>
            </a:ext>
          </a:extLst>
        </xdr:cNvPr>
        <xdr:cNvSpPr/>
      </xdr:nvSpPr>
      <xdr:spPr>
        <a:xfrm>
          <a:off x="5010150" y="10220325"/>
          <a:ext cx="4457700" cy="39528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a:solidFill>
                <a:schemeClr val="tx1">
                  <a:lumMod val="75000"/>
                  <a:lumOff val="25000"/>
                </a:schemeClr>
              </a:solidFill>
              <a:latin typeface="+mn-lt"/>
              <a:ea typeface="SF Pro Display" panose="00000500000000000000" pitchFamily="2" charset="0"/>
            </a:rPr>
            <a:t>Passivo Judicial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598716</xdr:colOff>
      <xdr:row>6</xdr:row>
      <xdr:rowOff>296763</xdr:rowOff>
    </xdr:from>
    <xdr:to>
      <xdr:col>15</xdr:col>
      <xdr:colOff>801120</xdr:colOff>
      <xdr:row>7</xdr:row>
      <xdr:rowOff>378958</xdr:rowOff>
    </xdr:to>
    <xdr:sp macro="" textlink="">
      <xdr:nvSpPr>
        <xdr:cNvPr id="3" name="Retângulo: Cantos Superiores Arredondados 2">
          <a:extLst>
            <a:ext uri="{FF2B5EF4-FFF2-40B4-BE49-F238E27FC236}">
              <a16:creationId xmlns:a16="http://schemas.microsoft.com/office/drawing/2014/main" id="{ED36573F-2CF8-4F3C-86CA-F6974859BD0A}"/>
            </a:ext>
          </a:extLst>
        </xdr:cNvPr>
        <xdr:cNvSpPr/>
      </xdr:nvSpPr>
      <xdr:spPr>
        <a:xfrm>
          <a:off x="4435930" y="1439763"/>
          <a:ext cx="12149476" cy="39515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WACC</a:t>
          </a:r>
        </a:p>
      </xdr:txBody>
    </xdr:sp>
    <xdr:clientData/>
  </xdr:twoCellAnchor>
  <xdr:twoCellAnchor editAs="oneCell">
    <xdr:from>
      <xdr:col>0</xdr:col>
      <xdr:colOff>1000125</xdr:colOff>
      <xdr:row>1</xdr:row>
      <xdr:rowOff>23812</xdr:rowOff>
    </xdr:from>
    <xdr:to>
      <xdr:col>0</xdr:col>
      <xdr:colOff>1349600</xdr:colOff>
      <xdr:row>4</xdr:row>
      <xdr:rowOff>49529</xdr:rowOff>
    </xdr:to>
    <xdr:pic>
      <xdr:nvPicPr>
        <xdr:cNvPr id="4" name="Imagem 3">
          <a:extLst>
            <a:ext uri="{FF2B5EF4-FFF2-40B4-BE49-F238E27FC236}">
              <a16:creationId xmlns:a16="http://schemas.microsoft.com/office/drawing/2014/main" id="{49B9E5E6-AEFC-4174-8019-3EEB584AEC3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0125" y="214312"/>
          <a:ext cx="349475" cy="5972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598716</xdr:colOff>
      <xdr:row>9</xdr:row>
      <xdr:rowOff>319926</xdr:rowOff>
    </xdr:from>
    <xdr:to>
      <xdr:col>25</xdr:col>
      <xdr:colOff>1088573</xdr:colOff>
      <xdr:row>10</xdr:row>
      <xdr:rowOff>338417</xdr:rowOff>
    </xdr:to>
    <xdr:sp macro="" textlink="">
      <xdr:nvSpPr>
        <xdr:cNvPr id="3" name="Retângulo: Cantos Superiores Arredondados 2">
          <a:extLst>
            <a:ext uri="{FF2B5EF4-FFF2-40B4-BE49-F238E27FC236}">
              <a16:creationId xmlns:a16="http://schemas.microsoft.com/office/drawing/2014/main" id="{00000000-0008-0000-0400-000003000000}"/>
            </a:ext>
          </a:extLst>
        </xdr:cNvPr>
        <xdr:cNvSpPr/>
      </xdr:nvSpPr>
      <xdr:spPr>
        <a:xfrm>
          <a:off x="4419922" y="2538691"/>
          <a:ext cx="23394680" cy="39949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a:t>
          </a:r>
          <a:r>
            <a:rPr lang="pt-BR" sz="1100" b="0">
              <a:solidFill>
                <a:schemeClr val="tx1">
                  <a:lumMod val="75000"/>
                  <a:lumOff val="25000"/>
                </a:schemeClr>
              </a:solidFill>
              <a:latin typeface="SF Pro Display" panose="00000500000000000000" pitchFamily="2" charset="0"/>
              <a:ea typeface="SF Pro Display" panose="00000500000000000000" pitchFamily="2" charset="0"/>
            </a:rPr>
            <a:t> </a:t>
          </a:r>
        </a:p>
      </xdr:txBody>
    </xdr:sp>
    <xdr:clientData/>
  </xdr:twoCellAnchor>
  <xdr:twoCellAnchor>
    <xdr:from>
      <xdr:col>3</xdr:col>
      <xdr:colOff>592530</xdr:colOff>
      <xdr:row>50</xdr:row>
      <xdr:rowOff>273817</xdr:rowOff>
    </xdr:from>
    <xdr:to>
      <xdr:col>26</xdr:col>
      <xdr:colOff>11906</xdr:colOff>
      <xdr:row>52</xdr:row>
      <xdr:rowOff>16072</xdr:rowOff>
    </xdr:to>
    <xdr:sp macro="" textlink="">
      <xdr:nvSpPr>
        <xdr:cNvPr id="4" name="Retângulo: Cantos Superiores Arredondados 3">
          <a:extLst>
            <a:ext uri="{FF2B5EF4-FFF2-40B4-BE49-F238E27FC236}">
              <a16:creationId xmlns:a16="http://schemas.microsoft.com/office/drawing/2014/main" id="{8F7D3793-4521-4737-999B-9D7B173793A3}"/>
            </a:ext>
          </a:extLst>
        </xdr:cNvPr>
        <xdr:cNvSpPr/>
      </xdr:nvSpPr>
      <xdr:spPr>
        <a:xfrm>
          <a:off x="4414436" y="17347380"/>
          <a:ext cx="21457845"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Cálculo</a:t>
          </a:r>
          <a:r>
            <a:rPr lang="pt-BR" sz="1100" b="0" baseline="0">
              <a:solidFill>
                <a:schemeClr val="tx1">
                  <a:lumMod val="75000"/>
                  <a:lumOff val="25000"/>
                </a:schemeClr>
              </a:solidFill>
              <a:latin typeface="+mn-lt"/>
              <a:ea typeface="SF Pro Display" panose="00000500000000000000" pitchFamily="2" charset="0"/>
            </a:rPr>
            <a:t> do NOPAT</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938893</xdr:colOff>
      <xdr:row>1</xdr:row>
      <xdr:rowOff>108857</xdr:rowOff>
    </xdr:from>
    <xdr:to>
      <xdr:col>0</xdr:col>
      <xdr:colOff>1288368</xdr:colOff>
      <xdr:row>4</xdr:row>
      <xdr:rowOff>134574</xdr:rowOff>
    </xdr:to>
    <xdr:pic>
      <xdr:nvPicPr>
        <xdr:cNvPr id="5" name="Imagem 4">
          <a:extLst>
            <a:ext uri="{FF2B5EF4-FFF2-40B4-BE49-F238E27FC236}">
              <a16:creationId xmlns:a16="http://schemas.microsoft.com/office/drawing/2014/main" id="{EDCB2173-5599-4135-904B-676363834F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38893" y="299357"/>
          <a:ext cx="349475" cy="597217"/>
        </a:xfrm>
        <a:prstGeom prst="rect">
          <a:avLst/>
        </a:prstGeom>
      </xdr:spPr>
    </xdr:pic>
    <xdr:clientData/>
  </xdr:twoCellAnchor>
  <xdr:twoCellAnchor>
    <xdr:from>
      <xdr:col>3</xdr:col>
      <xdr:colOff>592530</xdr:colOff>
      <xdr:row>67</xdr:row>
      <xdr:rowOff>273817</xdr:rowOff>
    </xdr:from>
    <xdr:to>
      <xdr:col>26</xdr:col>
      <xdr:colOff>11906</xdr:colOff>
      <xdr:row>69</xdr:row>
      <xdr:rowOff>16072</xdr:rowOff>
    </xdr:to>
    <xdr:sp macro="" textlink="">
      <xdr:nvSpPr>
        <xdr:cNvPr id="2" name="Retângulo: Cantos Superiores Arredondados 1">
          <a:extLst>
            <a:ext uri="{FF2B5EF4-FFF2-40B4-BE49-F238E27FC236}">
              <a16:creationId xmlns:a16="http://schemas.microsoft.com/office/drawing/2014/main" id="{C66B60A3-0408-4E66-BEF9-0DC876857645}"/>
            </a:ext>
          </a:extLst>
        </xdr:cNvPr>
        <xdr:cNvSpPr/>
      </xdr:nvSpPr>
      <xdr:spPr>
        <a:xfrm>
          <a:off x="4429744" y="18112781"/>
          <a:ext cx="2158541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EBITDA Consolidado</a:t>
          </a:r>
        </a:p>
      </xdr:txBody>
    </xdr:sp>
    <xdr:clientData/>
  </xdr:twoCellAnchor>
  <xdr:twoCellAnchor>
    <xdr:from>
      <xdr:col>3</xdr:col>
      <xdr:colOff>592530</xdr:colOff>
      <xdr:row>58</xdr:row>
      <xdr:rowOff>273817</xdr:rowOff>
    </xdr:from>
    <xdr:to>
      <xdr:col>26</xdr:col>
      <xdr:colOff>11906</xdr:colOff>
      <xdr:row>60</xdr:row>
      <xdr:rowOff>16072</xdr:rowOff>
    </xdr:to>
    <xdr:sp macro="" textlink="">
      <xdr:nvSpPr>
        <xdr:cNvPr id="7" name="Retângulo: Cantos Superiores Arredondados 6">
          <a:extLst>
            <a:ext uri="{FF2B5EF4-FFF2-40B4-BE49-F238E27FC236}">
              <a16:creationId xmlns:a16="http://schemas.microsoft.com/office/drawing/2014/main" id="{8492861C-445B-4A70-A2F3-1A383985FAAA}"/>
            </a:ext>
          </a:extLst>
        </xdr:cNvPr>
        <xdr:cNvSpPr/>
      </xdr:nvSpPr>
      <xdr:spPr>
        <a:xfrm>
          <a:off x="4429744" y="24957174"/>
          <a:ext cx="2158541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FCFF Consolidado</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3</xdr:col>
      <xdr:colOff>559130</xdr:colOff>
      <xdr:row>9</xdr:row>
      <xdr:rowOff>207818</xdr:rowOff>
    </xdr:from>
    <xdr:to>
      <xdr:col>26</xdr:col>
      <xdr:colOff>13607</xdr:colOff>
      <xdr:row>11</xdr:row>
      <xdr:rowOff>21888</xdr:rowOff>
    </xdr:to>
    <xdr:sp macro="" textlink="">
      <xdr:nvSpPr>
        <xdr:cNvPr id="3" name="Retângulo: Cantos Superiores Arredondados 2">
          <a:extLst>
            <a:ext uri="{FF2B5EF4-FFF2-40B4-BE49-F238E27FC236}">
              <a16:creationId xmlns:a16="http://schemas.microsoft.com/office/drawing/2014/main" id="{5F01F6A2-0D76-43EC-B399-4EB91CE59927}"/>
            </a:ext>
          </a:extLst>
        </xdr:cNvPr>
        <xdr:cNvSpPr/>
      </xdr:nvSpPr>
      <xdr:spPr>
        <a:xfrm>
          <a:off x="4396344" y="2425782"/>
          <a:ext cx="21620513" cy="57607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DRE Ex</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Empresas de Capital Aberto</a:t>
          </a:r>
          <a:r>
            <a:rPr lang="pt-BR" sz="1100" b="0" baseline="0">
              <a:solidFill>
                <a:schemeClr val="tx1">
                  <a:lumMod val="75000"/>
                  <a:lumOff val="25000"/>
                </a:schemeClr>
              </a:solidFill>
              <a:latin typeface="SF Pro Display" panose="00000500000000000000" pitchFamily="2" charset="0"/>
              <a:ea typeface="SF Pro Display" panose="00000500000000000000" pitchFamily="2" charset="0"/>
            </a:rPr>
            <a:t>	</a:t>
          </a:r>
          <a:endParaRPr lang="pt-BR" sz="1100" b="0">
            <a:solidFill>
              <a:schemeClr val="tx1">
                <a:lumMod val="75000"/>
                <a:lumOff val="25000"/>
              </a:schemeClr>
            </a:solidFill>
            <a:latin typeface="SF Pro Display" panose="00000500000000000000" pitchFamily="2" charset="0"/>
            <a:ea typeface="SF Pro Display" panose="00000500000000000000" pitchFamily="2" charset="0"/>
          </a:endParaRPr>
        </a:p>
      </xdr:txBody>
    </xdr:sp>
    <xdr:clientData/>
  </xdr:twoCellAnchor>
  <xdr:twoCellAnchor>
    <xdr:from>
      <xdr:col>3</xdr:col>
      <xdr:colOff>592530</xdr:colOff>
      <xdr:row>19</xdr:row>
      <xdr:rowOff>273817</xdr:rowOff>
    </xdr:from>
    <xdr:to>
      <xdr:col>29</xdr:col>
      <xdr:colOff>40821</xdr:colOff>
      <xdr:row>21</xdr:row>
      <xdr:rowOff>16072</xdr:rowOff>
    </xdr:to>
    <xdr:sp macro="" textlink="">
      <xdr:nvSpPr>
        <xdr:cNvPr id="4" name="Retângulo: Cantos Superiores Arredondados 3">
          <a:extLst>
            <a:ext uri="{FF2B5EF4-FFF2-40B4-BE49-F238E27FC236}">
              <a16:creationId xmlns:a16="http://schemas.microsoft.com/office/drawing/2014/main" id="{76E3F416-CA1C-48C5-8309-F1833AC101DA}"/>
            </a:ext>
          </a:extLst>
        </xdr:cNvPr>
        <xdr:cNvSpPr/>
      </xdr:nvSpPr>
      <xdr:spPr>
        <a:xfrm>
          <a:off x="4413736" y="5921582"/>
          <a:ext cx="26006232" cy="50425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DCF Ex Empresas de Capital Aberto</a:t>
          </a:r>
        </a:p>
      </xdr:txBody>
    </xdr:sp>
    <xdr:clientData/>
  </xdr:twoCellAnchor>
  <xdr:twoCellAnchor editAs="oneCell">
    <xdr:from>
      <xdr:col>0</xdr:col>
      <xdr:colOff>925286</xdr:colOff>
      <xdr:row>1</xdr:row>
      <xdr:rowOff>27215</xdr:rowOff>
    </xdr:from>
    <xdr:to>
      <xdr:col>0</xdr:col>
      <xdr:colOff>1282381</xdr:colOff>
      <xdr:row>4</xdr:row>
      <xdr:rowOff>60552</xdr:rowOff>
    </xdr:to>
    <xdr:pic>
      <xdr:nvPicPr>
        <xdr:cNvPr id="5" name="Imagem 4">
          <a:extLst>
            <a:ext uri="{FF2B5EF4-FFF2-40B4-BE49-F238E27FC236}">
              <a16:creationId xmlns:a16="http://schemas.microsoft.com/office/drawing/2014/main" id="{1A250878-CFDC-42E2-837D-E0456C0C135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5286" y="217715"/>
          <a:ext cx="349475" cy="5972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4</xdr:col>
      <xdr:colOff>9525</xdr:colOff>
      <xdr:row>6</xdr:row>
      <xdr:rowOff>142875</xdr:rowOff>
    </xdr:from>
    <xdr:to>
      <xdr:col>15</xdr:col>
      <xdr:colOff>0</xdr:colOff>
      <xdr:row>8</xdr:row>
      <xdr:rowOff>23814</xdr:rowOff>
    </xdr:to>
    <xdr:sp macro="" textlink="">
      <xdr:nvSpPr>
        <xdr:cNvPr id="16" name="Retângulo: Cantos Superiores Arredondados 15">
          <a:extLst>
            <a:ext uri="{FF2B5EF4-FFF2-40B4-BE49-F238E27FC236}">
              <a16:creationId xmlns:a16="http://schemas.microsoft.com/office/drawing/2014/main" id="{24B6FD97-D599-4777-855B-994692766F88}"/>
            </a:ext>
          </a:extLst>
        </xdr:cNvPr>
        <xdr:cNvSpPr/>
      </xdr:nvSpPr>
      <xdr:spPr>
        <a:xfrm>
          <a:off x="4140994" y="1285875"/>
          <a:ext cx="14016037" cy="6429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Custos das Vendas e Serviços e Despesas</a:t>
          </a:r>
          <a:r>
            <a:rPr lang="pt-BR" sz="1100" b="0" baseline="0">
              <a:solidFill>
                <a:schemeClr val="tx1">
                  <a:lumMod val="75000"/>
                  <a:lumOff val="25000"/>
                </a:schemeClr>
              </a:solidFill>
              <a:latin typeface="+mn-lt"/>
              <a:ea typeface="SF Pro Display" panose="00000500000000000000" pitchFamily="2" charset="0"/>
            </a:rPr>
            <a:t> Operacionais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595311</xdr:colOff>
      <xdr:row>48</xdr:row>
      <xdr:rowOff>333375</xdr:rowOff>
    </xdr:from>
    <xdr:to>
      <xdr:col>15</xdr:col>
      <xdr:colOff>23811</xdr:colOff>
      <xdr:row>50</xdr:row>
      <xdr:rowOff>0</xdr:rowOff>
    </xdr:to>
    <xdr:sp macro="" textlink="">
      <xdr:nvSpPr>
        <xdr:cNvPr id="19" name="Retângulo: Cantos Superiores Arredondados 18">
          <a:extLst>
            <a:ext uri="{FF2B5EF4-FFF2-40B4-BE49-F238E27FC236}">
              <a16:creationId xmlns:a16="http://schemas.microsoft.com/office/drawing/2014/main" id="{54B4B063-8227-4195-A6DA-38D2ABF35EE1}"/>
            </a:ext>
          </a:extLst>
        </xdr:cNvPr>
        <xdr:cNvSpPr/>
      </xdr:nvSpPr>
      <xdr:spPr>
        <a:xfrm>
          <a:off x="4119561" y="17478375"/>
          <a:ext cx="14061281" cy="42862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a:t>
          </a:r>
        </a:p>
      </xdr:txBody>
    </xdr:sp>
    <xdr:clientData/>
  </xdr:twoCellAnchor>
  <xdr:twoCellAnchor>
    <xdr:from>
      <xdr:col>4</xdr:col>
      <xdr:colOff>11906</xdr:colOff>
      <xdr:row>86</xdr:row>
      <xdr:rowOff>273843</xdr:rowOff>
    </xdr:from>
    <xdr:to>
      <xdr:col>15</xdr:col>
      <xdr:colOff>11906</xdr:colOff>
      <xdr:row>87</xdr:row>
      <xdr:rowOff>357187</xdr:rowOff>
    </xdr:to>
    <xdr:sp macro="" textlink="">
      <xdr:nvSpPr>
        <xdr:cNvPr id="20" name="Retângulo: Cantos Superiores Arredondados 19">
          <a:extLst>
            <a:ext uri="{FF2B5EF4-FFF2-40B4-BE49-F238E27FC236}">
              <a16:creationId xmlns:a16="http://schemas.microsoft.com/office/drawing/2014/main" id="{77B61A8C-2049-47F2-B5F4-2890F296D1DD}"/>
            </a:ext>
          </a:extLst>
        </xdr:cNvPr>
        <xdr:cNvSpPr/>
      </xdr:nvSpPr>
      <xdr:spPr>
        <a:xfrm>
          <a:off x="4143375" y="30753843"/>
          <a:ext cx="14025562" cy="46434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Receitas Financeiras</a:t>
          </a:r>
        </a:p>
      </xdr:txBody>
    </xdr:sp>
    <xdr:clientData/>
  </xdr:twoCellAnchor>
  <xdr:twoCellAnchor>
    <xdr:from>
      <xdr:col>4</xdr:col>
      <xdr:colOff>11907</xdr:colOff>
      <xdr:row>100</xdr:row>
      <xdr:rowOff>321468</xdr:rowOff>
    </xdr:from>
    <xdr:to>
      <xdr:col>15</xdr:col>
      <xdr:colOff>23813</xdr:colOff>
      <xdr:row>101</xdr:row>
      <xdr:rowOff>380999</xdr:rowOff>
    </xdr:to>
    <xdr:sp macro="" textlink="">
      <xdr:nvSpPr>
        <xdr:cNvPr id="21" name="Retângulo: Cantos Superiores Arredondados 20">
          <a:extLst>
            <a:ext uri="{FF2B5EF4-FFF2-40B4-BE49-F238E27FC236}">
              <a16:creationId xmlns:a16="http://schemas.microsoft.com/office/drawing/2014/main" id="{3455D22B-57F9-4A3B-B449-9F29A5F632C4}"/>
            </a:ext>
          </a:extLst>
        </xdr:cNvPr>
        <xdr:cNvSpPr/>
      </xdr:nvSpPr>
      <xdr:spPr>
        <a:xfrm>
          <a:off x="4143376" y="34611468"/>
          <a:ext cx="14037468" cy="44053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Lucro antes do IR</a:t>
          </a:r>
        </a:p>
      </xdr:txBody>
    </xdr:sp>
    <xdr:clientData/>
  </xdr:twoCellAnchor>
  <xdr:twoCellAnchor>
    <xdr:from>
      <xdr:col>4</xdr:col>
      <xdr:colOff>0</xdr:colOff>
      <xdr:row>110</xdr:row>
      <xdr:rowOff>285749</xdr:rowOff>
    </xdr:from>
    <xdr:to>
      <xdr:col>15</xdr:col>
      <xdr:colOff>11906</xdr:colOff>
      <xdr:row>111</xdr:row>
      <xdr:rowOff>380999</xdr:rowOff>
    </xdr:to>
    <xdr:sp macro="" textlink="">
      <xdr:nvSpPr>
        <xdr:cNvPr id="22" name="Retângulo: Cantos Superiores Arredondados 21">
          <a:extLst>
            <a:ext uri="{FF2B5EF4-FFF2-40B4-BE49-F238E27FC236}">
              <a16:creationId xmlns:a16="http://schemas.microsoft.com/office/drawing/2014/main" id="{80620257-2369-473A-AE07-D37A9A59978F}"/>
            </a:ext>
          </a:extLst>
        </xdr:cNvPr>
        <xdr:cNvSpPr/>
      </xdr:nvSpPr>
      <xdr:spPr>
        <a:xfrm>
          <a:off x="4131469" y="37623749"/>
          <a:ext cx="14037468" cy="476250"/>
        </a:xfrm>
        <a:prstGeom prst="round2SameRect">
          <a:avLst>
            <a:gd name="adj1" fmla="val 37075"/>
            <a:gd name="adj2" fmla="val 0"/>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Imposto</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de Renda (R$ Mil)</a:t>
          </a:r>
          <a:endPar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endParaRPr>
        </a:p>
      </xdr:txBody>
    </xdr:sp>
    <xdr:clientData/>
  </xdr:twoCellAnchor>
  <xdr:twoCellAnchor>
    <xdr:from>
      <xdr:col>4</xdr:col>
      <xdr:colOff>11905</xdr:colOff>
      <xdr:row>62</xdr:row>
      <xdr:rowOff>285749</xdr:rowOff>
    </xdr:from>
    <xdr:to>
      <xdr:col>15</xdr:col>
      <xdr:colOff>35718</xdr:colOff>
      <xdr:row>63</xdr:row>
      <xdr:rowOff>357188</xdr:rowOff>
    </xdr:to>
    <xdr:sp macro="" textlink="">
      <xdr:nvSpPr>
        <xdr:cNvPr id="26" name="Retângulo: Cantos Superiores Arredondados 25">
          <a:extLst>
            <a:ext uri="{FF2B5EF4-FFF2-40B4-BE49-F238E27FC236}">
              <a16:creationId xmlns:a16="http://schemas.microsoft.com/office/drawing/2014/main" id="{81E17982-0EFC-4FE3-99BB-55CC38EF00EA}"/>
            </a:ext>
          </a:extLst>
        </xdr:cNvPr>
        <xdr:cNvSpPr/>
      </xdr:nvSpPr>
      <xdr:spPr>
        <a:xfrm>
          <a:off x="4143374" y="21621749"/>
          <a:ext cx="14049375" cy="452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Despesas Financeiras</a:t>
          </a:r>
        </a:p>
      </xdr:txBody>
    </xdr:sp>
    <xdr:clientData/>
  </xdr:twoCellAnchor>
  <xdr:twoCellAnchor>
    <xdr:from>
      <xdr:col>4</xdr:col>
      <xdr:colOff>1</xdr:colOff>
      <xdr:row>141</xdr:row>
      <xdr:rowOff>119064</xdr:rowOff>
    </xdr:from>
    <xdr:to>
      <xdr:col>15</xdr:col>
      <xdr:colOff>11907</xdr:colOff>
      <xdr:row>144</xdr:row>
      <xdr:rowOff>23814</xdr:rowOff>
    </xdr:to>
    <xdr:sp macro="" textlink="">
      <xdr:nvSpPr>
        <xdr:cNvPr id="9" name="Retângulo: Cantos Superiores Arredondados 8">
          <a:extLst>
            <a:ext uri="{FF2B5EF4-FFF2-40B4-BE49-F238E27FC236}">
              <a16:creationId xmlns:a16="http://schemas.microsoft.com/office/drawing/2014/main" id="{3AC6806A-5799-4BD4-A426-73DC1F55D7B8}"/>
            </a:ext>
          </a:extLst>
        </xdr:cNvPr>
        <xdr:cNvSpPr/>
      </xdr:nvSpPr>
      <xdr:spPr>
        <a:xfrm>
          <a:off x="4131470" y="47124939"/>
          <a:ext cx="14704218" cy="476250"/>
        </a:xfrm>
        <a:prstGeom prst="round2SameRect">
          <a:avLst>
            <a:gd name="adj1" fmla="val 37075"/>
            <a:gd name="adj2" fmla="val 0"/>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Imposto</a:t>
          </a:r>
          <a:r>
            <a:rPr lang="pt-BR" sz="1100" b="0" baseline="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 de Renda Empresas de Capital Aberto (R$ Mil)</a:t>
          </a:r>
          <a:endPar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endParaRPr>
        </a:p>
      </xdr:txBody>
    </xdr:sp>
    <xdr:clientData/>
  </xdr:twoCellAnchor>
  <xdr:twoCellAnchor editAs="oneCell">
    <xdr:from>
      <xdr:col>0</xdr:col>
      <xdr:colOff>857250</xdr:colOff>
      <xdr:row>1</xdr:row>
      <xdr:rowOff>59531</xdr:rowOff>
    </xdr:from>
    <xdr:to>
      <xdr:col>0</xdr:col>
      <xdr:colOff>1206725</xdr:colOff>
      <xdr:row>4</xdr:row>
      <xdr:rowOff>85248</xdr:rowOff>
    </xdr:to>
    <xdr:pic>
      <xdr:nvPicPr>
        <xdr:cNvPr id="2" name="Imagem 1">
          <a:extLst>
            <a:ext uri="{FF2B5EF4-FFF2-40B4-BE49-F238E27FC236}">
              <a16:creationId xmlns:a16="http://schemas.microsoft.com/office/drawing/2014/main" id="{5F8D8155-F34B-4D7E-B9D3-CD2FCCCD1A1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57250" y="250031"/>
          <a:ext cx="349475" cy="5972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1047750</xdr:colOff>
      <xdr:row>1</xdr:row>
      <xdr:rowOff>104775</xdr:rowOff>
    </xdr:from>
    <xdr:to>
      <xdr:col>0</xdr:col>
      <xdr:colOff>1524000</xdr:colOff>
      <xdr:row>4</xdr:row>
      <xdr:rowOff>9525</xdr:rowOff>
    </xdr:to>
    <xdr:pic>
      <xdr:nvPicPr>
        <xdr:cNvPr id="2" name="Imagem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607217</xdr:colOff>
      <xdr:row>13</xdr:row>
      <xdr:rowOff>-1</xdr:rowOff>
    </xdr:from>
    <xdr:to>
      <xdr:col>15</xdr:col>
      <xdr:colOff>11905</xdr:colOff>
      <xdr:row>14</xdr:row>
      <xdr:rowOff>35718</xdr:rowOff>
    </xdr:to>
    <xdr:sp macro="" textlink="">
      <xdr:nvSpPr>
        <xdr:cNvPr id="3" name="Retângulo: Cantos Superiores Arredondados 2">
          <a:extLst>
            <a:ext uri="{FF2B5EF4-FFF2-40B4-BE49-F238E27FC236}">
              <a16:creationId xmlns:a16="http://schemas.microsoft.com/office/drawing/2014/main" id="{00000000-0008-0000-0300-000003000000}"/>
            </a:ext>
          </a:extLst>
        </xdr:cNvPr>
        <xdr:cNvSpPr/>
      </xdr:nvSpPr>
      <xdr:spPr>
        <a:xfrm rot="10800000" flipV="1">
          <a:off x="4429123" y="2690812"/>
          <a:ext cx="11453813" cy="41671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Balanço</a:t>
          </a:r>
          <a:r>
            <a:rPr lang="pt-BR" sz="1100" b="0" baseline="0">
              <a:solidFill>
                <a:schemeClr val="tx1">
                  <a:lumMod val="75000"/>
                  <a:lumOff val="25000"/>
                </a:schemeClr>
              </a:solidFill>
              <a:latin typeface="+mn-lt"/>
              <a:ea typeface="SF Pro Display" panose="00000500000000000000" pitchFamily="2" charset="0"/>
            </a:rPr>
            <a:t> Patrimonial</a:t>
          </a:r>
          <a:r>
            <a:rPr lang="pt-BR" sz="1100" b="0">
              <a:solidFill>
                <a:schemeClr val="tx1">
                  <a:lumMod val="75000"/>
                  <a:lumOff val="25000"/>
                </a:schemeClr>
              </a:solidFill>
              <a:latin typeface="+mn-lt"/>
              <a:ea typeface="SF Pro Display" panose="00000500000000000000" pitchFamily="2" charset="0"/>
            </a:rPr>
            <a:t> </a:t>
          </a:r>
        </a:p>
      </xdr:txBody>
    </xdr:sp>
    <xdr:clientData/>
  </xdr:twoCellAnchor>
  <xdr:twoCellAnchor editAs="oneCell">
    <xdr:from>
      <xdr:col>0</xdr:col>
      <xdr:colOff>916781</xdr:colOff>
      <xdr:row>7</xdr:row>
      <xdr:rowOff>154781</xdr:rowOff>
    </xdr:from>
    <xdr:to>
      <xdr:col>0</xdr:col>
      <xdr:colOff>1266256</xdr:colOff>
      <xdr:row>10</xdr:row>
      <xdr:rowOff>85248</xdr:rowOff>
    </xdr:to>
    <xdr:pic>
      <xdr:nvPicPr>
        <xdr:cNvPr id="4" name="Imagem 3">
          <a:extLst>
            <a:ext uri="{FF2B5EF4-FFF2-40B4-BE49-F238E27FC236}">
              <a16:creationId xmlns:a16="http://schemas.microsoft.com/office/drawing/2014/main" id="{E6E0A4E9-600C-4E01-B123-D4AE4A0AF93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16781" y="1488281"/>
          <a:ext cx="349475" cy="59721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1047750</xdr:colOff>
      <xdr:row>1</xdr:row>
      <xdr:rowOff>104775</xdr:rowOff>
    </xdr:from>
    <xdr:ext cx="0" cy="476250"/>
    <xdr:pic>
      <xdr:nvPicPr>
        <xdr:cNvPr id="2" name="Imagem 1">
          <a:extLst>
            <a:ext uri="{FF2B5EF4-FFF2-40B4-BE49-F238E27FC236}">
              <a16:creationId xmlns:a16="http://schemas.microsoft.com/office/drawing/2014/main" id="{A354804E-6D34-42AC-8E37-EBEE69DC3F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2380</xdr:colOff>
      <xdr:row>7</xdr:row>
      <xdr:rowOff>26194</xdr:rowOff>
    </xdr:from>
    <xdr:to>
      <xdr:col>15</xdr:col>
      <xdr:colOff>23812</xdr:colOff>
      <xdr:row>8</xdr:row>
      <xdr:rowOff>35718</xdr:rowOff>
    </xdr:to>
    <xdr:sp macro="" textlink="">
      <xdr:nvSpPr>
        <xdr:cNvPr id="6" name="Retângulo: Cantos Superiores Arredondados 2">
          <a:extLst>
            <a:ext uri="{FF2B5EF4-FFF2-40B4-BE49-F238E27FC236}">
              <a16:creationId xmlns:a16="http://schemas.microsoft.com/office/drawing/2014/main" id="{B8C707B8-ED3A-4B2C-A342-E2A7C26A963F}"/>
            </a:ext>
          </a:extLst>
        </xdr:cNvPr>
        <xdr:cNvSpPr/>
      </xdr:nvSpPr>
      <xdr:spPr>
        <a:xfrm>
          <a:off x="4121943" y="1478757"/>
          <a:ext cx="12046744" cy="39052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Liquidez</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2380</xdr:colOff>
      <xdr:row>14</xdr:row>
      <xdr:rowOff>288813</xdr:rowOff>
    </xdr:from>
    <xdr:to>
      <xdr:col>14</xdr:col>
      <xdr:colOff>11906</xdr:colOff>
      <xdr:row>15</xdr:row>
      <xdr:rowOff>363654</xdr:rowOff>
    </xdr:to>
    <xdr:sp macro="" textlink="">
      <xdr:nvSpPr>
        <xdr:cNvPr id="7" name="Retângulo: Cantos Superiores Arredondados 2">
          <a:extLst>
            <a:ext uri="{FF2B5EF4-FFF2-40B4-BE49-F238E27FC236}">
              <a16:creationId xmlns:a16="http://schemas.microsoft.com/office/drawing/2014/main" id="{3E3344AC-4234-4A7B-8241-5C5DB846F935}"/>
            </a:ext>
          </a:extLst>
        </xdr:cNvPr>
        <xdr:cNvSpPr/>
      </xdr:nvSpPr>
      <xdr:spPr>
        <a:xfrm>
          <a:off x="4121943" y="4408376"/>
          <a:ext cx="11141869"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Rentabilidade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15306</xdr:colOff>
      <xdr:row>21</xdr:row>
      <xdr:rowOff>303779</xdr:rowOff>
    </xdr:from>
    <xdr:to>
      <xdr:col>14</xdr:col>
      <xdr:colOff>17347</xdr:colOff>
      <xdr:row>22</xdr:row>
      <xdr:rowOff>378620</xdr:rowOff>
    </xdr:to>
    <xdr:sp macro="" textlink="">
      <xdr:nvSpPr>
        <xdr:cNvPr id="8" name="Retângulo: Cantos Superiores Arredondados 2">
          <a:extLst>
            <a:ext uri="{FF2B5EF4-FFF2-40B4-BE49-F238E27FC236}">
              <a16:creationId xmlns:a16="http://schemas.microsoft.com/office/drawing/2014/main" id="{075AB7D8-FE0D-4A2F-AB42-A08A86E06B08}"/>
            </a:ext>
          </a:extLst>
        </xdr:cNvPr>
        <xdr:cNvSpPr/>
      </xdr:nvSpPr>
      <xdr:spPr>
        <a:xfrm>
          <a:off x="4134869" y="7090342"/>
          <a:ext cx="11134384"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Endividamento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599053</xdr:colOff>
      <xdr:row>30</xdr:row>
      <xdr:rowOff>375217</xdr:rowOff>
    </xdr:from>
    <xdr:to>
      <xdr:col>14</xdr:col>
      <xdr:colOff>0</xdr:colOff>
      <xdr:row>32</xdr:row>
      <xdr:rowOff>35718</xdr:rowOff>
    </xdr:to>
    <xdr:sp macro="" textlink="">
      <xdr:nvSpPr>
        <xdr:cNvPr id="9" name="Retângulo: Cantos Superiores Arredondados 2">
          <a:extLst>
            <a:ext uri="{FF2B5EF4-FFF2-40B4-BE49-F238E27FC236}">
              <a16:creationId xmlns:a16="http://schemas.microsoft.com/office/drawing/2014/main" id="{837898B1-B3F0-4994-A218-93CE7FA7B086}"/>
            </a:ext>
          </a:extLst>
        </xdr:cNvPr>
        <xdr:cNvSpPr/>
      </xdr:nvSpPr>
      <xdr:spPr>
        <a:xfrm>
          <a:off x="4111397" y="10590780"/>
          <a:ext cx="11080978" cy="42250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Capital de Giro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oneCellAnchor>
    <xdr:from>
      <xdr:col>0</xdr:col>
      <xdr:colOff>1047750</xdr:colOff>
      <xdr:row>1</xdr:row>
      <xdr:rowOff>104775</xdr:rowOff>
    </xdr:from>
    <xdr:ext cx="0" cy="476250"/>
    <xdr:pic>
      <xdr:nvPicPr>
        <xdr:cNvPr id="10" name="Imagem 9">
          <a:extLst>
            <a:ext uri="{FF2B5EF4-FFF2-40B4-BE49-F238E27FC236}">
              <a16:creationId xmlns:a16="http://schemas.microsoft.com/office/drawing/2014/main" id="{B53487D5-3DCF-429E-963E-419D9F57B74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0</xdr:colOff>
      <xdr:row>39</xdr:row>
      <xdr:rowOff>1</xdr:rowOff>
    </xdr:from>
    <xdr:to>
      <xdr:col>14</xdr:col>
      <xdr:colOff>0</xdr:colOff>
      <xdr:row>40</xdr:row>
      <xdr:rowOff>19051</xdr:rowOff>
    </xdr:to>
    <xdr:sp macro="" textlink="">
      <xdr:nvSpPr>
        <xdr:cNvPr id="24" name="Retângulo: Cantos Superiores Arredondados 2">
          <a:extLst>
            <a:ext uri="{FF2B5EF4-FFF2-40B4-BE49-F238E27FC236}">
              <a16:creationId xmlns:a16="http://schemas.microsoft.com/office/drawing/2014/main" id="{9EF2DE84-1516-428E-833D-3EF538BCCFAA}"/>
            </a:ext>
          </a:extLst>
        </xdr:cNvPr>
        <xdr:cNvSpPr/>
      </xdr:nvSpPr>
      <xdr:spPr>
        <a:xfrm>
          <a:off x="4119563" y="14025564"/>
          <a:ext cx="11072812" cy="40005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Índices</a:t>
          </a:r>
          <a:r>
            <a:rPr lang="pt-BR" sz="1100" b="0" baseline="0">
              <a:solidFill>
                <a:schemeClr val="tx1">
                  <a:lumMod val="75000"/>
                  <a:lumOff val="25000"/>
                </a:schemeClr>
              </a:solidFill>
              <a:latin typeface="+mn-lt"/>
              <a:ea typeface="SF Pro Display" panose="00000500000000000000" pitchFamily="2" charset="0"/>
            </a:rPr>
            <a:t> de Dividendos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785812</xdr:colOff>
      <xdr:row>1</xdr:row>
      <xdr:rowOff>107156</xdr:rowOff>
    </xdr:from>
    <xdr:to>
      <xdr:col>0</xdr:col>
      <xdr:colOff>1135287</xdr:colOff>
      <xdr:row>4</xdr:row>
      <xdr:rowOff>132873</xdr:rowOff>
    </xdr:to>
    <xdr:pic>
      <xdr:nvPicPr>
        <xdr:cNvPr id="3" name="Imagem 2">
          <a:extLst>
            <a:ext uri="{FF2B5EF4-FFF2-40B4-BE49-F238E27FC236}">
              <a16:creationId xmlns:a16="http://schemas.microsoft.com/office/drawing/2014/main" id="{7B624998-B363-4F6C-ACFE-7CD5928824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5812" y="297656"/>
          <a:ext cx="349475" cy="597217"/>
        </a:xfrm>
        <a:prstGeom prst="rect">
          <a:avLst/>
        </a:prstGeom>
      </xdr:spPr>
    </xdr:pic>
    <xdr:clientData/>
  </xdr:twoCellAnchor>
  <xdr:twoCellAnchor>
    <xdr:from>
      <xdr:col>3</xdr:col>
      <xdr:colOff>605857</xdr:colOff>
      <xdr:row>46</xdr:row>
      <xdr:rowOff>339498</xdr:rowOff>
    </xdr:from>
    <xdr:to>
      <xdr:col>10</xdr:col>
      <xdr:colOff>19050</xdr:colOff>
      <xdr:row>48</xdr:row>
      <xdr:rowOff>33339</xdr:rowOff>
    </xdr:to>
    <xdr:sp macro="" textlink="">
      <xdr:nvSpPr>
        <xdr:cNvPr id="4" name="Retângulo: Cantos Superiores Arredondados 2">
          <a:extLst>
            <a:ext uri="{FF2B5EF4-FFF2-40B4-BE49-F238E27FC236}">
              <a16:creationId xmlns:a16="http://schemas.microsoft.com/office/drawing/2014/main" id="{8484A68F-3123-480F-8E2E-46920A4A9CDB}"/>
            </a:ext>
          </a:extLst>
        </xdr:cNvPr>
        <xdr:cNvSpPr/>
      </xdr:nvSpPr>
      <xdr:spPr>
        <a:xfrm>
          <a:off x="4120582" y="18179823"/>
          <a:ext cx="7633268" cy="455841"/>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baseline="0">
              <a:solidFill>
                <a:schemeClr val="tx1">
                  <a:lumMod val="75000"/>
                  <a:lumOff val="25000"/>
                </a:schemeClr>
              </a:solidFill>
              <a:latin typeface="+mn-lt"/>
              <a:ea typeface="SF Pro Display" panose="00000500000000000000" pitchFamily="2" charset="0"/>
            </a:rPr>
            <a:t>Endividamento para fins de Covenants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3</xdr:col>
      <xdr:colOff>601550</xdr:colOff>
      <xdr:row>6</xdr:row>
      <xdr:rowOff>268020</xdr:rowOff>
    </xdr:from>
    <xdr:to>
      <xdr:col>25</xdr:col>
      <xdr:colOff>0</xdr:colOff>
      <xdr:row>7</xdr:row>
      <xdr:rowOff>372495</xdr:rowOff>
    </xdr:to>
    <xdr:sp macro="" textlink="">
      <xdr:nvSpPr>
        <xdr:cNvPr id="3" name="Retângulo: Cantos Superiores Arredondados 2">
          <a:extLst>
            <a:ext uri="{FF2B5EF4-FFF2-40B4-BE49-F238E27FC236}">
              <a16:creationId xmlns:a16="http://schemas.microsoft.com/office/drawing/2014/main" id="{00000000-0008-0000-0500-000003000000}"/>
            </a:ext>
          </a:extLst>
        </xdr:cNvPr>
        <xdr:cNvSpPr/>
      </xdr:nvSpPr>
      <xdr:spPr>
        <a:xfrm>
          <a:off x="4423456" y="1411020"/>
          <a:ext cx="24365857" cy="41403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a:t>
          </a:r>
          <a:r>
            <a:rPr lang="pt-BR" sz="1100" b="0" baseline="0">
              <a:solidFill>
                <a:schemeClr val="tx1">
                  <a:lumMod val="75000"/>
                  <a:lumOff val="25000"/>
                </a:schemeClr>
              </a:solidFill>
              <a:latin typeface="+mn-lt"/>
              <a:ea typeface="SF Pro Display" panose="00000500000000000000" pitchFamily="2" charset="0"/>
            </a:rPr>
            <a:t> Receita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568098</xdr:colOff>
      <xdr:row>40</xdr:row>
      <xdr:rowOff>10204</xdr:rowOff>
    </xdr:from>
    <xdr:to>
      <xdr:col>25</xdr:col>
      <xdr:colOff>11906</xdr:colOff>
      <xdr:row>41</xdr:row>
      <xdr:rowOff>46643</xdr:rowOff>
    </xdr:to>
    <xdr:sp macro="" textlink="">
      <xdr:nvSpPr>
        <xdr:cNvPr id="4" name="Retângulo: Cantos Superiores Arredondados 3">
          <a:extLst>
            <a:ext uri="{FF2B5EF4-FFF2-40B4-BE49-F238E27FC236}">
              <a16:creationId xmlns:a16="http://schemas.microsoft.com/office/drawing/2014/main" id="{A045FB2D-806F-467B-A646-22B9F648285D}"/>
            </a:ext>
          </a:extLst>
        </xdr:cNvPr>
        <xdr:cNvSpPr/>
      </xdr:nvSpPr>
      <xdr:spPr>
        <a:xfrm>
          <a:off x="4405312" y="14270490"/>
          <a:ext cx="29828558"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Automob</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595312</xdr:colOff>
      <xdr:row>58</xdr:row>
      <xdr:rowOff>360590</xdr:rowOff>
    </xdr:from>
    <xdr:to>
      <xdr:col>24</xdr:col>
      <xdr:colOff>1534771</xdr:colOff>
      <xdr:row>60</xdr:row>
      <xdr:rowOff>16029</xdr:rowOff>
    </xdr:to>
    <xdr:sp macro="" textlink="">
      <xdr:nvSpPr>
        <xdr:cNvPr id="5" name="Retângulo: Cantos Superiores Arredondados 4">
          <a:extLst>
            <a:ext uri="{FF2B5EF4-FFF2-40B4-BE49-F238E27FC236}">
              <a16:creationId xmlns:a16="http://schemas.microsoft.com/office/drawing/2014/main" id="{0F78AAC0-0AEA-4E19-AF0E-7EFE78AF8372}"/>
            </a:ext>
          </a:extLst>
        </xdr:cNvPr>
        <xdr:cNvSpPr/>
      </xdr:nvSpPr>
      <xdr:spPr>
        <a:xfrm>
          <a:off x="4432526" y="21478876"/>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CS Brasil</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568098</xdr:colOff>
      <xdr:row>77</xdr:row>
      <xdr:rowOff>234724</xdr:rowOff>
    </xdr:from>
    <xdr:to>
      <xdr:col>24</xdr:col>
      <xdr:colOff>1507557</xdr:colOff>
      <xdr:row>79</xdr:row>
      <xdr:rowOff>16028</xdr:rowOff>
    </xdr:to>
    <xdr:sp macro="" textlink="">
      <xdr:nvSpPr>
        <xdr:cNvPr id="6" name="Retângulo: Cantos Superiores Arredondados 5">
          <a:extLst>
            <a:ext uri="{FF2B5EF4-FFF2-40B4-BE49-F238E27FC236}">
              <a16:creationId xmlns:a16="http://schemas.microsoft.com/office/drawing/2014/main" id="{CC7505ED-67E3-4BF4-A389-903F365D5313}"/>
            </a:ext>
          </a:extLst>
        </xdr:cNvPr>
        <xdr:cNvSpPr/>
      </xdr:nvSpPr>
      <xdr:spPr>
        <a:xfrm>
          <a:off x="4405312" y="28755295"/>
          <a:ext cx="29786602" cy="54330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CS Infra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585108</xdr:colOff>
      <xdr:row>22</xdr:row>
      <xdr:rowOff>169469</xdr:rowOff>
    </xdr:from>
    <xdr:to>
      <xdr:col>25</xdr:col>
      <xdr:colOff>11906</xdr:colOff>
      <xdr:row>23</xdr:row>
      <xdr:rowOff>16644</xdr:rowOff>
    </xdr:to>
    <xdr:sp macro="" textlink="">
      <xdr:nvSpPr>
        <xdr:cNvPr id="11" name="Retângulo: Cantos Superiores Arredondados 10">
          <a:extLst>
            <a:ext uri="{FF2B5EF4-FFF2-40B4-BE49-F238E27FC236}">
              <a16:creationId xmlns:a16="http://schemas.microsoft.com/office/drawing/2014/main" id="{5F71ACAB-EC3E-4785-9021-3D6CD21F6B8C}"/>
            </a:ext>
          </a:extLst>
        </xdr:cNvPr>
        <xdr:cNvSpPr/>
      </xdr:nvSpPr>
      <xdr:spPr>
        <a:xfrm>
          <a:off x="4422322" y="7122719"/>
          <a:ext cx="29811548" cy="40506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BBC</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585108</xdr:colOff>
      <xdr:row>116</xdr:row>
      <xdr:rowOff>353786</xdr:rowOff>
    </xdr:from>
    <xdr:to>
      <xdr:col>24</xdr:col>
      <xdr:colOff>1524567</xdr:colOff>
      <xdr:row>118</xdr:row>
      <xdr:rowOff>9225</xdr:rowOff>
    </xdr:to>
    <xdr:sp macro="" textlink="">
      <xdr:nvSpPr>
        <xdr:cNvPr id="8" name="Retângulo: Cantos Superiores Arredondados 7">
          <a:extLst>
            <a:ext uri="{FF2B5EF4-FFF2-40B4-BE49-F238E27FC236}">
              <a16:creationId xmlns:a16="http://schemas.microsoft.com/office/drawing/2014/main" id="{96328B16-C2FC-406F-97C9-BE4E18954535}"/>
            </a:ext>
          </a:extLst>
        </xdr:cNvPr>
        <xdr:cNvSpPr/>
      </xdr:nvSpPr>
      <xdr:spPr>
        <a:xfrm>
          <a:off x="4422322" y="44046322"/>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Eliminações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554491</xdr:colOff>
      <xdr:row>100</xdr:row>
      <xdr:rowOff>360588</xdr:rowOff>
    </xdr:from>
    <xdr:to>
      <xdr:col>24</xdr:col>
      <xdr:colOff>1493950</xdr:colOff>
      <xdr:row>102</xdr:row>
      <xdr:rowOff>16027</xdr:rowOff>
    </xdr:to>
    <xdr:sp macro="" textlink="">
      <xdr:nvSpPr>
        <xdr:cNvPr id="9" name="Retângulo: Cantos Superiores Arredondados 8">
          <a:extLst>
            <a:ext uri="{FF2B5EF4-FFF2-40B4-BE49-F238E27FC236}">
              <a16:creationId xmlns:a16="http://schemas.microsoft.com/office/drawing/2014/main" id="{CA31BA8F-A104-47A3-9CF1-7C2F4E62C529}"/>
            </a:ext>
          </a:extLst>
        </xdr:cNvPr>
        <xdr:cNvSpPr/>
      </xdr:nvSpPr>
      <xdr:spPr>
        <a:xfrm>
          <a:off x="4391705" y="37957124"/>
          <a:ext cx="29786602" cy="4174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DRE -</a:t>
          </a:r>
          <a:r>
            <a:rPr lang="pt-BR" sz="1100" b="0" baseline="0">
              <a:solidFill>
                <a:schemeClr val="tx1">
                  <a:lumMod val="75000"/>
                  <a:lumOff val="25000"/>
                </a:schemeClr>
              </a:solidFill>
              <a:latin typeface="+mn-lt"/>
              <a:ea typeface="SF Pro Display" panose="00000500000000000000" pitchFamily="2" charset="0"/>
            </a:rPr>
            <a:t> Holding</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1006929</xdr:colOff>
      <xdr:row>1</xdr:row>
      <xdr:rowOff>122464</xdr:rowOff>
    </xdr:from>
    <xdr:to>
      <xdr:col>0</xdr:col>
      <xdr:colOff>1356404</xdr:colOff>
      <xdr:row>4</xdr:row>
      <xdr:rowOff>148181</xdr:rowOff>
    </xdr:to>
    <xdr:pic>
      <xdr:nvPicPr>
        <xdr:cNvPr id="7" name="Imagem 6">
          <a:extLst>
            <a:ext uri="{FF2B5EF4-FFF2-40B4-BE49-F238E27FC236}">
              <a16:creationId xmlns:a16="http://schemas.microsoft.com/office/drawing/2014/main" id="{E33D9293-0597-4D05-BB08-0A034E9235F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006929" y="312964"/>
          <a:ext cx="349475" cy="59721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4</xdr:col>
      <xdr:colOff>5716</xdr:colOff>
      <xdr:row>6</xdr:row>
      <xdr:rowOff>222883</xdr:rowOff>
    </xdr:from>
    <xdr:to>
      <xdr:col>24</xdr:col>
      <xdr:colOff>68036</xdr:colOff>
      <xdr:row>8</xdr:row>
      <xdr:rowOff>35717</xdr:rowOff>
    </xdr:to>
    <xdr:sp macro="" textlink="">
      <xdr:nvSpPr>
        <xdr:cNvPr id="3" name="Retângulo: Cantos Superiores Arredondados 2">
          <a:extLst>
            <a:ext uri="{FF2B5EF4-FFF2-40B4-BE49-F238E27FC236}">
              <a16:creationId xmlns:a16="http://schemas.microsoft.com/office/drawing/2014/main" id="{00000000-0008-0000-0600-000003000000}"/>
            </a:ext>
          </a:extLst>
        </xdr:cNvPr>
        <xdr:cNvSpPr/>
      </xdr:nvSpPr>
      <xdr:spPr>
        <a:xfrm>
          <a:off x="4455252" y="1365883"/>
          <a:ext cx="17819641" cy="50679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Capital</a:t>
          </a:r>
          <a:r>
            <a:rPr lang="pt-BR" sz="1100" b="0" baseline="0">
              <a:solidFill>
                <a:schemeClr val="tx1">
                  <a:lumMod val="75000"/>
                  <a:lumOff val="25000"/>
                </a:schemeClr>
              </a:solidFill>
              <a:latin typeface="+mn-lt"/>
              <a:ea typeface="SF Pro Display" panose="00000500000000000000" pitchFamily="2" charset="0"/>
            </a:rPr>
            <a:t> de Giro</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603016</xdr:colOff>
      <xdr:row>12</xdr:row>
      <xdr:rowOff>254318</xdr:rowOff>
    </xdr:from>
    <xdr:to>
      <xdr:col>24</xdr:col>
      <xdr:colOff>8965</xdr:colOff>
      <xdr:row>13</xdr:row>
      <xdr:rowOff>370998</xdr:rowOff>
    </xdr:to>
    <xdr:sp macro="" textlink="">
      <xdr:nvSpPr>
        <xdr:cNvPr id="5" name="Retângulo: Cantos Superiores Arredondados 4">
          <a:extLst>
            <a:ext uri="{FF2B5EF4-FFF2-40B4-BE49-F238E27FC236}">
              <a16:creationId xmlns:a16="http://schemas.microsoft.com/office/drawing/2014/main" id="{B10C8D87-E2C5-4183-9B00-9917381674C4}"/>
            </a:ext>
          </a:extLst>
        </xdr:cNvPr>
        <xdr:cNvSpPr/>
      </xdr:nvSpPr>
      <xdr:spPr>
        <a:xfrm>
          <a:off x="4439910" y="3625047"/>
          <a:ext cx="19970984" cy="502163"/>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Capex</a:t>
          </a:r>
        </a:p>
      </xdr:txBody>
    </xdr:sp>
    <xdr:clientData/>
  </xdr:twoCellAnchor>
  <xdr:twoCellAnchor>
    <xdr:from>
      <xdr:col>3</xdr:col>
      <xdr:colOff>573600</xdr:colOff>
      <xdr:row>34</xdr:row>
      <xdr:rowOff>26921</xdr:rowOff>
    </xdr:from>
    <xdr:to>
      <xdr:col>21</xdr:col>
      <xdr:colOff>17930</xdr:colOff>
      <xdr:row>35</xdr:row>
      <xdr:rowOff>62639</xdr:rowOff>
    </xdr:to>
    <xdr:sp macro="" textlink="">
      <xdr:nvSpPr>
        <xdr:cNvPr id="13" name="Retângulo: Cantos Superiores Arredondados 12">
          <a:extLst>
            <a:ext uri="{FF2B5EF4-FFF2-40B4-BE49-F238E27FC236}">
              <a16:creationId xmlns:a16="http://schemas.microsoft.com/office/drawing/2014/main" id="{EA017C90-40AA-4C19-ADCC-289FCA29D1F7}"/>
            </a:ext>
          </a:extLst>
        </xdr:cNvPr>
        <xdr:cNvSpPr/>
      </xdr:nvSpPr>
      <xdr:spPr>
        <a:xfrm>
          <a:off x="4410494" y="10721815"/>
          <a:ext cx="14522965" cy="42120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 - Inflação</a:t>
          </a:r>
          <a:r>
            <a:rPr lang="pt-BR" sz="1100" b="0" baseline="0">
              <a:solidFill>
                <a:schemeClr val="tx1">
                  <a:lumMod val="75000"/>
                  <a:lumOff val="25000"/>
                </a:schemeClr>
              </a:solidFill>
              <a:latin typeface="+mn-lt"/>
              <a:ea typeface="SF Pro Display" panose="00000500000000000000" pitchFamily="2" charset="0"/>
            </a:rPr>
            <a:t> Implícita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-1</xdr:colOff>
      <xdr:row>59</xdr:row>
      <xdr:rowOff>246529</xdr:rowOff>
    </xdr:from>
    <xdr:to>
      <xdr:col>20</xdr:col>
      <xdr:colOff>13607</xdr:colOff>
      <xdr:row>60</xdr:row>
      <xdr:rowOff>376938</xdr:rowOff>
    </xdr:to>
    <xdr:sp macro="" textlink="">
      <xdr:nvSpPr>
        <xdr:cNvPr id="6" name="Retângulo: Cantos Superiores Arredondados 5">
          <a:extLst>
            <a:ext uri="{FF2B5EF4-FFF2-40B4-BE49-F238E27FC236}">
              <a16:creationId xmlns:a16="http://schemas.microsoft.com/office/drawing/2014/main" id="{168239A2-8FDD-435D-BC79-1AF8B8578894}"/>
            </a:ext>
          </a:extLst>
        </xdr:cNvPr>
        <xdr:cNvSpPr/>
      </xdr:nvSpPr>
      <xdr:spPr>
        <a:xfrm>
          <a:off x="4449535" y="20371493"/>
          <a:ext cx="13307786"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Capital</a:t>
          </a:r>
          <a:r>
            <a:rPr lang="pt-BR" sz="1100" b="0" baseline="0">
              <a:solidFill>
                <a:schemeClr val="tx1">
                  <a:lumMod val="75000"/>
                  <a:lumOff val="25000"/>
                </a:schemeClr>
              </a:solidFill>
              <a:latin typeface="+mn-lt"/>
              <a:ea typeface="SF Pro Display" panose="00000500000000000000" pitchFamily="2" charset="0"/>
            </a:rPr>
            <a:t> de Giro das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0</xdr:colOff>
      <xdr:row>50</xdr:row>
      <xdr:rowOff>257735</xdr:rowOff>
    </xdr:from>
    <xdr:to>
      <xdr:col>20</xdr:col>
      <xdr:colOff>54429</xdr:colOff>
      <xdr:row>52</xdr:row>
      <xdr:rowOff>7144</xdr:rowOff>
    </xdr:to>
    <xdr:sp macro="" textlink="">
      <xdr:nvSpPr>
        <xdr:cNvPr id="7" name="Retângulo: Cantos Superiores Arredondados 6">
          <a:extLst>
            <a:ext uri="{FF2B5EF4-FFF2-40B4-BE49-F238E27FC236}">
              <a16:creationId xmlns:a16="http://schemas.microsoft.com/office/drawing/2014/main" id="{5415A0F1-6A2A-411B-90C1-6BFC5EDE8F24}"/>
            </a:ext>
          </a:extLst>
        </xdr:cNvPr>
        <xdr:cNvSpPr/>
      </xdr:nvSpPr>
      <xdr:spPr>
        <a:xfrm>
          <a:off x="4449536" y="16953699"/>
          <a:ext cx="13348607"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D&amp;A d</a:t>
          </a:r>
          <a:r>
            <a:rPr lang="pt-BR" sz="1100" b="0" baseline="0">
              <a:solidFill>
                <a:schemeClr val="tx1">
                  <a:lumMod val="75000"/>
                  <a:lumOff val="25000"/>
                </a:schemeClr>
              </a:solidFill>
              <a:latin typeface="+mn-lt"/>
              <a:ea typeface="SF Pro Display" panose="00000500000000000000" pitchFamily="2" charset="0"/>
            </a:rPr>
            <a:t>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3</xdr:col>
      <xdr:colOff>593910</xdr:colOff>
      <xdr:row>41</xdr:row>
      <xdr:rowOff>246529</xdr:rowOff>
    </xdr:from>
    <xdr:to>
      <xdr:col>20</xdr:col>
      <xdr:colOff>68035</xdr:colOff>
      <xdr:row>42</xdr:row>
      <xdr:rowOff>376938</xdr:rowOff>
    </xdr:to>
    <xdr:sp macro="" textlink="">
      <xdr:nvSpPr>
        <xdr:cNvPr id="8" name="Retângulo: Cantos Superiores Arredondados 7">
          <a:extLst>
            <a:ext uri="{FF2B5EF4-FFF2-40B4-BE49-F238E27FC236}">
              <a16:creationId xmlns:a16="http://schemas.microsoft.com/office/drawing/2014/main" id="{4C8EBDC2-573D-457F-886F-45D173AAA1DE}"/>
            </a:ext>
          </a:extLst>
        </xdr:cNvPr>
        <xdr:cNvSpPr/>
      </xdr:nvSpPr>
      <xdr:spPr>
        <a:xfrm>
          <a:off x="4431124" y="13513493"/>
          <a:ext cx="13380625" cy="51140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Histórico - D&amp;A do Arrendamento d</a:t>
          </a:r>
          <a:r>
            <a:rPr lang="pt-BR" sz="1100" b="0" baseline="0">
              <a:solidFill>
                <a:schemeClr val="tx1">
                  <a:lumMod val="75000"/>
                  <a:lumOff val="25000"/>
                </a:schemeClr>
              </a:solidFill>
              <a:latin typeface="+mn-lt"/>
              <a:ea typeface="SF Pro Display" panose="00000500000000000000" pitchFamily="2" charset="0"/>
            </a:rPr>
            <a:t>as Empresas da Simpar</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898071</xdr:colOff>
      <xdr:row>1</xdr:row>
      <xdr:rowOff>149679</xdr:rowOff>
    </xdr:from>
    <xdr:to>
      <xdr:col>0</xdr:col>
      <xdr:colOff>1253261</xdr:colOff>
      <xdr:row>4</xdr:row>
      <xdr:rowOff>186826</xdr:rowOff>
    </xdr:to>
    <xdr:pic>
      <xdr:nvPicPr>
        <xdr:cNvPr id="10" name="Imagem 9">
          <a:extLst>
            <a:ext uri="{FF2B5EF4-FFF2-40B4-BE49-F238E27FC236}">
              <a16:creationId xmlns:a16="http://schemas.microsoft.com/office/drawing/2014/main" id="{F6D03837-D7C2-4DE0-9326-98F5FA1567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98071" y="340179"/>
          <a:ext cx="349475" cy="59721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oneCellAnchor>
    <xdr:from>
      <xdr:col>0</xdr:col>
      <xdr:colOff>1047750</xdr:colOff>
      <xdr:row>1</xdr:row>
      <xdr:rowOff>104775</xdr:rowOff>
    </xdr:from>
    <xdr:ext cx="0" cy="476250"/>
    <xdr:pic>
      <xdr:nvPicPr>
        <xdr:cNvPr id="2" name="Imagem 1">
          <a:extLst>
            <a:ext uri="{FF2B5EF4-FFF2-40B4-BE49-F238E27FC236}">
              <a16:creationId xmlns:a16="http://schemas.microsoft.com/office/drawing/2014/main" id="{25501799-961E-49A9-996D-61E66298D0D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0" cy="47625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4</xdr:col>
      <xdr:colOff>4484</xdr:colOff>
      <xdr:row>6</xdr:row>
      <xdr:rowOff>250371</xdr:rowOff>
    </xdr:from>
    <xdr:to>
      <xdr:col>10</xdr:col>
      <xdr:colOff>2</xdr:colOff>
      <xdr:row>8</xdr:row>
      <xdr:rowOff>0</xdr:rowOff>
    </xdr:to>
    <xdr:sp macro="" textlink="">
      <xdr:nvSpPr>
        <xdr:cNvPr id="3" name="Retângulo: Cantos Superiores Arredondados 2">
          <a:extLst>
            <a:ext uri="{FF2B5EF4-FFF2-40B4-BE49-F238E27FC236}">
              <a16:creationId xmlns:a16="http://schemas.microsoft.com/office/drawing/2014/main" id="{14CE89CB-1F67-4FDD-9A82-50EA97AB3463}"/>
            </a:ext>
          </a:extLst>
        </xdr:cNvPr>
        <xdr:cNvSpPr/>
      </xdr:nvSpPr>
      <xdr:spPr>
        <a:xfrm>
          <a:off x="4185959" y="1336221"/>
          <a:ext cx="7777443" cy="18777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Projeções</a:t>
          </a:r>
          <a:r>
            <a:rPr lang="pt-BR" sz="1100" b="0" baseline="0">
              <a:solidFill>
                <a:schemeClr val="tx1">
                  <a:lumMod val="75000"/>
                  <a:lumOff val="25000"/>
                </a:schemeClr>
              </a:solidFill>
              <a:latin typeface="+mn-lt"/>
              <a:ea typeface="SF Pro Display" panose="00000500000000000000" pitchFamily="2" charset="0"/>
            </a:rPr>
            <a:t> Trimestrais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xdr:colOff>
      <xdr:row>17</xdr:row>
      <xdr:rowOff>273842</xdr:rowOff>
    </xdr:from>
    <xdr:to>
      <xdr:col>9</xdr:col>
      <xdr:colOff>0</xdr:colOff>
      <xdr:row>19</xdr:row>
      <xdr:rowOff>54429</xdr:rowOff>
    </xdr:to>
    <xdr:sp macro="" textlink="">
      <xdr:nvSpPr>
        <xdr:cNvPr id="4" name="Retângulo: Cantos Superiores Arredondados 2">
          <a:extLst>
            <a:ext uri="{FF2B5EF4-FFF2-40B4-BE49-F238E27FC236}">
              <a16:creationId xmlns:a16="http://schemas.microsoft.com/office/drawing/2014/main" id="{444C232D-5B88-4CA0-AB39-C2F216BC4C23}"/>
            </a:ext>
          </a:extLst>
        </xdr:cNvPr>
        <xdr:cNvSpPr/>
      </xdr:nvSpPr>
      <xdr:spPr>
        <a:xfrm>
          <a:off x="4179096" y="6536530"/>
          <a:ext cx="6727029" cy="542587"/>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Receita Líquida</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0</xdr:colOff>
      <xdr:row>17</xdr:row>
      <xdr:rowOff>250031</xdr:rowOff>
    </xdr:from>
    <xdr:to>
      <xdr:col>16</xdr:col>
      <xdr:colOff>0</xdr:colOff>
      <xdr:row>19</xdr:row>
      <xdr:rowOff>56029</xdr:rowOff>
    </xdr:to>
    <xdr:sp macro="" textlink="">
      <xdr:nvSpPr>
        <xdr:cNvPr id="5" name="Retângulo: Cantos Superiores Arredondados 2">
          <a:extLst>
            <a:ext uri="{FF2B5EF4-FFF2-40B4-BE49-F238E27FC236}">
              <a16:creationId xmlns:a16="http://schemas.microsoft.com/office/drawing/2014/main" id="{A05C193C-8303-4C24-AE02-1F098179B59B}"/>
            </a:ext>
          </a:extLst>
        </xdr:cNvPr>
        <xdr:cNvSpPr/>
      </xdr:nvSpPr>
      <xdr:spPr>
        <a:xfrm>
          <a:off x="11941969" y="6512719"/>
          <a:ext cx="6000750" cy="567998"/>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da Receita Líquida</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4</xdr:col>
      <xdr:colOff>2</xdr:colOff>
      <xdr:row>25</xdr:row>
      <xdr:rowOff>345281</xdr:rowOff>
    </xdr:from>
    <xdr:to>
      <xdr:col>9</xdr:col>
      <xdr:colOff>0</xdr:colOff>
      <xdr:row>27</xdr:row>
      <xdr:rowOff>10886</xdr:rowOff>
    </xdr:to>
    <xdr:sp macro="" textlink="">
      <xdr:nvSpPr>
        <xdr:cNvPr id="6" name="Retângulo: Cantos Superiores Arredondados 2">
          <a:extLst>
            <a:ext uri="{FF2B5EF4-FFF2-40B4-BE49-F238E27FC236}">
              <a16:creationId xmlns:a16="http://schemas.microsoft.com/office/drawing/2014/main" id="{343BD772-0A61-4BF6-B73C-6836A13CE76E}"/>
            </a:ext>
          </a:extLst>
        </xdr:cNvPr>
        <xdr:cNvSpPr/>
      </xdr:nvSpPr>
      <xdr:spPr>
        <a:xfrm>
          <a:off x="4179096" y="9655969"/>
          <a:ext cx="6727029" cy="427605"/>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EBIT</a:t>
          </a:r>
          <a:r>
            <a:rPr lang="pt-BR" sz="1100" b="0" baseline="0">
              <a:solidFill>
                <a:schemeClr val="tx1">
                  <a:lumMod val="75000"/>
                  <a:lumOff val="25000"/>
                </a:schemeClr>
              </a:solidFill>
              <a:latin typeface="+mn-lt"/>
              <a:ea typeface="SF Pro Display" panose="00000500000000000000" pitchFamily="2" charset="0"/>
            </a:rPr>
            <a:t> por Trimestre</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10888</xdr:colOff>
      <xdr:row>25</xdr:row>
      <xdr:rowOff>273844</xdr:rowOff>
    </xdr:from>
    <xdr:to>
      <xdr:col>16</xdr:col>
      <xdr:colOff>10885</xdr:colOff>
      <xdr:row>27</xdr:row>
      <xdr:rowOff>4084</xdr:rowOff>
    </xdr:to>
    <xdr:sp macro="" textlink="">
      <xdr:nvSpPr>
        <xdr:cNvPr id="7" name="Retângulo: Cantos Superiores Arredondados 2">
          <a:extLst>
            <a:ext uri="{FF2B5EF4-FFF2-40B4-BE49-F238E27FC236}">
              <a16:creationId xmlns:a16="http://schemas.microsoft.com/office/drawing/2014/main" id="{08A6BB47-EE71-4165-A770-3F798DD23DEF}"/>
            </a:ext>
          </a:extLst>
        </xdr:cNvPr>
        <xdr:cNvSpPr/>
      </xdr:nvSpPr>
      <xdr:spPr>
        <a:xfrm>
          <a:off x="11952857" y="9584532"/>
          <a:ext cx="6000747" cy="49224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Sazonalidade</a:t>
          </a:r>
          <a:r>
            <a:rPr lang="pt-BR" sz="1100" b="0" baseline="0">
              <a:solidFill>
                <a:schemeClr val="tx1">
                  <a:lumMod val="75000"/>
                  <a:lumOff val="25000"/>
                </a:schemeClr>
              </a:solidFill>
              <a:latin typeface="+mn-lt"/>
              <a:ea typeface="SF Pro Display" panose="00000500000000000000" pitchFamily="2" charset="0"/>
            </a:rPr>
            <a:t> do EBIT</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xdr:from>
      <xdr:col>11</xdr:col>
      <xdr:colOff>0</xdr:colOff>
      <xdr:row>7</xdr:row>
      <xdr:rowOff>0</xdr:rowOff>
    </xdr:from>
    <xdr:to>
      <xdr:col>17</xdr:col>
      <xdr:colOff>11906</xdr:colOff>
      <xdr:row>8</xdr:row>
      <xdr:rowOff>47624</xdr:rowOff>
    </xdr:to>
    <xdr:sp macro="" textlink="">
      <xdr:nvSpPr>
        <xdr:cNvPr id="27" name="Retângulo: Cantos Superiores Arredondados 26">
          <a:extLst>
            <a:ext uri="{FF2B5EF4-FFF2-40B4-BE49-F238E27FC236}">
              <a16:creationId xmlns:a16="http://schemas.microsoft.com/office/drawing/2014/main" id="{EDC8E90A-A86A-4CB4-8DC8-01E167839ADD}"/>
            </a:ext>
          </a:extLst>
        </xdr:cNvPr>
        <xdr:cNvSpPr/>
      </xdr:nvSpPr>
      <xdr:spPr>
        <a:xfrm>
          <a:off x="12692063" y="1690688"/>
          <a:ext cx="6286499" cy="428624"/>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mn-lt"/>
              <a:ea typeface="SF Pro Display" panose="00000500000000000000" pitchFamily="2" charset="0"/>
            </a:rPr>
            <a:t>Resultados</a:t>
          </a:r>
          <a:r>
            <a:rPr lang="pt-BR" sz="1100" b="0" baseline="0">
              <a:solidFill>
                <a:schemeClr val="tx1">
                  <a:lumMod val="75000"/>
                  <a:lumOff val="25000"/>
                </a:schemeClr>
              </a:solidFill>
              <a:latin typeface="+mn-lt"/>
              <a:ea typeface="SF Pro Display" panose="00000500000000000000" pitchFamily="2" charset="0"/>
            </a:rPr>
            <a:t> Realizados</a:t>
          </a:r>
          <a:endParaRPr lang="pt-BR" sz="1100" b="0">
            <a:solidFill>
              <a:schemeClr val="tx1">
                <a:lumMod val="75000"/>
                <a:lumOff val="25000"/>
              </a:schemeClr>
            </a:solidFill>
            <a:latin typeface="+mn-lt"/>
            <a:ea typeface="SF Pro Display" panose="00000500000000000000" pitchFamily="2" charset="0"/>
          </a:endParaRPr>
        </a:p>
      </xdr:txBody>
    </xdr:sp>
    <xdr:clientData/>
  </xdr:twoCellAnchor>
  <xdr:twoCellAnchor editAs="oneCell">
    <xdr:from>
      <xdr:col>0</xdr:col>
      <xdr:colOff>833438</xdr:colOff>
      <xdr:row>1</xdr:row>
      <xdr:rowOff>104775</xdr:rowOff>
    </xdr:from>
    <xdr:to>
      <xdr:col>0</xdr:col>
      <xdr:colOff>1182913</xdr:colOff>
      <xdr:row>3</xdr:row>
      <xdr:rowOff>154304</xdr:rowOff>
    </xdr:to>
    <xdr:pic>
      <xdr:nvPicPr>
        <xdr:cNvPr id="8" name="Imagem 7">
          <a:extLst>
            <a:ext uri="{FF2B5EF4-FFF2-40B4-BE49-F238E27FC236}">
              <a16:creationId xmlns:a16="http://schemas.microsoft.com/office/drawing/2014/main" id="{C767F826-EB7A-400F-9F3B-E35D5E0937DA}"/>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33438" y="295275"/>
          <a:ext cx="349475" cy="59721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1047750</xdr:colOff>
      <xdr:row>1</xdr:row>
      <xdr:rowOff>104775</xdr:rowOff>
    </xdr:from>
    <xdr:to>
      <xdr:col>0</xdr:col>
      <xdr:colOff>1047750</xdr:colOff>
      <xdr:row>4</xdr:row>
      <xdr:rowOff>9525</xdr:rowOff>
    </xdr:to>
    <xdr:pic>
      <xdr:nvPicPr>
        <xdr:cNvPr id="2" name="Imagem 1">
          <a:extLst>
            <a:ext uri="{FF2B5EF4-FFF2-40B4-BE49-F238E27FC236}">
              <a16:creationId xmlns:a16="http://schemas.microsoft.com/office/drawing/2014/main" id="{09512396-747C-415A-822B-ECC7435EC6D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7750" y="295275"/>
          <a:ext cx="476250" cy="476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584089</xdr:colOff>
      <xdr:row>7</xdr:row>
      <xdr:rowOff>680</xdr:rowOff>
    </xdr:from>
    <xdr:to>
      <xdr:col>9</xdr:col>
      <xdr:colOff>13607</xdr:colOff>
      <xdr:row>8</xdr:row>
      <xdr:rowOff>376919</xdr:rowOff>
    </xdr:to>
    <xdr:sp macro="" textlink="">
      <xdr:nvSpPr>
        <xdr:cNvPr id="3" name="Retângulo: Cantos Superiores Arredondados 6">
          <a:extLst>
            <a:ext uri="{FF2B5EF4-FFF2-40B4-BE49-F238E27FC236}">
              <a16:creationId xmlns:a16="http://schemas.microsoft.com/office/drawing/2014/main" id="{01FDDCB5-DB39-430A-A5B1-9BFC43E92A9D}"/>
            </a:ext>
          </a:extLst>
        </xdr:cNvPr>
        <xdr:cNvSpPr/>
      </xdr:nvSpPr>
      <xdr:spPr>
        <a:xfrm>
          <a:off x="4108339" y="1453243"/>
          <a:ext cx="11002393" cy="757239"/>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ysClr val="windowText" lastClr="000000"/>
              </a:solidFill>
              <a:effectLst/>
              <a:latin typeface="+mn-lt"/>
              <a:ea typeface="+mn-ea"/>
              <a:cs typeface="+mn-cs"/>
            </a:rPr>
            <a:t>Valor das</a:t>
          </a:r>
          <a:r>
            <a:rPr lang="pt-BR" sz="1100" b="0" baseline="0">
              <a:solidFill>
                <a:sysClr val="windowText" lastClr="000000"/>
              </a:solidFill>
              <a:effectLst/>
              <a:latin typeface="+mn-lt"/>
              <a:ea typeface="+mn-ea"/>
              <a:cs typeface="+mn-cs"/>
            </a:rPr>
            <a:t> Provisões e Perdas Possíveis em 07/11/2022</a:t>
          </a:r>
          <a:endParaRPr lang="pt-BR">
            <a:solidFill>
              <a:sysClr val="windowText" lastClr="000000"/>
            </a:solidFill>
            <a:effectLst/>
          </a:endParaRPr>
        </a:p>
      </xdr:txBody>
    </xdr:sp>
    <xdr:clientData/>
  </xdr:twoCellAnchor>
  <xdr:twoCellAnchor>
    <xdr:from>
      <xdr:col>3</xdr:col>
      <xdr:colOff>604840</xdr:colOff>
      <xdr:row>15</xdr:row>
      <xdr:rowOff>345280</xdr:rowOff>
    </xdr:from>
    <xdr:to>
      <xdr:col>8</xdr:col>
      <xdr:colOff>1916907</xdr:colOff>
      <xdr:row>17</xdr:row>
      <xdr:rowOff>16670</xdr:rowOff>
    </xdr:to>
    <xdr:sp macro="" textlink="">
      <xdr:nvSpPr>
        <xdr:cNvPr id="8" name="Retângulo: Cantos Superiores Arredondados 7">
          <a:extLst>
            <a:ext uri="{FF2B5EF4-FFF2-40B4-BE49-F238E27FC236}">
              <a16:creationId xmlns:a16="http://schemas.microsoft.com/office/drawing/2014/main" id="{944B504D-8BF7-4BF6-82ED-F3900B431C77}"/>
            </a:ext>
          </a:extLst>
        </xdr:cNvPr>
        <xdr:cNvSpPr/>
      </xdr:nvSpPr>
      <xdr:spPr>
        <a:xfrm>
          <a:off x="4129090" y="4845843"/>
          <a:ext cx="10956130" cy="433390"/>
        </a:xfrm>
        <a:prstGeom prst="round2SameRect">
          <a:avLst/>
        </a:prstGeom>
        <a:solidFill>
          <a:srgbClr val="F9FAFB"/>
        </a:solidFill>
        <a:ln w="19050">
          <a:solidFill>
            <a:srgbClr val="E5E7EB"/>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100" b="0">
              <a:solidFill>
                <a:schemeClr val="tx1">
                  <a:lumMod val="75000"/>
                  <a:lumOff val="25000"/>
                </a:schemeClr>
              </a:solidFill>
              <a:latin typeface="Calibri" panose="020F0502020204030204" pitchFamily="34" charset="0"/>
              <a:ea typeface="SF Pro Display" panose="00000500000000000000" pitchFamily="2" charset="0"/>
              <a:cs typeface="Calibri" panose="020F0502020204030204" pitchFamily="34" charset="0"/>
            </a:rPr>
            <a:t>Processos Relevantes (FRE)</a:t>
          </a:r>
        </a:p>
      </xdr:txBody>
    </xdr:sp>
    <xdr:clientData/>
  </xdr:twoCellAnchor>
  <xdr:twoCellAnchor editAs="oneCell">
    <xdr:from>
      <xdr:col>0</xdr:col>
      <xdr:colOff>785812</xdr:colOff>
      <xdr:row>1</xdr:row>
      <xdr:rowOff>45243</xdr:rowOff>
    </xdr:from>
    <xdr:to>
      <xdr:col>0</xdr:col>
      <xdr:colOff>1135287</xdr:colOff>
      <xdr:row>4</xdr:row>
      <xdr:rowOff>70960</xdr:rowOff>
    </xdr:to>
    <xdr:pic>
      <xdr:nvPicPr>
        <xdr:cNvPr id="4" name="Imagem 3">
          <a:extLst>
            <a:ext uri="{FF2B5EF4-FFF2-40B4-BE49-F238E27FC236}">
              <a16:creationId xmlns:a16="http://schemas.microsoft.com/office/drawing/2014/main" id="{39DE7A97-1242-4B81-958A-FCBE89495DF4}"/>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85812" y="235743"/>
          <a:ext cx="349475" cy="59721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hiag\Desktop\Dashboard\Valuation%20JSL%20(DCF)%20-%20VAROS%203T23.xlsx" TargetMode="External"/><Relationship Id="rId1" Type="http://schemas.openxmlformats.org/officeDocument/2006/relationships/externalLinkPath" Target="Dashboard/Valuation%20JSL%20(DCF)%20-%20VAROS%203T23.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hiag\Desktop\Dashboard\Valuation%20Movida%20(DCF)%20-%20VAROS%203T23.xlsx" TargetMode="External"/><Relationship Id="rId1" Type="http://schemas.openxmlformats.org/officeDocument/2006/relationships/externalLinkPath" Target="Dashboard/Valuation%20Movida%20(DCF)%20-%20VAROS%203T23.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thiag\Desktop\Dashboard\Valuation%20VAMOS%20(DCF)%20-%20VAROS%203T23.xlsx" TargetMode="External"/><Relationship Id="rId1" Type="http://schemas.openxmlformats.org/officeDocument/2006/relationships/externalLinkPath" Target="Dashboard/Valuation%20VAMOS%20(DCF)%20-%20VAROS%203T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286431.07799999998</v>
          </cell>
        </row>
      </sheetData>
      <sheetData sheetId="1"/>
      <sheetData sheetId="2"/>
      <sheetData sheetId="3"/>
      <sheetData sheetId="4"/>
      <sheetData sheetId="5">
        <row r="12">
          <cell r="L12">
            <v>3138376.8274600003</v>
          </cell>
        </row>
        <row r="28">
          <cell r="K28">
            <v>378729</v>
          </cell>
          <cell r="L28">
            <v>406833.82746000029</v>
          </cell>
          <cell r="M28">
            <v>512702.29492000025</v>
          </cell>
          <cell r="N28">
            <v>431386</v>
          </cell>
          <cell r="O28">
            <v>758072.49471329991</v>
          </cell>
          <cell r="P28">
            <v>1079820</v>
          </cell>
          <cell r="Q28">
            <v>1312338</v>
          </cell>
          <cell r="R28"/>
          <cell r="S28">
            <v>1451943.0143907918</v>
          </cell>
          <cell r="T28">
            <v>1605513.3640952324</v>
          </cell>
          <cell r="U28">
            <v>1877153.7334707235</v>
          </cell>
          <cell r="V28">
            <v>2131679.2658774448</v>
          </cell>
        </row>
        <row r="39">
          <cell r="Q39">
            <v>-53553</v>
          </cell>
        </row>
        <row r="61">
          <cell r="K61">
            <v>569446</v>
          </cell>
          <cell r="L61">
            <v>479168.73177350027</v>
          </cell>
          <cell r="M61">
            <v>171363.2582335003</v>
          </cell>
          <cell r="N61">
            <v>43916.532372999936</v>
          </cell>
          <cell r="O61">
            <v>-883487.04265453259</v>
          </cell>
          <cell r="P61">
            <v>-56785.487632167438</v>
          </cell>
          <cell r="Q61">
            <v>-219286.59078229722</v>
          </cell>
          <cell r="R61">
            <v>-702244.05425724282</v>
          </cell>
          <cell r="S61">
            <v>-921530.64503954002</v>
          </cell>
          <cell r="T61">
            <v>1006.0073726135888</v>
          </cell>
          <cell r="U61">
            <v>157050.55555043326</v>
          </cell>
          <cell r="V61">
            <v>53410.304566536848</v>
          </cell>
        </row>
      </sheetData>
      <sheetData sheetId="6"/>
      <sheetData sheetId="7"/>
      <sheetData sheetId="8"/>
      <sheetData sheetId="9"/>
      <sheetData sheetId="10"/>
      <sheetData sheetId="11"/>
      <sheetData sheetId="12"/>
      <sheetData sheetId="13"/>
      <sheetData sheetId="1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 val="To-Do"/>
    </sheetNames>
    <sheetDataSet>
      <sheetData sheetId="0">
        <row r="11">
          <cell r="F11">
            <v>362302.08600000001</v>
          </cell>
        </row>
      </sheetData>
      <sheetData sheetId="1"/>
      <sheetData sheetId="2"/>
      <sheetData sheetId="3"/>
      <sheetData sheetId="4"/>
      <sheetData sheetId="5">
        <row r="12">
          <cell r="N12">
            <v>2538599</v>
          </cell>
        </row>
        <row r="27">
          <cell r="M27">
            <v>326351.0000019602</v>
          </cell>
          <cell r="N27">
            <v>481738</v>
          </cell>
          <cell r="O27">
            <v>743192.99999607448</v>
          </cell>
          <cell r="P27">
            <v>717180.99999987788</v>
          </cell>
          <cell r="Q27">
            <v>2082987.0000078101</v>
          </cell>
          <cell r="R27">
            <v>3551973</v>
          </cell>
          <cell r="S27">
            <v>2633259</v>
          </cell>
          <cell r="T27">
            <v>878057.7809042416</v>
          </cell>
          <cell r="U27">
            <v>3511316.7809042418</v>
          </cell>
          <cell r="V27">
            <v>3978938.4275023188</v>
          </cell>
          <cell r="W27">
            <v>4491576.4786844105</v>
          </cell>
          <cell r="X27">
            <v>4764926.7716193255</v>
          </cell>
        </row>
        <row r="37">
          <cell r="S37">
            <v>38947</v>
          </cell>
        </row>
        <row r="62">
          <cell r="M62">
            <v>-478120.24999813765</v>
          </cell>
          <cell r="N62">
            <v>-575059.39999990223</v>
          </cell>
          <cell r="O62">
            <v>-682431.12500392552</v>
          </cell>
          <cell r="P62">
            <v>-773022.00000012212</v>
          </cell>
          <cell r="Q62">
            <v>-3740225.9999921899</v>
          </cell>
          <cell r="R62">
            <v>-3112013.1040001954</v>
          </cell>
          <cell r="S62">
            <v>1426707.1375001464</v>
          </cell>
          <cell r="T62">
            <v>456183.38945837523</v>
          </cell>
          <cell r="U62">
            <v>1882890.5269585217</v>
          </cell>
          <cell r="V62">
            <v>-76068.99326863607</v>
          </cell>
          <cell r="W62">
            <v>-315442.92485684832</v>
          </cell>
          <cell r="X62">
            <v>-143424.27337449041</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shboard"/>
      <sheetName val="WACC"/>
      <sheetName val="Valor do Equity"/>
      <sheetName val="TIR"/>
      <sheetName val="Preço Teto"/>
      <sheetName val="DRE + DCF"/>
      <sheetName val="DRE - Contas Abertas"/>
      <sheetName val="Balanço Patrimonial"/>
      <sheetName val="Painel de Índices"/>
      <sheetName val="Projeções - Receita"/>
      <sheetName val="Projeções - CG + Capex"/>
      <sheetName val="Projeções 2023"/>
      <sheetName val="Processos"/>
      <sheetName val="Gráficos"/>
    </sheetNames>
    <sheetDataSet>
      <sheetData sheetId="0">
        <row r="11">
          <cell r="F11">
            <v>1104324.5689999999</v>
          </cell>
        </row>
      </sheetData>
      <sheetData sheetId="1"/>
      <sheetData sheetId="2"/>
      <sheetData sheetId="3"/>
      <sheetData sheetId="4"/>
      <sheetData sheetId="5">
        <row r="12">
          <cell r="M12">
            <v>938946</v>
          </cell>
        </row>
        <row r="28">
          <cell r="L28">
            <v>304993</v>
          </cell>
          <cell r="M28">
            <v>426119</v>
          </cell>
          <cell r="N28">
            <v>527624</v>
          </cell>
          <cell r="O28">
            <v>638774</v>
          </cell>
          <cell r="P28">
            <v>1049744</v>
          </cell>
          <cell r="Q28">
            <v>1933140</v>
          </cell>
          <cell r="R28">
            <v>2007122</v>
          </cell>
          <cell r="S28">
            <v>619106.98782911128</v>
          </cell>
          <cell r="T28">
            <v>2626228.9878291115</v>
          </cell>
          <cell r="U28">
            <v>3654754.1313845022</v>
          </cell>
          <cell r="V28">
            <v>4687227.9728001636</v>
          </cell>
          <cell r="W28">
            <v>5332492.4664781746</v>
          </cell>
        </row>
        <row r="37">
          <cell r="R37">
            <v>-30958</v>
          </cell>
        </row>
        <row r="61">
          <cell r="L61">
            <v>18384.975539992309</v>
          </cell>
          <cell r="M61">
            <v>-78986.537949999023</v>
          </cell>
          <cell r="N61">
            <v>-280288.1275699999</v>
          </cell>
          <cell r="O61">
            <v>-10630.655329999981</v>
          </cell>
          <cell r="P61">
            <v>-2176840.2999999998</v>
          </cell>
          <cell r="Q61">
            <v>-2191445.650726364</v>
          </cell>
          <cell r="R61">
            <v>-4824831.6250000009</v>
          </cell>
          <cell r="S61">
            <v>-565018.20148404466</v>
          </cell>
          <cell r="T61">
            <v>-5389849.8264840441</v>
          </cell>
          <cell r="U61">
            <v>-824324.11386831093</v>
          </cell>
          <cell r="V61">
            <v>124627.12620815069</v>
          </cell>
          <cell r="W61">
            <v>-121163.40692571209</v>
          </cell>
        </row>
      </sheetData>
      <sheetData sheetId="6"/>
      <sheetData sheetId="7"/>
      <sheetData sheetId="8"/>
      <sheetData sheetId="9"/>
      <sheetData sheetId="10"/>
      <sheetData sheetId="11"/>
      <sheetData sheetId="12"/>
      <sheetData sheetId="13"/>
    </sheetDataSet>
  </externalBook>
</externalLink>
</file>

<file path=xl/theme/theme1.xml><?xml version="1.0" encoding="utf-8"?>
<a:theme xmlns:a="http://schemas.openxmlformats.org/drawingml/2006/main" name="Edufinance">
  <a:themeElements>
    <a:clrScheme name="Paleta Edufinance">
      <a:dk1>
        <a:sysClr val="windowText" lastClr="000000"/>
      </a:dk1>
      <a:lt1>
        <a:sysClr val="window" lastClr="FFFFFF"/>
      </a:lt1>
      <a:dk2>
        <a:srgbClr val="44546A"/>
      </a:dk2>
      <a:lt2>
        <a:srgbClr val="E7E6E6"/>
      </a:lt2>
      <a:accent1>
        <a:srgbClr val="43AF43"/>
      </a:accent1>
      <a:accent2>
        <a:srgbClr val="273835"/>
      </a:accent2>
      <a:accent3>
        <a:srgbClr val="878D96"/>
      </a:accent3>
      <a:accent4>
        <a:srgbClr val="C6CAD2"/>
      </a:accent4>
      <a:accent5>
        <a:srgbClr val="1CB799"/>
      </a:accent5>
      <a:accent6>
        <a:srgbClr val="296055"/>
      </a:accent6>
      <a:hlink>
        <a:srgbClr val="273835"/>
      </a:hlink>
      <a:folHlink>
        <a:srgbClr val="5B9BD5"/>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6.bin"/><Relationship Id="rId4" Type="http://schemas.openxmlformats.org/officeDocument/2006/relationships/comments" Target="../comments6.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9.xml"/><Relationship Id="rId1" Type="http://schemas.openxmlformats.org/officeDocument/2006/relationships/printerSettings" Target="../printerSettings/printerSettings7.bin"/><Relationship Id="rId4" Type="http://schemas.openxmlformats.org/officeDocument/2006/relationships/comments" Target="../comments7.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ilha12"/>
  <dimension ref="A1:BB155"/>
  <sheetViews>
    <sheetView showGridLines="0" topLeftCell="A32" zoomScale="85" zoomScaleNormal="85" workbookViewId="0">
      <selection activeCell="F49" sqref="F49:F51"/>
    </sheetView>
  </sheetViews>
  <sheetFormatPr defaultColWidth="0" defaultRowHeight="0" customHeight="1" zeroHeight="1"/>
  <cols>
    <col min="1" max="1" width="39.140625" style="3" customWidth="1"/>
    <col min="2" max="3" width="9.140625" style="5" customWidth="1"/>
    <col min="4" max="4" width="17.7109375" style="5" bestFit="1" customWidth="1"/>
    <col min="5" max="5" width="47.85546875" style="5" bestFit="1" customWidth="1"/>
    <col min="6" max="6" width="19" style="5" bestFit="1" customWidth="1"/>
    <col min="7" max="7" width="7.7109375" style="5" customWidth="1"/>
    <col min="8" max="8" width="15.85546875" style="5" customWidth="1"/>
    <col min="9" max="9" width="11.28515625" style="5" bestFit="1" customWidth="1"/>
    <col min="10" max="10" width="12" style="5" customWidth="1"/>
    <col min="11" max="11" width="19.7109375" style="5" bestFit="1" customWidth="1"/>
    <col min="12" max="18" width="11.28515625" style="5" bestFit="1" customWidth="1"/>
    <col min="19" max="19" width="14.7109375" style="5" customWidth="1"/>
    <col min="20" max="52" width="9.140625" style="5" customWidth="1"/>
    <col min="53" max="54" width="9.140625" style="5" hidden="1" customWidth="1"/>
    <col min="55" max="16384" width="0" style="5" hidden="1"/>
  </cols>
  <sheetData>
    <row r="1" spans="1:52" ht="15">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row>
    <row r="2" spans="1:52" ht="15" customHeight="1">
      <c r="B2" s="4"/>
      <c r="C2" s="4"/>
      <c r="D2" s="6"/>
      <c r="E2" s="6"/>
      <c r="F2" s="6"/>
      <c r="G2" s="6"/>
      <c r="H2" s="6"/>
      <c r="I2" s="6"/>
      <c r="J2" s="6"/>
      <c r="K2" s="6"/>
      <c r="L2" s="6"/>
      <c r="M2" s="6"/>
      <c r="N2" s="6"/>
      <c r="O2" s="6"/>
      <c r="P2" s="6"/>
      <c r="Q2" s="6"/>
      <c r="R2" s="6"/>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row>
    <row r="3" spans="1:52" ht="15" customHeight="1">
      <c r="B3" s="4"/>
      <c r="C3" s="4"/>
      <c r="D3" s="7"/>
      <c r="E3" s="7"/>
      <c r="F3" s="7"/>
      <c r="G3" s="7"/>
      <c r="H3" s="341" t="s">
        <v>261</v>
      </c>
      <c r="I3" s="341"/>
      <c r="J3" s="341"/>
      <c r="K3" s="341"/>
      <c r="L3" s="6"/>
      <c r="M3" s="6"/>
      <c r="N3" s="6"/>
      <c r="O3" s="6"/>
      <c r="P3" s="6"/>
      <c r="Q3" s="6"/>
      <c r="R3" s="6"/>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c r="AY3" s="4"/>
      <c r="AZ3" s="4"/>
    </row>
    <row r="4" spans="1:52" ht="15" customHeight="1">
      <c r="B4" s="4"/>
      <c r="C4" s="4"/>
      <c r="D4" s="7"/>
      <c r="E4" s="7"/>
      <c r="F4" s="7"/>
      <c r="G4" s="7"/>
      <c r="H4" s="341"/>
      <c r="I4" s="341"/>
      <c r="J4" s="341"/>
      <c r="K4" s="341"/>
      <c r="L4" s="6"/>
      <c r="M4" s="6"/>
      <c r="N4" s="6"/>
      <c r="O4" s="6"/>
      <c r="P4" s="6"/>
      <c r="Q4" s="6"/>
      <c r="R4" s="6"/>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row>
    <row r="5" spans="1:52" ht="15" customHeight="1">
      <c r="B5" s="4"/>
      <c r="C5" s="4"/>
      <c r="D5" s="7"/>
      <c r="E5" s="7"/>
      <c r="F5" s="7"/>
      <c r="G5" s="7"/>
      <c r="H5" s="342"/>
      <c r="I5" s="342"/>
      <c r="J5" s="342"/>
      <c r="K5" s="342"/>
      <c r="L5" s="6"/>
      <c r="M5" s="6"/>
      <c r="N5" s="6"/>
      <c r="O5" s="6"/>
      <c r="P5" s="6"/>
      <c r="Q5" s="8"/>
      <c r="R5" s="6"/>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4"/>
      <c r="AZ5" s="4"/>
    </row>
    <row r="6" spans="1:52" ht="15" customHeight="1">
      <c r="B6" s="4"/>
      <c r="C6" s="4"/>
      <c r="D6" s="7"/>
      <c r="E6" s="7"/>
      <c r="F6" s="7"/>
      <c r="G6" s="6"/>
      <c r="H6" s="6"/>
      <c r="I6" s="6"/>
      <c r="J6" s="6"/>
      <c r="K6" s="6"/>
      <c r="L6" s="6"/>
      <c r="M6" s="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c r="AY6" s="4"/>
      <c r="AZ6" s="4"/>
    </row>
    <row r="7" spans="1:52" s="11" customFormat="1" ht="24.75" customHeight="1">
      <c r="A7" s="9" t="s">
        <v>33</v>
      </c>
      <c r="B7" s="10"/>
      <c r="C7" s="10"/>
      <c r="D7" s="10"/>
      <c r="E7" s="10"/>
      <c r="F7" s="10"/>
      <c r="G7" s="10"/>
      <c r="H7" s="7"/>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row>
    <row r="8" spans="1:52" ht="30" customHeight="1">
      <c r="A8" s="33" t="s">
        <v>34</v>
      </c>
      <c r="B8" s="4"/>
      <c r="C8" s="4"/>
      <c r="D8" s="10"/>
      <c r="E8" s="13"/>
      <c r="F8" s="14"/>
      <c r="G8" s="14"/>
      <c r="H8" s="14"/>
      <c r="I8" s="14"/>
      <c r="J8" s="14"/>
      <c r="K8" s="14"/>
      <c r="L8" s="14"/>
      <c r="M8" s="14"/>
      <c r="N8" s="14"/>
      <c r="O8" s="14"/>
      <c r="P8" s="14"/>
      <c r="Q8" s="14"/>
      <c r="R8" s="15"/>
      <c r="S8" s="4"/>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c r="AY8" s="4"/>
      <c r="AZ8" s="4"/>
    </row>
    <row r="9" spans="1:52" ht="30" customHeight="1">
      <c r="A9" s="12" t="s">
        <v>23</v>
      </c>
      <c r="B9" s="4"/>
      <c r="C9" s="4"/>
      <c r="D9" s="4"/>
      <c r="E9" s="16" t="s">
        <v>52</v>
      </c>
      <c r="F9" s="17" t="s">
        <v>294</v>
      </c>
      <c r="G9" s="340" t="s">
        <v>23</v>
      </c>
      <c r="H9" s="18">
        <f t="shared" ref="H9:H11" si="0">H10-0.5%</f>
        <v>0.14112663268155329</v>
      </c>
      <c r="I9" s="324">
        <f>(((NPV($H9,'DRE + DCF'!$U$36,'DRE + DCF'!$W$36:$Z$36)*((1+$H9)^((12-3)/12))+('DRE + DCF'!$AA$36*(1+I$18)/(($H9-I$18)*(1+$H9)^(COUNT('DRE + DCF'!$V$22:$Z$22)-((12-3)/12)))))+SUM($F$12:$F$17)))/$F$10-(((NPV($H9,'DRE + DCF'!$U$36,'DRE + DCF'!$W$36:$Z$36)*((1+$H9)^((12-3)/12))+('DRE + DCF'!$AA$36*(1+I$18)/(($H9-I$18)*(1+$H9)^(COUNT('DRE + DCF'!$V$22:$Z$22)-((12-3)/12)))))*$F$40+$F$42)*(1-$F$39))/$F$10</f>
        <v>13.507825137359184</v>
      </c>
      <c r="J9" s="324">
        <f>(((NPV($H9,'DRE + DCF'!$U$36,'DRE + DCF'!$W$36:$Z$36)*((1+$H9)^((12-3)/12))+('DRE + DCF'!$AA$36*(1+J$18)/(($H9-J$18)*(1+$H9)^(COUNT('DRE + DCF'!$V$22:$Z$22)-((12-3)/12)))))+SUM($F$12:$F$17)))/$F$10-(((NPV($H9,'DRE + DCF'!$U$36,'DRE + DCF'!$W$36:$Z$36)*((1+$H9)^((12-3)/12))+('DRE + DCF'!$AA$36*(1+J$18)/(($H9-J$18)*(1+$H9)^(COUNT('DRE + DCF'!$V$22:$Z$22)-((12-3)/12)))))*$F$40+$F$42)*(1-$F$39))/$F$10</f>
        <v>13.783558742804463</v>
      </c>
      <c r="K9" s="324">
        <f>(((NPV($H9,'DRE + DCF'!$U$36,'DRE + DCF'!$W$36:$Z$36)*((1+$H9)^((12-3)/12))+('DRE + DCF'!$AA$36*(1+K$18)/(($H9-K$18)*(1+$H9)^(COUNT('DRE + DCF'!$V$22:$Z$22)-((12-3)/12)))))+SUM($F$12:$F$17)))/$F$10-(((NPV($H9,'DRE + DCF'!$U$36,'DRE + DCF'!$W$36:$Z$36)*((1+$H9)^((12-3)/12))+('DRE + DCF'!$AA$36*(1+K$18)/(($H9-K$18)*(1+$H9)^(COUNT('DRE + DCF'!$V$22:$Z$22)-((12-3)/12)))))*$F$40+$F$42)*(1-$F$39))/$F$10</f>
        <v>14.079223985695988</v>
      </c>
      <c r="L9" s="324">
        <f>(((NPV($H9,'DRE + DCF'!$U$36,'DRE + DCF'!$W$36:$Z$36)*((1+$H9)^((12-3)/12))+('DRE + DCF'!$AA$36*(1+L$18)/(($H9-L$18)*(1+$H9)^(COUNT('DRE + DCF'!$V$22:$Z$22)-((12-3)/12)))))+SUM($F$12:$F$17)))/$F$10-(((NPV($H9,'DRE + DCF'!$U$36,'DRE + DCF'!$W$36:$Z$36)*((1+$H9)^((12-3)/12))+('DRE + DCF'!$AA$36*(1+L$18)/(($H9-L$18)*(1+$H9)^(COUNT('DRE + DCF'!$V$22:$Z$22)-((12-3)/12)))))*$F$40+$F$42)*(1-$F$39))/$F$10</f>
        <v>14.397063068763758</v>
      </c>
      <c r="M9" s="324">
        <f>(((NPV($H9,'DRE + DCF'!$U$36,'DRE + DCF'!$W$36:$Z$36)*((1+$H9)^((12-3)/12))+('DRE + DCF'!$AA$36*(1+M$18)/(($H9-M$18)*(1+$H9)^(COUNT('DRE + DCF'!$V$22:$Z$22)-((12-3)/12)))))+SUM($F$12:$F$17)))/$F$10-(((NPV($H9,'DRE + DCF'!$U$36,'DRE + DCF'!$W$36:$Z$36)*((1+$H9)^((12-3)/12))+('DRE + DCF'!$AA$36*(1+M$18)/(($H9-M$18)*(1+$H9)^(COUNT('DRE + DCF'!$V$22:$Z$22)-((12-3)/12)))))*$F$40+$F$42)*(1-$F$39))/$F$10</f>
        <v>14.739667611689049</v>
      </c>
      <c r="N9" s="324">
        <f>(((NPV($H9,'DRE + DCF'!$U$36,'DRE + DCF'!$W$36:$Z$36)*((1+$H9)^((12-3)/12))+('DRE + DCF'!$AA$36*(1+N$18)/(($H9-N$18)*(1+$H9)^(COUNT('DRE + DCF'!$V$22:$Z$22)-((12-3)/12)))))+SUM($F$12:$F$17)))/$F$10-(((NPV($H9,'DRE + DCF'!$U$36,'DRE + DCF'!$W$36:$Z$36)*((1+$H9)^((12-3)/12))+('DRE + DCF'!$AA$36*(1+N$18)/(($H9-N$18)*(1+$H9)^(COUNT('DRE + DCF'!$V$22:$Z$22)-((12-3)/12)))))*$F$40+$F$42)*(1-$F$39))/$F$10</f>
        <v>15.110049475228649</v>
      </c>
      <c r="O9" s="324">
        <f>(((NPV($H9,'DRE + DCF'!$U$36,'DRE + DCF'!$W$36:$Z$36)*((1+$H9)^((12-3)/12))+('DRE + DCF'!$AA$36*(1+O$18)/(($H9-O$18)*(1+$H9)^(COUNT('DRE + DCF'!$V$22:$Z$22)-((12-3)/12)))))+SUM($F$12:$F$17)))/$F$10-(((NPV($H9,'DRE + DCF'!$U$36,'DRE + DCF'!$W$36:$Z$36)*((1+$H9)^((12-3)/12))+('DRE + DCF'!$AA$36*(1+O$18)/(($H9-O$18)*(1+$H9)^(COUNT('DRE + DCF'!$V$22:$Z$22)-((12-3)/12)))))*$F$40+$F$42)*(1-$F$39))/$F$10</f>
        <v>15.511729539790128</v>
      </c>
      <c r="P9" s="324">
        <f>(((NPV($H9,'DRE + DCF'!$U$36,'DRE + DCF'!$W$36:$Z$36)*((1+$H9)^((12-3)/12))+('DRE + DCF'!$AA$36*(1+P$18)/(($H9-P$18)*(1+$H9)^(COUNT('DRE + DCF'!$V$22:$Z$22)-((12-3)/12)))))+SUM($F$12:$F$17)))/$F$10-(((NPV($H9,'DRE + DCF'!$U$36,'DRE + DCF'!$W$36:$Z$36)*((1+$H9)^((12-3)/12))+('DRE + DCF'!$AA$36*(1+P$18)/(($H9-P$18)*(1+$H9)^(COUNT('DRE + DCF'!$V$22:$Z$22)-((12-3)/12)))))*$F$40+$F$42)*(1-$F$39))/$F$10</f>
        <v>15.948849982905276</v>
      </c>
      <c r="Q9" s="324">
        <f>(((NPV($H9,'DRE + DCF'!$U$36,'DRE + DCF'!$W$36:$Z$36)*((1+$H9)^((12-3)/12))+('DRE + DCF'!$AA$36*(1+Q$18)/(($H9-Q$18)*(1+$H9)^(COUNT('DRE + DCF'!$V$22:$Z$22)-((12-3)/12)))))+SUM($F$12:$F$17)))/$F$10-(((NPV($H9,'DRE + DCF'!$U$36,'DRE + DCF'!$W$36:$Z$36)*((1+$H9)^((12-3)/12))+('DRE + DCF'!$AA$36*(1+Q$18)/(($H9-Q$18)*(1+$H9)^(COUNT('DRE + DCF'!$V$22:$Z$22)-((12-3)/12)))))*$F$40+$F$42)*(1-$F$39))/$F$10</f>
        <v>16.426317647109773</v>
      </c>
      <c r="R9" s="324">
        <f>(((NPV($H9,'DRE + DCF'!$U$36,'DRE + DCF'!$W$36:$Z$36)*((1+$H9)^((12-3)/12))+('DRE + DCF'!$AA$36*(1+R$18)/(($H9-R$18)*(1+$H9)^(COUNT('DRE + DCF'!$V$22:$Z$22)-((12-3)/12)))))+SUM($F$12:$F$17)))/$F$10-(((NPV($H9,'DRE + DCF'!$U$36,'DRE + DCF'!$W$36:$Z$36)*((1+$H9)^((12-3)/12))+('DRE + DCF'!$AA$36*(1+R$18)/(($H9-R$18)*(1+$H9)^(COUNT('DRE + DCF'!$V$22:$Z$22)-((12-3)/12)))))*$F$40+$F$42)*(1-$F$39))/$F$10</f>
        <v>16.949989028205241</v>
      </c>
      <c r="S9" s="88"/>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4"/>
      <c r="AZ9" s="4"/>
    </row>
    <row r="10" spans="1:52" ht="30" customHeight="1">
      <c r="A10" s="12" t="s">
        <v>330</v>
      </c>
      <c r="B10" s="4"/>
      <c r="C10" s="4"/>
      <c r="D10" s="4"/>
      <c r="E10" s="16" t="s">
        <v>55</v>
      </c>
      <c r="F10" s="19">
        <v>838407.90899999999</v>
      </c>
      <c r="G10" s="340"/>
      <c r="H10" s="18">
        <f t="shared" si="0"/>
        <v>0.14612663268155329</v>
      </c>
      <c r="I10" s="324">
        <f>(((NPV($H10,'DRE + DCF'!$U$36,'DRE + DCF'!$W$36:$Z$36)*((1+$H10)^((12-3)/12))+('DRE + DCF'!$AA$36*(1+I$18)/(($H10-I$18)*(1+$H10)^(COUNT('DRE + DCF'!$V$22:$Z$22)-((12-3)/12)))))+SUM($F$12:$F$17)))/$F$10-(((NPV($H10,'DRE + DCF'!$U$36,'DRE + DCF'!$W$36:$Z$36)*((1+$H10)^((12-3)/12))+('DRE + DCF'!$AA$36*(1+I$18)/(($H10-I$18)*(1+$H10)^(COUNT('DRE + DCF'!$V$22:$Z$22)-((12-3)/12)))))*$F$40+$F$42)*(1-$F$39))/$F$10</f>
        <v>12.877401197280985</v>
      </c>
      <c r="J10" s="324">
        <f>(((NPV($H10,'DRE + DCF'!$U$36,'DRE + DCF'!$W$36:$Z$36)*((1+$H10)^((12-3)/12))+('DRE + DCF'!$AA$36*(1+J$18)/(($H10-J$18)*(1+$H10)^(COUNT('DRE + DCF'!$V$22:$Z$22)-((12-3)/12)))))+SUM($F$12:$F$17)))/$F$10-(((NPV($H10,'DRE + DCF'!$U$36,'DRE + DCF'!$W$36:$Z$36)*((1+$H10)^((12-3)/12))+('DRE + DCF'!$AA$36*(1+J$18)/(($H10-J$18)*(1+$H10)^(COUNT('DRE + DCF'!$V$22:$Z$22)-((12-3)/12)))))*$F$40+$F$42)*(1-$F$39))/$F$10</f>
        <v>13.115467631642524</v>
      </c>
      <c r="K10" s="324">
        <f>(((NPV($H10,'DRE + DCF'!$U$36,'DRE + DCF'!$W$36:$Z$36)*((1+$H10)^((12-3)/12))+('DRE + DCF'!$AA$36*(1+K$18)/(($H10-K$18)*(1+$H10)^(COUNT('DRE + DCF'!$V$22:$Z$22)-((12-3)/12)))))+SUM($F$12:$F$17)))/$F$10-(((NPV($H10,'DRE + DCF'!$U$36,'DRE + DCF'!$W$36:$Z$36)*((1+$H10)^((12-3)/12))+('DRE + DCF'!$AA$36*(1+K$18)/(($H10-K$18)*(1+$H10)^(COUNT('DRE + DCF'!$V$22:$Z$22)-((12-3)/12)))))*$F$40+$F$42)*(1-$F$39))/$F$10</f>
        <v>13.36958280345933</v>
      </c>
      <c r="L10" s="324">
        <f>(((NPV($H10,'DRE + DCF'!$U$36,'DRE + DCF'!$W$36:$Z$36)*((1+$H10)^((12-3)/12))+('DRE + DCF'!$AA$36*(1+L$18)/(($H10-L$18)*(1+$H10)^(COUNT('DRE + DCF'!$V$22:$Z$22)-((12-3)/12)))))+SUM($F$12:$F$17)))/$F$10-(((NPV($H10,'DRE + DCF'!$U$36,'DRE + DCF'!$W$36:$Z$36)*((1+$H10)^((12-3)/12))+('DRE + DCF'!$AA$36*(1+L$18)/(($H10-L$18)*(1+$H10)^(COUNT('DRE + DCF'!$V$22:$Z$22)-((12-3)/12)))))*$F$40+$F$42)*(1-$F$39))/$F$10</f>
        <v>13.641426157574676</v>
      </c>
      <c r="M10" s="324">
        <f>(((NPV($H10,'DRE + DCF'!$U$36,'DRE + DCF'!$W$36:$Z$36)*((1+$H10)^((12-3)/12))+('DRE + DCF'!$AA$36*(1+M$18)/(($H10-M$18)*(1+$H10)^(COUNT('DRE + DCF'!$V$22:$Z$22)-((12-3)/12)))))+SUM($F$12:$F$17)))/$F$10-(((NPV($H10,'DRE + DCF'!$U$36,'DRE + DCF'!$W$36:$Z$36)*((1+$H10)^((12-3)/12))+('DRE + DCF'!$AA$36*(1+M$18)/(($H10-M$18)*(1+$H10)^(COUNT('DRE + DCF'!$V$22:$Z$22)-((12-3)/12)))))*$F$40+$F$42)*(1-$F$39))/$F$10</f>
        <v>13.932919939020593</v>
      </c>
      <c r="N10" s="324">
        <f>(((NPV($H10,'DRE + DCF'!$U$36,'DRE + DCF'!$W$36:$Z$36)*((1+$H10)^((12-3)/12))+('DRE + DCF'!$AA$36*(1+N$18)/(($H10-N$18)*(1+$H10)^(COUNT('DRE + DCF'!$V$22:$Z$22)-((12-3)/12)))))+SUM($F$12:$F$17)))/$F$10-(((NPV($H10,'DRE + DCF'!$U$36,'DRE + DCF'!$W$36:$Z$36)*((1+$H10)^((12-3)/12))+('DRE + DCF'!$AA$36*(1+N$18)/(($H10-N$18)*(1+$H10)^(COUNT('DRE + DCF'!$V$22:$Z$22)-((12-3)/12)))))*$F$40+$F$42)*(1-$F$39))/$F$10</f>
        <v>14.246274715891399</v>
      </c>
      <c r="O10" s="324">
        <f>(((NPV($H10,'DRE + DCF'!$U$36,'DRE + DCF'!$W$36:$Z$36)*((1+$H10)^((12-3)/12))+('DRE + DCF'!$AA$36*(1+O$18)/(($H10-O$18)*(1+$H10)^(COUNT('DRE + DCF'!$V$22:$Z$22)-((12-3)/12)))))+SUM($F$12:$F$17)))/$F$10-(((NPV($H10,'DRE + DCF'!$U$36,'DRE + DCF'!$W$36:$Z$36)*((1+$H10)^((12-3)/12))+('DRE + DCF'!$AA$36*(1+O$18)/(($H10-O$18)*(1+$H10)^(COUNT('DRE + DCF'!$V$22:$Z$22)-((12-3)/12)))))*$F$40+$F$42)*(1-$F$39))/$F$10</f>
        <v>14.584045543402844</v>
      </c>
      <c r="P10" s="324">
        <f>(((NPV($H10,'DRE + DCF'!$U$36,'DRE + DCF'!$W$36:$Z$36)*((1+$H10)^((12-3)/12))+('DRE + DCF'!$AA$36*(1+P$18)/(($H10-P$18)*(1+$H10)^(COUNT('DRE + DCF'!$V$22:$Z$22)-((12-3)/12)))))+SUM($F$12:$F$17)))/$F$10-(((NPV($H10,'DRE + DCF'!$U$36,'DRE + DCF'!$W$36:$Z$36)*((1+$H10)^((12-3)/12))+('DRE + DCF'!$AA$36*(1+P$18)/(($H10-P$18)*(1+$H10)^(COUNT('DRE + DCF'!$V$22:$Z$22)-((12-3)/12)))))*$F$40+$F$42)*(1-$F$39))/$F$10</f>
        <v>14.949201788777797</v>
      </c>
      <c r="Q10" s="324">
        <f>(((NPV($H10,'DRE + DCF'!$U$36,'DRE + DCF'!$W$36:$Z$36)*((1+$H10)^((12-3)/12))+('DRE + DCF'!$AA$36*(1+Q$18)/(($H10-Q$18)*(1+$H10)^(COUNT('DRE + DCF'!$V$22:$Z$22)-((12-3)/12)))))+SUM($F$12:$F$17)))/$F$10-(((NPV($H10,'DRE + DCF'!$U$36,'DRE + DCF'!$W$36:$Z$36)*((1+$H10)^((12-3)/12))+('DRE + DCF'!$AA$36*(1+Q$18)/(($H10-Q$18)*(1+$H10)^(COUNT('DRE + DCF'!$V$22:$Z$22)-((12-3)/12)))))*$F$40+$F$42)*(1-$F$39))/$F$10</f>
        <v>15.345214657268469</v>
      </c>
      <c r="R10" s="324">
        <f>(((NPV($H10,'DRE + DCF'!$U$36,'DRE + DCF'!$W$36:$Z$36)*((1+$H10)^((12-3)/12))+('DRE + DCF'!$AA$36*(1+R$18)/(($H10-R$18)*(1+$H10)^(COUNT('DRE + DCF'!$V$22:$Z$22)-((12-3)/12)))))+SUM($F$12:$F$17)))/$F$10-(((NPV($H10,'DRE + DCF'!$U$36,'DRE + DCF'!$W$36:$Z$36)*((1+$H10)^((12-3)/12))+('DRE + DCF'!$AA$36*(1+R$18)/(($H10-R$18)*(1+$H10)^(COUNT('DRE + DCF'!$V$22:$Z$22)-((12-3)/12)))))*$F$40+$F$42)*(1-$F$39))/$F$10</f>
        <v>15.776167885537159</v>
      </c>
      <c r="S10" s="88"/>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c r="AY10" s="4"/>
      <c r="AZ10" s="4"/>
    </row>
    <row r="11" spans="1:52" ht="30" customHeight="1">
      <c r="A11" s="12" t="s">
        <v>36</v>
      </c>
      <c r="B11" s="4"/>
      <c r="C11" s="4"/>
      <c r="D11" s="4"/>
      <c r="E11" s="16" t="s">
        <v>56</v>
      </c>
      <c r="F11" s="23">
        <f>SUM('DRE + DCF'!U38:AA38)</f>
        <v>8157123.3799392199</v>
      </c>
      <c r="G11" s="340"/>
      <c r="H11" s="18">
        <f t="shared" si="0"/>
        <v>0.1511266326815533</v>
      </c>
      <c r="I11" s="324">
        <f>(((NPV($H11,'DRE + DCF'!$U$36,'DRE + DCF'!$W$36:$Z$36)*((1+$H11)^((12-3)/12))+('DRE + DCF'!$AA$36*(1+I$18)/(($H11-I$18)*(1+$H11)^(COUNT('DRE + DCF'!$V$22:$Z$22)-((12-3)/12)))))+SUM($F$12:$F$17)))/$F$10-(((NPV($H11,'DRE + DCF'!$U$36,'DRE + DCF'!$W$36:$Z$36)*((1+$H11)^((12-3)/12))+('DRE + DCF'!$AA$36*(1+I$18)/(($H11-I$18)*(1+$H11)^(COUNT('DRE + DCF'!$V$22:$Z$22)-((12-3)/12)))))*$F$40+$F$42)*(1-$F$39))/$F$10</f>
        <v>12.320962168671056</v>
      </c>
      <c r="J11" s="324">
        <f>(((NPV($H11,'DRE + DCF'!$U$36,'DRE + DCF'!$W$36:$Z$36)*((1+$H11)^((12-3)/12))+('DRE + DCF'!$AA$36*(1+J$18)/(($H11-J$18)*(1+$H11)^(COUNT('DRE + DCF'!$V$22:$Z$22)-((12-3)/12)))))+SUM($F$12:$F$17)))/$F$10-(((NPV($H11,'DRE + DCF'!$U$36,'DRE + DCF'!$W$36:$Z$36)*((1+$H11)^((12-3)/12))+('DRE + DCF'!$AA$36*(1+J$18)/(($H11-J$18)*(1+$H11)^(COUNT('DRE + DCF'!$V$22:$Z$22)-((12-3)/12)))))*$F$40+$F$42)*(1-$F$39))/$F$10</f>
        <v>12.528224397064674</v>
      </c>
      <c r="K11" s="324">
        <f>(((NPV($H11,'DRE + DCF'!$U$36,'DRE + DCF'!$W$36:$Z$36)*((1+$H11)^((12-3)/12))+('DRE + DCF'!$AA$36*(1+K$18)/(($H11-K$18)*(1+$H11)^(COUNT('DRE + DCF'!$V$22:$Z$22)-((12-3)/12)))))+SUM($F$12:$F$17)))/$F$10-(((NPV($H11,'DRE + DCF'!$U$36,'DRE + DCF'!$W$36:$Z$36)*((1+$H11)^((12-3)/12))+('DRE + DCF'!$AA$36*(1+K$18)/(($H11-K$18)*(1+$H11)^(COUNT('DRE + DCF'!$V$22:$Z$22)-((12-3)/12)))))*$F$40+$F$42)*(1-$F$39))/$F$10</f>
        <v>12.748576347980967</v>
      </c>
      <c r="L11" s="324">
        <f>(((NPV($H11,'DRE + DCF'!$U$36,'DRE + DCF'!$W$36:$Z$36)*((1+$H11)^((12-3)/12))+('DRE + DCF'!$AA$36*(1+L$18)/(($H11-L$18)*(1+$H11)^(COUNT('DRE + DCF'!$V$22:$Z$22)-((12-3)/12)))))+SUM($F$12:$F$17)))/$F$10-(((NPV($H11,'DRE + DCF'!$U$36,'DRE + DCF'!$W$36:$Z$36)*((1+$H11)^((12-3)/12))+('DRE + DCF'!$AA$36*(1+L$18)/(($H11-L$18)*(1+$H11)^(COUNT('DRE + DCF'!$V$22:$Z$22)-((12-3)/12)))))*$F$40+$F$42)*(1-$F$39))/$F$10</f>
        <v>12.983298484875849</v>
      </c>
      <c r="M11" s="324">
        <f>(((NPV($H11,'DRE + DCF'!$U$36,'DRE + DCF'!$W$36:$Z$36)*((1+$H11)^((12-3)/12))+('DRE + DCF'!$AA$36*(1+M$18)/(($H11-M$18)*(1+$H11)^(COUNT('DRE + DCF'!$V$22:$Z$22)-((12-3)/12)))))+SUM($F$12:$F$17)))/$F$10-(((NPV($H11,'DRE + DCF'!$U$36,'DRE + DCF'!$W$36:$Z$36)*((1+$H11)^((12-3)/12))+('DRE + DCF'!$AA$36*(1+M$18)/(($H11-M$18)*(1+$H11)^(COUNT('DRE + DCF'!$V$22:$Z$22)-((12-3)/12)))))*$F$40+$F$42)*(1-$F$39))/$F$10</f>
        <v>13.233843910593743</v>
      </c>
      <c r="N11" s="324">
        <f>(((NPV($H11,'DRE + DCF'!$U$36,'DRE + DCF'!$W$36:$Z$36)*((1+$H11)^((12-3)/12))+('DRE + DCF'!$AA$36*(1+N$18)/(($H11-N$18)*(1+$H11)^(COUNT('DRE + DCF'!$V$22:$Z$22)-((12-3)/12)))))+SUM($F$12:$F$17)))/$F$10-(((NPV($H11,'DRE + DCF'!$U$36,'DRE + DCF'!$W$36:$Z$36)*((1+$H11)^((12-3)/12))+('DRE + DCF'!$AA$36*(1+N$18)/(($H11-N$18)*(1+$H11)^(COUNT('DRE + DCF'!$V$22:$Z$22)-((12-3)/12)))))*$F$40+$F$42)*(1-$F$39))/$F$10</f>
        <v>13.501868477558631</v>
      </c>
      <c r="O11" s="324">
        <f>(((NPV($H11,'DRE + DCF'!$U$36,'DRE + DCF'!$W$36:$Z$36)*((1+$H11)^((12-3)/12))+('DRE + DCF'!$AA$36*(1+O$18)/(($H11-O$18)*(1+$H11)^(COUNT('DRE + DCF'!$V$22:$Z$22)-((12-3)/12)))))+SUM($F$12:$F$17)))/$F$10-(((NPV($H11,'DRE + DCF'!$U$36,'DRE + DCF'!$W$36:$Z$36)*((1+$H11)^((12-3)/12))+('DRE + DCF'!$AA$36*(1+O$18)/(($H11-O$18)*(1+$H11)^(COUNT('DRE + DCF'!$V$22:$Z$22)-((12-3)/12)))))*$F$40+$F$42)*(1-$F$39))/$F$10</f>
        <v>13.789267427587221</v>
      </c>
      <c r="P11" s="324">
        <f>(((NPV($H11,'DRE + DCF'!$U$36,'DRE + DCF'!$W$36:$Z$36)*((1+$H11)^((12-3)/12))+('DRE + DCF'!$AA$36*(1+P$18)/(($H11-P$18)*(1+$H11)^(COUNT('DRE + DCF'!$V$22:$Z$22)-((12-3)/12)))))+SUM($F$12:$F$17)))/$F$10-(((NPV($H11,'DRE + DCF'!$U$36,'DRE + DCF'!$W$36:$Z$36)*((1+$H11)^((12-3)/12))+('DRE + DCF'!$AA$36*(1+P$18)/(($H11-P$18)*(1+$H11)^(COUNT('DRE + DCF'!$V$22:$Z$22)-((12-3)/12)))))*$F$40+$F$42)*(1-$F$39))/$F$10</f>
        <v>14.09822027526854</v>
      </c>
      <c r="Q11" s="324">
        <f>(((NPV($H11,'DRE + DCF'!$U$36,'DRE + DCF'!$W$36:$Z$36)*((1+$H11)^((12-3)/12))+('DRE + DCF'!$AA$36*(1+Q$18)/(($H11-Q$18)*(1+$H11)^(COUNT('DRE + DCF'!$V$22:$Z$22)-((12-3)/12)))))+SUM($F$12:$F$17)))/$F$10-(((NPV($H11,'DRE + DCF'!$U$36,'DRE + DCF'!$W$36:$Z$36)*((1+$H11)^((12-3)/12))+('DRE + DCF'!$AA$36*(1+Q$18)/(($H11-Q$18)*(1+$H11)^(COUNT('DRE + DCF'!$V$22:$Z$22)-((12-3)/12)))))*$F$40+$F$42)*(1-$F$39))/$F$10</f>
        <v>14.431246183044511</v>
      </c>
      <c r="R11" s="324">
        <f>(((NPV($H11,'DRE + DCF'!$U$36,'DRE + DCF'!$W$36:$Z$36)*((1+$H11)^((12-3)/12))+('DRE + DCF'!$AA$36*(1+R$18)/(($H11-R$18)*(1+$H11)^(COUNT('DRE + DCF'!$V$22:$Z$22)-((12-3)/12)))))+SUM($F$12:$F$17)))/$F$10-(((NPV($H11,'DRE + DCF'!$U$36,'DRE + DCF'!$W$36:$Z$36)*((1+$H11)^((12-3)/12))+('DRE + DCF'!$AA$36*(1+R$18)/(($H11-R$18)*(1+$H11)^(COUNT('DRE + DCF'!$V$22:$Z$22)-((12-3)/12)))))*$F$40+$F$42)*(1-$F$39))/$F$10</f>
        <v>14.791272805213175</v>
      </c>
      <c r="S11" s="88"/>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c r="AY11" s="4"/>
      <c r="AZ11" s="4"/>
    </row>
    <row r="12" spans="1:52" ht="30" customHeight="1">
      <c r="A12" s="167" t="s">
        <v>127</v>
      </c>
      <c r="B12" s="4"/>
      <c r="C12" s="4"/>
      <c r="D12" s="21"/>
      <c r="E12" s="22" t="s">
        <v>57</v>
      </c>
      <c r="F12" s="23">
        <f>-F36</f>
        <v>-9232802</v>
      </c>
      <c r="G12" s="340"/>
      <c r="H12" s="18">
        <f>H13-0.5%</f>
        <v>0.1561266326815533</v>
      </c>
      <c r="I12" s="324">
        <f>(((NPV($H12,'DRE + DCF'!$U$36,'DRE + DCF'!$W$36:$Z$36)*((1+$H12)^((12-3)/12))+('DRE + DCF'!$AA$36*(1+I$18)/(($H12-I$18)*(1+$H12)^(COUNT('DRE + DCF'!$V$22:$Z$22)-((12-3)/12)))))+SUM($F$12:$F$17)))/$F$10-(((NPV($H12,'DRE + DCF'!$U$36,'DRE + DCF'!$W$36:$Z$36)*((1+$H12)^((12-3)/12))+('DRE + DCF'!$AA$36*(1+I$18)/(($H12-I$18)*(1+$H12)^(COUNT('DRE + DCF'!$V$22:$Z$22)-((12-3)/12)))))*$F$40+$F$42)*(1-$F$39))/$F$10</f>
        <v>11.826090400814316</v>
      </c>
      <c r="J12" s="324">
        <f>(((NPV($H12,'DRE + DCF'!$U$36,'DRE + DCF'!$W$36:$Z$36)*((1+$H12)^((12-3)/12))+('DRE + DCF'!$AA$36*(1+J$18)/(($H12-J$18)*(1+$H12)^(COUNT('DRE + DCF'!$V$22:$Z$22)-((12-3)/12)))))+SUM($F$12:$F$17)))/$F$10-(((NPV($H12,'DRE + DCF'!$U$36,'DRE + DCF'!$W$36:$Z$36)*((1+$H12)^((12-3)/12))+('DRE + DCF'!$AA$36*(1+J$18)/(($H12-J$18)*(1+$H12)^(COUNT('DRE + DCF'!$V$22:$Z$22)-((12-3)/12)))))*$F$40+$F$42)*(1-$F$39))/$F$10</f>
        <v>12.007865711507627</v>
      </c>
      <c r="K12" s="324">
        <f>(((NPV($H12,'DRE + DCF'!$U$36,'DRE + DCF'!$W$36:$Z$36)*((1+$H12)^((12-3)/12))+('DRE + DCF'!$AA$36*(1+K$18)/(($H12-K$18)*(1+$H12)^(COUNT('DRE + DCF'!$V$22:$Z$22)-((12-3)/12)))))+SUM($F$12:$F$17)))/$F$10-(((NPV($H12,'DRE + DCF'!$U$36,'DRE + DCF'!$W$36:$Z$36)*((1+$H12)^((12-3)/12))+('DRE + DCF'!$AA$36*(1+K$18)/(($H12-K$18)*(1+$H12)^(COUNT('DRE + DCF'!$V$22:$Z$22)-((12-3)/12)))))*$F$40+$F$42)*(1-$F$39))/$F$10</f>
        <v>12.200439149326897</v>
      </c>
      <c r="L12" s="324">
        <f>(((NPV($H12,'DRE + DCF'!$U$36,'DRE + DCF'!$W$36:$Z$36)*((1+$H12)^((12-3)/12))+('DRE + DCF'!$AA$36*(1+L$18)/(($H12-L$18)*(1+$H12)^(COUNT('DRE + DCF'!$V$22:$Z$22)-((12-3)/12)))))+SUM($F$12:$F$17)))/$F$10-(((NPV($H12,'DRE + DCF'!$U$36,'DRE + DCF'!$W$36:$Z$36)*((1+$H12)^((12-3)/12))+('DRE + DCF'!$AA$36*(1+L$18)/(($H12-L$18)*(1+$H12)^(COUNT('DRE + DCF'!$V$22:$Z$22)-((12-3)/12)))))*$F$40+$F$42)*(1-$F$39))/$F$10</f>
        <v>12.404802340565292</v>
      </c>
      <c r="M12" s="324">
        <f>(((NPV($H12,'DRE + DCF'!$U$36,'DRE + DCF'!$W$36:$Z$36)*((1+$H12)^((12-3)/12))+('DRE + DCF'!$AA$36*(1+M$18)/(($H12-M$18)*(1+$H12)^(COUNT('DRE + DCF'!$V$22:$Z$22)-((12-3)/12)))))+SUM($F$12:$F$17)))/$F$10-(((NPV($H12,'DRE + DCF'!$U$36,'DRE + DCF'!$W$36:$Z$36)*((1+$H12)^((12-3)/12))+('DRE + DCF'!$AA$36*(1+M$18)/(($H12-M$18)*(1+$H12)^(COUNT('DRE + DCF'!$V$22:$Z$22)-((12-3)/12)))))*$F$40+$F$42)*(1-$F$39))/$F$10</f>
        <v>12.622072164564953</v>
      </c>
      <c r="N12" s="324">
        <f>(((NPV($H12,'DRE + DCF'!$U$36,'DRE + DCF'!$W$36:$Z$36)*((1+$H12)^((12-3)/12))+('DRE + DCF'!$AA$36*(1+N$18)/(($H12-N$18)*(1+$H12)^(COUNT('DRE + DCF'!$V$22:$Z$22)-((12-3)/12)))))+SUM($F$12:$F$17)))/$F$10-(((NPV($H12,'DRE + DCF'!$U$36,'DRE + DCF'!$W$36:$Z$36)*((1+$H12)^((12-3)/12))+('DRE + DCF'!$AA$36*(1+N$18)/(($H12-N$18)*(1+$H12)^(COUNT('DRE + DCF'!$V$22:$Z$22)-((12-3)/12)))))*$F$40+$F$42)*(1-$F$39))/$F$10</f>
        <v>12.853511174566503</v>
      </c>
      <c r="O12" s="324">
        <f>(((NPV($H12,'DRE + DCF'!$U$36,'DRE + DCF'!$W$36:$Z$36)*((1+$H12)^((12-3)/12))+('DRE + DCF'!$AA$36*(1+O$18)/(($H12-O$18)*(1+$H12)^(COUNT('DRE + DCF'!$V$22:$Z$22)-((12-3)/12)))))+SUM($F$12:$F$17)))/$F$10-(((NPV($H12,'DRE + DCF'!$U$36,'DRE + DCF'!$W$36:$Z$36)*((1+$H12)^((12-3)/12))+('DRE + DCF'!$AA$36*(1+O$18)/(($H12-O$18)*(1+$H12)^(COUNT('DRE + DCF'!$V$22:$Z$22)-((12-3)/12)))))*$F$40+$F$42)*(1-$F$39))/$F$10</f>
        <v>13.10055214844164</v>
      </c>
      <c r="P12" s="324">
        <f>(((NPV($H12,'DRE + DCF'!$U$36,'DRE + DCF'!$W$36:$Z$36)*((1+$H12)^((12-3)/12))+('DRE + DCF'!$AA$36*(1+P$18)/(($H12-P$18)*(1+$H12)^(COUNT('DRE + DCF'!$V$22:$Z$22)-((12-3)/12)))))+SUM($F$12:$F$17)))/$F$10-(((NPV($H12,'DRE + DCF'!$U$36,'DRE + DCF'!$W$36:$Z$36)*((1+$H12)^((12-3)/12))+('DRE + DCF'!$AA$36*(1+P$18)/(($H12-P$18)*(1+$H12)^(COUNT('DRE + DCF'!$V$22:$Z$22)-((12-3)/12)))))*$F$40+$F$42)*(1-$F$39))/$F$10</f>
        <v>13.364827777724219</v>
      </c>
      <c r="Q12" s="324">
        <f>(((NPV($H12,'DRE + DCF'!$U$36,'DRE + DCF'!$W$36:$Z$36)*((1+$H12)^((12-3)/12))+('DRE + DCF'!$AA$36*(1+Q$18)/(($H12-Q$18)*(1+$H12)^(COUNT('DRE + DCF'!$V$22:$Z$22)-((12-3)/12)))))+SUM($F$12:$F$17)))/$F$10-(((NPV($H12,'DRE + DCF'!$U$36,'DRE + DCF'!$W$36:$Z$36)*((1+$H12)^((12-3)/12))+('DRE + DCF'!$AA$36*(1+Q$18)/(($H12-Q$18)*(1+$H12)^(COUNT('DRE + DCF'!$V$22:$Z$22)-((12-3)/12)))))*$F$40+$F$42)*(1-$F$39))/$F$10</f>
        <v>13.648206794931653</v>
      </c>
      <c r="R12" s="324">
        <f>(((NPV($H12,'DRE + DCF'!$U$36,'DRE + DCF'!$W$36:$Z$36)*((1+$H12)^((12-3)/12))+('DRE + DCF'!$AA$36*(1+R$18)/(($H12-R$18)*(1+$H12)^(COUNT('DRE + DCF'!$V$22:$Z$22)-((12-3)/12)))))+SUM($F$12:$F$17)))/$F$10-(((NPV($H12,'DRE + DCF'!$U$36,'DRE + DCF'!$W$36:$Z$36)*((1+$H12)^((12-3)/12))+('DRE + DCF'!$AA$36*(1+R$18)/(($H12-R$18)*(1+$H12)^(COUNT('DRE + DCF'!$V$22:$Z$22)-((12-3)/12)))))*$F$40+$F$42)*(1-$F$39))/$F$10</f>
        <v>13.952838229147616</v>
      </c>
      <c r="S12" s="88"/>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c r="AY12" s="4"/>
      <c r="AZ12" s="4"/>
    </row>
    <row r="13" spans="1:52" ht="30" customHeight="1">
      <c r="A13" s="12" t="s">
        <v>37</v>
      </c>
      <c r="B13" s="4"/>
      <c r="C13" s="4"/>
      <c r="D13" s="4"/>
      <c r="E13" s="22" t="s">
        <v>312</v>
      </c>
      <c r="F13" s="24">
        <f>F29</f>
        <v>1773707.9424934508</v>
      </c>
      <c r="G13" s="340"/>
      <c r="H13" s="18">
        <f>WACC!P20</f>
        <v>0.16112663268155331</v>
      </c>
      <c r="I13" s="324">
        <f>(((NPV($H13,'DRE + DCF'!$U$36,'DRE + DCF'!$W$36:$Z$36)*((1+$H13)^((12-3)/12))+('DRE + DCF'!$AA$36*(1+I$18)/(($H13-I$18)*(1+$H13)^(COUNT('DRE + DCF'!$V$22:$Z$22)-((12-3)/12)))))+SUM($F$12:$F$17)))/$F$10-(((NPV($H13,'DRE + DCF'!$U$36,'DRE + DCF'!$W$36:$Z$36)*((1+$H13)^((12-3)/12))+('DRE + DCF'!$AA$36*(1+I$18)/(($H13-I$18)*(1+$H13)^(COUNT('DRE + DCF'!$V$22:$Z$22)-((12-3)/12)))))*$F$40+$F$42)*(1-$F$39))/$F$10</f>
        <v>11.383004648412982</v>
      </c>
      <c r="J13" s="324">
        <f>(((NPV($H13,'DRE + DCF'!$U$36,'DRE + DCF'!$W$36:$Z$36)*((1+$H13)^((12-3)/12))+('DRE + DCF'!$AA$36*(1+J$18)/(($H13-J$18)*(1+$H13)^(COUNT('DRE + DCF'!$V$22:$Z$22)-((12-3)/12)))))+SUM($F$12:$F$17)))/$F$10-(((NPV($H13,'DRE + DCF'!$U$36,'DRE + DCF'!$W$36:$Z$36)*((1+$H13)^((12-3)/12))+('DRE + DCF'!$AA$36*(1+J$18)/(($H13-J$18)*(1+$H13)^(COUNT('DRE + DCF'!$V$22:$Z$22)-((12-3)/12)))))*$F$40+$F$42)*(1-$F$39))/$F$10</f>
        <v>11.543473771923351</v>
      </c>
      <c r="K13" s="324">
        <f>(((NPV($H13,'DRE + DCF'!$U$36,'DRE + DCF'!$W$36:$Z$36)*((1+$H13)^((12-3)/12))+('DRE + DCF'!$AA$36*(1+K$18)/(($H13-K$18)*(1+$H13)^(COUNT('DRE + DCF'!$V$22:$Z$22)-((12-3)/12)))))+SUM($F$12:$F$17)))/$F$10-(((NPV($H13,'DRE + DCF'!$U$36,'DRE + DCF'!$W$36:$Z$36)*((1+$H13)^((12-3)/12))+('DRE + DCF'!$AA$36*(1+K$18)/(($H13-K$18)*(1+$H13)^(COUNT('DRE + DCF'!$V$22:$Z$22)-((12-3)/12)))))*$F$40+$F$42)*(1-$F$39))/$F$10</f>
        <v>11.712940844554215</v>
      </c>
      <c r="L13" s="324">
        <f>(((NPV($H13,'DRE + DCF'!$U$36,'DRE + DCF'!$W$36:$Z$36)*((1+$H13)^((12-3)/12))+('DRE + DCF'!$AA$36*(1+L$18)/(($H13-L$18)*(1+$H13)^(COUNT('DRE + DCF'!$V$22:$Z$22)-((12-3)/12)))))+SUM($F$12:$F$17)))/$F$10-(((NPV($H13,'DRE + DCF'!$U$36,'DRE + DCF'!$W$36:$Z$36)*((1+$H13)^((12-3)/12))+('DRE + DCF'!$AA$36*(1+L$18)/(($H13-L$18)*(1+$H13)^(COUNT('DRE + DCF'!$V$22:$Z$22)-((12-3)/12)))))*$F$40+$F$42)*(1-$F$39))/$F$10</f>
        <v>11.892184506535006</v>
      </c>
      <c r="M13" s="324">
        <f>(((NPV($H13,'DRE + DCF'!$U$36,'DRE + DCF'!$W$36:$Z$36)*((1+$H13)^((12-3)/12))+('DRE + DCF'!$AA$36*(1+M$18)/(($H13-M$18)*(1+$H13)^(COUNT('DRE + DCF'!$V$22:$Z$22)-((12-3)/12)))))+SUM($F$12:$F$17)))/$F$10-(((NPV($H13,'DRE + DCF'!$U$36,'DRE + DCF'!$W$36:$Z$36)*((1+$H13)^((12-3)/12))+('DRE + DCF'!$AA$36*(1+M$18)/(($H13-M$18)*(1+$H13)^(COUNT('DRE + DCF'!$V$22:$Z$22)-((12-3)/12)))))*$F$40+$F$42)*(1-$F$39))/$F$10</f>
        <v>12.082075906325786</v>
      </c>
      <c r="N13" s="324">
        <f>(((NPV($H13,'DRE + DCF'!$U$36,'DRE + DCF'!$W$36:$Z$36)*((1+$H13)^((12-3)/12))+('DRE + DCF'!$AA$36*(1+N$18)/(($H13-N$18)*(1+$H13)^(COUNT('DRE + DCF'!$V$22:$Z$22)-((12-3)/12)))))+SUM($F$12:$F$17)))/$F$10-(((NPV($H13,'DRE + DCF'!$U$36,'DRE + DCF'!$W$36:$Z$36)*((1+$H13)^((12-3)/12))+('DRE + DCF'!$AA$36*(1+N$18)/(($H13-N$18)*(1+$H13)^(COUNT('DRE + DCF'!$V$22:$Z$22)-((12-3)/12)))))*$F$40+$F$42)*(1-$F$39))/$F$10</f>
        <v>12.283592859491412</v>
      </c>
      <c r="O13" s="324">
        <f>(((NPV($H13,'DRE + DCF'!$U$36,'DRE + DCF'!$W$36:$Z$36)*((1+$H13)^((12-3)/12))+('DRE + DCF'!$AA$36*(1+O$18)/(($H13-O$18)*(1+$H13)^(COUNT('DRE + DCF'!$V$22:$Z$22)-((12-3)/12)))))+SUM($F$12:$F$17)))/$F$10-(((NPV($H13,'DRE + DCF'!$U$36,'DRE + DCF'!$W$36:$Z$36)*((1+$H13)^((12-3)/12))+('DRE + DCF'!$AA$36*(1+O$18)/(($H13-O$18)*(1+$H13)^(COUNT('DRE + DCF'!$V$22:$Z$22)-((12-3)/12)))))*$F$40+$F$42)*(1-$F$39))/$F$10</f>
        <v>12.497836690202437</v>
      </c>
      <c r="P13" s="324">
        <f>(((NPV($H13,'DRE + DCF'!$U$36,'DRE + DCF'!$W$36:$Z$36)*((1+$H13)^((12-3)/12))+('DRE + DCF'!$AA$36*(1+P$18)/(($H13-P$18)*(1+$H13)^(COUNT('DRE + DCF'!$V$22:$Z$22)-((12-3)/12)))))+SUM($F$12:$F$17)))/$F$10-(((NPV($H13,'DRE + DCF'!$U$36,'DRE + DCF'!$W$36:$Z$36)*((1+$H13)^((12-3)/12))+('DRE + DCF'!$AA$36*(1+P$18)/(($H13-P$18)*(1+$H13)^(COUNT('DRE + DCF'!$V$22:$Z$22)-((12-3)/12)))))*$F$40+$F$42)*(1-$F$39))/$F$10</f>
        <v>12.726052367676251</v>
      </c>
      <c r="Q13" s="324">
        <f>(((NPV($H13,'DRE + DCF'!$U$36,'DRE + DCF'!$W$36:$Z$36)*((1+$H13)^((12-3)/12))+('DRE + DCF'!$AA$36*(1+Q$18)/(($H13-Q$18)*(1+$H13)^(COUNT('DRE + DCF'!$V$22:$Z$22)-((12-3)/12)))))+SUM($F$12:$F$17)))/$F$10-(((NPV($H13,'DRE + DCF'!$U$36,'DRE + DCF'!$W$36:$Z$36)*((1+$H13)^((12-3)/12))+('DRE + DCF'!$AA$36*(1+Q$18)/(($H13-Q$18)*(1+$H13)^(COUNT('DRE + DCF'!$V$22:$Z$22)-((12-3)/12)))))*$F$40+$F$42)*(1-$F$39))/$F$10</f>
        <v>12.969652714982988</v>
      </c>
      <c r="R13" s="324">
        <f>(((NPV($H13,'DRE + DCF'!$U$36,'DRE + DCF'!$W$36:$Z$36)*((1+$H13)^((12-3)/12))+('DRE + DCF'!$AA$36*(1+R$18)/(($H13-R$18)*(1+$H13)^(COUNT('DRE + DCF'!$V$22:$Z$22)-((12-3)/12)))))+SUM($F$12:$F$17)))/$F$10-(((NPV($H13,'DRE + DCF'!$U$36,'DRE + DCF'!$W$36:$Z$36)*((1+$H13)^((12-3)/12))+('DRE + DCF'!$AA$36*(1+R$18)/(($H13-R$18)*(1+$H13)^(COUNT('DRE + DCF'!$V$22:$Z$22)-((12-3)/12)))))*$F$40+$F$42)*(1-$F$39))/$F$10</f>
        <v>13.230247684587029</v>
      </c>
      <c r="S13" s="88"/>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c r="AY13" s="4"/>
      <c r="AZ13" s="4"/>
    </row>
    <row r="14" spans="1:52" ht="30" customHeight="1">
      <c r="A14" s="167" t="s">
        <v>100</v>
      </c>
      <c r="B14" s="4"/>
      <c r="C14" s="4"/>
      <c r="D14" s="4"/>
      <c r="E14" s="22" t="s">
        <v>295</v>
      </c>
      <c r="F14" s="24">
        <f>K29</f>
        <v>12801997.31330061</v>
      </c>
      <c r="G14" s="340"/>
      <c r="H14" s="18">
        <f>H13+0.5%</f>
        <v>0.16612663268155331</v>
      </c>
      <c r="I14" s="324">
        <f>(((NPV($H14,'DRE + DCF'!$U$36,'DRE + DCF'!$W$36:$Z$36)*((1+$H14)^((12-3)/12))+('DRE + DCF'!$AA$36*(1+I$18)/(($H14-I$18)*(1+$H14)^(COUNT('DRE + DCF'!$V$22:$Z$22)-((12-3)/12)))))+SUM($F$12:$F$17)))/$F$10-(((NPV($H14,'DRE + DCF'!$U$36,'DRE + DCF'!$W$36:$Z$36)*((1+$H14)^((12-3)/12))+('DRE + DCF'!$AA$36*(1+I$18)/(($H14-I$18)*(1+$H14)^(COUNT('DRE + DCF'!$V$22:$Z$22)-((12-3)/12)))))*$F$40+$F$42)*(1-$F$39))/$F$10</f>
        <v>10.983895483361191</v>
      </c>
      <c r="J14" s="324">
        <f>(((NPV($H14,'DRE + DCF'!$U$36,'DRE + DCF'!$W$36:$Z$36)*((1+$H14)^((12-3)/12))+('DRE + DCF'!$AA$36*(1+J$18)/(($H14-J$18)*(1+$H14)^(COUNT('DRE + DCF'!$V$22:$Z$22)-((12-3)/12)))))+SUM($F$12:$F$17)))/$F$10-(((NPV($H14,'DRE + DCF'!$U$36,'DRE + DCF'!$W$36:$Z$36)*((1+$H14)^((12-3)/12))+('DRE + DCF'!$AA$36*(1+J$18)/(($H14-J$18)*(1+$H14)^(COUNT('DRE + DCF'!$V$22:$Z$22)-((12-3)/12)))))*$F$40+$F$42)*(1-$F$39))/$F$10</f>
        <v>11.126388721509958</v>
      </c>
      <c r="K14" s="324">
        <f>(((NPV($H14,'DRE + DCF'!$U$36,'DRE + DCF'!$W$36:$Z$36)*((1+$H14)^((12-3)/12))+('DRE + DCF'!$AA$36*(1+K$18)/(($H14-K$18)*(1+$H14)^(COUNT('DRE + DCF'!$V$22:$Z$22)-((12-3)/12)))))+SUM($F$12:$F$17)))/$F$10-(((NPV($H14,'DRE + DCF'!$U$36,'DRE + DCF'!$W$36:$Z$36)*((1+$H14)^((12-3)/12))+('DRE + DCF'!$AA$36*(1+K$18)/(($H14-K$18)*(1+$H14)^(COUNT('DRE + DCF'!$V$22:$Z$22)-((12-3)/12)))))*$F$40+$F$42)*(1-$F$39))/$F$10</f>
        <v>11.276447717932424</v>
      </c>
      <c r="L14" s="324">
        <f>(((NPV($H14,'DRE + DCF'!$U$36,'DRE + DCF'!$W$36:$Z$36)*((1+$H14)^((12-3)/12))+('DRE + DCF'!$AA$36*(1+L$18)/(($H14-L$18)*(1+$H14)^(COUNT('DRE + DCF'!$V$22:$Z$22)-((12-3)/12)))))+SUM($F$12:$F$17)))/$F$10-(((NPV($H14,'DRE + DCF'!$U$36,'DRE + DCF'!$W$36:$Z$36)*((1+$H14)^((12-3)/12))+('DRE + DCF'!$AA$36*(1+L$18)/(($H14-L$18)*(1+$H14)^(COUNT('DRE + DCF'!$V$22:$Z$22)-((12-3)/12)))))*$F$40+$F$42)*(1-$F$39))/$F$10</f>
        <v>11.434691467835561</v>
      </c>
      <c r="M14" s="324">
        <f>(((NPV($H14,'DRE + DCF'!$U$36,'DRE + DCF'!$W$36:$Z$36)*((1+$H14)^((12-3)/12))+('DRE + DCF'!$AA$36*(1+M$18)/(($H14-M$18)*(1+$H14)^(COUNT('DRE + DCF'!$V$22:$Z$22)-((12-3)/12)))))+SUM($F$12:$F$17)))/$F$10-(((NPV($H14,'DRE + DCF'!$U$36,'DRE + DCF'!$W$36:$Z$36)*((1+$H14)^((12-3)/12))+('DRE + DCF'!$AA$36*(1+M$18)/(($H14-M$18)*(1+$H14)^(COUNT('DRE + DCF'!$V$22:$Z$22)-((12-3)/12)))))*$F$40+$F$42)*(1-$F$39))/$F$10</f>
        <v>11.601808383984743</v>
      </c>
      <c r="N14" s="324">
        <f>(((NPV($H14,'DRE + DCF'!$U$36,'DRE + DCF'!$W$36:$Z$36)*((1+$H14)^((12-3)/12))+('DRE + DCF'!$AA$36*(1+N$18)/(($H14-N$18)*(1+$H14)^(COUNT('DRE + DCF'!$V$22:$Z$22)-((12-3)/12)))))+SUM($F$12:$F$17)))/$F$10-(((NPV($H14,'DRE + DCF'!$U$36,'DRE + DCF'!$W$36:$Z$36)*((1+$H14)^((12-3)/12))+('DRE + DCF'!$AA$36*(1+N$18)/(($H14-N$18)*(1+$H14)^(COUNT('DRE + DCF'!$V$22:$Z$22)-((12-3)/12)))))*$F$40+$F$42)*(1-$F$39))/$F$10</f>
        <v>11.778566308485885</v>
      </c>
      <c r="O14" s="324">
        <f>(((NPV($H14,'DRE + DCF'!$U$36,'DRE + DCF'!$W$36:$Z$36)*((1+$H14)^((12-3)/12))+('DRE + DCF'!$AA$36*(1+O$18)/(($H14-O$18)*(1+$H14)^(COUNT('DRE + DCF'!$V$22:$Z$22)-((12-3)/12)))))+SUM($F$12:$F$17)))/$F$10-(((NPV($H14,'DRE + DCF'!$U$36,'DRE + DCF'!$W$36:$Z$36)*((1+$H14)^((12-3)/12))+('DRE + DCF'!$AA$36*(1+O$18)/(($H14-O$18)*(1+$H14)^(COUNT('DRE + DCF'!$V$22:$Z$22)-((12-3)/12)))))*$F$40+$F$42)*(1-$F$39))/$F$10</f>
        <v>11.965824308778432</v>
      </c>
      <c r="P14" s="324">
        <f>(((NPV($H14,'DRE + DCF'!$U$36,'DRE + DCF'!$W$36:$Z$36)*((1+$H14)^((12-3)/12))+('DRE + DCF'!$AA$36*(1+P$18)/(($H14-P$18)*(1+$H14)^(COUNT('DRE + DCF'!$V$22:$Z$22)-((12-3)/12)))))+SUM($F$12:$F$17)))/$F$10-(((NPV($H14,'DRE + DCF'!$U$36,'DRE + DCF'!$W$36:$Z$36)*((1+$H14)^((12-3)/12))+('DRE + DCF'!$AA$36*(1+P$18)/(($H14-P$18)*(1+$H14)^(COUNT('DRE + DCF'!$V$22:$Z$22)-((12-3)/12)))))*$F$40+$F$42)*(1-$F$39))/$F$10</f>
        <v>12.164546640155297</v>
      </c>
      <c r="Q14" s="324">
        <f>(((NPV($H14,'DRE + DCF'!$U$36,'DRE + DCF'!$W$36:$Z$36)*((1+$H14)^((12-3)/12))+('DRE + DCF'!$AA$36*(1+Q$18)/(($H14-Q$18)*(1+$H14)^(COUNT('DRE + DCF'!$V$22:$Z$22)-((12-3)/12)))))+SUM($F$12:$F$17)))/$F$10-(((NPV($H14,'DRE + DCF'!$U$36,'DRE + DCF'!$W$36:$Z$36)*((1+$H14)^((12-3)/12))+('DRE + DCF'!$AA$36*(1+Q$18)/(($H14-Q$18)*(1+$H14)^(COUNT('DRE + DCF'!$V$22:$Z$22)-((12-3)/12)))))*$F$40+$F$42)*(1-$F$39))/$F$10</f>
        <v>12.375819353707165</v>
      </c>
      <c r="R14" s="324">
        <f>(((NPV($H14,'DRE + DCF'!$U$36,'DRE + DCF'!$W$36:$Z$36)*((1+$H14)^((12-3)/12))+('DRE + DCF'!$AA$36*(1+R$18)/(($H14-R$18)*(1+$H14)^(COUNT('DRE + DCF'!$V$22:$Z$22)-((12-3)/12)))))+SUM($F$12:$F$17)))/$F$10-(((NPV($H14,'DRE + DCF'!$U$36,'DRE + DCF'!$W$36:$Z$36)*((1+$H14)^((12-3)/12))+('DRE + DCF'!$AA$36*(1+R$18)/(($H14-R$18)*(1+$H14)^(COUNT('DRE + DCF'!$V$22:$Z$22)-((12-3)/12)))))*$F$40+$F$42)*(1-$F$39))/$F$10</f>
        <v>12.600870153512943</v>
      </c>
      <c r="S14" s="88"/>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row>
    <row r="15" spans="1:52" ht="30" customHeight="1">
      <c r="A15" s="12" t="s">
        <v>331</v>
      </c>
      <c r="B15" s="4"/>
      <c r="C15" s="4"/>
      <c r="D15" s="4"/>
      <c r="E15" s="322" t="s">
        <v>483</v>
      </c>
      <c r="F15" s="23">
        <f>-F44</f>
        <v>-1145069.8034245807</v>
      </c>
      <c r="G15" s="340"/>
      <c r="H15" s="18">
        <f t="shared" ref="H15:H16" si="1">H14+0.5%</f>
        <v>0.17112663268155331</v>
      </c>
      <c r="I15" s="324">
        <f>(((NPV($H15,'DRE + DCF'!$U$36,'DRE + DCF'!$W$36:$Z$36)*((1+$H15)^((12-3)/12))+('DRE + DCF'!$AA$36*(1+I$18)/(($H15-I$18)*(1+$H15)^(COUNT('DRE + DCF'!$V$22:$Z$22)-((12-3)/12)))))+SUM($F$12:$F$17)))/$F$10-(((NPV($H15,'DRE + DCF'!$U$36,'DRE + DCF'!$W$36:$Z$36)*((1+$H15)^((12-3)/12))+('DRE + DCF'!$AA$36*(1+I$18)/(($H15-I$18)*(1+$H15)^(COUNT('DRE + DCF'!$V$22:$Z$22)-((12-3)/12)))))*$F$40+$F$42)*(1-$F$39))/$F$10</f>
        <v>10.622452100944269</v>
      </c>
      <c r="J15" s="324">
        <f>(((NPV($H15,'DRE + DCF'!$U$36,'DRE + DCF'!$W$36:$Z$36)*((1+$H15)^((12-3)/12))+('DRE + DCF'!$AA$36*(1+J$18)/(($H15-J$18)*(1+$H15)^(COUNT('DRE + DCF'!$V$22:$Z$22)-((12-3)/12)))))+SUM($F$12:$F$17)))/$F$10-(((NPV($H15,'DRE + DCF'!$U$36,'DRE + DCF'!$W$36:$Z$36)*((1+$H15)^((12-3)/12))+('DRE + DCF'!$AA$36*(1+J$18)/(($H15-J$18)*(1+$H15)^(COUNT('DRE + DCF'!$V$22:$Z$22)-((12-3)/12)))))*$F$40+$F$42)*(1-$F$39))/$F$10</f>
        <v>10.749653463147409</v>
      </c>
      <c r="K15" s="324">
        <f>(((NPV($H15,'DRE + DCF'!$U$36,'DRE + DCF'!$W$36:$Z$36)*((1+$H15)^((12-3)/12))+('DRE + DCF'!$AA$36*(1+K$18)/(($H15-K$18)*(1+$H15)^(COUNT('DRE + DCF'!$V$22:$Z$22)-((12-3)/12)))))+SUM($F$12:$F$17)))/$F$10-(((NPV($H15,'DRE + DCF'!$U$36,'DRE + DCF'!$W$36:$Z$36)*((1+$H15)^((12-3)/12))+('DRE + DCF'!$AA$36*(1+K$18)/(($H15-K$18)*(1+$H15)^(COUNT('DRE + DCF'!$V$22:$Z$22)-((12-3)/12)))))*$F$40+$F$42)*(1-$F$39))/$F$10</f>
        <v>10.883268134658612</v>
      </c>
      <c r="L15" s="324">
        <f>(((NPV($H15,'DRE + DCF'!$U$36,'DRE + DCF'!$W$36:$Z$36)*((1+$H15)^((12-3)/12))+('DRE + DCF'!$AA$36*(1+L$18)/(($H15-L$18)*(1+$H15)^(COUNT('DRE + DCF'!$V$22:$Z$22)-((12-3)/12)))))+SUM($F$12:$F$17)))/$F$10-(((NPV($H15,'DRE + DCF'!$U$36,'DRE + DCF'!$W$36:$Z$36)*((1+$H15)^((12-3)/12))+('DRE + DCF'!$AA$36*(1+L$18)/(($H15-L$18)*(1+$H15)^(COUNT('DRE + DCF'!$V$22:$Z$22)-((12-3)/12)))))*$F$40+$F$42)*(1-$F$39))/$F$10</f>
        <v>11.023793683524458</v>
      </c>
      <c r="M15" s="324">
        <f>(((NPV($H15,'DRE + DCF'!$U$36,'DRE + DCF'!$W$36:$Z$36)*((1+$H15)^((12-3)/12))+('DRE + DCF'!$AA$36*(1+M$18)/(($H15-M$18)*(1+$H15)^(COUNT('DRE + DCF'!$V$22:$Z$22)-((12-3)/12)))))+SUM($F$12:$F$17)))/$F$10-(((NPV($H15,'DRE + DCF'!$U$36,'DRE + DCF'!$W$36:$Z$36)*((1+$H15)^((12-3)/12))+('DRE + DCF'!$AA$36*(1+M$18)/(($H15-M$18)*(1+$H15)^(COUNT('DRE + DCF'!$V$22:$Z$22)-((12-3)/12)))))*$F$40+$F$42)*(1-$F$39))/$F$10</f>
        <v>11.171780515099654</v>
      </c>
      <c r="N15" s="324">
        <f>(((NPV($H15,'DRE + DCF'!$U$36,'DRE + DCF'!$W$36:$Z$36)*((1+$H15)^((12-3)/12))+('DRE + DCF'!$AA$36*(1+N$18)/(($H15-N$18)*(1+$H15)^(COUNT('DRE + DCF'!$V$22:$Z$22)-((12-3)/12)))))+SUM($F$12:$F$17)))/$F$10-(((NPV($H15,'DRE + DCF'!$U$36,'DRE + DCF'!$W$36:$Z$36)*((1+$H15)^((12-3)/12))+('DRE + DCF'!$AA$36*(1+N$18)/(($H15-N$18)*(1+$H15)^(COUNT('DRE + DCF'!$V$22:$Z$22)-((12-3)/12)))))*$F$40+$F$42)*(1-$F$39))/$F$10</f>
        <v>11.327839076885663</v>
      </c>
      <c r="O15" s="324">
        <f>(((NPV($H15,'DRE + DCF'!$U$36,'DRE + DCF'!$W$36:$Z$36)*((1+$H15)^((12-3)/12))+('DRE + DCF'!$AA$36*(1+O$18)/(($H15-O$18)*(1+$H15)^(COUNT('DRE + DCF'!$V$22:$Z$22)-((12-3)/12)))))+SUM($F$12:$F$17)))/$F$10-(((NPV($H15,'DRE + DCF'!$U$36,'DRE + DCF'!$W$36:$Z$36)*((1+$H15)^((12-3)/12))+('DRE + DCF'!$AA$36*(1+O$18)/(($H15-O$18)*(1+$H15)^(COUNT('DRE + DCF'!$V$22:$Z$22)-((12-3)/12)))))*$F$40+$F$42)*(1-$F$39))/$F$10</f>
        <v>11.492648275355233</v>
      </c>
      <c r="P15" s="324">
        <f>(((NPV($H15,'DRE + DCF'!$U$36,'DRE + DCF'!$W$36:$Z$36)*((1+$H15)^((12-3)/12))+('DRE + DCF'!$AA$36*(1+P$18)/(($H15-P$18)*(1+$H15)^(COUNT('DRE + DCF'!$V$22:$Z$22)-((12-3)/12)))))+SUM($F$12:$F$17)))/$F$10-(((NPV($H15,'DRE + DCF'!$U$36,'DRE + DCF'!$W$36:$Z$36)*((1+$H15)^((12-3)/12))+('DRE + DCF'!$AA$36*(1+P$18)/(($H15-P$18)*(1+$H15)^(COUNT('DRE + DCF'!$V$22:$Z$22)-((12-3)/12)))))*$F$40+$F$42)*(1-$F$39))/$F$10</f>
        <v>11.666965349481785</v>
      </c>
      <c r="Q15" s="324">
        <f>(((NPV($H15,'DRE + DCF'!$U$36,'DRE + DCF'!$W$36:$Z$36)*((1+$H15)^((12-3)/12))+('DRE + DCF'!$AA$36*(1+Q$18)/(($H15-Q$18)*(1+$H15)^(COUNT('DRE + DCF'!$V$22:$Z$22)-((12-3)/12)))))+SUM($F$12:$F$17)))/$F$10-(((NPV($H15,'DRE + DCF'!$U$36,'DRE + DCF'!$W$36:$Z$36)*((1+$H15)^((12-3)/12))+('DRE + DCF'!$AA$36*(1+Q$18)/(($H15-Q$18)*(1+$H15)^(COUNT('DRE + DCF'!$V$22:$Z$22)-((12-3)/12)))))*$F$40+$F$42)*(1-$F$39))/$F$10</f>
        <v>11.851637503841543</v>
      </c>
      <c r="R15" s="324">
        <f>(((NPV($H15,'DRE + DCF'!$U$36,'DRE + DCF'!$W$36:$Z$36)*((1+$H15)^((12-3)/12))+('DRE + DCF'!$AA$36*(1+R$18)/(($H15-R$18)*(1+$H15)^(COUNT('DRE + DCF'!$V$22:$Z$22)-((12-3)/12)))))+SUM($F$12:$F$17)))/$F$10-(((NPV($H15,'DRE + DCF'!$U$36,'DRE + DCF'!$W$36:$Z$36)*((1+$H15)^((12-3)/12))+('DRE + DCF'!$AA$36*(1+R$18)/(($H15-R$18)*(1+$H15)^(COUNT('DRE + DCF'!$V$22:$Z$22)-((12-3)/12)))))*$F$40+$F$42)*(1-$F$39))/$F$10</f>
        <v>12.047615678325021</v>
      </c>
      <c r="S15" s="88"/>
      <c r="T15" s="4"/>
      <c r="U15" s="4"/>
      <c r="V15" s="4"/>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c r="AY15" s="4"/>
      <c r="AZ15" s="4"/>
    </row>
    <row r="16" spans="1:52" ht="30" customHeight="1">
      <c r="A16" s="167" t="s">
        <v>129</v>
      </c>
      <c r="B16" s="4"/>
      <c r="C16" s="4"/>
      <c r="D16" s="4"/>
      <c r="E16" s="322" t="s">
        <v>510</v>
      </c>
      <c r="F16" s="327">
        <f>('Projeções - Receita e EBIT'!U115)/((WACC!P20)-3.5%)/'DRE + DCF'!Z37</f>
        <v>-1046115.4100372182</v>
      </c>
      <c r="G16" s="340"/>
      <c r="H16" s="18">
        <f t="shared" si="1"/>
        <v>0.17612663268155332</v>
      </c>
      <c r="I16" s="324">
        <f>(((NPV($H16,'DRE + DCF'!$U$36,'DRE + DCF'!$W$36:$Z$36)*((1+$H16)^((12-3)/12))+('DRE + DCF'!$AA$36*(1+I$18)/(($H16-I$18)*(1+$H16)^(COUNT('DRE + DCF'!$V$22:$Z$22)-((12-3)/12)))))+SUM($F$12:$F$17)))/$F$10-(((NPV($H16,'DRE + DCF'!$U$36,'DRE + DCF'!$W$36:$Z$36)*((1+$H16)^((12-3)/12))+('DRE + DCF'!$AA$36*(1+I$18)/(($H16-I$18)*(1+$H16)^(COUNT('DRE + DCF'!$V$22:$Z$22)-((12-3)/12)))))*$F$40+$F$42)*(1-$F$39))/$F$10</f>
        <v>10.293519159192948</v>
      </c>
      <c r="J16" s="324">
        <f>(((NPV($H16,'DRE + DCF'!$U$36,'DRE + DCF'!$W$36:$Z$36)*((1+$H16)^((12-3)/12))+('DRE + DCF'!$AA$36*(1+J$18)/(($H16-J$18)*(1+$H16)^(COUNT('DRE + DCF'!$V$22:$Z$22)-((12-3)/12)))))+SUM($F$12:$F$17)))/$F$10-(((NPV($H16,'DRE + DCF'!$U$36,'DRE + DCF'!$W$36:$Z$36)*((1+$H16)^((12-3)/12))+('DRE + DCF'!$AA$36*(1+J$18)/(($H16-J$18)*(1+$H16)^(COUNT('DRE + DCF'!$V$22:$Z$22)-((12-3)/12)))))*$F$40+$F$42)*(1-$F$39))/$F$10</f>
        <v>10.407614613323332</v>
      </c>
      <c r="K16" s="324">
        <f>(((NPV($H16,'DRE + DCF'!$U$36,'DRE + DCF'!$W$36:$Z$36)*((1+$H16)^((12-3)/12))+('DRE + DCF'!$AA$36*(1+K$18)/(($H16-K$18)*(1+$H16)^(COUNT('DRE + DCF'!$V$22:$Z$22)-((12-3)/12)))))+SUM($F$12:$F$17)))/$F$10-(((NPV($H16,'DRE + DCF'!$U$36,'DRE + DCF'!$W$36:$Z$36)*((1+$H16)^((12-3)/12))+('DRE + DCF'!$AA$36*(1+K$18)/(($H16-K$18)*(1+$H16)^(COUNT('DRE + DCF'!$V$22:$Z$22)-((12-3)/12)))))*$F$40+$F$42)*(1-$F$39))/$F$10</f>
        <v>10.527186482803215</v>
      </c>
      <c r="L16" s="324">
        <f>(((NPV($H16,'DRE + DCF'!$U$36,'DRE + DCF'!$W$36:$Z$36)*((1+$H16)^((12-3)/12))+('DRE + DCF'!$AA$36*(1+L$18)/(($H16-L$18)*(1+$H16)^(COUNT('DRE + DCF'!$V$22:$Z$22)-((12-3)/12)))))+SUM($F$12:$F$17)))/$F$10-(((NPV($H16,'DRE + DCF'!$U$36,'DRE + DCF'!$W$36:$Z$36)*((1+$H16)^((12-3)/12))+('DRE + DCF'!$AA$36*(1+L$18)/(($H16-L$18)*(1+$H16)^(COUNT('DRE + DCF'!$V$22:$Z$22)-((12-3)/12)))))*$F$40+$F$42)*(1-$F$39))/$F$10</f>
        <v>10.652638752905688</v>
      </c>
      <c r="M16" s="324">
        <f>(((NPV($H16,'DRE + DCF'!$U$36,'DRE + DCF'!$W$36:$Z$36)*((1+$H16)^((12-3)/12))+('DRE + DCF'!$AA$36*(1+M$18)/(($H16-M$18)*(1+$H16)^(COUNT('DRE + DCF'!$V$22:$Z$22)-((12-3)/12)))))+SUM($F$12:$F$17)))/$F$10-(((NPV($H16,'DRE + DCF'!$U$36,'DRE + DCF'!$W$36:$Z$36)*((1+$H16)^((12-3)/12))+('DRE + DCF'!$AA$36*(1+M$18)/(($H16-M$18)*(1+$H16)^(COUNT('DRE + DCF'!$V$22:$Z$22)-((12-3)/12)))))*$F$40+$F$42)*(1-$F$39))/$F$10</f>
        <v>10.78441614561401</v>
      </c>
      <c r="N16" s="324">
        <f>(((NPV($H16,'DRE + DCF'!$U$36,'DRE + DCF'!$W$36:$Z$36)*((1+$H16)^((12-3)/12))+('DRE + DCF'!$AA$36*(1+N$18)/(($H16-N$18)*(1+$H16)^(COUNT('DRE + DCF'!$V$22:$Z$22)-((12-3)/12)))))+SUM($F$12:$F$17)))/$F$10-(((NPV($H16,'DRE + DCF'!$U$36,'DRE + DCF'!$W$36:$Z$36)*((1+$H16)^((12-3)/12))+('DRE + DCF'!$AA$36*(1+N$18)/(($H16-N$18)*(1+$H16)^(COUNT('DRE + DCF'!$V$22:$Z$22)-((12-3)/12)))))*$F$40+$F$42)*(1-$F$39))/$F$10</f>
        <v>10.92300938712712</v>
      </c>
      <c r="O16" s="324">
        <f>(((NPV($H16,'DRE + DCF'!$U$36,'DRE + DCF'!$W$36:$Z$36)*((1+$H16)^((12-3)/12))+('DRE + DCF'!$AA$36*(1+O$18)/(($H16-O$18)*(1+$H16)^(COUNT('DRE + DCF'!$V$22:$Z$22)-((12-3)/12)))))+SUM($F$12:$F$17)))/$F$10-(((NPV($H16,'DRE + DCF'!$U$36,'DRE + DCF'!$W$36:$Z$36)*((1+$H16)^((12-3)/12))+('DRE + DCF'!$AA$36*(1+O$18)/(($H16-O$18)*(1+$H16)^(COUNT('DRE + DCF'!$V$22:$Z$22)-((12-3)/12)))))*$F$40+$F$42)*(1-$F$39))/$F$10</f>
        <v>11.068961314408623</v>
      </c>
      <c r="P16" s="324">
        <f>(((NPV($H16,'DRE + DCF'!$U$36,'DRE + DCF'!$W$36:$Z$36)*((1+$H16)^((12-3)/12))+('DRE + DCF'!$AA$36*(1+P$18)/(($H16-P$18)*(1+$H16)^(COUNT('DRE + DCF'!$V$22:$Z$22)-((12-3)/12)))))+SUM($F$12:$F$17)))/$F$10-(((NPV($H16,'DRE + DCF'!$U$36,'DRE + DCF'!$W$36:$Z$36)*((1+$H16)^((12-3)/12))+('DRE + DCF'!$AA$36*(1+P$18)/(($H16-P$18)*(1+$H16)^(COUNT('DRE + DCF'!$V$22:$Z$22)-((12-3)/12)))))*$F$40+$F$42)*(1-$F$39))/$F$10</f>
        <v>11.222873980954727</v>
      </c>
      <c r="Q16" s="324">
        <f>(((NPV($H16,'DRE + DCF'!$U$36,'DRE + DCF'!$W$36:$Z$36)*((1+$H16)^((12-3)/12))+('DRE + DCF'!$AA$36*(1+Q$18)/(($H16-Q$18)*(1+$H16)^(COUNT('DRE + DCF'!$V$22:$Z$22)-((12-3)/12)))))+SUM($F$12:$F$17)))/$F$10-(((NPV($H16,'DRE + DCF'!$U$36,'DRE + DCF'!$W$36:$Z$36)*((1+$H16)^((12-3)/12))+('DRE + DCF'!$AA$36*(1+Q$18)/(($H16-Q$18)*(1+$H16)^(COUNT('DRE + DCF'!$V$22:$Z$22)-((12-3)/12)))))*$F$40+$F$42)*(1-$F$39))/$F$10</f>
        <v>11.38541695788258</v>
      </c>
      <c r="R16" s="324">
        <f>(((NPV($H16,'DRE + DCF'!$U$36,'DRE + DCF'!$W$36:$Z$36)*((1+$H16)^((12-3)/12))+('DRE + DCF'!$AA$36*(1+R$18)/(($H16-R$18)*(1+$H16)^(COUNT('DRE + DCF'!$V$22:$Z$22)-((12-3)/12)))))+SUM($F$12:$F$17)))/$F$10-(((NPV($H16,'DRE + DCF'!$U$36,'DRE + DCF'!$W$36:$Z$36)*((1+$H16)^((12-3)/12))+('DRE + DCF'!$AA$36*(1+R$18)/(($H16-R$18)*(1+$H16)^(COUNT('DRE + DCF'!$V$22:$Z$22)-((12-3)/12)))))*$F$40+$F$42)*(1-$F$39))/$F$10</f>
        <v>11.557337071692945</v>
      </c>
      <c r="S16" s="88"/>
      <c r="T16" s="4"/>
      <c r="U16" s="4"/>
      <c r="V16" s="4"/>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c r="AY16" s="4"/>
      <c r="AZ16" s="4"/>
    </row>
    <row r="17" spans="1:52" ht="30" customHeight="1">
      <c r="A17" s="167" t="s">
        <v>493</v>
      </c>
      <c r="B17" s="4"/>
      <c r="C17" s="4"/>
      <c r="D17" s="4"/>
      <c r="E17" s="322" t="s">
        <v>515</v>
      </c>
      <c r="F17" s="23">
        <f>IF(F54&gt;=0,0,F54)</f>
        <v>0</v>
      </c>
      <c r="G17" s="340"/>
      <c r="H17" s="18">
        <f>H16+0.5%</f>
        <v>0.18112663268155332</v>
      </c>
      <c r="I17" s="324">
        <f>(((NPV($H17,'DRE + DCF'!$U$36,'DRE + DCF'!$W$36:$Z$36)*((1+$H17)^((12-3)/12))+('DRE + DCF'!$AA$36*(1+I$18)/(($H17-I$18)*(1+$H17)^(COUNT('DRE + DCF'!$V$22:$Z$22)-((12-3)/12)))))+SUM($F$12:$F$17)))/$F$10-(((NPV($H17,'DRE + DCF'!$U$36,'DRE + DCF'!$W$36:$Z$36)*((1+$H17)^((12-3)/12))+('DRE + DCF'!$AA$36*(1+I$18)/(($H17-I$18)*(1+$H17)^(COUNT('DRE + DCF'!$V$22:$Z$22)-((12-3)/12)))))*$F$40+$F$42)*(1-$F$39))/$F$10</f>
        <v>9.9928437883637891</v>
      </c>
      <c r="J17" s="324">
        <f>(((NPV($H17,'DRE + DCF'!$U$36,'DRE + DCF'!$W$36:$Z$36)*((1+$H17)^((12-3)/12))+('DRE + DCF'!$AA$36*(1+J$18)/(($H17-J$18)*(1+$H17)^(COUNT('DRE + DCF'!$V$22:$Z$22)-((12-3)/12)))))+SUM($F$12:$F$17)))/$F$10-(((NPV($H17,'DRE + DCF'!$U$36,'DRE + DCF'!$W$36:$Z$36)*((1+$H17)^((12-3)/12))+('DRE + DCF'!$AA$36*(1+J$18)/(($H17-J$18)*(1+$H17)^(COUNT('DRE + DCF'!$V$22:$Z$22)-((12-3)/12)))))*$F$40+$F$42)*(1-$F$39))/$F$10</f>
        <v>10.095630658425742</v>
      </c>
      <c r="K17" s="324">
        <f>(((NPV($H17,'DRE + DCF'!$U$36,'DRE + DCF'!$W$36:$Z$36)*((1+$H17)^((12-3)/12))+('DRE + DCF'!$AA$36*(1+K$18)/(($H17-K$18)*(1+$H17)^(COUNT('DRE + DCF'!$V$22:$Z$22)-((12-3)/12)))))+SUM($F$12:$F$17)))/$F$10-(((NPV($H17,'DRE + DCF'!$U$36,'DRE + DCF'!$W$36:$Z$36)*((1+$H17)^((12-3)/12))+('DRE + DCF'!$AA$36*(1+K$18)/(($H17-K$18)*(1+$H17)^(COUNT('DRE + DCF'!$V$22:$Z$22)-((12-3)/12)))))*$F$40+$F$42)*(1-$F$39))/$F$10</f>
        <v>10.203125187533111</v>
      </c>
      <c r="L17" s="324">
        <f>(((NPV($H17,'DRE + DCF'!$U$36,'DRE + DCF'!$W$36:$Z$36)*((1+$H17)^((12-3)/12))+('DRE + DCF'!$AA$36*(1+L$18)/(($H17-L$18)*(1+$H17)^(COUNT('DRE + DCF'!$V$22:$Z$22)-((12-3)/12)))))+SUM($F$12:$F$17)))/$F$10-(((NPV($H17,'DRE + DCF'!$U$36,'DRE + DCF'!$W$36:$Z$36)*((1+$H17)^((12-3)/12))+('DRE + DCF'!$AA$36*(1+L$18)/(($H17-L$18)*(1+$H17)^(COUNT('DRE + DCF'!$V$22:$Z$22)-((12-3)/12)))))*$F$40+$F$42)*(1-$F$39))/$F$10</f>
        <v>10.315658373138065</v>
      </c>
      <c r="M17" s="324">
        <f>(((NPV($H17,'DRE + DCF'!$U$36,'DRE + DCF'!$W$36:$Z$36)*((1+$H17)^((12-3)/12))+('DRE + DCF'!$AA$36*(1+M$18)/(($H17-M$18)*(1+$H17)^(COUNT('DRE + DCF'!$V$22:$Z$22)-((12-3)/12)))))+SUM($F$12:$F$17)))/$F$10-(((NPV($H17,'DRE + DCF'!$U$36,'DRE + DCF'!$W$36:$Z$36)*((1+$H17)^((12-3)/12))+('DRE + DCF'!$AA$36*(1+M$18)/(($H17-M$18)*(1+$H17)^(COUNT('DRE + DCF'!$V$22:$Z$22)-((12-3)/12)))))*$F$40+$F$42)*(1-$F$39))/$F$10</f>
        <v>10.433592987482417</v>
      </c>
      <c r="N17" s="324">
        <f>(((NPV($H17,'DRE + DCF'!$U$36,'DRE + DCF'!$W$36:$Z$36)*((1+$H17)^((12-3)/12))+('DRE + DCF'!$AA$36*(1+N$18)/(($H17-N$18)*(1+$H17)^(COUNT('DRE + DCF'!$V$22:$Z$22)-((12-3)/12)))))+SUM($F$12:$F$17)))/$F$10-(((NPV($H17,'DRE + DCF'!$U$36,'DRE + DCF'!$W$36:$Z$36)*((1+$H17)^((12-3)/12))+('DRE + DCF'!$AA$36*(1+N$18)/(($H17-N$18)*(1+$H17)^(COUNT('DRE + DCF'!$V$22:$Z$22)-((12-3)/12)))))*$F$40+$F$42)*(1-$F$39))/$F$10</f>
        <v>10.557327484212419</v>
      </c>
      <c r="O17" s="324">
        <f>(((NPV($H17,'DRE + DCF'!$U$36,'DRE + DCF'!$W$36:$Z$36)*((1+$H17)^((12-3)/12))+('DRE + DCF'!$AA$36*(1+O$18)/(($H17-O$18)*(1+$H17)^(COUNT('DRE + DCF'!$V$22:$Z$22)-((12-3)/12)))))+SUM($F$12:$F$17)))/$F$10-(((NPV($H17,'DRE + DCF'!$U$36,'DRE + DCF'!$W$36:$Z$36)*((1+$H17)^((12-3)/12))+('DRE + DCF'!$AA$36*(1+O$18)/(($H17-O$18)*(1+$H17)^(COUNT('DRE + DCF'!$V$22:$Z$22)-((12-3)/12)))))*$F$40+$F$42)*(1-$F$39))/$F$10</f>
        <v>10.687300495891186</v>
      </c>
      <c r="P17" s="324">
        <f>(((NPV($H17,'DRE + DCF'!$U$36,'DRE + DCF'!$W$36:$Z$36)*((1+$H17)^((12-3)/12))+('DRE + DCF'!$AA$36*(1+P$18)/(($H17-P$18)*(1+$H17)^(COUNT('DRE + DCF'!$V$22:$Z$22)-((12-3)/12)))))+SUM($F$12:$F$17)))/$F$10-(((NPV($H17,'DRE + DCF'!$U$36,'DRE + DCF'!$W$36:$Z$36)*((1+$H17)^((12-3)/12))+('DRE + DCF'!$AA$36*(1+P$18)/(($H17-P$18)*(1+$H17)^(COUNT('DRE + DCF'!$V$22:$Z$22)-((12-3)/12)))))*$F$40+$F$42)*(1-$F$39))/$F$10</f>
        <v>10.823996029378119</v>
      </c>
      <c r="Q17" s="324">
        <f>(((NPV($H17,'DRE + DCF'!$U$36,'DRE + DCF'!$W$36:$Z$36)*((1+$H17)^((12-3)/12))+('DRE + DCF'!$AA$36*(1+Q$18)/(($H17-Q$18)*(1+$H17)^(COUNT('DRE + DCF'!$V$22:$Z$22)-((12-3)/12)))))+SUM($F$12:$F$17)))/$F$10-(((NPV($H17,'DRE + DCF'!$U$36,'DRE + DCF'!$W$36:$Z$36)*((1+$H17)^((12-3)/12))+('DRE + DCF'!$AA$36*(1+Q$18)/(($H17-Q$18)*(1+$H17)^(COUNT('DRE + DCF'!$V$22:$Z$22)-((12-3)/12)))))*$F$40+$F$42)*(1-$F$39))/$F$10</f>
        <v>10.967949488763105</v>
      </c>
      <c r="R17" s="324">
        <f>(((NPV($H17,'DRE + DCF'!$U$36,'DRE + DCF'!$W$36:$Z$36)*((1+$H17)^((12-3)/12))+('DRE + DCF'!$AA$36*(1+R$18)/(($H17-R$18)*(1+$H17)^(COUNT('DRE + DCF'!$V$22:$Z$22)-((12-3)/12)))))+SUM($F$12:$F$17)))/$F$10-(((NPV($H17,'DRE + DCF'!$U$36,'DRE + DCF'!$W$36:$Z$36)*((1+$H17)^((12-3)/12))+('DRE + DCF'!$AA$36*(1+R$18)/(($H17-R$18)*(1+$H17)^(COUNT('DRE + DCF'!$V$22:$Z$22)-((12-3)/12)))))*$F$40+$F$42)*(1-$F$39))/$F$10</f>
        <v>11.119754683837684</v>
      </c>
      <c r="S17" s="88"/>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row>
    <row r="18" spans="1:52" ht="30" customHeight="1">
      <c r="A18" s="12" t="s">
        <v>128</v>
      </c>
      <c r="B18" s="4"/>
      <c r="C18" s="4"/>
      <c r="D18" s="4"/>
      <c r="E18" s="16" t="s">
        <v>54</v>
      </c>
      <c r="F18" s="25">
        <f>SUM($F$11:$F$17)/$F$10</f>
        <v>13.488471781903817</v>
      </c>
      <c r="G18" s="20"/>
      <c r="H18" s="20"/>
      <c r="I18" s="18">
        <f>J18-0.25%</f>
        <v>6.6956799999999816E-2</v>
      </c>
      <c r="J18" s="18">
        <f>K18-0.25%</f>
        <v>6.9456799999999819E-2</v>
      </c>
      <c r="K18" s="18">
        <f>L18-0.25%</f>
        <v>7.1956799999999821E-2</v>
      </c>
      <c r="L18" s="18">
        <f>M18-0.25%</f>
        <v>7.4456799999999823E-2</v>
      </c>
      <c r="M18" s="18">
        <f>'DRE + DCF'!AC23</f>
        <v>7.6956799999999825E-2</v>
      </c>
      <c r="N18" s="18">
        <f>M18+0.25%</f>
        <v>7.9456799999999828E-2</v>
      </c>
      <c r="O18" s="18">
        <f>N18+0.25%</f>
        <v>8.195679999999983E-2</v>
      </c>
      <c r="P18" s="18">
        <f>O18+0.25%</f>
        <v>8.4456799999999832E-2</v>
      </c>
      <c r="Q18" s="18">
        <f>P18+0.25%</f>
        <v>8.6956799999999834E-2</v>
      </c>
      <c r="R18" s="28">
        <f>Q18+0.25%</f>
        <v>8.9456799999999836E-2</v>
      </c>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c r="AY18" s="4"/>
      <c r="AZ18" s="4"/>
    </row>
    <row r="19" spans="1:52" ht="30" customHeight="1">
      <c r="A19" s="12"/>
      <c r="B19" s="4"/>
      <c r="C19" s="4"/>
      <c r="D19" s="4"/>
      <c r="E19" s="22" t="s">
        <v>53</v>
      </c>
      <c r="F19" s="26">
        <v>7.46</v>
      </c>
      <c r="G19" s="20"/>
      <c r="H19" s="20"/>
      <c r="I19" s="338" t="s">
        <v>29</v>
      </c>
      <c r="J19" s="338"/>
      <c r="K19" s="338"/>
      <c r="L19" s="338"/>
      <c r="M19" s="338"/>
      <c r="N19" s="338"/>
      <c r="O19" s="338"/>
      <c r="P19" s="338"/>
      <c r="Q19" s="338"/>
      <c r="R19" s="339"/>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c r="AY19" s="4"/>
      <c r="AZ19" s="4"/>
    </row>
    <row r="20" spans="1:52" ht="30" customHeight="1">
      <c r="A20" s="12"/>
      <c r="B20" s="4"/>
      <c r="C20" s="4"/>
      <c r="D20" s="4"/>
      <c r="E20" s="16" t="str">
        <f>IF(F20=0,"",IF(F20&gt;0,"Upside","Downside"))</f>
        <v>Upside</v>
      </c>
      <c r="F20" s="27">
        <f>IF(F18&lt;0,"-",F18/F19-1)</f>
        <v>0.80810613698442579</v>
      </c>
      <c r="G20" s="20"/>
      <c r="H20" s="20"/>
      <c r="I20" s="328"/>
      <c r="J20" s="328"/>
      <c r="K20" s="328"/>
      <c r="L20" s="328"/>
      <c r="M20" s="328"/>
      <c r="N20" s="328"/>
      <c r="O20" s="328"/>
      <c r="P20" s="328"/>
      <c r="Q20" s="328"/>
      <c r="R20" s="329"/>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c r="AY20" s="4"/>
      <c r="AZ20" s="4"/>
    </row>
    <row r="21" spans="1:52" ht="30" customHeight="1">
      <c r="B21" s="4"/>
      <c r="C21" s="4"/>
      <c r="D21" s="4"/>
      <c r="E21" s="16" t="s">
        <v>79</v>
      </c>
      <c r="F21" s="171">
        <v>0.23949999999999999</v>
      </c>
      <c r="G21" s="20"/>
      <c r="H21" s="20"/>
      <c r="I21" s="326"/>
      <c r="J21" s="326"/>
      <c r="K21" s="326"/>
      <c r="L21" s="326"/>
      <c r="M21" s="326"/>
      <c r="N21" s="326"/>
      <c r="O21" s="326"/>
      <c r="P21" s="326"/>
      <c r="Q21" s="326"/>
      <c r="R21" s="28"/>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c r="AY21" s="4"/>
      <c r="AZ21" s="4"/>
    </row>
    <row r="22" spans="1:52" ht="30" customHeight="1">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c r="AY22" s="4"/>
      <c r="AZ22" s="4"/>
    </row>
    <row r="23" spans="1:52" ht="30" customHeight="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c r="AY23" s="4"/>
      <c r="AZ23" s="4"/>
    </row>
    <row r="24" spans="1:52" ht="30" customHeight="1">
      <c r="B24" s="4"/>
      <c r="C24" s="4"/>
      <c r="D24" s="90"/>
      <c r="E24" s="4"/>
      <c r="F24" s="4"/>
      <c r="G24" s="4"/>
      <c r="H24" s="4"/>
      <c r="I24" s="4"/>
      <c r="J24" s="4"/>
      <c r="K24" s="4"/>
      <c r="L24" s="4"/>
      <c r="M24" s="4"/>
      <c r="N24" s="4" t="s">
        <v>500</v>
      </c>
      <c r="O24" s="4">
        <v>12.93</v>
      </c>
      <c r="P24" s="4">
        <v>11.31</v>
      </c>
      <c r="Q24" s="4">
        <f>O24/P24-1</f>
        <v>0.14323607427055696</v>
      </c>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c r="AY24" s="4"/>
      <c r="AZ24" s="4"/>
    </row>
    <row r="25" spans="1:52" ht="30" customHeight="1">
      <c r="B25" s="4"/>
      <c r="C25" s="4"/>
      <c r="D25" s="90"/>
      <c r="E25" s="161" t="s">
        <v>323</v>
      </c>
      <c r="F25" s="247">
        <f>SUM('Balanço Patrimonial'!O21,'Balanço Patrimonial'!O37)</f>
        <v>7079945.4260190399</v>
      </c>
      <c r="G25" s="290"/>
      <c r="H25" s="251" t="s">
        <v>301</v>
      </c>
      <c r="I25" s="252" t="s">
        <v>302</v>
      </c>
      <c r="J25" s="255" t="s">
        <v>303</v>
      </c>
      <c r="K25" s="256" t="s">
        <v>304</v>
      </c>
      <c r="L25" s="88"/>
      <c r="M25" s="4"/>
      <c r="N25" s="4"/>
      <c r="O25" s="337">
        <f>F18*(1-Q24)</f>
        <v>11.55643603595473</v>
      </c>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c r="AY25" s="4"/>
      <c r="AZ25" s="4"/>
    </row>
    <row r="26" spans="1:52" ht="30" customHeight="1">
      <c r="B26" s="4"/>
      <c r="C26" s="4"/>
      <c r="D26" s="90"/>
      <c r="E26" s="161" t="s">
        <v>271</v>
      </c>
      <c r="F26" s="336">
        <v>1178080.0262070957</v>
      </c>
      <c r="G26" s="290"/>
      <c r="H26" s="161" t="s">
        <v>271</v>
      </c>
      <c r="I26" s="335">
        <v>4192901.9984936314</v>
      </c>
      <c r="J26" s="248">
        <v>0.72419999999999995</v>
      </c>
      <c r="K26" s="247">
        <f>I26*J26</f>
        <v>3036499.6273090877</v>
      </c>
      <c r="L26" s="88"/>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c r="AY26" s="4"/>
      <c r="AZ26" s="4"/>
    </row>
    <row r="27" spans="1:52" ht="30" customHeight="1">
      <c r="B27" s="4"/>
      <c r="C27" s="4"/>
      <c r="D27" s="90"/>
      <c r="E27" s="161" t="s">
        <v>272</v>
      </c>
      <c r="F27" s="336">
        <v>1771126.2749999999</v>
      </c>
      <c r="G27" s="290"/>
      <c r="H27" s="161" t="s">
        <v>272</v>
      </c>
      <c r="I27" s="335">
        <v>4765368.9753109049</v>
      </c>
      <c r="J27" s="248">
        <v>0.65190000000000003</v>
      </c>
      <c r="K27" s="247">
        <f t="shared" ref="K27:K28" si="2">I27*J27</f>
        <v>3106544.0350051792</v>
      </c>
      <c r="L27" s="88"/>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c r="AY27" s="4"/>
      <c r="AZ27" s="4"/>
    </row>
    <row r="28" spans="1:52" ht="30" customHeight="1">
      <c r="B28" s="4"/>
      <c r="C28" s="4"/>
      <c r="D28" s="90"/>
      <c r="E28" s="161" t="s">
        <v>273</v>
      </c>
      <c r="F28" s="336">
        <v>2357031.1823184937</v>
      </c>
      <c r="G28" s="290"/>
      <c r="H28" s="161" t="s">
        <v>273</v>
      </c>
      <c r="I28" s="335">
        <v>9642272.8800844811</v>
      </c>
      <c r="J28" s="248">
        <v>0.69059999999999999</v>
      </c>
      <c r="K28" s="247">
        <f t="shared" si="2"/>
        <v>6658953.6509863427</v>
      </c>
      <c r="L28" s="88"/>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c r="AY28" s="4"/>
      <c r="AZ28" s="4"/>
    </row>
    <row r="29" spans="1:52" ht="30" customHeight="1" thickBot="1">
      <c r="B29" s="4"/>
      <c r="C29" s="4"/>
      <c r="D29" s="90"/>
      <c r="E29" s="259" t="s">
        <v>300</v>
      </c>
      <c r="F29" s="260">
        <f>F25-SUM(F26:F28)</f>
        <v>1773707.9424934508</v>
      </c>
      <c r="G29" s="290"/>
      <c r="H29" s="259" t="s">
        <v>270</v>
      </c>
      <c r="I29" s="259"/>
      <c r="J29" s="259"/>
      <c r="K29" s="260">
        <f>SUM(K26:K28)</f>
        <v>12801997.31330061</v>
      </c>
      <c r="L29" s="88"/>
      <c r="M29" s="4"/>
      <c r="N29" s="4"/>
      <c r="O29" s="4"/>
      <c r="P29" s="4"/>
      <c r="Q29" s="4"/>
      <c r="R29" s="4"/>
      <c r="S29" s="100"/>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c r="AY29" s="4"/>
      <c r="AZ29" s="4"/>
    </row>
    <row r="30" spans="1:52" ht="30" customHeight="1">
      <c r="B30" s="4"/>
      <c r="C30" s="4"/>
      <c r="D30" s="4"/>
      <c r="E30" s="178"/>
      <c r="F30" s="178"/>
      <c r="G30" s="4"/>
      <c r="H30" s="178"/>
      <c r="I30" s="178"/>
      <c r="J30" s="178"/>
      <c r="K30" s="178"/>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c r="AY30" s="4"/>
      <c r="AZ30" s="4"/>
    </row>
    <row r="31" spans="1:52" ht="30" customHeight="1">
      <c r="B31" s="4"/>
      <c r="C31" s="4"/>
      <c r="D31" s="90"/>
      <c r="E31" s="4"/>
      <c r="F31" s="4"/>
      <c r="G31" s="4"/>
      <c r="H31" s="4"/>
      <c r="I31" s="4"/>
      <c r="J31" s="4"/>
      <c r="K31" s="4"/>
      <c r="L31" s="4"/>
      <c r="M31" s="4"/>
      <c r="N31" s="4"/>
      <c r="O31" s="4"/>
      <c r="P31" s="4"/>
      <c r="Q31" s="4"/>
      <c r="R31" s="4"/>
      <c r="S31" s="325"/>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c r="AY31" s="4"/>
      <c r="AZ31" s="4"/>
    </row>
    <row r="32" spans="1:52" ht="30" customHeight="1">
      <c r="B32" s="4"/>
      <c r="C32" s="4"/>
      <c r="D32" s="90"/>
      <c r="E32" s="161" t="s">
        <v>323</v>
      </c>
      <c r="F32" s="247">
        <f>WACC!F19</f>
        <v>41596826</v>
      </c>
      <c r="G32" s="290"/>
      <c r="H32" s="251" t="s">
        <v>301</v>
      </c>
      <c r="I32" s="252" t="s">
        <v>305</v>
      </c>
      <c r="J32" s="255" t="s">
        <v>303</v>
      </c>
      <c r="K32" s="256" t="s">
        <v>306</v>
      </c>
      <c r="L32" s="88"/>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c r="AY32" s="4"/>
      <c r="AZ32" s="4"/>
    </row>
    <row r="33" spans="2:53" ht="30" customHeight="1">
      <c r="B33" s="4"/>
      <c r="C33" s="4"/>
      <c r="D33" s="90"/>
      <c r="E33" s="161" t="s">
        <v>271</v>
      </c>
      <c r="F33" s="336">
        <v>-6324340</v>
      </c>
      <c r="G33" s="290"/>
      <c r="H33" s="161" t="s">
        <v>271</v>
      </c>
      <c r="I33" s="335">
        <v>2497679.0001599998</v>
      </c>
      <c r="J33" s="248">
        <f>J26</f>
        <v>0.72419999999999995</v>
      </c>
      <c r="K33" s="247">
        <f>I33*J33</f>
        <v>1808819.1319158718</v>
      </c>
      <c r="L33" s="88"/>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c r="AY33" s="4"/>
      <c r="AZ33" s="4"/>
      <c r="BA33" s="4"/>
    </row>
    <row r="34" spans="2:53" ht="30" customHeight="1">
      <c r="B34" s="4"/>
      <c r="C34" s="4"/>
      <c r="D34" s="90"/>
      <c r="E34" s="161" t="s">
        <v>272</v>
      </c>
      <c r="F34" s="336">
        <v>-13731980</v>
      </c>
      <c r="G34" s="290"/>
      <c r="H34" s="161" t="s">
        <v>272</v>
      </c>
      <c r="I34" s="335">
        <v>3623020.8600000003</v>
      </c>
      <c r="J34" s="248">
        <f t="shared" ref="J34" si="3">J27</f>
        <v>0.65190000000000003</v>
      </c>
      <c r="K34" s="247">
        <f t="shared" ref="K34:K35" si="4">I34*J34</f>
        <v>2361847.2986340001</v>
      </c>
      <c r="L34" s="88"/>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c r="AY34" s="4"/>
      <c r="AZ34" s="4"/>
      <c r="BA34" s="4"/>
    </row>
    <row r="35" spans="2:53" ht="30" customHeight="1">
      <c r="B35" s="4"/>
      <c r="C35" s="4"/>
      <c r="D35" s="90"/>
      <c r="E35" s="161" t="s">
        <v>273</v>
      </c>
      <c r="F35" s="336">
        <v>-12307704</v>
      </c>
      <c r="G35" s="290"/>
      <c r="H35" s="161" t="s">
        <v>273</v>
      </c>
      <c r="I35" s="335">
        <v>9850575.1554799993</v>
      </c>
      <c r="J35" s="248">
        <f>J28</f>
        <v>0.69059999999999999</v>
      </c>
      <c r="K35" s="247">
        <f t="shared" si="4"/>
        <v>6802807.2023744872</v>
      </c>
      <c r="L35" s="88"/>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c r="AY35" s="4"/>
      <c r="AZ35" s="4"/>
      <c r="BA35" s="4"/>
    </row>
    <row r="36" spans="2:53" ht="30" customHeight="1" thickBot="1">
      <c r="B36" s="4"/>
      <c r="C36" s="4"/>
      <c r="D36" s="90"/>
      <c r="E36" s="259" t="s">
        <v>300</v>
      </c>
      <c r="F36" s="260">
        <f>SUM(F32:F35)</f>
        <v>9232802</v>
      </c>
      <c r="G36" s="290"/>
      <c r="H36" s="258" t="s">
        <v>322</v>
      </c>
      <c r="I36" s="250"/>
      <c r="J36" s="257"/>
      <c r="K36" s="250">
        <f>K37-SUM(K33:K35)</f>
        <v>-4718950.631784359</v>
      </c>
      <c r="L36" s="88"/>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c r="AY36" s="4"/>
      <c r="AZ36" s="4"/>
      <c r="BA36" s="4"/>
    </row>
    <row r="37" spans="2:53" ht="30" customHeight="1" thickBot="1">
      <c r="B37" s="4"/>
      <c r="C37" s="4"/>
      <c r="D37" s="4"/>
      <c r="E37" s="178"/>
      <c r="F37" s="178"/>
      <c r="G37" s="90"/>
      <c r="H37" s="251" t="s">
        <v>307</v>
      </c>
      <c r="I37" s="251">
        <f>F19*F10</f>
        <v>6254523.0011400003</v>
      </c>
      <c r="J37" s="253">
        <v>1</v>
      </c>
      <c r="K37" s="254">
        <f>J37*I37</f>
        <v>6254523.0011400003</v>
      </c>
      <c r="L37" s="88"/>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row>
    <row r="38" spans="2:53" ht="30" customHeight="1" thickBot="1">
      <c r="B38" s="4"/>
      <c r="C38" s="4"/>
      <c r="D38" s="4"/>
      <c r="G38" s="88"/>
      <c r="H38" s="178"/>
      <c r="I38" s="178"/>
      <c r="J38" s="178"/>
      <c r="K38" s="178"/>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c r="AY38" s="4"/>
      <c r="AZ38" s="4"/>
    </row>
    <row r="39" spans="2:53" ht="30" customHeight="1">
      <c r="B39" s="4"/>
      <c r="C39" s="4"/>
      <c r="D39" s="4"/>
      <c r="E39" s="318" t="s">
        <v>334</v>
      </c>
      <c r="F39" s="319">
        <v>0.79400000000000004</v>
      </c>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c r="AY39" s="4"/>
      <c r="AZ39" s="4"/>
    </row>
    <row r="40" spans="2:53" ht="30" customHeight="1">
      <c r="B40" s="4"/>
      <c r="C40" s="4"/>
      <c r="D40" s="4"/>
      <c r="E40" s="320" t="s">
        <v>479</v>
      </c>
      <c r="F40" s="321">
        <f>AVERAGE('Projeções - Receita e EBIT'!$Q$57:$U$57)</f>
        <v>0.55262021533793326</v>
      </c>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c r="AY40" s="4"/>
      <c r="AZ40" s="4"/>
    </row>
    <row r="41" spans="2:53" ht="30" customHeight="1">
      <c r="B41" s="4"/>
      <c r="C41" s="4"/>
      <c r="D41" s="4"/>
      <c r="E41" s="320" t="s">
        <v>480</v>
      </c>
      <c r="F41" s="247">
        <f>F11*F40</f>
        <v>4507791.2787601016</v>
      </c>
      <c r="G41" s="88"/>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row>
    <row r="42" spans="2:53" ht="30" customHeight="1">
      <c r="B42" s="4"/>
      <c r="C42" s="4"/>
      <c r="D42" s="4"/>
      <c r="E42" s="320" t="s">
        <v>481</v>
      </c>
      <c r="F42" s="247">
        <v>1050800</v>
      </c>
      <c r="G42" s="88"/>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row>
    <row r="43" spans="2:53" ht="30" customHeight="1">
      <c r="B43" s="4"/>
      <c r="C43" s="4"/>
      <c r="D43" s="4"/>
      <c r="E43" s="320" t="s">
        <v>482</v>
      </c>
      <c r="F43" s="247">
        <f>F41+F42</f>
        <v>5558591.2787601016</v>
      </c>
      <c r="G43" s="88"/>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c r="AY43" s="4"/>
      <c r="AZ43" s="4"/>
    </row>
    <row r="44" spans="2:53" ht="30" customHeight="1" thickBot="1">
      <c r="B44" s="4"/>
      <c r="C44" s="4"/>
      <c r="D44" s="4"/>
      <c r="E44" s="323" t="s">
        <v>483</v>
      </c>
      <c r="F44" s="260">
        <f>F43*(1-$F$39)</f>
        <v>1145069.8034245807</v>
      </c>
      <c r="G44" s="88"/>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c r="AY44" s="4"/>
      <c r="AZ44" s="4"/>
    </row>
    <row r="45" spans="2:53" ht="30" customHeight="1">
      <c r="B45" s="4"/>
      <c r="C45" s="4"/>
      <c r="D45" s="4"/>
      <c r="E45" s="178"/>
      <c r="F45" s="178"/>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c r="AY45" s="4"/>
      <c r="AZ45" s="4"/>
    </row>
    <row r="46" spans="2:53" ht="30"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row>
    <row r="47" spans="2:53" ht="30"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c r="AY47" s="4"/>
      <c r="AZ47" s="4"/>
    </row>
    <row r="48" spans="2:53" ht="30" customHeight="1">
      <c r="B48" s="4"/>
      <c r="C48" s="4"/>
      <c r="D48" s="90"/>
      <c r="E48" s="161" t="s">
        <v>323</v>
      </c>
      <c r="F48" s="247">
        <f>WACC!F35</f>
        <v>0</v>
      </c>
      <c r="G48" s="88"/>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row>
    <row r="49" spans="2:52" ht="30" customHeight="1">
      <c r="B49" s="4"/>
      <c r="C49" s="4"/>
      <c r="D49" s="90"/>
      <c r="E49" s="161" t="s">
        <v>271</v>
      </c>
      <c r="F49" s="336">
        <v>-596787</v>
      </c>
      <c r="G49" s="88"/>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c r="AY49" s="4"/>
      <c r="AZ49" s="4"/>
    </row>
    <row r="50" spans="2:52" ht="30.75" customHeight="1">
      <c r="B50" s="4"/>
      <c r="C50" s="4"/>
      <c r="D50" s="90"/>
      <c r="E50" s="161" t="s">
        <v>272</v>
      </c>
      <c r="F50" s="336">
        <v>0</v>
      </c>
      <c r="G50" s="88"/>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c r="AY50" s="4"/>
      <c r="AZ50" s="4"/>
    </row>
    <row r="51" spans="2:52" ht="34.5" customHeight="1">
      <c r="B51" s="4"/>
      <c r="C51" s="4"/>
      <c r="D51" s="90"/>
      <c r="E51" s="161" t="s">
        <v>273</v>
      </c>
      <c r="F51" s="336">
        <v>-86952</v>
      </c>
      <c r="G51" s="88"/>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row>
    <row r="52" spans="2:52" ht="34.5" customHeight="1">
      <c r="B52" s="4"/>
      <c r="C52" s="4"/>
      <c r="D52" s="90"/>
      <c r="E52" s="161" t="s">
        <v>300</v>
      </c>
      <c r="F52" s="247">
        <f>SUM(F48:F51)</f>
        <v>-683739</v>
      </c>
      <c r="G52" s="88"/>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c r="AY52" s="4"/>
      <c r="AZ52" s="4"/>
    </row>
    <row r="53" spans="2:52" ht="34.5" customHeight="1">
      <c r="B53" s="4"/>
      <c r="C53" s="4"/>
      <c r="D53" s="90"/>
      <c r="E53" s="161" t="s">
        <v>516</v>
      </c>
      <c r="F53" s="247">
        <f>('Balanço Patrimonial'!O82-'Balanço Patrimonial'!O42)*-1</f>
        <v>-679970</v>
      </c>
      <c r="G53" s="88"/>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c r="AY53" s="4"/>
      <c r="AZ53" s="4"/>
    </row>
    <row r="54" spans="2:52" ht="34.5" customHeight="1" thickBot="1">
      <c r="B54" s="4"/>
      <c r="C54" s="4"/>
      <c r="D54" s="90"/>
      <c r="E54" s="251" t="s">
        <v>323</v>
      </c>
      <c r="F54" s="254">
        <f>F53-F52</f>
        <v>3769</v>
      </c>
      <c r="G54" s="88"/>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c r="AY54" s="4"/>
      <c r="AZ54" s="4"/>
    </row>
    <row r="55" spans="2:52" ht="15">
      <c r="B55" s="4"/>
      <c r="C55" s="4"/>
      <c r="D55" s="4"/>
      <c r="E55" s="178"/>
      <c r="F55" s="178"/>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c r="AY55" s="4"/>
      <c r="AZ55" s="4"/>
    </row>
    <row r="56" spans="2:52" ht="15">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c r="AY56" s="4"/>
      <c r="AZ56" s="4"/>
    </row>
    <row r="57" spans="2:52" ht="15">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c r="AY57" s="4"/>
      <c r="AZ57" s="4"/>
    </row>
    <row r="58" spans="2:52" ht="15">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c r="AY58" s="4"/>
      <c r="AZ58" s="4"/>
    </row>
    <row r="59" spans="2:52" ht="15">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c r="AY59" s="4"/>
      <c r="AZ59" s="4"/>
    </row>
    <row r="60" spans="2:52" ht="15">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c r="AY60" s="4"/>
      <c r="AZ60" s="4"/>
    </row>
    <row r="61" spans="2:52" ht="15">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c r="AY61" s="4"/>
      <c r="AZ61" s="4"/>
    </row>
    <row r="62" spans="2:52" ht="15">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c r="AY62" s="4"/>
      <c r="AZ62" s="4"/>
    </row>
    <row r="63" spans="2:52" ht="15">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row>
    <row r="64" spans="2:52" ht="15">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c r="AY64" s="4"/>
      <c r="AZ64" s="4"/>
    </row>
    <row r="65" spans="2:52" ht="15">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c r="AY65" s="4"/>
      <c r="AZ65" s="4"/>
    </row>
    <row r="66" spans="2:52" ht="15">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c r="AY66" s="4"/>
      <c r="AZ66" s="4"/>
    </row>
    <row r="67" spans="2:52" ht="15">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row>
    <row r="68" spans="2:52" ht="15">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c r="AY68" s="4"/>
      <c r="AZ68" s="4"/>
    </row>
    <row r="69" spans="2:52" ht="15">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row>
    <row r="70" spans="2:52" ht="15">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c r="AY70" s="4"/>
      <c r="AZ70" s="4"/>
    </row>
    <row r="71" spans="2:52" ht="15">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c r="AY71" s="4"/>
      <c r="AZ71" s="4"/>
    </row>
    <row r="72" spans="2:52" ht="15">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c r="AY72" s="4"/>
      <c r="AZ72" s="4"/>
    </row>
    <row r="73" spans="2:52" ht="15">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c r="AY73" s="4"/>
      <c r="AZ73" s="4"/>
    </row>
    <row r="74" spans="2:52" ht="15">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c r="AY74" s="4"/>
      <c r="AZ74" s="4"/>
    </row>
    <row r="75" spans="2:52" ht="15">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row>
    <row r="76" spans="2:52" ht="15">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c r="AZ76" s="4"/>
    </row>
    <row r="77" spans="2:52" ht="15">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c r="AY77" s="4"/>
      <c r="AZ77" s="4"/>
    </row>
    <row r="78" spans="2:52" ht="15">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c r="AZ78" s="4"/>
    </row>
    <row r="79" spans="2:52" ht="15">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c r="AZ79" s="4"/>
    </row>
    <row r="80" spans="2:52" ht="15">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c r="AZ80" s="4"/>
    </row>
    <row r="81" spans="2:52" ht="15">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c r="AZ81" s="4"/>
    </row>
    <row r="82" spans="2:52" ht="15">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row>
    <row r="83" spans="2:52" ht="15">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row>
    <row r="84" spans="2:52" ht="15">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row>
    <row r="85" spans="2:52" ht="15">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row>
    <row r="86" spans="2:52" ht="15">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row>
    <row r="87" spans="2:52" ht="15">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row>
    <row r="88" spans="2:52" ht="15">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row>
    <row r="89" spans="2:52" ht="15">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row>
    <row r="90" spans="2:52" ht="15">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row>
    <row r="91" spans="2:52" ht="15">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row>
    <row r="92" spans="2:52" ht="15">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row>
    <row r="93" spans="2:52" ht="15">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row>
    <row r="94" spans="2:52" ht="15">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row>
    <row r="95" spans="2:52" ht="15">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row>
    <row r="96" spans="2:52" ht="15">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row>
    <row r="97" spans="1:52" ht="15">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row>
    <row r="98" spans="1:52" ht="15">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row>
    <row r="99" spans="1:52" ht="15">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row>
    <row r="100" spans="1:52" ht="15">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row>
    <row r="101" spans="1:52" ht="15">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row>
    <row r="102" spans="1:52" ht="15">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row>
    <row r="103" spans="1:52" ht="15" hidden="1">
      <c r="A103" s="5"/>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row>
    <row r="104" spans="1:52" ht="15" hidden="1">
      <c r="A104" s="5"/>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row>
    <row r="105" spans="1:52" ht="15" hidden="1">
      <c r="A105" s="5"/>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row>
    <row r="106" spans="1:52" ht="15" hidden="1">
      <c r="A106" s="5"/>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row>
    <row r="107" spans="1:52" ht="15" hidden="1">
      <c r="A107" s="5"/>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row>
    <row r="108" spans="1:52" ht="15" hidden="1">
      <c r="A108" s="5"/>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row>
    <row r="109" spans="1:52" ht="15" hidden="1">
      <c r="A109" s="5"/>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row>
    <row r="110" spans="1:52" ht="15" hidden="1">
      <c r="A110" s="5"/>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row>
    <row r="111" spans="1:52" ht="15" hidden="1">
      <c r="A111" s="5"/>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row>
    <row r="112" spans="1:52" ht="15" hidden="1">
      <c r="A112" s="5"/>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row>
    <row r="113" spans="1:52" ht="15" hidden="1">
      <c r="A113" s="5"/>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row>
    <row r="114" spans="1:52" ht="15" hidden="1">
      <c r="A114" s="5"/>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row>
    <row r="115" spans="1:52" ht="15" hidden="1">
      <c r="A115" s="5"/>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c r="AY115" s="4"/>
      <c r="AZ115" s="4"/>
    </row>
    <row r="116" spans="1:52" ht="15" hidden="1">
      <c r="A116" s="5"/>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c r="AY116" s="4"/>
      <c r="AZ116" s="4"/>
    </row>
    <row r="117" spans="1:52" ht="15" hidden="1">
      <c r="A117" s="5"/>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c r="AY117" s="4"/>
      <c r="AZ117" s="4"/>
    </row>
    <row r="118" spans="1:52" ht="15" hidden="1">
      <c r="A118" s="5"/>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row>
    <row r="119" spans="1:52" ht="15" hidden="1">
      <c r="A119" s="5"/>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row>
    <row r="120" spans="1:52" ht="15" hidden="1">
      <c r="A120" s="5"/>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row>
    <row r="121" spans="1:52" ht="15" hidden="1">
      <c r="A121" s="5"/>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row>
    <row r="122" spans="1:52" ht="15" hidden="1">
      <c r="A122" s="5"/>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row>
    <row r="123" spans="1:52" ht="15" hidden="1">
      <c r="A123" s="5"/>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row>
    <row r="124" spans="1:52" ht="15" hidden="1">
      <c r="A124" s="5"/>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row>
    <row r="125" spans="1:52" ht="15" hidden="1">
      <c r="A125" s="5"/>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row>
    <row r="126" spans="1:52" ht="15" hidden="1">
      <c r="A126" s="5"/>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row>
    <row r="127" spans="1:52" ht="15" hidden="1">
      <c r="A127" s="5"/>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row>
    <row r="128" spans="1:52" ht="15" hidden="1">
      <c r="A128" s="5"/>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row>
    <row r="129" spans="1:52" ht="15" hidden="1">
      <c r="A129" s="5"/>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row>
    <row r="130" spans="1:52" ht="15" hidden="1">
      <c r="A130" s="5"/>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row>
    <row r="131" spans="1:52" ht="15" hidden="1">
      <c r="A131" s="5"/>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row>
    <row r="132" spans="1:52" ht="15" hidden="1">
      <c r="A132" s="5"/>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row>
    <row r="133" spans="1:52" ht="15" hidden="1">
      <c r="A133" s="5"/>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row>
    <row r="134" spans="1:52" ht="15" hidden="1">
      <c r="A134" s="5"/>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row>
    <row r="135" spans="1:52" ht="15" hidden="1">
      <c r="A135" s="5"/>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row>
    <row r="136" spans="1:52" ht="15" hidden="1">
      <c r="A136" s="5"/>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row>
    <row r="137" spans="1:52" ht="15" hidden="1">
      <c r="A137" s="5"/>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row>
    <row r="138" spans="1:52" ht="15" hidden="1">
      <c r="A138" s="5"/>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row>
    <row r="139" spans="1:52" ht="15" hidden="1">
      <c r="A139" s="5"/>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row>
    <row r="140" spans="1:52" ht="15" hidden="1">
      <c r="A140" s="5"/>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row>
    <row r="141" spans="1:52" ht="15" hidden="1">
      <c r="A141" s="5"/>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row>
    <row r="142" spans="1:52" ht="15" hidden="1">
      <c r="A142" s="5"/>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row>
    <row r="143" spans="1:52" ht="15" hidden="1">
      <c r="A143" s="5"/>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row>
    <row r="144" spans="1:52" ht="15" hidden="1">
      <c r="A144" s="5"/>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row>
    <row r="145" spans="1:52" ht="15" hidden="1">
      <c r="A145" s="5"/>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row>
    <row r="146" spans="1:52" ht="15" hidden="1" customHeight="1">
      <c r="A146" s="5"/>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row>
    <row r="147" spans="1:52" ht="15" hidden="1" customHeight="1">
      <c r="A147" s="5"/>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row>
    <row r="148" spans="1:52" ht="15" hidden="1" customHeight="1">
      <c r="A148" s="5"/>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row>
    <row r="149" spans="1:52" ht="15" hidden="1" customHeight="1">
      <c r="A149" s="5"/>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row>
    <row r="150" spans="1:52" ht="15" hidden="1" customHeight="1">
      <c r="A150" s="5"/>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row>
    <row r="151" spans="1:52" ht="15" hidden="1" customHeight="1">
      <c r="A151" s="5"/>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row>
    <row r="152" spans="1:52" ht="15" hidden="1" customHeight="1">
      <c r="A152" s="5"/>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row>
    <row r="153" spans="1:52" ht="15" hidden="1" customHeight="1">
      <c r="A153" s="5"/>
      <c r="E153" s="4"/>
      <c r="F153" s="4"/>
      <c r="G153" s="4"/>
      <c r="H153" s="4"/>
      <c r="I153" s="4"/>
      <c r="J153" s="4"/>
      <c r="K153" s="4"/>
      <c r="L153" s="4"/>
      <c r="M153" s="4"/>
      <c r="N153" s="4"/>
      <c r="O153" s="4"/>
      <c r="P153" s="4"/>
      <c r="Q153" s="4"/>
      <c r="R153" s="4"/>
    </row>
    <row r="154" spans="1:52" ht="0" hidden="1" customHeight="1">
      <c r="A154" s="5"/>
      <c r="G154" s="4"/>
      <c r="H154" s="4"/>
      <c r="I154" s="4"/>
      <c r="J154" s="4"/>
      <c r="K154" s="4"/>
      <c r="L154" s="4"/>
    </row>
    <row r="155" spans="1:52" ht="0" hidden="1" customHeight="1">
      <c r="A155" s="5"/>
      <c r="H155" s="4"/>
      <c r="I155" s="4"/>
      <c r="J155" s="4"/>
      <c r="K155" s="4"/>
    </row>
  </sheetData>
  <mergeCells count="3">
    <mergeCell ref="I19:R19"/>
    <mergeCell ref="G9:G17"/>
    <mergeCell ref="H3:K5"/>
  </mergeCells>
  <conditionalFormatting sqref="F18 F20:F21">
    <cfRule type="cellIs" dxfId="175" priority="8" operator="lessThan">
      <formula>0</formula>
    </cfRule>
    <cfRule type="cellIs" dxfId="174" priority="9" operator="greaterThan">
      <formula>0</formula>
    </cfRule>
  </conditionalFormatting>
  <conditionalFormatting sqref="I9:R17">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ellIs" dxfId="173" priority="7" operator="equal">
      <formula>0</formula>
    </cfRule>
  </conditionalFormatting>
  <hyperlinks>
    <hyperlink ref="A11" location="'DRE + DCF'!A1" display="DRE + DCF" xr:uid="{9BE924B9-012A-43BF-9456-7334C3D7FF58}"/>
    <hyperlink ref="A9" location="WACC!A1" display="WACC" xr:uid="{8C9B0C2A-BB72-4A9C-86B2-E5BB618DA594}"/>
    <hyperlink ref="A13" location="'Balanço Patrimonial'!A1" display="Balanço Patrimonial" xr:uid="{6AE1563C-F6EB-4322-883D-DAAFC9CB30B9}"/>
    <hyperlink ref="A12" location="'DRE - Contas Abertas'!A1" display="DRE - Contas Abertas" xr:uid="{757E3AC2-BB18-43A9-B8D1-E6F9B86D2DC0}"/>
    <hyperlink ref="A14" location="'Painel de Índices'!A1" display="Projeções - Receita" xr:uid="{00B0D2C7-9F17-4C73-9411-2608B29AFED0}"/>
    <hyperlink ref="A16" location="'Projeções - CG + Capex'!A1" display="Projeções - CG + Capex" xr:uid="{1443EF69-CEDD-425F-8E4E-EB6EB3EED96D}"/>
    <hyperlink ref="A17" location="'Projeções 2023'!A1" display="Projeções 2022" xr:uid="{50ADC267-CC84-4EAB-8465-BEDD0A96C6AF}"/>
    <hyperlink ref="A18" location="Processos!A1" display="Processos" xr:uid="{546958E0-2DCF-48E8-A6B7-6BCF907D4293}"/>
    <hyperlink ref="A15" location="'Projeções - Receita e EBIT'!A1" display="Projeções - Receita" xr:uid="{93D6B055-CB55-40A1-96A5-72C601C7DD78}"/>
    <hyperlink ref="A10" location="'DRE Consolidado'!A1" display="DRE Consolidado" xr:uid="{DFBCD6E7-E766-43DF-86D2-F8BD84105FAE}"/>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521F8-35B5-4E1D-9EB4-AA8C421D77D6}">
  <sheetPr codeName="Sheet2"/>
  <dimension ref="A1:BW151"/>
  <sheetViews>
    <sheetView showGridLines="0" zoomScale="80" zoomScaleNormal="80" zoomScaleSheetLayoutView="40" workbookViewId="0">
      <selection activeCell="K25" sqref="K25"/>
    </sheetView>
  </sheetViews>
  <sheetFormatPr defaultColWidth="0" defaultRowHeight="0" customHeight="1" zeroHeight="1"/>
  <cols>
    <col min="1" max="1" width="39.140625" style="3" customWidth="1"/>
    <col min="2" max="4" width="9.140625" style="5" customWidth="1"/>
    <col min="5" max="5" width="66" style="5" bestFit="1" customWidth="1"/>
    <col min="6" max="11" width="12.7109375" style="5" customWidth="1"/>
    <col min="12" max="12" width="13.85546875" style="5" bestFit="1" customWidth="1"/>
    <col min="13" max="16" width="12" style="5" bestFit="1" customWidth="1"/>
    <col min="17" max="17" width="10.85546875" style="5" customWidth="1"/>
    <col min="18" max="18" width="9.140625" style="5" customWidth="1"/>
    <col min="19" max="19" width="12.28515625" style="5" bestFit="1" customWidth="1"/>
    <col min="20" max="50" width="9.140625" style="5" customWidth="1"/>
    <col min="51" max="52" width="9.140625" style="5" hidden="1" customWidth="1"/>
    <col min="53" max="60" width="0" style="5" hidden="1" customWidth="1"/>
    <col min="61" max="64" width="9.140625" style="5" hidden="1" customWidth="1"/>
    <col min="65" max="65" width="0" style="5" hidden="1" customWidth="1"/>
    <col min="66" max="70" width="9.140625" style="5" hidden="1" customWidth="1"/>
    <col min="71" max="71" width="0" style="5" hidden="1" customWidth="1"/>
    <col min="72" max="75" width="9.140625" style="5" hidden="1" customWidth="1"/>
    <col min="76" max="16384" width="0" style="5" hidden="1"/>
  </cols>
  <sheetData>
    <row r="1" spans="1:50" ht="15">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row>
    <row r="2" spans="1:50" ht="15" customHeight="1">
      <c r="B2" s="4"/>
      <c r="C2" s="4"/>
      <c r="D2" s="4"/>
      <c r="E2" s="6"/>
      <c r="F2" s="6"/>
      <c r="G2" s="6"/>
      <c r="H2" s="65"/>
      <c r="I2" s="65"/>
      <c r="J2" s="65"/>
      <c r="K2" s="65"/>
      <c r="L2" s="65"/>
      <c r="M2" s="65"/>
      <c r="N2" s="65"/>
      <c r="O2" s="6"/>
      <c r="P2" s="6"/>
      <c r="Q2" s="6"/>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row>
    <row r="3" spans="1:50" ht="15" customHeight="1">
      <c r="B3" s="4"/>
      <c r="C3" s="4"/>
      <c r="D3" s="4"/>
      <c r="E3" s="6"/>
      <c r="F3" s="343" t="str">
        <f>Dashboard!$H$3</f>
        <v>SIMPAR (SIMH3)</v>
      </c>
      <c r="G3" s="343"/>
      <c r="H3" s="343"/>
      <c r="I3" s="343"/>
      <c r="J3" s="343"/>
      <c r="K3" s="343"/>
      <c r="L3" s="343"/>
      <c r="M3" s="343"/>
      <c r="N3" s="65"/>
      <c r="O3" s="6"/>
      <c r="P3" s="6"/>
      <c r="Q3" s="6"/>
      <c r="R3" s="4"/>
      <c r="S3" s="4"/>
      <c r="T3" s="4"/>
      <c r="U3" s="4"/>
      <c r="V3" s="4"/>
      <c r="W3" s="4"/>
      <c r="X3" s="4"/>
      <c r="Y3" s="4"/>
      <c r="Z3" s="4"/>
      <c r="AA3" s="4"/>
      <c r="AB3" s="4"/>
      <c r="AC3" s="4"/>
      <c r="AD3" s="4"/>
      <c r="AE3" s="4"/>
      <c r="AF3" s="4"/>
      <c r="AG3" s="4"/>
      <c r="AH3" s="4"/>
      <c r="AI3" s="4"/>
      <c r="AJ3" s="4"/>
      <c r="AK3" s="4"/>
      <c r="AL3" s="4"/>
      <c r="AM3" s="4"/>
      <c r="AN3" s="4"/>
      <c r="AO3" s="4"/>
      <c r="AP3" s="4"/>
      <c r="AQ3" s="4"/>
      <c r="AR3" s="4"/>
      <c r="AS3" s="4"/>
      <c r="AT3" s="4"/>
      <c r="AU3" s="4"/>
      <c r="AV3" s="4"/>
      <c r="AW3" s="4"/>
      <c r="AX3" s="4"/>
    </row>
    <row r="4" spans="1:50" ht="15" customHeight="1">
      <c r="B4" s="4"/>
      <c r="C4" s="4"/>
      <c r="D4" s="4"/>
      <c r="E4" s="6"/>
      <c r="F4" s="343"/>
      <c r="G4" s="343"/>
      <c r="H4" s="343"/>
      <c r="I4" s="343"/>
      <c r="J4" s="343"/>
      <c r="K4" s="343"/>
      <c r="L4" s="343"/>
      <c r="M4" s="343"/>
      <c r="N4" s="65"/>
      <c r="O4" s="6"/>
      <c r="P4" s="6"/>
      <c r="Q4" s="6"/>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row>
    <row r="5" spans="1:50" ht="15" customHeight="1">
      <c r="B5" s="4"/>
      <c r="C5" s="4"/>
      <c r="D5" s="4"/>
      <c r="E5" s="6"/>
      <c r="F5" s="343"/>
      <c r="G5" s="343"/>
      <c r="H5" s="343"/>
      <c r="I5" s="343"/>
      <c r="J5" s="343"/>
      <c r="K5" s="343"/>
      <c r="L5" s="343"/>
      <c r="M5" s="343"/>
      <c r="N5" s="65"/>
      <c r="O5" s="6"/>
      <c r="P5" s="8"/>
      <c r="Q5" s="6"/>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row>
    <row r="6" spans="1:50" ht="15" customHeight="1">
      <c r="B6" s="4"/>
      <c r="C6" s="4"/>
      <c r="D6" s="4"/>
      <c r="E6" s="4"/>
      <c r="F6" s="34"/>
      <c r="G6" s="34"/>
      <c r="H6" s="34"/>
      <c r="I6" s="34"/>
      <c r="J6" s="34"/>
      <c r="K6" s="34"/>
      <c r="L6" s="34"/>
      <c r="M6" s="34"/>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c r="AS6" s="4"/>
      <c r="AT6" s="4"/>
      <c r="AU6" s="4"/>
      <c r="AV6" s="4"/>
      <c r="AW6" s="4"/>
      <c r="AX6" s="4"/>
    </row>
    <row r="7" spans="1:50" s="11" customFormat="1" ht="24.75" customHeight="1">
      <c r="A7" s="9" t="s">
        <v>33</v>
      </c>
      <c r="B7" s="10"/>
      <c r="C7" s="10"/>
      <c r="D7" s="10"/>
      <c r="E7" s="10"/>
      <c r="F7" s="10"/>
      <c r="G7" s="10"/>
      <c r="H7" s="10"/>
      <c r="I7" s="10"/>
      <c r="J7" s="10"/>
      <c r="K7" s="10"/>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row>
    <row r="8" spans="1:50" ht="30" customHeight="1">
      <c r="A8" s="12" t="s">
        <v>34</v>
      </c>
      <c r="B8" s="4"/>
      <c r="C8" s="4"/>
      <c r="D8" s="10"/>
      <c r="E8" s="10"/>
      <c r="F8" s="30"/>
      <c r="G8" s="30"/>
      <c r="H8" s="30"/>
      <c r="I8" s="30"/>
      <c r="J8" s="30"/>
      <c r="K8" s="30"/>
      <c r="L8" s="10"/>
      <c r="M8" s="10"/>
      <c r="N8" s="10"/>
      <c r="O8" s="10"/>
      <c r="P8" s="10"/>
      <c r="Q8" s="10"/>
      <c r="R8" s="10"/>
      <c r="S8" s="10"/>
      <c r="T8" s="4"/>
      <c r="U8" s="4"/>
      <c r="V8" s="4"/>
      <c r="W8" s="4"/>
      <c r="X8" s="4"/>
      <c r="Y8" s="4"/>
      <c r="Z8" s="4"/>
      <c r="AA8" s="4"/>
      <c r="AB8" s="4"/>
      <c r="AC8" s="4"/>
      <c r="AD8" s="4"/>
      <c r="AE8" s="4"/>
      <c r="AF8" s="4"/>
      <c r="AG8" s="4"/>
      <c r="AH8" s="4"/>
      <c r="AI8" s="4"/>
      <c r="AJ8" s="4"/>
      <c r="AK8" s="4"/>
      <c r="AL8" s="4"/>
      <c r="AM8" s="4"/>
      <c r="AN8" s="4"/>
      <c r="AO8" s="4"/>
      <c r="AP8" s="4"/>
      <c r="AQ8" s="4"/>
      <c r="AR8" s="4"/>
      <c r="AS8" s="4"/>
      <c r="AT8" s="4"/>
      <c r="AU8" s="4"/>
      <c r="AV8" s="4"/>
      <c r="AW8" s="4"/>
      <c r="AX8" s="4"/>
    </row>
    <row r="9" spans="1:50" ht="30" customHeight="1">
      <c r="A9" s="33" t="s">
        <v>23</v>
      </c>
      <c r="B9" s="4"/>
      <c r="C9" s="4"/>
      <c r="D9" s="4"/>
      <c r="E9" s="151" t="s">
        <v>517</v>
      </c>
      <c r="F9" s="152">
        <v>2023</v>
      </c>
      <c r="G9" s="152">
        <f>F9+1</f>
        <v>2024</v>
      </c>
      <c r="H9" s="152">
        <f t="shared" ref="H9:P9" si="0">G9+1</f>
        <v>2025</v>
      </c>
      <c r="I9" s="152">
        <f t="shared" si="0"/>
        <v>2026</v>
      </c>
      <c r="J9" s="152">
        <f t="shared" si="0"/>
        <v>2027</v>
      </c>
      <c r="K9" s="152">
        <f t="shared" si="0"/>
        <v>2028</v>
      </c>
      <c r="L9" s="152">
        <f t="shared" si="0"/>
        <v>2029</v>
      </c>
      <c r="M9" s="152">
        <f t="shared" si="0"/>
        <v>2030</v>
      </c>
      <c r="N9" s="152">
        <f t="shared" si="0"/>
        <v>2031</v>
      </c>
      <c r="O9" s="152">
        <f t="shared" si="0"/>
        <v>2032</v>
      </c>
      <c r="P9" s="162">
        <f t="shared" si="0"/>
        <v>2033</v>
      </c>
      <c r="Q9" s="163"/>
      <c r="R9" s="10"/>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row>
    <row r="10" spans="1:50" ht="30" customHeight="1">
      <c r="A10" s="12" t="s">
        <v>330</v>
      </c>
      <c r="B10" s="4"/>
      <c r="C10" s="4"/>
      <c r="D10" s="4"/>
      <c r="E10" s="153" t="s">
        <v>133</v>
      </c>
      <c r="F10" s="154">
        <v>0.12007999999999999</v>
      </c>
      <c r="G10" s="154">
        <v>0.1082</v>
      </c>
      <c r="H10" s="154">
        <v>0.10619999999999999</v>
      </c>
      <c r="I10" s="154">
        <v>0.10765000000000001</v>
      </c>
      <c r="J10" s="154">
        <v>0.10958999999999999</v>
      </c>
      <c r="K10" s="154">
        <v>0.11130000000000001</v>
      </c>
      <c r="L10" s="154">
        <v>0.11248</v>
      </c>
      <c r="M10" s="154">
        <v>0.11320000000000001</v>
      </c>
      <c r="N10" s="154">
        <v>0.11362</v>
      </c>
      <c r="O10" s="154">
        <v>0.1139</v>
      </c>
      <c r="P10" s="154">
        <v>0.1139</v>
      </c>
      <c r="Q10" s="88"/>
      <c r="R10" s="4"/>
      <c r="S10" s="4"/>
      <c r="T10" s="4"/>
      <c r="U10" s="4"/>
      <c r="V10" s="4"/>
      <c r="W10" s="4"/>
      <c r="X10" s="4"/>
      <c r="Y10" s="4"/>
      <c r="Z10" s="4"/>
      <c r="AA10" s="4"/>
      <c r="AB10" s="4"/>
      <c r="AC10" s="4"/>
      <c r="AD10" s="4"/>
      <c r="AE10" s="4"/>
      <c r="AF10" s="4"/>
      <c r="AG10" s="4"/>
      <c r="AH10" s="4"/>
      <c r="AI10" s="4"/>
      <c r="AJ10" s="4"/>
      <c r="AK10" s="4"/>
      <c r="AL10" s="4"/>
      <c r="AM10" s="4"/>
      <c r="AN10" s="4"/>
      <c r="AO10" s="4"/>
      <c r="AP10" s="4"/>
      <c r="AQ10" s="4"/>
      <c r="AR10" s="4"/>
      <c r="AS10" s="4"/>
      <c r="AT10" s="4"/>
      <c r="AU10" s="4"/>
      <c r="AV10" s="4"/>
      <c r="AW10" s="4"/>
      <c r="AX10" s="4"/>
    </row>
    <row r="11" spans="1:50" ht="30" customHeight="1">
      <c r="A11" s="12" t="s">
        <v>36</v>
      </c>
      <c r="B11" s="4"/>
      <c r="C11" s="4"/>
      <c r="D11" s="4"/>
      <c r="E11" s="153" t="s">
        <v>134</v>
      </c>
      <c r="F11" s="154">
        <v>3.8999999999999998E-3</v>
      </c>
      <c r="G11" s="154">
        <v>3.8341740000000001E-3</v>
      </c>
      <c r="H11" s="154">
        <v>6.6381060000000004E-3</v>
      </c>
      <c r="I11" s="154">
        <v>9.8069179999999995E-3</v>
      </c>
      <c r="J11" s="154">
        <v>1.3433967999999999E-2</v>
      </c>
      <c r="K11" s="154">
        <v>1.7234111999999999E-2</v>
      </c>
      <c r="L11" s="154">
        <v>2.0689099999999998E-2</v>
      </c>
      <c r="M11" s="154">
        <v>2.3531264E-2</v>
      </c>
      <c r="N11" s="154">
        <v>2.5541019000000002E-2</v>
      </c>
      <c r="O11" s="154">
        <v>2.649878E-2</v>
      </c>
      <c r="P11" s="154">
        <v>2.6184965000000001E-2</v>
      </c>
      <c r="Q11" s="88"/>
      <c r="R11" s="4"/>
      <c r="S11" s="4"/>
      <c r="T11" s="4"/>
      <c r="U11" s="4"/>
      <c r="V11" s="4"/>
      <c r="W11" s="4"/>
      <c r="X11" s="4"/>
      <c r="Y11" s="4"/>
      <c r="Z11" s="4"/>
      <c r="AA11" s="4"/>
      <c r="AB11" s="4"/>
      <c r="AC11" s="4"/>
      <c r="AD11" s="4"/>
      <c r="AE11" s="4"/>
      <c r="AF11" s="4"/>
      <c r="AG11" s="4"/>
      <c r="AH11" s="4"/>
      <c r="AI11" s="4"/>
      <c r="AJ11" s="4"/>
      <c r="AK11" s="4"/>
      <c r="AL11" s="4"/>
      <c r="AM11" s="4"/>
      <c r="AN11" s="4"/>
      <c r="AO11" s="4"/>
      <c r="AP11" s="4"/>
      <c r="AQ11" s="4"/>
      <c r="AR11" s="4"/>
      <c r="AS11" s="4"/>
      <c r="AT11" s="4"/>
      <c r="AU11" s="4"/>
      <c r="AV11" s="4"/>
      <c r="AW11" s="4"/>
      <c r="AX11" s="4"/>
    </row>
    <row r="12" spans="1:50" ht="30" customHeight="1">
      <c r="A12" s="167" t="s">
        <v>127</v>
      </c>
      <c r="B12" s="4"/>
      <c r="C12" s="4"/>
      <c r="D12" s="4"/>
      <c r="E12" s="153" t="s">
        <v>495</v>
      </c>
      <c r="F12" s="154">
        <v>4.1799999999999997E-2</v>
      </c>
      <c r="G12" s="154">
        <v>4.2169999999999999E-2</v>
      </c>
      <c r="H12" s="154">
        <v>4.3339999999999997E-2</v>
      </c>
      <c r="I12" s="154">
        <v>4.5519999999999998E-2</v>
      </c>
      <c r="J12" s="154">
        <v>4.854E-2</v>
      </c>
      <c r="K12" s="154">
        <v>5.0869999999999999E-2</v>
      </c>
      <c r="L12" s="154">
        <v>5.2380000000000003E-2</v>
      </c>
      <c r="M12" s="154">
        <v>5.4300000000000001E-2</v>
      </c>
      <c r="N12" s="154">
        <v>5.5210000000000002E-2</v>
      </c>
      <c r="O12" s="154">
        <v>5.5620000000000003E-2</v>
      </c>
      <c r="P12" s="154">
        <v>5.5840000000000001E-2</v>
      </c>
      <c r="Q12" s="88"/>
      <c r="R12" s="4"/>
      <c r="S12" s="4"/>
      <c r="T12" s="4"/>
      <c r="U12" s="4"/>
      <c r="V12" s="4"/>
      <c r="W12" s="4"/>
      <c r="X12" s="4"/>
      <c r="Y12" s="4"/>
      <c r="Z12" s="4"/>
      <c r="AA12" s="4"/>
      <c r="AB12" s="4"/>
      <c r="AC12" s="4"/>
      <c r="AD12" s="4"/>
      <c r="AE12" s="4"/>
      <c r="AF12" s="4"/>
      <c r="AG12" s="4"/>
      <c r="AH12" s="4"/>
      <c r="AI12" s="4"/>
      <c r="AJ12" s="4"/>
      <c r="AK12" s="4"/>
      <c r="AL12" s="4"/>
      <c r="AM12" s="4"/>
      <c r="AN12" s="4"/>
      <c r="AO12" s="4"/>
      <c r="AP12" s="4"/>
      <c r="AQ12" s="4"/>
      <c r="AR12" s="4"/>
      <c r="AS12" s="4"/>
      <c r="AT12" s="4"/>
      <c r="AU12" s="4"/>
      <c r="AV12" s="4"/>
      <c r="AW12" s="4"/>
      <c r="AX12" s="4"/>
    </row>
    <row r="13" spans="1:50" ht="30" customHeight="1">
      <c r="A13" s="12" t="s">
        <v>37</v>
      </c>
      <c r="B13" s="4"/>
      <c r="C13" s="4"/>
      <c r="D13" s="4"/>
      <c r="E13" s="155" t="s">
        <v>135</v>
      </c>
      <c r="F13" s="156">
        <f t="shared" ref="F13:P13" si="1">F10-F11</f>
        <v>0.11617999999999999</v>
      </c>
      <c r="G13" s="156">
        <f t="shared" si="1"/>
        <v>0.10436582600000001</v>
      </c>
      <c r="H13" s="156">
        <f t="shared" si="1"/>
        <v>9.9561893999999984E-2</v>
      </c>
      <c r="I13" s="156">
        <f t="shared" si="1"/>
        <v>9.7843082000000012E-2</v>
      </c>
      <c r="J13" s="156">
        <f t="shared" si="1"/>
        <v>9.6156031999999989E-2</v>
      </c>
      <c r="K13" s="156">
        <f t="shared" si="1"/>
        <v>9.4065888000000014E-2</v>
      </c>
      <c r="L13" s="156">
        <f t="shared" si="1"/>
        <v>9.1790899999999995E-2</v>
      </c>
      <c r="M13" s="156">
        <f t="shared" si="1"/>
        <v>8.9668736000000013E-2</v>
      </c>
      <c r="N13" s="156">
        <f t="shared" si="1"/>
        <v>8.8078981000000001E-2</v>
      </c>
      <c r="O13" s="156">
        <f t="shared" si="1"/>
        <v>8.7401220000000002E-2</v>
      </c>
      <c r="P13" s="164">
        <f t="shared" si="1"/>
        <v>8.7715034999999997E-2</v>
      </c>
      <c r="Q13" s="88"/>
      <c r="R13" s="4"/>
      <c r="S13" s="4"/>
      <c r="T13" s="4"/>
      <c r="U13" s="4"/>
      <c r="V13" s="4"/>
      <c r="W13" s="4"/>
      <c r="X13" s="4"/>
      <c r="Y13" s="4"/>
      <c r="Z13" s="4"/>
      <c r="AA13" s="4"/>
      <c r="AB13" s="4"/>
      <c r="AC13" s="4"/>
      <c r="AD13" s="4"/>
      <c r="AE13" s="4"/>
      <c r="AF13" s="4"/>
      <c r="AG13" s="4"/>
      <c r="AH13" s="4"/>
      <c r="AI13" s="4"/>
      <c r="AJ13" s="4"/>
      <c r="AK13" s="4"/>
      <c r="AL13" s="4"/>
      <c r="AM13" s="4"/>
      <c r="AN13" s="4"/>
      <c r="AO13" s="4"/>
      <c r="AP13" s="4"/>
      <c r="AQ13" s="4"/>
      <c r="AR13" s="4"/>
      <c r="AS13" s="4"/>
      <c r="AT13" s="4"/>
      <c r="AU13" s="4"/>
      <c r="AV13" s="4"/>
      <c r="AW13" s="4"/>
      <c r="AX13" s="4"/>
    </row>
    <row r="14" spans="1:50" ht="30" customHeight="1">
      <c r="A14" s="167" t="s">
        <v>100</v>
      </c>
      <c r="B14" s="4"/>
      <c r="C14" s="4"/>
      <c r="D14" s="4"/>
      <c r="E14" s="153" t="s">
        <v>35</v>
      </c>
      <c r="F14" s="157">
        <v>2</v>
      </c>
      <c r="G14" s="157">
        <f>F14</f>
        <v>2</v>
      </c>
      <c r="H14" s="157">
        <f t="shared" ref="H14:P14" si="2">G14</f>
        <v>2</v>
      </c>
      <c r="I14" s="157">
        <f t="shared" si="2"/>
        <v>2</v>
      </c>
      <c r="J14" s="157">
        <f t="shared" si="2"/>
        <v>2</v>
      </c>
      <c r="K14" s="157">
        <f t="shared" si="2"/>
        <v>2</v>
      </c>
      <c r="L14" s="157">
        <f t="shared" si="2"/>
        <v>2</v>
      </c>
      <c r="M14" s="157">
        <f t="shared" si="2"/>
        <v>2</v>
      </c>
      <c r="N14" s="157">
        <f t="shared" si="2"/>
        <v>2</v>
      </c>
      <c r="O14" s="157">
        <f t="shared" si="2"/>
        <v>2</v>
      </c>
      <c r="P14" s="157">
        <f t="shared" si="2"/>
        <v>2</v>
      </c>
      <c r="Q14" s="88"/>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row>
    <row r="15" spans="1:50" ht="30" customHeight="1">
      <c r="A15" s="12" t="s">
        <v>331</v>
      </c>
      <c r="B15" s="4"/>
      <c r="C15" s="4"/>
      <c r="D15" s="4"/>
      <c r="E15" s="153" t="s">
        <v>136</v>
      </c>
      <c r="F15" s="158">
        <v>6.5000000000000002E-2</v>
      </c>
      <c r="G15" s="158">
        <v>6.5000000000000002E-2</v>
      </c>
      <c r="H15" s="158">
        <v>6.5000000000000002E-2</v>
      </c>
      <c r="I15" s="158">
        <v>6.5000000000000002E-2</v>
      </c>
      <c r="J15" s="158">
        <v>6.5000000000000002E-2</v>
      </c>
      <c r="K15" s="158">
        <v>6.5000000000000002E-2</v>
      </c>
      <c r="L15" s="158">
        <v>6.5000000000000002E-2</v>
      </c>
      <c r="M15" s="158">
        <v>6.5000000000000002E-2</v>
      </c>
      <c r="N15" s="158">
        <v>6.5000000000000002E-2</v>
      </c>
      <c r="O15" s="158">
        <v>6.5000000000000002E-2</v>
      </c>
      <c r="P15" s="165">
        <v>6.5000000000000002E-2</v>
      </c>
      <c r="Q15" s="88"/>
      <c r="R15" s="4"/>
      <c r="S15" s="4"/>
      <c r="T15" s="4"/>
      <c r="U15" s="4"/>
      <c r="V15" s="169"/>
      <c r="W15" s="4"/>
      <c r="X15" s="4"/>
      <c r="Y15" s="4"/>
      <c r="Z15" s="4"/>
      <c r="AA15" s="4"/>
      <c r="AB15" s="4"/>
      <c r="AC15" s="4"/>
      <c r="AD15" s="4"/>
      <c r="AE15" s="4"/>
      <c r="AF15" s="4"/>
      <c r="AG15" s="4"/>
      <c r="AH15" s="4"/>
      <c r="AI15" s="4"/>
      <c r="AJ15" s="4"/>
      <c r="AK15" s="4"/>
      <c r="AL15" s="4"/>
      <c r="AM15" s="4"/>
      <c r="AN15" s="4"/>
      <c r="AO15" s="4"/>
      <c r="AP15" s="4"/>
      <c r="AQ15" s="4"/>
      <c r="AR15" s="4"/>
      <c r="AS15" s="4"/>
      <c r="AT15" s="4"/>
      <c r="AU15" s="4"/>
      <c r="AV15" s="4"/>
      <c r="AW15" s="4"/>
      <c r="AX15" s="4"/>
    </row>
    <row r="16" spans="1:50" ht="30" customHeight="1">
      <c r="A16" s="167" t="s">
        <v>129</v>
      </c>
      <c r="B16" s="4"/>
      <c r="C16" s="4"/>
      <c r="D16" s="4"/>
      <c r="E16" s="155" t="s">
        <v>20</v>
      </c>
      <c r="F16" s="159">
        <f>F13+(F14*F15)</f>
        <v>0.24618000000000001</v>
      </c>
      <c r="G16" s="159">
        <f t="shared" ref="G16:P16" si="3">G13+(G14*G15)</f>
        <v>0.234365826</v>
      </c>
      <c r="H16" s="159">
        <f t="shared" si="3"/>
        <v>0.22956189399999999</v>
      </c>
      <c r="I16" s="159">
        <f t="shared" si="3"/>
        <v>0.22784308200000003</v>
      </c>
      <c r="J16" s="159">
        <f t="shared" si="3"/>
        <v>0.22615603200000001</v>
      </c>
      <c r="K16" s="159">
        <f t="shared" si="3"/>
        <v>0.22406588800000002</v>
      </c>
      <c r="L16" s="159">
        <f t="shared" si="3"/>
        <v>0.22179090000000001</v>
      </c>
      <c r="M16" s="159">
        <f t="shared" si="3"/>
        <v>0.21966873600000003</v>
      </c>
      <c r="N16" s="159">
        <f t="shared" si="3"/>
        <v>0.21807898100000001</v>
      </c>
      <c r="O16" s="159">
        <f t="shared" si="3"/>
        <v>0.21740122000000001</v>
      </c>
      <c r="P16" s="166">
        <f t="shared" si="3"/>
        <v>0.217715035</v>
      </c>
      <c r="Q16" s="88"/>
      <c r="R16" s="4"/>
      <c r="S16" s="4"/>
      <c r="T16" s="4"/>
      <c r="U16" s="4"/>
      <c r="V16" s="170"/>
      <c r="W16" s="4"/>
      <c r="X16" s="4"/>
      <c r="Y16" s="4"/>
      <c r="Z16" s="4"/>
      <c r="AA16" s="4"/>
      <c r="AB16" s="4"/>
      <c r="AC16" s="4"/>
      <c r="AD16" s="4"/>
      <c r="AE16" s="4"/>
      <c r="AF16" s="4"/>
      <c r="AG16" s="4"/>
      <c r="AH16" s="4"/>
      <c r="AI16" s="4"/>
      <c r="AJ16" s="4"/>
      <c r="AK16" s="4"/>
      <c r="AL16" s="4"/>
      <c r="AM16" s="4"/>
      <c r="AN16" s="4"/>
      <c r="AO16" s="4"/>
      <c r="AP16" s="4"/>
      <c r="AQ16" s="4"/>
      <c r="AR16" s="4"/>
      <c r="AS16" s="4"/>
      <c r="AT16" s="4"/>
      <c r="AU16" s="4"/>
      <c r="AV16" s="4"/>
      <c r="AW16" s="4"/>
      <c r="AX16" s="4"/>
    </row>
    <row r="17" spans="1:50" ht="30" customHeight="1">
      <c r="A17" s="167" t="s">
        <v>493</v>
      </c>
      <c r="B17" s="4"/>
      <c r="C17" s="4"/>
      <c r="D17" s="4"/>
      <c r="E17" s="153" t="s">
        <v>498</v>
      </c>
      <c r="F17" s="160">
        <v>11192745.58515</v>
      </c>
      <c r="G17" s="160">
        <f>F17</f>
        <v>11192745.58515</v>
      </c>
      <c r="H17" s="160">
        <f t="shared" ref="H17:P17" si="4">G17</f>
        <v>11192745.58515</v>
      </c>
      <c r="I17" s="160">
        <f t="shared" si="4"/>
        <v>11192745.58515</v>
      </c>
      <c r="J17" s="160">
        <f t="shared" si="4"/>
        <v>11192745.58515</v>
      </c>
      <c r="K17" s="160">
        <f t="shared" si="4"/>
        <v>11192745.58515</v>
      </c>
      <c r="L17" s="160">
        <f t="shared" si="4"/>
        <v>11192745.58515</v>
      </c>
      <c r="M17" s="160">
        <f t="shared" si="4"/>
        <v>11192745.58515</v>
      </c>
      <c r="N17" s="160">
        <f t="shared" si="4"/>
        <v>11192745.58515</v>
      </c>
      <c r="O17" s="160">
        <f t="shared" si="4"/>
        <v>11192745.58515</v>
      </c>
      <c r="P17" s="160">
        <f t="shared" si="4"/>
        <v>11192745.58515</v>
      </c>
      <c r="Q17" s="88"/>
      <c r="R17" s="4"/>
      <c r="S17" s="4"/>
      <c r="T17" s="4"/>
      <c r="U17" s="4"/>
      <c r="V17" s="170"/>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row>
    <row r="18" spans="1:50" ht="30" customHeight="1">
      <c r="A18" s="12" t="s">
        <v>128</v>
      </c>
      <c r="B18" s="4"/>
      <c r="C18" s="4"/>
      <c r="D18" s="4"/>
      <c r="E18" s="155" t="s">
        <v>21</v>
      </c>
      <c r="F18" s="159">
        <f>F10+3.2%</f>
        <v>0.15207999999999999</v>
      </c>
      <c r="G18" s="159">
        <f t="shared" ref="G18:P18" si="5">G10+3.2%</f>
        <v>0.14019999999999999</v>
      </c>
      <c r="H18" s="159">
        <f t="shared" si="5"/>
        <v>0.13819999999999999</v>
      </c>
      <c r="I18" s="159">
        <f t="shared" si="5"/>
        <v>0.13965</v>
      </c>
      <c r="J18" s="159">
        <f t="shared" si="5"/>
        <v>0.14158999999999999</v>
      </c>
      <c r="K18" s="159">
        <f t="shared" si="5"/>
        <v>0.14330000000000001</v>
      </c>
      <c r="L18" s="159">
        <f t="shared" si="5"/>
        <v>0.14448</v>
      </c>
      <c r="M18" s="159">
        <f t="shared" si="5"/>
        <v>0.1452</v>
      </c>
      <c r="N18" s="159">
        <f t="shared" si="5"/>
        <v>0.14562</v>
      </c>
      <c r="O18" s="159">
        <f t="shared" si="5"/>
        <v>0.1459</v>
      </c>
      <c r="P18" s="159">
        <f t="shared" si="5"/>
        <v>0.1459</v>
      </c>
      <c r="Q18" s="88"/>
      <c r="R18" s="4"/>
      <c r="S18" s="4"/>
      <c r="T18" s="4"/>
      <c r="U18" s="4"/>
      <c r="V18" s="4"/>
      <c r="W18" s="4"/>
      <c r="X18" s="4"/>
      <c r="Y18" s="4"/>
      <c r="Z18" s="4"/>
      <c r="AA18" s="4"/>
      <c r="AB18" s="4"/>
      <c r="AC18" s="4"/>
      <c r="AD18" s="4"/>
      <c r="AE18" s="4"/>
      <c r="AF18" s="4"/>
      <c r="AG18" s="4"/>
      <c r="AH18" s="4"/>
      <c r="AI18" s="4"/>
      <c r="AJ18" s="4"/>
      <c r="AK18" s="4"/>
      <c r="AL18" s="4"/>
      <c r="AM18" s="4"/>
      <c r="AN18" s="4"/>
      <c r="AO18" s="4"/>
      <c r="AP18" s="4"/>
      <c r="AQ18" s="4"/>
      <c r="AR18" s="4"/>
      <c r="AS18" s="4"/>
      <c r="AT18" s="4"/>
      <c r="AU18" s="4"/>
      <c r="AV18" s="4"/>
      <c r="AW18" s="4"/>
      <c r="AX18" s="4"/>
    </row>
    <row r="19" spans="1:50" ht="30" customHeight="1">
      <c r="A19" s="12"/>
      <c r="B19" s="4"/>
      <c r="C19" s="4"/>
      <c r="D19" s="4"/>
      <c r="E19" s="153" t="s">
        <v>321</v>
      </c>
      <c r="F19" s="161">
        <f>SUM('Balanço Patrimonial'!O55:O60,'Balanço Patrimonial'!O74:O77)</f>
        <v>41596826</v>
      </c>
      <c r="G19" s="161">
        <f>F19</f>
        <v>41596826</v>
      </c>
      <c r="H19" s="161">
        <f t="shared" ref="H19:P19" si="6">G19</f>
        <v>41596826</v>
      </c>
      <c r="I19" s="161">
        <f t="shared" si="6"/>
        <v>41596826</v>
      </c>
      <c r="J19" s="161">
        <f t="shared" si="6"/>
        <v>41596826</v>
      </c>
      <c r="K19" s="161">
        <f t="shared" si="6"/>
        <v>41596826</v>
      </c>
      <c r="L19" s="161">
        <f t="shared" si="6"/>
        <v>41596826</v>
      </c>
      <c r="M19" s="161">
        <f t="shared" si="6"/>
        <v>41596826</v>
      </c>
      <c r="N19" s="161">
        <f t="shared" si="6"/>
        <v>41596826</v>
      </c>
      <c r="O19" s="161">
        <f t="shared" si="6"/>
        <v>41596826</v>
      </c>
      <c r="P19" s="161">
        <f t="shared" si="6"/>
        <v>41596826</v>
      </c>
      <c r="Q19" s="88"/>
      <c r="R19" s="4"/>
      <c r="S19" s="4"/>
      <c r="T19" s="4"/>
      <c r="U19" s="4"/>
      <c r="V19" s="4"/>
      <c r="W19" s="4"/>
      <c r="X19" s="4"/>
      <c r="Y19" s="4"/>
      <c r="Z19" s="4"/>
      <c r="AA19" s="4"/>
      <c r="AB19" s="4"/>
      <c r="AC19" s="4"/>
      <c r="AD19" s="4"/>
      <c r="AE19" s="4"/>
      <c r="AF19" s="4"/>
      <c r="AG19" s="4"/>
      <c r="AH19" s="4"/>
      <c r="AI19" s="4"/>
      <c r="AJ19" s="4"/>
      <c r="AK19" s="4"/>
      <c r="AL19" s="4"/>
      <c r="AM19" s="4"/>
      <c r="AN19" s="4"/>
      <c r="AO19" s="4"/>
      <c r="AP19" s="4"/>
      <c r="AQ19" s="4"/>
      <c r="AR19" s="4"/>
      <c r="AS19" s="4"/>
      <c r="AT19" s="4"/>
      <c r="AU19" s="4"/>
      <c r="AV19" s="4"/>
      <c r="AW19" s="4"/>
      <c r="AX19" s="4"/>
    </row>
    <row r="20" spans="1:50" ht="30" customHeight="1">
      <c r="A20" s="12"/>
      <c r="B20" s="4"/>
      <c r="C20" s="4"/>
      <c r="D20" s="4"/>
      <c r="E20" s="155" t="s">
        <v>23</v>
      </c>
      <c r="F20" s="156">
        <f t="shared" ref="F20:P20" si="7">((F16*F17)+(F18*F19))/(F17+F19)</f>
        <v>0.17203161786573196</v>
      </c>
      <c r="G20" s="156">
        <f t="shared" si="7"/>
        <v>0.16016557466910739</v>
      </c>
      <c r="H20" s="156">
        <f t="shared" si="7"/>
        <v>0.15757106903908086</v>
      </c>
      <c r="I20" s="156">
        <f t="shared" si="7"/>
        <v>0.15834919947359363</v>
      </c>
      <c r="J20" s="156">
        <f t="shared" si="7"/>
        <v>0.15952017167784549</v>
      </c>
      <c r="K20" s="156">
        <f t="shared" si="7"/>
        <v>0.16042444350650911</v>
      </c>
      <c r="L20" s="156">
        <f t="shared" si="7"/>
        <v>0.16087189727583229</v>
      </c>
      <c r="M20" s="156">
        <f t="shared" si="7"/>
        <v>0.16098928547944821</v>
      </c>
      <c r="N20" s="156">
        <f t="shared" si="7"/>
        <v>0.16098316577951466</v>
      </c>
      <c r="O20" s="156">
        <f t="shared" si="7"/>
        <v>0.1610600958381895</v>
      </c>
      <c r="P20" s="156">
        <f t="shared" si="7"/>
        <v>0.16112663268155331</v>
      </c>
      <c r="Q20" s="88"/>
      <c r="R20" s="4"/>
      <c r="S20" s="4"/>
      <c r="T20" s="4"/>
      <c r="U20" s="4"/>
      <c r="V20" s="4"/>
      <c r="W20" s="4"/>
      <c r="X20" s="4"/>
      <c r="Y20" s="4"/>
      <c r="Z20" s="4"/>
      <c r="AA20" s="4"/>
      <c r="AB20" s="4"/>
      <c r="AC20" s="4"/>
      <c r="AD20" s="4"/>
      <c r="AE20" s="4"/>
      <c r="AF20" s="4"/>
      <c r="AG20" s="4"/>
      <c r="AH20" s="4"/>
      <c r="AI20" s="4"/>
      <c r="AJ20" s="4"/>
      <c r="AK20" s="4"/>
      <c r="AL20" s="4"/>
      <c r="AM20" s="4"/>
      <c r="AN20" s="4"/>
      <c r="AO20" s="4"/>
      <c r="AP20" s="4"/>
      <c r="AQ20" s="4"/>
      <c r="AR20" s="4"/>
      <c r="AS20" s="4"/>
      <c r="AT20" s="4"/>
      <c r="AU20" s="4"/>
      <c r="AV20" s="4"/>
      <c r="AW20" s="4"/>
      <c r="AX20" s="4"/>
    </row>
    <row r="21" spans="1:50" ht="30" customHeight="1" thickBot="1">
      <c r="A21" s="344"/>
      <c r="B21" s="4"/>
      <c r="C21" s="4"/>
      <c r="D21" s="4"/>
      <c r="E21" s="172" t="s">
        <v>130</v>
      </c>
      <c r="F21" s="173">
        <f>1*(1+F20)^((12-9)/12)</f>
        <v>1.0404826240775458</v>
      </c>
      <c r="G21" s="173">
        <f>F21*(1+G20)</f>
        <v>1.2071321214961466</v>
      </c>
      <c r="H21" s="173">
        <f t="shared" ref="H21:P21" si="8">G21*(1+H20)</f>
        <v>1.3973412203517079</v>
      </c>
      <c r="I21" s="173">
        <f t="shared" si="8"/>
        <v>1.6186090839858553</v>
      </c>
      <c r="J21" s="173">
        <f t="shared" si="8"/>
        <v>1.876809882942599</v>
      </c>
      <c r="K21" s="173">
        <f t="shared" si="8"/>
        <v>2.1778960639811822</v>
      </c>
      <c r="L21" s="173">
        <f t="shared" si="8"/>
        <v>2.5282583358634025</v>
      </c>
      <c r="M21" s="173">
        <f t="shared" si="8"/>
        <v>2.9352808388615101</v>
      </c>
      <c r="N21" s="173">
        <f t="shared" si="8"/>
        <v>3.4078116407533856</v>
      </c>
      <c r="O21" s="173">
        <f t="shared" si="8"/>
        <v>3.9566741102116239</v>
      </c>
      <c r="P21" s="174">
        <f t="shared" si="8"/>
        <v>4.5941996862083041</v>
      </c>
      <c r="Q21" s="4"/>
      <c r="R21" s="4"/>
      <c r="S21" s="4"/>
      <c r="T21" s="4"/>
      <c r="U21" s="4"/>
      <c r="V21" s="4"/>
      <c r="W21" s="4"/>
      <c r="X21" s="4"/>
      <c r="Y21" s="4"/>
      <c r="Z21" s="4"/>
      <c r="AA21" s="4"/>
      <c r="AB21" s="4"/>
      <c r="AC21" s="4"/>
      <c r="AD21" s="4"/>
      <c r="AE21" s="4"/>
      <c r="AF21" s="4"/>
      <c r="AG21" s="4"/>
      <c r="AH21" s="4"/>
      <c r="AI21" s="4"/>
      <c r="AJ21" s="4"/>
      <c r="AK21" s="4"/>
      <c r="AL21" s="4"/>
      <c r="AM21" s="4"/>
      <c r="AN21" s="4"/>
      <c r="AO21" s="4"/>
      <c r="AP21" s="4"/>
      <c r="AQ21" s="4"/>
      <c r="AR21" s="4"/>
      <c r="AS21" s="4"/>
      <c r="AT21" s="4"/>
      <c r="AU21" s="4"/>
      <c r="AV21" s="4"/>
      <c r="AW21" s="4"/>
      <c r="AX21" s="4"/>
    </row>
    <row r="22" spans="1:50" ht="30" customHeight="1">
      <c r="A22" s="34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c r="AJ22" s="4"/>
      <c r="AK22" s="4"/>
      <c r="AL22" s="4"/>
      <c r="AM22" s="4"/>
      <c r="AN22" s="4"/>
      <c r="AO22" s="4"/>
      <c r="AP22" s="4"/>
      <c r="AQ22" s="4"/>
      <c r="AR22" s="4"/>
      <c r="AS22" s="4"/>
      <c r="AT22" s="4"/>
      <c r="AU22" s="4"/>
      <c r="AV22" s="4"/>
      <c r="AW22" s="4"/>
      <c r="AX22" s="4"/>
    </row>
    <row r="23" spans="1:50" ht="30" customHeight="1">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c r="AJ23" s="4"/>
      <c r="AK23" s="4"/>
      <c r="AL23" s="4"/>
      <c r="AM23" s="4"/>
      <c r="AN23" s="4"/>
      <c r="AO23" s="4"/>
      <c r="AP23" s="4"/>
      <c r="AQ23" s="4"/>
      <c r="AR23" s="4"/>
      <c r="AS23" s="4"/>
      <c r="AT23" s="4"/>
      <c r="AU23" s="4"/>
      <c r="AV23" s="4"/>
      <c r="AW23" s="4"/>
      <c r="AX23" s="4"/>
    </row>
    <row r="24" spans="1:50" ht="30" customHeight="1">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4"/>
      <c r="AP24" s="4"/>
      <c r="AQ24" s="4"/>
      <c r="AR24" s="4"/>
      <c r="AS24" s="4"/>
      <c r="AT24" s="4"/>
      <c r="AU24" s="4"/>
      <c r="AV24" s="4"/>
      <c r="AW24" s="4"/>
      <c r="AX24" s="4"/>
    </row>
    <row r="25" spans="1:50" ht="30" customHeight="1">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c r="AJ25" s="4"/>
      <c r="AK25" s="4"/>
      <c r="AL25" s="4"/>
      <c r="AM25" s="4"/>
      <c r="AN25" s="4"/>
      <c r="AO25" s="4"/>
      <c r="AP25" s="4"/>
      <c r="AQ25" s="4"/>
      <c r="AR25" s="4"/>
      <c r="AS25" s="4"/>
      <c r="AT25" s="4"/>
      <c r="AU25" s="4"/>
      <c r="AV25" s="4"/>
      <c r="AW25" s="4"/>
      <c r="AX25" s="4"/>
    </row>
    <row r="26" spans="1:50" ht="30" customHeight="1">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c r="AJ26" s="4"/>
      <c r="AK26" s="4"/>
      <c r="AL26" s="4"/>
      <c r="AM26" s="4"/>
      <c r="AN26" s="4"/>
      <c r="AO26" s="4"/>
      <c r="AP26" s="4"/>
      <c r="AQ26" s="4"/>
      <c r="AR26" s="4"/>
      <c r="AS26" s="4"/>
      <c r="AT26" s="4"/>
      <c r="AU26" s="4"/>
      <c r="AV26" s="4"/>
      <c r="AW26" s="4"/>
      <c r="AX26" s="4"/>
    </row>
    <row r="27" spans="1:50" ht="15" hidden="1" customHeight="1">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c r="AT27" s="4"/>
      <c r="AU27" s="4"/>
      <c r="AV27" s="4"/>
      <c r="AW27" s="4"/>
      <c r="AX27" s="4"/>
    </row>
    <row r="28" spans="1:50" ht="15" hidden="1" customHeight="1">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c r="AW28" s="4"/>
      <c r="AX28" s="4"/>
    </row>
    <row r="29" spans="1:50" ht="15" hidden="1" customHeight="1">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c r="AJ29" s="4"/>
      <c r="AK29" s="4"/>
      <c r="AL29" s="4"/>
      <c r="AM29" s="4"/>
      <c r="AN29" s="4"/>
      <c r="AO29" s="4"/>
      <c r="AP29" s="4"/>
      <c r="AQ29" s="4"/>
      <c r="AR29" s="4"/>
      <c r="AS29" s="4"/>
      <c r="AT29" s="4"/>
      <c r="AU29" s="4"/>
      <c r="AV29" s="4"/>
      <c r="AW29" s="4"/>
      <c r="AX29" s="4"/>
    </row>
    <row r="30" spans="1:50" ht="15" hidden="1" customHeight="1">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c r="AJ30" s="4"/>
      <c r="AK30" s="4"/>
      <c r="AL30" s="4"/>
      <c r="AM30" s="4"/>
      <c r="AN30" s="4"/>
      <c r="AO30" s="4"/>
      <c r="AP30" s="4"/>
      <c r="AQ30" s="4"/>
      <c r="AR30" s="4"/>
      <c r="AS30" s="4"/>
      <c r="AT30" s="4"/>
      <c r="AU30" s="4"/>
      <c r="AV30" s="4"/>
      <c r="AW30" s="4"/>
      <c r="AX30" s="4"/>
    </row>
    <row r="31" spans="1:50" ht="15" hidden="1" customHeight="1">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c r="AJ31" s="4"/>
      <c r="AK31" s="4"/>
      <c r="AL31" s="4"/>
      <c r="AM31" s="4"/>
      <c r="AN31" s="4"/>
      <c r="AO31" s="4"/>
      <c r="AP31" s="4"/>
      <c r="AQ31" s="4"/>
      <c r="AR31" s="4"/>
      <c r="AS31" s="4"/>
      <c r="AT31" s="4"/>
      <c r="AU31" s="4"/>
      <c r="AV31" s="4"/>
      <c r="AW31" s="4"/>
      <c r="AX31" s="4"/>
    </row>
    <row r="32" spans="1:50" ht="15" hidden="1" customHeight="1">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c r="AJ32" s="4"/>
      <c r="AK32" s="4"/>
      <c r="AL32" s="4"/>
      <c r="AM32" s="4"/>
      <c r="AN32" s="4"/>
      <c r="AO32" s="4"/>
      <c r="AP32" s="4"/>
      <c r="AQ32" s="4"/>
      <c r="AR32" s="4"/>
      <c r="AS32" s="4"/>
      <c r="AT32" s="4"/>
      <c r="AU32" s="4"/>
      <c r="AV32" s="4"/>
      <c r="AW32" s="4"/>
      <c r="AX32" s="4"/>
    </row>
    <row r="33" spans="2:50" ht="15" hidden="1" customHeight="1">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c r="AJ33" s="4"/>
      <c r="AK33" s="4"/>
      <c r="AL33" s="4"/>
      <c r="AM33" s="4"/>
      <c r="AN33" s="4"/>
      <c r="AO33" s="4"/>
      <c r="AP33" s="4"/>
      <c r="AQ33" s="4"/>
      <c r="AR33" s="4"/>
      <c r="AS33" s="4"/>
      <c r="AT33" s="4"/>
      <c r="AU33" s="4"/>
      <c r="AV33" s="4"/>
      <c r="AW33" s="4"/>
      <c r="AX33" s="4"/>
    </row>
    <row r="34" spans="2:50" ht="15" hidden="1" customHeight="1">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c r="AJ34" s="4"/>
      <c r="AK34" s="4"/>
      <c r="AL34" s="4"/>
      <c r="AM34" s="4"/>
      <c r="AN34" s="4"/>
      <c r="AO34" s="4"/>
      <c r="AP34" s="4"/>
      <c r="AQ34" s="4"/>
      <c r="AR34" s="4"/>
      <c r="AS34" s="4"/>
      <c r="AT34" s="4"/>
      <c r="AU34" s="4"/>
      <c r="AV34" s="4"/>
      <c r="AW34" s="4"/>
      <c r="AX34" s="4"/>
    </row>
    <row r="35" spans="2:50" ht="15" hidden="1" customHeight="1">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c r="AJ35" s="4"/>
      <c r="AK35" s="4"/>
      <c r="AL35" s="4"/>
      <c r="AM35" s="4"/>
      <c r="AN35" s="4"/>
      <c r="AO35" s="4"/>
      <c r="AP35" s="4"/>
      <c r="AQ35" s="4"/>
      <c r="AR35" s="4"/>
      <c r="AS35" s="4"/>
      <c r="AT35" s="4"/>
      <c r="AU35" s="4"/>
      <c r="AV35" s="4"/>
      <c r="AW35" s="4"/>
      <c r="AX35" s="4"/>
    </row>
    <row r="36" spans="2:50" ht="15" hidden="1" customHeight="1">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c r="AJ36" s="4"/>
      <c r="AK36" s="4"/>
      <c r="AL36" s="4"/>
      <c r="AM36" s="4"/>
      <c r="AN36" s="4"/>
      <c r="AO36" s="4"/>
      <c r="AP36" s="4"/>
      <c r="AQ36" s="4"/>
      <c r="AR36" s="4"/>
      <c r="AS36" s="4"/>
      <c r="AT36" s="4"/>
      <c r="AU36" s="4"/>
      <c r="AV36" s="4"/>
      <c r="AW36" s="4"/>
      <c r="AX36" s="4"/>
    </row>
    <row r="37" spans="2:50" ht="15" hidden="1" customHeight="1">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row>
    <row r="38" spans="2:50" ht="15" hidden="1" customHeight="1">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c r="AI38" s="4"/>
      <c r="AJ38" s="4"/>
      <c r="AK38" s="4"/>
      <c r="AL38" s="4"/>
      <c r="AM38" s="4"/>
      <c r="AN38" s="4"/>
      <c r="AO38" s="4"/>
      <c r="AP38" s="4"/>
      <c r="AQ38" s="4"/>
      <c r="AR38" s="4"/>
      <c r="AS38" s="4"/>
      <c r="AT38" s="4"/>
      <c r="AU38" s="4"/>
      <c r="AV38" s="4"/>
      <c r="AW38" s="4"/>
      <c r="AX38" s="4"/>
    </row>
    <row r="39" spans="2:50" ht="15" hidden="1" customHeight="1">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c r="AI39" s="4"/>
      <c r="AJ39" s="4"/>
      <c r="AK39" s="4"/>
      <c r="AL39" s="4"/>
      <c r="AM39" s="4"/>
      <c r="AN39" s="4"/>
      <c r="AO39" s="4"/>
      <c r="AP39" s="4"/>
      <c r="AQ39" s="4"/>
      <c r="AR39" s="4"/>
      <c r="AS39" s="4"/>
      <c r="AT39" s="4"/>
      <c r="AU39" s="4"/>
      <c r="AV39" s="4"/>
      <c r="AW39" s="4"/>
      <c r="AX39" s="4"/>
    </row>
    <row r="40" spans="2:50" ht="15" hidden="1" customHeight="1">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c r="AI40" s="4"/>
      <c r="AJ40" s="4"/>
      <c r="AK40" s="4"/>
      <c r="AL40" s="4"/>
      <c r="AM40" s="4"/>
      <c r="AN40" s="4"/>
      <c r="AO40" s="4"/>
      <c r="AP40" s="4"/>
      <c r="AQ40" s="4"/>
      <c r="AR40" s="4"/>
      <c r="AS40" s="4"/>
      <c r="AT40" s="4"/>
      <c r="AU40" s="4"/>
      <c r="AV40" s="4"/>
      <c r="AW40" s="4"/>
      <c r="AX40" s="4"/>
    </row>
    <row r="41" spans="2:50" ht="15" hidden="1" customHeight="1">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row>
    <row r="42" spans="2:50" ht="15" hidden="1" customHeight="1">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row>
    <row r="43" spans="2:50" ht="15" hidden="1" customHeight="1">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c r="AT43" s="4"/>
      <c r="AU43" s="4"/>
      <c r="AV43" s="4"/>
      <c r="AW43" s="4"/>
      <c r="AX43" s="4"/>
    </row>
    <row r="44" spans="2:50" ht="15" hidden="1" customHeight="1">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c r="AT44" s="4"/>
      <c r="AU44" s="4"/>
      <c r="AV44" s="4"/>
      <c r="AW44" s="4"/>
      <c r="AX44" s="4"/>
    </row>
    <row r="45" spans="2:50" ht="15" hidden="1" customHeight="1">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c r="AT45" s="4"/>
      <c r="AU45" s="4"/>
      <c r="AV45" s="4"/>
      <c r="AW45" s="4"/>
      <c r="AX45" s="4"/>
    </row>
    <row r="46" spans="2:50" ht="15" hidden="1" customHeight="1">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row>
    <row r="47" spans="2:50" ht="15" hidden="1" customHeight="1">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c r="AT47" s="4"/>
      <c r="AU47" s="4"/>
      <c r="AV47" s="4"/>
      <c r="AW47" s="4"/>
      <c r="AX47" s="4"/>
    </row>
    <row r="48" spans="2:50" ht="15" hidden="1" customHeight="1">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row>
    <row r="49" spans="2:50" ht="15" hidden="1" customHeight="1">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c r="AT49" s="4"/>
      <c r="AU49" s="4"/>
      <c r="AV49" s="4"/>
      <c r="AW49" s="4"/>
      <c r="AX49" s="4"/>
    </row>
    <row r="50" spans="2:50" ht="15" hidden="1" customHeight="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c r="AT50" s="4"/>
      <c r="AU50" s="4"/>
      <c r="AV50" s="4"/>
      <c r="AW50" s="4"/>
      <c r="AX50" s="4"/>
    </row>
    <row r="51" spans="2:50" ht="15" hidden="1" customHeight="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row>
    <row r="52" spans="2:50" ht="15" hidden="1" customHeight="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c r="AT52" s="4"/>
      <c r="AU52" s="4"/>
      <c r="AV52" s="4"/>
      <c r="AW52" s="4"/>
      <c r="AX52" s="4"/>
    </row>
    <row r="53" spans="2:50" ht="15" hidden="1" customHeight="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c r="AT53" s="4"/>
      <c r="AU53" s="4"/>
      <c r="AV53" s="4"/>
      <c r="AW53" s="4"/>
      <c r="AX53" s="4"/>
    </row>
    <row r="54" spans="2:50" ht="15" hidden="1" customHeight="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c r="AT54" s="4"/>
      <c r="AU54" s="4"/>
      <c r="AV54" s="4"/>
      <c r="AW54" s="4"/>
      <c r="AX54" s="4"/>
    </row>
    <row r="55" spans="2:50" ht="15" hidden="1" customHeight="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4"/>
      <c r="AT55" s="4"/>
      <c r="AU55" s="4"/>
      <c r="AV55" s="4"/>
      <c r="AW55" s="4"/>
      <c r="AX55" s="4"/>
    </row>
    <row r="56" spans="2:50" ht="15" hidden="1" customHeight="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c r="AT56" s="4"/>
      <c r="AU56" s="4"/>
      <c r="AV56" s="4"/>
      <c r="AW56" s="4"/>
      <c r="AX56" s="4"/>
    </row>
    <row r="57" spans="2:50" ht="15" hidden="1" customHeight="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c r="AT57" s="4"/>
      <c r="AU57" s="4"/>
      <c r="AV57" s="4"/>
      <c r="AW57" s="4"/>
      <c r="AX57" s="4"/>
    </row>
    <row r="58" spans="2:50" ht="15" hidden="1" customHeight="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c r="AT58" s="4"/>
      <c r="AU58" s="4"/>
      <c r="AV58" s="4"/>
      <c r="AW58" s="4"/>
      <c r="AX58" s="4"/>
    </row>
    <row r="59" spans="2:50" ht="15" hidden="1" customHeight="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c r="AT59" s="4"/>
      <c r="AU59" s="4"/>
      <c r="AV59" s="4"/>
      <c r="AW59" s="4"/>
      <c r="AX59" s="4"/>
    </row>
    <row r="60" spans="2:50" ht="15" hidden="1" customHeight="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c r="AT60" s="4"/>
      <c r="AU60" s="4"/>
      <c r="AV60" s="4"/>
      <c r="AW60" s="4"/>
      <c r="AX60" s="4"/>
    </row>
    <row r="61" spans="2:50" ht="15" hidden="1" customHeight="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c r="AT61" s="4"/>
      <c r="AU61" s="4"/>
      <c r="AV61" s="4"/>
      <c r="AW61" s="4"/>
      <c r="AX61" s="4"/>
    </row>
    <row r="62" spans="2:50" ht="15" hidden="1" customHeight="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c r="AT62" s="4"/>
      <c r="AU62" s="4"/>
      <c r="AV62" s="4"/>
      <c r="AW62" s="4"/>
      <c r="AX62" s="4"/>
    </row>
    <row r="63" spans="2:50" ht="15" hidden="1" customHeight="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row>
    <row r="64" spans="2:50" ht="15" hidden="1" customHeight="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c r="AT64" s="4"/>
      <c r="AU64" s="4"/>
      <c r="AV64" s="4"/>
      <c r="AW64" s="4"/>
      <c r="AX64" s="4"/>
    </row>
    <row r="65" spans="2:50" ht="15" hidden="1" customHeight="1">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c r="AT65" s="4"/>
      <c r="AU65" s="4"/>
      <c r="AV65" s="4"/>
      <c r="AW65" s="4"/>
      <c r="AX65" s="4"/>
    </row>
    <row r="66" spans="2:50" ht="15" hidden="1" customHeight="1">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c r="AT66" s="4"/>
      <c r="AU66" s="4"/>
      <c r="AV66" s="4"/>
      <c r="AW66" s="4"/>
      <c r="AX66" s="4"/>
    </row>
    <row r="67" spans="2:50" ht="15" hidden="1" customHeight="1">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row>
    <row r="68" spans="2:50" ht="15" hidden="1" customHeight="1">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c r="AT68" s="4"/>
      <c r="AU68" s="4"/>
      <c r="AV68" s="4"/>
      <c r="AW68" s="4"/>
      <c r="AX68" s="4"/>
    </row>
    <row r="69" spans="2:50" ht="15" hidden="1" customHeight="1">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c r="AR69" s="4"/>
      <c r="AS69" s="4"/>
      <c r="AT69" s="4"/>
      <c r="AU69" s="4"/>
      <c r="AV69" s="4"/>
      <c r="AW69" s="4"/>
      <c r="AX69" s="4"/>
    </row>
    <row r="70" spans="2:50" ht="15" hidden="1" customHeight="1">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c r="AU70" s="4"/>
      <c r="AV70" s="4"/>
      <c r="AW70" s="4"/>
      <c r="AX70" s="4"/>
    </row>
    <row r="71" spans="2:50" ht="15" hidden="1" customHeight="1">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c r="AR71" s="4"/>
      <c r="AS71" s="4"/>
      <c r="AT71" s="4"/>
      <c r="AU71" s="4"/>
      <c r="AV71" s="4"/>
      <c r="AW71" s="4"/>
      <c r="AX71" s="4"/>
    </row>
    <row r="72" spans="2:50" ht="15" hidden="1" customHeight="1">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c r="AR72" s="4"/>
      <c r="AS72" s="4"/>
      <c r="AT72" s="4"/>
      <c r="AU72" s="4"/>
      <c r="AV72" s="4"/>
      <c r="AW72" s="4"/>
      <c r="AX72" s="4"/>
    </row>
    <row r="73" spans="2:50" ht="15" hidden="1" customHeight="1">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c r="AR73" s="4"/>
      <c r="AS73" s="4"/>
      <c r="AT73" s="4"/>
      <c r="AU73" s="4"/>
      <c r="AV73" s="4"/>
      <c r="AW73" s="4"/>
      <c r="AX73" s="4"/>
    </row>
    <row r="74" spans="2:50" ht="15" hidden="1" customHeight="1">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c r="AR74" s="4"/>
      <c r="AS74" s="4"/>
      <c r="AT74" s="4"/>
      <c r="AU74" s="4"/>
      <c r="AV74" s="4"/>
      <c r="AW74" s="4"/>
      <c r="AX74" s="4"/>
    </row>
    <row r="75" spans="2:50" ht="15" hidden="1" customHeight="1">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c r="AR75" s="4"/>
      <c r="AS75" s="4"/>
      <c r="AT75" s="4"/>
      <c r="AU75" s="4"/>
      <c r="AV75" s="4"/>
      <c r="AW75" s="4"/>
      <c r="AX75" s="4"/>
    </row>
    <row r="76" spans="2:50" ht="15" hidden="1" customHeight="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row>
    <row r="77" spans="2:50" ht="15" hidden="1" customHeight="1">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c r="AR77" s="4"/>
      <c r="AS77" s="4"/>
      <c r="AT77" s="4"/>
      <c r="AU77" s="4"/>
      <c r="AV77" s="4"/>
      <c r="AW77" s="4"/>
      <c r="AX77" s="4"/>
    </row>
    <row r="78" spans="2:50" ht="15" hidden="1" customHeight="1">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row>
    <row r="79" spans="2:50" ht="15" hidden="1" customHeight="1">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row>
    <row r="80" spans="2:50" ht="15" hidden="1" customHeight="1">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row>
    <row r="81" spans="2:50" ht="15" hidden="1" customHeight="1">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row>
    <row r="82" spans="2:50" ht="15" hidden="1" customHeight="1">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row>
    <row r="83" spans="2:50" ht="15" hidden="1"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row>
    <row r="84" spans="2:50" ht="15" hidden="1"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c r="AR84" s="4"/>
      <c r="AS84" s="4"/>
      <c r="AT84" s="4"/>
      <c r="AU84" s="4"/>
      <c r="AV84" s="4"/>
      <c r="AW84" s="4"/>
      <c r="AX84" s="4"/>
    </row>
    <row r="85" spans="2:50" ht="15" hidden="1"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
      <c r="AS85" s="4"/>
      <c r="AT85" s="4"/>
      <c r="AU85" s="4"/>
      <c r="AV85" s="4"/>
      <c r="AW85" s="4"/>
      <c r="AX85" s="4"/>
    </row>
    <row r="86" spans="2:50" ht="15" hidden="1"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row>
    <row r="87" spans="2:50" ht="15" hidden="1"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
      <c r="AS87" s="4"/>
      <c r="AT87" s="4"/>
      <c r="AU87" s="4"/>
      <c r="AV87" s="4"/>
      <c r="AW87" s="4"/>
      <c r="AX87" s="4"/>
    </row>
    <row r="88" spans="2:50" ht="15" hidden="1"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row>
    <row r="89" spans="2:50" ht="15" hidden="1"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row>
    <row r="90" spans="2:50" ht="15" hidden="1" customHeight="1">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row>
    <row r="91" spans="2:50" ht="15" hidden="1"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row>
    <row r="92" spans="2:50" ht="15" hidden="1"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row>
    <row r="93" spans="2:50" ht="15" hidden="1"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row>
    <row r="94" spans="2:50" ht="15" hidden="1"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row>
    <row r="95" spans="2:50" ht="15" hidden="1"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row>
    <row r="96" spans="2:50" ht="15" hidden="1"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row>
    <row r="97" spans="2:50" ht="15" hidden="1"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row>
    <row r="98" spans="2:50" ht="15" hidden="1" customHeight="1">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row>
    <row r="99" spans="2:50" ht="15" hidden="1" customHeight="1">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row>
    <row r="100" spans="2:50" ht="15" hidden="1" customHeight="1">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row>
    <row r="101" spans="2:50" ht="15" hidden="1" customHeight="1">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row>
    <row r="102" spans="2:50" ht="15" hidden="1" customHeight="1">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row>
    <row r="103" spans="2:50" ht="15" hidden="1" customHeight="1">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row>
    <row r="104" spans="2:50" ht="15" hidden="1" customHeight="1">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row>
    <row r="105" spans="2:50" ht="15" hidden="1" customHeight="1">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row>
    <row r="106" spans="2:50" ht="15" hidden="1" customHeight="1">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row>
    <row r="107" spans="2:50" ht="15" hidden="1" customHeight="1">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row>
    <row r="108" spans="2:50" ht="15" hidden="1" customHeight="1">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row>
    <row r="109" spans="2:50" ht="15" hidden="1" customHeight="1">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row>
    <row r="110" spans="2:50" ht="15" hidden="1" customHeight="1">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row>
    <row r="111" spans="2:50" ht="15" hidden="1" customHeight="1">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row>
    <row r="112" spans="2:50" ht="15" hidden="1" customHeight="1">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row>
    <row r="113" spans="2:50" ht="15" hidden="1" customHeight="1">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row>
    <row r="114" spans="2:50" ht="15" hidden="1" customHeight="1">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row>
    <row r="115" spans="2:50" ht="15" hidden="1" customHeight="1">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c r="AU115" s="4"/>
      <c r="AV115" s="4"/>
      <c r="AW115" s="4"/>
      <c r="AX115" s="4"/>
    </row>
    <row r="116" spans="2:50" ht="15" hidden="1" customHeight="1">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c r="AT116" s="4"/>
      <c r="AU116" s="4"/>
      <c r="AV116" s="4"/>
      <c r="AW116" s="4"/>
      <c r="AX116" s="4"/>
    </row>
    <row r="117" spans="2:50" ht="15" hidden="1" customHeight="1">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c r="AT117" s="4"/>
      <c r="AU117" s="4"/>
      <c r="AV117" s="4"/>
      <c r="AW117" s="4"/>
      <c r="AX117" s="4"/>
    </row>
    <row r="118" spans="2:50" ht="15" hidden="1" customHeight="1">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row>
    <row r="119" spans="2:50" ht="15" hidden="1" customHeight="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row>
    <row r="120" spans="2:50" ht="15" hidden="1" customHeight="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row>
    <row r="121" spans="2:50" ht="15" hidden="1" customHeight="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row>
    <row r="122" spans="2:50" ht="15" hidden="1" customHeight="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row>
    <row r="123" spans="2:50" ht="15" hidden="1" customHeight="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row>
    <row r="124" spans="2:50" ht="15" hidden="1" customHeight="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row>
    <row r="125" spans="2:50" ht="15" hidden="1" customHeight="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row>
    <row r="126" spans="2:50" ht="15" hidden="1" customHeight="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row>
    <row r="127" spans="2:50" ht="15" hidden="1" customHeight="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row>
    <row r="128" spans="2:50" ht="15" hidden="1" customHeight="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row>
    <row r="129" spans="2:50" ht="15" hidden="1" customHeight="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row>
    <row r="130" spans="2:50" ht="15" hidden="1" customHeight="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row>
    <row r="131" spans="2:50" ht="15" hidden="1" customHeight="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row>
    <row r="132" spans="2:50" ht="15" hidden="1" customHeight="1">
      <c r="B132" s="4"/>
      <c r="C132" s="4"/>
      <c r="D132" s="4"/>
      <c r="E132" s="4"/>
      <c r="F132" s="4"/>
      <c r="G132" s="4"/>
      <c r="H132" s="4"/>
      <c r="I132" s="4"/>
      <c r="J132" s="4"/>
      <c r="K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row>
    <row r="133" spans="2:50" ht="15" hidden="1" customHeight="1">
      <c r="B133" s="4"/>
      <c r="C133" s="4"/>
      <c r="D133" s="4"/>
      <c r="E133" s="4"/>
      <c r="F133" s="4"/>
      <c r="G133" s="4"/>
      <c r="H133" s="4"/>
      <c r="I133" s="4"/>
      <c r="J133" s="4"/>
      <c r="K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row>
    <row r="134" spans="2:50" ht="15" hidden="1" customHeight="1">
      <c r="B134" s="4"/>
      <c r="C134" s="4"/>
      <c r="D134" s="4"/>
      <c r="E134" s="4"/>
      <c r="F134" s="4"/>
      <c r="G134" s="4"/>
      <c r="H134" s="4"/>
      <c r="I134" s="4"/>
      <c r="J134" s="4"/>
      <c r="K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row>
    <row r="135" spans="2:50" ht="15" hidden="1" customHeight="1">
      <c r="B135" s="4"/>
      <c r="C135" s="4"/>
      <c r="D135" s="4"/>
      <c r="E135" s="4"/>
      <c r="F135" s="4"/>
      <c r="G135" s="4"/>
      <c r="H135" s="4"/>
      <c r="I135" s="4"/>
      <c r="J135" s="4"/>
      <c r="K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row>
    <row r="136" spans="2:50" ht="15" hidden="1" customHeight="1">
      <c r="B136" s="4"/>
      <c r="C136" s="4"/>
      <c r="D136" s="4"/>
      <c r="E136" s="4"/>
      <c r="F136" s="4"/>
      <c r="G136" s="4"/>
      <c r="H136" s="4"/>
      <c r="I136" s="4"/>
      <c r="J136" s="4"/>
      <c r="K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row>
    <row r="137" spans="2:50" ht="15" hidden="1" customHeight="1">
      <c r="B137" s="4"/>
      <c r="C137" s="4"/>
      <c r="D137" s="4"/>
      <c r="E137" s="4"/>
      <c r="F137" s="4"/>
      <c r="G137" s="4"/>
      <c r="H137" s="4"/>
      <c r="I137" s="4"/>
      <c r="J137" s="4"/>
      <c r="K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row>
    <row r="138" spans="2:50" ht="15" hidden="1" customHeight="1">
      <c r="B138" s="4"/>
      <c r="C138" s="4"/>
      <c r="D138" s="4"/>
      <c r="E138" s="4"/>
      <c r="F138" s="4"/>
      <c r="G138" s="4"/>
      <c r="H138" s="4"/>
      <c r="I138" s="4"/>
      <c r="J138" s="4"/>
      <c r="K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row>
    <row r="139" spans="2:50" ht="15" hidden="1" customHeight="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row>
    <row r="140" spans="2:50" ht="15" hidden="1" customHeight="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row>
    <row r="141" spans="2:50" ht="15" hidden="1" customHeight="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row>
    <row r="142" spans="2:50" ht="15" hidden="1" customHeight="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row>
    <row r="143" spans="2:50" ht="15" hidden="1" customHeight="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row>
    <row r="144" spans="2:50" ht="15" customHeight="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row>
    <row r="145" spans="2:50" ht="15" customHeight="1">
      <c r="B145" s="4"/>
      <c r="C145" s="4"/>
      <c r="D145" s="4"/>
      <c r="E145" s="4"/>
      <c r="F145" s="150"/>
      <c r="G145" s="150"/>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row>
    <row r="146" spans="2:50" ht="15" customHeight="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row>
    <row r="147" spans="2:50" ht="15" customHeight="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row>
    <row r="148" spans="2:50" ht="15" customHeight="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row>
    <row r="149" spans="2:50" ht="15" customHeight="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row>
    <row r="150" spans="2:50" ht="15" customHeight="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row>
    <row r="151" spans="2:50" ht="15" hidden="1" customHeight="1">
      <c r="E151" s="4"/>
      <c r="F151" s="4"/>
      <c r="G151" s="4"/>
      <c r="H151" s="4"/>
      <c r="I151" s="4"/>
      <c r="J151" s="4"/>
      <c r="K151" s="4"/>
      <c r="L151" s="4"/>
      <c r="M151" s="4"/>
      <c r="N151" s="4"/>
      <c r="O151" s="4"/>
      <c r="P151" s="4"/>
    </row>
  </sheetData>
  <mergeCells count="2">
    <mergeCell ref="F3:M5"/>
    <mergeCell ref="A21:A22"/>
  </mergeCells>
  <hyperlinks>
    <hyperlink ref="A11" location="'DRE + DCF'!A1" display="DRE + DCF" xr:uid="{0EFF24A9-67C2-4489-87B1-80EA210E7A8A}"/>
    <hyperlink ref="A13" location="'Balanço Patrimonial'!A1" display="Balanço Patrimonial" xr:uid="{3151BC57-FC24-432F-9988-A41B63A5D56C}"/>
    <hyperlink ref="A12" location="'DRE - Contas Abertas'!A1" display="DRE - Contas Abertas" xr:uid="{E4D27D01-E40E-44D0-90FD-2ACD64B44213}"/>
    <hyperlink ref="A14" location="'Painel de Índices'!A1" display="Projeções - Receita" xr:uid="{CB8EB748-76E8-48EF-A5FB-13BF3EA30A28}"/>
    <hyperlink ref="A16" location="'Projeções - CG + Capex'!A1" display="Projeções - CG + Capex" xr:uid="{56992112-09AA-4872-959F-16E3A67ACD3A}"/>
    <hyperlink ref="A18" location="Processos!A1" display="Processos" xr:uid="{98F4242A-AB70-4CC1-A8D1-D4BACE818E84}"/>
    <hyperlink ref="A8" location="Dashboard!A1" display="Dashboard" xr:uid="{1CFA4D30-1A72-42F2-BD44-AF276D0D94ED}"/>
    <hyperlink ref="A10" location="'DRE Consolidado'!A1" display="DRE Consolidado" xr:uid="{9D59BA7B-1A2C-4BDC-8806-50FA0FE8DB7D}"/>
    <hyperlink ref="A15" location="'Projeções - Receita e EBIT'!A1" display="Projeções - Receita" xr:uid="{D70B2C20-5A42-4010-AF39-6F45B596C198}"/>
    <hyperlink ref="A17" location="'Projeções 2023'!A1" display="Projeções 2022" xr:uid="{5648F6FA-CE6C-4A6B-AE09-5E91170DFC70}"/>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Planilha16"/>
  <dimension ref="A1:BU147"/>
  <sheetViews>
    <sheetView showGridLines="0" topLeftCell="D63" zoomScale="85" zoomScaleNormal="85" workbookViewId="0">
      <selection activeCell="Z71" sqref="Z71:Z73"/>
    </sheetView>
  </sheetViews>
  <sheetFormatPr defaultColWidth="0" defaultRowHeight="0" customHeight="1" zeroHeight="1"/>
  <cols>
    <col min="1" max="1" width="39.140625" style="3" customWidth="1"/>
    <col min="2" max="4" width="9.140625" style="5" customWidth="1"/>
    <col min="5" max="9" width="7.28515625" style="5" customWidth="1"/>
    <col min="10" max="10" width="35.28515625" style="5" customWidth="1"/>
    <col min="11" max="11" width="15.140625" style="5" bestFit="1" customWidth="1"/>
    <col min="12" max="12" width="15.140625" style="5" customWidth="1"/>
    <col min="13" max="18" width="15.140625" style="5" bestFit="1" customWidth="1"/>
    <col min="19" max="20" width="15.140625" style="5" customWidth="1"/>
    <col min="21" max="21" width="16.42578125" style="5" bestFit="1" customWidth="1"/>
    <col min="22" max="22" width="17.5703125" style="5" bestFit="1" customWidth="1"/>
    <col min="23" max="26" width="16.42578125" style="5" bestFit="1" customWidth="1"/>
    <col min="27" max="27" width="15.42578125" style="5" bestFit="1" customWidth="1"/>
    <col min="28" max="28" width="13.85546875" style="5" customWidth="1"/>
    <col min="29" max="41" width="9.140625" style="5" customWidth="1"/>
    <col min="42" max="46" width="9.140625" style="5" hidden="1" customWidth="1"/>
    <col min="47" max="50" width="0" style="5" hidden="1" customWidth="1"/>
    <col min="51" max="73" width="9.140625" style="5" hidden="1" customWidth="1"/>
    <col min="74" max="16384" width="0" style="5" hidden="1"/>
  </cols>
  <sheetData>
    <row r="1" spans="1:43" ht="15">
      <c r="A1" s="3" t="s">
        <v>59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15" customHeight="1">
      <c r="B2" s="4"/>
      <c r="C2" s="4"/>
      <c r="D2" s="4"/>
      <c r="E2" s="4"/>
      <c r="F2" s="4"/>
      <c r="G2" s="4"/>
      <c r="H2" s="4"/>
      <c r="I2" s="4"/>
      <c r="J2" s="4"/>
      <c r="K2" s="343" t="str">
        <f>Dashboard!H3</f>
        <v>SIMPAR (SIMH3)</v>
      </c>
      <c r="L2" s="343"/>
      <c r="M2" s="343"/>
      <c r="N2" s="343"/>
      <c r="O2" s="343"/>
      <c r="P2" s="343"/>
      <c r="Q2" s="343"/>
      <c r="R2" s="343"/>
      <c r="S2" s="343"/>
      <c r="T2" s="343"/>
      <c r="U2" s="343"/>
      <c r="V2" s="343"/>
      <c r="W2" s="4"/>
      <c r="X2" s="4"/>
      <c r="Y2" s="4"/>
      <c r="Z2" s="4"/>
      <c r="AA2" s="4"/>
      <c r="AB2" s="4"/>
      <c r="AC2" s="4"/>
      <c r="AD2" s="4"/>
      <c r="AE2" s="4"/>
      <c r="AF2" s="4"/>
      <c r="AG2" s="4"/>
      <c r="AH2" s="4"/>
      <c r="AI2" s="4"/>
      <c r="AJ2" s="4"/>
      <c r="AK2" s="4"/>
      <c r="AL2" s="4"/>
      <c r="AM2" s="4"/>
      <c r="AN2" s="4"/>
      <c r="AO2" s="4"/>
      <c r="AP2" s="4"/>
      <c r="AQ2" s="4"/>
    </row>
    <row r="3" spans="1:43" ht="15" customHeight="1">
      <c r="B3" s="4"/>
      <c r="C3" s="4"/>
      <c r="D3" s="4"/>
      <c r="E3" s="4"/>
      <c r="F3" s="4"/>
      <c r="G3" s="4"/>
      <c r="H3" s="4"/>
      <c r="I3" s="4"/>
      <c r="J3" s="4"/>
      <c r="K3" s="343"/>
      <c r="L3" s="343"/>
      <c r="M3" s="343"/>
      <c r="N3" s="343"/>
      <c r="O3" s="343"/>
      <c r="P3" s="343"/>
      <c r="Q3" s="343"/>
      <c r="R3" s="343"/>
      <c r="S3" s="343"/>
      <c r="T3" s="343"/>
      <c r="U3" s="343"/>
      <c r="V3" s="343"/>
      <c r="W3" s="4"/>
      <c r="X3" s="4"/>
      <c r="Y3" s="4"/>
      <c r="Z3" s="4"/>
      <c r="AA3" s="4"/>
      <c r="AB3" s="4"/>
      <c r="AC3" s="4"/>
      <c r="AD3" s="4"/>
      <c r="AE3" s="4"/>
      <c r="AF3" s="4"/>
      <c r="AG3" s="4"/>
      <c r="AH3" s="4"/>
      <c r="AI3" s="4"/>
      <c r="AJ3" s="4"/>
      <c r="AK3" s="4"/>
      <c r="AL3" s="4"/>
      <c r="AM3" s="4"/>
      <c r="AN3" s="4"/>
      <c r="AO3" s="4"/>
      <c r="AP3" s="4"/>
      <c r="AQ3" s="4"/>
    </row>
    <row r="4" spans="1:43" ht="15" customHeight="1">
      <c r="B4" s="4"/>
      <c r="C4" s="4"/>
      <c r="D4" s="4"/>
      <c r="E4" s="4"/>
      <c r="F4" s="4"/>
      <c r="G4" s="4"/>
      <c r="H4" s="4"/>
      <c r="I4" s="4"/>
      <c r="J4" s="4"/>
      <c r="K4" s="343"/>
      <c r="L4" s="343"/>
      <c r="M4" s="343"/>
      <c r="N4" s="343"/>
      <c r="O4" s="343"/>
      <c r="P4" s="343"/>
      <c r="Q4" s="343"/>
      <c r="R4" s="343"/>
      <c r="S4" s="343"/>
      <c r="T4" s="343"/>
      <c r="U4" s="343"/>
      <c r="V4" s="343"/>
      <c r="W4" s="4"/>
      <c r="X4" s="4"/>
      <c r="Y4" s="4"/>
      <c r="Z4" s="4"/>
      <c r="AA4" s="4"/>
      <c r="AB4" s="4"/>
      <c r="AC4" s="4"/>
      <c r="AD4" s="4"/>
      <c r="AE4" s="4"/>
      <c r="AF4" s="4"/>
      <c r="AG4" s="4"/>
      <c r="AH4" s="4"/>
      <c r="AI4" s="4"/>
      <c r="AJ4" s="4"/>
      <c r="AK4" s="4"/>
      <c r="AL4" s="4"/>
      <c r="AM4" s="4"/>
      <c r="AN4" s="4"/>
      <c r="AO4" s="4"/>
      <c r="AP4" s="4"/>
      <c r="AQ4" s="4"/>
    </row>
    <row r="5" spans="1:43" ht="15" customHeight="1">
      <c r="B5" s="4"/>
      <c r="C5" s="4"/>
      <c r="D5" s="4"/>
      <c r="E5" s="4"/>
      <c r="F5" s="4"/>
      <c r="G5" s="4"/>
      <c r="H5" s="4"/>
      <c r="I5" s="4"/>
      <c r="J5" s="4"/>
      <c r="K5" s="343"/>
      <c r="L5" s="343"/>
      <c r="M5" s="343"/>
      <c r="N5" s="343"/>
      <c r="O5" s="343"/>
      <c r="P5" s="343"/>
      <c r="Q5" s="343"/>
      <c r="R5" s="343"/>
      <c r="S5" s="343"/>
      <c r="T5" s="343"/>
      <c r="U5" s="343"/>
      <c r="V5" s="343"/>
      <c r="W5" s="4"/>
      <c r="X5" s="4"/>
      <c r="Y5" s="4"/>
      <c r="Z5" s="4"/>
      <c r="AA5" s="4"/>
      <c r="AB5" s="4"/>
      <c r="AC5" s="4"/>
      <c r="AD5" s="4"/>
      <c r="AE5" s="4"/>
      <c r="AF5" s="4"/>
      <c r="AG5" s="4"/>
      <c r="AH5" s="4"/>
      <c r="AI5" s="4"/>
      <c r="AJ5" s="4"/>
      <c r="AK5" s="4"/>
      <c r="AL5" s="4"/>
      <c r="AM5" s="4"/>
      <c r="AN5" s="4"/>
      <c r="AO5" s="4"/>
      <c r="AP5" s="4"/>
      <c r="AQ5" s="4"/>
    </row>
    <row r="6" spans="1:43" ht="15">
      <c r="B6" s="4"/>
      <c r="C6" s="4"/>
      <c r="D6" s="4"/>
      <c r="E6" s="4"/>
      <c r="F6" s="4"/>
      <c r="G6" s="4"/>
      <c r="H6" s="4"/>
      <c r="I6" s="4"/>
      <c r="J6" s="4"/>
      <c r="K6" s="4"/>
      <c r="L6" s="4"/>
      <c r="M6" s="4"/>
      <c r="N6" s="32"/>
      <c r="O6" s="32"/>
      <c r="P6" s="32"/>
      <c r="Q6" s="32"/>
      <c r="R6" s="32"/>
      <c r="S6" s="32"/>
      <c r="T6" s="32"/>
      <c r="U6" s="4"/>
      <c r="V6" s="4"/>
      <c r="W6" s="4"/>
      <c r="X6" s="4"/>
      <c r="Y6" s="4"/>
      <c r="Z6" s="4"/>
      <c r="AA6" s="4"/>
      <c r="AB6" s="4"/>
      <c r="AC6" s="4"/>
      <c r="AD6" s="4"/>
      <c r="AE6" s="4"/>
      <c r="AF6" s="4"/>
      <c r="AG6" s="4"/>
      <c r="AH6" s="4"/>
      <c r="AI6" s="4"/>
      <c r="AJ6" s="4"/>
      <c r="AK6" s="4"/>
      <c r="AL6" s="4"/>
      <c r="AM6" s="4"/>
      <c r="AN6" s="4"/>
      <c r="AO6" s="4"/>
      <c r="AP6" s="4"/>
      <c r="AQ6" s="4"/>
    </row>
    <row r="7" spans="1:43" s="11" customFormat="1" ht="24.75" customHeight="1">
      <c r="A7" s="9" t="s">
        <v>33</v>
      </c>
      <c r="B7" s="10"/>
      <c r="C7" s="10"/>
      <c r="D7" s="10"/>
      <c r="E7" s="4"/>
      <c r="F7" s="4"/>
      <c r="G7" s="4"/>
      <c r="H7" s="4"/>
      <c r="I7" s="4"/>
      <c r="J7" s="4"/>
      <c r="K7" s="4"/>
      <c r="L7" s="4"/>
      <c r="M7" s="4"/>
      <c r="N7" s="4"/>
      <c r="O7" s="4"/>
      <c r="P7" s="4"/>
      <c r="Q7" s="4"/>
      <c r="R7" s="4"/>
      <c r="S7" s="4"/>
      <c r="T7" s="4"/>
      <c r="U7" s="4"/>
      <c r="V7" s="4"/>
      <c r="W7" s="4"/>
      <c r="X7" s="4"/>
      <c r="Y7" s="4"/>
      <c r="Z7" s="4"/>
      <c r="AA7" s="4"/>
      <c r="AB7" s="4"/>
      <c r="AC7" s="4"/>
      <c r="AD7" s="4"/>
      <c r="AE7" s="4"/>
      <c r="AF7" s="10"/>
      <c r="AG7" s="10"/>
      <c r="AH7" s="10"/>
      <c r="AI7" s="10"/>
      <c r="AJ7" s="10"/>
      <c r="AK7" s="10"/>
      <c r="AL7" s="10"/>
      <c r="AM7" s="10"/>
      <c r="AN7" s="10"/>
      <c r="AO7" s="4"/>
      <c r="AP7" s="10"/>
      <c r="AQ7" s="10"/>
    </row>
    <row r="8" spans="1:43" ht="30" customHeight="1">
      <c r="A8" s="12" t="s">
        <v>34</v>
      </c>
      <c r="B8" s="4"/>
      <c r="C8" s="4"/>
      <c r="D8" s="10"/>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1:43" ht="30" customHeight="1">
      <c r="A9" s="12" t="s">
        <v>23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3" ht="30" customHeight="1">
      <c r="A10" s="33" t="s">
        <v>330</v>
      </c>
      <c r="B10" s="4"/>
      <c r="C10" s="4"/>
      <c r="D10" s="4"/>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4"/>
      <c r="AG10" s="4"/>
      <c r="AH10" s="4"/>
      <c r="AI10" s="4"/>
      <c r="AJ10" s="4"/>
      <c r="AK10" s="4"/>
      <c r="AL10" s="4"/>
      <c r="AM10" s="4"/>
      <c r="AN10" s="4"/>
      <c r="AO10" s="4"/>
      <c r="AP10" s="4"/>
    </row>
    <row r="11" spans="1:43" ht="30" customHeight="1">
      <c r="A11" s="167" t="s">
        <v>36</v>
      </c>
      <c r="B11" s="4"/>
      <c r="C11" s="4"/>
      <c r="D11" s="4"/>
      <c r="E11" s="29"/>
      <c r="F11" s="30"/>
      <c r="G11" s="30"/>
      <c r="H11" s="30"/>
      <c r="I11" s="30"/>
      <c r="J11" s="30"/>
      <c r="AA11" s="4"/>
      <c r="AB11" s="4"/>
      <c r="AC11" s="4"/>
      <c r="AD11" s="4"/>
      <c r="AE11" s="4"/>
      <c r="AF11" s="4"/>
      <c r="AG11" s="4"/>
      <c r="AH11" s="4"/>
      <c r="AI11" s="4"/>
      <c r="AJ11" s="4"/>
      <c r="AK11" s="4"/>
      <c r="AL11" s="4"/>
      <c r="AM11" s="4"/>
      <c r="AN11" s="4"/>
      <c r="AO11" s="4"/>
      <c r="AP11" s="4"/>
    </row>
    <row r="12" spans="1:43" ht="30" customHeight="1">
      <c r="A12" s="167" t="s">
        <v>127</v>
      </c>
      <c r="B12" s="4"/>
      <c r="C12" s="4"/>
      <c r="D12" s="4"/>
      <c r="E12" s="35" t="s">
        <v>46</v>
      </c>
      <c r="F12" s="36"/>
      <c r="G12" s="36"/>
      <c r="H12" s="36"/>
      <c r="I12" s="366"/>
      <c r="J12" s="367"/>
      <c r="K12" s="37">
        <v>2014</v>
      </c>
      <c r="L12" s="37">
        <v>2015</v>
      </c>
      <c r="M12" s="37">
        <v>2016</v>
      </c>
      <c r="N12" s="37">
        <v>2017</v>
      </c>
      <c r="O12" s="37">
        <v>2018</v>
      </c>
      <c r="P12" s="37">
        <v>2019</v>
      </c>
      <c r="Q12" s="37">
        <v>2020</v>
      </c>
      <c r="R12" s="37">
        <v>2021</v>
      </c>
      <c r="S12" s="37">
        <v>2022</v>
      </c>
      <c r="T12" s="37" t="s">
        <v>501</v>
      </c>
      <c r="U12" s="37" t="s">
        <v>487</v>
      </c>
      <c r="V12" s="38">
        <v>2023</v>
      </c>
      <c r="W12" s="38">
        <v>2024</v>
      </c>
      <c r="X12" s="38">
        <v>2025</v>
      </c>
      <c r="Y12" s="38">
        <v>2026</v>
      </c>
      <c r="Z12" s="149">
        <v>2027</v>
      </c>
      <c r="AA12" s="39"/>
      <c r="AB12" s="4"/>
      <c r="AC12" s="4"/>
      <c r="AD12" s="4"/>
      <c r="AE12" s="4"/>
      <c r="AF12" s="4"/>
      <c r="AG12" s="4"/>
      <c r="AH12" s="4"/>
      <c r="AI12" s="4"/>
      <c r="AJ12" s="4"/>
      <c r="AK12" s="4"/>
      <c r="AL12" s="4"/>
      <c r="AM12" s="4"/>
      <c r="AN12" s="4"/>
      <c r="AO12" s="4"/>
      <c r="AP12" s="4"/>
    </row>
    <row r="13" spans="1:43" ht="30" customHeight="1">
      <c r="A13" s="12" t="s">
        <v>37</v>
      </c>
      <c r="B13" s="4"/>
      <c r="C13" s="4"/>
      <c r="D13" s="4"/>
      <c r="E13" s="354" t="s">
        <v>124</v>
      </c>
      <c r="F13" s="355"/>
      <c r="G13" s="355"/>
      <c r="H13" s="355"/>
      <c r="I13" s="355"/>
      <c r="J13" s="356"/>
      <c r="K13" s="40">
        <v>6079086.0759683698</v>
      </c>
      <c r="L13" s="40">
        <v>6561486.6784280296</v>
      </c>
      <c r="M13" s="40">
        <v>7403983</v>
      </c>
      <c r="N13" s="40">
        <v>8199829</v>
      </c>
      <c r="O13" s="40">
        <v>9203466</v>
      </c>
      <c r="P13" s="40">
        <v>10734355.498780699</v>
      </c>
      <c r="Q13" s="40">
        <v>10874860</v>
      </c>
      <c r="R13" s="40">
        <v>15453380</v>
      </c>
      <c r="S13" s="40">
        <v>26844011.719840299</v>
      </c>
      <c r="T13" s="40"/>
      <c r="U13" s="40"/>
      <c r="V13" s="40"/>
      <c r="W13" s="40"/>
      <c r="X13" s="40"/>
      <c r="Y13" s="40"/>
      <c r="Z13" s="41"/>
      <c r="AA13" s="39"/>
      <c r="AB13" s="4"/>
      <c r="AC13" s="4"/>
      <c r="AD13" s="4"/>
      <c r="AE13" s="4"/>
      <c r="AF13" s="4"/>
      <c r="AG13" s="4"/>
      <c r="AH13" s="4"/>
      <c r="AI13" s="4"/>
      <c r="AJ13" s="4"/>
      <c r="AK13" s="4"/>
      <c r="AL13" s="4"/>
      <c r="AM13" s="4"/>
      <c r="AN13" s="4"/>
      <c r="AO13" s="4"/>
      <c r="AP13" s="4"/>
    </row>
    <row r="14" spans="1:43" ht="30" customHeight="1">
      <c r="A14" s="167" t="s">
        <v>100</v>
      </c>
      <c r="B14" s="4"/>
      <c r="C14" s="4"/>
      <c r="D14" s="4"/>
      <c r="E14" s="345" t="s">
        <v>125</v>
      </c>
      <c r="F14" s="346"/>
      <c r="G14" s="346"/>
      <c r="H14" s="346"/>
      <c r="I14" s="346"/>
      <c r="J14" s="347"/>
      <c r="K14" s="42">
        <f t="shared" ref="K14:R14" si="0">-(K13-K16)</f>
        <v>-539892.07596836984</v>
      </c>
      <c r="L14" s="42">
        <f t="shared" si="0"/>
        <v>-571574.67842802964</v>
      </c>
      <c r="M14" s="42">
        <f t="shared" si="0"/>
        <v>-880867</v>
      </c>
      <c r="N14" s="42">
        <f t="shared" si="0"/>
        <v>-944025</v>
      </c>
      <c r="O14" s="42">
        <f t="shared" si="0"/>
        <v>-1128077</v>
      </c>
      <c r="P14" s="42">
        <f t="shared" si="0"/>
        <v>-1048146.4987806994</v>
      </c>
      <c r="Q14" s="42">
        <f t="shared" si="0"/>
        <v>-1067803</v>
      </c>
      <c r="R14" s="42">
        <f t="shared" si="0"/>
        <v>-1587161</v>
      </c>
      <c r="S14" s="42">
        <v>-2462220.7198402998</v>
      </c>
      <c r="T14" s="42"/>
      <c r="U14" s="42"/>
      <c r="V14" s="40"/>
      <c r="W14" s="40"/>
      <c r="X14" s="40"/>
      <c r="Y14" s="40"/>
      <c r="Z14" s="41"/>
      <c r="AA14" s="39"/>
      <c r="AB14" s="4"/>
      <c r="AC14" s="4"/>
      <c r="AD14" s="4"/>
      <c r="AE14" s="4"/>
      <c r="AF14" s="4"/>
      <c r="AG14" s="4"/>
      <c r="AH14" s="4"/>
      <c r="AI14" s="4"/>
      <c r="AJ14" s="4"/>
      <c r="AK14" s="4"/>
      <c r="AL14" s="4"/>
      <c r="AM14" s="4"/>
      <c r="AN14" s="4"/>
      <c r="AO14" s="4"/>
      <c r="AP14" s="4"/>
    </row>
    <row r="15" spans="1:43" ht="30" customHeight="1">
      <c r="A15" s="12" t="s">
        <v>331</v>
      </c>
      <c r="B15" s="4"/>
      <c r="C15" s="4"/>
      <c r="D15" s="4"/>
      <c r="E15" s="201" t="s">
        <v>309</v>
      </c>
      <c r="F15" s="202"/>
      <c r="G15" s="202"/>
      <c r="H15" s="202"/>
      <c r="I15" s="202"/>
      <c r="J15" s="203"/>
      <c r="K15" s="60">
        <f t="shared" ref="K15:S15" si="1">-K14/K13</f>
        <v>8.8811388623472903E-2</v>
      </c>
      <c r="L15" s="60">
        <f t="shared" si="1"/>
        <v>8.7110544673842855E-2</v>
      </c>
      <c r="M15" s="60">
        <f t="shared" si="1"/>
        <v>0.11897204518162724</v>
      </c>
      <c r="N15" s="60">
        <f t="shared" si="1"/>
        <v>0.11512740082750506</v>
      </c>
      <c r="O15" s="60">
        <f t="shared" si="1"/>
        <v>0.12257088796764176</v>
      </c>
      <c r="P15" s="60">
        <f t="shared" si="1"/>
        <v>9.7644101585768889E-2</v>
      </c>
      <c r="Q15" s="60">
        <f t="shared" si="1"/>
        <v>9.8190045664955691E-2</v>
      </c>
      <c r="R15" s="60">
        <f t="shared" si="1"/>
        <v>0.10270639821191221</v>
      </c>
      <c r="S15" s="60">
        <f t="shared" si="1"/>
        <v>9.1723276890856159E-2</v>
      </c>
      <c r="T15" s="60"/>
      <c r="U15" s="42"/>
      <c r="V15" s="40"/>
      <c r="W15" s="40"/>
      <c r="X15" s="40"/>
      <c r="Y15" s="40"/>
      <c r="Z15" s="41"/>
      <c r="AA15" s="43"/>
      <c r="AB15" s="4"/>
      <c r="AC15" s="4"/>
      <c r="AD15" s="4"/>
      <c r="AE15" s="4"/>
      <c r="AF15" s="4"/>
      <c r="AG15" s="4"/>
      <c r="AH15" s="4"/>
      <c r="AI15" s="4"/>
      <c r="AJ15" s="4"/>
      <c r="AK15" s="4"/>
      <c r="AL15" s="4"/>
      <c r="AM15" s="4"/>
      <c r="AN15" s="4"/>
      <c r="AO15" s="4"/>
      <c r="AP15" s="4"/>
    </row>
    <row r="16" spans="1:43" ht="30" customHeight="1">
      <c r="A16" s="167" t="s">
        <v>129</v>
      </c>
      <c r="B16" s="4"/>
      <c r="C16" s="4"/>
      <c r="D16" s="10"/>
      <c r="E16" s="354" t="s">
        <v>12</v>
      </c>
      <c r="F16" s="355"/>
      <c r="G16" s="355"/>
      <c r="H16" s="355"/>
      <c r="I16" s="355"/>
      <c r="J16" s="356"/>
      <c r="K16" s="40">
        <v>5539194</v>
      </c>
      <c r="L16" s="40">
        <v>5989912</v>
      </c>
      <c r="M16" s="40">
        <v>6523116</v>
      </c>
      <c r="N16" s="40">
        <v>7255804</v>
      </c>
      <c r="O16" s="40">
        <v>8075389</v>
      </c>
      <c r="P16" s="40">
        <v>9686209</v>
      </c>
      <c r="Q16" s="40">
        <v>9807057</v>
      </c>
      <c r="R16" s="40">
        <v>13866219</v>
      </c>
      <c r="S16" s="40">
        <v>24381791</v>
      </c>
      <c r="T16" s="40">
        <v>23321789</v>
      </c>
      <c r="U16" s="40">
        <f>V16-SUM(T16:T16)</f>
        <v>8336165.1210917607</v>
      </c>
      <c r="V16" s="40">
        <f>'Projeções - Receita e EBIT'!Q10</f>
        <v>31657954.121091761</v>
      </c>
      <c r="W16" s="40">
        <f>'Projeções - Receita e EBIT'!R10</f>
        <v>39929182.95923841</v>
      </c>
      <c r="X16" s="40">
        <f>'Projeções - Receita e EBIT'!S10</f>
        <v>47076707.241966113</v>
      </c>
      <c r="Y16" s="40">
        <f>'Projeções - Receita e EBIT'!T10</f>
        <v>52864436.835145667</v>
      </c>
      <c r="Z16" s="41">
        <f>'Projeções - Receita e EBIT'!U10</f>
        <v>58805341.244370364</v>
      </c>
      <c r="AA16" s="43"/>
      <c r="AB16" s="4"/>
      <c r="AC16" s="4"/>
      <c r="AD16" s="4"/>
      <c r="AE16" s="4"/>
      <c r="AF16" s="4"/>
      <c r="AG16" s="4"/>
      <c r="AH16" s="4"/>
      <c r="AI16" s="4"/>
      <c r="AJ16" s="4"/>
      <c r="AK16" s="4"/>
      <c r="AL16" s="4"/>
      <c r="AM16" s="4"/>
      <c r="AN16" s="4"/>
      <c r="AO16" s="4"/>
      <c r="AP16" s="4"/>
    </row>
    <row r="17" spans="1:42" ht="30" customHeight="1">
      <c r="A17" s="167" t="s">
        <v>493</v>
      </c>
      <c r="B17" s="4"/>
      <c r="C17" s="4"/>
      <c r="D17" s="10"/>
      <c r="E17" s="363" t="s">
        <v>47</v>
      </c>
      <c r="F17" s="364"/>
      <c r="G17" s="364"/>
      <c r="H17" s="364"/>
      <c r="I17" s="364"/>
      <c r="J17" s="365"/>
      <c r="K17" s="44">
        <v>0</v>
      </c>
      <c r="L17" s="44">
        <f t="shared" ref="L17:S17" si="2">L16/K16-1</f>
        <v>8.1368877854792521E-2</v>
      </c>
      <c r="M17" s="44">
        <f t="shared" si="2"/>
        <v>8.9017000583647921E-2</v>
      </c>
      <c r="N17" s="44">
        <f t="shared" si="2"/>
        <v>0.11232177995914827</v>
      </c>
      <c r="O17" s="44">
        <f t="shared" si="2"/>
        <v>0.11295577995215966</v>
      </c>
      <c r="P17" s="44">
        <f t="shared" si="2"/>
        <v>0.19947274366597068</v>
      </c>
      <c r="Q17" s="44">
        <f t="shared" si="2"/>
        <v>1.2476294905468199E-2</v>
      </c>
      <c r="R17" s="44">
        <f t="shared" si="2"/>
        <v>0.41390215229706517</v>
      </c>
      <c r="S17" s="44">
        <f t="shared" si="2"/>
        <v>0.75835900183027549</v>
      </c>
      <c r="T17" s="44"/>
      <c r="U17" s="44"/>
      <c r="V17" s="44">
        <f>V16/S16-1</f>
        <v>0.29842611320438928</v>
      </c>
      <c r="W17" s="44">
        <f>W16/V16-1</f>
        <v>0.26126858376600004</v>
      </c>
      <c r="X17" s="44">
        <f>X16/W16-1</f>
        <v>0.17900502221706449</v>
      </c>
      <c r="Y17" s="44">
        <f>Y16/X16-1</f>
        <v>0.12294253214082351</v>
      </c>
      <c r="Z17" s="44">
        <f>Z16/Y16-1</f>
        <v>0.11237998104001412</v>
      </c>
      <c r="AA17" s="43"/>
      <c r="AB17" s="4"/>
      <c r="AC17" s="4"/>
      <c r="AD17" s="4"/>
      <c r="AE17" s="4"/>
      <c r="AF17" s="4"/>
      <c r="AG17" s="4"/>
      <c r="AH17" s="4"/>
      <c r="AI17" s="4"/>
      <c r="AJ17" s="4"/>
      <c r="AK17" s="4"/>
      <c r="AL17" s="4"/>
      <c r="AM17" s="4"/>
      <c r="AN17" s="4"/>
      <c r="AO17" s="4"/>
      <c r="AP17" s="4"/>
    </row>
    <row r="18" spans="1:42" ht="30" customHeight="1">
      <c r="A18" s="12" t="s">
        <v>128</v>
      </c>
      <c r="B18" s="4"/>
      <c r="C18" s="4"/>
      <c r="D18" s="10"/>
      <c r="E18" s="363" t="s">
        <v>13</v>
      </c>
      <c r="F18" s="364"/>
      <c r="G18" s="364"/>
      <c r="H18" s="364"/>
      <c r="I18" s="364"/>
      <c r="J18" s="365"/>
      <c r="K18" s="42">
        <v>-3865141</v>
      </c>
      <c r="L18" s="42">
        <v>-3974936</v>
      </c>
      <c r="M18" s="42">
        <v>-3936687</v>
      </c>
      <c r="N18" s="42">
        <v>-4032052</v>
      </c>
      <c r="O18" s="42">
        <v>-4699220</v>
      </c>
      <c r="P18" s="42">
        <v>-5102646</v>
      </c>
      <c r="Q18" s="42">
        <v>-5168883</v>
      </c>
      <c r="R18" s="42">
        <v>-7304534</v>
      </c>
      <c r="S18" s="42">
        <v>-12624428</v>
      </c>
      <c r="T18" s="42">
        <v>-12628498</v>
      </c>
      <c r="U18" s="42"/>
      <c r="V18" s="42"/>
      <c r="W18" s="42"/>
      <c r="X18" s="42"/>
      <c r="Y18" s="42"/>
      <c r="Z18" s="45"/>
      <c r="AA18" s="43"/>
      <c r="AB18" s="4"/>
      <c r="AC18" s="4"/>
      <c r="AD18" s="4"/>
      <c r="AE18" s="4"/>
      <c r="AF18" s="4"/>
      <c r="AG18" s="4"/>
      <c r="AH18" s="4"/>
      <c r="AI18" s="4"/>
      <c r="AJ18" s="4"/>
      <c r="AK18" s="4"/>
      <c r="AL18" s="4"/>
      <c r="AM18" s="4"/>
      <c r="AN18" s="4"/>
      <c r="AO18" s="4"/>
      <c r="AP18" s="4"/>
    </row>
    <row r="19" spans="1:42" ht="30" customHeight="1">
      <c r="A19" s="12"/>
      <c r="B19" s="4"/>
      <c r="C19" s="4"/>
      <c r="D19" s="10"/>
      <c r="E19" s="363" t="s">
        <v>496</v>
      </c>
      <c r="F19" s="364" t="s">
        <v>496</v>
      </c>
      <c r="G19" s="364"/>
      <c r="H19" s="364"/>
      <c r="I19" s="364"/>
      <c r="J19" s="365"/>
      <c r="K19" s="42"/>
      <c r="L19" s="42"/>
      <c r="M19" s="42"/>
      <c r="N19" s="42"/>
      <c r="O19" s="42"/>
      <c r="P19" s="42"/>
      <c r="Q19" s="42"/>
      <c r="R19" s="42"/>
      <c r="S19" s="42"/>
      <c r="T19" s="42">
        <v>-82622</v>
      </c>
      <c r="U19" s="42"/>
      <c r="V19" s="42"/>
      <c r="W19" s="42"/>
      <c r="X19" s="42"/>
      <c r="Y19" s="42"/>
      <c r="Z19" s="45"/>
      <c r="AA19" s="43"/>
      <c r="AB19" s="4"/>
      <c r="AC19" s="4"/>
      <c r="AD19" s="4"/>
      <c r="AE19" s="4"/>
      <c r="AF19" s="4"/>
      <c r="AG19" s="4"/>
      <c r="AH19" s="4"/>
      <c r="AI19" s="4"/>
      <c r="AJ19" s="4"/>
      <c r="AK19" s="4"/>
      <c r="AL19" s="4"/>
      <c r="AM19" s="4"/>
      <c r="AN19" s="4"/>
      <c r="AO19" s="4"/>
      <c r="AP19" s="4"/>
    </row>
    <row r="20" spans="1:42" ht="30" customHeight="1">
      <c r="A20" s="12" t="s">
        <v>98</v>
      </c>
      <c r="B20" s="4"/>
      <c r="C20" s="4"/>
      <c r="D20" s="10"/>
      <c r="E20" s="201" t="s">
        <v>159</v>
      </c>
      <c r="F20" s="202"/>
      <c r="G20" s="202"/>
      <c r="H20" s="202"/>
      <c r="I20" s="202"/>
      <c r="J20" s="203"/>
      <c r="K20" s="42">
        <v>-681231</v>
      </c>
      <c r="L20" s="42">
        <v>-877618</v>
      </c>
      <c r="M20" s="42">
        <v>-1289069</v>
      </c>
      <c r="N20" s="42">
        <v>-1737637</v>
      </c>
      <c r="O20" s="42">
        <v>-1609867</v>
      </c>
      <c r="P20" s="42">
        <v>-2524180</v>
      </c>
      <c r="Q20" s="42">
        <v>-2618101</v>
      </c>
      <c r="R20" s="42">
        <v>-2077780</v>
      </c>
      <c r="S20" s="42">
        <v>-4166192</v>
      </c>
      <c r="T20" s="42">
        <v>-4104310</v>
      </c>
      <c r="U20" s="42"/>
      <c r="V20" s="42"/>
      <c r="W20" s="42"/>
      <c r="X20" s="42"/>
      <c r="Y20" s="42"/>
      <c r="Z20" s="45"/>
      <c r="AA20" s="43"/>
      <c r="AB20" s="4"/>
      <c r="AC20" s="4"/>
      <c r="AD20" s="4"/>
      <c r="AE20" s="4"/>
      <c r="AF20" s="4"/>
      <c r="AG20" s="4"/>
      <c r="AH20" s="4"/>
      <c r="AI20" s="4"/>
      <c r="AJ20" s="4"/>
      <c r="AK20" s="4"/>
      <c r="AL20" s="4"/>
      <c r="AM20" s="4"/>
      <c r="AN20" s="4"/>
      <c r="AO20" s="4"/>
      <c r="AP20" s="4"/>
    </row>
    <row r="21" spans="1:42" ht="30" customHeight="1">
      <c r="A21" s="12"/>
      <c r="B21" s="4"/>
      <c r="C21" s="4"/>
      <c r="D21" s="4"/>
      <c r="E21" s="354" t="s">
        <v>14</v>
      </c>
      <c r="F21" s="355"/>
      <c r="G21" s="355"/>
      <c r="H21" s="355"/>
      <c r="I21" s="355"/>
      <c r="J21" s="356"/>
      <c r="K21" s="46">
        <f t="shared" ref="K21:S21" si="3">K16+K18+K20</f>
        <v>992822</v>
      </c>
      <c r="L21" s="46">
        <f t="shared" si="3"/>
        <v>1137358</v>
      </c>
      <c r="M21" s="46">
        <f t="shared" si="3"/>
        <v>1297360</v>
      </c>
      <c r="N21" s="46">
        <f t="shared" si="3"/>
        <v>1486115</v>
      </c>
      <c r="O21" s="46">
        <f t="shared" si="3"/>
        <v>1766302</v>
      </c>
      <c r="P21" s="46">
        <f t="shared" si="3"/>
        <v>2059383</v>
      </c>
      <c r="Q21" s="46">
        <f t="shared" si="3"/>
        <v>2020073</v>
      </c>
      <c r="R21" s="46">
        <f t="shared" si="3"/>
        <v>4483905</v>
      </c>
      <c r="S21" s="46">
        <f t="shared" si="3"/>
        <v>7591171</v>
      </c>
      <c r="T21" s="46">
        <f>T16+T18+T19+T20</f>
        <v>6506359</v>
      </c>
      <c r="U21" s="46"/>
      <c r="V21" s="42"/>
      <c r="W21" s="42"/>
      <c r="X21" s="42"/>
      <c r="Y21" s="42"/>
      <c r="Z21" s="45"/>
      <c r="AA21" s="43"/>
      <c r="AB21" s="4"/>
      <c r="AC21" s="4"/>
      <c r="AD21" s="4"/>
      <c r="AE21" s="4"/>
      <c r="AF21" s="4"/>
      <c r="AG21" s="4"/>
      <c r="AH21" s="4"/>
      <c r="AI21" s="4"/>
      <c r="AJ21" s="4"/>
      <c r="AK21" s="4"/>
      <c r="AL21" s="4"/>
      <c r="AM21" s="4"/>
      <c r="AN21" s="4"/>
      <c r="AO21" s="4"/>
      <c r="AP21" s="4"/>
    </row>
    <row r="22" spans="1:42" ht="30" customHeight="1">
      <c r="A22" s="12"/>
      <c r="B22" s="4"/>
      <c r="C22" s="4"/>
      <c r="D22" s="4"/>
      <c r="E22" s="360" t="s">
        <v>51</v>
      </c>
      <c r="F22" s="361"/>
      <c r="G22" s="361"/>
      <c r="H22" s="361"/>
      <c r="I22" s="361"/>
      <c r="J22" s="362"/>
      <c r="K22" s="44">
        <f t="shared" ref="K22:S22" si="4">K21/K16</f>
        <v>0.17923582384007491</v>
      </c>
      <c r="L22" s="44">
        <f t="shared" si="4"/>
        <v>0.1898789164181377</v>
      </c>
      <c r="M22" s="44">
        <f t="shared" si="4"/>
        <v>0.19888654440607831</v>
      </c>
      <c r="N22" s="44">
        <f t="shared" si="4"/>
        <v>0.20481741237773238</v>
      </c>
      <c r="O22" s="44">
        <f t="shared" si="4"/>
        <v>0.21872655298710689</v>
      </c>
      <c r="P22" s="44">
        <f t="shared" si="4"/>
        <v>0.21260980431043766</v>
      </c>
      <c r="Q22" s="44">
        <f t="shared" si="4"/>
        <v>0.20598157021010483</v>
      </c>
      <c r="R22" s="44">
        <f t="shared" si="4"/>
        <v>0.32336897318584107</v>
      </c>
      <c r="S22" s="44">
        <f t="shared" si="4"/>
        <v>0.31134591384201432</v>
      </c>
      <c r="T22" s="44">
        <f t="shared" ref="T22" si="5">T21/T16</f>
        <v>0.27898198547289832</v>
      </c>
      <c r="U22" s="44"/>
      <c r="V22" s="42"/>
      <c r="W22" s="42"/>
      <c r="X22" s="42"/>
      <c r="Y22" s="42"/>
      <c r="Z22" s="45"/>
      <c r="AA22" s="43"/>
      <c r="AB22" s="4"/>
      <c r="AC22" s="4"/>
      <c r="AD22" s="4"/>
      <c r="AE22" s="4"/>
      <c r="AF22" s="4"/>
      <c r="AG22" s="4"/>
      <c r="AH22" s="4"/>
      <c r="AI22" s="4"/>
      <c r="AJ22" s="4"/>
      <c r="AK22" s="4"/>
      <c r="AL22" s="4"/>
      <c r="AM22" s="4"/>
      <c r="AN22" s="4"/>
      <c r="AO22" s="4"/>
      <c r="AP22" s="4"/>
    </row>
    <row r="23" spans="1:42" ht="30" customHeight="1">
      <c r="A23" s="12"/>
      <c r="B23" s="4"/>
      <c r="C23" s="4"/>
      <c r="D23" s="4"/>
      <c r="E23" s="363" t="s">
        <v>15</v>
      </c>
      <c r="F23" s="364"/>
      <c r="G23" s="364"/>
      <c r="H23" s="364"/>
      <c r="I23" s="364"/>
      <c r="J23" s="365"/>
      <c r="K23" s="42">
        <f t="shared" ref="K23:T23" si="6">SUM(K24,K26,K28,K29,K32)</f>
        <v>-532720</v>
      </c>
      <c r="L23" s="42">
        <f t="shared" si="6"/>
        <v>-553903</v>
      </c>
      <c r="M23" s="42">
        <f t="shared" si="6"/>
        <v>-798577</v>
      </c>
      <c r="N23" s="42">
        <f t="shared" si="6"/>
        <v>-781645</v>
      </c>
      <c r="O23" s="42">
        <f t="shared" si="6"/>
        <v>-805585</v>
      </c>
      <c r="P23" s="42">
        <f t="shared" si="6"/>
        <v>-860218</v>
      </c>
      <c r="Q23" s="42">
        <f t="shared" si="6"/>
        <v>-990091</v>
      </c>
      <c r="R23" s="42">
        <f t="shared" si="6"/>
        <v>-1353354</v>
      </c>
      <c r="S23" s="42">
        <f t="shared" si="6"/>
        <v>-2474355</v>
      </c>
      <c r="T23" s="42">
        <f t="shared" si="6"/>
        <v>-2233284</v>
      </c>
      <c r="U23" s="42"/>
      <c r="V23" s="42"/>
      <c r="W23" s="42"/>
      <c r="X23" s="42"/>
      <c r="Y23" s="42"/>
      <c r="Z23" s="45"/>
      <c r="AA23" s="43"/>
      <c r="AB23" s="4"/>
      <c r="AC23" s="4"/>
      <c r="AD23" s="4"/>
      <c r="AE23" s="4"/>
      <c r="AF23" s="4"/>
      <c r="AG23" s="4"/>
      <c r="AH23" s="4"/>
      <c r="AI23" s="4"/>
      <c r="AJ23" s="4"/>
      <c r="AK23" s="4"/>
      <c r="AL23" s="4"/>
      <c r="AM23" s="4"/>
      <c r="AN23" s="4"/>
      <c r="AO23" s="4"/>
      <c r="AP23" s="4"/>
    </row>
    <row r="24" spans="1:42" ht="30" customHeight="1">
      <c r="A24" s="12"/>
      <c r="B24" s="4"/>
      <c r="C24" s="4"/>
      <c r="D24" s="4"/>
      <c r="E24" s="374" t="s">
        <v>193</v>
      </c>
      <c r="F24" s="375"/>
      <c r="G24" s="375"/>
      <c r="H24" s="375"/>
      <c r="I24" s="375"/>
      <c r="J24" s="376"/>
      <c r="K24" s="42">
        <v>-8093</v>
      </c>
      <c r="L24" s="42">
        <v>-9584</v>
      </c>
      <c r="M24" s="42">
        <v>0</v>
      </c>
      <c r="N24" s="42">
        <v>0</v>
      </c>
      <c r="O24" s="42">
        <v>0</v>
      </c>
      <c r="P24" s="42">
        <v>0</v>
      </c>
      <c r="Q24" s="42">
        <v>0</v>
      </c>
      <c r="R24" s="42">
        <v>0</v>
      </c>
      <c r="S24" s="42">
        <v>0</v>
      </c>
      <c r="T24" s="42">
        <v>0</v>
      </c>
      <c r="U24" s="42"/>
      <c r="V24" s="42"/>
      <c r="W24" s="42"/>
      <c r="X24" s="42"/>
      <c r="Y24" s="42"/>
      <c r="Z24" s="45"/>
      <c r="AA24" s="43"/>
      <c r="AB24" s="4"/>
      <c r="AC24" s="4"/>
      <c r="AD24" s="4"/>
      <c r="AE24" s="4"/>
      <c r="AF24" s="4"/>
      <c r="AG24" s="4"/>
      <c r="AH24" s="4"/>
      <c r="AI24" s="4"/>
      <c r="AJ24" s="4"/>
      <c r="AK24" s="4"/>
      <c r="AL24" s="4"/>
      <c r="AM24" s="4"/>
      <c r="AN24" s="4"/>
      <c r="AO24" s="4"/>
      <c r="AP24" s="4"/>
    </row>
    <row r="25" spans="1:42" ht="30" customHeight="1">
      <c r="A25" s="12"/>
      <c r="B25" s="4"/>
      <c r="C25" s="4"/>
      <c r="D25" s="4"/>
      <c r="E25" s="368" t="s">
        <v>30</v>
      </c>
      <c r="F25" s="369"/>
      <c r="G25" s="369"/>
      <c r="H25" s="369"/>
      <c r="I25" s="369"/>
      <c r="J25" s="370"/>
      <c r="K25" s="44">
        <f t="shared" ref="K25:S25" si="7">-K24/K16</f>
        <v>1.4610428881891482E-3</v>
      </c>
      <c r="L25" s="44">
        <f t="shared" si="7"/>
        <v>1.6000235061884047E-3</v>
      </c>
      <c r="M25" s="44">
        <f t="shared" si="7"/>
        <v>0</v>
      </c>
      <c r="N25" s="44">
        <f t="shared" si="7"/>
        <v>0</v>
      </c>
      <c r="O25" s="44">
        <f t="shared" si="7"/>
        <v>0</v>
      </c>
      <c r="P25" s="44">
        <f t="shared" si="7"/>
        <v>0</v>
      </c>
      <c r="Q25" s="44">
        <f t="shared" si="7"/>
        <v>0</v>
      </c>
      <c r="R25" s="44">
        <f t="shared" si="7"/>
        <v>0</v>
      </c>
      <c r="S25" s="44">
        <f t="shared" si="7"/>
        <v>0</v>
      </c>
      <c r="T25" s="44">
        <f t="shared" ref="T25" si="8">-T24/T16</f>
        <v>0</v>
      </c>
      <c r="U25" s="44"/>
      <c r="V25" s="42"/>
      <c r="W25" s="42"/>
      <c r="X25" s="42"/>
      <c r="Y25" s="42"/>
      <c r="Z25" s="45"/>
      <c r="AA25" s="43"/>
      <c r="AB25" s="4"/>
      <c r="AC25" s="4"/>
      <c r="AD25" s="4"/>
      <c r="AE25" s="4"/>
      <c r="AF25" s="4"/>
      <c r="AG25" s="4"/>
      <c r="AH25" s="4"/>
      <c r="AI25" s="4"/>
      <c r="AJ25" s="4"/>
      <c r="AK25" s="4"/>
      <c r="AL25" s="4"/>
      <c r="AM25" s="4"/>
      <c r="AN25" s="4"/>
      <c r="AO25" s="4"/>
      <c r="AP25" s="4"/>
    </row>
    <row r="26" spans="1:42" ht="30" customHeight="1">
      <c r="A26" s="12"/>
      <c r="B26" s="4"/>
      <c r="C26" s="4"/>
      <c r="D26" s="4"/>
      <c r="E26" s="357" t="s">
        <v>262</v>
      </c>
      <c r="F26" s="358"/>
      <c r="G26" s="358"/>
      <c r="H26" s="358"/>
      <c r="I26" s="358"/>
      <c r="J26" s="359"/>
      <c r="K26" s="42">
        <v>-491535</v>
      </c>
      <c r="L26" s="42">
        <v>-510134</v>
      </c>
      <c r="M26" s="42">
        <v>-684175</v>
      </c>
      <c r="N26" s="42">
        <v>-746102</v>
      </c>
      <c r="O26" s="42">
        <v>-794421</v>
      </c>
      <c r="P26" s="42">
        <f>-571098-293107</f>
        <v>-864205</v>
      </c>
      <c r="Q26" s="42">
        <v>-896692</v>
      </c>
      <c r="R26" s="42">
        <v>-1398455</v>
      </c>
      <c r="S26" s="42">
        <f>-884377-1397532</f>
        <v>-2281909</v>
      </c>
      <c r="T26" s="42">
        <f>-880719-1344926</f>
        <v>-2225645</v>
      </c>
      <c r="U26" s="42"/>
      <c r="V26" s="42"/>
      <c r="W26" s="42"/>
      <c r="X26" s="42"/>
      <c r="Y26" s="42"/>
      <c r="Z26" s="45"/>
      <c r="AA26" s="43"/>
      <c r="AB26" s="4"/>
      <c r="AC26" s="4"/>
      <c r="AD26" s="4"/>
      <c r="AE26" s="4"/>
      <c r="AF26" s="4"/>
      <c r="AG26" s="4"/>
      <c r="AH26" s="4"/>
      <c r="AI26" s="4"/>
      <c r="AJ26" s="4"/>
      <c r="AK26" s="4"/>
      <c r="AL26" s="4"/>
      <c r="AM26" s="4"/>
      <c r="AN26" s="4"/>
      <c r="AO26" s="4"/>
      <c r="AP26" s="4"/>
    </row>
    <row r="27" spans="1:42" ht="30" customHeight="1">
      <c r="A27" s="12"/>
      <c r="B27" s="4"/>
      <c r="C27" s="4"/>
      <c r="D27" s="4"/>
      <c r="E27" s="371" t="s">
        <v>30</v>
      </c>
      <c r="F27" s="372"/>
      <c r="G27" s="372"/>
      <c r="H27" s="372"/>
      <c r="I27" s="372"/>
      <c r="J27" s="373"/>
      <c r="K27" s="44">
        <f t="shared" ref="K27:T27" si="9">-K26/K16</f>
        <v>8.8737639447183103E-2</v>
      </c>
      <c r="L27" s="44">
        <f t="shared" si="9"/>
        <v>8.5165524969315079E-2</v>
      </c>
      <c r="M27" s="44">
        <f t="shared" si="9"/>
        <v>0.10488469007756415</v>
      </c>
      <c r="N27" s="44">
        <f t="shared" si="9"/>
        <v>0.10282830131574668</v>
      </c>
      <c r="O27" s="44">
        <f t="shared" si="9"/>
        <v>9.8375570514312061E-2</v>
      </c>
      <c r="P27" s="44">
        <f t="shared" si="9"/>
        <v>8.9220147944360895E-2</v>
      </c>
      <c r="Q27" s="44">
        <f t="shared" si="9"/>
        <v>9.1433342337053816E-2</v>
      </c>
      <c r="R27" s="44">
        <f t="shared" si="9"/>
        <v>0.10085337610779117</v>
      </c>
      <c r="S27" s="44">
        <f t="shared" si="9"/>
        <v>9.3590704636915309E-2</v>
      </c>
      <c r="T27" s="44">
        <f t="shared" si="9"/>
        <v>9.5432001378624939E-2</v>
      </c>
      <c r="U27" s="44"/>
      <c r="V27" s="42"/>
      <c r="W27" s="42"/>
      <c r="X27" s="42"/>
      <c r="Y27" s="42"/>
      <c r="Z27" s="45"/>
      <c r="AA27" s="43"/>
      <c r="AB27" s="4"/>
      <c r="AC27" s="4"/>
      <c r="AD27" s="4"/>
      <c r="AE27" s="4"/>
      <c r="AF27" s="4"/>
      <c r="AG27" s="4"/>
      <c r="AH27" s="4"/>
      <c r="AI27" s="4"/>
      <c r="AJ27" s="4"/>
      <c r="AK27" s="4"/>
      <c r="AL27" s="4"/>
      <c r="AM27" s="4"/>
      <c r="AN27" s="4"/>
      <c r="AO27" s="4"/>
      <c r="AP27" s="4"/>
    </row>
    <row r="28" spans="1:42" ht="30" customHeight="1">
      <c r="A28" s="12"/>
      <c r="B28" s="4"/>
      <c r="C28" s="4"/>
      <c r="D28" s="4"/>
      <c r="E28" s="47" t="s">
        <v>97</v>
      </c>
      <c r="F28" s="48"/>
      <c r="G28" s="48"/>
      <c r="H28" s="48"/>
      <c r="I28" s="48"/>
      <c r="J28" s="49"/>
      <c r="K28" s="42">
        <v>0</v>
      </c>
      <c r="L28" s="42">
        <v>0</v>
      </c>
      <c r="M28" s="42">
        <v>0</v>
      </c>
      <c r="N28" s="42">
        <v>0</v>
      </c>
      <c r="O28" s="42">
        <v>-9146</v>
      </c>
      <c r="P28" s="42">
        <v>-32527</v>
      </c>
      <c r="Q28" s="42">
        <v>-78667</v>
      </c>
      <c r="R28" s="42">
        <v>-56164</v>
      </c>
      <c r="S28" s="42">
        <v>-127315</v>
      </c>
      <c r="T28" s="42">
        <v>-153092</v>
      </c>
      <c r="U28" s="42"/>
      <c r="V28" s="42"/>
      <c r="W28" s="42"/>
      <c r="X28" s="42"/>
      <c r="Y28" s="42"/>
      <c r="Z28" s="45"/>
      <c r="AA28" s="43"/>
      <c r="AB28" s="4"/>
      <c r="AC28" s="4"/>
      <c r="AD28" s="4"/>
      <c r="AE28" s="4"/>
      <c r="AF28" s="4"/>
      <c r="AG28" s="4"/>
      <c r="AH28" s="4"/>
      <c r="AI28" s="4"/>
      <c r="AJ28" s="4"/>
      <c r="AK28" s="4"/>
      <c r="AL28" s="4"/>
      <c r="AM28" s="4"/>
      <c r="AN28" s="4"/>
      <c r="AO28" s="4"/>
      <c r="AP28" s="4"/>
    </row>
    <row r="29" spans="1:42" ht="30" customHeight="1">
      <c r="A29" s="12"/>
      <c r="B29" s="4"/>
      <c r="C29" s="4"/>
      <c r="D29" s="4"/>
      <c r="E29" s="357" t="s">
        <v>19</v>
      </c>
      <c r="F29" s="358"/>
      <c r="G29" s="358"/>
      <c r="H29" s="358"/>
      <c r="I29" s="358"/>
      <c r="J29" s="359"/>
      <c r="K29" s="42">
        <f t="shared" ref="K29:T29" si="10">SUM(K30:K31)</f>
        <v>-33186</v>
      </c>
      <c r="L29" s="42">
        <f t="shared" si="10"/>
        <v>-34256</v>
      </c>
      <c r="M29" s="42">
        <f t="shared" si="10"/>
        <v>-114402</v>
      </c>
      <c r="N29" s="42">
        <f t="shared" si="10"/>
        <v>-35543</v>
      </c>
      <c r="O29" s="42">
        <f t="shared" si="10"/>
        <v>-1058</v>
      </c>
      <c r="P29" s="42">
        <f t="shared" si="10"/>
        <v>37715</v>
      </c>
      <c r="Q29" s="42">
        <f t="shared" si="10"/>
        <v>-14217</v>
      </c>
      <c r="R29" s="42">
        <f t="shared" si="10"/>
        <v>102799</v>
      </c>
      <c r="S29" s="42">
        <f t="shared" si="10"/>
        <v>-67941</v>
      </c>
      <c r="T29" s="42">
        <f t="shared" si="10"/>
        <v>142529</v>
      </c>
      <c r="U29" s="42"/>
      <c r="V29" s="42"/>
      <c r="W29" s="42"/>
      <c r="X29" s="42"/>
      <c r="Y29" s="42"/>
      <c r="Z29" s="45"/>
      <c r="AA29" s="43"/>
      <c r="AB29" s="4"/>
      <c r="AC29" s="4"/>
      <c r="AD29" s="4"/>
      <c r="AE29" s="4"/>
      <c r="AF29" s="4"/>
      <c r="AG29" s="4"/>
      <c r="AH29" s="4"/>
      <c r="AI29" s="4"/>
      <c r="AJ29" s="4"/>
      <c r="AK29" s="4"/>
      <c r="AL29" s="4"/>
      <c r="AM29" s="4"/>
      <c r="AN29" s="4"/>
      <c r="AO29" s="4"/>
      <c r="AP29" s="4"/>
    </row>
    <row r="30" spans="1:42" ht="30" customHeight="1">
      <c r="A30" s="12"/>
      <c r="B30" s="4"/>
      <c r="C30" s="4"/>
      <c r="D30" s="4"/>
      <c r="E30" s="371" t="s">
        <v>39</v>
      </c>
      <c r="F30" s="372"/>
      <c r="G30" s="372"/>
      <c r="H30" s="372"/>
      <c r="I30" s="372"/>
      <c r="J30" s="373"/>
      <c r="K30" s="42">
        <v>-33186</v>
      </c>
      <c r="L30" s="42">
        <v>-34256</v>
      </c>
      <c r="M30" s="42">
        <v>-114402</v>
      </c>
      <c r="N30" s="42">
        <v>-35543</v>
      </c>
      <c r="O30" s="42">
        <v>-1058</v>
      </c>
      <c r="P30" s="42">
        <v>37715</v>
      </c>
      <c r="Q30" s="42">
        <v>-14217</v>
      </c>
      <c r="R30" s="42">
        <v>102799</v>
      </c>
      <c r="S30" s="42">
        <v>0</v>
      </c>
      <c r="T30" s="42">
        <v>142529</v>
      </c>
      <c r="U30" s="42"/>
      <c r="V30" s="42"/>
      <c r="W30" s="42"/>
      <c r="X30" s="42"/>
      <c r="Y30" s="42"/>
      <c r="Z30" s="45"/>
      <c r="AA30" s="43"/>
      <c r="AB30" s="4"/>
      <c r="AC30" s="4"/>
      <c r="AD30" s="4"/>
      <c r="AE30" s="4"/>
      <c r="AF30" s="4"/>
      <c r="AG30" s="4"/>
      <c r="AH30" s="4"/>
      <c r="AI30" s="4"/>
      <c r="AJ30" s="4"/>
      <c r="AK30" s="4"/>
      <c r="AL30" s="4"/>
      <c r="AM30" s="4"/>
      <c r="AN30" s="4"/>
      <c r="AO30" s="4"/>
      <c r="AP30" s="4"/>
    </row>
    <row r="31" spans="1:42" ht="30" customHeight="1">
      <c r="A31" s="12"/>
      <c r="B31" s="4"/>
      <c r="C31" s="4"/>
      <c r="D31" s="4"/>
      <c r="E31" s="371" t="s">
        <v>40</v>
      </c>
      <c r="F31" s="372"/>
      <c r="G31" s="372"/>
      <c r="H31" s="372"/>
      <c r="I31" s="372"/>
      <c r="J31" s="373"/>
      <c r="K31" s="42">
        <v>0</v>
      </c>
      <c r="L31" s="42">
        <v>0</v>
      </c>
      <c r="M31" s="42">
        <v>0</v>
      </c>
      <c r="N31" s="42">
        <v>0</v>
      </c>
      <c r="O31" s="42">
        <v>0</v>
      </c>
      <c r="P31" s="42">
        <v>0</v>
      </c>
      <c r="Q31" s="42">
        <v>0</v>
      </c>
      <c r="R31" s="42">
        <v>0</v>
      </c>
      <c r="S31" s="42">
        <v>-67941</v>
      </c>
      <c r="T31" s="42">
        <v>0</v>
      </c>
      <c r="U31" s="42"/>
      <c r="V31" s="42"/>
      <c r="W31" s="42"/>
      <c r="X31" s="42"/>
      <c r="Y31" s="42"/>
      <c r="Z31" s="45"/>
      <c r="AA31" s="43"/>
      <c r="AB31" s="4"/>
      <c r="AC31" s="4"/>
      <c r="AD31" s="4"/>
      <c r="AE31" s="4"/>
      <c r="AF31" s="4"/>
      <c r="AG31" s="4"/>
      <c r="AH31" s="4"/>
      <c r="AI31" s="4"/>
      <c r="AJ31" s="4"/>
      <c r="AK31" s="4"/>
      <c r="AL31" s="4"/>
      <c r="AM31" s="4"/>
      <c r="AN31" s="4"/>
      <c r="AO31" s="4"/>
      <c r="AP31" s="4"/>
    </row>
    <row r="32" spans="1:42" ht="30" customHeight="1">
      <c r="A32" s="12"/>
      <c r="B32" s="4"/>
      <c r="C32" s="4"/>
      <c r="D32" s="4"/>
      <c r="E32" s="357" t="s">
        <v>41</v>
      </c>
      <c r="F32" s="358"/>
      <c r="G32" s="358"/>
      <c r="H32" s="358"/>
      <c r="I32" s="358"/>
      <c r="J32" s="359"/>
      <c r="K32" s="42">
        <v>94</v>
      </c>
      <c r="L32" s="42">
        <v>71</v>
      </c>
      <c r="M32" s="42">
        <v>0</v>
      </c>
      <c r="N32" s="42">
        <v>0</v>
      </c>
      <c r="O32" s="42">
        <v>-960</v>
      </c>
      <c r="P32" s="42">
        <v>-1201</v>
      </c>
      <c r="Q32" s="42">
        <v>-515</v>
      </c>
      <c r="R32" s="42">
        <v>-1534</v>
      </c>
      <c r="S32" s="42">
        <v>2810</v>
      </c>
      <c r="T32" s="42">
        <v>2924</v>
      </c>
      <c r="U32" s="42"/>
      <c r="V32" s="42"/>
      <c r="W32" s="42"/>
      <c r="X32" s="42"/>
      <c r="Y32" s="42"/>
      <c r="Z32" s="45"/>
      <c r="AA32" s="221"/>
      <c r="AB32" s="4"/>
      <c r="AC32" s="4"/>
      <c r="AD32" s="4"/>
      <c r="AE32" s="4"/>
      <c r="AF32" s="4"/>
      <c r="AG32" s="4"/>
      <c r="AH32" s="4"/>
      <c r="AI32" s="4"/>
      <c r="AJ32" s="4"/>
      <c r="AK32" s="4"/>
      <c r="AL32" s="4"/>
      <c r="AM32" s="4"/>
      <c r="AN32" s="4"/>
      <c r="AO32" s="4"/>
      <c r="AP32" s="4"/>
    </row>
    <row r="33" spans="1:45" ht="30" customHeight="1">
      <c r="A33" s="12"/>
      <c r="B33" s="4"/>
      <c r="C33" s="4"/>
      <c r="D33" s="4"/>
      <c r="E33" s="354" t="s">
        <v>521</v>
      </c>
      <c r="F33" s="355"/>
      <c r="G33" s="355"/>
      <c r="H33" s="355"/>
      <c r="I33" s="355"/>
      <c r="J33" s="356"/>
      <c r="K33" s="42">
        <f>K34+K55+'Projeções - CG + Capex'!K57</f>
        <v>868967</v>
      </c>
      <c r="L33" s="42">
        <f>L34+L55+'Projeções - CG + Capex'!L57</f>
        <v>1092081</v>
      </c>
      <c r="M33" s="42">
        <f>M34+M55+'Projeções - CG + Capex'!M57</f>
        <v>1045970</v>
      </c>
      <c r="N33" s="42">
        <f>N34+N55+'Projeções - CG + Capex'!N57</f>
        <v>1230201</v>
      </c>
      <c r="O33" s="42">
        <f>O34+O55+'Projeções - CG + Capex'!O57</f>
        <v>1597534</v>
      </c>
      <c r="P33" s="42">
        <f>P34+P55+'Projeções - CG + Capex'!P57</f>
        <v>2115909</v>
      </c>
      <c r="Q33" s="42">
        <f>Q34+Q55+'Projeções - CG + Capex'!Q57</f>
        <v>2141935</v>
      </c>
      <c r="R33" s="42">
        <f>R34+R55+'Projeções - CG + Capex'!R57</f>
        <v>4189665</v>
      </c>
      <c r="S33" s="42">
        <f>S34+S55+'Projeções - CG + Capex'!S57</f>
        <v>7003093</v>
      </c>
      <c r="T33" s="42">
        <f>T34+T55+'Projeções - CG + Capex'!T57</f>
        <v>6316302</v>
      </c>
      <c r="U33" s="42"/>
      <c r="V33" s="42"/>
      <c r="W33" s="42"/>
      <c r="X33" s="42"/>
      <c r="Y33" s="42"/>
      <c r="Z33" s="89"/>
      <c r="AA33" s="221"/>
      <c r="AB33" s="4"/>
      <c r="AC33" s="4"/>
      <c r="AD33" s="4"/>
      <c r="AE33" s="4"/>
      <c r="AF33" s="4"/>
      <c r="AG33" s="4"/>
      <c r="AH33" s="4"/>
      <c r="AI33" s="4"/>
      <c r="AJ33" s="4"/>
      <c r="AK33" s="4"/>
      <c r="AL33" s="4"/>
      <c r="AM33" s="4"/>
      <c r="AN33" s="4"/>
      <c r="AO33" s="4"/>
      <c r="AP33" s="4"/>
    </row>
    <row r="34" spans="1:45" ht="30" customHeight="1">
      <c r="A34" s="12"/>
      <c r="B34" s="4"/>
      <c r="C34" s="4"/>
      <c r="D34" s="4"/>
      <c r="E34" s="354" t="s">
        <v>16</v>
      </c>
      <c r="F34" s="355"/>
      <c r="G34" s="355"/>
      <c r="H34" s="355"/>
      <c r="I34" s="355"/>
      <c r="J34" s="356"/>
      <c r="K34" s="46">
        <f t="shared" ref="K34:T34" si="11">K21+K23</f>
        <v>460102</v>
      </c>
      <c r="L34" s="46">
        <f t="shared" si="11"/>
        <v>583455</v>
      </c>
      <c r="M34" s="46">
        <f t="shared" si="11"/>
        <v>498783</v>
      </c>
      <c r="N34" s="46">
        <f t="shared" si="11"/>
        <v>704470</v>
      </c>
      <c r="O34" s="46">
        <f t="shared" si="11"/>
        <v>960717</v>
      </c>
      <c r="P34" s="46">
        <f t="shared" si="11"/>
        <v>1199165</v>
      </c>
      <c r="Q34" s="46">
        <f t="shared" si="11"/>
        <v>1029982</v>
      </c>
      <c r="R34" s="46">
        <f t="shared" si="11"/>
        <v>3130551</v>
      </c>
      <c r="S34" s="46">
        <f t="shared" si="11"/>
        <v>5116816</v>
      </c>
      <c r="T34" s="46">
        <f t="shared" si="11"/>
        <v>4273075</v>
      </c>
      <c r="U34" s="40">
        <f>U16*U37</f>
        <v>1444175.9303235416</v>
      </c>
      <c r="V34" s="46"/>
      <c r="W34" s="46"/>
      <c r="X34" s="46"/>
      <c r="Y34" s="46"/>
      <c r="Z34" s="261"/>
      <c r="AA34" s="221"/>
      <c r="AB34" s="4"/>
      <c r="AC34" s="4"/>
      <c r="AD34" s="4"/>
      <c r="AE34" s="4"/>
      <c r="AF34" s="4"/>
      <c r="AG34" s="4"/>
      <c r="AH34" s="4"/>
      <c r="AI34" s="4"/>
      <c r="AJ34" s="4"/>
      <c r="AK34" s="4"/>
      <c r="AL34" s="4"/>
      <c r="AM34" s="4"/>
      <c r="AN34" s="4"/>
      <c r="AO34" s="4"/>
      <c r="AP34" s="4"/>
    </row>
    <row r="35" spans="1:45" ht="30" customHeight="1">
      <c r="A35" s="12"/>
      <c r="B35" s="4"/>
      <c r="C35" s="4"/>
      <c r="D35" s="4"/>
      <c r="E35" s="363" t="s">
        <v>93</v>
      </c>
      <c r="F35" s="364"/>
      <c r="G35" s="364"/>
      <c r="H35" s="364"/>
      <c r="I35" s="364"/>
      <c r="J35" s="365"/>
      <c r="K35" s="42">
        <f>'DRE - Contas Abertas'!F56</f>
        <v>-24516</v>
      </c>
      <c r="L35" s="42">
        <f>'DRE - Contas Abertas'!I56</f>
        <v>34204</v>
      </c>
      <c r="M35" s="42">
        <f>'DRE - Contas Abertas'!J56</f>
        <v>30444</v>
      </c>
      <c r="N35" s="42">
        <f>'DRE - Contas Abertas'!I56</f>
        <v>34204</v>
      </c>
      <c r="O35" s="42">
        <f>'DRE - Contas Abertas'!J56</f>
        <v>30444</v>
      </c>
      <c r="P35" s="42">
        <f>'DRE - Contas Abertas'!K56</f>
        <v>-929</v>
      </c>
      <c r="Q35" s="42">
        <f>'DRE - Contas Abertas'!L56</f>
        <v>-141683</v>
      </c>
      <c r="R35" s="42">
        <f>'DRE - Contas Abertas'!M56</f>
        <v>107566</v>
      </c>
      <c r="S35" s="42">
        <f>'DRE - Contas Abertas'!N56</f>
        <v>12526</v>
      </c>
      <c r="T35" s="42">
        <f>'DRE - Contas Abertas'!O56+254800</f>
        <v>232756</v>
      </c>
      <c r="U35" s="46"/>
      <c r="V35" s="46"/>
      <c r="W35" s="46"/>
      <c r="X35" s="46"/>
      <c r="Y35" s="46"/>
      <c r="Z35" s="213"/>
      <c r="AA35" s="175"/>
      <c r="AB35" s="4"/>
      <c r="AC35" s="4"/>
      <c r="AD35" s="4"/>
      <c r="AE35" s="4"/>
      <c r="AF35" s="4"/>
      <c r="AG35" s="4"/>
      <c r="AH35" s="4"/>
      <c r="AI35" s="4"/>
      <c r="AJ35" s="4"/>
      <c r="AK35" s="4"/>
      <c r="AL35" s="4"/>
      <c r="AM35" s="4"/>
      <c r="AN35" s="4"/>
      <c r="AO35" s="4"/>
      <c r="AP35" s="4"/>
    </row>
    <row r="36" spans="1:45" ht="30" customHeight="1">
      <c r="A36" s="12"/>
      <c r="B36" s="4"/>
      <c r="C36" s="4"/>
      <c r="D36" s="4"/>
      <c r="E36" s="354" t="s">
        <v>65</v>
      </c>
      <c r="F36" s="355"/>
      <c r="G36" s="355"/>
      <c r="H36" s="355"/>
      <c r="I36" s="355"/>
      <c r="J36" s="356"/>
      <c r="K36" s="46">
        <f t="shared" ref="K36:T36" si="12">SUM(K34-K35)</f>
        <v>484618</v>
      </c>
      <c r="L36" s="46">
        <f t="shared" si="12"/>
        <v>549251</v>
      </c>
      <c r="M36" s="46">
        <f t="shared" si="12"/>
        <v>468339</v>
      </c>
      <c r="N36" s="46">
        <f t="shared" si="12"/>
        <v>670266</v>
      </c>
      <c r="O36" s="46">
        <f t="shared" si="12"/>
        <v>930273</v>
      </c>
      <c r="P36" s="46">
        <f t="shared" si="12"/>
        <v>1200094</v>
      </c>
      <c r="Q36" s="46">
        <f t="shared" si="12"/>
        <v>1171665</v>
      </c>
      <c r="R36" s="46">
        <f t="shared" si="12"/>
        <v>3022985</v>
      </c>
      <c r="S36" s="46">
        <f t="shared" si="12"/>
        <v>5104290</v>
      </c>
      <c r="T36" s="46">
        <f t="shared" si="12"/>
        <v>4040319</v>
      </c>
      <c r="U36" s="46">
        <f t="shared" ref="U36" si="13">U34</f>
        <v>1444175.9303235416</v>
      </c>
      <c r="V36" s="46"/>
      <c r="W36" s="46"/>
      <c r="X36" s="46"/>
      <c r="Y36" s="46"/>
      <c r="Z36" s="261"/>
      <c r="AA36" s="221"/>
      <c r="AB36" s="4"/>
      <c r="AC36" s="4"/>
      <c r="AD36" s="4"/>
      <c r="AE36" s="4"/>
      <c r="AF36" s="4"/>
      <c r="AG36" s="4"/>
      <c r="AH36" s="4"/>
      <c r="AI36" s="4"/>
      <c r="AJ36" s="4"/>
      <c r="AK36" s="4"/>
      <c r="AL36" s="4"/>
      <c r="AM36" s="4"/>
      <c r="AN36" s="4"/>
      <c r="AO36" s="4"/>
      <c r="AP36" s="4"/>
    </row>
    <row r="37" spans="1:45" ht="30" customHeight="1">
      <c r="A37" s="12"/>
      <c r="B37" s="4"/>
      <c r="C37" s="4"/>
      <c r="D37" s="4"/>
      <c r="E37" s="360" t="s">
        <v>50</v>
      </c>
      <c r="F37" s="361"/>
      <c r="G37" s="361"/>
      <c r="H37" s="361"/>
      <c r="I37" s="361"/>
      <c r="J37" s="362"/>
      <c r="K37" s="44">
        <f t="shared" ref="K37:T37" si="14">K36/K16</f>
        <v>8.7488901814957193E-2</v>
      </c>
      <c r="L37" s="44">
        <f t="shared" si="14"/>
        <v>9.1696004882876408E-2</v>
      </c>
      <c r="M37" s="44">
        <f t="shared" si="14"/>
        <v>7.1796822254885553E-2</v>
      </c>
      <c r="N37" s="44">
        <f t="shared" si="14"/>
        <v>9.237653056780476E-2</v>
      </c>
      <c r="O37" s="44">
        <f t="shared" si="14"/>
        <v>0.11519853718501982</v>
      </c>
      <c r="P37" s="44">
        <f t="shared" si="14"/>
        <v>0.12389718206575968</v>
      </c>
      <c r="Q37" s="44">
        <f t="shared" si="14"/>
        <v>0.11947162130290463</v>
      </c>
      <c r="R37" s="44">
        <f t="shared" si="14"/>
        <v>0.21801076414558287</v>
      </c>
      <c r="S37" s="44">
        <f t="shared" si="14"/>
        <v>0.20934844368077801</v>
      </c>
      <c r="T37" s="44">
        <f t="shared" si="14"/>
        <v>0.17324224140780967</v>
      </c>
      <c r="U37" s="44">
        <f>T37</f>
        <v>0.17324224140780967</v>
      </c>
      <c r="V37" s="44"/>
      <c r="W37" s="44"/>
      <c r="X37" s="44"/>
      <c r="Y37" s="44"/>
      <c r="Z37" s="262"/>
      <c r="AA37" s="221"/>
      <c r="AB37" s="4"/>
      <c r="AC37" s="4"/>
      <c r="AD37" s="4"/>
      <c r="AE37" s="4"/>
      <c r="AF37" s="4"/>
      <c r="AG37" s="4"/>
      <c r="AH37" s="4"/>
      <c r="AI37" s="4"/>
      <c r="AJ37" s="4"/>
      <c r="AK37" s="4"/>
      <c r="AL37" s="4"/>
      <c r="AM37" s="4"/>
      <c r="AN37" s="4"/>
      <c r="AO37" s="4"/>
      <c r="AP37" s="4"/>
    </row>
    <row r="38" spans="1:45" ht="30" customHeight="1">
      <c r="A38" s="12"/>
      <c r="B38" s="4"/>
      <c r="C38" s="4"/>
      <c r="D38" s="4"/>
      <c r="E38" s="363" t="s">
        <v>17</v>
      </c>
      <c r="F38" s="364"/>
      <c r="G38" s="364"/>
      <c r="H38" s="364"/>
      <c r="I38" s="364"/>
      <c r="J38" s="365"/>
      <c r="K38" s="42">
        <f t="shared" ref="K38:T38" si="15">SUM(K39:K40)</f>
        <v>-348965</v>
      </c>
      <c r="L38" s="42">
        <f t="shared" si="15"/>
        <v>-516233</v>
      </c>
      <c r="M38" s="42">
        <f t="shared" si="15"/>
        <v>-748253</v>
      </c>
      <c r="N38" s="42">
        <f t="shared" si="15"/>
        <v>-670541</v>
      </c>
      <c r="O38" s="42">
        <f t="shared" si="15"/>
        <v>-681219</v>
      </c>
      <c r="P38" s="42">
        <f t="shared" si="15"/>
        <v>-768039</v>
      </c>
      <c r="Q38" s="42">
        <f t="shared" si="15"/>
        <v>-374776</v>
      </c>
      <c r="R38" s="42">
        <f t="shared" si="15"/>
        <v>-1217593</v>
      </c>
      <c r="S38" s="42">
        <f t="shared" si="15"/>
        <v>-4129431</v>
      </c>
      <c r="T38" s="42">
        <f t="shared" si="15"/>
        <v>-4352447</v>
      </c>
      <c r="U38" s="42"/>
      <c r="V38" s="42"/>
      <c r="W38" s="42"/>
      <c r="X38" s="42"/>
      <c r="Y38" s="42"/>
      <c r="Z38" s="212"/>
      <c r="AA38" s="221"/>
      <c r="AB38" s="4"/>
      <c r="AC38" s="4"/>
      <c r="AD38" s="4"/>
      <c r="AE38" s="4"/>
      <c r="AF38" s="4"/>
      <c r="AG38" s="4"/>
      <c r="AH38" s="4"/>
      <c r="AI38" s="4"/>
      <c r="AJ38" s="4"/>
      <c r="AK38" s="4"/>
      <c r="AL38" s="4"/>
      <c r="AM38" s="4"/>
      <c r="AN38" s="4"/>
      <c r="AO38" s="4"/>
      <c r="AP38" s="4"/>
    </row>
    <row r="39" spans="1:45" ht="30" customHeight="1">
      <c r="A39" s="12"/>
      <c r="B39" s="4"/>
      <c r="C39" s="4"/>
      <c r="D39" s="4"/>
      <c r="E39" s="357" t="s">
        <v>45</v>
      </c>
      <c r="F39" s="358"/>
      <c r="G39" s="358"/>
      <c r="H39" s="358"/>
      <c r="I39" s="358"/>
      <c r="J39" s="359"/>
      <c r="K39" s="42">
        <v>109484</v>
      </c>
      <c r="L39" s="42">
        <v>198480</v>
      </c>
      <c r="M39" s="42">
        <v>201723</v>
      </c>
      <c r="N39" s="42">
        <v>209555</v>
      </c>
      <c r="O39" s="42">
        <v>317809</v>
      </c>
      <c r="P39" s="42">
        <v>365336</v>
      </c>
      <c r="Q39" s="42">
        <v>679426</v>
      </c>
      <c r="R39" s="42">
        <v>736362</v>
      </c>
      <c r="S39" s="42">
        <v>1229042</v>
      </c>
      <c r="T39" s="42">
        <v>837998</v>
      </c>
      <c r="U39" s="42"/>
      <c r="V39" s="42"/>
      <c r="W39" s="42"/>
      <c r="X39" s="42"/>
      <c r="Y39" s="42"/>
      <c r="Z39" s="212"/>
      <c r="AA39" s="221"/>
      <c r="AB39" s="4"/>
      <c r="AC39" s="4"/>
      <c r="AD39" s="4"/>
      <c r="AE39" s="4"/>
      <c r="AF39" s="4"/>
      <c r="AG39" s="4"/>
      <c r="AH39" s="4"/>
      <c r="AI39" s="4"/>
      <c r="AJ39" s="4"/>
      <c r="AK39" s="4"/>
      <c r="AL39" s="4"/>
      <c r="AM39" s="4"/>
      <c r="AN39" s="4"/>
      <c r="AO39" s="4"/>
      <c r="AP39" s="4"/>
    </row>
    <row r="40" spans="1:45" ht="30" customHeight="1">
      <c r="A40" s="12"/>
      <c r="B40" s="4"/>
      <c r="C40" s="4"/>
      <c r="D40" s="4"/>
      <c r="E40" s="357" t="s">
        <v>44</v>
      </c>
      <c r="F40" s="358"/>
      <c r="G40" s="358"/>
      <c r="H40" s="358"/>
      <c r="I40" s="358"/>
      <c r="J40" s="359"/>
      <c r="K40" s="42">
        <v>-458449</v>
      </c>
      <c r="L40" s="42">
        <v>-714713</v>
      </c>
      <c r="M40" s="42">
        <v>-949976</v>
      </c>
      <c r="N40" s="42">
        <v>-880096</v>
      </c>
      <c r="O40" s="42">
        <v>-999028</v>
      </c>
      <c r="P40" s="42">
        <v>-1133375</v>
      </c>
      <c r="Q40" s="42">
        <v>-1054202</v>
      </c>
      <c r="R40" s="42">
        <v>-1953955</v>
      </c>
      <c r="S40" s="42">
        <v>-5358473</v>
      </c>
      <c r="T40" s="42">
        <v>-5190445</v>
      </c>
      <c r="U40" s="42"/>
      <c r="V40" s="42"/>
      <c r="W40" s="42"/>
      <c r="X40" s="42"/>
      <c r="Y40" s="42"/>
      <c r="Z40" s="45"/>
      <c r="AA40" s="4"/>
      <c r="AB40" s="4"/>
      <c r="AC40" s="4"/>
      <c r="AD40" s="4"/>
      <c r="AE40" s="4"/>
      <c r="AF40" s="4"/>
      <c r="AG40" s="4"/>
      <c r="AH40" s="4"/>
      <c r="AI40" s="4"/>
      <c r="AJ40" s="4"/>
      <c r="AK40" s="4"/>
      <c r="AL40" s="4"/>
      <c r="AM40" s="4"/>
      <c r="AN40" s="4"/>
      <c r="AO40" s="4"/>
      <c r="AP40" s="4"/>
    </row>
    <row r="41" spans="1:45" ht="30" customHeight="1">
      <c r="A41" s="12"/>
      <c r="B41" s="4"/>
      <c r="C41" s="4"/>
      <c r="D41" s="4"/>
      <c r="E41" s="354" t="s">
        <v>18</v>
      </c>
      <c r="F41" s="355"/>
      <c r="G41" s="355"/>
      <c r="H41" s="355"/>
      <c r="I41" s="355"/>
      <c r="J41" s="356"/>
      <c r="K41" s="46">
        <f t="shared" ref="K41:T41" si="16">K34+K38</f>
        <v>111137</v>
      </c>
      <c r="L41" s="46">
        <f t="shared" si="16"/>
        <v>67222</v>
      </c>
      <c r="M41" s="46">
        <f t="shared" si="16"/>
        <v>-249470</v>
      </c>
      <c r="N41" s="46">
        <f t="shared" si="16"/>
        <v>33929</v>
      </c>
      <c r="O41" s="46">
        <f t="shared" si="16"/>
        <v>279498</v>
      </c>
      <c r="P41" s="46">
        <f t="shared" si="16"/>
        <v>431126</v>
      </c>
      <c r="Q41" s="46">
        <f t="shared" si="16"/>
        <v>655206</v>
      </c>
      <c r="R41" s="46">
        <f t="shared" si="16"/>
        <v>1912958</v>
      </c>
      <c r="S41" s="46">
        <f t="shared" si="16"/>
        <v>987385</v>
      </c>
      <c r="T41" s="46">
        <f t="shared" si="16"/>
        <v>-79372</v>
      </c>
      <c r="U41" s="46"/>
      <c r="V41" s="42"/>
      <c r="W41" s="42"/>
      <c r="X41" s="42"/>
      <c r="Y41" s="42"/>
      <c r="Z41" s="45"/>
      <c r="AA41" s="88"/>
      <c r="AB41" s="4"/>
      <c r="AC41" s="4"/>
      <c r="AD41" s="4"/>
      <c r="AE41" s="4"/>
      <c r="AF41" s="4"/>
      <c r="AG41" s="4"/>
      <c r="AH41" s="4"/>
      <c r="AI41" s="4"/>
      <c r="AJ41" s="4"/>
      <c r="AK41" s="4"/>
      <c r="AL41" s="4"/>
      <c r="AM41" s="4"/>
      <c r="AN41" s="4"/>
      <c r="AO41" s="4"/>
      <c r="AP41" s="4"/>
      <c r="AQ41" s="4"/>
      <c r="AR41" s="4"/>
      <c r="AS41" s="4"/>
    </row>
    <row r="42" spans="1:45" ht="30" customHeight="1">
      <c r="A42" s="12"/>
      <c r="B42" s="4"/>
      <c r="C42" s="4"/>
      <c r="D42" s="4"/>
      <c r="E42" s="363" t="s">
        <v>31</v>
      </c>
      <c r="F42" s="364"/>
      <c r="G42" s="364"/>
      <c r="H42" s="364"/>
      <c r="I42" s="364"/>
      <c r="J42" s="365"/>
      <c r="K42" s="42">
        <f t="shared" ref="K42:T42" si="17">K43+K44</f>
        <v>-38697</v>
      </c>
      <c r="L42" s="42">
        <f t="shared" si="17"/>
        <v>-20461</v>
      </c>
      <c r="M42" s="42">
        <f t="shared" si="17"/>
        <v>66296</v>
      </c>
      <c r="N42" s="42">
        <f t="shared" si="17"/>
        <v>-17211</v>
      </c>
      <c r="O42" s="42">
        <f t="shared" si="17"/>
        <v>-90328</v>
      </c>
      <c r="P42" s="42">
        <f t="shared" si="17"/>
        <v>-112501</v>
      </c>
      <c r="Q42" s="42">
        <f t="shared" si="17"/>
        <v>-229167</v>
      </c>
      <c r="R42" s="42">
        <f t="shared" si="17"/>
        <v>-584008</v>
      </c>
      <c r="S42" s="42">
        <f t="shared" si="17"/>
        <v>-46678</v>
      </c>
      <c r="T42" s="42">
        <f t="shared" si="17"/>
        <v>145549</v>
      </c>
      <c r="U42" s="42"/>
      <c r="V42" s="42"/>
      <c r="W42" s="42"/>
      <c r="X42" s="42"/>
      <c r="Y42" s="42"/>
      <c r="Z42" s="45"/>
      <c r="AA42" s="4"/>
      <c r="AB42" s="4"/>
      <c r="AC42" s="4"/>
      <c r="AD42" s="4"/>
      <c r="AE42" s="4"/>
      <c r="AF42" s="4"/>
      <c r="AG42" s="4"/>
      <c r="AH42" s="4"/>
      <c r="AI42" s="4"/>
      <c r="AJ42" s="4"/>
      <c r="AK42" s="4"/>
      <c r="AL42" s="4"/>
      <c r="AM42" s="4"/>
      <c r="AN42" s="4"/>
      <c r="AO42" s="4"/>
      <c r="AP42" s="4"/>
      <c r="AQ42" s="4"/>
      <c r="AR42" s="4"/>
      <c r="AS42" s="4"/>
    </row>
    <row r="43" spans="1:45" ht="30" customHeight="1">
      <c r="A43" s="12"/>
      <c r="B43" s="4"/>
      <c r="C43" s="4"/>
      <c r="D43" s="4"/>
      <c r="E43" s="357" t="s">
        <v>42</v>
      </c>
      <c r="F43" s="358"/>
      <c r="G43" s="358"/>
      <c r="H43" s="358"/>
      <c r="I43" s="358"/>
      <c r="J43" s="359"/>
      <c r="K43" s="42">
        <v>-19885</v>
      </c>
      <c r="L43" s="42">
        <v>-13925</v>
      </c>
      <c r="M43" s="42">
        <v>-21844</v>
      </c>
      <c r="N43" s="42">
        <v>-30178</v>
      </c>
      <c r="O43" s="42">
        <v>-72495</v>
      </c>
      <c r="P43" s="42">
        <v>-68869</v>
      </c>
      <c r="Q43" s="42">
        <v>-177605</v>
      </c>
      <c r="R43" s="42">
        <v>-126774</v>
      </c>
      <c r="S43" s="42">
        <v>-117262</v>
      </c>
      <c r="T43" s="42">
        <v>-86034</v>
      </c>
      <c r="U43" s="42"/>
      <c r="V43" s="42"/>
      <c r="W43" s="42"/>
      <c r="X43" s="42"/>
      <c r="Y43" s="42"/>
      <c r="Z43" s="45"/>
      <c r="AA43" s="4"/>
      <c r="AB43" s="4"/>
      <c r="AC43" s="4"/>
      <c r="AD43" s="4"/>
      <c r="AE43" s="4"/>
      <c r="AF43" s="4"/>
      <c r="AG43" s="4"/>
      <c r="AH43" s="4"/>
      <c r="AI43" s="4"/>
      <c r="AJ43" s="4"/>
      <c r="AK43" s="4"/>
      <c r="AL43" s="4"/>
      <c r="AM43" s="4"/>
      <c r="AN43" s="4"/>
      <c r="AO43" s="4"/>
      <c r="AP43" s="4"/>
      <c r="AQ43" s="4"/>
      <c r="AR43" s="4"/>
      <c r="AS43" s="4"/>
    </row>
    <row r="44" spans="1:45" ht="30" customHeight="1">
      <c r="A44" s="12"/>
      <c r="B44" s="4"/>
      <c r="C44" s="4"/>
      <c r="D44" s="4"/>
      <c r="E44" s="357" t="s">
        <v>43</v>
      </c>
      <c r="F44" s="358"/>
      <c r="G44" s="358"/>
      <c r="H44" s="358"/>
      <c r="I44" s="358"/>
      <c r="J44" s="359"/>
      <c r="K44" s="42">
        <v>-18812</v>
      </c>
      <c r="L44" s="42">
        <v>-6536</v>
      </c>
      <c r="M44" s="42">
        <v>88140</v>
      </c>
      <c r="N44" s="42">
        <v>12967</v>
      </c>
      <c r="O44" s="42">
        <v>-17833</v>
      </c>
      <c r="P44" s="42">
        <v>-43632</v>
      </c>
      <c r="Q44" s="42">
        <v>-51562</v>
      </c>
      <c r="R44" s="42">
        <v>-457234</v>
      </c>
      <c r="S44" s="42">
        <v>70584</v>
      </c>
      <c r="T44" s="42">
        <v>231583</v>
      </c>
      <c r="U44" s="42"/>
      <c r="V44" s="42"/>
      <c r="W44" s="42"/>
      <c r="X44" s="42"/>
      <c r="Y44" s="42"/>
      <c r="Z44" s="45"/>
      <c r="AA44" s="4"/>
      <c r="AB44" s="4"/>
      <c r="AC44" s="4"/>
      <c r="AD44" s="4"/>
      <c r="AE44" s="4"/>
      <c r="AF44" s="4"/>
      <c r="AG44" s="4"/>
      <c r="AH44" s="4"/>
      <c r="AI44" s="4"/>
      <c r="AJ44" s="4"/>
      <c r="AK44" s="4"/>
      <c r="AL44" s="4"/>
      <c r="AM44" s="4"/>
      <c r="AN44" s="4"/>
      <c r="AO44" s="4"/>
      <c r="AP44" s="4"/>
      <c r="AQ44" s="4"/>
      <c r="AR44" s="4"/>
      <c r="AS44" s="4"/>
    </row>
    <row r="45" spans="1:45" ht="30" customHeight="1">
      <c r="A45" s="12"/>
      <c r="B45" s="4"/>
      <c r="C45" s="4"/>
      <c r="D45" s="4"/>
      <c r="E45" s="354" t="s">
        <v>162</v>
      </c>
      <c r="F45" s="355"/>
      <c r="G45" s="355"/>
      <c r="H45" s="355"/>
      <c r="I45" s="355"/>
      <c r="J45" s="356"/>
      <c r="K45" s="46">
        <f t="shared" ref="K45:T45" si="18">K41+K42</f>
        <v>72440</v>
      </c>
      <c r="L45" s="46">
        <f t="shared" si="18"/>
        <v>46761</v>
      </c>
      <c r="M45" s="46">
        <f t="shared" si="18"/>
        <v>-183174</v>
      </c>
      <c r="N45" s="46">
        <f t="shared" si="18"/>
        <v>16718</v>
      </c>
      <c r="O45" s="46">
        <f t="shared" si="18"/>
        <v>189170</v>
      </c>
      <c r="P45" s="46">
        <f t="shared" si="18"/>
        <v>318625</v>
      </c>
      <c r="Q45" s="46">
        <f t="shared" si="18"/>
        <v>426039</v>
      </c>
      <c r="R45" s="46">
        <f t="shared" si="18"/>
        <v>1328950</v>
      </c>
      <c r="S45" s="46">
        <f t="shared" si="18"/>
        <v>940707</v>
      </c>
      <c r="T45" s="46">
        <f t="shared" si="18"/>
        <v>66177</v>
      </c>
      <c r="U45" s="46"/>
      <c r="V45" s="42"/>
      <c r="W45" s="42"/>
      <c r="X45" s="42"/>
      <c r="Y45" s="42"/>
      <c r="Z45" s="45"/>
      <c r="AA45" s="4"/>
      <c r="AB45" s="4"/>
      <c r="AC45" s="4"/>
      <c r="AD45" s="4"/>
      <c r="AE45" s="4"/>
      <c r="AF45" s="4"/>
      <c r="AG45" s="4"/>
      <c r="AH45" s="4"/>
      <c r="AI45" s="4"/>
      <c r="AJ45" s="4"/>
      <c r="AK45" s="4"/>
      <c r="AL45" s="4"/>
      <c r="AM45" s="4"/>
      <c r="AN45" s="4"/>
      <c r="AO45" s="4"/>
      <c r="AP45" s="4"/>
      <c r="AQ45" s="4"/>
      <c r="AR45" s="4"/>
      <c r="AS45" s="4"/>
    </row>
    <row r="46" spans="1:45" ht="30" customHeight="1">
      <c r="A46" s="12"/>
      <c r="B46" s="4"/>
      <c r="C46" s="4"/>
      <c r="D46" s="4"/>
      <c r="E46" s="363" t="s">
        <v>161</v>
      </c>
      <c r="F46" s="364" t="s">
        <v>58</v>
      </c>
      <c r="G46" s="364"/>
      <c r="H46" s="364"/>
      <c r="I46" s="364"/>
      <c r="J46" s="365"/>
      <c r="K46" s="42">
        <v>0</v>
      </c>
      <c r="L46" s="42">
        <v>0</v>
      </c>
      <c r="M46" s="42">
        <v>0</v>
      </c>
      <c r="N46" s="42">
        <v>0</v>
      </c>
      <c r="O46" s="42">
        <v>0</v>
      </c>
      <c r="P46" s="42">
        <v>0</v>
      </c>
      <c r="Q46" s="42">
        <v>-28539</v>
      </c>
      <c r="R46" s="42">
        <v>0</v>
      </c>
      <c r="S46" s="42"/>
      <c r="T46" s="42"/>
      <c r="U46" s="42"/>
      <c r="V46" s="42"/>
      <c r="W46" s="42"/>
      <c r="X46" s="42"/>
      <c r="Y46" s="42"/>
      <c r="Z46" s="45"/>
      <c r="AA46" s="4"/>
      <c r="AB46" s="4"/>
      <c r="AC46" s="4"/>
      <c r="AD46" s="4"/>
      <c r="AE46" s="4"/>
      <c r="AF46" s="4"/>
      <c r="AG46" s="4"/>
      <c r="AH46" s="4"/>
      <c r="AI46" s="4"/>
      <c r="AJ46" s="4"/>
      <c r="AK46" s="4"/>
      <c r="AL46" s="4"/>
      <c r="AM46" s="4"/>
      <c r="AN46" s="4"/>
      <c r="AO46" s="4"/>
      <c r="AP46" s="4"/>
      <c r="AQ46" s="4"/>
      <c r="AR46" s="4"/>
      <c r="AS46" s="4"/>
    </row>
    <row r="47" spans="1:45" ht="30" customHeight="1">
      <c r="A47" s="12"/>
      <c r="B47" s="4"/>
      <c r="C47" s="4"/>
      <c r="D47" s="4"/>
      <c r="E47" s="201" t="s">
        <v>514</v>
      </c>
      <c r="F47" s="202"/>
      <c r="G47" s="202"/>
      <c r="H47" s="202"/>
      <c r="I47" s="202"/>
      <c r="J47" s="203"/>
      <c r="K47" s="42">
        <v>1</v>
      </c>
      <c r="L47" s="42">
        <v>1</v>
      </c>
      <c r="M47" s="42">
        <v>0</v>
      </c>
      <c r="N47" s="42">
        <v>0</v>
      </c>
      <c r="O47" s="42">
        <v>0</v>
      </c>
      <c r="P47" s="42">
        <v>0</v>
      </c>
      <c r="Q47" s="42">
        <v>0</v>
      </c>
      <c r="R47" s="42">
        <v>0</v>
      </c>
      <c r="S47" s="42"/>
      <c r="T47" s="42"/>
      <c r="U47" s="42"/>
      <c r="V47" s="42"/>
      <c r="W47" s="42"/>
      <c r="X47" s="42"/>
      <c r="Y47" s="42"/>
      <c r="Z47" s="45"/>
      <c r="AA47" s="4"/>
      <c r="AB47" s="4"/>
      <c r="AC47" s="4"/>
      <c r="AD47" s="4"/>
      <c r="AE47" s="4"/>
      <c r="AF47" s="4"/>
      <c r="AG47" s="4"/>
      <c r="AH47" s="4"/>
      <c r="AI47" s="4"/>
      <c r="AJ47" s="4"/>
      <c r="AK47" s="4"/>
      <c r="AL47" s="4"/>
      <c r="AM47" s="4"/>
      <c r="AN47" s="4"/>
      <c r="AO47" s="4"/>
      <c r="AP47" s="4"/>
      <c r="AQ47" s="4"/>
      <c r="AR47" s="4"/>
      <c r="AS47" s="4"/>
    </row>
    <row r="48" spans="1:45" ht="30" customHeight="1">
      <c r="A48" s="12"/>
      <c r="B48" s="4"/>
      <c r="C48" s="4"/>
      <c r="D48" s="4"/>
      <c r="E48" s="354" t="s">
        <v>163</v>
      </c>
      <c r="F48" s="355"/>
      <c r="G48" s="355"/>
      <c r="H48" s="355"/>
      <c r="I48" s="355"/>
      <c r="J48" s="356"/>
      <c r="K48" s="46">
        <f t="shared" ref="K48:T48" si="19">SUM(K45:K47)</f>
        <v>72441</v>
      </c>
      <c r="L48" s="46">
        <f t="shared" si="19"/>
        <v>46762</v>
      </c>
      <c r="M48" s="46">
        <f t="shared" si="19"/>
        <v>-183174</v>
      </c>
      <c r="N48" s="46">
        <f t="shared" si="19"/>
        <v>16718</v>
      </c>
      <c r="O48" s="46">
        <f t="shared" si="19"/>
        <v>189170</v>
      </c>
      <c r="P48" s="46">
        <f t="shared" si="19"/>
        <v>318625</v>
      </c>
      <c r="Q48" s="46">
        <f t="shared" si="19"/>
        <v>397500</v>
      </c>
      <c r="R48" s="46">
        <f t="shared" si="19"/>
        <v>1328950</v>
      </c>
      <c r="S48" s="46">
        <f t="shared" si="19"/>
        <v>940707</v>
      </c>
      <c r="T48" s="46">
        <f t="shared" si="19"/>
        <v>66177</v>
      </c>
      <c r="U48" s="42"/>
      <c r="V48" s="42"/>
      <c r="W48" s="42"/>
      <c r="X48" s="42"/>
      <c r="Y48" s="42"/>
      <c r="Z48" s="45"/>
      <c r="AA48" s="4"/>
      <c r="AB48" s="4"/>
      <c r="AC48" s="4"/>
      <c r="AD48" s="4"/>
      <c r="AE48" s="4"/>
      <c r="AF48" s="4"/>
      <c r="AG48" s="4"/>
      <c r="AH48" s="4"/>
      <c r="AI48" s="4"/>
      <c r="AJ48" s="4"/>
      <c r="AK48" s="4"/>
      <c r="AL48" s="4"/>
      <c r="AM48" s="4"/>
      <c r="AN48" s="4"/>
      <c r="AO48" s="4"/>
      <c r="AP48" s="4"/>
      <c r="AQ48" s="4"/>
    </row>
    <row r="49" spans="1:45" ht="30" customHeight="1" thickBot="1">
      <c r="A49" s="12"/>
      <c r="B49" s="4"/>
      <c r="C49" s="4"/>
      <c r="D49" s="4"/>
      <c r="E49" s="377" t="s">
        <v>49</v>
      </c>
      <c r="F49" s="378"/>
      <c r="G49" s="378"/>
      <c r="H49" s="378"/>
      <c r="I49" s="378"/>
      <c r="J49" s="379"/>
      <c r="K49" s="44">
        <f t="shared" ref="K49:T49" si="20">K45/K16</f>
        <v>1.3077714916646718E-2</v>
      </c>
      <c r="L49" s="44">
        <f t="shared" si="20"/>
        <v>7.8066255397408173E-3</v>
      </c>
      <c r="M49" s="44">
        <f t="shared" si="20"/>
        <v>-2.8080751591723956E-2</v>
      </c>
      <c r="N49" s="44">
        <f t="shared" si="20"/>
        <v>2.3040864940673702E-3</v>
      </c>
      <c r="O49" s="44">
        <f t="shared" si="20"/>
        <v>2.3425496901759161E-2</v>
      </c>
      <c r="P49" s="44">
        <f t="shared" si="20"/>
        <v>3.2894706277760477E-2</v>
      </c>
      <c r="Q49" s="44">
        <f t="shared" si="20"/>
        <v>4.3442084613151528E-2</v>
      </c>
      <c r="R49" s="44">
        <f t="shared" si="20"/>
        <v>9.5840834476939959E-2</v>
      </c>
      <c r="S49" s="44">
        <f t="shared" si="20"/>
        <v>3.8582358449385443E-2</v>
      </c>
      <c r="T49" s="44">
        <f t="shared" si="20"/>
        <v>2.8375610464531687E-3</v>
      </c>
      <c r="U49" s="188"/>
      <c r="V49" s="177"/>
      <c r="W49" s="177"/>
      <c r="X49" s="177"/>
      <c r="Y49" s="177"/>
      <c r="Z49" s="189"/>
      <c r="AA49" s="4"/>
      <c r="AB49" s="4"/>
      <c r="AC49" s="4"/>
      <c r="AD49" s="4"/>
      <c r="AE49" s="4"/>
      <c r="AF49" s="4"/>
      <c r="AG49" s="4"/>
      <c r="AH49" s="4"/>
      <c r="AI49" s="4"/>
      <c r="AJ49" s="4"/>
      <c r="AK49" s="4"/>
      <c r="AL49" s="4"/>
      <c r="AM49" s="4"/>
      <c r="AN49" s="4"/>
      <c r="AO49" s="4"/>
      <c r="AP49" s="4"/>
      <c r="AQ49" s="4"/>
    </row>
    <row r="50" spans="1:45" ht="30" customHeight="1">
      <c r="A50" s="12"/>
      <c r="B50" s="4"/>
      <c r="C50" s="4"/>
      <c r="D50" s="4"/>
      <c r="E50" s="190"/>
      <c r="F50" s="190"/>
      <c r="G50" s="190"/>
      <c r="H50" s="190"/>
      <c r="I50" s="190"/>
      <c r="J50" s="190"/>
      <c r="K50" s="190"/>
      <c r="L50" s="190"/>
      <c r="M50" s="190"/>
      <c r="N50" s="190"/>
      <c r="O50" s="190"/>
      <c r="P50" s="190"/>
      <c r="Q50" s="178"/>
      <c r="R50" s="178"/>
      <c r="S50" s="178"/>
      <c r="T50" s="178"/>
      <c r="U50" s="178"/>
      <c r="V50" s="178"/>
      <c r="W50" s="178"/>
      <c r="X50" s="178"/>
      <c r="Y50" s="178"/>
      <c r="Z50" s="178"/>
      <c r="AA50" s="4"/>
      <c r="AB50" s="4"/>
      <c r="AC50" s="4"/>
      <c r="AD50" s="4"/>
      <c r="AE50" s="4"/>
      <c r="AF50" s="4"/>
      <c r="AG50" s="4"/>
      <c r="AH50" s="4"/>
      <c r="AI50" s="4"/>
      <c r="AJ50" s="4"/>
      <c r="AK50" s="4"/>
      <c r="AL50" s="4"/>
      <c r="AM50" s="4"/>
      <c r="AN50" s="4"/>
      <c r="AO50" s="4"/>
      <c r="AP50" s="4"/>
      <c r="AQ50" s="4"/>
    </row>
    <row r="51" spans="1:45" ht="30" customHeight="1">
      <c r="A51" s="12"/>
      <c r="B51" s="4"/>
      <c r="C51" s="4"/>
      <c r="D51" s="10"/>
      <c r="E51" s="43"/>
      <c r="F51" s="43"/>
      <c r="G51" s="43"/>
      <c r="H51" s="43"/>
      <c r="I51" s="43"/>
      <c r="J51" s="43"/>
      <c r="K51" s="43"/>
      <c r="L51" s="43"/>
      <c r="M51" s="43"/>
      <c r="N51" s="43"/>
      <c r="O51" s="43"/>
      <c r="P51" s="43"/>
      <c r="Q51" s="43"/>
      <c r="R51" s="43"/>
      <c r="S51" s="43"/>
      <c r="T51" s="43"/>
      <c r="U51" s="43"/>
      <c r="V51" s="43"/>
      <c r="W51" s="43"/>
      <c r="X51" s="43"/>
      <c r="Y51" s="43"/>
      <c r="Z51" s="43"/>
      <c r="AA51" s="43"/>
      <c r="AB51" s="4"/>
      <c r="AC51" s="4"/>
      <c r="AD51" s="4"/>
      <c r="AE51" s="4"/>
      <c r="AF51" s="4"/>
      <c r="AG51" s="4"/>
      <c r="AH51" s="4"/>
      <c r="AI51" s="4"/>
      <c r="AJ51" s="4"/>
      <c r="AK51" s="4"/>
      <c r="AL51" s="4"/>
      <c r="AM51" s="4"/>
      <c r="AN51" s="4"/>
      <c r="AO51" s="4"/>
      <c r="AP51" s="4"/>
    </row>
    <row r="52" spans="1:45" ht="30" customHeight="1">
      <c r="A52" s="12"/>
      <c r="B52" s="4"/>
      <c r="C52" s="4"/>
      <c r="D52" s="4"/>
      <c r="E52" s="345"/>
      <c r="F52" s="346"/>
      <c r="G52" s="346"/>
      <c r="H52" s="346"/>
      <c r="I52" s="346"/>
      <c r="J52" s="347"/>
      <c r="K52" s="42"/>
      <c r="L52" s="42"/>
      <c r="M52" s="42"/>
      <c r="N52" s="42"/>
      <c r="O52" s="42"/>
      <c r="P52" s="42"/>
      <c r="Q52" s="42"/>
      <c r="R52" s="42"/>
      <c r="S52" s="42"/>
      <c r="T52" s="42"/>
      <c r="U52" s="42"/>
      <c r="V52" s="42"/>
      <c r="W52" s="42"/>
      <c r="X52" s="42"/>
      <c r="Y52" s="42"/>
      <c r="Z52" s="45"/>
      <c r="AA52" s="43"/>
      <c r="AB52" s="43"/>
      <c r="AC52" s="43"/>
      <c r="AD52" s="43"/>
      <c r="AE52" s="43"/>
      <c r="AF52" s="4"/>
      <c r="AG52" s="4"/>
      <c r="AH52" s="4"/>
      <c r="AI52" s="4"/>
      <c r="AJ52" s="4"/>
      <c r="AK52" s="4"/>
      <c r="AL52" s="4"/>
      <c r="AM52" s="4"/>
      <c r="AN52" s="4"/>
      <c r="AO52" s="4"/>
      <c r="AP52" s="4"/>
    </row>
    <row r="53" spans="1:45" ht="30" customHeight="1">
      <c r="A53" s="12"/>
      <c r="B53" s="4"/>
      <c r="C53" s="4"/>
      <c r="D53" s="4"/>
      <c r="E53" s="348"/>
      <c r="F53" s="349"/>
      <c r="G53" s="349"/>
      <c r="H53" s="349"/>
      <c r="I53" s="349"/>
      <c r="J53" s="350"/>
      <c r="K53" s="37">
        <v>2014</v>
      </c>
      <c r="L53" s="37">
        <v>2015</v>
      </c>
      <c r="M53" s="37">
        <v>2016</v>
      </c>
      <c r="N53" s="37">
        <v>2017</v>
      </c>
      <c r="O53" s="37">
        <v>2018</v>
      </c>
      <c r="P53" s="37">
        <v>2019</v>
      </c>
      <c r="Q53" s="37">
        <v>2020</v>
      </c>
      <c r="R53" s="37">
        <v>2021</v>
      </c>
      <c r="S53" s="37">
        <v>2022</v>
      </c>
      <c r="T53" s="37" t="s">
        <v>501</v>
      </c>
      <c r="U53" s="37" t="s">
        <v>487</v>
      </c>
      <c r="V53" s="38">
        <v>2023</v>
      </c>
      <c r="W53" s="38">
        <v>2024</v>
      </c>
      <c r="X53" s="38">
        <v>2025</v>
      </c>
      <c r="Y53" s="38">
        <v>2026</v>
      </c>
      <c r="Z53" s="305">
        <v>2027</v>
      </c>
      <c r="AA53" s="221"/>
      <c r="AB53" s="43"/>
      <c r="AC53" s="43"/>
      <c r="AD53" s="43"/>
      <c r="AE53" s="43"/>
      <c r="AF53" s="4"/>
      <c r="AG53" s="4"/>
      <c r="AH53" s="4"/>
      <c r="AI53" s="4"/>
      <c r="AJ53" s="4"/>
      <c r="AK53" s="4"/>
      <c r="AL53" s="4"/>
      <c r="AM53" s="4"/>
      <c r="AN53" s="4"/>
      <c r="AO53" s="4"/>
      <c r="AP53" s="4"/>
    </row>
    <row r="54" spans="1:45" ht="30" customHeight="1">
      <c r="A54" s="12"/>
      <c r="B54" s="4"/>
      <c r="C54" s="4"/>
      <c r="D54" s="4"/>
      <c r="E54" s="351" t="s">
        <v>296</v>
      </c>
      <c r="F54" s="352">
        <v>3.0034188360677654E-2</v>
      </c>
      <c r="G54" s="352">
        <v>-2.0925409668865167E-2</v>
      </c>
      <c r="H54" s="352">
        <v>-4.3315116285197811E-2</v>
      </c>
      <c r="I54" s="352">
        <v>0.13811997676197324</v>
      </c>
      <c r="J54" s="353">
        <v>-0.59211219068587562</v>
      </c>
      <c r="K54" s="44">
        <f t="shared" ref="K54:S54" si="21">IFERROR(IF(K34&gt;0,-K42/K34,"-"),"-")</f>
        <v>8.4105263615459183E-2</v>
      </c>
      <c r="L54" s="44">
        <f t="shared" si="21"/>
        <v>3.5068685674130823E-2</v>
      </c>
      <c r="M54" s="44">
        <f t="shared" si="21"/>
        <v>-0.13291551636683688</v>
      </c>
      <c r="N54" s="44">
        <f t="shared" si="21"/>
        <v>2.4431132624526241E-2</v>
      </c>
      <c r="O54" s="44">
        <f t="shared" si="21"/>
        <v>9.4021444400380128E-2</v>
      </c>
      <c r="P54" s="44">
        <f t="shared" si="21"/>
        <v>9.3816113712458252E-2</v>
      </c>
      <c r="Q54" s="44">
        <f t="shared" si="21"/>
        <v>0.22249612129144006</v>
      </c>
      <c r="R54" s="44">
        <f t="shared" si="21"/>
        <v>0.18655118539835319</v>
      </c>
      <c r="S54" s="44">
        <f t="shared" si="21"/>
        <v>9.1224699109758878E-3</v>
      </c>
      <c r="T54" s="44">
        <f>IFERROR(IF(T34&gt;0,-T42/T34,"-"),"-")</f>
        <v>-3.4061887516601046E-2</v>
      </c>
      <c r="U54" s="44">
        <f>IFERROR(IF(U34&gt;0,-U42/U34,"-"),"-")</f>
        <v>0</v>
      </c>
      <c r="V54" s="44">
        <f>AVERAGE($P$54:$S$54)</f>
        <v>0.12799647257830685</v>
      </c>
      <c r="W54" s="44"/>
      <c r="X54" s="44"/>
      <c r="Y54" s="44"/>
      <c r="Z54" s="44"/>
      <c r="AA54" s="221"/>
      <c r="AB54" s="43"/>
      <c r="AC54" s="43"/>
      <c r="AD54" s="43"/>
      <c r="AE54" s="43"/>
      <c r="AF54" s="4"/>
      <c r="AG54" s="4"/>
      <c r="AH54" s="4"/>
      <c r="AI54" s="4"/>
      <c r="AJ54" s="4"/>
      <c r="AK54" s="4"/>
      <c r="AL54" s="4"/>
      <c r="AM54" s="4"/>
      <c r="AN54" s="4"/>
      <c r="AO54" s="4"/>
      <c r="AP54" s="4"/>
    </row>
    <row r="55" spans="1:45" ht="30" customHeight="1">
      <c r="A55" s="12"/>
      <c r="B55" s="4"/>
      <c r="C55" s="4"/>
      <c r="D55" s="4"/>
      <c r="E55" s="249" t="s">
        <v>77</v>
      </c>
      <c r="F55" s="243"/>
      <c r="G55" s="243"/>
      <c r="H55" s="243"/>
      <c r="I55" s="243"/>
      <c r="J55" s="244"/>
      <c r="K55" s="46"/>
      <c r="L55" s="46"/>
      <c r="M55" s="46"/>
      <c r="N55" s="46"/>
      <c r="O55" s="46"/>
      <c r="P55" s="42">
        <f>'Projeções - CG + Capex'!P48</f>
        <v>127308</v>
      </c>
      <c r="Q55" s="42">
        <f>'Projeções - CG + Capex'!Q48</f>
        <v>129146</v>
      </c>
      <c r="R55" s="42">
        <f>'Projeções - CG + Capex'!R48</f>
        <v>186383</v>
      </c>
      <c r="S55" s="42">
        <f>'Projeções - CG + Capex'!S48</f>
        <v>199519</v>
      </c>
      <c r="T55" s="42">
        <f>'Projeções - CG + Capex'!T48</f>
        <v>304173</v>
      </c>
      <c r="U55" s="42">
        <f>'Projeções - CG + Capex'!U48</f>
        <v>0</v>
      </c>
      <c r="V55" s="42">
        <f>V56*V16</f>
        <v>419503.9677842551</v>
      </c>
      <c r="W55" s="42"/>
      <c r="X55" s="42"/>
      <c r="Y55" s="42"/>
      <c r="Z55" s="89"/>
      <c r="AA55" s="221"/>
      <c r="AB55" s="43"/>
      <c r="AC55" s="43"/>
      <c r="AD55" s="43"/>
      <c r="AE55" s="43"/>
      <c r="AF55" s="4"/>
      <c r="AG55" s="4"/>
      <c r="AH55" s="4"/>
      <c r="AI55" s="4"/>
      <c r="AJ55" s="4"/>
      <c r="AK55" s="4"/>
      <c r="AL55" s="4"/>
      <c r="AM55" s="4"/>
      <c r="AN55" s="4"/>
      <c r="AO55" s="4"/>
      <c r="AP55" s="4"/>
    </row>
    <row r="56" spans="1:45" ht="30" customHeight="1">
      <c r="A56" s="12"/>
      <c r="B56" s="4"/>
      <c r="C56" s="4"/>
      <c r="D56" s="4"/>
      <c r="E56" s="53" t="s">
        <v>78</v>
      </c>
      <c r="F56" s="243"/>
      <c r="G56" s="243"/>
      <c r="H56" s="243"/>
      <c r="I56" s="243"/>
      <c r="J56" s="244"/>
      <c r="K56" s="44">
        <f>K55/K16</f>
        <v>0</v>
      </c>
      <c r="L56" s="44">
        <f t="shared" ref="L56:R56" si="22">L55/L16</f>
        <v>0</v>
      </c>
      <c r="M56" s="44">
        <f t="shared" si="22"/>
        <v>0</v>
      </c>
      <c r="N56" s="44">
        <f t="shared" si="22"/>
        <v>0</v>
      </c>
      <c r="O56" s="44">
        <f t="shared" si="22"/>
        <v>0</v>
      </c>
      <c r="P56" s="44">
        <f t="shared" si="22"/>
        <v>1.3143222492927832E-2</v>
      </c>
      <c r="Q56" s="44">
        <f t="shared" si="22"/>
        <v>1.3168680471623648E-2</v>
      </c>
      <c r="R56" s="44">
        <f t="shared" si="22"/>
        <v>1.3441515672008353E-2</v>
      </c>
      <c r="S56" s="44">
        <f t="shared" ref="S56:T56" si="23">S55/S16</f>
        <v>8.183115013987283E-3</v>
      </c>
      <c r="T56" s="44">
        <f t="shared" si="23"/>
        <v>1.3042438553920541E-2</v>
      </c>
      <c r="U56" s="44">
        <f t="shared" ref="U56" si="24">U55/U16</f>
        <v>0</v>
      </c>
      <c r="V56" s="44">
        <f>AVERAGE(P56:R56)</f>
        <v>1.3251139545519944E-2</v>
      </c>
      <c r="W56" s="44"/>
      <c r="X56" s="44"/>
      <c r="Y56" s="44"/>
      <c r="Z56" s="44"/>
      <c r="AA56" s="221"/>
      <c r="AB56" s="43"/>
      <c r="AC56" s="43"/>
      <c r="AD56" s="43"/>
      <c r="AE56" s="43"/>
      <c r="AF56" s="4"/>
      <c r="AG56" s="4"/>
      <c r="AH56" s="4"/>
      <c r="AI56" s="4"/>
      <c r="AJ56" s="4"/>
      <c r="AK56" s="4"/>
      <c r="AL56" s="4"/>
      <c r="AM56" s="4"/>
      <c r="AN56" s="4"/>
      <c r="AO56" s="4"/>
      <c r="AP56" s="4"/>
    </row>
    <row r="57" spans="1:45" ht="29.25" customHeight="1" thickBot="1">
      <c r="A57" s="12"/>
      <c r="B57" s="4"/>
      <c r="C57" s="4"/>
      <c r="D57" s="4"/>
      <c r="E57" s="354" t="s">
        <v>24</v>
      </c>
      <c r="F57" s="355">
        <v>215718</v>
      </c>
      <c r="G57" s="355">
        <v>230388</v>
      </c>
      <c r="H57" s="355">
        <v>181530</v>
      </c>
      <c r="I57" s="355">
        <v>-272310</v>
      </c>
      <c r="J57" s="356">
        <v>-42610.000000000007</v>
      </c>
      <c r="K57" s="46">
        <f t="shared" ref="K57:R57" si="25">K36+K42+K55</f>
        <v>445921</v>
      </c>
      <c r="L57" s="46">
        <f t="shared" si="25"/>
        <v>528790</v>
      </c>
      <c r="M57" s="46">
        <f t="shared" si="25"/>
        <v>534635</v>
      </c>
      <c r="N57" s="46">
        <f t="shared" si="25"/>
        <v>653055</v>
      </c>
      <c r="O57" s="46">
        <f t="shared" si="25"/>
        <v>839945</v>
      </c>
      <c r="P57" s="46">
        <f t="shared" si="25"/>
        <v>1214901</v>
      </c>
      <c r="Q57" s="46">
        <f t="shared" si="25"/>
        <v>1071644</v>
      </c>
      <c r="R57" s="46">
        <f t="shared" si="25"/>
        <v>2625360</v>
      </c>
      <c r="S57" s="46">
        <f t="shared" ref="S57:T57" si="26">S36+S42+S55</f>
        <v>5257131</v>
      </c>
      <c r="T57" s="46">
        <f t="shared" si="26"/>
        <v>4490041</v>
      </c>
      <c r="U57" s="46">
        <f t="shared" ref="U57" si="27">U36+U42+U55</f>
        <v>1444175.9303235416</v>
      </c>
      <c r="V57" s="46"/>
      <c r="W57" s="46"/>
      <c r="X57" s="46"/>
      <c r="Y57" s="46"/>
      <c r="Z57" s="261"/>
      <c r="AA57" s="221"/>
      <c r="AB57" s="43"/>
      <c r="AC57" s="43"/>
      <c r="AD57" s="43"/>
      <c r="AE57" s="43"/>
      <c r="AF57" s="4"/>
      <c r="AG57" s="4"/>
      <c r="AH57" s="4"/>
      <c r="AI57" s="4"/>
      <c r="AJ57" s="4"/>
      <c r="AK57" s="4"/>
      <c r="AL57" s="4"/>
      <c r="AM57" s="4"/>
      <c r="AN57" s="4"/>
      <c r="AO57" s="4"/>
      <c r="AP57" s="4"/>
    </row>
    <row r="58" spans="1:45" ht="30" customHeight="1">
      <c r="A58" s="12"/>
      <c r="B58" s="4"/>
      <c r="C58" s="4"/>
      <c r="D58" s="4"/>
      <c r="E58" s="192"/>
      <c r="F58" s="192"/>
      <c r="G58" s="192"/>
      <c r="H58" s="192"/>
      <c r="I58" s="192"/>
      <c r="J58" s="192"/>
      <c r="K58" s="182"/>
      <c r="L58" s="182"/>
      <c r="M58" s="182"/>
      <c r="N58" s="182"/>
      <c r="O58" s="182"/>
      <c r="P58" s="182"/>
      <c r="Q58" s="182"/>
      <c r="R58" s="178"/>
      <c r="S58" s="178"/>
      <c r="T58" s="178"/>
      <c r="U58" s="178"/>
      <c r="V58" s="178"/>
      <c r="W58" s="178"/>
      <c r="X58" s="178"/>
      <c r="Y58" s="178"/>
      <c r="Z58" s="178"/>
      <c r="AA58" s="43"/>
      <c r="AB58" s="43"/>
      <c r="AC58" s="43"/>
      <c r="AD58" s="43"/>
      <c r="AE58" s="43"/>
      <c r="AF58" s="4"/>
      <c r="AG58" s="4"/>
      <c r="AH58" s="4"/>
      <c r="AI58" s="4"/>
      <c r="AJ58" s="4"/>
      <c r="AK58" s="4"/>
      <c r="AL58" s="4"/>
      <c r="AM58" s="4"/>
      <c r="AN58" s="4"/>
      <c r="AO58" s="4"/>
      <c r="AP58" s="4"/>
      <c r="AQ58" s="4"/>
      <c r="AR58" s="4"/>
      <c r="AS58" s="4"/>
    </row>
    <row r="59" spans="1:45" ht="30" customHeight="1">
      <c r="A59" s="12"/>
      <c r="B59" s="4"/>
      <c r="C59" s="4"/>
      <c r="D59" s="4"/>
      <c r="E59" s="50"/>
      <c r="F59" s="50"/>
      <c r="G59" s="50"/>
      <c r="H59" s="50"/>
      <c r="I59" s="50"/>
      <c r="J59" s="50"/>
      <c r="K59" s="51"/>
      <c r="L59" s="51"/>
      <c r="M59" s="51"/>
      <c r="N59" s="51"/>
      <c r="O59" s="51"/>
      <c r="P59" s="51"/>
      <c r="Q59" s="51"/>
      <c r="R59" s="4"/>
      <c r="S59" s="4"/>
      <c r="T59" s="4"/>
      <c r="U59" s="4"/>
      <c r="V59" s="4"/>
      <c r="W59" s="4"/>
      <c r="X59" s="4"/>
      <c r="Y59" s="4"/>
      <c r="Z59" s="4"/>
      <c r="AA59" s="43"/>
      <c r="AB59" s="43"/>
      <c r="AC59" s="43"/>
      <c r="AD59" s="43"/>
      <c r="AE59" s="43"/>
      <c r="AF59" s="4"/>
      <c r="AG59" s="4"/>
      <c r="AH59" s="4"/>
      <c r="AI59" s="4"/>
      <c r="AJ59" s="4"/>
      <c r="AK59" s="4"/>
      <c r="AL59" s="4"/>
      <c r="AM59" s="4"/>
      <c r="AN59" s="4"/>
      <c r="AO59" s="4"/>
      <c r="AP59" s="4"/>
      <c r="AQ59" s="4"/>
      <c r="AR59" s="4"/>
      <c r="AS59" s="4"/>
    </row>
    <row r="60" spans="1:45" ht="30" customHeight="1">
      <c r="A60" s="12"/>
      <c r="B60" s="4"/>
      <c r="C60" s="4"/>
      <c r="D60" s="4"/>
      <c r="E60" s="345"/>
      <c r="F60" s="346"/>
      <c r="G60" s="346"/>
      <c r="H60" s="346"/>
      <c r="I60" s="346"/>
      <c r="J60" s="347"/>
      <c r="K60" s="42"/>
      <c r="L60" s="42"/>
      <c r="M60" s="42"/>
      <c r="N60" s="42"/>
      <c r="O60" s="42"/>
      <c r="P60" s="42"/>
      <c r="Q60" s="42"/>
      <c r="R60" s="42"/>
      <c r="S60" s="42"/>
      <c r="T60" s="42"/>
      <c r="U60" s="42"/>
      <c r="V60" s="42"/>
      <c r="W60" s="42"/>
      <c r="X60" s="42"/>
      <c r="Y60" s="42"/>
      <c r="Z60" s="45"/>
      <c r="AA60" s="43"/>
      <c r="AB60" s="43"/>
      <c r="AC60" s="43"/>
      <c r="AD60" s="43"/>
      <c r="AE60" s="43"/>
      <c r="AF60" s="4"/>
      <c r="AG60" s="4"/>
      <c r="AH60" s="4"/>
      <c r="AI60" s="4"/>
      <c r="AJ60" s="4"/>
      <c r="AK60" s="4"/>
      <c r="AL60" s="4"/>
      <c r="AM60" s="4"/>
      <c r="AN60" s="4"/>
      <c r="AO60" s="4"/>
      <c r="AP60" s="4"/>
      <c r="AQ60" s="4"/>
      <c r="AR60" s="4"/>
      <c r="AS60" s="4"/>
    </row>
    <row r="61" spans="1:45" ht="30" customHeight="1">
      <c r="A61" s="12"/>
      <c r="B61" s="4"/>
      <c r="C61" s="4"/>
      <c r="D61" s="4"/>
      <c r="E61" s="348"/>
      <c r="F61" s="349"/>
      <c r="G61" s="349"/>
      <c r="H61" s="349"/>
      <c r="I61" s="349"/>
      <c r="J61" s="350"/>
      <c r="K61" s="37">
        <v>2014</v>
      </c>
      <c r="L61" s="37">
        <v>2015</v>
      </c>
      <c r="M61" s="37">
        <v>2016</v>
      </c>
      <c r="N61" s="37">
        <v>2017</v>
      </c>
      <c r="O61" s="37">
        <v>2018</v>
      </c>
      <c r="P61" s="37">
        <v>2019</v>
      </c>
      <c r="Q61" s="37">
        <v>2020</v>
      </c>
      <c r="R61" s="37">
        <v>2021</v>
      </c>
      <c r="S61" s="37">
        <v>2022</v>
      </c>
      <c r="T61" s="37" t="s">
        <v>501</v>
      </c>
      <c r="U61" s="37" t="s">
        <v>487</v>
      </c>
      <c r="V61" s="38">
        <v>2023</v>
      </c>
      <c r="W61" s="38">
        <v>2024</v>
      </c>
      <c r="X61" s="38">
        <v>2025</v>
      </c>
      <c r="Y61" s="38">
        <v>2026</v>
      </c>
      <c r="Z61" s="305">
        <v>2027</v>
      </c>
      <c r="AA61" s="43"/>
      <c r="AB61" s="43"/>
      <c r="AC61" s="43"/>
      <c r="AD61" s="43"/>
      <c r="AE61" s="43"/>
      <c r="AF61" s="4"/>
      <c r="AG61" s="4"/>
      <c r="AH61" s="4"/>
      <c r="AI61" s="4"/>
      <c r="AJ61" s="4"/>
      <c r="AK61" s="4"/>
      <c r="AL61" s="4"/>
      <c r="AM61" s="4"/>
      <c r="AN61" s="4"/>
      <c r="AO61" s="4"/>
      <c r="AP61" s="4"/>
      <c r="AQ61" s="4"/>
      <c r="AR61" s="4"/>
      <c r="AS61" s="4"/>
    </row>
    <row r="62" spans="1:45" ht="30" customHeight="1">
      <c r="A62" s="12"/>
      <c r="B62" s="4"/>
      <c r="C62" s="4"/>
      <c r="D62" s="4"/>
      <c r="E62" s="351" t="s">
        <v>271</v>
      </c>
      <c r="F62" s="352">
        <v>3.0034188360677654E-2</v>
      </c>
      <c r="G62" s="352">
        <v>-2.0925409668865167E-2</v>
      </c>
      <c r="H62" s="352">
        <v>-4.3315116285197811E-2</v>
      </c>
      <c r="I62" s="352">
        <v>0.13811997676197324</v>
      </c>
      <c r="J62" s="353">
        <v>-0.59211219068587562</v>
      </c>
      <c r="K62" s="44"/>
      <c r="L62" s="44"/>
      <c r="M62" s="44"/>
      <c r="N62" s="42">
        <f>'[1]DRE + DCF'!K61</f>
        <v>569446</v>
      </c>
      <c r="O62" s="42">
        <f>'[1]DRE + DCF'!L61</f>
        <v>479168.73177350027</v>
      </c>
      <c r="P62" s="42">
        <f>'[1]DRE + DCF'!M61</f>
        <v>171363.2582335003</v>
      </c>
      <c r="Q62" s="42">
        <f>'[1]DRE + DCF'!N61</f>
        <v>43916.532372999936</v>
      </c>
      <c r="R62" s="42">
        <f>'[1]DRE + DCF'!O61</f>
        <v>-883487.04265453259</v>
      </c>
      <c r="S62" s="42">
        <f>'[1]DRE + DCF'!P61</f>
        <v>-56785.487632167438</v>
      </c>
      <c r="T62" s="42">
        <f>'[1]DRE + DCF'!Q61</f>
        <v>-219286.59078229722</v>
      </c>
      <c r="U62" s="42">
        <f>'[1]DRE + DCF'!R61</f>
        <v>-702244.05425724282</v>
      </c>
      <c r="V62" s="42">
        <f>'[1]DRE + DCF'!S61</f>
        <v>-921530.64503954002</v>
      </c>
      <c r="W62" s="42">
        <f>'[1]DRE + DCF'!T61</f>
        <v>1006.0073726135888</v>
      </c>
      <c r="X62" s="42">
        <f>'[1]DRE + DCF'!U61</f>
        <v>157050.55555043326</v>
      </c>
      <c r="Y62" s="42">
        <f>'[1]DRE + DCF'!V61</f>
        <v>53410.304566536848</v>
      </c>
      <c r="Z62" s="334">
        <v>1110462.8374399347</v>
      </c>
      <c r="AA62" s="43"/>
      <c r="AB62" s="43"/>
      <c r="AC62" s="43"/>
      <c r="AD62" s="43"/>
      <c r="AE62" s="43"/>
      <c r="AF62" s="4"/>
      <c r="AG62" s="4"/>
      <c r="AH62" s="4"/>
      <c r="AI62" s="4"/>
      <c r="AJ62" s="4"/>
      <c r="AK62" s="4"/>
      <c r="AL62" s="4"/>
      <c r="AM62" s="4"/>
      <c r="AN62" s="4"/>
      <c r="AO62" s="4"/>
      <c r="AP62" s="4"/>
      <c r="AQ62" s="4"/>
      <c r="AR62" s="4"/>
      <c r="AS62" s="4"/>
    </row>
    <row r="63" spans="1:45" ht="30" customHeight="1">
      <c r="A63" s="12"/>
      <c r="B63" s="4"/>
      <c r="C63" s="4"/>
      <c r="D63" s="4"/>
      <c r="E63" s="330" t="s">
        <v>272</v>
      </c>
      <c r="F63" s="243"/>
      <c r="G63" s="243"/>
      <c r="H63" s="243"/>
      <c r="I63" s="243"/>
      <c r="J63" s="244"/>
      <c r="K63" s="46"/>
      <c r="L63" s="46"/>
      <c r="M63" s="46"/>
      <c r="N63" s="42">
        <f>'[2]DRE + DCF'!M62</f>
        <v>-478120.24999813765</v>
      </c>
      <c r="O63" s="42">
        <f>'[2]DRE + DCF'!N62</f>
        <v>-575059.39999990223</v>
      </c>
      <c r="P63" s="42">
        <f>'[2]DRE + DCF'!O62</f>
        <v>-682431.12500392552</v>
      </c>
      <c r="Q63" s="42">
        <f>'[2]DRE + DCF'!P62</f>
        <v>-773022.00000012212</v>
      </c>
      <c r="R63" s="42">
        <f>'[2]DRE + DCF'!Q62</f>
        <v>-3740225.9999921899</v>
      </c>
      <c r="S63" s="42">
        <f>'[2]DRE + DCF'!R62</f>
        <v>-3112013.1040001954</v>
      </c>
      <c r="T63" s="42">
        <f>'[2]DRE + DCF'!S62</f>
        <v>1426707.1375001464</v>
      </c>
      <c r="U63" s="42">
        <f>'[2]DRE + DCF'!T62</f>
        <v>456183.38945837523</v>
      </c>
      <c r="V63" s="42">
        <f>'[2]DRE + DCF'!U62</f>
        <v>1882890.5269585217</v>
      </c>
      <c r="W63" s="42">
        <f>'[2]DRE + DCF'!V62</f>
        <v>-76068.99326863607</v>
      </c>
      <c r="X63" s="42">
        <f>'[2]DRE + DCF'!W62</f>
        <v>-315442.92485684832</v>
      </c>
      <c r="Y63" s="42">
        <f>'[2]DRE + DCF'!X62</f>
        <v>-143424.27337449041</v>
      </c>
      <c r="Z63" s="334">
        <v>-26076.631103166128</v>
      </c>
      <c r="AA63" s="43"/>
      <c r="AB63" s="43"/>
      <c r="AC63" s="43"/>
      <c r="AD63" s="43"/>
      <c r="AE63" s="43"/>
      <c r="AF63" s="4"/>
      <c r="AG63" s="4"/>
      <c r="AH63" s="4"/>
      <c r="AI63" s="4"/>
      <c r="AJ63" s="4"/>
      <c r="AK63" s="4"/>
      <c r="AL63" s="4"/>
      <c r="AM63" s="4"/>
      <c r="AN63" s="4"/>
      <c r="AO63" s="4"/>
      <c r="AP63" s="4"/>
      <c r="AQ63" s="4"/>
      <c r="AR63" s="4"/>
      <c r="AS63" s="4"/>
    </row>
    <row r="64" spans="1:45" ht="30" customHeight="1">
      <c r="A64" s="12"/>
      <c r="B64" s="4"/>
      <c r="C64" s="4"/>
      <c r="D64" s="4"/>
      <c r="E64" s="330" t="s">
        <v>273</v>
      </c>
      <c r="F64" s="243"/>
      <c r="G64" s="243"/>
      <c r="H64" s="243"/>
      <c r="I64" s="243"/>
      <c r="J64" s="244"/>
      <c r="K64" s="44"/>
      <c r="L64" s="44"/>
      <c r="M64" s="44"/>
      <c r="N64" s="42">
        <f>'[3]DRE + DCF'!L61</f>
        <v>18384.975539992309</v>
      </c>
      <c r="O64" s="42">
        <f>'[3]DRE + DCF'!M61</f>
        <v>-78986.537949999023</v>
      </c>
      <c r="P64" s="42">
        <f>'[3]DRE + DCF'!N61</f>
        <v>-280288.1275699999</v>
      </c>
      <c r="Q64" s="42">
        <f>'[3]DRE + DCF'!O61</f>
        <v>-10630.655329999981</v>
      </c>
      <c r="R64" s="42">
        <f>'[3]DRE + DCF'!P61</f>
        <v>-2176840.2999999998</v>
      </c>
      <c r="S64" s="42">
        <f>'[3]DRE + DCF'!Q61</f>
        <v>-2191445.650726364</v>
      </c>
      <c r="T64" s="42">
        <f>'[3]DRE + DCF'!R61</f>
        <v>-4824831.6250000009</v>
      </c>
      <c r="U64" s="42">
        <f>'[3]DRE + DCF'!S61</f>
        <v>-565018.20148404466</v>
      </c>
      <c r="V64" s="42">
        <f>'[3]DRE + DCF'!T61</f>
        <v>-5389849.8264840441</v>
      </c>
      <c r="W64" s="42">
        <f>'[3]DRE + DCF'!U61</f>
        <v>-824324.11386831093</v>
      </c>
      <c r="X64" s="42">
        <f>'[3]DRE + DCF'!V61</f>
        <v>124627.12620815069</v>
      </c>
      <c r="Y64" s="42">
        <f>'[3]DRE + DCF'!W61</f>
        <v>-121163.40692571209</v>
      </c>
      <c r="Z64" s="334">
        <v>319387.73882422521</v>
      </c>
      <c r="AA64" s="43"/>
      <c r="AB64" s="43"/>
      <c r="AC64" s="43"/>
      <c r="AD64" s="43"/>
      <c r="AE64" s="43"/>
      <c r="AF64" s="4"/>
      <c r="AG64" s="4"/>
      <c r="AH64" s="4"/>
      <c r="AI64" s="4"/>
      <c r="AJ64" s="4"/>
      <c r="AK64" s="4"/>
      <c r="AL64" s="4"/>
      <c r="AM64" s="4"/>
      <c r="AN64" s="4"/>
      <c r="AO64" s="4"/>
      <c r="AP64" s="4"/>
      <c r="AQ64" s="4"/>
      <c r="AR64" s="4"/>
      <c r="AS64" s="4"/>
    </row>
    <row r="65" spans="1:45" ht="30" customHeight="1">
      <c r="A65" s="12"/>
      <c r="B65" s="4"/>
      <c r="C65" s="4"/>
      <c r="D65" s="4"/>
      <c r="E65" s="35" t="s">
        <v>529</v>
      </c>
      <c r="F65" s="243"/>
      <c r="G65" s="243"/>
      <c r="H65" s="243"/>
      <c r="I65" s="243"/>
      <c r="J65" s="244"/>
      <c r="K65" s="44"/>
      <c r="L65" s="44"/>
      <c r="M65" s="44"/>
      <c r="N65" s="42"/>
      <c r="O65" s="42">
        <f>'DRE + DCF'!O36</f>
        <v>-129493.33700359371</v>
      </c>
      <c r="P65" s="42">
        <f>'DRE + DCF'!P36</f>
        <v>-141556.9990634931</v>
      </c>
      <c r="Q65" s="42">
        <f>'DRE + DCF'!Q36</f>
        <v>1214.008466995439</v>
      </c>
      <c r="R65" s="42">
        <f>'DRE + DCF'!R36</f>
        <v>-225151.36743214435</v>
      </c>
      <c r="S65" s="42">
        <f>'DRE + DCF'!S36</f>
        <v>-1200461.0838858201</v>
      </c>
      <c r="T65" s="42">
        <f>'DRE + DCF'!T36</f>
        <v>-456434.73208538478</v>
      </c>
      <c r="U65" s="42">
        <f>'DRE + DCF'!U36</f>
        <v>-344974.06207411888</v>
      </c>
      <c r="V65" s="42">
        <f>'DRE + DCF'!V36</f>
        <v>-801408.79415950365</v>
      </c>
      <c r="W65" s="42">
        <f>'DRE + DCF'!W36</f>
        <v>682215.02393839392</v>
      </c>
      <c r="X65" s="42">
        <f>'DRE + DCF'!X36</f>
        <v>983135.87173107499</v>
      </c>
      <c r="Y65" s="42">
        <f>'DRE + DCF'!Y36</f>
        <v>1186738.5959506801</v>
      </c>
      <c r="Z65" s="42">
        <f>'DRE + DCF'!Z36</f>
        <v>1274247.5482480931</v>
      </c>
      <c r="AA65" s="43"/>
      <c r="AB65" s="43"/>
      <c r="AC65" s="43"/>
      <c r="AD65" s="43"/>
      <c r="AE65" s="43"/>
      <c r="AF65" s="4"/>
      <c r="AG65" s="4"/>
      <c r="AH65" s="4"/>
      <c r="AI65" s="4"/>
      <c r="AJ65" s="4"/>
      <c r="AK65" s="4"/>
      <c r="AL65" s="4"/>
      <c r="AM65" s="4"/>
      <c r="AN65" s="4"/>
      <c r="AO65" s="4"/>
      <c r="AP65" s="4"/>
      <c r="AQ65" s="4"/>
      <c r="AR65" s="4"/>
      <c r="AS65" s="4"/>
    </row>
    <row r="66" spans="1:45" ht="30" customHeight="1">
      <c r="A66" s="12"/>
      <c r="B66" s="4"/>
      <c r="C66" s="4"/>
      <c r="D66" s="4"/>
      <c r="E66" s="354" t="s">
        <v>270</v>
      </c>
      <c r="F66" s="355">
        <v>215718</v>
      </c>
      <c r="G66" s="355">
        <v>230388</v>
      </c>
      <c r="H66" s="355">
        <v>181530</v>
      </c>
      <c r="I66" s="355">
        <v>-272310</v>
      </c>
      <c r="J66" s="356">
        <v>-42610.000000000007</v>
      </c>
      <c r="K66" s="46"/>
      <c r="L66" s="46"/>
      <c r="M66" s="46"/>
      <c r="N66" s="46">
        <f>SUM(N62:N65)</f>
        <v>109710.72554185466</v>
      </c>
      <c r="O66" s="46">
        <f t="shared" ref="O66" si="28">SUM(O62:O65)</f>
        <v>-304370.54317999468</v>
      </c>
      <c r="P66" s="46">
        <f t="shared" ref="P66" si="29">SUM(P62:P65)</f>
        <v>-932912.99340391823</v>
      </c>
      <c r="Q66" s="46">
        <f t="shared" ref="Q66" si="30">SUM(Q62:Q65)</f>
        <v>-738522.11449012673</v>
      </c>
      <c r="R66" s="46">
        <f t="shared" ref="R66" si="31">SUM(R62:R65)</f>
        <v>-7025704.7100788672</v>
      </c>
      <c r="S66" s="46">
        <f t="shared" ref="S66" si="32">SUM(S62:S65)</f>
        <v>-6560705.326244548</v>
      </c>
      <c r="T66" s="46">
        <f t="shared" ref="T66" si="33">SUM(T62:T65)</f>
        <v>-4073845.8103675367</v>
      </c>
      <c r="U66" s="46">
        <f t="shared" ref="U66" si="34">SUM(U62:U65)</f>
        <v>-1156052.9283570312</v>
      </c>
      <c r="V66" s="46">
        <f t="shared" ref="V66" si="35">SUM(V62:V65)</f>
        <v>-5229898.7387245661</v>
      </c>
      <c r="W66" s="46">
        <f t="shared" ref="W66" si="36">SUM(W62:W65)</f>
        <v>-217172.07582593954</v>
      </c>
      <c r="X66" s="46">
        <f t="shared" ref="X66" si="37">SUM(X62:X65)</f>
        <v>949370.62863281067</v>
      </c>
      <c r="Y66" s="46">
        <f t="shared" ref="Y66" si="38">SUM(Y62:Y65)</f>
        <v>975561.22021701443</v>
      </c>
      <c r="Z66" s="46">
        <f t="shared" ref="Z66" si="39">SUM(Z62:Z65)</f>
        <v>2678021.493409087</v>
      </c>
      <c r="AA66" s="43"/>
      <c r="AB66" s="43"/>
      <c r="AC66" s="43"/>
      <c r="AD66" s="43"/>
      <c r="AE66" s="43"/>
      <c r="AF66" s="4"/>
      <c r="AG66" s="4"/>
      <c r="AH66" s="4"/>
      <c r="AI66" s="4"/>
      <c r="AJ66" s="4"/>
      <c r="AK66" s="4"/>
      <c r="AL66" s="4"/>
      <c r="AM66" s="4"/>
      <c r="AN66" s="4"/>
      <c r="AO66" s="4"/>
      <c r="AP66" s="4"/>
      <c r="AQ66" s="4"/>
      <c r="AR66" s="4"/>
      <c r="AS66" s="4"/>
    </row>
    <row r="67" spans="1:45" ht="30" customHeight="1">
      <c r="A67" s="12"/>
      <c r="B67" s="4"/>
      <c r="C67" s="4"/>
      <c r="D67" s="4"/>
      <c r="E67" s="62"/>
      <c r="F67" s="50"/>
      <c r="G67" s="50"/>
      <c r="H67" s="50"/>
      <c r="I67" s="50"/>
      <c r="J67" s="50"/>
      <c r="K67" s="63"/>
      <c r="L67" s="63"/>
      <c r="M67" s="63"/>
      <c r="N67" s="51"/>
      <c r="O67" s="51"/>
      <c r="P67" s="51"/>
      <c r="Q67" s="4"/>
      <c r="R67" s="4"/>
      <c r="S67" s="4"/>
      <c r="T67" s="4"/>
      <c r="U67" s="4"/>
      <c r="V67" s="4"/>
      <c r="W67" s="4"/>
      <c r="X67" s="4"/>
      <c r="Y67" s="4"/>
      <c r="Z67" s="4"/>
      <c r="AA67" s="43"/>
      <c r="AB67" s="43"/>
      <c r="AC67" s="43"/>
      <c r="AD67" s="43"/>
      <c r="AE67" s="43"/>
      <c r="AF67" s="4"/>
      <c r="AG67" s="4"/>
      <c r="AH67" s="4"/>
      <c r="AI67" s="4"/>
      <c r="AJ67" s="4"/>
      <c r="AK67" s="4"/>
      <c r="AL67" s="4"/>
      <c r="AM67" s="4"/>
      <c r="AN67" s="4"/>
      <c r="AO67" s="4"/>
      <c r="AP67" s="4"/>
      <c r="AQ67" s="4"/>
      <c r="AR67" s="4"/>
      <c r="AS67" s="4"/>
    </row>
    <row r="68" spans="1:45" ht="30" customHeight="1">
      <c r="A68" s="12"/>
      <c r="B68" s="4"/>
      <c r="C68" s="4"/>
      <c r="D68" s="4"/>
      <c r="E68" s="50"/>
      <c r="F68" s="50"/>
      <c r="G68" s="50"/>
      <c r="H68" s="50"/>
      <c r="I68" s="50"/>
      <c r="J68" s="50"/>
      <c r="K68" s="51"/>
      <c r="L68" s="51"/>
      <c r="M68" s="51"/>
      <c r="N68" s="51"/>
      <c r="O68" s="51"/>
      <c r="P68" s="51"/>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row>
    <row r="69" spans="1:45" ht="30" customHeight="1">
      <c r="A69" s="12"/>
      <c r="B69" s="4"/>
      <c r="C69" s="4"/>
      <c r="D69" s="4"/>
      <c r="E69" s="345"/>
      <c r="F69" s="346"/>
      <c r="G69" s="346"/>
      <c r="H69" s="346"/>
      <c r="I69" s="346"/>
      <c r="J69" s="347"/>
      <c r="K69" s="42"/>
      <c r="L69" s="42"/>
      <c r="M69" s="42"/>
      <c r="N69" s="42"/>
      <c r="O69" s="42"/>
      <c r="P69" s="42"/>
      <c r="Q69" s="42"/>
      <c r="R69" s="42"/>
      <c r="S69" s="42"/>
      <c r="T69" s="42"/>
      <c r="U69" s="42"/>
      <c r="V69" s="42"/>
      <c r="W69" s="42"/>
      <c r="X69" s="42"/>
      <c r="Y69" s="42"/>
      <c r="Z69" s="45"/>
      <c r="AA69" s="4"/>
      <c r="AB69" s="4"/>
      <c r="AC69" s="4"/>
      <c r="AD69" s="4"/>
      <c r="AE69" s="4"/>
      <c r="AF69" s="4"/>
      <c r="AG69" s="4"/>
      <c r="AH69" s="4"/>
      <c r="AI69" s="4"/>
      <c r="AJ69" s="4"/>
      <c r="AK69" s="4"/>
      <c r="AL69" s="4"/>
      <c r="AM69" s="4"/>
      <c r="AN69" s="4"/>
      <c r="AO69" s="4"/>
      <c r="AP69" s="4"/>
      <c r="AQ69" s="4"/>
    </row>
    <row r="70" spans="1:45" ht="30" customHeight="1">
      <c r="A70" s="12"/>
      <c r="B70" s="4"/>
      <c r="C70" s="4"/>
      <c r="D70" s="4"/>
      <c r="E70" s="348"/>
      <c r="F70" s="349"/>
      <c r="G70" s="349"/>
      <c r="H70" s="349"/>
      <c r="I70" s="349"/>
      <c r="J70" s="350"/>
      <c r="K70" s="37">
        <v>2014</v>
      </c>
      <c r="L70" s="37">
        <v>2015</v>
      </c>
      <c r="M70" s="37">
        <v>2016</v>
      </c>
      <c r="N70" s="37">
        <v>2017</v>
      </c>
      <c r="O70" s="37">
        <v>2018</v>
      </c>
      <c r="P70" s="37">
        <v>2019</v>
      </c>
      <c r="Q70" s="37">
        <v>2020</v>
      </c>
      <c r="R70" s="37">
        <v>2021</v>
      </c>
      <c r="S70" s="37">
        <v>2022</v>
      </c>
      <c r="T70" s="37" t="s">
        <v>501</v>
      </c>
      <c r="U70" s="37" t="s">
        <v>487</v>
      </c>
      <c r="V70" s="38">
        <v>2023</v>
      </c>
      <c r="W70" s="38">
        <v>2024</v>
      </c>
      <c r="X70" s="38">
        <v>2025</v>
      </c>
      <c r="Y70" s="38">
        <v>2026</v>
      </c>
      <c r="Z70" s="305">
        <v>2027</v>
      </c>
      <c r="AA70" s="4"/>
      <c r="AB70" s="4"/>
      <c r="AC70" s="4"/>
      <c r="AD70" s="4"/>
      <c r="AE70" s="4"/>
      <c r="AF70" s="4"/>
      <c r="AG70" s="4"/>
      <c r="AH70" s="4"/>
      <c r="AI70" s="4"/>
      <c r="AJ70" s="4"/>
      <c r="AK70" s="4"/>
      <c r="AL70" s="4"/>
      <c r="AM70" s="4"/>
      <c r="AN70" s="4"/>
      <c r="AO70" s="4"/>
      <c r="AP70" s="4"/>
      <c r="AQ70" s="4"/>
    </row>
    <row r="71" spans="1:45" ht="30" customHeight="1">
      <c r="A71" s="12"/>
      <c r="B71" s="4"/>
      <c r="C71" s="4"/>
      <c r="D71" s="4"/>
      <c r="E71" s="351" t="s">
        <v>271</v>
      </c>
      <c r="F71" s="352">
        <v>3.0034188360677654E-2</v>
      </c>
      <c r="G71" s="352">
        <v>-2.0925409668865167E-2</v>
      </c>
      <c r="H71" s="352">
        <v>-4.3315116285197811E-2</v>
      </c>
      <c r="I71" s="352">
        <v>0.13811997676197324</v>
      </c>
      <c r="J71" s="353">
        <v>-0.59211219068587562</v>
      </c>
      <c r="K71" s="44"/>
      <c r="L71" s="44"/>
      <c r="M71" s="44"/>
      <c r="N71" s="42">
        <f>'[1]DRE + DCF'!K28</f>
        <v>378729</v>
      </c>
      <c r="O71" s="42">
        <f>'[1]DRE + DCF'!L28</f>
        <v>406833.82746000029</v>
      </c>
      <c r="P71" s="42">
        <f>'[1]DRE + DCF'!M28</f>
        <v>512702.29492000025</v>
      </c>
      <c r="Q71" s="42">
        <f>'[1]DRE + DCF'!N28</f>
        <v>431386</v>
      </c>
      <c r="R71" s="42">
        <f>'[1]DRE + DCF'!O28</f>
        <v>758072.49471329991</v>
      </c>
      <c r="S71" s="42">
        <f>'[1]DRE + DCF'!P28</f>
        <v>1079820</v>
      </c>
      <c r="T71" s="42">
        <f>'[1]DRE + DCF'!Q28</f>
        <v>1312338</v>
      </c>
      <c r="U71" s="42">
        <f>'[1]DRE + DCF'!R28</f>
        <v>0</v>
      </c>
      <c r="V71" s="42">
        <f>'[1]DRE + DCF'!S28</f>
        <v>1451943.0143907918</v>
      </c>
      <c r="W71" s="42">
        <f>'[1]DRE + DCF'!T28</f>
        <v>1605513.3640952324</v>
      </c>
      <c r="X71" s="42">
        <f>'[1]DRE + DCF'!U28</f>
        <v>1877153.7334707235</v>
      </c>
      <c r="Y71" s="42">
        <f>'[1]DRE + DCF'!V28</f>
        <v>2131679.2658774448</v>
      </c>
      <c r="Z71" s="334">
        <v>2348770.9204877382</v>
      </c>
      <c r="AA71" s="4"/>
      <c r="AB71" s="4"/>
      <c r="AC71" s="4"/>
      <c r="AD71" s="4"/>
      <c r="AE71" s="4"/>
      <c r="AF71" s="4"/>
      <c r="AG71" s="4"/>
      <c r="AH71" s="4"/>
      <c r="AI71" s="4"/>
      <c r="AJ71" s="4"/>
      <c r="AK71" s="4"/>
      <c r="AL71" s="4"/>
      <c r="AM71" s="4"/>
      <c r="AN71" s="4"/>
      <c r="AO71" s="4"/>
      <c r="AP71" s="4"/>
      <c r="AQ71" s="4"/>
    </row>
    <row r="72" spans="1:45" ht="30" customHeight="1">
      <c r="A72" s="12"/>
      <c r="B72" s="4"/>
      <c r="C72" s="4"/>
      <c r="D72" s="4"/>
      <c r="E72" s="330" t="s">
        <v>272</v>
      </c>
      <c r="F72" s="243"/>
      <c r="G72" s="243"/>
      <c r="H72" s="243"/>
      <c r="I72" s="243"/>
      <c r="J72" s="244"/>
      <c r="K72" s="46"/>
      <c r="L72" s="46"/>
      <c r="M72" s="46"/>
      <c r="N72" s="42">
        <f>'[2]DRE + DCF'!M27</f>
        <v>326351.0000019602</v>
      </c>
      <c r="O72" s="42">
        <f>'[2]DRE + DCF'!N27</f>
        <v>481738</v>
      </c>
      <c r="P72" s="42">
        <f>'[2]DRE + DCF'!O27</f>
        <v>743192.99999607448</v>
      </c>
      <c r="Q72" s="42">
        <f>'[2]DRE + DCF'!P27</f>
        <v>717180.99999987788</v>
      </c>
      <c r="R72" s="42">
        <f>'[2]DRE + DCF'!Q27</f>
        <v>2082987.0000078101</v>
      </c>
      <c r="S72" s="42">
        <f>'[2]DRE + DCF'!R27</f>
        <v>3551973</v>
      </c>
      <c r="T72" s="42">
        <f>'[2]DRE + DCF'!S27</f>
        <v>2633259</v>
      </c>
      <c r="U72" s="42">
        <f>'[2]DRE + DCF'!T27</f>
        <v>878057.7809042416</v>
      </c>
      <c r="V72" s="42">
        <f>'[2]DRE + DCF'!U27</f>
        <v>3511316.7809042418</v>
      </c>
      <c r="W72" s="42">
        <f>'[2]DRE + DCF'!V27</f>
        <v>3978938.4275023188</v>
      </c>
      <c r="X72" s="42">
        <f>'[2]DRE + DCF'!W27</f>
        <v>4491576.4786844105</v>
      </c>
      <c r="Y72" s="42">
        <f>'[2]DRE + DCF'!X27</f>
        <v>4764926.7716193255</v>
      </c>
      <c r="Z72" s="334">
        <v>5031132.4299551221</v>
      </c>
      <c r="AA72" s="4"/>
      <c r="AB72" s="4"/>
      <c r="AC72" s="4"/>
      <c r="AD72" s="4"/>
      <c r="AE72" s="4"/>
      <c r="AF72" s="4"/>
      <c r="AG72" s="4"/>
      <c r="AH72" s="4"/>
      <c r="AI72" s="4"/>
      <c r="AJ72" s="4"/>
      <c r="AK72" s="4"/>
      <c r="AL72" s="4"/>
      <c r="AM72" s="4"/>
      <c r="AN72" s="4"/>
      <c r="AO72" s="4"/>
      <c r="AP72" s="4"/>
      <c r="AQ72" s="4"/>
    </row>
    <row r="73" spans="1:45" ht="30" customHeight="1">
      <c r="A73" s="12"/>
      <c r="B73" s="4"/>
      <c r="C73" s="4"/>
      <c r="D73" s="4"/>
      <c r="E73" s="330" t="s">
        <v>273</v>
      </c>
      <c r="F73" s="243"/>
      <c r="G73" s="243"/>
      <c r="H73" s="243"/>
      <c r="I73" s="243"/>
      <c r="J73" s="244"/>
      <c r="K73" s="44"/>
      <c r="L73" s="44"/>
      <c r="M73" s="44"/>
      <c r="N73" s="42">
        <f>'[3]DRE + DCF'!L28</f>
        <v>304993</v>
      </c>
      <c r="O73" s="42">
        <f>'[3]DRE + DCF'!M28</f>
        <v>426119</v>
      </c>
      <c r="P73" s="42">
        <f>'[3]DRE + DCF'!N28</f>
        <v>527624</v>
      </c>
      <c r="Q73" s="42">
        <f>'[3]DRE + DCF'!O28</f>
        <v>638774</v>
      </c>
      <c r="R73" s="42">
        <f>'[3]DRE + DCF'!P28</f>
        <v>1049744</v>
      </c>
      <c r="S73" s="42">
        <f>'[3]DRE + DCF'!Q28</f>
        <v>1933140</v>
      </c>
      <c r="T73" s="42">
        <f>'[3]DRE + DCF'!R28</f>
        <v>2007122</v>
      </c>
      <c r="U73" s="42">
        <f>'[3]DRE + DCF'!S28</f>
        <v>619106.98782911128</v>
      </c>
      <c r="V73" s="42">
        <f>'[3]DRE + DCF'!T28</f>
        <v>2626228.9878291115</v>
      </c>
      <c r="W73" s="42">
        <f>'[3]DRE + DCF'!U28</f>
        <v>3654754.1313845022</v>
      </c>
      <c r="X73" s="42">
        <f>'[3]DRE + DCF'!V28</f>
        <v>4687227.9728001636</v>
      </c>
      <c r="Y73" s="42">
        <f>'[3]DRE + DCF'!W28</f>
        <v>5332492.4664781746</v>
      </c>
      <c r="Z73" s="334">
        <v>5917441.0683142673</v>
      </c>
      <c r="AA73" s="4"/>
      <c r="AB73" s="4"/>
      <c r="AC73" s="4"/>
      <c r="AD73" s="4"/>
      <c r="AE73" s="4"/>
      <c r="AF73" s="4"/>
      <c r="AG73" s="4"/>
      <c r="AH73" s="4"/>
      <c r="AI73" s="4"/>
      <c r="AJ73" s="4"/>
      <c r="AK73" s="4"/>
      <c r="AL73" s="4"/>
      <c r="AM73" s="4"/>
      <c r="AN73" s="4"/>
      <c r="AO73" s="4"/>
      <c r="AP73" s="4"/>
      <c r="AQ73" s="4"/>
    </row>
    <row r="74" spans="1:45" ht="30" customHeight="1">
      <c r="A74" s="12"/>
      <c r="B74" s="4"/>
      <c r="C74" s="4"/>
      <c r="D74" s="4"/>
      <c r="E74" s="35" t="s">
        <v>529</v>
      </c>
      <c r="F74" s="243"/>
      <c r="G74" s="243"/>
      <c r="H74" s="243"/>
      <c r="I74" s="243"/>
      <c r="J74" s="244"/>
      <c r="K74" s="44"/>
      <c r="L74" s="44"/>
      <c r="M74" s="44"/>
      <c r="N74" s="42"/>
      <c r="O74" s="42">
        <f>'DRE + DCF'!O14</f>
        <v>278146</v>
      </c>
      <c r="P74" s="42">
        <f>'DRE + DCF'!P14</f>
        <v>339526</v>
      </c>
      <c r="Q74" s="42">
        <f>'DRE + DCF'!Q14</f>
        <v>354594</v>
      </c>
      <c r="R74" s="42">
        <f>'DRE + DCF'!R14</f>
        <v>298861</v>
      </c>
      <c r="S74" s="42">
        <f>'DRE + DCF'!S14</f>
        <v>590052</v>
      </c>
      <c r="T74" s="42">
        <f>'DRE + DCF'!T14</f>
        <v>363582</v>
      </c>
      <c r="U74" s="42">
        <f>'DRE + DCF'!U14</f>
        <v>348859.95242164028</v>
      </c>
      <c r="V74" s="42">
        <f>'DRE + DCF'!V14</f>
        <v>712441.95242164028</v>
      </c>
      <c r="W74" s="42">
        <f>'DRE + DCF'!W14</f>
        <v>1417161.3288420637</v>
      </c>
      <c r="X74" s="42">
        <f>'DRE + DCF'!X14</f>
        <v>1526656.671834908</v>
      </c>
      <c r="Y74" s="42">
        <f>'DRE + DCF'!Y14</f>
        <v>1620243.2278167335</v>
      </c>
      <c r="Z74" s="42">
        <f>'DRE + DCF'!Z14</f>
        <v>1725127.95198204</v>
      </c>
      <c r="AA74" s="4"/>
      <c r="AB74" s="4"/>
      <c r="AC74" s="4"/>
      <c r="AD74" s="4"/>
      <c r="AE74" s="4"/>
      <c r="AF74" s="4"/>
      <c r="AG74" s="4"/>
      <c r="AH74" s="4"/>
      <c r="AI74" s="4"/>
      <c r="AJ74" s="4"/>
      <c r="AK74" s="4"/>
      <c r="AL74" s="4"/>
      <c r="AM74" s="4"/>
      <c r="AN74" s="4"/>
      <c r="AO74" s="4"/>
      <c r="AP74" s="4"/>
      <c r="AQ74" s="4"/>
    </row>
    <row r="75" spans="1:45" ht="30" customHeight="1">
      <c r="A75" s="12"/>
      <c r="B75" s="4"/>
      <c r="C75" s="4"/>
      <c r="D75" s="4"/>
      <c r="E75" s="354" t="s">
        <v>270</v>
      </c>
      <c r="F75" s="355">
        <v>215718</v>
      </c>
      <c r="G75" s="355">
        <v>230388</v>
      </c>
      <c r="H75" s="355">
        <v>181530</v>
      </c>
      <c r="I75" s="355">
        <v>-272310</v>
      </c>
      <c r="J75" s="356">
        <v>-42610.000000000007</v>
      </c>
      <c r="K75" s="46"/>
      <c r="L75" s="46"/>
      <c r="M75" s="46"/>
      <c r="N75" s="46">
        <f>SUM(N71:N74)</f>
        <v>1010073.0000019602</v>
      </c>
      <c r="O75" s="46">
        <f t="shared" ref="O75:Z75" si="40">SUM(O71:O74)</f>
        <v>1592836.8274600003</v>
      </c>
      <c r="P75" s="46">
        <f t="shared" si="40"/>
        <v>2123045.2949160747</v>
      </c>
      <c r="Q75" s="46">
        <f t="shared" si="40"/>
        <v>2141934.999999878</v>
      </c>
      <c r="R75" s="46">
        <f t="shared" si="40"/>
        <v>4189664.49472111</v>
      </c>
      <c r="S75" s="46">
        <f t="shared" si="40"/>
        <v>7154985</v>
      </c>
      <c r="T75" s="46">
        <f t="shared" si="40"/>
        <v>6316301</v>
      </c>
      <c r="U75" s="46">
        <f t="shared" si="40"/>
        <v>1846024.7211549932</v>
      </c>
      <c r="V75" s="46">
        <f t="shared" si="40"/>
        <v>8301930.7355457852</v>
      </c>
      <c r="W75" s="46">
        <f t="shared" si="40"/>
        <v>10656367.251824116</v>
      </c>
      <c r="X75" s="46">
        <f t="shared" si="40"/>
        <v>12582614.856790205</v>
      </c>
      <c r="Y75" s="46">
        <f t="shared" si="40"/>
        <v>13849341.731791679</v>
      </c>
      <c r="Z75" s="46">
        <f t="shared" si="40"/>
        <v>15022472.370739168</v>
      </c>
      <c r="AA75" s="4"/>
      <c r="AB75" s="4"/>
      <c r="AC75" s="4"/>
      <c r="AD75" s="4"/>
      <c r="AE75" s="4"/>
      <c r="AF75" s="4"/>
      <c r="AG75" s="4"/>
      <c r="AH75" s="4"/>
      <c r="AI75" s="4"/>
      <c r="AJ75" s="4"/>
      <c r="AK75" s="4"/>
      <c r="AL75" s="4"/>
      <c r="AM75" s="4"/>
      <c r="AN75" s="4"/>
      <c r="AO75" s="4"/>
      <c r="AP75" s="4"/>
      <c r="AQ75" s="4"/>
    </row>
    <row r="76" spans="1:45" ht="30" customHeight="1">
      <c r="A76" s="12"/>
      <c r="B76" s="4"/>
      <c r="C76" s="4"/>
      <c r="D76" s="4"/>
      <c r="E76" s="50"/>
      <c r="F76" s="50"/>
      <c r="G76" s="50"/>
      <c r="H76" s="50"/>
      <c r="I76" s="50"/>
      <c r="J76" s="50"/>
      <c r="K76" s="51"/>
      <c r="L76" s="51"/>
      <c r="M76" s="51"/>
      <c r="N76" s="51"/>
      <c r="O76" s="51"/>
      <c r="P76" s="51"/>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spans="1:45" ht="30" customHeight="1">
      <c r="A77" s="12"/>
      <c r="B77" s="4"/>
      <c r="C77" s="4"/>
      <c r="D77" s="4"/>
      <c r="E77" s="62" t="s">
        <v>48</v>
      </c>
      <c r="F77" s="50"/>
      <c r="G77" s="50"/>
      <c r="H77" s="50"/>
      <c r="I77" s="50"/>
      <c r="J77" s="50"/>
      <c r="K77" s="51"/>
      <c r="L77" s="51"/>
      <c r="M77" s="51"/>
      <c r="N77" s="51"/>
      <c r="O77" s="51"/>
      <c r="P77" s="51"/>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spans="1:45" ht="30" customHeight="1">
      <c r="A78" s="12"/>
      <c r="B78" s="4"/>
      <c r="C78" s="4"/>
      <c r="D78" s="4"/>
      <c r="E78" s="50"/>
      <c r="F78" s="50"/>
      <c r="G78" s="50"/>
      <c r="H78" s="50"/>
      <c r="I78" s="50"/>
      <c r="J78" s="50"/>
      <c r="K78" s="51"/>
      <c r="L78" s="51"/>
      <c r="M78" s="51"/>
      <c r="N78" s="51"/>
      <c r="O78" s="51"/>
      <c r="P78" s="51"/>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spans="1:45" ht="30" customHeight="1">
      <c r="A79" s="12"/>
      <c r="B79" s="4"/>
      <c r="C79" s="4"/>
      <c r="D79" s="4"/>
      <c r="E79" s="50"/>
      <c r="F79" s="50"/>
      <c r="G79" s="50"/>
      <c r="H79" s="50"/>
      <c r="I79" s="50"/>
      <c r="J79" s="50"/>
      <c r="K79" s="51"/>
      <c r="L79" s="51"/>
      <c r="M79" s="51"/>
      <c r="N79" s="51"/>
      <c r="O79" s="51"/>
      <c r="P79" s="51"/>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5" ht="30" customHeight="1">
      <c r="A80" s="12"/>
      <c r="B80" s="4"/>
      <c r="C80" s="4"/>
      <c r="D80" s="4"/>
      <c r="E80" s="50"/>
      <c r="F80" s="50"/>
      <c r="G80" s="50"/>
      <c r="H80" s="50"/>
      <c r="I80" s="50"/>
      <c r="J80" s="50"/>
      <c r="K80" s="51"/>
      <c r="L80" s="51"/>
      <c r="M80" s="51"/>
      <c r="N80" s="51"/>
      <c r="O80" s="51"/>
      <c r="P80" s="51"/>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spans="1:43" ht="30" customHeight="1">
      <c r="A81" s="12"/>
      <c r="B81" s="4"/>
      <c r="C81" s="4"/>
      <c r="D81" s="4"/>
      <c r="E81" s="50"/>
      <c r="F81" s="50"/>
      <c r="G81" s="50"/>
      <c r="H81" s="50"/>
      <c r="I81" s="50"/>
      <c r="J81" s="50"/>
      <c r="K81" s="51"/>
      <c r="L81" s="51"/>
      <c r="M81" s="51"/>
      <c r="N81" s="51"/>
      <c r="O81" s="51"/>
      <c r="P81" s="51"/>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spans="1:43" ht="30" customHeight="1">
      <c r="A82" s="12"/>
      <c r="B82" s="4"/>
      <c r="C82" s="4"/>
      <c r="D82" s="4"/>
      <c r="E82" s="50"/>
      <c r="F82" s="50"/>
      <c r="G82" s="50"/>
      <c r="H82" s="50"/>
      <c r="I82" s="50"/>
      <c r="J82" s="50"/>
      <c r="K82" s="51"/>
      <c r="L82" s="51"/>
      <c r="M82" s="51"/>
      <c r="N82" s="51"/>
      <c r="O82" s="51"/>
      <c r="P82" s="51"/>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spans="1:43" ht="30" customHeight="1">
      <c r="A83" s="12"/>
      <c r="B83" s="4"/>
      <c r="C83" s="4"/>
      <c r="D83" s="4"/>
      <c r="E83" s="50"/>
      <c r="F83" s="50"/>
      <c r="G83" s="50"/>
      <c r="H83" s="50"/>
      <c r="I83" s="50"/>
      <c r="J83" s="50"/>
      <c r="K83" s="51"/>
      <c r="L83" s="51"/>
      <c r="M83" s="51"/>
      <c r="N83" s="51"/>
      <c r="O83" s="51"/>
      <c r="P83" s="51"/>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spans="1:43" ht="30" customHeight="1">
      <c r="A84" s="12"/>
      <c r="B84" s="4"/>
      <c r="C84" s="4"/>
      <c r="D84" s="4"/>
      <c r="E84" s="50"/>
      <c r="F84" s="50"/>
      <c r="G84" s="50"/>
      <c r="H84" s="50"/>
      <c r="I84" s="50"/>
      <c r="J84" s="50"/>
      <c r="K84" s="51"/>
      <c r="L84" s="51"/>
      <c r="M84" s="51"/>
      <c r="N84" s="51"/>
      <c r="O84" s="51"/>
      <c r="P84" s="51"/>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spans="1:43" ht="30" customHeight="1">
      <c r="A85" s="12"/>
      <c r="B85" s="4"/>
      <c r="C85" s="4"/>
      <c r="D85" s="4"/>
      <c r="E85" s="50"/>
      <c r="F85" s="50"/>
      <c r="G85" s="50"/>
      <c r="H85" s="50"/>
      <c r="I85" s="50"/>
      <c r="J85" s="50"/>
      <c r="K85" s="51"/>
      <c r="L85" s="51"/>
      <c r="M85" s="51"/>
      <c r="N85" s="51"/>
      <c r="O85" s="51"/>
      <c r="P85" s="51"/>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spans="1:43" ht="30" customHeight="1">
      <c r="A86" s="12"/>
      <c r="B86" s="4"/>
      <c r="C86" s="4"/>
      <c r="D86" s="4"/>
      <c r="E86" s="50"/>
      <c r="F86" s="50"/>
      <c r="G86" s="50"/>
      <c r="H86" s="50"/>
      <c r="I86" s="50"/>
      <c r="J86" s="50"/>
      <c r="K86" s="51"/>
      <c r="L86" s="51"/>
      <c r="M86" s="51"/>
      <c r="N86" s="51"/>
      <c r="O86" s="51"/>
      <c r="P86" s="51"/>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ht="30" customHeight="1">
      <c r="A87" s="12"/>
      <c r="B87" s="4"/>
      <c r="C87" s="4"/>
      <c r="D87" s="4"/>
      <c r="E87" s="50"/>
      <c r="F87" s="50"/>
      <c r="G87" s="50"/>
      <c r="H87" s="50"/>
      <c r="I87" s="50"/>
      <c r="J87" s="50"/>
      <c r="K87" s="51"/>
      <c r="L87" s="51"/>
      <c r="M87" s="51"/>
      <c r="N87" s="51"/>
      <c r="O87" s="51"/>
      <c r="P87" s="51"/>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spans="1:43" ht="30" customHeight="1">
      <c r="A88" s="12"/>
      <c r="B88" s="4"/>
      <c r="C88" s="4"/>
      <c r="D88" s="4"/>
      <c r="E88" s="50"/>
      <c r="F88" s="50"/>
      <c r="G88" s="50"/>
      <c r="H88" s="50"/>
      <c r="I88" s="50"/>
      <c r="J88" s="50"/>
      <c r="K88" s="51"/>
      <c r="L88" s="51"/>
      <c r="M88" s="51"/>
      <c r="N88" s="51"/>
      <c r="O88" s="51"/>
      <c r="P88" s="51"/>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spans="1:43" ht="30" customHeight="1">
      <c r="A89" s="12"/>
      <c r="B89" s="4"/>
      <c r="C89" s="4"/>
      <c r="D89" s="4"/>
      <c r="E89" s="50"/>
      <c r="F89" s="50"/>
      <c r="G89" s="50"/>
      <c r="H89" s="50"/>
      <c r="I89" s="50"/>
      <c r="J89" s="50"/>
      <c r="K89" s="51"/>
      <c r="L89" s="51"/>
      <c r="M89" s="51"/>
      <c r="N89" s="51"/>
      <c r="O89" s="51"/>
      <c r="P89" s="51"/>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spans="1:43" ht="30" customHeight="1">
      <c r="A90" s="12"/>
      <c r="B90" s="4"/>
      <c r="C90" s="4"/>
      <c r="D90" s="4"/>
      <c r="E90" s="50"/>
      <c r="F90" s="50"/>
      <c r="G90" s="50"/>
      <c r="H90" s="50"/>
      <c r="I90" s="50"/>
      <c r="J90" s="50"/>
      <c r="K90" s="51"/>
      <c r="L90" s="51"/>
      <c r="M90" s="51"/>
      <c r="N90" s="51"/>
      <c r="O90" s="51"/>
      <c r="P90" s="51"/>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spans="1:43" ht="30" customHeight="1">
      <c r="A91" s="12"/>
      <c r="B91" s="4"/>
      <c r="C91" s="4"/>
      <c r="D91" s="4"/>
      <c r="E91" s="50"/>
      <c r="F91" s="50"/>
      <c r="G91" s="50"/>
      <c r="H91" s="50"/>
      <c r="I91" s="50"/>
      <c r="J91" s="50"/>
      <c r="K91" s="51"/>
      <c r="L91" s="51"/>
      <c r="M91" s="51"/>
      <c r="N91" s="51"/>
      <c r="O91" s="51"/>
      <c r="P91" s="51"/>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ht="30" customHeight="1">
      <c r="A92" s="12"/>
      <c r="B92" s="4"/>
      <c r="C92" s="4"/>
      <c r="D92" s="4"/>
      <c r="E92" s="50"/>
      <c r="F92" s="50"/>
      <c r="G92" s="50"/>
      <c r="H92" s="50"/>
      <c r="I92" s="50"/>
      <c r="J92" s="50"/>
      <c r="K92" s="51"/>
      <c r="L92" s="51"/>
      <c r="M92" s="51"/>
      <c r="N92" s="51"/>
      <c r="O92" s="51"/>
      <c r="P92" s="51"/>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ht="30" customHeight="1">
      <c r="A93" s="12"/>
      <c r="B93" s="4"/>
      <c r="C93" s="4"/>
      <c r="D93" s="4"/>
      <c r="E93" s="50"/>
      <c r="F93" s="50"/>
      <c r="G93" s="50"/>
      <c r="H93" s="50"/>
      <c r="I93" s="50"/>
      <c r="J93" s="50"/>
      <c r="K93" s="51"/>
      <c r="L93" s="51"/>
      <c r="M93" s="51"/>
      <c r="N93" s="51"/>
      <c r="O93" s="51"/>
      <c r="P93" s="51"/>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spans="1:43" ht="30" customHeight="1">
      <c r="A94" s="12"/>
      <c r="B94" s="4"/>
      <c r="C94" s="4"/>
      <c r="D94" s="4"/>
      <c r="E94" s="50"/>
      <c r="F94" s="50"/>
      <c r="G94" s="50"/>
      <c r="H94" s="50"/>
      <c r="I94" s="50"/>
      <c r="J94" s="50"/>
      <c r="K94" s="51"/>
      <c r="L94" s="51"/>
      <c r="M94" s="51"/>
      <c r="N94" s="51"/>
      <c r="O94" s="51"/>
      <c r="P94" s="51"/>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ht="30" customHeight="1">
      <c r="A95" s="12"/>
      <c r="B95" s="4"/>
      <c r="C95" s="4"/>
      <c r="D95" s="4"/>
      <c r="E95" s="50"/>
      <c r="F95" s="50"/>
      <c r="G95" s="50"/>
      <c r="H95" s="50"/>
      <c r="I95" s="50"/>
      <c r="J95" s="50"/>
      <c r="K95" s="51"/>
      <c r="L95" s="51"/>
      <c r="M95" s="51"/>
      <c r="N95" s="51"/>
      <c r="O95" s="51"/>
      <c r="P95" s="51"/>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ht="30" customHeight="1">
      <c r="A96" s="12"/>
      <c r="B96" s="4"/>
      <c r="C96" s="4"/>
      <c r="D96" s="4"/>
      <c r="E96" s="50"/>
      <c r="F96" s="50"/>
      <c r="G96" s="50"/>
      <c r="H96" s="50"/>
      <c r="I96" s="50"/>
      <c r="J96" s="50"/>
      <c r="K96" s="51"/>
      <c r="L96" s="51"/>
      <c r="M96" s="51"/>
      <c r="N96" s="51"/>
      <c r="O96" s="51"/>
      <c r="P96" s="51"/>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ht="30" customHeight="1">
      <c r="A97" s="12"/>
      <c r="B97" s="4"/>
      <c r="C97" s="4"/>
      <c r="D97" s="4"/>
      <c r="E97" s="50"/>
      <c r="F97" s="50"/>
      <c r="G97" s="50"/>
      <c r="H97" s="50"/>
      <c r="I97" s="50"/>
      <c r="J97" s="50"/>
      <c r="K97" s="51"/>
      <c r="L97" s="51"/>
      <c r="M97" s="51"/>
      <c r="N97" s="51"/>
      <c r="O97" s="51"/>
      <c r="P97" s="51"/>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ht="30" customHeight="1">
      <c r="A98" s="12"/>
      <c r="B98" s="4"/>
      <c r="C98" s="4"/>
      <c r="D98" s="4"/>
      <c r="E98" s="50"/>
      <c r="F98" s="50"/>
      <c r="G98" s="50"/>
      <c r="H98" s="50"/>
      <c r="I98" s="50"/>
      <c r="J98" s="50"/>
      <c r="K98" s="51"/>
      <c r="L98" s="51"/>
      <c r="M98" s="51"/>
      <c r="N98" s="51"/>
      <c r="O98" s="51"/>
      <c r="P98" s="51"/>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30" customHeight="1">
      <c r="A99" s="12"/>
      <c r="B99" s="4"/>
      <c r="C99" s="4"/>
      <c r="D99" s="4"/>
      <c r="E99" s="50"/>
      <c r="F99" s="50"/>
      <c r="G99" s="50"/>
      <c r="H99" s="50"/>
      <c r="I99" s="50"/>
      <c r="J99" s="50"/>
      <c r="K99" s="51"/>
      <c r="L99" s="51"/>
      <c r="M99" s="51"/>
      <c r="N99" s="51"/>
      <c r="O99" s="51"/>
      <c r="P99" s="51"/>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ht="30" customHeight="1">
      <c r="A100" s="12"/>
      <c r="B100" s="4"/>
      <c r="C100" s="4"/>
      <c r="D100" s="4"/>
      <c r="E100" s="50"/>
      <c r="F100" s="50"/>
      <c r="G100" s="50"/>
      <c r="H100" s="50"/>
      <c r="I100" s="50"/>
      <c r="J100" s="50"/>
      <c r="K100" s="51"/>
      <c r="L100" s="51"/>
      <c r="M100" s="51"/>
      <c r="N100" s="51"/>
      <c r="O100" s="51"/>
      <c r="P100" s="51"/>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ht="30" customHeight="1">
      <c r="A101" s="12"/>
      <c r="B101" s="4"/>
      <c r="C101" s="4"/>
      <c r="D101" s="4"/>
      <c r="E101" s="50"/>
      <c r="F101" s="50"/>
      <c r="G101" s="50"/>
      <c r="H101" s="50"/>
      <c r="I101" s="50"/>
      <c r="J101" s="50"/>
      <c r="K101" s="51"/>
      <c r="L101" s="51"/>
      <c r="M101" s="51"/>
      <c r="N101" s="51"/>
      <c r="O101" s="51"/>
      <c r="P101" s="51"/>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ht="30" customHeight="1">
      <c r="A102" s="12"/>
      <c r="B102" s="4"/>
      <c r="C102" s="4"/>
      <c r="D102" s="4"/>
      <c r="E102" s="50"/>
      <c r="F102" s="50"/>
      <c r="G102" s="50"/>
      <c r="H102" s="50"/>
      <c r="I102" s="50"/>
      <c r="J102" s="50"/>
      <c r="K102" s="51"/>
      <c r="L102" s="51"/>
      <c r="M102" s="51"/>
      <c r="N102" s="51"/>
      <c r="O102" s="51"/>
      <c r="P102" s="51"/>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ht="30" customHeight="1">
      <c r="A103" s="12"/>
      <c r="B103" s="4"/>
      <c r="C103" s="4"/>
      <c r="D103" s="4"/>
      <c r="E103" s="50"/>
      <c r="F103" s="50"/>
      <c r="G103" s="50"/>
      <c r="H103" s="50"/>
      <c r="I103" s="50"/>
      <c r="J103" s="50"/>
      <c r="K103" s="51"/>
      <c r="L103" s="51"/>
      <c r="M103" s="51"/>
      <c r="N103" s="51"/>
      <c r="O103" s="51"/>
      <c r="P103" s="51"/>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ht="30" customHeight="1">
      <c r="A104" s="12"/>
      <c r="B104" s="4"/>
      <c r="C104" s="4"/>
      <c r="D104" s="4"/>
      <c r="E104" s="50"/>
      <c r="F104" s="50"/>
      <c r="G104" s="50"/>
      <c r="H104" s="50"/>
      <c r="I104" s="50"/>
      <c r="J104" s="50"/>
      <c r="K104" s="51"/>
      <c r="L104" s="51"/>
      <c r="M104" s="51"/>
      <c r="N104" s="51"/>
      <c r="O104" s="51"/>
      <c r="P104" s="51"/>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ht="30" customHeight="1">
      <c r="A105" s="12"/>
      <c r="B105" s="4"/>
      <c r="C105" s="4"/>
      <c r="D105" s="4"/>
      <c r="E105" s="50"/>
      <c r="F105" s="50"/>
      <c r="G105" s="50"/>
      <c r="H105" s="50"/>
      <c r="I105" s="50"/>
      <c r="J105" s="50"/>
      <c r="K105" s="51"/>
      <c r="L105" s="51"/>
      <c r="M105" s="51"/>
      <c r="N105" s="51"/>
      <c r="O105" s="51"/>
      <c r="P105" s="51"/>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ht="30" customHeight="1">
      <c r="A106" s="12"/>
      <c r="B106" s="4"/>
      <c r="C106" s="4"/>
      <c r="D106" s="4"/>
      <c r="E106" s="50"/>
      <c r="F106" s="50"/>
      <c r="G106" s="50"/>
      <c r="H106" s="50"/>
      <c r="I106" s="50"/>
      <c r="J106" s="50"/>
      <c r="K106" s="51"/>
      <c r="L106" s="51"/>
      <c r="M106" s="51"/>
      <c r="N106" s="51"/>
      <c r="O106" s="51"/>
      <c r="P106" s="51"/>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ht="30" customHeight="1">
      <c r="A107" s="12"/>
      <c r="B107" s="4"/>
      <c r="C107" s="4"/>
      <c r="D107" s="4"/>
      <c r="E107" s="50"/>
      <c r="F107" s="50"/>
      <c r="G107" s="50"/>
      <c r="H107" s="50"/>
      <c r="I107" s="50"/>
      <c r="J107" s="50"/>
      <c r="K107" s="51"/>
      <c r="L107" s="51"/>
      <c r="M107" s="51"/>
      <c r="N107" s="51"/>
      <c r="O107" s="51"/>
      <c r="P107" s="51"/>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spans="1:43" ht="30" customHeight="1">
      <c r="A108" s="12"/>
      <c r="B108" s="4"/>
      <c r="C108" s="4"/>
      <c r="D108" s="4"/>
      <c r="E108" s="50"/>
      <c r="F108" s="50"/>
      <c r="G108" s="50"/>
      <c r="H108" s="50"/>
      <c r="I108" s="50"/>
      <c r="J108" s="50"/>
      <c r="K108" s="51"/>
      <c r="L108" s="51"/>
      <c r="M108" s="51"/>
      <c r="N108" s="51"/>
      <c r="O108" s="51"/>
      <c r="P108" s="51"/>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ht="30" customHeight="1">
      <c r="A109" s="12"/>
      <c r="B109" s="4"/>
      <c r="C109" s="4"/>
      <c r="D109" s="4"/>
      <c r="E109" s="50"/>
      <c r="F109" s="50"/>
      <c r="G109" s="50"/>
      <c r="H109" s="50"/>
      <c r="I109" s="50"/>
      <c r="J109" s="50"/>
      <c r="K109" s="51"/>
      <c r="L109" s="51"/>
      <c r="M109" s="51"/>
      <c r="N109" s="51"/>
      <c r="O109" s="51"/>
      <c r="P109" s="51"/>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ht="30" customHeight="1">
      <c r="A110" s="12"/>
      <c r="B110" s="4"/>
      <c r="C110" s="4"/>
      <c r="D110" s="4"/>
      <c r="E110" s="50"/>
      <c r="F110" s="50"/>
      <c r="G110" s="50"/>
      <c r="H110" s="50"/>
      <c r="I110" s="50"/>
      <c r="J110" s="50"/>
      <c r="K110" s="51"/>
      <c r="L110" s="51"/>
      <c r="M110" s="51"/>
      <c r="N110" s="51"/>
      <c r="O110" s="51"/>
      <c r="P110" s="51"/>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ht="30" customHeight="1">
      <c r="A111" s="12"/>
      <c r="B111" s="4"/>
      <c r="C111" s="4"/>
      <c r="D111" s="4"/>
      <c r="E111" s="50"/>
      <c r="F111" s="50"/>
      <c r="G111" s="50"/>
      <c r="H111" s="50"/>
      <c r="I111" s="50"/>
      <c r="J111" s="50"/>
      <c r="K111" s="51"/>
      <c r="L111" s="51"/>
      <c r="M111" s="51"/>
      <c r="N111" s="51"/>
      <c r="O111" s="51"/>
      <c r="P111" s="51"/>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ht="30" customHeight="1">
      <c r="A112" s="12"/>
      <c r="B112" s="4"/>
      <c r="C112" s="4"/>
      <c r="D112" s="4"/>
      <c r="E112" s="50"/>
      <c r="F112" s="50"/>
      <c r="G112" s="50"/>
      <c r="H112" s="50"/>
      <c r="I112" s="50"/>
      <c r="J112" s="50"/>
      <c r="K112" s="51"/>
      <c r="L112" s="51"/>
      <c r="M112" s="51"/>
      <c r="N112" s="51"/>
      <c r="O112" s="51"/>
      <c r="P112" s="51"/>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ht="30" customHeight="1">
      <c r="A113" s="12"/>
      <c r="B113" s="4"/>
      <c r="C113" s="4"/>
      <c r="D113" s="4"/>
      <c r="E113" s="50"/>
      <c r="F113" s="50"/>
      <c r="G113" s="50"/>
      <c r="H113" s="50"/>
      <c r="I113" s="50"/>
      <c r="J113" s="50"/>
      <c r="K113" s="51"/>
      <c r="L113" s="51"/>
      <c r="M113" s="51"/>
      <c r="N113" s="51"/>
      <c r="O113" s="51"/>
      <c r="P113" s="51"/>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30" customHeight="1">
      <c r="A114" s="12"/>
      <c r="B114" s="4"/>
      <c r="C114" s="4"/>
      <c r="D114" s="4"/>
      <c r="E114" s="50"/>
      <c r="F114" s="50"/>
      <c r="G114" s="50"/>
      <c r="H114" s="50"/>
      <c r="I114" s="50"/>
      <c r="J114" s="50"/>
      <c r="K114" s="51"/>
      <c r="L114" s="51"/>
      <c r="M114" s="51"/>
      <c r="N114" s="51"/>
      <c r="O114" s="51"/>
      <c r="P114" s="51"/>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ht="30" customHeight="1">
      <c r="A115" s="12"/>
      <c r="B115" s="4"/>
      <c r="C115" s="4"/>
      <c r="D115" s="4"/>
      <c r="E115" s="50"/>
      <c r="F115" s="50"/>
      <c r="G115" s="50"/>
      <c r="H115" s="50"/>
      <c r="I115" s="50"/>
      <c r="J115" s="50"/>
      <c r="K115" s="51"/>
      <c r="L115" s="51"/>
      <c r="M115" s="51"/>
      <c r="N115" s="51"/>
      <c r="O115" s="51"/>
      <c r="P115" s="51"/>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ht="30" customHeight="1">
      <c r="A116" s="12"/>
      <c r="B116" s="4"/>
      <c r="C116" s="4"/>
      <c r="D116" s="4"/>
      <c r="E116" s="50"/>
      <c r="F116" s="50"/>
      <c r="G116" s="50"/>
      <c r="H116" s="50"/>
      <c r="I116" s="50"/>
      <c r="J116" s="50"/>
      <c r="K116" s="51"/>
      <c r="L116" s="51"/>
      <c r="M116" s="51"/>
      <c r="N116" s="51"/>
      <c r="O116" s="51"/>
      <c r="P116" s="51"/>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ht="30" customHeight="1">
      <c r="A117" s="12"/>
      <c r="B117" s="4"/>
      <c r="C117" s="4"/>
      <c r="D117" s="4"/>
      <c r="E117" s="50"/>
      <c r="F117" s="50"/>
      <c r="G117" s="50"/>
      <c r="H117" s="50"/>
      <c r="I117" s="50"/>
      <c r="J117" s="50"/>
      <c r="K117" s="51"/>
      <c r="L117" s="51"/>
      <c r="M117" s="51"/>
      <c r="N117" s="51"/>
      <c r="O117" s="51"/>
      <c r="P117" s="51"/>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ht="30" customHeight="1">
      <c r="A118" s="12"/>
      <c r="B118" s="4"/>
      <c r="C118" s="4"/>
      <c r="D118" s="4"/>
      <c r="E118" s="50"/>
      <c r="F118" s="50"/>
      <c r="G118" s="50"/>
      <c r="H118" s="50"/>
      <c r="I118" s="50"/>
      <c r="J118" s="50"/>
      <c r="K118" s="51"/>
      <c r="L118" s="51"/>
      <c r="M118" s="51"/>
      <c r="N118" s="51"/>
      <c r="O118" s="51"/>
      <c r="P118" s="51"/>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30" customHeight="1">
      <c r="A119" s="12"/>
      <c r="B119" s="4"/>
      <c r="C119" s="4"/>
      <c r="D119" s="4"/>
      <c r="E119" s="50"/>
      <c r="F119" s="50"/>
      <c r="G119" s="50"/>
      <c r="H119" s="50"/>
      <c r="I119" s="50"/>
      <c r="J119" s="50"/>
      <c r="K119" s="51"/>
      <c r="L119" s="51"/>
      <c r="M119" s="51"/>
      <c r="N119" s="51"/>
      <c r="O119" s="51"/>
      <c r="P119" s="51"/>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ht="30" customHeight="1">
      <c r="A120" s="12"/>
      <c r="B120" s="4"/>
      <c r="C120" s="4"/>
      <c r="D120" s="4"/>
      <c r="E120" s="50"/>
      <c r="F120" s="50"/>
      <c r="G120" s="50"/>
      <c r="H120" s="50"/>
      <c r="I120" s="50"/>
      <c r="J120" s="50"/>
      <c r="K120" s="51"/>
      <c r="L120" s="51"/>
      <c r="M120" s="51"/>
      <c r="N120" s="51"/>
      <c r="O120" s="51"/>
      <c r="P120" s="51"/>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ht="30" customHeight="1">
      <c r="A121" s="12"/>
      <c r="B121" s="4"/>
      <c r="C121" s="4"/>
      <c r="D121" s="4"/>
      <c r="E121" s="50"/>
      <c r="F121" s="50"/>
      <c r="G121" s="50"/>
      <c r="H121" s="50"/>
      <c r="I121" s="50"/>
      <c r="J121" s="50"/>
      <c r="K121" s="51"/>
      <c r="L121" s="51"/>
      <c r="M121" s="51"/>
      <c r="N121" s="51"/>
      <c r="O121" s="51"/>
      <c r="P121" s="51"/>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ht="30" customHeight="1">
      <c r="A122" s="12"/>
      <c r="B122" s="4"/>
      <c r="C122" s="4"/>
      <c r="D122" s="4"/>
      <c r="E122" s="50"/>
      <c r="F122" s="50"/>
      <c r="G122" s="50"/>
      <c r="H122" s="50"/>
      <c r="I122" s="50"/>
      <c r="J122" s="50"/>
      <c r="K122" s="51"/>
      <c r="L122" s="51"/>
      <c r="M122" s="51"/>
      <c r="N122" s="51"/>
      <c r="O122" s="51"/>
      <c r="P122" s="51"/>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ht="30" customHeight="1">
      <c r="A123" s="12"/>
      <c r="B123" s="4"/>
      <c r="C123" s="4"/>
      <c r="D123" s="4"/>
      <c r="E123" s="50"/>
      <c r="F123" s="50"/>
      <c r="G123" s="50"/>
      <c r="H123" s="50"/>
      <c r="I123" s="50"/>
      <c r="J123" s="50"/>
      <c r="K123" s="51"/>
      <c r="L123" s="51"/>
      <c r="M123" s="51"/>
      <c r="N123" s="51"/>
      <c r="O123" s="51"/>
      <c r="P123" s="51"/>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ht="30" customHeight="1">
      <c r="A124" s="12"/>
      <c r="B124" s="4"/>
      <c r="C124" s="4"/>
      <c r="D124" s="4"/>
      <c r="E124" s="50"/>
      <c r="F124" s="50"/>
      <c r="G124" s="50"/>
      <c r="H124" s="50"/>
      <c r="I124" s="50"/>
      <c r="J124" s="50"/>
      <c r="K124" s="51"/>
      <c r="L124" s="51"/>
      <c r="M124" s="51"/>
      <c r="N124" s="51"/>
      <c r="O124" s="51"/>
      <c r="P124" s="51"/>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ht="30" customHeight="1">
      <c r="A125" s="12"/>
      <c r="B125" s="4"/>
      <c r="C125" s="4"/>
      <c r="D125" s="4"/>
      <c r="E125" s="50"/>
      <c r="F125" s="50"/>
      <c r="G125" s="50"/>
      <c r="H125" s="50"/>
      <c r="I125" s="50"/>
      <c r="J125" s="50"/>
      <c r="K125" s="51"/>
      <c r="L125" s="51"/>
      <c r="M125" s="51"/>
      <c r="N125" s="51"/>
      <c r="O125" s="51"/>
      <c r="P125" s="51"/>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ht="30" customHeight="1">
      <c r="A126" s="12"/>
      <c r="B126" s="4"/>
      <c r="C126" s="4"/>
      <c r="D126" s="4"/>
      <c r="E126" s="50"/>
      <c r="F126" s="50"/>
      <c r="G126" s="50"/>
      <c r="H126" s="50"/>
      <c r="I126" s="50"/>
      <c r="J126" s="50"/>
      <c r="K126" s="51"/>
      <c r="L126" s="51"/>
      <c r="M126" s="51"/>
      <c r="N126" s="51"/>
      <c r="O126" s="51"/>
      <c r="P126" s="51"/>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ht="30" customHeight="1">
      <c r="A127" s="12"/>
      <c r="B127" s="4"/>
      <c r="C127" s="4"/>
      <c r="D127" s="4"/>
      <c r="E127" s="50"/>
      <c r="F127" s="50"/>
      <c r="G127" s="50"/>
      <c r="H127" s="50"/>
      <c r="I127" s="50"/>
      <c r="J127" s="50"/>
      <c r="K127" s="51"/>
      <c r="L127" s="51"/>
      <c r="M127" s="51"/>
      <c r="N127" s="51"/>
      <c r="O127" s="51"/>
      <c r="P127" s="51"/>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30" customHeight="1">
      <c r="A128" s="12"/>
      <c r="B128" s="4"/>
      <c r="C128" s="4"/>
      <c r="D128" s="4"/>
      <c r="E128" s="50"/>
      <c r="F128" s="50"/>
      <c r="G128" s="50"/>
      <c r="H128" s="50"/>
      <c r="I128" s="50"/>
      <c r="J128" s="50"/>
      <c r="K128" s="51"/>
      <c r="L128" s="51"/>
      <c r="M128" s="51"/>
      <c r="N128" s="51"/>
      <c r="O128" s="51"/>
      <c r="P128" s="51"/>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spans="1:44" ht="30" customHeight="1">
      <c r="A129" s="12"/>
      <c r="B129" s="4"/>
      <c r="C129" s="4"/>
      <c r="D129" s="4"/>
      <c r="E129" s="50"/>
      <c r="F129" s="50"/>
      <c r="G129" s="50"/>
      <c r="H129" s="50"/>
      <c r="I129" s="50"/>
      <c r="J129" s="50"/>
      <c r="K129" s="51"/>
      <c r="L129" s="51"/>
      <c r="M129" s="51"/>
      <c r="N129" s="51"/>
      <c r="O129" s="51"/>
      <c r="P129" s="51"/>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spans="1:44" ht="30" customHeight="1">
      <c r="A130" s="12"/>
      <c r="B130" s="4"/>
      <c r="C130" s="4"/>
      <c r="D130" s="4"/>
      <c r="E130" s="50"/>
      <c r="F130" s="50"/>
      <c r="G130" s="50"/>
      <c r="H130" s="50"/>
      <c r="I130" s="50"/>
      <c r="J130" s="50"/>
      <c r="K130" s="51"/>
      <c r="L130" s="51"/>
      <c r="M130" s="51"/>
      <c r="N130" s="51"/>
      <c r="O130" s="51"/>
      <c r="P130" s="51"/>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spans="1:44" s="3" customFormat="1" ht="30" customHeight="1">
      <c r="A131" s="12"/>
      <c r="B131" s="4"/>
      <c r="C131" s="4"/>
      <c r="D131" s="4"/>
      <c r="E131" s="50"/>
      <c r="F131" s="50"/>
      <c r="G131" s="50"/>
      <c r="H131" s="50"/>
      <c r="I131" s="50"/>
      <c r="J131" s="50"/>
      <c r="K131" s="51"/>
      <c r="L131" s="51"/>
      <c r="M131" s="51"/>
      <c r="N131" s="51"/>
      <c r="O131" s="51"/>
      <c r="P131" s="51"/>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5"/>
    </row>
    <row r="132" spans="1:44" s="3" customFormat="1" ht="30" customHeight="1">
      <c r="A132" s="12"/>
      <c r="B132" s="4"/>
      <c r="C132" s="4"/>
      <c r="D132" s="4"/>
      <c r="E132" s="50"/>
      <c r="F132" s="50"/>
      <c r="G132" s="50"/>
      <c r="H132" s="50"/>
      <c r="I132" s="50"/>
      <c r="J132" s="50"/>
      <c r="K132" s="51"/>
      <c r="L132" s="51"/>
      <c r="M132" s="51"/>
      <c r="N132" s="51"/>
      <c r="O132" s="51"/>
      <c r="P132" s="51"/>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5"/>
    </row>
    <row r="133" spans="1:44" s="3" customFormat="1" ht="30" customHeight="1">
      <c r="A133" s="12"/>
      <c r="B133" s="4"/>
      <c r="C133" s="4"/>
      <c r="D133" s="4"/>
      <c r="E133" s="50"/>
      <c r="F133" s="50"/>
      <c r="G133" s="50"/>
      <c r="H133" s="50"/>
      <c r="I133" s="50"/>
      <c r="J133" s="50"/>
      <c r="K133" s="51"/>
      <c r="L133" s="51"/>
      <c r="M133" s="51"/>
      <c r="N133" s="51"/>
      <c r="O133" s="51"/>
      <c r="P133" s="51"/>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5"/>
    </row>
    <row r="134" spans="1:44" s="3" customFormat="1" ht="30" customHeight="1">
      <c r="B134" s="4"/>
      <c r="C134" s="4"/>
      <c r="D134" s="4"/>
      <c r="E134" s="50"/>
      <c r="F134" s="50"/>
      <c r="G134" s="50"/>
      <c r="H134" s="50"/>
      <c r="I134" s="50"/>
      <c r="J134" s="50"/>
      <c r="K134" s="51"/>
      <c r="L134" s="51"/>
      <c r="M134" s="51"/>
      <c r="N134" s="51"/>
      <c r="O134" s="51"/>
      <c r="P134" s="51"/>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5"/>
    </row>
    <row r="135" spans="1:44" s="3" customFormat="1" ht="30" customHeight="1">
      <c r="B135" s="4"/>
      <c r="C135" s="4"/>
      <c r="D135" s="4"/>
      <c r="E135" s="50"/>
      <c r="F135" s="50"/>
      <c r="G135" s="50"/>
      <c r="H135" s="50"/>
      <c r="I135" s="50"/>
      <c r="J135" s="50"/>
      <c r="K135" s="51"/>
      <c r="L135" s="51"/>
      <c r="M135" s="51"/>
      <c r="N135" s="51"/>
      <c r="O135" s="51"/>
      <c r="P135" s="51"/>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5"/>
    </row>
    <row r="136" spans="1:44" s="3" customFormat="1" ht="30" hidden="1" customHeight="1">
      <c r="B136" s="4"/>
      <c r="C136" s="4"/>
      <c r="D136" s="4"/>
      <c r="E136" s="50"/>
      <c r="F136" s="50"/>
      <c r="G136" s="50"/>
      <c r="H136" s="50"/>
      <c r="I136" s="50"/>
      <c r="J136" s="50"/>
      <c r="K136" s="51"/>
      <c r="L136" s="51"/>
      <c r="M136" s="51"/>
      <c r="N136" s="51"/>
      <c r="O136" s="51"/>
      <c r="P136" s="51"/>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5"/>
    </row>
    <row r="137" spans="1:44" s="3" customFormat="1" ht="30" hidden="1" customHeight="1">
      <c r="B137" s="4"/>
      <c r="C137" s="4"/>
      <c r="D137" s="4"/>
      <c r="E137" s="50"/>
      <c r="F137" s="50"/>
      <c r="G137" s="50"/>
      <c r="H137" s="50"/>
      <c r="I137" s="50"/>
      <c r="J137" s="50"/>
      <c r="K137" s="51"/>
      <c r="L137" s="51"/>
      <c r="M137" s="51"/>
      <c r="N137" s="51"/>
      <c r="O137" s="51"/>
      <c r="P137" s="51"/>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5"/>
    </row>
    <row r="138" spans="1:44" ht="0" hidden="1" customHeight="1">
      <c r="E138" s="50"/>
      <c r="F138" s="50"/>
      <c r="G138" s="50"/>
      <c r="H138" s="50"/>
      <c r="I138" s="50"/>
      <c r="J138" s="50"/>
      <c r="K138" s="51"/>
      <c r="L138" s="51"/>
      <c r="M138" s="51"/>
      <c r="N138" s="51"/>
      <c r="O138" s="51"/>
      <c r="P138" s="51"/>
      <c r="Q138" s="4"/>
      <c r="R138" s="4"/>
      <c r="S138" s="4"/>
      <c r="T138" s="4"/>
      <c r="U138" s="4"/>
      <c r="V138" s="4"/>
      <c r="W138" s="4"/>
      <c r="X138" s="4"/>
      <c r="Y138" s="4"/>
      <c r="Z138" s="4"/>
      <c r="AA138" s="4"/>
      <c r="AB138" s="4"/>
      <c r="AC138" s="4"/>
      <c r="AD138" s="4"/>
      <c r="AE138" s="4"/>
    </row>
    <row r="139" spans="1:44" ht="0" hidden="1" customHeight="1">
      <c r="E139" s="50"/>
      <c r="F139" s="50"/>
      <c r="G139" s="50"/>
      <c r="H139" s="50"/>
      <c r="I139" s="50"/>
      <c r="J139" s="50"/>
      <c r="K139" s="51"/>
      <c r="L139" s="51"/>
      <c r="M139" s="51"/>
      <c r="N139" s="51"/>
      <c r="O139" s="51"/>
      <c r="P139" s="51"/>
      <c r="Q139" s="4"/>
      <c r="R139" s="4"/>
      <c r="S139" s="4"/>
      <c r="T139" s="4"/>
      <c r="U139" s="4"/>
      <c r="V139" s="4"/>
      <c r="W139" s="4"/>
      <c r="X139" s="4"/>
      <c r="Y139" s="4"/>
      <c r="Z139" s="4"/>
      <c r="AA139" s="4"/>
      <c r="AC139" s="4"/>
      <c r="AD139" s="4"/>
      <c r="AE139" s="4"/>
    </row>
    <row r="140" spans="1:44" ht="0" hidden="1" customHeight="1">
      <c r="E140" s="50"/>
      <c r="F140" s="50"/>
      <c r="G140" s="50"/>
      <c r="H140" s="50"/>
      <c r="I140" s="50"/>
      <c r="J140" s="50"/>
      <c r="K140" s="51"/>
      <c r="L140" s="51"/>
      <c r="M140" s="51"/>
      <c r="N140" s="51"/>
      <c r="O140" s="51"/>
      <c r="P140" s="51"/>
      <c r="Q140" s="4"/>
      <c r="R140" s="4"/>
      <c r="S140" s="4"/>
      <c r="T140" s="4"/>
      <c r="U140" s="4"/>
      <c r="V140" s="4"/>
      <c r="W140" s="4"/>
      <c r="X140" s="4"/>
      <c r="Y140" s="4"/>
      <c r="Z140" s="4"/>
      <c r="AD140" s="4"/>
      <c r="AE140" s="4"/>
    </row>
    <row r="141" spans="1:44" ht="0" hidden="1" customHeight="1">
      <c r="E141" s="50"/>
      <c r="F141" s="50"/>
      <c r="G141" s="50"/>
      <c r="H141" s="50"/>
      <c r="I141" s="50"/>
      <c r="J141" s="50"/>
      <c r="K141" s="51"/>
      <c r="L141" s="51"/>
      <c r="M141" s="51"/>
      <c r="N141" s="51"/>
      <c r="O141" s="51"/>
      <c r="P141" s="51"/>
      <c r="Q141" s="4"/>
      <c r="R141" s="4"/>
      <c r="S141" s="4"/>
      <c r="T141" s="4"/>
      <c r="U141" s="4"/>
      <c r="V141" s="4"/>
      <c r="W141" s="4"/>
      <c r="X141" s="4"/>
      <c r="Y141" s="4"/>
      <c r="Z141" s="4"/>
    </row>
    <row r="142" spans="1:44" ht="0" hidden="1" customHeight="1">
      <c r="E142" s="50"/>
      <c r="F142" s="50"/>
      <c r="G142" s="50"/>
      <c r="H142" s="50"/>
      <c r="I142" s="50"/>
      <c r="J142" s="50"/>
      <c r="K142" s="51"/>
      <c r="L142" s="51"/>
      <c r="M142" s="51"/>
      <c r="N142" s="51"/>
      <c r="O142" s="51"/>
      <c r="P142" s="51"/>
      <c r="Q142" s="4"/>
      <c r="R142" s="4"/>
      <c r="S142" s="4"/>
      <c r="T142" s="4"/>
      <c r="U142" s="4"/>
      <c r="V142" s="4"/>
      <c r="W142" s="4"/>
      <c r="X142" s="4"/>
      <c r="Y142" s="4"/>
      <c r="Z142" s="4"/>
    </row>
    <row r="143" spans="1:44" ht="0" hidden="1" customHeight="1">
      <c r="E143" s="50"/>
      <c r="F143" s="50"/>
      <c r="G143" s="50"/>
      <c r="H143" s="50"/>
      <c r="I143" s="50"/>
      <c r="J143" s="50"/>
      <c r="K143" s="51"/>
      <c r="L143" s="51"/>
      <c r="M143" s="51"/>
      <c r="N143" s="51"/>
      <c r="O143" s="51"/>
      <c r="P143" s="51"/>
      <c r="Q143" s="4"/>
      <c r="R143" s="4"/>
      <c r="S143" s="4"/>
      <c r="T143" s="4"/>
      <c r="U143" s="4"/>
      <c r="V143" s="4"/>
      <c r="W143" s="4"/>
      <c r="X143" s="4"/>
      <c r="Y143" s="4"/>
      <c r="Z143" s="4"/>
    </row>
    <row r="144" spans="1:44" ht="0" hidden="1" customHeight="1">
      <c r="E144" s="50"/>
      <c r="F144" s="50"/>
      <c r="G144" s="50"/>
      <c r="H144" s="50"/>
      <c r="I144" s="50"/>
      <c r="J144" s="50"/>
      <c r="K144" s="51"/>
      <c r="L144" s="51"/>
      <c r="M144" s="51"/>
      <c r="N144" s="51"/>
      <c r="O144" s="51"/>
      <c r="P144" s="51"/>
      <c r="Q144" s="4"/>
      <c r="R144" s="4"/>
      <c r="S144" s="4"/>
      <c r="T144" s="4"/>
      <c r="U144" s="4"/>
      <c r="V144" s="4"/>
      <c r="W144" s="4"/>
      <c r="X144" s="4"/>
      <c r="Y144" s="4"/>
      <c r="Z144" s="4"/>
    </row>
    <row r="145" spans="5:26" ht="0" hidden="1" customHeight="1">
      <c r="E145" s="50"/>
      <c r="F145" s="50"/>
      <c r="G145" s="50"/>
      <c r="H145" s="50"/>
      <c r="I145" s="50"/>
      <c r="J145" s="50"/>
      <c r="K145" s="51"/>
      <c r="L145" s="51"/>
      <c r="M145" s="51"/>
      <c r="N145" s="51"/>
      <c r="O145" s="51"/>
      <c r="P145" s="51"/>
      <c r="Q145" s="4"/>
      <c r="R145" s="4"/>
      <c r="S145" s="4"/>
      <c r="T145" s="4"/>
      <c r="U145" s="4"/>
      <c r="V145" s="4"/>
      <c r="W145" s="4"/>
      <c r="X145" s="4"/>
      <c r="Y145" s="4"/>
      <c r="Z145" s="4"/>
    </row>
    <row r="146" spans="5:26" ht="0" hidden="1" customHeight="1">
      <c r="E146" s="50"/>
      <c r="F146" s="50"/>
      <c r="G146" s="50"/>
      <c r="H146" s="50"/>
      <c r="I146" s="50"/>
      <c r="J146" s="50"/>
      <c r="K146" s="51"/>
      <c r="L146" s="51"/>
      <c r="M146" s="51"/>
      <c r="N146" s="51"/>
      <c r="O146" s="51"/>
      <c r="P146" s="51"/>
      <c r="Q146" s="4"/>
      <c r="R146" s="4"/>
      <c r="S146" s="4"/>
      <c r="T146" s="4"/>
      <c r="U146" s="4"/>
      <c r="V146" s="4"/>
      <c r="W146" s="4"/>
      <c r="X146" s="4"/>
      <c r="Y146" s="4"/>
      <c r="Z146" s="4"/>
    </row>
    <row r="147" spans="5:26" ht="0" hidden="1" customHeight="1">
      <c r="K147" s="64"/>
      <c r="L147" s="64"/>
      <c r="M147" s="64"/>
      <c r="N147" s="64"/>
      <c r="O147" s="64"/>
      <c r="P147" s="64"/>
    </row>
  </sheetData>
  <mergeCells count="47">
    <mergeCell ref="E52:J52"/>
    <mergeCell ref="E53:J53"/>
    <mergeCell ref="E54:J54"/>
    <mergeCell ref="E57:J57"/>
    <mergeCell ref="E46:J46"/>
    <mergeCell ref="E48:J48"/>
    <mergeCell ref="E49:J49"/>
    <mergeCell ref="E45:J45"/>
    <mergeCell ref="E24:J24"/>
    <mergeCell ref="E35:J35"/>
    <mergeCell ref="E40:J40"/>
    <mergeCell ref="E41:J41"/>
    <mergeCell ref="E42:J42"/>
    <mergeCell ref="E38:J38"/>
    <mergeCell ref="E39:J39"/>
    <mergeCell ref="E13:J13"/>
    <mergeCell ref="E14:J14"/>
    <mergeCell ref="E36:J36"/>
    <mergeCell ref="E25:J25"/>
    <mergeCell ref="E26:J26"/>
    <mergeCell ref="E27:J27"/>
    <mergeCell ref="E29:J29"/>
    <mergeCell ref="E30:J30"/>
    <mergeCell ref="E31:J31"/>
    <mergeCell ref="E19:J19"/>
    <mergeCell ref="E33:J33"/>
    <mergeCell ref="E70:J70"/>
    <mergeCell ref="E71:J71"/>
    <mergeCell ref="E75:J75"/>
    <mergeCell ref="K2:V5"/>
    <mergeCell ref="E44:J44"/>
    <mergeCell ref="E32:J32"/>
    <mergeCell ref="E34:J34"/>
    <mergeCell ref="E37:J37"/>
    <mergeCell ref="E16:J16"/>
    <mergeCell ref="E18:J18"/>
    <mergeCell ref="E21:J21"/>
    <mergeCell ref="E22:J22"/>
    <mergeCell ref="I12:J12"/>
    <mergeCell ref="E17:J17"/>
    <mergeCell ref="E43:J43"/>
    <mergeCell ref="E23:J23"/>
    <mergeCell ref="E60:J60"/>
    <mergeCell ref="E61:J61"/>
    <mergeCell ref="E62:J62"/>
    <mergeCell ref="E66:J66"/>
    <mergeCell ref="E69:J69"/>
  </mergeCells>
  <phoneticPr fontId="26" type="noConversion"/>
  <conditionalFormatting sqref="K22:T22">
    <cfRule type="colorScale" priority="38">
      <colorScale>
        <cfvo type="min"/>
        <cfvo type="max"/>
        <color rgb="FFFCFCFF"/>
        <color rgb="FF43AF43"/>
      </colorScale>
    </cfRule>
    <cfRule type="colorScale" priority="37">
      <colorScale>
        <cfvo type="min"/>
        <cfvo type="max"/>
        <color rgb="FFD9FBE2"/>
        <color rgb="FF43AF43"/>
      </colorScale>
    </cfRule>
    <cfRule type="colorScale" priority="36">
      <colorScale>
        <cfvo type="min"/>
        <cfvo type="max"/>
        <color rgb="FFFCFCFF"/>
        <color rgb="FF43AF43"/>
      </colorScale>
    </cfRule>
    <cfRule type="colorScale" priority="35">
      <colorScale>
        <cfvo type="min"/>
        <cfvo type="max"/>
        <color rgb="FFD9FBE2"/>
        <color rgb="FF43AF43"/>
      </colorScale>
    </cfRule>
    <cfRule type="colorScale" priority="33">
      <colorScale>
        <cfvo type="min"/>
        <cfvo type="max"/>
        <color rgb="FFD9FBE2"/>
        <color rgb="FF43AF43"/>
      </colorScale>
    </cfRule>
    <cfRule type="colorScale" priority="34">
      <colorScale>
        <cfvo type="min"/>
        <cfvo type="max"/>
        <color rgb="FFFCFCFF"/>
        <color rgb="FF43AF43"/>
      </colorScale>
    </cfRule>
    <cfRule type="cellIs" dxfId="172" priority="39" operator="equal">
      <formula>0</formula>
    </cfRule>
  </conditionalFormatting>
  <conditionalFormatting sqref="K25:T25">
    <cfRule type="colorScale" priority="26">
      <colorScale>
        <cfvo type="min"/>
        <cfvo type="max"/>
        <color rgb="FFD9FBE2"/>
        <color rgb="FF43AF43"/>
      </colorScale>
    </cfRule>
    <cfRule type="colorScale" priority="28">
      <colorScale>
        <cfvo type="min"/>
        <cfvo type="max"/>
        <color rgb="FFD9FBE2"/>
        <color rgb="FF43AF43"/>
      </colorScale>
    </cfRule>
    <cfRule type="colorScale" priority="29">
      <colorScale>
        <cfvo type="min"/>
        <cfvo type="max"/>
        <color rgb="FFFCFCFF"/>
        <color rgb="FF43AF43"/>
      </colorScale>
    </cfRule>
    <cfRule type="colorScale" priority="30">
      <colorScale>
        <cfvo type="min"/>
        <cfvo type="max"/>
        <color rgb="FFD9FBE2"/>
        <color rgb="FF43AF43"/>
      </colorScale>
    </cfRule>
    <cfRule type="colorScale" priority="31">
      <colorScale>
        <cfvo type="min"/>
        <cfvo type="max"/>
        <color rgb="FFFCFCFF"/>
        <color rgb="FF43AF43"/>
      </colorScale>
    </cfRule>
    <cfRule type="cellIs" dxfId="171" priority="32" operator="equal">
      <formula>0</formula>
    </cfRule>
    <cfRule type="colorScale" priority="27">
      <colorScale>
        <cfvo type="min"/>
        <cfvo type="max"/>
        <color rgb="FFFCFCFF"/>
        <color rgb="FF43AF43"/>
      </colorScale>
    </cfRule>
  </conditionalFormatting>
  <conditionalFormatting sqref="K26:T26">
    <cfRule type="cellIs" dxfId="170" priority="77" operator="equal">
      <formula>0</formula>
    </cfRule>
  </conditionalFormatting>
  <conditionalFormatting sqref="K27:T27">
    <cfRule type="colorScale" priority="19">
      <colorScale>
        <cfvo type="min"/>
        <cfvo type="max"/>
        <color rgb="FFD9FBE2"/>
        <color rgb="FF43AF43"/>
      </colorScale>
    </cfRule>
    <cfRule type="colorScale" priority="20">
      <colorScale>
        <cfvo type="min"/>
        <cfvo type="max"/>
        <color rgb="FFFCFCFF"/>
        <color rgb="FF43AF43"/>
      </colorScale>
    </cfRule>
    <cfRule type="colorScale" priority="21">
      <colorScale>
        <cfvo type="min"/>
        <cfvo type="max"/>
        <color rgb="FFD9FBE2"/>
        <color rgb="FF43AF43"/>
      </colorScale>
    </cfRule>
    <cfRule type="colorScale" priority="22">
      <colorScale>
        <cfvo type="min"/>
        <cfvo type="max"/>
        <color rgb="FFFCFCFF"/>
        <color rgb="FF43AF43"/>
      </colorScale>
    </cfRule>
    <cfRule type="colorScale" priority="23">
      <colorScale>
        <cfvo type="min"/>
        <cfvo type="max"/>
        <color rgb="FFD9FBE2"/>
        <color rgb="FF43AF43"/>
      </colorScale>
    </cfRule>
    <cfRule type="colorScale" priority="24">
      <colorScale>
        <cfvo type="min"/>
        <cfvo type="max"/>
        <color rgb="FFFCFCFF"/>
        <color rgb="FF43AF43"/>
      </colorScale>
    </cfRule>
    <cfRule type="cellIs" dxfId="169" priority="25" operator="equal">
      <formula>0</formula>
    </cfRule>
  </conditionalFormatting>
  <conditionalFormatting sqref="K28:T36">
    <cfRule type="cellIs" dxfId="168" priority="73" operator="equal">
      <formula>0</formula>
    </cfRule>
  </conditionalFormatting>
  <conditionalFormatting sqref="K38:T48">
    <cfRule type="cellIs" dxfId="167" priority="69" operator="equal">
      <formula>0</formula>
    </cfRule>
  </conditionalFormatting>
  <conditionalFormatting sqref="K49:T49">
    <cfRule type="colorScale" priority="9">
      <colorScale>
        <cfvo type="min"/>
        <cfvo type="max"/>
        <color rgb="FFD9FBE2"/>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olorScale" priority="7">
      <colorScale>
        <cfvo type="min"/>
        <cfvo type="max"/>
        <color rgb="FFD9FBE2"/>
        <color rgb="FF43AF43"/>
      </colorScale>
    </cfRule>
    <cfRule type="colorScale" priority="8">
      <colorScale>
        <cfvo type="min"/>
        <cfvo type="max"/>
        <color rgb="FFFCFCFF"/>
        <color rgb="FF43AF43"/>
      </colorScale>
    </cfRule>
    <cfRule type="colorScale" priority="10">
      <colorScale>
        <cfvo type="min"/>
        <cfvo type="max"/>
        <color rgb="FFFCFCFF"/>
        <color rgb="FF43AF43"/>
      </colorScale>
    </cfRule>
    <cfRule type="cellIs" dxfId="166" priority="11" operator="equal">
      <formula>0</formula>
    </cfRule>
  </conditionalFormatting>
  <conditionalFormatting sqref="K37:U37">
    <cfRule type="colorScale" priority="16">
      <colorScale>
        <cfvo type="min"/>
        <cfvo type="max"/>
        <color rgb="FFD9FBE2"/>
        <color rgb="FF43AF43"/>
      </colorScale>
    </cfRule>
    <cfRule type="cellIs" dxfId="165" priority="18" operator="equal">
      <formula>0</formula>
    </cfRule>
    <cfRule type="colorScale" priority="17">
      <colorScale>
        <cfvo type="min"/>
        <cfvo type="max"/>
        <color rgb="FFFCFCFF"/>
        <color rgb="FF43AF43"/>
      </colorScale>
    </cfRule>
    <cfRule type="colorScale" priority="12">
      <colorScale>
        <cfvo type="min"/>
        <cfvo type="max"/>
        <color rgb="FFD9FBE2"/>
        <color rgb="FF43AF43"/>
      </colorScale>
    </cfRule>
    <cfRule type="colorScale" priority="13">
      <colorScale>
        <cfvo type="min"/>
        <cfvo type="max"/>
        <color rgb="FFFCFCFF"/>
        <color rgb="FF43AF43"/>
      </colorScale>
    </cfRule>
    <cfRule type="colorScale" priority="14">
      <colorScale>
        <cfvo type="min"/>
        <cfvo type="max"/>
        <color rgb="FFD9FBE2"/>
        <color rgb="FF43AF43"/>
      </colorScale>
    </cfRule>
    <cfRule type="colorScale" priority="15">
      <colorScale>
        <cfvo type="min"/>
        <cfvo type="max"/>
        <color rgb="FFFCFCFF"/>
        <color rgb="FF43AF43"/>
      </colorScale>
    </cfRule>
  </conditionalFormatting>
  <conditionalFormatting sqref="K13:Z16 T18:Z20 K18:S21 T21 U21:U36 V21:Z49 K23:T24 N42:S42 AA55:AA57">
    <cfRule type="cellIs" dxfId="164" priority="269" operator="equal">
      <formula>0</formula>
    </cfRule>
  </conditionalFormatting>
  <conditionalFormatting sqref="K17:Z17">
    <cfRule type="colorScale" priority="40">
      <colorScale>
        <cfvo type="min"/>
        <cfvo type="max"/>
        <color rgb="FFD9FBE2"/>
        <color rgb="FF43AF43"/>
      </colorScale>
    </cfRule>
    <cfRule type="colorScale" priority="41">
      <colorScale>
        <cfvo type="min"/>
        <cfvo type="max"/>
        <color rgb="FFFCFCFF"/>
        <color rgb="FF43AF43"/>
      </colorScale>
    </cfRule>
    <cfRule type="colorScale" priority="42">
      <colorScale>
        <cfvo type="min"/>
        <cfvo type="max"/>
        <color rgb="FFD9FBE2"/>
        <color rgb="FF43AF43"/>
      </colorScale>
    </cfRule>
    <cfRule type="colorScale" priority="43">
      <colorScale>
        <cfvo type="min"/>
        <cfvo type="max"/>
        <color rgb="FFFCFCFF"/>
        <color rgb="FF43AF43"/>
      </colorScale>
    </cfRule>
    <cfRule type="colorScale" priority="44">
      <colorScale>
        <cfvo type="min"/>
        <cfvo type="max"/>
        <color rgb="FFD9FBE2"/>
        <color rgb="FF43AF43"/>
      </colorScale>
    </cfRule>
    <cfRule type="colorScale" priority="45">
      <colorScale>
        <cfvo type="min"/>
        <cfvo type="max"/>
        <color rgb="FFFCFCFF"/>
        <color rgb="FF43AF43"/>
      </colorScale>
    </cfRule>
    <cfRule type="cellIs" dxfId="163" priority="46" operator="equal">
      <formula>0</formula>
    </cfRule>
  </conditionalFormatting>
  <conditionalFormatting sqref="K52:Z52">
    <cfRule type="cellIs" dxfId="162" priority="57" operator="equal">
      <formula>0</formula>
    </cfRule>
  </conditionalFormatting>
  <conditionalFormatting sqref="K54:Z57">
    <cfRule type="cellIs" dxfId="161" priority="48" operator="equal">
      <formula>0</formula>
    </cfRule>
  </conditionalFormatting>
  <conditionalFormatting sqref="K60:Z60">
    <cfRule type="cellIs" dxfId="160" priority="2" operator="equal">
      <formula>0</formula>
    </cfRule>
  </conditionalFormatting>
  <conditionalFormatting sqref="K62:Z66">
    <cfRule type="cellIs" dxfId="159" priority="1" operator="equal">
      <formula>0</formula>
    </cfRule>
  </conditionalFormatting>
  <conditionalFormatting sqref="K69:Z69">
    <cfRule type="cellIs" dxfId="158" priority="4" operator="equal">
      <formula>0</formula>
    </cfRule>
  </conditionalFormatting>
  <conditionalFormatting sqref="K71:Z75">
    <cfRule type="cellIs" dxfId="157" priority="3" operator="equal">
      <formula>0</formula>
    </cfRule>
  </conditionalFormatting>
  <conditionalFormatting sqref="U22">
    <cfRule type="colorScale" priority="2030">
      <colorScale>
        <cfvo type="min"/>
        <cfvo type="max"/>
        <color rgb="FFD9FBE2"/>
        <color rgb="FF00C556"/>
      </colorScale>
    </cfRule>
    <cfRule type="colorScale" priority="2031">
      <colorScale>
        <cfvo type="min"/>
        <cfvo type="max"/>
        <color rgb="FFFCFCFF"/>
        <color rgb="FF63BE7B"/>
      </colorScale>
    </cfRule>
  </conditionalFormatting>
  <conditionalFormatting sqref="U25">
    <cfRule type="colorScale" priority="2040">
      <colorScale>
        <cfvo type="min"/>
        <cfvo type="max"/>
        <color rgb="FFD9FBE2"/>
        <color rgb="FF00C556"/>
      </colorScale>
    </cfRule>
    <cfRule type="colorScale" priority="2041">
      <colorScale>
        <cfvo type="min"/>
        <cfvo type="max"/>
        <color rgb="FFFCFCFF"/>
        <color rgb="FF63BE7B"/>
      </colorScale>
    </cfRule>
  </conditionalFormatting>
  <conditionalFormatting sqref="U27">
    <cfRule type="colorScale" priority="2034">
      <colorScale>
        <cfvo type="min"/>
        <cfvo type="max"/>
        <color rgb="FFD9FBE2"/>
        <color rgb="FF00C556"/>
      </colorScale>
    </cfRule>
    <cfRule type="colorScale" priority="2035">
      <colorScale>
        <cfvo type="min"/>
        <cfvo type="max"/>
        <color rgb="FFFCFCFF"/>
        <color rgb="FF63BE7B"/>
      </colorScale>
    </cfRule>
  </conditionalFormatting>
  <conditionalFormatting sqref="U38:U49">
    <cfRule type="cellIs" dxfId="156" priority="125" operator="equal">
      <formula>0</formula>
    </cfRule>
  </conditionalFormatting>
  <conditionalFormatting sqref="U49">
    <cfRule type="colorScale" priority="2026">
      <colorScale>
        <cfvo type="min"/>
        <cfvo type="max"/>
        <color rgb="FFD9FBE2"/>
        <color rgb="FF00C556"/>
      </colorScale>
    </cfRule>
    <cfRule type="colorScale" priority="2027">
      <colorScale>
        <cfvo type="min"/>
        <cfvo type="max"/>
        <color rgb="FFFCFCFF"/>
        <color rgb="FF63BE7B"/>
      </colorScale>
    </cfRule>
  </conditionalFormatting>
  <conditionalFormatting sqref="V37:Z37">
    <cfRule type="colorScale" priority="2317">
      <colorScale>
        <cfvo type="min"/>
        <cfvo type="max"/>
        <color rgb="FFD9FBE2"/>
        <color rgb="FF00C556"/>
      </colorScale>
    </cfRule>
    <cfRule type="colorScale" priority="2318">
      <colorScale>
        <cfvo type="min"/>
        <cfvo type="max"/>
        <color rgb="FFFCFCFF"/>
        <color rgb="FF63BE7B"/>
      </colorScale>
    </cfRule>
    <cfRule type="colorScale" priority="2323">
      <colorScale>
        <cfvo type="min"/>
        <cfvo type="max"/>
        <color rgb="FFD9FBE2"/>
        <color rgb="FF00C556"/>
      </colorScale>
    </cfRule>
  </conditionalFormatting>
  <conditionalFormatting sqref="X21:Z21">
    <cfRule type="cellIs" dxfId="155" priority="171" operator="equal">
      <formula>0</formula>
    </cfRule>
  </conditionalFormatting>
  <conditionalFormatting sqref="X26:Z26">
    <cfRule type="cellIs" dxfId="154" priority="172" operator="equal">
      <formula>0</formula>
    </cfRule>
  </conditionalFormatting>
  <conditionalFormatting sqref="X29:Z33">
    <cfRule type="cellIs" dxfId="153" priority="170" operator="equal">
      <formula>0</formula>
    </cfRule>
  </conditionalFormatting>
  <hyperlinks>
    <hyperlink ref="A13" location="'Balanço Patrimonial'!A1" display="Balanço Patrimonial" xr:uid="{1BB797A9-860D-45EA-8F56-3A0E68595483}"/>
    <hyperlink ref="A12" location="'DRE - Contas Abertas'!A1" display="DRE - Contas Abertas" xr:uid="{E6E5655F-9E96-44DE-9AEE-F7F22996F4C1}"/>
    <hyperlink ref="A14" location="'Painel de Índices'!A1" display="Projeções - Receita" xr:uid="{6EC53B17-CE93-4415-B0B1-F16C354CD9E3}"/>
    <hyperlink ref="A16" location="'Projeções - CG + Capex'!A1" display="Projeções - CG + Capex" xr:uid="{85B8B695-42FE-4E55-BDF6-A801E1B2FC2D}"/>
    <hyperlink ref="A20" location="Gráficos!A1" display="Gráficos" xr:uid="{DC71C77E-E15F-46C7-A02D-C499CB9537B7}"/>
    <hyperlink ref="A18" location="Processos!A1" display="Processos" xr:uid="{B0C92894-33FA-438B-88CC-8748EE614F41}"/>
    <hyperlink ref="A8" location="Dashboard!A1" display="Dashboard" xr:uid="{8CDD9DFF-4A5E-4E88-B407-4809B79ED419}"/>
    <hyperlink ref="A9" location="WACC!A1" display="WACC" xr:uid="{64DEB967-7178-4546-89B6-B31CA253BE8D}"/>
    <hyperlink ref="A10" location="'DRE Consolidado'!A1" display="DRE Consolidado" xr:uid="{55430EA8-73C1-457C-9E66-356C3A274A44}"/>
    <hyperlink ref="A15" location="'Projeções - Receita e EBIT'!A1" display="Projeções - Receita" xr:uid="{BD81FA6F-E0A2-43BC-97A2-A3D5334385E4}"/>
    <hyperlink ref="A11" location="'DRE + DCF'!A1" display="DRE + DCF" xr:uid="{7EE60611-FB34-4CC9-9916-F882FABDC8D2}"/>
    <hyperlink ref="A17" location="'Projeções 2023'!A1" display="Projeções 2022" xr:uid="{B41971D3-53CC-4533-8DB4-28D95DE4426A}"/>
  </hyperlinks>
  <pageMargins left="0.511811024" right="0.511811024" top="0.78740157499999996" bottom="0.78740157499999996" header="0.31496062000000002" footer="0.31496062000000002"/>
  <pageSetup paperSize="9" orientation="portrait" r:id="rId1"/>
  <ignoredErrors>
    <ignoredError sqref="K29" formulaRange="1"/>
  </ignoredError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B2226-E07B-42F2-B2F9-33576F26677E}">
  <dimension ref="A1:BU170"/>
  <sheetViews>
    <sheetView showGridLines="0" topLeftCell="B43" zoomScale="85" zoomScaleNormal="85" workbookViewId="0">
      <selection activeCell="W36" sqref="W36"/>
    </sheetView>
  </sheetViews>
  <sheetFormatPr defaultColWidth="0" defaultRowHeight="0" customHeight="1" zeroHeight="1"/>
  <cols>
    <col min="1" max="1" width="39.140625" style="3" customWidth="1"/>
    <col min="2" max="4" width="9.140625" style="5" customWidth="1"/>
    <col min="5" max="9" width="7.28515625" style="5" customWidth="1"/>
    <col min="10" max="10" width="37.140625" style="5" customWidth="1"/>
    <col min="11" max="11" width="15.140625" style="5" bestFit="1" customWidth="1"/>
    <col min="12" max="12" width="15.140625" style="5" customWidth="1"/>
    <col min="13" max="18" width="15.140625" style="5" bestFit="1" customWidth="1"/>
    <col min="19" max="20" width="15.140625" style="5" customWidth="1"/>
    <col min="21" max="21" width="16.42578125" style="5" bestFit="1" customWidth="1"/>
    <col min="22" max="22" width="17.5703125" style="5" bestFit="1" customWidth="1"/>
    <col min="23" max="26" width="16.42578125" style="5" bestFit="1" customWidth="1"/>
    <col min="27" max="27" width="15.42578125" style="5" bestFit="1" customWidth="1"/>
    <col min="28" max="28" width="13.85546875" style="5" customWidth="1"/>
    <col min="29" max="41" width="9.140625" style="5" customWidth="1"/>
    <col min="42" max="46" width="9.140625" style="5" hidden="1" customWidth="1"/>
    <col min="47" max="50" width="0" style="5" hidden="1" customWidth="1"/>
    <col min="51" max="73" width="9.140625" style="5" hidden="1" customWidth="1"/>
    <col min="74" max="16384" width="0" style="5" hidden="1"/>
  </cols>
  <sheetData>
    <row r="1" spans="1:43" ht="15">
      <c r="A1" s="3" t="s">
        <v>59</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c r="AM1" s="4"/>
      <c r="AN1" s="4"/>
      <c r="AO1" s="4"/>
      <c r="AP1" s="4"/>
      <c r="AQ1" s="4"/>
    </row>
    <row r="2" spans="1:43" ht="15" customHeight="1">
      <c r="B2" s="4"/>
      <c r="C2" s="4"/>
      <c r="D2" s="4"/>
      <c r="E2" s="4"/>
      <c r="F2" s="4"/>
      <c r="G2" s="4"/>
      <c r="H2" s="4"/>
      <c r="I2" s="4"/>
      <c r="J2" s="4"/>
      <c r="K2" s="343" t="str">
        <f>Dashboard!H3</f>
        <v>SIMPAR (SIMH3)</v>
      </c>
      <c r="L2" s="343"/>
      <c r="M2" s="343"/>
      <c r="N2" s="343"/>
      <c r="O2" s="343"/>
      <c r="P2" s="343"/>
      <c r="Q2" s="343"/>
      <c r="R2" s="343"/>
      <c r="S2" s="343"/>
      <c r="T2" s="343"/>
      <c r="U2" s="343"/>
      <c r="V2" s="343"/>
      <c r="W2" s="4"/>
      <c r="X2" s="4"/>
      <c r="Y2" s="4"/>
      <c r="Z2" s="4"/>
      <c r="AA2" s="4"/>
      <c r="AB2" s="4"/>
      <c r="AC2" s="4"/>
      <c r="AD2" s="4"/>
      <c r="AE2" s="4"/>
      <c r="AF2" s="4"/>
      <c r="AG2" s="4"/>
      <c r="AH2" s="4"/>
      <c r="AI2" s="4"/>
      <c r="AJ2" s="4"/>
      <c r="AK2" s="4"/>
      <c r="AL2" s="4"/>
      <c r="AM2" s="4"/>
      <c r="AN2" s="4"/>
      <c r="AO2" s="4"/>
      <c r="AP2" s="4"/>
      <c r="AQ2" s="4"/>
    </row>
    <row r="3" spans="1:43" ht="15" customHeight="1">
      <c r="B3" s="4"/>
      <c r="C3" s="4"/>
      <c r="D3" s="4"/>
      <c r="E3" s="4"/>
      <c r="F3" s="4"/>
      <c r="G3" s="4"/>
      <c r="H3" s="4"/>
      <c r="I3" s="4"/>
      <c r="J3" s="4"/>
      <c r="K3" s="343"/>
      <c r="L3" s="343"/>
      <c r="M3" s="343"/>
      <c r="N3" s="343"/>
      <c r="O3" s="343"/>
      <c r="P3" s="343"/>
      <c r="Q3" s="343"/>
      <c r="R3" s="343"/>
      <c r="S3" s="343"/>
      <c r="T3" s="343"/>
      <c r="U3" s="343"/>
      <c r="V3" s="343"/>
      <c r="W3" s="4"/>
      <c r="X3" s="4"/>
      <c r="Y3" s="4"/>
      <c r="Z3" s="4"/>
      <c r="AA3" s="4"/>
      <c r="AB3" s="4"/>
      <c r="AC3" s="4"/>
      <c r="AD3" s="4"/>
      <c r="AE3" s="4"/>
      <c r="AF3" s="4"/>
      <c r="AG3" s="4"/>
      <c r="AH3" s="4"/>
      <c r="AI3" s="4"/>
      <c r="AJ3" s="4"/>
      <c r="AK3" s="4"/>
      <c r="AL3" s="4"/>
      <c r="AM3" s="4"/>
      <c r="AN3" s="4"/>
      <c r="AO3" s="4"/>
      <c r="AP3" s="4"/>
      <c r="AQ3" s="4"/>
    </row>
    <row r="4" spans="1:43" ht="15" customHeight="1">
      <c r="B4" s="4"/>
      <c r="C4" s="4"/>
      <c r="D4" s="4"/>
      <c r="E4" s="4"/>
      <c r="F4" s="4"/>
      <c r="G4" s="4"/>
      <c r="H4" s="4"/>
      <c r="I4" s="4"/>
      <c r="J4" s="4"/>
      <c r="K4" s="343"/>
      <c r="L4" s="343"/>
      <c r="M4" s="343"/>
      <c r="N4" s="343"/>
      <c r="O4" s="343"/>
      <c r="P4" s="343"/>
      <c r="Q4" s="343"/>
      <c r="R4" s="343"/>
      <c r="S4" s="343"/>
      <c r="T4" s="343"/>
      <c r="U4" s="343"/>
      <c r="V4" s="343"/>
      <c r="W4" s="4"/>
      <c r="X4" s="4"/>
      <c r="Y4" s="4"/>
      <c r="Z4" s="4"/>
      <c r="AA4" s="4"/>
      <c r="AB4" s="4"/>
      <c r="AC4" s="4"/>
      <c r="AD4" s="4"/>
      <c r="AE4" s="4"/>
      <c r="AF4" s="4"/>
      <c r="AG4" s="4"/>
      <c r="AH4" s="4"/>
      <c r="AI4" s="4"/>
      <c r="AJ4" s="4"/>
      <c r="AK4" s="4"/>
      <c r="AL4" s="4"/>
      <c r="AM4" s="4"/>
      <c r="AN4" s="4"/>
      <c r="AO4" s="4"/>
      <c r="AP4" s="4"/>
      <c r="AQ4" s="4"/>
    </row>
    <row r="5" spans="1:43" ht="15" customHeight="1">
      <c r="B5" s="4"/>
      <c r="C5" s="4"/>
      <c r="D5" s="4"/>
      <c r="E5" s="4"/>
      <c r="F5" s="4"/>
      <c r="G5" s="4"/>
      <c r="H5" s="4"/>
      <c r="I5" s="4"/>
      <c r="J5" s="4"/>
      <c r="K5" s="343"/>
      <c r="L5" s="343"/>
      <c r="M5" s="343"/>
      <c r="N5" s="343"/>
      <c r="O5" s="343"/>
      <c r="P5" s="343"/>
      <c r="Q5" s="343"/>
      <c r="R5" s="343"/>
      <c r="S5" s="343"/>
      <c r="T5" s="343"/>
      <c r="U5" s="343"/>
      <c r="V5" s="343"/>
      <c r="W5" s="4"/>
      <c r="X5" s="4"/>
      <c r="Y5" s="4"/>
      <c r="Z5" s="4"/>
      <c r="AA5" s="4"/>
      <c r="AB5" s="4"/>
      <c r="AC5" s="4"/>
      <c r="AD5" s="4"/>
      <c r="AE5" s="4"/>
      <c r="AF5" s="4"/>
      <c r="AG5" s="4"/>
      <c r="AH5" s="4"/>
      <c r="AI5" s="4"/>
      <c r="AJ5" s="4"/>
      <c r="AK5" s="4"/>
      <c r="AL5" s="4"/>
      <c r="AM5" s="4"/>
      <c r="AN5" s="4"/>
      <c r="AO5" s="4"/>
      <c r="AP5" s="4"/>
      <c r="AQ5" s="4"/>
    </row>
    <row r="6" spans="1:43" ht="15">
      <c r="B6" s="4"/>
      <c r="C6" s="4"/>
      <c r="D6" s="4"/>
      <c r="E6" s="4"/>
      <c r="F6" s="4"/>
      <c r="G6" s="4"/>
      <c r="H6" s="4"/>
      <c r="I6" s="4"/>
      <c r="J6" s="4"/>
      <c r="K6" s="4"/>
      <c r="L6" s="4"/>
      <c r="M6" s="4"/>
      <c r="N6" s="32"/>
      <c r="O6" s="32"/>
      <c r="P6" s="32"/>
      <c r="Q6" s="32"/>
      <c r="R6" s="32"/>
      <c r="S6" s="32"/>
      <c r="T6" s="32"/>
      <c r="U6" s="4"/>
      <c r="V6" s="4"/>
      <c r="W6" s="4"/>
      <c r="X6" s="4"/>
      <c r="Y6" s="4"/>
      <c r="Z6" s="4"/>
      <c r="AA6" s="4"/>
      <c r="AB6" s="4"/>
      <c r="AC6" s="4"/>
      <c r="AD6" s="4"/>
      <c r="AE6" s="4"/>
      <c r="AF6" s="4"/>
      <c r="AG6" s="4"/>
      <c r="AH6" s="4"/>
      <c r="AI6" s="4"/>
      <c r="AJ6" s="4"/>
      <c r="AK6" s="4"/>
      <c r="AL6" s="4"/>
      <c r="AM6" s="4"/>
      <c r="AN6" s="4"/>
      <c r="AO6" s="4"/>
      <c r="AP6" s="4"/>
      <c r="AQ6" s="4"/>
    </row>
    <row r="7" spans="1:43" s="11" customFormat="1" ht="24.75" customHeight="1">
      <c r="A7" s="9" t="s">
        <v>33</v>
      </c>
      <c r="B7" s="10"/>
      <c r="C7" s="10"/>
      <c r="D7" s="10"/>
      <c r="E7" s="4"/>
      <c r="F7" s="4"/>
      <c r="G7" s="4"/>
      <c r="H7" s="4"/>
      <c r="I7" s="4"/>
      <c r="J7" s="4"/>
      <c r="K7" s="4"/>
      <c r="L7" s="4"/>
      <c r="M7" s="4"/>
      <c r="N7" s="4"/>
      <c r="O7" s="4"/>
      <c r="P7" s="4"/>
      <c r="Q7" s="4"/>
      <c r="R7" s="4"/>
      <c r="S7" s="4"/>
      <c r="T7" s="4"/>
      <c r="U7" s="4"/>
      <c r="V7" s="4"/>
      <c r="W7" s="4"/>
      <c r="X7" s="4"/>
      <c r="Y7" s="4"/>
      <c r="Z7" s="4"/>
      <c r="AA7" s="4"/>
      <c r="AB7" s="4"/>
      <c r="AC7" s="4"/>
      <c r="AD7" s="4"/>
      <c r="AE7" s="10"/>
      <c r="AF7" s="10"/>
      <c r="AG7" s="10"/>
      <c r="AH7" s="10"/>
      <c r="AI7" s="10"/>
      <c r="AJ7" s="10"/>
      <c r="AK7" s="10"/>
      <c r="AL7" s="10"/>
      <c r="AM7" s="10"/>
      <c r="AN7" s="10"/>
      <c r="AO7" s="4"/>
      <c r="AP7" s="10"/>
      <c r="AQ7" s="10"/>
    </row>
    <row r="8" spans="1:43" ht="30" customHeight="1">
      <c r="A8" s="12" t="s">
        <v>34</v>
      </c>
      <c r="B8" s="4"/>
      <c r="C8" s="4"/>
      <c r="D8" s="10"/>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c r="AJ8" s="4"/>
      <c r="AK8" s="4"/>
      <c r="AL8" s="4"/>
      <c r="AM8" s="4"/>
      <c r="AN8" s="4"/>
      <c r="AO8" s="4"/>
    </row>
    <row r="9" spans="1:43" ht="30" customHeight="1">
      <c r="A9" s="12" t="s">
        <v>23</v>
      </c>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row>
    <row r="10" spans="1:43" ht="30" customHeight="1">
      <c r="A10" s="12" t="s">
        <v>330</v>
      </c>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c r="AJ10" s="4"/>
      <c r="AK10" s="4"/>
      <c r="AL10" s="4"/>
      <c r="AM10" s="4"/>
      <c r="AN10" s="4"/>
      <c r="AO10" s="4"/>
      <c r="AP10" s="4"/>
    </row>
    <row r="11" spans="1:43" ht="30" customHeight="1">
      <c r="A11" s="33" t="s">
        <v>332</v>
      </c>
      <c r="B11" s="4"/>
      <c r="C11" s="4"/>
      <c r="D11" s="4"/>
      <c r="E11" s="11"/>
      <c r="F11" s="11"/>
      <c r="G11" s="11"/>
      <c r="H11" s="11"/>
      <c r="I11" s="11"/>
      <c r="J11" s="11"/>
      <c r="K11" s="11"/>
      <c r="L11" s="11"/>
      <c r="M11" s="11"/>
      <c r="N11" s="11"/>
      <c r="O11" s="11"/>
      <c r="P11" s="11"/>
      <c r="Q11" s="11"/>
      <c r="R11" s="11"/>
      <c r="S11" s="11"/>
      <c r="T11" s="11"/>
      <c r="U11" s="11"/>
      <c r="V11" s="11"/>
      <c r="W11" s="11"/>
      <c r="X11" s="11"/>
      <c r="Y11" s="11"/>
      <c r="Z11" s="11"/>
      <c r="AA11" s="10"/>
      <c r="AB11" s="10"/>
      <c r="AC11" s="10"/>
      <c r="AD11" s="10"/>
      <c r="AE11" s="4"/>
      <c r="AF11" s="4"/>
      <c r="AG11" s="4"/>
      <c r="AH11" s="4"/>
      <c r="AI11" s="4"/>
      <c r="AJ11" s="4"/>
      <c r="AK11" s="4"/>
      <c r="AL11" s="4"/>
      <c r="AM11" s="4"/>
      <c r="AN11" s="4"/>
      <c r="AO11" s="4"/>
      <c r="AP11" s="4"/>
    </row>
    <row r="12" spans="1:43" ht="30" customHeight="1">
      <c r="A12" s="167" t="s">
        <v>127</v>
      </c>
      <c r="B12" s="4"/>
      <c r="C12" s="4"/>
      <c r="D12" s="4"/>
      <c r="E12" s="348"/>
      <c r="F12" s="349"/>
      <c r="G12" s="349"/>
      <c r="H12" s="349"/>
      <c r="I12" s="349"/>
      <c r="J12" s="350"/>
      <c r="K12" s="37">
        <v>2014</v>
      </c>
      <c r="L12" s="37">
        <v>2015</v>
      </c>
      <c r="M12" s="37">
        <v>2016</v>
      </c>
      <c r="N12" s="37">
        <v>2017</v>
      </c>
      <c r="O12" s="37">
        <v>2018</v>
      </c>
      <c r="P12" s="37">
        <v>2019</v>
      </c>
      <c r="Q12" s="37">
        <v>2020</v>
      </c>
      <c r="R12" s="37">
        <v>2021</v>
      </c>
      <c r="S12" s="37">
        <v>2022</v>
      </c>
      <c r="T12" s="37" t="s">
        <v>501</v>
      </c>
      <c r="U12" s="37" t="s">
        <v>487</v>
      </c>
      <c r="V12" s="38">
        <v>2023</v>
      </c>
      <c r="W12" s="38">
        <v>2024</v>
      </c>
      <c r="X12" s="38">
        <v>2025</v>
      </c>
      <c r="Y12" s="38">
        <v>2026</v>
      </c>
      <c r="Z12" s="284" t="s">
        <v>314</v>
      </c>
      <c r="AA12" s="39"/>
      <c r="AB12" s="4"/>
      <c r="AC12" s="4"/>
      <c r="AD12" s="4"/>
      <c r="AE12" s="4"/>
      <c r="AF12" s="4"/>
      <c r="AG12" s="4"/>
      <c r="AH12" s="4"/>
      <c r="AI12" s="4"/>
      <c r="AJ12" s="4"/>
      <c r="AK12" s="4"/>
      <c r="AL12" s="4"/>
      <c r="AM12" s="4"/>
      <c r="AN12" s="4"/>
      <c r="AO12" s="4"/>
      <c r="AP12" s="4"/>
    </row>
    <row r="13" spans="1:43" ht="30" customHeight="1">
      <c r="A13" s="12" t="s">
        <v>37</v>
      </c>
      <c r="B13" s="4"/>
      <c r="C13" s="4"/>
      <c r="D13" s="4"/>
      <c r="E13" s="354" t="s">
        <v>313</v>
      </c>
      <c r="F13" s="355"/>
      <c r="G13" s="355"/>
      <c r="H13" s="355"/>
      <c r="I13" s="355"/>
      <c r="J13" s="356"/>
      <c r="K13" s="42"/>
      <c r="L13" s="42"/>
      <c r="M13" s="42"/>
      <c r="N13" s="42"/>
      <c r="O13" s="46">
        <f>SUM('Projeções - Receita e EBIT'!J16:J21)</f>
        <v>1415123</v>
      </c>
      <c r="P13" s="46">
        <f>SUM('Projeções - Receita e EBIT'!K16:K21)</f>
        <v>1536679</v>
      </c>
      <c r="Q13" s="46">
        <f>SUM('Projeções - Receita e EBIT'!L16:L21)</f>
        <v>1381814</v>
      </c>
      <c r="R13" s="46">
        <f>SUM('Projeções - Receita e EBIT'!M16:M21)</f>
        <v>1414123</v>
      </c>
      <c r="S13" s="46">
        <f>SUM('Projeções - Receita e EBIT'!N16:N21)</f>
        <v>3845902</v>
      </c>
      <c r="T13" s="46">
        <f>SUM('Projeções - Receita e EBIT'!O16:O21)</f>
        <v>5427196</v>
      </c>
      <c r="U13" s="40">
        <f>V13-T13</f>
        <v>1810933.603663628</v>
      </c>
      <c r="V13" s="46">
        <f>SUM('Projeções - Receita e EBIT'!Q16:Q21)</f>
        <v>7238129.603663628</v>
      </c>
      <c r="W13" s="46">
        <f>SUM('Projeções - Receita e EBIT'!R16:R21)</f>
        <v>9847123.0272035301</v>
      </c>
      <c r="X13" s="46">
        <f>SUM('Projeções - Receita e EBIT'!S16:S21)</f>
        <v>10473361.768425737</v>
      </c>
      <c r="Y13" s="46">
        <f>SUM('Projeções - Receita e EBIT'!T16:T21)</f>
        <v>11109056.642780732</v>
      </c>
      <c r="Z13" s="46">
        <f>SUM('Projeções - Receita e EBIT'!U16:U21)</f>
        <v>11828494.828952719</v>
      </c>
      <c r="AA13" s="39"/>
      <c r="AB13" s="4"/>
      <c r="AC13" s="4"/>
      <c r="AD13" s="4"/>
      <c r="AE13" s="4"/>
      <c r="AF13" s="4"/>
      <c r="AG13" s="4"/>
      <c r="AH13" s="4"/>
      <c r="AI13" s="4"/>
      <c r="AJ13" s="4"/>
      <c r="AK13" s="4"/>
      <c r="AL13" s="4"/>
      <c r="AM13" s="4"/>
      <c r="AN13" s="4"/>
      <c r="AO13" s="4"/>
      <c r="AP13" s="4"/>
    </row>
    <row r="14" spans="1:43" ht="30" customHeight="1">
      <c r="A14" s="12"/>
      <c r="B14" s="4"/>
      <c r="C14" s="4"/>
      <c r="D14" s="4"/>
      <c r="E14" s="283" t="s">
        <v>527</v>
      </c>
      <c r="F14" s="243"/>
      <c r="G14" s="243"/>
      <c r="H14" s="243"/>
      <c r="I14" s="243"/>
      <c r="J14" s="244"/>
      <c r="K14" s="42"/>
      <c r="L14" s="42"/>
      <c r="M14" s="42"/>
      <c r="N14" s="42"/>
      <c r="O14" s="42">
        <f>O15+O24+O32</f>
        <v>278146</v>
      </c>
      <c r="P14" s="42">
        <f t="shared" ref="P14:Z14" si="0">P15+P24+P32</f>
        <v>339526</v>
      </c>
      <c r="Q14" s="42">
        <f t="shared" si="0"/>
        <v>354594</v>
      </c>
      <c r="R14" s="42">
        <f t="shared" si="0"/>
        <v>298861</v>
      </c>
      <c r="S14" s="42">
        <f t="shared" si="0"/>
        <v>590052</v>
      </c>
      <c r="T14" s="42">
        <f t="shared" si="0"/>
        <v>363582</v>
      </c>
      <c r="U14" s="42">
        <f t="shared" si="0"/>
        <v>348859.95242164028</v>
      </c>
      <c r="V14" s="42">
        <f t="shared" si="0"/>
        <v>712441.95242164028</v>
      </c>
      <c r="W14" s="42">
        <f t="shared" si="0"/>
        <v>1417161.3288420637</v>
      </c>
      <c r="X14" s="42">
        <f t="shared" si="0"/>
        <v>1526656.671834908</v>
      </c>
      <c r="Y14" s="42">
        <f t="shared" si="0"/>
        <v>1620243.2278167335</v>
      </c>
      <c r="Z14" s="42">
        <f t="shared" si="0"/>
        <v>1725127.95198204</v>
      </c>
      <c r="AA14" s="39"/>
      <c r="AB14" s="4"/>
      <c r="AC14" s="4"/>
      <c r="AD14" s="4"/>
      <c r="AE14" s="4"/>
      <c r="AF14" s="4"/>
      <c r="AG14" s="4"/>
      <c r="AH14" s="4"/>
      <c r="AI14" s="4"/>
      <c r="AJ14" s="4"/>
      <c r="AK14" s="4"/>
      <c r="AL14" s="4"/>
      <c r="AM14" s="4"/>
      <c r="AN14" s="4"/>
      <c r="AO14" s="4"/>
      <c r="AP14" s="4"/>
    </row>
    <row r="15" spans="1:43" ht="30" customHeight="1">
      <c r="A15" s="167" t="s">
        <v>100</v>
      </c>
      <c r="B15" s="4"/>
      <c r="C15" s="4"/>
      <c r="D15" s="4"/>
      <c r="E15" s="354" t="s">
        <v>310</v>
      </c>
      <c r="F15" s="355"/>
      <c r="G15" s="355"/>
      <c r="H15" s="355"/>
      <c r="I15" s="355"/>
      <c r="J15" s="356"/>
      <c r="K15" s="46"/>
      <c r="L15" s="46"/>
      <c r="M15" s="46"/>
      <c r="N15" s="46"/>
      <c r="O15" s="46">
        <f>SUM('Projeções - Receita e EBIT'!J37+'Projeções - Receita e EBIT'!J56+'Projeções - Receita e EBIT'!J75+'Projeções - Receita e EBIT'!J98+'Projeções - Receita e EBIT'!J115+'Projeções - Receita e EBIT'!J133)</f>
        <v>127598</v>
      </c>
      <c r="P15" s="46">
        <f>SUM('Projeções - Receita e EBIT'!K37+'Projeções - Receita e EBIT'!K56+'Projeções - Receita e EBIT'!K75+'Projeções - Receita e EBIT'!K98+'Projeções - Receita e EBIT'!K115+'Projeções - Receita e EBIT'!K133)</f>
        <v>164843</v>
      </c>
      <c r="Q15" s="46">
        <f>SUM('Projeções - Receita e EBIT'!L37+'Projeções - Receita e EBIT'!L56+'Projeções - Receita e EBIT'!L75+'Projeções - Receita e EBIT'!L98+'Projeções - Receita e EBIT'!L115+'Projeções - Receita e EBIT'!L133)</f>
        <v>160737</v>
      </c>
      <c r="R15" s="46">
        <f>SUM('Projeções - Receita e EBIT'!M37+'Projeções - Receita e EBIT'!M56+'Projeções - Receita e EBIT'!M75+'Projeções - Receita e EBIT'!M98+'Projeções - Receita e EBIT'!M115+'Projeções - Receita e EBIT'!M133)</f>
        <v>186246</v>
      </c>
      <c r="S15" s="46">
        <f>SUM('Projeções - Receita e EBIT'!N37+'Projeções - Receita e EBIT'!N56+'Projeções - Receita e EBIT'!N75+'Projeções - Receita e EBIT'!N98+'Projeções - Receita e EBIT'!N115+'Projeções - Receita e EBIT'!N133)</f>
        <v>320049</v>
      </c>
      <c r="T15" s="46">
        <f>SUM('Projeções - Receita e EBIT'!O37+'Projeções - Receita e EBIT'!O56+'Projeções - Receita e EBIT'!O75+'Projeções - Receita e EBIT'!O98+'Projeções - Receita e EBIT'!O115+'Projeções - Receita e EBIT'!O133)</f>
        <v>236261</v>
      </c>
      <c r="U15" s="40">
        <f>V15-T15</f>
        <v>306375.78981685196</v>
      </c>
      <c r="V15" s="46">
        <f>SUM('Projeções - Receita e EBIT'!Q37,'Projeções - Receita e EBIT'!Q56,'Projeções - Receita e EBIT'!Q75,'Projeções - Receita e EBIT'!Q98)</f>
        <v>542636.78981685196</v>
      </c>
      <c r="W15" s="46">
        <f>SUM('Projeções - Receita e EBIT'!R37,'Projeções - Receita e EBIT'!R56,'Projeções - Receita e EBIT'!R75,'Projeções - Receita e EBIT'!R98)</f>
        <v>792913.18221230432</v>
      </c>
      <c r="X15" s="46">
        <f>SUM('Projeções - Receita e EBIT'!S37,'Projeções - Receita e EBIT'!S56,'Projeções - Receita e EBIT'!S75,'Projeções - Receita e EBIT'!S98)</f>
        <v>862708.77001007868</v>
      </c>
      <c r="Y15" s="46">
        <f>SUM('Projeções - Receita e EBIT'!T37,'Projeções - Receita e EBIT'!T56,'Projeções - Receita e EBIT'!T75,'Projeções - Receita e EBIT'!T98)</f>
        <v>915996.10904885782</v>
      </c>
      <c r="Z15" s="46">
        <f>SUM('Projeções - Receita e EBIT'!U37,'Projeções - Receita e EBIT'!U56,'Projeções - Receita e EBIT'!U75,'Projeções - Receita e EBIT'!U98)</f>
        <v>975272.7959131333</v>
      </c>
      <c r="AA15" s="175"/>
      <c r="AB15" s="4"/>
      <c r="AC15" s="4"/>
      <c r="AD15" s="4"/>
      <c r="AE15" s="4"/>
      <c r="AF15" s="4"/>
      <c r="AG15" s="4"/>
      <c r="AH15" s="4"/>
      <c r="AI15" s="4"/>
      <c r="AJ15" s="4"/>
      <c r="AK15" s="4"/>
      <c r="AL15" s="4"/>
      <c r="AM15" s="4"/>
      <c r="AN15" s="4"/>
      <c r="AO15" s="4"/>
      <c r="AP15" s="4"/>
    </row>
    <row r="16" spans="1:43" ht="30" customHeight="1">
      <c r="A16" s="12" t="s">
        <v>331</v>
      </c>
      <c r="B16" s="4"/>
      <c r="C16" s="4"/>
      <c r="D16" s="4"/>
      <c r="E16" s="360" t="s">
        <v>311</v>
      </c>
      <c r="F16" s="361"/>
      <c r="G16" s="361"/>
      <c r="H16" s="361"/>
      <c r="I16" s="361"/>
      <c r="J16" s="362"/>
      <c r="K16" s="44"/>
      <c r="L16" s="44"/>
      <c r="M16" s="44"/>
      <c r="N16" s="44"/>
      <c r="O16" s="44">
        <f>O15/O13</f>
        <v>9.0167427142375606E-2</v>
      </c>
      <c r="P16" s="44">
        <f t="shared" ref="P16:T16" si="1">P15/P13</f>
        <v>0.10727224098201381</v>
      </c>
      <c r="Q16" s="44">
        <f t="shared" si="1"/>
        <v>0.1163231809780477</v>
      </c>
      <c r="R16" s="44">
        <f t="shared" si="1"/>
        <v>0.13170424354882851</v>
      </c>
      <c r="S16" s="44">
        <f t="shared" si="1"/>
        <v>8.3218189127024042E-2</v>
      </c>
      <c r="T16" s="44">
        <f t="shared" si="1"/>
        <v>4.3532792992919365E-2</v>
      </c>
      <c r="U16" s="44"/>
      <c r="V16" s="44">
        <f>V15/V13</f>
        <v>7.4969200543492986E-2</v>
      </c>
      <c r="W16" s="44">
        <f t="shared" ref="W16:Z16" si="2">W15/W13</f>
        <v>8.0522319059263603E-2</v>
      </c>
      <c r="X16" s="44">
        <f t="shared" si="2"/>
        <v>8.2371714935972604E-2</v>
      </c>
      <c r="Y16" s="44">
        <f t="shared" si="2"/>
        <v>8.2454895901905564E-2</v>
      </c>
      <c r="Z16" s="44">
        <f t="shared" si="2"/>
        <v>8.2451132626439411E-2</v>
      </c>
      <c r="AA16" s="175"/>
      <c r="AB16" s="4"/>
      <c r="AC16" s="4"/>
      <c r="AD16" s="4"/>
      <c r="AE16" s="4"/>
      <c r="AF16" s="4"/>
      <c r="AG16" s="4"/>
      <c r="AH16" s="4"/>
      <c r="AI16" s="4"/>
      <c r="AJ16" s="4"/>
      <c r="AK16" s="4"/>
      <c r="AL16" s="4"/>
      <c r="AM16" s="4"/>
      <c r="AN16" s="4"/>
      <c r="AO16" s="4"/>
      <c r="AP16" s="4"/>
    </row>
    <row r="17" spans="1:42" ht="30" customHeight="1" thickBot="1">
      <c r="A17" s="167" t="s">
        <v>129</v>
      </c>
      <c r="B17" s="4"/>
      <c r="C17" s="4"/>
      <c r="D17" s="10"/>
      <c r="E17" s="389" t="s">
        <v>280</v>
      </c>
      <c r="F17" s="390"/>
      <c r="G17" s="390"/>
      <c r="H17" s="390"/>
      <c r="I17" s="390"/>
      <c r="J17" s="391"/>
      <c r="K17" s="177"/>
      <c r="L17" s="177"/>
      <c r="M17" s="177">
        <f>'DRE Consolidado'!M42-SUM('DRE - Contas Abertas'!H146:H148)</f>
        <v>125739</v>
      </c>
      <c r="N17" s="177">
        <f>'DRE Consolidado'!N42-SUM('DRE - Contas Abertas'!I146:I148)</f>
        <v>-9835</v>
      </c>
      <c r="O17" s="177">
        <f>'DRE Consolidado'!O42-SUM('DRE - Contas Abertas'!J146:J148)</f>
        <v>-8702</v>
      </c>
      <c r="P17" s="177">
        <f>'DRE Consolidado'!P42-SUM('DRE - Contas Abertas'!K146:K148)</f>
        <v>-14799</v>
      </c>
      <c r="Q17" s="177">
        <f>'DRE Consolidado'!Q42-SUM('DRE - Contas Abertas'!L146:L148)</f>
        <v>-151261</v>
      </c>
      <c r="R17" s="177">
        <f>'DRE Consolidado'!R42-SUM('DRE - Contas Abertas'!M146:M148)</f>
        <v>5761</v>
      </c>
      <c r="S17" s="177">
        <f>'DRE Consolidado'!S42-SUM('DRE - Contas Abertas'!N146:N148)</f>
        <v>196898</v>
      </c>
      <c r="T17" s="177">
        <f>'DRE Consolidado'!T42-SUM('DRE - Contas Abertas'!O146:O148)</f>
        <v>191113</v>
      </c>
      <c r="U17" s="177">
        <f>V17-T17</f>
        <v>-191113</v>
      </c>
      <c r="V17" s="177">
        <f>-V23*V15</f>
        <v>0</v>
      </c>
      <c r="W17" s="177">
        <f t="shared" ref="W17:Z17" si="3">-W23*W15</f>
        <v>-62630.187851577022</v>
      </c>
      <c r="X17" s="177">
        <f t="shared" si="3"/>
        <v>-68143.163134431408</v>
      </c>
      <c r="Y17" s="177">
        <f t="shared" si="3"/>
        <v>-72352.193995537484</v>
      </c>
      <c r="Z17" s="299">
        <f t="shared" si="3"/>
        <v>-77034.308149788791</v>
      </c>
      <c r="AA17" s="175"/>
      <c r="AB17" s="4"/>
      <c r="AC17" s="4"/>
      <c r="AD17" s="4"/>
      <c r="AE17" s="4"/>
      <c r="AF17" s="4"/>
      <c r="AG17" s="4"/>
      <c r="AH17" s="4"/>
      <c r="AI17" s="4"/>
      <c r="AJ17" s="4"/>
      <c r="AK17" s="4"/>
      <c r="AL17" s="4"/>
      <c r="AM17" s="4"/>
      <c r="AN17" s="4"/>
      <c r="AO17" s="4"/>
      <c r="AP17" s="4"/>
    </row>
    <row r="18" spans="1:42" ht="30" customHeight="1">
      <c r="A18" s="167" t="s">
        <v>493</v>
      </c>
      <c r="B18" s="4"/>
      <c r="C18" s="4"/>
      <c r="D18" s="10"/>
      <c r="E18" s="294"/>
      <c r="F18" s="294"/>
      <c r="G18" s="294"/>
      <c r="H18" s="294"/>
      <c r="I18" s="294"/>
      <c r="J18" s="294"/>
      <c r="K18" s="294"/>
      <c r="L18" s="294"/>
      <c r="M18" s="294"/>
      <c r="N18" s="294"/>
      <c r="O18" s="294"/>
      <c r="P18" s="294"/>
      <c r="Q18" s="294"/>
      <c r="R18" s="294"/>
      <c r="S18" s="294"/>
      <c r="T18" s="294"/>
      <c r="U18" s="294"/>
      <c r="V18" s="294"/>
      <c r="W18" s="294"/>
      <c r="X18" s="294"/>
      <c r="Y18" s="294"/>
      <c r="Z18" s="294"/>
      <c r="AA18" s="43"/>
      <c r="AB18" s="4"/>
      <c r="AC18" s="4"/>
      <c r="AD18" s="4"/>
      <c r="AE18" s="4"/>
      <c r="AF18" s="4"/>
      <c r="AG18" s="4"/>
      <c r="AH18" s="4"/>
      <c r="AI18" s="4"/>
      <c r="AJ18" s="4"/>
      <c r="AK18" s="4"/>
      <c r="AL18" s="4"/>
      <c r="AM18" s="4"/>
      <c r="AN18" s="4"/>
      <c r="AO18" s="4"/>
      <c r="AP18" s="4"/>
    </row>
    <row r="19" spans="1:42" ht="30" customHeight="1">
      <c r="A19" s="12" t="s">
        <v>128</v>
      </c>
      <c r="B19" s="4"/>
      <c r="C19" s="4"/>
      <c r="D19" s="10"/>
      <c r="E19" s="43"/>
      <c r="F19" s="43"/>
      <c r="G19" s="43"/>
      <c r="H19" s="43"/>
      <c r="I19" s="43"/>
      <c r="J19" s="43"/>
      <c r="K19" s="43"/>
      <c r="L19" s="43"/>
      <c r="M19" s="43"/>
      <c r="N19" s="43"/>
      <c r="O19" s="43"/>
      <c r="P19" s="43"/>
      <c r="Q19" s="43"/>
      <c r="R19" s="43"/>
      <c r="S19" s="43"/>
      <c r="T19" s="43"/>
      <c r="U19" s="43"/>
      <c r="V19" s="43"/>
      <c r="W19" s="43"/>
      <c r="X19" s="43"/>
      <c r="Y19" s="43"/>
      <c r="Z19" s="43"/>
      <c r="AA19" s="43"/>
      <c r="AB19" s="4"/>
      <c r="AC19" s="4"/>
      <c r="AD19" s="4"/>
      <c r="AE19" s="4"/>
      <c r="AF19" s="4"/>
      <c r="AG19" s="4"/>
      <c r="AH19" s="4"/>
      <c r="AI19" s="4"/>
      <c r="AJ19" s="4"/>
      <c r="AK19" s="4"/>
      <c r="AL19" s="4"/>
      <c r="AM19" s="4"/>
      <c r="AN19" s="4"/>
      <c r="AO19" s="4"/>
      <c r="AP19" s="4"/>
    </row>
    <row r="20" spans="1:42" ht="30" customHeight="1">
      <c r="A20" s="12" t="s">
        <v>98</v>
      </c>
      <c r="B20" s="4"/>
      <c r="C20" s="4"/>
      <c r="D20" s="10"/>
      <c r="E20" s="43"/>
      <c r="F20" s="43"/>
      <c r="G20" s="43"/>
      <c r="H20" s="43"/>
      <c r="I20" s="43"/>
      <c r="J20" s="43"/>
      <c r="K20" s="43"/>
      <c r="L20" s="43"/>
      <c r="M20" s="43"/>
      <c r="N20" s="43"/>
      <c r="O20" s="43"/>
      <c r="P20" s="43"/>
      <c r="Q20" s="43"/>
      <c r="R20" s="43"/>
      <c r="S20" s="43"/>
      <c r="T20" s="43"/>
      <c r="U20" s="43"/>
      <c r="V20" s="43"/>
      <c r="W20" s="43"/>
      <c r="X20" s="43"/>
      <c r="Y20" s="43"/>
      <c r="Z20" s="43"/>
      <c r="AA20" s="43"/>
      <c r="AB20" s="4"/>
      <c r="AC20" s="4"/>
      <c r="AD20" s="4"/>
      <c r="AE20" s="4"/>
      <c r="AF20" s="4"/>
      <c r="AG20" s="4"/>
      <c r="AH20" s="4"/>
      <c r="AI20" s="4"/>
      <c r="AJ20" s="4"/>
      <c r="AK20" s="4"/>
      <c r="AL20" s="4"/>
      <c r="AM20" s="4"/>
      <c r="AN20" s="4"/>
      <c r="AO20" s="4"/>
      <c r="AP20" s="4"/>
    </row>
    <row r="21" spans="1:42" ht="30" customHeight="1">
      <c r="A21" s="12"/>
      <c r="B21" s="4"/>
      <c r="C21" s="4"/>
      <c r="D21" s="4"/>
      <c r="E21" s="345"/>
      <c r="F21" s="346"/>
      <c r="G21" s="346"/>
      <c r="H21" s="346"/>
      <c r="I21" s="346"/>
      <c r="J21" s="347"/>
      <c r="K21" s="42"/>
      <c r="L21" s="42"/>
      <c r="M21" s="42"/>
      <c r="N21" s="42"/>
      <c r="O21" s="42"/>
      <c r="P21" s="42"/>
      <c r="Q21" s="42"/>
      <c r="R21" s="42"/>
      <c r="S21" s="42"/>
      <c r="T21" s="42"/>
      <c r="U21" s="42"/>
      <c r="V21" s="42"/>
      <c r="W21" s="42"/>
      <c r="X21" s="42"/>
      <c r="Y21" s="42"/>
      <c r="Z21" s="45"/>
      <c r="AA21" s="43"/>
      <c r="AB21" s="4"/>
      <c r="AC21" s="4"/>
      <c r="AD21" s="4"/>
      <c r="AE21" s="4"/>
      <c r="AF21" s="4"/>
      <c r="AG21" s="4"/>
      <c r="AH21" s="4"/>
      <c r="AI21" s="4"/>
      <c r="AJ21" s="4"/>
      <c r="AK21" s="4"/>
      <c r="AL21" s="4"/>
      <c r="AM21" s="4"/>
      <c r="AN21" s="4"/>
      <c r="AO21" s="4"/>
      <c r="AP21" s="4"/>
    </row>
    <row r="22" spans="1:42" ht="30" customHeight="1">
      <c r="A22" s="12"/>
      <c r="B22" s="4"/>
      <c r="C22" s="4"/>
      <c r="D22" s="4"/>
      <c r="E22" s="348"/>
      <c r="F22" s="349"/>
      <c r="G22" s="349"/>
      <c r="H22" s="349"/>
      <c r="I22" s="349"/>
      <c r="J22" s="350"/>
      <c r="K22" s="37">
        <v>2014</v>
      </c>
      <c r="L22" s="37">
        <v>2015</v>
      </c>
      <c r="M22" s="37">
        <v>2016</v>
      </c>
      <c r="N22" s="37">
        <v>2017</v>
      </c>
      <c r="O22" s="37">
        <v>2018</v>
      </c>
      <c r="P22" s="37">
        <v>2019</v>
      </c>
      <c r="Q22" s="37">
        <v>2020</v>
      </c>
      <c r="R22" s="37">
        <v>2021</v>
      </c>
      <c r="S22" s="37">
        <v>2022</v>
      </c>
      <c r="T22" s="37" t="s">
        <v>501</v>
      </c>
      <c r="U22" s="37" t="s">
        <v>487</v>
      </c>
      <c r="V22" s="38">
        <v>2023</v>
      </c>
      <c r="W22" s="38">
        <v>2024</v>
      </c>
      <c r="X22" s="38">
        <v>2025</v>
      </c>
      <c r="Y22" s="38">
        <v>2026</v>
      </c>
      <c r="Z22" s="38">
        <v>2027</v>
      </c>
      <c r="AA22" s="37" t="s">
        <v>27</v>
      </c>
      <c r="AB22" s="37" t="s">
        <v>28</v>
      </c>
      <c r="AC22" s="52" t="s">
        <v>29</v>
      </c>
      <c r="AD22" s="4"/>
      <c r="AE22" s="4"/>
      <c r="AF22" s="4"/>
      <c r="AG22" s="4"/>
      <c r="AH22" s="4"/>
      <c r="AI22" s="4"/>
      <c r="AJ22" s="4"/>
      <c r="AK22" s="4"/>
      <c r="AL22" s="4"/>
      <c r="AM22" s="4"/>
      <c r="AN22" s="4"/>
      <c r="AO22" s="4"/>
      <c r="AP22" s="4"/>
    </row>
    <row r="23" spans="1:42" ht="30" customHeight="1" thickBot="1">
      <c r="A23" s="12"/>
      <c r="B23" s="4"/>
      <c r="C23" s="4"/>
      <c r="D23" s="4"/>
      <c r="E23" s="392" t="s">
        <v>293</v>
      </c>
      <c r="F23" s="393">
        <v>3.0034188360677654E-2</v>
      </c>
      <c r="G23" s="393">
        <v>-2.0925409668865167E-2</v>
      </c>
      <c r="H23" s="393">
        <v>-4.3315116285197811E-2</v>
      </c>
      <c r="I23" s="393">
        <v>0.13811997676197324</v>
      </c>
      <c r="J23" s="394">
        <v>-0.59211219068587562</v>
      </c>
      <c r="K23" s="44" t="str">
        <f>IFERROR(IF(K15&gt;0,-K17/K15,"-"),"-")</f>
        <v>-</v>
      </c>
      <c r="L23" s="44" t="str">
        <f>IFERROR(IF(L15&gt;0,-L17/L15,"-"),"-")</f>
        <v>-</v>
      </c>
      <c r="M23" s="44" t="str">
        <f>IFERROR(IF(M15&gt;0,-M17/M15,"-"),"-")</f>
        <v>-</v>
      </c>
      <c r="N23" s="44" t="str">
        <f>IFERROR(IF(N15&gt;0,-N17/N15,"-"),"-")</f>
        <v>-</v>
      </c>
      <c r="O23" s="44">
        <f>IFERROR(IF('DRE Consolidado'!O36&gt;0,-O17/O15,"-"),"-")</f>
        <v>6.8198561105973443E-2</v>
      </c>
      <c r="P23" s="44">
        <f>IFERROR(IF('DRE Consolidado'!P36&gt;0,-P17/P15,"-"),"-")</f>
        <v>8.9776332631655575E-2</v>
      </c>
      <c r="Q23" s="44">
        <f>IFERROR(IF('DRE Consolidado'!Q36&gt;0,-Q17/Q15,"-"),"-")</f>
        <v>0.94104655430921313</v>
      </c>
      <c r="R23" s="44">
        <f>IFERROR(IF('DRE Consolidado'!R36&gt;0,-R17/R15,"-"),"-")</f>
        <v>-3.0932207940036295E-2</v>
      </c>
      <c r="S23" s="44">
        <f>IFERROR(IF('DRE Consolidado'!S36&gt;0,-S17/S15,"-"),"-")</f>
        <v>-0.61521204565550902</v>
      </c>
      <c r="T23" s="44">
        <f>IFERROR(IF('DRE Consolidado'!T36&gt;0,-T17/T15,"-"),"-")</f>
        <v>-0.80890625198403465</v>
      </c>
      <c r="U23" s="44" t="str">
        <f>IFERROR(IF(#REF!&gt;0,-#REF!/#REF!,"-"),"-")</f>
        <v>-</v>
      </c>
      <c r="V23" s="44">
        <v>0</v>
      </c>
      <c r="W23" s="44">
        <f t="shared" ref="W23:Z23" si="4">AVERAGE($O$23:$P$23)</f>
        <v>7.8987446868814509E-2</v>
      </c>
      <c r="X23" s="44">
        <f t="shared" si="4"/>
        <v>7.8987446868814509E-2</v>
      </c>
      <c r="Y23" s="44">
        <f t="shared" si="4"/>
        <v>7.8987446868814509E-2</v>
      </c>
      <c r="Z23" s="44">
        <f t="shared" si="4"/>
        <v>7.8987446868814509E-2</v>
      </c>
      <c r="AA23" s="262"/>
      <c r="AB23" s="304">
        <f>WACC!P20</f>
        <v>0.16112663268155331</v>
      </c>
      <c r="AC23" s="303">
        <f>(1+'Projeções - CG + Capex'!U37)*(1+'Projeções - CG + Capex'!U38)-1</f>
        <v>7.6956799999999825E-2</v>
      </c>
      <c r="AD23" s="4"/>
      <c r="AE23" s="4"/>
      <c r="AF23" s="4"/>
      <c r="AG23" s="4"/>
      <c r="AH23" s="4"/>
      <c r="AI23" s="4"/>
      <c r="AJ23" s="4"/>
      <c r="AK23" s="4"/>
      <c r="AL23" s="4"/>
      <c r="AM23" s="4"/>
      <c r="AN23" s="4"/>
      <c r="AO23" s="4"/>
      <c r="AP23" s="4"/>
    </row>
    <row r="24" spans="1:42" ht="30" customHeight="1">
      <c r="A24" s="12"/>
      <c r="B24" s="4"/>
      <c r="C24" s="4"/>
      <c r="D24" s="4"/>
      <c r="E24" s="249" t="s">
        <v>279</v>
      </c>
      <c r="F24" s="243"/>
      <c r="G24" s="243"/>
      <c r="H24" s="243"/>
      <c r="I24" s="243"/>
      <c r="J24" s="244"/>
      <c r="K24" s="46"/>
      <c r="L24" s="46"/>
      <c r="M24" s="46"/>
      <c r="N24" s="46"/>
      <c r="O24" s="46"/>
      <c r="P24" s="42">
        <f>'Projeções - CG + Capex'!P48-SUM('Projeções - CG + Capex'!P45:P47)</f>
        <v>17522</v>
      </c>
      <c r="Q24" s="42">
        <f>'Projeções - CG + Capex'!Q48-SUM('Projeções - CG + Capex'!Q45:Q47)</f>
        <v>-29457</v>
      </c>
      <c r="R24" s="42">
        <f>'Projeções - CG + Capex'!R48-SUM('Projeções - CG + Capex'!R45:R47)</f>
        <v>18427</v>
      </c>
      <c r="S24" s="42">
        <f>'Projeções - CG + Capex'!S48-SUM('Projeções - CG + Capex'!S45:S47)</f>
        <v>-87846</v>
      </c>
      <c r="T24" s="42">
        <f>'Projeções - CG + Capex'!T48-SUM('Projeções - CG + Capex'!T45:T47)</f>
        <v>97812</v>
      </c>
      <c r="U24" s="84">
        <f>V24-SUM(T24:T24)</f>
        <v>32637.671025985925</v>
      </c>
      <c r="V24" s="42">
        <f>V25*V13</f>
        <v>130449.67102598592</v>
      </c>
      <c r="W24" s="42">
        <f t="shared" ref="W24:Z24" si="5">W25*W13</f>
        <v>139355.72677352664</v>
      </c>
      <c r="X24" s="42">
        <f t="shared" si="5"/>
        <v>148218.20921389712</v>
      </c>
      <c r="Y24" s="42">
        <f t="shared" si="5"/>
        <v>157214.51412216472</v>
      </c>
      <c r="Z24" s="42">
        <f t="shared" si="5"/>
        <v>167395.94793035966</v>
      </c>
      <c r="AA24" s="56"/>
      <c r="AB24" s="4"/>
      <c r="AC24" s="4"/>
      <c r="AD24" s="4"/>
      <c r="AE24" s="4"/>
      <c r="AF24" s="4"/>
      <c r="AG24" s="4"/>
      <c r="AH24" s="4"/>
      <c r="AI24" s="4"/>
      <c r="AJ24" s="4"/>
      <c r="AK24" s="4"/>
      <c r="AL24" s="4"/>
      <c r="AM24" s="4"/>
      <c r="AN24" s="4"/>
      <c r="AO24" s="4"/>
      <c r="AP24" s="4"/>
    </row>
    <row r="25" spans="1:42" ht="30" customHeight="1">
      <c r="A25" s="12"/>
      <c r="B25" s="4"/>
      <c r="C25" s="4"/>
      <c r="D25" s="4"/>
      <c r="E25" s="53" t="s">
        <v>327</v>
      </c>
      <c r="F25" s="243"/>
      <c r="G25" s="243"/>
      <c r="H25" s="243"/>
      <c r="I25" s="243"/>
      <c r="J25" s="244"/>
      <c r="K25" s="46"/>
      <c r="L25" s="46"/>
      <c r="M25" s="46"/>
      <c r="N25" s="46"/>
      <c r="O25" s="46"/>
      <c r="P25" s="44">
        <f t="shared" ref="P25:U25" si="6">P24/P13</f>
        <v>1.1402511519972616E-2</v>
      </c>
      <c r="Q25" s="44">
        <f t="shared" si="6"/>
        <v>-2.1317630303354866E-2</v>
      </c>
      <c r="R25" s="44">
        <f t="shared" si="6"/>
        <v>1.3030691106784911E-2</v>
      </c>
      <c r="S25" s="44">
        <f t="shared" si="6"/>
        <v>-2.2841455658516519E-2</v>
      </c>
      <c r="T25" s="44">
        <f t="shared" si="6"/>
        <v>1.8022566349179207E-2</v>
      </c>
      <c r="U25" s="44">
        <f t="shared" si="6"/>
        <v>1.80225663491792E-2</v>
      </c>
      <c r="V25" s="44">
        <f>T25</f>
        <v>1.8022566349179207E-2</v>
      </c>
      <c r="W25" s="44">
        <f>AVERAGE($P$25,$R$25,$T$25)</f>
        <v>1.4151922991978913E-2</v>
      </c>
      <c r="X25" s="44">
        <f t="shared" ref="X25:Z25" si="7">AVERAGE($P$25,$R$25,$T$25)</f>
        <v>1.4151922991978913E-2</v>
      </c>
      <c r="Y25" s="44">
        <f t="shared" si="7"/>
        <v>1.4151922991978913E-2</v>
      </c>
      <c r="Z25" s="44">
        <f t="shared" si="7"/>
        <v>1.4151922991978913E-2</v>
      </c>
      <c r="AA25" s="56"/>
      <c r="AB25" s="4"/>
      <c r="AC25" s="170"/>
      <c r="AD25" s="4"/>
      <c r="AE25" s="4"/>
      <c r="AF25" s="4"/>
      <c r="AG25" s="4"/>
      <c r="AH25" s="4"/>
      <c r="AI25" s="4"/>
      <c r="AJ25" s="4"/>
      <c r="AK25" s="4"/>
      <c r="AL25" s="4"/>
      <c r="AM25" s="4"/>
      <c r="AN25" s="4"/>
      <c r="AO25" s="4"/>
      <c r="AP25" s="4"/>
    </row>
    <row r="26" spans="1:42" ht="30" customHeight="1">
      <c r="A26" s="12"/>
      <c r="B26" s="4"/>
      <c r="C26" s="4"/>
      <c r="D26" s="4"/>
      <c r="E26" s="354" t="s">
        <v>297</v>
      </c>
      <c r="F26" s="355">
        <v>215718</v>
      </c>
      <c r="G26" s="355">
        <v>230388</v>
      </c>
      <c r="H26" s="355">
        <v>181530</v>
      </c>
      <c r="I26" s="355">
        <v>-272310</v>
      </c>
      <c r="J26" s="356">
        <v>-42610.000000000007</v>
      </c>
      <c r="K26" s="46"/>
      <c r="L26" s="46"/>
      <c r="M26" s="46"/>
      <c r="N26" s="46"/>
      <c r="O26" s="46">
        <f t="shared" ref="O26:T26" si="8">O15+O17+O24</f>
        <v>118896</v>
      </c>
      <c r="P26" s="46">
        <f t="shared" si="8"/>
        <v>167566</v>
      </c>
      <c r="Q26" s="46">
        <f t="shared" si="8"/>
        <v>-19981</v>
      </c>
      <c r="R26" s="46">
        <f t="shared" si="8"/>
        <v>210434</v>
      </c>
      <c r="S26" s="46">
        <f t="shared" si="8"/>
        <v>429101</v>
      </c>
      <c r="T26" s="46">
        <f t="shared" si="8"/>
        <v>525186</v>
      </c>
      <c r="U26" s="40">
        <f>V26-SUM(T26:T26)</f>
        <v>147900.46084283793</v>
      </c>
      <c r="V26" s="46">
        <f t="shared" ref="V26:Z26" si="9">V15*(1-V23)+V24</f>
        <v>673086.46084283793</v>
      </c>
      <c r="W26" s="46">
        <f t="shared" si="9"/>
        <v>869638.72113425389</v>
      </c>
      <c r="X26" s="46">
        <f t="shared" si="9"/>
        <v>942783.81608954433</v>
      </c>
      <c r="Y26" s="46">
        <f t="shared" si="9"/>
        <v>1000858.429175485</v>
      </c>
      <c r="Z26" s="46">
        <f t="shared" si="9"/>
        <v>1065634.4356937041</v>
      </c>
      <c r="AA26" s="54">
        <f>Z26</f>
        <v>1065634.4356937041</v>
      </c>
      <c r="AB26" s="4"/>
      <c r="AC26" s="170"/>
      <c r="AD26" s="4"/>
      <c r="AE26" s="4"/>
      <c r="AF26" s="4"/>
      <c r="AG26" s="4"/>
      <c r="AH26" s="4"/>
      <c r="AI26" s="4"/>
      <c r="AJ26" s="4"/>
      <c r="AK26" s="4"/>
      <c r="AL26" s="4"/>
      <c r="AM26" s="4"/>
      <c r="AN26" s="4"/>
      <c r="AO26" s="4"/>
      <c r="AP26" s="4"/>
    </row>
    <row r="27" spans="1:42" ht="30" customHeight="1">
      <c r="A27" s="12"/>
      <c r="B27" s="4"/>
      <c r="C27" s="4"/>
      <c r="D27" s="4"/>
      <c r="E27" s="354" t="s">
        <v>25</v>
      </c>
      <c r="F27" s="355"/>
      <c r="G27" s="355"/>
      <c r="H27" s="355"/>
      <c r="I27" s="355"/>
      <c r="J27" s="356"/>
      <c r="K27" s="55"/>
      <c r="L27" s="55"/>
      <c r="M27" s="55"/>
      <c r="N27" s="55"/>
      <c r="O27" s="55">
        <f t="shared" ref="O27:Z27" si="10">IFERROR(SUM(O28,O34)/O26,0)</f>
        <v>2.0891311482606119</v>
      </c>
      <c r="P27" s="55">
        <f t="shared" si="10"/>
        <v>1.8447835423862424</v>
      </c>
      <c r="Q27" s="55">
        <f t="shared" si="10"/>
        <v>1.0607581435861788</v>
      </c>
      <c r="R27" s="55">
        <f t="shared" si="10"/>
        <v>2.0699381631872433</v>
      </c>
      <c r="S27" s="55">
        <f t="shared" ref="S27:T27" si="11">IFERROR(SUM(S28,S34)/S26,0)</f>
        <v>3.7976189379326084</v>
      </c>
      <c r="T27" s="55">
        <f t="shared" si="11"/>
        <v>1.8690915829542005</v>
      </c>
      <c r="U27" s="55">
        <f t="shared" si="10"/>
        <v>3.3324745582821103</v>
      </c>
      <c r="V27" s="55">
        <f t="shared" si="10"/>
        <v>2.1906476222326337</v>
      </c>
      <c r="W27" s="55">
        <f t="shared" si="10"/>
        <v>0.21551903410120324</v>
      </c>
      <c r="X27" s="55">
        <f t="shared" si="10"/>
        <v>-4.2800963437092068E-2</v>
      </c>
      <c r="Y27" s="55">
        <f t="shared" si="10"/>
        <v>-0.18572073867462405</v>
      </c>
      <c r="Z27" s="55">
        <f t="shared" si="10"/>
        <v>-0.19576423730956716</v>
      </c>
      <c r="AA27" s="56">
        <f>(AC23-'Projeções - CG + Capex'!U37)/('DRE + DCF'!AB23-'Projeções - CG + Capex'!U37)</f>
        <v>0.20056487193268918</v>
      </c>
      <c r="AB27" s="4"/>
      <c r="AC27" s="4"/>
      <c r="AD27" s="4"/>
      <c r="AE27" s="4"/>
      <c r="AF27" s="4"/>
      <c r="AG27" s="4"/>
      <c r="AH27" s="4"/>
      <c r="AI27" s="4"/>
      <c r="AJ27" s="4"/>
      <c r="AK27" s="4"/>
      <c r="AL27" s="4"/>
      <c r="AM27" s="4"/>
      <c r="AN27" s="4"/>
      <c r="AO27" s="4"/>
      <c r="AP27" s="4"/>
    </row>
    <row r="28" spans="1:42" ht="30" customHeight="1">
      <c r="A28" s="12"/>
      <c r="B28" s="4"/>
      <c r="C28" s="4"/>
      <c r="D28" s="4"/>
      <c r="E28" s="383" t="s">
        <v>292</v>
      </c>
      <c r="F28" s="384">
        <v>0</v>
      </c>
      <c r="G28" s="384">
        <v>0</v>
      </c>
      <c r="H28" s="384">
        <v>0</v>
      </c>
      <c r="I28" s="384">
        <v>0</v>
      </c>
      <c r="J28" s="385">
        <v>0</v>
      </c>
      <c r="K28" s="42"/>
      <c r="L28" s="42"/>
      <c r="M28" s="42"/>
      <c r="N28" s="42"/>
      <c r="O28" s="42">
        <f t="shared" ref="O28:T28" si="12">O29-O32</f>
        <v>254518.95768999599</v>
      </c>
      <c r="P28" s="42">
        <f t="shared" si="12"/>
        <v>248153.71074999298</v>
      </c>
      <c r="Q28" s="42">
        <f t="shared" si="12"/>
        <v>208490.234160005</v>
      </c>
      <c r="R28" s="42">
        <f t="shared" si="12"/>
        <v>570893.55479997699</v>
      </c>
      <c r="S28" s="42">
        <f t="shared" si="12"/>
        <v>976579</v>
      </c>
      <c r="T28" s="42">
        <f t="shared" si="12"/>
        <v>219007.65570094658</v>
      </c>
      <c r="U28" s="42">
        <f>V28-SUM(T28:T28)</f>
        <v>238670.16412214417</v>
      </c>
      <c r="V28" s="42">
        <f t="shared" ref="V28:Z28" si="13">V29-V32</f>
        <v>457677.81982309074</v>
      </c>
      <c r="W28" s="42">
        <f t="shared" si="13"/>
        <v>-157759.20186458935</v>
      </c>
      <c r="X28" s="42">
        <f t="shared" si="13"/>
        <v>-338639.43243834295</v>
      </c>
      <c r="Y28" s="42">
        <f t="shared" si="13"/>
        <v>-427419.28013375262</v>
      </c>
      <c r="Z28" s="42">
        <f t="shared" si="13"/>
        <v>-456544.66506559867</v>
      </c>
      <c r="AA28" s="57"/>
      <c r="AB28" s="4"/>
      <c r="AC28" s="4"/>
      <c r="AD28" s="4"/>
      <c r="AE28" s="4"/>
      <c r="AF28" s="4"/>
      <c r="AG28" s="4"/>
      <c r="AH28" s="4"/>
      <c r="AI28" s="4"/>
      <c r="AJ28" s="4"/>
      <c r="AK28" s="4"/>
      <c r="AL28" s="4"/>
      <c r="AM28" s="4"/>
      <c r="AN28" s="4"/>
      <c r="AO28" s="4"/>
      <c r="AP28" s="4"/>
    </row>
    <row r="29" spans="1:42" ht="30" customHeight="1">
      <c r="A29" s="12"/>
      <c r="B29" s="4"/>
      <c r="C29" s="4"/>
      <c r="D29" s="4"/>
      <c r="E29" s="357" t="s">
        <v>275</v>
      </c>
      <c r="F29" s="358">
        <v>0</v>
      </c>
      <c r="G29" s="358">
        <v>0</v>
      </c>
      <c r="H29" s="358">
        <v>0</v>
      </c>
      <c r="I29" s="358">
        <v>0</v>
      </c>
      <c r="J29" s="359">
        <v>0</v>
      </c>
      <c r="K29" s="42"/>
      <c r="L29" s="42"/>
      <c r="M29" s="42"/>
      <c r="N29" s="42"/>
      <c r="O29" s="42">
        <f>'Projeções - CG + Capex'!O32</f>
        <v>405066.95768999599</v>
      </c>
      <c r="P29" s="42">
        <f>'Projeções - CG + Capex'!P32</f>
        <v>405314.71074999298</v>
      </c>
      <c r="Q29" s="42">
        <f>'Projeções - CG + Capex'!Q32</f>
        <v>431804.234160005</v>
      </c>
      <c r="R29" s="42">
        <f>'Projeções - CG + Capex'!R32</f>
        <v>665081.55479997699</v>
      </c>
      <c r="S29" s="42">
        <f>'Projeções - CG + Capex'!S32</f>
        <v>1334428</v>
      </c>
      <c r="T29" s="42">
        <f>V29/2</f>
        <v>248516.65570094658</v>
      </c>
      <c r="U29" s="42">
        <f>V29-SUM(T29:T29)</f>
        <v>248516.65570094658</v>
      </c>
      <c r="V29" s="42">
        <f>'Projeções - CG + Capex'!T32</f>
        <v>497033.31140189315</v>
      </c>
      <c r="W29" s="42">
        <f>'Projeções - CG + Capex'!U32</f>
        <v>327133.21799164335</v>
      </c>
      <c r="X29" s="42">
        <f>'Projeções - CG + Capex'!V32</f>
        <v>177090.26017258919</v>
      </c>
      <c r="Y29" s="42">
        <f>'Projeções - CG + Capex'!W32</f>
        <v>119613.3245119584</v>
      </c>
      <c r="Z29" s="42">
        <f>'Projeções - CG + Capex'!X32</f>
        <v>125914.54307294823</v>
      </c>
      <c r="AA29" s="57"/>
      <c r="AB29" s="4"/>
      <c r="AC29" s="4"/>
      <c r="AD29" s="4"/>
      <c r="AE29" s="4"/>
      <c r="AF29" s="4"/>
      <c r="AG29" s="4"/>
      <c r="AH29" s="4"/>
      <c r="AI29" s="4"/>
      <c r="AJ29" s="4"/>
      <c r="AK29" s="4"/>
      <c r="AL29" s="4"/>
      <c r="AM29" s="4"/>
      <c r="AN29" s="4"/>
      <c r="AO29" s="4"/>
      <c r="AP29" s="4"/>
    </row>
    <row r="30" spans="1:42" ht="30" customHeight="1">
      <c r="A30" s="12"/>
      <c r="B30" s="4"/>
      <c r="C30" s="4"/>
      <c r="D30" s="4"/>
      <c r="E30" s="363" t="s">
        <v>96</v>
      </c>
      <c r="F30" s="364"/>
      <c r="G30" s="364"/>
      <c r="H30" s="364"/>
      <c r="I30" s="364"/>
      <c r="J30" s="365"/>
      <c r="K30" s="59"/>
      <c r="L30" s="59"/>
      <c r="M30" s="59"/>
      <c r="N30" s="59"/>
      <c r="O30" s="59">
        <v>0</v>
      </c>
      <c r="P30" s="59">
        <f>(P29-O29)/O29</f>
        <v>6.1163483047313807E-4</v>
      </c>
      <c r="Q30" s="59">
        <f>(Q29-P29)/P29</f>
        <v>6.5355445305688237E-2</v>
      </c>
      <c r="R30" s="59">
        <f>(R29-Q29)/Q29</f>
        <v>0.54023861320806577</v>
      </c>
      <c r="S30" s="59">
        <f>(S29-R29)/R29</f>
        <v>1.0064125825912111</v>
      </c>
      <c r="T30" s="59"/>
      <c r="U30" s="59"/>
      <c r="V30" s="59">
        <f>V29/S29-1</f>
        <v>-0.62753081365057306</v>
      </c>
      <c r="W30" s="59">
        <f>W29/V29-1</f>
        <v>-0.34182838355651235</v>
      </c>
      <c r="X30" s="59">
        <f t="shared" ref="X30:Z30" si="14">X29/W29-1</f>
        <v>-0.45866011021505937</v>
      </c>
      <c r="Y30" s="59">
        <f t="shared" si="14"/>
        <v>-0.32456294098057525</v>
      </c>
      <c r="Z30" s="59">
        <f t="shared" si="14"/>
        <v>5.2679904907750208E-2</v>
      </c>
      <c r="AA30" s="57"/>
      <c r="AB30" s="4"/>
      <c r="AC30" s="4"/>
      <c r="AD30" s="4"/>
      <c r="AE30" s="4"/>
      <c r="AF30" s="4"/>
      <c r="AG30" s="4"/>
      <c r="AH30" s="4"/>
      <c r="AI30" s="4"/>
      <c r="AJ30" s="4"/>
      <c r="AK30" s="4"/>
      <c r="AL30" s="4"/>
      <c r="AM30" s="4"/>
      <c r="AN30" s="4"/>
      <c r="AO30" s="4"/>
      <c r="AP30" s="4"/>
    </row>
    <row r="31" spans="1:42" ht="30" customHeight="1">
      <c r="A31" s="12"/>
      <c r="B31" s="4"/>
      <c r="C31" s="4"/>
      <c r="D31" s="4"/>
      <c r="E31" s="371" t="s">
        <v>30</v>
      </c>
      <c r="F31" s="372"/>
      <c r="G31" s="372"/>
      <c r="H31" s="372"/>
      <c r="I31" s="372"/>
      <c r="J31" s="373"/>
      <c r="K31" s="60"/>
      <c r="L31" s="60"/>
      <c r="M31" s="60"/>
      <c r="N31" s="60"/>
      <c r="O31" s="60">
        <f>O29/O13</f>
        <v>0.28624151942269044</v>
      </c>
      <c r="P31" s="60">
        <f t="shared" ref="P31:U31" si="15">P29/P13</f>
        <v>0.26376016770580779</v>
      </c>
      <c r="Q31" s="60">
        <f t="shared" si="15"/>
        <v>0.31249085199600307</v>
      </c>
      <c r="R31" s="60">
        <f t="shared" si="15"/>
        <v>0.47031379505175785</v>
      </c>
      <c r="S31" s="60">
        <f t="shared" si="15"/>
        <v>0.34697399985751065</v>
      </c>
      <c r="T31" s="60"/>
      <c r="U31" s="60">
        <f t="shared" si="15"/>
        <v>0.13723123542364135</v>
      </c>
      <c r="V31" s="60">
        <f t="shared" ref="V31:Z31" si="16">V29/V13</f>
        <v>6.8668749886754782E-2</v>
      </c>
      <c r="W31" s="60">
        <f t="shared" si="16"/>
        <v>3.3221197408411521E-2</v>
      </c>
      <c r="X31" s="60">
        <f t="shared" si="16"/>
        <v>1.690863584092616E-2</v>
      </c>
      <c r="Y31" s="60">
        <f t="shared" si="16"/>
        <v>1.0767190082669137E-2</v>
      </c>
      <c r="Z31" s="60">
        <f t="shared" si="16"/>
        <v>1.0645018228756039E-2</v>
      </c>
      <c r="AA31" s="57"/>
      <c r="AB31" s="4"/>
      <c r="AC31" s="4"/>
      <c r="AD31" s="4"/>
      <c r="AE31" s="4"/>
      <c r="AF31" s="4"/>
      <c r="AG31" s="4"/>
      <c r="AH31" s="4"/>
      <c r="AI31" s="4"/>
      <c r="AJ31" s="4"/>
      <c r="AK31" s="4"/>
      <c r="AL31" s="4"/>
      <c r="AM31" s="4"/>
      <c r="AN31" s="4"/>
      <c r="AO31" s="4"/>
      <c r="AP31" s="4"/>
    </row>
    <row r="32" spans="1:42" ht="30" customHeight="1">
      <c r="A32" s="12"/>
      <c r="B32" s="4"/>
      <c r="C32" s="4"/>
      <c r="D32" s="4"/>
      <c r="E32" s="386" t="s">
        <v>287</v>
      </c>
      <c r="F32" s="387">
        <v>0</v>
      </c>
      <c r="G32" s="387">
        <v>0</v>
      </c>
      <c r="H32" s="387">
        <v>0</v>
      </c>
      <c r="I32" s="387">
        <v>0</v>
      </c>
      <c r="J32" s="388">
        <v>0</v>
      </c>
      <c r="K32" s="60"/>
      <c r="L32" s="60"/>
      <c r="M32" s="60"/>
      <c r="N32" s="60"/>
      <c r="O32" s="42">
        <f>'Projeções - CG + Capex'!O57-SUM('Projeções - CG + Capex'!O54:O56)</f>
        <v>150548</v>
      </c>
      <c r="P32" s="42">
        <f>'Projeções - CG + Capex'!P57-SUM('Projeções - CG + Capex'!P54:P56)</f>
        <v>157161</v>
      </c>
      <c r="Q32" s="42">
        <f>'Projeções - CG + Capex'!Q57-SUM('Projeções - CG + Capex'!Q54:Q56)</f>
        <v>223314</v>
      </c>
      <c r="R32" s="42">
        <f>'Projeções - CG + Capex'!R57-SUM('Projeções - CG + Capex'!R54:R56)</f>
        <v>94188</v>
      </c>
      <c r="S32" s="42">
        <f>'Projeções - CG + Capex'!S57-SUM('Projeções - CG + Capex'!S54:S56)</f>
        <v>357849</v>
      </c>
      <c r="T32" s="42">
        <f>'Projeções - CG + Capex'!T57-SUM('Projeções - CG + Capex'!T54:T56)</f>
        <v>29509</v>
      </c>
      <c r="U32" s="42">
        <f>V32-T32</f>
        <v>9846.4915788023864</v>
      </c>
      <c r="V32" s="42">
        <f>V33*V13</f>
        <v>39355.491578802386</v>
      </c>
      <c r="W32" s="42">
        <f t="shared" ref="W32:Z32" si="17">W33*W13</f>
        <v>484892.41985623271</v>
      </c>
      <c r="X32" s="42">
        <f t="shared" si="17"/>
        <v>515729.69261093211</v>
      </c>
      <c r="Y32" s="42">
        <f t="shared" si="17"/>
        <v>547032.60464571102</v>
      </c>
      <c r="Z32" s="42">
        <f t="shared" si="17"/>
        <v>582459.20813854691</v>
      </c>
      <c r="AA32" s="57"/>
      <c r="AB32" s="4"/>
      <c r="AC32" s="4"/>
      <c r="AD32" s="4"/>
      <c r="AE32" s="4"/>
      <c r="AF32" s="4"/>
      <c r="AG32" s="4"/>
      <c r="AH32" s="4"/>
      <c r="AI32" s="4"/>
      <c r="AJ32" s="4"/>
      <c r="AK32" s="4"/>
      <c r="AL32" s="4"/>
      <c r="AM32" s="4"/>
      <c r="AN32" s="4"/>
      <c r="AO32" s="4"/>
      <c r="AP32" s="4"/>
    </row>
    <row r="33" spans="1:45" ht="30" customHeight="1">
      <c r="A33" s="12"/>
      <c r="B33" s="4"/>
      <c r="C33" s="4"/>
      <c r="D33" s="4"/>
      <c r="E33" s="371" t="s">
        <v>30</v>
      </c>
      <c r="F33" s="372"/>
      <c r="G33" s="372"/>
      <c r="H33" s="372"/>
      <c r="I33" s="372"/>
      <c r="J33" s="373"/>
      <c r="K33" s="60"/>
      <c r="L33" s="60"/>
      <c r="M33" s="60"/>
      <c r="N33" s="60"/>
      <c r="O33" s="60">
        <f>O32/O13</f>
        <v>0.10638509868046805</v>
      </c>
      <c r="P33" s="60">
        <f t="shared" ref="P33:U33" si="18">P32/P13</f>
        <v>0.10227314878383839</v>
      </c>
      <c r="Q33" s="60">
        <f t="shared" si="18"/>
        <v>0.16160930487026473</v>
      </c>
      <c r="R33" s="60">
        <f t="shared" si="18"/>
        <v>6.6605238723929955E-2</v>
      </c>
      <c r="S33" s="60">
        <f t="shared" si="18"/>
        <v>9.3046832706605631E-2</v>
      </c>
      <c r="T33" s="60">
        <f t="shared" si="18"/>
        <v>5.4372460474985613E-3</v>
      </c>
      <c r="U33" s="60">
        <f t="shared" si="18"/>
        <v>5.4372460474985604E-3</v>
      </c>
      <c r="V33" s="60">
        <f>T33</f>
        <v>5.4372460474985613E-3</v>
      </c>
      <c r="W33" s="60">
        <f>AVERAGE($S$33:$T$33)</f>
        <v>4.9242039377052099E-2</v>
      </c>
      <c r="X33" s="60">
        <f t="shared" ref="X33:Z33" si="19">AVERAGE($S$33:$T$33)</f>
        <v>4.9242039377052099E-2</v>
      </c>
      <c r="Y33" s="60">
        <f t="shared" si="19"/>
        <v>4.9242039377052099E-2</v>
      </c>
      <c r="Z33" s="60">
        <f t="shared" si="19"/>
        <v>4.9242039377052099E-2</v>
      </c>
      <c r="AA33" s="57"/>
      <c r="AB33" s="4"/>
      <c r="AC33" s="4"/>
      <c r="AD33" s="4"/>
      <c r="AE33" s="4"/>
      <c r="AF33" s="4"/>
      <c r="AG33" s="4"/>
      <c r="AH33" s="4"/>
      <c r="AI33" s="4"/>
      <c r="AJ33" s="4"/>
      <c r="AK33" s="4"/>
      <c r="AL33" s="4"/>
      <c r="AM33" s="4"/>
      <c r="AN33" s="4"/>
      <c r="AO33" s="4"/>
      <c r="AP33" s="4"/>
    </row>
    <row r="34" spans="1:45" ht="30" customHeight="1">
      <c r="A34" s="12"/>
      <c r="B34" s="4"/>
      <c r="C34" s="4"/>
      <c r="D34" s="4"/>
      <c r="E34" s="363" t="s">
        <v>291</v>
      </c>
      <c r="F34" s="364">
        <v>0</v>
      </c>
      <c r="G34" s="364">
        <v>-122636.71999999997</v>
      </c>
      <c r="H34" s="364">
        <v>147702.64000000001</v>
      </c>
      <c r="I34" s="364">
        <v>-36069.720000000088</v>
      </c>
      <c r="J34" s="365">
        <v>-41836.439999999944</v>
      </c>
      <c r="K34" s="42"/>
      <c r="L34" s="42"/>
      <c r="M34" s="42"/>
      <c r="N34" s="42"/>
      <c r="O34" s="42">
        <f>'Projeções - CG + Capex'!O66-SUM('Projeções - CG + Capex'!O63:O65)</f>
        <v>-6129.6206864023115</v>
      </c>
      <c r="P34" s="42">
        <f>'Projeções - CG + Capex'!P66-SUM('Projeções - CG + Capex'!P63:P65)</f>
        <v>60969.288313500118</v>
      </c>
      <c r="Q34" s="42">
        <f>'Projeções - CG + Capex'!Q66-SUM('Projeções - CG + Capex'!Q63:Q65)</f>
        <v>-229685.24262700044</v>
      </c>
      <c r="R34" s="42">
        <f>'Projeções - CG + Capex'!R66-SUM('Projeções - CG + Capex'!R63:R65)</f>
        <v>-135308.18736783264</v>
      </c>
      <c r="S34" s="42">
        <f>'Projeções - CG + Capex'!S66-SUM('Projeções - CG + Capex'!S63:S65)</f>
        <v>652983.08388582012</v>
      </c>
      <c r="T34" s="42">
        <f>V34/4*3</f>
        <v>762613.0763844382</v>
      </c>
      <c r="U34" s="42">
        <f>V34-SUM(T34:T34)</f>
        <v>254204.3587948127</v>
      </c>
      <c r="V34" s="42">
        <f>('Projeções - CG + Capex'!T10-'Projeções - CG + Capex'!S10)*V35</f>
        <v>1016817.4351792509</v>
      </c>
      <c r="W34" s="42">
        <f>('Projeções - CG + Capex'!U10-'Projeções - CG + Capex'!T10)*W35</f>
        <v>345182.89906044939</v>
      </c>
      <c r="X34" s="42">
        <f>('Projeções - CG + Capex'!V10-'Projeções - CG + Capex'!U10)*X35</f>
        <v>298287.37679681223</v>
      </c>
      <c r="Y34" s="42">
        <f>('Projeções - CG + Capex'!W10-'Projeções - CG + Capex'!V10)*Y35</f>
        <v>241539.11335855763</v>
      </c>
      <c r="Z34" s="42">
        <f>('Projeções - CG + Capex'!X10-'Projeções - CG + Capex'!W10)*Z35</f>
        <v>247931.55251120971</v>
      </c>
      <c r="AA34" s="57"/>
      <c r="AB34" s="4"/>
      <c r="AC34" s="4"/>
      <c r="AD34" s="4"/>
      <c r="AE34" s="4"/>
      <c r="AF34" s="4"/>
      <c r="AG34" s="4"/>
      <c r="AH34" s="4"/>
      <c r="AI34" s="4"/>
      <c r="AJ34" s="4"/>
      <c r="AK34" s="4"/>
      <c r="AL34" s="4"/>
      <c r="AM34" s="4"/>
      <c r="AN34" s="4"/>
      <c r="AO34" s="4"/>
      <c r="AP34" s="4"/>
      <c r="AQ34" s="4"/>
      <c r="AR34" s="4"/>
      <c r="AS34" s="4"/>
    </row>
    <row r="35" spans="1:45" ht="30" customHeight="1">
      <c r="A35" s="12"/>
      <c r="B35" s="4"/>
      <c r="C35" s="4"/>
      <c r="D35" s="4"/>
      <c r="E35" s="363" t="s">
        <v>499</v>
      </c>
      <c r="F35" s="364">
        <v>0</v>
      </c>
      <c r="G35" s="364">
        <v>-122636.71999999997</v>
      </c>
      <c r="H35" s="364">
        <v>147702.64000000001</v>
      </c>
      <c r="I35" s="364">
        <v>-36069.720000000088</v>
      </c>
      <c r="J35" s="365">
        <v>-41836.439999999944</v>
      </c>
      <c r="K35" s="42"/>
      <c r="L35" s="42"/>
      <c r="M35" s="42"/>
      <c r="N35" s="42"/>
      <c r="O35" s="60">
        <f>O34/'Projeções - CG + Capex'!O66</f>
        <v>4.2996363400691885E-2</v>
      </c>
      <c r="P35" s="60">
        <f>P34/'Projeções - CG + Capex'!P66</f>
        <v>0.26612928749893655</v>
      </c>
      <c r="Q35" s="60">
        <f>Q34/'Projeções - CG + Capex'!Q66</f>
        <v>0.33025911783229173</v>
      </c>
      <c r="R35" s="60">
        <f>R34/'Projeções - CG + Capex'!R66</f>
        <v>0.7121185580278746</v>
      </c>
      <c r="S35" s="60">
        <f>S34/'Projeções - CG + Capex'!S66</f>
        <v>1.1406109377603812</v>
      </c>
      <c r="T35" s="60">
        <f>T34/'Projeções - CG + Capex'!T66</f>
        <v>0.15064745455853967</v>
      </c>
      <c r="U35" s="60"/>
      <c r="V35" s="60">
        <f>AVERAGE($O$35:$S$35)</f>
        <v>0.49842285290403526</v>
      </c>
      <c r="W35" s="60">
        <f t="shared" ref="W35:Z35" si="20">AVERAGE($O$35:$S$35)</f>
        <v>0.49842285290403526</v>
      </c>
      <c r="X35" s="60">
        <f t="shared" si="20"/>
        <v>0.49842285290403526</v>
      </c>
      <c r="Y35" s="60">
        <f t="shared" si="20"/>
        <v>0.49842285290403526</v>
      </c>
      <c r="Z35" s="60">
        <f t="shared" si="20"/>
        <v>0.49842285290403526</v>
      </c>
      <c r="AA35" s="57"/>
      <c r="AB35" s="4"/>
      <c r="AC35" s="4"/>
      <c r="AD35" s="4"/>
      <c r="AE35" s="4"/>
      <c r="AF35" s="4"/>
      <c r="AG35" s="4"/>
      <c r="AH35" s="4"/>
      <c r="AI35" s="4"/>
      <c r="AJ35" s="4"/>
      <c r="AK35" s="4"/>
      <c r="AL35" s="4"/>
      <c r="AM35" s="4"/>
      <c r="AN35" s="4"/>
      <c r="AO35" s="4"/>
      <c r="AP35" s="4"/>
      <c r="AQ35" s="4"/>
      <c r="AR35" s="4"/>
      <c r="AS35" s="4"/>
    </row>
    <row r="36" spans="1:45" ht="30" customHeight="1">
      <c r="A36" s="12"/>
      <c r="B36" s="4"/>
      <c r="C36" s="4"/>
      <c r="D36" s="4"/>
      <c r="E36" s="354" t="s">
        <v>298</v>
      </c>
      <c r="F36" s="355"/>
      <c r="G36" s="355"/>
      <c r="H36" s="355"/>
      <c r="I36" s="355"/>
      <c r="J36" s="356"/>
      <c r="K36" s="46"/>
      <c r="L36" s="46"/>
      <c r="M36" s="46"/>
      <c r="N36" s="46"/>
      <c r="O36" s="46">
        <f>O26*(1-O27)</f>
        <v>-129493.33700359371</v>
      </c>
      <c r="P36" s="46">
        <f t="shared" ref="P36:Z36" si="21">P26*(1-P27)</f>
        <v>-141556.9990634931</v>
      </c>
      <c r="Q36" s="46">
        <f t="shared" si="21"/>
        <v>1214.008466995439</v>
      </c>
      <c r="R36" s="46">
        <f t="shared" si="21"/>
        <v>-225151.36743214435</v>
      </c>
      <c r="S36" s="46">
        <f t="shared" si="21"/>
        <v>-1200461.0838858201</v>
      </c>
      <c r="T36" s="46">
        <f t="shared" si="21"/>
        <v>-456434.73208538478</v>
      </c>
      <c r="U36" s="46">
        <f>V36-SUM(T36:T36)</f>
        <v>-344974.06207411888</v>
      </c>
      <c r="V36" s="46">
        <f>V26*(1-V27)</f>
        <v>-801408.79415950365</v>
      </c>
      <c r="W36" s="46">
        <f t="shared" si="21"/>
        <v>682215.02393839392</v>
      </c>
      <c r="X36" s="46">
        <f t="shared" si="21"/>
        <v>983135.87173107499</v>
      </c>
      <c r="Y36" s="46">
        <f t="shared" si="21"/>
        <v>1186738.5959506801</v>
      </c>
      <c r="Z36" s="46">
        <f t="shared" si="21"/>
        <v>1274247.5482480931</v>
      </c>
      <c r="AA36" s="54">
        <f>AA26*(1-AA27)</f>
        <v>851905.6015717329</v>
      </c>
      <c r="AB36" s="4"/>
      <c r="AC36" s="4"/>
      <c r="AD36" s="4"/>
      <c r="AE36" s="4"/>
      <c r="AF36" s="4"/>
      <c r="AG36" s="4"/>
      <c r="AH36" s="4"/>
      <c r="AI36" s="4"/>
      <c r="AJ36" s="4"/>
      <c r="AK36" s="4"/>
      <c r="AL36" s="4"/>
      <c r="AM36" s="4"/>
      <c r="AN36" s="4"/>
      <c r="AO36" s="4"/>
      <c r="AP36" s="4"/>
      <c r="AQ36" s="4"/>
      <c r="AR36" s="4"/>
      <c r="AS36" s="4"/>
    </row>
    <row r="37" spans="1:45" ht="30" customHeight="1">
      <c r="A37" s="12"/>
      <c r="B37" s="4"/>
      <c r="C37" s="4"/>
      <c r="D37" s="4"/>
      <c r="E37" s="35" t="s">
        <v>130</v>
      </c>
      <c r="F37" s="243"/>
      <c r="G37" s="243"/>
      <c r="H37" s="243"/>
      <c r="I37" s="243"/>
      <c r="J37" s="244"/>
      <c r="K37" s="46"/>
      <c r="L37" s="46"/>
      <c r="M37" s="46"/>
      <c r="N37" s="46"/>
      <c r="O37" s="46"/>
      <c r="P37" s="46"/>
      <c r="Q37" s="46"/>
      <c r="R37" s="46"/>
      <c r="S37" s="46"/>
      <c r="T37" s="46"/>
      <c r="U37" s="117">
        <f>WACC!F21</f>
        <v>1.0404826240775458</v>
      </c>
      <c r="V37" s="117"/>
      <c r="W37" s="117">
        <f>WACC!G21</f>
        <v>1.2071321214961466</v>
      </c>
      <c r="X37" s="117">
        <f>WACC!H21</f>
        <v>1.3973412203517079</v>
      </c>
      <c r="Y37" s="117">
        <f>WACC!I21</f>
        <v>1.6186090839858553</v>
      </c>
      <c r="Z37" s="117">
        <f>WACC!J21</f>
        <v>1.876809882942599</v>
      </c>
      <c r="AA37" s="54"/>
      <c r="AB37" s="4"/>
      <c r="AC37" s="4"/>
      <c r="AD37" s="4"/>
      <c r="AE37" s="4"/>
      <c r="AF37" s="4"/>
      <c r="AG37" s="4"/>
      <c r="AH37" s="4"/>
      <c r="AI37" s="4"/>
      <c r="AJ37" s="4"/>
      <c r="AK37" s="4"/>
      <c r="AL37" s="4"/>
      <c r="AM37" s="4"/>
      <c r="AN37" s="4"/>
      <c r="AO37" s="4"/>
      <c r="AP37" s="4"/>
      <c r="AQ37" s="4"/>
      <c r="AR37" s="4"/>
      <c r="AS37" s="4"/>
    </row>
    <row r="38" spans="1:45" ht="30" customHeight="1">
      <c r="A38" s="12"/>
      <c r="B38" s="4"/>
      <c r="C38" s="4"/>
      <c r="D38" s="4"/>
      <c r="E38" s="283" t="s">
        <v>299</v>
      </c>
      <c r="F38" s="243"/>
      <c r="G38" s="243"/>
      <c r="H38" s="243"/>
      <c r="I38" s="243"/>
      <c r="J38" s="244"/>
      <c r="K38" s="46"/>
      <c r="L38" s="46"/>
      <c r="M38" s="46"/>
      <c r="N38" s="46"/>
      <c r="O38" s="46"/>
      <c r="P38" s="46"/>
      <c r="Q38" s="46"/>
      <c r="R38" s="46"/>
      <c r="S38" s="46"/>
      <c r="T38" s="46"/>
      <c r="U38" s="46">
        <f>U36/U37</f>
        <v>-331551.96837617579</v>
      </c>
      <c r="V38" s="46"/>
      <c r="W38" s="46">
        <f>W36/W37</f>
        <v>565153.56669727364</v>
      </c>
      <c r="X38" s="46">
        <f>X36/X37</f>
        <v>703576.08965662785</v>
      </c>
      <c r="Y38" s="46">
        <f>Y36/Y37</f>
        <v>733184.19357212179</v>
      </c>
      <c r="Z38" s="46">
        <f>Z36/Z37</f>
        <v>678943.32815971493</v>
      </c>
      <c r="AA38" s="54">
        <f>(AA36*(1+AC23))/(WACC!P20-AC23)/'DRE + DCF'!Z37</f>
        <v>5807818.1702296576</v>
      </c>
      <c r="AB38" s="4"/>
      <c r="AC38" s="4"/>
      <c r="AD38" s="4"/>
      <c r="AE38" s="4"/>
      <c r="AF38" s="4"/>
      <c r="AG38" s="4"/>
      <c r="AH38" s="4"/>
      <c r="AI38" s="4"/>
      <c r="AJ38" s="4"/>
      <c r="AK38" s="4"/>
      <c r="AL38" s="4"/>
      <c r="AM38" s="4"/>
      <c r="AN38" s="4"/>
      <c r="AO38" s="4"/>
      <c r="AP38" s="4"/>
      <c r="AQ38" s="4"/>
      <c r="AR38" s="4"/>
      <c r="AS38" s="4"/>
    </row>
    <row r="39" spans="1:45" ht="30" customHeight="1" thickBot="1">
      <c r="A39" s="12"/>
      <c r="B39" s="4"/>
      <c r="C39" s="4"/>
      <c r="D39" s="4"/>
      <c r="E39" s="380" t="s">
        <v>328</v>
      </c>
      <c r="F39" s="381">
        <v>0.1981298179323292</v>
      </c>
      <c r="G39" s="381">
        <v>0.19661319544659719</v>
      </c>
      <c r="H39" s="381">
        <v>0.14196038747607992</v>
      </c>
      <c r="I39" s="381">
        <v>-0.20916931415263038</v>
      </c>
      <c r="J39" s="382">
        <v>-4.0922008088363118E-2</v>
      </c>
      <c r="K39" s="44">
        <f>'DRE Consolidado'!K57/(SUM('Balanço Patrimonial'!F55:F60,'Balanço Patrimonial'!F74:F77,'Balanço Patrimonial'!F89,-'Balanço Patrimonial'!F19,-'Balanço Patrimonial'!F37))</f>
        <v>8.749605118837156E-2</v>
      </c>
      <c r="L39" s="44">
        <f>'DRE Consolidado'!L57/(SUM('Balanço Patrimonial'!G55:G60,'Balanço Patrimonial'!G74:G77,'Balanço Patrimonial'!G89,-'Balanço Patrimonial'!G19,-'Balanço Patrimonial'!G37))</f>
        <v>9.2741799701985914E-2</v>
      </c>
      <c r="M39" s="44">
        <f>'DRE Consolidado'!M57/(SUM('Balanço Patrimonial'!H55:H60,'Balanço Patrimonial'!H74:H77,'Balanço Patrimonial'!H89,-'Balanço Patrimonial'!H19,-'Balanço Patrimonial'!H37))</f>
        <v>9.0692944750984772E-2</v>
      </c>
      <c r="N39" s="44">
        <f>'DRE Consolidado'!N57/(SUM('Balanço Patrimonial'!I55:I60,'Balanço Patrimonial'!I74:I77,'Balanço Patrimonial'!I89,-'Balanço Patrimonial'!I19,-'Balanço Patrimonial'!I37))</f>
        <v>9.2089721960406726E-2</v>
      </c>
      <c r="O39" s="44">
        <f>'DRE Consolidado'!O57/(SUM('Balanço Patrimonial'!J55:J60,'Balanço Patrimonial'!J74:J77,'Balanço Patrimonial'!J89,-'Balanço Patrimonial'!J19,-'Balanço Patrimonial'!J37))</f>
        <v>9.8681458889431931E-2</v>
      </c>
      <c r="P39" s="44">
        <f>'DRE Consolidado'!P57/(SUM('Balanço Patrimonial'!K55:K60,'Balanço Patrimonial'!K74:K77,'Balanço Patrimonial'!K89,-'Balanço Patrimonial'!K19,-'Balanço Patrimonial'!K37))</f>
        <v>0.10811251665869327</v>
      </c>
      <c r="Q39" s="44">
        <f>'DRE Consolidado'!Q57/(SUM('Balanço Patrimonial'!L55:L60,'Balanço Patrimonial'!L74:L77,'Balanço Patrimonial'!L89,-'Balanço Patrimonial'!L19,-'Balanço Patrimonial'!L37))</f>
        <v>8.4555268280735951E-2</v>
      </c>
      <c r="R39" s="44">
        <f>'DRE Consolidado'!R57/(SUM('Balanço Patrimonial'!M55:M60,'Balanço Patrimonial'!M74:M77,'Balanço Patrimonial'!M89,-'Balanço Patrimonial'!M19,-'Balanço Patrimonial'!M37))</f>
        <v>0.12089622240749426</v>
      </c>
      <c r="S39" s="44">
        <f>'DRE Consolidado'!S57/(SUM('Balanço Patrimonial'!N55:N60,'Balanço Patrimonial'!N74:N77,'Balanço Patrimonial'!N89,-'Balanço Patrimonial'!N19,-'Balanço Patrimonial'!N37))</f>
        <v>0.15951948478766095</v>
      </c>
      <c r="T39" s="188"/>
      <c r="U39" s="188"/>
      <c r="V39" s="180"/>
      <c r="W39" s="180"/>
      <c r="X39" s="180"/>
      <c r="Y39" s="180"/>
      <c r="Z39" s="180"/>
      <c r="AA39" s="191"/>
      <c r="AB39" s="4"/>
      <c r="AC39" s="4"/>
      <c r="AD39" s="4"/>
      <c r="AE39" s="4"/>
      <c r="AF39" s="4"/>
      <c r="AG39" s="4"/>
      <c r="AH39" s="4"/>
      <c r="AI39" s="4"/>
      <c r="AJ39" s="4"/>
      <c r="AK39" s="4"/>
      <c r="AL39" s="4"/>
      <c r="AM39" s="4"/>
      <c r="AN39" s="4"/>
      <c r="AO39" s="4"/>
      <c r="AP39" s="4"/>
      <c r="AQ39" s="4"/>
      <c r="AR39" s="4"/>
      <c r="AS39" s="4"/>
    </row>
    <row r="40" spans="1:45" ht="30" customHeight="1">
      <c r="A40" s="12"/>
      <c r="B40" s="4"/>
      <c r="C40" s="4"/>
      <c r="D40" s="4"/>
      <c r="E40" s="192"/>
      <c r="F40" s="192"/>
      <c r="G40" s="192"/>
      <c r="H40" s="192"/>
      <c r="I40" s="192"/>
      <c r="J40" s="192"/>
      <c r="K40" s="182"/>
      <c r="L40" s="182"/>
      <c r="M40" s="182"/>
      <c r="N40" s="182"/>
      <c r="O40" s="182"/>
      <c r="P40" s="182"/>
      <c r="Q40" s="182"/>
      <c r="R40" s="178"/>
      <c r="S40" s="178"/>
      <c r="T40" s="178"/>
      <c r="U40" s="178"/>
      <c r="V40" s="178"/>
      <c r="W40" s="178"/>
      <c r="X40" s="178"/>
      <c r="Y40" s="178"/>
      <c r="Z40" s="178"/>
      <c r="AA40" s="178"/>
      <c r="AB40" s="4"/>
      <c r="AC40" s="4"/>
      <c r="AD40" s="4"/>
      <c r="AE40" s="4"/>
      <c r="AF40" s="4"/>
      <c r="AG40" s="4"/>
      <c r="AH40" s="4"/>
      <c r="AI40" s="4"/>
      <c r="AJ40" s="4"/>
      <c r="AK40" s="4"/>
      <c r="AL40" s="4"/>
      <c r="AM40" s="4"/>
      <c r="AN40" s="4"/>
      <c r="AO40" s="4"/>
      <c r="AP40" s="4"/>
      <c r="AQ40" s="4"/>
      <c r="AR40" s="4"/>
      <c r="AS40" s="4"/>
    </row>
    <row r="41" spans="1:45" ht="30" customHeight="1">
      <c r="A41" s="12"/>
      <c r="B41" s="4"/>
      <c r="C41" s="4"/>
      <c r="D41" s="4"/>
      <c r="E41" s="62" t="s">
        <v>48</v>
      </c>
      <c r="F41" s="50"/>
      <c r="G41" s="50"/>
      <c r="H41" s="50"/>
      <c r="I41" s="50"/>
      <c r="J41" s="50"/>
      <c r="K41" s="63"/>
      <c r="L41" s="63"/>
      <c r="M41" s="63"/>
      <c r="N41" s="51"/>
      <c r="O41" s="51"/>
      <c r="P41" s="51"/>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row>
    <row r="42" spans="1:45" ht="30" customHeight="1">
      <c r="A42" s="12"/>
      <c r="B42" s="4"/>
      <c r="C42" s="4"/>
      <c r="D42" s="4"/>
      <c r="E42" s="50"/>
      <c r="F42" s="50"/>
      <c r="G42" s="50"/>
      <c r="H42" s="50"/>
      <c r="I42" s="50"/>
      <c r="J42" s="50"/>
      <c r="K42" s="51"/>
      <c r="L42" s="51"/>
      <c r="M42" s="51"/>
      <c r="N42" s="51"/>
      <c r="O42" s="51"/>
      <c r="P42" s="51"/>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row>
    <row r="43" spans="1:45" ht="30" customHeight="1">
      <c r="A43" s="12"/>
      <c r="B43" s="4"/>
      <c r="C43" s="4"/>
      <c r="D43" s="4"/>
      <c r="E43" s="50"/>
      <c r="F43" s="50"/>
      <c r="G43" s="50"/>
      <c r="H43" s="50"/>
      <c r="I43" s="50"/>
      <c r="J43" s="50"/>
      <c r="K43" s="51"/>
      <c r="L43" s="51"/>
      <c r="M43" s="51"/>
      <c r="N43" s="51"/>
      <c r="O43" s="51"/>
      <c r="P43" s="51"/>
      <c r="Q43" s="4"/>
      <c r="R43" s="4"/>
      <c r="S43" s="4"/>
      <c r="T43" s="4"/>
      <c r="U43" s="4"/>
      <c r="V43" s="4"/>
      <c r="W43" s="4"/>
      <c r="X43" s="4"/>
      <c r="Y43" s="4"/>
      <c r="Z43" s="4"/>
      <c r="AA43" s="4"/>
      <c r="AB43" s="4"/>
      <c r="AC43" s="4"/>
      <c r="AD43" s="4"/>
      <c r="AE43" s="4"/>
      <c r="AF43" s="4"/>
      <c r="AG43" s="4"/>
      <c r="AH43" s="4"/>
      <c r="AI43" s="4"/>
      <c r="AJ43" s="4"/>
      <c r="AK43" s="4"/>
      <c r="AL43" s="4"/>
      <c r="AM43" s="4"/>
      <c r="AN43" s="4"/>
      <c r="AO43" s="4"/>
      <c r="AP43" s="4"/>
      <c r="AQ43" s="4"/>
      <c r="AR43" s="4"/>
      <c r="AS43" s="4"/>
    </row>
    <row r="44" spans="1:45" ht="30" customHeight="1">
      <c r="A44" s="12"/>
      <c r="B44" s="4"/>
      <c r="C44" s="4"/>
      <c r="D44" s="4"/>
      <c r="E44" s="50"/>
      <c r="F44" s="50"/>
      <c r="G44" s="50"/>
      <c r="H44" s="50"/>
      <c r="I44" s="50"/>
      <c r="J44" s="50"/>
      <c r="K44" s="51"/>
      <c r="L44" s="51"/>
      <c r="M44" s="51"/>
      <c r="N44" s="51"/>
      <c r="O44" s="51"/>
      <c r="P44" s="51"/>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S44" s="4"/>
    </row>
    <row r="45" spans="1:45" ht="27.75" customHeight="1">
      <c r="A45" s="12"/>
      <c r="B45" s="4"/>
      <c r="C45" s="4"/>
      <c r="D45" s="4"/>
      <c r="E45" s="50"/>
      <c r="F45" s="50"/>
      <c r="G45" s="50"/>
      <c r="H45" s="50"/>
      <c r="I45" s="50"/>
      <c r="J45" s="50"/>
      <c r="K45" s="51"/>
      <c r="L45" s="51"/>
      <c r="M45" s="51"/>
      <c r="N45" s="51"/>
      <c r="O45" s="51"/>
      <c r="P45" s="51"/>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S45" s="4"/>
    </row>
    <row r="46" spans="1:45" ht="30.75" customHeight="1">
      <c r="A46" s="12"/>
      <c r="B46" s="4"/>
      <c r="C46" s="4"/>
      <c r="D46" s="4"/>
      <c r="E46" s="50"/>
      <c r="F46" s="50"/>
      <c r="G46" s="50"/>
      <c r="H46" s="50"/>
      <c r="I46" s="50"/>
      <c r="J46" s="50"/>
      <c r="K46" s="51"/>
      <c r="L46" s="51"/>
      <c r="M46" s="51"/>
      <c r="N46" s="51"/>
      <c r="O46" s="51"/>
      <c r="P46" s="51"/>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row>
    <row r="47" spans="1:45" ht="30" customHeight="1">
      <c r="A47" s="12"/>
      <c r="B47" s="4"/>
      <c r="C47" s="4"/>
      <c r="D47" s="4"/>
      <c r="E47" s="50"/>
      <c r="F47" s="50"/>
      <c r="G47" s="50"/>
      <c r="H47" s="50"/>
      <c r="I47" s="50"/>
      <c r="J47" s="50"/>
      <c r="K47" s="51"/>
      <c r="L47" s="51"/>
      <c r="M47" s="51"/>
      <c r="N47" s="51"/>
      <c r="O47" s="51"/>
      <c r="P47" s="51"/>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S47" s="4"/>
    </row>
    <row r="48" spans="1:45" ht="30" customHeight="1">
      <c r="A48" s="12"/>
      <c r="B48" s="4"/>
      <c r="C48" s="4"/>
      <c r="D48" s="4"/>
      <c r="E48" s="50"/>
      <c r="F48" s="50"/>
      <c r="G48" s="50"/>
      <c r="H48" s="50"/>
      <c r="I48" s="50"/>
      <c r="J48" s="50"/>
      <c r="K48" s="51"/>
      <c r="L48" s="51"/>
      <c r="M48" s="51"/>
      <c r="N48" s="51"/>
      <c r="O48" s="51"/>
      <c r="P48" s="51"/>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row>
    <row r="49" spans="1:45" ht="30" customHeight="1">
      <c r="A49" s="12"/>
      <c r="B49" s="4"/>
      <c r="C49" s="4"/>
      <c r="D49" s="4"/>
      <c r="E49" s="50"/>
      <c r="F49" s="50"/>
      <c r="G49" s="50"/>
      <c r="H49" s="50"/>
      <c r="I49" s="50"/>
      <c r="J49" s="50"/>
      <c r="K49" s="51"/>
      <c r="L49" s="51"/>
      <c r="M49" s="51"/>
      <c r="N49" s="51"/>
      <c r="O49" s="51"/>
      <c r="P49" s="51"/>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S49" s="4"/>
    </row>
    <row r="50" spans="1:45" ht="30" customHeight="1">
      <c r="A50" s="12"/>
      <c r="B50" s="4"/>
      <c r="C50" s="4"/>
      <c r="D50" s="4"/>
      <c r="E50" s="50"/>
      <c r="F50" s="50"/>
      <c r="G50" s="50"/>
      <c r="H50" s="50"/>
      <c r="I50" s="50"/>
      <c r="J50" s="50"/>
      <c r="K50" s="51"/>
      <c r="L50" s="51"/>
      <c r="M50" s="51"/>
      <c r="N50" s="51"/>
      <c r="O50" s="51"/>
      <c r="P50" s="51"/>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S50" s="4"/>
    </row>
    <row r="51" spans="1:45" ht="30" customHeight="1">
      <c r="A51" s="12"/>
      <c r="B51" s="4"/>
      <c r="C51" s="4"/>
      <c r="D51" s="4"/>
      <c r="E51" s="50"/>
      <c r="F51" s="50"/>
      <c r="G51" s="50"/>
      <c r="H51" s="50"/>
      <c r="I51" s="50"/>
      <c r="J51" s="50"/>
      <c r="K51" s="51"/>
      <c r="L51" s="51"/>
      <c r="M51" s="51"/>
      <c r="N51" s="51"/>
      <c r="O51" s="51"/>
      <c r="P51" s="51"/>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row>
    <row r="52" spans="1:45" ht="30" customHeight="1">
      <c r="A52" s="12"/>
      <c r="B52" s="4"/>
      <c r="C52" s="4"/>
      <c r="D52" s="4"/>
      <c r="E52" s="50"/>
      <c r="F52" s="50"/>
      <c r="G52" s="50"/>
      <c r="H52" s="50"/>
      <c r="I52" s="50"/>
      <c r="J52" s="50"/>
      <c r="K52" s="51"/>
      <c r="L52" s="51"/>
      <c r="M52" s="51"/>
      <c r="N52" s="51"/>
      <c r="O52" s="51"/>
      <c r="P52" s="51"/>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S52" s="4"/>
    </row>
    <row r="53" spans="1:45" ht="30" customHeight="1">
      <c r="A53" s="12"/>
      <c r="B53" s="4"/>
      <c r="C53" s="4"/>
      <c r="D53" s="4"/>
      <c r="E53" s="50"/>
      <c r="F53" s="50"/>
      <c r="G53" s="50"/>
      <c r="H53" s="50"/>
      <c r="I53" s="50"/>
      <c r="J53" s="50"/>
      <c r="K53" s="51"/>
      <c r="L53" s="51"/>
      <c r="M53" s="51"/>
      <c r="N53" s="51"/>
      <c r="O53" s="51"/>
      <c r="P53" s="51"/>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S53" s="4"/>
    </row>
    <row r="54" spans="1:45" ht="30" customHeight="1">
      <c r="A54" s="12"/>
      <c r="B54" s="4"/>
      <c r="C54" s="4"/>
      <c r="D54" s="4"/>
      <c r="E54" s="50"/>
      <c r="F54" s="50"/>
      <c r="G54" s="50"/>
      <c r="H54" s="50"/>
      <c r="I54" s="50"/>
      <c r="J54" s="50"/>
      <c r="K54" s="51"/>
      <c r="L54" s="51"/>
      <c r="M54" s="51"/>
      <c r="N54" s="51"/>
      <c r="O54" s="51"/>
      <c r="P54" s="51"/>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4"/>
    </row>
    <row r="55" spans="1:45" s="1" customFormat="1" ht="30" customHeight="1">
      <c r="A55" s="12"/>
      <c r="B55" s="58"/>
      <c r="C55" s="58"/>
      <c r="D55" s="58"/>
      <c r="E55" s="50"/>
      <c r="F55" s="50"/>
      <c r="G55" s="50"/>
      <c r="H55" s="50"/>
      <c r="I55" s="50"/>
      <c r="J55" s="50"/>
      <c r="K55" s="51"/>
      <c r="L55" s="51"/>
      <c r="M55" s="51"/>
      <c r="N55" s="51"/>
      <c r="O55" s="51"/>
      <c r="P55" s="51"/>
      <c r="Q55" s="4"/>
      <c r="R55" s="4"/>
      <c r="S55" s="4"/>
      <c r="T55" s="4"/>
      <c r="U55" s="4"/>
      <c r="V55" s="4"/>
      <c r="W55" s="4"/>
      <c r="X55" s="4"/>
      <c r="Y55" s="4"/>
      <c r="Z55" s="4"/>
      <c r="AA55" s="4"/>
      <c r="AB55" s="4"/>
      <c r="AC55" s="4"/>
      <c r="AD55" s="4"/>
      <c r="AE55" s="4"/>
      <c r="AF55" s="4"/>
      <c r="AG55" s="4"/>
      <c r="AH55" s="58"/>
      <c r="AI55" s="58"/>
      <c r="AJ55" s="58"/>
      <c r="AK55" s="58"/>
      <c r="AL55" s="58"/>
      <c r="AM55" s="58"/>
      <c r="AN55" s="58"/>
      <c r="AO55" s="58"/>
      <c r="AP55" s="58"/>
      <c r="AQ55" s="58"/>
      <c r="AR55" s="58"/>
      <c r="AS55" s="58"/>
    </row>
    <row r="56" spans="1:45" ht="30" hidden="1" customHeight="1">
      <c r="A56" s="12"/>
      <c r="B56" s="4"/>
      <c r="C56" s="4"/>
      <c r="D56" s="4"/>
      <c r="E56" s="50"/>
      <c r="F56" s="50"/>
      <c r="G56" s="50"/>
      <c r="H56" s="50"/>
      <c r="I56" s="50"/>
      <c r="J56" s="50"/>
      <c r="K56" s="51"/>
      <c r="L56" s="51"/>
      <c r="M56" s="51"/>
      <c r="N56" s="51"/>
      <c r="O56" s="51"/>
      <c r="P56" s="51"/>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4"/>
    </row>
    <row r="57" spans="1:45" ht="30" customHeight="1">
      <c r="A57" s="12"/>
      <c r="B57" s="4"/>
      <c r="C57" s="4"/>
      <c r="D57" s="4"/>
      <c r="E57" s="50"/>
      <c r="F57" s="50"/>
      <c r="G57" s="50"/>
      <c r="H57" s="50"/>
      <c r="I57" s="50"/>
      <c r="J57" s="50"/>
      <c r="K57" s="51"/>
      <c r="L57" s="51"/>
      <c r="M57" s="51"/>
      <c r="N57" s="51"/>
      <c r="O57" s="51"/>
      <c r="P57" s="51"/>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4"/>
    </row>
    <row r="58" spans="1:45" ht="30" customHeight="1">
      <c r="A58" s="12"/>
      <c r="B58" s="4"/>
      <c r="C58" s="4"/>
      <c r="D58" s="4"/>
      <c r="E58" s="50"/>
      <c r="F58" s="50"/>
      <c r="G58" s="50"/>
      <c r="H58" s="50"/>
      <c r="I58" s="50"/>
      <c r="J58" s="50"/>
      <c r="K58" s="51"/>
      <c r="L58" s="51"/>
      <c r="M58" s="51"/>
      <c r="N58" s="51"/>
      <c r="O58" s="51"/>
      <c r="P58" s="51"/>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4"/>
    </row>
    <row r="59" spans="1:45" ht="30" hidden="1" customHeight="1">
      <c r="A59" s="12"/>
      <c r="B59" s="4"/>
      <c r="C59" s="4"/>
      <c r="D59" s="4"/>
      <c r="E59" s="50"/>
      <c r="F59" s="50"/>
      <c r="G59" s="50"/>
      <c r="H59" s="50"/>
      <c r="I59" s="50"/>
      <c r="J59" s="50"/>
      <c r="K59" s="51"/>
      <c r="L59" s="51"/>
      <c r="M59" s="51"/>
      <c r="N59" s="51"/>
      <c r="O59" s="51"/>
      <c r="P59" s="51"/>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4"/>
    </row>
    <row r="60" spans="1:45" ht="30" customHeight="1">
      <c r="A60" s="12"/>
      <c r="B60" s="4"/>
      <c r="C60" s="4"/>
      <c r="D60" s="4"/>
      <c r="E60" s="50"/>
      <c r="F60" s="50"/>
      <c r="G60" s="50"/>
      <c r="H60" s="50"/>
      <c r="I60" s="50"/>
      <c r="J60" s="50"/>
      <c r="K60" s="51"/>
      <c r="L60" s="51"/>
      <c r="M60" s="51"/>
      <c r="N60" s="51"/>
      <c r="O60" s="51"/>
      <c r="P60" s="51"/>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4"/>
    </row>
    <row r="61" spans="1:45" ht="30" customHeight="1">
      <c r="A61" s="12"/>
      <c r="B61" s="4"/>
      <c r="C61" s="4"/>
      <c r="D61" s="4"/>
      <c r="E61" s="50"/>
      <c r="F61" s="50"/>
      <c r="G61" s="50"/>
      <c r="H61" s="50"/>
      <c r="I61" s="50"/>
      <c r="J61" s="50"/>
      <c r="K61" s="51"/>
      <c r="L61" s="51"/>
      <c r="M61" s="51"/>
      <c r="N61" s="51"/>
      <c r="O61" s="51"/>
      <c r="P61" s="51"/>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4"/>
    </row>
    <row r="62" spans="1:45" ht="30" customHeight="1">
      <c r="A62" s="12"/>
      <c r="B62" s="4"/>
      <c r="C62" s="4"/>
      <c r="D62" s="4"/>
      <c r="E62" s="50"/>
      <c r="F62" s="50"/>
      <c r="G62" s="50"/>
      <c r="H62" s="50"/>
      <c r="I62" s="50"/>
      <c r="J62" s="50"/>
      <c r="K62" s="51"/>
      <c r="L62" s="51"/>
      <c r="M62" s="51"/>
      <c r="N62" s="51"/>
      <c r="O62" s="51"/>
      <c r="P62" s="51"/>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4"/>
    </row>
    <row r="63" spans="1:45" ht="30" customHeight="1">
      <c r="A63" s="12"/>
      <c r="B63" s="4"/>
      <c r="C63" s="4"/>
      <c r="D63" s="4"/>
      <c r="E63" s="50"/>
      <c r="F63" s="50"/>
      <c r="G63" s="50"/>
      <c r="H63" s="50"/>
      <c r="I63" s="50"/>
      <c r="J63" s="50"/>
      <c r="K63" s="51"/>
      <c r="L63" s="51"/>
      <c r="M63" s="51"/>
      <c r="N63" s="51"/>
      <c r="O63" s="51"/>
      <c r="P63" s="51"/>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4"/>
    </row>
    <row r="64" spans="1:45" ht="30" customHeight="1">
      <c r="A64" s="12"/>
      <c r="B64" s="4"/>
      <c r="C64" s="4"/>
      <c r="D64" s="4"/>
      <c r="E64" s="50"/>
      <c r="F64" s="50"/>
      <c r="G64" s="50"/>
      <c r="H64" s="50"/>
      <c r="I64" s="50"/>
      <c r="J64" s="50"/>
      <c r="K64" s="51"/>
      <c r="L64" s="51"/>
      <c r="M64" s="51"/>
      <c r="N64" s="51"/>
      <c r="O64" s="51"/>
      <c r="P64" s="51"/>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4"/>
    </row>
    <row r="65" spans="1:45" ht="30" customHeight="1">
      <c r="A65" s="12"/>
      <c r="B65" s="4"/>
      <c r="C65" s="4"/>
      <c r="D65" s="4"/>
      <c r="E65" s="50"/>
      <c r="F65" s="50"/>
      <c r="G65" s="50"/>
      <c r="H65" s="50"/>
      <c r="I65" s="50"/>
      <c r="J65" s="50"/>
      <c r="K65" s="51"/>
      <c r="L65" s="51"/>
      <c r="M65" s="51"/>
      <c r="N65" s="51"/>
      <c r="O65" s="51"/>
      <c r="P65" s="51"/>
      <c r="Q65" s="4"/>
      <c r="R65" s="4"/>
      <c r="S65" s="4"/>
      <c r="T65" s="4"/>
      <c r="U65" s="4"/>
      <c r="V65" s="4"/>
      <c r="W65" s="4"/>
      <c r="X65" s="4"/>
      <c r="Y65" s="4"/>
      <c r="Z65" s="4"/>
      <c r="AA65" s="4"/>
      <c r="AB65" s="4"/>
      <c r="AC65" s="4"/>
      <c r="AD65" s="4"/>
      <c r="AE65" s="4"/>
      <c r="AF65" s="4"/>
      <c r="AG65" s="4"/>
      <c r="AH65" s="4"/>
      <c r="AI65" s="4"/>
      <c r="AJ65" s="4"/>
      <c r="AK65" s="4"/>
      <c r="AL65" s="4"/>
      <c r="AM65" s="4"/>
      <c r="AN65" s="4"/>
      <c r="AO65" s="4"/>
      <c r="AP65" s="4"/>
      <c r="AQ65" s="4"/>
      <c r="AR65" s="4"/>
      <c r="AS65" s="4"/>
    </row>
    <row r="66" spans="1:45" ht="30" customHeight="1">
      <c r="A66" s="12"/>
      <c r="B66" s="4"/>
      <c r="C66" s="4"/>
      <c r="D66" s="4"/>
      <c r="E66" s="50"/>
      <c r="F66" s="50"/>
      <c r="G66" s="50"/>
      <c r="H66" s="50"/>
      <c r="I66" s="50"/>
      <c r="J66" s="50"/>
      <c r="K66" s="51"/>
      <c r="L66" s="51"/>
      <c r="M66" s="51"/>
      <c r="N66" s="51"/>
      <c r="O66" s="51"/>
      <c r="P66" s="51"/>
      <c r="Q66" s="4"/>
      <c r="R66" s="4"/>
      <c r="S66" s="4"/>
      <c r="T66" s="4"/>
      <c r="U66" s="4"/>
      <c r="V66" s="4"/>
      <c r="W66" s="4"/>
      <c r="X66" s="4"/>
      <c r="Y66" s="4"/>
      <c r="Z66" s="4"/>
      <c r="AA66" s="4"/>
      <c r="AB66" s="4"/>
      <c r="AC66" s="4"/>
      <c r="AD66" s="4"/>
      <c r="AE66" s="4"/>
      <c r="AF66" s="4"/>
      <c r="AG66" s="4"/>
      <c r="AH66" s="4"/>
      <c r="AI66" s="4"/>
      <c r="AJ66" s="4"/>
      <c r="AK66" s="4"/>
      <c r="AL66" s="4"/>
      <c r="AM66" s="4"/>
      <c r="AN66" s="4"/>
      <c r="AO66" s="4"/>
      <c r="AP66" s="4"/>
      <c r="AQ66" s="4"/>
      <c r="AR66" s="4"/>
      <c r="AS66" s="4"/>
    </row>
    <row r="67" spans="1:45" ht="30" customHeight="1">
      <c r="A67" s="12"/>
      <c r="B67" s="4"/>
      <c r="C67" s="4"/>
      <c r="D67" s="4"/>
      <c r="E67" s="50"/>
      <c r="F67" s="50"/>
      <c r="G67" s="50"/>
      <c r="H67" s="50"/>
      <c r="I67" s="50"/>
      <c r="J67" s="50"/>
      <c r="K67" s="51"/>
      <c r="L67" s="51"/>
      <c r="M67" s="51"/>
      <c r="N67" s="51"/>
      <c r="O67" s="51"/>
      <c r="P67" s="51"/>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row>
    <row r="68" spans="1:45" ht="30" customHeight="1">
      <c r="A68" s="12"/>
      <c r="B68" s="4"/>
      <c r="C68" s="4"/>
      <c r="D68" s="4"/>
      <c r="E68" s="50"/>
      <c r="F68" s="50"/>
      <c r="G68" s="50"/>
      <c r="H68" s="50"/>
      <c r="I68" s="50"/>
      <c r="J68" s="50"/>
      <c r="K68" s="51"/>
      <c r="L68" s="51"/>
      <c r="M68" s="51"/>
      <c r="N68" s="51"/>
      <c r="O68" s="51"/>
      <c r="P68" s="51"/>
      <c r="Q68" s="4"/>
      <c r="R68" s="4"/>
      <c r="S68" s="4"/>
      <c r="T68" s="4"/>
      <c r="U68" s="4"/>
      <c r="V68" s="4"/>
      <c r="W68" s="4"/>
      <c r="X68" s="4"/>
      <c r="Y68" s="4"/>
      <c r="Z68" s="4"/>
      <c r="AA68" s="4"/>
      <c r="AB68" s="4"/>
      <c r="AC68" s="4"/>
      <c r="AD68" s="4"/>
      <c r="AE68" s="4"/>
      <c r="AF68" s="4"/>
      <c r="AG68" s="4"/>
      <c r="AH68" s="4"/>
      <c r="AI68" s="4"/>
      <c r="AJ68" s="4"/>
      <c r="AK68" s="4"/>
      <c r="AL68" s="4"/>
      <c r="AM68" s="4"/>
      <c r="AN68" s="4"/>
      <c r="AO68" s="4"/>
      <c r="AP68" s="4"/>
      <c r="AQ68" s="4"/>
      <c r="AR68" s="4"/>
      <c r="AS68" s="4"/>
    </row>
    <row r="69" spans="1:45" ht="30" customHeight="1">
      <c r="A69" s="12"/>
      <c r="B69" s="4"/>
      <c r="C69" s="4"/>
      <c r="D69" s="4"/>
      <c r="E69" s="50"/>
      <c r="F69" s="50"/>
      <c r="G69" s="50"/>
      <c r="H69" s="50"/>
      <c r="I69" s="50"/>
      <c r="J69" s="50"/>
      <c r="K69" s="51"/>
      <c r="L69" s="51"/>
      <c r="M69" s="51"/>
      <c r="N69" s="51"/>
      <c r="O69" s="51"/>
      <c r="P69" s="51"/>
      <c r="Q69" s="4"/>
      <c r="R69" s="4"/>
      <c r="S69" s="4"/>
      <c r="T69" s="4"/>
      <c r="U69" s="4"/>
      <c r="V69" s="4"/>
      <c r="W69" s="4"/>
      <c r="X69" s="4"/>
      <c r="Y69" s="4"/>
      <c r="Z69" s="4"/>
      <c r="AA69" s="4"/>
      <c r="AB69" s="4"/>
      <c r="AC69" s="4"/>
      <c r="AD69" s="4"/>
      <c r="AE69" s="4"/>
      <c r="AF69" s="4"/>
      <c r="AG69" s="4"/>
      <c r="AH69" s="4"/>
      <c r="AI69" s="4"/>
      <c r="AJ69" s="4"/>
      <c r="AK69" s="4"/>
      <c r="AL69" s="4"/>
      <c r="AM69" s="4"/>
      <c r="AN69" s="4"/>
      <c r="AO69" s="4"/>
      <c r="AP69" s="4"/>
      <c r="AQ69" s="4"/>
    </row>
    <row r="70" spans="1:45" ht="30" customHeight="1">
      <c r="A70" s="12"/>
      <c r="B70" s="4"/>
      <c r="C70" s="4"/>
      <c r="D70" s="4"/>
      <c r="E70" s="50"/>
      <c r="F70" s="50"/>
      <c r="G70" s="50"/>
      <c r="H70" s="50"/>
      <c r="I70" s="50"/>
      <c r="J70" s="50"/>
      <c r="K70" s="51"/>
      <c r="L70" s="51"/>
      <c r="M70" s="51"/>
      <c r="N70" s="51"/>
      <c r="O70" s="51"/>
      <c r="P70" s="51"/>
      <c r="Q70" s="4"/>
      <c r="R70" s="4"/>
      <c r="S70" s="4"/>
      <c r="T70" s="4"/>
      <c r="U70" s="4"/>
      <c r="V70" s="4"/>
      <c r="W70" s="4"/>
      <c r="X70" s="4"/>
      <c r="Y70" s="4"/>
      <c r="Z70" s="4"/>
      <c r="AA70" s="4"/>
      <c r="AB70" s="4"/>
      <c r="AC70" s="4"/>
      <c r="AD70" s="4"/>
      <c r="AE70" s="4"/>
      <c r="AF70" s="4"/>
      <c r="AG70" s="4"/>
      <c r="AH70" s="4"/>
      <c r="AI70" s="4"/>
      <c r="AJ70" s="4"/>
      <c r="AK70" s="4"/>
      <c r="AL70" s="4"/>
      <c r="AM70" s="4"/>
      <c r="AN70" s="4"/>
      <c r="AO70" s="4"/>
      <c r="AP70" s="4"/>
      <c r="AQ70" s="4"/>
    </row>
    <row r="71" spans="1:45" ht="30" customHeight="1">
      <c r="A71" s="12"/>
      <c r="B71" s="4"/>
      <c r="C71" s="4"/>
      <c r="D71" s="4"/>
      <c r="E71" s="50"/>
      <c r="F71" s="50"/>
      <c r="G71" s="50"/>
      <c r="H71" s="50"/>
      <c r="I71" s="50"/>
      <c r="J71" s="50"/>
      <c r="K71" s="51"/>
      <c r="L71" s="51"/>
      <c r="M71" s="51"/>
      <c r="N71" s="51"/>
      <c r="O71" s="51"/>
      <c r="P71" s="51"/>
      <c r="Q71" s="4"/>
      <c r="R71" s="4"/>
      <c r="S71" s="4"/>
      <c r="T71" s="4"/>
      <c r="U71" s="4"/>
      <c r="V71" s="4"/>
      <c r="W71" s="4"/>
      <c r="X71" s="4"/>
      <c r="Y71" s="4"/>
      <c r="Z71" s="4"/>
      <c r="AA71" s="4"/>
      <c r="AB71" s="4"/>
      <c r="AC71" s="4"/>
      <c r="AD71" s="4"/>
      <c r="AE71" s="4"/>
      <c r="AF71" s="4"/>
      <c r="AG71" s="4"/>
      <c r="AH71" s="4"/>
      <c r="AI71" s="4"/>
      <c r="AJ71" s="4"/>
      <c r="AK71" s="4"/>
      <c r="AL71" s="4"/>
      <c r="AM71" s="4"/>
      <c r="AN71" s="4"/>
      <c r="AO71" s="4"/>
      <c r="AP71" s="4"/>
      <c r="AQ71" s="4"/>
    </row>
    <row r="72" spans="1:45" ht="30" customHeight="1">
      <c r="A72" s="12"/>
      <c r="B72" s="4"/>
      <c r="C72" s="4"/>
      <c r="D72" s="4"/>
      <c r="E72" s="50"/>
      <c r="F72" s="50"/>
      <c r="G72" s="50"/>
      <c r="H72" s="50"/>
      <c r="I72" s="50"/>
      <c r="J72" s="50"/>
      <c r="K72" s="51"/>
      <c r="L72" s="51"/>
      <c r="M72" s="51"/>
      <c r="N72" s="51"/>
      <c r="O72" s="51"/>
      <c r="P72" s="51"/>
      <c r="Q72" s="4"/>
      <c r="R72" s="4"/>
      <c r="S72" s="4"/>
      <c r="T72" s="4"/>
      <c r="U72" s="4"/>
      <c r="V72" s="4"/>
      <c r="W72" s="4"/>
      <c r="X72" s="4"/>
      <c r="Y72" s="4"/>
      <c r="Z72" s="4"/>
      <c r="AA72" s="4"/>
      <c r="AB72" s="4"/>
      <c r="AC72" s="4"/>
      <c r="AD72" s="4"/>
      <c r="AE72" s="4"/>
      <c r="AF72" s="4"/>
      <c r="AG72" s="4"/>
      <c r="AH72" s="4"/>
      <c r="AI72" s="4"/>
      <c r="AJ72" s="4"/>
      <c r="AK72" s="4"/>
      <c r="AL72" s="4"/>
      <c r="AM72" s="4"/>
      <c r="AN72" s="4"/>
      <c r="AO72" s="4"/>
      <c r="AP72" s="4"/>
      <c r="AQ72" s="4"/>
    </row>
    <row r="73" spans="1:45" ht="30" customHeight="1">
      <c r="A73" s="12"/>
      <c r="B73" s="4"/>
      <c r="C73" s="4"/>
      <c r="D73" s="4"/>
      <c r="E73" s="50"/>
      <c r="F73" s="50"/>
      <c r="G73" s="50"/>
      <c r="H73" s="50"/>
      <c r="I73" s="50"/>
      <c r="J73" s="50"/>
      <c r="K73" s="51"/>
      <c r="L73" s="51"/>
      <c r="M73" s="51"/>
      <c r="N73" s="51"/>
      <c r="O73" s="51"/>
      <c r="P73" s="51"/>
      <c r="Q73" s="4"/>
      <c r="R73" s="4"/>
      <c r="S73" s="4"/>
      <c r="T73" s="4"/>
      <c r="U73" s="4"/>
      <c r="V73" s="4"/>
      <c r="W73" s="4"/>
      <c r="X73" s="4"/>
      <c r="Y73" s="4"/>
      <c r="Z73" s="4"/>
      <c r="AA73" s="4"/>
      <c r="AB73" s="4"/>
      <c r="AC73" s="4"/>
      <c r="AD73" s="4"/>
      <c r="AE73" s="4"/>
      <c r="AF73" s="4"/>
      <c r="AG73" s="4"/>
      <c r="AH73" s="4"/>
      <c r="AI73" s="4"/>
      <c r="AJ73" s="4"/>
      <c r="AK73" s="4"/>
      <c r="AL73" s="4"/>
      <c r="AM73" s="4"/>
      <c r="AN73" s="4"/>
      <c r="AO73" s="4"/>
      <c r="AP73" s="4"/>
      <c r="AQ73" s="4"/>
    </row>
    <row r="74" spans="1:45" ht="30" customHeight="1">
      <c r="A74" s="12"/>
      <c r="B74" s="4"/>
      <c r="C74" s="4"/>
      <c r="D74" s="4"/>
      <c r="E74" s="50"/>
      <c r="F74" s="50"/>
      <c r="G74" s="50"/>
      <c r="H74" s="50"/>
      <c r="I74" s="50"/>
      <c r="J74" s="50"/>
      <c r="K74" s="51"/>
      <c r="L74" s="51"/>
      <c r="M74" s="51"/>
      <c r="N74" s="51"/>
      <c r="O74" s="51"/>
      <c r="P74" s="51"/>
      <c r="Q74" s="4"/>
      <c r="R74" s="4"/>
      <c r="S74" s="4"/>
      <c r="T74" s="4"/>
      <c r="U74" s="4"/>
      <c r="V74" s="4"/>
      <c r="W74" s="4"/>
      <c r="X74" s="4"/>
      <c r="Y74" s="4"/>
      <c r="Z74" s="4"/>
      <c r="AA74" s="4"/>
      <c r="AB74" s="4"/>
      <c r="AC74" s="4"/>
      <c r="AD74" s="4"/>
      <c r="AE74" s="4"/>
      <c r="AF74" s="4"/>
      <c r="AG74" s="4"/>
      <c r="AH74" s="4"/>
      <c r="AI74" s="4"/>
      <c r="AJ74" s="4"/>
      <c r="AK74" s="4"/>
      <c r="AL74" s="4"/>
      <c r="AM74" s="4"/>
      <c r="AN74" s="4"/>
      <c r="AO74" s="4"/>
      <c r="AP74" s="4"/>
      <c r="AQ74" s="4"/>
    </row>
    <row r="75" spans="1:45" ht="30" customHeight="1">
      <c r="A75" s="12"/>
      <c r="B75" s="4"/>
      <c r="C75" s="4"/>
      <c r="D75" s="4"/>
      <c r="E75" s="50"/>
      <c r="F75" s="50"/>
      <c r="G75" s="50"/>
      <c r="H75" s="50"/>
      <c r="I75" s="50"/>
      <c r="J75" s="50"/>
      <c r="K75" s="51"/>
      <c r="L75" s="51"/>
      <c r="M75" s="51"/>
      <c r="N75" s="51"/>
      <c r="O75" s="51"/>
      <c r="P75" s="51"/>
      <c r="Q75" s="4"/>
      <c r="R75" s="4"/>
      <c r="S75" s="4"/>
      <c r="T75" s="4"/>
      <c r="U75" s="4"/>
      <c r="V75" s="4"/>
      <c r="W75" s="4"/>
      <c r="X75" s="4"/>
      <c r="Y75" s="4"/>
      <c r="Z75" s="4"/>
      <c r="AA75" s="4"/>
      <c r="AB75" s="4"/>
      <c r="AC75" s="4"/>
      <c r="AD75" s="4"/>
      <c r="AE75" s="4"/>
      <c r="AF75" s="4"/>
      <c r="AG75" s="4"/>
      <c r="AH75" s="4"/>
      <c r="AI75" s="4"/>
      <c r="AJ75" s="4"/>
      <c r="AK75" s="4"/>
      <c r="AL75" s="4"/>
      <c r="AM75" s="4"/>
      <c r="AN75" s="4"/>
      <c r="AO75" s="4"/>
      <c r="AP75" s="4"/>
      <c r="AQ75" s="4"/>
    </row>
    <row r="76" spans="1:45" ht="30" customHeight="1">
      <c r="A76" s="12"/>
      <c r="B76" s="4"/>
      <c r="C76" s="4"/>
      <c r="D76" s="4"/>
      <c r="E76" s="50"/>
      <c r="F76" s="50"/>
      <c r="G76" s="50"/>
      <c r="H76" s="50"/>
      <c r="I76" s="50"/>
      <c r="J76" s="50"/>
      <c r="K76" s="51"/>
      <c r="L76" s="51"/>
      <c r="M76" s="51"/>
      <c r="N76" s="51"/>
      <c r="O76" s="51"/>
      <c r="P76" s="51"/>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row>
    <row r="77" spans="1:45" ht="30" customHeight="1">
      <c r="A77" s="12"/>
      <c r="B77" s="4"/>
      <c r="C77" s="4"/>
      <c r="D77" s="4"/>
      <c r="E77" s="50"/>
      <c r="F77" s="50"/>
      <c r="G77" s="50"/>
      <c r="H77" s="50"/>
      <c r="I77" s="50"/>
      <c r="J77" s="50"/>
      <c r="K77" s="51"/>
      <c r="L77" s="51"/>
      <c r="M77" s="51"/>
      <c r="N77" s="51"/>
      <c r="O77" s="51"/>
      <c r="P77" s="51"/>
      <c r="Q77" s="4"/>
      <c r="R77" s="4"/>
      <c r="S77" s="4"/>
      <c r="T77" s="4"/>
      <c r="U77" s="4"/>
      <c r="V77" s="4"/>
      <c r="W77" s="4"/>
      <c r="X77" s="4"/>
      <c r="Y77" s="4"/>
      <c r="Z77" s="4"/>
      <c r="AA77" s="4"/>
      <c r="AB77" s="4"/>
      <c r="AC77" s="4"/>
      <c r="AD77" s="4"/>
      <c r="AE77" s="4"/>
      <c r="AF77" s="4"/>
      <c r="AG77" s="4"/>
      <c r="AH77" s="4"/>
      <c r="AI77" s="4"/>
      <c r="AJ77" s="4"/>
      <c r="AK77" s="4"/>
      <c r="AL77" s="4"/>
      <c r="AM77" s="4"/>
      <c r="AN77" s="4"/>
      <c r="AO77" s="4"/>
      <c r="AP77" s="4"/>
      <c r="AQ77" s="4"/>
    </row>
    <row r="78" spans="1:45" ht="30" customHeight="1">
      <c r="A78" s="12"/>
      <c r="B78" s="4"/>
      <c r="C78" s="4"/>
      <c r="D78" s="4"/>
      <c r="E78" s="50"/>
      <c r="F78" s="50"/>
      <c r="G78" s="50"/>
      <c r="H78" s="50"/>
      <c r="I78" s="50"/>
      <c r="J78" s="50"/>
      <c r="K78" s="51"/>
      <c r="L78" s="51"/>
      <c r="M78" s="51"/>
      <c r="N78" s="51"/>
      <c r="O78" s="51"/>
      <c r="P78" s="51"/>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row>
    <row r="79" spans="1:45" ht="30" customHeight="1">
      <c r="A79" s="12"/>
      <c r="B79" s="4"/>
      <c r="C79" s="4"/>
      <c r="D79" s="4"/>
      <c r="E79" s="50"/>
      <c r="F79" s="50"/>
      <c r="G79" s="50"/>
      <c r="H79" s="50"/>
      <c r="I79" s="50"/>
      <c r="J79" s="50"/>
      <c r="K79" s="51"/>
      <c r="L79" s="51"/>
      <c r="M79" s="51"/>
      <c r="N79" s="51"/>
      <c r="O79" s="51"/>
      <c r="P79" s="51"/>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row>
    <row r="80" spans="1:45" ht="30" customHeight="1">
      <c r="A80" s="12"/>
      <c r="B80" s="4"/>
      <c r="C80" s="4"/>
      <c r="D80" s="4"/>
      <c r="E80" s="50"/>
      <c r="F80" s="50"/>
      <c r="G80" s="50"/>
      <c r="H80" s="50"/>
      <c r="I80" s="50"/>
      <c r="J80" s="50"/>
      <c r="K80" s="51"/>
      <c r="L80" s="51"/>
      <c r="M80" s="51"/>
      <c r="N80" s="51"/>
      <c r="O80" s="51"/>
      <c r="P80" s="51"/>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row>
    <row r="81" spans="1:43" ht="30" customHeight="1">
      <c r="A81" s="12"/>
      <c r="B81" s="4"/>
      <c r="C81" s="4"/>
      <c r="D81" s="4"/>
      <c r="E81" s="50"/>
      <c r="F81" s="50"/>
      <c r="G81" s="50"/>
      <c r="H81" s="50"/>
      <c r="I81" s="50"/>
      <c r="J81" s="50"/>
      <c r="K81" s="51"/>
      <c r="L81" s="51"/>
      <c r="M81" s="51"/>
      <c r="N81" s="51"/>
      <c r="O81" s="51"/>
      <c r="P81" s="51"/>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row>
    <row r="82" spans="1:43" ht="30" customHeight="1">
      <c r="A82" s="12"/>
      <c r="B82" s="4"/>
      <c r="C82" s="4"/>
      <c r="D82" s="4"/>
      <c r="E82" s="50"/>
      <c r="F82" s="50"/>
      <c r="G82" s="50"/>
      <c r="H82" s="50"/>
      <c r="I82" s="50"/>
      <c r="J82" s="50"/>
      <c r="K82" s="51"/>
      <c r="L82" s="51"/>
      <c r="M82" s="51"/>
      <c r="N82" s="51"/>
      <c r="O82" s="51"/>
      <c r="P82" s="51"/>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spans="1:43" ht="30" customHeight="1">
      <c r="A83" s="12"/>
      <c r="B83" s="4"/>
      <c r="C83" s="4"/>
      <c r="D83" s="4"/>
      <c r="E83" s="50"/>
      <c r="F83" s="50"/>
      <c r="G83" s="50"/>
      <c r="H83" s="50"/>
      <c r="I83" s="50"/>
      <c r="J83" s="50"/>
      <c r="K83" s="51"/>
      <c r="L83" s="51"/>
      <c r="M83" s="51"/>
      <c r="N83" s="51"/>
      <c r="O83" s="51"/>
      <c r="P83" s="51"/>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spans="1:43" ht="30" customHeight="1">
      <c r="A84" s="12"/>
      <c r="B84" s="4"/>
      <c r="C84" s="4"/>
      <c r="D84" s="4"/>
      <c r="E84" s="50"/>
      <c r="F84" s="50"/>
      <c r="G84" s="50"/>
      <c r="H84" s="50"/>
      <c r="I84" s="50"/>
      <c r="J84" s="50"/>
      <c r="K84" s="51"/>
      <c r="L84" s="51"/>
      <c r="M84" s="51"/>
      <c r="N84" s="51"/>
      <c r="O84" s="51"/>
      <c r="P84" s="51"/>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spans="1:43" ht="30" customHeight="1">
      <c r="A85" s="12"/>
      <c r="B85" s="4"/>
      <c r="C85" s="4"/>
      <c r="D85" s="4"/>
      <c r="E85" s="50"/>
      <c r="F85" s="50"/>
      <c r="G85" s="50"/>
      <c r="H85" s="50"/>
      <c r="I85" s="50"/>
      <c r="J85" s="50"/>
      <c r="K85" s="51"/>
      <c r="L85" s="51"/>
      <c r="M85" s="51"/>
      <c r="N85" s="51"/>
      <c r="O85" s="51"/>
      <c r="P85" s="51"/>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spans="1:43" ht="30" customHeight="1">
      <c r="A86" s="12"/>
      <c r="B86" s="4"/>
      <c r="C86" s="4"/>
      <c r="D86" s="4"/>
      <c r="E86" s="50"/>
      <c r="F86" s="50"/>
      <c r="G86" s="50"/>
      <c r="H86" s="50"/>
      <c r="I86" s="50"/>
      <c r="J86" s="50"/>
      <c r="K86" s="51"/>
      <c r="L86" s="51"/>
      <c r="M86" s="51"/>
      <c r="N86" s="51"/>
      <c r="O86" s="51"/>
      <c r="P86" s="51"/>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1:43" ht="30" customHeight="1">
      <c r="A87" s="12"/>
      <c r="B87" s="4"/>
      <c r="C87" s="4"/>
      <c r="D87" s="4"/>
      <c r="E87" s="50"/>
      <c r="F87" s="50"/>
      <c r="G87" s="50"/>
      <c r="H87" s="50"/>
      <c r="I87" s="50"/>
      <c r="J87" s="50"/>
      <c r="K87" s="51"/>
      <c r="L87" s="51"/>
      <c r="M87" s="51"/>
      <c r="N87" s="51"/>
      <c r="O87" s="51"/>
      <c r="P87" s="51"/>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spans="1:43" ht="30" customHeight="1">
      <c r="A88" s="12"/>
      <c r="B88" s="4"/>
      <c r="C88" s="4"/>
      <c r="D88" s="4"/>
      <c r="E88" s="50"/>
      <c r="F88" s="50"/>
      <c r="G88" s="50"/>
      <c r="H88" s="50"/>
      <c r="I88" s="50"/>
      <c r="J88" s="50"/>
      <c r="K88" s="51"/>
      <c r="L88" s="51"/>
      <c r="M88" s="51"/>
      <c r="N88" s="51"/>
      <c r="O88" s="51"/>
      <c r="P88" s="51"/>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spans="1:43" ht="30" customHeight="1">
      <c r="A89" s="12"/>
      <c r="B89" s="4"/>
      <c r="C89" s="4"/>
      <c r="D89" s="4"/>
      <c r="E89" s="50"/>
      <c r="F89" s="50"/>
      <c r="G89" s="50"/>
      <c r="H89" s="50"/>
      <c r="I89" s="50"/>
      <c r="J89" s="50"/>
      <c r="K89" s="51"/>
      <c r="L89" s="51"/>
      <c r="M89" s="51"/>
      <c r="N89" s="51"/>
      <c r="O89" s="51"/>
      <c r="P89" s="51"/>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spans="1:43" ht="30" customHeight="1">
      <c r="A90" s="12"/>
      <c r="B90" s="4"/>
      <c r="C90" s="4"/>
      <c r="D90" s="4"/>
      <c r="E90" s="50"/>
      <c r="F90" s="50"/>
      <c r="G90" s="50"/>
      <c r="H90" s="50"/>
      <c r="I90" s="50"/>
      <c r="J90" s="50"/>
      <c r="K90" s="51"/>
      <c r="L90" s="51"/>
      <c r="M90" s="51"/>
      <c r="N90" s="51"/>
      <c r="O90" s="51"/>
      <c r="P90" s="51"/>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spans="1:43" ht="30" customHeight="1">
      <c r="A91" s="12"/>
      <c r="B91" s="4"/>
      <c r="C91" s="4"/>
      <c r="D91" s="4"/>
      <c r="E91" s="50"/>
      <c r="F91" s="50"/>
      <c r="G91" s="50"/>
      <c r="H91" s="50"/>
      <c r="I91" s="50"/>
      <c r="J91" s="50"/>
      <c r="K91" s="51"/>
      <c r="L91" s="51"/>
      <c r="M91" s="51"/>
      <c r="N91" s="51"/>
      <c r="O91" s="51"/>
      <c r="P91" s="51"/>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1:43" ht="30" customHeight="1">
      <c r="A92" s="12"/>
      <c r="B92" s="4"/>
      <c r="C92" s="4"/>
      <c r="D92" s="4"/>
      <c r="E92" s="50"/>
      <c r="F92" s="50"/>
      <c r="G92" s="50"/>
      <c r="H92" s="50"/>
      <c r="I92" s="50"/>
      <c r="J92" s="50"/>
      <c r="K92" s="51"/>
      <c r="L92" s="51"/>
      <c r="M92" s="51"/>
      <c r="N92" s="51"/>
      <c r="O92" s="51"/>
      <c r="P92" s="51"/>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1:43" ht="30" customHeight="1">
      <c r="A93" s="12"/>
      <c r="B93" s="4"/>
      <c r="C93" s="4"/>
      <c r="D93" s="4"/>
      <c r="E93" s="50"/>
      <c r="F93" s="50"/>
      <c r="G93" s="50"/>
      <c r="H93" s="50"/>
      <c r="I93" s="50"/>
      <c r="J93" s="50"/>
      <c r="K93" s="51"/>
      <c r="L93" s="51"/>
      <c r="M93" s="51"/>
      <c r="N93" s="51"/>
      <c r="O93" s="51"/>
      <c r="P93" s="51"/>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spans="1:43" ht="30" customHeight="1">
      <c r="A94" s="12"/>
      <c r="B94" s="4"/>
      <c r="C94" s="4"/>
      <c r="D94" s="4"/>
      <c r="E94" s="50"/>
      <c r="F94" s="50"/>
      <c r="G94" s="50"/>
      <c r="H94" s="50"/>
      <c r="I94" s="50"/>
      <c r="J94" s="50"/>
      <c r="K94" s="51"/>
      <c r="L94" s="51"/>
      <c r="M94" s="51"/>
      <c r="N94" s="51"/>
      <c r="O94" s="51"/>
      <c r="P94" s="51"/>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1:43" ht="30" customHeight="1">
      <c r="A95" s="12"/>
      <c r="B95" s="4"/>
      <c r="C95" s="4"/>
      <c r="D95" s="4"/>
      <c r="E95" s="50"/>
      <c r="F95" s="50"/>
      <c r="G95" s="50"/>
      <c r="H95" s="50"/>
      <c r="I95" s="50"/>
      <c r="J95" s="50"/>
      <c r="K95" s="51"/>
      <c r="L95" s="51"/>
      <c r="M95" s="51"/>
      <c r="N95" s="51"/>
      <c r="O95" s="51"/>
      <c r="P95" s="51"/>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1:43" ht="30" customHeight="1">
      <c r="A96" s="12"/>
      <c r="B96" s="4"/>
      <c r="C96" s="4"/>
      <c r="D96" s="4"/>
      <c r="E96" s="50"/>
      <c r="F96" s="50"/>
      <c r="G96" s="50"/>
      <c r="H96" s="50"/>
      <c r="I96" s="50"/>
      <c r="J96" s="50"/>
      <c r="K96" s="51"/>
      <c r="L96" s="51"/>
      <c r="M96" s="51"/>
      <c r="N96" s="51"/>
      <c r="O96" s="51"/>
      <c r="P96" s="51"/>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1:43" ht="30" customHeight="1">
      <c r="A97" s="12"/>
      <c r="B97" s="4"/>
      <c r="C97" s="4"/>
      <c r="D97" s="4"/>
      <c r="E97" s="50"/>
      <c r="F97" s="50"/>
      <c r="G97" s="50"/>
      <c r="H97" s="50"/>
      <c r="I97" s="50"/>
      <c r="J97" s="50"/>
      <c r="K97" s="51"/>
      <c r="L97" s="51"/>
      <c r="M97" s="51"/>
      <c r="N97" s="51"/>
      <c r="O97" s="51"/>
      <c r="P97" s="51"/>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row>
    <row r="98" spans="1:43" ht="30" customHeight="1">
      <c r="A98" s="12"/>
      <c r="B98" s="4"/>
      <c r="C98" s="4"/>
      <c r="D98" s="4"/>
      <c r="E98" s="50"/>
      <c r="F98" s="50"/>
      <c r="G98" s="50"/>
      <c r="H98" s="50"/>
      <c r="I98" s="50"/>
      <c r="J98" s="50"/>
      <c r="K98" s="51"/>
      <c r="L98" s="51"/>
      <c r="M98" s="51"/>
      <c r="N98" s="51"/>
      <c r="O98" s="51"/>
      <c r="P98" s="51"/>
      <c r="Q98" s="4"/>
      <c r="R98" s="4"/>
      <c r="S98" s="4"/>
      <c r="T98" s="4"/>
      <c r="U98" s="4"/>
      <c r="V98" s="4"/>
      <c r="W98" s="4"/>
      <c r="X98" s="4"/>
      <c r="Y98" s="4"/>
      <c r="Z98" s="4"/>
      <c r="AA98" s="4"/>
      <c r="AB98" s="4"/>
      <c r="AC98" s="4"/>
      <c r="AD98" s="4"/>
      <c r="AE98" s="4"/>
      <c r="AF98" s="4"/>
      <c r="AG98" s="4"/>
      <c r="AH98" s="4"/>
      <c r="AI98" s="4"/>
      <c r="AJ98" s="4"/>
      <c r="AK98" s="4"/>
      <c r="AL98" s="4"/>
      <c r="AM98" s="4"/>
      <c r="AN98" s="4"/>
      <c r="AO98" s="4"/>
      <c r="AP98" s="4"/>
      <c r="AQ98" s="4"/>
    </row>
    <row r="99" spans="1:43" ht="30" customHeight="1">
      <c r="A99" s="12"/>
      <c r="B99" s="4"/>
      <c r="C99" s="4"/>
      <c r="D99" s="4"/>
      <c r="E99" s="50"/>
      <c r="F99" s="50"/>
      <c r="G99" s="50"/>
      <c r="H99" s="50"/>
      <c r="I99" s="50"/>
      <c r="J99" s="50"/>
      <c r="K99" s="51"/>
      <c r="L99" s="51"/>
      <c r="M99" s="51"/>
      <c r="N99" s="51"/>
      <c r="O99" s="51"/>
      <c r="P99" s="51"/>
      <c r="Q99" s="4"/>
      <c r="R99" s="4"/>
      <c r="S99" s="4"/>
      <c r="T99" s="4"/>
      <c r="U99" s="4"/>
      <c r="V99" s="4"/>
      <c r="W99" s="4"/>
      <c r="X99" s="4"/>
      <c r="Y99" s="4"/>
      <c r="Z99" s="4"/>
      <c r="AA99" s="4"/>
      <c r="AB99" s="4"/>
      <c r="AC99" s="4"/>
      <c r="AD99" s="4"/>
      <c r="AE99" s="4"/>
      <c r="AF99" s="4"/>
      <c r="AG99" s="4"/>
      <c r="AH99" s="4"/>
      <c r="AI99" s="4"/>
      <c r="AJ99" s="4"/>
      <c r="AK99" s="4"/>
      <c r="AL99" s="4"/>
      <c r="AM99" s="4"/>
      <c r="AN99" s="4"/>
      <c r="AO99" s="4"/>
      <c r="AP99" s="4"/>
      <c r="AQ99" s="4"/>
    </row>
    <row r="100" spans="1:43" ht="30" customHeight="1">
      <c r="A100" s="12"/>
      <c r="B100" s="4"/>
      <c r="C100" s="4"/>
      <c r="D100" s="4"/>
      <c r="E100" s="50"/>
      <c r="F100" s="50"/>
      <c r="G100" s="50"/>
      <c r="H100" s="50"/>
      <c r="I100" s="50"/>
      <c r="J100" s="50"/>
      <c r="K100" s="51"/>
      <c r="L100" s="51"/>
      <c r="M100" s="51"/>
      <c r="N100" s="51"/>
      <c r="O100" s="51"/>
      <c r="P100" s="51"/>
      <c r="Q100" s="4"/>
      <c r="R100" s="4"/>
      <c r="S100" s="4"/>
      <c r="T100" s="4"/>
      <c r="U100" s="4"/>
      <c r="V100" s="4"/>
      <c r="W100" s="4"/>
      <c r="X100" s="4"/>
      <c r="Y100" s="4"/>
      <c r="Z100" s="4"/>
      <c r="AA100" s="4"/>
      <c r="AB100" s="4"/>
      <c r="AC100" s="4"/>
      <c r="AD100" s="4"/>
      <c r="AE100" s="4"/>
      <c r="AF100" s="4"/>
      <c r="AG100" s="4"/>
      <c r="AH100" s="4"/>
      <c r="AI100" s="4"/>
      <c r="AJ100" s="4"/>
      <c r="AK100" s="4"/>
      <c r="AL100" s="4"/>
      <c r="AM100" s="4"/>
      <c r="AN100" s="4"/>
      <c r="AO100" s="4"/>
      <c r="AP100" s="4"/>
      <c r="AQ100" s="4"/>
    </row>
    <row r="101" spans="1:43" ht="30" customHeight="1">
      <c r="A101" s="12"/>
      <c r="B101" s="4"/>
      <c r="C101" s="4"/>
      <c r="D101" s="4"/>
      <c r="E101" s="50"/>
      <c r="F101" s="50"/>
      <c r="G101" s="50"/>
      <c r="H101" s="50"/>
      <c r="I101" s="50"/>
      <c r="J101" s="50"/>
      <c r="K101" s="51"/>
      <c r="L101" s="51"/>
      <c r="M101" s="51"/>
      <c r="N101" s="51"/>
      <c r="O101" s="51"/>
      <c r="P101" s="51"/>
      <c r="Q101" s="4"/>
      <c r="R101" s="4"/>
      <c r="S101" s="4"/>
      <c r="T101" s="4"/>
      <c r="U101" s="4"/>
      <c r="V101" s="4"/>
      <c r="W101" s="4"/>
      <c r="X101" s="4"/>
      <c r="Y101" s="4"/>
      <c r="Z101" s="4"/>
      <c r="AA101" s="4"/>
      <c r="AB101" s="4"/>
      <c r="AC101" s="4"/>
      <c r="AD101" s="4"/>
      <c r="AE101" s="4"/>
      <c r="AF101" s="4"/>
      <c r="AG101" s="4"/>
      <c r="AH101" s="4"/>
      <c r="AI101" s="4"/>
      <c r="AJ101" s="4"/>
      <c r="AK101" s="4"/>
      <c r="AL101" s="4"/>
      <c r="AM101" s="4"/>
      <c r="AN101" s="4"/>
      <c r="AO101" s="4"/>
      <c r="AP101" s="4"/>
      <c r="AQ101" s="4"/>
    </row>
    <row r="102" spans="1:43" ht="30" customHeight="1">
      <c r="A102" s="12"/>
      <c r="B102" s="4"/>
      <c r="C102" s="4"/>
      <c r="D102" s="4"/>
      <c r="E102" s="50"/>
      <c r="F102" s="50"/>
      <c r="G102" s="50"/>
      <c r="H102" s="50"/>
      <c r="I102" s="50"/>
      <c r="J102" s="50"/>
      <c r="K102" s="51"/>
      <c r="L102" s="51"/>
      <c r="M102" s="51"/>
      <c r="N102" s="51"/>
      <c r="O102" s="51"/>
      <c r="P102" s="51"/>
      <c r="Q102" s="4"/>
      <c r="R102" s="4"/>
      <c r="S102" s="4"/>
      <c r="T102" s="4"/>
      <c r="U102" s="4"/>
      <c r="V102" s="4"/>
      <c r="W102" s="4"/>
      <c r="X102" s="4"/>
      <c r="Y102" s="4"/>
      <c r="Z102" s="4"/>
      <c r="AA102" s="4"/>
      <c r="AB102" s="4"/>
      <c r="AC102" s="4"/>
      <c r="AD102" s="4"/>
      <c r="AE102" s="4"/>
      <c r="AF102" s="4"/>
      <c r="AG102" s="4"/>
      <c r="AH102" s="4"/>
      <c r="AI102" s="4"/>
      <c r="AJ102" s="4"/>
      <c r="AK102" s="4"/>
      <c r="AL102" s="4"/>
      <c r="AM102" s="4"/>
      <c r="AN102" s="4"/>
      <c r="AO102" s="4"/>
      <c r="AP102" s="4"/>
      <c r="AQ102" s="4"/>
    </row>
    <row r="103" spans="1:43" ht="30" customHeight="1">
      <c r="A103" s="12"/>
      <c r="B103" s="4"/>
      <c r="C103" s="4"/>
      <c r="D103" s="4"/>
      <c r="E103" s="50"/>
      <c r="F103" s="50"/>
      <c r="G103" s="50"/>
      <c r="H103" s="50"/>
      <c r="I103" s="50"/>
      <c r="J103" s="50"/>
      <c r="K103" s="51"/>
      <c r="L103" s="51"/>
      <c r="M103" s="51"/>
      <c r="N103" s="51"/>
      <c r="O103" s="51"/>
      <c r="P103" s="51"/>
      <c r="Q103" s="4"/>
      <c r="R103" s="4"/>
      <c r="S103" s="4"/>
      <c r="T103" s="4"/>
      <c r="U103" s="4"/>
      <c r="V103" s="4"/>
      <c r="W103" s="4"/>
      <c r="X103" s="4"/>
      <c r="Y103" s="4"/>
      <c r="Z103" s="4"/>
      <c r="AA103" s="4"/>
      <c r="AB103" s="4"/>
      <c r="AC103" s="4"/>
      <c r="AD103" s="4"/>
      <c r="AE103" s="4"/>
      <c r="AF103" s="4"/>
      <c r="AG103" s="4"/>
      <c r="AH103" s="4"/>
      <c r="AI103" s="4"/>
      <c r="AJ103" s="4"/>
      <c r="AK103" s="4"/>
      <c r="AL103" s="4"/>
      <c r="AM103" s="4"/>
      <c r="AN103" s="4"/>
      <c r="AO103" s="4"/>
      <c r="AP103" s="4"/>
      <c r="AQ103" s="4"/>
    </row>
    <row r="104" spans="1:43" ht="30" customHeight="1">
      <c r="A104" s="12"/>
      <c r="B104" s="4"/>
      <c r="C104" s="4"/>
      <c r="D104" s="4"/>
      <c r="E104" s="50"/>
      <c r="F104" s="50"/>
      <c r="G104" s="50"/>
      <c r="H104" s="50"/>
      <c r="I104" s="50"/>
      <c r="J104" s="50"/>
      <c r="K104" s="51"/>
      <c r="L104" s="51"/>
      <c r="M104" s="51"/>
      <c r="N104" s="51"/>
      <c r="O104" s="51"/>
      <c r="P104" s="51"/>
      <c r="Q104" s="4"/>
      <c r="R104" s="4"/>
      <c r="S104" s="4"/>
      <c r="T104" s="4"/>
      <c r="U104" s="4"/>
      <c r="V104" s="4"/>
      <c r="W104" s="4"/>
      <c r="X104" s="4"/>
      <c r="Y104" s="4"/>
      <c r="Z104" s="4"/>
      <c r="AA104" s="4"/>
      <c r="AB104" s="4"/>
      <c r="AC104" s="4"/>
      <c r="AD104" s="4"/>
      <c r="AE104" s="4"/>
      <c r="AF104" s="4"/>
      <c r="AG104" s="4"/>
      <c r="AH104" s="4"/>
      <c r="AI104" s="4"/>
      <c r="AJ104" s="4"/>
      <c r="AK104" s="4"/>
      <c r="AL104" s="4"/>
      <c r="AM104" s="4"/>
      <c r="AN104" s="4"/>
      <c r="AO104" s="4"/>
      <c r="AP104" s="4"/>
      <c r="AQ104" s="4"/>
    </row>
    <row r="105" spans="1:43" ht="30" customHeight="1">
      <c r="A105" s="12"/>
      <c r="B105" s="4"/>
      <c r="C105" s="4"/>
      <c r="D105" s="4"/>
      <c r="E105" s="50"/>
      <c r="F105" s="50"/>
      <c r="G105" s="50"/>
      <c r="H105" s="50"/>
      <c r="I105" s="50"/>
      <c r="J105" s="50"/>
      <c r="K105" s="51"/>
      <c r="L105" s="51"/>
      <c r="M105" s="51"/>
      <c r="N105" s="51"/>
      <c r="O105" s="51"/>
      <c r="P105" s="51"/>
      <c r="Q105" s="4"/>
      <c r="R105" s="4"/>
      <c r="S105" s="4"/>
      <c r="T105" s="4"/>
      <c r="U105" s="4"/>
      <c r="V105" s="4"/>
      <c r="W105" s="4"/>
      <c r="X105" s="4"/>
      <c r="Y105" s="4"/>
      <c r="Z105" s="4"/>
      <c r="AA105" s="4"/>
      <c r="AB105" s="4"/>
      <c r="AC105" s="4"/>
      <c r="AD105" s="4"/>
      <c r="AE105" s="4"/>
      <c r="AF105" s="4"/>
      <c r="AG105" s="4"/>
      <c r="AH105" s="4"/>
      <c r="AI105" s="4"/>
      <c r="AJ105" s="4"/>
      <c r="AK105" s="4"/>
      <c r="AL105" s="4"/>
      <c r="AM105" s="4"/>
      <c r="AN105" s="4"/>
      <c r="AO105" s="4"/>
      <c r="AP105" s="4"/>
      <c r="AQ105" s="4"/>
    </row>
    <row r="106" spans="1:43" ht="30" customHeight="1">
      <c r="A106" s="12"/>
      <c r="B106" s="4"/>
      <c r="C106" s="4"/>
      <c r="D106" s="4"/>
      <c r="E106" s="50"/>
      <c r="F106" s="50"/>
      <c r="G106" s="50"/>
      <c r="H106" s="50"/>
      <c r="I106" s="50"/>
      <c r="J106" s="50"/>
      <c r="K106" s="51"/>
      <c r="L106" s="51"/>
      <c r="M106" s="51"/>
      <c r="N106" s="51"/>
      <c r="O106" s="51"/>
      <c r="P106" s="51"/>
      <c r="Q106" s="4"/>
      <c r="R106" s="4"/>
      <c r="S106" s="4"/>
      <c r="T106" s="4"/>
      <c r="U106" s="4"/>
      <c r="V106" s="4"/>
      <c r="W106" s="4"/>
      <c r="X106" s="4"/>
      <c r="Y106" s="4"/>
      <c r="Z106" s="4"/>
      <c r="AA106" s="4"/>
      <c r="AB106" s="4"/>
      <c r="AC106" s="4"/>
      <c r="AD106" s="4"/>
      <c r="AE106" s="4"/>
      <c r="AF106" s="4"/>
      <c r="AG106" s="4"/>
      <c r="AH106" s="4"/>
      <c r="AI106" s="4"/>
      <c r="AJ106" s="4"/>
      <c r="AK106" s="4"/>
      <c r="AL106" s="4"/>
      <c r="AM106" s="4"/>
      <c r="AN106" s="4"/>
      <c r="AO106" s="4"/>
      <c r="AP106" s="4"/>
      <c r="AQ106" s="4"/>
    </row>
    <row r="107" spans="1:43" ht="30" customHeight="1">
      <c r="A107" s="12"/>
      <c r="B107" s="4"/>
      <c r="C107" s="4"/>
      <c r="D107" s="4"/>
      <c r="E107" s="50"/>
      <c r="F107" s="50"/>
      <c r="G107" s="50"/>
      <c r="H107" s="50"/>
      <c r="I107" s="50"/>
      <c r="J107" s="50"/>
      <c r="K107" s="51"/>
      <c r="L107" s="51"/>
      <c r="M107" s="51"/>
      <c r="N107" s="51"/>
      <c r="O107" s="51"/>
      <c r="P107" s="51"/>
      <c r="Q107" s="4"/>
      <c r="R107" s="4"/>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row>
    <row r="108" spans="1:43" ht="30" customHeight="1">
      <c r="A108" s="12"/>
      <c r="B108" s="4"/>
      <c r="C108" s="4"/>
      <c r="D108" s="4"/>
      <c r="E108" s="50"/>
      <c r="F108" s="50"/>
      <c r="G108" s="50"/>
      <c r="H108" s="50"/>
      <c r="I108" s="50"/>
      <c r="J108" s="50"/>
      <c r="K108" s="51"/>
      <c r="L108" s="51"/>
      <c r="M108" s="51"/>
      <c r="N108" s="51"/>
      <c r="O108" s="51"/>
      <c r="P108" s="51"/>
      <c r="Q108" s="4"/>
      <c r="R108" s="4"/>
      <c r="S108" s="4"/>
      <c r="T108" s="4"/>
      <c r="U108" s="4"/>
      <c r="V108" s="4"/>
      <c r="W108" s="4"/>
      <c r="X108" s="4"/>
      <c r="Y108" s="4"/>
      <c r="Z108" s="4"/>
      <c r="AA108" s="4"/>
      <c r="AB108" s="4"/>
      <c r="AC108" s="4"/>
      <c r="AD108" s="4"/>
      <c r="AE108" s="4"/>
      <c r="AF108" s="4"/>
      <c r="AG108" s="4"/>
      <c r="AH108" s="4"/>
      <c r="AI108" s="4"/>
      <c r="AJ108" s="4"/>
      <c r="AK108" s="4"/>
      <c r="AL108" s="4"/>
      <c r="AM108" s="4"/>
      <c r="AN108" s="4"/>
      <c r="AO108" s="4"/>
      <c r="AP108" s="4"/>
      <c r="AQ108" s="4"/>
    </row>
    <row r="109" spans="1:43" ht="30" customHeight="1">
      <c r="A109" s="12"/>
      <c r="B109" s="4"/>
      <c r="C109" s="4"/>
      <c r="D109" s="4"/>
      <c r="E109" s="50"/>
      <c r="F109" s="50"/>
      <c r="G109" s="50"/>
      <c r="H109" s="50"/>
      <c r="I109" s="50"/>
      <c r="J109" s="50"/>
      <c r="K109" s="51"/>
      <c r="L109" s="51"/>
      <c r="M109" s="51"/>
      <c r="N109" s="51"/>
      <c r="O109" s="51"/>
      <c r="P109" s="51"/>
      <c r="Q109" s="4"/>
      <c r="R109" s="4"/>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row>
    <row r="110" spans="1:43" ht="30" customHeight="1">
      <c r="A110" s="12"/>
      <c r="B110" s="4"/>
      <c r="C110" s="4"/>
      <c r="D110" s="4"/>
      <c r="E110" s="50"/>
      <c r="F110" s="50"/>
      <c r="G110" s="50"/>
      <c r="H110" s="50"/>
      <c r="I110" s="50"/>
      <c r="J110" s="50"/>
      <c r="K110" s="51"/>
      <c r="L110" s="51"/>
      <c r="M110" s="51"/>
      <c r="N110" s="51"/>
      <c r="O110" s="51"/>
      <c r="P110" s="51"/>
      <c r="Q110" s="4"/>
      <c r="R110" s="4"/>
      <c r="S110" s="4"/>
      <c r="T110" s="4"/>
      <c r="U110" s="4"/>
      <c r="V110" s="4"/>
      <c r="W110" s="4"/>
      <c r="X110" s="4"/>
      <c r="Y110" s="4"/>
      <c r="Z110" s="4"/>
      <c r="AA110" s="4"/>
      <c r="AB110" s="4"/>
      <c r="AC110" s="4"/>
      <c r="AD110" s="4"/>
      <c r="AE110" s="4"/>
      <c r="AF110" s="4"/>
      <c r="AG110" s="4"/>
      <c r="AH110" s="4"/>
      <c r="AI110" s="4"/>
      <c r="AJ110" s="4"/>
      <c r="AK110" s="4"/>
      <c r="AL110" s="4"/>
      <c r="AM110" s="4"/>
      <c r="AN110" s="4"/>
      <c r="AO110" s="4"/>
      <c r="AP110" s="4"/>
      <c r="AQ110" s="4"/>
    </row>
    <row r="111" spans="1:43" ht="30" customHeight="1">
      <c r="A111" s="12"/>
      <c r="B111" s="4"/>
      <c r="C111" s="4"/>
      <c r="D111" s="4"/>
      <c r="E111" s="50"/>
      <c r="F111" s="50"/>
      <c r="G111" s="50"/>
      <c r="H111" s="50"/>
      <c r="I111" s="50"/>
      <c r="J111" s="50"/>
      <c r="K111" s="51"/>
      <c r="L111" s="51"/>
      <c r="M111" s="51"/>
      <c r="N111" s="51"/>
      <c r="O111" s="51"/>
      <c r="P111" s="51"/>
      <c r="Q111" s="4"/>
      <c r="R111" s="4"/>
      <c r="S111" s="4"/>
      <c r="T111" s="4"/>
      <c r="U111" s="4"/>
      <c r="V111" s="4"/>
      <c r="W111" s="4"/>
      <c r="X111" s="4"/>
      <c r="Y111" s="4"/>
      <c r="Z111" s="4"/>
      <c r="AA111" s="4"/>
      <c r="AB111" s="4"/>
      <c r="AC111" s="4"/>
      <c r="AD111" s="4"/>
      <c r="AE111" s="4"/>
      <c r="AF111" s="4"/>
      <c r="AG111" s="4"/>
      <c r="AH111" s="4"/>
      <c r="AI111" s="4"/>
      <c r="AJ111" s="4"/>
      <c r="AK111" s="4"/>
      <c r="AL111" s="4"/>
      <c r="AM111" s="4"/>
      <c r="AN111" s="4"/>
      <c r="AO111" s="4"/>
      <c r="AP111" s="4"/>
      <c r="AQ111" s="4"/>
    </row>
    <row r="112" spans="1:43" ht="30" customHeight="1">
      <c r="A112" s="12"/>
      <c r="B112" s="4"/>
      <c r="C112" s="4"/>
      <c r="D112" s="4"/>
      <c r="E112" s="50"/>
      <c r="F112" s="50"/>
      <c r="G112" s="50"/>
      <c r="H112" s="50"/>
      <c r="I112" s="50"/>
      <c r="J112" s="50"/>
      <c r="K112" s="51"/>
      <c r="L112" s="51"/>
      <c r="M112" s="51"/>
      <c r="N112" s="51"/>
      <c r="O112" s="51"/>
      <c r="P112" s="51"/>
      <c r="Q112" s="4"/>
      <c r="R112" s="4"/>
      <c r="S112" s="4"/>
      <c r="T112" s="4"/>
      <c r="U112" s="4"/>
      <c r="V112" s="4"/>
      <c r="W112" s="4"/>
      <c r="X112" s="4"/>
      <c r="Y112" s="4"/>
      <c r="Z112" s="4"/>
      <c r="AA112" s="4"/>
      <c r="AB112" s="4"/>
      <c r="AC112" s="4"/>
      <c r="AD112" s="4"/>
      <c r="AE112" s="4"/>
      <c r="AF112" s="4"/>
      <c r="AG112" s="4"/>
      <c r="AH112" s="4"/>
      <c r="AI112" s="4"/>
      <c r="AJ112" s="4"/>
      <c r="AK112" s="4"/>
      <c r="AL112" s="4"/>
      <c r="AM112" s="4"/>
      <c r="AN112" s="4"/>
      <c r="AO112" s="4"/>
      <c r="AP112" s="4"/>
      <c r="AQ112" s="4"/>
    </row>
    <row r="113" spans="1:43" ht="30" customHeight="1">
      <c r="A113" s="12"/>
      <c r="B113" s="4"/>
      <c r="C113" s="4"/>
      <c r="D113" s="4"/>
      <c r="E113" s="50"/>
      <c r="F113" s="50"/>
      <c r="G113" s="50"/>
      <c r="H113" s="50"/>
      <c r="I113" s="50"/>
      <c r="J113" s="50"/>
      <c r="K113" s="51"/>
      <c r="L113" s="51"/>
      <c r="M113" s="51"/>
      <c r="N113" s="51"/>
      <c r="O113" s="51"/>
      <c r="P113" s="51"/>
      <c r="Q113" s="4"/>
      <c r="R113" s="4"/>
      <c r="S113" s="4"/>
      <c r="T113" s="4"/>
      <c r="U113" s="4"/>
      <c r="V113" s="4"/>
      <c r="W113" s="4"/>
      <c r="X113" s="4"/>
      <c r="Y113" s="4"/>
      <c r="Z113" s="4"/>
      <c r="AA113" s="4"/>
      <c r="AB113" s="4"/>
      <c r="AC113" s="4"/>
      <c r="AD113" s="4"/>
      <c r="AE113" s="4"/>
      <c r="AF113" s="4"/>
      <c r="AG113" s="4"/>
      <c r="AH113" s="4"/>
      <c r="AI113" s="4"/>
      <c r="AJ113" s="4"/>
      <c r="AK113" s="4"/>
      <c r="AL113" s="4"/>
      <c r="AM113" s="4"/>
      <c r="AN113" s="4"/>
      <c r="AO113" s="4"/>
      <c r="AP113" s="4"/>
      <c r="AQ113" s="4"/>
    </row>
    <row r="114" spans="1:43" ht="30" customHeight="1">
      <c r="A114" s="12"/>
      <c r="B114" s="4"/>
      <c r="C114" s="4"/>
      <c r="D114" s="4"/>
      <c r="E114" s="50"/>
      <c r="F114" s="50"/>
      <c r="G114" s="50"/>
      <c r="H114" s="50"/>
      <c r="I114" s="50"/>
      <c r="J114" s="50"/>
      <c r="K114" s="51"/>
      <c r="L114" s="51"/>
      <c r="M114" s="51"/>
      <c r="N114" s="51"/>
      <c r="O114" s="51"/>
      <c r="P114" s="51"/>
      <c r="Q114" s="4"/>
      <c r="R114" s="4"/>
      <c r="S114" s="4"/>
      <c r="T114" s="4"/>
      <c r="U114" s="4"/>
      <c r="V114" s="4"/>
      <c r="W114" s="4"/>
      <c r="X114" s="4"/>
      <c r="Y114" s="4"/>
      <c r="Z114" s="4"/>
      <c r="AA114" s="4"/>
      <c r="AB114" s="4"/>
      <c r="AC114" s="4"/>
      <c r="AD114" s="4"/>
      <c r="AE114" s="4"/>
      <c r="AF114" s="4"/>
      <c r="AG114" s="4"/>
      <c r="AH114" s="4"/>
      <c r="AI114" s="4"/>
      <c r="AJ114" s="4"/>
      <c r="AK114" s="4"/>
      <c r="AL114" s="4"/>
      <c r="AM114" s="4"/>
      <c r="AN114" s="4"/>
      <c r="AO114" s="4"/>
      <c r="AP114" s="4"/>
      <c r="AQ114" s="4"/>
    </row>
    <row r="115" spans="1:43" ht="30" customHeight="1">
      <c r="A115" s="12"/>
      <c r="B115" s="4"/>
      <c r="C115" s="4"/>
      <c r="D115" s="4"/>
      <c r="E115" s="50"/>
      <c r="F115" s="50"/>
      <c r="G115" s="50"/>
      <c r="H115" s="50"/>
      <c r="I115" s="50"/>
      <c r="J115" s="50"/>
      <c r="K115" s="51"/>
      <c r="L115" s="51"/>
      <c r="M115" s="51"/>
      <c r="N115" s="51"/>
      <c r="O115" s="51"/>
      <c r="P115" s="51"/>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row>
    <row r="116" spans="1:43" ht="30" customHeight="1">
      <c r="A116" s="12"/>
      <c r="B116" s="4"/>
      <c r="C116" s="4"/>
      <c r="D116" s="4"/>
      <c r="E116" s="50"/>
      <c r="F116" s="50"/>
      <c r="G116" s="50"/>
      <c r="H116" s="50"/>
      <c r="I116" s="50"/>
      <c r="J116" s="50"/>
      <c r="K116" s="51"/>
      <c r="L116" s="51"/>
      <c r="M116" s="51"/>
      <c r="N116" s="51"/>
      <c r="O116" s="51"/>
      <c r="P116" s="51"/>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row>
    <row r="117" spans="1:43" ht="30" customHeight="1">
      <c r="A117" s="12"/>
      <c r="B117" s="4"/>
      <c r="C117" s="4"/>
      <c r="D117" s="4"/>
      <c r="E117" s="50"/>
      <c r="F117" s="50"/>
      <c r="G117" s="50"/>
      <c r="H117" s="50"/>
      <c r="I117" s="50"/>
      <c r="J117" s="50"/>
      <c r="K117" s="51"/>
      <c r="L117" s="51"/>
      <c r="M117" s="51"/>
      <c r="N117" s="51"/>
      <c r="O117" s="51"/>
      <c r="P117" s="51"/>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row>
    <row r="118" spans="1:43" ht="30" customHeight="1">
      <c r="A118" s="12"/>
      <c r="B118" s="4"/>
      <c r="C118" s="4"/>
      <c r="D118" s="4"/>
      <c r="E118" s="50"/>
      <c r="F118" s="50"/>
      <c r="G118" s="50"/>
      <c r="H118" s="50"/>
      <c r="I118" s="50"/>
      <c r="J118" s="50"/>
      <c r="K118" s="51"/>
      <c r="L118" s="51"/>
      <c r="M118" s="51"/>
      <c r="N118" s="51"/>
      <c r="O118" s="51"/>
      <c r="P118" s="51"/>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row>
    <row r="119" spans="1:43" ht="30" customHeight="1">
      <c r="A119" s="12"/>
      <c r="B119" s="4"/>
      <c r="C119" s="4"/>
      <c r="D119" s="4"/>
      <c r="E119" s="50"/>
      <c r="F119" s="50"/>
      <c r="G119" s="50"/>
      <c r="H119" s="50"/>
      <c r="I119" s="50"/>
      <c r="J119" s="50"/>
      <c r="K119" s="51"/>
      <c r="L119" s="51"/>
      <c r="M119" s="51"/>
      <c r="N119" s="51"/>
      <c r="O119" s="51"/>
      <c r="P119" s="51"/>
      <c r="Q119" s="4"/>
      <c r="R119" s="4"/>
      <c r="S119" s="4"/>
      <c r="T119" s="4"/>
      <c r="U119" s="4"/>
      <c r="V119" s="4"/>
      <c r="W119" s="4"/>
      <c r="X119" s="4"/>
      <c r="Y119" s="4"/>
      <c r="Z119" s="4"/>
      <c r="AA119" s="4"/>
      <c r="AB119" s="4"/>
      <c r="AC119" s="4"/>
      <c r="AD119" s="4"/>
      <c r="AE119" s="4"/>
      <c r="AF119" s="4"/>
      <c r="AG119" s="4"/>
      <c r="AH119" s="4"/>
      <c r="AI119" s="4"/>
      <c r="AJ119" s="4"/>
      <c r="AK119" s="4"/>
      <c r="AL119" s="4"/>
      <c r="AM119" s="4"/>
      <c r="AN119" s="4"/>
      <c r="AO119" s="4"/>
      <c r="AP119" s="4"/>
      <c r="AQ119" s="4"/>
    </row>
    <row r="120" spans="1:43" ht="30" customHeight="1">
      <c r="A120" s="12"/>
      <c r="B120" s="4"/>
      <c r="C120" s="4"/>
      <c r="D120" s="4"/>
      <c r="E120" s="50"/>
      <c r="F120" s="50"/>
      <c r="G120" s="50"/>
      <c r="H120" s="50"/>
      <c r="I120" s="50"/>
      <c r="J120" s="50"/>
      <c r="K120" s="51"/>
      <c r="L120" s="51"/>
      <c r="M120" s="51"/>
      <c r="N120" s="51"/>
      <c r="O120" s="51"/>
      <c r="P120" s="51"/>
      <c r="Q120" s="4"/>
      <c r="R120" s="4"/>
      <c r="S120" s="4"/>
      <c r="T120" s="4"/>
      <c r="U120" s="4"/>
      <c r="V120" s="4"/>
      <c r="W120" s="4"/>
      <c r="X120" s="4"/>
      <c r="Y120" s="4"/>
      <c r="Z120" s="4"/>
      <c r="AA120" s="4"/>
      <c r="AB120" s="4"/>
      <c r="AC120" s="4"/>
      <c r="AD120" s="4"/>
      <c r="AE120" s="4"/>
      <c r="AF120" s="4"/>
      <c r="AG120" s="4"/>
      <c r="AH120" s="4"/>
      <c r="AI120" s="4"/>
      <c r="AJ120" s="4"/>
      <c r="AK120" s="4"/>
      <c r="AL120" s="4"/>
      <c r="AM120" s="4"/>
      <c r="AN120" s="4"/>
      <c r="AO120" s="4"/>
      <c r="AP120" s="4"/>
      <c r="AQ120" s="4"/>
    </row>
    <row r="121" spans="1:43" ht="30" customHeight="1">
      <c r="A121" s="12"/>
      <c r="B121" s="4"/>
      <c r="C121" s="4"/>
      <c r="D121" s="4"/>
      <c r="E121" s="50"/>
      <c r="F121" s="50"/>
      <c r="G121" s="50"/>
      <c r="H121" s="50"/>
      <c r="I121" s="50"/>
      <c r="J121" s="50"/>
      <c r="K121" s="51"/>
      <c r="L121" s="51"/>
      <c r="M121" s="51"/>
      <c r="N121" s="51"/>
      <c r="O121" s="51"/>
      <c r="P121" s="51"/>
      <c r="Q121" s="4"/>
      <c r="R121" s="4"/>
      <c r="S121" s="4"/>
      <c r="T121" s="4"/>
      <c r="U121" s="4"/>
      <c r="V121" s="4"/>
      <c r="W121" s="4"/>
      <c r="X121" s="4"/>
      <c r="Y121" s="4"/>
      <c r="Z121" s="4"/>
      <c r="AA121" s="4"/>
      <c r="AB121" s="4"/>
      <c r="AC121" s="4"/>
      <c r="AD121" s="4"/>
      <c r="AE121" s="4"/>
      <c r="AF121" s="4"/>
      <c r="AG121" s="4"/>
      <c r="AH121" s="4"/>
      <c r="AI121" s="4"/>
      <c r="AJ121" s="4"/>
      <c r="AK121" s="4"/>
      <c r="AL121" s="4"/>
      <c r="AM121" s="4"/>
      <c r="AN121" s="4"/>
      <c r="AO121" s="4"/>
      <c r="AP121" s="4"/>
      <c r="AQ121" s="4"/>
    </row>
    <row r="122" spans="1:43" ht="30" customHeight="1">
      <c r="A122" s="12"/>
      <c r="B122" s="4"/>
      <c r="C122" s="4"/>
      <c r="D122" s="4"/>
      <c r="E122" s="50"/>
      <c r="F122" s="50"/>
      <c r="G122" s="50"/>
      <c r="H122" s="50"/>
      <c r="I122" s="50"/>
      <c r="J122" s="50"/>
      <c r="K122" s="51"/>
      <c r="L122" s="51"/>
      <c r="M122" s="51"/>
      <c r="N122" s="51"/>
      <c r="O122" s="51"/>
      <c r="P122" s="51"/>
      <c r="Q122" s="4"/>
      <c r="R122" s="4"/>
      <c r="S122" s="4"/>
      <c r="T122" s="4"/>
      <c r="U122" s="4"/>
      <c r="V122" s="4"/>
      <c r="W122" s="4"/>
      <c r="X122" s="4"/>
      <c r="Y122" s="4"/>
      <c r="Z122" s="4"/>
      <c r="AA122" s="4"/>
      <c r="AB122" s="4"/>
      <c r="AC122" s="4"/>
      <c r="AD122" s="4"/>
      <c r="AE122" s="4"/>
      <c r="AF122" s="4"/>
      <c r="AG122" s="4"/>
      <c r="AH122" s="4"/>
      <c r="AI122" s="4"/>
      <c r="AJ122" s="4"/>
      <c r="AK122" s="4"/>
      <c r="AL122" s="4"/>
      <c r="AM122" s="4"/>
      <c r="AN122" s="4"/>
      <c r="AO122" s="4"/>
      <c r="AP122" s="4"/>
      <c r="AQ122" s="4"/>
    </row>
    <row r="123" spans="1:43" ht="30" customHeight="1">
      <c r="A123" s="12"/>
      <c r="B123" s="4"/>
      <c r="C123" s="4"/>
      <c r="D123" s="4"/>
      <c r="E123" s="50"/>
      <c r="F123" s="50"/>
      <c r="G123" s="50"/>
      <c r="H123" s="50"/>
      <c r="I123" s="50"/>
      <c r="J123" s="50"/>
      <c r="K123" s="51"/>
      <c r="L123" s="51"/>
      <c r="M123" s="51"/>
      <c r="N123" s="51"/>
      <c r="O123" s="51"/>
      <c r="P123" s="51"/>
      <c r="Q123" s="4"/>
      <c r="R123" s="4"/>
      <c r="S123" s="4"/>
      <c r="T123" s="4"/>
      <c r="U123" s="4"/>
      <c r="V123" s="4"/>
      <c r="W123" s="4"/>
      <c r="X123" s="4"/>
      <c r="Y123" s="4"/>
      <c r="Z123" s="4"/>
      <c r="AA123" s="4"/>
      <c r="AB123" s="4"/>
      <c r="AC123" s="4"/>
      <c r="AD123" s="4"/>
      <c r="AE123" s="4"/>
      <c r="AF123" s="4"/>
      <c r="AG123" s="4"/>
      <c r="AH123" s="4"/>
      <c r="AI123" s="4"/>
      <c r="AJ123" s="4"/>
      <c r="AK123" s="4"/>
      <c r="AL123" s="4"/>
      <c r="AM123" s="4"/>
      <c r="AN123" s="4"/>
      <c r="AO123" s="4"/>
      <c r="AP123" s="4"/>
      <c r="AQ123" s="4"/>
    </row>
    <row r="124" spans="1:43" ht="30" customHeight="1">
      <c r="A124" s="12"/>
      <c r="B124" s="4"/>
      <c r="C124" s="4"/>
      <c r="D124" s="4"/>
      <c r="E124" s="50"/>
      <c r="F124" s="50"/>
      <c r="G124" s="50"/>
      <c r="H124" s="50"/>
      <c r="I124" s="50"/>
      <c r="J124" s="50"/>
      <c r="K124" s="51"/>
      <c r="L124" s="51"/>
      <c r="M124" s="51"/>
      <c r="N124" s="51"/>
      <c r="O124" s="51"/>
      <c r="P124" s="51"/>
      <c r="Q124" s="4"/>
      <c r="R124" s="4"/>
      <c r="S124" s="4"/>
      <c r="T124" s="4"/>
      <c r="U124" s="4"/>
      <c r="V124" s="4"/>
      <c r="W124" s="4"/>
      <c r="X124" s="4"/>
      <c r="Y124" s="4"/>
      <c r="Z124" s="4"/>
      <c r="AA124" s="4"/>
      <c r="AB124" s="4"/>
      <c r="AC124" s="4"/>
      <c r="AD124" s="4"/>
      <c r="AE124" s="4"/>
      <c r="AF124" s="4"/>
      <c r="AG124" s="4"/>
      <c r="AH124" s="4"/>
      <c r="AI124" s="4"/>
      <c r="AJ124" s="4"/>
      <c r="AK124" s="4"/>
      <c r="AL124" s="4"/>
      <c r="AM124" s="4"/>
      <c r="AN124" s="4"/>
      <c r="AO124" s="4"/>
      <c r="AP124" s="4"/>
      <c r="AQ124" s="4"/>
    </row>
    <row r="125" spans="1:43" ht="30" customHeight="1">
      <c r="A125" s="12"/>
      <c r="B125" s="4"/>
      <c r="C125" s="4"/>
      <c r="D125" s="4"/>
      <c r="E125" s="50"/>
      <c r="F125" s="50"/>
      <c r="G125" s="50"/>
      <c r="H125" s="50"/>
      <c r="I125" s="50"/>
      <c r="J125" s="50"/>
      <c r="K125" s="51"/>
      <c r="L125" s="51"/>
      <c r="M125" s="51"/>
      <c r="N125" s="51"/>
      <c r="O125" s="51"/>
      <c r="P125" s="51"/>
      <c r="Q125" s="4"/>
      <c r="R125" s="4"/>
      <c r="S125" s="4"/>
      <c r="T125" s="4"/>
      <c r="U125" s="4"/>
      <c r="V125" s="4"/>
      <c r="W125" s="4"/>
      <c r="X125" s="4"/>
      <c r="Y125" s="4"/>
      <c r="Z125" s="4"/>
      <c r="AA125" s="4"/>
      <c r="AB125" s="4"/>
      <c r="AC125" s="4"/>
      <c r="AD125" s="4"/>
      <c r="AE125" s="4"/>
      <c r="AF125" s="4"/>
      <c r="AG125" s="4"/>
      <c r="AH125" s="4"/>
      <c r="AI125" s="4"/>
      <c r="AJ125" s="4"/>
      <c r="AK125" s="4"/>
      <c r="AL125" s="4"/>
      <c r="AM125" s="4"/>
      <c r="AN125" s="4"/>
      <c r="AO125" s="4"/>
      <c r="AP125" s="4"/>
      <c r="AQ125" s="4"/>
    </row>
    <row r="126" spans="1:43" ht="30" customHeight="1">
      <c r="A126" s="12"/>
      <c r="B126" s="4"/>
      <c r="C126" s="4"/>
      <c r="D126" s="4"/>
      <c r="E126" s="50"/>
      <c r="F126" s="50"/>
      <c r="G126" s="50"/>
      <c r="H126" s="50"/>
      <c r="I126" s="50"/>
      <c r="J126" s="50"/>
      <c r="K126" s="51"/>
      <c r="L126" s="51"/>
      <c r="M126" s="51"/>
      <c r="N126" s="51"/>
      <c r="O126" s="51"/>
      <c r="P126" s="51"/>
      <c r="Q126" s="4"/>
      <c r="R126" s="4"/>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row>
    <row r="127" spans="1:43" ht="30" customHeight="1">
      <c r="A127" s="12"/>
      <c r="B127" s="4"/>
      <c r="C127" s="4"/>
      <c r="D127" s="4"/>
      <c r="E127" s="50"/>
      <c r="F127" s="50"/>
      <c r="G127" s="50"/>
      <c r="H127" s="50"/>
      <c r="I127" s="50"/>
      <c r="J127" s="50"/>
      <c r="K127" s="51"/>
      <c r="L127" s="51"/>
      <c r="M127" s="51"/>
      <c r="N127" s="51"/>
      <c r="O127" s="51"/>
      <c r="P127" s="51"/>
      <c r="Q127" s="4"/>
      <c r="R127" s="4"/>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row>
    <row r="128" spans="1:43" ht="30" customHeight="1">
      <c r="A128" s="12"/>
      <c r="B128" s="4"/>
      <c r="C128" s="4"/>
      <c r="D128" s="4"/>
      <c r="E128" s="50"/>
      <c r="F128" s="50"/>
      <c r="G128" s="50"/>
      <c r="H128" s="50"/>
      <c r="I128" s="50"/>
      <c r="J128" s="50"/>
      <c r="K128" s="51"/>
      <c r="L128" s="51"/>
      <c r="M128" s="51"/>
      <c r="N128" s="51"/>
      <c r="O128" s="51"/>
      <c r="P128" s="51"/>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row>
    <row r="129" spans="1:43" ht="30" customHeight="1">
      <c r="A129" s="12"/>
      <c r="B129" s="4"/>
      <c r="C129" s="4"/>
      <c r="D129" s="4"/>
      <c r="E129" s="50"/>
      <c r="F129" s="50"/>
      <c r="G129" s="50"/>
      <c r="H129" s="50"/>
      <c r="I129" s="50"/>
      <c r="J129" s="50"/>
      <c r="K129" s="51"/>
      <c r="L129" s="51"/>
      <c r="M129" s="51"/>
      <c r="N129" s="51"/>
      <c r="O129" s="51"/>
      <c r="P129" s="51"/>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row>
    <row r="130" spans="1:43" ht="30" customHeight="1">
      <c r="A130" s="12"/>
      <c r="B130" s="4"/>
      <c r="C130" s="4"/>
      <c r="D130" s="4"/>
      <c r="E130" s="50"/>
      <c r="F130" s="50"/>
      <c r="G130" s="50"/>
      <c r="H130" s="50"/>
      <c r="I130" s="50"/>
      <c r="J130" s="50"/>
      <c r="K130" s="51"/>
      <c r="L130" s="51"/>
      <c r="M130" s="51"/>
      <c r="N130" s="51"/>
      <c r="O130" s="51"/>
      <c r="P130" s="51"/>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row>
    <row r="131" spans="1:43" ht="30" customHeight="1">
      <c r="A131" s="12"/>
      <c r="B131" s="4"/>
      <c r="C131" s="4"/>
      <c r="D131" s="4"/>
      <c r="E131" s="50"/>
      <c r="F131" s="50"/>
      <c r="G131" s="50"/>
      <c r="H131" s="50"/>
      <c r="I131" s="50"/>
      <c r="J131" s="50"/>
      <c r="K131" s="51"/>
      <c r="L131" s="51"/>
      <c r="M131" s="51"/>
      <c r="N131" s="51"/>
      <c r="O131" s="51"/>
      <c r="P131" s="51"/>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row>
    <row r="132" spans="1:43" ht="30" customHeight="1">
      <c r="A132" s="12"/>
      <c r="B132" s="4"/>
      <c r="C132" s="4"/>
      <c r="D132" s="4"/>
      <c r="E132" s="50"/>
      <c r="F132" s="50"/>
      <c r="G132" s="50"/>
      <c r="H132" s="50"/>
      <c r="I132" s="50"/>
      <c r="J132" s="50"/>
      <c r="K132" s="51"/>
      <c r="L132" s="51"/>
      <c r="M132" s="51"/>
      <c r="N132" s="51"/>
      <c r="O132" s="51"/>
      <c r="P132" s="51"/>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row>
    <row r="133" spans="1:43" ht="30" customHeight="1">
      <c r="A133" s="12"/>
      <c r="B133" s="4"/>
      <c r="C133" s="4"/>
      <c r="D133" s="4"/>
      <c r="E133" s="50"/>
      <c r="F133" s="50"/>
      <c r="G133" s="50"/>
      <c r="H133" s="50"/>
      <c r="I133" s="50"/>
      <c r="J133" s="50"/>
      <c r="K133" s="51"/>
      <c r="L133" s="51"/>
      <c r="M133" s="51"/>
      <c r="N133" s="51"/>
      <c r="O133" s="51"/>
      <c r="P133" s="51"/>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row>
    <row r="134" spans="1:43" ht="30" customHeight="1">
      <c r="A134" s="12"/>
      <c r="B134" s="4"/>
      <c r="C134" s="4"/>
      <c r="D134" s="4"/>
      <c r="E134" s="50"/>
      <c r="F134" s="50"/>
      <c r="G134" s="50"/>
      <c r="H134" s="50"/>
      <c r="I134" s="50"/>
      <c r="J134" s="50"/>
      <c r="K134" s="51"/>
      <c r="L134" s="51"/>
      <c r="M134" s="51"/>
      <c r="N134" s="51"/>
      <c r="O134" s="51"/>
      <c r="P134" s="51"/>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row>
    <row r="135" spans="1:43" ht="30" customHeight="1">
      <c r="A135" s="12"/>
      <c r="B135" s="4"/>
      <c r="C135" s="4"/>
      <c r="D135" s="4"/>
      <c r="E135" s="50"/>
      <c r="F135" s="50"/>
      <c r="G135" s="50"/>
      <c r="H135" s="50"/>
      <c r="I135" s="50"/>
      <c r="J135" s="50"/>
      <c r="K135" s="51"/>
      <c r="L135" s="51"/>
      <c r="M135" s="51"/>
      <c r="N135" s="51"/>
      <c r="O135" s="51"/>
      <c r="P135" s="51"/>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row>
    <row r="136" spans="1:43" ht="30" customHeight="1">
      <c r="A136" s="12"/>
      <c r="B136" s="4"/>
      <c r="C136" s="4"/>
      <c r="D136" s="4"/>
      <c r="E136" s="50"/>
      <c r="F136" s="50"/>
      <c r="G136" s="50"/>
      <c r="H136" s="50"/>
      <c r="I136" s="50"/>
      <c r="J136" s="50"/>
      <c r="K136" s="51"/>
      <c r="L136" s="51"/>
      <c r="M136" s="51"/>
      <c r="N136" s="51"/>
      <c r="O136" s="51"/>
      <c r="P136" s="51"/>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row>
    <row r="137" spans="1:43" ht="30" customHeight="1">
      <c r="A137" s="12"/>
      <c r="B137" s="4"/>
      <c r="C137" s="4"/>
      <c r="D137" s="4"/>
      <c r="E137" s="50"/>
      <c r="F137" s="50"/>
      <c r="G137" s="50"/>
      <c r="H137" s="50"/>
      <c r="I137" s="50"/>
      <c r="J137" s="50"/>
      <c r="K137" s="51"/>
      <c r="L137" s="51"/>
      <c r="M137" s="51"/>
      <c r="N137" s="51"/>
      <c r="O137" s="51"/>
      <c r="P137" s="51"/>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row>
    <row r="138" spans="1:43" ht="30" customHeight="1">
      <c r="A138" s="12"/>
      <c r="B138" s="4"/>
      <c r="C138" s="4"/>
      <c r="D138" s="4"/>
      <c r="E138" s="50"/>
      <c r="F138" s="50"/>
      <c r="G138" s="50"/>
      <c r="H138" s="50"/>
      <c r="I138" s="50"/>
      <c r="J138" s="50"/>
      <c r="K138" s="51"/>
      <c r="L138" s="51"/>
      <c r="M138" s="51"/>
      <c r="N138" s="51"/>
      <c r="O138" s="51"/>
      <c r="P138" s="51"/>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row>
    <row r="139" spans="1:43" ht="30" customHeight="1">
      <c r="A139" s="12"/>
      <c r="B139" s="4"/>
      <c r="C139" s="4"/>
      <c r="D139" s="4"/>
      <c r="E139" s="50"/>
      <c r="F139" s="50"/>
      <c r="G139" s="50"/>
      <c r="H139" s="50"/>
      <c r="I139" s="50"/>
      <c r="J139" s="50"/>
      <c r="K139" s="51"/>
      <c r="L139" s="51"/>
      <c r="M139" s="51"/>
      <c r="N139" s="51"/>
      <c r="O139" s="51"/>
      <c r="P139" s="51"/>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row>
    <row r="140" spans="1:43" ht="30" customHeight="1">
      <c r="A140" s="12"/>
      <c r="B140" s="4"/>
      <c r="C140" s="4"/>
      <c r="D140" s="4"/>
      <c r="E140" s="50"/>
      <c r="F140" s="50"/>
      <c r="G140" s="50"/>
      <c r="H140" s="50"/>
      <c r="I140" s="50"/>
      <c r="J140" s="50"/>
      <c r="K140" s="51"/>
      <c r="L140" s="51"/>
      <c r="M140" s="51"/>
      <c r="N140" s="51"/>
      <c r="O140" s="51"/>
      <c r="P140" s="51"/>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row>
    <row r="141" spans="1:43" ht="30" customHeight="1">
      <c r="A141" s="12"/>
      <c r="B141" s="4"/>
      <c r="C141" s="4"/>
      <c r="D141" s="4"/>
      <c r="E141" s="50"/>
      <c r="F141" s="50"/>
      <c r="G141" s="50"/>
      <c r="H141" s="50"/>
      <c r="I141" s="50"/>
      <c r="J141" s="50"/>
      <c r="K141" s="51"/>
      <c r="L141" s="51"/>
      <c r="M141" s="51"/>
      <c r="N141" s="51"/>
      <c r="O141" s="51"/>
      <c r="P141" s="51"/>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row>
    <row r="142" spans="1:43" ht="30" customHeight="1">
      <c r="A142" s="12"/>
      <c r="B142" s="4"/>
      <c r="C142" s="4"/>
      <c r="D142" s="4"/>
      <c r="E142" s="50"/>
      <c r="F142" s="50"/>
      <c r="G142" s="50"/>
      <c r="H142" s="50"/>
      <c r="I142" s="50"/>
      <c r="J142" s="50"/>
      <c r="K142" s="51"/>
      <c r="L142" s="51"/>
      <c r="M142" s="51"/>
      <c r="N142" s="51"/>
      <c r="O142" s="51"/>
      <c r="P142" s="51"/>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row>
    <row r="143" spans="1:43" ht="30" customHeight="1">
      <c r="A143" s="12"/>
      <c r="B143" s="4"/>
      <c r="C143" s="4"/>
      <c r="D143" s="4"/>
      <c r="E143" s="50"/>
      <c r="F143" s="50"/>
      <c r="G143" s="50"/>
      <c r="H143" s="50"/>
      <c r="I143" s="50"/>
      <c r="J143" s="50"/>
      <c r="K143" s="51"/>
      <c r="L143" s="51"/>
      <c r="M143" s="51"/>
      <c r="N143" s="51"/>
      <c r="O143" s="51"/>
      <c r="P143" s="51"/>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row>
    <row r="144" spans="1:43" ht="30" customHeight="1">
      <c r="A144" s="12"/>
      <c r="B144" s="4"/>
      <c r="C144" s="4"/>
      <c r="D144" s="4"/>
      <c r="K144" s="64"/>
      <c r="L144" s="64"/>
      <c r="M144" s="64"/>
      <c r="N144" s="64"/>
      <c r="O144" s="64"/>
      <c r="P144" s="64"/>
      <c r="AA144" s="4"/>
      <c r="AB144" s="4"/>
      <c r="AC144" s="4"/>
      <c r="AD144" s="4"/>
      <c r="AE144" s="4"/>
      <c r="AF144" s="4"/>
      <c r="AG144" s="4"/>
      <c r="AH144" s="4"/>
      <c r="AI144" s="4"/>
      <c r="AJ144" s="4"/>
      <c r="AK144" s="4"/>
      <c r="AL144" s="4"/>
      <c r="AM144" s="4"/>
      <c r="AN144" s="4"/>
      <c r="AO144" s="4"/>
      <c r="AP144" s="4"/>
      <c r="AQ144" s="4"/>
    </row>
    <row r="145" spans="1:44" ht="30" customHeight="1">
      <c r="A145" s="12"/>
      <c r="B145" s="4"/>
      <c r="C145" s="4"/>
      <c r="D145" s="4"/>
      <c r="AA145" s="4"/>
      <c r="AB145" s="4"/>
      <c r="AC145" s="4"/>
      <c r="AD145" s="4"/>
      <c r="AE145" s="4"/>
      <c r="AF145" s="4"/>
      <c r="AG145" s="4"/>
      <c r="AH145" s="4"/>
      <c r="AI145" s="4"/>
      <c r="AJ145" s="4"/>
      <c r="AK145" s="4"/>
      <c r="AL145" s="4"/>
      <c r="AM145" s="4"/>
      <c r="AN145" s="4"/>
      <c r="AO145" s="4"/>
      <c r="AP145" s="4"/>
      <c r="AQ145" s="4"/>
    </row>
    <row r="146" spans="1:44" ht="30" customHeight="1">
      <c r="A146" s="12"/>
      <c r="B146" s="4"/>
      <c r="C146" s="4"/>
      <c r="D146" s="4"/>
      <c r="AA146" s="4"/>
      <c r="AB146" s="4"/>
      <c r="AC146" s="4"/>
      <c r="AD146" s="4"/>
      <c r="AE146" s="4"/>
      <c r="AF146" s="4"/>
      <c r="AG146" s="4"/>
      <c r="AH146" s="4"/>
      <c r="AI146" s="4"/>
      <c r="AJ146" s="4"/>
      <c r="AK146" s="4"/>
      <c r="AL146" s="4"/>
      <c r="AM146" s="4"/>
      <c r="AN146" s="4"/>
      <c r="AO146" s="4"/>
      <c r="AP146" s="4"/>
      <c r="AQ146" s="4"/>
    </row>
    <row r="147" spans="1:44" ht="30" customHeight="1">
      <c r="A147" s="12"/>
      <c r="B147" s="4"/>
      <c r="C147" s="4"/>
      <c r="D147" s="4"/>
      <c r="AA147" s="4"/>
      <c r="AB147" s="4"/>
      <c r="AC147" s="4"/>
      <c r="AD147" s="4"/>
      <c r="AE147" s="4"/>
      <c r="AF147" s="4"/>
      <c r="AG147" s="4"/>
      <c r="AH147" s="4"/>
      <c r="AI147" s="4"/>
      <c r="AJ147" s="4"/>
      <c r="AK147" s="4"/>
      <c r="AL147" s="4"/>
      <c r="AM147" s="4"/>
      <c r="AN147" s="4"/>
      <c r="AO147" s="4"/>
      <c r="AP147" s="4"/>
      <c r="AQ147" s="4"/>
    </row>
    <row r="148" spans="1:44" ht="30" customHeight="1">
      <c r="A148" s="12"/>
      <c r="B148" s="4"/>
      <c r="C148" s="4"/>
      <c r="D148" s="4"/>
      <c r="AA148" s="4"/>
      <c r="AB148" s="4"/>
      <c r="AC148" s="4"/>
      <c r="AD148" s="4"/>
      <c r="AE148" s="4"/>
      <c r="AF148" s="4"/>
      <c r="AG148" s="4"/>
      <c r="AH148" s="4"/>
      <c r="AI148" s="4"/>
      <c r="AJ148" s="4"/>
      <c r="AK148" s="4"/>
      <c r="AL148" s="4"/>
      <c r="AM148" s="4"/>
      <c r="AN148" s="4"/>
      <c r="AO148" s="4"/>
      <c r="AP148" s="4"/>
      <c r="AQ148" s="4"/>
    </row>
    <row r="149" spans="1:44" ht="30" customHeight="1">
      <c r="A149" s="12"/>
      <c r="B149" s="4"/>
      <c r="C149" s="4"/>
      <c r="D149" s="4"/>
      <c r="AA149" s="4"/>
      <c r="AB149" s="4"/>
      <c r="AC149" s="4"/>
      <c r="AD149" s="4"/>
      <c r="AE149" s="4"/>
      <c r="AF149" s="4"/>
      <c r="AG149" s="4"/>
      <c r="AH149" s="4"/>
      <c r="AI149" s="4"/>
      <c r="AJ149" s="4"/>
      <c r="AK149" s="4"/>
      <c r="AL149" s="4"/>
      <c r="AM149" s="4"/>
      <c r="AN149" s="4"/>
      <c r="AO149" s="4"/>
      <c r="AP149" s="4"/>
      <c r="AQ149" s="4"/>
    </row>
    <row r="150" spans="1:44" ht="30" customHeight="1">
      <c r="A150" s="12"/>
      <c r="B150" s="4"/>
      <c r="C150" s="4"/>
      <c r="D150" s="4"/>
      <c r="AA150" s="4"/>
      <c r="AB150" s="4"/>
      <c r="AC150" s="4"/>
      <c r="AD150" s="4"/>
      <c r="AE150" s="4"/>
      <c r="AF150" s="4"/>
      <c r="AG150" s="4"/>
      <c r="AH150" s="4"/>
      <c r="AI150" s="4"/>
      <c r="AJ150" s="4"/>
      <c r="AK150" s="4"/>
      <c r="AL150" s="4"/>
      <c r="AM150" s="4"/>
      <c r="AN150" s="4"/>
      <c r="AO150" s="4"/>
      <c r="AP150" s="4"/>
      <c r="AQ150" s="4"/>
    </row>
    <row r="151" spans="1:44" ht="30" customHeight="1">
      <c r="A151" s="12"/>
      <c r="B151" s="4"/>
      <c r="C151" s="4"/>
      <c r="D151" s="4"/>
      <c r="AA151" s="4"/>
      <c r="AB151" s="4"/>
      <c r="AC151" s="4"/>
      <c r="AD151" s="4"/>
      <c r="AE151" s="4"/>
      <c r="AF151" s="4"/>
      <c r="AG151" s="4"/>
      <c r="AH151" s="4"/>
      <c r="AI151" s="4"/>
      <c r="AJ151" s="4"/>
      <c r="AK151" s="4"/>
      <c r="AL151" s="4"/>
      <c r="AM151" s="4"/>
      <c r="AN151" s="4"/>
      <c r="AO151" s="4"/>
      <c r="AP151" s="4"/>
      <c r="AQ151" s="4"/>
    </row>
    <row r="152" spans="1:44" ht="30" customHeight="1">
      <c r="A152" s="12"/>
      <c r="B152" s="4"/>
      <c r="C152" s="4"/>
      <c r="D152" s="4"/>
      <c r="AA152" s="4"/>
      <c r="AB152" s="4"/>
      <c r="AC152" s="4"/>
      <c r="AD152" s="4"/>
      <c r="AE152" s="4"/>
      <c r="AF152" s="4"/>
      <c r="AG152" s="4"/>
      <c r="AH152" s="4"/>
      <c r="AI152" s="4"/>
      <c r="AJ152" s="4"/>
      <c r="AK152" s="4"/>
      <c r="AL152" s="4"/>
      <c r="AM152" s="4"/>
      <c r="AN152" s="4"/>
      <c r="AO152" s="4"/>
      <c r="AP152" s="4"/>
      <c r="AQ152" s="4"/>
    </row>
    <row r="153" spans="1:44" ht="30" customHeight="1">
      <c r="A153" s="12"/>
      <c r="B153" s="4"/>
      <c r="C153" s="4"/>
      <c r="D153" s="4"/>
      <c r="AA153" s="4"/>
      <c r="AB153" s="4"/>
      <c r="AC153" s="4"/>
      <c r="AD153" s="4"/>
      <c r="AE153" s="4"/>
      <c r="AF153" s="4"/>
      <c r="AG153" s="4"/>
      <c r="AH153" s="4"/>
      <c r="AI153" s="4"/>
      <c r="AJ153" s="4"/>
      <c r="AK153" s="4"/>
      <c r="AL153" s="4"/>
      <c r="AM153" s="4"/>
      <c r="AN153" s="4"/>
      <c r="AO153" s="4"/>
      <c r="AP153" s="4"/>
      <c r="AQ153" s="4"/>
    </row>
    <row r="154" spans="1:44" ht="30" customHeight="1">
      <c r="A154" s="12"/>
      <c r="B154" s="4"/>
      <c r="C154" s="4"/>
      <c r="D154" s="4"/>
      <c r="AA154" s="4"/>
      <c r="AB154" s="4"/>
      <c r="AC154" s="4"/>
      <c r="AD154" s="4"/>
      <c r="AE154" s="4"/>
      <c r="AF154" s="4"/>
      <c r="AG154" s="4"/>
      <c r="AH154" s="4"/>
      <c r="AI154" s="4"/>
      <c r="AJ154" s="4"/>
      <c r="AK154" s="4"/>
      <c r="AL154" s="4"/>
      <c r="AM154" s="4"/>
      <c r="AN154" s="4"/>
      <c r="AO154" s="4"/>
      <c r="AP154" s="4"/>
      <c r="AQ154" s="4"/>
    </row>
    <row r="155" spans="1:44" ht="30" customHeight="1">
      <c r="A155" s="12"/>
      <c r="B155" s="4"/>
      <c r="C155" s="4"/>
      <c r="D155" s="4"/>
      <c r="AA155" s="4"/>
      <c r="AB155" s="4"/>
      <c r="AC155" s="4"/>
      <c r="AD155" s="4"/>
      <c r="AE155" s="4"/>
      <c r="AF155" s="4"/>
      <c r="AG155" s="4"/>
      <c r="AH155" s="4"/>
      <c r="AI155" s="4"/>
      <c r="AJ155" s="4"/>
      <c r="AK155" s="4"/>
      <c r="AL155" s="4"/>
      <c r="AM155" s="4"/>
      <c r="AN155" s="4"/>
      <c r="AO155" s="4"/>
      <c r="AP155" s="4"/>
      <c r="AQ155" s="4"/>
    </row>
    <row r="156" spans="1:44" ht="30" customHeight="1">
      <c r="A156" s="12"/>
      <c r="B156" s="4"/>
      <c r="C156" s="4"/>
      <c r="D156" s="4"/>
      <c r="AA156" s="4"/>
      <c r="AB156" s="4"/>
      <c r="AC156" s="4"/>
      <c r="AD156" s="4"/>
      <c r="AE156" s="4"/>
      <c r="AF156" s="4"/>
      <c r="AG156" s="4"/>
      <c r="AH156" s="4"/>
      <c r="AI156" s="4"/>
      <c r="AJ156" s="4"/>
      <c r="AK156" s="4"/>
      <c r="AL156" s="4"/>
      <c r="AM156" s="4"/>
      <c r="AN156" s="4"/>
      <c r="AO156" s="4"/>
      <c r="AP156" s="4"/>
      <c r="AQ156" s="4"/>
    </row>
    <row r="157" spans="1:44" s="3" customFormat="1" ht="30" customHeight="1">
      <c r="A157" s="12"/>
      <c r="B157" s="4"/>
      <c r="C157" s="4"/>
      <c r="D157" s="4"/>
      <c r="E157" s="5"/>
      <c r="F157" s="5"/>
      <c r="G157" s="5"/>
      <c r="H157" s="5"/>
      <c r="I157" s="5"/>
      <c r="J157" s="5"/>
      <c r="K157" s="5"/>
      <c r="L157" s="5"/>
      <c r="M157" s="5"/>
      <c r="N157" s="5"/>
      <c r="O157" s="5"/>
      <c r="P157" s="5"/>
      <c r="Q157" s="5"/>
      <c r="R157" s="5"/>
      <c r="S157" s="5"/>
      <c r="T157" s="5"/>
      <c r="U157" s="5"/>
      <c r="V157" s="5"/>
      <c r="W157" s="5"/>
      <c r="X157" s="5"/>
      <c r="Y157" s="5"/>
      <c r="Z157" s="5"/>
      <c r="AA157" s="4"/>
      <c r="AB157" s="4"/>
      <c r="AC157" s="4"/>
      <c r="AD157" s="4"/>
      <c r="AE157" s="4"/>
      <c r="AF157" s="4"/>
      <c r="AG157" s="4"/>
      <c r="AH157" s="4"/>
      <c r="AI157" s="4"/>
      <c r="AJ157" s="4"/>
      <c r="AK157" s="4"/>
      <c r="AL157" s="4"/>
      <c r="AM157" s="4"/>
      <c r="AN157" s="4"/>
      <c r="AO157" s="4"/>
      <c r="AP157" s="4"/>
      <c r="AQ157" s="4"/>
      <c r="AR157" s="5"/>
    </row>
    <row r="158" spans="1:44" s="3" customFormat="1" ht="30" customHeight="1">
      <c r="A158" s="12"/>
      <c r="B158" s="4"/>
      <c r="C158" s="4"/>
      <c r="D158" s="4"/>
      <c r="E158" s="5"/>
      <c r="F158" s="5"/>
      <c r="G158" s="5"/>
      <c r="H158" s="5"/>
      <c r="I158" s="5"/>
      <c r="J158" s="5"/>
      <c r="K158" s="5"/>
      <c r="L158" s="5"/>
      <c r="M158" s="5"/>
      <c r="N158" s="5"/>
      <c r="O158" s="5"/>
      <c r="P158" s="5"/>
      <c r="Q158" s="5"/>
      <c r="R158" s="5"/>
      <c r="S158" s="5"/>
      <c r="T158" s="5"/>
      <c r="U158" s="5"/>
      <c r="V158" s="5"/>
      <c r="W158" s="5"/>
      <c r="X158" s="5"/>
      <c r="Y158" s="5"/>
      <c r="Z158" s="5"/>
      <c r="AA158" s="4"/>
      <c r="AB158" s="4"/>
      <c r="AC158" s="4"/>
      <c r="AD158" s="4"/>
      <c r="AE158" s="4"/>
      <c r="AF158" s="4"/>
      <c r="AG158" s="4"/>
      <c r="AH158" s="4"/>
      <c r="AI158" s="4"/>
      <c r="AJ158" s="4"/>
      <c r="AK158" s="4"/>
      <c r="AL158" s="4"/>
      <c r="AM158" s="4"/>
      <c r="AN158" s="4"/>
      <c r="AO158" s="4"/>
      <c r="AP158" s="4"/>
      <c r="AQ158" s="4"/>
      <c r="AR158" s="5"/>
    </row>
    <row r="159" spans="1:44" s="3" customFormat="1" ht="30" customHeight="1">
      <c r="A159" s="12"/>
      <c r="B159" s="4"/>
      <c r="C159" s="4"/>
      <c r="D159" s="4"/>
      <c r="E159" s="5"/>
      <c r="F159" s="5"/>
      <c r="G159" s="5"/>
      <c r="H159" s="5"/>
      <c r="I159" s="5"/>
      <c r="J159" s="5"/>
      <c r="K159" s="5"/>
      <c r="L159" s="5"/>
      <c r="M159" s="5"/>
      <c r="N159" s="5"/>
      <c r="O159" s="5"/>
      <c r="P159" s="5"/>
      <c r="Q159" s="5"/>
      <c r="R159" s="5"/>
      <c r="S159" s="5"/>
      <c r="T159" s="5"/>
      <c r="U159" s="5"/>
      <c r="V159" s="5"/>
      <c r="W159" s="5"/>
      <c r="X159" s="5"/>
      <c r="Y159" s="5"/>
      <c r="Z159" s="5"/>
      <c r="AA159" s="5"/>
      <c r="AB159" s="4"/>
      <c r="AC159" s="4"/>
      <c r="AD159" s="4"/>
      <c r="AE159" s="4"/>
      <c r="AF159" s="4"/>
      <c r="AG159" s="4"/>
      <c r="AH159" s="4"/>
      <c r="AI159" s="4"/>
      <c r="AJ159" s="4"/>
      <c r="AK159" s="4"/>
      <c r="AL159" s="4"/>
      <c r="AM159" s="4"/>
      <c r="AN159" s="4"/>
      <c r="AO159" s="4"/>
      <c r="AP159" s="4"/>
      <c r="AQ159" s="4"/>
      <c r="AR159" s="5"/>
    </row>
    <row r="160" spans="1:44" s="3" customFormat="1" ht="30" customHeight="1">
      <c r="B160" s="4"/>
      <c r="C160" s="4"/>
      <c r="D160" s="4"/>
      <c r="E160" s="5"/>
      <c r="F160" s="5"/>
      <c r="G160" s="5"/>
      <c r="H160" s="5"/>
      <c r="I160" s="5"/>
      <c r="J160" s="5"/>
      <c r="K160" s="5"/>
      <c r="L160" s="5"/>
      <c r="M160" s="5"/>
      <c r="N160" s="5"/>
      <c r="O160" s="5"/>
      <c r="P160" s="5"/>
      <c r="Q160" s="5"/>
      <c r="R160" s="5"/>
      <c r="S160" s="5"/>
      <c r="T160" s="5"/>
      <c r="U160" s="5"/>
      <c r="V160" s="5"/>
      <c r="W160" s="5"/>
      <c r="X160" s="5"/>
      <c r="Y160" s="5"/>
      <c r="Z160" s="5"/>
      <c r="AA160" s="5"/>
      <c r="AB160" s="4"/>
      <c r="AC160" s="4"/>
      <c r="AD160" s="4"/>
      <c r="AE160" s="4"/>
      <c r="AF160" s="4"/>
      <c r="AG160" s="4"/>
      <c r="AH160" s="4"/>
      <c r="AI160" s="4"/>
      <c r="AJ160" s="4"/>
      <c r="AK160" s="4"/>
      <c r="AL160" s="4"/>
      <c r="AM160" s="4"/>
      <c r="AN160" s="4"/>
      <c r="AO160" s="4"/>
      <c r="AP160" s="4"/>
      <c r="AQ160" s="4"/>
      <c r="AR160" s="5"/>
    </row>
    <row r="161" spans="2:44" s="3" customFormat="1" ht="30" customHeight="1">
      <c r="B161" s="4"/>
      <c r="C161" s="4"/>
      <c r="D161" s="4"/>
      <c r="E161" s="5"/>
      <c r="F161" s="5"/>
      <c r="G161" s="5"/>
      <c r="H161" s="5"/>
      <c r="I161" s="5"/>
      <c r="J161" s="5"/>
      <c r="K161" s="5"/>
      <c r="L161" s="5"/>
      <c r="M161" s="5"/>
      <c r="N161" s="5"/>
      <c r="O161" s="5"/>
      <c r="P161" s="5"/>
      <c r="Q161" s="5"/>
      <c r="R161" s="5"/>
      <c r="S161" s="5"/>
      <c r="T161" s="5"/>
      <c r="U161" s="5"/>
      <c r="V161" s="5"/>
      <c r="W161" s="5"/>
      <c r="X161" s="5"/>
      <c r="Y161" s="5"/>
      <c r="Z161" s="5"/>
      <c r="AA161" s="5"/>
      <c r="AB161" s="4"/>
      <c r="AC161" s="4"/>
      <c r="AD161" s="4"/>
      <c r="AE161" s="4"/>
      <c r="AF161" s="4"/>
      <c r="AG161" s="4"/>
      <c r="AH161" s="4"/>
      <c r="AI161" s="4"/>
      <c r="AJ161" s="4"/>
      <c r="AK161" s="4"/>
      <c r="AL161" s="4"/>
      <c r="AM161" s="4"/>
      <c r="AN161" s="4"/>
      <c r="AO161" s="4"/>
      <c r="AP161" s="4"/>
      <c r="AQ161" s="4"/>
      <c r="AR161" s="5"/>
    </row>
    <row r="162" spans="2:44" s="3" customFormat="1" ht="30" hidden="1" customHeight="1">
      <c r="B162" s="4"/>
      <c r="C162" s="4"/>
      <c r="D162" s="4"/>
      <c r="E162" s="5"/>
      <c r="F162" s="5"/>
      <c r="G162" s="5"/>
      <c r="H162" s="5"/>
      <c r="I162" s="5"/>
      <c r="J162" s="5"/>
      <c r="K162" s="5"/>
      <c r="L162" s="5"/>
      <c r="M162" s="5"/>
      <c r="N162" s="5"/>
      <c r="O162" s="5"/>
      <c r="P162" s="5"/>
      <c r="Q162" s="5"/>
      <c r="R162" s="5"/>
      <c r="S162" s="5"/>
      <c r="T162" s="5"/>
      <c r="U162" s="5"/>
      <c r="V162" s="5"/>
      <c r="W162" s="5"/>
      <c r="X162" s="5"/>
      <c r="Y162" s="5"/>
      <c r="Z162" s="5"/>
      <c r="AA162" s="5"/>
      <c r="AB162" s="4"/>
      <c r="AC162" s="4"/>
      <c r="AD162" s="4"/>
      <c r="AE162" s="4"/>
      <c r="AF162" s="4"/>
      <c r="AG162" s="4"/>
      <c r="AH162" s="4"/>
      <c r="AI162" s="4"/>
      <c r="AJ162" s="4"/>
      <c r="AK162" s="4"/>
      <c r="AL162" s="4"/>
      <c r="AM162" s="4"/>
      <c r="AN162" s="4"/>
      <c r="AO162" s="4"/>
      <c r="AP162" s="4"/>
      <c r="AQ162" s="4"/>
      <c r="AR162" s="5"/>
    </row>
    <row r="163" spans="2:44" s="3" customFormat="1" ht="30" hidden="1" customHeight="1">
      <c r="B163" s="4"/>
      <c r="C163" s="4"/>
      <c r="D163" s="4"/>
      <c r="E163" s="5"/>
      <c r="F163" s="5"/>
      <c r="G163" s="5"/>
      <c r="H163" s="5"/>
      <c r="I163" s="5"/>
      <c r="J163" s="5"/>
      <c r="K163" s="5"/>
      <c r="L163" s="5"/>
      <c r="M163" s="5"/>
      <c r="N163" s="5"/>
      <c r="O163" s="5"/>
      <c r="P163" s="5"/>
      <c r="Q163" s="5"/>
      <c r="R163" s="5"/>
      <c r="S163" s="5"/>
      <c r="T163" s="5"/>
      <c r="U163" s="5"/>
      <c r="V163" s="5"/>
      <c r="W163" s="5"/>
      <c r="X163" s="5"/>
      <c r="Y163" s="5"/>
      <c r="Z163" s="5"/>
      <c r="AA163" s="5"/>
      <c r="AB163" s="4"/>
      <c r="AC163" s="4"/>
      <c r="AD163" s="4"/>
      <c r="AE163" s="4"/>
      <c r="AF163" s="4"/>
      <c r="AG163" s="4"/>
      <c r="AH163" s="4"/>
      <c r="AI163" s="4"/>
      <c r="AJ163" s="4"/>
      <c r="AK163" s="4"/>
      <c r="AL163" s="4"/>
      <c r="AM163" s="4"/>
      <c r="AN163" s="4"/>
      <c r="AO163" s="4"/>
      <c r="AP163" s="4"/>
      <c r="AQ163" s="4"/>
      <c r="AR163" s="5"/>
    </row>
    <row r="164" spans="2:44" ht="0" hidden="1" customHeight="1">
      <c r="AB164" s="4"/>
      <c r="AC164" s="4"/>
      <c r="AD164" s="4"/>
      <c r="AE164" s="4"/>
      <c r="AF164" s="4"/>
    </row>
    <row r="165" spans="2:44" ht="0" hidden="1" customHeight="1">
      <c r="AB165" s="4"/>
      <c r="AC165" s="4"/>
      <c r="AD165" s="4"/>
      <c r="AE165" s="4"/>
      <c r="AF165" s="4"/>
    </row>
    <row r="166" spans="2:44" ht="0" hidden="1" customHeight="1">
      <c r="AB166" s="4"/>
      <c r="AC166" s="4"/>
      <c r="AD166" s="4"/>
      <c r="AE166" s="4"/>
      <c r="AF166" s="4"/>
    </row>
    <row r="167" spans="2:44" ht="0" hidden="1" customHeight="1">
      <c r="AB167" s="4"/>
      <c r="AC167" s="4"/>
      <c r="AD167" s="4"/>
    </row>
    <row r="168" spans="2:44" ht="0" hidden="1" customHeight="1">
      <c r="AB168" s="4"/>
      <c r="AC168" s="4"/>
      <c r="AD168" s="4"/>
    </row>
    <row r="169" spans="2:44" ht="0" hidden="1" customHeight="1">
      <c r="AC169" s="4"/>
      <c r="AD169" s="4"/>
    </row>
    <row r="170" spans="2:44" ht="0" hidden="1" customHeight="1">
      <c r="AD170" s="4"/>
    </row>
  </sheetData>
  <mergeCells count="21">
    <mergeCell ref="E26:J26"/>
    <mergeCell ref="E27:J27"/>
    <mergeCell ref="E17:J17"/>
    <mergeCell ref="K2:V5"/>
    <mergeCell ref="E36:J36"/>
    <mergeCell ref="E12:J12"/>
    <mergeCell ref="E22:J22"/>
    <mergeCell ref="E15:J15"/>
    <mergeCell ref="E16:J16"/>
    <mergeCell ref="E13:J13"/>
    <mergeCell ref="E21:J21"/>
    <mergeCell ref="E23:J23"/>
    <mergeCell ref="E39:J39"/>
    <mergeCell ref="E28:J28"/>
    <mergeCell ref="E29:J29"/>
    <mergeCell ref="E30:J30"/>
    <mergeCell ref="E31:J31"/>
    <mergeCell ref="E32:J32"/>
    <mergeCell ref="E33:J33"/>
    <mergeCell ref="E34:J34"/>
    <mergeCell ref="E35:J35"/>
  </mergeCells>
  <conditionalFormatting sqref="K16:L16 N16">
    <cfRule type="colorScale" priority="1938">
      <colorScale>
        <cfvo type="min"/>
        <cfvo type="max"/>
        <color rgb="FFD9FBE2"/>
        <color rgb="FF00C556"/>
      </colorScale>
    </cfRule>
    <cfRule type="colorScale" priority="1939">
      <colorScale>
        <cfvo type="min"/>
        <cfvo type="max"/>
        <color rgb="FFFCFCFF"/>
        <color rgb="FF63BE7B"/>
      </colorScale>
    </cfRule>
    <cfRule type="colorScale" priority="1944">
      <colorScale>
        <cfvo type="min"/>
        <cfvo type="max"/>
        <color rgb="FFD9FBE2"/>
        <color rgb="FF00C556"/>
      </colorScale>
    </cfRule>
  </conditionalFormatting>
  <conditionalFormatting sqref="K16:N16 K17:Z17 W23:AA39 T27:V27 K27:S28 T28:U28 V28:V36 K37:V38 T39:V39">
    <cfRule type="cellIs" dxfId="152" priority="84" operator="equal">
      <formula>0</formula>
    </cfRule>
  </conditionalFormatting>
  <conditionalFormatting sqref="K39:S39">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fRule type="cellIs" dxfId="151" priority="7" operator="equal">
      <formula>0</formula>
    </cfRule>
  </conditionalFormatting>
  <conditionalFormatting sqref="K29:U36">
    <cfRule type="cellIs" dxfId="150" priority="15" operator="equal">
      <formula>0</formula>
    </cfRule>
  </conditionalFormatting>
  <conditionalFormatting sqref="K23:V26">
    <cfRule type="cellIs" dxfId="149" priority="38" operator="equal">
      <formula>0</formula>
    </cfRule>
  </conditionalFormatting>
  <conditionalFormatting sqref="K13:Z15">
    <cfRule type="cellIs" dxfId="148" priority="18" operator="equal">
      <formula>0</formula>
    </cfRule>
  </conditionalFormatting>
  <conditionalFormatting sqref="K21:Z21">
    <cfRule type="cellIs" dxfId="147" priority="47" operator="equal">
      <formula>0</formula>
    </cfRule>
  </conditionalFormatting>
  <conditionalFormatting sqref="M16">
    <cfRule type="colorScale" priority="1669">
      <colorScale>
        <cfvo type="min"/>
        <cfvo type="max"/>
        <color rgb="FFD9FBE2"/>
        <color rgb="FF00C556"/>
      </colorScale>
    </cfRule>
    <cfRule type="colorScale" priority="1670">
      <colorScale>
        <cfvo type="min"/>
        <cfvo type="max"/>
        <color rgb="FFFCFCFF"/>
        <color rgb="FF63BE7B"/>
      </colorScale>
    </cfRule>
    <cfRule type="colorScale" priority="1673">
      <colorScale>
        <cfvo type="min"/>
        <cfvo type="max"/>
        <color rgb="FFD9FBE2"/>
        <color rgb="FF00C556"/>
      </colorScale>
    </cfRule>
  </conditionalFormatting>
  <conditionalFormatting sqref="O16:Z16">
    <cfRule type="colorScale" priority="8">
      <colorScale>
        <cfvo type="min"/>
        <cfvo type="max"/>
        <color rgb="FFD9FBE2"/>
        <color rgb="FF43AF43"/>
      </colorScale>
    </cfRule>
    <cfRule type="colorScale" priority="9">
      <colorScale>
        <cfvo type="min"/>
        <cfvo type="max"/>
        <color rgb="FFFCFCFF"/>
        <color rgb="FF43AF43"/>
      </colorScale>
    </cfRule>
    <cfRule type="colorScale" priority="10">
      <colorScale>
        <cfvo type="min"/>
        <cfvo type="max"/>
        <color rgb="FFD9FBE2"/>
        <color rgb="FF43AF43"/>
      </colorScale>
    </cfRule>
    <cfRule type="colorScale" priority="11">
      <colorScale>
        <cfvo type="min"/>
        <cfvo type="max"/>
        <color rgb="FFFCFCFF"/>
        <color rgb="FF43AF43"/>
      </colorScale>
    </cfRule>
    <cfRule type="colorScale" priority="12">
      <colorScale>
        <cfvo type="min"/>
        <cfvo type="max"/>
        <color rgb="FFD9FBE2"/>
        <color rgb="FF43AF43"/>
      </colorScale>
    </cfRule>
    <cfRule type="colorScale" priority="13">
      <colorScale>
        <cfvo type="min"/>
        <cfvo type="max"/>
        <color rgb="FFFCFCFF"/>
        <color rgb="FF43AF43"/>
      </colorScale>
    </cfRule>
    <cfRule type="cellIs" dxfId="146" priority="14" operator="equal">
      <formula>0</formula>
    </cfRule>
  </conditionalFormatting>
  <conditionalFormatting sqref="T39:U39">
    <cfRule type="colorScale" priority="1928">
      <colorScale>
        <cfvo type="min"/>
        <cfvo type="max"/>
        <color rgb="FFD9FBE2"/>
        <color rgb="FF00C556"/>
      </colorScale>
    </cfRule>
    <cfRule type="colorScale" priority="1929">
      <colorScale>
        <cfvo type="min"/>
        <cfvo type="max"/>
        <color rgb="FFFCFCFF"/>
        <color rgb="FF63BE7B"/>
      </colorScale>
    </cfRule>
  </conditionalFormatting>
  <conditionalFormatting sqref="T39:Z39">
    <cfRule type="colorScale" priority="2259">
      <colorScale>
        <cfvo type="min"/>
        <cfvo type="max"/>
        <color rgb="FFD9FBE2"/>
        <color rgb="FF00C556"/>
      </colorScale>
    </cfRule>
    <cfRule type="colorScale" priority="2260">
      <colorScale>
        <cfvo type="min"/>
        <cfvo type="max"/>
        <color rgb="FFFCFCFF"/>
        <color rgb="FF63BE7B"/>
      </colorScale>
    </cfRule>
  </conditionalFormatting>
  <conditionalFormatting sqref="Z12">
    <cfRule type="cellIs" dxfId="145" priority="27" operator="equal">
      <formula>0</formula>
    </cfRule>
  </conditionalFormatting>
  <conditionalFormatting sqref="AA27">
    <cfRule type="cellIs" dxfId="144" priority="81" operator="equal">
      <formula>0</formula>
    </cfRule>
  </conditionalFormatting>
  <conditionalFormatting sqref="AB23:AC23">
    <cfRule type="cellIs" dxfId="143" priority="19" operator="equal">
      <formula>0</formula>
    </cfRule>
  </conditionalFormatting>
  <hyperlinks>
    <hyperlink ref="A9" location="WACC!A1" display="WACC" xr:uid="{3E527DD0-39A2-4161-9576-F53A2127831B}"/>
    <hyperlink ref="A8" location="Dashboard!A1" display="Dashboard" xr:uid="{D6BCFD95-C412-4F74-951E-5A68C1661DEA}"/>
    <hyperlink ref="A19" location="Processos!A1" display="Processos" xr:uid="{B48B8D1D-4D49-4084-8552-6B54A4946A54}"/>
    <hyperlink ref="A20" location="Gráficos!A1" display="Gráficos" xr:uid="{8750B0F4-11BE-42A1-A0C3-9FF3274B99DB}"/>
    <hyperlink ref="A17" location="'Projeções - CG + Capex'!A1" display="Projeções - CG + Capex" xr:uid="{320954A4-F8C7-4FA1-91B4-FF4523BC6649}"/>
    <hyperlink ref="A15" location="'Painel de Índices'!A1" display="Projeções - Receita" xr:uid="{163DB9DE-F9F1-4530-93CE-00AFBA662BB7}"/>
    <hyperlink ref="A12" location="'DRE - Contas Abertas'!A1" display="DRE - Contas Abertas" xr:uid="{AD6A8082-8AA3-460C-80F8-55786F9F8C93}"/>
    <hyperlink ref="A13" location="'Balanço Patrimonial'!A1" display="Balanço Patrimonial" xr:uid="{1A9E379F-F061-4C06-8BF1-4AF194018D65}"/>
    <hyperlink ref="A10" location="'DRE Consolidado'!A1" display="DRE Consolidado" xr:uid="{1907F17A-5397-40AA-85D3-7EF8F421BEEE}"/>
    <hyperlink ref="A16" location="'Projeções - Receita e EBIT'!A1" display="Projeções - Receita" xr:uid="{D62E1061-3DE3-4CCC-A286-D28C0F50D39F}"/>
    <hyperlink ref="A18" location="'Projeções 2023'!A1" display="Projeções 2022" xr:uid="{591BA58C-B7A5-4E12-B13F-C7C7B5FF8B8D}"/>
  </hyperlinks>
  <pageMargins left="0.511811024" right="0.511811024" top="0.78740157499999996" bottom="0.78740157499999996" header="0.31496062000000002" footer="0.31496062000000002"/>
  <pageSetup paperSize="9" orientation="portrait" r:id="rId1"/>
  <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857C05-143B-454B-AB59-EBD5A17EAF7E}">
  <sheetPr codeName="Sheet3"/>
  <dimension ref="A1:AL167"/>
  <sheetViews>
    <sheetView showGridLines="0" zoomScale="85" zoomScaleNormal="85" workbookViewId="0">
      <selection activeCell="S145" sqref="S145"/>
    </sheetView>
  </sheetViews>
  <sheetFormatPr defaultColWidth="0" defaultRowHeight="15" zeroHeight="1"/>
  <cols>
    <col min="1" max="1" width="34.7109375" style="209" customWidth="1"/>
    <col min="2" max="4" width="9.140625" style="210" customWidth="1"/>
    <col min="5" max="5" width="78.140625" style="210" bestFit="1" customWidth="1"/>
    <col min="6" max="6" width="13.28515625" style="210" bestFit="1" customWidth="1"/>
    <col min="7" max="8" width="13.28515625" style="210" customWidth="1"/>
    <col min="9" max="14" width="13.28515625" style="210" bestFit="1" customWidth="1"/>
    <col min="15" max="15" width="13.28515625" style="210" customWidth="1"/>
    <col min="16" max="18" width="10" style="210" bestFit="1" customWidth="1"/>
    <col min="19" max="35" width="8.85546875" style="210" customWidth="1"/>
    <col min="36" max="38" width="0" style="211" hidden="1" customWidth="1"/>
    <col min="39" max="16384" width="9.140625" style="211" hidden="1"/>
  </cols>
  <sheetData>
    <row r="1" spans="1:35" customFormat="1" ht="15" customHeight="1">
      <c r="A1" s="122"/>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row>
    <row r="2" spans="1:35" customFormat="1" ht="15" customHeight="1">
      <c r="A2" s="122"/>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5" customFormat="1" ht="15" customHeight="1">
      <c r="A3" s="122"/>
      <c r="B3" s="4"/>
      <c r="C3" s="4"/>
      <c r="D3" s="4"/>
      <c r="E3" s="65"/>
      <c r="F3" s="343" t="str">
        <f>Dashboard!$H$3</f>
        <v>SIMPAR (SIMH3)</v>
      </c>
      <c r="G3" s="343"/>
      <c r="H3" s="343"/>
      <c r="I3" s="343"/>
      <c r="J3" s="343"/>
      <c r="K3" s="65"/>
      <c r="L3" s="65"/>
      <c r="M3" s="65"/>
      <c r="N3" s="65"/>
      <c r="O3" s="65"/>
      <c r="P3" s="65"/>
      <c r="Q3" s="65"/>
      <c r="R3" s="65"/>
      <c r="S3" s="65"/>
      <c r="T3" s="65"/>
      <c r="U3" s="65"/>
      <c r="V3" s="65"/>
      <c r="W3" s="65"/>
      <c r="X3" s="65"/>
      <c r="Y3" s="65"/>
      <c r="Z3" s="65"/>
      <c r="AA3" s="65"/>
      <c r="AB3" s="65"/>
      <c r="AC3" s="65"/>
      <c r="AD3" s="65"/>
      <c r="AE3" s="65"/>
      <c r="AF3" s="65"/>
      <c r="AG3" s="65"/>
      <c r="AH3" s="65"/>
    </row>
    <row r="4" spans="1:35" customFormat="1" ht="15" customHeight="1">
      <c r="A4" s="122"/>
      <c r="B4" s="4"/>
      <c r="C4" s="4"/>
      <c r="D4" s="4"/>
      <c r="E4" s="65"/>
      <c r="F4" s="343"/>
      <c r="G4" s="343"/>
      <c r="H4" s="343"/>
      <c r="I4" s="343"/>
      <c r="J4" s="343"/>
      <c r="K4" s="65"/>
      <c r="L4" s="65"/>
      <c r="M4" s="65"/>
      <c r="N4" s="65"/>
      <c r="O4" s="65"/>
      <c r="P4" s="65"/>
      <c r="Q4" s="65"/>
      <c r="R4" s="65"/>
      <c r="S4" s="65"/>
      <c r="T4" s="65"/>
      <c r="U4" s="65"/>
      <c r="V4" s="65"/>
      <c r="W4" s="65"/>
      <c r="X4" s="65"/>
      <c r="Y4" s="65"/>
      <c r="Z4" s="65"/>
      <c r="AA4" s="65"/>
      <c r="AB4" s="65"/>
      <c r="AC4" s="65"/>
      <c r="AD4" s="65"/>
      <c r="AE4" s="65"/>
      <c r="AF4" s="65"/>
      <c r="AG4" s="65"/>
      <c r="AH4" s="65"/>
    </row>
    <row r="5" spans="1:35" customFormat="1" ht="15" customHeight="1">
      <c r="A5" s="122"/>
      <c r="B5" s="4"/>
      <c r="C5" s="4"/>
      <c r="D5" s="4"/>
      <c r="E5" s="65"/>
      <c r="F5" s="343"/>
      <c r="G5" s="343"/>
      <c r="H5" s="343"/>
      <c r="I5" s="343"/>
      <c r="J5" s="343"/>
      <c r="K5" s="65"/>
      <c r="L5" s="65"/>
      <c r="M5" s="65"/>
      <c r="N5" s="65"/>
      <c r="O5" s="65"/>
      <c r="P5" s="65"/>
      <c r="Q5" s="65"/>
      <c r="R5" s="65"/>
      <c r="S5" s="65"/>
      <c r="T5" s="65"/>
      <c r="U5" s="65"/>
      <c r="V5" s="65"/>
      <c r="W5" s="65"/>
      <c r="X5" s="65"/>
      <c r="Y5" s="65"/>
      <c r="Z5" s="65"/>
      <c r="AA5" s="65"/>
      <c r="AB5" s="65"/>
      <c r="AC5" s="65"/>
      <c r="AD5" s="65"/>
      <c r="AE5" s="65"/>
      <c r="AF5" s="65"/>
      <c r="AG5" s="65"/>
      <c r="AH5" s="65"/>
    </row>
    <row r="6" spans="1:35" customFormat="1" ht="15" customHeight="1">
      <c r="A6" s="122"/>
      <c r="B6" s="4"/>
      <c r="C6" s="4"/>
      <c r="D6" s="4"/>
      <c r="E6" s="4"/>
      <c r="F6" s="34"/>
      <c r="G6" s="34"/>
      <c r="H6" s="34"/>
      <c r="I6" s="34"/>
      <c r="J6" s="34"/>
      <c r="K6" s="4"/>
      <c r="L6" s="4"/>
      <c r="M6" s="4"/>
      <c r="N6" s="4"/>
      <c r="O6" s="4"/>
      <c r="P6" s="4"/>
      <c r="Q6" s="4"/>
      <c r="R6" s="4"/>
      <c r="S6" s="4"/>
      <c r="T6" s="4"/>
      <c r="U6" s="4"/>
      <c r="V6" s="4"/>
      <c r="W6" s="4"/>
      <c r="X6" s="4"/>
      <c r="Y6" s="4"/>
      <c r="Z6" s="4"/>
      <c r="AA6" s="4"/>
      <c r="AB6" s="4"/>
      <c r="AC6" s="4"/>
      <c r="AD6" s="4"/>
      <c r="AE6" s="4"/>
      <c r="AF6" s="4"/>
      <c r="AG6" s="4"/>
      <c r="AH6" s="4"/>
    </row>
    <row r="7" spans="1:35" customFormat="1" ht="30" customHeight="1">
      <c r="A7" s="123" t="s">
        <v>33</v>
      </c>
      <c r="B7" s="10"/>
      <c r="C7" s="4"/>
      <c r="D7" s="4"/>
      <c r="E7" s="10"/>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spans="1:35" customFormat="1" ht="30" customHeight="1">
      <c r="A8" s="12" t="s">
        <v>34</v>
      </c>
      <c r="B8" s="4"/>
      <c r="C8" s="4"/>
      <c r="D8" s="4"/>
      <c r="E8" s="29"/>
      <c r="F8" s="5"/>
      <c r="G8" s="5"/>
      <c r="H8" s="5"/>
      <c r="I8" s="5"/>
      <c r="J8" s="5"/>
      <c r="K8" s="5"/>
      <c r="L8" s="66"/>
      <c r="M8" s="66"/>
      <c r="N8" s="66"/>
      <c r="O8" s="5"/>
      <c r="P8" s="4"/>
      <c r="Q8" s="4"/>
      <c r="R8" s="4"/>
      <c r="S8" s="4"/>
      <c r="T8" s="4"/>
      <c r="U8" s="4"/>
      <c r="V8" s="4"/>
      <c r="W8" s="4"/>
      <c r="X8" s="4"/>
      <c r="Y8" s="4"/>
      <c r="Z8" s="4"/>
      <c r="AA8" s="4"/>
      <c r="AB8" s="4"/>
      <c r="AC8" s="4"/>
      <c r="AD8" s="4"/>
      <c r="AE8" s="4"/>
      <c r="AF8" s="4"/>
      <c r="AG8" s="4"/>
      <c r="AH8" s="4"/>
    </row>
    <row r="9" spans="1:35" customFormat="1" ht="30" customHeight="1">
      <c r="A9" s="12" t="s">
        <v>23</v>
      </c>
      <c r="B9" s="4"/>
      <c r="C9" s="4"/>
      <c r="D9" s="4"/>
      <c r="E9" s="124"/>
      <c r="F9" s="37">
        <v>2014</v>
      </c>
      <c r="G9" s="37">
        <v>2015</v>
      </c>
      <c r="H9" s="37">
        <v>2016</v>
      </c>
      <c r="I9" s="37">
        <v>2017</v>
      </c>
      <c r="J9" s="37">
        <v>2018</v>
      </c>
      <c r="K9" s="37">
        <v>2019</v>
      </c>
      <c r="L9" s="119">
        <v>2020</v>
      </c>
      <c r="M9" s="119">
        <v>2021</v>
      </c>
      <c r="N9" s="119">
        <v>2022</v>
      </c>
      <c r="O9" s="230" t="s">
        <v>501</v>
      </c>
      <c r="P9" s="88"/>
      <c r="Q9" s="4"/>
      <c r="R9" s="4"/>
      <c r="S9" s="4"/>
      <c r="T9" s="4"/>
      <c r="U9" s="4"/>
      <c r="V9" s="4"/>
      <c r="W9" s="4"/>
      <c r="X9" s="4"/>
      <c r="Y9" s="4"/>
      <c r="Z9" s="4"/>
      <c r="AA9" s="4"/>
      <c r="AB9" s="4"/>
      <c r="AC9" s="4"/>
      <c r="AD9" s="4"/>
      <c r="AE9" s="4"/>
      <c r="AF9" s="4"/>
      <c r="AG9" s="4"/>
      <c r="AH9" s="4"/>
    </row>
    <row r="10" spans="1:35" customFormat="1" ht="30" customHeight="1">
      <c r="A10" s="12" t="s">
        <v>330</v>
      </c>
      <c r="B10" s="4"/>
      <c r="C10" s="4"/>
      <c r="D10" s="4"/>
      <c r="E10" s="124" t="s">
        <v>216</v>
      </c>
      <c r="F10" s="42"/>
      <c r="G10" s="42"/>
      <c r="H10" s="42"/>
      <c r="I10" s="42"/>
      <c r="J10" s="42"/>
      <c r="K10" s="42"/>
      <c r="L10" s="42">
        <v>-1019754</v>
      </c>
      <c r="M10" s="42">
        <v>-1899550</v>
      </c>
      <c r="N10" s="42">
        <v>-4817452</v>
      </c>
      <c r="O10" s="89">
        <v>-5633059</v>
      </c>
      <c r="P10" s="88"/>
      <c r="Q10" s="4"/>
      <c r="R10" s="4"/>
      <c r="S10" s="4"/>
      <c r="T10" s="4"/>
      <c r="U10" s="4"/>
      <c r="V10" s="4"/>
      <c r="W10" s="4"/>
      <c r="X10" s="4"/>
      <c r="Y10" s="4"/>
      <c r="Z10" s="4"/>
      <c r="AA10" s="4"/>
      <c r="AB10" s="4"/>
      <c r="AC10" s="4"/>
      <c r="AD10" s="4"/>
      <c r="AE10" s="4"/>
      <c r="AF10" s="4"/>
      <c r="AG10" s="4"/>
      <c r="AH10" s="4"/>
    </row>
    <row r="11" spans="1:35" customFormat="1" ht="30" customHeight="1">
      <c r="A11" s="12" t="s">
        <v>36</v>
      </c>
      <c r="B11" s="4"/>
      <c r="C11" s="4"/>
      <c r="D11" s="4"/>
      <c r="E11" s="124" t="s">
        <v>217</v>
      </c>
      <c r="F11" s="42">
        <v>-592675</v>
      </c>
      <c r="G11" s="42">
        <v>-427897</v>
      </c>
      <c r="H11" s="42">
        <v>-281566</v>
      </c>
      <c r="I11" s="42">
        <v>-319150</v>
      </c>
      <c r="J11" s="42">
        <v>-535727</v>
      </c>
      <c r="K11" s="42">
        <v>-586574</v>
      </c>
      <c r="L11" s="42"/>
      <c r="M11" s="42"/>
      <c r="N11" s="42"/>
      <c r="O11" s="89"/>
      <c r="P11" s="88"/>
      <c r="Q11" s="4"/>
      <c r="R11" s="4"/>
      <c r="S11" s="4"/>
      <c r="T11" s="4"/>
      <c r="U11" s="4"/>
      <c r="V11" s="4"/>
      <c r="W11" s="4"/>
      <c r="X11" s="4"/>
      <c r="Y11" s="4"/>
      <c r="Z11" s="4"/>
      <c r="AA11" s="4"/>
      <c r="AB11" s="4"/>
      <c r="AC11" s="4"/>
      <c r="AD11" s="4"/>
      <c r="AE11" s="4"/>
      <c r="AF11" s="4"/>
      <c r="AG11" s="4"/>
      <c r="AH11" s="4"/>
    </row>
    <row r="12" spans="1:35" customFormat="1" ht="30" customHeight="1">
      <c r="A12" s="168" t="s">
        <v>127</v>
      </c>
      <c r="B12" s="4"/>
      <c r="C12" s="4"/>
      <c r="D12" s="4"/>
      <c r="E12" s="124" t="s">
        <v>218</v>
      </c>
      <c r="F12" s="42">
        <v>-280455</v>
      </c>
      <c r="G12" s="42">
        <v>-285571</v>
      </c>
      <c r="H12" s="42">
        <v>-275399</v>
      </c>
      <c r="I12" s="42">
        <v>-251561</v>
      </c>
      <c r="J12" s="42">
        <v>-254716</v>
      </c>
      <c r="K12" s="42">
        <v>-282749</v>
      </c>
      <c r="L12" s="42"/>
      <c r="M12" s="42"/>
      <c r="N12" s="42"/>
      <c r="O12" s="89"/>
      <c r="P12" s="88"/>
      <c r="Q12" s="4"/>
      <c r="R12" s="4"/>
      <c r="S12" s="4"/>
      <c r="T12" s="4"/>
      <c r="U12" s="4"/>
      <c r="V12" s="4"/>
      <c r="W12" s="4"/>
      <c r="X12" s="4"/>
      <c r="Y12" s="4"/>
      <c r="Z12" s="4"/>
      <c r="AA12" s="4"/>
      <c r="AB12" s="4"/>
      <c r="AC12" s="4"/>
      <c r="AD12" s="4"/>
      <c r="AE12" s="4"/>
      <c r="AF12" s="4"/>
      <c r="AG12" s="4"/>
      <c r="AH12" s="4"/>
    </row>
    <row r="13" spans="1:35" customFormat="1" ht="30" customHeight="1">
      <c r="A13" s="12" t="s">
        <v>37</v>
      </c>
      <c r="B13" s="4"/>
      <c r="C13" s="4"/>
      <c r="D13" s="4"/>
      <c r="E13" s="124" t="s">
        <v>219</v>
      </c>
      <c r="F13" s="42">
        <v>-110505</v>
      </c>
      <c r="G13" s="42"/>
      <c r="H13" s="42">
        <v>-90706</v>
      </c>
      <c r="I13" s="42">
        <v>-77717</v>
      </c>
      <c r="J13" s="42">
        <v>-111711</v>
      </c>
      <c r="K13" s="42">
        <v>-122657</v>
      </c>
      <c r="L13" s="42"/>
      <c r="M13" s="42"/>
      <c r="N13" s="42"/>
      <c r="O13" s="89"/>
      <c r="P13" s="88"/>
      <c r="Q13" s="4"/>
      <c r="R13" s="4"/>
      <c r="S13" s="4"/>
      <c r="T13" s="4"/>
      <c r="U13" s="4"/>
      <c r="V13" s="4"/>
      <c r="W13" s="4"/>
      <c r="X13" s="4"/>
      <c r="Y13" s="4"/>
      <c r="Z13" s="4"/>
      <c r="AA13" s="4"/>
      <c r="AB13" s="4"/>
      <c r="AC13" s="4"/>
      <c r="AD13" s="4"/>
      <c r="AE13" s="4"/>
      <c r="AF13" s="4"/>
      <c r="AG13" s="4"/>
      <c r="AH13" s="4"/>
    </row>
    <row r="14" spans="1:35" customFormat="1" ht="30" customHeight="1">
      <c r="A14" s="167" t="s">
        <v>100</v>
      </c>
      <c r="B14" s="4"/>
      <c r="C14" s="4"/>
      <c r="D14" s="4"/>
      <c r="E14" s="124" t="s">
        <v>496</v>
      </c>
      <c r="F14" s="42"/>
      <c r="G14" s="42"/>
      <c r="H14" s="42"/>
      <c r="I14" s="42"/>
      <c r="J14" s="42"/>
      <c r="K14" s="42"/>
      <c r="L14" s="42"/>
      <c r="M14" s="42"/>
      <c r="N14" s="42"/>
      <c r="O14" s="89">
        <v>-82622</v>
      </c>
      <c r="P14" s="88"/>
      <c r="Q14" s="4"/>
      <c r="R14" s="4"/>
      <c r="S14" s="4"/>
      <c r="T14" s="4"/>
      <c r="U14" s="4"/>
      <c r="V14" s="4"/>
      <c r="W14" s="4"/>
      <c r="X14" s="4"/>
      <c r="Y14" s="4"/>
      <c r="Z14" s="4"/>
      <c r="AA14" s="4"/>
      <c r="AB14" s="4"/>
      <c r="AC14" s="4"/>
      <c r="AD14" s="4"/>
      <c r="AE14" s="4"/>
      <c r="AF14" s="4"/>
      <c r="AG14" s="4"/>
      <c r="AH14" s="4"/>
    </row>
    <row r="15" spans="1:35" customFormat="1" ht="30" customHeight="1">
      <c r="A15" s="12" t="s">
        <v>331</v>
      </c>
      <c r="B15" s="4"/>
      <c r="C15" s="4"/>
      <c r="D15" s="4"/>
      <c r="E15" s="124" t="s">
        <v>220</v>
      </c>
      <c r="F15" s="42">
        <v>-148406</v>
      </c>
      <c r="G15" s="42"/>
      <c r="H15" s="42">
        <v>-247034</v>
      </c>
      <c r="I15" s="42">
        <v>-224258</v>
      </c>
      <c r="J15" s="42">
        <v>-177630</v>
      </c>
      <c r="K15" s="42">
        <v>-271440</v>
      </c>
      <c r="L15" s="42">
        <v>-279687</v>
      </c>
      <c r="M15" s="42">
        <v>-405447</v>
      </c>
      <c r="N15" s="42">
        <v>-522589</v>
      </c>
      <c r="O15" s="89">
        <v>-372364</v>
      </c>
      <c r="P15" s="88"/>
      <c r="Q15" s="4"/>
      <c r="R15" s="4"/>
      <c r="S15" s="4"/>
      <c r="T15" s="4"/>
      <c r="U15" s="4"/>
      <c r="V15" s="4"/>
      <c r="W15" s="4"/>
      <c r="X15" s="4"/>
      <c r="Y15" s="4"/>
      <c r="Z15" s="4"/>
      <c r="AA15" s="4"/>
      <c r="AB15" s="4"/>
      <c r="AC15" s="4"/>
      <c r="AD15" s="4"/>
      <c r="AE15" s="4"/>
      <c r="AF15" s="4"/>
      <c r="AG15" s="4"/>
      <c r="AH15" s="4"/>
    </row>
    <row r="16" spans="1:35" customFormat="1" ht="30" customHeight="1">
      <c r="A16" s="167" t="s">
        <v>129</v>
      </c>
      <c r="B16" s="4"/>
      <c r="C16" s="4"/>
      <c r="D16" s="4"/>
      <c r="E16" s="124" t="s">
        <v>221</v>
      </c>
      <c r="F16" s="42">
        <v>-681231</v>
      </c>
      <c r="G16" s="42">
        <v>-877618</v>
      </c>
      <c r="H16" s="42">
        <v>-1289069</v>
      </c>
      <c r="I16" s="42">
        <v>-1584813</v>
      </c>
      <c r="J16" s="42">
        <v>-1609867</v>
      </c>
      <c r="K16" s="42">
        <v>-2524180</v>
      </c>
      <c r="L16" s="42">
        <v>-2618101</v>
      </c>
      <c r="M16" s="42">
        <v>-2077780</v>
      </c>
      <c r="N16" s="42">
        <v>-4166192</v>
      </c>
      <c r="O16" s="89">
        <v>-4104310</v>
      </c>
      <c r="P16" s="88"/>
      <c r="Q16" s="4"/>
      <c r="R16" s="4"/>
      <c r="S16" s="4"/>
      <c r="T16" s="4"/>
      <c r="U16" s="4"/>
      <c r="V16" s="4"/>
      <c r="W16" s="4"/>
      <c r="X16" s="4"/>
      <c r="Y16" s="4"/>
      <c r="Z16" s="4"/>
      <c r="AA16" s="4"/>
      <c r="AB16" s="4"/>
      <c r="AC16" s="4"/>
      <c r="AD16" s="4"/>
      <c r="AE16" s="4"/>
      <c r="AF16" s="4"/>
      <c r="AG16" s="4"/>
      <c r="AH16" s="4"/>
    </row>
    <row r="17" spans="1:34" customFormat="1" ht="30" customHeight="1">
      <c r="A17" s="167" t="s">
        <v>493</v>
      </c>
      <c r="B17" s="4"/>
      <c r="C17" s="58"/>
      <c r="D17" s="4"/>
      <c r="E17" s="124" t="s">
        <v>60</v>
      </c>
      <c r="F17" s="42">
        <f>-1045800-228365</f>
        <v>-1274165</v>
      </c>
      <c r="G17" s="42">
        <v>-1299564</v>
      </c>
      <c r="H17" s="42">
        <v>-1365077</v>
      </c>
      <c r="I17" s="42">
        <v>-1399487</v>
      </c>
      <c r="J17" s="42">
        <v>-1510200</v>
      </c>
      <c r="K17" s="42">
        <v>-1603040</v>
      </c>
      <c r="L17" s="42">
        <v>-1477812</v>
      </c>
      <c r="M17" s="42">
        <v>-2278160</v>
      </c>
      <c r="N17" s="42">
        <v>-3291385</v>
      </c>
      <c r="O17" s="89">
        <v>-3029391</v>
      </c>
      <c r="P17" s="88"/>
      <c r="Q17" s="58"/>
      <c r="R17" s="58"/>
      <c r="S17" s="58"/>
      <c r="T17" s="58"/>
      <c r="U17" s="58"/>
      <c r="V17" s="58"/>
      <c r="W17" s="58"/>
      <c r="X17" s="58"/>
      <c r="Y17" s="58"/>
      <c r="Z17" s="58"/>
      <c r="AA17" s="58"/>
      <c r="AB17" s="58"/>
      <c r="AC17" s="58"/>
      <c r="AD17" s="58"/>
      <c r="AE17" s="58"/>
      <c r="AF17" s="58"/>
      <c r="AG17" s="58"/>
      <c r="AH17" s="58"/>
    </row>
    <row r="18" spans="1:34" customFormat="1" ht="30" customHeight="1">
      <c r="A18" s="12" t="s">
        <v>128</v>
      </c>
      <c r="B18" s="4"/>
      <c r="C18" s="58"/>
      <c r="D18" s="58"/>
      <c r="E18" s="124" t="s">
        <v>222</v>
      </c>
      <c r="F18" s="42">
        <v>-656182</v>
      </c>
      <c r="G18" s="42">
        <v>-656004</v>
      </c>
      <c r="H18" s="42">
        <v>-721429</v>
      </c>
      <c r="I18" s="42">
        <v>-900896</v>
      </c>
      <c r="J18" s="42">
        <v>-996936</v>
      </c>
      <c r="K18" s="42">
        <v>-952975</v>
      </c>
      <c r="L18" s="42">
        <v>-854451</v>
      </c>
      <c r="M18" s="42">
        <v>-1149724</v>
      </c>
      <c r="N18" s="42">
        <v>-1382969</v>
      </c>
      <c r="O18" s="89">
        <v>-1206899</v>
      </c>
      <c r="P18" s="88"/>
      <c r="Q18" s="58"/>
      <c r="R18" s="58"/>
      <c r="S18" s="58"/>
      <c r="T18" s="58"/>
      <c r="U18" s="58"/>
      <c r="V18" s="58"/>
      <c r="W18" s="58"/>
      <c r="X18" s="58"/>
      <c r="Y18" s="58"/>
      <c r="Z18" s="58"/>
      <c r="AA18" s="58"/>
      <c r="AB18" s="58"/>
      <c r="AC18" s="58"/>
      <c r="AD18" s="58"/>
      <c r="AE18" s="58"/>
      <c r="AF18" s="58"/>
      <c r="AG18" s="58"/>
      <c r="AH18" s="58"/>
    </row>
    <row r="19" spans="1:34" customFormat="1" ht="30" customHeight="1">
      <c r="A19" s="12"/>
      <c r="B19" s="4"/>
      <c r="C19" s="58"/>
      <c r="D19" s="58"/>
      <c r="E19" s="124" t="s">
        <v>223</v>
      </c>
      <c r="F19" s="42">
        <f>-391194-17671</f>
        <v>-408865</v>
      </c>
      <c r="G19" s="42">
        <v>-508626</v>
      </c>
      <c r="H19" s="42">
        <v>-547187</v>
      </c>
      <c r="I19" s="42">
        <v>-525731</v>
      </c>
      <c r="J19" s="42">
        <v>-636817</v>
      </c>
      <c r="K19" s="42">
        <v>-916744</v>
      </c>
      <c r="L19" s="42">
        <v>-1111953</v>
      </c>
      <c r="M19" s="42">
        <v>-1059114</v>
      </c>
      <c r="N19" s="42">
        <v>-1886277</v>
      </c>
      <c r="O19" s="89">
        <v>-2043227</v>
      </c>
      <c r="P19" s="88"/>
      <c r="Q19" s="58"/>
      <c r="R19" s="58"/>
      <c r="S19" s="58"/>
      <c r="T19" s="58"/>
      <c r="U19" s="58"/>
      <c r="V19" s="58"/>
      <c r="W19" s="58"/>
      <c r="X19" s="58"/>
      <c r="Y19" s="58"/>
      <c r="Z19" s="58"/>
      <c r="AA19" s="58"/>
      <c r="AB19" s="58"/>
      <c r="AC19" s="58"/>
      <c r="AD19" s="58"/>
      <c r="AE19" s="58"/>
      <c r="AF19" s="58"/>
      <c r="AG19" s="58"/>
      <c r="AH19" s="58"/>
    </row>
    <row r="20" spans="1:34" customFormat="1" ht="30" customHeight="1">
      <c r="A20" s="77"/>
      <c r="B20" s="58"/>
      <c r="C20" s="58"/>
      <c r="D20" s="58"/>
      <c r="E20" s="124" t="s">
        <v>167</v>
      </c>
      <c r="F20" s="42">
        <v>-260230</v>
      </c>
      <c r="G20" s="42">
        <v>-394413</v>
      </c>
      <c r="H20" s="42">
        <v>-348746</v>
      </c>
      <c r="I20" s="42">
        <v>-424460</v>
      </c>
      <c r="J20" s="42">
        <v>-438912</v>
      </c>
      <c r="K20" s="42">
        <v>-498789</v>
      </c>
      <c r="L20" s="42">
        <v>-489633</v>
      </c>
      <c r="M20" s="42">
        <v>-701562</v>
      </c>
      <c r="N20" s="42">
        <v>-1015445</v>
      </c>
      <c r="O20" s="89">
        <v>-973798</v>
      </c>
      <c r="P20" s="88"/>
      <c r="Q20" s="58"/>
      <c r="R20" s="58"/>
      <c r="S20" s="58"/>
      <c r="T20" s="58"/>
      <c r="U20" s="58"/>
      <c r="V20" s="58"/>
      <c r="W20" s="58"/>
      <c r="X20" s="58"/>
      <c r="Y20" s="58"/>
      <c r="Z20" s="58"/>
      <c r="AA20" s="58"/>
      <c r="AB20" s="58"/>
      <c r="AC20" s="58"/>
      <c r="AD20" s="58"/>
      <c r="AE20" s="58"/>
      <c r="AF20" s="58"/>
      <c r="AG20" s="58"/>
      <c r="AH20" s="58"/>
    </row>
    <row r="21" spans="1:34" customFormat="1" ht="30" customHeight="1">
      <c r="A21" s="77"/>
      <c r="B21" s="58"/>
      <c r="C21" s="58"/>
      <c r="D21" s="58"/>
      <c r="E21" s="124" t="s">
        <v>168</v>
      </c>
      <c r="F21" s="42">
        <v>-233123</v>
      </c>
      <c r="G21" s="42">
        <v>-256416</v>
      </c>
      <c r="H21" s="42">
        <v>-271274</v>
      </c>
      <c r="I21" s="42">
        <v>-244744</v>
      </c>
      <c r="J21" s="42">
        <v>-256323</v>
      </c>
      <c r="K21" s="42">
        <v>-236111</v>
      </c>
      <c r="L21" s="42">
        <v>-214393</v>
      </c>
      <c r="M21" s="42">
        <v>-494957</v>
      </c>
      <c r="N21" s="42">
        <v>-899084</v>
      </c>
      <c r="O21" s="89">
        <v>-698804</v>
      </c>
      <c r="P21" s="88"/>
      <c r="Q21" s="58"/>
      <c r="R21" s="58"/>
      <c r="S21" s="58"/>
      <c r="T21" s="58"/>
      <c r="U21" s="58"/>
      <c r="V21" s="58"/>
      <c r="W21" s="58"/>
      <c r="X21" s="58"/>
      <c r="Y21" s="58"/>
      <c r="Z21" s="58"/>
      <c r="AA21" s="58"/>
      <c r="AB21" s="58"/>
      <c r="AC21" s="58"/>
      <c r="AD21" s="58"/>
      <c r="AE21" s="58"/>
      <c r="AF21" s="58"/>
      <c r="AG21" s="58"/>
      <c r="AH21" s="58"/>
    </row>
    <row r="22" spans="1:34" customFormat="1" ht="30" customHeight="1">
      <c r="A22" s="77"/>
      <c r="B22" s="58"/>
      <c r="C22" s="58"/>
      <c r="D22" s="58"/>
      <c r="E22" s="124" t="s">
        <v>169</v>
      </c>
      <c r="F22" s="42">
        <v>-14836</v>
      </c>
      <c r="G22" s="42"/>
      <c r="H22" s="42">
        <v>-4418</v>
      </c>
      <c r="I22" s="42">
        <v>-5213</v>
      </c>
      <c r="J22" s="42">
        <v>-17297</v>
      </c>
      <c r="K22" s="42">
        <v>-11895</v>
      </c>
      <c r="L22" s="42">
        <v>-43158</v>
      </c>
      <c r="M22" s="42">
        <v>-65288</v>
      </c>
      <c r="N22" s="42">
        <v>-115364</v>
      </c>
      <c r="O22" s="89">
        <v>-105991</v>
      </c>
      <c r="P22" s="88"/>
      <c r="Q22" s="58"/>
      <c r="R22" s="58"/>
      <c r="S22" s="58"/>
      <c r="T22" s="58"/>
      <c r="U22" s="58"/>
      <c r="V22" s="58"/>
      <c r="W22" s="58"/>
      <c r="X22" s="58"/>
      <c r="Y22" s="58"/>
      <c r="Z22" s="58"/>
      <c r="AA22" s="58"/>
      <c r="AB22" s="58"/>
      <c r="AC22" s="58"/>
      <c r="AD22" s="58"/>
      <c r="AE22" s="58"/>
      <c r="AF22" s="58"/>
      <c r="AG22" s="58"/>
      <c r="AH22" s="58"/>
    </row>
    <row r="23" spans="1:34" customFormat="1" ht="30" customHeight="1">
      <c r="A23" s="77"/>
      <c r="B23" s="58"/>
      <c r="C23" s="58"/>
      <c r="D23" s="58"/>
      <c r="E23" s="124" t="s">
        <v>224</v>
      </c>
      <c r="F23" s="42">
        <f>-18944-62100</f>
        <v>-81044</v>
      </c>
      <c r="G23" s="42">
        <v>-93764</v>
      </c>
      <c r="H23" s="42">
        <v>-175477</v>
      </c>
      <c r="I23" s="42">
        <v>-184196</v>
      </c>
      <c r="J23" s="42">
        <v>-241971</v>
      </c>
      <c r="K23" s="42">
        <v>-271413</v>
      </c>
      <c r="L23" s="42">
        <v>-285556</v>
      </c>
      <c r="M23" s="42">
        <v>-444935</v>
      </c>
      <c r="N23" s="42">
        <v>-657511</v>
      </c>
      <c r="O23" s="89">
        <v>-655393</v>
      </c>
      <c r="P23" s="88"/>
      <c r="Q23" s="58"/>
      <c r="R23" s="58"/>
      <c r="S23" s="58"/>
      <c r="T23" s="58"/>
      <c r="U23" s="58"/>
      <c r="V23" s="58"/>
      <c r="W23" s="58"/>
      <c r="X23" s="58"/>
      <c r="Y23" s="58"/>
      <c r="Z23" s="58"/>
      <c r="AA23" s="58"/>
      <c r="AB23" s="58"/>
      <c r="AC23" s="58"/>
      <c r="AD23" s="58"/>
      <c r="AE23" s="58"/>
      <c r="AF23" s="58"/>
      <c r="AG23" s="58"/>
      <c r="AH23" s="58"/>
    </row>
    <row r="24" spans="1:34" customFormat="1" ht="30" customHeight="1">
      <c r="A24" s="77"/>
      <c r="B24" s="58"/>
      <c r="C24" s="58"/>
      <c r="D24" s="58"/>
      <c r="E24" s="124" t="s">
        <v>225</v>
      </c>
      <c r="F24" s="42">
        <v>-3352</v>
      </c>
      <c r="G24" s="42"/>
      <c r="H24" s="42">
        <v>-27025</v>
      </c>
      <c r="I24" s="42">
        <v>2249</v>
      </c>
      <c r="J24" s="42">
        <v>-9146</v>
      </c>
      <c r="K24" s="42">
        <v>-32527</v>
      </c>
      <c r="L24" s="42">
        <v>-78667</v>
      </c>
      <c r="M24" s="42">
        <v>-56164</v>
      </c>
      <c r="N24" s="42">
        <v>-127315</v>
      </c>
      <c r="O24" s="89">
        <v>-153092</v>
      </c>
      <c r="P24" s="88"/>
      <c r="Q24" s="58"/>
      <c r="R24" s="58"/>
      <c r="S24" s="58"/>
      <c r="T24" s="58"/>
      <c r="U24" s="58"/>
      <c r="V24" s="58"/>
      <c r="W24" s="58"/>
      <c r="X24" s="58"/>
      <c r="Y24" s="58"/>
      <c r="Z24" s="58"/>
      <c r="AA24" s="58"/>
      <c r="AB24" s="58"/>
      <c r="AC24" s="58"/>
      <c r="AD24" s="58"/>
      <c r="AE24" s="58"/>
      <c r="AF24" s="58"/>
      <c r="AG24" s="58"/>
      <c r="AH24" s="58"/>
    </row>
    <row r="25" spans="1:34" customFormat="1" ht="30" customHeight="1">
      <c r="A25" s="77"/>
      <c r="B25" s="58"/>
      <c r="C25" s="58"/>
      <c r="D25" s="58"/>
      <c r="E25" s="124" t="s">
        <v>226</v>
      </c>
      <c r="F25" s="42"/>
      <c r="G25" s="42"/>
      <c r="H25" s="42"/>
      <c r="I25" s="42"/>
      <c r="J25" s="42"/>
      <c r="K25" s="42"/>
      <c r="L25" s="42">
        <v>-145249</v>
      </c>
      <c r="M25" s="42" t="s">
        <v>22</v>
      </c>
      <c r="N25" s="42">
        <v>-9498</v>
      </c>
      <c r="O25" s="89">
        <v>0</v>
      </c>
      <c r="P25" s="88"/>
      <c r="Q25" s="58"/>
      <c r="R25" s="58"/>
      <c r="S25" s="58"/>
      <c r="T25" s="58"/>
      <c r="U25" s="58"/>
      <c r="V25" s="58"/>
      <c r="W25" s="58"/>
      <c r="X25" s="58"/>
      <c r="Y25" s="58"/>
      <c r="Z25" s="58"/>
      <c r="AA25" s="58"/>
      <c r="AB25" s="58"/>
      <c r="AC25" s="58"/>
      <c r="AD25" s="58"/>
      <c r="AE25" s="58"/>
      <c r="AF25" s="58"/>
      <c r="AG25" s="58"/>
      <c r="AH25" s="58"/>
    </row>
    <row r="26" spans="1:34" customFormat="1" ht="30" customHeight="1">
      <c r="A26" s="77"/>
      <c r="B26" s="58"/>
      <c r="C26" s="58"/>
      <c r="D26" s="58"/>
      <c r="E26" s="124" t="s">
        <v>227</v>
      </c>
      <c r="F26" s="42">
        <v>-24516</v>
      </c>
      <c r="G26" s="42">
        <v>-6205</v>
      </c>
      <c r="H26" s="42">
        <v>-34755</v>
      </c>
      <c r="I26" s="42">
        <v>-48724</v>
      </c>
      <c r="J26" s="42">
        <v>-32345</v>
      </c>
      <c r="K26" s="42">
        <v>-48635</v>
      </c>
      <c r="L26" s="42">
        <v>-56253</v>
      </c>
      <c r="M26" s="42">
        <v>-41436</v>
      </c>
      <c r="N26" s="42">
        <v>-49176</v>
      </c>
      <c r="O26" s="89">
        <v>-47299</v>
      </c>
      <c r="P26" s="88"/>
      <c r="Q26" s="58"/>
      <c r="R26" s="58"/>
      <c r="S26" s="58"/>
      <c r="T26" s="58"/>
      <c r="U26" s="58"/>
      <c r="V26" s="58"/>
      <c r="W26" s="58"/>
      <c r="X26" s="58"/>
      <c r="Y26" s="58"/>
      <c r="Z26" s="58"/>
      <c r="AA26" s="58"/>
      <c r="AB26" s="58"/>
      <c r="AC26" s="58"/>
      <c r="AD26" s="58"/>
      <c r="AE26" s="58"/>
      <c r="AF26" s="58"/>
      <c r="AG26" s="58"/>
      <c r="AH26" s="58"/>
    </row>
    <row r="27" spans="1:34" customFormat="1" ht="30" customHeight="1">
      <c r="A27" s="77"/>
      <c r="B27" s="58"/>
      <c r="C27" s="58"/>
      <c r="D27" s="58"/>
      <c r="E27" s="124" t="s">
        <v>170</v>
      </c>
      <c r="F27" s="42"/>
      <c r="G27" s="42"/>
      <c r="H27" s="42">
        <v>-25250</v>
      </c>
      <c r="I27" s="42">
        <v>-23879</v>
      </c>
      <c r="J27" s="42">
        <v>-26243</v>
      </c>
      <c r="K27" s="42">
        <v>-33047</v>
      </c>
      <c r="L27" s="42">
        <v>-29820</v>
      </c>
      <c r="M27" s="42">
        <v>-39861</v>
      </c>
      <c r="N27" s="42">
        <v>-52864</v>
      </c>
      <c r="O27" s="89">
        <v>-41544</v>
      </c>
      <c r="P27" s="88"/>
      <c r="Q27" s="58"/>
      <c r="R27" s="58"/>
      <c r="S27" s="58"/>
      <c r="T27" s="58"/>
      <c r="U27" s="58"/>
      <c r="V27" s="58"/>
      <c r="W27" s="58"/>
      <c r="X27" s="58"/>
      <c r="Y27" s="58"/>
      <c r="Z27" s="58"/>
      <c r="AA27" s="58"/>
      <c r="AB27" s="58"/>
      <c r="AC27" s="58"/>
      <c r="AD27" s="58"/>
      <c r="AE27" s="58"/>
      <c r="AF27" s="58"/>
      <c r="AG27" s="58"/>
      <c r="AH27" s="58"/>
    </row>
    <row r="28" spans="1:34" customFormat="1" ht="30" customHeight="1">
      <c r="A28" s="77"/>
      <c r="B28" s="58"/>
      <c r="C28" s="58"/>
      <c r="D28" s="58"/>
      <c r="E28" s="124" t="s">
        <v>228</v>
      </c>
      <c r="F28" s="42"/>
      <c r="G28" s="42"/>
      <c r="H28" s="42">
        <v>-45447</v>
      </c>
      <c r="I28" s="42">
        <v>-77445</v>
      </c>
      <c r="J28" s="42">
        <v>-80763</v>
      </c>
      <c r="K28" s="42">
        <v>-42601</v>
      </c>
      <c r="L28" s="42">
        <v>-37135</v>
      </c>
      <c r="M28" s="42">
        <v>-58698</v>
      </c>
      <c r="N28" s="42">
        <v>-169869</v>
      </c>
      <c r="O28" s="89">
        <v>-161197</v>
      </c>
      <c r="P28" s="88"/>
      <c r="Q28" s="58"/>
      <c r="R28" s="58"/>
      <c r="S28" s="58"/>
      <c r="T28" s="58"/>
      <c r="U28" s="58"/>
      <c r="V28" s="58"/>
      <c r="W28" s="58"/>
      <c r="X28" s="58"/>
      <c r="Y28" s="58"/>
      <c r="Z28" s="58"/>
      <c r="AA28" s="58"/>
      <c r="AB28" s="58"/>
      <c r="AC28" s="58"/>
      <c r="AD28" s="58"/>
      <c r="AE28" s="58"/>
      <c r="AF28" s="58"/>
      <c r="AG28" s="58"/>
      <c r="AH28" s="58"/>
    </row>
    <row r="29" spans="1:34" customFormat="1" ht="30" customHeight="1">
      <c r="A29" s="77"/>
      <c r="B29" s="58"/>
      <c r="C29" s="58"/>
      <c r="D29" s="58"/>
      <c r="E29" s="124" t="s">
        <v>229</v>
      </c>
      <c r="F29" s="42">
        <f>-65505-46743</f>
        <v>-112248</v>
      </c>
      <c r="G29" s="42">
        <v>-38650</v>
      </c>
      <c r="H29" s="42">
        <v>-161059</v>
      </c>
      <c r="I29" s="42">
        <v>-161048</v>
      </c>
      <c r="J29" s="42">
        <v>-152328</v>
      </c>
      <c r="K29" s="42">
        <v>-45151</v>
      </c>
      <c r="L29" s="42">
        <v>-21769</v>
      </c>
      <c r="M29" s="42">
        <v>-2215</v>
      </c>
      <c r="N29" s="42">
        <v>-30761</v>
      </c>
      <c r="O29" s="89">
        <v>-16481</v>
      </c>
      <c r="P29" s="88"/>
      <c r="Q29" s="58"/>
      <c r="R29" s="58"/>
      <c r="S29" s="58"/>
      <c r="T29" s="58"/>
      <c r="U29" s="58"/>
      <c r="V29" s="58"/>
      <c r="W29" s="58"/>
      <c r="X29" s="58"/>
      <c r="Y29" s="58"/>
      <c r="Z29" s="58"/>
      <c r="AA29" s="58"/>
      <c r="AB29" s="58"/>
      <c r="AC29" s="58"/>
      <c r="AD29" s="58"/>
      <c r="AE29" s="58"/>
      <c r="AF29" s="58"/>
      <c r="AG29" s="58"/>
      <c r="AH29" s="58"/>
    </row>
    <row r="30" spans="1:34" customFormat="1" ht="30" customHeight="1">
      <c r="A30" s="77"/>
      <c r="B30" s="58"/>
      <c r="C30" s="58"/>
      <c r="D30" s="58"/>
      <c r="E30" s="124" t="s">
        <v>230</v>
      </c>
      <c r="F30" s="42"/>
      <c r="G30" s="42">
        <v>-95354</v>
      </c>
      <c r="H30" s="42">
        <v>-86129</v>
      </c>
      <c r="I30" s="42">
        <v>-24727</v>
      </c>
      <c r="J30" s="42">
        <v>-36851</v>
      </c>
      <c r="K30" s="42">
        <v>-27051</v>
      </c>
      <c r="L30" s="42">
        <v>-25913</v>
      </c>
      <c r="M30" s="42">
        <v>-43100</v>
      </c>
      <c r="N30" s="42">
        <v>-88637</v>
      </c>
      <c r="O30" s="89">
        <v>-59939</v>
      </c>
      <c r="P30" s="88"/>
      <c r="Q30" s="58"/>
      <c r="R30" s="58"/>
      <c r="S30" s="58"/>
      <c r="T30" s="58"/>
      <c r="U30" s="58"/>
      <c r="V30" s="58"/>
      <c r="W30" s="58"/>
      <c r="X30" s="58"/>
      <c r="Y30" s="58"/>
      <c r="Z30" s="58"/>
      <c r="AA30" s="58"/>
      <c r="AB30" s="58"/>
      <c r="AC30" s="58"/>
      <c r="AD30" s="58"/>
      <c r="AE30" s="58"/>
      <c r="AF30" s="58"/>
      <c r="AG30" s="58"/>
      <c r="AH30" s="58"/>
    </row>
    <row r="31" spans="1:34" customFormat="1" ht="30" customHeight="1">
      <c r="A31" s="77"/>
      <c r="B31" s="58"/>
      <c r="C31" s="58"/>
      <c r="D31" s="58"/>
      <c r="E31" s="124" t="s">
        <v>238</v>
      </c>
      <c r="F31" s="42"/>
      <c r="G31" s="42"/>
      <c r="H31" s="42">
        <v>216301</v>
      </c>
      <c r="I31" s="42">
        <v>260766</v>
      </c>
      <c r="J31" s="42">
        <v>285022</v>
      </c>
      <c r="K31" s="42">
        <v>366861</v>
      </c>
      <c r="L31" s="42">
        <v>398061</v>
      </c>
      <c r="M31" s="42">
        <v>562762</v>
      </c>
      <c r="N31" s="42">
        <v>1101761</v>
      </c>
      <c r="O31" s="89">
        <v>866539</v>
      </c>
      <c r="P31" s="88"/>
      <c r="Q31" s="58"/>
      <c r="R31" s="58"/>
      <c r="S31" s="58"/>
      <c r="T31" s="58"/>
      <c r="U31" s="58"/>
      <c r="V31" s="58"/>
      <c r="W31" s="58"/>
      <c r="X31" s="58"/>
      <c r="Y31" s="58"/>
      <c r="Z31" s="58"/>
      <c r="AA31" s="58"/>
      <c r="AB31" s="58"/>
      <c r="AC31" s="58"/>
      <c r="AD31" s="58"/>
      <c r="AE31" s="58"/>
      <c r="AF31" s="58"/>
      <c r="AG31" s="58"/>
      <c r="AH31" s="58"/>
    </row>
    <row r="32" spans="1:34" customFormat="1" ht="30" customHeight="1">
      <c r="A32" s="77"/>
      <c r="B32" s="58"/>
      <c r="C32" s="58"/>
      <c r="D32" s="58"/>
      <c r="E32" s="124" t="s">
        <v>231</v>
      </c>
      <c r="F32" s="42"/>
      <c r="G32" s="42"/>
      <c r="H32" s="42" t="s">
        <v>22</v>
      </c>
      <c r="I32" s="42">
        <v>82928</v>
      </c>
      <c r="J32" s="42">
        <v>62789</v>
      </c>
      <c r="K32" s="42">
        <v>47706</v>
      </c>
      <c r="L32" s="42">
        <v>59819</v>
      </c>
      <c r="M32" s="42">
        <v>149002</v>
      </c>
      <c r="N32" s="42">
        <v>71200</v>
      </c>
      <c r="O32" s="89">
        <v>25255</v>
      </c>
      <c r="P32" s="88"/>
      <c r="Q32" s="58"/>
      <c r="R32" s="58"/>
      <c r="S32" s="58"/>
      <c r="T32" s="58"/>
      <c r="U32" s="58"/>
      <c r="V32" s="58"/>
      <c r="W32" s="58"/>
      <c r="X32" s="58"/>
      <c r="Y32" s="58"/>
      <c r="Z32" s="58"/>
      <c r="AA32" s="58"/>
      <c r="AB32" s="58"/>
      <c r="AC32" s="58"/>
      <c r="AD32" s="58"/>
      <c r="AE32" s="58"/>
      <c r="AF32" s="58"/>
      <c r="AG32" s="58"/>
      <c r="AH32" s="58"/>
    </row>
    <row r="33" spans="1:34" customFormat="1" ht="30" customHeight="1">
      <c r="A33" s="77"/>
      <c r="B33" s="58"/>
      <c r="C33" s="58"/>
      <c r="D33" s="58"/>
      <c r="E33" s="124" t="s">
        <v>232</v>
      </c>
      <c r="F33" s="42"/>
      <c r="G33" s="42" t="s">
        <v>22</v>
      </c>
      <c r="H33" s="42">
        <v>-27466</v>
      </c>
      <c r="I33" s="42" t="s">
        <v>22</v>
      </c>
      <c r="J33" s="42"/>
      <c r="K33" s="42"/>
      <c r="L33" s="42"/>
      <c r="M33" s="42"/>
      <c r="N33" s="42"/>
      <c r="O33" s="89"/>
      <c r="P33" s="88"/>
      <c r="Q33" s="58"/>
      <c r="R33" s="58"/>
      <c r="S33" s="58"/>
      <c r="T33" s="58"/>
      <c r="U33" s="58"/>
      <c r="V33" s="58"/>
      <c r="W33" s="58"/>
      <c r="X33" s="58"/>
      <c r="Y33" s="58"/>
      <c r="Z33" s="58"/>
      <c r="AA33" s="58"/>
      <c r="AB33" s="58"/>
      <c r="AC33" s="58"/>
      <c r="AD33" s="58"/>
      <c r="AE33" s="58"/>
      <c r="AF33" s="58"/>
      <c r="AG33" s="58"/>
      <c r="AH33" s="58"/>
    </row>
    <row r="34" spans="1:34" customFormat="1" ht="30" customHeight="1">
      <c r="A34" s="77"/>
      <c r="B34" s="58"/>
      <c r="C34" s="58"/>
      <c r="D34" s="58"/>
      <c r="E34" s="124" t="s">
        <v>233</v>
      </c>
      <c r="F34" s="42">
        <v>-18540</v>
      </c>
      <c r="G34" s="42">
        <v>-32258</v>
      </c>
      <c r="H34" s="42">
        <v>-68409</v>
      </c>
      <c r="I34" s="42">
        <v>-60680</v>
      </c>
      <c r="J34" s="42"/>
      <c r="K34" s="42"/>
      <c r="L34" s="42"/>
      <c r="M34" s="42"/>
      <c r="N34" s="42"/>
      <c r="O34" s="89"/>
      <c r="P34" s="88"/>
      <c r="Q34" s="58"/>
      <c r="R34" s="58"/>
      <c r="S34" s="58"/>
      <c r="T34" s="58"/>
      <c r="U34" s="58"/>
      <c r="V34" s="58"/>
      <c r="W34" s="58"/>
      <c r="X34" s="58"/>
      <c r="Y34" s="58"/>
      <c r="Z34" s="58"/>
      <c r="AA34" s="58"/>
      <c r="AB34" s="58"/>
      <c r="AC34" s="58"/>
      <c r="AD34" s="58"/>
      <c r="AE34" s="58"/>
      <c r="AF34" s="58"/>
      <c r="AG34" s="58"/>
      <c r="AH34" s="58"/>
    </row>
    <row r="35" spans="1:34" customFormat="1" ht="30" customHeight="1">
      <c r="A35" s="77"/>
      <c r="B35" s="58"/>
      <c r="C35" s="58"/>
      <c r="D35" s="58"/>
      <c r="E35" s="124" t="s">
        <v>234</v>
      </c>
      <c r="F35" s="42"/>
      <c r="G35" s="42"/>
      <c r="H35" s="42">
        <v>-9437</v>
      </c>
      <c r="I35" s="42">
        <v>-9255</v>
      </c>
      <c r="J35" s="42">
        <v>-10804</v>
      </c>
      <c r="K35" s="42">
        <v>-5710</v>
      </c>
      <c r="L35" s="42"/>
      <c r="M35" s="42"/>
      <c r="N35" s="42"/>
      <c r="O35" s="89"/>
      <c r="P35" s="88"/>
      <c r="Q35" s="58"/>
      <c r="R35" s="58"/>
      <c r="S35" s="58"/>
      <c r="T35" s="58"/>
      <c r="U35" s="58"/>
      <c r="V35" s="58"/>
      <c r="W35" s="58"/>
      <c r="X35" s="58"/>
      <c r="Y35" s="58"/>
      <c r="Z35" s="58"/>
      <c r="AA35" s="58"/>
      <c r="AB35" s="58"/>
      <c r="AC35" s="58"/>
      <c r="AD35" s="58"/>
      <c r="AE35" s="58"/>
      <c r="AF35" s="58"/>
      <c r="AG35" s="58"/>
      <c r="AH35" s="58"/>
    </row>
    <row r="36" spans="1:34" customFormat="1" ht="30" customHeight="1">
      <c r="A36" s="77"/>
      <c r="B36" s="58"/>
      <c r="C36" s="58"/>
      <c r="D36" s="58"/>
      <c r="E36" s="124" t="s">
        <v>171</v>
      </c>
      <c r="F36" s="42">
        <v>-623</v>
      </c>
      <c r="G36" s="42">
        <v>-5277</v>
      </c>
      <c r="H36" s="42">
        <v>-35206</v>
      </c>
      <c r="I36" s="42">
        <v>-35876</v>
      </c>
      <c r="J36" s="42">
        <v>-35528</v>
      </c>
      <c r="K36" s="42">
        <v>-27144</v>
      </c>
      <c r="L36" s="42"/>
      <c r="M36" s="42"/>
      <c r="N36" s="42"/>
      <c r="O36" s="89"/>
      <c r="P36" s="88"/>
      <c r="Q36" s="58"/>
      <c r="R36" s="58"/>
      <c r="S36" s="58"/>
      <c r="T36" s="58"/>
      <c r="U36" s="58"/>
      <c r="V36" s="58"/>
      <c r="W36" s="58"/>
      <c r="X36" s="58"/>
      <c r="Y36" s="58"/>
      <c r="Z36" s="58"/>
      <c r="AA36" s="58"/>
      <c r="AB36" s="58"/>
      <c r="AC36" s="58"/>
      <c r="AD36" s="58"/>
      <c r="AE36" s="58"/>
      <c r="AF36" s="58"/>
      <c r="AG36" s="58"/>
      <c r="AH36" s="58"/>
    </row>
    <row r="37" spans="1:34" customFormat="1" ht="30" customHeight="1">
      <c r="A37" s="77"/>
      <c r="B37" s="58"/>
      <c r="C37" s="58"/>
      <c r="D37" s="58"/>
      <c r="E37" s="124" t="s">
        <v>239</v>
      </c>
      <c r="F37" s="42">
        <v>-11744</v>
      </c>
      <c r="G37" s="42"/>
      <c r="H37" s="42"/>
      <c r="I37" s="42"/>
      <c r="J37" s="42"/>
      <c r="K37" s="42"/>
      <c r="L37" s="42"/>
      <c r="M37" s="42"/>
      <c r="N37" s="42"/>
      <c r="O37" s="89"/>
      <c r="P37" s="88"/>
      <c r="Q37" s="58"/>
      <c r="R37" s="58"/>
      <c r="S37" s="58"/>
      <c r="T37" s="58"/>
      <c r="U37" s="58"/>
      <c r="V37" s="58"/>
      <c r="W37" s="58"/>
      <c r="X37" s="58"/>
      <c r="Y37" s="58"/>
      <c r="Z37" s="58"/>
      <c r="AA37" s="58"/>
      <c r="AB37" s="58"/>
      <c r="AC37" s="58"/>
      <c r="AD37" s="58"/>
      <c r="AE37" s="58"/>
      <c r="AF37" s="58"/>
      <c r="AG37" s="58"/>
      <c r="AH37" s="58"/>
    </row>
    <row r="38" spans="1:34" customFormat="1" ht="30" customHeight="1">
      <c r="A38" s="77"/>
      <c r="B38" s="58"/>
      <c r="C38" s="58"/>
      <c r="D38" s="58"/>
      <c r="E38" s="124" t="s">
        <v>172</v>
      </c>
      <c r="F38" s="42">
        <v>-5267</v>
      </c>
      <c r="G38" s="42">
        <v>-4816</v>
      </c>
      <c r="H38" s="42">
        <v>-8732</v>
      </c>
      <c r="I38" s="42">
        <v>-10206</v>
      </c>
      <c r="J38" s="42">
        <v>-13677</v>
      </c>
      <c r="K38" s="42">
        <v>-17160</v>
      </c>
      <c r="L38" s="42"/>
      <c r="M38" s="42"/>
      <c r="N38" s="42"/>
      <c r="O38" s="89"/>
      <c r="P38" s="88"/>
      <c r="Q38" s="58"/>
      <c r="R38" s="58"/>
      <c r="S38" s="58"/>
      <c r="T38" s="58"/>
      <c r="U38" s="58"/>
      <c r="V38" s="58"/>
      <c r="W38" s="58"/>
      <c r="X38" s="58"/>
      <c r="Y38" s="58"/>
      <c r="Z38" s="58"/>
      <c r="AA38" s="58"/>
      <c r="AB38" s="58"/>
      <c r="AC38" s="58"/>
      <c r="AD38" s="58"/>
      <c r="AE38" s="58"/>
      <c r="AF38" s="58"/>
      <c r="AG38" s="58"/>
      <c r="AH38" s="58"/>
    </row>
    <row r="39" spans="1:34" customFormat="1" ht="30" customHeight="1">
      <c r="A39" s="77"/>
      <c r="B39" s="58"/>
      <c r="C39" s="58"/>
      <c r="D39" s="58"/>
      <c r="E39" s="124" t="s">
        <v>235</v>
      </c>
      <c r="F39" s="42"/>
      <c r="G39" s="42"/>
      <c r="H39" s="42">
        <v>-25653</v>
      </c>
      <c r="I39" s="42">
        <v>-55061</v>
      </c>
      <c r="J39" s="42"/>
      <c r="K39" s="42"/>
      <c r="L39" s="42"/>
      <c r="M39" s="42"/>
      <c r="N39" s="42"/>
      <c r="O39" s="89"/>
      <c r="P39" s="88"/>
      <c r="Q39" s="58"/>
      <c r="R39" s="58"/>
      <c r="S39" s="58"/>
      <c r="T39" s="58"/>
      <c r="U39" s="58"/>
      <c r="V39" s="58"/>
      <c r="W39" s="58"/>
      <c r="X39" s="58"/>
      <c r="Y39" s="58"/>
      <c r="Z39" s="58"/>
      <c r="AA39" s="58"/>
      <c r="AB39" s="58"/>
      <c r="AC39" s="58"/>
      <c r="AD39" s="58"/>
      <c r="AE39" s="58"/>
      <c r="AF39" s="58"/>
      <c r="AG39" s="58"/>
      <c r="AH39" s="58"/>
    </row>
    <row r="40" spans="1:34" customFormat="1" ht="30" customHeight="1">
      <c r="A40" s="77"/>
      <c r="B40" s="58"/>
      <c r="C40" s="58"/>
      <c r="D40" s="58"/>
      <c r="E40" s="124" t="s">
        <v>173</v>
      </c>
      <c r="F40" s="42"/>
      <c r="G40" s="42"/>
      <c r="H40" s="42">
        <v>-13822</v>
      </c>
      <c r="I40" s="42">
        <v>-13208</v>
      </c>
      <c r="J40" s="42">
        <v>-17120</v>
      </c>
      <c r="K40" s="42">
        <v>-8573</v>
      </c>
      <c r="L40" s="42"/>
      <c r="M40" s="42"/>
      <c r="N40" s="42"/>
      <c r="O40" s="89"/>
      <c r="P40" s="88"/>
      <c r="Q40" s="58"/>
      <c r="R40" s="58"/>
      <c r="S40" s="58"/>
      <c r="T40" s="58"/>
      <c r="U40" s="58"/>
      <c r="V40" s="58"/>
      <c r="W40" s="58"/>
      <c r="X40" s="58"/>
      <c r="Y40" s="58"/>
      <c r="Z40" s="58"/>
      <c r="AA40" s="58"/>
      <c r="AB40" s="58"/>
      <c r="AC40" s="58"/>
      <c r="AD40" s="58"/>
      <c r="AE40" s="58"/>
      <c r="AF40" s="58"/>
      <c r="AG40" s="58"/>
      <c r="AH40" s="58"/>
    </row>
    <row r="41" spans="1:34" customFormat="1" ht="30" customHeight="1">
      <c r="A41" s="77"/>
      <c r="B41" s="58"/>
      <c r="C41" s="58"/>
      <c r="D41" s="58"/>
      <c r="E41" s="124" t="s">
        <v>240</v>
      </c>
      <c r="F41" s="42">
        <v>-5514</v>
      </c>
      <c r="G41" s="42"/>
      <c r="H41" s="42"/>
      <c r="I41" s="42"/>
      <c r="J41" s="42"/>
      <c r="K41" s="42"/>
      <c r="L41" s="42"/>
      <c r="M41" s="42"/>
      <c r="N41" s="42"/>
      <c r="O41" s="89"/>
      <c r="P41" s="88"/>
      <c r="Q41" s="58"/>
      <c r="R41" s="58"/>
      <c r="S41" s="58"/>
      <c r="T41" s="58"/>
      <c r="U41" s="58"/>
      <c r="V41" s="58"/>
      <c r="W41" s="58"/>
      <c r="X41" s="58"/>
      <c r="Y41" s="58"/>
      <c r="Z41" s="58"/>
      <c r="AA41" s="58"/>
      <c r="AB41" s="58"/>
      <c r="AC41" s="58"/>
      <c r="AD41" s="58"/>
      <c r="AE41" s="58"/>
      <c r="AF41" s="58"/>
      <c r="AG41" s="58"/>
      <c r="AH41" s="58"/>
    </row>
    <row r="42" spans="1:34" customFormat="1" ht="30" customHeight="1">
      <c r="A42" s="77"/>
      <c r="B42" s="58"/>
      <c r="C42" s="58"/>
      <c r="D42" s="58"/>
      <c r="E42" s="124" t="s">
        <v>241</v>
      </c>
      <c r="F42" s="42">
        <v>-20532</v>
      </c>
      <c r="G42" s="42"/>
      <c r="H42" s="42"/>
      <c r="I42" s="42"/>
      <c r="J42" s="42"/>
      <c r="K42" s="42"/>
      <c r="L42" s="42"/>
      <c r="M42" s="42"/>
      <c r="N42" s="42"/>
      <c r="O42" s="89"/>
      <c r="P42" s="88"/>
      <c r="Q42" s="58"/>
      <c r="R42" s="58"/>
      <c r="S42" s="58"/>
      <c r="T42" s="58"/>
      <c r="U42" s="58"/>
      <c r="V42" s="58"/>
      <c r="W42" s="58"/>
      <c r="X42" s="58"/>
      <c r="Y42" s="58"/>
      <c r="Z42" s="58"/>
      <c r="AA42" s="58"/>
      <c r="AB42" s="58"/>
      <c r="AC42" s="58"/>
      <c r="AD42" s="58"/>
      <c r="AE42" s="58"/>
      <c r="AF42" s="58"/>
      <c r="AG42" s="58"/>
      <c r="AH42" s="58"/>
    </row>
    <row r="43" spans="1:34" customFormat="1" ht="30" customHeight="1">
      <c r="A43" s="77"/>
      <c r="B43" s="58"/>
      <c r="C43" s="58"/>
      <c r="D43" s="58"/>
      <c r="E43" s="124" t="s">
        <v>156</v>
      </c>
      <c r="F43" s="42">
        <v>-12038</v>
      </c>
      <c r="G43" s="42"/>
      <c r="H43" s="42"/>
      <c r="I43" s="42"/>
      <c r="J43" s="42"/>
      <c r="K43" s="42"/>
      <c r="L43" s="42"/>
      <c r="M43" s="42"/>
      <c r="N43" s="42"/>
      <c r="O43" s="89">
        <v>0</v>
      </c>
      <c r="P43" s="88"/>
      <c r="Q43" s="58"/>
      <c r="R43" s="58"/>
      <c r="S43" s="58"/>
      <c r="T43" s="58"/>
      <c r="U43" s="58"/>
      <c r="V43" s="58"/>
      <c r="W43" s="58"/>
      <c r="X43" s="58"/>
      <c r="Y43" s="58"/>
      <c r="Z43" s="58"/>
      <c r="AA43" s="58"/>
      <c r="AB43" s="58"/>
      <c r="AC43" s="58"/>
      <c r="AD43" s="58"/>
      <c r="AE43" s="58"/>
      <c r="AF43" s="58"/>
      <c r="AG43" s="58"/>
      <c r="AH43" s="58"/>
    </row>
    <row r="44" spans="1:34" customFormat="1" ht="30" customHeight="1">
      <c r="A44" s="77"/>
      <c r="B44" s="58"/>
      <c r="C44" s="58"/>
      <c r="D44" s="58"/>
      <c r="E44" s="124" t="s">
        <v>236</v>
      </c>
      <c r="F44" s="42"/>
      <c r="G44" s="42">
        <v>-90307</v>
      </c>
      <c r="H44" s="42"/>
      <c r="I44" s="42"/>
      <c r="J44" s="42"/>
      <c r="K44" s="42"/>
      <c r="L44" s="42"/>
      <c r="M44" s="42"/>
      <c r="N44" s="42"/>
      <c r="O44" s="89"/>
      <c r="P44" s="88"/>
      <c r="Q44" s="58"/>
      <c r="R44" s="58"/>
      <c r="S44" s="58"/>
      <c r="T44" s="58"/>
      <c r="U44" s="58"/>
      <c r="V44" s="58"/>
      <c r="W44" s="58"/>
      <c r="X44" s="58"/>
      <c r="Y44" s="58"/>
      <c r="Z44" s="58"/>
      <c r="AA44" s="58"/>
      <c r="AB44" s="58"/>
      <c r="AC44" s="58"/>
      <c r="AD44" s="58"/>
      <c r="AE44" s="58"/>
      <c r="AF44" s="58"/>
      <c r="AG44" s="58"/>
      <c r="AH44" s="58"/>
    </row>
    <row r="45" spans="1:34" customFormat="1" ht="30" customHeight="1">
      <c r="A45" s="77"/>
      <c r="B45" s="58"/>
      <c r="C45" s="58"/>
      <c r="D45" s="58"/>
      <c r="E45" s="124" t="s">
        <v>237</v>
      </c>
      <c r="F45" s="42">
        <f>-62122-52880</f>
        <v>-115002</v>
      </c>
      <c r="G45" s="42">
        <v>-324204</v>
      </c>
      <c r="H45" s="42">
        <v>-54862</v>
      </c>
      <c r="I45" s="42">
        <v>-234942</v>
      </c>
      <c r="J45" s="42">
        <v>-258611</v>
      </c>
      <c r="K45" s="42">
        <v>-334244</v>
      </c>
      <c r="L45" s="42">
        <v>-445136</v>
      </c>
      <c r="M45" s="42">
        <v>-627907</v>
      </c>
      <c r="N45" s="42">
        <v>-1158358</v>
      </c>
      <c r="O45" s="89">
        <v>-558022</v>
      </c>
      <c r="P45" s="88"/>
      <c r="Q45" s="58"/>
      <c r="R45" s="58"/>
      <c r="S45" s="58"/>
      <c r="T45" s="58"/>
      <c r="U45" s="58"/>
      <c r="V45" s="58"/>
      <c r="W45" s="58"/>
      <c r="X45" s="58"/>
      <c r="Y45" s="58"/>
      <c r="Z45" s="58"/>
      <c r="AA45" s="58"/>
      <c r="AB45" s="58"/>
      <c r="AC45" s="58"/>
      <c r="AD45" s="58"/>
      <c r="AE45" s="58"/>
      <c r="AF45" s="58"/>
      <c r="AG45" s="58"/>
      <c r="AH45" s="58"/>
    </row>
    <row r="46" spans="1:34" customFormat="1" ht="30" customHeight="1">
      <c r="A46" s="77"/>
      <c r="B46" s="4"/>
      <c r="C46" s="4"/>
      <c r="D46" s="4"/>
      <c r="E46" s="306" t="s">
        <v>242</v>
      </c>
      <c r="F46" s="177">
        <f>'DRE Consolidado'!K32</f>
        <v>94</v>
      </c>
      <c r="G46" s="177">
        <f>'DRE Consolidado'!L32</f>
        <v>71</v>
      </c>
      <c r="H46" s="177">
        <f>'DRE Consolidado'!M32</f>
        <v>0</v>
      </c>
      <c r="I46" s="177">
        <f>'DRE Consolidado'!N32</f>
        <v>0</v>
      </c>
      <c r="J46" s="177">
        <f>'DRE Consolidado'!O32</f>
        <v>-960</v>
      </c>
      <c r="K46" s="177">
        <f>'DRE Consolidado'!P32</f>
        <v>-1201</v>
      </c>
      <c r="L46" s="177">
        <f>'DRE Consolidado'!Q32</f>
        <v>-515</v>
      </c>
      <c r="M46" s="177">
        <f>'DRE Consolidado'!R32</f>
        <v>-1534</v>
      </c>
      <c r="N46" s="177">
        <v>0</v>
      </c>
      <c r="O46" s="177">
        <v>0</v>
      </c>
      <c r="P46" s="88"/>
      <c r="Q46" s="4"/>
      <c r="R46" s="4"/>
      <c r="S46" s="4"/>
      <c r="T46" s="4"/>
      <c r="U46" s="4"/>
      <c r="V46" s="4"/>
      <c r="W46" s="4"/>
      <c r="X46" s="4"/>
      <c r="Y46" s="4"/>
      <c r="Z46" s="4"/>
      <c r="AA46" s="4"/>
      <c r="AB46" s="4"/>
      <c r="AC46" s="4"/>
      <c r="AD46" s="4"/>
      <c r="AE46" s="4"/>
      <c r="AF46" s="4"/>
      <c r="AG46" s="4"/>
      <c r="AH46" s="4"/>
    </row>
    <row r="47" spans="1:34" customFormat="1" ht="30" customHeight="1" thickBot="1">
      <c r="A47" s="77"/>
      <c r="B47" s="4"/>
      <c r="C47" s="4"/>
      <c r="D47" s="4"/>
      <c r="E47" s="125" t="s">
        <v>61</v>
      </c>
      <c r="F47" s="126">
        <f t="shared" ref="F47:O47" si="0">SUM(F10:F46)</f>
        <v>-5070999</v>
      </c>
      <c r="G47" s="126">
        <f t="shared" si="0"/>
        <v>-5396873</v>
      </c>
      <c r="H47" s="126">
        <f t="shared" si="0"/>
        <v>-6024333</v>
      </c>
      <c r="I47" s="126">
        <f t="shared" si="0"/>
        <v>-6551334</v>
      </c>
      <c r="J47" s="126">
        <f t="shared" si="0"/>
        <v>-7114672</v>
      </c>
      <c r="K47" s="126">
        <f t="shared" si="0"/>
        <v>-8487044</v>
      </c>
      <c r="L47" s="126">
        <f t="shared" si="0"/>
        <v>-8777075</v>
      </c>
      <c r="M47" s="126">
        <f t="shared" si="0"/>
        <v>-10735668</v>
      </c>
      <c r="N47" s="126">
        <f t="shared" si="0"/>
        <v>-19267785</v>
      </c>
      <c r="O47" s="126">
        <f t="shared" si="0"/>
        <v>-19051638</v>
      </c>
      <c r="P47" s="4"/>
      <c r="Q47" s="4"/>
      <c r="R47" s="4"/>
      <c r="S47" s="4"/>
      <c r="T47" s="4"/>
      <c r="U47" s="4"/>
      <c r="V47" s="4"/>
      <c r="W47" s="4"/>
      <c r="X47" s="4"/>
      <c r="Y47" s="4"/>
      <c r="Z47" s="4"/>
      <c r="AA47" s="4"/>
      <c r="AB47" s="4"/>
      <c r="AC47" s="4"/>
      <c r="AD47" s="4"/>
      <c r="AE47" s="4"/>
      <c r="AF47" s="4"/>
      <c r="AG47" s="4"/>
      <c r="AH47" s="4"/>
    </row>
    <row r="48" spans="1:34" customFormat="1" ht="30" customHeight="1">
      <c r="A48" s="77"/>
      <c r="B48" s="4"/>
      <c r="C48" s="4"/>
      <c r="D48" s="4"/>
      <c r="E48" s="4"/>
      <c r="F48" s="127"/>
      <c r="G48" s="127"/>
      <c r="H48" s="127"/>
      <c r="I48" s="127"/>
      <c r="J48" s="127"/>
      <c r="K48" s="127"/>
      <c r="L48" s="127"/>
      <c r="M48" s="127"/>
      <c r="N48" s="127"/>
      <c r="O48" s="222"/>
      <c r="P48" s="4"/>
      <c r="Q48" s="4"/>
      <c r="R48" s="4"/>
      <c r="S48" s="4"/>
      <c r="T48" s="4"/>
      <c r="U48" s="4"/>
      <c r="V48" s="4"/>
      <c r="W48" s="4"/>
      <c r="X48" s="4"/>
      <c r="Y48" s="4"/>
      <c r="Z48" s="4"/>
      <c r="AA48" s="4"/>
      <c r="AB48" s="4"/>
      <c r="AC48" s="4"/>
      <c r="AD48" s="4"/>
      <c r="AE48" s="4"/>
      <c r="AF48" s="4"/>
      <c r="AG48" s="4"/>
      <c r="AH48" s="4"/>
    </row>
    <row r="49" spans="1:34" customFormat="1" ht="30" customHeight="1">
      <c r="A49" s="77"/>
      <c r="B49" s="4"/>
      <c r="C49" s="4"/>
      <c r="D49" s="4"/>
      <c r="E49" s="10"/>
      <c r="F49" s="127"/>
      <c r="G49" s="127"/>
      <c r="H49" s="127"/>
      <c r="I49" s="127"/>
      <c r="J49" s="127"/>
      <c r="K49" s="127"/>
      <c r="L49" s="127"/>
      <c r="M49" s="127"/>
      <c r="N49" s="127"/>
      <c r="O49" s="127"/>
      <c r="P49" s="4"/>
      <c r="Q49" s="4"/>
      <c r="R49" s="4"/>
      <c r="S49" s="4"/>
      <c r="T49" s="4"/>
      <c r="U49" s="4"/>
      <c r="V49" s="4"/>
      <c r="W49" s="4"/>
      <c r="X49" s="4"/>
      <c r="Y49" s="4"/>
      <c r="Z49" s="4"/>
      <c r="AA49" s="4"/>
      <c r="AB49" s="4"/>
      <c r="AC49" s="4"/>
      <c r="AD49" s="4"/>
      <c r="AE49" s="4"/>
      <c r="AF49" s="4"/>
      <c r="AG49" s="4"/>
      <c r="AH49" s="4"/>
    </row>
    <row r="50" spans="1:34" customFormat="1" ht="30" customHeight="1">
      <c r="A50" s="77"/>
      <c r="B50" s="4"/>
      <c r="C50" s="4"/>
      <c r="D50" s="4"/>
      <c r="E50" s="29"/>
      <c r="F50" s="5"/>
      <c r="G50" s="5"/>
      <c r="H50" s="5"/>
      <c r="I50" s="5"/>
      <c r="J50" s="5"/>
      <c r="K50" s="5"/>
      <c r="L50" s="66"/>
      <c r="M50" s="66"/>
      <c r="N50" s="66"/>
      <c r="O50" s="42"/>
      <c r="P50" s="88"/>
      <c r="Q50" s="127"/>
      <c r="R50" s="4"/>
      <c r="S50" s="4"/>
      <c r="T50" s="4"/>
      <c r="U50" s="4"/>
      <c r="V50" s="4"/>
      <c r="W50" s="4"/>
      <c r="X50" s="4"/>
      <c r="Y50" s="4"/>
      <c r="Z50" s="4"/>
      <c r="AA50" s="4"/>
      <c r="AB50" s="4"/>
      <c r="AC50" s="4"/>
      <c r="AD50" s="4"/>
      <c r="AE50" s="4"/>
      <c r="AF50" s="4"/>
      <c r="AG50" s="4"/>
      <c r="AH50" s="4"/>
    </row>
    <row r="51" spans="1:34" customFormat="1" ht="30" customHeight="1">
      <c r="A51" s="77"/>
      <c r="B51" s="4"/>
      <c r="C51" s="4"/>
      <c r="D51" s="4"/>
      <c r="E51" s="124"/>
      <c r="F51" s="37">
        <v>2014</v>
      </c>
      <c r="G51" s="37">
        <v>2015</v>
      </c>
      <c r="H51" s="37">
        <v>2016</v>
      </c>
      <c r="I51" s="37">
        <v>2017</v>
      </c>
      <c r="J51" s="37">
        <v>2018</v>
      </c>
      <c r="K51" s="37">
        <v>2019</v>
      </c>
      <c r="L51" s="37">
        <v>2020</v>
      </c>
      <c r="M51" s="37">
        <v>2021</v>
      </c>
      <c r="N51" s="37">
        <v>2022</v>
      </c>
      <c r="O51" s="230" t="s">
        <v>501</v>
      </c>
      <c r="P51" s="88"/>
      <c r="Q51" s="4"/>
      <c r="R51" s="4"/>
      <c r="S51" s="4"/>
      <c r="T51" s="4"/>
      <c r="U51" s="4"/>
      <c r="V51" s="4"/>
      <c r="W51" s="4"/>
      <c r="X51" s="4"/>
      <c r="Y51" s="4"/>
      <c r="Z51" s="4"/>
      <c r="AA51" s="4"/>
      <c r="AB51" s="4"/>
      <c r="AC51" s="4"/>
      <c r="AD51" s="4"/>
      <c r="AE51" s="4"/>
      <c r="AF51" s="4"/>
      <c r="AG51" s="4"/>
      <c r="AH51" s="4"/>
    </row>
    <row r="52" spans="1:34" customFormat="1" ht="30" customHeight="1">
      <c r="A52" s="77"/>
      <c r="B52" s="4"/>
      <c r="C52" s="4"/>
      <c r="D52" s="4"/>
      <c r="E52" s="124" t="s">
        <v>12</v>
      </c>
      <c r="F52" s="42">
        <f>'DRE Consolidado'!K16</f>
        <v>5539194</v>
      </c>
      <c r="G52" s="42">
        <f>'DRE Consolidado'!L16</f>
        <v>5989912</v>
      </c>
      <c r="H52" s="42">
        <f>'DRE Consolidado'!M16</f>
        <v>6523116</v>
      </c>
      <c r="I52" s="42">
        <f>'DRE Consolidado'!N16</f>
        <v>7255804</v>
      </c>
      <c r="J52" s="42">
        <f>'DRE Consolidado'!O16</f>
        <v>8075389</v>
      </c>
      <c r="K52" s="42">
        <f>'DRE Consolidado'!P16</f>
        <v>9686209</v>
      </c>
      <c r="L52" s="42">
        <f>'DRE Consolidado'!Q16</f>
        <v>9807057</v>
      </c>
      <c r="M52" s="42">
        <f>'DRE Consolidado'!R16</f>
        <v>13866219</v>
      </c>
      <c r="N52" s="42">
        <f>'DRE Consolidado'!S16</f>
        <v>24381791</v>
      </c>
      <c r="O52" s="42">
        <f>'DRE Consolidado'!T16</f>
        <v>23321789</v>
      </c>
      <c r="P52" s="88"/>
      <c r="Q52" s="4"/>
      <c r="R52" s="4"/>
      <c r="S52" s="4"/>
      <c r="T52" s="4"/>
      <c r="U52" s="4"/>
      <c r="V52" s="4"/>
      <c r="W52" s="4"/>
      <c r="X52" s="4"/>
      <c r="Y52" s="4"/>
      <c r="Z52" s="4"/>
      <c r="AA52" s="4"/>
      <c r="AB52" s="4"/>
      <c r="AC52" s="4"/>
      <c r="AD52" s="4"/>
      <c r="AE52" s="4"/>
      <c r="AF52" s="4"/>
      <c r="AG52" s="4"/>
      <c r="AH52" s="4"/>
    </row>
    <row r="53" spans="1:34" customFormat="1" ht="30" customHeight="1">
      <c r="A53" s="77"/>
      <c r="B53" s="4"/>
      <c r="C53" s="4"/>
      <c r="D53" s="4"/>
      <c r="E53" s="124" t="s">
        <v>73</v>
      </c>
      <c r="F53" s="42">
        <f>'DRE Consolidado'!K18+'DRE Consolidado'!K20+'DRE Consolidado'!K23</f>
        <v>-5079092</v>
      </c>
      <c r="G53" s="42">
        <f>'DRE Consolidado'!L18+'DRE Consolidado'!L20+'DRE Consolidado'!L23</f>
        <v>-5406457</v>
      </c>
      <c r="H53" s="42">
        <f>'DRE Consolidado'!M18+'DRE Consolidado'!M20+'DRE Consolidado'!M23</f>
        <v>-6024333</v>
      </c>
      <c r="I53" s="42">
        <f>'DRE Consolidado'!N18+'DRE Consolidado'!N20+'DRE Consolidado'!N23</f>
        <v>-6551334</v>
      </c>
      <c r="J53" s="42">
        <f>'DRE Consolidado'!O18+'DRE Consolidado'!O20+'DRE Consolidado'!O23</f>
        <v>-7114672</v>
      </c>
      <c r="K53" s="42">
        <f>'DRE Consolidado'!P18+'DRE Consolidado'!P20+'DRE Consolidado'!P23</f>
        <v>-8487044</v>
      </c>
      <c r="L53" s="42">
        <f>'DRE Consolidado'!Q18+'DRE Consolidado'!Q20+'DRE Consolidado'!Q23</f>
        <v>-8777075</v>
      </c>
      <c r="M53" s="42">
        <f>'DRE Consolidado'!R18+'DRE Consolidado'!R20+'DRE Consolidado'!R23</f>
        <v>-10735668</v>
      </c>
      <c r="N53" s="42">
        <f>'DRE Consolidado'!S18+'DRE Consolidado'!S20+'DRE Consolidado'!S23</f>
        <v>-19264975</v>
      </c>
      <c r="O53" s="42">
        <f>'DRE Consolidado'!T18+'DRE Consolidado'!T20+'DRE Consolidado'!T23</f>
        <v>-18966092</v>
      </c>
      <c r="P53" s="88"/>
      <c r="Q53" s="4"/>
      <c r="R53" s="4"/>
      <c r="S53" s="4"/>
      <c r="T53" s="4"/>
      <c r="U53" s="4"/>
      <c r="V53" s="4"/>
      <c r="W53" s="4"/>
      <c r="X53" s="4"/>
      <c r="Y53" s="4"/>
      <c r="Z53" s="4"/>
      <c r="AA53" s="4"/>
      <c r="AB53" s="4"/>
      <c r="AC53" s="4"/>
      <c r="AD53" s="4"/>
      <c r="AE53" s="4"/>
      <c r="AF53" s="4"/>
      <c r="AG53" s="4"/>
      <c r="AH53" s="4"/>
    </row>
    <row r="54" spans="1:34" customFormat="1" ht="30" customHeight="1">
      <c r="A54" s="77"/>
      <c r="B54" s="4"/>
      <c r="C54" s="4"/>
      <c r="D54" s="4"/>
      <c r="E54" s="124" t="s">
        <v>16</v>
      </c>
      <c r="F54" s="42">
        <f>SUM(F52:F53)</f>
        <v>460102</v>
      </c>
      <c r="G54" s="42">
        <f t="shared" ref="G54:H54" si="1">SUM(G52:G53)</f>
        <v>583455</v>
      </c>
      <c r="H54" s="42">
        <f t="shared" si="1"/>
        <v>498783</v>
      </c>
      <c r="I54" s="42">
        <f t="shared" ref="I54:L54" si="2">SUM(I52:I53)</f>
        <v>704470</v>
      </c>
      <c r="J54" s="42">
        <f t="shared" si="2"/>
        <v>960717</v>
      </c>
      <c r="K54" s="42">
        <f t="shared" si="2"/>
        <v>1199165</v>
      </c>
      <c r="L54" s="42">
        <f t="shared" si="2"/>
        <v>1029982</v>
      </c>
      <c r="M54" s="212">
        <f t="shared" ref="M54:N54" si="3">SUM(M52:M53)</f>
        <v>3130551</v>
      </c>
      <c r="N54" s="212">
        <f t="shared" si="3"/>
        <v>5116816</v>
      </c>
      <c r="O54" s="212">
        <f t="shared" ref="O54" si="4">SUM(O52:O53)</f>
        <v>4355697</v>
      </c>
      <c r="P54" s="88"/>
      <c r="Q54" s="4"/>
      <c r="R54" s="4"/>
      <c r="S54" s="4"/>
      <c r="T54" s="4"/>
      <c r="U54" s="4"/>
      <c r="V54" s="4"/>
      <c r="W54" s="4"/>
      <c r="X54" s="4"/>
      <c r="Y54" s="4"/>
      <c r="Z54" s="4"/>
      <c r="AA54" s="4"/>
      <c r="AB54" s="4"/>
      <c r="AC54" s="4"/>
      <c r="AD54" s="4"/>
      <c r="AE54" s="4"/>
      <c r="AF54" s="4"/>
      <c r="AG54" s="4"/>
      <c r="AH54" s="4"/>
    </row>
    <row r="55" spans="1:34" customFormat="1" ht="30" customHeight="1">
      <c r="A55" s="77"/>
      <c r="B55" s="4"/>
      <c r="C55" s="4"/>
      <c r="D55" s="4"/>
      <c r="E55" s="128" t="s">
        <v>50</v>
      </c>
      <c r="F55" s="44">
        <f>F54/F52</f>
        <v>8.3062987142172667E-2</v>
      </c>
      <c r="G55" s="44">
        <f t="shared" ref="G55:N55" si="5">G54/G52</f>
        <v>9.7406272412683195E-2</v>
      </c>
      <c r="H55" s="44">
        <f t="shared" si="5"/>
        <v>7.6463916937856077E-2</v>
      </c>
      <c r="I55" s="44">
        <f t="shared" si="5"/>
        <v>9.7090549854985053E-2</v>
      </c>
      <c r="J55" s="44">
        <f t="shared" si="5"/>
        <v>0.11896851037145084</v>
      </c>
      <c r="K55" s="44">
        <f t="shared" si="5"/>
        <v>0.12380127251022562</v>
      </c>
      <c r="L55" s="44">
        <f t="shared" si="5"/>
        <v>0.10502457567035656</v>
      </c>
      <c r="M55" s="44">
        <f t="shared" si="5"/>
        <v>0.22576817804478641</v>
      </c>
      <c r="N55" s="44">
        <f t="shared" si="5"/>
        <v>0.2098621877285389</v>
      </c>
      <c r="O55" s="44">
        <f t="shared" ref="O55" si="6">O54/O52</f>
        <v>0.18676513195449973</v>
      </c>
      <c r="P55" s="88"/>
      <c r="Q55" s="4"/>
      <c r="R55" s="4"/>
      <c r="S55" s="4"/>
      <c r="T55" s="4"/>
      <c r="U55" s="4"/>
      <c r="V55" s="4"/>
      <c r="W55" s="4"/>
      <c r="X55" s="4"/>
      <c r="Y55" s="4"/>
      <c r="Z55" s="4"/>
      <c r="AA55" s="4"/>
      <c r="AB55" s="4"/>
      <c r="AC55" s="4"/>
      <c r="AD55" s="4"/>
      <c r="AE55" s="4"/>
      <c r="AF55" s="4"/>
      <c r="AG55" s="4"/>
      <c r="AH55" s="4"/>
    </row>
    <row r="56" spans="1:34" customFormat="1" ht="30" customHeight="1">
      <c r="A56" s="77"/>
      <c r="B56" s="4"/>
      <c r="C56" s="4"/>
      <c r="D56" s="4"/>
      <c r="E56" s="124" t="s">
        <v>62</v>
      </c>
      <c r="F56" s="42">
        <f t="shared" ref="F56:O56" si="7">SUM(F25,F26,F32,F33)</f>
        <v>-24516</v>
      </c>
      <c r="G56" s="42">
        <f t="shared" si="7"/>
        <v>-6205</v>
      </c>
      <c r="H56" s="42">
        <f t="shared" si="7"/>
        <v>-62221</v>
      </c>
      <c r="I56" s="42">
        <f t="shared" si="7"/>
        <v>34204</v>
      </c>
      <c r="J56" s="42">
        <f t="shared" si="7"/>
        <v>30444</v>
      </c>
      <c r="K56" s="42">
        <f t="shared" si="7"/>
        <v>-929</v>
      </c>
      <c r="L56" s="42">
        <f t="shared" si="7"/>
        <v>-141683</v>
      </c>
      <c r="M56" s="42">
        <f t="shared" si="7"/>
        <v>107566</v>
      </c>
      <c r="N56" s="42">
        <f t="shared" si="7"/>
        <v>12526</v>
      </c>
      <c r="O56" s="42">
        <f t="shared" si="7"/>
        <v>-22044</v>
      </c>
      <c r="P56" s="88"/>
      <c r="Q56" s="4"/>
      <c r="R56" s="4"/>
      <c r="S56" s="4"/>
      <c r="T56" s="4"/>
      <c r="U56" s="4"/>
      <c r="V56" s="4"/>
      <c r="W56" s="4"/>
      <c r="X56" s="4"/>
      <c r="Y56" s="4"/>
      <c r="Z56" s="4"/>
      <c r="AA56" s="4"/>
      <c r="AB56" s="4"/>
      <c r="AC56" s="4"/>
      <c r="AD56" s="4"/>
      <c r="AE56" s="4"/>
      <c r="AF56" s="4"/>
      <c r="AG56" s="4"/>
      <c r="AH56" s="4"/>
    </row>
    <row r="57" spans="1:34" customFormat="1" ht="30" customHeight="1">
      <c r="A57" s="77"/>
      <c r="B57" s="4"/>
      <c r="C57" s="4"/>
      <c r="D57" s="4"/>
      <c r="E57" s="129" t="s">
        <v>63</v>
      </c>
      <c r="F57" s="46">
        <f>F54-F56</f>
        <v>484618</v>
      </c>
      <c r="G57" s="46">
        <f t="shared" ref="G57:H57" si="8">G54-G56</f>
        <v>589660</v>
      </c>
      <c r="H57" s="46">
        <f t="shared" si="8"/>
        <v>561004</v>
      </c>
      <c r="I57" s="46">
        <f t="shared" ref="I57:L57" si="9">I54-I56</f>
        <v>670266</v>
      </c>
      <c r="J57" s="46">
        <f t="shared" si="9"/>
        <v>930273</v>
      </c>
      <c r="K57" s="46">
        <f t="shared" si="9"/>
        <v>1200094</v>
      </c>
      <c r="L57" s="46">
        <f t="shared" si="9"/>
        <v>1171665</v>
      </c>
      <c r="M57" s="213">
        <f t="shared" ref="M57:N57" si="10">M54-M56</f>
        <v>3022985</v>
      </c>
      <c r="N57" s="213">
        <f t="shared" si="10"/>
        <v>5104290</v>
      </c>
      <c r="O57" s="213">
        <f t="shared" ref="O57" si="11">O54-O56</f>
        <v>4377741</v>
      </c>
      <c r="P57" s="88"/>
      <c r="Q57" s="4"/>
      <c r="R57" s="4"/>
      <c r="S57" s="4"/>
      <c r="T57" s="4"/>
      <c r="U57" s="4"/>
      <c r="V57" s="4"/>
      <c r="W57" s="4"/>
      <c r="X57" s="4"/>
      <c r="Y57" s="4"/>
      <c r="Z57" s="4"/>
      <c r="AA57" s="4"/>
      <c r="AB57" s="4"/>
      <c r="AC57" s="4"/>
      <c r="AD57" s="4"/>
      <c r="AE57" s="4"/>
      <c r="AF57" s="4"/>
      <c r="AG57" s="4"/>
      <c r="AH57" s="4"/>
    </row>
    <row r="58" spans="1:34" customFormat="1" ht="30" customHeight="1">
      <c r="A58" s="77"/>
      <c r="B58" s="4"/>
      <c r="C58" s="4"/>
      <c r="D58" s="4"/>
      <c r="E58" s="128" t="s">
        <v>64</v>
      </c>
      <c r="F58" s="188">
        <f t="shared" ref="F58:O58" si="12">F57/F52</f>
        <v>8.7488901814957193E-2</v>
      </c>
      <c r="G58" s="188">
        <f t="shared" si="12"/>
        <v>9.8442180786629252E-2</v>
      </c>
      <c r="H58" s="188">
        <f t="shared" si="12"/>
        <v>8.6002456494718174E-2</v>
      </c>
      <c r="I58" s="188">
        <f t="shared" si="12"/>
        <v>9.237653056780476E-2</v>
      </c>
      <c r="J58" s="188">
        <f t="shared" si="12"/>
        <v>0.11519853718501982</v>
      </c>
      <c r="K58" s="188">
        <f t="shared" si="12"/>
        <v>0.12389718206575968</v>
      </c>
      <c r="L58" s="188">
        <f t="shared" si="12"/>
        <v>0.11947162130290463</v>
      </c>
      <c r="M58" s="188">
        <f t="shared" si="12"/>
        <v>0.21801076414558287</v>
      </c>
      <c r="N58" s="188">
        <f t="shared" si="12"/>
        <v>0.20934844368077801</v>
      </c>
      <c r="O58" s="188">
        <f t="shared" si="12"/>
        <v>0.18771034246129231</v>
      </c>
      <c r="P58" s="88"/>
      <c r="Q58" s="4"/>
      <c r="R58" s="4"/>
      <c r="S58" s="4"/>
      <c r="T58" s="4"/>
      <c r="U58" s="4"/>
      <c r="V58" s="4"/>
      <c r="W58" s="4"/>
      <c r="X58" s="4"/>
      <c r="Y58" s="4"/>
      <c r="Z58" s="4"/>
      <c r="AA58" s="4"/>
      <c r="AB58" s="4"/>
      <c r="AC58" s="4"/>
      <c r="AD58" s="4"/>
      <c r="AE58" s="4"/>
      <c r="AF58" s="4"/>
      <c r="AG58" s="4"/>
      <c r="AH58" s="4"/>
    </row>
    <row r="59" spans="1:34" customFormat="1" ht="30" customHeight="1">
      <c r="A59" s="77"/>
      <c r="B59" s="4"/>
      <c r="C59" s="4"/>
      <c r="D59" s="4"/>
      <c r="E59" s="128" t="s">
        <v>505</v>
      </c>
      <c r="F59" s="42">
        <f>F128/34%</f>
        <v>0</v>
      </c>
      <c r="G59" s="42">
        <f t="shared" ref="G59:O59" si="13">G128/34%</f>
        <v>0</v>
      </c>
      <c r="H59" s="42">
        <f t="shared" si="13"/>
        <v>0</v>
      </c>
      <c r="I59" s="42">
        <f t="shared" si="13"/>
        <v>0</v>
      </c>
      <c r="J59" s="42">
        <f t="shared" si="13"/>
        <v>0</v>
      </c>
      <c r="K59" s="42">
        <f t="shared" si="13"/>
        <v>31564.705882352941</v>
      </c>
      <c r="L59" s="42">
        <f t="shared" si="13"/>
        <v>29579.411764705881</v>
      </c>
      <c r="M59" s="42">
        <f t="shared" si="13"/>
        <v>34847.058823529413</v>
      </c>
      <c r="N59" s="42">
        <f t="shared" si="13"/>
        <v>488523.5294117647</v>
      </c>
      <c r="O59" s="42">
        <f t="shared" si="13"/>
        <v>0</v>
      </c>
      <c r="P59" s="88"/>
      <c r="Q59" s="4"/>
      <c r="R59" s="4"/>
      <c r="S59" s="4"/>
      <c r="T59" s="4"/>
      <c r="U59" s="4"/>
      <c r="V59" s="4"/>
      <c r="W59" s="4"/>
      <c r="X59" s="4"/>
      <c r="Y59" s="4"/>
      <c r="Z59" s="4"/>
      <c r="AA59" s="4"/>
      <c r="AB59" s="4"/>
      <c r="AC59" s="4"/>
      <c r="AD59" s="4"/>
      <c r="AE59" s="4"/>
      <c r="AF59" s="4"/>
      <c r="AG59" s="4"/>
      <c r="AH59" s="4"/>
    </row>
    <row r="60" spans="1:34" customFormat="1" ht="30" customHeight="1">
      <c r="A60" s="77"/>
      <c r="B60" s="4"/>
      <c r="C60" s="4"/>
      <c r="D60" s="4"/>
      <c r="E60" s="128" t="s">
        <v>506</v>
      </c>
      <c r="F60" s="42">
        <f>F57-F59</f>
        <v>484618</v>
      </c>
      <c r="G60" s="42">
        <f t="shared" ref="G60:O60" si="14">G57-G59</f>
        <v>589660</v>
      </c>
      <c r="H60" s="42">
        <f t="shared" si="14"/>
        <v>561004</v>
      </c>
      <c r="I60" s="42">
        <f t="shared" si="14"/>
        <v>670266</v>
      </c>
      <c r="J60" s="42">
        <f t="shared" si="14"/>
        <v>930273</v>
      </c>
      <c r="K60" s="42">
        <f t="shared" si="14"/>
        <v>1168529.294117647</v>
      </c>
      <c r="L60" s="42">
        <f t="shared" si="14"/>
        <v>1142085.5882352942</v>
      </c>
      <c r="M60" s="42">
        <f t="shared" si="14"/>
        <v>2988137.9411764704</v>
      </c>
      <c r="N60" s="42">
        <f t="shared" si="14"/>
        <v>4615766.4705882352</v>
      </c>
      <c r="O60" s="42">
        <f t="shared" si="14"/>
        <v>4377741</v>
      </c>
      <c r="P60" s="88"/>
      <c r="Q60" s="4"/>
      <c r="R60" s="4"/>
      <c r="S60" s="4"/>
      <c r="T60" s="4"/>
      <c r="U60" s="4"/>
      <c r="V60" s="4"/>
      <c r="W60" s="4"/>
      <c r="X60" s="4"/>
      <c r="Y60" s="4"/>
      <c r="Z60" s="4"/>
      <c r="AA60" s="4"/>
      <c r="AB60" s="4"/>
      <c r="AC60" s="4"/>
      <c r="AD60" s="4"/>
      <c r="AE60" s="4"/>
      <c r="AF60" s="4"/>
      <c r="AG60" s="4"/>
      <c r="AH60" s="4"/>
    </row>
    <row r="61" spans="1:34" customFormat="1" ht="30" customHeight="1" thickBot="1">
      <c r="A61" s="77"/>
      <c r="B61" s="4"/>
      <c r="C61" s="4"/>
      <c r="D61" s="4"/>
      <c r="E61" s="128" t="s">
        <v>507</v>
      </c>
      <c r="F61" s="188">
        <f>F60/F52</f>
        <v>8.7488901814957193E-2</v>
      </c>
      <c r="G61" s="188">
        <f t="shared" ref="G61:O61" si="15">G60/G52</f>
        <v>9.8442180786629252E-2</v>
      </c>
      <c r="H61" s="188">
        <f t="shared" si="15"/>
        <v>8.6002456494718174E-2</v>
      </c>
      <c r="I61" s="188">
        <f t="shared" si="15"/>
        <v>9.237653056780476E-2</v>
      </c>
      <c r="J61" s="188">
        <f t="shared" si="15"/>
        <v>0.11519853718501982</v>
      </c>
      <c r="K61" s="188">
        <f t="shared" si="15"/>
        <v>0.12063845557303657</v>
      </c>
      <c r="L61" s="188">
        <f t="shared" si="15"/>
        <v>0.11645548590523072</v>
      </c>
      <c r="M61" s="188">
        <f t="shared" si="15"/>
        <v>0.2154976739640756</v>
      </c>
      <c r="N61" s="188">
        <f t="shared" si="15"/>
        <v>0.18931203497676752</v>
      </c>
      <c r="O61" s="188">
        <f t="shared" si="15"/>
        <v>0.18771034246129231</v>
      </c>
      <c r="P61" s="88"/>
      <c r="Q61" s="4"/>
      <c r="R61" s="4"/>
      <c r="S61" s="4"/>
      <c r="T61" s="4"/>
      <c r="U61" s="4"/>
      <c r="V61" s="4"/>
      <c r="W61" s="4"/>
      <c r="X61" s="4"/>
      <c r="Y61" s="4"/>
      <c r="Z61" s="4"/>
      <c r="AA61" s="4"/>
      <c r="AB61" s="4"/>
      <c r="AC61" s="4"/>
      <c r="AD61" s="4"/>
      <c r="AE61" s="4"/>
      <c r="AF61" s="4"/>
      <c r="AG61" s="4"/>
      <c r="AH61" s="4"/>
    </row>
    <row r="62" spans="1:34" customFormat="1" ht="30" customHeight="1">
      <c r="A62" s="77"/>
      <c r="B62" s="4"/>
      <c r="C62" s="4"/>
      <c r="D62" s="4"/>
      <c r="E62" s="178"/>
      <c r="F62" s="222"/>
      <c r="G62" s="222"/>
      <c r="H62" s="222"/>
      <c r="I62" s="222"/>
      <c r="J62" s="222"/>
      <c r="K62" s="222"/>
      <c r="L62" s="222"/>
      <c r="M62" s="222"/>
      <c r="N62" s="222"/>
      <c r="O62" s="178"/>
      <c r="P62" s="4"/>
      <c r="Q62" s="4"/>
      <c r="R62" s="4"/>
      <c r="S62" s="4"/>
      <c r="T62" s="4"/>
      <c r="U62" s="4"/>
      <c r="V62" s="4"/>
      <c r="W62" s="4"/>
      <c r="X62" s="4"/>
      <c r="Y62" s="4"/>
      <c r="Z62" s="4"/>
      <c r="AA62" s="4"/>
      <c r="AB62" s="4"/>
      <c r="AC62" s="4"/>
      <c r="AD62" s="4"/>
      <c r="AE62" s="4"/>
      <c r="AF62" s="4"/>
      <c r="AG62" s="4"/>
      <c r="AH62" s="4"/>
    </row>
    <row r="63" spans="1:34" customFormat="1" ht="30" customHeight="1">
      <c r="A63" s="77"/>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row>
    <row r="64" spans="1:34" customFormat="1" ht="30" customHeight="1">
      <c r="A64" s="77"/>
      <c r="B64" s="4"/>
      <c r="C64" s="4"/>
      <c r="D64" s="4"/>
      <c r="E64" s="29"/>
      <c r="F64" s="5"/>
      <c r="G64" s="5"/>
      <c r="H64" s="5"/>
      <c r="I64" s="5"/>
      <c r="J64" s="5"/>
      <c r="K64" s="5"/>
      <c r="L64" s="66"/>
      <c r="M64" s="66"/>
      <c r="N64" s="66"/>
      <c r="O64" s="5"/>
      <c r="P64" s="88"/>
      <c r="Q64" s="4"/>
      <c r="R64" s="4"/>
      <c r="S64" s="4"/>
      <c r="T64" s="4"/>
      <c r="U64" s="4"/>
      <c r="V64" s="4"/>
      <c r="W64" s="4"/>
      <c r="X64" s="4"/>
      <c r="Y64" s="4"/>
      <c r="Z64" s="4"/>
      <c r="AA64" s="4"/>
      <c r="AB64" s="4"/>
      <c r="AC64" s="4"/>
      <c r="AD64" s="4"/>
      <c r="AE64" s="4"/>
      <c r="AF64" s="4"/>
      <c r="AG64" s="4"/>
      <c r="AH64" s="4"/>
    </row>
    <row r="65" spans="1:34" customFormat="1" ht="30" customHeight="1">
      <c r="A65" s="77"/>
      <c r="B65" s="4"/>
      <c r="C65" s="4"/>
      <c r="D65" s="4"/>
      <c r="E65" s="124"/>
      <c r="F65" s="37">
        <v>2014</v>
      </c>
      <c r="G65" s="37">
        <v>2015</v>
      </c>
      <c r="H65" s="37">
        <v>2016</v>
      </c>
      <c r="I65" s="37">
        <v>2017</v>
      </c>
      <c r="J65" s="37">
        <v>2018</v>
      </c>
      <c r="K65" s="37">
        <v>2019</v>
      </c>
      <c r="L65" s="37">
        <v>2020</v>
      </c>
      <c r="M65" s="37">
        <v>2021</v>
      </c>
      <c r="N65" s="37">
        <v>2022</v>
      </c>
      <c r="O65" s="230" t="s">
        <v>501</v>
      </c>
      <c r="P65" s="88"/>
      <c r="Q65" s="4"/>
      <c r="R65" s="4"/>
      <c r="S65" s="4"/>
      <c r="T65" s="4"/>
      <c r="U65" s="4"/>
      <c r="V65" s="4"/>
      <c r="W65" s="4"/>
      <c r="X65" s="4"/>
      <c r="Y65" s="4"/>
      <c r="Z65" s="4"/>
      <c r="AA65" s="4"/>
      <c r="AB65" s="4"/>
      <c r="AC65" s="4"/>
      <c r="AD65" s="4"/>
      <c r="AE65" s="4"/>
      <c r="AF65" s="4"/>
      <c r="AG65" s="4"/>
      <c r="AH65" s="4"/>
    </row>
    <row r="66" spans="1:34" customFormat="1" ht="30" customHeight="1">
      <c r="A66" s="77"/>
      <c r="B66" s="4"/>
      <c r="C66" s="4"/>
      <c r="D66" s="4"/>
      <c r="E66" s="124" t="s">
        <v>174</v>
      </c>
      <c r="F66" s="84">
        <v>-380589</v>
      </c>
      <c r="G66" s="84">
        <v>-555934</v>
      </c>
      <c r="H66" s="84">
        <v>-669521</v>
      </c>
      <c r="I66" s="84">
        <v>-699233</v>
      </c>
      <c r="J66" s="84">
        <v>-869284</v>
      </c>
      <c r="K66" s="84">
        <v>-969381</v>
      </c>
      <c r="L66" s="84">
        <v>-1005078</v>
      </c>
      <c r="M66" s="233">
        <v>-2001424</v>
      </c>
      <c r="N66" s="233">
        <v>-3631554</v>
      </c>
      <c r="O66" s="233">
        <v>-2988159</v>
      </c>
      <c r="P66" s="88"/>
      <c r="Q66" s="4"/>
      <c r="R66" s="4"/>
      <c r="S66" s="4"/>
      <c r="T66" s="4"/>
      <c r="U66" s="4"/>
      <c r="V66" s="4"/>
      <c r="W66" s="4"/>
      <c r="X66" s="4"/>
      <c r="Y66" s="4"/>
      <c r="Z66" s="4"/>
      <c r="AA66" s="4"/>
      <c r="AB66" s="4"/>
      <c r="AC66" s="4"/>
      <c r="AD66" s="4"/>
      <c r="AE66" s="4"/>
      <c r="AF66" s="4"/>
      <c r="AG66" s="4"/>
      <c r="AH66" s="4"/>
    </row>
    <row r="67" spans="1:34" customFormat="1" ht="30" customHeight="1">
      <c r="A67" s="77"/>
      <c r="B67" s="4"/>
      <c r="C67" s="4"/>
      <c r="D67" s="4"/>
      <c r="E67" s="124" t="s">
        <v>250</v>
      </c>
      <c r="F67" s="84"/>
      <c r="G67" s="84">
        <v>-35548</v>
      </c>
      <c r="H67" s="84">
        <v>-48855</v>
      </c>
      <c r="I67" s="84">
        <v>-33007</v>
      </c>
      <c r="J67" s="84">
        <v>-20929</v>
      </c>
      <c r="K67" s="84">
        <v>-23157</v>
      </c>
      <c r="L67" s="84">
        <v>-15836</v>
      </c>
      <c r="M67" s="233">
        <v>-17783</v>
      </c>
      <c r="N67" s="233">
        <v>-29761</v>
      </c>
      <c r="O67" s="233">
        <v>-22970</v>
      </c>
      <c r="P67" s="88"/>
      <c r="Q67" s="4"/>
      <c r="R67" s="4"/>
      <c r="S67" s="4"/>
      <c r="T67" s="4"/>
      <c r="U67" s="4"/>
      <c r="V67" s="4"/>
      <c r="W67" s="4"/>
      <c r="X67" s="4"/>
      <c r="Y67" s="4"/>
      <c r="Z67" s="4"/>
      <c r="AA67" s="4"/>
      <c r="AB67" s="4"/>
      <c r="AC67" s="4"/>
      <c r="AD67" s="4"/>
      <c r="AE67" s="4"/>
      <c r="AF67" s="4"/>
      <c r="AG67" s="4"/>
      <c r="AH67" s="4"/>
    </row>
    <row r="68" spans="1:34" customFormat="1" ht="30" customHeight="1">
      <c r="A68" s="77"/>
      <c r="B68" s="4"/>
      <c r="C68" s="4"/>
      <c r="D68" s="4"/>
      <c r="E68" s="124" t="s">
        <v>251</v>
      </c>
      <c r="F68" s="84"/>
      <c r="G68" s="84"/>
      <c r="H68" s="84">
        <v>-75695</v>
      </c>
      <c r="I68" s="84">
        <v>-84455</v>
      </c>
      <c r="J68" s="84">
        <v>-304207</v>
      </c>
      <c r="K68" s="84">
        <v>-186</v>
      </c>
      <c r="L68" s="84">
        <v>-24253</v>
      </c>
      <c r="M68" s="233">
        <v>-1030</v>
      </c>
      <c r="N68" s="233">
        <v>-3926</v>
      </c>
      <c r="O68" s="233">
        <v>-4934</v>
      </c>
      <c r="P68" s="88"/>
      <c r="Q68" s="4"/>
      <c r="R68" s="4"/>
      <c r="S68" s="4"/>
      <c r="T68" s="4"/>
      <c r="U68" s="4"/>
      <c r="V68" s="4"/>
      <c r="W68" s="4"/>
      <c r="X68" s="4"/>
      <c r="Y68" s="4"/>
      <c r="Z68" s="4"/>
      <c r="AA68" s="4"/>
      <c r="AB68" s="4"/>
      <c r="AC68" s="4"/>
      <c r="AD68" s="4"/>
      <c r="AE68" s="4"/>
      <c r="AF68" s="4"/>
      <c r="AG68" s="4"/>
      <c r="AH68" s="4"/>
    </row>
    <row r="69" spans="1:34" customFormat="1" ht="30" customHeight="1">
      <c r="A69" s="77"/>
      <c r="B69" s="4"/>
      <c r="C69" s="4"/>
      <c r="D69" s="4"/>
      <c r="E69" s="124" t="s">
        <v>192</v>
      </c>
      <c r="F69" s="84">
        <v>-9996</v>
      </c>
      <c r="G69" s="84"/>
      <c r="H69" s="84"/>
      <c r="I69" s="84"/>
      <c r="J69" s="84"/>
      <c r="K69" s="84"/>
      <c r="L69" s="84"/>
      <c r="M69" s="233"/>
      <c r="N69" s="233"/>
      <c r="O69" s="233"/>
      <c r="P69" s="88"/>
      <c r="Q69" s="4"/>
      <c r="R69" s="4"/>
      <c r="S69" s="4"/>
      <c r="T69" s="4"/>
      <c r="U69" s="4"/>
      <c r="V69" s="4"/>
      <c r="W69" s="4"/>
      <c r="X69" s="4"/>
      <c r="Y69" s="4"/>
      <c r="Z69" s="4"/>
      <c r="AA69" s="4"/>
      <c r="AB69" s="4"/>
      <c r="AC69" s="4"/>
      <c r="AD69" s="4"/>
      <c r="AE69" s="4"/>
      <c r="AF69" s="4"/>
      <c r="AG69" s="4"/>
      <c r="AH69" s="4"/>
    </row>
    <row r="70" spans="1:34" customFormat="1" ht="30" customHeight="1">
      <c r="A70" s="77"/>
      <c r="B70" s="4"/>
      <c r="C70" s="4"/>
      <c r="D70" s="4"/>
      <c r="E70" s="124" t="s">
        <v>252</v>
      </c>
      <c r="F70" s="84">
        <v>-7602</v>
      </c>
      <c r="G70" s="84"/>
      <c r="H70" s="84">
        <v>48741</v>
      </c>
      <c r="I70" s="84">
        <v>1171</v>
      </c>
      <c r="J70" s="84">
        <v>293586</v>
      </c>
      <c r="K70" s="84">
        <v>-175092</v>
      </c>
      <c r="L70" s="84">
        <v>-637087</v>
      </c>
      <c r="M70" s="233">
        <v>-95625</v>
      </c>
      <c r="N70" s="233">
        <v>394836</v>
      </c>
      <c r="O70" s="233">
        <v>323735</v>
      </c>
      <c r="P70" s="88"/>
      <c r="Q70" s="4"/>
      <c r="R70" s="4"/>
      <c r="S70" s="4"/>
      <c r="T70" s="4"/>
      <c r="U70" s="4"/>
      <c r="V70" s="4"/>
      <c r="W70" s="4"/>
      <c r="X70" s="4"/>
      <c r="Y70" s="4"/>
      <c r="Z70" s="4"/>
      <c r="AA70" s="4"/>
      <c r="AB70" s="4"/>
      <c r="AC70" s="4"/>
      <c r="AD70" s="4"/>
      <c r="AE70" s="4"/>
      <c r="AF70" s="4"/>
      <c r="AG70" s="4"/>
      <c r="AH70" s="4"/>
    </row>
    <row r="71" spans="1:34" customFormat="1" ht="30" customHeight="1">
      <c r="A71" s="77"/>
      <c r="B71" s="4"/>
      <c r="C71" s="4"/>
      <c r="D71" s="4"/>
      <c r="E71" s="124" t="s">
        <v>253</v>
      </c>
      <c r="F71" s="84"/>
      <c r="G71" s="84"/>
      <c r="H71" s="84">
        <v>-106105</v>
      </c>
      <c r="I71" s="84">
        <v>13379</v>
      </c>
      <c r="J71" s="84"/>
      <c r="K71" s="84">
        <v>172610</v>
      </c>
      <c r="L71" s="84">
        <v>723440</v>
      </c>
      <c r="M71" s="233">
        <v>326352</v>
      </c>
      <c r="N71" s="233">
        <v>-1547875</v>
      </c>
      <c r="O71" s="233">
        <v>-1545973</v>
      </c>
      <c r="P71" s="88"/>
      <c r="Q71" s="4"/>
      <c r="R71" s="4"/>
      <c r="S71" s="4"/>
      <c r="T71" s="4"/>
      <c r="U71" s="4"/>
      <c r="V71" s="4"/>
      <c r="W71" s="4"/>
      <c r="X71" s="4"/>
      <c r="Y71" s="4"/>
      <c r="Z71" s="4"/>
      <c r="AA71" s="4"/>
      <c r="AB71" s="4"/>
      <c r="AC71" s="4"/>
      <c r="AD71" s="4"/>
      <c r="AE71" s="4"/>
      <c r="AF71" s="4"/>
      <c r="AG71" s="4"/>
      <c r="AH71" s="4"/>
    </row>
    <row r="72" spans="1:34" customFormat="1" ht="30" customHeight="1">
      <c r="A72" s="77"/>
      <c r="B72" s="4"/>
      <c r="C72" s="4"/>
      <c r="D72" s="4"/>
      <c r="E72" s="124" t="s">
        <v>254</v>
      </c>
      <c r="F72" s="84"/>
      <c r="G72" s="84"/>
      <c r="H72" s="84"/>
      <c r="I72" s="84"/>
      <c r="J72" s="84"/>
      <c r="K72" s="84"/>
      <c r="L72" s="84"/>
      <c r="M72" s="233"/>
      <c r="N72" s="233"/>
      <c r="O72" s="233"/>
      <c r="P72" s="88"/>
      <c r="Q72" s="4"/>
      <c r="R72" s="4"/>
      <c r="S72" s="4"/>
      <c r="T72" s="4"/>
      <c r="U72" s="4"/>
      <c r="V72" s="4"/>
      <c r="W72" s="4"/>
      <c r="X72" s="4"/>
      <c r="Y72" s="4"/>
      <c r="Z72" s="4"/>
      <c r="AA72" s="4"/>
      <c r="AB72" s="4"/>
      <c r="AC72" s="4"/>
      <c r="AD72" s="4"/>
      <c r="AE72" s="4"/>
      <c r="AF72" s="4"/>
      <c r="AG72" s="4"/>
      <c r="AH72" s="4"/>
    </row>
    <row r="73" spans="1:34" customFormat="1" ht="30" customHeight="1">
      <c r="A73" s="77"/>
      <c r="B73" s="4"/>
      <c r="C73" s="4"/>
      <c r="D73" s="4"/>
      <c r="E73" s="124" t="s">
        <v>176</v>
      </c>
      <c r="F73" s="84">
        <v>-32661</v>
      </c>
      <c r="G73" s="84"/>
      <c r="H73" s="84"/>
      <c r="I73" s="84"/>
      <c r="J73" s="84"/>
      <c r="K73" s="84"/>
      <c r="L73" s="84"/>
      <c r="M73" s="233"/>
      <c r="N73" s="233"/>
      <c r="O73" s="233"/>
      <c r="P73" s="88"/>
      <c r="Q73" s="4"/>
      <c r="R73" s="4"/>
      <c r="S73" s="4"/>
      <c r="T73" s="4"/>
      <c r="U73" s="4"/>
      <c r="V73" s="4"/>
      <c r="W73" s="4"/>
      <c r="X73" s="4"/>
      <c r="Y73" s="4"/>
      <c r="Z73" s="4"/>
      <c r="AA73" s="4"/>
      <c r="AB73" s="4"/>
      <c r="AC73" s="4"/>
      <c r="AD73" s="4"/>
      <c r="AE73" s="4"/>
      <c r="AF73" s="4"/>
      <c r="AG73" s="4"/>
      <c r="AH73" s="4"/>
    </row>
    <row r="74" spans="1:34" customFormat="1" ht="30" customHeight="1">
      <c r="A74" s="77"/>
      <c r="B74" s="4"/>
      <c r="C74" s="4"/>
      <c r="D74" s="4"/>
      <c r="E74" s="124" t="s">
        <v>255</v>
      </c>
      <c r="F74" s="84"/>
      <c r="G74" s="84">
        <v>-66177</v>
      </c>
      <c r="H74" s="84"/>
      <c r="I74" s="84"/>
      <c r="J74" s="84">
        <v>-17661</v>
      </c>
      <c r="K74" s="84"/>
      <c r="L74" s="84"/>
      <c r="M74" s="233"/>
      <c r="N74" s="233"/>
      <c r="O74" s="233"/>
      <c r="P74" s="88"/>
      <c r="Q74" s="4"/>
      <c r="R74" s="4"/>
      <c r="S74" s="4"/>
      <c r="T74" s="4"/>
      <c r="U74" s="4"/>
      <c r="V74" s="4"/>
      <c r="W74" s="4"/>
      <c r="X74" s="4"/>
      <c r="Y74" s="4"/>
      <c r="Z74" s="4"/>
      <c r="AA74" s="4"/>
      <c r="AB74" s="4"/>
      <c r="AC74" s="4"/>
      <c r="AD74" s="4"/>
      <c r="AE74" s="4"/>
      <c r="AF74" s="4"/>
      <c r="AG74" s="4"/>
      <c r="AH74" s="4"/>
    </row>
    <row r="75" spans="1:34" customFormat="1" ht="30" customHeight="1">
      <c r="A75" s="77"/>
      <c r="B75" s="4"/>
      <c r="C75" s="4"/>
      <c r="D75" s="4"/>
      <c r="E75" s="124" t="s">
        <v>486</v>
      </c>
      <c r="F75" s="84"/>
      <c r="G75" s="84"/>
      <c r="H75" s="84"/>
      <c r="I75" s="84"/>
      <c r="J75" s="84"/>
      <c r="K75" s="84"/>
      <c r="L75" s="84"/>
      <c r="M75" s="233"/>
      <c r="N75" s="233">
        <v>-108446</v>
      </c>
      <c r="O75" s="233">
        <v>-105803</v>
      </c>
      <c r="P75" s="88"/>
      <c r="Q75" s="4"/>
      <c r="R75" s="4"/>
      <c r="S75" s="4"/>
      <c r="T75" s="4"/>
      <c r="U75" s="4"/>
      <c r="V75" s="4"/>
      <c r="W75" s="4"/>
      <c r="X75" s="4"/>
      <c r="Y75" s="4"/>
      <c r="Z75" s="4"/>
      <c r="AA75" s="4"/>
      <c r="AB75" s="4"/>
      <c r="AC75" s="4"/>
      <c r="AD75" s="4"/>
      <c r="AE75" s="4"/>
      <c r="AF75" s="4"/>
      <c r="AG75" s="4"/>
      <c r="AH75" s="4"/>
    </row>
    <row r="76" spans="1:34" customFormat="1" ht="30" customHeight="1">
      <c r="A76" s="77"/>
      <c r="B76" s="4"/>
      <c r="C76" s="4"/>
      <c r="D76" s="4"/>
      <c r="E76" s="124" t="s">
        <v>177</v>
      </c>
      <c r="F76" s="84">
        <v>-2587</v>
      </c>
      <c r="G76" s="84"/>
      <c r="H76" s="84"/>
      <c r="I76" s="84"/>
      <c r="J76" s="84"/>
      <c r="K76" s="84"/>
      <c r="L76" s="84"/>
      <c r="M76" s="233"/>
      <c r="N76" s="233"/>
      <c r="O76" s="233"/>
      <c r="P76" s="88"/>
      <c r="Q76" s="4"/>
      <c r="R76" s="4"/>
      <c r="S76" s="4"/>
      <c r="T76" s="4"/>
      <c r="U76" s="4"/>
      <c r="V76" s="4"/>
      <c r="W76" s="4"/>
      <c r="X76" s="4"/>
      <c r="Y76" s="4"/>
      <c r="Z76" s="4"/>
      <c r="AA76" s="4"/>
      <c r="AB76" s="4"/>
      <c r="AC76" s="4"/>
      <c r="AD76" s="4"/>
      <c r="AE76" s="4"/>
      <c r="AF76" s="4"/>
      <c r="AG76" s="4"/>
      <c r="AH76" s="4"/>
    </row>
    <row r="77" spans="1:34" customFormat="1" ht="30" customHeight="1">
      <c r="A77" s="77"/>
      <c r="B77" s="4"/>
      <c r="C77" s="4"/>
      <c r="D77" s="4"/>
      <c r="E77" s="124" t="s">
        <v>259</v>
      </c>
      <c r="F77" s="84">
        <v>-4161</v>
      </c>
      <c r="G77" s="84"/>
      <c r="H77" s="84"/>
      <c r="I77" s="84"/>
      <c r="J77" s="84"/>
      <c r="K77" s="84"/>
      <c r="L77" s="84"/>
      <c r="M77" s="233"/>
      <c r="N77" s="233"/>
      <c r="O77" s="233"/>
      <c r="P77" s="88"/>
      <c r="Q77" s="4"/>
      <c r="R77" s="4"/>
      <c r="S77" s="4"/>
      <c r="T77" s="4"/>
      <c r="U77" s="4"/>
      <c r="V77" s="4"/>
      <c r="W77" s="4"/>
      <c r="X77" s="4"/>
      <c r="Y77" s="4"/>
      <c r="Z77" s="4"/>
      <c r="AA77" s="4"/>
      <c r="AB77" s="4"/>
      <c r="AC77" s="4"/>
      <c r="AD77" s="4"/>
      <c r="AE77" s="4"/>
      <c r="AF77" s="4"/>
      <c r="AG77" s="4"/>
      <c r="AH77" s="4"/>
    </row>
    <row r="78" spans="1:34" customFormat="1" ht="30" customHeight="1">
      <c r="A78" s="77"/>
      <c r="B78" s="4"/>
      <c r="C78" s="4"/>
      <c r="D78" s="4"/>
      <c r="E78" s="124" t="s">
        <v>258</v>
      </c>
      <c r="F78" s="84">
        <v>-1245</v>
      </c>
      <c r="G78" s="84"/>
      <c r="H78" s="84"/>
      <c r="I78" s="84"/>
      <c r="J78" s="84"/>
      <c r="K78" s="84"/>
      <c r="L78" s="84"/>
      <c r="M78" s="233"/>
      <c r="N78" s="233"/>
      <c r="O78" s="233"/>
      <c r="P78" s="88"/>
      <c r="Q78" s="4"/>
      <c r="R78" s="4"/>
      <c r="S78" s="4"/>
      <c r="T78" s="4"/>
      <c r="U78" s="4"/>
      <c r="V78" s="4"/>
      <c r="W78" s="4"/>
      <c r="X78" s="4"/>
      <c r="Y78" s="4"/>
      <c r="Z78" s="4"/>
      <c r="AA78" s="4"/>
      <c r="AB78" s="4"/>
      <c r="AC78" s="4"/>
      <c r="AD78" s="4"/>
      <c r="AE78" s="4"/>
      <c r="AF78" s="4"/>
      <c r="AG78" s="4"/>
      <c r="AH78" s="4"/>
    </row>
    <row r="79" spans="1:34" customFormat="1" ht="30" customHeight="1">
      <c r="A79" s="77"/>
      <c r="B79" s="4"/>
      <c r="C79" s="4"/>
      <c r="D79" s="4"/>
      <c r="E79" s="124" t="s">
        <v>178</v>
      </c>
      <c r="F79" s="84"/>
      <c r="G79" s="84">
        <v>-67062</v>
      </c>
      <c r="H79" s="84"/>
      <c r="I79" s="84"/>
      <c r="J79" s="84"/>
      <c r="K79" s="84"/>
      <c r="L79" s="84"/>
      <c r="M79" s="233"/>
      <c r="N79" s="233"/>
      <c r="O79" s="233"/>
      <c r="P79" s="88"/>
      <c r="Q79" s="127"/>
      <c r="R79" s="4"/>
      <c r="S79" s="4"/>
      <c r="T79" s="4"/>
      <c r="U79" s="4"/>
      <c r="V79" s="4"/>
      <c r="W79" s="4"/>
      <c r="X79" s="4"/>
      <c r="Y79" s="4"/>
      <c r="Z79" s="4"/>
      <c r="AA79" s="4"/>
      <c r="AB79" s="4"/>
      <c r="AC79" s="4"/>
      <c r="AD79" s="4"/>
      <c r="AE79" s="4"/>
      <c r="AF79" s="4"/>
      <c r="AG79" s="4"/>
      <c r="AH79" s="4"/>
    </row>
    <row r="80" spans="1:34" customFormat="1" ht="30" customHeight="1">
      <c r="A80" s="77"/>
      <c r="B80" s="4"/>
      <c r="C80" s="4"/>
      <c r="D80" s="4"/>
      <c r="E80" s="129" t="s">
        <v>175</v>
      </c>
      <c r="F80" s="84">
        <f>SUM(F66:F79)</f>
        <v>-438841</v>
      </c>
      <c r="G80" s="84">
        <f t="shared" ref="G80:N80" si="16">SUM(G66:G79)</f>
        <v>-724721</v>
      </c>
      <c r="H80" s="84">
        <f t="shared" si="16"/>
        <v>-851435</v>
      </c>
      <c r="I80" s="84">
        <f t="shared" si="16"/>
        <v>-802145</v>
      </c>
      <c r="J80" s="84">
        <f t="shared" si="16"/>
        <v>-918495</v>
      </c>
      <c r="K80" s="84">
        <f t="shared" si="16"/>
        <v>-995206</v>
      </c>
      <c r="L80" s="84">
        <f t="shared" si="16"/>
        <v>-958814</v>
      </c>
      <c r="M80" s="84">
        <f t="shared" si="16"/>
        <v>-1789510</v>
      </c>
      <c r="N80" s="84">
        <f t="shared" si="16"/>
        <v>-4926726</v>
      </c>
      <c r="O80" s="84">
        <f t="shared" ref="O80" si="17">SUM(O66:O79)</f>
        <v>-4344104</v>
      </c>
      <c r="P80" s="88"/>
      <c r="Q80" s="127"/>
      <c r="R80" s="4"/>
      <c r="S80" s="4"/>
      <c r="T80" s="4"/>
      <c r="U80" s="4"/>
      <c r="V80" s="4"/>
      <c r="W80" s="4"/>
      <c r="X80" s="4"/>
      <c r="Y80" s="4"/>
      <c r="Z80" s="4"/>
      <c r="AA80" s="4"/>
      <c r="AB80" s="4"/>
      <c r="AC80" s="4"/>
      <c r="AD80" s="4"/>
      <c r="AE80" s="4"/>
      <c r="AF80" s="4"/>
      <c r="AG80" s="4"/>
      <c r="AH80" s="4"/>
    </row>
    <row r="81" spans="1:34" customFormat="1" ht="30" customHeight="1">
      <c r="A81" s="77"/>
      <c r="B81" s="4"/>
      <c r="C81" s="4"/>
      <c r="D81" s="4"/>
      <c r="E81" s="124" t="s">
        <v>256</v>
      </c>
      <c r="F81" s="84">
        <v>0</v>
      </c>
      <c r="G81" s="84"/>
      <c r="H81" s="84">
        <v>0</v>
      </c>
      <c r="I81" s="84"/>
      <c r="J81" s="84" t="s">
        <v>22</v>
      </c>
      <c r="K81" s="84">
        <v>-49557</v>
      </c>
      <c r="L81" s="84">
        <v>-52448</v>
      </c>
      <c r="M81" s="233">
        <v>-69956</v>
      </c>
      <c r="N81" s="233">
        <v>-122010</v>
      </c>
      <c r="O81" s="233">
        <v>-122444</v>
      </c>
      <c r="P81" s="88"/>
      <c r="Q81" s="127"/>
      <c r="R81" s="4"/>
      <c r="S81" s="4"/>
      <c r="T81" s="4"/>
      <c r="U81" s="4"/>
      <c r="V81" s="4"/>
      <c r="W81" s="4"/>
      <c r="X81" s="4"/>
      <c r="Y81" s="4"/>
      <c r="Z81" s="4"/>
      <c r="AA81" s="4"/>
      <c r="AB81" s="4"/>
      <c r="AC81" s="4"/>
      <c r="AD81" s="4"/>
      <c r="AE81" s="4"/>
      <c r="AF81" s="4"/>
      <c r="AG81" s="4"/>
      <c r="AH81" s="4"/>
    </row>
    <row r="82" spans="1:34" customFormat="1" ht="30" customHeight="1">
      <c r="A82" s="77"/>
      <c r="B82" s="4"/>
      <c r="C82" s="4"/>
      <c r="D82" s="4"/>
      <c r="E82" s="124" t="s">
        <v>176</v>
      </c>
      <c r="F82" s="84">
        <v>0</v>
      </c>
      <c r="G82" s="84"/>
      <c r="H82" s="84">
        <v>0</v>
      </c>
      <c r="I82" s="84"/>
      <c r="J82" s="84">
        <v>-34062</v>
      </c>
      <c r="K82" s="84">
        <v>-23203</v>
      </c>
      <c r="L82" s="84">
        <v>-21276</v>
      </c>
      <c r="M82" s="233">
        <v>-46006</v>
      </c>
      <c r="N82" s="233">
        <v>-116992</v>
      </c>
      <c r="O82" s="233">
        <v>-502188</v>
      </c>
      <c r="P82" s="88"/>
      <c r="Q82" s="127"/>
      <c r="R82" s="4"/>
      <c r="S82" s="4"/>
      <c r="T82" s="4"/>
      <c r="U82" s="4"/>
      <c r="V82" s="4"/>
      <c r="W82" s="4"/>
      <c r="X82" s="4"/>
      <c r="Y82" s="4"/>
      <c r="Z82" s="4"/>
      <c r="AA82" s="4"/>
      <c r="AB82" s="4"/>
      <c r="AC82" s="4"/>
      <c r="AD82" s="4"/>
      <c r="AE82" s="4"/>
      <c r="AF82" s="4"/>
      <c r="AG82" s="4"/>
      <c r="AH82" s="4"/>
    </row>
    <row r="83" spans="1:34" customFormat="1" ht="30" customHeight="1">
      <c r="A83" s="77"/>
      <c r="B83" s="4"/>
      <c r="C83" s="4"/>
      <c r="D83" s="4"/>
      <c r="E83" s="124" t="s">
        <v>497</v>
      </c>
      <c r="F83" s="84"/>
      <c r="G83" s="84"/>
      <c r="H83" s="84"/>
      <c r="I83" s="84"/>
      <c r="J83" s="84"/>
      <c r="K83" s="84"/>
      <c r="L83" s="84"/>
      <c r="M83" s="233"/>
      <c r="N83" s="233"/>
      <c r="O83" s="233">
        <v>0</v>
      </c>
      <c r="P83" s="88"/>
      <c r="Q83" s="127"/>
      <c r="R83" s="4"/>
      <c r="S83" s="4"/>
      <c r="T83" s="4"/>
      <c r="U83" s="4"/>
      <c r="V83" s="4"/>
      <c r="W83" s="4"/>
      <c r="X83" s="4"/>
      <c r="Y83" s="4"/>
      <c r="Z83" s="4"/>
      <c r="AA83" s="4"/>
      <c r="AB83" s="4"/>
      <c r="AC83" s="4"/>
      <c r="AD83" s="4"/>
      <c r="AE83" s="4"/>
      <c r="AF83" s="4"/>
      <c r="AG83" s="4"/>
      <c r="AH83" s="4"/>
    </row>
    <row r="84" spans="1:34" customFormat="1" ht="30" customHeight="1">
      <c r="A84" s="77"/>
      <c r="B84" s="4"/>
      <c r="C84" s="4"/>
      <c r="D84" s="4"/>
      <c r="E84" s="124" t="s">
        <v>178</v>
      </c>
      <c r="F84" s="84">
        <v>-4706</v>
      </c>
      <c r="G84" s="84"/>
      <c r="H84" s="84">
        <v>-98541</v>
      </c>
      <c r="I84" s="84">
        <v>-77951</v>
      </c>
      <c r="J84" s="84">
        <v>-46471</v>
      </c>
      <c r="K84" s="84">
        <v>-65409</v>
      </c>
      <c r="L84" s="84">
        <v>-21664</v>
      </c>
      <c r="M84" s="233">
        <v>-48483</v>
      </c>
      <c r="N84" s="233">
        <v>-192745</v>
      </c>
      <c r="O84" s="233">
        <v>-221709</v>
      </c>
      <c r="P84" s="88"/>
      <c r="Q84" s="4"/>
      <c r="R84" s="4"/>
      <c r="S84" s="4"/>
      <c r="T84" s="4"/>
      <c r="U84" s="4"/>
      <c r="V84" s="4"/>
      <c r="W84" s="4"/>
      <c r="X84" s="4"/>
      <c r="Y84" s="4"/>
      <c r="Z84" s="4"/>
      <c r="AA84" s="4"/>
      <c r="AB84" s="4"/>
      <c r="AC84" s="4"/>
      <c r="AD84" s="4"/>
      <c r="AE84" s="4"/>
      <c r="AF84" s="4"/>
      <c r="AG84" s="4"/>
      <c r="AH84" s="4"/>
    </row>
    <row r="85" spans="1:34" customFormat="1" ht="30" customHeight="1" thickBot="1">
      <c r="A85" s="77"/>
      <c r="B85" s="4"/>
      <c r="C85" s="4"/>
      <c r="D85" s="4"/>
      <c r="E85" s="214" t="s">
        <v>61</v>
      </c>
      <c r="F85" s="215">
        <f t="shared" ref="F85:G85" si="18">SUM(F80:F84)</f>
        <v>-443547</v>
      </c>
      <c r="G85" s="215">
        <f t="shared" si="18"/>
        <v>-724721</v>
      </c>
      <c r="H85" s="215">
        <f>SUM(H80:H84)</f>
        <v>-949976</v>
      </c>
      <c r="I85" s="215">
        <f t="shared" ref="I85:N85" si="19">SUM(I80:I84)</f>
        <v>-880096</v>
      </c>
      <c r="J85" s="215">
        <f t="shared" si="19"/>
        <v>-999028</v>
      </c>
      <c r="K85" s="215">
        <f t="shared" si="19"/>
        <v>-1133375</v>
      </c>
      <c r="L85" s="215">
        <f t="shared" si="19"/>
        <v>-1054202</v>
      </c>
      <c r="M85" s="215">
        <f t="shared" si="19"/>
        <v>-1953955</v>
      </c>
      <c r="N85" s="215">
        <f t="shared" si="19"/>
        <v>-5358473</v>
      </c>
      <c r="O85" s="215">
        <f t="shared" ref="O85" si="20">SUM(O80:O84)</f>
        <v>-5190445</v>
      </c>
      <c r="P85" s="4"/>
      <c r="Q85" s="4"/>
      <c r="R85" s="4"/>
      <c r="S85" s="4"/>
      <c r="T85" s="4"/>
      <c r="U85" s="4"/>
      <c r="V85" s="4"/>
      <c r="W85" s="4"/>
      <c r="X85" s="4"/>
      <c r="Y85" s="4"/>
      <c r="Z85" s="4"/>
      <c r="AA85" s="4"/>
      <c r="AB85" s="4"/>
      <c r="AC85" s="4"/>
      <c r="AD85" s="4"/>
      <c r="AE85" s="4"/>
      <c r="AF85" s="4"/>
      <c r="AG85" s="4"/>
      <c r="AH85" s="4"/>
    </row>
    <row r="86" spans="1:34" customFormat="1" ht="30" customHeight="1">
      <c r="A86" s="77"/>
      <c r="B86" s="4"/>
      <c r="C86" s="4"/>
      <c r="D86" s="4"/>
      <c r="E86" s="178"/>
      <c r="F86" s="222"/>
      <c r="G86" s="222"/>
      <c r="H86" s="222"/>
      <c r="I86" s="222"/>
      <c r="J86" s="222"/>
      <c r="K86" s="222"/>
      <c r="L86" s="222"/>
      <c r="M86" s="222"/>
      <c r="N86" s="222"/>
      <c r="O86" s="222"/>
      <c r="P86" s="4"/>
      <c r="Q86" s="4"/>
      <c r="R86" s="4"/>
      <c r="S86" s="4"/>
      <c r="T86" s="4"/>
      <c r="U86" s="4"/>
      <c r="V86" s="4"/>
      <c r="W86" s="4"/>
      <c r="X86" s="4"/>
      <c r="Y86" s="4"/>
      <c r="Z86" s="4"/>
      <c r="AA86" s="4"/>
      <c r="AB86" s="4"/>
      <c r="AC86" s="4"/>
      <c r="AD86" s="4"/>
      <c r="AE86" s="4"/>
      <c r="AF86" s="4"/>
      <c r="AG86" s="4"/>
      <c r="AH86" s="4"/>
    </row>
    <row r="87" spans="1:34" customFormat="1" ht="30" customHeight="1">
      <c r="A87" s="77"/>
      <c r="B87" s="4"/>
      <c r="C87" s="4"/>
      <c r="D87" s="4"/>
      <c r="E87" s="10"/>
      <c r="F87" s="127"/>
      <c r="G87" s="127"/>
      <c r="H87" s="127"/>
      <c r="I87" s="127"/>
      <c r="J87" s="127"/>
      <c r="K87" s="127"/>
      <c r="L87" s="127"/>
      <c r="M87" s="127"/>
      <c r="N87" s="127"/>
      <c r="O87" s="4"/>
      <c r="P87" s="4"/>
      <c r="Q87" s="4"/>
      <c r="R87" s="4"/>
      <c r="S87" s="4"/>
      <c r="T87" s="4"/>
      <c r="U87" s="4"/>
      <c r="V87" s="4"/>
      <c r="W87" s="4"/>
      <c r="X87" s="4"/>
      <c r="Y87" s="4"/>
      <c r="Z87" s="4"/>
      <c r="AA87" s="4"/>
      <c r="AB87" s="4"/>
      <c r="AC87" s="4"/>
      <c r="AD87" s="4"/>
      <c r="AE87" s="4"/>
      <c r="AF87" s="4"/>
      <c r="AG87" s="4"/>
      <c r="AH87" s="4"/>
    </row>
    <row r="88" spans="1:34" customFormat="1" ht="30" customHeight="1">
      <c r="A88" s="77"/>
      <c r="B88" s="4"/>
      <c r="C88" s="4"/>
      <c r="D88" s="4"/>
      <c r="E88" s="29"/>
      <c r="F88" s="5"/>
      <c r="G88" s="5"/>
      <c r="H88" s="5"/>
      <c r="I88" s="5"/>
      <c r="J88" s="5"/>
      <c r="K88" s="5"/>
      <c r="L88" s="66"/>
      <c r="M88" s="4"/>
      <c r="N88" s="4"/>
      <c r="O88" s="4"/>
      <c r="P88" s="88"/>
      <c r="Q88" s="4"/>
      <c r="R88" s="4"/>
      <c r="S88" s="4"/>
      <c r="T88" s="4"/>
      <c r="U88" s="4"/>
      <c r="V88" s="4"/>
      <c r="W88" s="4"/>
      <c r="X88" s="4"/>
      <c r="Y88" s="4"/>
      <c r="Z88" s="4"/>
      <c r="AA88" s="4"/>
      <c r="AB88" s="4"/>
      <c r="AC88" s="4"/>
      <c r="AD88" s="4"/>
      <c r="AE88" s="4"/>
      <c r="AF88" s="4"/>
      <c r="AG88" s="4"/>
      <c r="AH88" s="4"/>
    </row>
    <row r="89" spans="1:34" customFormat="1" ht="30" customHeight="1">
      <c r="A89" s="77"/>
      <c r="B89" s="4"/>
      <c r="C89" s="4"/>
      <c r="D89" s="4"/>
      <c r="E89" s="124"/>
      <c r="F89" s="37">
        <v>2014</v>
      </c>
      <c r="G89" s="37">
        <v>2015</v>
      </c>
      <c r="H89" s="37">
        <v>2016</v>
      </c>
      <c r="I89" s="37">
        <v>2017</v>
      </c>
      <c r="J89" s="37">
        <v>2018</v>
      </c>
      <c r="K89" s="37">
        <v>2019</v>
      </c>
      <c r="L89" s="37">
        <v>2020</v>
      </c>
      <c r="M89" s="37">
        <v>2021</v>
      </c>
      <c r="N89" s="37">
        <v>2022</v>
      </c>
      <c r="O89" s="230" t="s">
        <v>501</v>
      </c>
      <c r="P89" s="88"/>
      <c r="Q89" s="4"/>
      <c r="R89" s="4"/>
      <c r="S89" s="4"/>
      <c r="T89" s="4"/>
      <c r="U89" s="4"/>
      <c r="V89" s="4"/>
      <c r="W89" s="4"/>
      <c r="X89" s="4"/>
      <c r="Y89" s="4"/>
      <c r="Z89" s="4"/>
      <c r="AA89" s="4"/>
      <c r="AB89" s="4"/>
      <c r="AC89" s="4"/>
      <c r="AD89" s="4"/>
      <c r="AE89" s="4"/>
      <c r="AF89" s="4"/>
      <c r="AG89" s="4"/>
      <c r="AH89" s="4"/>
    </row>
    <row r="90" spans="1:34" customFormat="1" ht="30" customHeight="1">
      <c r="A90" s="77"/>
      <c r="B90" s="4"/>
      <c r="C90" s="4"/>
      <c r="D90" s="4"/>
      <c r="E90" s="124" t="s">
        <v>70</v>
      </c>
      <c r="F90" s="42">
        <v>55763</v>
      </c>
      <c r="G90" s="42">
        <v>155709</v>
      </c>
      <c r="H90" s="42">
        <v>161024</v>
      </c>
      <c r="I90" s="42">
        <v>148535</v>
      </c>
      <c r="J90" s="42">
        <v>262955</v>
      </c>
      <c r="K90" s="42">
        <v>295995</v>
      </c>
      <c r="L90" s="42">
        <v>345166</v>
      </c>
      <c r="M90" s="212">
        <v>660349</v>
      </c>
      <c r="N90" s="212">
        <v>1189610</v>
      </c>
      <c r="O90" s="212">
        <v>633497</v>
      </c>
      <c r="P90" s="88"/>
      <c r="Q90" s="4"/>
      <c r="R90" s="4"/>
      <c r="S90" s="4"/>
      <c r="T90" s="4"/>
      <c r="U90" s="4"/>
      <c r="V90" s="4"/>
      <c r="W90" s="4"/>
      <c r="X90" s="4"/>
      <c r="Y90" s="4"/>
      <c r="Z90" s="4"/>
      <c r="AA90" s="4"/>
      <c r="AB90" s="4"/>
      <c r="AC90" s="4"/>
      <c r="AD90" s="4"/>
      <c r="AE90" s="4"/>
      <c r="AF90" s="4"/>
      <c r="AG90" s="4"/>
      <c r="AH90" s="4"/>
    </row>
    <row r="91" spans="1:34" customFormat="1" ht="30" customHeight="1">
      <c r="A91" s="77"/>
      <c r="B91" s="4"/>
      <c r="C91" s="4"/>
      <c r="D91" s="4"/>
      <c r="E91" s="124" t="s">
        <v>191</v>
      </c>
      <c r="F91" s="42">
        <v>124</v>
      </c>
      <c r="G91" s="42">
        <v>16613</v>
      </c>
      <c r="H91" s="42">
        <v>9797</v>
      </c>
      <c r="I91" s="42">
        <v>31542</v>
      </c>
      <c r="J91" s="42">
        <v>22565</v>
      </c>
      <c r="K91" s="42">
        <v>24623</v>
      </c>
      <c r="L91" s="42">
        <v>12880</v>
      </c>
      <c r="M91" s="212">
        <v>13557</v>
      </c>
      <c r="N91" s="212">
        <v>4812</v>
      </c>
      <c r="O91" s="212"/>
      <c r="P91" s="88"/>
      <c r="Q91" s="4"/>
      <c r="R91" s="4"/>
      <c r="S91" s="4"/>
      <c r="T91" s="4"/>
      <c r="U91" s="4"/>
      <c r="V91" s="4"/>
      <c r="W91" s="4"/>
      <c r="X91" s="4"/>
      <c r="Y91" s="4"/>
      <c r="Z91" s="4"/>
      <c r="AA91" s="4"/>
      <c r="AB91" s="4"/>
      <c r="AC91" s="4"/>
      <c r="AD91" s="4"/>
      <c r="AE91" s="4"/>
      <c r="AF91" s="4"/>
      <c r="AG91" s="4"/>
      <c r="AH91" s="4"/>
    </row>
    <row r="92" spans="1:34" customFormat="1" ht="30" customHeight="1">
      <c r="A92" s="77"/>
      <c r="B92" s="4"/>
      <c r="C92" s="4"/>
      <c r="D92" s="4"/>
      <c r="E92" s="124" t="s">
        <v>260</v>
      </c>
      <c r="F92" s="42">
        <v>23075</v>
      </c>
      <c r="G92" s="42"/>
      <c r="H92" s="42"/>
      <c r="I92" s="42"/>
      <c r="J92" s="42"/>
      <c r="K92" s="42"/>
      <c r="L92" s="42"/>
      <c r="M92" s="212"/>
      <c r="N92" s="212"/>
      <c r="O92" s="212"/>
      <c r="P92" s="88"/>
      <c r="Q92" s="4"/>
      <c r="R92" s="4"/>
      <c r="S92" s="4"/>
      <c r="T92" s="4"/>
      <c r="U92" s="4"/>
      <c r="V92" s="4"/>
      <c r="W92" s="4"/>
      <c r="X92" s="4"/>
      <c r="Y92" s="4"/>
      <c r="Z92" s="4"/>
      <c r="AA92" s="4"/>
      <c r="AB92" s="4"/>
      <c r="AC92" s="4"/>
      <c r="AD92" s="4"/>
      <c r="AE92" s="4"/>
      <c r="AF92" s="4"/>
      <c r="AG92" s="4"/>
      <c r="AH92" s="4"/>
    </row>
    <row r="93" spans="1:34" customFormat="1" ht="30" customHeight="1">
      <c r="A93" s="77"/>
      <c r="B93" s="4"/>
      <c r="C93" s="4"/>
      <c r="D93" s="4"/>
      <c r="E93" s="124" t="s">
        <v>71</v>
      </c>
      <c r="F93" s="42">
        <v>6126</v>
      </c>
      <c r="G93" s="42"/>
      <c r="H93" s="42">
        <v>8373</v>
      </c>
      <c r="I93" s="42">
        <v>13920</v>
      </c>
      <c r="J93" s="42">
        <v>11798</v>
      </c>
      <c r="K93" s="42">
        <v>17934</v>
      </c>
      <c r="L93" s="42">
        <v>28408</v>
      </c>
      <c r="M93" s="212">
        <v>33229</v>
      </c>
      <c r="N93" s="212">
        <v>33971</v>
      </c>
      <c r="O93" s="212">
        <v>21229</v>
      </c>
      <c r="P93" s="88"/>
      <c r="Q93" s="4"/>
      <c r="R93" s="4"/>
      <c r="S93" s="4"/>
      <c r="T93" s="4"/>
      <c r="U93" s="4"/>
      <c r="V93" s="4"/>
      <c r="W93" s="4"/>
      <c r="X93" s="4"/>
      <c r="Y93" s="4"/>
      <c r="Z93" s="4"/>
      <c r="AA93" s="4"/>
      <c r="AB93" s="4"/>
      <c r="AC93" s="4"/>
      <c r="AD93" s="4"/>
      <c r="AE93" s="4"/>
      <c r="AF93" s="4"/>
      <c r="AG93" s="4"/>
      <c r="AH93" s="4"/>
    </row>
    <row r="94" spans="1:34" customFormat="1" ht="30" customHeight="1">
      <c r="A94" s="77"/>
      <c r="B94" s="4"/>
      <c r="C94" s="4"/>
      <c r="D94" s="4"/>
      <c r="E94" s="124" t="s">
        <v>259</v>
      </c>
      <c r="F94" s="42">
        <v>2367</v>
      </c>
      <c r="G94" s="42"/>
      <c r="H94" s="42"/>
      <c r="I94" s="42"/>
      <c r="J94" s="42"/>
      <c r="K94" s="42"/>
      <c r="L94" s="42"/>
      <c r="M94" s="212"/>
      <c r="N94" s="212"/>
      <c r="O94" s="212"/>
      <c r="P94" s="88"/>
      <c r="Q94" s="127"/>
      <c r="R94" s="4"/>
      <c r="S94" s="4"/>
      <c r="T94" s="4"/>
      <c r="U94" s="4"/>
      <c r="V94" s="4"/>
      <c r="W94" s="4"/>
      <c r="X94" s="4"/>
      <c r="Y94" s="4"/>
      <c r="Z94" s="4"/>
      <c r="AA94" s="4"/>
      <c r="AB94" s="4"/>
      <c r="AC94" s="4"/>
      <c r="AD94" s="4"/>
      <c r="AE94" s="4"/>
      <c r="AF94" s="4"/>
      <c r="AG94" s="4"/>
      <c r="AH94" s="4"/>
    </row>
    <row r="95" spans="1:34" customFormat="1" ht="30" customHeight="1">
      <c r="A95" s="77"/>
      <c r="B95" s="4"/>
      <c r="C95" s="4"/>
      <c r="D95" s="4"/>
      <c r="E95" s="124" t="s">
        <v>257</v>
      </c>
      <c r="F95" s="42"/>
      <c r="G95" s="42"/>
      <c r="H95" s="42"/>
      <c r="I95" s="42"/>
      <c r="J95" s="42"/>
      <c r="K95" s="42"/>
      <c r="L95" s="42">
        <v>281440</v>
      </c>
      <c r="M95" s="212" t="s">
        <v>22</v>
      </c>
      <c r="N95" s="212"/>
      <c r="O95" s="212"/>
      <c r="P95" s="88"/>
      <c r="Q95" s="4"/>
      <c r="R95" s="4"/>
      <c r="S95" s="4"/>
      <c r="T95" s="4"/>
      <c r="U95" s="4"/>
      <c r="V95" s="4"/>
      <c r="W95" s="4"/>
      <c r="X95" s="4"/>
      <c r="Y95" s="4"/>
      <c r="Z95" s="4"/>
      <c r="AA95" s="4"/>
      <c r="AB95" s="4"/>
      <c r="AC95" s="4"/>
      <c r="AD95" s="4"/>
      <c r="AE95" s="4"/>
      <c r="AF95" s="4"/>
      <c r="AG95" s="4"/>
      <c r="AH95" s="4"/>
    </row>
    <row r="96" spans="1:34" customFormat="1" ht="30" customHeight="1">
      <c r="A96" s="77"/>
      <c r="B96" s="4"/>
      <c r="C96" s="4"/>
      <c r="D96" s="4"/>
      <c r="E96" s="124" t="s">
        <v>512</v>
      </c>
      <c r="F96" s="42"/>
      <c r="G96" s="42"/>
      <c r="H96" s="42"/>
      <c r="I96" s="42"/>
      <c r="J96" s="42"/>
      <c r="K96" s="42"/>
      <c r="L96" s="42"/>
      <c r="M96" s="212"/>
      <c r="N96" s="212"/>
      <c r="O96" s="212">
        <v>87397</v>
      </c>
      <c r="P96" s="88"/>
      <c r="Q96" s="4"/>
      <c r="R96" s="4"/>
      <c r="S96" s="4"/>
      <c r="T96" s="4"/>
      <c r="U96" s="4"/>
      <c r="V96" s="4"/>
      <c r="W96" s="4"/>
      <c r="X96" s="4"/>
      <c r="Y96" s="4"/>
      <c r="Z96" s="4"/>
      <c r="AA96" s="4"/>
      <c r="AB96" s="4"/>
      <c r="AC96" s="4"/>
      <c r="AD96" s="4"/>
      <c r="AE96" s="4"/>
      <c r="AF96" s="4"/>
      <c r="AG96" s="4"/>
      <c r="AH96" s="4"/>
    </row>
    <row r="97" spans="1:34" customFormat="1" ht="30" customHeight="1">
      <c r="A97" s="77"/>
      <c r="B97" s="4"/>
      <c r="C97" s="4"/>
      <c r="D97" s="4"/>
      <c r="E97" s="124" t="s">
        <v>511</v>
      </c>
      <c r="F97" s="42"/>
      <c r="G97" s="42"/>
      <c r="H97" s="42"/>
      <c r="I97" s="42"/>
      <c r="J97" s="42"/>
      <c r="K97" s="42"/>
      <c r="L97" s="42"/>
      <c r="M97" s="212"/>
      <c r="N97" s="212"/>
      <c r="O97" s="212">
        <v>50749</v>
      </c>
      <c r="P97" s="88"/>
      <c r="Q97" s="4"/>
      <c r="R97" s="4"/>
      <c r="S97" s="4"/>
      <c r="T97" s="4"/>
      <c r="U97" s="4"/>
      <c r="V97" s="4"/>
      <c r="W97" s="4"/>
      <c r="X97" s="4"/>
      <c r="Y97" s="4"/>
      <c r="Z97" s="4"/>
      <c r="AA97" s="4"/>
      <c r="AB97" s="4"/>
      <c r="AC97" s="4"/>
      <c r="AD97" s="4"/>
      <c r="AE97" s="4"/>
      <c r="AF97" s="4"/>
      <c r="AG97" s="4"/>
      <c r="AH97" s="4"/>
    </row>
    <row r="98" spans="1:34" customFormat="1" ht="30" customHeight="1">
      <c r="A98" s="77"/>
      <c r="B98" s="4"/>
      <c r="C98" s="4"/>
      <c r="D98" s="4"/>
      <c r="E98" s="124" t="s">
        <v>72</v>
      </c>
      <c r="F98" s="42">
        <v>2170</v>
      </c>
      <c r="G98" s="42">
        <v>13733</v>
      </c>
      <c r="H98" s="42">
        <v>22529</v>
      </c>
      <c r="I98" s="42">
        <v>15558</v>
      </c>
      <c r="J98" s="42">
        <v>20491</v>
      </c>
      <c r="K98" s="42">
        <v>26784</v>
      </c>
      <c r="L98" s="42">
        <v>11532</v>
      </c>
      <c r="M98" s="212">
        <v>29227</v>
      </c>
      <c r="N98" s="212">
        <v>649</v>
      </c>
      <c r="O98" s="212">
        <v>45126</v>
      </c>
      <c r="P98" s="88"/>
      <c r="Q98" s="4"/>
      <c r="R98" s="4"/>
      <c r="S98" s="4"/>
      <c r="T98" s="4"/>
      <c r="U98" s="4"/>
      <c r="V98" s="4"/>
      <c r="W98" s="4"/>
      <c r="X98" s="4"/>
      <c r="Y98" s="4"/>
      <c r="Z98" s="4"/>
      <c r="AA98" s="4"/>
      <c r="AB98" s="4"/>
      <c r="AC98" s="4"/>
      <c r="AD98" s="4"/>
      <c r="AE98" s="4"/>
      <c r="AF98" s="4"/>
      <c r="AG98" s="4"/>
      <c r="AH98" s="4"/>
    </row>
    <row r="99" spans="1:34" customFormat="1" ht="30" customHeight="1" thickBot="1">
      <c r="A99" s="77"/>
      <c r="B99" s="4"/>
      <c r="C99" s="4"/>
      <c r="D99" s="4"/>
      <c r="E99" s="236" t="s">
        <v>61</v>
      </c>
      <c r="F99" s="215">
        <f t="shared" ref="F99:N99" si="21">SUM(F90:F98)</f>
        <v>89625</v>
      </c>
      <c r="G99" s="215">
        <f t="shared" si="21"/>
        <v>186055</v>
      </c>
      <c r="H99" s="215">
        <f t="shared" si="21"/>
        <v>201723</v>
      </c>
      <c r="I99" s="215">
        <f t="shared" si="21"/>
        <v>209555</v>
      </c>
      <c r="J99" s="215">
        <f t="shared" si="21"/>
        <v>317809</v>
      </c>
      <c r="K99" s="215">
        <f t="shared" si="21"/>
        <v>365336</v>
      </c>
      <c r="L99" s="215">
        <f t="shared" si="21"/>
        <v>679426</v>
      </c>
      <c r="M99" s="215">
        <f t="shared" si="21"/>
        <v>736362</v>
      </c>
      <c r="N99" s="215">
        <f t="shared" si="21"/>
        <v>1229042</v>
      </c>
      <c r="O99" s="215">
        <f t="shared" ref="O99" si="22">SUM(O90:O98)</f>
        <v>837998</v>
      </c>
      <c r="P99" s="4"/>
      <c r="Q99" s="4"/>
      <c r="R99" s="4"/>
      <c r="S99" s="4"/>
      <c r="T99" s="4"/>
      <c r="U99" s="4"/>
      <c r="V99" s="4"/>
      <c r="W99" s="4"/>
      <c r="X99" s="4"/>
      <c r="Y99" s="4"/>
      <c r="Z99" s="4"/>
      <c r="AA99" s="4"/>
      <c r="AB99" s="4"/>
      <c r="AC99" s="4"/>
      <c r="AD99" s="4"/>
      <c r="AE99" s="4"/>
      <c r="AF99" s="4"/>
      <c r="AG99" s="4"/>
      <c r="AH99" s="4"/>
    </row>
    <row r="100" spans="1:34" customFormat="1" ht="30" customHeight="1">
      <c r="A100" s="77"/>
      <c r="B100" s="4"/>
      <c r="C100" s="4"/>
      <c r="D100" s="4"/>
      <c r="E100" s="178"/>
      <c r="F100" s="222"/>
      <c r="G100" s="222"/>
      <c r="H100" s="222"/>
      <c r="I100" s="222"/>
      <c r="J100" s="222"/>
      <c r="K100" s="222"/>
      <c r="L100" s="222"/>
      <c r="M100" s="222"/>
      <c r="N100" s="222"/>
      <c r="O100" s="222"/>
      <c r="P100" s="4"/>
      <c r="Q100" s="4"/>
      <c r="R100" s="4"/>
      <c r="S100" s="4"/>
      <c r="T100" s="4"/>
      <c r="U100" s="4"/>
      <c r="V100" s="4"/>
      <c r="W100" s="4"/>
      <c r="X100" s="4"/>
      <c r="Y100" s="4"/>
      <c r="Z100" s="4"/>
      <c r="AA100" s="4"/>
      <c r="AB100" s="4"/>
      <c r="AC100" s="4"/>
      <c r="AD100" s="4"/>
      <c r="AE100" s="4"/>
      <c r="AF100" s="4"/>
      <c r="AG100" s="4"/>
      <c r="AH100" s="4"/>
    </row>
    <row r="101" spans="1:34" customFormat="1" ht="30" customHeight="1">
      <c r="A101" s="77"/>
      <c r="B101" s="4"/>
      <c r="C101" s="4"/>
      <c r="D101" s="4"/>
      <c r="E101" s="10"/>
      <c r="F101" s="127"/>
      <c r="G101" s="127"/>
      <c r="H101" s="127"/>
      <c r="I101" s="127"/>
      <c r="J101" s="127"/>
      <c r="K101" s="127"/>
      <c r="L101" s="127"/>
      <c r="M101" s="127"/>
      <c r="N101" s="127"/>
      <c r="O101" s="127"/>
      <c r="P101" s="4"/>
      <c r="Q101" s="4"/>
      <c r="R101" s="4"/>
      <c r="S101" s="4"/>
      <c r="T101" s="4"/>
      <c r="U101" s="4"/>
      <c r="V101" s="4"/>
      <c r="W101" s="4"/>
      <c r="X101" s="4"/>
      <c r="Y101" s="4"/>
      <c r="Z101" s="4"/>
      <c r="AA101" s="4"/>
      <c r="AB101" s="4"/>
      <c r="AC101" s="4"/>
      <c r="AD101" s="4"/>
      <c r="AE101" s="4"/>
      <c r="AF101" s="4"/>
      <c r="AG101" s="4"/>
      <c r="AH101" s="4"/>
    </row>
    <row r="102" spans="1:34" customFormat="1" ht="30" customHeight="1">
      <c r="A102" s="77"/>
      <c r="B102" s="4"/>
      <c r="C102" s="4"/>
      <c r="D102" s="4"/>
      <c r="E102" s="29"/>
      <c r="F102" s="5"/>
      <c r="G102" s="5"/>
      <c r="H102" s="5"/>
      <c r="I102" s="5"/>
      <c r="J102" s="5"/>
      <c r="K102" s="5"/>
      <c r="L102" s="66"/>
      <c r="M102" s="66"/>
      <c r="N102" s="66"/>
      <c r="O102" s="5"/>
      <c r="P102" s="88"/>
      <c r="Q102" s="4"/>
      <c r="R102" s="4"/>
      <c r="S102" s="4"/>
      <c r="T102" s="4"/>
      <c r="U102" s="4"/>
      <c r="V102" s="4"/>
      <c r="W102" s="4"/>
      <c r="X102" s="4"/>
      <c r="Y102" s="4"/>
      <c r="Z102" s="4"/>
      <c r="AA102" s="4"/>
      <c r="AB102" s="4"/>
      <c r="AC102" s="4"/>
      <c r="AD102" s="4"/>
      <c r="AE102" s="4"/>
      <c r="AF102" s="4"/>
      <c r="AG102" s="4"/>
      <c r="AH102" s="4"/>
    </row>
    <row r="103" spans="1:34" customFormat="1" ht="30" customHeight="1">
      <c r="A103" s="77"/>
      <c r="B103" s="4"/>
      <c r="C103" s="4"/>
      <c r="D103" s="4"/>
      <c r="E103" s="124"/>
      <c r="F103" s="37">
        <v>2014</v>
      </c>
      <c r="G103" s="37">
        <v>2015</v>
      </c>
      <c r="H103" s="37">
        <v>2016</v>
      </c>
      <c r="I103" s="37">
        <v>2017</v>
      </c>
      <c r="J103" s="37">
        <v>2018</v>
      </c>
      <c r="K103" s="37">
        <v>2019</v>
      </c>
      <c r="L103" s="37">
        <v>2020</v>
      </c>
      <c r="M103" s="37">
        <v>2021</v>
      </c>
      <c r="N103" s="37">
        <v>2022</v>
      </c>
      <c r="O103" s="230" t="s">
        <v>501</v>
      </c>
      <c r="P103" s="88"/>
      <c r="Q103" s="4"/>
      <c r="R103" s="4"/>
      <c r="S103" s="4"/>
      <c r="T103" s="4"/>
      <c r="U103" s="4"/>
      <c r="V103" s="4"/>
      <c r="W103" s="4"/>
      <c r="X103" s="4"/>
      <c r="Y103" s="4"/>
      <c r="Z103" s="4"/>
      <c r="AA103" s="4"/>
      <c r="AB103" s="4"/>
      <c r="AC103" s="4"/>
      <c r="AD103" s="4"/>
      <c r="AE103" s="4"/>
      <c r="AF103" s="4"/>
      <c r="AG103" s="4"/>
      <c r="AH103" s="4"/>
    </row>
    <row r="104" spans="1:34" customFormat="1" ht="30" customHeight="1">
      <c r="A104" s="77"/>
      <c r="B104" s="4"/>
      <c r="C104" s="4"/>
      <c r="D104" s="4"/>
      <c r="E104" s="129" t="s">
        <v>65</v>
      </c>
      <c r="F104" s="46">
        <f t="shared" ref="F104:N104" si="23">F57</f>
        <v>484618</v>
      </c>
      <c r="G104" s="46">
        <f t="shared" si="23"/>
        <v>589660</v>
      </c>
      <c r="H104" s="46">
        <f t="shared" si="23"/>
        <v>561004</v>
      </c>
      <c r="I104" s="46">
        <f t="shared" si="23"/>
        <v>670266</v>
      </c>
      <c r="J104" s="46">
        <f t="shared" si="23"/>
        <v>930273</v>
      </c>
      <c r="K104" s="46">
        <f t="shared" si="23"/>
        <v>1200094</v>
      </c>
      <c r="L104" s="46">
        <f t="shared" si="23"/>
        <v>1171665</v>
      </c>
      <c r="M104" s="46">
        <f t="shared" si="23"/>
        <v>3022985</v>
      </c>
      <c r="N104" s="46">
        <f t="shared" si="23"/>
        <v>5104290</v>
      </c>
      <c r="O104" s="46">
        <f t="shared" ref="O104" si="24">O57</f>
        <v>4377741</v>
      </c>
      <c r="P104" s="88"/>
      <c r="Q104" s="4"/>
      <c r="R104" s="4"/>
      <c r="S104" s="4"/>
      <c r="T104" s="4"/>
      <c r="U104" s="4"/>
      <c r="V104" s="4"/>
      <c r="W104" s="4"/>
      <c r="X104" s="4"/>
      <c r="Y104" s="4"/>
      <c r="Z104" s="4"/>
      <c r="AA104" s="4"/>
      <c r="AB104" s="4"/>
      <c r="AC104" s="4"/>
      <c r="AD104" s="4"/>
      <c r="AE104" s="4"/>
      <c r="AF104" s="4"/>
      <c r="AG104" s="4"/>
      <c r="AH104" s="4"/>
    </row>
    <row r="105" spans="1:34" customFormat="1" ht="30" customHeight="1">
      <c r="A105" s="77"/>
      <c r="B105" s="4"/>
      <c r="C105" s="4"/>
      <c r="D105" s="4"/>
      <c r="E105" s="129" t="s">
        <v>503</v>
      </c>
      <c r="F105" s="46">
        <f>F60</f>
        <v>484618</v>
      </c>
      <c r="G105" s="46">
        <f t="shared" ref="G105:O105" si="25">G60</f>
        <v>589660</v>
      </c>
      <c r="H105" s="46">
        <f t="shared" si="25"/>
        <v>561004</v>
      </c>
      <c r="I105" s="46">
        <f t="shared" si="25"/>
        <v>670266</v>
      </c>
      <c r="J105" s="46">
        <f t="shared" si="25"/>
        <v>930273</v>
      </c>
      <c r="K105" s="46">
        <f t="shared" si="25"/>
        <v>1168529.294117647</v>
      </c>
      <c r="L105" s="46">
        <f t="shared" si="25"/>
        <v>1142085.5882352942</v>
      </c>
      <c r="M105" s="46">
        <f t="shared" si="25"/>
        <v>2988137.9411764704</v>
      </c>
      <c r="N105" s="46">
        <f t="shared" si="25"/>
        <v>4615766.4705882352</v>
      </c>
      <c r="O105" s="46">
        <f t="shared" si="25"/>
        <v>4377741</v>
      </c>
      <c r="P105" s="88"/>
      <c r="Q105" s="4"/>
      <c r="R105" s="4"/>
      <c r="S105" s="4"/>
      <c r="T105" s="4"/>
      <c r="U105" s="4"/>
      <c r="V105" s="4"/>
      <c r="W105" s="4"/>
      <c r="X105" s="4"/>
      <c r="Y105" s="4"/>
      <c r="Z105" s="4"/>
      <c r="AA105" s="4"/>
      <c r="AB105" s="4"/>
      <c r="AC105" s="4"/>
      <c r="AD105" s="4"/>
      <c r="AE105" s="4"/>
      <c r="AF105" s="4"/>
      <c r="AG105" s="4"/>
      <c r="AH105" s="4"/>
    </row>
    <row r="106" spans="1:34" customFormat="1" ht="30" customHeight="1">
      <c r="A106" s="77"/>
      <c r="B106" s="4"/>
      <c r="C106" s="4"/>
      <c r="D106" s="4"/>
      <c r="E106" s="129" t="s">
        <v>66</v>
      </c>
      <c r="F106" s="46">
        <f>'DRE Consolidado'!K41</f>
        <v>111137</v>
      </c>
      <c r="G106" s="46">
        <f>'DRE Consolidado'!L41</f>
        <v>67222</v>
      </c>
      <c r="H106" s="46">
        <f>'DRE Consolidado'!M41</f>
        <v>-249470</v>
      </c>
      <c r="I106" s="46">
        <f>'DRE Consolidado'!N41</f>
        <v>33929</v>
      </c>
      <c r="J106" s="46">
        <f>'DRE Consolidado'!O41</f>
        <v>279498</v>
      </c>
      <c r="K106" s="46">
        <f>'DRE Consolidado'!P41</f>
        <v>431126</v>
      </c>
      <c r="L106" s="46">
        <f>'DRE Consolidado'!Q41</f>
        <v>655206</v>
      </c>
      <c r="M106" s="46">
        <f>'DRE Consolidado'!R41</f>
        <v>1912958</v>
      </c>
      <c r="N106" s="46">
        <f>'DRE Consolidado'!S41</f>
        <v>987385</v>
      </c>
      <c r="O106" s="46">
        <f>'DRE Consolidado'!T41</f>
        <v>-79372</v>
      </c>
      <c r="P106" s="88"/>
      <c r="Q106" s="4"/>
      <c r="R106" s="4"/>
      <c r="S106" s="4"/>
      <c r="T106" s="4"/>
      <c r="U106" s="4"/>
      <c r="V106" s="4"/>
      <c r="W106" s="4"/>
      <c r="X106" s="4"/>
      <c r="Y106" s="4"/>
      <c r="Z106" s="4"/>
      <c r="AA106" s="4"/>
      <c r="AB106" s="4"/>
      <c r="AC106" s="4"/>
      <c r="AD106" s="4"/>
      <c r="AE106" s="4"/>
      <c r="AF106" s="4"/>
      <c r="AG106" s="4"/>
      <c r="AH106" s="4"/>
    </row>
    <row r="107" spans="1:34" customFormat="1" ht="30" customHeight="1">
      <c r="A107" s="77"/>
      <c r="B107" s="4"/>
      <c r="C107" s="4"/>
      <c r="D107" s="4"/>
      <c r="E107" s="124" t="s">
        <v>62</v>
      </c>
      <c r="F107" s="42">
        <f t="shared" ref="F107:N107" si="26">F56</f>
        <v>-24516</v>
      </c>
      <c r="G107" s="42">
        <f t="shared" si="26"/>
        <v>-6205</v>
      </c>
      <c r="H107" s="42">
        <f t="shared" si="26"/>
        <v>-62221</v>
      </c>
      <c r="I107" s="42">
        <f t="shared" si="26"/>
        <v>34204</v>
      </c>
      <c r="J107" s="42">
        <f t="shared" si="26"/>
        <v>30444</v>
      </c>
      <c r="K107" s="42">
        <f t="shared" si="26"/>
        <v>-929</v>
      </c>
      <c r="L107" s="42">
        <f t="shared" si="26"/>
        <v>-141683</v>
      </c>
      <c r="M107" s="212">
        <f t="shared" si="26"/>
        <v>107566</v>
      </c>
      <c r="N107" s="212">
        <f t="shared" si="26"/>
        <v>12526</v>
      </c>
      <c r="O107" s="212">
        <f t="shared" ref="O107" si="27">O56</f>
        <v>-22044</v>
      </c>
      <c r="P107" s="88"/>
      <c r="Q107" s="4"/>
      <c r="R107" s="4"/>
      <c r="S107" s="4"/>
      <c r="T107" s="4"/>
      <c r="U107" s="4"/>
      <c r="V107" s="4"/>
      <c r="W107" s="4"/>
      <c r="X107" s="4"/>
      <c r="Y107" s="4"/>
      <c r="Z107" s="4"/>
      <c r="AA107" s="4"/>
      <c r="AB107" s="4"/>
      <c r="AC107" s="4"/>
      <c r="AD107" s="4"/>
      <c r="AE107" s="4"/>
      <c r="AF107" s="4"/>
      <c r="AG107" s="4"/>
      <c r="AH107" s="4"/>
    </row>
    <row r="108" spans="1:34" customFormat="1" ht="30" customHeight="1">
      <c r="A108" s="77"/>
      <c r="B108" s="4"/>
      <c r="C108" s="4"/>
      <c r="D108" s="4"/>
      <c r="E108" s="124" t="s">
        <v>67</v>
      </c>
      <c r="F108" s="177">
        <f>F106-F107</f>
        <v>135653</v>
      </c>
      <c r="G108" s="177">
        <f t="shared" ref="G108:O108" si="28">G106-G107</f>
        <v>73427</v>
      </c>
      <c r="H108" s="177">
        <f t="shared" si="28"/>
        <v>-187249</v>
      </c>
      <c r="I108" s="177">
        <f t="shared" si="28"/>
        <v>-275</v>
      </c>
      <c r="J108" s="177">
        <f t="shared" si="28"/>
        <v>249054</v>
      </c>
      <c r="K108" s="177">
        <f t="shared" si="28"/>
        <v>432055</v>
      </c>
      <c r="L108" s="177">
        <f t="shared" si="28"/>
        <v>796889</v>
      </c>
      <c r="M108" s="177">
        <f t="shared" si="28"/>
        <v>1805392</v>
      </c>
      <c r="N108" s="177">
        <f t="shared" si="28"/>
        <v>974859</v>
      </c>
      <c r="O108" s="177">
        <f t="shared" si="28"/>
        <v>-57328</v>
      </c>
      <c r="P108" s="88"/>
      <c r="Q108" s="4"/>
      <c r="R108" s="4"/>
      <c r="S108" s="4"/>
      <c r="T108" s="4"/>
      <c r="U108" s="4"/>
      <c r="V108" s="4"/>
      <c r="W108" s="4"/>
      <c r="X108" s="4"/>
      <c r="Y108" s="4"/>
      <c r="Z108" s="4"/>
      <c r="AA108" s="4"/>
      <c r="AB108" s="4"/>
      <c r="AC108" s="4"/>
      <c r="AD108" s="4"/>
      <c r="AE108" s="4"/>
      <c r="AF108" s="4"/>
      <c r="AG108" s="4"/>
      <c r="AH108" s="4"/>
    </row>
    <row r="109" spans="1:34" customFormat="1" ht="30" customHeight="1" thickBot="1">
      <c r="A109" s="77"/>
      <c r="B109" s="4"/>
      <c r="C109" s="4"/>
      <c r="D109" s="4"/>
      <c r="E109" s="216" t="s">
        <v>504</v>
      </c>
      <c r="F109" s="217">
        <f>F105+F99+F85</f>
        <v>130696</v>
      </c>
      <c r="G109" s="217">
        <f t="shared" ref="G109:O109" si="29">G105+G99+G85</f>
        <v>50994</v>
      </c>
      <c r="H109" s="217">
        <f t="shared" si="29"/>
        <v>-187249</v>
      </c>
      <c r="I109" s="217">
        <f t="shared" si="29"/>
        <v>-275</v>
      </c>
      <c r="J109" s="217">
        <f t="shared" si="29"/>
        <v>249054</v>
      </c>
      <c r="K109" s="217">
        <f t="shared" si="29"/>
        <v>400490.29411764699</v>
      </c>
      <c r="L109" s="217">
        <f t="shared" si="29"/>
        <v>767309.58823529421</v>
      </c>
      <c r="M109" s="217">
        <f t="shared" si="29"/>
        <v>1770544.9411764704</v>
      </c>
      <c r="N109" s="217">
        <f t="shared" si="29"/>
        <v>486335.47058823518</v>
      </c>
      <c r="O109" s="217">
        <f t="shared" si="29"/>
        <v>25294</v>
      </c>
      <c r="P109" s="88"/>
      <c r="Q109" s="4"/>
      <c r="R109" s="4"/>
      <c r="S109" s="4"/>
      <c r="T109" s="4"/>
      <c r="U109" s="4"/>
      <c r="V109" s="4"/>
      <c r="W109" s="4"/>
      <c r="X109" s="4"/>
      <c r="Y109" s="4"/>
      <c r="Z109" s="4"/>
      <c r="AA109" s="4"/>
      <c r="AB109" s="4"/>
      <c r="AC109" s="4"/>
      <c r="AD109" s="4"/>
      <c r="AE109" s="4"/>
      <c r="AF109" s="4"/>
      <c r="AG109" s="4"/>
      <c r="AH109" s="4"/>
    </row>
    <row r="110" spans="1:34" customFormat="1" ht="30" customHeight="1">
      <c r="A110" s="77"/>
      <c r="B110" s="4"/>
      <c r="C110" s="4"/>
      <c r="D110" s="4"/>
      <c r="E110" s="178"/>
      <c r="F110" s="222"/>
      <c r="G110" s="222"/>
      <c r="H110" s="222"/>
      <c r="I110" s="222"/>
      <c r="J110" s="222"/>
      <c r="K110" s="222"/>
      <c r="L110" s="222"/>
      <c r="M110" s="222"/>
      <c r="N110" s="222"/>
      <c r="O110" s="178"/>
      <c r="P110" s="127"/>
      <c r="Q110" s="127"/>
      <c r="R110" s="4"/>
      <c r="S110" s="4"/>
      <c r="T110" s="4"/>
      <c r="U110" s="4"/>
      <c r="V110" s="4"/>
      <c r="W110" s="4"/>
      <c r="X110" s="4"/>
      <c r="Y110" s="4"/>
      <c r="Z110" s="4"/>
      <c r="AA110" s="4"/>
      <c r="AB110" s="4"/>
      <c r="AC110" s="4"/>
      <c r="AD110" s="4"/>
      <c r="AE110" s="4"/>
      <c r="AF110" s="4"/>
      <c r="AG110" s="4"/>
      <c r="AH110" s="4"/>
    </row>
    <row r="111" spans="1:34" customFormat="1" ht="30" customHeight="1">
      <c r="A111" s="77"/>
      <c r="B111" s="4"/>
      <c r="C111" s="4"/>
      <c r="D111" s="4"/>
      <c r="E111" s="10"/>
      <c r="F111" s="10"/>
      <c r="G111" s="10"/>
      <c r="H111" s="10"/>
      <c r="I111" s="10"/>
      <c r="J111" s="10"/>
      <c r="K111" s="10"/>
      <c r="L111" s="10"/>
      <c r="M111" s="4"/>
      <c r="N111" s="4"/>
      <c r="O111" s="4"/>
      <c r="P111" s="4"/>
      <c r="Q111" s="4"/>
      <c r="R111" s="4"/>
      <c r="S111" s="4"/>
      <c r="T111" s="4"/>
      <c r="U111" s="4"/>
      <c r="V111" s="4"/>
      <c r="W111" s="4"/>
      <c r="X111" s="4"/>
      <c r="Y111" s="4"/>
      <c r="Z111" s="4"/>
      <c r="AA111" s="4"/>
      <c r="AB111" s="4"/>
      <c r="AC111" s="4"/>
      <c r="AD111" s="4"/>
      <c r="AE111" s="4"/>
      <c r="AF111" s="4"/>
      <c r="AG111" s="4"/>
      <c r="AH111" s="4"/>
    </row>
    <row r="112" spans="1:34" customFormat="1" ht="30" customHeight="1">
      <c r="A112" s="77"/>
      <c r="B112" s="4"/>
      <c r="C112" s="4"/>
      <c r="D112" s="4"/>
      <c r="E112" s="29"/>
      <c r="F112" s="30"/>
      <c r="G112" s="30"/>
      <c r="H112" s="30"/>
      <c r="I112" s="30"/>
      <c r="J112" s="30"/>
      <c r="K112" s="30"/>
      <c r="L112" s="31"/>
      <c r="M112" s="31"/>
      <c r="N112" s="31"/>
      <c r="O112" s="30"/>
      <c r="P112" s="88"/>
      <c r="Q112" s="4"/>
      <c r="R112" s="4"/>
      <c r="S112" s="4"/>
      <c r="T112" s="4"/>
      <c r="U112" s="4"/>
      <c r="V112" s="4"/>
      <c r="W112" s="4"/>
      <c r="X112" s="4"/>
      <c r="Y112" s="4"/>
      <c r="Z112" s="4"/>
      <c r="AA112" s="4"/>
      <c r="AB112" s="4"/>
      <c r="AC112" s="4"/>
      <c r="AD112" s="4"/>
      <c r="AE112" s="4"/>
      <c r="AF112" s="4"/>
      <c r="AG112" s="4"/>
      <c r="AH112" s="4"/>
    </row>
    <row r="113" spans="1:34" customFormat="1" ht="30" customHeight="1">
      <c r="A113" s="77"/>
      <c r="B113" s="4"/>
      <c r="C113" s="4"/>
      <c r="D113" s="4"/>
      <c r="E113" s="78"/>
      <c r="F113" s="37">
        <v>2014</v>
      </c>
      <c r="G113" s="37">
        <v>2015</v>
      </c>
      <c r="H113" s="37">
        <v>2016</v>
      </c>
      <c r="I113" s="37">
        <v>2017</v>
      </c>
      <c r="J113" s="37">
        <v>2018</v>
      </c>
      <c r="K113" s="37">
        <v>2019</v>
      </c>
      <c r="L113" s="37">
        <v>2020</v>
      </c>
      <c r="M113" s="37">
        <v>2021</v>
      </c>
      <c r="N113" s="37">
        <v>2022</v>
      </c>
      <c r="O113" s="230" t="s">
        <v>501</v>
      </c>
      <c r="P113" s="88"/>
      <c r="Q113" s="4"/>
      <c r="R113" s="4"/>
      <c r="S113" s="4"/>
      <c r="T113" s="4"/>
      <c r="U113" s="4"/>
      <c r="V113" s="4"/>
      <c r="W113" s="4"/>
      <c r="X113" s="4"/>
      <c r="Y113" s="4"/>
      <c r="Z113" s="4"/>
      <c r="AA113" s="4"/>
      <c r="AB113" s="4"/>
      <c r="AC113" s="4"/>
      <c r="AD113" s="4"/>
      <c r="AE113" s="4"/>
      <c r="AF113" s="4"/>
      <c r="AG113" s="4"/>
      <c r="AH113" s="4"/>
    </row>
    <row r="114" spans="1:34" customFormat="1" ht="30" customHeight="1">
      <c r="A114" s="77"/>
      <c r="B114" s="4"/>
      <c r="C114" s="4"/>
      <c r="D114" s="4"/>
      <c r="E114" s="130" t="s">
        <v>75</v>
      </c>
      <c r="F114" s="46">
        <f>F108</f>
        <v>135653</v>
      </c>
      <c r="G114" s="46">
        <f t="shared" ref="G114:O114" si="30">G108</f>
        <v>73427</v>
      </c>
      <c r="H114" s="46">
        <f t="shared" si="30"/>
        <v>-187249</v>
      </c>
      <c r="I114" s="46">
        <f t="shared" si="30"/>
        <v>-275</v>
      </c>
      <c r="J114" s="46">
        <f t="shared" si="30"/>
        <v>249054</v>
      </c>
      <c r="K114" s="46">
        <f t="shared" si="30"/>
        <v>432055</v>
      </c>
      <c r="L114" s="46">
        <f t="shared" si="30"/>
        <v>796889</v>
      </c>
      <c r="M114" s="46">
        <f t="shared" si="30"/>
        <v>1805392</v>
      </c>
      <c r="N114" s="46">
        <f t="shared" si="30"/>
        <v>974859</v>
      </c>
      <c r="O114" s="46">
        <f t="shared" si="30"/>
        <v>-57328</v>
      </c>
      <c r="P114" s="88"/>
      <c r="Q114" s="4"/>
      <c r="R114" s="4"/>
      <c r="S114" s="4"/>
      <c r="T114" s="4"/>
      <c r="U114" s="4"/>
      <c r="V114" s="4"/>
      <c r="W114" s="4"/>
      <c r="X114" s="4"/>
      <c r="Y114" s="4"/>
      <c r="Z114" s="4"/>
      <c r="AA114" s="4"/>
      <c r="AB114" s="4"/>
      <c r="AC114" s="4"/>
      <c r="AD114" s="4"/>
      <c r="AE114" s="4"/>
      <c r="AF114" s="4"/>
      <c r="AG114" s="4"/>
      <c r="AH114" s="4"/>
    </row>
    <row r="115" spans="1:34" customFormat="1" ht="30" customHeight="1">
      <c r="A115" s="77"/>
      <c r="B115" s="4"/>
      <c r="C115" s="4"/>
      <c r="D115" s="4"/>
      <c r="E115" s="73" t="s">
        <v>68</v>
      </c>
      <c r="F115" s="131">
        <v>0.34</v>
      </c>
      <c r="G115" s="131">
        <v>0.34</v>
      </c>
      <c r="H115" s="131">
        <v>0.34</v>
      </c>
      <c r="I115" s="131">
        <v>0.34</v>
      </c>
      <c r="J115" s="131">
        <v>0.34</v>
      </c>
      <c r="K115" s="131">
        <v>0.34</v>
      </c>
      <c r="L115" s="131">
        <v>0.34</v>
      </c>
      <c r="M115" s="131">
        <v>0.34</v>
      </c>
      <c r="N115" s="131">
        <v>0.34</v>
      </c>
      <c r="O115" s="131">
        <v>0.34</v>
      </c>
      <c r="P115" s="88"/>
      <c r="Q115" s="4"/>
      <c r="R115" s="4"/>
      <c r="S115" s="4"/>
      <c r="T115" s="4"/>
      <c r="U115" s="4"/>
      <c r="V115" s="4"/>
      <c r="W115" s="4"/>
      <c r="X115" s="4"/>
      <c r="Y115" s="4"/>
      <c r="Z115" s="4"/>
      <c r="AA115" s="4"/>
      <c r="AB115" s="4"/>
      <c r="AC115" s="4"/>
      <c r="AD115" s="4"/>
      <c r="AE115" s="4"/>
      <c r="AF115" s="4"/>
      <c r="AG115" s="4"/>
      <c r="AH115" s="4"/>
    </row>
    <row r="116" spans="1:34" customFormat="1" ht="30" customHeight="1">
      <c r="A116" s="77"/>
      <c r="B116" s="4"/>
      <c r="C116" s="4"/>
      <c r="D116" s="4"/>
      <c r="E116" s="130" t="s">
        <v>74</v>
      </c>
      <c r="F116" s="46">
        <f t="shared" ref="F116:I116" si="31">-F115*F114</f>
        <v>-46122.020000000004</v>
      </c>
      <c r="G116" s="46">
        <f t="shared" ref="G116:H116" si="32">-G115*G114</f>
        <v>-24965.18</v>
      </c>
      <c r="H116" s="46">
        <f t="shared" si="32"/>
        <v>63664.66</v>
      </c>
      <c r="I116" s="46">
        <f t="shared" si="31"/>
        <v>93.5</v>
      </c>
      <c r="J116" s="46">
        <f t="shared" ref="J116:O116" si="33">-J115*J114</f>
        <v>-84678.36</v>
      </c>
      <c r="K116" s="46">
        <f t="shared" si="33"/>
        <v>-146898.70000000001</v>
      </c>
      <c r="L116" s="46">
        <f t="shared" si="33"/>
        <v>-270942.26</v>
      </c>
      <c r="M116" s="237">
        <f t="shared" si="33"/>
        <v>-613833.28</v>
      </c>
      <c r="N116" s="237">
        <f t="shared" si="33"/>
        <v>-331452.06</v>
      </c>
      <c r="O116" s="237">
        <f t="shared" si="33"/>
        <v>19491.52</v>
      </c>
      <c r="P116" s="88"/>
      <c r="Q116" s="4"/>
      <c r="R116" s="4"/>
      <c r="S116" s="4"/>
      <c r="T116" s="4"/>
      <c r="U116" s="4"/>
      <c r="V116" s="4"/>
      <c r="W116" s="4"/>
      <c r="X116" s="4"/>
      <c r="Y116" s="4"/>
      <c r="Z116" s="4"/>
      <c r="AA116" s="4"/>
      <c r="AB116" s="4"/>
      <c r="AC116" s="4"/>
      <c r="AD116" s="4"/>
      <c r="AE116" s="4"/>
      <c r="AF116" s="4"/>
      <c r="AG116" s="4"/>
      <c r="AH116" s="4"/>
    </row>
    <row r="117" spans="1:34" customFormat="1" ht="30" customHeight="1">
      <c r="A117" s="77"/>
      <c r="B117" s="4"/>
      <c r="C117" s="4"/>
      <c r="D117" s="4"/>
      <c r="E117" s="130" t="s">
        <v>69</v>
      </c>
      <c r="F117" s="42"/>
      <c r="G117" s="42"/>
      <c r="H117" s="42"/>
      <c r="I117" s="42"/>
      <c r="J117" s="42"/>
      <c r="K117" s="42"/>
      <c r="L117" s="42"/>
      <c r="M117" s="138"/>
      <c r="N117" s="138"/>
      <c r="O117" s="138"/>
      <c r="P117" s="88"/>
      <c r="Q117" s="4"/>
      <c r="R117" s="4"/>
      <c r="S117" s="4"/>
      <c r="T117" s="4"/>
      <c r="U117" s="4"/>
      <c r="V117" s="4"/>
      <c r="W117" s="4"/>
      <c r="X117" s="4"/>
      <c r="Y117" s="4"/>
      <c r="Z117" s="4"/>
      <c r="AA117" s="4"/>
      <c r="AB117" s="4"/>
      <c r="AC117" s="4"/>
      <c r="AD117" s="4"/>
      <c r="AE117" s="4"/>
      <c r="AF117" s="4"/>
      <c r="AG117" s="4"/>
      <c r="AH117" s="4"/>
    </row>
    <row r="118" spans="1:34" customFormat="1" ht="30" customHeight="1">
      <c r="A118" s="77"/>
      <c r="B118" s="4"/>
      <c r="C118" s="4"/>
      <c r="D118" s="4"/>
      <c r="E118" s="86" t="s">
        <v>242</v>
      </c>
      <c r="F118" s="42">
        <v>32</v>
      </c>
      <c r="G118" s="42">
        <v>24</v>
      </c>
      <c r="H118" s="42">
        <v>0</v>
      </c>
      <c r="I118" s="42">
        <v>0</v>
      </c>
      <c r="J118" s="42">
        <v>-610</v>
      </c>
      <c r="K118" s="42">
        <v>-2759</v>
      </c>
      <c r="L118" s="42">
        <v>-175</v>
      </c>
      <c r="M118" s="138">
        <v>-522</v>
      </c>
      <c r="N118" s="138">
        <v>955</v>
      </c>
      <c r="O118" s="138">
        <v>994</v>
      </c>
      <c r="P118" s="88"/>
      <c r="Q118" s="4"/>
      <c r="R118" s="4"/>
      <c r="S118" s="4"/>
      <c r="T118" s="4"/>
      <c r="U118" s="4"/>
      <c r="V118" s="4"/>
      <c r="W118" s="4"/>
      <c r="X118" s="4"/>
      <c r="Y118" s="4"/>
      <c r="Z118" s="4"/>
      <c r="AA118" s="4"/>
      <c r="AB118" s="4"/>
      <c r="AC118" s="4"/>
      <c r="AD118" s="4"/>
      <c r="AE118" s="4"/>
      <c r="AF118" s="4"/>
      <c r="AG118" s="4"/>
      <c r="AH118" s="4"/>
    </row>
    <row r="119" spans="1:34" customFormat="1" ht="30" customHeight="1">
      <c r="A119" s="77"/>
      <c r="B119" s="4"/>
      <c r="C119" s="4"/>
      <c r="D119" s="4"/>
      <c r="E119" s="86" t="s">
        <v>179</v>
      </c>
      <c r="F119" s="42">
        <v>725</v>
      </c>
      <c r="G119" s="42">
        <v>261</v>
      </c>
      <c r="H119" s="42">
        <v>421</v>
      </c>
      <c r="I119" s="42">
        <v>380</v>
      </c>
      <c r="J119" s="42">
        <v>825</v>
      </c>
      <c r="K119" s="42">
        <v>2074</v>
      </c>
      <c r="L119" s="42">
        <v>2347</v>
      </c>
      <c r="M119" s="138">
        <v>3536</v>
      </c>
      <c r="N119" s="138">
        <v>269</v>
      </c>
      <c r="O119" s="138">
        <v>1870</v>
      </c>
      <c r="P119" s="88"/>
      <c r="Q119" s="4"/>
      <c r="R119" s="4"/>
      <c r="S119" s="4"/>
      <c r="T119" s="4"/>
      <c r="U119" s="4"/>
      <c r="V119" s="4"/>
      <c r="W119" s="4"/>
      <c r="X119" s="4"/>
      <c r="Y119" s="4"/>
      <c r="Z119" s="4"/>
      <c r="AA119" s="4"/>
      <c r="AB119" s="4"/>
      <c r="AC119" s="4"/>
      <c r="AD119" s="4"/>
      <c r="AE119" s="4"/>
      <c r="AF119" s="4"/>
      <c r="AG119" s="4"/>
      <c r="AH119" s="4"/>
    </row>
    <row r="120" spans="1:34" customFormat="1" ht="30" customHeight="1">
      <c r="A120" s="77"/>
      <c r="B120" s="4"/>
      <c r="C120" s="4"/>
      <c r="D120" s="4"/>
      <c r="E120" s="86" t="s">
        <v>180</v>
      </c>
      <c r="F120" s="42">
        <v>5361</v>
      </c>
      <c r="G120" s="42">
        <v>3400</v>
      </c>
      <c r="H120" s="42">
        <v>0</v>
      </c>
      <c r="I120" s="42">
        <v>2144</v>
      </c>
      <c r="J120" s="42">
        <v>18764</v>
      </c>
      <c r="K120" s="42">
        <v>27044</v>
      </c>
      <c r="L120" s="42">
        <v>16045</v>
      </c>
      <c r="M120" s="138">
        <v>51852</v>
      </c>
      <c r="N120" s="138">
        <v>102594</v>
      </c>
      <c r="O120" s="138">
        <v>-2704</v>
      </c>
      <c r="P120" s="88"/>
      <c r="Q120" s="4"/>
      <c r="R120" s="4"/>
      <c r="S120" s="4"/>
      <c r="T120" s="4"/>
      <c r="U120" s="4"/>
      <c r="V120" s="4"/>
      <c r="W120" s="4"/>
      <c r="X120" s="4"/>
      <c r="Y120" s="4"/>
      <c r="Z120" s="4"/>
      <c r="AA120" s="4"/>
      <c r="AB120" s="4"/>
      <c r="AC120" s="4"/>
      <c r="AD120" s="4"/>
      <c r="AE120" s="4"/>
      <c r="AF120" s="4"/>
      <c r="AG120" s="4"/>
      <c r="AH120" s="4"/>
    </row>
    <row r="121" spans="1:34" customFormat="1" ht="30" customHeight="1">
      <c r="A121" s="77"/>
      <c r="B121" s="4"/>
      <c r="C121" s="4"/>
      <c r="D121" s="4"/>
      <c r="E121" s="86" t="s">
        <v>339</v>
      </c>
      <c r="F121" s="42"/>
      <c r="G121" s="42"/>
      <c r="H121" s="42"/>
      <c r="I121" s="42"/>
      <c r="J121" s="42"/>
      <c r="K121" s="42"/>
      <c r="L121" s="42"/>
      <c r="M121" s="138"/>
      <c r="N121" s="138">
        <v>205</v>
      </c>
      <c r="O121" s="138">
        <v>0</v>
      </c>
      <c r="P121" s="88"/>
      <c r="Q121" s="4"/>
      <c r="R121" s="4"/>
      <c r="S121" s="4"/>
      <c r="T121" s="4"/>
      <c r="U121" s="4"/>
      <c r="V121" s="4"/>
      <c r="W121" s="4"/>
      <c r="X121" s="4"/>
      <c r="Y121" s="4"/>
      <c r="Z121" s="4"/>
      <c r="AA121" s="4"/>
      <c r="AB121" s="4"/>
      <c r="AC121" s="4"/>
      <c r="AD121" s="4"/>
      <c r="AE121" s="4"/>
      <c r="AF121" s="4"/>
      <c r="AG121" s="4"/>
      <c r="AH121" s="4"/>
    </row>
    <row r="122" spans="1:34" customFormat="1" ht="30" customHeight="1">
      <c r="A122" s="77"/>
      <c r="B122" s="4"/>
      <c r="C122" s="4"/>
      <c r="D122" s="4"/>
      <c r="E122" s="86" t="s">
        <v>76</v>
      </c>
      <c r="F122" s="42">
        <v>-7863</v>
      </c>
      <c r="G122" s="42">
        <v>-1812</v>
      </c>
      <c r="H122" s="42">
        <v>-1963</v>
      </c>
      <c r="I122" s="42">
        <v>-2130</v>
      </c>
      <c r="J122" s="42">
        <v>-6269</v>
      </c>
      <c r="K122" s="42">
        <v>5979</v>
      </c>
      <c r="L122" s="42">
        <v>-192</v>
      </c>
      <c r="M122" s="138">
        <v>28379</v>
      </c>
      <c r="N122" s="138">
        <v>-9198</v>
      </c>
      <c r="O122" s="138">
        <v>25592</v>
      </c>
      <c r="P122" s="88"/>
      <c r="Q122" s="4"/>
      <c r="R122" s="4"/>
      <c r="S122" s="4"/>
      <c r="T122" s="4"/>
      <c r="U122" s="4"/>
      <c r="V122" s="4"/>
      <c r="W122" s="4"/>
      <c r="X122" s="4"/>
      <c r="Y122" s="4"/>
      <c r="Z122" s="4"/>
      <c r="AA122" s="4"/>
      <c r="AB122" s="4"/>
      <c r="AC122" s="4"/>
      <c r="AD122" s="4"/>
      <c r="AE122" s="4"/>
      <c r="AF122" s="4"/>
      <c r="AG122" s="4"/>
      <c r="AH122" s="4"/>
    </row>
    <row r="123" spans="1:34" customFormat="1" ht="30" customHeight="1">
      <c r="A123" s="77"/>
      <c r="B123" s="4"/>
      <c r="C123" s="4"/>
      <c r="D123" s="4"/>
      <c r="E123" s="86" t="s">
        <v>243</v>
      </c>
      <c r="F123" s="42">
        <v>0</v>
      </c>
      <c r="G123" s="42">
        <v>522</v>
      </c>
      <c r="H123" s="42">
        <v>-3295</v>
      </c>
      <c r="I123" s="42">
        <v>-683</v>
      </c>
      <c r="J123" s="42">
        <v>0</v>
      </c>
      <c r="K123" s="42">
        <v>0</v>
      </c>
      <c r="L123" s="42">
        <v>0</v>
      </c>
      <c r="M123" s="42">
        <v>0</v>
      </c>
      <c r="N123" s="42"/>
      <c r="O123" s="42"/>
      <c r="P123" s="88"/>
      <c r="Q123" s="4"/>
      <c r="R123" s="4"/>
      <c r="S123" s="4"/>
      <c r="T123" s="4"/>
      <c r="U123" s="4"/>
      <c r="V123" s="4"/>
      <c r="W123" s="4"/>
      <c r="X123" s="4"/>
      <c r="Y123" s="4"/>
      <c r="Z123" s="4"/>
      <c r="AA123" s="4"/>
      <c r="AB123" s="4"/>
      <c r="AC123" s="4"/>
      <c r="AD123" s="4"/>
      <c r="AE123" s="4"/>
      <c r="AF123" s="4"/>
      <c r="AG123" s="4"/>
      <c r="AH123" s="4"/>
    </row>
    <row r="124" spans="1:34" customFormat="1" ht="30" customHeight="1">
      <c r="A124" s="77"/>
      <c r="B124" s="4"/>
      <c r="C124" s="4"/>
      <c r="D124" s="4"/>
      <c r="E124" s="86" t="s">
        <v>244</v>
      </c>
      <c r="F124" s="42">
        <v>0</v>
      </c>
      <c r="G124" s="42">
        <v>0</v>
      </c>
      <c r="H124" s="42">
        <v>0</v>
      </c>
      <c r="I124" s="42">
        <v>1057</v>
      </c>
      <c r="J124" s="42">
        <v>-8009</v>
      </c>
      <c r="K124" s="42">
        <v>-8988</v>
      </c>
      <c r="L124" s="42">
        <v>-22806</v>
      </c>
      <c r="M124" s="138">
        <v>-30157</v>
      </c>
      <c r="N124" s="138">
        <v>21820</v>
      </c>
      <c r="O124" s="138">
        <v>-53947</v>
      </c>
      <c r="P124" s="88"/>
      <c r="Q124" s="4"/>
      <c r="R124" s="4"/>
      <c r="S124" s="4"/>
      <c r="T124" s="4"/>
      <c r="U124" s="4"/>
      <c r="V124" s="4"/>
      <c r="W124" s="4"/>
      <c r="X124" s="4"/>
      <c r="Y124" s="4"/>
      <c r="Z124" s="4"/>
      <c r="AA124" s="4"/>
      <c r="AB124" s="4"/>
      <c r="AC124" s="4"/>
      <c r="AD124" s="4"/>
      <c r="AE124" s="4"/>
      <c r="AF124" s="4"/>
      <c r="AG124" s="4"/>
      <c r="AH124" s="4"/>
    </row>
    <row r="125" spans="1:34" customFormat="1" ht="30" customHeight="1">
      <c r="A125" s="77"/>
      <c r="B125" s="4"/>
      <c r="C125" s="4"/>
      <c r="D125" s="4"/>
      <c r="E125" s="86" t="s">
        <v>245</v>
      </c>
      <c r="F125" s="42">
        <v>0</v>
      </c>
      <c r="G125" s="42">
        <v>0</v>
      </c>
      <c r="H125" s="42">
        <v>-489</v>
      </c>
      <c r="I125" s="42">
        <v>-6752</v>
      </c>
      <c r="J125" s="42">
        <v>0</v>
      </c>
      <c r="K125" s="42">
        <v>0</v>
      </c>
      <c r="L125" s="42">
        <v>-11673</v>
      </c>
      <c r="M125" s="138">
        <v>-4213</v>
      </c>
      <c r="N125" s="138">
        <v>-14707</v>
      </c>
      <c r="O125" s="138">
        <v>0</v>
      </c>
      <c r="P125" s="88"/>
      <c r="Q125" s="4"/>
      <c r="R125" s="4"/>
      <c r="S125" s="4"/>
      <c r="T125" s="4"/>
      <c r="U125" s="4"/>
      <c r="V125" s="4"/>
      <c r="W125" s="4"/>
      <c r="X125" s="4"/>
      <c r="Y125" s="4"/>
      <c r="Z125" s="4"/>
      <c r="AA125" s="4"/>
      <c r="AB125" s="4"/>
      <c r="AC125" s="4"/>
      <c r="AD125" s="4"/>
      <c r="AE125" s="4"/>
      <c r="AF125" s="4"/>
      <c r="AG125" s="4"/>
      <c r="AH125" s="4"/>
    </row>
    <row r="126" spans="1:34" customFormat="1" ht="30" customHeight="1">
      <c r="A126" s="77"/>
      <c r="B126" s="4"/>
      <c r="C126" s="4"/>
      <c r="D126" s="4"/>
      <c r="E126" s="86" t="s">
        <v>246</v>
      </c>
      <c r="F126" s="42">
        <v>0</v>
      </c>
      <c r="G126" s="42">
        <v>0</v>
      </c>
      <c r="H126" s="42">
        <v>-5651</v>
      </c>
      <c r="I126" s="42">
        <v>0</v>
      </c>
      <c r="J126" s="42">
        <v>0</v>
      </c>
      <c r="K126" s="42">
        <v>0</v>
      </c>
      <c r="L126" s="42">
        <v>0</v>
      </c>
      <c r="M126" s="42">
        <v>0</v>
      </c>
      <c r="N126" s="42">
        <v>0</v>
      </c>
      <c r="O126" s="42">
        <v>0</v>
      </c>
      <c r="P126" s="88"/>
      <c r="Q126" s="4"/>
      <c r="R126" s="4"/>
      <c r="S126" s="4"/>
      <c r="T126" s="4"/>
      <c r="U126" s="4"/>
      <c r="V126" s="4"/>
      <c r="W126" s="4"/>
      <c r="X126" s="4"/>
      <c r="Y126" s="4"/>
      <c r="Z126" s="4"/>
      <c r="AA126" s="4"/>
      <c r="AB126" s="4"/>
      <c r="AC126" s="4"/>
      <c r="AD126" s="4"/>
      <c r="AE126" s="4"/>
      <c r="AF126" s="4"/>
      <c r="AG126" s="4"/>
      <c r="AH126" s="4"/>
    </row>
    <row r="127" spans="1:34" customFormat="1" ht="30" customHeight="1">
      <c r="A127" s="77"/>
      <c r="B127" s="4"/>
      <c r="C127" s="4"/>
      <c r="D127" s="4"/>
      <c r="E127" s="86" t="s">
        <v>247</v>
      </c>
      <c r="F127" s="42">
        <v>0</v>
      </c>
      <c r="G127" s="42">
        <v>0</v>
      </c>
      <c r="H127" s="42">
        <v>-7152</v>
      </c>
      <c r="I127" s="42">
        <v>0</v>
      </c>
      <c r="J127" s="42">
        <v>0</v>
      </c>
      <c r="K127" s="42">
        <v>0</v>
      </c>
      <c r="L127" s="42">
        <v>0</v>
      </c>
      <c r="M127" s="42">
        <v>0</v>
      </c>
      <c r="N127" s="42">
        <v>0</v>
      </c>
      <c r="O127" s="42">
        <v>0</v>
      </c>
      <c r="P127" s="88"/>
      <c r="Q127" s="4"/>
      <c r="R127" s="4"/>
      <c r="S127" s="4"/>
      <c r="T127" s="4"/>
      <c r="U127" s="4"/>
      <c r="V127" s="4"/>
      <c r="W127" s="4"/>
      <c r="X127" s="4"/>
      <c r="Y127" s="4"/>
      <c r="Z127" s="4"/>
      <c r="AA127" s="4"/>
      <c r="AB127" s="4"/>
      <c r="AC127" s="4"/>
      <c r="AD127" s="4"/>
      <c r="AE127" s="4"/>
      <c r="AF127" s="4"/>
      <c r="AG127" s="4"/>
      <c r="AH127" s="4"/>
    </row>
    <row r="128" spans="1:34" customFormat="1" ht="30" customHeight="1">
      <c r="A128" s="77"/>
      <c r="B128" s="4"/>
      <c r="C128" s="4"/>
      <c r="D128" s="4"/>
      <c r="E128" s="86" t="s">
        <v>248</v>
      </c>
      <c r="F128" s="42">
        <v>0</v>
      </c>
      <c r="G128" s="42">
        <v>0</v>
      </c>
      <c r="H128" s="42">
        <v>0</v>
      </c>
      <c r="I128" s="42">
        <v>0</v>
      </c>
      <c r="J128" s="42">
        <v>0</v>
      </c>
      <c r="K128" s="42">
        <v>10732</v>
      </c>
      <c r="L128" s="42">
        <v>10057</v>
      </c>
      <c r="M128" s="138">
        <v>11848</v>
      </c>
      <c r="N128" s="138">
        <v>166098</v>
      </c>
      <c r="O128" s="138">
        <v>0</v>
      </c>
      <c r="P128" s="88"/>
      <c r="Q128" s="4"/>
      <c r="R128" s="4"/>
      <c r="S128" s="4"/>
      <c r="T128" s="4"/>
      <c r="U128" s="4"/>
      <c r="V128" s="4"/>
      <c r="W128" s="4"/>
      <c r="X128" s="4"/>
      <c r="Y128" s="4"/>
      <c r="Z128" s="4"/>
      <c r="AA128" s="4"/>
      <c r="AB128" s="4"/>
      <c r="AC128" s="4"/>
      <c r="AD128" s="4"/>
      <c r="AE128" s="4"/>
      <c r="AF128" s="4"/>
      <c r="AG128" s="4"/>
      <c r="AH128" s="4"/>
    </row>
    <row r="129" spans="1:35" customFormat="1" ht="30" customHeight="1">
      <c r="A129" s="77"/>
      <c r="B129" s="4"/>
      <c r="C129" s="4"/>
      <c r="D129" s="4"/>
      <c r="E129" s="86" t="s">
        <v>340</v>
      </c>
      <c r="F129" s="42"/>
      <c r="G129" s="42"/>
      <c r="H129" s="42"/>
      <c r="I129" s="42"/>
      <c r="J129" s="42"/>
      <c r="K129" s="42"/>
      <c r="L129" s="42"/>
      <c r="M129" s="138"/>
      <c r="N129" s="138">
        <v>833</v>
      </c>
      <c r="O129" s="138">
        <v>0</v>
      </c>
      <c r="P129" s="88"/>
      <c r="Q129" s="4"/>
      <c r="R129" s="4"/>
      <c r="S129" s="4"/>
      <c r="T129" s="4"/>
      <c r="U129" s="4"/>
      <c r="V129" s="4"/>
      <c r="W129" s="4"/>
      <c r="X129" s="4"/>
      <c r="Y129" s="4"/>
      <c r="Z129" s="4"/>
      <c r="AA129" s="4"/>
      <c r="AB129" s="4"/>
      <c r="AC129" s="4"/>
      <c r="AD129" s="4"/>
      <c r="AE129" s="4"/>
      <c r="AF129" s="4"/>
      <c r="AG129" s="4"/>
      <c r="AH129" s="4"/>
    </row>
    <row r="130" spans="1:35" customFormat="1" ht="30" customHeight="1">
      <c r="A130" s="77"/>
      <c r="B130" s="4"/>
      <c r="C130" s="4"/>
      <c r="D130" s="4"/>
      <c r="E130" s="86" t="s">
        <v>249</v>
      </c>
      <c r="F130" s="42">
        <v>0</v>
      </c>
      <c r="G130" s="42"/>
      <c r="H130" s="42"/>
      <c r="I130" s="42"/>
      <c r="J130" s="42"/>
      <c r="K130" s="42"/>
      <c r="L130" s="42"/>
      <c r="M130" s="138">
        <v>5675</v>
      </c>
      <c r="N130" s="138">
        <v>7350</v>
      </c>
      <c r="O130" s="138">
        <v>2619</v>
      </c>
      <c r="P130" s="88"/>
      <c r="Q130" s="4"/>
      <c r="R130" s="4"/>
      <c r="S130" s="4"/>
      <c r="T130" s="4"/>
      <c r="U130" s="4"/>
      <c r="V130" s="4"/>
      <c r="W130" s="4"/>
      <c r="X130" s="4"/>
      <c r="Y130" s="4"/>
      <c r="Z130" s="4"/>
      <c r="AA130" s="4"/>
      <c r="AB130" s="4"/>
      <c r="AC130" s="4"/>
      <c r="AD130" s="4"/>
      <c r="AE130" s="4"/>
      <c r="AF130" s="4"/>
      <c r="AG130" s="4"/>
      <c r="AH130" s="4"/>
    </row>
    <row r="131" spans="1:35" customFormat="1" ht="30" customHeight="1">
      <c r="A131" s="77"/>
      <c r="B131" s="4"/>
      <c r="C131" s="4"/>
      <c r="D131" s="4"/>
      <c r="E131" s="86" t="s">
        <v>513</v>
      </c>
      <c r="F131" s="42"/>
      <c r="G131" s="42"/>
      <c r="H131" s="42"/>
      <c r="I131" s="42"/>
      <c r="J131" s="42"/>
      <c r="K131" s="42"/>
      <c r="L131" s="42"/>
      <c r="M131" s="42"/>
      <c r="N131" s="42"/>
      <c r="O131" s="89">
        <v>144530</v>
      </c>
      <c r="P131" s="88"/>
      <c r="Q131" s="4"/>
      <c r="R131" s="4"/>
      <c r="S131" s="4"/>
      <c r="T131" s="4"/>
      <c r="U131" s="4"/>
      <c r="V131" s="4"/>
      <c r="W131" s="4"/>
      <c r="X131" s="4"/>
      <c r="Y131" s="4"/>
      <c r="Z131" s="4"/>
      <c r="AA131" s="4"/>
      <c r="AB131" s="4"/>
      <c r="AC131" s="4"/>
      <c r="AD131" s="4"/>
      <c r="AE131" s="4"/>
      <c r="AF131" s="4"/>
      <c r="AG131" s="4"/>
      <c r="AH131" s="4"/>
    </row>
    <row r="132" spans="1:35" customFormat="1" ht="30" customHeight="1">
      <c r="A132" s="77"/>
      <c r="B132" s="4"/>
      <c r="C132" s="4"/>
      <c r="D132" s="4"/>
      <c r="E132" s="86" t="s">
        <v>181</v>
      </c>
      <c r="F132" s="42">
        <v>835</v>
      </c>
      <c r="G132" s="42">
        <v>0</v>
      </c>
      <c r="H132" s="42">
        <v>-397</v>
      </c>
      <c r="I132" s="42">
        <v>309</v>
      </c>
      <c r="J132" s="42">
        <v>0</v>
      </c>
      <c r="K132" s="42">
        <v>0</v>
      </c>
      <c r="L132" s="42">
        <v>0</v>
      </c>
      <c r="M132" s="42">
        <v>0</v>
      </c>
      <c r="N132" s="42">
        <v>0</v>
      </c>
      <c r="O132" s="42">
        <v>0</v>
      </c>
      <c r="P132" s="88"/>
      <c r="Q132" s="4"/>
      <c r="R132" s="4"/>
      <c r="S132" s="4"/>
      <c r="T132" s="4"/>
      <c r="U132" s="4"/>
      <c r="V132" s="4"/>
      <c r="W132" s="4"/>
      <c r="X132" s="4"/>
      <c r="Y132" s="4"/>
      <c r="Z132" s="4"/>
      <c r="AA132" s="4"/>
      <c r="AB132" s="4"/>
      <c r="AC132" s="4"/>
      <c r="AD132" s="4"/>
      <c r="AE132" s="4"/>
      <c r="AF132" s="4"/>
      <c r="AG132" s="4"/>
      <c r="AH132" s="4"/>
    </row>
    <row r="133" spans="1:35" customFormat="1" ht="30" customHeight="1">
      <c r="A133" s="77"/>
      <c r="B133" s="4"/>
      <c r="C133" s="4"/>
      <c r="D133" s="4"/>
      <c r="E133" s="130" t="s">
        <v>126</v>
      </c>
      <c r="F133" s="46">
        <f>F116+(SUM(F118:F132))</f>
        <v>-47032.020000000004</v>
      </c>
      <c r="G133" s="46">
        <f t="shared" ref="G133:N133" si="34">G116+(SUM(G118:G132))</f>
        <v>-22570.18</v>
      </c>
      <c r="H133" s="46">
        <f t="shared" si="34"/>
        <v>45138.66</v>
      </c>
      <c r="I133" s="46">
        <f t="shared" si="34"/>
        <v>-5581.5</v>
      </c>
      <c r="J133" s="46">
        <f t="shared" si="34"/>
        <v>-79977.36</v>
      </c>
      <c r="K133" s="46">
        <f t="shared" si="34"/>
        <v>-112816.70000000001</v>
      </c>
      <c r="L133" s="46">
        <f t="shared" si="34"/>
        <v>-277339.26</v>
      </c>
      <c r="M133" s="46">
        <f t="shared" si="34"/>
        <v>-547435.28</v>
      </c>
      <c r="N133" s="46">
        <f t="shared" si="34"/>
        <v>-55233.06</v>
      </c>
      <c r="O133" s="46">
        <f t="shared" ref="O133" si="35">O116+(SUM(O118:O132))</f>
        <v>138445.51999999999</v>
      </c>
      <c r="P133" s="88"/>
      <c r="Q133" s="4"/>
      <c r="R133" s="4"/>
      <c r="S133" s="4"/>
      <c r="T133" s="4"/>
      <c r="U133" s="4"/>
      <c r="V133" s="4"/>
      <c r="W133" s="4"/>
      <c r="X133" s="4"/>
      <c r="Y133" s="4"/>
      <c r="Z133" s="4"/>
      <c r="AA133" s="4"/>
      <c r="AB133" s="4"/>
      <c r="AC133" s="4"/>
      <c r="AD133" s="4"/>
      <c r="AE133" s="4"/>
      <c r="AF133" s="4"/>
      <c r="AG133" s="4"/>
      <c r="AH133" s="4"/>
    </row>
    <row r="134" spans="1:35" customFormat="1" ht="30" customHeight="1">
      <c r="A134" s="77"/>
      <c r="B134" s="4"/>
      <c r="C134" s="4"/>
      <c r="D134" s="4"/>
      <c r="E134" s="132" t="s">
        <v>182</v>
      </c>
      <c r="F134" s="208">
        <f t="shared" ref="F134:N134" si="36">-F133/F104</f>
        <v>9.7049676239842522E-2</v>
      </c>
      <c r="G134" s="208">
        <f t="shared" si="36"/>
        <v>3.827660007461927E-2</v>
      </c>
      <c r="H134" s="208">
        <f t="shared" si="36"/>
        <v>-8.0460495825341719E-2</v>
      </c>
      <c r="I134" s="208">
        <f t="shared" si="36"/>
        <v>8.3272909561278655E-3</v>
      </c>
      <c r="J134" s="208">
        <f t="shared" si="36"/>
        <v>8.5971924370587996E-2</v>
      </c>
      <c r="K134" s="208">
        <f t="shared" si="36"/>
        <v>9.4006552820029107E-2</v>
      </c>
      <c r="L134" s="208">
        <f t="shared" si="36"/>
        <v>0.23670525278129842</v>
      </c>
      <c r="M134" s="238">
        <f t="shared" si="36"/>
        <v>0.18109096803325192</v>
      </c>
      <c r="N134" s="238">
        <f t="shared" si="36"/>
        <v>1.0820909470269126E-2</v>
      </c>
      <c r="O134" s="238">
        <f t="shared" ref="O134" si="37">-O133/O104</f>
        <v>-3.1624876848584692E-2</v>
      </c>
      <c r="P134" s="88"/>
      <c r="Q134" s="4"/>
      <c r="R134" s="4"/>
      <c r="S134" s="4"/>
      <c r="T134" s="4"/>
      <c r="U134" s="4"/>
      <c r="V134" s="4"/>
      <c r="W134" s="4"/>
      <c r="X134" s="4"/>
      <c r="Y134" s="4"/>
      <c r="Z134" s="4"/>
      <c r="AA134" s="4"/>
      <c r="AB134" s="4"/>
      <c r="AC134" s="4"/>
      <c r="AD134" s="4"/>
      <c r="AE134" s="4"/>
      <c r="AF134" s="4"/>
      <c r="AG134" s="4"/>
      <c r="AH134" s="4"/>
    </row>
    <row r="135" spans="1:35" customFormat="1" ht="30" customHeight="1">
      <c r="A135" s="77"/>
      <c r="B135" s="4"/>
      <c r="C135" s="4"/>
      <c r="D135" s="4"/>
      <c r="E135" s="130" t="s">
        <v>183</v>
      </c>
      <c r="F135" s="46">
        <f>F116+SUM(F118:F122,F128)</f>
        <v>-47867.020000000004</v>
      </c>
      <c r="G135" s="46">
        <f t="shared" ref="G135:N135" si="38">G116+SUM(G118:G122,G128)</f>
        <v>-23092.18</v>
      </c>
      <c r="H135" s="46">
        <f t="shared" si="38"/>
        <v>62122.66</v>
      </c>
      <c r="I135" s="46">
        <f t="shared" si="38"/>
        <v>487.5</v>
      </c>
      <c r="J135" s="46">
        <f t="shared" si="38"/>
        <v>-71968.36</v>
      </c>
      <c r="K135" s="46">
        <f t="shared" si="38"/>
        <v>-103828.70000000001</v>
      </c>
      <c r="L135" s="46">
        <f t="shared" si="38"/>
        <v>-242860.26</v>
      </c>
      <c r="M135" s="46">
        <f t="shared" si="38"/>
        <v>-518740.28</v>
      </c>
      <c r="N135" s="46">
        <f t="shared" si="38"/>
        <v>-70529.06</v>
      </c>
      <c r="O135" s="46">
        <f t="shared" ref="O135" si="39">O116+SUM(O118:O122,O128)</f>
        <v>45243.520000000004</v>
      </c>
      <c r="P135" s="88"/>
      <c r="Q135" s="4"/>
      <c r="R135" s="4"/>
      <c r="S135" s="4"/>
      <c r="T135" s="4"/>
      <c r="U135" s="4"/>
      <c r="V135" s="4"/>
      <c r="W135" s="4"/>
      <c r="X135" s="4"/>
      <c r="Y135" s="4"/>
      <c r="Z135" s="4"/>
      <c r="AA135" s="4"/>
      <c r="AB135" s="4"/>
      <c r="AC135" s="4"/>
      <c r="AD135" s="4"/>
      <c r="AE135" s="4"/>
      <c r="AF135" s="4"/>
      <c r="AG135" s="4"/>
      <c r="AH135" s="4"/>
    </row>
    <row r="136" spans="1:35" customFormat="1" ht="30" customHeight="1">
      <c r="A136" s="77"/>
      <c r="B136" s="4"/>
      <c r="C136" s="4"/>
      <c r="D136" s="4"/>
      <c r="E136" s="132" t="s">
        <v>182</v>
      </c>
      <c r="F136" s="208">
        <f t="shared" ref="F136:N136" si="40">-F135/F104</f>
        <v>9.8772682814092752E-2</v>
      </c>
      <c r="G136" s="208">
        <f t="shared" si="40"/>
        <v>3.9161855984804803E-2</v>
      </c>
      <c r="H136" s="208">
        <f t="shared" si="40"/>
        <v>-0.11073478976976991</v>
      </c>
      <c r="I136" s="208">
        <f t="shared" si="40"/>
        <v>-7.2732318213962813E-4</v>
      </c>
      <c r="J136" s="208">
        <f t="shared" si="40"/>
        <v>7.7362623659936389E-2</v>
      </c>
      <c r="K136" s="208">
        <f t="shared" si="40"/>
        <v>8.65171394907399E-2</v>
      </c>
      <c r="L136" s="208">
        <f t="shared" si="40"/>
        <v>0.20727789939957242</v>
      </c>
      <c r="M136" s="238">
        <f t="shared" si="40"/>
        <v>0.17159869466768773</v>
      </c>
      <c r="N136" s="238">
        <f t="shared" si="40"/>
        <v>1.3817604407273098E-2</v>
      </c>
      <c r="O136" s="238">
        <f t="shared" ref="O136" si="41">-O135/O104</f>
        <v>-1.0334901036858966E-2</v>
      </c>
      <c r="P136" s="88"/>
      <c r="Q136" s="4"/>
      <c r="R136" s="4"/>
      <c r="S136" s="4"/>
      <c r="T136" s="4"/>
      <c r="U136" s="4"/>
      <c r="V136" s="4"/>
      <c r="W136" s="4"/>
      <c r="X136" s="4"/>
      <c r="Y136" s="4"/>
      <c r="Z136" s="4"/>
      <c r="AA136" s="4"/>
      <c r="AB136" s="4"/>
      <c r="AC136" s="4"/>
      <c r="AD136" s="4"/>
      <c r="AE136" s="4"/>
      <c r="AF136" s="4"/>
      <c r="AG136" s="4"/>
      <c r="AH136" s="4"/>
    </row>
    <row r="137" spans="1:35" customFormat="1" ht="26.25" customHeight="1">
      <c r="A137" s="77"/>
      <c r="B137" s="4"/>
      <c r="C137" s="4"/>
      <c r="D137" s="4"/>
      <c r="E137" s="130" t="s">
        <v>184</v>
      </c>
      <c r="F137" s="46">
        <f>-F109*F115+SUM(F118,F119,F120,F122)</f>
        <v>-46181.640000000007</v>
      </c>
      <c r="G137" s="46">
        <f t="shared" ref="G137:O137" si="42">-G109*G115+SUM(G118,G119,G120,G122)</f>
        <v>-15464.960000000003</v>
      </c>
      <c r="H137" s="46">
        <f t="shared" si="42"/>
        <v>62122.66</v>
      </c>
      <c r="I137" s="46">
        <f t="shared" si="42"/>
        <v>487.5</v>
      </c>
      <c r="J137" s="46">
        <f t="shared" si="42"/>
        <v>-71968.36</v>
      </c>
      <c r="K137" s="46">
        <f t="shared" si="42"/>
        <v>-103828.69999999998</v>
      </c>
      <c r="L137" s="46">
        <f t="shared" si="42"/>
        <v>-242860.26000000004</v>
      </c>
      <c r="M137" s="46">
        <f t="shared" si="42"/>
        <v>-518740.27999999991</v>
      </c>
      <c r="N137" s="46">
        <f t="shared" si="42"/>
        <v>-70734.059999999969</v>
      </c>
      <c r="O137" s="46">
        <f t="shared" si="42"/>
        <v>17152.04</v>
      </c>
      <c r="P137" s="88"/>
      <c r="Q137" s="4"/>
      <c r="R137" s="4"/>
      <c r="S137" s="4"/>
      <c r="T137" s="4"/>
      <c r="U137" s="4"/>
      <c r="V137" s="4"/>
      <c r="W137" s="4"/>
      <c r="X137" s="4"/>
      <c r="Y137" s="4"/>
      <c r="Z137" s="4"/>
      <c r="AA137" s="4"/>
      <c r="AB137" s="4"/>
      <c r="AC137" s="4"/>
      <c r="AD137" s="4"/>
      <c r="AE137" s="4"/>
      <c r="AF137" s="4"/>
      <c r="AG137" s="4"/>
      <c r="AH137" s="4"/>
    </row>
    <row r="138" spans="1:35" customFormat="1" ht="34.5" customHeight="1" thickBot="1">
      <c r="A138" s="77"/>
      <c r="B138" s="4"/>
      <c r="C138" s="4"/>
      <c r="D138" s="4"/>
      <c r="E138" s="231" t="s">
        <v>185</v>
      </c>
      <c r="F138" s="232">
        <f t="shared" ref="F138:N138" si="43">-F137/F104</f>
        <v>9.5294933328931256E-2</v>
      </c>
      <c r="G138" s="232">
        <f t="shared" si="43"/>
        <v>2.6226910422955607E-2</v>
      </c>
      <c r="H138" s="232">
        <f t="shared" si="43"/>
        <v>-0.11073478976976991</v>
      </c>
      <c r="I138" s="232">
        <f t="shared" si="43"/>
        <v>-7.2732318213962813E-4</v>
      </c>
      <c r="J138" s="232">
        <f t="shared" si="43"/>
        <v>7.7362623659936389E-2</v>
      </c>
      <c r="K138" s="232">
        <f t="shared" si="43"/>
        <v>8.6517139490739872E-2</v>
      </c>
      <c r="L138" s="232">
        <f t="shared" si="43"/>
        <v>0.20727789939957245</v>
      </c>
      <c r="M138" s="232">
        <f t="shared" si="43"/>
        <v>0.17159869466768771</v>
      </c>
      <c r="N138" s="232">
        <f t="shared" si="43"/>
        <v>1.3857766702127029E-2</v>
      </c>
      <c r="O138" s="232">
        <f t="shared" ref="O138" si="44">-O137/O104</f>
        <v>-3.918011595478125E-3</v>
      </c>
      <c r="P138" s="4"/>
      <c r="Q138" s="4"/>
      <c r="R138" s="4"/>
      <c r="S138" s="4"/>
      <c r="T138" s="4"/>
      <c r="U138" s="4"/>
      <c r="V138" s="4"/>
      <c r="W138" s="4"/>
      <c r="X138" s="4"/>
      <c r="Y138" s="4"/>
      <c r="Z138" s="4"/>
      <c r="AA138" s="4"/>
      <c r="AB138" s="4"/>
      <c r="AC138" s="4"/>
      <c r="AD138" s="4"/>
      <c r="AE138" s="4"/>
      <c r="AF138" s="4"/>
      <c r="AG138" s="4"/>
      <c r="AH138" s="4"/>
      <c r="AI138" s="4"/>
    </row>
    <row r="139" spans="1:35" customFormat="1">
      <c r="A139" s="77"/>
      <c r="B139" s="4"/>
      <c r="C139" s="4"/>
      <c r="D139" s="4"/>
      <c r="E139" s="178"/>
      <c r="F139" s="178"/>
      <c r="G139" s="178"/>
      <c r="H139" s="178"/>
      <c r="I139" s="178"/>
      <c r="J139" s="178"/>
      <c r="K139" s="178"/>
      <c r="L139" s="178"/>
      <c r="M139" s="178"/>
      <c r="N139" s="178"/>
      <c r="O139" s="178"/>
      <c r="P139" s="4"/>
      <c r="Q139" s="4"/>
      <c r="R139" s="4"/>
      <c r="S139" s="4"/>
      <c r="T139" s="4"/>
      <c r="U139" s="4"/>
      <c r="V139" s="4"/>
      <c r="W139" s="4"/>
      <c r="X139" s="4"/>
      <c r="Y139" s="4"/>
      <c r="Z139" s="4"/>
      <c r="AA139" s="4"/>
      <c r="AB139" s="4"/>
      <c r="AC139" s="4"/>
      <c r="AD139" s="4"/>
      <c r="AE139" s="4"/>
      <c r="AF139" s="4"/>
      <c r="AG139" s="4"/>
      <c r="AH139" s="4"/>
      <c r="AI139" s="4"/>
    </row>
    <row r="140" spans="1:35" customFormat="1">
      <c r="A140" s="77"/>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spans="1:35" customFormat="1">
      <c r="A141" s="77"/>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spans="1:35" customFormat="1">
      <c r="A142" s="77"/>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spans="1:35" customFormat="1">
      <c r="A143" s="77"/>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spans="1:35" customFormat="1" ht="30.75" customHeight="1">
      <c r="A144" s="77"/>
      <c r="B144" s="4"/>
      <c r="C144" s="4"/>
      <c r="D144" s="4"/>
      <c r="E144" s="4"/>
      <c r="F144" s="4"/>
      <c r="G144" s="4"/>
      <c r="H144" s="4"/>
      <c r="I144" s="4"/>
      <c r="J144" s="4"/>
      <c r="K144" s="4"/>
      <c r="L144" s="4"/>
      <c r="M144" s="4"/>
      <c r="N144" s="4"/>
      <c r="O144" s="4"/>
      <c r="P144" s="88"/>
      <c r="Q144" s="4"/>
      <c r="R144" s="4"/>
      <c r="S144" s="4"/>
      <c r="T144" s="4"/>
      <c r="U144" s="4"/>
      <c r="V144" s="4"/>
      <c r="W144" s="4"/>
      <c r="X144" s="4"/>
      <c r="Y144" s="4"/>
      <c r="Z144" s="4"/>
      <c r="AA144" s="4"/>
      <c r="AB144" s="4"/>
      <c r="AC144" s="4"/>
      <c r="AD144" s="4"/>
      <c r="AE144" s="4"/>
      <c r="AF144" s="4"/>
      <c r="AG144" s="4"/>
      <c r="AH144" s="4"/>
      <c r="AI144" s="4"/>
    </row>
    <row r="145" spans="1:35" customFormat="1" ht="33" customHeight="1">
      <c r="A145" s="77"/>
      <c r="B145" s="4"/>
      <c r="C145" s="4"/>
      <c r="D145" s="4"/>
      <c r="E145" s="78"/>
      <c r="F145" s="37">
        <v>2014</v>
      </c>
      <c r="G145" s="37">
        <v>2015</v>
      </c>
      <c r="H145" s="37">
        <v>2016</v>
      </c>
      <c r="I145" s="37">
        <v>2017</v>
      </c>
      <c r="J145" s="37">
        <v>2018</v>
      </c>
      <c r="K145" s="37">
        <v>2019</v>
      </c>
      <c r="L145" s="37">
        <v>2020</v>
      </c>
      <c r="M145" s="37">
        <v>2021</v>
      </c>
      <c r="N145" s="37">
        <v>2022</v>
      </c>
      <c r="O145" s="333" t="s">
        <v>501</v>
      </c>
      <c r="P145" s="88"/>
      <c r="Q145" s="4"/>
      <c r="R145" s="4"/>
      <c r="S145" s="4"/>
      <c r="T145" s="4"/>
      <c r="U145" s="4"/>
      <c r="V145" s="4"/>
      <c r="W145" s="4"/>
      <c r="X145" s="4"/>
      <c r="Y145" s="4"/>
      <c r="Z145" s="4"/>
      <c r="AA145" s="4"/>
      <c r="AB145" s="4"/>
      <c r="AC145" s="4"/>
      <c r="AD145" s="4"/>
      <c r="AE145" s="4"/>
      <c r="AF145" s="4"/>
      <c r="AG145" s="4"/>
      <c r="AH145" s="4"/>
      <c r="AI145" s="4"/>
    </row>
    <row r="146" spans="1:35" customFormat="1" ht="34.5" customHeight="1">
      <c r="A146" s="77"/>
      <c r="B146" s="4"/>
      <c r="C146" s="4"/>
      <c r="D146" s="4"/>
      <c r="E146" s="73" t="s">
        <v>282</v>
      </c>
      <c r="F146" s="42"/>
      <c r="G146" s="42"/>
      <c r="H146" s="42"/>
      <c r="I146" s="42">
        <v>60339</v>
      </c>
      <c r="J146" s="42">
        <v>11294</v>
      </c>
      <c r="K146" s="42">
        <v>12724</v>
      </c>
      <c r="L146" s="42">
        <v>30321</v>
      </c>
      <c r="M146" s="42">
        <v>-49978</v>
      </c>
      <c r="N146" s="42">
        <v>27785</v>
      </c>
      <c r="O146" s="334">
        <f>'[1]DRE + DCF'!$Q$39</f>
        <v>-53553</v>
      </c>
      <c r="P146" s="88"/>
      <c r="Q146" s="4"/>
      <c r="R146" s="4"/>
      <c r="S146" s="4"/>
      <c r="T146" s="4"/>
      <c r="U146" s="4"/>
      <c r="V146" s="4"/>
      <c r="W146" s="4"/>
      <c r="X146" s="4"/>
      <c r="Y146" s="4"/>
      <c r="Z146" s="4"/>
      <c r="AA146" s="4"/>
      <c r="AB146" s="4"/>
      <c r="AC146" s="4"/>
      <c r="AD146" s="4"/>
      <c r="AE146" s="4"/>
      <c r="AF146" s="4"/>
      <c r="AG146" s="4"/>
      <c r="AH146" s="4"/>
      <c r="AI146" s="4"/>
    </row>
    <row r="147" spans="1:35" customFormat="1" ht="27.75" customHeight="1">
      <c r="A147" s="77"/>
      <c r="B147" s="4"/>
      <c r="C147" s="4"/>
      <c r="D147" s="4"/>
      <c r="E147" s="73" t="s">
        <v>281</v>
      </c>
      <c r="F147" s="42"/>
      <c r="G147" s="42">
        <v>-16800</v>
      </c>
      <c r="H147" s="42">
        <v>-17200</v>
      </c>
      <c r="I147" s="42">
        <v>-24570</v>
      </c>
      <c r="J147" s="42">
        <v>-47188</v>
      </c>
      <c r="K147" s="42">
        <v>-53043</v>
      </c>
      <c r="L147" s="42">
        <v>-29956</v>
      </c>
      <c r="M147" s="42">
        <v>-362331</v>
      </c>
      <c r="N147" s="42">
        <v>-159003</v>
      </c>
      <c r="O147" s="334">
        <f>'[2]DRE + DCF'!$S$37</f>
        <v>38947</v>
      </c>
      <c r="P147" s="88"/>
      <c r="Q147" s="4"/>
      <c r="R147" s="4"/>
      <c r="S147" s="4"/>
      <c r="T147" s="4"/>
      <c r="U147" s="4"/>
      <c r="V147" s="4"/>
      <c r="W147" s="4"/>
      <c r="X147" s="4"/>
      <c r="Y147" s="4"/>
      <c r="Z147" s="4"/>
      <c r="AA147" s="4"/>
      <c r="AB147" s="4"/>
      <c r="AC147" s="4"/>
      <c r="AD147" s="4"/>
      <c r="AE147" s="4"/>
      <c r="AF147" s="4"/>
      <c r="AG147" s="4"/>
      <c r="AH147" s="4"/>
      <c r="AI147" s="4"/>
    </row>
    <row r="148" spans="1:35" customFormat="1" ht="34.5" customHeight="1" thickBot="1">
      <c r="A148" s="122"/>
      <c r="B148" s="4"/>
      <c r="C148" s="4"/>
      <c r="D148" s="4"/>
      <c r="E148" s="73" t="s">
        <v>283</v>
      </c>
      <c r="F148" s="42"/>
      <c r="G148" s="42"/>
      <c r="H148" s="42">
        <v>-42243</v>
      </c>
      <c r="I148" s="42">
        <v>-43145</v>
      </c>
      <c r="J148" s="42">
        <v>-45732</v>
      </c>
      <c r="K148" s="42">
        <v>-57383</v>
      </c>
      <c r="L148" s="42">
        <v>-78271</v>
      </c>
      <c r="M148" s="42">
        <v>-177460</v>
      </c>
      <c r="N148" s="42">
        <v>-112358</v>
      </c>
      <c r="O148" s="334">
        <f>'[3]DRE + DCF'!$R$37</f>
        <v>-30958</v>
      </c>
      <c r="P148" s="4"/>
      <c r="Q148" s="4"/>
      <c r="R148" s="4"/>
      <c r="S148" s="4"/>
      <c r="T148" s="4"/>
      <c r="U148" s="4"/>
      <c r="V148" s="4"/>
      <c r="W148" s="4"/>
      <c r="X148" s="4"/>
      <c r="Y148" s="4"/>
      <c r="Z148" s="4"/>
      <c r="AA148" s="4"/>
      <c r="AB148" s="4"/>
      <c r="AC148" s="4"/>
      <c r="AD148" s="4"/>
      <c r="AE148" s="4"/>
      <c r="AF148" s="4"/>
      <c r="AG148" s="4"/>
      <c r="AH148" s="4"/>
      <c r="AI148" s="4"/>
    </row>
    <row r="149" spans="1:35" customFormat="1">
      <c r="A149" s="122"/>
      <c r="B149" s="4"/>
      <c r="C149" s="4"/>
      <c r="D149" s="4"/>
      <c r="E149" s="178"/>
      <c r="F149" s="178"/>
      <c r="G149" s="178"/>
      <c r="H149" s="178"/>
      <c r="I149" s="178"/>
      <c r="J149" s="178"/>
      <c r="K149" s="178"/>
      <c r="L149" s="178"/>
      <c r="M149" s="178"/>
      <c r="N149" s="178"/>
      <c r="O149" s="178"/>
      <c r="P149" s="4"/>
      <c r="Q149" s="4"/>
      <c r="R149" s="4"/>
      <c r="S149" s="4"/>
      <c r="T149" s="4"/>
      <c r="U149" s="4"/>
      <c r="V149" s="4"/>
      <c r="W149" s="4"/>
      <c r="X149" s="4"/>
      <c r="Y149" s="4"/>
      <c r="Z149" s="4"/>
      <c r="AA149" s="4"/>
      <c r="AB149" s="4"/>
      <c r="AC149" s="4"/>
      <c r="AD149" s="4"/>
      <c r="AE149" s="4"/>
      <c r="AF149" s="4"/>
      <c r="AG149" s="4"/>
      <c r="AH149" s="4"/>
      <c r="AI149" s="4"/>
    </row>
    <row r="150" spans="1:35" customFormat="1">
      <c r="A150" s="122"/>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spans="1:35" customFormat="1">
      <c r="A151" s="122"/>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spans="1:35" customFormat="1">
      <c r="A152" s="122"/>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spans="1:35">
      <c r="A153" s="122"/>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spans="1:35">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spans="1:35">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spans="1:35">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spans="1:35">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spans="1:35">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spans="1:35">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spans="1:35">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spans="2:35">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spans="2:35">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spans="2:35">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spans="2:35">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spans="2:35">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spans="2:35">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spans="2:35" hidden="1">
      <c r="E167" s="4"/>
      <c r="F167" s="4"/>
      <c r="G167" s="4"/>
      <c r="H167" s="4"/>
      <c r="I167" s="4"/>
      <c r="J167" s="4"/>
      <c r="K167" s="4"/>
      <c r="L167" s="4"/>
      <c r="M167" s="4"/>
      <c r="N167" s="4"/>
      <c r="O167" s="4"/>
    </row>
  </sheetData>
  <mergeCells count="1">
    <mergeCell ref="F3:J5"/>
  </mergeCells>
  <conditionalFormatting sqref="A1:A7 O10:O47 F10:N48 A20:A1048576 I66:L66 F66:H79 I67:K69 J70:K70 I70:I74 J71:L74 M71:M79 N71:O84 I75:L79 F80:M84">
    <cfRule type="cellIs" dxfId="142" priority="96" operator="equal">
      <formula>0</formula>
    </cfRule>
  </conditionalFormatting>
  <conditionalFormatting sqref="F62:N62 F58:O58">
    <cfRule type="colorScale" priority="1570">
      <colorScale>
        <cfvo type="min"/>
        <cfvo type="max"/>
        <color rgb="FFFCFCFF"/>
        <color rgb="FF63BE7B"/>
      </colorScale>
    </cfRule>
    <cfRule type="colorScale" priority="1571">
      <colorScale>
        <cfvo type="min"/>
        <cfvo type="max"/>
        <color rgb="FFFCFCFF"/>
        <color rgb="FF63BE7B"/>
      </colorScale>
    </cfRule>
  </conditionalFormatting>
  <conditionalFormatting sqref="F62:N62">
    <cfRule type="cellIs" dxfId="141" priority="32" operator="equal">
      <formula>0</formula>
    </cfRule>
  </conditionalFormatting>
  <conditionalFormatting sqref="F110:N110">
    <cfRule type="cellIs" dxfId="140" priority="30" operator="equal">
      <formula>0</formula>
    </cfRule>
  </conditionalFormatting>
  <conditionalFormatting sqref="F52:O61">
    <cfRule type="cellIs" dxfId="139" priority="1" operator="equal">
      <formula>0</formula>
    </cfRule>
  </conditionalFormatting>
  <conditionalFormatting sqref="F55:O55">
    <cfRule type="colorScale" priority="1568">
      <colorScale>
        <cfvo type="min"/>
        <cfvo type="max"/>
        <color rgb="FFFCFCFF"/>
        <color rgb="FF63BE7B"/>
      </colorScale>
    </cfRule>
    <cfRule type="colorScale" priority="1569">
      <colorScale>
        <cfvo type="min"/>
        <cfvo type="max"/>
        <color rgb="FFFCFCFF"/>
        <color rgb="FF63BE7B"/>
      </colorScale>
    </cfRule>
  </conditionalFormatting>
  <conditionalFormatting sqref="F61:O61">
    <cfRule type="colorScale" priority="2">
      <colorScale>
        <cfvo type="min"/>
        <cfvo type="max"/>
        <color rgb="FFFCFCFF"/>
        <color rgb="FF63BE7B"/>
      </colorScale>
    </cfRule>
    <cfRule type="colorScale" priority="3">
      <colorScale>
        <cfvo type="min"/>
        <cfvo type="max"/>
        <color rgb="FFFCFCFF"/>
        <color rgb="FF63BE7B"/>
      </colorScale>
    </cfRule>
  </conditionalFormatting>
  <conditionalFormatting sqref="F90:O99">
    <cfRule type="cellIs" dxfId="138" priority="31" operator="equal">
      <formula>0</formula>
    </cfRule>
  </conditionalFormatting>
  <conditionalFormatting sqref="F104:O109">
    <cfRule type="cellIs" dxfId="137" priority="26" operator="equal">
      <formula>0</formula>
    </cfRule>
  </conditionalFormatting>
  <conditionalFormatting sqref="F119:O132">
    <cfRule type="cellIs" dxfId="136" priority="21" operator="equal">
      <formula>0</formula>
    </cfRule>
  </conditionalFormatting>
  <conditionalFormatting sqref="F146:O148">
    <cfRule type="cellIs" dxfId="135" priority="11" operator="equal">
      <formula>0</formula>
    </cfRule>
  </conditionalFormatting>
  <conditionalFormatting sqref="H118:I118">
    <cfRule type="cellIs" dxfId="134" priority="20" operator="equal">
      <formula>0</formula>
    </cfRule>
  </conditionalFormatting>
  <conditionalFormatting sqref="L67:L70">
    <cfRule type="cellIs" dxfId="133" priority="67" operator="equal">
      <formula>0</formula>
    </cfRule>
  </conditionalFormatting>
  <conditionalFormatting sqref="L107:L108">
    <cfRule type="cellIs" dxfId="132" priority="63" operator="equal">
      <formula>0</formula>
    </cfRule>
  </conditionalFormatting>
  <conditionalFormatting sqref="M62:N62">
    <cfRule type="colorScale" priority="35">
      <colorScale>
        <cfvo type="min"/>
        <cfvo type="max"/>
        <color rgb="FFFCFCFF"/>
        <color rgb="FF63BE7B"/>
      </colorScale>
    </cfRule>
    <cfRule type="colorScale" priority="36">
      <colorScale>
        <cfvo type="min"/>
        <cfvo type="max"/>
        <color rgb="FFFCFCFF"/>
        <color rgb="FF63BE7B"/>
      </colorScale>
    </cfRule>
  </conditionalFormatting>
  <conditionalFormatting sqref="M66:O70">
    <cfRule type="cellIs" dxfId="131" priority="28" operator="equal">
      <formula>0</formula>
    </cfRule>
  </conditionalFormatting>
  <conditionalFormatting sqref="O50">
    <cfRule type="cellIs" dxfId="130" priority="8" operator="equal">
      <formula>0</formula>
    </cfRule>
  </conditionalFormatting>
  <hyperlinks>
    <hyperlink ref="A13" location="'Balanço Patrimonial'!A1" display="Balanço Patrimonial" xr:uid="{1C6B157E-451B-4EC1-8755-CD08830EDDAF}"/>
    <hyperlink ref="A14" location="'Painel de Índices'!A1" display="Projeções - Receita" xr:uid="{85D6D2AB-7D20-40B1-9347-80EBA60A33C3}"/>
    <hyperlink ref="A16" location="'Projeções - CG + Capex'!A1" display="Projeções - CG + Capex" xr:uid="{5E4777F0-BAED-458E-9187-2A408D31EEFB}"/>
    <hyperlink ref="A18" location="Processos!A1" display="Processos" xr:uid="{FE639DFE-9E97-4DCA-9397-2AE1A06D1063}"/>
    <hyperlink ref="A8" location="Dashboard!A1" display="Dashboard" xr:uid="{33B8F097-40ED-4ABE-91A9-ACFD3F2408E2}"/>
    <hyperlink ref="A9" location="WACC!A1" display="WACC" xr:uid="{F7EDBD35-DC63-4C53-8FE0-62D579D96C0D}"/>
    <hyperlink ref="A11" location="'DRE + DCF'!A1" display="DRE + DCF" xr:uid="{0C2CD932-C455-4E06-A886-4E8F7F24042D}"/>
    <hyperlink ref="A10" location="'DRE Consolidado'!A1" display="DRE Consolidado" xr:uid="{857C1C16-056C-4024-AB07-B47097DAB773}"/>
    <hyperlink ref="A15" location="'Projeções - Receita e EBIT'!A1" display="Projeções - Receita" xr:uid="{1ED0F29F-E40D-4567-B874-6300043F07C9}"/>
    <hyperlink ref="A17" location="'Projeções 2023'!A1" display="Projeções 2022" xr:uid="{C60DEA43-89AB-45F0-85C5-E852CC6573B9}"/>
  </hyperlinks>
  <pageMargins left="0.511811024" right="0.511811024" top="0.78740157499999996" bottom="0.78740157499999996" header="0.31496062000000002" footer="0.31496062000000002"/>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Planilha18"/>
  <dimension ref="A1:BI152"/>
  <sheetViews>
    <sheetView showGridLines="0" topLeftCell="A7" zoomScaleNormal="100" workbookViewId="0">
      <pane ySplit="9" topLeftCell="A80" activePane="bottomLeft" state="frozen"/>
      <selection activeCell="A7" sqref="A7"/>
      <selection pane="bottomLeft" activeCell="O97" sqref="O97"/>
    </sheetView>
  </sheetViews>
  <sheetFormatPr defaultColWidth="0" defaultRowHeight="0" customHeight="1" zeroHeight="1"/>
  <cols>
    <col min="1" max="1" width="39.140625" style="3" customWidth="1"/>
    <col min="2" max="4" width="9.140625" style="5" customWidth="1"/>
    <col min="5" max="5" width="56.85546875" style="5" customWidth="1"/>
    <col min="6" max="6" width="12.42578125" style="5" bestFit="1" customWidth="1"/>
    <col min="7" max="8" width="12.42578125" style="5" customWidth="1"/>
    <col min="9" max="12" width="12.42578125" style="5" bestFit="1" customWidth="1"/>
    <col min="13" max="14" width="15.140625" style="5" bestFit="1" customWidth="1"/>
    <col min="15" max="15" width="13.7109375" style="5" bestFit="1" customWidth="1"/>
    <col min="16" max="20" width="9.140625" style="5" customWidth="1"/>
    <col min="21" max="61" width="9.140625" style="5" hidden="1" customWidth="1"/>
    <col min="62" max="16384" width="0" style="5" hidden="1"/>
  </cols>
  <sheetData>
    <row r="1" spans="1:20" ht="15" customHeight="1">
      <c r="B1" s="4"/>
      <c r="C1" s="4"/>
      <c r="D1" s="4"/>
      <c r="E1" s="4"/>
      <c r="F1" s="65"/>
      <c r="G1" s="65"/>
      <c r="H1" s="65"/>
      <c r="I1" s="65"/>
      <c r="J1" s="65"/>
      <c r="K1" s="65"/>
      <c r="L1" s="65"/>
      <c r="M1" s="65"/>
      <c r="N1" s="65"/>
      <c r="O1" s="65"/>
      <c r="P1" s="4"/>
      <c r="Q1" s="4"/>
      <c r="R1" s="4"/>
      <c r="S1" s="4"/>
      <c r="T1" s="4"/>
    </row>
    <row r="2" spans="1:20" ht="15" customHeight="1">
      <c r="B2" s="4"/>
      <c r="C2" s="4"/>
      <c r="D2" s="4"/>
      <c r="E2" s="4"/>
      <c r="F2" s="65"/>
      <c r="G2" s="65"/>
      <c r="H2" s="65"/>
      <c r="I2" s="65"/>
      <c r="J2" s="65"/>
      <c r="K2" s="65"/>
      <c r="L2" s="65"/>
      <c r="M2" s="65"/>
      <c r="N2" s="65"/>
      <c r="O2" s="65"/>
      <c r="P2" s="4"/>
      <c r="Q2" s="4"/>
      <c r="R2" s="4"/>
      <c r="S2" s="4"/>
      <c r="T2" s="4"/>
    </row>
    <row r="3" spans="1:20" ht="15" customHeight="1">
      <c r="B3" s="4"/>
      <c r="C3" s="4"/>
      <c r="D3" s="4"/>
      <c r="E3" s="4"/>
      <c r="F3" s="65"/>
      <c r="G3" s="65"/>
      <c r="H3" s="65"/>
      <c r="I3" s="65"/>
      <c r="J3" s="65"/>
      <c r="K3" s="65"/>
      <c r="L3" s="65"/>
      <c r="M3" s="65"/>
      <c r="N3" s="65"/>
      <c r="O3" s="65"/>
      <c r="P3" s="4"/>
      <c r="Q3" s="4"/>
      <c r="R3" s="4"/>
      <c r="S3" s="4"/>
      <c r="T3" s="4"/>
    </row>
    <row r="4" spans="1:20" ht="15" customHeight="1">
      <c r="B4" s="4"/>
      <c r="C4" s="4"/>
      <c r="D4" s="4"/>
      <c r="E4" s="4"/>
      <c r="F4" s="65"/>
      <c r="G4" s="65"/>
      <c r="H4" s="65"/>
      <c r="I4" s="65"/>
      <c r="J4" s="65"/>
      <c r="K4" s="65"/>
      <c r="L4" s="65"/>
      <c r="M4" s="65"/>
      <c r="N4" s="65"/>
      <c r="O4" s="65"/>
      <c r="P4" s="4"/>
      <c r="Q4" s="4"/>
      <c r="R4" s="4"/>
      <c r="S4" s="4"/>
      <c r="T4" s="4"/>
    </row>
    <row r="5" spans="1:20" ht="15" customHeight="1">
      <c r="B5" s="4"/>
      <c r="C5" s="4"/>
      <c r="D5" s="4"/>
      <c r="E5" s="4"/>
      <c r="F5" s="65"/>
      <c r="G5" s="65"/>
      <c r="H5" s="65"/>
      <c r="I5" s="65"/>
      <c r="J5" s="65"/>
      <c r="K5" s="65"/>
      <c r="L5" s="65"/>
      <c r="M5" s="65"/>
      <c r="N5" s="65"/>
      <c r="O5" s="65"/>
      <c r="P5" s="4"/>
      <c r="Q5" s="4"/>
      <c r="R5" s="4"/>
      <c r="S5" s="4"/>
      <c r="T5" s="4"/>
    </row>
    <row r="6" spans="1:20" ht="15" customHeight="1">
      <c r="B6" s="4"/>
      <c r="C6" s="4"/>
      <c r="D6" s="4"/>
      <c r="E6" s="4"/>
      <c r="F6" s="4"/>
      <c r="G6" s="4"/>
      <c r="H6" s="4"/>
      <c r="I6" s="4"/>
      <c r="J6" s="4"/>
      <c r="K6" s="4"/>
      <c r="L6" s="4"/>
      <c r="M6" s="4"/>
      <c r="N6" s="4"/>
      <c r="O6" s="4"/>
      <c r="P6" s="4"/>
      <c r="Q6" s="4"/>
      <c r="R6" s="4"/>
      <c r="S6" s="4"/>
      <c r="T6" s="4"/>
    </row>
    <row r="7" spans="1:20" ht="15" customHeight="1">
      <c r="B7" s="4"/>
      <c r="C7" s="4"/>
      <c r="D7" s="4"/>
      <c r="E7" s="4"/>
      <c r="F7" s="4"/>
      <c r="G7" s="4"/>
      <c r="H7" s="4"/>
      <c r="I7" s="4"/>
      <c r="J7" s="4"/>
      <c r="K7" s="4"/>
      <c r="L7" s="4"/>
      <c r="M7" s="4"/>
      <c r="N7" s="4"/>
      <c r="O7" s="4"/>
      <c r="P7" s="4"/>
      <c r="Q7" s="4"/>
      <c r="R7" s="4"/>
      <c r="S7" s="4"/>
      <c r="T7" s="4"/>
    </row>
    <row r="8" spans="1:20" ht="15" customHeight="1">
      <c r="B8" s="4"/>
      <c r="C8" s="4"/>
      <c r="D8" s="4"/>
      <c r="E8" s="4"/>
      <c r="F8" s="4"/>
      <c r="G8" s="4"/>
      <c r="H8" s="4"/>
      <c r="I8" s="4"/>
      <c r="J8" s="4"/>
      <c r="K8" s="4"/>
      <c r="L8" s="4"/>
      <c r="M8" s="4"/>
      <c r="N8" s="4"/>
      <c r="O8" s="4"/>
      <c r="P8" s="4"/>
      <c r="Q8" s="4"/>
      <c r="R8" s="4"/>
      <c r="S8" s="4"/>
      <c r="T8" s="4"/>
    </row>
    <row r="9" spans="1:20" ht="22.5" customHeight="1">
      <c r="B9" s="4"/>
      <c r="C9" s="4"/>
      <c r="D9" s="4"/>
      <c r="E9" s="4"/>
      <c r="F9" s="395" t="str">
        <f>Dashboard!H3</f>
        <v>SIMPAR (SIMH3)</v>
      </c>
      <c r="G9" s="395"/>
      <c r="H9" s="395"/>
      <c r="I9" s="395"/>
      <c r="J9" s="395"/>
      <c r="K9" s="395"/>
      <c r="L9" s="4"/>
      <c r="M9" s="4"/>
      <c r="N9" s="4"/>
      <c r="O9" s="4"/>
      <c r="P9" s="4"/>
      <c r="Q9" s="4"/>
      <c r="R9" s="4"/>
      <c r="S9" s="4"/>
      <c r="T9" s="4"/>
    </row>
    <row r="10" spans="1:20" ht="15" customHeight="1">
      <c r="B10" s="4"/>
      <c r="C10" s="4"/>
      <c r="D10" s="4"/>
      <c r="E10" s="4"/>
      <c r="F10" s="395"/>
      <c r="G10" s="395"/>
      <c r="H10" s="395"/>
      <c r="I10" s="395"/>
      <c r="J10" s="395"/>
      <c r="K10" s="395"/>
      <c r="L10" s="4"/>
      <c r="M10" s="4"/>
      <c r="N10" s="4"/>
      <c r="O10" s="4"/>
      <c r="P10" s="4"/>
      <c r="Q10" s="4"/>
      <c r="R10" s="4"/>
      <c r="S10" s="4"/>
      <c r="T10" s="4"/>
    </row>
    <row r="11" spans="1:20" ht="15" customHeight="1">
      <c r="B11" s="4"/>
      <c r="C11" s="4"/>
      <c r="D11" s="4"/>
      <c r="E11" s="4"/>
      <c r="F11" s="395"/>
      <c r="G11" s="395"/>
      <c r="H11" s="395"/>
      <c r="I11" s="395"/>
      <c r="J11" s="395"/>
      <c r="K11" s="395"/>
      <c r="L11" s="4"/>
      <c r="M11" s="4"/>
      <c r="N11" s="4"/>
      <c r="O11" s="4"/>
      <c r="P11" s="4"/>
      <c r="Q11" s="4"/>
      <c r="R11" s="4"/>
      <c r="S11" s="4"/>
      <c r="T11" s="4"/>
    </row>
    <row r="12" spans="1:20" ht="15" customHeight="1">
      <c r="B12" s="4"/>
      <c r="C12" s="4"/>
      <c r="D12" s="4"/>
      <c r="E12" s="4"/>
      <c r="F12" s="4"/>
      <c r="G12" s="4"/>
      <c r="H12" s="4"/>
      <c r="I12" s="4"/>
      <c r="J12" s="4"/>
      <c r="K12" s="4"/>
      <c r="L12" s="4"/>
      <c r="M12" s="4"/>
      <c r="N12" s="4"/>
      <c r="O12" s="4"/>
      <c r="P12" s="4"/>
      <c r="Q12" s="4"/>
      <c r="R12" s="4"/>
      <c r="S12" s="4"/>
      <c r="T12" s="4"/>
    </row>
    <row r="13" spans="1:20" s="11" customFormat="1" ht="24.75" customHeight="1">
      <c r="A13" s="123" t="s">
        <v>33</v>
      </c>
      <c r="B13" s="10"/>
      <c r="C13" s="10"/>
      <c r="D13" s="10"/>
      <c r="E13" s="10"/>
      <c r="F13" s="10"/>
      <c r="G13" s="10"/>
      <c r="H13" s="10"/>
      <c r="I13" s="10"/>
      <c r="J13" s="10"/>
      <c r="K13" s="10"/>
      <c r="L13" s="10"/>
      <c r="M13" s="10"/>
      <c r="N13" s="10"/>
      <c r="O13" s="10"/>
      <c r="P13" s="10"/>
      <c r="Q13" s="10"/>
      <c r="R13" s="10"/>
      <c r="S13" s="10"/>
      <c r="T13" s="10"/>
    </row>
    <row r="14" spans="1:20" ht="30" customHeight="1">
      <c r="A14" s="12" t="s">
        <v>34</v>
      </c>
      <c r="B14" s="4"/>
      <c r="C14" s="4"/>
      <c r="D14" s="10"/>
      <c r="E14" s="10"/>
      <c r="F14" s="10"/>
      <c r="G14" s="10"/>
      <c r="H14" s="10"/>
      <c r="I14" s="10"/>
      <c r="J14" s="10"/>
      <c r="K14" s="10"/>
      <c r="L14" s="10"/>
      <c r="M14" s="10"/>
      <c r="N14" s="10"/>
      <c r="O14" s="10"/>
      <c r="P14" s="10"/>
      <c r="Q14" s="4"/>
      <c r="R14" s="4"/>
      <c r="S14" s="4"/>
      <c r="T14" s="4"/>
    </row>
    <row r="15" spans="1:20" ht="30" customHeight="1">
      <c r="A15" s="12" t="s">
        <v>23</v>
      </c>
      <c r="B15" s="4"/>
      <c r="C15" s="4"/>
      <c r="D15" s="4"/>
      <c r="E15" s="67" t="s">
        <v>46</v>
      </c>
      <c r="F15" s="37">
        <v>2014</v>
      </c>
      <c r="G15" s="37">
        <v>2015</v>
      </c>
      <c r="H15" s="37">
        <v>2016</v>
      </c>
      <c r="I15" s="37">
        <v>2017</v>
      </c>
      <c r="J15" s="37">
        <v>2018</v>
      </c>
      <c r="K15" s="37">
        <v>2019</v>
      </c>
      <c r="L15" s="37">
        <v>2020</v>
      </c>
      <c r="M15" s="37">
        <v>2021</v>
      </c>
      <c r="N15" s="37">
        <v>2022</v>
      </c>
      <c r="O15" s="230" t="s">
        <v>501</v>
      </c>
      <c r="P15" s="88"/>
      <c r="Q15" s="4"/>
      <c r="R15" s="4"/>
      <c r="S15" s="4"/>
      <c r="T15" s="4"/>
    </row>
    <row r="16" spans="1:20" ht="30" customHeight="1">
      <c r="A16" s="12" t="s">
        <v>330</v>
      </c>
      <c r="B16" s="4"/>
      <c r="C16" s="4"/>
      <c r="D16" s="4"/>
      <c r="E16" s="68" t="s">
        <v>32</v>
      </c>
      <c r="F16" s="204">
        <f t="shared" ref="F16:O16" si="0">SUM(F20,F24:F30,F33:F34)-SUM(F54,F62:F67,F70,F61)</f>
        <v>1054514.8500000001</v>
      </c>
      <c r="G16" s="204">
        <f t="shared" si="0"/>
        <v>903808.8</v>
      </c>
      <c r="H16" s="204">
        <f t="shared" si="0"/>
        <v>420797.89999999991</v>
      </c>
      <c r="I16" s="204">
        <f t="shared" si="0"/>
        <v>837109.10000000009</v>
      </c>
      <c r="J16" s="204">
        <f t="shared" si="0"/>
        <v>694547.72500000009</v>
      </c>
      <c r="K16" s="204">
        <f t="shared" si="0"/>
        <v>923644.22500000009</v>
      </c>
      <c r="L16" s="204">
        <f t="shared" si="0"/>
        <v>228174.42499999981</v>
      </c>
      <c r="M16" s="204">
        <f t="shared" si="0"/>
        <v>38166.474999999627</v>
      </c>
      <c r="N16" s="204">
        <f t="shared" si="0"/>
        <v>610651.85302729532</v>
      </c>
      <c r="O16" s="204">
        <f t="shared" si="0"/>
        <v>5672888.573980961</v>
      </c>
      <c r="P16" s="88"/>
      <c r="Q16" s="4"/>
      <c r="R16" s="4"/>
      <c r="S16" s="4"/>
      <c r="T16" s="4"/>
    </row>
    <row r="17" spans="1:20" ht="30" customHeight="1">
      <c r="A17" s="12" t="s">
        <v>36</v>
      </c>
      <c r="B17" s="4"/>
      <c r="C17" s="4"/>
      <c r="D17" s="4"/>
      <c r="E17" s="69" t="s">
        <v>0</v>
      </c>
      <c r="F17" s="40">
        <f t="shared" ref="F17:O17" si="1">SUM(F18,F36)</f>
        <v>7465231</v>
      </c>
      <c r="G17" s="40">
        <f t="shared" si="1"/>
        <v>8742595</v>
      </c>
      <c r="H17" s="40">
        <f t="shared" si="1"/>
        <v>8868383</v>
      </c>
      <c r="I17" s="40">
        <f t="shared" si="1"/>
        <v>11500924</v>
      </c>
      <c r="J17" s="40">
        <f t="shared" si="1"/>
        <v>15873954</v>
      </c>
      <c r="K17" s="40">
        <f t="shared" si="1"/>
        <v>20248234</v>
      </c>
      <c r="L17" s="40">
        <f t="shared" si="1"/>
        <v>25562248</v>
      </c>
      <c r="M17" s="40">
        <f t="shared" si="1"/>
        <v>47968194</v>
      </c>
      <c r="N17" s="40">
        <f t="shared" si="1"/>
        <v>61659514</v>
      </c>
      <c r="O17" s="40">
        <f t="shared" si="1"/>
        <v>62697615</v>
      </c>
      <c r="P17" s="88"/>
      <c r="Q17" s="4"/>
      <c r="R17" s="4"/>
      <c r="S17" s="4"/>
      <c r="T17" s="4"/>
    </row>
    <row r="18" spans="1:20" ht="30" customHeight="1">
      <c r="A18" s="167" t="s">
        <v>127</v>
      </c>
      <c r="B18" s="4"/>
      <c r="C18" s="4"/>
      <c r="D18" s="4"/>
      <c r="E18" s="70" t="s">
        <v>4</v>
      </c>
      <c r="F18" s="204">
        <f>SUM(F19,F24:F35)</f>
        <v>2854393</v>
      </c>
      <c r="G18" s="204">
        <f t="shared" ref="G18:O18" si="2">SUM(G19,G24:G35)</f>
        <v>3371043</v>
      </c>
      <c r="H18" s="204">
        <f t="shared" si="2"/>
        <v>2716700</v>
      </c>
      <c r="I18" s="204">
        <f t="shared" si="2"/>
        <v>4488461</v>
      </c>
      <c r="J18" s="204">
        <f t="shared" si="2"/>
        <v>7191320</v>
      </c>
      <c r="K18" s="204">
        <f t="shared" si="2"/>
        <v>8890832</v>
      </c>
      <c r="L18" s="204">
        <f t="shared" si="2"/>
        <v>11495872</v>
      </c>
      <c r="M18" s="204">
        <f t="shared" si="2"/>
        <v>23561250</v>
      </c>
      <c r="N18" s="204">
        <f t="shared" si="2"/>
        <v>21632846</v>
      </c>
      <c r="O18" s="204">
        <f t="shared" si="2"/>
        <v>19524883</v>
      </c>
      <c r="P18" s="88"/>
      <c r="Q18" s="4"/>
      <c r="R18" s="4"/>
      <c r="S18" s="4"/>
      <c r="T18" s="4"/>
    </row>
    <row r="19" spans="1:20" ht="30" customHeight="1">
      <c r="A19" s="33" t="s">
        <v>37</v>
      </c>
      <c r="B19" s="4"/>
      <c r="C19" s="4"/>
      <c r="D19" s="4"/>
      <c r="E19" s="71" t="s">
        <v>138</v>
      </c>
      <c r="F19" s="84">
        <f>SUM(F22:F23)</f>
        <v>1205846</v>
      </c>
      <c r="G19" s="84">
        <f t="shared" ref="G19:O19" si="3">SUM(G22:G23)</f>
        <v>1676261</v>
      </c>
      <c r="H19" s="84">
        <f t="shared" si="3"/>
        <v>1043220</v>
      </c>
      <c r="I19" s="84">
        <f t="shared" si="3"/>
        <v>2433254</v>
      </c>
      <c r="J19" s="84">
        <f t="shared" si="3"/>
        <v>4827233</v>
      </c>
      <c r="K19" s="84">
        <f t="shared" si="3"/>
        <v>5773825</v>
      </c>
      <c r="L19" s="84">
        <f t="shared" si="3"/>
        <v>8328381</v>
      </c>
      <c r="M19" s="84">
        <f t="shared" si="3"/>
        <v>18652225</v>
      </c>
      <c r="N19" s="84">
        <f t="shared" si="3"/>
        <v>12742153</v>
      </c>
      <c r="O19" s="84">
        <f t="shared" si="3"/>
        <v>7960291</v>
      </c>
      <c r="P19" s="88"/>
      <c r="Q19" s="4"/>
      <c r="R19" s="4"/>
      <c r="S19" s="4"/>
      <c r="T19" s="4"/>
    </row>
    <row r="20" spans="1:20" ht="30" customHeight="1">
      <c r="A20" s="167" t="s">
        <v>100</v>
      </c>
      <c r="B20" s="4"/>
      <c r="C20" s="4"/>
      <c r="D20" s="4"/>
      <c r="E20" s="72" t="s">
        <v>165</v>
      </c>
      <c r="F20" s="84">
        <f>IF(F19&gt;2.5%*'DRE Consolidado'!K16,2.5%*'DRE Consolidado'!K16,'Balanço Patrimonial'!F19)</f>
        <v>138479.85</v>
      </c>
      <c r="G20" s="84">
        <f>IF(G19&gt;2.5%*'DRE Consolidado'!L16,2.5%*'DRE Consolidado'!L16,'Balanço Patrimonial'!G19)</f>
        <v>149747.80000000002</v>
      </c>
      <c r="H20" s="84">
        <f>IF(H19&gt;2.5%*'DRE Consolidado'!M16,2.5%*'DRE Consolidado'!M16,'Balanço Patrimonial'!H19)</f>
        <v>163077.90000000002</v>
      </c>
      <c r="I20" s="84">
        <f>IF(I19&gt;2.5%*'DRE Consolidado'!N16,2.5%*'DRE Consolidado'!N16,'Balanço Patrimonial'!I19)</f>
        <v>181395.1</v>
      </c>
      <c r="J20" s="84">
        <f>IF(J19&gt;2.5%*'DRE Consolidado'!O16,2.5%*'DRE Consolidado'!O16,'Balanço Patrimonial'!J19)</f>
        <v>201884.72500000001</v>
      </c>
      <c r="K20" s="84">
        <f>IF(K19&gt;2.5%*'DRE Consolidado'!P16,2.5%*'DRE Consolidado'!P16,'Balanço Patrimonial'!K19)</f>
        <v>242155.22500000001</v>
      </c>
      <c r="L20" s="84">
        <f>IF(L19&gt;2.5%*'DRE Consolidado'!Q16,2.5%*'DRE Consolidado'!Q16,'Balanço Patrimonial'!L19)</f>
        <v>245176.42500000002</v>
      </c>
      <c r="M20" s="84">
        <f>IF(M19&gt;2.5%*'DRE Consolidado'!R16,2.5%*'DRE Consolidado'!R16,'Balanço Patrimonial'!M19)</f>
        <v>346655.47500000003</v>
      </c>
      <c r="N20" s="84">
        <f>IF(N19&gt;2.5%*'DRE Consolidado'!V16,2.5%*'DRE Consolidado'!V16,'Balanço Patrimonial'!N19)</f>
        <v>791448.85302729404</v>
      </c>
      <c r="O20" s="84">
        <f>IF(O19&gt;2.5%*'DRE Consolidado'!W16,2.5%*'DRE Consolidado'!W16,'Balanço Patrimonial'!O19)</f>
        <v>998229.5739809603</v>
      </c>
      <c r="P20" s="88"/>
      <c r="Q20" s="4"/>
      <c r="R20" s="4"/>
      <c r="S20" s="4"/>
      <c r="T20" s="4"/>
    </row>
    <row r="21" spans="1:20" ht="30" customHeight="1">
      <c r="A21" s="12" t="s">
        <v>331</v>
      </c>
      <c r="B21" s="4"/>
      <c r="C21" s="4"/>
      <c r="D21" s="4"/>
      <c r="E21" s="72" t="s">
        <v>166</v>
      </c>
      <c r="F21" s="84">
        <f>F19-F20</f>
        <v>1067366.1499999999</v>
      </c>
      <c r="G21" s="84">
        <f t="shared" ref="G21:N21" si="4">G19-G20</f>
        <v>1526513.2</v>
      </c>
      <c r="H21" s="84">
        <f t="shared" si="4"/>
        <v>880142.1</v>
      </c>
      <c r="I21" s="84">
        <f t="shared" si="4"/>
        <v>2251858.9</v>
      </c>
      <c r="J21" s="84">
        <f t="shared" si="4"/>
        <v>4625348.2750000004</v>
      </c>
      <c r="K21" s="84">
        <f t="shared" si="4"/>
        <v>5531669.7750000004</v>
      </c>
      <c r="L21" s="84">
        <f t="shared" si="4"/>
        <v>8083204.5750000002</v>
      </c>
      <c r="M21" s="84">
        <f t="shared" si="4"/>
        <v>18305569.524999999</v>
      </c>
      <c r="N21" s="84">
        <f t="shared" si="4"/>
        <v>11950704.146972707</v>
      </c>
      <c r="O21" s="84">
        <f t="shared" ref="O21" si="5">O19-O20</f>
        <v>6962061.4260190399</v>
      </c>
      <c r="P21" s="88"/>
      <c r="Q21" s="4"/>
      <c r="R21" s="4"/>
      <c r="S21" s="4"/>
      <c r="T21" s="4"/>
    </row>
    <row r="22" spans="1:20" ht="30" customHeight="1">
      <c r="A22" s="167" t="s">
        <v>129</v>
      </c>
      <c r="B22" s="4"/>
      <c r="C22" s="4"/>
      <c r="D22" s="4"/>
      <c r="E22" s="72" t="s">
        <v>502</v>
      </c>
      <c r="F22" s="84">
        <v>372047</v>
      </c>
      <c r="G22" s="84">
        <v>951166</v>
      </c>
      <c r="H22" s="84">
        <v>585920</v>
      </c>
      <c r="I22" s="84">
        <v>714734</v>
      </c>
      <c r="J22" s="84">
        <v>690324</v>
      </c>
      <c r="K22" s="84">
        <v>591815</v>
      </c>
      <c r="L22" s="84">
        <v>409601</v>
      </c>
      <c r="M22" s="84">
        <v>1029383</v>
      </c>
      <c r="N22" s="84">
        <v>1718025</v>
      </c>
      <c r="O22" s="234">
        <v>1636283</v>
      </c>
      <c r="P22" s="88"/>
      <c r="Q22" s="4"/>
      <c r="R22" s="4"/>
      <c r="S22" s="4"/>
      <c r="T22" s="4"/>
    </row>
    <row r="23" spans="1:20" ht="30" customHeight="1">
      <c r="A23" s="167" t="s">
        <v>493</v>
      </c>
      <c r="B23" s="4"/>
      <c r="C23" s="4"/>
      <c r="D23" s="4"/>
      <c r="E23" s="72" t="s">
        <v>194</v>
      </c>
      <c r="F23" s="84">
        <v>833799</v>
      </c>
      <c r="G23" s="84">
        <v>725095</v>
      </c>
      <c r="H23" s="84">
        <v>457300</v>
      </c>
      <c r="I23" s="84">
        <v>1718520</v>
      </c>
      <c r="J23" s="84">
        <v>4136909</v>
      </c>
      <c r="K23" s="84">
        <v>5182010</v>
      </c>
      <c r="L23" s="84">
        <v>7918780</v>
      </c>
      <c r="M23" s="84">
        <v>17622842</v>
      </c>
      <c r="N23" s="84">
        <v>11024128</v>
      </c>
      <c r="O23" s="234">
        <v>6324008</v>
      </c>
      <c r="P23" s="88"/>
      <c r="Q23" s="4"/>
      <c r="R23" s="4"/>
      <c r="S23" s="4"/>
      <c r="T23" s="4"/>
    </row>
    <row r="24" spans="1:20" ht="30" customHeight="1">
      <c r="A24" s="12" t="s">
        <v>128</v>
      </c>
      <c r="B24" s="4"/>
      <c r="C24" s="4"/>
      <c r="D24" s="4"/>
      <c r="E24" s="71" t="s">
        <v>195</v>
      </c>
      <c r="F24" s="84">
        <v>0</v>
      </c>
      <c r="G24" s="84">
        <v>0</v>
      </c>
      <c r="H24" s="84">
        <v>0</v>
      </c>
      <c r="I24" s="84">
        <v>0</v>
      </c>
      <c r="J24" s="84">
        <v>22013</v>
      </c>
      <c r="K24" s="84">
        <v>32233</v>
      </c>
      <c r="L24" s="84">
        <v>80380</v>
      </c>
      <c r="M24" s="84">
        <v>147</v>
      </c>
      <c r="N24" s="84">
        <v>86</v>
      </c>
      <c r="O24" s="234">
        <v>2725</v>
      </c>
      <c r="P24" s="88"/>
      <c r="Q24" s="4"/>
      <c r="R24" s="4"/>
      <c r="S24" s="4"/>
      <c r="T24" s="4"/>
    </row>
    <row r="25" spans="1:20" ht="30" customHeight="1">
      <c r="A25" s="12"/>
      <c r="B25" s="4"/>
      <c r="C25" s="4"/>
      <c r="D25" s="4"/>
      <c r="E25" s="71" t="s">
        <v>139</v>
      </c>
      <c r="F25" s="84">
        <v>930511</v>
      </c>
      <c r="G25" s="84">
        <v>1007831</v>
      </c>
      <c r="H25" s="84">
        <v>1021422</v>
      </c>
      <c r="I25" s="84">
        <v>1211836</v>
      </c>
      <c r="J25" s="84">
        <v>1334813</v>
      </c>
      <c r="K25" s="84">
        <v>1755137</v>
      </c>
      <c r="L25" s="84">
        <v>1934446</v>
      </c>
      <c r="M25" s="84">
        <v>3260329</v>
      </c>
      <c r="N25" s="84">
        <v>4433345</v>
      </c>
      <c r="O25" s="234">
        <v>5708641</v>
      </c>
      <c r="P25" s="88"/>
      <c r="Q25" s="4"/>
      <c r="R25" s="4"/>
      <c r="S25" s="4"/>
      <c r="T25" s="4"/>
    </row>
    <row r="26" spans="1:20" ht="30" customHeight="1">
      <c r="A26" s="12"/>
      <c r="B26" s="4"/>
      <c r="C26" s="4"/>
      <c r="D26" s="4"/>
      <c r="E26" s="71" t="s">
        <v>5</v>
      </c>
      <c r="F26" s="84">
        <v>293987</v>
      </c>
      <c r="G26" s="84">
        <v>199270</v>
      </c>
      <c r="H26" s="84">
        <v>164626</v>
      </c>
      <c r="I26" s="84">
        <v>246147</v>
      </c>
      <c r="J26" s="84">
        <v>261987</v>
      </c>
      <c r="K26" s="84">
        <v>306037</v>
      </c>
      <c r="L26" s="84">
        <v>213017</v>
      </c>
      <c r="M26" s="84">
        <v>525950</v>
      </c>
      <c r="N26" s="84">
        <v>1694320</v>
      </c>
      <c r="O26" s="234">
        <v>2549583</v>
      </c>
      <c r="P26" s="88"/>
      <c r="Q26" s="4"/>
      <c r="R26" s="4"/>
      <c r="S26" s="4"/>
      <c r="T26" s="4"/>
    </row>
    <row r="27" spans="1:20" ht="30" customHeight="1">
      <c r="A27" s="12"/>
      <c r="B27" s="4"/>
      <c r="C27" s="4"/>
      <c r="D27" s="4"/>
      <c r="E27" s="71" t="s">
        <v>142</v>
      </c>
      <c r="F27" s="84">
        <v>172786</v>
      </c>
      <c r="G27" s="84">
        <v>226336</v>
      </c>
      <c r="H27" s="84">
        <v>331249</v>
      </c>
      <c r="I27" s="84">
        <v>313390</v>
      </c>
      <c r="J27" s="84">
        <v>397784</v>
      </c>
      <c r="K27" s="84">
        <v>541188</v>
      </c>
      <c r="L27" s="84">
        <v>320879</v>
      </c>
      <c r="M27" s="84">
        <v>431962</v>
      </c>
      <c r="N27" s="84">
        <v>1527738</v>
      </c>
      <c r="O27" s="234">
        <v>1515064</v>
      </c>
      <c r="P27" s="88"/>
      <c r="Q27" s="4"/>
      <c r="R27" s="4"/>
      <c r="S27" s="4"/>
      <c r="T27" s="4"/>
    </row>
    <row r="28" spans="1:20" ht="30" customHeight="1">
      <c r="A28" s="12"/>
      <c r="B28" s="4"/>
      <c r="C28" s="4"/>
      <c r="D28" s="4"/>
      <c r="E28" s="71" t="s">
        <v>140</v>
      </c>
      <c r="F28" s="84">
        <v>156041</v>
      </c>
      <c r="G28" s="84">
        <v>178817</v>
      </c>
      <c r="H28" s="84">
        <v>45573</v>
      </c>
      <c r="I28" s="84">
        <v>125015</v>
      </c>
      <c r="J28" s="84">
        <v>117507</v>
      </c>
      <c r="K28" s="84">
        <v>155284</v>
      </c>
      <c r="L28" s="84">
        <v>160490</v>
      </c>
      <c r="M28" s="84">
        <v>325496</v>
      </c>
      <c r="N28" s="84">
        <v>361125</v>
      </c>
      <c r="O28" s="234">
        <v>431689</v>
      </c>
      <c r="P28" s="88"/>
      <c r="Q28" s="4"/>
      <c r="R28" s="4"/>
      <c r="S28" s="4"/>
      <c r="T28" s="4"/>
    </row>
    <row r="29" spans="1:20" ht="30" customHeight="1">
      <c r="A29" s="12"/>
      <c r="B29" s="4"/>
      <c r="C29" s="4"/>
      <c r="D29" s="4"/>
      <c r="E29" s="71" t="s">
        <v>141</v>
      </c>
      <c r="F29" s="84">
        <v>0</v>
      </c>
      <c r="G29" s="84">
        <v>0</v>
      </c>
      <c r="H29" s="84">
        <v>50027</v>
      </c>
      <c r="I29" s="84">
        <v>97196</v>
      </c>
      <c r="J29" s="84">
        <v>110149</v>
      </c>
      <c r="K29" s="84">
        <v>147266</v>
      </c>
      <c r="L29" s="84">
        <v>298451</v>
      </c>
      <c r="M29" s="84">
        <v>227643</v>
      </c>
      <c r="N29" s="84">
        <v>577912</v>
      </c>
      <c r="O29" s="234">
        <v>683055</v>
      </c>
      <c r="P29" s="88"/>
      <c r="Q29" s="4"/>
      <c r="R29" s="4"/>
      <c r="S29" s="4"/>
      <c r="T29" s="4"/>
    </row>
    <row r="30" spans="1:20" ht="30" customHeight="1">
      <c r="A30" s="12"/>
      <c r="B30" s="4"/>
      <c r="C30" s="4"/>
      <c r="D30" s="4"/>
      <c r="E30" s="71" t="s">
        <v>143</v>
      </c>
      <c r="F30" s="84">
        <v>36070</v>
      </c>
      <c r="G30" s="84">
        <v>28290</v>
      </c>
      <c r="H30" s="84">
        <v>12891</v>
      </c>
      <c r="I30" s="84">
        <v>18673</v>
      </c>
      <c r="J30" s="84">
        <v>25583</v>
      </c>
      <c r="K30" s="84">
        <v>42874</v>
      </c>
      <c r="L30" s="84">
        <v>58314</v>
      </c>
      <c r="M30" s="84">
        <v>67977</v>
      </c>
      <c r="N30" s="84">
        <v>98457</v>
      </c>
      <c r="O30" s="234">
        <v>264295</v>
      </c>
      <c r="P30" s="88"/>
      <c r="Q30" s="4"/>
      <c r="R30" s="4"/>
      <c r="S30" s="4"/>
      <c r="T30" s="4"/>
    </row>
    <row r="31" spans="1:20" ht="30" customHeight="1">
      <c r="A31" s="12"/>
      <c r="B31" s="4"/>
      <c r="C31" s="4"/>
      <c r="D31" s="4"/>
      <c r="E31" s="71" t="s">
        <v>196</v>
      </c>
      <c r="F31" s="84">
        <v>0</v>
      </c>
      <c r="G31" s="84">
        <v>0</v>
      </c>
      <c r="H31" s="84">
        <v>0</v>
      </c>
      <c r="I31" s="84">
        <v>0</v>
      </c>
      <c r="J31" s="84">
        <v>0</v>
      </c>
      <c r="K31" s="84">
        <v>0</v>
      </c>
      <c r="L31" s="84">
        <v>0</v>
      </c>
      <c r="M31" s="84">
        <v>0</v>
      </c>
      <c r="N31" s="84">
        <v>0</v>
      </c>
      <c r="O31" s="234">
        <v>0</v>
      </c>
      <c r="P31" s="88"/>
      <c r="Q31" s="4"/>
      <c r="R31" s="4"/>
      <c r="S31" s="4"/>
      <c r="T31" s="4"/>
    </row>
    <row r="32" spans="1:20" ht="30" customHeight="1">
      <c r="A32" s="12"/>
      <c r="B32" s="4"/>
      <c r="C32" s="4"/>
      <c r="D32" s="4"/>
      <c r="E32" s="71" t="s">
        <v>150</v>
      </c>
      <c r="F32" s="84">
        <v>0</v>
      </c>
      <c r="G32" s="84">
        <v>0</v>
      </c>
      <c r="H32" s="84">
        <v>0</v>
      </c>
      <c r="I32" s="84">
        <v>0</v>
      </c>
      <c r="J32" s="84">
        <v>0</v>
      </c>
      <c r="K32" s="84">
        <v>0</v>
      </c>
      <c r="L32" s="84">
        <v>0</v>
      </c>
      <c r="M32" s="84">
        <v>0</v>
      </c>
      <c r="N32" s="84">
        <v>253</v>
      </c>
      <c r="O32" s="234">
        <v>253</v>
      </c>
      <c r="P32" s="88"/>
      <c r="Q32" s="4"/>
      <c r="R32" s="4"/>
      <c r="S32" s="4"/>
      <c r="T32" s="4"/>
    </row>
    <row r="33" spans="1:20" ht="30" customHeight="1">
      <c r="A33" s="12"/>
      <c r="B33" s="4"/>
      <c r="C33" s="4"/>
      <c r="D33" s="4"/>
      <c r="E33" s="71" t="s">
        <v>144</v>
      </c>
      <c r="F33" s="84">
        <v>0</v>
      </c>
      <c r="G33" s="84">
        <v>0</v>
      </c>
      <c r="H33" s="84">
        <v>29420</v>
      </c>
      <c r="I33" s="84">
        <v>27687</v>
      </c>
      <c r="J33" s="84">
        <v>58763</v>
      </c>
      <c r="K33" s="84">
        <v>82420</v>
      </c>
      <c r="L33" s="84">
        <v>43689</v>
      </c>
      <c r="M33" s="84">
        <v>69140</v>
      </c>
      <c r="N33" s="84">
        <v>111317</v>
      </c>
      <c r="O33" s="234">
        <v>349270</v>
      </c>
      <c r="P33" s="88"/>
      <c r="Q33" s="4"/>
      <c r="R33" s="4"/>
      <c r="S33" s="4"/>
      <c r="T33" s="4"/>
    </row>
    <row r="34" spans="1:20" ht="30" customHeight="1">
      <c r="A34" s="12"/>
      <c r="B34" s="4"/>
      <c r="C34" s="4"/>
      <c r="D34" s="4"/>
      <c r="E34" s="71" t="s">
        <v>145</v>
      </c>
      <c r="F34" s="84">
        <v>59152</v>
      </c>
      <c r="G34" s="84">
        <v>54238</v>
      </c>
      <c r="H34" s="84">
        <v>18272</v>
      </c>
      <c r="I34" s="84">
        <v>15263</v>
      </c>
      <c r="J34" s="84">
        <v>35488</v>
      </c>
      <c r="K34" s="84">
        <v>54568</v>
      </c>
      <c r="L34" s="84">
        <v>57825</v>
      </c>
      <c r="M34" s="84">
        <v>381</v>
      </c>
      <c r="N34" s="84">
        <v>86140</v>
      </c>
      <c r="O34" s="234">
        <v>60017</v>
      </c>
      <c r="P34" s="88"/>
      <c r="Q34" s="4"/>
      <c r="R34" s="4"/>
      <c r="S34" s="4"/>
      <c r="T34" s="4"/>
    </row>
    <row r="35" spans="1:20" ht="30" customHeight="1">
      <c r="A35" s="12"/>
      <c r="B35" s="4"/>
      <c r="C35" s="4"/>
      <c r="D35" s="4"/>
      <c r="E35" s="71" t="s">
        <v>197</v>
      </c>
      <c r="F35" s="84">
        <v>0</v>
      </c>
      <c r="G35" s="84">
        <v>0</v>
      </c>
      <c r="H35" s="84">
        <v>0</v>
      </c>
      <c r="I35" s="84">
        <v>0</v>
      </c>
      <c r="J35" s="84">
        <v>0</v>
      </c>
      <c r="K35" s="84">
        <v>0</v>
      </c>
      <c r="L35" s="84">
        <v>0</v>
      </c>
      <c r="M35" s="84">
        <v>0</v>
      </c>
      <c r="N35" s="84">
        <v>0</v>
      </c>
      <c r="O35" s="84">
        <v>0</v>
      </c>
      <c r="P35" s="88"/>
      <c r="Q35" s="4"/>
      <c r="R35" s="4"/>
      <c r="S35" s="4"/>
      <c r="T35" s="4"/>
    </row>
    <row r="36" spans="1:20" ht="30" customHeight="1">
      <c r="A36" s="12"/>
      <c r="B36" s="4"/>
      <c r="C36" s="4"/>
      <c r="D36" s="4"/>
      <c r="E36" s="70" t="s">
        <v>6</v>
      </c>
      <c r="F36" s="204">
        <f>SUM(F37:F51)</f>
        <v>4610838</v>
      </c>
      <c r="G36" s="204">
        <f t="shared" ref="G36:N36" si="6">SUM(G37:G51)</f>
        <v>5371552</v>
      </c>
      <c r="H36" s="204">
        <f t="shared" si="6"/>
        <v>6151683</v>
      </c>
      <c r="I36" s="204">
        <f t="shared" si="6"/>
        <v>7012463</v>
      </c>
      <c r="J36" s="204">
        <f t="shared" si="6"/>
        <v>8682634</v>
      </c>
      <c r="K36" s="204">
        <f t="shared" si="6"/>
        <v>11357402</v>
      </c>
      <c r="L36" s="204">
        <f t="shared" si="6"/>
        <v>14066376</v>
      </c>
      <c r="M36" s="204">
        <f t="shared" si="6"/>
        <v>24406944</v>
      </c>
      <c r="N36" s="204">
        <f t="shared" si="6"/>
        <v>40026668</v>
      </c>
      <c r="O36" s="204">
        <f t="shared" ref="O36" si="7">SUM(O37:O51)</f>
        <v>43172732</v>
      </c>
      <c r="P36" s="88"/>
      <c r="Q36" s="4"/>
      <c r="R36" s="4"/>
      <c r="S36" s="4"/>
      <c r="T36" s="4"/>
    </row>
    <row r="37" spans="1:20" ht="30" customHeight="1">
      <c r="A37" s="12"/>
      <c r="B37" s="4"/>
      <c r="C37" s="4"/>
      <c r="D37" s="4"/>
      <c r="E37" s="71" t="s">
        <v>198</v>
      </c>
      <c r="F37" s="84">
        <v>19746</v>
      </c>
      <c r="G37" s="84">
        <v>10376</v>
      </c>
      <c r="H37" s="84">
        <v>0</v>
      </c>
      <c r="I37" s="84">
        <v>5584</v>
      </c>
      <c r="J37" s="84">
        <v>4532</v>
      </c>
      <c r="K37" s="84">
        <v>655</v>
      </c>
      <c r="L37" s="84">
        <v>149483</v>
      </c>
      <c r="M37" s="84">
        <v>9264</v>
      </c>
      <c r="N37" s="84">
        <v>160116</v>
      </c>
      <c r="O37" s="234">
        <v>117884</v>
      </c>
      <c r="P37" s="88"/>
      <c r="Q37" s="4"/>
      <c r="R37" s="4"/>
      <c r="S37" s="4"/>
      <c r="T37" s="4"/>
    </row>
    <row r="38" spans="1:20" ht="30" customHeight="1">
      <c r="A38" s="12"/>
      <c r="B38" s="4"/>
      <c r="C38" s="4"/>
      <c r="D38" s="4"/>
      <c r="E38" s="71" t="s">
        <v>195</v>
      </c>
      <c r="F38" s="84">
        <v>9906</v>
      </c>
      <c r="G38" s="84">
        <v>71462</v>
      </c>
      <c r="H38" s="84">
        <v>36037</v>
      </c>
      <c r="I38" s="84">
        <v>108252</v>
      </c>
      <c r="J38" s="84">
        <v>438160</v>
      </c>
      <c r="K38" s="84">
        <v>638400</v>
      </c>
      <c r="L38" s="84">
        <v>334642</v>
      </c>
      <c r="M38" s="84">
        <v>58733</v>
      </c>
      <c r="N38" s="84">
        <v>184154</v>
      </c>
      <c r="O38" s="234">
        <v>288348</v>
      </c>
      <c r="P38" s="88"/>
      <c r="Q38" s="4"/>
      <c r="R38" s="4"/>
      <c r="S38" s="4"/>
      <c r="T38" s="4"/>
    </row>
    <row r="39" spans="1:20" ht="30" customHeight="1">
      <c r="A39" s="12"/>
      <c r="B39" s="4"/>
      <c r="C39" s="4"/>
      <c r="D39" s="4"/>
      <c r="E39" s="71" t="s">
        <v>139</v>
      </c>
      <c r="F39" s="84">
        <v>74085</v>
      </c>
      <c r="G39" s="84">
        <v>15792</v>
      </c>
      <c r="H39" s="84">
        <v>108356</v>
      </c>
      <c r="I39" s="84">
        <v>120603</v>
      </c>
      <c r="J39" s="84">
        <v>111868</v>
      </c>
      <c r="K39" s="84">
        <v>88321</v>
      </c>
      <c r="L39" s="84">
        <v>104684</v>
      </c>
      <c r="M39" s="84">
        <v>134627</v>
      </c>
      <c r="N39" s="84">
        <v>190197</v>
      </c>
      <c r="O39" s="234">
        <v>216245</v>
      </c>
      <c r="P39" s="88"/>
      <c r="Q39" s="4"/>
      <c r="R39" s="4"/>
      <c r="S39" s="4"/>
      <c r="T39" s="4"/>
    </row>
    <row r="40" spans="1:20" ht="30" customHeight="1">
      <c r="A40" s="12"/>
      <c r="B40" s="4"/>
      <c r="C40" s="4"/>
      <c r="D40" s="4"/>
      <c r="E40" s="71" t="s">
        <v>140</v>
      </c>
      <c r="F40" s="84">
        <v>32440</v>
      </c>
      <c r="G40" s="84">
        <v>23518</v>
      </c>
      <c r="H40" s="84">
        <v>42604</v>
      </c>
      <c r="I40" s="84">
        <v>61930</v>
      </c>
      <c r="J40" s="84">
        <v>114222</v>
      </c>
      <c r="K40" s="84">
        <v>138466</v>
      </c>
      <c r="L40" s="84">
        <v>151909</v>
      </c>
      <c r="M40" s="84">
        <v>231145</v>
      </c>
      <c r="N40" s="84">
        <v>448366</v>
      </c>
      <c r="O40" s="234">
        <v>396259</v>
      </c>
      <c r="P40" s="88"/>
      <c r="Q40" s="4"/>
      <c r="R40" s="4"/>
      <c r="S40" s="4"/>
      <c r="T40" s="4"/>
    </row>
    <row r="41" spans="1:20" ht="30" customHeight="1">
      <c r="A41" s="12"/>
      <c r="B41" s="4"/>
      <c r="C41" s="4"/>
      <c r="D41" s="4"/>
      <c r="E41" s="71" t="s">
        <v>141</v>
      </c>
      <c r="F41" s="84">
        <v>0</v>
      </c>
      <c r="G41" s="84">
        <v>0</v>
      </c>
      <c r="H41" s="84">
        <v>19864</v>
      </c>
      <c r="I41" s="84">
        <v>20307</v>
      </c>
      <c r="J41" s="84">
        <v>24312</v>
      </c>
      <c r="K41" s="84">
        <v>34929</v>
      </c>
      <c r="L41" s="84">
        <v>66664</v>
      </c>
      <c r="M41" s="84">
        <v>127733</v>
      </c>
      <c r="N41" s="84">
        <v>155806</v>
      </c>
      <c r="O41" s="234">
        <v>110420</v>
      </c>
      <c r="P41" s="88"/>
      <c r="Q41" s="4"/>
      <c r="R41" s="4"/>
      <c r="S41" s="4"/>
      <c r="T41" s="4"/>
    </row>
    <row r="42" spans="1:20" ht="30" customHeight="1">
      <c r="A42" s="12"/>
      <c r="B42" s="4"/>
      <c r="C42" s="4"/>
      <c r="D42" s="4"/>
      <c r="E42" s="71" t="s">
        <v>146</v>
      </c>
      <c r="F42" s="84">
        <v>44175</v>
      </c>
      <c r="G42" s="84">
        <v>42309</v>
      </c>
      <c r="H42" s="84">
        <v>120704</v>
      </c>
      <c r="I42" s="84">
        <v>62335</v>
      </c>
      <c r="J42" s="84">
        <v>73400</v>
      </c>
      <c r="K42" s="84">
        <v>76353</v>
      </c>
      <c r="L42" s="84">
        <v>75532</v>
      </c>
      <c r="M42" s="84">
        <v>103303</v>
      </c>
      <c r="N42" s="84">
        <v>105475</v>
      </c>
      <c r="O42" s="234">
        <v>119997</v>
      </c>
      <c r="P42" s="88"/>
      <c r="Q42" s="4"/>
      <c r="R42" s="4"/>
      <c r="S42" s="4"/>
      <c r="T42" s="4"/>
    </row>
    <row r="43" spans="1:20" ht="30" customHeight="1">
      <c r="A43" s="12"/>
      <c r="B43" s="4"/>
      <c r="C43" s="4"/>
      <c r="D43" s="4"/>
      <c r="E43" s="71" t="s">
        <v>308</v>
      </c>
      <c r="F43" s="84">
        <v>0</v>
      </c>
      <c r="G43" s="84">
        <v>0</v>
      </c>
      <c r="H43" s="84">
        <v>52642</v>
      </c>
      <c r="I43" s="84">
        <v>39692</v>
      </c>
      <c r="J43" s="84">
        <v>0</v>
      </c>
      <c r="K43" s="84">
        <v>0</v>
      </c>
      <c r="L43" s="84">
        <v>0</v>
      </c>
      <c r="M43" s="84">
        <v>0</v>
      </c>
      <c r="N43" s="84">
        <v>0</v>
      </c>
      <c r="O43" s="84">
        <v>0</v>
      </c>
      <c r="P43" s="88"/>
      <c r="Q43" s="4"/>
      <c r="R43" s="4"/>
      <c r="S43" s="4"/>
      <c r="T43" s="4"/>
    </row>
    <row r="44" spans="1:20" ht="30" customHeight="1">
      <c r="A44" s="12"/>
      <c r="B44" s="4"/>
      <c r="C44" s="4"/>
      <c r="D44" s="4"/>
      <c r="E44" s="71" t="s">
        <v>11</v>
      </c>
      <c r="F44" s="84">
        <v>13727</v>
      </c>
      <c r="G44" s="84">
        <v>15635</v>
      </c>
      <c r="H44" s="84">
        <v>31438</v>
      </c>
      <c r="I44" s="84">
        <v>60626</v>
      </c>
      <c r="J44" s="84">
        <v>83620</v>
      </c>
      <c r="K44" s="84">
        <v>138431</v>
      </c>
      <c r="L44" s="84">
        <v>161215</v>
      </c>
      <c r="M44" s="84">
        <v>407120</v>
      </c>
      <c r="N44" s="84">
        <v>1177823</v>
      </c>
      <c r="O44" s="234">
        <v>1511049</v>
      </c>
      <c r="P44" s="88"/>
      <c r="Q44" s="4"/>
      <c r="R44" s="4"/>
      <c r="S44" s="4"/>
      <c r="T44" s="4"/>
    </row>
    <row r="45" spans="1:20" ht="30" customHeight="1">
      <c r="A45" s="12"/>
      <c r="B45" s="4"/>
      <c r="C45" s="4"/>
      <c r="D45" s="4"/>
      <c r="E45" s="71" t="s">
        <v>143</v>
      </c>
      <c r="F45" s="263">
        <v>7400</v>
      </c>
      <c r="G45" s="84">
        <v>0</v>
      </c>
      <c r="H45" s="84">
        <v>0</v>
      </c>
      <c r="I45" s="84">
        <v>0</v>
      </c>
      <c r="J45" s="84">
        <v>0</v>
      </c>
      <c r="K45" s="84">
        <v>0</v>
      </c>
      <c r="L45" s="84">
        <v>0</v>
      </c>
      <c r="M45" s="84">
        <v>0</v>
      </c>
      <c r="N45" s="84">
        <v>0</v>
      </c>
      <c r="O45" s="84">
        <v>0</v>
      </c>
      <c r="P45" s="88"/>
      <c r="Q45" s="4"/>
      <c r="R45" s="4"/>
      <c r="S45" s="4"/>
      <c r="T45" s="4"/>
    </row>
    <row r="46" spans="1:20" ht="30" customHeight="1">
      <c r="A46" s="12"/>
      <c r="B46" s="4"/>
      <c r="C46" s="4"/>
      <c r="D46" s="4"/>
      <c r="E46" s="71" t="s">
        <v>150</v>
      </c>
      <c r="F46" s="84">
        <v>67</v>
      </c>
      <c r="G46" s="84">
        <v>410</v>
      </c>
      <c r="H46" s="84">
        <v>76</v>
      </c>
      <c r="I46" s="84">
        <v>188</v>
      </c>
      <c r="J46" s="84">
        <v>346</v>
      </c>
      <c r="K46" s="84">
        <v>0</v>
      </c>
      <c r="L46" s="84">
        <v>0</v>
      </c>
      <c r="M46" s="84">
        <v>0</v>
      </c>
      <c r="N46" s="84">
        <v>791</v>
      </c>
      <c r="O46" s="234">
        <v>942</v>
      </c>
      <c r="P46" s="88"/>
      <c r="Q46" s="4"/>
      <c r="R46" s="4"/>
      <c r="S46" s="4"/>
      <c r="T46" s="4"/>
    </row>
    <row r="47" spans="1:20" ht="30" customHeight="1">
      <c r="A47" s="12"/>
      <c r="B47" s="4"/>
      <c r="C47" s="4"/>
      <c r="D47" s="4"/>
      <c r="E47" s="264" t="s">
        <v>199</v>
      </c>
      <c r="F47" s="84">
        <v>0</v>
      </c>
      <c r="G47" s="84">
        <v>0</v>
      </c>
      <c r="H47" s="84">
        <v>0</v>
      </c>
      <c r="I47" s="84">
        <v>0</v>
      </c>
      <c r="J47" s="84">
        <v>0</v>
      </c>
      <c r="K47" s="84">
        <v>0</v>
      </c>
      <c r="L47" s="265">
        <v>103783</v>
      </c>
      <c r="M47" s="265">
        <v>281432</v>
      </c>
      <c r="N47" s="265">
        <v>299342</v>
      </c>
      <c r="O47" s="266">
        <v>630133</v>
      </c>
      <c r="P47" s="88"/>
      <c r="Q47" s="4"/>
      <c r="R47" s="4"/>
      <c r="S47" s="4"/>
      <c r="T47" s="4"/>
    </row>
    <row r="48" spans="1:20" ht="30" customHeight="1">
      <c r="A48" s="12"/>
      <c r="B48" s="4"/>
      <c r="C48" s="4"/>
      <c r="D48" s="4"/>
      <c r="E48" s="71" t="s">
        <v>145</v>
      </c>
      <c r="F48" s="84">
        <v>72381</v>
      </c>
      <c r="G48" s="84">
        <v>64463</v>
      </c>
      <c r="H48" s="84">
        <v>6035</v>
      </c>
      <c r="I48" s="84">
        <v>3634</v>
      </c>
      <c r="J48" s="84">
        <v>64437</v>
      </c>
      <c r="K48" s="84">
        <v>82391</v>
      </c>
      <c r="L48" s="84">
        <v>82984</v>
      </c>
      <c r="M48" s="84">
        <v>108782</v>
      </c>
      <c r="N48" s="84">
        <v>112804</v>
      </c>
      <c r="O48" s="234">
        <v>154700</v>
      </c>
      <c r="P48" s="88"/>
      <c r="Q48" s="4"/>
      <c r="R48" s="4"/>
      <c r="S48" s="4"/>
      <c r="T48" s="4"/>
    </row>
    <row r="49" spans="1:20" ht="30" customHeight="1">
      <c r="A49" s="12"/>
      <c r="B49" s="4"/>
      <c r="C49" s="4"/>
      <c r="D49" s="4"/>
      <c r="E49" s="71" t="s">
        <v>200</v>
      </c>
      <c r="F49" s="84">
        <v>1430</v>
      </c>
      <c r="G49" s="84">
        <v>1535</v>
      </c>
      <c r="H49" s="84">
        <v>1179</v>
      </c>
      <c r="I49" s="84">
        <v>979</v>
      </c>
      <c r="J49" s="84">
        <v>3754</v>
      </c>
      <c r="K49" s="84">
        <v>6716</v>
      </c>
      <c r="L49" s="84">
        <v>16584</v>
      </c>
      <c r="M49" s="84">
        <v>30248</v>
      </c>
      <c r="N49" s="84">
        <v>34024</v>
      </c>
      <c r="O49" s="234">
        <v>35365</v>
      </c>
      <c r="P49" s="88"/>
      <c r="Q49" s="4"/>
      <c r="R49" s="4"/>
      <c r="S49" s="4"/>
      <c r="T49" s="4"/>
    </row>
    <row r="50" spans="1:20" ht="30" customHeight="1">
      <c r="A50" s="12"/>
      <c r="B50" s="4"/>
      <c r="C50" s="4"/>
      <c r="D50" s="4"/>
      <c r="E50" s="71" t="s">
        <v>7</v>
      </c>
      <c r="F50" s="84">
        <v>4005012</v>
      </c>
      <c r="G50" s="84">
        <v>4764262</v>
      </c>
      <c r="H50" s="84">
        <v>5386719</v>
      </c>
      <c r="I50" s="84">
        <v>6056614</v>
      </c>
      <c r="J50" s="84">
        <v>7279407</v>
      </c>
      <c r="K50" s="84">
        <v>9615005</v>
      </c>
      <c r="L50" s="84">
        <v>11747476</v>
      </c>
      <c r="M50" s="84">
        <v>21567720</v>
      </c>
      <c r="N50" s="84">
        <v>34130983</v>
      </c>
      <c r="O50" s="234">
        <v>36138916</v>
      </c>
      <c r="P50" s="88"/>
      <c r="Q50" s="4"/>
      <c r="R50" s="4"/>
      <c r="S50" s="4"/>
      <c r="T50" s="4"/>
    </row>
    <row r="51" spans="1:20" ht="30" customHeight="1">
      <c r="A51" s="12"/>
      <c r="B51" s="4"/>
      <c r="C51" s="4"/>
      <c r="D51" s="4"/>
      <c r="E51" s="71" t="s">
        <v>8</v>
      </c>
      <c r="F51" s="84">
        <v>330469</v>
      </c>
      <c r="G51" s="84">
        <v>361790</v>
      </c>
      <c r="H51" s="84">
        <v>346029</v>
      </c>
      <c r="I51" s="84">
        <v>471719</v>
      </c>
      <c r="J51" s="84">
        <v>484576</v>
      </c>
      <c r="K51" s="84">
        <v>537735</v>
      </c>
      <c r="L51" s="84">
        <v>1071420</v>
      </c>
      <c r="M51" s="84">
        <v>1346837</v>
      </c>
      <c r="N51" s="84">
        <v>3026787</v>
      </c>
      <c r="O51" s="234">
        <v>3452474</v>
      </c>
      <c r="P51" s="88"/>
      <c r="Q51" s="4"/>
      <c r="R51" s="4"/>
      <c r="S51" s="4"/>
      <c r="T51" s="4"/>
    </row>
    <row r="52" spans="1:20" ht="30" customHeight="1">
      <c r="A52" s="12"/>
      <c r="B52" s="4"/>
      <c r="C52" s="4"/>
      <c r="D52" s="4"/>
      <c r="E52" s="69" t="s">
        <v>1</v>
      </c>
      <c r="F52" s="40">
        <f>SUM(F53,F73)</f>
        <v>6420352</v>
      </c>
      <c r="G52" s="40">
        <f t="shared" ref="G52:N52" si="8">SUM(G53,G73)</f>
        <v>7722722</v>
      </c>
      <c r="H52" s="40">
        <f t="shared" si="8"/>
        <v>8259394</v>
      </c>
      <c r="I52" s="40">
        <f t="shared" si="8"/>
        <v>10311604</v>
      </c>
      <c r="J52" s="40">
        <f t="shared" si="8"/>
        <v>14625455</v>
      </c>
      <c r="K52" s="40">
        <f t="shared" si="8"/>
        <v>17888271</v>
      </c>
      <c r="L52" s="40">
        <f t="shared" si="8"/>
        <v>22338398</v>
      </c>
      <c r="M52" s="40">
        <f t="shared" si="8"/>
        <v>42143934</v>
      </c>
      <c r="N52" s="40">
        <f t="shared" si="8"/>
        <v>56077761</v>
      </c>
      <c r="O52" s="40">
        <f t="shared" ref="O52" si="9">SUM(O53,O73)</f>
        <v>55746293</v>
      </c>
      <c r="P52" s="88"/>
      <c r="Q52" s="4"/>
      <c r="R52" s="4"/>
      <c r="S52" s="4"/>
      <c r="T52" s="4"/>
    </row>
    <row r="53" spans="1:20" ht="30" customHeight="1">
      <c r="A53" s="12"/>
      <c r="B53" s="4"/>
      <c r="C53" s="4"/>
      <c r="D53" s="4"/>
      <c r="E53" s="70" t="s">
        <v>9</v>
      </c>
      <c r="F53" s="204">
        <f>SUM(F54:F72)</f>
        <v>1871356</v>
      </c>
      <c r="G53" s="204">
        <f t="shared" ref="G53:N53" si="10">SUM(G54:G72)</f>
        <v>2414240</v>
      </c>
      <c r="H53" s="204">
        <f t="shared" si="10"/>
        <v>3194162</v>
      </c>
      <c r="I53" s="204">
        <f t="shared" si="10"/>
        <v>3129688</v>
      </c>
      <c r="J53" s="204">
        <f t="shared" si="10"/>
        <v>4035478</v>
      </c>
      <c r="K53" s="204">
        <f t="shared" si="10"/>
        <v>4678968</v>
      </c>
      <c r="L53" s="204">
        <f t="shared" si="10"/>
        <v>5524858</v>
      </c>
      <c r="M53" s="204">
        <f t="shared" si="10"/>
        <v>7137334</v>
      </c>
      <c r="N53" s="204">
        <f t="shared" si="10"/>
        <v>13959865</v>
      </c>
      <c r="O53" s="204">
        <f t="shared" ref="O53" si="11">SUM(O54:O72)</f>
        <v>11150737</v>
      </c>
      <c r="P53" s="88"/>
      <c r="Q53" s="4"/>
      <c r="R53" s="4"/>
      <c r="S53" s="4"/>
      <c r="T53" s="4"/>
    </row>
    <row r="54" spans="1:20" ht="30" customHeight="1">
      <c r="A54" s="12"/>
      <c r="B54" s="4"/>
      <c r="C54" s="4"/>
      <c r="D54" s="4"/>
      <c r="E54" s="71" t="s">
        <v>10</v>
      </c>
      <c r="F54" s="84">
        <v>316952</v>
      </c>
      <c r="G54" s="84">
        <v>505199</v>
      </c>
      <c r="H54" s="84">
        <v>992368</v>
      </c>
      <c r="I54" s="84">
        <v>878274</v>
      </c>
      <c r="J54" s="84">
        <v>1195407</v>
      </c>
      <c r="K54" s="84">
        <v>1691713</v>
      </c>
      <c r="L54" s="84">
        <v>2135298</v>
      </c>
      <c r="M54" s="84">
        <v>3374264</v>
      </c>
      <c r="N54" s="84">
        <v>5724420</v>
      </c>
      <c r="O54" s="234">
        <v>3268350</v>
      </c>
      <c r="P54" s="88"/>
      <c r="Q54" s="4"/>
      <c r="R54" s="4"/>
      <c r="S54" s="4"/>
      <c r="T54" s="4"/>
    </row>
    <row r="55" spans="1:20" ht="30" customHeight="1">
      <c r="A55" s="12"/>
      <c r="B55" s="4"/>
      <c r="C55" s="4"/>
      <c r="D55" s="4"/>
      <c r="E55" s="71" t="s">
        <v>147</v>
      </c>
      <c r="F55" s="84">
        <v>56313</v>
      </c>
      <c r="G55" s="84">
        <v>33982</v>
      </c>
      <c r="H55" s="84">
        <v>28387</v>
      </c>
      <c r="I55" s="84">
        <v>72051</v>
      </c>
      <c r="J55" s="84">
        <v>93588</v>
      </c>
      <c r="K55" s="84">
        <v>106735</v>
      </c>
      <c r="L55" s="84">
        <v>71844</v>
      </c>
      <c r="M55" s="84">
        <v>175536</v>
      </c>
      <c r="N55" s="84">
        <v>378753</v>
      </c>
      <c r="O55" s="234">
        <v>361836</v>
      </c>
      <c r="P55" s="88"/>
      <c r="Q55" s="4"/>
      <c r="R55" s="4"/>
      <c r="S55" s="4"/>
      <c r="T55" s="4"/>
    </row>
    <row r="56" spans="1:20" ht="30" customHeight="1">
      <c r="A56" s="12"/>
      <c r="B56" s="4"/>
      <c r="C56" s="4"/>
      <c r="D56" s="4"/>
      <c r="E56" s="71" t="s">
        <v>148</v>
      </c>
      <c r="F56" s="84">
        <v>378610</v>
      </c>
      <c r="G56" s="84">
        <v>625195</v>
      </c>
      <c r="H56" s="84">
        <v>551359</v>
      </c>
      <c r="I56" s="84">
        <v>248148</v>
      </c>
      <c r="J56" s="84">
        <v>0</v>
      </c>
      <c r="K56" s="84">
        <v>12051</v>
      </c>
      <c r="L56" s="84">
        <v>157923</v>
      </c>
      <c r="M56" s="84">
        <v>0</v>
      </c>
      <c r="N56" s="84">
        <v>72920</v>
      </c>
      <c r="O56" s="84">
        <v>120328</v>
      </c>
      <c r="P56" s="88"/>
      <c r="Q56" s="4"/>
      <c r="R56" s="4"/>
      <c r="S56" s="4"/>
      <c r="T56" s="4"/>
    </row>
    <row r="57" spans="1:20" ht="30" customHeight="1">
      <c r="A57" s="12"/>
      <c r="B57" s="4"/>
      <c r="C57" s="4"/>
      <c r="D57" s="4"/>
      <c r="E57" s="71" t="s">
        <v>149</v>
      </c>
      <c r="F57" s="84">
        <v>405601</v>
      </c>
      <c r="G57" s="84">
        <v>526829</v>
      </c>
      <c r="H57" s="84">
        <v>888916</v>
      </c>
      <c r="I57" s="84">
        <v>982697</v>
      </c>
      <c r="J57" s="84">
        <v>1495151</v>
      </c>
      <c r="K57" s="84">
        <v>1171988</v>
      </c>
      <c r="L57" s="84">
        <v>1284761</v>
      </c>
      <c r="M57" s="84">
        <v>765352</v>
      </c>
      <c r="N57" s="84">
        <v>1427853</v>
      </c>
      <c r="O57" s="234">
        <v>1947454</v>
      </c>
      <c r="P57" s="88"/>
      <c r="Q57" s="4"/>
      <c r="R57" s="4"/>
      <c r="S57" s="4"/>
      <c r="T57" s="4"/>
    </row>
    <row r="58" spans="1:20" ht="30" customHeight="1">
      <c r="A58" s="12"/>
      <c r="B58" s="4"/>
      <c r="C58" s="4"/>
      <c r="D58" s="4"/>
      <c r="E58" s="71" t="s">
        <v>201</v>
      </c>
      <c r="F58" s="84">
        <v>164041</v>
      </c>
      <c r="G58" s="84">
        <v>126794</v>
      </c>
      <c r="H58" s="84">
        <v>142242</v>
      </c>
      <c r="I58" s="84">
        <v>284417</v>
      </c>
      <c r="J58" s="84">
        <v>483667</v>
      </c>
      <c r="K58" s="84">
        <v>694901</v>
      </c>
      <c r="L58" s="84">
        <v>592595</v>
      </c>
      <c r="M58" s="84">
        <v>661877</v>
      </c>
      <c r="N58" s="84">
        <v>2361078</v>
      </c>
      <c r="O58" s="234">
        <v>1137672</v>
      </c>
      <c r="P58" s="88"/>
      <c r="Q58" s="4"/>
      <c r="R58" s="4"/>
      <c r="S58" s="4"/>
      <c r="T58" s="4"/>
    </row>
    <row r="59" spans="1:20" ht="30" customHeight="1">
      <c r="A59" s="12"/>
      <c r="B59" s="4"/>
      <c r="C59" s="4"/>
      <c r="D59" s="4"/>
      <c r="E59" s="71" t="s">
        <v>202</v>
      </c>
      <c r="F59" s="84">
        <v>134279</v>
      </c>
      <c r="G59" s="84">
        <v>160719</v>
      </c>
      <c r="H59" s="84">
        <v>165716</v>
      </c>
      <c r="I59" s="84">
        <v>142329</v>
      </c>
      <c r="J59" s="84">
        <v>91402</v>
      </c>
      <c r="K59" s="84">
        <v>140850</v>
      </c>
      <c r="L59" s="84">
        <v>131092</v>
      </c>
      <c r="M59" s="84">
        <v>118833</v>
      </c>
      <c r="N59" s="84">
        <v>71637</v>
      </c>
      <c r="O59" s="234">
        <v>117473</v>
      </c>
      <c r="P59" s="88"/>
      <c r="Q59" s="4"/>
      <c r="R59" s="4"/>
      <c r="S59" s="4"/>
      <c r="T59" s="4"/>
    </row>
    <row r="60" spans="1:20" ht="30" customHeight="1">
      <c r="A60" s="12"/>
      <c r="B60" s="4"/>
      <c r="C60" s="4"/>
      <c r="D60" s="4"/>
      <c r="E60" s="71" t="s">
        <v>203</v>
      </c>
      <c r="F60" s="84">
        <v>0</v>
      </c>
      <c r="G60" s="84">
        <v>0</v>
      </c>
      <c r="H60" s="84">
        <v>0</v>
      </c>
      <c r="I60" s="84">
        <v>0</v>
      </c>
      <c r="J60" s="84">
        <v>0</v>
      </c>
      <c r="K60" s="84">
        <v>113869</v>
      </c>
      <c r="L60" s="84">
        <v>101600</v>
      </c>
      <c r="M60" s="84">
        <v>197769</v>
      </c>
      <c r="N60" s="84">
        <v>291430</v>
      </c>
      <c r="O60" s="234">
        <v>342244</v>
      </c>
      <c r="P60" s="88"/>
      <c r="Q60" s="4"/>
      <c r="R60" s="4"/>
      <c r="S60" s="4"/>
      <c r="T60" s="4"/>
    </row>
    <row r="61" spans="1:20" ht="30" customHeight="1">
      <c r="A61" s="12"/>
      <c r="B61" s="4"/>
      <c r="C61" s="4"/>
      <c r="D61" s="4"/>
      <c r="E61" s="71" t="s">
        <v>151</v>
      </c>
      <c r="F61" s="84">
        <v>0</v>
      </c>
      <c r="G61" s="84">
        <v>0</v>
      </c>
      <c r="H61" s="84">
        <v>0</v>
      </c>
      <c r="I61" s="84">
        <v>6043</v>
      </c>
      <c r="J61" s="84">
        <v>7410</v>
      </c>
      <c r="K61" s="84">
        <v>6043</v>
      </c>
      <c r="L61" s="84">
        <v>6043</v>
      </c>
      <c r="M61" s="84">
        <v>6043</v>
      </c>
      <c r="N61" s="84">
        <v>698404</v>
      </c>
      <c r="O61" s="234">
        <v>548015</v>
      </c>
      <c r="P61" s="88"/>
      <c r="Q61" s="4"/>
      <c r="R61" s="4"/>
      <c r="S61" s="4"/>
      <c r="T61" s="4"/>
    </row>
    <row r="62" spans="1:20" ht="30" customHeight="1">
      <c r="A62" s="12"/>
      <c r="B62" s="4"/>
      <c r="C62" s="4"/>
      <c r="D62" s="4"/>
      <c r="E62" s="71" t="s">
        <v>164</v>
      </c>
      <c r="F62" s="84">
        <v>163623</v>
      </c>
      <c r="G62" s="84">
        <v>163687</v>
      </c>
      <c r="H62" s="84">
        <v>179418</v>
      </c>
      <c r="I62" s="84">
        <v>211652</v>
      </c>
      <c r="J62" s="84">
        <v>238034</v>
      </c>
      <c r="K62" s="84">
        <v>231374</v>
      </c>
      <c r="L62" s="84">
        <v>270006</v>
      </c>
      <c r="M62" s="84">
        <v>408154</v>
      </c>
      <c r="N62" s="84">
        <v>625156</v>
      </c>
      <c r="O62" s="234">
        <v>919264</v>
      </c>
      <c r="P62" s="88"/>
      <c r="Q62" s="4"/>
      <c r="R62" s="4"/>
      <c r="S62" s="4"/>
      <c r="T62" s="4"/>
    </row>
    <row r="63" spans="1:20" ht="30" customHeight="1">
      <c r="A63" s="12"/>
      <c r="B63" s="4"/>
      <c r="C63" s="4"/>
      <c r="D63" s="4"/>
      <c r="E63" s="71" t="s">
        <v>152</v>
      </c>
      <c r="F63" s="84">
        <v>3851</v>
      </c>
      <c r="G63" s="84">
        <v>3625</v>
      </c>
      <c r="H63" s="84">
        <v>11528</v>
      </c>
      <c r="I63" s="84">
        <v>8907</v>
      </c>
      <c r="J63" s="84">
        <v>12356</v>
      </c>
      <c r="K63" s="84">
        <v>3094</v>
      </c>
      <c r="L63" s="240">
        <v>18679</v>
      </c>
      <c r="M63" s="241">
        <v>45865</v>
      </c>
      <c r="N63" s="241">
        <v>99818</v>
      </c>
      <c r="O63" s="229">
        <v>61086</v>
      </c>
      <c r="P63" s="88"/>
      <c r="Q63" s="4"/>
      <c r="R63" s="4"/>
      <c r="S63" s="4"/>
      <c r="T63" s="4"/>
    </row>
    <row r="64" spans="1:20" ht="30" customHeight="1">
      <c r="A64" s="12"/>
      <c r="B64" s="4"/>
      <c r="C64" s="4"/>
      <c r="D64" s="4"/>
      <c r="E64" s="71" t="s">
        <v>195</v>
      </c>
      <c r="F64" s="84">
        <v>0</v>
      </c>
      <c r="G64" s="84">
        <v>0</v>
      </c>
      <c r="H64" s="84">
        <v>0</v>
      </c>
      <c r="I64" s="84">
        <v>0</v>
      </c>
      <c r="J64" s="84">
        <v>0</v>
      </c>
      <c r="K64" s="84">
        <v>0</v>
      </c>
      <c r="L64" s="84">
        <v>0</v>
      </c>
      <c r="M64" s="84">
        <v>271251</v>
      </c>
      <c r="N64" s="84">
        <v>561290</v>
      </c>
      <c r="O64" s="234">
        <v>611279</v>
      </c>
      <c r="P64" s="88"/>
      <c r="Q64" s="4"/>
      <c r="R64" s="4"/>
      <c r="S64" s="4"/>
      <c r="T64" s="4"/>
    </row>
    <row r="65" spans="1:20" ht="30" customHeight="1">
      <c r="A65" s="12"/>
      <c r="B65" s="4"/>
      <c r="C65" s="4"/>
      <c r="D65" s="4"/>
      <c r="E65" s="71" t="s">
        <v>153</v>
      </c>
      <c r="F65" s="84">
        <f>44840-F63</f>
        <v>40989</v>
      </c>
      <c r="G65" s="84">
        <f>56608-3625</f>
        <v>52983</v>
      </c>
      <c r="H65" s="84">
        <v>51968</v>
      </c>
      <c r="I65" s="84">
        <v>76093</v>
      </c>
      <c r="J65" s="84">
        <v>75856</v>
      </c>
      <c r="K65" s="84">
        <v>83162</v>
      </c>
      <c r="L65" s="240">
        <v>103291</v>
      </c>
      <c r="M65" s="241">
        <v>220213</v>
      </c>
      <c r="N65" s="241">
        <v>385329</v>
      </c>
      <c r="O65" s="229">
        <v>361706</v>
      </c>
      <c r="P65" s="88"/>
      <c r="Q65" s="4"/>
      <c r="R65" s="4"/>
      <c r="S65" s="4"/>
      <c r="T65" s="4"/>
    </row>
    <row r="66" spans="1:20" ht="30" customHeight="1">
      <c r="A66" s="12"/>
      <c r="B66" s="4"/>
      <c r="C66" s="4"/>
      <c r="D66" s="4"/>
      <c r="E66" s="71" t="s">
        <v>204</v>
      </c>
      <c r="F66" s="84">
        <v>17205</v>
      </c>
      <c r="G66" s="84">
        <v>11106</v>
      </c>
      <c r="H66" s="84">
        <v>0</v>
      </c>
      <c r="I66" s="84">
        <v>0</v>
      </c>
      <c r="J66" s="84">
        <v>27541</v>
      </c>
      <c r="K66" s="84">
        <v>70587</v>
      </c>
      <c r="L66" s="84">
        <v>97856</v>
      </c>
      <c r="M66" s="241">
        <v>263280</v>
      </c>
      <c r="N66" s="241">
        <v>259201</v>
      </c>
      <c r="O66" s="229">
        <v>4123</v>
      </c>
      <c r="P66" s="88"/>
      <c r="Q66" s="4"/>
      <c r="R66" s="4"/>
      <c r="S66" s="4"/>
      <c r="T66" s="4"/>
    </row>
    <row r="67" spans="1:20" ht="30" customHeight="1">
      <c r="A67" s="12"/>
      <c r="B67" s="4"/>
      <c r="C67" s="4"/>
      <c r="D67" s="4"/>
      <c r="E67" s="71" t="s">
        <v>154</v>
      </c>
      <c r="F67" s="84">
        <v>105144</v>
      </c>
      <c r="G67" s="84">
        <v>83747</v>
      </c>
      <c r="H67" s="84">
        <v>29101</v>
      </c>
      <c r="I67" s="84">
        <v>50844</v>
      </c>
      <c r="J67" s="84">
        <v>139345</v>
      </c>
      <c r="K67" s="84">
        <v>175700</v>
      </c>
      <c r="L67" s="84">
        <v>177170</v>
      </c>
      <c r="M67" s="84">
        <v>207720</v>
      </c>
      <c r="N67" s="84">
        <v>428469</v>
      </c>
      <c r="O67" s="234">
        <v>770594</v>
      </c>
      <c r="P67" s="88"/>
      <c r="Q67" s="4"/>
      <c r="R67" s="4"/>
      <c r="S67" s="4"/>
      <c r="T67" s="4"/>
    </row>
    <row r="68" spans="1:20" ht="30" customHeight="1">
      <c r="A68" s="12"/>
      <c r="B68" s="4"/>
      <c r="C68" s="4"/>
      <c r="D68" s="4"/>
      <c r="E68" s="71" t="s">
        <v>205</v>
      </c>
      <c r="F68" s="84">
        <v>0</v>
      </c>
      <c r="G68" s="84">
        <v>0</v>
      </c>
      <c r="H68" s="84">
        <v>0</v>
      </c>
      <c r="I68" s="84">
        <v>0</v>
      </c>
      <c r="J68" s="84">
        <v>0</v>
      </c>
      <c r="K68" s="84">
        <v>0</v>
      </c>
      <c r="L68" s="84">
        <v>0</v>
      </c>
      <c r="M68" s="84">
        <v>0</v>
      </c>
      <c r="N68" s="84">
        <v>130606</v>
      </c>
      <c r="O68" s="229">
        <v>0</v>
      </c>
      <c r="P68" s="88"/>
      <c r="Q68" s="4"/>
      <c r="R68" s="4"/>
      <c r="S68" s="4"/>
      <c r="T68" s="4"/>
    </row>
    <row r="69" spans="1:20" ht="30" customHeight="1">
      <c r="A69" s="12"/>
      <c r="B69" s="4"/>
      <c r="C69" s="4"/>
      <c r="D69" s="4"/>
      <c r="E69" s="71" t="s">
        <v>150</v>
      </c>
      <c r="F69" s="84">
        <v>0</v>
      </c>
      <c r="G69" s="84">
        <v>0</v>
      </c>
      <c r="H69" s="84">
        <v>1782</v>
      </c>
      <c r="I69" s="84">
        <v>553</v>
      </c>
      <c r="J69" s="84">
        <v>246</v>
      </c>
      <c r="K69" s="84">
        <v>3056</v>
      </c>
      <c r="L69" s="240">
        <v>550</v>
      </c>
      <c r="M69" s="241">
        <v>453</v>
      </c>
      <c r="N69" s="241">
        <v>499</v>
      </c>
      <c r="O69" s="229">
        <v>396</v>
      </c>
      <c r="P69" s="88"/>
      <c r="Q69" s="4"/>
      <c r="R69" s="4"/>
      <c r="S69" s="4"/>
      <c r="T69" s="4"/>
    </row>
    <row r="70" spans="1:20" ht="30" customHeight="1">
      <c r="A70" s="12"/>
      <c r="B70" s="4"/>
      <c r="C70" s="4"/>
      <c r="D70" s="4"/>
      <c r="E70" s="71" t="s">
        <v>155</v>
      </c>
      <c r="F70" s="84">
        <v>84748</v>
      </c>
      <c r="G70" s="84">
        <v>120374</v>
      </c>
      <c r="H70" s="84">
        <v>151377</v>
      </c>
      <c r="I70" s="84">
        <v>167680</v>
      </c>
      <c r="J70" s="84">
        <v>175475</v>
      </c>
      <c r="K70" s="84">
        <v>173845</v>
      </c>
      <c r="L70" s="240">
        <v>376150</v>
      </c>
      <c r="M70" s="241">
        <v>420724</v>
      </c>
      <c r="N70" s="241">
        <v>289150</v>
      </c>
      <c r="O70" s="229">
        <v>345263</v>
      </c>
      <c r="P70" s="88"/>
      <c r="Q70" s="4"/>
      <c r="R70" s="4"/>
      <c r="S70" s="4"/>
      <c r="T70" s="4"/>
    </row>
    <row r="71" spans="1:20" ht="30" customHeight="1">
      <c r="A71" s="12"/>
      <c r="B71" s="4"/>
      <c r="C71" s="4"/>
      <c r="D71" s="4"/>
      <c r="E71" s="71" t="s">
        <v>341</v>
      </c>
      <c r="F71" s="84"/>
      <c r="G71" s="84"/>
      <c r="H71" s="84"/>
      <c r="I71" s="84"/>
      <c r="J71" s="84"/>
      <c r="K71" s="84"/>
      <c r="L71" s="84"/>
      <c r="M71" s="84"/>
      <c r="N71" s="84">
        <v>153852</v>
      </c>
      <c r="O71" s="84">
        <v>233654</v>
      </c>
      <c r="P71" s="88"/>
      <c r="Q71" s="4"/>
      <c r="R71" s="4"/>
      <c r="S71" s="4"/>
      <c r="T71" s="4"/>
    </row>
    <row r="72" spans="1:20" ht="30" customHeight="1">
      <c r="A72" s="12"/>
      <c r="B72" s="4"/>
      <c r="C72" s="4"/>
      <c r="D72" s="4"/>
      <c r="E72" s="71" t="s">
        <v>206</v>
      </c>
      <c r="F72" s="84">
        <v>0</v>
      </c>
      <c r="G72" s="84">
        <v>0</v>
      </c>
      <c r="H72" s="84">
        <v>0</v>
      </c>
      <c r="I72" s="84">
        <v>0</v>
      </c>
      <c r="J72" s="84">
        <v>0</v>
      </c>
      <c r="K72" s="84">
        <v>0</v>
      </c>
      <c r="L72" s="84">
        <v>0</v>
      </c>
      <c r="M72" s="84">
        <v>0</v>
      </c>
      <c r="N72" s="84">
        <v>0</v>
      </c>
      <c r="O72" s="84">
        <v>0</v>
      </c>
      <c r="P72" s="88"/>
      <c r="Q72" s="4"/>
      <c r="R72" s="4"/>
      <c r="S72" s="4"/>
      <c r="T72" s="4"/>
    </row>
    <row r="73" spans="1:20" ht="30" customHeight="1">
      <c r="A73" s="12"/>
      <c r="B73" s="4"/>
      <c r="C73" s="4"/>
      <c r="D73" s="4"/>
      <c r="E73" s="70" t="s">
        <v>2</v>
      </c>
      <c r="F73" s="204">
        <f t="shared" ref="F73:N73" si="12">SUM(F74:F88)</f>
        <v>4548996</v>
      </c>
      <c r="G73" s="204">
        <f t="shared" si="12"/>
        <v>5308482</v>
      </c>
      <c r="H73" s="204">
        <f t="shared" si="12"/>
        <v>5065232</v>
      </c>
      <c r="I73" s="204">
        <f t="shared" si="12"/>
        <v>7181916</v>
      </c>
      <c r="J73" s="204">
        <f t="shared" si="12"/>
        <v>10589977</v>
      </c>
      <c r="K73" s="204">
        <f t="shared" si="12"/>
        <v>13209303</v>
      </c>
      <c r="L73" s="204">
        <f t="shared" si="12"/>
        <v>16813540</v>
      </c>
      <c r="M73" s="204">
        <f t="shared" si="12"/>
        <v>35006600</v>
      </c>
      <c r="N73" s="204">
        <f t="shared" si="12"/>
        <v>42117896</v>
      </c>
      <c r="O73" s="204">
        <f t="shared" ref="O73" si="13">SUM(O74:O88)</f>
        <v>44595556</v>
      </c>
      <c r="P73" s="88"/>
      <c r="Q73" s="4"/>
      <c r="R73" s="4"/>
      <c r="S73" s="4"/>
      <c r="T73" s="4"/>
    </row>
    <row r="74" spans="1:20" ht="30" customHeight="1">
      <c r="A74" s="12"/>
      <c r="B74" s="4"/>
      <c r="C74" s="4"/>
      <c r="D74" s="4"/>
      <c r="E74" s="71" t="s">
        <v>149</v>
      </c>
      <c r="F74" s="84">
        <v>2734029</v>
      </c>
      <c r="G74" s="84">
        <v>3213632</v>
      </c>
      <c r="H74" s="84">
        <v>2957220</v>
      </c>
      <c r="I74" s="84">
        <v>4809871</v>
      </c>
      <c r="J74" s="84">
        <v>7092551</v>
      </c>
      <c r="K74" s="84">
        <v>7050051</v>
      </c>
      <c r="L74" s="242">
        <v>9046647</v>
      </c>
      <c r="M74" s="84">
        <v>17962499</v>
      </c>
      <c r="N74" s="84">
        <v>15397022</v>
      </c>
      <c r="O74" s="233">
        <v>17095761</v>
      </c>
      <c r="P74" s="88"/>
      <c r="Q74" s="4"/>
      <c r="R74" s="4"/>
      <c r="S74" s="4"/>
      <c r="T74" s="4"/>
    </row>
    <row r="75" spans="1:20" ht="30" customHeight="1">
      <c r="A75" s="12"/>
      <c r="B75" s="4"/>
      <c r="C75" s="4"/>
      <c r="D75" s="4"/>
      <c r="E75" s="71" t="s">
        <v>201</v>
      </c>
      <c r="F75" s="84">
        <v>1264377</v>
      </c>
      <c r="G75" s="84">
        <v>1487751</v>
      </c>
      <c r="H75" s="84">
        <v>1406375</v>
      </c>
      <c r="I75" s="84">
        <v>1731065</v>
      </c>
      <c r="J75" s="84">
        <v>2687075</v>
      </c>
      <c r="K75" s="84">
        <v>4676855</v>
      </c>
      <c r="L75" s="84">
        <v>5968161</v>
      </c>
      <c r="M75" s="242">
        <v>13874041</v>
      </c>
      <c r="N75" s="242">
        <v>18714687</v>
      </c>
      <c r="O75" s="233">
        <v>18890792</v>
      </c>
      <c r="P75" s="88"/>
      <c r="Q75" s="4"/>
      <c r="R75" s="4"/>
      <c r="S75" s="4"/>
      <c r="T75" s="4"/>
    </row>
    <row r="76" spans="1:20" ht="30" customHeight="1">
      <c r="A76" s="12"/>
      <c r="B76" s="4"/>
      <c r="C76" s="4"/>
      <c r="D76" s="4"/>
      <c r="E76" s="71" t="s">
        <v>202</v>
      </c>
      <c r="F76" s="84">
        <v>139933</v>
      </c>
      <c r="G76" s="84">
        <v>193606</v>
      </c>
      <c r="H76" s="84">
        <v>189017</v>
      </c>
      <c r="I76" s="84">
        <v>70448</v>
      </c>
      <c r="J76" s="84">
        <v>151512</v>
      </c>
      <c r="K76" s="84">
        <v>260762</v>
      </c>
      <c r="L76" s="84">
        <v>182314</v>
      </c>
      <c r="M76" s="84">
        <v>137126</v>
      </c>
      <c r="N76" s="84">
        <v>161623</v>
      </c>
      <c r="O76" s="84">
        <v>154207</v>
      </c>
      <c r="P76" s="88"/>
      <c r="Q76" s="4"/>
      <c r="R76" s="4"/>
      <c r="S76" s="4"/>
      <c r="T76" s="4"/>
    </row>
    <row r="77" spans="1:20" ht="30" customHeight="1">
      <c r="A77" s="12"/>
      <c r="B77" s="4"/>
      <c r="C77" s="4"/>
      <c r="D77" s="4"/>
      <c r="E77" s="71" t="s">
        <v>203</v>
      </c>
      <c r="F77" s="84">
        <v>0</v>
      </c>
      <c r="G77" s="84">
        <v>0</v>
      </c>
      <c r="H77" s="84">
        <v>0</v>
      </c>
      <c r="I77" s="84">
        <v>0</v>
      </c>
      <c r="J77" s="84">
        <v>0</v>
      </c>
      <c r="K77" s="84">
        <v>403831</v>
      </c>
      <c r="L77" s="84">
        <v>390965</v>
      </c>
      <c r="M77" s="84">
        <v>660011</v>
      </c>
      <c r="N77" s="84">
        <v>1399556</v>
      </c>
      <c r="O77" s="84">
        <v>1429059</v>
      </c>
      <c r="P77" s="88"/>
      <c r="Q77" s="4"/>
      <c r="R77" s="4"/>
      <c r="S77" s="4"/>
      <c r="T77" s="4"/>
    </row>
    <row r="78" spans="1:20" ht="30" customHeight="1">
      <c r="A78" s="12"/>
      <c r="B78" s="4"/>
      <c r="C78" s="4"/>
      <c r="D78" s="4"/>
      <c r="E78" s="71" t="s">
        <v>195</v>
      </c>
      <c r="F78" s="84">
        <v>3188</v>
      </c>
      <c r="G78" s="84">
        <v>0</v>
      </c>
      <c r="H78" s="84">
        <v>12223</v>
      </c>
      <c r="I78" s="84">
        <v>0</v>
      </c>
      <c r="J78" s="84">
        <v>0</v>
      </c>
      <c r="K78" s="84">
        <v>0</v>
      </c>
      <c r="L78" s="84">
        <v>0</v>
      </c>
      <c r="M78" s="84">
        <v>409000</v>
      </c>
      <c r="N78" s="84">
        <v>2670500</v>
      </c>
      <c r="O78" s="84">
        <v>1889413</v>
      </c>
      <c r="P78" s="88"/>
      <c r="Q78" s="4"/>
      <c r="R78" s="4"/>
      <c r="S78" s="4"/>
      <c r="T78" s="4"/>
    </row>
    <row r="79" spans="1:20" ht="30" customHeight="1">
      <c r="A79" s="12"/>
      <c r="B79" s="4"/>
      <c r="C79" s="4"/>
      <c r="D79" s="4"/>
      <c r="E79" s="71" t="s">
        <v>150</v>
      </c>
      <c r="F79" s="84">
        <v>525</v>
      </c>
      <c r="G79" s="84">
        <v>1017</v>
      </c>
      <c r="H79" s="84">
        <v>0</v>
      </c>
      <c r="I79" s="84">
        <v>0</v>
      </c>
      <c r="J79" s="84">
        <v>0</v>
      </c>
      <c r="K79" s="84">
        <v>0</v>
      </c>
      <c r="L79" s="84">
        <v>528</v>
      </c>
      <c r="M79" s="84">
        <v>528</v>
      </c>
      <c r="N79" s="84">
        <v>28047</v>
      </c>
      <c r="O79" s="84">
        <v>25554</v>
      </c>
      <c r="P79" s="88"/>
      <c r="Q79" s="4"/>
      <c r="R79" s="4"/>
      <c r="S79" s="4"/>
      <c r="T79" s="4"/>
    </row>
    <row r="80" spans="1:20" ht="30" customHeight="1">
      <c r="A80" s="12"/>
      <c r="B80" s="4"/>
      <c r="C80" s="4"/>
      <c r="D80" s="4"/>
      <c r="E80" s="71" t="s">
        <v>151</v>
      </c>
      <c r="F80" s="84">
        <v>0</v>
      </c>
      <c r="G80" s="84">
        <v>0</v>
      </c>
      <c r="H80" s="84">
        <v>0</v>
      </c>
      <c r="I80" s="84">
        <v>24171</v>
      </c>
      <c r="J80" s="84">
        <v>16761</v>
      </c>
      <c r="K80" s="84">
        <v>12085</v>
      </c>
      <c r="L80" s="84">
        <v>6043</v>
      </c>
      <c r="M80" s="84">
        <v>0</v>
      </c>
      <c r="N80" s="84">
        <v>1318613</v>
      </c>
      <c r="O80" s="84">
        <v>1634679</v>
      </c>
      <c r="P80" s="88"/>
      <c r="Q80" s="4"/>
      <c r="R80" s="4"/>
      <c r="S80" s="4"/>
      <c r="T80" s="4"/>
    </row>
    <row r="81" spans="1:20" ht="30" customHeight="1">
      <c r="A81" s="12"/>
      <c r="B81" s="4"/>
      <c r="C81" s="4"/>
      <c r="D81" s="4"/>
      <c r="E81" s="71" t="s">
        <v>153</v>
      </c>
      <c r="F81" s="84">
        <v>2021</v>
      </c>
      <c r="G81" s="84">
        <v>1805</v>
      </c>
      <c r="H81" s="84">
        <v>2701</v>
      </c>
      <c r="I81" s="84">
        <v>1705</v>
      </c>
      <c r="J81" s="84">
        <v>1103</v>
      </c>
      <c r="K81" s="84">
        <v>1095</v>
      </c>
      <c r="L81" s="84">
        <v>15992</v>
      </c>
      <c r="M81" s="84">
        <v>26995</v>
      </c>
      <c r="N81" s="84">
        <v>32945</v>
      </c>
      <c r="O81" s="84">
        <v>36742</v>
      </c>
      <c r="P81" s="88"/>
      <c r="Q81" s="4"/>
      <c r="R81" s="4"/>
      <c r="S81" s="4"/>
      <c r="T81" s="4"/>
    </row>
    <row r="82" spans="1:20" ht="30" customHeight="1">
      <c r="A82" s="12"/>
      <c r="B82" s="4"/>
      <c r="C82" s="4"/>
      <c r="D82" s="4"/>
      <c r="E82" s="71" t="s">
        <v>156</v>
      </c>
      <c r="F82" s="84">
        <v>45131</v>
      </c>
      <c r="G82" s="84">
        <v>43354</v>
      </c>
      <c r="H82" s="84">
        <v>73712</v>
      </c>
      <c r="I82" s="84">
        <v>71463</v>
      </c>
      <c r="J82" s="84">
        <v>75563</v>
      </c>
      <c r="K82" s="84">
        <v>67829</v>
      </c>
      <c r="L82" s="84">
        <v>181865</v>
      </c>
      <c r="M82" s="84">
        <v>356544</v>
      </c>
      <c r="N82" s="84">
        <v>415333</v>
      </c>
      <c r="O82" s="84">
        <v>799967</v>
      </c>
      <c r="P82" s="88"/>
      <c r="Q82" s="4"/>
      <c r="R82" s="4"/>
      <c r="S82" s="4"/>
      <c r="T82" s="4"/>
    </row>
    <row r="83" spans="1:20" ht="30" customHeight="1">
      <c r="A83" s="12"/>
      <c r="B83" s="4"/>
      <c r="C83" s="4"/>
      <c r="D83" s="4"/>
      <c r="E83" s="71" t="s">
        <v>11</v>
      </c>
      <c r="F83" s="84">
        <v>254860</v>
      </c>
      <c r="G83" s="84">
        <v>269451</v>
      </c>
      <c r="H83" s="84">
        <v>197088</v>
      </c>
      <c r="I83" s="84">
        <v>288893</v>
      </c>
      <c r="J83" s="84">
        <v>361234</v>
      </c>
      <c r="K83" s="84">
        <v>574120</v>
      </c>
      <c r="L83" s="84">
        <v>621467</v>
      </c>
      <c r="M83" s="84">
        <v>1038582</v>
      </c>
      <c r="N83" s="84">
        <v>1205986</v>
      </c>
      <c r="O83" s="84">
        <v>1513034</v>
      </c>
      <c r="P83" s="88"/>
      <c r="Q83" s="4"/>
      <c r="R83" s="4"/>
      <c r="S83" s="4"/>
      <c r="T83" s="4"/>
    </row>
    <row r="84" spans="1:20" ht="30" customHeight="1">
      <c r="A84" s="12"/>
      <c r="B84" s="4"/>
      <c r="C84" s="4"/>
      <c r="D84" s="4"/>
      <c r="E84" s="71" t="s">
        <v>207</v>
      </c>
      <c r="F84" s="84">
        <v>0</v>
      </c>
      <c r="G84" s="84">
        <v>0</v>
      </c>
      <c r="H84" s="84">
        <v>0</v>
      </c>
      <c r="I84" s="84">
        <v>0</v>
      </c>
      <c r="J84" s="84">
        <v>0</v>
      </c>
      <c r="K84" s="84">
        <v>93077</v>
      </c>
      <c r="L84" s="84">
        <v>0</v>
      </c>
      <c r="M84" s="84">
        <v>0</v>
      </c>
      <c r="N84" s="84">
        <v>641975</v>
      </c>
      <c r="O84" s="84">
        <v>978671</v>
      </c>
      <c r="P84" s="88"/>
      <c r="Q84" s="4"/>
      <c r="R84" s="4"/>
      <c r="S84" s="4"/>
      <c r="T84" s="4"/>
    </row>
    <row r="85" spans="1:20" ht="30" customHeight="1">
      <c r="A85" s="12"/>
      <c r="B85" s="4"/>
      <c r="C85" s="4"/>
      <c r="D85" s="4"/>
      <c r="E85" s="264" t="s">
        <v>208</v>
      </c>
      <c r="F85" s="84">
        <v>0</v>
      </c>
      <c r="G85" s="84">
        <v>0</v>
      </c>
      <c r="H85" s="84">
        <v>0</v>
      </c>
      <c r="I85" s="84">
        <v>0</v>
      </c>
      <c r="J85" s="84">
        <v>0</v>
      </c>
      <c r="K85" s="84">
        <v>0</v>
      </c>
      <c r="L85" s="265" t="s">
        <v>22</v>
      </c>
      <c r="M85" s="265">
        <v>105024</v>
      </c>
      <c r="N85" s="265">
        <v>9693</v>
      </c>
      <c r="O85" s="265">
        <v>11168</v>
      </c>
      <c r="P85" s="88"/>
      <c r="Q85" s="4"/>
      <c r="R85" s="4"/>
      <c r="S85" s="4"/>
      <c r="T85" s="4"/>
    </row>
    <row r="86" spans="1:20" ht="30" customHeight="1">
      <c r="A86" s="12"/>
      <c r="B86" s="4"/>
      <c r="C86" s="4"/>
      <c r="D86" s="4"/>
      <c r="E86" s="264" t="s">
        <v>164</v>
      </c>
      <c r="F86" s="84"/>
      <c r="G86" s="84"/>
      <c r="H86" s="84"/>
      <c r="I86" s="84"/>
      <c r="J86" s="84"/>
      <c r="K86" s="84"/>
      <c r="L86" s="265"/>
      <c r="M86" s="265"/>
      <c r="N86" s="265"/>
      <c r="O86" s="265">
        <v>14285</v>
      </c>
      <c r="P86" s="88"/>
      <c r="Q86" s="4"/>
      <c r="R86" s="4"/>
      <c r="S86" s="4"/>
      <c r="T86" s="4"/>
    </row>
    <row r="87" spans="1:20" ht="30" customHeight="1">
      <c r="A87" s="12"/>
      <c r="B87" s="4"/>
      <c r="C87" s="4"/>
      <c r="D87" s="4"/>
      <c r="E87" s="71" t="s">
        <v>209</v>
      </c>
      <c r="F87" s="84">
        <v>0</v>
      </c>
      <c r="G87" s="84">
        <v>0</v>
      </c>
      <c r="H87" s="84">
        <v>0</v>
      </c>
      <c r="I87" s="84">
        <v>0</v>
      </c>
      <c r="J87" s="84">
        <v>0</v>
      </c>
      <c r="K87" s="84">
        <v>0</v>
      </c>
      <c r="L87" s="84">
        <v>0</v>
      </c>
      <c r="M87" s="84">
        <v>0</v>
      </c>
      <c r="N87" s="84">
        <v>0</v>
      </c>
      <c r="O87" s="84">
        <v>0</v>
      </c>
      <c r="P87" s="88"/>
      <c r="Q87" s="4"/>
      <c r="R87" s="4"/>
      <c r="S87" s="4"/>
      <c r="T87" s="4"/>
    </row>
    <row r="88" spans="1:20" ht="30" customHeight="1">
      <c r="A88" s="12"/>
      <c r="B88" s="4"/>
      <c r="C88" s="4"/>
      <c r="D88" s="4"/>
      <c r="E88" s="71" t="s">
        <v>155</v>
      </c>
      <c r="F88" s="84">
        <v>104932</v>
      </c>
      <c r="G88" s="84">
        <v>97866</v>
      </c>
      <c r="H88" s="84">
        <v>226896</v>
      </c>
      <c r="I88" s="84">
        <v>184300</v>
      </c>
      <c r="J88" s="84">
        <v>204178</v>
      </c>
      <c r="K88" s="84">
        <v>69598</v>
      </c>
      <c r="L88" s="84">
        <v>399558</v>
      </c>
      <c r="M88" s="84">
        <v>436250</v>
      </c>
      <c r="N88" s="84">
        <v>121916</v>
      </c>
      <c r="O88" s="84">
        <v>122224</v>
      </c>
      <c r="P88" s="88"/>
      <c r="Q88" s="4"/>
      <c r="R88" s="4"/>
      <c r="S88" s="4"/>
      <c r="T88" s="4"/>
    </row>
    <row r="89" spans="1:20" ht="30" customHeight="1">
      <c r="A89" s="12"/>
      <c r="B89" s="4"/>
      <c r="C89" s="4"/>
      <c r="D89" s="4"/>
      <c r="E89" s="69" t="s">
        <v>3</v>
      </c>
      <c r="F89" s="40">
        <f t="shared" ref="F89:N89" si="14">SUM(F90:F98)</f>
        <v>1044879</v>
      </c>
      <c r="G89" s="40">
        <f t="shared" si="14"/>
        <v>1019873</v>
      </c>
      <c r="H89" s="40">
        <f t="shared" si="14"/>
        <v>608989</v>
      </c>
      <c r="I89" s="40">
        <f t="shared" si="14"/>
        <v>1189320</v>
      </c>
      <c r="J89" s="40">
        <f t="shared" si="14"/>
        <v>1248499</v>
      </c>
      <c r="K89" s="40">
        <f t="shared" si="14"/>
        <v>2379963</v>
      </c>
      <c r="L89" s="40">
        <f t="shared" si="14"/>
        <v>3223850</v>
      </c>
      <c r="M89" s="40">
        <f t="shared" si="14"/>
        <v>5824260</v>
      </c>
      <c r="N89" s="40">
        <f t="shared" si="14"/>
        <v>5581753</v>
      </c>
      <c r="O89" s="40">
        <f t="shared" ref="O89" si="15">SUM(O90:O98)</f>
        <v>6951450</v>
      </c>
      <c r="P89" s="88"/>
      <c r="Q89" s="4"/>
      <c r="R89" s="4"/>
      <c r="S89" s="4"/>
      <c r="T89" s="4"/>
    </row>
    <row r="90" spans="1:20" ht="30" customHeight="1">
      <c r="A90" s="12"/>
      <c r="B90" s="4"/>
      <c r="C90" s="4"/>
      <c r="D90" s="4"/>
      <c r="E90" s="71" t="s">
        <v>158</v>
      </c>
      <c r="F90" s="84">
        <v>660495</v>
      </c>
      <c r="G90" s="84">
        <v>660395</v>
      </c>
      <c r="H90" s="84">
        <v>660395</v>
      </c>
      <c r="I90" s="84">
        <v>660395</v>
      </c>
      <c r="J90" s="84">
        <v>681202</v>
      </c>
      <c r="K90" s="84">
        <v>695069</v>
      </c>
      <c r="L90" s="84">
        <v>713975</v>
      </c>
      <c r="M90" s="84">
        <v>1164330</v>
      </c>
      <c r="N90" s="84">
        <v>1174362</v>
      </c>
      <c r="O90" s="84">
        <v>1174362</v>
      </c>
      <c r="P90" s="88"/>
      <c r="Q90" s="4"/>
      <c r="R90" s="4"/>
      <c r="S90" s="4"/>
      <c r="T90" s="4"/>
    </row>
    <row r="91" spans="1:20" ht="30" customHeight="1">
      <c r="A91" s="12"/>
      <c r="B91" s="4"/>
      <c r="C91" s="4"/>
      <c r="D91" s="4"/>
      <c r="E91" s="71" t="s">
        <v>210</v>
      </c>
      <c r="F91" s="84">
        <v>6196</v>
      </c>
      <c r="G91" s="84">
        <v>8789</v>
      </c>
      <c r="H91" s="84">
        <v>14060</v>
      </c>
      <c r="I91" s="84">
        <v>21961</v>
      </c>
      <c r="J91" s="84">
        <v>33731</v>
      </c>
      <c r="K91" s="84">
        <v>50951</v>
      </c>
      <c r="L91" s="84">
        <v>575114</v>
      </c>
      <c r="M91" s="84">
        <v>1633343</v>
      </c>
      <c r="N91" s="84">
        <v>1903189</v>
      </c>
      <c r="O91" s="84">
        <v>2252861</v>
      </c>
      <c r="P91" s="88"/>
      <c r="Q91" s="4"/>
      <c r="R91" s="4"/>
      <c r="S91" s="4"/>
      <c r="T91" s="4"/>
    </row>
    <row r="92" spans="1:20" ht="30" customHeight="1">
      <c r="A92" s="12"/>
      <c r="B92" s="4"/>
      <c r="C92" s="4"/>
      <c r="D92" s="4"/>
      <c r="E92" s="71" t="s">
        <v>211</v>
      </c>
      <c r="F92" s="84">
        <v>-53509</v>
      </c>
      <c r="G92" s="84">
        <v>-54133</v>
      </c>
      <c r="H92" s="84">
        <v>-3741</v>
      </c>
      <c r="I92" s="84">
        <v>-460</v>
      </c>
      <c r="J92" s="84">
        <v>-103925</v>
      </c>
      <c r="K92" s="84">
        <v>-460</v>
      </c>
      <c r="L92" s="84">
        <v>-10503</v>
      </c>
      <c r="M92" s="84">
        <v>-151633</v>
      </c>
      <c r="N92" s="84">
        <v>-148114</v>
      </c>
      <c r="O92" s="84">
        <v>-151047</v>
      </c>
      <c r="P92" s="88"/>
      <c r="Q92" s="4"/>
      <c r="R92" s="4"/>
      <c r="S92" s="4"/>
      <c r="T92" s="4"/>
    </row>
    <row r="93" spans="1:20" ht="30" customHeight="1">
      <c r="A93" s="12"/>
      <c r="B93" s="4"/>
      <c r="C93" s="4"/>
      <c r="D93" s="4"/>
      <c r="E93" s="71" t="s">
        <v>157</v>
      </c>
      <c r="F93" s="84">
        <v>424344</v>
      </c>
      <c r="G93" s="84">
        <v>400167</v>
      </c>
      <c r="H93" s="84">
        <v>0</v>
      </c>
      <c r="I93" s="84">
        <v>0</v>
      </c>
      <c r="J93" s="84">
        <v>17841</v>
      </c>
      <c r="K93" s="84">
        <v>159121</v>
      </c>
      <c r="L93" s="84">
        <v>262336</v>
      </c>
      <c r="M93" s="84">
        <v>877940</v>
      </c>
      <c r="N93" s="84">
        <v>925757</v>
      </c>
      <c r="O93" s="84">
        <v>807761</v>
      </c>
      <c r="P93" s="88"/>
      <c r="Q93" s="4"/>
      <c r="R93" s="4"/>
      <c r="S93" s="4"/>
      <c r="T93" s="4"/>
    </row>
    <row r="94" spans="1:20" ht="30" customHeight="1">
      <c r="A94" s="12"/>
      <c r="B94" s="4"/>
      <c r="C94" s="4"/>
      <c r="D94" s="4"/>
      <c r="E94" s="71" t="s">
        <v>215</v>
      </c>
      <c r="F94" s="84">
        <v>0</v>
      </c>
      <c r="G94" s="84">
        <v>0</v>
      </c>
      <c r="H94" s="84">
        <v>-66359</v>
      </c>
      <c r="I94" s="84">
        <v>-72329</v>
      </c>
      <c r="J94" s="84">
        <v>0</v>
      </c>
      <c r="K94" s="84">
        <v>0</v>
      </c>
      <c r="L94" s="84">
        <v>0</v>
      </c>
      <c r="M94" s="84">
        <v>0</v>
      </c>
      <c r="N94" s="84">
        <v>0</v>
      </c>
      <c r="O94" s="84">
        <v>0</v>
      </c>
      <c r="P94" s="88"/>
      <c r="Q94" s="4"/>
      <c r="R94" s="4"/>
      <c r="S94" s="4"/>
      <c r="T94" s="4"/>
    </row>
    <row r="95" spans="1:20" ht="30" customHeight="1">
      <c r="A95" s="12"/>
      <c r="B95" s="4"/>
      <c r="C95" s="4"/>
      <c r="D95" s="4"/>
      <c r="E95" s="71" t="s">
        <v>160</v>
      </c>
      <c r="F95" s="84">
        <v>0</v>
      </c>
      <c r="G95" s="84">
        <v>0</v>
      </c>
      <c r="H95" s="84">
        <v>0</v>
      </c>
      <c r="I95" s="84">
        <v>-5400</v>
      </c>
      <c r="J95" s="84">
        <v>-8273</v>
      </c>
      <c r="K95" s="84">
        <v>158635</v>
      </c>
      <c r="L95" s="84">
        <v>2103</v>
      </c>
      <c r="M95" s="84">
        <v>-255956</v>
      </c>
      <c r="N95" s="84">
        <v>-769101</v>
      </c>
      <c r="O95" s="84">
        <v>-807191</v>
      </c>
      <c r="P95" s="88"/>
      <c r="Q95" s="4"/>
      <c r="R95" s="4"/>
      <c r="S95" s="4"/>
      <c r="T95" s="4"/>
    </row>
    <row r="96" spans="1:20" ht="30" customHeight="1">
      <c r="A96" s="12"/>
      <c r="B96" s="4"/>
      <c r="C96" s="4"/>
      <c r="D96" s="4"/>
      <c r="E96" s="71" t="s">
        <v>212</v>
      </c>
      <c r="F96" s="84">
        <v>7327</v>
      </c>
      <c r="G96" s="84">
        <v>4634</v>
      </c>
      <c r="H96" s="84">
        <v>4634</v>
      </c>
      <c r="I96" s="84">
        <v>82621</v>
      </c>
      <c r="J96" s="84">
        <v>132569</v>
      </c>
      <c r="K96" s="84">
        <v>286760</v>
      </c>
      <c r="L96" s="84">
        <v>470044</v>
      </c>
      <c r="M96" s="84">
        <v>517257</v>
      </c>
      <c r="N96" s="84">
        <v>517257</v>
      </c>
      <c r="O96" s="84">
        <v>534968</v>
      </c>
      <c r="P96" s="88"/>
      <c r="Q96" s="4"/>
      <c r="R96" s="4"/>
      <c r="S96" s="4"/>
      <c r="T96" s="4"/>
    </row>
    <row r="97" spans="1:20" ht="30" customHeight="1">
      <c r="A97" s="12"/>
      <c r="B97" s="4"/>
      <c r="C97" s="4"/>
      <c r="D97" s="4"/>
      <c r="E97" s="71" t="s">
        <v>213</v>
      </c>
      <c r="F97" s="84">
        <v>0</v>
      </c>
      <c r="G97" s="84">
        <v>0</v>
      </c>
      <c r="H97" s="84">
        <v>0</v>
      </c>
      <c r="I97" s="84">
        <v>0</v>
      </c>
      <c r="J97" s="84">
        <v>0</v>
      </c>
      <c r="K97" s="84">
        <v>-3031</v>
      </c>
      <c r="L97" s="84">
        <v>-120471</v>
      </c>
      <c r="M97" s="84">
        <v>-269203</v>
      </c>
      <c r="N97" s="84">
        <v>-721574</v>
      </c>
      <c r="O97" s="84">
        <v>-313146</v>
      </c>
      <c r="P97" s="88"/>
      <c r="Q97" s="4"/>
      <c r="R97" s="4"/>
      <c r="S97" s="4"/>
      <c r="T97" s="4"/>
    </row>
    <row r="98" spans="1:20" ht="30" customHeight="1" thickBot="1">
      <c r="A98" s="12"/>
      <c r="B98" s="4"/>
      <c r="C98" s="4"/>
      <c r="D98" s="4"/>
      <c r="E98" s="71" t="s">
        <v>214</v>
      </c>
      <c r="F98" s="84">
        <v>26</v>
      </c>
      <c r="G98" s="84">
        <v>21</v>
      </c>
      <c r="H98" s="84">
        <v>0</v>
      </c>
      <c r="I98" s="84">
        <v>502532</v>
      </c>
      <c r="J98" s="84">
        <v>495354</v>
      </c>
      <c r="K98" s="84">
        <v>1032918</v>
      </c>
      <c r="L98" s="84">
        <v>1331252</v>
      </c>
      <c r="M98" s="84">
        <v>2308182</v>
      </c>
      <c r="N98" s="84">
        <v>2699977</v>
      </c>
      <c r="O98" s="84">
        <v>3452882</v>
      </c>
      <c r="P98" s="4"/>
      <c r="Q98" s="4"/>
      <c r="R98" s="4"/>
      <c r="S98" s="4"/>
      <c r="T98" s="4"/>
    </row>
    <row r="99" spans="1:20" ht="30" customHeight="1">
      <c r="A99" s="12"/>
      <c r="B99" s="4"/>
      <c r="C99" s="4"/>
      <c r="D99" s="4"/>
      <c r="E99" s="178"/>
      <c r="F99" s="178"/>
      <c r="G99" s="178"/>
      <c r="H99" s="178"/>
      <c r="I99" s="178"/>
      <c r="J99" s="178"/>
      <c r="K99" s="178"/>
      <c r="L99" s="178"/>
      <c r="M99" s="178"/>
      <c r="N99" s="178"/>
      <c r="O99" s="178"/>
      <c r="P99" s="4"/>
      <c r="Q99" s="4"/>
      <c r="R99" s="4"/>
      <c r="S99" s="4"/>
      <c r="T99" s="4"/>
    </row>
    <row r="100" spans="1:20" ht="30" customHeight="1">
      <c r="A100" s="12"/>
      <c r="B100" s="4"/>
      <c r="C100" s="4"/>
      <c r="D100" s="4"/>
      <c r="E100" s="4"/>
      <c r="F100" s="4"/>
      <c r="G100" s="4"/>
      <c r="H100" s="4"/>
      <c r="I100" s="4"/>
      <c r="J100" s="4"/>
      <c r="K100" s="4"/>
      <c r="L100" s="4"/>
      <c r="M100" s="4"/>
      <c r="N100" s="4"/>
      <c r="O100" s="4"/>
      <c r="P100" s="4"/>
      <c r="Q100" s="4"/>
      <c r="R100" s="4"/>
      <c r="S100" s="4"/>
      <c r="T100" s="4"/>
    </row>
    <row r="101" spans="1:20" ht="30" customHeight="1">
      <c r="A101" s="12"/>
      <c r="B101" s="4"/>
      <c r="C101" s="4"/>
      <c r="D101" s="4"/>
      <c r="E101" s="4"/>
      <c r="F101" s="4"/>
      <c r="G101" s="4"/>
      <c r="H101" s="4"/>
      <c r="I101" s="4"/>
      <c r="J101" s="4"/>
      <c r="K101" s="4"/>
      <c r="L101" s="4"/>
      <c r="M101" s="4"/>
      <c r="N101" s="4"/>
      <c r="O101" s="4"/>
      <c r="P101" s="4"/>
      <c r="Q101" s="4"/>
      <c r="R101" s="4"/>
      <c r="S101" s="4"/>
      <c r="T101" s="4"/>
    </row>
    <row r="102" spans="1:20" ht="30" customHeight="1">
      <c r="A102" s="12"/>
      <c r="B102" s="4"/>
      <c r="C102" s="4"/>
      <c r="D102" s="4"/>
      <c r="E102" s="4"/>
      <c r="F102" s="4"/>
      <c r="G102" s="4"/>
      <c r="H102" s="4"/>
      <c r="I102" s="4"/>
      <c r="J102" s="4"/>
      <c r="K102" s="4"/>
      <c r="L102" s="4"/>
      <c r="M102" s="4"/>
      <c r="N102" s="4"/>
      <c r="O102" s="4"/>
      <c r="P102" s="4"/>
      <c r="Q102" s="4"/>
      <c r="R102" s="4"/>
      <c r="S102" s="4"/>
      <c r="T102" s="4"/>
    </row>
    <row r="103" spans="1:20" ht="30" customHeight="1">
      <c r="A103" s="12"/>
      <c r="B103" s="4"/>
      <c r="C103" s="4"/>
      <c r="D103" s="4"/>
      <c r="E103" s="4"/>
      <c r="F103" s="4"/>
      <c r="G103" s="4"/>
      <c r="H103" s="4"/>
      <c r="I103" s="4"/>
      <c r="J103" s="4"/>
      <c r="K103" s="4"/>
      <c r="L103" s="4"/>
      <c r="M103" s="4"/>
      <c r="N103" s="4"/>
      <c r="O103" s="4"/>
      <c r="P103" s="4"/>
      <c r="Q103" s="4"/>
      <c r="R103" s="4"/>
      <c r="S103" s="4"/>
      <c r="T103" s="4"/>
    </row>
    <row r="104" spans="1:20" ht="30" customHeight="1">
      <c r="A104" s="12"/>
      <c r="B104" s="4"/>
      <c r="C104" s="4"/>
      <c r="D104" s="4"/>
      <c r="E104" s="4"/>
      <c r="F104" s="4"/>
      <c r="G104" s="4"/>
      <c r="H104" s="4"/>
      <c r="I104" s="4"/>
      <c r="J104" s="4"/>
      <c r="K104" s="4"/>
      <c r="L104" s="4"/>
      <c r="M104" s="4"/>
      <c r="N104" s="4"/>
      <c r="O104" s="4"/>
      <c r="P104" s="4"/>
      <c r="Q104" s="4"/>
      <c r="R104" s="4"/>
      <c r="S104" s="4"/>
      <c r="T104" s="4"/>
    </row>
    <row r="105" spans="1:20" ht="30" customHeight="1">
      <c r="A105" s="12"/>
      <c r="B105" s="4"/>
      <c r="C105" s="4"/>
      <c r="D105" s="4"/>
      <c r="E105" s="4"/>
      <c r="F105" s="4"/>
      <c r="G105" s="4"/>
      <c r="H105" s="4"/>
      <c r="I105" s="4"/>
      <c r="J105" s="4"/>
      <c r="K105" s="4"/>
      <c r="L105" s="4"/>
      <c r="M105" s="4"/>
      <c r="N105" s="4"/>
      <c r="O105" s="4"/>
      <c r="P105" s="4"/>
      <c r="Q105" s="4"/>
      <c r="R105" s="4"/>
      <c r="S105" s="4"/>
      <c r="T105" s="4"/>
    </row>
    <row r="106" spans="1:20" ht="30" customHeight="1">
      <c r="A106" s="12"/>
      <c r="B106" s="4"/>
      <c r="C106" s="4"/>
      <c r="D106" s="4"/>
      <c r="E106" s="4"/>
      <c r="F106" s="4"/>
      <c r="G106" s="4"/>
      <c r="H106" s="4"/>
      <c r="I106" s="4"/>
      <c r="J106" s="4"/>
      <c r="K106" s="4"/>
      <c r="L106" s="4"/>
      <c r="M106" s="4"/>
      <c r="N106" s="4"/>
      <c r="O106" s="4"/>
      <c r="P106" s="4"/>
      <c r="Q106" s="4"/>
      <c r="R106" s="4"/>
      <c r="S106" s="4"/>
      <c r="T106" s="4"/>
    </row>
    <row r="107" spans="1:20" ht="30" customHeight="1">
      <c r="A107" s="12"/>
      <c r="B107" s="4"/>
      <c r="C107" s="4"/>
      <c r="D107" s="4"/>
      <c r="E107" s="4"/>
      <c r="F107" s="4"/>
      <c r="G107" s="4"/>
      <c r="H107" s="4"/>
      <c r="I107" s="4"/>
      <c r="J107" s="4"/>
      <c r="K107" s="4"/>
      <c r="L107" s="4"/>
      <c r="M107" s="4"/>
      <c r="N107" s="4"/>
      <c r="O107" s="4"/>
      <c r="P107" s="4"/>
      <c r="Q107" s="4"/>
      <c r="R107" s="4"/>
      <c r="S107" s="4"/>
      <c r="T107" s="4"/>
    </row>
    <row r="108" spans="1:20" ht="30" customHeight="1">
      <c r="A108" s="12"/>
      <c r="B108" s="4"/>
      <c r="C108" s="4"/>
      <c r="D108" s="4"/>
      <c r="E108" s="4"/>
      <c r="F108" s="4"/>
      <c r="G108" s="4"/>
      <c r="H108" s="4"/>
      <c r="I108" s="4"/>
      <c r="J108" s="4"/>
      <c r="K108" s="4"/>
      <c r="L108" s="4"/>
      <c r="M108" s="4"/>
      <c r="N108" s="4"/>
      <c r="O108" s="4"/>
      <c r="P108" s="4"/>
      <c r="Q108" s="4"/>
      <c r="R108" s="4"/>
      <c r="S108" s="4"/>
      <c r="T108" s="4"/>
    </row>
    <row r="109" spans="1:20" ht="30" customHeight="1">
      <c r="A109" s="12"/>
      <c r="B109" s="4"/>
      <c r="C109" s="4"/>
      <c r="D109" s="4"/>
      <c r="E109" s="4"/>
      <c r="F109" s="4"/>
      <c r="G109" s="4"/>
      <c r="H109" s="4"/>
      <c r="I109" s="4"/>
      <c r="J109" s="4"/>
      <c r="K109" s="4"/>
      <c r="L109" s="4"/>
      <c r="M109" s="4"/>
      <c r="N109" s="4"/>
      <c r="O109" s="4"/>
      <c r="P109" s="4"/>
      <c r="Q109" s="4"/>
      <c r="R109" s="4"/>
      <c r="S109" s="4"/>
      <c r="T109" s="4"/>
    </row>
    <row r="110" spans="1:20" ht="30" customHeight="1">
      <c r="A110" s="12"/>
      <c r="B110" s="4"/>
      <c r="C110" s="4"/>
      <c r="D110" s="4"/>
      <c r="E110" s="4"/>
      <c r="F110" s="4"/>
      <c r="G110" s="4"/>
      <c r="H110" s="4"/>
      <c r="I110" s="4"/>
      <c r="J110" s="4"/>
      <c r="K110" s="4"/>
      <c r="L110" s="4"/>
      <c r="M110" s="4"/>
      <c r="N110" s="4"/>
      <c r="O110" s="4"/>
      <c r="P110" s="4"/>
      <c r="Q110" s="4"/>
      <c r="R110" s="4"/>
      <c r="S110" s="4"/>
      <c r="T110" s="4"/>
    </row>
    <row r="111" spans="1:20" ht="30" customHeight="1">
      <c r="A111" s="12"/>
      <c r="B111" s="4"/>
      <c r="C111" s="4"/>
      <c r="D111" s="4"/>
      <c r="E111" s="4"/>
      <c r="F111" s="4"/>
      <c r="G111" s="4"/>
      <c r="H111" s="4"/>
      <c r="I111" s="4"/>
      <c r="J111" s="4"/>
      <c r="K111" s="4"/>
      <c r="L111" s="4"/>
      <c r="M111" s="4"/>
      <c r="N111" s="4"/>
      <c r="O111" s="4"/>
      <c r="P111" s="4"/>
      <c r="Q111" s="4"/>
      <c r="R111" s="4"/>
      <c r="S111" s="4"/>
      <c r="T111" s="4"/>
    </row>
    <row r="112" spans="1:20" ht="30" customHeight="1">
      <c r="A112" s="12"/>
      <c r="B112" s="4"/>
      <c r="C112" s="4"/>
      <c r="D112" s="4"/>
      <c r="E112" s="4"/>
      <c r="F112" s="4"/>
      <c r="G112" s="4"/>
      <c r="H112" s="4"/>
      <c r="I112" s="4"/>
      <c r="J112" s="4"/>
      <c r="K112" s="4"/>
      <c r="L112" s="4"/>
      <c r="M112" s="4"/>
      <c r="N112" s="4"/>
      <c r="O112" s="4"/>
      <c r="P112" s="4"/>
      <c r="Q112" s="4"/>
      <c r="R112" s="4"/>
      <c r="S112" s="4"/>
      <c r="T112" s="4"/>
    </row>
    <row r="113" spans="1:20" ht="30" customHeight="1">
      <c r="A113" s="12"/>
      <c r="B113" s="4"/>
      <c r="C113" s="4"/>
      <c r="D113" s="4"/>
      <c r="E113" s="4"/>
      <c r="F113" s="4"/>
      <c r="G113" s="4"/>
      <c r="H113" s="4"/>
      <c r="I113" s="4"/>
      <c r="J113" s="4"/>
      <c r="K113" s="4"/>
      <c r="L113" s="4"/>
      <c r="M113" s="4"/>
      <c r="N113" s="4"/>
      <c r="O113" s="4"/>
      <c r="P113" s="4"/>
      <c r="Q113" s="4"/>
      <c r="R113" s="4"/>
      <c r="S113" s="4"/>
      <c r="T113" s="4"/>
    </row>
    <row r="114" spans="1:20" ht="30" customHeight="1">
      <c r="A114" s="12"/>
      <c r="B114" s="4"/>
      <c r="C114" s="4"/>
      <c r="D114" s="4"/>
      <c r="E114" s="4"/>
      <c r="F114" s="4"/>
      <c r="G114" s="4"/>
      <c r="H114" s="4"/>
      <c r="I114" s="4"/>
      <c r="J114" s="4"/>
      <c r="K114" s="4"/>
      <c r="L114" s="4"/>
      <c r="M114" s="4"/>
      <c r="N114" s="4"/>
      <c r="O114" s="4"/>
      <c r="P114" s="4"/>
      <c r="Q114" s="4"/>
      <c r="R114" s="4"/>
      <c r="S114" s="4"/>
      <c r="T114" s="4"/>
    </row>
    <row r="115" spans="1:20" ht="30" customHeight="1">
      <c r="A115" s="12"/>
      <c r="B115" s="4"/>
      <c r="C115" s="4"/>
      <c r="D115" s="4"/>
      <c r="E115" s="4"/>
      <c r="F115" s="4"/>
      <c r="G115" s="4"/>
      <c r="H115" s="4"/>
      <c r="I115" s="4"/>
      <c r="J115" s="4"/>
      <c r="K115" s="4"/>
      <c r="L115" s="4"/>
      <c r="M115" s="4"/>
      <c r="N115" s="4"/>
      <c r="O115" s="4"/>
      <c r="P115" s="4"/>
      <c r="Q115" s="4"/>
      <c r="R115" s="4"/>
      <c r="S115" s="4"/>
      <c r="T115" s="4"/>
    </row>
    <row r="116" spans="1:20" ht="30" customHeight="1">
      <c r="A116" s="12"/>
      <c r="B116" s="4"/>
      <c r="C116" s="4"/>
      <c r="D116" s="4"/>
      <c r="E116" s="4"/>
      <c r="F116" s="4"/>
      <c r="G116" s="4"/>
      <c r="H116" s="4"/>
      <c r="I116" s="4"/>
      <c r="J116" s="4"/>
      <c r="K116" s="4"/>
      <c r="L116" s="4"/>
      <c r="M116" s="4"/>
      <c r="N116" s="4"/>
      <c r="O116" s="4"/>
      <c r="P116" s="4"/>
      <c r="Q116" s="4"/>
      <c r="R116" s="4"/>
      <c r="S116" s="4"/>
      <c r="T116" s="4"/>
    </row>
    <row r="117" spans="1:20" ht="30" customHeight="1">
      <c r="A117" s="12"/>
      <c r="B117" s="4"/>
      <c r="C117" s="4"/>
      <c r="D117" s="4"/>
      <c r="E117" s="4"/>
      <c r="F117" s="4"/>
      <c r="G117" s="4"/>
      <c r="H117" s="4"/>
      <c r="I117" s="4"/>
      <c r="J117" s="4"/>
      <c r="K117" s="4"/>
      <c r="L117" s="4"/>
      <c r="M117" s="4"/>
      <c r="N117" s="4"/>
      <c r="O117" s="4"/>
      <c r="P117" s="4"/>
      <c r="Q117" s="4"/>
      <c r="R117" s="4"/>
      <c r="S117" s="4"/>
      <c r="T117" s="4"/>
    </row>
    <row r="118" spans="1:20" ht="30" customHeight="1">
      <c r="A118" s="12"/>
      <c r="B118" s="4"/>
      <c r="C118" s="4"/>
      <c r="D118" s="4"/>
      <c r="E118" s="4"/>
      <c r="F118" s="4"/>
      <c r="G118" s="4"/>
      <c r="H118" s="4"/>
      <c r="I118" s="4"/>
      <c r="J118" s="4"/>
      <c r="K118" s="4"/>
      <c r="L118" s="4"/>
      <c r="M118" s="4"/>
      <c r="N118" s="4"/>
      <c r="O118" s="4"/>
      <c r="P118" s="4"/>
      <c r="Q118" s="4"/>
      <c r="R118" s="4"/>
      <c r="S118" s="4"/>
      <c r="T118" s="4"/>
    </row>
    <row r="119" spans="1:20" ht="30" customHeight="1">
      <c r="A119" s="12"/>
      <c r="B119" s="4"/>
      <c r="C119" s="4"/>
      <c r="D119" s="4"/>
      <c r="E119" s="4"/>
      <c r="F119" s="4"/>
      <c r="G119" s="4"/>
      <c r="H119" s="4"/>
      <c r="I119" s="4"/>
      <c r="J119" s="4"/>
      <c r="K119" s="4"/>
      <c r="L119" s="4"/>
      <c r="M119" s="4"/>
      <c r="N119" s="4"/>
      <c r="O119" s="4"/>
      <c r="P119" s="4"/>
      <c r="Q119" s="4"/>
      <c r="R119" s="4"/>
      <c r="S119" s="4"/>
      <c r="T119" s="4"/>
    </row>
    <row r="120" spans="1:20" ht="30" customHeight="1">
      <c r="A120" s="12"/>
      <c r="B120" s="4"/>
      <c r="C120" s="4"/>
      <c r="D120" s="4"/>
      <c r="E120" s="4"/>
      <c r="F120" s="4"/>
      <c r="G120" s="4"/>
      <c r="H120" s="4"/>
      <c r="I120" s="4"/>
      <c r="J120" s="4"/>
      <c r="K120" s="4"/>
      <c r="L120" s="4"/>
      <c r="M120" s="4"/>
      <c r="N120" s="4"/>
      <c r="O120" s="4"/>
      <c r="P120" s="4"/>
      <c r="Q120" s="4"/>
      <c r="R120" s="4"/>
      <c r="S120" s="4"/>
      <c r="T120" s="4"/>
    </row>
    <row r="121" spans="1:20" ht="30" customHeight="1">
      <c r="A121" s="12"/>
      <c r="B121" s="4"/>
      <c r="C121" s="4"/>
      <c r="D121" s="4"/>
      <c r="E121" s="4"/>
      <c r="F121" s="4"/>
      <c r="G121" s="4"/>
      <c r="H121" s="4"/>
      <c r="I121" s="4"/>
      <c r="J121" s="4"/>
      <c r="K121" s="4"/>
      <c r="L121" s="4"/>
      <c r="M121" s="4"/>
      <c r="N121" s="4"/>
      <c r="O121" s="4"/>
      <c r="P121" s="4"/>
      <c r="Q121" s="4"/>
      <c r="R121" s="4"/>
      <c r="S121" s="4"/>
      <c r="T121" s="4"/>
    </row>
    <row r="122" spans="1:20" ht="30" customHeight="1">
      <c r="A122" s="12"/>
      <c r="B122" s="4"/>
      <c r="C122" s="4"/>
      <c r="D122" s="4"/>
      <c r="E122" s="4"/>
      <c r="F122" s="4"/>
      <c r="G122" s="4"/>
      <c r="H122" s="4"/>
      <c r="I122" s="4"/>
      <c r="J122" s="4"/>
      <c r="K122" s="4"/>
      <c r="L122" s="4"/>
      <c r="M122" s="4"/>
      <c r="N122" s="4"/>
      <c r="O122" s="4"/>
      <c r="P122" s="4"/>
      <c r="Q122" s="4"/>
      <c r="R122" s="4"/>
      <c r="S122" s="4"/>
      <c r="T122" s="4"/>
    </row>
    <row r="123" spans="1:20" ht="30" customHeight="1">
      <c r="A123" s="12"/>
      <c r="B123" s="4"/>
      <c r="C123" s="4"/>
      <c r="D123" s="4"/>
      <c r="E123" s="4"/>
      <c r="F123" s="4"/>
      <c r="G123" s="4"/>
      <c r="H123" s="4"/>
      <c r="I123" s="4"/>
      <c r="J123" s="4"/>
      <c r="K123" s="4"/>
      <c r="L123" s="4"/>
      <c r="M123" s="4"/>
      <c r="N123" s="4"/>
      <c r="O123" s="4"/>
      <c r="P123" s="4"/>
      <c r="Q123" s="4"/>
      <c r="R123" s="4"/>
      <c r="S123" s="4"/>
      <c r="T123" s="4"/>
    </row>
    <row r="124" spans="1:20" ht="30" customHeight="1">
      <c r="A124" s="12"/>
      <c r="B124" s="4"/>
      <c r="C124" s="4"/>
      <c r="D124" s="4"/>
      <c r="E124" s="4"/>
      <c r="F124" s="4"/>
      <c r="G124" s="4"/>
      <c r="H124" s="4"/>
      <c r="I124" s="4"/>
      <c r="J124" s="4"/>
      <c r="K124" s="4"/>
      <c r="L124" s="4"/>
      <c r="M124" s="4"/>
      <c r="N124" s="4"/>
      <c r="O124" s="4"/>
      <c r="P124" s="4"/>
      <c r="Q124" s="4"/>
      <c r="R124" s="4"/>
      <c r="S124" s="4"/>
      <c r="T124" s="4"/>
    </row>
    <row r="125" spans="1:20" ht="30" customHeight="1">
      <c r="A125" s="12"/>
      <c r="B125" s="4"/>
      <c r="C125" s="4"/>
      <c r="D125" s="4"/>
      <c r="E125" s="4"/>
      <c r="F125" s="4"/>
      <c r="G125" s="4"/>
      <c r="H125" s="4"/>
      <c r="I125" s="4"/>
      <c r="J125" s="4"/>
      <c r="K125" s="4"/>
      <c r="L125" s="4"/>
      <c r="M125" s="4"/>
      <c r="N125" s="4"/>
      <c r="O125" s="4"/>
      <c r="P125" s="4"/>
      <c r="Q125" s="4"/>
      <c r="R125" s="4"/>
      <c r="S125" s="4"/>
      <c r="T125" s="4"/>
    </row>
    <row r="126" spans="1:20" ht="30" customHeight="1">
      <c r="A126" s="12"/>
      <c r="B126" s="4"/>
      <c r="C126" s="4"/>
      <c r="D126" s="4"/>
      <c r="E126" s="4"/>
      <c r="F126" s="4"/>
      <c r="G126" s="4"/>
      <c r="H126" s="4"/>
      <c r="I126" s="4"/>
      <c r="J126" s="4"/>
      <c r="K126" s="4"/>
      <c r="L126" s="4"/>
      <c r="M126" s="4"/>
      <c r="N126" s="4"/>
      <c r="O126" s="4"/>
      <c r="P126" s="4"/>
      <c r="Q126" s="4"/>
      <c r="R126" s="4"/>
      <c r="S126" s="4"/>
      <c r="T126" s="4"/>
    </row>
    <row r="127" spans="1:20" ht="30" customHeight="1">
      <c r="A127" s="12"/>
      <c r="B127" s="4"/>
      <c r="C127" s="4"/>
      <c r="D127" s="4"/>
      <c r="E127" s="4"/>
      <c r="F127" s="4"/>
      <c r="G127" s="4"/>
      <c r="H127" s="4"/>
      <c r="I127" s="4"/>
      <c r="J127" s="4"/>
      <c r="K127" s="4"/>
      <c r="L127" s="4"/>
      <c r="M127" s="4"/>
      <c r="N127" s="4"/>
      <c r="O127" s="4"/>
      <c r="P127" s="4"/>
      <c r="Q127" s="4"/>
      <c r="R127" s="4"/>
      <c r="S127" s="4"/>
      <c r="T127" s="4"/>
    </row>
    <row r="128" spans="1:20" ht="30" customHeight="1">
      <c r="A128" s="12"/>
      <c r="B128" s="4"/>
      <c r="C128" s="4"/>
      <c r="D128" s="4"/>
      <c r="E128" s="4"/>
      <c r="F128" s="4"/>
      <c r="G128" s="4"/>
      <c r="H128" s="4"/>
      <c r="I128" s="4"/>
      <c r="J128" s="4"/>
      <c r="K128" s="4"/>
      <c r="L128" s="4"/>
      <c r="M128" s="4"/>
      <c r="N128" s="4"/>
      <c r="O128" s="4"/>
      <c r="P128" s="4"/>
      <c r="Q128" s="4"/>
      <c r="R128" s="4"/>
      <c r="S128" s="4"/>
      <c r="T128" s="4"/>
    </row>
    <row r="129" spans="1:21" ht="30" customHeight="1">
      <c r="A129" s="12"/>
      <c r="B129" s="4"/>
      <c r="C129" s="4"/>
      <c r="D129" s="4"/>
      <c r="E129" s="4"/>
      <c r="F129" s="4"/>
      <c r="G129" s="4"/>
      <c r="H129" s="4"/>
      <c r="I129" s="4"/>
      <c r="J129" s="4"/>
      <c r="K129" s="4"/>
      <c r="L129" s="4"/>
      <c r="M129" s="4"/>
      <c r="N129" s="4"/>
      <c r="O129" s="4"/>
      <c r="P129" s="4"/>
      <c r="Q129" s="4"/>
      <c r="R129" s="4"/>
      <c r="S129" s="4"/>
      <c r="T129" s="4"/>
    </row>
    <row r="130" spans="1:21" ht="30" customHeight="1">
      <c r="A130" s="12"/>
      <c r="B130" s="4"/>
      <c r="C130" s="4"/>
      <c r="D130" s="4"/>
      <c r="E130" s="4"/>
      <c r="F130" s="4"/>
      <c r="G130" s="4"/>
      <c r="H130" s="4"/>
      <c r="I130" s="4"/>
      <c r="J130" s="4"/>
      <c r="K130" s="4"/>
      <c r="L130" s="4"/>
      <c r="M130" s="4"/>
      <c r="N130" s="4"/>
      <c r="O130" s="4"/>
      <c r="P130" s="4"/>
      <c r="Q130" s="4"/>
      <c r="R130" s="4"/>
      <c r="S130" s="4"/>
      <c r="T130" s="4"/>
    </row>
    <row r="131" spans="1:21" ht="30" customHeight="1">
      <c r="A131" s="12"/>
      <c r="B131" s="4"/>
      <c r="C131" s="4"/>
      <c r="D131" s="4"/>
      <c r="E131" s="4"/>
      <c r="F131" s="4"/>
      <c r="G131" s="4"/>
      <c r="H131" s="4"/>
      <c r="I131" s="4"/>
      <c r="J131" s="4"/>
      <c r="K131" s="4"/>
      <c r="L131" s="4"/>
      <c r="M131" s="4"/>
      <c r="N131" s="4"/>
      <c r="O131" s="4"/>
      <c r="P131" s="4"/>
      <c r="Q131" s="4"/>
      <c r="R131" s="4"/>
      <c r="S131" s="4"/>
      <c r="T131" s="4"/>
    </row>
    <row r="132" spans="1:21" ht="30" customHeight="1">
      <c r="A132" s="12"/>
      <c r="B132" s="4"/>
      <c r="C132" s="4"/>
      <c r="D132" s="4"/>
      <c r="E132" s="4"/>
      <c r="F132" s="4"/>
      <c r="G132" s="4"/>
      <c r="H132" s="4"/>
      <c r="I132" s="4"/>
      <c r="J132" s="4"/>
      <c r="K132" s="4"/>
      <c r="L132" s="4"/>
      <c r="M132" s="4"/>
      <c r="N132" s="4"/>
      <c r="O132" s="4"/>
      <c r="P132" s="4"/>
      <c r="Q132" s="4"/>
      <c r="R132" s="4"/>
      <c r="S132" s="4"/>
      <c r="T132" s="4"/>
    </row>
    <row r="133" spans="1:21" ht="30" customHeight="1">
      <c r="A133" s="12"/>
      <c r="B133" s="4"/>
      <c r="C133" s="4"/>
      <c r="D133" s="4"/>
      <c r="E133" s="4"/>
      <c r="F133" s="4"/>
      <c r="G133" s="4"/>
      <c r="H133" s="4"/>
      <c r="I133" s="4"/>
      <c r="J133" s="4"/>
      <c r="K133" s="4"/>
      <c r="L133" s="4"/>
      <c r="M133" s="4"/>
      <c r="N133" s="4"/>
      <c r="O133" s="4"/>
      <c r="P133" s="4"/>
      <c r="Q133" s="4"/>
      <c r="R133" s="4"/>
      <c r="S133" s="4"/>
      <c r="T133" s="4"/>
    </row>
    <row r="134" spans="1:21" ht="30" customHeight="1">
      <c r="A134" s="12"/>
      <c r="B134" s="4"/>
      <c r="C134" s="4"/>
      <c r="D134" s="4"/>
      <c r="E134" s="4"/>
      <c r="F134" s="4"/>
      <c r="G134" s="4"/>
      <c r="H134" s="4"/>
      <c r="I134" s="4"/>
      <c r="J134" s="4"/>
      <c r="K134" s="4"/>
      <c r="L134" s="4"/>
      <c r="M134" s="4"/>
      <c r="N134" s="4"/>
      <c r="O134" s="4"/>
      <c r="P134" s="4"/>
      <c r="Q134" s="4"/>
      <c r="R134" s="4"/>
      <c r="S134" s="4"/>
      <c r="T134" s="4"/>
    </row>
    <row r="135" spans="1:21" ht="30" customHeight="1">
      <c r="A135" s="12"/>
      <c r="B135" s="4"/>
      <c r="C135" s="4"/>
      <c r="D135" s="4"/>
      <c r="E135" s="4"/>
      <c r="F135" s="4"/>
      <c r="G135" s="4"/>
      <c r="H135" s="4"/>
      <c r="I135" s="4"/>
      <c r="J135" s="4"/>
      <c r="K135" s="4"/>
      <c r="L135" s="4"/>
      <c r="M135" s="4"/>
      <c r="N135" s="4"/>
      <c r="O135" s="4"/>
      <c r="P135" s="4"/>
      <c r="Q135" s="4"/>
      <c r="R135" s="4"/>
      <c r="S135" s="4"/>
      <c r="T135" s="4"/>
    </row>
    <row r="136" spans="1:21" ht="30" customHeight="1">
      <c r="A136" s="12"/>
      <c r="B136" s="4"/>
      <c r="C136" s="4"/>
      <c r="D136" s="4"/>
      <c r="E136" s="4"/>
      <c r="F136" s="4"/>
      <c r="G136" s="4"/>
      <c r="H136" s="4"/>
      <c r="I136" s="4"/>
      <c r="J136" s="4"/>
      <c r="K136" s="4"/>
      <c r="L136" s="4"/>
      <c r="M136" s="4"/>
      <c r="N136" s="4"/>
      <c r="O136" s="4"/>
      <c r="P136" s="4"/>
      <c r="Q136" s="4"/>
      <c r="R136" s="4"/>
      <c r="S136" s="4"/>
      <c r="T136" s="4"/>
    </row>
    <row r="137" spans="1:21" ht="30" customHeight="1">
      <c r="A137" s="12"/>
      <c r="B137" s="4"/>
      <c r="C137" s="4"/>
      <c r="D137" s="4"/>
      <c r="E137" s="4"/>
      <c r="F137" s="4"/>
      <c r="G137" s="4"/>
      <c r="H137" s="4"/>
      <c r="I137" s="4"/>
      <c r="J137" s="4"/>
      <c r="K137" s="4"/>
      <c r="L137" s="4"/>
      <c r="M137" s="4"/>
      <c r="N137" s="4"/>
      <c r="O137" s="4"/>
      <c r="P137" s="4"/>
      <c r="Q137" s="4"/>
      <c r="R137" s="4"/>
      <c r="S137" s="4"/>
      <c r="T137" s="4"/>
    </row>
    <row r="138" spans="1:21" s="3" customFormat="1" ht="30" customHeight="1">
      <c r="A138" s="12"/>
      <c r="B138" s="4"/>
      <c r="C138" s="4"/>
      <c r="D138" s="4"/>
      <c r="E138" s="4"/>
      <c r="F138" s="4"/>
      <c r="G138" s="4"/>
      <c r="H138" s="4"/>
      <c r="I138" s="4"/>
      <c r="J138" s="4"/>
      <c r="K138" s="4"/>
      <c r="L138" s="4"/>
      <c r="M138" s="4"/>
      <c r="N138" s="4"/>
      <c r="O138" s="4"/>
      <c r="P138" s="4"/>
      <c r="Q138" s="4"/>
      <c r="R138" s="4"/>
      <c r="S138" s="4"/>
      <c r="T138" s="4"/>
      <c r="U138" s="5"/>
    </row>
    <row r="139" spans="1:21" s="3" customFormat="1" ht="30" customHeight="1">
      <c r="A139" s="12"/>
      <c r="B139" s="4"/>
      <c r="C139" s="4"/>
      <c r="D139" s="4"/>
      <c r="E139" s="4"/>
      <c r="F139" s="4"/>
      <c r="G139" s="4"/>
      <c r="H139" s="4"/>
      <c r="I139" s="4"/>
      <c r="J139" s="4"/>
      <c r="K139" s="4"/>
      <c r="L139" s="4"/>
      <c r="M139" s="4"/>
      <c r="N139" s="4"/>
      <c r="O139" s="4"/>
      <c r="P139" s="4"/>
      <c r="Q139" s="4"/>
      <c r="R139" s="4"/>
      <c r="S139" s="4"/>
      <c r="T139" s="4"/>
      <c r="U139" s="5"/>
    </row>
    <row r="140" spans="1:21" s="3" customFormat="1" ht="30" customHeight="1">
      <c r="A140" s="12"/>
      <c r="B140" s="4"/>
      <c r="C140" s="4"/>
      <c r="D140" s="4"/>
      <c r="E140" s="4"/>
      <c r="F140" s="4"/>
      <c r="G140" s="4"/>
      <c r="H140" s="4"/>
      <c r="I140" s="4"/>
      <c r="J140" s="4"/>
      <c r="K140" s="4"/>
      <c r="L140" s="4"/>
      <c r="M140" s="4"/>
      <c r="N140" s="4"/>
      <c r="O140" s="4"/>
      <c r="P140" s="4"/>
      <c r="Q140" s="4"/>
      <c r="R140" s="4"/>
      <c r="S140" s="4"/>
      <c r="T140" s="4"/>
      <c r="U140" s="5"/>
    </row>
    <row r="141" spans="1:21" s="3" customFormat="1" ht="30" customHeight="1">
      <c r="B141" s="4"/>
      <c r="C141" s="4"/>
      <c r="D141" s="4"/>
      <c r="E141" s="4"/>
      <c r="F141" s="4"/>
      <c r="G141" s="4"/>
      <c r="H141" s="4"/>
      <c r="I141" s="4"/>
      <c r="J141" s="4"/>
      <c r="K141" s="4"/>
      <c r="L141" s="4"/>
      <c r="M141" s="4"/>
      <c r="N141" s="4"/>
      <c r="O141" s="4"/>
      <c r="P141" s="4"/>
      <c r="Q141" s="4"/>
      <c r="R141" s="4"/>
      <c r="S141" s="4"/>
      <c r="T141" s="4"/>
      <c r="U141" s="5"/>
    </row>
    <row r="142" spans="1:21" s="3" customFormat="1" ht="30" customHeight="1">
      <c r="B142" s="4"/>
      <c r="C142" s="4"/>
      <c r="D142" s="4"/>
      <c r="E142" s="4"/>
      <c r="F142" s="4"/>
      <c r="G142" s="4"/>
      <c r="H142" s="4"/>
      <c r="I142" s="4"/>
      <c r="J142" s="4"/>
      <c r="K142" s="4"/>
      <c r="L142" s="4"/>
      <c r="M142" s="4"/>
      <c r="N142" s="4"/>
      <c r="O142" s="4"/>
      <c r="P142" s="4"/>
      <c r="Q142" s="4"/>
      <c r="R142" s="4"/>
      <c r="S142" s="4"/>
      <c r="T142" s="4"/>
      <c r="U142" s="5"/>
    </row>
    <row r="143" spans="1:21" s="3" customFormat="1" ht="30" customHeight="1">
      <c r="B143" s="4"/>
      <c r="C143" s="4"/>
      <c r="D143" s="4"/>
      <c r="E143" s="4"/>
      <c r="F143" s="4"/>
      <c r="G143" s="4"/>
      <c r="H143" s="4"/>
      <c r="I143" s="4"/>
      <c r="J143" s="4"/>
      <c r="K143" s="4"/>
      <c r="L143" s="4"/>
      <c r="M143" s="4"/>
      <c r="N143" s="4"/>
      <c r="O143" s="4"/>
      <c r="P143" s="4"/>
      <c r="Q143" s="4"/>
      <c r="R143" s="4"/>
      <c r="S143" s="4"/>
      <c r="T143" s="4"/>
      <c r="U143" s="5"/>
    </row>
    <row r="144" spans="1:21" s="3" customFormat="1" ht="30" customHeight="1">
      <c r="B144" s="4"/>
      <c r="C144" s="4"/>
      <c r="D144" s="4"/>
      <c r="E144" s="4"/>
      <c r="F144" s="4"/>
      <c r="G144" s="4"/>
      <c r="H144" s="4"/>
      <c r="I144" s="4"/>
      <c r="J144" s="4"/>
      <c r="K144" s="4"/>
      <c r="L144" s="4"/>
      <c r="M144" s="4"/>
      <c r="N144" s="4"/>
      <c r="O144" s="4"/>
      <c r="P144" s="4"/>
      <c r="Q144" s="4"/>
      <c r="R144" s="4"/>
      <c r="S144" s="4"/>
      <c r="T144" s="4"/>
      <c r="U144" s="5"/>
    </row>
    <row r="145" spans="5:15" ht="0" hidden="1" customHeight="1">
      <c r="E145" s="4"/>
      <c r="F145" s="4"/>
      <c r="G145" s="4"/>
      <c r="H145" s="4"/>
      <c r="I145" s="4"/>
      <c r="J145" s="4"/>
      <c r="K145" s="4"/>
      <c r="L145" s="4"/>
      <c r="M145" s="4"/>
      <c r="N145" s="4"/>
      <c r="O145" s="4"/>
    </row>
    <row r="146" spans="5:15" ht="0" hidden="1" customHeight="1">
      <c r="E146" s="4"/>
      <c r="F146" s="4"/>
      <c r="G146" s="4"/>
      <c r="H146" s="4"/>
      <c r="I146" s="4"/>
      <c r="J146" s="4"/>
      <c r="K146" s="4"/>
      <c r="L146" s="4"/>
      <c r="M146" s="4"/>
      <c r="N146" s="4"/>
      <c r="O146" s="4"/>
    </row>
    <row r="147" spans="5:15" ht="0" hidden="1" customHeight="1">
      <c r="E147" s="4"/>
      <c r="F147" s="4"/>
      <c r="G147" s="4"/>
      <c r="H147" s="4"/>
      <c r="I147" s="4"/>
      <c r="J147" s="4"/>
      <c r="K147" s="4"/>
      <c r="L147" s="4"/>
      <c r="M147" s="4"/>
      <c r="N147" s="4"/>
      <c r="O147" s="4"/>
    </row>
    <row r="148" spans="5:15" ht="0" hidden="1" customHeight="1">
      <c r="E148" s="4"/>
      <c r="F148" s="4"/>
      <c r="G148" s="4"/>
      <c r="H148" s="4"/>
      <c r="I148" s="4"/>
      <c r="J148" s="4"/>
      <c r="K148" s="4"/>
      <c r="L148" s="4"/>
      <c r="M148" s="4"/>
      <c r="N148" s="4"/>
      <c r="O148" s="4"/>
    </row>
    <row r="149" spans="5:15" ht="0" hidden="1" customHeight="1">
      <c r="E149" s="4"/>
      <c r="F149" s="4"/>
      <c r="G149" s="4"/>
      <c r="H149" s="4"/>
      <c r="I149" s="4"/>
      <c r="J149" s="4"/>
      <c r="K149" s="4"/>
      <c r="L149" s="4"/>
      <c r="M149" s="4"/>
      <c r="N149" s="4"/>
      <c r="O149" s="4"/>
    </row>
    <row r="150" spans="5:15" ht="0" hidden="1" customHeight="1">
      <c r="E150" s="4"/>
      <c r="F150" s="4"/>
      <c r="G150" s="4"/>
      <c r="H150" s="4"/>
      <c r="I150" s="4"/>
      <c r="J150" s="4"/>
      <c r="K150" s="4"/>
      <c r="L150" s="4"/>
      <c r="M150" s="4"/>
      <c r="N150" s="4"/>
      <c r="O150" s="4"/>
    </row>
    <row r="151" spans="5:15" ht="0" hidden="1" customHeight="1">
      <c r="E151" s="4"/>
      <c r="F151" s="4"/>
      <c r="G151" s="4"/>
      <c r="H151" s="4"/>
      <c r="I151" s="4"/>
      <c r="J151" s="4"/>
      <c r="K151" s="4"/>
      <c r="L151" s="4"/>
      <c r="M151" s="4"/>
      <c r="N151" s="4"/>
      <c r="O151" s="4"/>
    </row>
    <row r="152" spans="5:15" ht="0" hidden="1" customHeight="1">
      <c r="F152" s="64"/>
      <c r="G152" s="64"/>
      <c r="H152" s="64"/>
      <c r="I152" s="64"/>
      <c r="J152" s="64"/>
      <c r="K152" s="64"/>
    </row>
  </sheetData>
  <mergeCells count="1">
    <mergeCell ref="F9:K11"/>
  </mergeCells>
  <conditionalFormatting sqref="A13 F16:O64">
    <cfRule type="cellIs" dxfId="129" priority="20" operator="equal">
      <formula>0</formula>
    </cfRule>
  </conditionalFormatting>
  <conditionalFormatting sqref="F65:F67 O65:O74 F68:M73 N68:N74 G74:M74 F74:F76 G75:K76 F77:K77 F78:O98">
    <cfRule type="cellIs" dxfId="128" priority="64" operator="equal">
      <formula>0</formula>
    </cfRule>
  </conditionalFormatting>
  <conditionalFormatting sqref="G65:L66 G67:N67">
    <cfRule type="cellIs" dxfId="127" priority="8" operator="equal">
      <formula>0</formula>
    </cfRule>
  </conditionalFormatting>
  <conditionalFormatting sqref="J39">
    <cfRule type="cellIs" dxfId="126" priority="11" operator="equal">
      <formula>0</formula>
    </cfRule>
  </conditionalFormatting>
  <conditionalFormatting sqref="L75:O77">
    <cfRule type="cellIs" dxfId="125" priority="15" operator="equal">
      <formula>0</formula>
    </cfRule>
  </conditionalFormatting>
  <conditionalFormatting sqref="M65:N67 L69:N69">
    <cfRule type="cellIs" dxfId="124" priority="7" operator="equal">
      <formula>0</formula>
    </cfRule>
  </conditionalFormatting>
  <hyperlinks>
    <hyperlink ref="A20" location="'Painel de Índices'!A1" display="Projeções - Receita" xr:uid="{FEF18CC4-F47D-4400-8F09-9ACD41AF22C4}"/>
    <hyperlink ref="A22" location="'Projeções - CG + Capex'!A1" display="Projeções - CG + Capex" xr:uid="{A845CEFE-5A31-4CC7-9B36-90AB2886C81C}"/>
    <hyperlink ref="A24" location="Processos!A1" display="Processos" xr:uid="{7AF59120-21AC-4902-BEC8-C2596A61449F}"/>
    <hyperlink ref="A14" location="Dashboard!A1" display="Dashboard" xr:uid="{FD74EC79-9B59-4643-8842-B01B297CADB9}"/>
    <hyperlink ref="A15" location="WACC!A1" display="WACC" xr:uid="{050B29BA-531D-479A-843E-CF68E4D9D8BE}"/>
    <hyperlink ref="A17" location="'DRE + DCF'!A1" display="DRE + DCF" xr:uid="{5B39ECC7-279F-4F1E-A7D1-984188146EC5}"/>
    <hyperlink ref="A18" location="'DRE - Contas Abertas'!A1" display="DRE - Contas Abertas" xr:uid="{CFA7FD12-5F38-4582-AA5E-62860BD3E047}"/>
    <hyperlink ref="A16" location="'DRE Consolidado'!A1" display="DRE Consolidado" xr:uid="{00A6219D-5A8D-40FC-A5EB-956CBD007F45}"/>
    <hyperlink ref="A21" location="'Projeções - Receita e EBIT'!A1" display="Projeções - Receita" xr:uid="{42E5D4C3-481C-4A7B-A723-CF3BEF59CC2B}"/>
    <hyperlink ref="A23" location="'Projeções 2023'!A1" display="Projeções 2022" xr:uid="{C50C519A-AA14-44A4-84CA-F50F5E7DACCF}"/>
  </hyperlinks>
  <pageMargins left="0.511811024" right="0.511811024" top="0.78740157499999996" bottom="0.78740157499999996" header="0.31496062000000002" footer="0.31496062000000002"/>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2622F-88A9-48E2-BAC3-C5D38F64BE2F}">
  <sheetPr codeName="Sheet4"/>
  <dimension ref="A1:CN84"/>
  <sheetViews>
    <sheetView showGridLines="0" topLeftCell="A34" zoomScale="80" zoomScaleNormal="80" workbookViewId="0">
      <selection activeCell="F61" sqref="F61"/>
    </sheetView>
  </sheetViews>
  <sheetFormatPr defaultColWidth="0" defaultRowHeight="15" zeroHeight="1"/>
  <cols>
    <col min="1" max="1" width="34.42578125" style="115" customWidth="1"/>
    <col min="2" max="2" width="9.140625" style="114" customWidth="1"/>
    <col min="3" max="4" width="9.140625" style="5" customWidth="1"/>
    <col min="5" max="5" width="47.7109375" style="5" bestFit="1" customWidth="1"/>
    <col min="6" max="9" width="13.42578125" style="5" customWidth="1"/>
    <col min="10" max="10" width="14.85546875" style="5" bestFit="1" customWidth="1"/>
    <col min="11" max="11" width="12.7109375" style="5" bestFit="1" customWidth="1"/>
    <col min="12" max="14" width="13" style="5" bestFit="1" customWidth="1"/>
    <col min="15" max="15" width="12.5703125" style="5" customWidth="1"/>
    <col min="16" max="25" width="9.140625" style="5" customWidth="1"/>
    <col min="26" max="26" width="9.140625" style="5" hidden="1" customWidth="1"/>
    <col min="27" max="30" width="0" style="5" hidden="1" customWidth="1"/>
    <col min="31" max="32" width="9.140625" style="5" hidden="1" customWidth="1"/>
    <col min="33" max="36" width="0" style="5" hidden="1" customWidth="1"/>
    <col min="37" max="38" width="9.140625" style="5" hidden="1" customWidth="1"/>
    <col min="39" max="55" width="0" style="5" hidden="1" customWidth="1"/>
    <col min="56" max="56" width="9.140625" style="5" hidden="1" customWidth="1"/>
    <col min="57" max="60" width="0" style="5" hidden="1" customWidth="1"/>
    <col min="61" max="62" width="9.140625" style="5" hidden="1" customWidth="1"/>
    <col min="63" max="66" width="0" style="5" hidden="1" customWidth="1"/>
    <col min="67" max="68" width="9.140625" style="5" hidden="1" customWidth="1"/>
    <col min="69" max="71" width="0" style="5" hidden="1" customWidth="1"/>
    <col min="72" max="73" width="9.140625" style="5" hidden="1" customWidth="1"/>
    <col min="74" max="77" width="0" style="5" hidden="1" customWidth="1"/>
    <col min="78" max="81" width="9.140625" style="5" hidden="1" customWidth="1"/>
    <col min="82" max="85" width="0" style="5" hidden="1" customWidth="1"/>
    <col min="86" max="92" width="9.140625" style="5" hidden="1" customWidth="1"/>
    <col min="93" max="16384" width="0" style="5" hidden="1"/>
  </cols>
  <sheetData>
    <row r="1" spans="1:30" ht="15" customHeight="1">
      <c r="A1" s="141"/>
      <c r="B1" s="4"/>
      <c r="C1" s="4"/>
      <c r="D1" s="4"/>
      <c r="E1" s="4"/>
      <c r="F1" s="4"/>
      <c r="G1" s="4"/>
      <c r="H1" s="4"/>
      <c r="I1" s="4"/>
      <c r="J1" s="4"/>
      <c r="K1" s="4"/>
      <c r="L1" s="4"/>
      <c r="M1" s="4"/>
      <c r="N1" s="4"/>
      <c r="O1" s="4"/>
      <c r="P1" s="4"/>
      <c r="Q1" s="4"/>
      <c r="R1" s="4"/>
      <c r="S1" s="4"/>
      <c r="T1" s="4"/>
      <c r="U1" s="4"/>
      <c r="V1" s="4"/>
      <c r="W1" s="4"/>
      <c r="X1" s="4"/>
      <c r="Y1" s="4"/>
    </row>
    <row r="2" spans="1:30" ht="15" customHeight="1">
      <c r="A2" s="141"/>
      <c r="B2" s="4"/>
      <c r="C2" s="4"/>
      <c r="D2" s="4"/>
      <c r="E2" s="4"/>
      <c r="F2" s="65"/>
      <c r="G2" s="65"/>
      <c r="H2" s="65"/>
      <c r="I2" s="65"/>
      <c r="J2" s="65"/>
      <c r="K2" s="65"/>
      <c r="L2" s="65"/>
      <c r="M2" s="65"/>
      <c r="N2" s="65"/>
      <c r="O2" s="4"/>
      <c r="P2" s="4"/>
      <c r="Q2" s="4"/>
      <c r="R2" s="4"/>
      <c r="S2" s="4"/>
      <c r="T2" s="4"/>
      <c r="U2" s="4"/>
      <c r="V2" s="4"/>
      <c r="W2" s="4"/>
      <c r="X2" s="4"/>
      <c r="Y2" s="4"/>
    </row>
    <row r="3" spans="1:30" ht="15" customHeight="1">
      <c r="A3" s="141"/>
      <c r="B3" s="4"/>
      <c r="C3" s="4"/>
      <c r="D3" s="4"/>
      <c r="E3" s="343" t="str">
        <f>Dashboard!H3</f>
        <v>SIMPAR (SIMH3)</v>
      </c>
      <c r="F3" s="343"/>
      <c r="G3" s="343"/>
      <c r="H3" s="343"/>
      <c r="I3" s="343"/>
      <c r="J3" s="343"/>
      <c r="K3" s="343"/>
      <c r="L3" s="343"/>
      <c r="M3" s="343"/>
      <c r="N3" s="343"/>
      <c r="O3" s="4"/>
      <c r="P3" s="4"/>
      <c r="Q3" s="4"/>
      <c r="R3" s="4"/>
      <c r="S3" s="4"/>
      <c r="T3" s="4"/>
      <c r="U3" s="4"/>
      <c r="V3" s="4"/>
      <c r="W3" s="4"/>
      <c r="X3" s="4"/>
      <c r="Y3" s="4"/>
    </row>
    <row r="4" spans="1:30" ht="15" customHeight="1">
      <c r="A4" s="141"/>
      <c r="B4" s="4"/>
      <c r="C4" s="4"/>
      <c r="D4" s="4"/>
      <c r="E4" s="343"/>
      <c r="F4" s="343"/>
      <c r="G4" s="343"/>
      <c r="H4" s="343"/>
      <c r="I4" s="343"/>
      <c r="J4" s="343"/>
      <c r="K4" s="343"/>
      <c r="L4" s="343"/>
      <c r="M4" s="343"/>
      <c r="N4" s="343"/>
      <c r="O4" s="4"/>
      <c r="P4" s="4"/>
      <c r="Q4" s="4"/>
      <c r="R4" s="4"/>
      <c r="S4" s="4"/>
      <c r="T4" s="4"/>
      <c r="U4" s="4"/>
      <c r="V4" s="4"/>
      <c r="W4" s="4"/>
      <c r="X4" s="4"/>
      <c r="Y4" s="4"/>
    </row>
    <row r="5" spans="1:30" ht="15" customHeight="1">
      <c r="A5" s="141"/>
      <c r="B5" s="4"/>
      <c r="C5" s="4"/>
      <c r="D5" s="4"/>
      <c r="E5" s="396"/>
      <c r="F5" s="396"/>
      <c r="G5" s="396"/>
      <c r="H5" s="396"/>
      <c r="I5" s="396"/>
      <c r="J5" s="396"/>
      <c r="K5" s="396"/>
      <c r="L5" s="396"/>
      <c r="M5" s="396"/>
      <c r="N5" s="396"/>
      <c r="O5" s="4"/>
      <c r="P5" s="4"/>
      <c r="Q5" s="4"/>
      <c r="R5" s="4"/>
      <c r="S5" s="4"/>
      <c r="T5" s="4"/>
      <c r="U5" s="4"/>
      <c r="V5" s="4"/>
      <c r="W5" s="4"/>
      <c r="X5" s="4"/>
      <c r="Y5" s="4"/>
    </row>
    <row r="6" spans="1:30">
      <c r="A6" s="141"/>
      <c r="B6" s="4"/>
      <c r="C6" s="4"/>
      <c r="D6" s="4"/>
      <c r="E6" s="34"/>
      <c r="F6" s="4"/>
      <c r="G6" s="4"/>
      <c r="H6" s="4"/>
      <c r="I6" s="4"/>
      <c r="J6" s="4"/>
      <c r="K6" s="4"/>
      <c r="L6" s="4"/>
      <c r="M6" s="4"/>
      <c r="N6" s="4"/>
      <c r="O6" s="4"/>
      <c r="P6" s="4"/>
      <c r="Q6" s="4"/>
      <c r="R6" s="4"/>
      <c r="S6" s="4"/>
      <c r="T6" s="4"/>
      <c r="U6" s="4"/>
      <c r="V6" s="4"/>
      <c r="W6" s="4"/>
      <c r="X6" s="4"/>
      <c r="Y6" s="4"/>
    </row>
    <row r="7" spans="1:30" s="11" customFormat="1" ht="24.75" customHeight="1">
      <c r="A7" s="142" t="s">
        <v>33</v>
      </c>
      <c r="B7" s="10"/>
      <c r="C7" s="4"/>
      <c r="D7" s="10"/>
      <c r="E7" s="10"/>
      <c r="F7" s="10"/>
      <c r="G7" s="10"/>
      <c r="H7" s="10"/>
      <c r="I7" s="10"/>
      <c r="J7" s="10"/>
      <c r="K7" s="10"/>
      <c r="L7" s="10"/>
      <c r="M7" s="10"/>
      <c r="N7" s="10"/>
      <c r="O7" s="4"/>
      <c r="P7" s="4"/>
      <c r="Q7" s="4"/>
      <c r="R7" s="4"/>
      <c r="S7" s="4"/>
      <c r="T7" s="4"/>
      <c r="U7" s="4"/>
      <c r="V7" s="4"/>
      <c r="W7" s="4"/>
      <c r="X7" s="10"/>
      <c r="Y7" s="10"/>
    </row>
    <row r="8" spans="1:30" ht="30" customHeight="1">
      <c r="A8" s="12" t="s">
        <v>34</v>
      </c>
      <c r="B8" s="4"/>
      <c r="C8" s="4"/>
      <c r="D8" s="10"/>
      <c r="E8" s="10"/>
      <c r="F8" s="10"/>
      <c r="G8" s="10"/>
      <c r="H8" s="10"/>
      <c r="I8" s="10"/>
      <c r="J8" s="10"/>
      <c r="K8" s="10"/>
      <c r="L8" s="10"/>
      <c r="M8" s="10"/>
      <c r="N8" s="10"/>
      <c r="O8" s="4"/>
      <c r="P8" s="4"/>
      <c r="Q8" s="4"/>
      <c r="R8" s="4"/>
      <c r="S8" s="4"/>
      <c r="T8" s="4"/>
      <c r="U8" s="4"/>
      <c r="V8" s="4"/>
      <c r="W8" s="4"/>
      <c r="X8" s="4"/>
      <c r="Y8" s="4"/>
    </row>
    <row r="9" spans="1:30" ht="30" customHeight="1">
      <c r="A9" s="12" t="s">
        <v>23</v>
      </c>
      <c r="B9" s="4"/>
      <c r="C9" s="4"/>
      <c r="D9" s="102"/>
      <c r="E9" s="103"/>
      <c r="F9" s="37">
        <v>2014</v>
      </c>
      <c r="G9" s="37">
        <v>2015</v>
      </c>
      <c r="H9" s="37">
        <v>2016</v>
      </c>
      <c r="I9" s="37">
        <v>2017</v>
      </c>
      <c r="J9" s="37">
        <v>2018</v>
      </c>
      <c r="K9" s="37">
        <v>2019</v>
      </c>
      <c r="L9" s="37">
        <v>2020</v>
      </c>
      <c r="M9" s="37">
        <v>2021</v>
      </c>
      <c r="N9" s="37">
        <v>2022</v>
      </c>
      <c r="O9" s="230">
        <v>2023</v>
      </c>
      <c r="P9" s="88"/>
      <c r="Q9" s="4"/>
      <c r="R9" s="4"/>
      <c r="S9" s="4"/>
      <c r="T9" s="4"/>
      <c r="U9" s="4"/>
      <c r="V9" s="4"/>
      <c r="W9" s="4"/>
      <c r="X9" s="4"/>
      <c r="Y9" s="4"/>
      <c r="Z9" s="4"/>
      <c r="AA9" s="4"/>
      <c r="AB9" s="4"/>
      <c r="AC9" s="4"/>
      <c r="AD9" s="4"/>
    </row>
    <row r="10" spans="1:30" ht="30" customHeight="1">
      <c r="A10" s="12" t="s">
        <v>330</v>
      </c>
      <c r="B10" s="4"/>
      <c r="C10" s="4"/>
      <c r="D10" s="106"/>
      <c r="E10" s="116" t="s">
        <v>123</v>
      </c>
      <c r="F10" s="117">
        <f>'Balanço Patrimonial'!F17/'Balanço Patrimonial'!F52</f>
        <v>1.1627448152375446</v>
      </c>
      <c r="G10" s="117">
        <f>'Balanço Patrimonial'!G17/'Balanço Patrimonial'!G52</f>
        <v>1.1320613379583002</v>
      </c>
      <c r="H10" s="117">
        <f>'Balanço Patrimonial'!H17/'Balanço Patrimonial'!H52</f>
        <v>1.0737328912992889</v>
      </c>
      <c r="I10" s="117">
        <f>'Balanço Patrimonial'!I17/'Balanço Patrimonial'!I52</f>
        <v>1.1153380211264901</v>
      </c>
      <c r="J10" s="117">
        <f>'Balanço Patrimonial'!J17/'Balanço Patrimonial'!J52</f>
        <v>1.0853647971977625</v>
      </c>
      <c r="K10" s="117">
        <f>'Balanço Patrimonial'!K17/'Balanço Patrimonial'!K52</f>
        <v>1.1319279543562371</v>
      </c>
      <c r="L10" s="117">
        <f>'Balanço Patrimonial'!L17/'Balanço Patrimonial'!L52</f>
        <v>1.1443187644879458</v>
      </c>
      <c r="M10" s="117">
        <f>'Balanço Patrimonial'!M17/'Balanço Patrimonial'!M52</f>
        <v>1.1381992483188683</v>
      </c>
      <c r="N10" s="117">
        <f>'Balanço Patrimonial'!N17/'Balanço Patrimonial'!N52</f>
        <v>1.0995359461658962</v>
      </c>
      <c r="O10" s="117">
        <f>'Balanço Patrimonial'!O17/'Balanço Patrimonial'!O52</f>
        <v>1.1246956815585927</v>
      </c>
      <c r="P10" s="88"/>
      <c r="Q10" s="4"/>
      <c r="R10" s="4"/>
      <c r="S10" s="4"/>
      <c r="T10" s="4"/>
      <c r="U10" s="4"/>
      <c r="V10" s="4"/>
      <c r="W10" s="4"/>
      <c r="X10" s="4"/>
      <c r="Y10" s="4"/>
      <c r="Z10" s="4"/>
      <c r="AA10" s="4"/>
      <c r="AB10" s="4"/>
      <c r="AC10" s="4"/>
      <c r="AD10" s="4"/>
    </row>
    <row r="11" spans="1:30" ht="30" customHeight="1">
      <c r="A11" s="12" t="s">
        <v>36</v>
      </c>
      <c r="B11" s="4"/>
      <c r="C11" s="4"/>
      <c r="D11" s="106"/>
      <c r="E11" s="116" t="s">
        <v>122</v>
      </c>
      <c r="F11" s="117">
        <f>'Balanço Patrimonial'!F18/'Balanço Patrimonial'!F53</f>
        <v>1.5253073172608527</v>
      </c>
      <c r="G11" s="117">
        <f>'Balanço Patrimonial'!G18/'Balanço Patrimonial'!G53</f>
        <v>1.3963164391278415</v>
      </c>
      <c r="H11" s="117">
        <f>'Balanço Patrimonial'!H18/'Balanço Patrimonial'!H53</f>
        <v>0.85052041818793156</v>
      </c>
      <c r="I11" s="117">
        <f>'Balanço Patrimonial'!I18/'Balanço Patrimonial'!I53</f>
        <v>1.4341560564503555</v>
      </c>
      <c r="J11" s="117">
        <f>'Balanço Patrimonial'!J18/'Balanço Patrimonial'!J53</f>
        <v>1.7820243351593046</v>
      </c>
      <c r="K11" s="117">
        <f>'Balanço Patrimonial'!K18/'Balanço Patrimonial'!K53</f>
        <v>1.9001694390728896</v>
      </c>
      <c r="L11" s="117">
        <f>'Balanço Patrimonial'!L18/'Balanço Patrimonial'!L53</f>
        <v>2.0807542926895133</v>
      </c>
      <c r="M11" s="117">
        <f>'Balanço Patrimonial'!M18/'Balanço Patrimonial'!M53</f>
        <v>3.3011275638774928</v>
      </c>
      <c r="N11" s="117">
        <f>'Balanço Patrimonial'!N18/'Balanço Patrimonial'!N53</f>
        <v>1.5496457881218766</v>
      </c>
      <c r="O11" s="117">
        <f>'Balanço Patrimonial'!O18/'Balanço Patrimonial'!O53</f>
        <v>1.7509948445560146</v>
      </c>
      <c r="P11" s="88"/>
      <c r="Q11" s="4"/>
      <c r="R11" s="4"/>
      <c r="S11" s="4"/>
      <c r="T11" s="4"/>
      <c r="U11" s="4"/>
      <c r="V11" s="4"/>
      <c r="W11" s="4"/>
      <c r="X11" s="4"/>
      <c r="Y11" s="4"/>
      <c r="Z11" s="4"/>
      <c r="AA11" s="4"/>
      <c r="AB11" s="4"/>
      <c r="AC11" s="4"/>
      <c r="AD11" s="4"/>
    </row>
    <row r="12" spans="1:30" ht="30" customHeight="1">
      <c r="A12" s="167" t="s">
        <v>127</v>
      </c>
      <c r="B12" s="4"/>
      <c r="C12" s="4"/>
      <c r="D12" s="106"/>
      <c r="E12" s="116" t="s">
        <v>121</v>
      </c>
      <c r="F12" s="117">
        <f>('Balanço Patrimonial'!F18-'Balanço Patrimonial'!F26)/'Balanço Patrimonial'!F53</f>
        <v>1.3682089351251179</v>
      </c>
      <c r="G12" s="117">
        <f>('Balanço Patrimonial'!G18-'Balanço Patrimonial'!G26)/'Balanço Patrimonial'!G53</f>
        <v>1.3137770064285241</v>
      </c>
      <c r="H12" s="117">
        <f>('Balanço Patrimonial'!H18-'Balanço Patrimonial'!H26)/'Balanço Patrimonial'!H53</f>
        <v>0.79898076553412134</v>
      </c>
      <c r="I12" s="117">
        <f>('Balanço Patrimonial'!I18-'Balanço Patrimonial'!I26)/'Balanço Patrimonial'!I53</f>
        <v>1.3555070026149572</v>
      </c>
      <c r="J12" s="117">
        <f>('Balanço Patrimonial'!J18-'Balanço Patrimonial'!J26)/'Balanço Patrimonial'!J53</f>
        <v>1.7171034013814472</v>
      </c>
      <c r="K12" s="117">
        <f>('Balanço Patrimonial'!K18-'Balanço Patrimonial'!K26)/'Balanço Patrimonial'!K53</f>
        <v>1.8347624946355692</v>
      </c>
      <c r="L12" s="117">
        <f>('Balanço Patrimonial'!L18-'Balanço Patrimonial'!L26)/'Balanço Patrimonial'!L53</f>
        <v>2.0421981886231286</v>
      </c>
      <c r="M12" s="117">
        <f>('Balanço Patrimonial'!M18-'Balanço Patrimonial'!M26)/'Balanço Patrimonial'!M53</f>
        <v>3.2274375838373266</v>
      </c>
      <c r="N12" s="117">
        <f>('Balanço Patrimonial'!L18-'Balanço Patrimonial'!N26)/'Balanço Patrimonial'!N53</f>
        <v>0.70212369532226848</v>
      </c>
      <c r="O12" s="117">
        <f>('Balanço Patrimonial'!M18-'Balanço Patrimonial'!O26)/'Balanço Patrimonial'!O53</f>
        <v>1.8843298877912733</v>
      </c>
      <c r="P12" s="88"/>
      <c r="Q12" s="4"/>
      <c r="R12" s="4"/>
      <c r="S12" s="4"/>
      <c r="T12" s="4"/>
      <c r="U12" s="4"/>
      <c r="V12" s="4"/>
      <c r="W12" s="4"/>
      <c r="X12" s="4"/>
      <c r="Y12" s="4"/>
      <c r="Z12" s="4"/>
      <c r="AA12" s="4"/>
      <c r="AB12" s="4"/>
      <c r="AC12" s="4"/>
      <c r="AD12" s="4"/>
    </row>
    <row r="13" spans="1:30" ht="30" customHeight="1" thickBot="1">
      <c r="A13" s="12" t="s">
        <v>37</v>
      </c>
      <c r="B13" s="4"/>
      <c r="C13" s="4"/>
      <c r="D13" s="106"/>
      <c r="E13" s="186" t="s">
        <v>120</v>
      </c>
      <c r="F13" s="186">
        <f>('Balanço Patrimonial'!F19+'Balanço Patrimonial'!F23)/'Balanço Patrimonial'!F53</f>
        <v>1.0899289071667817</v>
      </c>
      <c r="G13" s="186">
        <f>('Balanço Patrimonial'!G19+'Balanço Patrimonial'!G23)/'Balanço Patrimonial'!G53</f>
        <v>0.99466333090330705</v>
      </c>
      <c r="H13" s="186">
        <f>('Balanço Patrimonial'!H19+'Balanço Patrimonial'!H23)/'Balanço Patrimonial'!H53</f>
        <v>0.46976953579686942</v>
      </c>
      <c r="I13" s="186">
        <f>('Balanço Patrimonial'!I19+'Balanço Patrimonial'!I23)/'Balanço Patrimonial'!I53</f>
        <v>1.3265776013455655</v>
      </c>
      <c r="J13" s="186">
        <f>('Balanço Patrimonial'!J19+'Balanço Patrimonial'!J23)/'Balanço Patrimonial'!J53</f>
        <v>2.2213333835545628</v>
      </c>
      <c r="K13" s="186">
        <f>('Balanço Patrimonial'!K19+'Balanço Patrimonial'!K23)/'Balanço Patrimonial'!K53</f>
        <v>2.3415067168657706</v>
      </c>
      <c r="L13" s="186">
        <f>('Balanço Patrimonial'!L19+'Balanço Patrimonial'!L23)/'Balanço Patrimonial'!L53</f>
        <v>2.9407382053982203</v>
      </c>
      <c r="M13" s="186">
        <f>('Balanço Patrimonial'!M19+'Balanço Patrimonial'!M23)/'Balanço Patrimonial'!M53</f>
        <v>5.0824393253839597</v>
      </c>
      <c r="N13" s="186">
        <f>('Balanço Patrimonial'!N19+'Balanço Patrimonial'!N23)/'Balanço Patrimonial'!N53</f>
        <v>1.7024721227604995</v>
      </c>
      <c r="O13" s="186">
        <f>('Balanço Patrimonial'!O19+'Balanço Patrimonial'!O23)/'Balanço Patrimonial'!O53</f>
        <v>1.2810183757360611</v>
      </c>
      <c r="P13" s="88"/>
      <c r="Q13" s="4"/>
      <c r="R13" s="4"/>
      <c r="S13" s="4"/>
      <c r="T13" s="4"/>
      <c r="U13" s="4"/>
      <c r="V13" s="4"/>
      <c r="W13" s="4"/>
      <c r="X13" s="4"/>
      <c r="Y13" s="4"/>
      <c r="Z13" s="4"/>
      <c r="AA13" s="4"/>
      <c r="AB13" s="4"/>
      <c r="AC13" s="4"/>
      <c r="AD13" s="4"/>
    </row>
    <row r="14" spans="1:30" ht="30" customHeight="1">
      <c r="A14" s="168" t="s">
        <v>100</v>
      </c>
      <c r="B14" s="4"/>
      <c r="C14" s="4"/>
      <c r="D14" s="4"/>
      <c r="E14" s="178"/>
      <c r="F14" s="178"/>
      <c r="G14" s="178"/>
      <c r="H14" s="178"/>
      <c r="I14" s="178"/>
      <c r="J14" s="178"/>
      <c r="K14" s="178"/>
      <c r="L14" s="178"/>
      <c r="M14" s="178"/>
      <c r="N14" s="178"/>
      <c r="O14" s="178"/>
      <c r="P14" s="4"/>
      <c r="Q14" s="4"/>
      <c r="R14" s="4"/>
      <c r="S14" s="4"/>
      <c r="T14" s="4"/>
      <c r="U14" s="4"/>
      <c r="V14" s="4"/>
      <c r="W14" s="4"/>
      <c r="X14" s="4"/>
      <c r="Y14" s="4"/>
      <c r="Z14" s="4"/>
      <c r="AA14" s="4"/>
      <c r="AB14" s="4"/>
      <c r="AC14" s="4"/>
      <c r="AD14" s="4"/>
    </row>
    <row r="15" spans="1:30" ht="30" customHeight="1">
      <c r="A15" s="12" t="s">
        <v>331</v>
      </c>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row>
    <row r="16" spans="1:30" ht="30" customHeight="1">
      <c r="A16" s="167" t="s">
        <v>129</v>
      </c>
      <c r="B16" s="4"/>
      <c r="C16" s="4"/>
      <c r="D16" s="4"/>
      <c r="E16" s="10"/>
      <c r="F16" s="51"/>
      <c r="G16" s="51"/>
      <c r="H16" s="51"/>
      <c r="I16" s="51"/>
      <c r="J16" s="51"/>
      <c r="K16" s="51"/>
      <c r="L16" s="51"/>
      <c r="M16" s="51"/>
      <c r="N16" s="51"/>
      <c r="O16" s="4"/>
      <c r="P16" s="4"/>
      <c r="Q16" s="4"/>
      <c r="R16" s="4"/>
      <c r="S16" s="4"/>
      <c r="T16" s="4"/>
      <c r="U16" s="4"/>
      <c r="V16" s="4"/>
      <c r="W16" s="4"/>
      <c r="X16" s="4"/>
      <c r="Y16" s="4"/>
      <c r="Z16" s="4"/>
      <c r="AA16" s="4"/>
      <c r="AB16" s="4"/>
      <c r="AC16" s="4"/>
      <c r="AD16" s="4"/>
    </row>
    <row r="17" spans="1:30" ht="30" customHeight="1">
      <c r="A17" s="167" t="s">
        <v>493</v>
      </c>
      <c r="B17" s="4"/>
      <c r="C17" s="4"/>
      <c r="D17" s="90"/>
      <c r="E17" s="103"/>
      <c r="F17" s="37">
        <v>2014</v>
      </c>
      <c r="G17" s="37">
        <v>2015</v>
      </c>
      <c r="H17" s="37">
        <v>2016</v>
      </c>
      <c r="I17" s="37">
        <v>2017</v>
      </c>
      <c r="J17" s="37">
        <v>2018</v>
      </c>
      <c r="K17" s="37">
        <v>2019</v>
      </c>
      <c r="L17" s="37">
        <v>2020</v>
      </c>
      <c r="M17" s="37">
        <v>2021</v>
      </c>
      <c r="N17" s="230">
        <v>2022</v>
      </c>
      <c r="O17" s="88"/>
      <c r="P17" s="4"/>
      <c r="Q17" s="4"/>
      <c r="R17" s="4"/>
      <c r="S17" s="4"/>
      <c r="T17" s="4"/>
      <c r="U17" s="4"/>
      <c r="V17" s="4"/>
      <c r="W17" s="4"/>
      <c r="X17" s="4"/>
      <c r="Y17" s="4"/>
      <c r="Z17" s="4"/>
      <c r="AA17" s="4"/>
      <c r="AB17" s="4"/>
      <c r="AC17" s="4"/>
      <c r="AD17" s="4"/>
    </row>
    <row r="18" spans="1:30" ht="30" customHeight="1">
      <c r="A18" s="12" t="s">
        <v>128</v>
      </c>
      <c r="B18" s="4"/>
      <c r="C18" s="4"/>
      <c r="D18" s="90"/>
      <c r="E18" s="116" t="s">
        <v>119</v>
      </c>
      <c r="F18" s="60">
        <f>'DRE Consolidado'!K45/'Balanço Patrimonial'!F89</f>
        <v>6.9328601684979799E-2</v>
      </c>
      <c r="G18" s="60">
        <f>'DRE Consolidado'!L45/'Balanço Patrimonial'!G89</f>
        <v>4.5849826399953719E-2</v>
      </c>
      <c r="H18" s="60">
        <f>'DRE Consolidado'!M45/'Balanço Patrimonial'!H89</f>
        <v>-0.30078375799891294</v>
      </c>
      <c r="I18" s="60">
        <f>'DRE Consolidado'!N45/'Balanço Patrimonial'!I89</f>
        <v>1.4056771936905122E-2</v>
      </c>
      <c r="J18" s="60">
        <f>'DRE Consolidado'!O45/'Balanço Patrimonial'!J89</f>
        <v>0.15151794274564898</v>
      </c>
      <c r="K18" s="60">
        <f>'DRE Consolidado'!P45/'Balanço Patrimonial'!K89</f>
        <v>0.13387813171885446</v>
      </c>
      <c r="L18" s="60">
        <f>'DRE Consolidado'!Q45/'Balanço Patrimonial'!L89</f>
        <v>0.13215224033376244</v>
      </c>
      <c r="M18" s="60">
        <f>'DRE Consolidado'!R45/'Balanço Patrimonial'!M89</f>
        <v>0.22817490977394553</v>
      </c>
      <c r="N18" s="60">
        <f>'DRE Consolidado'!S45/'Balanço Patrimonial'!N89</f>
        <v>0.16853253807540391</v>
      </c>
      <c r="O18" s="88"/>
      <c r="P18" s="4"/>
      <c r="Q18" s="4"/>
      <c r="R18" s="4"/>
      <c r="S18" s="4"/>
      <c r="T18" s="4"/>
      <c r="U18" s="4"/>
      <c r="V18" s="4"/>
      <c r="W18" s="4"/>
      <c r="X18" s="4"/>
      <c r="Y18" s="4"/>
      <c r="Z18" s="4"/>
      <c r="AA18" s="4"/>
      <c r="AB18" s="4"/>
      <c r="AC18" s="4"/>
      <c r="AD18" s="4"/>
    </row>
    <row r="19" spans="1:30" ht="30" customHeight="1">
      <c r="A19" s="12"/>
      <c r="B19" s="4"/>
      <c r="C19" s="4"/>
      <c r="D19" s="90"/>
      <c r="E19" s="116" t="s">
        <v>118</v>
      </c>
      <c r="F19" s="60">
        <f>'DRE Consolidado'!K45/'Balanço Patrimonial'!F17</f>
        <v>9.7036515012060582E-3</v>
      </c>
      <c r="G19" s="60">
        <f>'DRE Consolidado'!L45/'Balanço Patrimonial'!G17</f>
        <v>5.3486407639836914E-3</v>
      </c>
      <c r="H19" s="60">
        <f>'DRE Consolidado'!M45/'Balanço Patrimonial'!H17</f>
        <v>-2.0654723640149506E-2</v>
      </c>
      <c r="I19" s="60">
        <f>'DRE Consolidado'!N45/'Balanço Patrimonial'!I17</f>
        <v>1.4536223350402108E-3</v>
      </c>
      <c r="J19" s="60">
        <f>'DRE Consolidado'!O45/'Balanço Patrimonial'!J17</f>
        <v>1.1917005681130233E-2</v>
      </c>
      <c r="K19" s="60">
        <f>'DRE Consolidado'!P45/'Balanço Patrimonial'!K17</f>
        <v>1.5735940230639373E-2</v>
      </c>
      <c r="L19" s="60">
        <f>'DRE Consolidado'!Q45/'Balanço Patrimonial'!L17</f>
        <v>1.6666726650958086E-2</v>
      </c>
      <c r="M19" s="60">
        <f>'DRE Consolidado'!R45/'Balanço Patrimonial'!M17</f>
        <v>2.7704816237192502E-2</v>
      </c>
      <c r="N19" s="60">
        <f>'DRE Consolidado'!S45/'Balanço Patrimonial'!N17</f>
        <v>1.5256477694585786E-2</v>
      </c>
      <c r="O19" s="88"/>
      <c r="P19" s="4"/>
      <c r="Q19" s="4"/>
      <c r="R19" s="4"/>
      <c r="S19" s="4"/>
      <c r="T19" s="4"/>
      <c r="U19" s="4"/>
      <c r="V19" s="4"/>
      <c r="W19" s="4"/>
      <c r="X19" s="4"/>
      <c r="Y19" s="4"/>
      <c r="Z19" s="4"/>
      <c r="AA19" s="4"/>
      <c r="AB19" s="4"/>
      <c r="AC19" s="4"/>
      <c r="AD19" s="4"/>
    </row>
    <row r="20" spans="1:30" ht="30" customHeight="1" thickBot="1">
      <c r="A20" s="143"/>
      <c r="B20" s="4"/>
      <c r="C20" s="4"/>
      <c r="D20" s="90"/>
      <c r="E20" s="186" t="s">
        <v>26</v>
      </c>
      <c r="F20" s="187">
        <f>'DRE + DCF'!K39</f>
        <v>8.749605118837156E-2</v>
      </c>
      <c r="G20" s="187">
        <f>'DRE + DCF'!L39</f>
        <v>9.2741799701985914E-2</v>
      </c>
      <c r="H20" s="187">
        <f>'DRE + DCF'!M39</f>
        <v>9.0692944750984772E-2</v>
      </c>
      <c r="I20" s="187">
        <f>'DRE + DCF'!N39</f>
        <v>9.2089721960406726E-2</v>
      </c>
      <c r="J20" s="187">
        <f>'DRE + DCF'!O39</f>
        <v>9.8681458889431931E-2</v>
      </c>
      <c r="K20" s="187">
        <f>'DRE + DCF'!P39</f>
        <v>0.10811251665869327</v>
      </c>
      <c r="L20" s="187">
        <f>'DRE + DCF'!Q39</f>
        <v>8.4555268280735951E-2</v>
      </c>
      <c r="M20" s="187">
        <f>'DRE + DCF'!R39</f>
        <v>0.12089622240749426</v>
      </c>
      <c r="N20" s="187">
        <f>'DRE + DCF'!S39</f>
        <v>0.15951948478766095</v>
      </c>
      <c r="O20" s="88"/>
      <c r="P20" s="4"/>
      <c r="Q20" s="4"/>
      <c r="R20" s="4"/>
      <c r="S20" s="4"/>
      <c r="T20" s="4"/>
      <c r="U20" s="4"/>
      <c r="V20" s="4"/>
      <c r="W20" s="4"/>
      <c r="X20" s="4"/>
      <c r="Y20" s="4"/>
      <c r="Z20" s="4"/>
      <c r="AA20" s="4"/>
      <c r="AB20" s="4"/>
      <c r="AC20" s="4"/>
      <c r="AD20" s="4"/>
    </row>
    <row r="21" spans="1:30" ht="30" customHeight="1">
      <c r="A21" s="143"/>
      <c r="B21" s="4"/>
      <c r="C21" s="4"/>
      <c r="D21" s="4"/>
      <c r="E21" s="178"/>
      <c r="F21" s="178"/>
      <c r="G21" s="178"/>
      <c r="H21" s="178"/>
      <c r="I21" s="178"/>
      <c r="J21" s="178"/>
      <c r="K21" s="178"/>
      <c r="L21" s="178"/>
      <c r="M21" s="178"/>
      <c r="N21" s="178"/>
      <c r="O21" s="4"/>
      <c r="P21" s="4"/>
      <c r="Q21" s="4"/>
      <c r="R21" s="4"/>
      <c r="S21" s="4"/>
      <c r="T21" s="4"/>
      <c r="U21" s="4"/>
      <c r="V21" s="4"/>
      <c r="W21" s="4"/>
      <c r="X21" s="4"/>
      <c r="Y21" s="4"/>
      <c r="Z21" s="4"/>
      <c r="AA21" s="4"/>
      <c r="AB21" s="4"/>
      <c r="AC21" s="4"/>
      <c r="AD21" s="4"/>
    </row>
    <row r="22" spans="1:30" ht="30" customHeight="1">
      <c r="A22" s="143"/>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row>
    <row r="23" spans="1:30" ht="30" customHeight="1">
      <c r="A23" s="143"/>
      <c r="B23" s="4"/>
      <c r="C23" s="4"/>
      <c r="D23" s="4"/>
      <c r="E23" s="4"/>
      <c r="F23" s="4"/>
      <c r="G23" s="4"/>
      <c r="H23" s="4"/>
      <c r="I23" s="4"/>
      <c r="J23" s="4">
        <v>-624650</v>
      </c>
      <c r="K23" s="4"/>
      <c r="L23" s="4"/>
      <c r="M23" s="4"/>
      <c r="N23" s="4"/>
      <c r="O23" s="4"/>
      <c r="P23" s="4"/>
      <c r="Q23" s="4"/>
      <c r="R23" s="4"/>
      <c r="S23" s="4"/>
      <c r="T23" s="4"/>
      <c r="U23" s="4"/>
      <c r="V23" s="4"/>
      <c r="W23" s="4"/>
      <c r="X23" s="4"/>
      <c r="Y23" s="4"/>
      <c r="Z23" s="4"/>
      <c r="AA23" s="4"/>
      <c r="AB23" s="4"/>
      <c r="AC23" s="4"/>
      <c r="AD23" s="4"/>
    </row>
    <row r="24" spans="1:30" ht="30" customHeight="1">
      <c r="A24" s="143"/>
      <c r="B24" s="4"/>
      <c r="C24" s="4"/>
      <c r="D24" s="4"/>
      <c r="E24" s="118"/>
      <c r="F24" s="37">
        <v>2014</v>
      </c>
      <c r="G24" s="37">
        <v>2015</v>
      </c>
      <c r="H24" s="37">
        <v>2016</v>
      </c>
      <c r="I24" s="37">
        <v>2017</v>
      </c>
      <c r="J24" s="37">
        <v>2018</v>
      </c>
      <c r="K24" s="37">
        <v>2019</v>
      </c>
      <c r="L24" s="37">
        <v>2020</v>
      </c>
      <c r="M24" s="37">
        <v>2021</v>
      </c>
      <c r="N24" s="230">
        <v>2022</v>
      </c>
      <c r="O24" s="88"/>
      <c r="P24" s="4"/>
      <c r="Q24" s="4"/>
      <c r="R24" s="4"/>
      <c r="S24" s="4"/>
      <c r="T24" s="4"/>
      <c r="U24" s="4"/>
      <c r="V24" s="4"/>
      <c r="W24" s="4"/>
      <c r="X24" s="4"/>
      <c r="Y24" s="4"/>
      <c r="Z24" s="4"/>
      <c r="AA24" s="4"/>
      <c r="AB24" s="4"/>
      <c r="AC24" s="4"/>
      <c r="AD24" s="4"/>
    </row>
    <row r="25" spans="1:30" ht="30" customHeight="1">
      <c r="A25" s="143"/>
      <c r="B25" s="4"/>
      <c r="C25" s="4"/>
      <c r="D25" s="90"/>
      <c r="E25" s="116" t="s">
        <v>117</v>
      </c>
      <c r="F25" s="120">
        <f>SUM('Balanço Patrimonial'!F55:F60,'Balanço Patrimonial'!F74:F77,-'Balanço Patrimonial'!F19,-'Balanço Patrimonial'!F23,-'Balanço Patrimonial'!F37)/('DRE Consolidado'!K34+'Projeções - CG + Capex'!K57+'DRE Consolidado'!K55)</f>
        <v>3.7030082845493557</v>
      </c>
      <c r="G25" s="120">
        <f>SUM('Balanço Patrimonial'!G55:G60,'Balanço Patrimonial'!G74:G77,-'Balanço Patrimonial'!G19,-'Balanço Patrimonial'!G23,-'Balanço Patrimonial'!G37)/('DRE Consolidado'!L34+'Projeções - CG + Capex'!L57+'DRE Consolidado'!L55)</f>
        <v>3.623152495098807</v>
      </c>
      <c r="H25" s="120">
        <f>SUM('Balanço Patrimonial'!H55:H60,'Balanço Patrimonial'!H74:H77,-'Balanço Patrimonial'!H19,-'Balanço Patrimonial'!H23,-'Balanço Patrimonial'!H37)/('DRE Consolidado'!M34+'Projeções - CG + Capex'!M57+'DRE Consolidado'!M55)</f>
        <v>4.6164918687916483</v>
      </c>
      <c r="I25" s="120">
        <f>SUM('Balanço Patrimonial'!I55:I60,'Balanço Patrimonial'!I74:I77,-'Balanço Patrimonial'!I19,-'Balanço Patrimonial'!I23,-'Balanço Patrimonial'!I37)/('DRE Consolidado'!N34+'Projeções - CG + Capex'!N57+'DRE Consolidado'!N55)</f>
        <v>3.4008003570148291</v>
      </c>
      <c r="J25" s="120">
        <f>SUM('Balanço Patrimonial'!J55:J60,'Balanço Patrimonial'!J74:J77,-'Balanço Patrimonial'!J19,-'Balanço Patrimonial'!J23,-'Balanço Patrimonial'!J37)/('DRE Consolidado'!O34+'Projeções - CG + Capex'!O57+'DRE Consolidado'!O55)</f>
        <v>1.9569361278069826</v>
      </c>
      <c r="K25" s="120">
        <f>SUM('Balanço Patrimonial'!K55:K60,'Balanço Patrimonial'!K74:K77,-'Balanço Patrimonial'!K19,-'Balanço Patrimonial'!K23,-'Balanço Patrimonial'!K37)/('DRE Consolidado'!P34+'Projeções - CG + Capex'!P57+'DRE Consolidado'!P55)</f>
        <v>1.7370326417629491</v>
      </c>
      <c r="L25" s="120">
        <f>SUM('Balanço Patrimonial'!L55:L60,'Balanço Patrimonial'!L74:L77,-'Balanço Patrimonial'!L19,-'Balanço Patrimonial'!L23,-'Balanço Patrimonial'!L37)/('DRE Consolidado'!Q34+'Projeções - CG + Capex'!Q57+'DRE Consolidado'!Q55)</f>
        <v>0.71489470969006996</v>
      </c>
      <c r="M25" s="120">
        <f>SUM('Balanço Patrimonial'!M55:M60,'Balanço Patrimonial'!M74:M77,-'Balanço Patrimonial'!M19,-'Balanço Patrimonial'!M23,-'Balanço Patrimonial'!M37)/('DRE Consolidado'!R34+'Projeções - CG + Capex'!R57+'DRE Consolidado'!R55)</f>
        <v>-0.41322802658446439</v>
      </c>
      <c r="N25" s="120">
        <f>SUM('Balanço Patrimonial'!N55:N60,'Balanço Patrimonial'!N74:N77,-'Balanço Patrimonial'!N19,-'Balanço Patrimonial'!N23,-'Balanço Patrimonial'!N37)/('DRE Consolidado'!S34+'Projeções - CG + Capex'!S57+'DRE Consolidado'!S55)</f>
        <v>2.3347058221274515</v>
      </c>
      <c r="O25" s="88"/>
      <c r="P25" s="4"/>
      <c r="Q25" s="4"/>
      <c r="R25" s="4"/>
      <c r="S25" s="4"/>
      <c r="T25" s="4"/>
      <c r="U25" s="4"/>
      <c r="V25" s="4"/>
      <c r="W25" s="4"/>
      <c r="X25" s="4"/>
      <c r="Y25" s="4"/>
      <c r="Z25" s="4"/>
      <c r="AA25" s="4"/>
      <c r="AB25" s="4"/>
      <c r="AC25" s="4"/>
      <c r="AD25" s="4"/>
    </row>
    <row r="26" spans="1:30" ht="30" customHeight="1">
      <c r="A26" s="143"/>
      <c r="B26" s="4"/>
      <c r="C26" s="4"/>
      <c r="D26" s="90"/>
      <c r="E26" s="116" t="s">
        <v>116</v>
      </c>
      <c r="F26" s="120">
        <f>-'DRE Consolidado'!K34/'DRE Consolidado'!K40</f>
        <v>1.0036056355232534</v>
      </c>
      <c r="G26" s="120">
        <f>-'DRE Consolidado'!L34/'DRE Consolidado'!L40</f>
        <v>0.81634866023144959</v>
      </c>
      <c r="H26" s="120">
        <f>-'DRE Consolidado'!M34/'DRE Consolidado'!M40</f>
        <v>0.52504800121266226</v>
      </c>
      <c r="I26" s="120">
        <f>-'DRE Consolidado'!N34/'DRE Consolidado'!N40</f>
        <v>0.80044676944333348</v>
      </c>
      <c r="J26" s="120">
        <f>-'DRE Consolidado'!O34/'DRE Consolidado'!O40</f>
        <v>0.96165172547716382</v>
      </c>
      <c r="K26" s="120">
        <f>-'DRE Consolidado'!P34/'DRE Consolidado'!P40</f>
        <v>1.0580478658872836</v>
      </c>
      <c r="L26" s="120">
        <f>-'DRE Consolidado'!Q34/'DRE Consolidado'!Q40</f>
        <v>0.9770252759907494</v>
      </c>
      <c r="M26" s="120">
        <f>-'DRE Consolidado'!R34/'DRE Consolidado'!R40</f>
        <v>1.6021612575519908</v>
      </c>
      <c r="N26" s="120">
        <f>-'DRE Consolidado'!S34/'DRE Consolidado'!S40</f>
        <v>0.95490189089317046</v>
      </c>
      <c r="O26" s="88"/>
      <c r="P26" s="4"/>
      <c r="Q26" s="4"/>
      <c r="R26" s="4"/>
      <c r="S26" s="4"/>
      <c r="T26" s="4"/>
      <c r="U26" s="4"/>
      <c r="V26" s="4"/>
      <c r="W26" s="4"/>
      <c r="X26" s="4"/>
      <c r="Y26" s="4"/>
      <c r="Z26" s="4"/>
      <c r="AA26" s="4"/>
      <c r="AB26" s="4"/>
      <c r="AC26" s="4"/>
      <c r="AD26" s="4"/>
    </row>
    <row r="27" spans="1:30" ht="30" customHeight="1">
      <c r="A27" s="143"/>
      <c r="B27" s="4"/>
      <c r="C27" s="4"/>
      <c r="D27" s="90"/>
      <c r="E27" s="116" t="s">
        <v>115</v>
      </c>
      <c r="F27" s="120">
        <f>SUM('Balanço Patrimonial'!F55:F60,'Balanço Patrimonial'!F74:F77)/'Balanço Patrimonial'!F17</f>
        <v>0.70690150110559202</v>
      </c>
      <c r="G27" s="120">
        <f>SUM('Balanço Patrimonial'!G55:G60,'Balanço Patrimonial'!G74:G77)/'Balanço Patrimonial'!G17</f>
        <v>0.72844595912312071</v>
      </c>
      <c r="H27" s="120">
        <f>SUM('Balanço Patrimonial'!H55:H60,'Balanço Patrimonial'!H74:H77)/'Balanço Patrimonial'!H17</f>
        <v>0.71368500886802022</v>
      </c>
      <c r="I27" s="120">
        <f>SUM('Balanço Patrimonial'!I55:I60,'Balanço Patrimonial'!I74:I77)/'Balanço Patrimonial'!I17</f>
        <v>0.72524833656843568</v>
      </c>
      <c r="J27" s="120">
        <f>SUM('Balanço Patrimonial'!J55:J60,'Balanço Patrimonial'!J74:J77)/'Balanço Patrimonial'!J17</f>
        <v>0.76193656602507476</v>
      </c>
      <c r="K27" s="120">
        <f>SUM('Balanço Patrimonial'!K55:K60,'Balanço Patrimonial'!K74:K77)/'Balanço Patrimonial'!K17</f>
        <v>0.72262563737657315</v>
      </c>
      <c r="L27" s="120">
        <f>SUM('Balanço Patrimonial'!L55:L60,'Balanço Patrimonial'!L74:L77)/'Balanço Patrimonial'!L17</f>
        <v>0.70134293353229338</v>
      </c>
      <c r="M27" s="120">
        <f>SUM('Balanço Patrimonial'!M55:M60,'Balanço Patrimonial'!M74:M77)/'Balanço Patrimonial'!M17</f>
        <v>0.72033239358563306</v>
      </c>
      <c r="N27" s="120">
        <f>SUM('Balanço Patrimonial'!N55:N60,'Balanço Patrimonial'!N74:N77)/'Balanço Patrimonial'!N17</f>
        <v>0.65320915438937777</v>
      </c>
      <c r="O27" s="88"/>
      <c r="P27" s="4"/>
      <c r="Q27" s="4"/>
      <c r="R27" s="4"/>
      <c r="S27" s="4"/>
      <c r="T27" s="4"/>
      <c r="U27" s="4"/>
      <c r="V27" s="4"/>
      <c r="W27" s="4"/>
      <c r="X27" s="4"/>
      <c r="Y27" s="4"/>
      <c r="Z27" s="4"/>
      <c r="AA27" s="4"/>
      <c r="AB27" s="4"/>
      <c r="AC27" s="4"/>
      <c r="AD27" s="4"/>
    </row>
    <row r="28" spans="1:30" ht="30" customHeight="1">
      <c r="A28" s="143"/>
      <c r="B28" s="4"/>
      <c r="C28" s="4"/>
      <c r="D28" s="90"/>
      <c r="E28" s="116" t="s">
        <v>114</v>
      </c>
      <c r="F28" s="120">
        <f>SUM('Balanço Patrimonial'!F55:F60,'Balanço Patrimonial'!F74:F77)/'Balanço Patrimonial'!F89</f>
        <v>5.0505206822990987</v>
      </c>
      <c r="G28" s="120">
        <f>SUM('Balanço Patrimonial'!G55:G60,'Balanço Patrimonial'!G74:G77)/'Balanço Patrimonial'!G89</f>
        <v>6.2444127847290787</v>
      </c>
      <c r="H28" s="120">
        <f>SUM('Balanço Patrimonial'!H55:H60,'Balanço Patrimonial'!H74:H77)/'Balanço Patrimonial'!H89</f>
        <v>10.393015308979308</v>
      </c>
      <c r="I28" s="120">
        <f>SUM('Balanço Patrimonial'!I55:I60,'Balanço Patrimonial'!I74:I77)/'Balanço Patrimonial'!I89</f>
        <v>7.0132731308646958</v>
      </c>
      <c r="J28" s="120">
        <f>SUM('Balanço Patrimonial'!J55:J60,'Balanço Patrimonial'!J74:J77)/'Balanço Patrimonial'!J89</f>
        <v>9.6875896576609186</v>
      </c>
      <c r="K28" s="120">
        <f>SUM('Balanço Patrimonial'!K55:K60,'Balanço Patrimonial'!K74:K77)/'Balanço Patrimonial'!K89</f>
        <v>6.1479497790511868</v>
      </c>
      <c r="L28" s="120">
        <f>SUM('Balanço Patrimonial'!L55:L60,'Balanço Patrimonial'!L74:L77)/'Balanço Patrimonial'!L89</f>
        <v>5.5610223800735143</v>
      </c>
      <c r="M28" s="120">
        <f>SUM('Balanço Patrimonial'!M55:M60,'Balanço Patrimonial'!M74:M77)/'Balanço Patrimonial'!M89</f>
        <v>5.9326067174198958</v>
      </c>
      <c r="N28" s="120">
        <f>SUM('Balanço Patrimonial'!N55:N60,'Balanço Patrimonial'!N74:N77)/'Balanço Patrimonial'!N89</f>
        <v>7.2157544413018631</v>
      </c>
      <c r="O28" s="88"/>
      <c r="P28" s="4"/>
      <c r="Q28" s="4"/>
      <c r="R28" s="4"/>
      <c r="S28" s="4"/>
      <c r="T28" s="4"/>
      <c r="U28" s="4"/>
      <c r="V28" s="4"/>
      <c r="W28" s="4"/>
      <c r="X28" s="4"/>
      <c r="Y28" s="4"/>
      <c r="Z28" s="4"/>
      <c r="AA28" s="4"/>
      <c r="AB28" s="4"/>
      <c r="AC28" s="4"/>
      <c r="AD28" s="4"/>
    </row>
    <row r="29" spans="1:30" ht="30" customHeight="1" thickBot="1">
      <c r="A29" s="143"/>
      <c r="B29" s="4"/>
      <c r="C29" s="4"/>
      <c r="D29" s="90"/>
      <c r="E29" s="185" t="s">
        <v>113</v>
      </c>
      <c r="F29" s="197">
        <f>SUM('Balanço Patrimonial'!F55:F60,'Balanço Patrimonial'!F74:F77)/(SUM('Balanço Patrimonial'!F55:F60,'Balanço Patrimonial'!F74:F77)+'Balanço Patrimonial'!F89)</f>
        <v>0.834724967898132</v>
      </c>
      <c r="G29" s="197">
        <f>SUM('Balanço Patrimonial'!G55:G60,'Balanço Patrimonial'!G74:G77)/(SUM('Balanço Patrimonial'!G55:G60,'Balanço Patrimonial'!G74:G77)+'Balanço Patrimonial'!G89)</f>
        <v>0.86196258693210326</v>
      </c>
      <c r="H29" s="197">
        <f>SUM('Balanço Patrimonial'!H55:H60,'Balanço Patrimonial'!H74:H77)/(SUM('Balanço Patrimonial'!H55:H60,'Balanço Patrimonial'!H74:H77)+'Balanço Patrimonial'!H89)</f>
        <v>0.91222692387573123</v>
      </c>
      <c r="I29" s="197">
        <f>SUM('Balanço Patrimonial'!I55:I60,'Balanço Patrimonial'!I74:I77)/(SUM('Balanço Patrimonial'!I55:I60,'Balanço Patrimonial'!I74:I77)+'Balanço Patrimonial'!I89)</f>
        <v>0.8752070491459597</v>
      </c>
      <c r="J29" s="197">
        <f>SUM('Balanço Patrimonial'!J55:J60,'Balanço Patrimonial'!J74:J77)/(SUM('Balanço Patrimonial'!J55:J60,'Balanço Patrimonial'!J74:J77)+'Balanço Patrimonial'!J89)</f>
        <v>0.90643353346905542</v>
      </c>
      <c r="K29" s="197">
        <f>SUM('Balanço Patrimonial'!K55:K60,'Balanço Patrimonial'!K74:K77)/(SUM('Balanço Patrimonial'!K55:K60,'Balanço Patrimonial'!K74:K77)+'Balanço Patrimonial'!K89)</f>
        <v>0.86009974455462124</v>
      </c>
      <c r="L29" s="197">
        <f>SUM('Balanço Patrimonial'!L55:L60,'Balanço Patrimonial'!L74:L77)/(SUM('Balanço Patrimonial'!L55:L60,'Balanço Patrimonial'!L74:L77)+'Balanço Patrimonial'!L89)</f>
        <v>0.84758472962428832</v>
      </c>
      <c r="M29" s="197">
        <f>SUM('Balanço Patrimonial'!M55:M60,'Balanço Patrimonial'!M74:M77)/(SUM('Balanço Patrimonial'!M55:M60,'Balanço Patrimonial'!M74:M77)+'Balanço Patrimonial'!M89)</f>
        <v>0.8557541137466731</v>
      </c>
      <c r="N29" s="197">
        <f>SUM('Balanço Patrimonial'!N55:N60,'Balanço Patrimonial'!N74:N77)/(SUM('Balanço Patrimonial'!N55:N60,'Balanço Patrimonial'!N74:N77)+'Balanço Patrimonial'!N89)</f>
        <v>0.8782826328191059</v>
      </c>
      <c r="O29" s="88"/>
      <c r="P29" s="4"/>
      <c r="Q29" s="4"/>
      <c r="R29" s="4"/>
      <c r="S29" s="4"/>
      <c r="T29" s="4"/>
      <c r="U29" s="4"/>
      <c r="V29" s="4"/>
      <c r="W29" s="4"/>
      <c r="X29" s="4"/>
      <c r="Y29" s="4"/>
    </row>
    <row r="30" spans="1:30" ht="30" customHeight="1">
      <c r="A30" s="143"/>
      <c r="B30" s="4"/>
      <c r="C30" s="4"/>
      <c r="D30" s="4"/>
      <c r="E30" s="181"/>
      <c r="F30" s="182"/>
      <c r="G30" s="182"/>
      <c r="H30" s="182"/>
      <c r="I30" s="182"/>
      <c r="J30" s="182"/>
      <c r="K30" s="182"/>
      <c r="L30" s="182"/>
      <c r="M30" s="182"/>
      <c r="N30" s="182"/>
      <c r="O30" s="4"/>
      <c r="P30" s="4"/>
      <c r="Q30" s="4"/>
      <c r="R30" s="4"/>
      <c r="S30" s="4"/>
      <c r="T30" s="4"/>
      <c r="U30" s="4"/>
      <c r="V30" s="4"/>
      <c r="W30" s="4"/>
      <c r="X30" s="4"/>
      <c r="Y30" s="4"/>
    </row>
    <row r="31" spans="1:30" ht="30" customHeight="1">
      <c r="A31" s="143"/>
      <c r="B31" s="4"/>
      <c r="C31" s="4"/>
      <c r="D31" s="4"/>
      <c r="E31" s="10"/>
      <c r="F31" s="51"/>
      <c r="G31" s="51"/>
      <c r="H31" s="51"/>
      <c r="I31" s="51"/>
      <c r="J31" s="51"/>
      <c r="K31" s="51"/>
      <c r="L31" s="51"/>
      <c r="M31" s="51"/>
      <c r="N31" s="51"/>
      <c r="O31" s="4"/>
      <c r="P31" s="4"/>
      <c r="Q31" s="4"/>
      <c r="R31" s="4"/>
      <c r="S31" s="4"/>
      <c r="T31" s="4"/>
      <c r="U31" s="4"/>
      <c r="V31" s="4"/>
      <c r="W31" s="4"/>
      <c r="X31" s="4"/>
      <c r="Y31" s="4"/>
    </row>
    <row r="32" spans="1:30" ht="30" customHeight="1">
      <c r="A32" s="143"/>
      <c r="B32" s="4"/>
      <c r="C32" s="4"/>
      <c r="D32" s="4"/>
      <c r="E32" s="10"/>
      <c r="F32" s="51"/>
      <c r="G32" s="51"/>
      <c r="H32" s="51"/>
      <c r="I32" s="51"/>
      <c r="J32" s="51"/>
      <c r="K32" s="51">
        <v>-67020</v>
      </c>
      <c r="L32" s="51"/>
      <c r="M32" s="51"/>
      <c r="N32" s="51"/>
      <c r="O32" s="4"/>
      <c r="P32" s="4"/>
      <c r="Q32" s="4"/>
      <c r="R32" s="4"/>
      <c r="S32" s="4"/>
      <c r="T32" s="4"/>
      <c r="U32" s="4"/>
      <c r="V32" s="4"/>
      <c r="W32" s="4"/>
      <c r="X32" s="4"/>
      <c r="Y32" s="4"/>
    </row>
    <row r="33" spans="1:30" ht="30" customHeight="1">
      <c r="A33" s="143"/>
      <c r="B33" s="4"/>
      <c r="C33" s="4"/>
      <c r="D33" s="90"/>
      <c r="E33" s="103"/>
      <c r="F33" s="37">
        <v>2014</v>
      </c>
      <c r="G33" s="37">
        <v>2015</v>
      </c>
      <c r="H33" s="37">
        <v>2016</v>
      </c>
      <c r="I33" s="37">
        <v>2017</v>
      </c>
      <c r="J33" s="37">
        <v>2018</v>
      </c>
      <c r="K33" s="37">
        <v>2019</v>
      </c>
      <c r="L33" s="37">
        <v>2020</v>
      </c>
      <c r="M33" s="37">
        <v>2021</v>
      </c>
      <c r="N33" s="230">
        <v>2022</v>
      </c>
      <c r="O33" s="88"/>
      <c r="P33" s="4"/>
      <c r="Q33" s="4"/>
      <c r="R33" s="4"/>
      <c r="S33" s="4"/>
      <c r="T33" s="4"/>
      <c r="U33" s="4"/>
      <c r="V33" s="4"/>
      <c r="W33" s="4"/>
      <c r="X33" s="4"/>
      <c r="Y33" s="4"/>
    </row>
    <row r="34" spans="1:30" ht="30" customHeight="1">
      <c r="A34" s="143"/>
      <c r="B34" s="4"/>
      <c r="C34" s="4"/>
      <c r="D34" s="90"/>
      <c r="E34" s="116" t="s">
        <v>112</v>
      </c>
      <c r="F34" s="120">
        <f>'Balanço Patrimonial'!F25*365/'DRE Consolidado'!K13</f>
        <v>55.869667044630141</v>
      </c>
      <c r="G34" s="120">
        <f>'Balanço Patrimonial'!G25*365/'DRE Consolidado'!L13</f>
        <v>56.063257159295155</v>
      </c>
      <c r="H34" s="120">
        <f>'Balanço Patrimonial'!H25*365/'DRE Consolidado'!M13</f>
        <v>50.353847381875404</v>
      </c>
      <c r="I34" s="120">
        <f>'Balanço Patrimonial'!I25*365/'DRE Consolidado'!N13</f>
        <v>53.942605388478221</v>
      </c>
      <c r="J34" s="120">
        <f>'Balanço Patrimonial'!J25*365/'DRE Consolidado'!O13</f>
        <v>52.937311334664571</v>
      </c>
      <c r="K34" s="120">
        <f>'Balanço Patrimonial'!K25*365/'DRE Consolidado'!P13</f>
        <v>59.679875990018004</v>
      </c>
      <c r="L34" s="120">
        <f>'Balanço Patrimonial'!L25*365/'DRE Consolidado'!Q13</f>
        <v>64.927069405950974</v>
      </c>
      <c r="M34" s="120">
        <f>'Balanço Patrimonial'!M25*365/'DRE Consolidado'!R13</f>
        <v>77.007106859470227</v>
      </c>
      <c r="N34" s="120">
        <f>'Balanço Patrimonial'!N25*365/'DRE Consolidado'!S13</f>
        <v>60.280517751525807</v>
      </c>
      <c r="O34" s="88"/>
      <c r="P34" s="4"/>
      <c r="Q34" s="4"/>
      <c r="R34" s="4"/>
      <c r="S34" s="4"/>
      <c r="T34" s="4"/>
      <c r="U34" s="4"/>
      <c r="V34" s="4"/>
      <c r="W34" s="4"/>
      <c r="X34" s="4"/>
      <c r="Y34" s="4"/>
      <c r="Z34" s="4"/>
      <c r="AA34" s="4"/>
      <c r="AB34" s="4"/>
      <c r="AC34" s="4"/>
      <c r="AD34" s="4"/>
    </row>
    <row r="35" spans="1:30" ht="30" customHeight="1">
      <c r="A35" s="143"/>
      <c r="B35" s="4"/>
      <c r="C35" s="4"/>
      <c r="D35" s="90"/>
      <c r="E35" s="116" t="s">
        <v>111</v>
      </c>
      <c r="F35" s="120">
        <f>'Balanço Patrimonial'!F26*365/-'DRE Consolidado'!K18</f>
        <v>27.762313198923401</v>
      </c>
      <c r="G35" s="120">
        <f>'Balanço Patrimonial'!G26*365/-'DRE Consolidado'!L18</f>
        <v>18.298043037674066</v>
      </c>
      <c r="H35" s="120">
        <f>'Balanço Patrimonial'!H26*365/-'DRE Consolidado'!M18</f>
        <v>15.263720483746866</v>
      </c>
      <c r="I35" s="120">
        <f>'Balanço Patrimonial'!I26*365/-'DRE Consolidado'!N18</f>
        <v>22.282365157989034</v>
      </c>
      <c r="J35" s="120">
        <f>'Balanço Patrimonial'!J26*365/-'DRE Consolidado'!O18</f>
        <v>20.349176033469384</v>
      </c>
      <c r="K35" s="120">
        <f>'Balanço Patrimonial'!K26*365/-'DRE Consolidado'!P18</f>
        <v>21.891290322707082</v>
      </c>
      <c r="L35" s="120">
        <f>'Balanço Patrimonial'!L26*365/-'DRE Consolidado'!Q18</f>
        <v>15.042167717860899</v>
      </c>
      <c r="M35" s="120">
        <f>'Balanço Patrimonial'!M26*365/-'DRE Consolidado'!R18</f>
        <v>26.281176869051468</v>
      </c>
      <c r="N35" s="120">
        <f>'Balanço Patrimonial'!N26*365/-'DRE Consolidado'!S18</f>
        <v>48.986520418984526</v>
      </c>
      <c r="O35" s="88"/>
      <c r="P35" s="4"/>
      <c r="Q35" s="4"/>
      <c r="R35" s="4"/>
      <c r="S35" s="4"/>
      <c r="T35" s="4"/>
      <c r="U35" s="4"/>
      <c r="V35" s="4"/>
      <c r="W35" s="4"/>
      <c r="X35" s="4"/>
      <c r="Y35" s="4"/>
    </row>
    <row r="36" spans="1:30" ht="30" customHeight="1">
      <c r="A36" s="143"/>
      <c r="B36" s="4"/>
      <c r="C36" s="4"/>
      <c r="D36" s="90"/>
      <c r="E36" s="116" t="s">
        <v>110</v>
      </c>
      <c r="F36" s="120">
        <f>-('Balanço Patrimonial'!F54+'Balanço Patrimonial'!F62)*365/('DRE Consolidado'!K18+'DRE Consolidado'!K23+'DRE Consolidado'!K55+'Projeções - CG + Capex'!K57)</f>
        <v>43.973439682566742</v>
      </c>
      <c r="G36" s="120">
        <f>-('Balanço Patrimonial'!G54+'Balanço Patrimonial'!G62)*365/('DRE Consolidado'!L18+'DRE Consolidado'!L23+'DRE Consolidado'!L55+'Projeções - CG + Capex'!L57)</f>
        <v>60.728968838218272</v>
      </c>
      <c r="H36" s="120">
        <f>-('Balanço Patrimonial'!H54+'Balanço Patrimonial'!H62)*365/('DRE Consolidado'!M18+'DRE Consolidado'!M23+'DRE Consolidado'!M55+'Projeções - CG + Capex'!M57)</f>
        <v>102.12369304575823</v>
      </c>
      <c r="I36" s="120">
        <f>-('Balanço Patrimonial'!I54+'Balanço Patrimonial'!I62)*365/('DRE Consolidado'!N18+'DRE Consolidado'!N23+'DRE Consolidado'!N55+'Projeções - CG + Capex'!N57)</f>
        <v>92.776619497449374</v>
      </c>
      <c r="J36" s="120">
        <f>-('Balanço Patrimonial'!J54+'Balanço Patrimonial'!J62)*365/('DRE Consolidado'!O18+'DRE Consolidado'!O23+'DRE Consolidado'!O55+'Projeções - CG + Capex'!O57)</f>
        <v>107.47889374419165</v>
      </c>
      <c r="K36" s="120">
        <f>-('Balanço Patrimonial'!K54+'Balanço Patrimonial'!K62)*365/('DRE Consolidado'!P18+'DRE Consolidado'!P23+'DRE Consolidado'!P55+'Projeções - CG + Capex'!P57)</f>
        <v>139.1022716463342</v>
      </c>
      <c r="L36" s="120">
        <f>-('Balanço Patrimonial'!L54+'Balanço Patrimonial'!L62)*365/('DRE Consolidado'!Q18+'DRE Consolidado'!Q23+'DRE Consolidado'!Q55+'Projeções - CG + Capex'!Q57)</f>
        <v>173.9513190058056</v>
      </c>
      <c r="M36" s="120">
        <f>-('Balanço Patrimonial'!M54+'Balanço Patrimonial'!M62)*365/('DRE Consolidado'!R18+'DRE Consolidado'!R23+'DRE Consolidado'!R55+'Projeções - CG + Capex'!R57)</f>
        <v>181.68490996047521</v>
      </c>
      <c r="N36" s="120">
        <f>-('Balanço Patrimonial'!N54+'Balanço Patrimonial'!N62)*365/('DRE Consolidado'!S18+'DRE Consolidado'!S23+'DRE Consolidado'!S55+'Projeções - CG + Capex'!S57)</f>
        <v>175.4092100317684</v>
      </c>
      <c r="O36" s="88"/>
      <c r="P36" s="4"/>
      <c r="Q36" s="4"/>
      <c r="R36" s="4"/>
      <c r="S36" s="4"/>
      <c r="T36" s="4"/>
      <c r="U36" s="4"/>
      <c r="V36" s="4"/>
      <c r="W36" s="4"/>
      <c r="X36" s="4"/>
      <c r="Y36" s="4"/>
    </row>
    <row r="37" spans="1:30" ht="30" customHeight="1" thickBot="1">
      <c r="A37" s="143"/>
      <c r="B37" s="4"/>
      <c r="C37" s="4"/>
      <c r="D37" s="90"/>
      <c r="E37" s="183" t="s">
        <v>99</v>
      </c>
      <c r="F37" s="184">
        <f t="shared" ref="F37:M37" si="0">F34+F35-F36</f>
        <v>39.6585405609868</v>
      </c>
      <c r="G37" s="184">
        <f t="shared" si="0"/>
        <v>13.632331358750953</v>
      </c>
      <c r="H37" s="184">
        <f t="shared" si="0"/>
        <v>-36.506125180135953</v>
      </c>
      <c r="I37" s="184">
        <f t="shared" si="0"/>
        <v>-16.551648950982113</v>
      </c>
      <c r="J37" s="184">
        <f t="shared" si="0"/>
        <v>-34.192406376057704</v>
      </c>
      <c r="K37" s="184">
        <f t="shared" si="0"/>
        <v>-57.531105333609119</v>
      </c>
      <c r="L37" s="184">
        <f t="shared" si="0"/>
        <v>-93.982081881993736</v>
      </c>
      <c r="M37" s="184">
        <f t="shared" si="0"/>
        <v>-78.396626231953519</v>
      </c>
      <c r="N37" s="184">
        <f t="shared" ref="N37" si="1">N34+N35-N36</f>
        <v>-66.142171861258063</v>
      </c>
      <c r="O37" s="88"/>
      <c r="P37" s="4"/>
      <c r="Q37" s="4"/>
      <c r="R37" s="4"/>
      <c r="S37" s="4"/>
      <c r="T37" s="4"/>
      <c r="U37" s="4"/>
      <c r="V37" s="4"/>
      <c r="W37" s="4"/>
      <c r="X37" s="4"/>
      <c r="Y37" s="4"/>
    </row>
    <row r="38" spans="1:30" ht="30" customHeight="1">
      <c r="A38" s="143"/>
      <c r="B38" s="4"/>
      <c r="C38" s="4"/>
      <c r="D38" s="4"/>
      <c r="E38" s="178"/>
      <c r="F38" s="178"/>
      <c r="G38" s="178"/>
      <c r="H38" s="178"/>
      <c r="I38" s="182"/>
      <c r="J38" s="178"/>
      <c r="K38" s="178"/>
      <c r="L38" s="178"/>
      <c r="M38" s="178"/>
      <c r="N38" s="178"/>
      <c r="O38" s="4"/>
      <c r="P38" s="4"/>
      <c r="Q38" s="4"/>
      <c r="R38" s="4"/>
      <c r="S38" s="4"/>
      <c r="T38" s="4"/>
      <c r="U38" s="4"/>
      <c r="V38" s="4"/>
      <c r="W38" s="4"/>
      <c r="X38" s="4"/>
      <c r="Y38" s="4"/>
    </row>
    <row r="39" spans="1:30" ht="30" customHeight="1">
      <c r="A39" s="143"/>
      <c r="B39" s="4"/>
      <c r="C39" s="4"/>
      <c r="D39" s="4"/>
      <c r="E39" s="10"/>
      <c r="F39" s="51"/>
      <c r="G39" s="51"/>
      <c r="H39" s="51"/>
      <c r="I39" s="51"/>
      <c r="J39" s="51"/>
      <c r="K39" s="51"/>
      <c r="L39" s="51"/>
      <c r="M39" s="51"/>
      <c r="N39" s="51"/>
      <c r="O39" s="4"/>
      <c r="P39" s="4"/>
      <c r="Q39" s="4"/>
      <c r="R39" s="4"/>
      <c r="S39" s="4"/>
      <c r="T39" s="4"/>
      <c r="U39" s="4"/>
      <c r="V39" s="4"/>
      <c r="W39" s="4"/>
      <c r="X39" s="4"/>
      <c r="Y39" s="4"/>
    </row>
    <row r="40" spans="1:30" ht="30" customHeight="1">
      <c r="A40" s="143"/>
      <c r="B40" s="4"/>
      <c r="C40" s="4"/>
      <c r="D40" s="4"/>
      <c r="E40" s="10"/>
      <c r="F40" s="51"/>
      <c r="G40" s="51"/>
      <c r="H40" s="51"/>
      <c r="I40" s="51"/>
      <c r="J40" s="51"/>
      <c r="K40" s="51"/>
      <c r="L40" s="51"/>
      <c r="M40" s="51"/>
      <c r="N40" s="51"/>
      <c r="O40" s="4"/>
      <c r="P40" s="4"/>
      <c r="Q40" s="4"/>
      <c r="R40" s="4"/>
      <c r="S40" s="4"/>
      <c r="T40" s="4"/>
      <c r="U40" s="4"/>
      <c r="V40" s="4"/>
      <c r="W40" s="4"/>
      <c r="X40" s="4"/>
      <c r="Y40" s="4"/>
    </row>
    <row r="41" spans="1:30" ht="30" customHeight="1">
      <c r="A41" s="143"/>
      <c r="B41" s="4"/>
      <c r="C41" s="4"/>
      <c r="D41" s="90"/>
      <c r="E41" s="121"/>
      <c r="F41" s="37">
        <v>2014</v>
      </c>
      <c r="G41" s="37">
        <v>2015</v>
      </c>
      <c r="H41" s="37">
        <v>2016</v>
      </c>
      <c r="I41" s="37">
        <v>2017</v>
      </c>
      <c r="J41" s="37">
        <v>2018</v>
      </c>
      <c r="K41" s="37">
        <v>2019</v>
      </c>
      <c r="L41" s="37">
        <v>2020</v>
      </c>
      <c r="M41" s="37">
        <v>2021</v>
      </c>
      <c r="N41" s="230">
        <v>2022</v>
      </c>
      <c r="O41" s="239"/>
      <c r="P41" s="51"/>
      <c r="Q41" s="51"/>
      <c r="R41" s="4"/>
      <c r="S41" s="4"/>
      <c r="T41" s="4"/>
      <c r="U41" s="4"/>
      <c r="V41" s="4"/>
      <c r="W41" s="4"/>
      <c r="X41" s="4"/>
      <c r="Y41" s="4"/>
      <c r="Z41" s="4"/>
      <c r="AA41" s="4"/>
      <c r="AB41" s="4"/>
    </row>
    <row r="42" spans="1:30" ht="30" customHeight="1">
      <c r="A42" s="143"/>
      <c r="B42" s="4"/>
      <c r="C42" s="4"/>
      <c r="D42" s="90"/>
      <c r="E42" s="121" t="s">
        <v>109</v>
      </c>
      <c r="F42" s="120">
        <v>0</v>
      </c>
      <c r="G42" s="120"/>
      <c r="H42" s="120"/>
      <c r="I42" s="120">
        <v>0</v>
      </c>
      <c r="J42" s="120">
        <v>0</v>
      </c>
      <c r="K42" s="120">
        <v>0</v>
      </c>
      <c r="L42" s="120">
        <v>0</v>
      </c>
      <c r="M42" s="120">
        <v>0.52083223700000003</v>
      </c>
      <c r="N42" s="120">
        <v>0</v>
      </c>
      <c r="O42" s="239"/>
      <c r="P42" s="51"/>
      <c r="Q42" s="51"/>
      <c r="R42" s="4"/>
      <c r="S42" s="4"/>
      <c r="T42" s="4"/>
      <c r="U42" s="4"/>
      <c r="V42" s="4"/>
      <c r="W42" s="4"/>
      <c r="X42" s="4"/>
      <c r="Y42" s="4"/>
      <c r="Z42" s="4"/>
      <c r="AA42" s="4"/>
      <c r="AB42" s="4"/>
    </row>
    <row r="43" spans="1:30" ht="30" customHeight="1">
      <c r="A43" s="143"/>
      <c r="B43" s="4"/>
      <c r="C43" s="4"/>
      <c r="D43" s="90"/>
      <c r="E43" s="121" t="s">
        <v>108</v>
      </c>
      <c r="F43" s="120">
        <v>0</v>
      </c>
      <c r="G43" s="120"/>
      <c r="H43" s="120"/>
      <c r="I43" s="120">
        <v>0</v>
      </c>
      <c r="J43" s="120">
        <v>0</v>
      </c>
      <c r="K43" s="120">
        <v>0</v>
      </c>
      <c r="L43" s="120">
        <v>0</v>
      </c>
      <c r="M43" s="61">
        <v>3.4152933573799997E-2</v>
      </c>
      <c r="N43" s="120">
        <v>0</v>
      </c>
      <c r="O43" s="239"/>
      <c r="P43" s="51"/>
      <c r="Q43" s="51"/>
      <c r="R43" s="4"/>
      <c r="S43" s="4"/>
      <c r="T43" s="4"/>
      <c r="U43" s="4"/>
      <c r="V43" s="4"/>
      <c r="W43" s="4"/>
      <c r="X43" s="4"/>
      <c r="Y43" s="4"/>
      <c r="Z43" s="4"/>
      <c r="AA43" s="4"/>
      <c r="AB43" s="4"/>
    </row>
    <row r="44" spans="1:30" ht="30" customHeight="1" thickBot="1">
      <c r="A44" s="143"/>
      <c r="B44" s="4"/>
      <c r="C44" s="4"/>
      <c r="D44" s="90"/>
      <c r="E44" s="179" t="s">
        <v>107</v>
      </c>
      <c r="F44" s="120">
        <v>0</v>
      </c>
      <c r="G44" s="120"/>
      <c r="H44" s="120"/>
      <c r="I44" s="120">
        <v>0</v>
      </c>
      <c r="J44" s="120">
        <v>0</v>
      </c>
      <c r="K44" s="120">
        <v>0</v>
      </c>
      <c r="L44" s="120">
        <v>0</v>
      </c>
      <c r="M44" s="180">
        <v>0.22965083902200001</v>
      </c>
      <c r="N44" s="120">
        <v>0</v>
      </c>
      <c r="O44" s="239"/>
      <c r="P44" s="51"/>
      <c r="Q44" s="51"/>
      <c r="R44" s="4"/>
      <c r="S44" s="4"/>
      <c r="T44" s="4"/>
      <c r="U44" s="4"/>
      <c r="V44" s="4"/>
      <c r="W44" s="4"/>
      <c r="X44" s="4"/>
      <c r="Y44" s="4"/>
      <c r="Z44" s="4"/>
      <c r="AA44" s="4"/>
      <c r="AB44" s="4"/>
    </row>
    <row r="45" spans="1:30" ht="30" customHeight="1">
      <c r="A45" s="143"/>
      <c r="B45" s="4"/>
      <c r="C45" s="4"/>
      <c r="D45" s="4"/>
      <c r="E45" s="181"/>
      <c r="F45" s="182"/>
      <c r="G45" s="182"/>
      <c r="H45" s="182"/>
      <c r="I45" s="182"/>
      <c r="J45" s="182"/>
      <c r="K45" s="182"/>
      <c r="L45" s="182"/>
      <c r="M45" s="182"/>
      <c r="N45" s="178"/>
      <c r="O45" s="4"/>
      <c r="P45" s="4"/>
      <c r="Q45" s="4"/>
      <c r="R45" s="4"/>
      <c r="S45" s="4"/>
      <c r="T45" s="4"/>
      <c r="U45" s="4"/>
      <c r="V45" s="4"/>
      <c r="W45" s="4"/>
      <c r="X45" s="4"/>
      <c r="Y45" s="4"/>
    </row>
    <row r="46" spans="1:30" ht="30" customHeight="1">
      <c r="A46" s="143"/>
      <c r="B46" s="4"/>
      <c r="C46" s="4"/>
      <c r="D46" s="4"/>
      <c r="E46" s="10"/>
      <c r="F46" s="51"/>
      <c r="G46" s="51"/>
      <c r="H46" s="51"/>
      <c r="I46" s="51"/>
      <c r="J46" s="51"/>
      <c r="K46" s="51"/>
      <c r="L46" s="51"/>
      <c r="M46" s="51"/>
      <c r="N46" s="51"/>
      <c r="O46" s="4"/>
      <c r="P46" s="4"/>
      <c r="Q46" s="4"/>
      <c r="R46" s="4"/>
      <c r="S46" s="4"/>
      <c r="T46" s="4"/>
      <c r="U46" s="4"/>
      <c r="V46" s="4"/>
      <c r="W46" s="4"/>
      <c r="X46" s="4"/>
      <c r="Y46" s="4"/>
    </row>
    <row r="47" spans="1:30" ht="30" customHeight="1">
      <c r="A47" s="143"/>
      <c r="B47" s="4"/>
      <c r="C47" s="4"/>
      <c r="D47" s="4"/>
      <c r="E47" s="10"/>
      <c r="F47" s="51"/>
      <c r="G47" s="51"/>
      <c r="H47" s="51"/>
      <c r="I47" s="51"/>
      <c r="J47" s="51"/>
      <c r="K47" s="51"/>
      <c r="L47" s="51"/>
      <c r="M47" s="51"/>
      <c r="N47" s="51"/>
      <c r="O47" s="4"/>
      <c r="P47" s="4"/>
      <c r="Q47" s="4"/>
      <c r="R47" s="4"/>
      <c r="S47" s="4"/>
      <c r="T47" s="4"/>
      <c r="U47" s="4"/>
      <c r="V47" s="4"/>
      <c r="W47" s="4"/>
      <c r="X47" s="4"/>
      <c r="Y47" s="4"/>
    </row>
    <row r="48" spans="1:30" ht="30" customHeight="1">
      <c r="A48" s="143"/>
      <c r="B48" s="4"/>
      <c r="C48" s="4"/>
      <c r="D48" s="4"/>
      <c r="E48" s="4"/>
      <c r="F48" s="4"/>
      <c r="G48" s="4"/>
      <c r="H48" s="4">
        <v>-624650</v>
      </c>
      <c r="I48" s="4"/>
      <c r="J48" s="4"/>
      <c r="K48" s="51"/>
      <c r="L48" s="51"/>
      <c r="M48" s="51"/>
      <c r="N48" s="51"/>
      <c r="O48" s="4"/>
      <c r="P48" s="4"/>
      <c r="Q48" s="4"/>
      <c r="R48" s="4"/>
      <c r="S48" s="4"/>
      <c r="T48" s="4"/>
      <c r="U48" s="4"/>
      <c r="V48" s="4"/>
      <c r="W48" s="4"/>
      <c r="X48" s="4"/>
      <c r="Y48" s="4"/>
    </row>
    <row r="49" spans="1:25" ht="30" customHeight="1">
      <c r="A49" s="143"/>
      <c r="B49" s="4"/>
      <c r="C49" s="4"/>
      <c r="D49" s="4"/>
      <c r="E49" s="118"/>
      <c r="F49" s="37" t="s">
        <v>492</v>
      </c>
      <c r="G49" s="37" t="s">
        <v>518</v>
      </c>
      <c r="H49" s="37" t="s">
        <v>519</v>
      </c>
      <c r="I49" s="37" t="s">
        <v>520</v>
      </c>
      <c r="J49" s="37" t="s">
        <v>314</v>
      </c>
      <c r="K49" s="51"/>
      <c r="L49" s="51"/>
      <c r="M49" s="51"/>
      <c r="N49" s="51"/>
      <c r="O49" s="4"/>
      <c r="P49" s="4"/>
      <c r="Q49" s="4"/>
      <c r="R49" s="4"/>
      <c r="S49" s="4"/>
      <c r="T49" s="4"/>
      <c r="U49" s="4"/>
      <c r="V49" s="4"/>
      <c r="W49" s="4"/>
      <c r="X49" s="4"/>
      <c r="Y49" s="4"/>
    </row>
    <row r="50" spans="1:25" ht="30" customHeight="1">
      <c r="A50" s="143"/>
      <c r="B50" s="4"/>
      <c r="C50" s="4"/>
      <c r="D50" s="4"/>
      <c r="E50" s="331" t="s">
        <v>521</v>
      </c>
      <c r="F50" s="46">
        <f>'DRE Consolidado'!V75</f>
        <v>8301930.7355457852</v>
      </c>
      <c r="G50" s="46">
        <f>'DRE Consolidado'!W75</f>
        <v>10656367.251824116</v>
      </c>
      <c r="H50" s="46">
        <f>'DRE Consolidado'!X75</f>
        <v>12582614.856790205</v>
      </c>
      <c r="I50" s="46">
        <f>'DRE Consolidado'!Y75</f>
        <v>13849341.731791679</v>
      </c>
      <c r="J50" s="46">
        <f>'DRE Consolidado'!Z75</f>
        <v>15022472.370739168</v>
      </c>
      <c r="K50" s="51"/>
      <c r="L50" s="51"/>
      <c r="M50" s="51"/>
      <c r="N50" s="51"/>
      <c r="O50" s="4"/>
      <c r="P50" s="4"/>
      <c r="Q50" s="4"/>
      <c r="R50" s="4"/>
      <c r="S50" s="4"/>
      <c r="T50" s="4"/>
      <c r="U50" s="4"/>
      <c r="V50" s="4"/>
      <c r="W50" s="4"/>
      <c r="X50" s="4"/>
      <c r="Y50" s="4"/>
    </row>
    <row r="51" spans="1:25" ht="30" customHeight="1">
      <c r="A51" s="143"/>
      <c r="B51" s="4"/>
      <c r="C51" s="4"/>
      <c r="D51" s="4"/>
      <c r="E51" s="331" t="s">
        <v>528</v>
      </c>
      <c r="F51" s="46">
        <v>13683300</v>
      </c>
      <c r="G51" s="46"/>
      <c r="H51" s="46"/>
      <c r="I51" s="46"/>
      <c r="J51" s="46"/>
      <c r="K51" s="51"/>
      <c r="L51" s="51"/>
      <c r="M51" s="51"/>
      <c r="N51" s="51"/>
      <c r="O51" s="4"/>
      <c r="P51" s="4"/>
      <c r="Q51" s="4"/>
      <c r="R51" s="4"/>
      <c r="S51" s="4"/>
      <c r="T51" s="4"/>
      <c r="U51" s="4"/>
      <c r="V51" s="4"/>
      <c r="W51" s="4"/>
      <c r="X51" s="4"/>
      <c r="Y51" s="4"/>
    </row>
    <row r="52" spans="1:25" ht="30" customHeight="1">
      <c r="A52" s="143"/>
      <c r="B52" s="4"/>
      <c r="C52" s="4"/>
      <c r="D52" s="4"/>
      <c r="E52" s="331" t="s">
        <v>530</v>
      </c>
      <c r="F52" s="46">
        <f>30916700-F56-F57</f>
        <v>32248565.457701568</v>
      </c>
      <c r="G52" s="46"/>
      <c r="H52" s="46"/>
      <c r="I52" s="46"/>
      <c r="J52" s="46"/>
      <c r="K52" s="51"/>
      <c r="L52" s="51"/>
      <c r="M52" s="51"/>
      <c r="N52" s="51"/>
      <c r="O52" s="4"/>
      <c r="P52" s="4"/>
      <c r="Q52" s="4"/>
      <c r="R52" s="4"/>
      <c r="S52" s="4"/>
      <c r="T52" s="4"/>
      <c r="U52" s="4"/>
      <c r="V52" s="4"/>
      <c r="W52" s="4"/>
      <c r="X52" s="4"/>
      <c r="Y52" s="4"/>
    </row>
    <row r="53" spans="1:25" ht="30" customHeight="1">
      <c r="A53" s="143"/>
      <c r="B53" s="4"/>
      <c r="C53" s="4"/>
      <c r="D53" s="4"/>
      <c r="E53" s="331" t="s">
        <v>531</v>
      </c>
      <c r="F53" s="46">
        <v>31605200</v>
      </c>
      <c r="G53" s="46">
        <f>F53-SUM(G54,G56)</f>
        <v>36283868.640856735</v>
      </c>
      <c r="H53" s="46">
        <f t="shared" ref="H53:J53" si="2">G53-SUM(H54,H56)</f>
        <v>40217725.637513272</v>
      </c>
      <c r="I53" s="46">
        <f t="shared" si="2"/>
        <v>44722332.678171679</v>
      </c>
      <c r="J53" s="46">
        <f t="shared" si="2"/>
        <v>47997365.205413125</v>
      </c>
      <c r="K53" s="51"/>
      <c r="L53" s="51"/>
      <c r="M53" s="51"/>
      <c r="N53" s="51"/>
      <c r="O53" s="4"/>
      <c r="P53" s="4"/>
      <c r="Q53" s="4"/>
      <c r="R53" s="4"/>
      <c r="S53" s="4"/>
      <c r="T53" s="4"/>
      <c r="U53" s="4"/>
      <c r="V53" s="4"/>
      <c r="W53" s="4"/>
      <c r="X53" s="4"/>
      <c r="Y53" s="4"/>
    </row>
    <row r="54" spans="1:25" ht="30" customHeight="1">
      <c r="A54" s="143"/>
      <c r="B54" s="4"/>
      <c r="C54" s="4"/>
      <c r="D54" s="4"/>
      <c r="E54" s="331" t="s">
        <v>522</v>
      </c>
      <c r="F54" s="46">
        <f>F55+F57</f>
        <v>-4982331.3453445369</v>
      </c>
      <c r="G54" s="46">
        <f t="shared" ref="G54:J54" si="3">SUM(G55,G57)</f>
        <v>-4461496.5650307965</v>
      </c>
      <c r="H54" s="46">
        <f t="shared" si="3"/>
        <v>-4883227.6252893452</v>
      </c>
      <c r="I54" s="46">
        <f t="shared" si="3"/>
        <v>-5480168.2608754225</v>
      </c>
      <c r="J54" s="46">
        <f t="shared" si="3"/>
        <v>-5953054.0206505349</v>
      </c>
      <c r="K54" s="51"/>
      <c r="L54" s="51"/>
      <c r="M54" s="51"/>
      <c r="N54" s="51"/>
      <c r="O54" s="4"/>
      <c r="P54" s="4"/>
      <c r="Q54" s="4"/>
      <c r="R54" s="4"/>
      <c r="S54" s="4"/>
      <c r="T54" s="4"/>
      <c r="U54" s="4"/>
      <c r="V54" s="4"/>
      <c r="W54" s="4"/>
      <c r="X54" s="4"/>
      <c r="Y54" s="4"/>
    </row>
    <row r="55" spans="1:25" ht="30" customHeight="1">
      <c r="A55" s="143"/>
      <c r="B55" s="4"/>
      <c r="C55" s="4"/>
      <c r="D55" s="4"/>
      <c r="E55" s="118" t="s">
        <v>523</v>
      </c>
      <c r="F55" s="42">
        <f>-F53*WACC!F18</f>
        <v>-4806518.8159999996</v>
      </c>
      <c r="G55" s="42">
        <f>-F53*WACC!G18</f>
        <v>-4431049.04</v>
      </c>
      <c r="H55" s="42">
        <f>-G53*WACC!H18</f>
        <v>-5014430.6461664001</v>
      </c>
      <c r="I55" s="42">
        <f>-H53*WACC!I18</f>
        <v>-5616405.3852787288</v>
      </c>
      <c r="J55" s="42">
        <f>-I53*WACC!J18</f>
        <v>-6332235.0839023273</v>
      </c>
      <c r="K55" s="51"/>
      <c r="L55" s="51"/>
      <c r="M55" s="51"/>
      <c r="N55" s="51"/>
      <c r="O55" s="4"/>
      <c r="P55" s="4"/>
      <c r="Q55" s="4"/>
      <c r="R55" s="4"/>
      <c r="S55" s="4"/>
      <c r="T55" s="4"/>
      <c r="U55" s="4"/>
      <c r="V55" s="4"/>
      <c r="W55" s="4"/>
      <c r="X55" s="4"/>
      <c r="Y55" s="4"/>
    </row>
    <row r="56" spans="1:25" ht="30" customHeight="1">
      <c r="A56" s="143"/>
      <c r="B56" s="4"/>
      <c r="C56" s="4"/>
      <c r="D56" s="4"/>
      <c r="E56" s="118" t="s">
        <v>524</v>
      </c>
      <c r="F56" s="42">
        <f>'DRE Consolidado'!U66</f>
        <v>-1156052.9283570312</v>
      </c>
      <c r="G56" s="42">
        <f>'DRE Consolidado'!W66</f>
        <v>-217172.07582593954</v>
      </c>
      <c r="H56" s="42">
        <f>'DRE Consolidado'!X66</f>
        <v>949370.62863281067</v>
      </c>
      <c r="I56" s="42">
        <f>'DRE Consolidado'!Y66</f>
        <v>975561.22021701443</v>
      </c>
      <c r="J56" s="42">
        <f>'DRE Consolidado'!Z66</f>
        <v>2678021.493409087</v>
      </c>
      <c r="K56" s="51"/>
      <c r="L56" s="51"/>
      <c r="M56" s="51"/>
      <c r="N56" s="51"/>
      <c r="O56" s="4"/>
      <c r="P56" s="4"/>
      <c r="Q56" s="4"/>
      <c r="R56" s="4"/>
      <c r="S56" s="4"/>
      <c r="T56" s="4"/>
      <c r="U56" s="4"/>
      <c r="V56" s="4"/>
      <c r="W56" s="4"/>
      <c r="X56" s="4"/>
      <c r="Y56" s="4"/>
    </row>
    <row r="57" spans="1:25" ht="30" customHeight="1">
      <c r="A57" s="143"/>
      <c r="B57" s="4"/>
      <c r="C57" s="4"/>
      <c r="D57" s="4"/>
      <c r="E57" s="118" t="s">
        <v>525</v>
      </c>
      <c r="F57" s="42">
        <f>F56*WACC!F18</f>
        <v>-175812.5293445373</v>
      </c>
      <c r="G57" s="42">
        <f>G56*WACC!G18</f>
        <v>-30447.525030796722</v>
      </c>
      <c r="H57" s="42">
        <f>H56*WACC!H18</f>
        <v>131203.02087705443</v>
      </c>
      <c r="I57" s="42">
        <f>I56*WACC!I18</f>
        <v>136237.12440330605</v>
      </c>
      <c r="J57" s="42">
        <f>J56*WACC!J18</f>
        <v>379181.06325179263</v>
      </c>
      <c r="K57" s="51"/>
      <c r="L57" s="51"/>
      <c r="M57" s="51"/>
      <c r="N57" s="51"/>
      <c r="O57" s="4"/>
      <c r="P57" s="4"/>
      <c r="Q57" s="4"/>
      <c r="R57" s="4"/>
      <c r="S57" s="4"/>
      <c r="T57" s="4"/>
      <c r="U57" s="4"/>
      <c r="V57" s="4"/>
      <c r="W57" s="4"/>
      <c r="X57" s="4"/>
      <c r="Y57" s="4"/>
    </row>
    <row r="58" spans="1:25" ht="35.25" customHeight="1">
      <c r="A58" s="143"/>
      <c r="B58" s="4"/>
      <c r="C58" s="4"/>
      <c r="D58" s="4"/>
      <c r="E58" s="331" t="s">
        <v>532</v>
      </c>
      <c r="F58" s="46">
        <f>F50*4</f>
        <v>33207722.942183141</v>
      </c>
      <c r="G58" s="46">
        <f t="shared" ref="G58:J58" si="4">G50*4</f>
        <v>42625469.007296465</v>
      </c>
      <c r="H58" s="46">
        <f t="shared" si="4"/>
        <v>50330459.427160822</v>
      </c>
      <c r="I58" s="46">
        <f t="shared" si="4"/>
        <v>55397366.927166715</v>
      </c>
      <c r="J58" s="46">
        <f t="shared" si="4"/>
        <v>60089889.48295667</v>
      </c>
      <c r="K58" s="51"/>
      <c r="L58" s="51"/>
      <c r="M58" s="51"/>
      <c r="N58" s="51"/>
      <c r="O58" s="4"/>
      <c r="P58" s="4"/>
      <c r="Q58" s="4"/>
      <c r="R58" s="4"/>
      <c r="S58" s="4"/>
      <c r="T58" s="4"/>
      <c r="U58" s="4"/>
      <c r="V58" s="4"/>
      <c r="W58" s="4"/>
      <c r="X58" s="4"/>
      <c r="Y58" s="4"/>
    </row>
    <row r="59" spans="1:25" ht="35.25" customHeight="1">
      <c r="A59" s="143"/>
      <c r="B59" s="4"/>
      <c r="C59" s="4"/>
      <c r="D59" s="4"/>
      <c r="E59" s="331" t="s">
        <v>533</v>
      </c>
      <c r="F59" s="46">
        <f>F51*3.5</f>
        <v>47891550</v>
      </c>
      <c r="G59" s="46">
        <f t="shared" ref="G59:J59" si="5">G51*3.5</f>
        <v>0</v>
      </c>
      <c r="H59" s="46">
        <f t="shared" si="5"/>
        <v>0</v>
      </c>
      <c r="I59" s="46">
        <f t="shared" si="5"/>
        <v>0</v>
      </c>
      <c r="J59" s="46">
        <f t="shared" si="5"/>
        <v>0</v>
      </c>
      <c r="K59" s="51"/>
      <c r="L59" s="51"/>
      <c r="M59" s="51"/>
      <c r="N59" s="51"/>
      <c r="O59" s="4"/>
      <c r="P59" s="4"/>
      <c r="Q59" s="4"/>
      <c r="R59" s="4"/>
      <c r="S59" s="4"/>
      <c r="T59" s="4"/>
      <c r="U59" s="4"/>
      <c r="V59" s="4"/>
      <c r="W59" s="4"/>
      <c r="X59" s="4"/>
      <c r="Y59" s="4"/>
    </row>
    <row r="60" spans="1:25" ht="31.5" customHeight="1">
      <c r="A60" s="143"/>
      <c r="B60" s="4"/>
      <c r="C60" s="4"/>
      <c r="D60" s="4"/>
      <c r="E60" s="331" t="s">
        <v>526</v>
      </c>
      <c r="F60" s="46">
        <f>-F51*2</f>
        <v>-27366600</v>
      </c>
      <c r="G60" s="46">
        <f t="shared" ref="G60:J60" si="6">-G51*2</f>
        <v>0</v>
      </c>
      <c r="H60" s="46">
        <f t="shared" si="6"/>
        <v>0</v>
      </c>
      <c r="I60" s="46">
        <f t="shared" si="6"/>
        <v>0</v>
      </c>
      <c r="J60" s="46">
        <f t="shared" si="6"/>
        <v>0</v>
      </c>
      <c r="K60" s="51"/>
      <c r="L60" s="51"/>
      <c r="M60" s="51"/>
      <c r="N60" s="51"/>
      <c r="O60" s="4"/>
      <c r="P60" s="4"/>
      <c r="Q60" s="4"/>
      <c r="R60" s="4"/>
      <c r="S60" s="4"/>
      <c r="T60" s="4"/>
      <c r="U60" s="4"/>
      <c r="V60" s="4"/>
      <c r="W60" s="4"/>
      <c r="X60" s="4"/>
      <c r="Y60" s="4"/>
    </row>
    <row r="61" spans="1:25" ht="30" customHeight="1">
      <c r="A61" s="143"/>
      <c r="B61" s="4"/>
      <c r="C61" s="4"/>
      <c r="D61" s="4"/>
      <c r="E61" s="331" t="s">
        <v>535</v>
      </c>
      <c r="F61" s="332">
        <f>F52/F50</f>
        <v>3.8844657327271093</v>
      </c>
      <c r="G61" s="332">
        <f>G53/G50</f>
        <v>3.4049003551980439</v>
      </c>
      <c r="H61" s="332">
        <f>H53/H50</f>
        <v>3.1962931469534559</v>
      </c>
      <c r="I61" s="332">
        <f>I53/I50</f>
        <v>3.229202769652936</v>
      </c>
      <c r="J61" s="332">
        <f>J53/J50</f>
        <v>3.1950376756160717</v>
      </c>
      <c r="K61" s="51"/>
      <c r="L61" s="51"/>
      <c r="M61" s="51"/>
      <c r="N61" s="51"/>
      <c r="O61" s="4"/>
      <c r="P61" s="4"/>
      <c r="Q61" s="4"/>
      <c r="R61" s="4"/>
      <c r="S61" s="4"/>
      <c r="T61" s="4"/>
      <c r="U61" s="4"/>
      <c r="V61" s="4"/>
      <c r="W61" s="4"/>
      <c r="X61" s="4"/>
      <c r="Y61" s="4"/>
    </row>
    <row r="62" spans="1:25" ht="30" customHeight="1">
      <c r="A62" s="143"/>
      <c r="B62" s="4"/>
      <c r="C62" s="4"/>
      <c r="D62" s="4"/>
      <c r="E62" s="331" t="s">
        <v>534</v>
      </c>
      <c r="F62" s="332">
        <f>F53/F51</f>
        <v>2.309764457404281</v>
      </c>
      <c r="G62" s="332"/>
      <c r="H62" s="332"/>
      <c r="I62" s="332"/>
      <c r="J62" s="332"/>
      <c r="K62" s="51"/>
      <c r="L62" s="51"/>
      <c r="M62" s="51"/>
      <c r="N62" s="51"/>
      <c r="O62" s="4"/>
      <c r="P62" s="4"/>
      <c r="Q62" s="4"/>
      <c r="R62" s="4"/>
      <c r="S62" s="4"/>
      <c r="T62" s="4"/>
      <c r="U62" s="4"/>
      <c r="V62" s="4"/>
      <c r="W62" s="4"/>
      <c r="X62" s="4"/>
      <c r="Y62" s="4"/>
    </row>
    <row r="63" spans="1:25" ht="30" customHeight="1">
      <c r="A63" s="143"/>
      <c r="B63" s="4"/>
      <c r="C63" s="4"/>
      <c r="D63" s="4"/>
      <c r="E63" s="331" t="s">
        <v>116</v>
      </c>
      <c r="F63" s="332">
        <f>-F51/F54</f>
        <v>2.7463649146469553</v>
      </c>
      <c r="G63" s="332">
        <f>-G50/G54</f>
        <v>2.3885185377814042</v>
      </c>
      <c r="H63" s="332">
        <f>-H50/H54</f>
        <v>2.5767004576291179</v>
      </c>
      <c r="I63" s="332">
        <f>-I50/I54</f>
        <v>2.5271745451077323</v>
      </c>
      <c r="J63" s="332">
        <f>-J50/J54</f>
        <v>2.5234900134666591</v>
      </c>
      <c r="K63" s="51"/>
      <c r="L63" s="51"/>
      <c r="M63" s="51"/>
      <c r="N63" s="51"/>
      <c r="O63" s="4"/>
      <c r="P63" s="4"/>
      <c r="Q63" s="4"/>
      <c r="R63" s="4"/>
      <c r="S63" s="4"/>
      <c r="T63" s="4"/>
      <c r="U63" s="4"/>
      <c r="V63" s="4"/>
      <c r="W63" s="4"/>
      <c r="X63" s="4"/>
      <c r="Y63" s="4"/>
    </row>
    <row r="64" spans="1:25" ht="30" customHeight="1">
      <c r="A64" s="143"/>
      <c r="B64" s="4"/>
      <c r="C64" s="4"/>
      <c r="D64" s="4"/>
      <c r="E64" s="10"/>
      <c r="F64" s="51"/>
      <c r="G64" s="51"/>
      <c r="H64" s="51"/>
      <c r="I64" s="51"/>
      <c r="J64" s="51"/>
      <c r="K64" s="51"/>
      <c r="L64" s="51"/>
      <c r="M64" s="51"/>
      <c r="N64" s="51"/>
      <c r="O64" s="4"/>
      <c r="P64" s="4"/>
      <c r="Q64" s="4"/>
      <c r="R64" s="4"/>
      <c r="S64" s="4"/>
      <c r="T64" s="4"/>
      <c r="U64" s="4"/>
      <c r="V64" s="4"/>
      <c r="W64" s="4"/>
      <c r="X64" s="4"/>
      <c r="Y64" s="4"/>
    </row>
    <row r="65" spans="1:25" ht="30" customHeight="1">
      <c r="A65" s="143"/>
      <c r="B65" s="4"/>
      <c r="C65" s="4"/>
      <c r="D65" s="4"/>
      <c r="E65" s="10"/>
      <c r="F65" s="51"/>
      <c r="G65" s="51"/>
      <c r="H65" s="51"/>
      <c r="I65" s="51"/>
      <c r="J65" s="51"/>
      <c r="K65" s="51"/>
      <c r="L65" s="51"/>
      <c r="M65" s="51"/>
      <c r="N65" s="51"/>
      <c r="O65" s="4"/>
      <c r="P65" s="4"/>
      <c r="Q65" s="4"/>
      <c r="R65" s="4"/>
      <c r="S65" s="4"/>
      <c r="T65" s="4"/>
      <c r="U65" s="4"/>
      <c r="V65" s="4"/>
      <c r="W65" s="4"/>
      <c r="X65" s="4"/>
      <c r="Y65" s="4"/>
    </row>
    <row r="66" spans="1:25" ht="30" customHeight="1">
      <c r="A66" s="143"/>
      <c r="B66" s="4"/>
      <c r="C66" s="4"/>
      <c r="D66" s="4"/>
      <c r="E66" s="10"/>
      <c r="F66" s="51"/>
      <c r="G66" s="51"/>
      <c r="H66" s="51"/>
      <c r="I66" s="51"/>
      <c r="J66" s="51"/>
      <c r="K66" s="51"/>
      <c r="L66" s="51"/>
      <c r="M66" s="51"/>
      <c r="N66" s="51"/>
      <c r="O66" s="4"/>
      <c r="P66" s="4"/>
      <c r="Q66" s="4"/>
      <c r="R66" s="4"/>
      <c r="S66" s="4"/>
      <c r="T66" s="4"/>
      <c r="U66" s="4"/>
      <c r="V66" s="4"/>
      <c r="W66" s="4"/>
      <c r="X66" s="4"/>
      <c r="Y66" s="4"/>
    </row>
    <row r="67" spans="1:25" ht="30" customHeight="1">
      <c r="A67" s="143"/>
      <c r="B67" s="4"/>
      <c r="C67" s="4"/>
      <c r="D67" s="4"/>
      <c r="E67" s="10"/>
      <c r="F67" s="51"/>
      <c r="G67" s="51"/>
      <c r="H67" s="51"/>
      <c r="I67" s="51"/>
      <c r="J67" s="51"/>
      <c r="K67" s="51"/>
      <c r="L67" s="51"/>
      <c r="M67" s="51"/>
      <c r="N67" s="51"/>
      <c r="O67" s="4"/>
      <c r="P67" s="4"/>
      <c r="Q67" s="4"/>
      <c r="R67" s="4"/>
      <c r="S67" s="4"/>
      <c r="T67" s="4"/>
      <c r="U67" s="4"/>
      <c r="V67" s="4"/>
      <c r="W67" s="4"/>
      <c r="X67" s="4"/>
      <c r="Y67" s="4"/>
    </row>
    <row r="68" spans="1:25" ht="30" customHeight="1">
      <c r="A68" s="143"/>
      <c r="B68" s="4"/>
      <c r="C68" s="4"/>
      <c r="D68" s="4"/>
      <c r="E68" s="10"/>
      <c r="F68" s="51"/>
      <c r="G68" s="51"/>
      <c r="H68" s="51"/>
      <c r="I68" s="51"/>
      <c r="J68" s="51"/>
      <c r="K68" s="51"/>
      <c r="L68" s="51"/>
      <c r="M68" s="51"/>
      <c r="N68" s="51"/>
      <c r="O68" s="4"/>
      <c r="P68" s="4"/>
      <c r="Q68" s="4"/>
      <c r="R68" s="4"/>
      <c r="S68" s="4"/>
      <c r="T68" s="4"/>
      <c r="U68" s="4"/>
      <c r="V68" s="4"/>
      <c r="W68" s="4"/>
      <c r="X68" s="4"/>
      <c r="Y68" s="4"/>
    </row>
    <row r="69" spans="1:25" ht="30" customHeight="1">
      <c r="A69" s="143"/>
      <c r="B69" s="4"/>
      <c r="C69" s="4"/>
      <c r="D69" s="4"/>
      <c r="E69" s="10"/>
      <c r="F69" s="51"/>
      <c r="G69" s="51"/>
      <c r="H69" s="51"/>
      <c r="I69" s="51"/>
      <c r="J69" s="51"/>
      <c r="K69" s="51"/>
      <c r="L69" s="51"/>
      <c r="M69" s="51"/>
      <c r="N69" s="51"/>
      <c r="O69" s="4"/>
      <c r="P69" s="4"/>
      <c r="Q69" s="4"/>
      <c r="R69" s="4"/>
      <c r="S69" s="4"/>
      <c r="T69" s="4"/>
      <c r="U69" s="4"/>
      <c r="V69" s="4"/>
      <c r="W69" s="4"/>
      <c r="X69" s="4"/>
      <c r="Y69" s="4"/>
    </row>
    <row r="70" spans="1:25" ht="30" customHeight="1">
      <c r="A70" s="143"/>
      <c r="B70" s="4"/>
      <c r="C70" s="4"/>
      <c r="D70" s="4"/>
      <c r="E70" s="10"/>
      <c r="F70" s="51"/>
      <c r="G70" s="51"/>
      <c r="H70" s="51"/>
      <c r="I70" s="51"/>
      <c r="J70" s="51"/>
      <c r="K70" s="51"/>
      <c r="L70" s="51"/>
      <c r="M70" s="51"/>
      <c r="N70" s="51"/>
      <c r="O70" s="4"/>
      <c r="P70" s="4"/>
      <c r="Q70" s="4"/>
      <c r="R70" s="4"/>
      <c r="S70" s="4"/>
      <c r="T70" s="4"/>
      <c r="U70" s="4"/>
      <c r="V70" s="4"/>
      <c r="W70" s="4"/>
      <c r="X70" s="4"/>
      <c r="Y70" s="4"/>
    </row>
    <row r="71" spans="1:25" ht="30" customHeight="1">
      <c r="A71" s="143"/>
      <c r="B71" s="4"/>
      <c r="C71" s="4"/>
      <c r="D71" s="4"/>
      <c r="E71" s="10"/>
      <c r="F71" s="51"/>
      <c r="G71" s="51"/>
      <c r="H71" s="51"/>
      <c r="I71" s="51"/>
      <c r="J71" s="51"/>
      <c r="K71" s="51"/>
      <c r="L71" s="51"/>
      <c r="M71" s="51"/>
      <c r="N71" s="51"/>
      <c r="O71" s="4"/>
      <c r="P71" s="4"/>
      <c r="Q71" s="4"/>
      <c r="R71" s="4"/>
      <c r="S71" s="4"/>
      <c r="T71" s="4"/>
      <c r="U71" s="4"/>
      <c r="V71" s="4"/>
      <c r="W71" s="4"/>
      <c r="X71" s="4"/>
      <c r="Y71" s="4"/>
    </row>
    <row r="72" spans="1:25" ht="30" customHeight="1">
      <c r="A72" s="143"/>
      <c r="B72" s="4"/>
      <c r="C72" s="4"/>
      <c r="D72" s="4"/>
      <c r="E72" s="10"/>
      <c r="F72" s="51"/>
      <c r="G72" s="51"/>
      <c r="H72" s="51"/>
      <c r="I72" s="51"/>
      <c r="J72" s="51"/>
      <c r="K72" s="51"/>
      <c r="L72" s="51"/>
      <c r="M72" s="51"/>
      <c r="N72" s="51"/>
      <c r="O72" s="4"/>
      <c r="P72" s="4"/>
      <c r="Q72" s="4"/>
      <c r="R72" s="4"/>
      <c r="S72" s="4"/>
      <c r="T72" s="4"/>
      <c r="U72" s="4"/>
      <c r="V72" s="4"/>
      <c r="W72" s="4"/>
      <c r="X72" s="4"/>
      <c r="Y72" s="4"/>
    </row>
    <row r="73" spans="1:25" ht="30" customHeight="1">
      <c r="A73" s="143"/>
      <c r="B73" s="4"/>
      <c r="C73" s="4"/>
      <c r="D73" s="4"/>
      <c r="E73" s="10"/>
      <c r="F73" s="51"/>
      <c r="G73" s="51"/>
      <c r="H73" s="51"/>
      <c r="I73" s="51"/>
      <c r="J73" s="51"/>
      <c r="K73" s="51"/>
      <c r="L73" s="51"/>
      <c r="M73" s="51"/>
      <c r="N73" s="51"/>
      <c r="O73" s="4"/>
      <c r="P73" s="4"/>
      <c r="Q73" s="4"/>
      <c r="R73" s="4"/>
      <c r="S73" s="4"/>
      <c r="T73" s="4"/>
      <c r="U73" s="4"/>
      <c r="V73" s="4"/>
      <c r="W73" s="4"/>
      <c r="X73" s="4"/>
      <c r="Y73" s="4"/>
    </row>
    <row r="74" spans="1:25" ht="30" customHeight="1">
      <c r="A74" s="143"/>
      <c r="B74" s="4"/>
      <c r="C74" s="4"/>
      <c r="D74" s="4"/>
      <c r="E74" s="10"/>
      <c r="F74" s="51"/>
      <c r="G74" s="51"/>
      <c r="H74" s="51"/>
      <c r="I74" s="51"/>
      <c r="J74" s="51"/>
      <c r="K74" s="51"/>
      <c r="L74" s="51"/>
      <c r="M74" s="51"/>
      <c r="N74" s="51"/>
      <c r="O74" s="4"/>
      <c r="P74" s="4"/>
      <c r="Q74" s="4"/>
      <c r="R74" s="4"/>
      <c r="S74" s="4"/>
      <c r="T74" s="4"/>
      <c r="U74" s="4"/>
      <c r="V74" s="4"/>
      <c r="W74" s="4"/>
      <c r="X74" s="4"/>
      <c r="Y74" s="4"/>
    </row>
    <row r="75" spans="1:25" ht="30" customHeight="1">
      <c r="A75" s="143"/>
      <c r="B75" s="4"/>
      <c r="C75" s="4"/>
      <c r="D75" s="4"/>
      <c r="E75" s="10"/>
      <c r="F75" s="51"/>
      <c r="G75" s="51"/>
      <c r="H75" s="51"/>
      <c r="I75" s="51"/>
      <c r="J75" s="51"/>
      <c r="K75" s="51"/>
      <c r="L75" s="51"/>
      <c r="M75" s="51"/>
      <c r="N75" s="51"/>
      <c r="O75" s="4"/>
      <c r="P75" s="4"/>
      <c r="Q75" s="4"/>
      <c r="R75" s="4"/>
      <c r="S75" s="4"/>
      <c r="T75" s="4"/>
      <c r="U75" s="4"/>
      <c r="V75" s="4"/>
      <c r="W75" s="4"/>
      <c r="X75" s="4"/>
      <c r="Y75" s="4"/>
    </row>
    <row r="76" spans="1:25" ht="30" customHeight="1">
      <c r="A76" s="143"/>
      <c r="B76" s="4"/>
      <c r="C76" s="4"/>
      <c r="D76" s="4"/>
      <c r="E76" s="10"/>
      <c r="F76" s="51"/>
      <c r="G76" s="51"/>
      <c r="H76" s="51"/>
      <c r="I76" s="51"/>
      <c r="J76" s="51"/>
      <c r="K76" s="51"/>
      <c r="L76" s="51"/>
      <c r="M76" s="51"/>
      <c r="N76" s="51"/>
      <c r="O76" s="4"/>
      <c r="P76" s="4"/>
      <c r="Q76" s="4"/>
      <c r="R76" s="4"/>
      <c r="S76" s="4"/>
      <c r="T76" s="4"/>
      <c r="U76" s="4"/>
      <c r="V76" s="4"/>
      <c r="W76" s="4"/>
      <c r="X76" s="4"/>
      <c r="Y76" s="4"/>
    </row>
    <row r="77" spans="1:25" ht="30" customHeight="1">
      <c r="A77" s="143"/>
      <c r="B77" s="4"/>
      <c r="C77" s="4"/>
      <c r="D77" s="4"/>
      <c r="E77" s="10"/>
      <c r="F77" s="51"/>
      <c r="G77" s="51"/>
      <c r="H77" s="51"/>
      <c r="I77" s="51"/>
      <c r="J77" s="51"/>
      <c r="K77" s="51"/>
      <c r="L77" s="51"/>
      <c r="M77" s="51"/>
      <c r="N77" s="51"/>
      <c r="O77" s="4"/>
      <c r="P77" s="4"/>
      <c r="Q77" s="4"/>
      <c r="R77" s="4"/>
      <c r="S77" s="4"/>
      <c r="T77" s="4"/>
      <c r="U77" s="4"/>
      <c r="V77" s="4"/>
      <c r="W77" s="4"/>
      <c r="X77" s="4"/>
      <c r="Y77" s="4"/>
    </row>
    <row r="78" spans="1:25" ht="30" customHeight="1">
      <c r="A78" s="143"/>
      <c r="B78" s="4"/>
      <c r="C78" s="4"/>
      <c r="D78" s="4"/>
      <c r="E78" s="10"/>
      <c r="F78" s="51"/>
      <c r="G78" s="51"/>
      <c r="H78" s="51"/>
      <c r="I78" s="51"/>
      <c r="J78" s="51"/>
      <c r="K78" s="51"/>
      <c r="L78" s="51"/>
      <c r="M78" s="51"/>
      <c r="N78" s="51"/>
      <c r="O78" s="4"/>
      <c r="P78" s="4"/>
      <c r="Q78" s="4"/>
      <c r="R78" s="4"/>
      <c r="S78" s="4"/>
      <c r="T78" s="4"/>
      <c r="U78" s="4"/>
      <c r="V78" s="4"/>
      <c r="W78" s="4"/>
      <c r="X78" s="4"/>
      <c r="Y78" s="4"/>
    </row>
    <row r="79" spans="1:25" ht="30" customHeight="1">
      <c r="A79" s="143"/>
      <c r="B79" s="4"/>
      <c r="C79" s="4"/>
      <c r="D79" s="4"/>
      <c r="E79" s="10"/>
      <c r="F79" s="51"/>
      <c r="G79" s="51"/>
      <c r="H79" s="51"/>
      <c r="I79" s="51"/>
      <c r="J79" s="51"/>
      <c r="K79" s="51"/>
      <c r="L79" s="51"/>
      <c r="M79" s="51"/>
      <c r="N79" s="51"/>
      <c r="O79" s="4"/>
      <c r="P79" s="4"/>
      <c r="Q79" s="4"/>
      <c r="R79" s="4"/>
      <c r="S79" s="4"/>
      <c r="T79" s="4"/>
      <c r="U79" s="4"/>
      <c r="V79" s="4"/>
      <c r="W79" s="4"/>
      <c r="X79" s="4"/>
      <c r="Y79" s="4"/>
    </row>
    <row r="80" spans="1:25" ht="30" customHeight="1">
      <c r="A80" s="143"/>
      <c r="B80" s="4"/>
      <c r="C80" s="4"/>
      <c r="D80" s="4"/>
      <c r="E80" s="10"/>
      <c r="F80" s="51"/>
      <c r="G80" s="51"/>
      <c r="H80" s="51"/>
      <c r="I80" s="51"/>
      <c r="J80" s="51"/>
      <c r="K80" s="51"/>
      <c r="L80" s="51"/>
      <c r="M80" s="51"/>
      <c r="N80" s="51"/>
      <c r="O80" s="4"/>
      <c r="P80" s="4"/>
      <c r="Q80" s="4"/>
      <c r="R80" s="4"/>
      <c r="S80" s="4"/>
      <c r="T80" s="4"/>
      <c r="U80" s="4"/>
      <c r="V80" s="4"/>
      <c r="W80" s="4"/>
      <c r="X80" s="4"/>
      <c r="Y80" s="4"/>
    </row>
    <row r="81" spans="1:25" ht="30" customHeight="1">
      <c r="A81" s="143"/>
      <c r="B81" s="4"/>
      <c r="C81" s="4"/>
      <c r="D81" s="4"/>
      <c r="E81" s="10"/>
      <c r="F81" s="51"/>
      <c r="G81" s="51"/>
      <c r="H81" s="51"/>
      <c r="I81" s="51"/>
      <c r="J81" s="51"/>
      <c r="K81" s="51"/>
      <c r="L81" s="51"/>
      <c r="M81" s="51"/>
      <c r="N81" s="51"/>
      <c r="O81" s="4"/>
      <c r="P81" s="4"/>
      <c r="Q81" s="4"/>
      <c r="R81" s="4"/>
      <c r="S81" s="4"/>
      <c r="T81" s="4"/>
      <c r="U81" s="4"/>
      <c r="V81" s="4"/>
      <c r="W81" s="4"/>
      <c r="X81" s="4"/>
      <c r="Y81" s="4"/>
    </row>
    <row r="82" spans="1:25" ht="30" customHeight="1">
      <c r="A82" s="143"/>
      <c r="B82" s="4"/>
      <c r="C82" s="4"/>
      <c r="D82" s="4"/>
      <c r="E82" s="10"/>
      <c r="F82" s="51"/>
      <c r="G82" s="51"/>
      <c r="H82" s="51"/>
      <c r="I82" s="51"/>
      <c r="J82" s="51"/>
      <c r="K82" s="51"/>
      <c r="L82" s="51"/>
      <c r="M82" s="51"/>
      <c r="N82" s="51"/>
      <c r="O82" s="4"/>
      <c r="P82" s="4"/>
      <c r="Q82" s="4"/>
      <c r="R82" s="4"/>
      <c r="S82" s="4"/>
      <c r="T82" s="4"/>
      <c r="U82" s="4"/>
      <c r="V82" s="4"/>
      <c r="W82" s="4"/>
      <c r="X82" s="4"/>
      <c r="Y82" s="4"/>
    </row>
    <row r="83" spans="1:25" ht="30" customHeight="1">
      <c r="A83" s="143"/>
      <c r="B83" s="4"/>
      <c r="C83" s="4"/>
      <c r="D83" s="4"/>
      <c r="E83" s="10"/>
      <c r="F83" s="51"/>
      <c r="G83" s="51"/>
      <c r="H83" s="51"/>
      <c r="I83" s="51"/>
      <c r="J83" s="51"/>
      <c r="K83" s="51"/>
      <c r="L83" s="51"/>
      <c r="M83" s="51"/>
      <c r="N83" s="51"/>
      <c r="O83" s="4"/>
      <c r="P83" s="4"/>
      <c r="Q83" s="4"/>
      <c r="R83" s="4"/>
      <c r="S83" s="4"/>
      <c r="T83" s="4"/>
      <c r="U83" s="4"/>
      <c r="V83" s="4"/>
      <c r="W83" s="4"/>
      <c r="X83" s="4"/>
      <c r="Y83" s="4"/>
    </row>
    <row r="84" spans="1:25" hidden="1">
      <c r="A84" s="143"/>
    </row>
  </sheetData>
  <mergeCells count="1">
    <mergeCell ref="E3:N5"/>
  </mergeCells>
  <conditionalFormatting sqref="A1:A7">
    <cfRule type="cellIs" dxfId="123" priority="77" operator="equal">
      <formula>0</formula>
    </cfRule>
  </conditionalFormatting>
  <conditionalFormatting sqref="B1:B23 C3:E3 C4:D5 C6:L8 C17:D23 E18:M19 F20:M20 A20:A1048576 E21:L23 M39:N40 B39:D1048576 M41 F42:M44 E45:XFD47 K48:XFD63 E64:XFD1048576">
    <cfRule type="cellIs" dxfId="122" priority="93" operator="equal">
      <formula>0</formula>
    </cfRule>
  </conditionalFormatting>
  <conditionalFormatting sqref="B38:N38">
    <cfRule type="cellIs" dxfId="121" priority="45" operator="equal">
      <formula>0</formula>
    </cfRule>
  </conditionalFormatting>
  <conditionalFormatting sqref="C9:E16">
    <cfRule type="cellIs" dxfId="120" priority="47" operator="equal">
      <formula>0</formula>
    </cfRule>
  </conditionalFormatting>
  <conditionalFormatting sqref="C1:N2 F14:M17">
    <cfRule type="cellIs" dxfId="119" priority="70" operator="equal">
      <formula>0</formula>
    </cfRule>
  </conditionalFormatting>
  <conditionalFormatting sqref="E17">
    <cfRule type="cellIs" dxfId="118" priority="86" operator="equal">
      <formula>0</formula>
    </cfRule>
  </conditionalFormatting>
  <conditionalFormatting sqref="E20:E37">
    <cfRule type="cellIs" dxfId="117" priority="46" operator="equal">
      <formula>0</formula>
    </cfRule>
  </conditionalFormatting>
  <conditionalFormatting sqref="E48:E63">
    <cfRule type="cellIs" dxfId="116" priority="4" operator="equal">
      <formula>0</formula>
    </cfRule>
  </conditionalFormatting>
  <conditionalFormatting sqref="E48:J48">
    <cfRule type="cellIs" dxfId="115" priority="2" operator="equal">
      <formula>0</formula>
    </cfRule>
  </conditionalFormatting>
  <conditionalFormatting sqref="E39:L44">
    <cfRule type="cellIs" dxfId="114" priority="71" operator="equal">
      <formula>0</formula>
    </cfRule>
  </conditionalFormatting>
  <conditionalFormatting sqref="F49:J49 F61:J63">
    <cfRule type="cellIs" dxfId="113" priority="3" operator="equal">
      <formula>0</formula>
    </cfRule>
  </conditionalFormatting>
  <conditionalFormatting sqref="F50:J60">
    <cfRule type="cellIs" dxfId="112" priority="1" operator="equal">
      <formula>0</formula>
    </cfRule>
  </conditionalFormatting>
  <conditionalFormatting sqref="F24:L24">
    <cfRule type="cellIs" dxfId="111" priority="14" operator="equal">
      <formula>0</formula>
    </cfRule>
  </conditionalFormatting>
  <conditionalFormatting sqref="F25:N37">
    <cfRule type="cellIs" dxfId="110" priority="7" operator="equal">
      <formula>0</formula>
    </cfRule>
  </conditionalFormatting>
  <conditionalFormatting sqref="M21:M24">
    <cfRule type="cellIs" dxfId="109" priority="36" operator="equal">
      <formula>0</formula>
    </cfRule>
  </conditionalFormatting>
  <conditionalFormatting sqref="M6:N9 F9:O13">
    <cfRule type="cellIs" dxfId="108" priority="43" operator="equal">
      <formula>0</formula>
    </cfRule>
  </conditionalFormatting>
  <conditionalFormatting sqref="N41:N44">
    <cfRule type="cellIs" dxfId="107" priority="5" operator="equal">
      <formula>0</formula>
    </cfRule>
  </conditionalFormatting>
  <conditionalFormatting sqref="O14 N14:N24">
    <cfRule type="cellIs" dxfId="106" priority="9" operator="equal">
      <formula>0</formula>
    </cfRule>
  </conditionalFormatting>
  <conditionalFormatting sqref="O1:XFD8 P9:XFD14 O15:XFD44 B24:D37">
    <cfRule type="cellIs" dxfId="105" priority="80" operator="equal">
      <formula>0</formula>
    </cfRule>
  </conditionalFormatting>
  <hyperlinks>
    <hyperlink ref="A16" location="'Projeções - CG + Capex'!A1" display="Projeções - CG + Capex" xr:uid="{5F63C521-559D-497A-92BD-1907AC44467E}"/>
    <hyperlink ref="A18" location="Processos!A1" display="Processos" xr:uid="{E701E80C-9B3C-4088-A749-22F00090B077}"/>
    <hyperlink ref="A8" location="Dashboard!A1" display="Dashboard" xr:uid="{DBEB2B75-3CCE-41A4-83E0-21A156A4A4AB}"/>
    <hyperlink ref="A9" location="WACC!A1" display="WACC" xr:uid="{BE15187A-60F3-4348-9902-7C7B395C15F1}"/>
    <hyperlink ref="A11" location="'DRE + DCF'!A1" display="DRE + DCF" xr:uid="{2615B2D0-8485-44E2-A4FF-A144AB90171E}"/>
    <hyperlink ref="A12" location="'DRE - Contas Abertas'!A1" display="DRE - Contas Abertas" xr:uid="{2E26800E-8AF7-4556-8E73-9711A6851878}"/>
    <hyperlink ref="A13" location="'Balanço Patrimonial'!A1" display="Balanço Patrimonial" xr:uid="{E62E4256-9B25-4C8F-95F9-B9249C8638C7}"/>
    <hyperlink ref="A10" location="'DRE Consolidado'!A1" display="DRE Consolidado" xr:uid="{1C4AA2FD-9849-41A2-8F92-52B77B29CA28}"/>
    <hyperlink ref="A15" location="'Projeções - Receita e EBIT'!A1" display="Projeções - Receita" xr:uid="{23612054-B14A-4C6A-84E6-568453B729D3}"/>
    <hyperlink ref="A17" location="'Projeções 2023'!A1" display="Projeções 2022" xr:uid="{89287F86-AFE5-4B67-A580-9A2E0BDB8882}"/>
  </hyperlinks>
  <pageMargins left="0.511811024" right="0.511811024" top="0.78740157499999996" bottom="0.78740157499999996" header="0.31496062000000002" footer="0.31496062000000002"/>
  <drawing r:id="rId1"/>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Planilha19"/>
  <dimension ref="A1:AT180"/>
  <sheetViews>
    <sheetView showGridLines="0" topLeftCell="C1" zoomScale="70" zoomScaleNormal="70" workbookViewId="0">
      <pane xSplit="3" topLeftCell="F1" activePane="topRight" state="frozen"/>
      <selection activeCell="C1" sqref="C1"/>
      <selection pane="topRight" activeCell="J13" sqref="J13:U15"/>
    </sheetView>
  </sheetViews>
  <sheetFormatPr defaultColWidth="0" defaultRowHeight="15" zeroHeight="1"/>
  <cols>
    <col min="1" max="1" width="39.140625" style="3" customWidth="1"/>
    <col min="2" max="4" width="9.140625" style="5" customWidth="1"/>
    <col min="5" max="5" width="74.85546875" style="5" bestFit="1" customWidth="1"/>
    <col min="6" max="8" width="11.85546875" style="5" customWidth="1"/>
    <col min="9" max="9" width="13.28515625" style="5" bestFit="1" customWidth="1"/>
    <col min="10" max="10" width="15.85546875" style="5" bestFit="1" customWidth="1"/>
    <col min="11" max="12" width="14.5703125" style="5" customWidth="1"/>
    <col min="13" max="13" width="15.5703125" style="5" bestFit="1" customWidth="1"/>
    <col min="14" max="16" width="15.5703125" style="5" customWidth="1"/>
    <col min="17" max="17" width="14.7109375" style="5" bestFit="1" customWidth="1"/>
    <col min="18" max="18" width="13.28515625" style="5" bestFit="1" customWidth="1"/>
    <col min="19" max="21" width="14.5703125" style="5" bestFit="1" customWidth="1"/>
    <col min="22" max="22" width="71.5703125" style="5" customWidth="1"/>
    <col min="23" max="23" width="26.85546875" style="5" bestFit="1" customWidth="1"/>
    <col min="24" max="24" width="22.85546875" style="5" bestFit="1" customWidth="1"/>
    <col min="25" max="25" width="23.140625" style="5" bestFit="1" customWidth="1"/>
    <col min="26" max="37" width="9.140625" style="5" customWidth="1"/>
    <col min="38" max="38" width="9.140625" style="5" hidden="1" customWidth="1"/>
    <col min="39" max="46" width="0" style="5" hidden="1" customWidth="1"/>
    <col min="47" max="16384" width="9.140625" style="5" hidden="1"/>
  </cols>
  <sheetData>
    <row r="1" spans="1:38" ht="15" customHeight="1">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row>
    <row r="2" spans="1:38" ht="15" customHeight="1">
      <c r="B2" s="4"/>
      <c r="C2" s="4"/>
      <c r="D2" s="4"/>
      <c r="E2" s="4"/>
      <c r="F2" s="4"/>
      <c r="G2" s="4"/>
      <c r="H2" s="4"/>
      <c r="I2" s="4"/>
      <c r="J2" s="4"/>
      <c r="K2" s="4"/>
      <c r="L2" s="4"/>
      <c r="M2" s="74"/>
      <c r="N2" s="74"/>
      <c r="O2" s="74"/>
      <c r="P2" s="74"/>
      <c r="Q2" s="74"/>
      <c r="R2" s="74"/>
      <c r="S2" s="74"/>
      <c r="T2" s="65"/>
      <c r="U2" s="65"/>
      <c r="V2" s="65"/>
      <c r="W2" s="65"/>
      <c r="X2" s="4"/>
      <c r="Y2" s="4"/>
      <c r="Z2" s="4"/>
      <c r="AA2" s="4"/>
      <c r="AB2" s="4"/>
      <c r="AC2" s="4"/>
      <c r="AD2" s="4"/>
      <c r="AE2" s="4"/>
      <c r="AF2" s="4"/>
      <c r="AG2" s="4"/>
      <c r="AH2" s="4"/>
      <c r="AI2" s="4"/>
      <c r="AJ2" s="4"/>
      <c r="AK2" s="4"/>
    </row>
    <row r="3" spans="1:38" ht="15" customHeight="1">
      <c r="B3" s="4"/>
      <c r="C3" s="4"/>
      <c r="D3" s="4"/>
      <c r="E3" s="4"/>
      <c r="F3" s="4"/>
      <c r="G3" s="4"/>
      <c r="H3" s="4"/>
      <c r="I3" s="4"/>
      <c r="J3" s="4"/>
      <c r="K3" s="4"/>
      <c r="L3" s="4"/>
      <c r="M3" s="6"/>
      <c r="N3" s="6"/>
      <c r="O3" s="6"/>
      <c r="P3" s="6"/>
      <c r="Q3" s="343" t="str">
        <f>Dashboard!H3</f>
        <v>SIMPAR (SIMH3)</v>
      </c>
      <c r="R3" s="343"/>
      <c r="S3" s="343"/>
      <c r="T3" s="75"/>
      <c r="U3" s="75"/>
      <c r="V3" s="75"/>
      <c r="W3" s="75"/>
      <c r="X3" s="343"/>
      <c r="Y3" s="343"/>
      <c r="Z3" s="4"/>
      <c r="AA3" s="4"/>
      <c r="AB3" s="4"/>
      <c r="AC3" s="4"/>
      <c r="AD3" s="4"/>
      <c r="AE3" s="4"/>
      <c r="AF3" s="4"/>
      <c r="AG3" s="4"/>
      <c r="AH3" s="4"/>
      <c r="AI3" s="4"/>
      <c r="AJ3" s="4"/>
      <c r="AK3" s="4"/>
    </row>
    <row r="4" spans="1:38" ht="15" customHeight="1">
      <c r="B4" s="4"/>
      <c r="C4" s="4"/>
      <c r="D4" s="4"/>
      <c r="E4" s="4"/>
      <c r="F4" s="4"/>
      <c r="G4" s="4"/>
      <c r="H4" s="4"/>
      <c r="I4" s="4"/>
      <c r="J4" s="4"/>
      <c r="K4" s="4"/>
      <c r="L4" s="4"/>
      <c r="M4" s="6"/>
      <c r="N4" s="6"/>
      <c r="O4" s="6"/>
      <c r="P4" s="6"/>
      <c r="Q4" s="343"/>
      <c r="R4" s="343"/>
      <c r="S4" s="343"/>
      <c r="T4" s="75"/>
      <c r="U4" s="75"/>
      <c r="V4" s="75"/>
      <c r="W4" s="75"/>
      <c r="X4" s="343"/>
      <c r="Y4" s="343"/>
      <c r="Z4" s="4"/>
      <c r="AA4" s="4"/>
      <c r="AB4" s="4"/>
      <c r="AC4" s="4"/>
      <c r="AD4" s="4"/>
      <c r="AE4" s="4"/>
      <c r="AF4" s="4"/>
      <c r="AG4" s="4"/>
      <c r="AH4" s="4"/>
      <c r="AI4" s="4"/>
      <c r="AJ4" s="4"/>
      <c r="AK4" s="4"/>
    </row>
    <row r="5" spans="1:38" ht="15" customHeight="1">
      <c r="B5" s="4"/>
      <c r="C5" s="4"/>
      <c r="D5" s="4"/>
      <c r="E5" s="4"/>
      <c r="F5" s="4"/>
      <c r="G5" s="4"/>
      <c r="H5" s="4"/>
      <c r="I5" s="4"/>
      <c r="J5" s="4"/>
      <c r="K5" s="4"/>
      <c r="L5" s="4"/>
      <c r="M5" s="76"/>
      <c r="N5" s="76"/>
      <c r="O5" s="76"/>
      <c r="P5" s="76"/>
      <c r="Q5" s="395"/>
      <c r="R5" s="395"/>
      <c r="S5" s="395"/>
      <c r="T5" s="75"/>
      <c r="U5" s="75"/>
      <c r="V5" s="75"/>
      <c r="W5" s="75"/>
      <c r="X5" s="4"/>
      <c r="Y5" s="4"/>
      <c r="Z5" s="4"/>
      <c r="AA5" s="4"/>
      <c r="AB5" s="4"/>
      <c r="AC5" s="4"/>
      <c r="AD5" s="4"/>
      <c r="AE5" s="4"/>
      <c r="AF5" s="4"/>
      <c r="AG5" s="4"/>
      <c r="AH5" s="4"/>
      <c r="AI5" s="4"/>
      <c r="AJ5" s="4"/>
      <c r="AK5" s="4"/>
    </row>
    <row r="6" spans="1:38" hidden="1">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8" s="11" customFormat="1" ht="24.75" customHeight="1">
      <c r="A7" s="142" t="s">
        <v>33</v>
      </c>
      <c r="B7" s="10"/>
      <c r="C7" s="10"/>
      <c r="D7" s="10"/>
      <c r="E7" s="10"/>
      <c r="F7" s="223"/>
      <c r="G7" s="223"/>
      <c r="H7" s="223"/>
      <c r="I7" s="223"/>
      <c r="J7" s="223"/>
      <c r="K7" s="223"/>
      <c r="L7" s="223"/>
      <c r="M7" s="223"/>
      <c r="N7" s="223"/>
      <c r="O7" s="223"/>
      <c r="P7" s="223"/>
      <c r="Q7" s="51"/>
      <c r="R7" s="51"/>
      <c r="S7" s="51"/>
      <c r="T7" s="51"/>
      <c r="U7" s="51"/>
      <c r="V7" s="10"/>
      <c r="W7" s="10"/>
      <c r="X7" s="10"/>
      <c r="Y7" s="10"/>
      <c r="Z7" s="10"/>
      <c r="AA7" s="10"/>
      <c r="AB7" s="10"/>
      <c r="AC7" s="10"/>
      <c r="AD7" s="10"/>
      <c r="AE7" s="10"/>
      <c r="AF7" s="10"/>
      <c r="AG7" s="10"/>
      <c r="AH7" s="10"/>
      <c r="AI7" s="10"/>
      <c r="AJ7" s="10"/>
      <c r="AK7" s="10"/>
    </row>
    <row r="8" spans="1:38" ht="30" customHeight="1">
      <c r="A8" s="12" t="s">
        <v>34</v>
      </c>
      <c r="B8" s="4"/>
      <c r="C8" s="4"/>
      <c r="D8" s="10"/>
      <c r="E8" s="29"/>
      <c r="F8" s="30"/>
      <c r="G8" s="30"/>
      <c r="H8" s="30"/>
      <c r="I8" s="30"/>
      <c r="J8" s="30"/>
      <c r="K8" s="30"/>
      <c r="L8" s="30"/>
      <c r="M8" s="30"/>
      <c r="N8" s="30"/>
      <c r="O8" s="30"/>
      <c r="P8" s="30"/>
      <c r="Q8" s="30"/>
      <c r="Z8" s="4"/>
      <c r="AA8" s="4"/>
      <c r="AB8" s="4"/>
      <c r="AC8" s="4"/>
      <c r="AD8" s="4"/>
      <c r="AE8" s="4"/>
      <c r="AF8" s="4"/>
      <c r="AG8" s="4"/>
      <c r="AH8" s="4"/>
      <c r="AI8" s="4"/>
      <c r="AJ8" s="4"/>
      <c r="AK8" s="4"/>
    </row>
    <row r="9" spans="1:38" ht="30" customHeight="1">
      <c r="A9" s="12" t="s">
        <v>23</v>
      </c>
      <c r="B9" s="4"/>
      <c r="C9" s="4"/>
      <c r="D9" s="4"/>
      <c r="E9" s="78"/>
      <c r="F9" s="37">
        <v>2014</v>
      </c>
      <c r="G9" s="37">
        <v>2015</v>
      </c>
      <c r="H9" s="37">
        <v>2016</v>
      </c>
      <c r="I9" s="37">
        <v>2017</v>
      </c>
      <c r="J9" s="37">
        <v>2018</v>
      </c>
      <c r="K9" s="37">
        <v>2019</v>
      </c>
      <c r="L9" s="37">
        <v>2020</v>
      </c>
      <c r="M9" s="37">
        <v>2021</v>
      </c>
      <c r="N9" s="37">
        <v>2022</v>
      </c>
      <c r="O9" s="37" t="s">
        <v>501</v>
      </c>
      <c r="P9" s="37" t="s">
        <v>485</v>
      </c>
      <c r="Q9" s="38">
        <v>2023</v>
      </c>
      <c r="R9" s="38">
        <v>2024</v>
      </c>
      <c r="S9" s="38">
        <v>2025</v>
      </c>
      <c r="T9" s="38">
        <v>2026</v>
      </c>
      <c r="U9" s="38">
        <v>2027</v>
      </c>
      <c r="V9" s="38" t="s">
        <v>94</v>
      </c>
      <c r="W9" s="38" t="s">
        <v>95</v>
      </c>
      <c r="X9" s="38" t="s">
        <v>335</v>
      </c>
      <c r="Y9" s="91" t="s">
        <v>320</v>
      </c>
      <c r="Z9" s="4"/>
      <c r="AA9" s="4"/>
      <c r="AB9" s="4"/>
      <c r="AC9" s="4"/>
      <c r="AD9" s="4"/>
      <c r="AE9" s="4"/>
      <c r="AF9" s="4"/>
      <c r="AG9" s="4"/>
      <c r="AH9" s="4"/>
      <c r="AI9" s="4"/>
      <c r="AJ9" s="4"/>
      <c r="AK9" s="4"/>
      <c r="AL9" s="4"/>
    </row>
    <row r="10" spans="1:38" ht="30" customHeight="1">
      <c r="A10" s="12" t="s">
        <v>330</v>
      </c>
      <c r="B10" s="4"/>
      <c r="C10" s="4"/>
      <c r="D10" s="4"/>
      <c r="E10" s="79" t="s">
        <v>12</v>
      </c>
      <c r="F10" s="80"/>
      <c r="G10" s="80"/>
      <c r="H10" s="80"/>
      <c r="I10" s="80"/>
      <c r="J10" s="80">
        <f t="shared" ref="J10:O10" si="0">SUM(J13:J21)</f>
        <v>8031044.8274600003</v>
      </c>
      <c r="K10" s="80">
        <f t="shared" si="0"/>
        <v>9686209.2949200012</v>
      </c>
      <c r="L10" s="80">
        <f t="shared" si="0"/>
        <v>9807057.0000039097</v>
      </c>
      <c r="M10" s="80">
        <f t="shared" si="0"/>
        <v>13866219.494721111</v>
      </c>
      <c r="N10" s="80">
        <f t="shared" si="0"/>
        <v>24381790</v>
      </c>
      <c r="O10" s="80">
        <f t="shared" si="0"/>
        <v>23321789</v>
      </c>
      <c r="P10" s="80">
        <f>Q10-O10</f>
        <v>8336165.1210917607</v>
      </c>
      <c r="Q10" s="80">
        <f>SUM(Q13:Q21)</f>
        <v>31657954.121091761</v>
      </c>
      <c r="R10" s="80">
        <f>SUM(R13:R21)</f>
        <v>39929182.95923841</v>
      </c>
      <c r="S10" s="80">
        <f>SUM(S13:S21)</f>
        <v>47076707.241966113</v>
      </c>
      <c r="T10" s="80">
        <f>SUM(T13:T21)</f>
        <v>52864436.835145667</v>
      </c>
      <c r="U10" s="80">
        <f>SUM(U13:U21)</f>
        <v>58805341.244370364</v>
      </c>
      <c r="V10" s="80"/>
      <c r="W10" s="81"/>
      <c r="X10" s="82">
        <f>(N10/J10)^(1/4)-1</f>
        <v>0.31999833706762848</v>
      </c>
      <c r="Y10" s="92">
        <f>(U10/Q10)^(1/4)-1</f>
        <v>0.16743707752213632</v>
      </c>
      <c r="Z10" s="4"/>
      <c r="AA10" s="4"/>
      <c r="AB10" s="4"/>
      <c r="AC10" s="4"/>
      <c r="AD10" s="4"/>
      <c r="AE10" s="4"/>
      <c r="AF10" s="4"/>
      <c r="AG10" s="4"/>
      <c r="AH10" s="4"/>
      <c r="AI10" s="4"/>
      <c r="AJ10" s="4"/>
      <c r="AK10" s="4"/>
    </row>
    <row r="11" spans="1:38" ht="30" customHeight="1">
      <c r="A11" s="12" t="s">
        <v>36</v>
      </c>
      <c r="B11" s="4"/>
      <c r="C11" s="4"/>
      <c r="D11" s="4"/>
      <c r="E11" s="71" t="s">
        <v>47</v>
      </c>
      <c r="F11" s="44"/>
      <c r="G11" s="44"/>
      <c r="H11" s="44"/>
      <c r="I11" s="44"/>
      <c r="J11" s="44"/>
      <c r="K11" s="44">
        <f t="shared" ref="K11:U11" si="1">K10/J10-1</f>
        <v>0.20609578243177151</v>
      </c>
      <c r="L11" s="44">
        <f t="shared" ref="L11" si="2">L10/K10-1</f>
        <v>1.2476264078589372E-2</v>
      </c>
      <c r="M11" s="44">
        <f t="shared" ref="M11:N11" si="3">M10/L10-1</f>
        <v>0.41390220274192169</v>
      </c>
      <c r="N11" s="44">
        <f t="shared" si="3"/>
        <v>0.75835886697756227</v>
      </c>
      <c r="O11" s="44"/>
      <c r="P11" s="44"/>
      <c r="Q11" s="44">
        <f>Q10/M10-1</f>
        <v>1.2830991629076682</v>
      </c>
      <c r="R11" s="44">
        <f t="shared" si="1"/>
        <v>0.26126858376600004</v>
      </c>
      <c r="S11" s="44">
        <f t="shared" si="1"/>
        <v>0.17900502221706449</v>
      </c>
      <c r="T11" s="44">
        <f t="shared" si="1"/>
        <v>0.12294253214082351</v>
      </c>
      <c r="U11" s="44">
        <f t="shared" si="1"/>
        <v>0.11237998104001412</v>
      </c>
      <c r="V11" s="44"/>
      <c r="W11" s="81"/>
      <c r="X11" s="82"/>
      <c r="Y11" s="92"/>
      <c r="Z11" s="4"/>
      <c r="AA11" s="4"/>
      <c r="AB11" s="4"/>
      <c r="AC11" s="4"/>
      <c r="AD11" s="4"/>
      <c r="AE11" s="4"/>
      <c r="AF11" s="4"/>
      <c r="AG11" s="4"/>
      <c r="AH11" s="4"/>
      <c r="AI11" s="4"/>
      <c r="AJ11" s="4"/>
      <c r="AK11" s="4"/>
    </row>
    <row r="12" spans="1:38" ht="30" customHeight="1">
      <c r="A12" s="12"/>
      <c r="B12" s="4"/>
      <c r="C12" s="4"/>
      <c r="D12" s="4"/>
      <c r="E12" s="71" t="s">
        <v>342</v>
      </c>
      <c r="F12" s="44"/>
      <c r="G12" s="44"/>
      <c r="H12" s="44"/>
      <c r="I12" s="44"/>
      <c r="J12" s="287">
        <f>SUM(J13:J19)</f>
        <v>8178993.8274600003</v>
      </c>
      <c r="K12" s="287">
        <f t="shared" ref="K12:M12" si="4">SUM(K13:K19)</f>
        <v>9861984.2949200012</v>
      </c>
      <c r="L12" s="287">
        <f t="shared" si="4"/>
        <v>9934256.0000039097</v>
      </c>
      <c r="M12" s="287">
        <f t="shared" si="4"/>
        <v>14060748.494721111</v>
      </c>
      <c r="N12" s="287">
        <f t="shared" ref="N12:O12" si="5">SUM(N13:N19)</f>
        <v>24921822</v>
      </c>
      <c r="O12" s="287">
        <f t="shared" si="5"/>
        <v>23757858</v>
      </c>
      <c r="P12" s="287">
        <f t="shared" ref="P12" si="6">SUM(P13:P19)</f>
        <v>8494603.5842998661</v>
      </c>
      <c r="Q12" s="287">
        <f>SUM(Q13:Q19)</f>
        <v>32252461.584299866</v>
      </c>
      <c r="R12" s="287">
        <f t="shared" ref="R12" si="7">SUM(R13:R19)</f>
        <v>40679016.545397215</v>
      </c>
      <c r="S12" s="287">
        <f t="shared" ref="S12" si="8">SUM(S13:S19)</f>
        <v>47960764.805874377</v>
      </c>
      <c r="T12" s="287">
        <f t="shared" ref="T12" si="9">SUM(T13:T19)</f>
        <v>53857182.674519062</v>
      </c>
      <c r="U12" s="287">
        <f t="shared" ref="U12" si="10">SUM(U13:U19)</f>
        <v>59909651.842350088</v>
      </c>
      <c r="V12" s="44"/>
      <c r="W12" s="81"/>
      <c r="X12" s="82"/>
      <c r="Y12" s="92"/>
      <c r="Z12" s="4"/>
      <c r="AA12" s="4"/>
      <c r="AB12" s="4"/>
      <c r="AC12" s="4"/>
      <c r="AD12" s="4"/>
      <c r="AE12" s="4"/>
      <c r="AF12" s="4"/>
      <c r="AG12" s="4"/>
      <c r="AH12" s="4"/>
      <c r="AI12" s="4"/>
      <c r="AJ12" s="4"/>
      <c r="AK12" s="4"/>
    </row>
    <row r="13" spans="1:38" ht="30" customHeight="1">
      <c r="A13" s="167" t="s">
        <v>127</v>
      </c>
      <c r="B13" s="4"/>
      <c r="C13" s="4"/>
      <c r="D13" s="4"/>
      <c r="E13" s="71" t="s">
        <v>271</v>
      </c>
      <c r="F13" s="42"/>
      <c r="G13" s="42"/>
      <c r="H13" s="42"/>
      <c r="I13" s="42"/>
      <c r="J13" s="334">
        <v>3138376.8274600003</v>
      </c>
      <c r="K13" s="334">
        <v>3101978.2949200002</v>
      </c>
      <c r="L13" s="334">
        <v>2826797</v>
      </c>
      <c r="M13" s="334">
        <v>4295978.4947132999</v>
      </c>
      <c r="N13" s="334">
        <v>6022405</v>
      </c>
      <c r="O13" s="334">
        <v>5413278</v>
      </c>
      <c r="P13" s="334">
        <v>2168878.9517161688</v>
      </c>
      <c r="Q13" s="334">
        <v>7582156.9517161688</v>
      </c>
      <c r="R13" s="334">
        <v>9238433.1936790198</v>
      </c>
      <c r="S13" s="334">
        <v>10801504.209656507</v>
      </c>
      <c r="T13" s="334">
        <v>12266093.156600706</v>
      </c>
      <c r="U13" s="334">
        <v>13515280.359195348</v>
      </c>
      <c r="V13" s="44"/>
      <c r="W13" s="81"/>
      <c r="X13" s="82"/>
      <c r="Y13" s="92"/>
      <c r="Z13" s="4"/>
      <c r="AA13" s="4"/>
      <c r="AB13" s="4"/>
      <c r="AC13" s="4"/>
      <c r="AD13" s="4"/>
      <c r="AE13" s="4"/>
      <c r="AF13" s="4"/>
      <c r="AG13" s="4"/>
      <c r="AH13" s="4"/>
      <c r="AI13" s="4"/>
      <c r="AJ13" s="4"/>
      <c r="AK13" s="4"/>
    </row>
    <row r="14" spans="1:38" ht="30" customHeight="1">
      <c r="A14" s="12" t="s">
        <v>37</v>
      </c>
      <c r="B14" s="4"/>
      <c r="C14" s="4"/>
      <c r="D14" s="4"/>
      <c r="E14" s="71" t="s">
        <v>272</v>
      </c>
      <c r="F14" s="42"/>
      <c r="G14" s="42"/>
      <c r="H14" s="42"/>
      <c r="I14" s="42"/>
      <c r="J14" s="334">
        <v>2538599</v>
      </c>
      <c r="K14" s="334">
        <v>3836044</v>
      </c>
      <c r="L14" s="334">
        <v>4085259.0000039102</v>
      </c>
      <c r="M14" s="334">
        <v>5332623.0000078101</v>
      </c>
      <c r="N14" s="334">
        <v>9600029</v>
      </c>
      <c r="O14" s="334">
        <v>7848570</v>
      </c>
      <c r="P14" s="334">
        <v>2569024.8584517129</v>
      </c>
      <c r="Q14" s="334">
        <v>10417594.858451713</v>
      </c>
      <c r="R14" s="334">
        <v>12558572.468579929</v>
      </c>
      <c r="S14" s="334">
        <v>15971455.390789935</v>
      </c>
      <c r="T14" s="334">
        <v>18093642.781641725</v>
      </c>
      <c r="U14" s="334">
        <v>20469174.947439849</v>
      </c>
      <c r="V14" s="44"/>
      <c r="W14" s="81"/>
      <c r="X14" s="82"/>
      <c r="Y14" s="92"/>
      <c r="Z14" s="4"/>
      <c r="AA14" s="4"/>
      <c r="AB14" s="4"/>
      <c r="AC14" s="4"/>
      <c r="AD14" s="4"/>
      <c r="AE14" s="4"/>
      <c r="AF14" s="4"/>
      <c r="AG14" s="4"/>
      <c r="AH14" s="4"/>
      <c r="AI14" s="4"/>
      <c r="AJ14" s="4"/>
      <c r="AK14" s="4"/>
    </row>
    <row r="15" spans="1:38" ht="30" customHeight="1">
      <c r="A15" s="12" t="s">
        <v>100</v>
      </c>
      <c r="B15" s="4"/>
      <c r="C15" s="4"/>
      <c r="D15" s="4"/>
      <c r="E15" s="71" t="s">
        <v>273</v>
      </c>
      <c r="F15" s="42"/>
      <c r="G15" s="42"/>
      <c r="H15" s="42"/>
      <c r="I15" s="42"/>
      <c r="J15" s="334">
        <v>938946</v>
      </c>
      <c r="K15" s="334">
        <v>1211508</v>
      </c>
      <c r="L15" s="334">
        <v>1513187</v>
      </c>
      <c r="M15" s="334">
        <v>2823495</v>
      </c>
      <c r="N15" s="334">
        <v>4913454</v>
      </c>
      <c r="O15" s="334">
        <v>4632745</v>
      </c>
      <c r="P15" s="334">
        <v>1787327.707260252</v>
      </c>
      <c r="Q15" s="334">
        <v>6420072.707260252</v>
      </c>
      <c r="R15" s="334">
        <v>8285054.2697759354</v>
      </c>
      <c r="S15" s="334">
        <v>9830385.8730939329</v>
      </c>
      <c r="T15" s="334">
        <v>11395644.254122499</v>
      </c>
      <c r="U15" s="334">
        <v>12992391.108782437</v>
      </c>
      <c r="V15" s="44"/>
      <c r="W15" s="81"/>
      <c r="X15" s="82"/>
      <c r="Y15" s="92"/>
      <c r="Z15" s="4"/>
      <c r="AA15" s="4"/>
      <c r="AB15" s="4"/>
      <c r="AC15" s="4"/>
      <c r="AD15" s="4"/>
      <c r="AE15" s="4"/>
      <c r="AF15" s="4"/>
      <c r="AG15" s="4"/>
      <c r="AH15" s="4"/>
      <c r="AI15" s="4"/>
      <c r="AJ15" s="4"/>
      <c r="AK15" s="4"/>
    </row>
    <row r="16" spans="1:38" ht="27" customHeight="1">
      <c r="A16" s="168" t="s">
        <v>331</v>
      </c>
      <c r="B16" s="4"/>
      <c r="C16" s="4"/>
      <c r="D16" s="4"/>
      <c r="E16" s="71" t="s">
        <v>274</v>
      </c>
      <c r="F16" s="42"/>
      <c r="G16" s="42"/>
      <c r="H16" s="42"/>
      <c r="I16" s="42"/>
      <c r="J16" s="42">
        <f t="shared" ref="J16:M16" si="11">J25</f>
        <v>31855</v>
      </c>
      <c r="K16" s="42">
        <f t="shared" si="11"/>
        <v>40031</v>
      </c>
      <c r="L16" s="42">
        <f t="shared" si="11"/>
        <v>45426</v>
      </c>
      <c r="M16" s="42">
        <f t="shared" si="11"/>
        <v>43267</v>
      </c>
      <c r="N16" s="42">
        <f t="shared" ref="N16" si="12">N25</f>
        <v>78351</v>
      </c>
      <c r="O16" s="42">
        <f>O25</f>
        <v>10184</v>
      </c>
      <c r="P16" s="287">
        <f t="shared" ref="P16:P21" si="13">Q16-O16</f>
        <v>10184</v>
      </c>
      <c r="Q16" s="42">
        <f>Q25</f>
        <v>20368</v>
      </c>
      <c r="R16" s="42">
        <f>R25</f>
        <v>25507.336990919721</v>
      </c>
      <c r="S16" s="42">
        <f>S25</f>
        <v>31943.452492554079</v>
      </c>
      <c r="T16" s="42">
        <f>T25</f>
        <v>40003.554957826564</v>
      </c>
      <c r="U16" s="42">
        <f>U25</f>
        <v>50097.415413592862</v>
      </c>
      <c r="V16" s="83"/>
      <c r="W16" s="81"/>
      <c r="X16" s="82"/>
      <c r="Y16" s="92"/>
      <c r="Z16" s="4"/>
      <c r="AA16" s="4"/>
      <c r="AB16" s="4"/>
      <c r="AC16" s="4"/>
      <c r="AD16" s="4"/>
      <c r="AE16" s="4"/>
      <c r="AF16" s="4"/>
      <c r="AG16" s="4"/>
      <c r="AH16" s="4"/>
      <c r="AI16" s="4"/>
      <c r="AJ16" s="4"/>
      <c r="AK16" s="4"/>
    </row>
    <row r="17" spans="1:37" ht="30.75" customHeight="1">
      <c r="A17" s="167" t="s">
        <v>129</v>
      </c>
      <c r="B17" s="4"/>
      <c r="C17" s="4"/>
      <c r="D17" s="4"/>
      <c r="E17" s="71" t="s">
        <v>263</v>
      </c>
      <c r="F17" s="42"/>
      <c r="G17" s="42"/>
      <c r="H17" s="42"/>
      <c r="I17" s="42"/>
      <c r="J17" s="42">
        <f t="shared" ref="J17:M17" si="14">J43</f>
        <v>702486</v>
      </c>
      <c r="K17" s="42">
        <f t="shared" si="14"/>
        <v>821472</v>
      </c>
      <c r="L17" s="42">
        <f t="shared" si="14"/>
        <v>617777</v>
      </c>
      <c r="M17" s="42">
        <f t="shared" si="14"/>
        <v>731758</v>
      </c>
      <c r="N17" s="42">
        <f t="shared" ref="N17" si="15">N43</f>
        <v>3189039</v>
      </c>
      <c r="O17" s="42">
        <f>O43</f>
        <v>4805544</v>
      </c>
      <c r="P17" s="287">
        <f t="shared" si="13"/>
        <v>1601848</v>
      </c>
      <c r="Q17" s="42">
        <f t="shared" ref="Q17:U17" si="16">Q43</f>
        <v>6407392</v>
      </c>
      <c r="R17" s="42">
        <f t="shared" si="16"/>
        <v>9000000</v>
      </c>
      <c r="S17" s="42">
        <f t="shared" si="16"/>
        <v>9577861.1999999993</v>
      </c>
      <c r="T17" s="42">
        <f t="shared" si="16"/>
        <v>10214122.350660479</v>
      </c>
      <c r="U17" s="42">
        <f t="shared" si="16"/>
        <v>10924114.166552769</v>
      </c>
      <c r="V17" s="84"/>
      <c r="W17" s="81"/>
      <c r="X17" s="82"/>
      <c r="Y17" s="92"/>
      <c r="Z17" s="4"/>
      <c r="AA17" s="4"/>
      <c r="AB17" s="4"/>
      <c r="AC17" s="4"/>
      <c r="AD17" s="4"/>
      <c r="AE17" s="4"/>
      <c r="AF17" s="4"/>
      <c r="AG17" s="4"/>
      <c r="AH17" s="4"/>
      <c r="AI17" s="4"/>
      <c r="AJ17" s="4"/>
      <c r="AK17" s="4"/>
    </row>
    <row r="18" spans="1:37" ht="30" customHeight="1">
      <c r="A18" s="167" t="s">
        <v>493</v>
      </c>
      <c r="B18" s="4"/>
      <c r="C18" s="4"/>
      <c r="D18" s="4"/>
      <c r="E18" s="71" t="s">
        <v>264</v>
      </c>
      <c r="F18" s="42"/>
      <c r="G18" s="42"/>
      <c r="H18" s="42"/>
      <c r="I18" s="42"/>
      <c r="J18" s="42">
        <f t="shared" ref="J18:M18" si="17">J62</f>
        <v>828731</v>
      </c>
      <c r="K18" s="42">
        <f t="shared" si="17"/>
        <v>850951</v>
      </c>
      <c r="L18" s="42">
        <f t="shared" si="17"/>
        <v>845810</v>
      </c>
      <c r="M18" s="42">
        <f t="shared" si="17"/>
        <v>833627</v>
      </c>
      <c r="N18" s="42">
        <f t="shared" ref="N18" si="18">N62</f>
        <v>717399</v>
      </c>
      <c r="O18" s="42">
        <f t="shared" ref="O18" si="19">O62</f>
        <v>528340</v>
      </c>
      <c r="P18" s="287">
        <f t="shared" si="13"/>
        <v>228014.91353840008</v>
      </c>
      <c r="Q18" s="42">
        <f t="shared" ref="Q18:U18" si="20">Q62</f>
        <v>756354.91353840008</v>
      </c>
      <c r="R18" s="42">
        <f t="shared" si="20"/>
        <v>800074.1562459491</v>
      </c>
      <c r="S18" s="42">
        <f t="shared" si="20"/>
        <v>851444.35758120148</v>
      </c>
      <c r="T18" s="42">
        <f t="shared" si="20"/>
        <v>908006.14683306369</v>
      </c>
      <c r="U18" s="42">
        <f t="shared" si="20"/>
        <v>971122.38050434738</v>
      </c>
      <c r="V18" s="85"/>
      <c r="W18" s="81"/>
      <c r="X18" s="82"/>
      <c r="Y18" s="92"/>
      <c r="Z18" s="4"/>
      <c r="AA18" s="4"/>
      <c r="AB18" s="4"/>
      <c r="AC18" s="4"/>
      <c r="AD18" s="4"/>
      <c r="AE18" s="4"/>
      <c r="AF18" s="4"/>
      <c r="AG18" s="4"/>
      <c r="AH18" s="4"/>
      <c r="AI18" s="4"/>
      <c r="AJ18" s="4"/>
      <c r="AK18" s="4"/>
    </row>
    <row r="19" spans="1:37" ht="30" customHeight="1">
      <c r="A19" s="12" t="s">
        <v>128</v>
      </c>
      <c r="B19" s="4"/>
      <c r="C19" s="4"/>
      <c r="D19" s="4"/>
      <c r="E19" s="71" t="s">
        <v>265</v>
      </c>
      <c r="F19" s="42"/>
      <c r="G19" s="42"/>
      <c r="H19" s="42"/>
      <c r="I19" s="42"/>
      <c r="J19" s="42">
        <f t="shared" ref="J19:M19" si="21">J81</f>
        <v>0</v>
      </c>
      <c r="K19" s="42">
        <f t="shared" si="21"/>
        <v>0</v>
      </c>
      <c r="L19" s="42">
        <f t="shared" si="21"/>
        <v>0</v>
      </c>
      <c r="M19" s="42">
        <f t="shared" si="21"/>
        <v>0</v>
      </c>
      <c r="N19" s="42">
        <f t="shared" ref="N19" si="22">N81</f>
        <v>401145</v>
      </c>
      <c r="O19" s="42">
        <f t="shared" ref="O19" si="23">O81</f>
        <v>519197</v>
      </c>
      <c r="P19" s="287">
        <f t="shared" si="13"/>
        <v>129325.15333333332</v>
      </c>
      <c r="Q19" s="42">
        <f t="shared" ref="Q19:U19" si="24">Q81</f>
        <v>648522.15333333332</v>
      </c>
      <c r="R19" s="42">
        <f t="shared" si="24"/>
        <v>771375.12012546672</v>
      </c>
      <c r="S19" s="42">
        <f t="shared" si="24"/>
        <v>896170.32226024452</v>
      </c>
      <c r="T19" s="42">
        <f t="shared" si="24"/>
        <v>939670.42970275681</v>
      </c>
      <c r="U19" s="42">
        <f t="shared" si="24"/>
        <v>987471.46446173603</v>
      </c>
      <c r="V19" s="85"/>
      <c r="W19" s="81"/>
      <c r="X19" s="82"/>
      <c r="Y19" s="92"/>
      <c r="Z19" s="4"/>
      <c r="AA19" s="4"/>
      <c r="AB19" s="4"/>
      <c r="AC19" s="4"/>
      <c r="AD19" s="4"/>
      <c r="AE19" s="4"/>
      <c r="AF19" s="4"/>
      <c r="AG19" s="4"/>
      <c r="AH19" s="4"/>
      <c r="AI19" s="4"/>
      <c r="AJ19" s="4"/>
      <c r="AK19" s="4"/>
    </row>
    <row r="20" spans="1:37" ht="30" customHeight="1">
      <c r="A20" s="33"/>
      <c r="B20" s="4"/>
      <c r="C20" s="4"/>
      <c r="D20" s="4"/>
      <c r="E20" s="71" t="s">
        <v>508</v>
      </c>
      <c r="F20" s="177"/>
      <c r="G20" s="177"/>
      <c r="H20" s="177"/>
      <c r="I20" s="177"/>
      <c r="J20" s="177"/>
      <c r="K20" s="177"/>
      <c r="L20" s="177"/>
      <c r="M20" s="177"/>
      <c r="N20" s="177">
        <f>N104</f>
        <v>63286</v>
      </c>
      <c r="O20" s="177">
        <f>O104</f>
        <v>61935</v>
      </c>
      <c r="P20" s="287">
        <f t="shared" si="13"/>
        <v>-61935</v>
      </c>
      <c r="Q20" s="177">
        <f t="shared" ref="Q20:U20" si="25">Q104</f>
        <v>0</v>
      </c>
      <c r="R20" s="177">
        <f t="shared" si="25"/>
        <v>0</v>
      </c>
      <c r="S20" s="177">
        <f t="shared" si="25"/>
        <v>0</v>
      </c>
      <c r="T20" s="177">
        <f t="shared" si="25"/>
        <v>0</v>
      </c>
      <c r="U20" s="177">
        <f t="shared" si="25"/>
        <v>0</v>
      </c>
      <c r="V20" s="308"/>
      <c r="W20" s="267"/>
      <c r="X20" s="268"/>
      <c r="Y20" s="269"/>
      <c r="Z20" s="4"/>
      <c r="AA20" s="4"/>
      <c r="AB20" s="4"/>
      <c r="AC20" s="4"/>
      <c r="AD20" s="4"/>
      <c r="AE20" s="4"/>
      <c r="AF20" s="4"/>
      <c r="AG20" s="4"/>
      <c r="AH20" s="4"/>
      <c r="AI20" s="4"/>
      <c r="AJ20" s="4"/>
      <c r="AK20" s="4"/>
    </row>
    <row r="21" spans="1:37" ht="30" customHeight="1" thickBot="1">
      <c r="A21" s="33"/>
      <c r="B21" s="4"/>
      <c r="C21" s="4"/>
      <c r="D21" s="4"/>
      <c r="E21" s="307" t="s">
        <v>315</v>
      </c>
      <c r="F21" s="177"/>
      <c r="G21" s="177"/>
      <c r="H21" s="177"/>
      <c r="I21" s="177"/>
      <c r="J21" s="177">
        <v>-147949</v>
      </c>
      <c r="K21" s="177">
        <v>-175775</v>
      </c>
      <c r="L21" s="177">
        <f t="shared" ref="L21:O21" si="26">L120</f>
        <v>-127199</v>
      </c>
      <c r="M21" s="177">
        <f t="shared" si="26"/>
        <v>-194529</v>
      </c>
      <c r="N21" s="177">
        <f t="shared" ref="N21" si="27">N120</f>
        <v>-603318</v>
      </c>
      <c r="O21" s="177">
        <f t="shared" si="26"/>
        <v>-498004</v>
      </c>
      <c r="P21" s="287">
        <f t="shared" si="13"/>
        <v>-96503.463208105415</v>
      </c>
      <c r="Q21" s="177">
        <f>Q120</f>
        <v>-594507.46320810542</v>
      </c>
      <c r="R21" s="177">
        <f t="shared" ref="R21:U21" si="28">R120</f>
        <v>-749833.58615880448</v>
      </c>
      <c r="S21" s="177">
        <f t="shared" si="28"/>
        <v>-884057.56390826241</v>
      </c>
      <c r="T21" s="177">
        <f t="shared" si="28"/>
        <v>-992745.83937339205</v>
      </c>
      <c r="U21" s="177">
        <f t="shared" si="28"/>
        <v>-1104310.5979797267</v>
      </c>
      <c r="V21" s="308"/>
      <c r="W21" s="267"/>
      <c r="X21" s="268"/>
      <c r="Y21" s="269"/>
      <c r="Z21" s="4"/>
      <c r="AA21" s="4"/>
      <c r="AB21" s="4"/>
      <c r="AC21" s="4"/>
      <c r="AD21" s="4"/>
      <c r="AE21" s="4"/>
      <c r="AF21" s="4"/>
      <c r="AG21" s="4"/>
      <c r="AH21" s="4"/>
      <c r="AI21" s="4"/>
      <c r="AJ21" s="4"/>
      <c r="AK21" s="4"/>
    </row>
    <row r="22" spans="1:37" ht="30" customHeight="1">
      <c r="A22" s="33"/>
      <c r="B22" s="4"/>
      <c r="C22" s="4"/>
      <c r="D22" s="4"/>
      <c r="E22" s="178"/>
      <c r="F22" s="178"/>
      <c r="G22" s="178"/>
      <c r="H22" s="178"/>
      <c r="I22" s="178"/>
      <c r="J22" s="178"/>
      <c r="K22" s="178"/>
      <c r="L22" s="178"/>
      <c r="M22" s="178"/>
      <c r="N22" s="178"/>
      <c r="O22" s="178"/>
      <c r="P22" s="178"/>
      <c r="Q22" s="178"/>
      <c r="R22" s="178"/>
      <c r="S22" s="178"/>
      <c r="T22" s="178"/>
      <c r="U22" s="178"/>
      <c r="V22" s="178"/>
      <c r="W22" s="178"/>
      <c r="X22" s="178"/>
      <c r="Y22" s="178"/>
      <c r="Z22" s="4"/>
      <c r="AA22" s="4"/>
      <c r="AB22" s="4"/>
      <c r="AC22" s="4"/>
      <c r="AD22" s="4"/>
      <c r="AE22" s="4"/>
      <c r="AF22" s="4"/>
      <c r="AG22" s="4"/>
      <c r="AH22" s="4"/>
      <c r="AI22" s="4"/>
      <c r="AJ22" s="4"/>
      <c r="AK22" s="4"/>
    </row>
    <row r="23" spans="1:37" ht="44.25" customHeight="1">
      <c r="A23" s="12"/>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7" ht="30" customHeight="1">
      <c r="A24" s="12"/>
      <c r="B24" s="4"/>
      <c r="C24" s="4"/>
      <c r="D24" s="4"/>
      <c r="E24" s="78"/>
      <c r="F24" s="37">
        <v>2014</v>
      </c>
      <c r="G24" s="37">
        <v>2015</v>
      </c>
      <c r="H24" s="37">
        <v>2016</v>
      </c>
      <c r="I24" s="37">
        <v>2017</v>
      </c>
      <c r="J24" s="37">
        <v>2018</v>
      </c>
      <c r="K24" s="37">
        <v>2019</v>
      </c>
      <c r="L24" s="37">
        <v>2020</v>
      </c>
      <c r="M24" s="37">
        <v>2021</v>
      </c>
      <c r="N24" s="37">
        <v>2022</v>
      </c>
      <c r="O24" s="37" t="s">
        <v>501</v>
      </c>
      <c r="P24" s="37" t="s">
        <v>485</v>
      </c>
      <c r="Q24" s="38">
        <v>2023</v>
      </c>
      <c r="R24" s="38">
        <v>2024</v>
      </c>
      <c r="S24" s="38">
        <v>2025</v>
      </c>
      <c r="T24" s="38">
        <v>2026</v>
      </c>
      <c r="U24" s="38">
        <v>2027</v>
      </c>
      <c r="V24" s="38" t="s">
        <v>94</v>
      </c>
      <c r="W24" s="38" t="s">
        <v>95</v>
      </c>
      <c r="X24" s="38" t="s">
        <v>494</v>
      </c>
      <c r="Y24" s="91" t="s">
        <v>335</v>
      </c>
      <c r="Z24" s="4"/>
      <c r="AA24" s="4"/>
      <c r="AB24" s="4"/>
      <c r="AC24" s="4"/>
      <c r="AD24" s="4"/>
      <c r="AE24" s="4"/>
      <c r="AF24" s="4"/>
      <c r="AG24" s="4"/>
      <c r="AH24" s="4"/>
    </row>
    <row r="25" spans="1:37" ht="30" customHeight="1">
      <c r="A25" s="12"/>
      <c r="B25" s="4"/>
      <c r="C25" s="4"/>
      <c r="D25" s="4"/>
      <c r="E25" s="79" t="s">
        <v>12</v>
      </c>
      <c r="F25" s="80">
        <v>184.59</v>
      </c>
      <c r="G25" s="80">
        <v>5389</v>
      </c>
      <c r="H25" s="80">
        <v>28166</v>
      </c>
      <c r="I25" s="80">
        <v>23983</v>
      </c>
      <c r="J25" s="80">
        <v>31855</v>
      </c>
      <c r="K25" s="80">
        <v>40031</v>
      </c>
      <c r="L25" s="80">
        <v>45426</v>
      </c>
      <c r="M25" s="80">
        <v>43267</v>
      </c>
      <c r="N25" s="80">
        <v>78351</v>
      </c>
      <c r="O25" s="80">
        <v>10184</v>
      </c>
      <c r="P25" s="80">
        <f>Q25-O25</f>
        <v>10184</v>
      </c>
      <c r="Q25" s="80">
        <f>O25*2</f>
        <v>20368</v>
      </c>
      <c r="R25" s="80">
        <f>Q25*(1+$Y$25)</f>
        <v>25507.336990919721</v>
      </c>
      <c r="S25" s="80">
        <f>R25*(1+$Y$25)</f>
        <v>31943.452492554079</v>
      </c>
      <c r="T25" s="80">
        <f>S25*(1+$Y$25)</f>
        <v>40003.554957826564</v>
      </c>
      <c r="U25" s="80">
        <f>T25*(1+$Y$25)</f>
        <v>50097.415413592862</v>
      </c>
      <c r="V25" s="288" t="s">
        <v>336</v>
      </c>
      <c r="W25" s="81">
        <v>3</v>
      </c>
      <c r="X25" s="82">
        <f>(N25/G25)^(1/7)-1</f>
        <v>0.46580643140924005</v>
      </c>
      <c r="Y25" s="92">
        <f>(N25/J25)^(1/4)-1</f>
        <v>0.25232408635701686</v>
      </c>
      <c r="Z25" s="4"/>
      <c r="AA25" s="4"/>
      <c r="AB25" s="4"/>
      <c r="AC25" s="4"/>
      <c r="AD25" s="4"/>
      <c r="AE25" s="4"/>
      <c r="AF25" s="4"/>
      <c r="AG25" s="4"/>
      <c r="AH25" s="4"/>
    </row>
    <row r="26" spans="1:37" ht="30" customHeight="1">
      <c r="A26" s="12"/>
      <c r="B26" s="4"/>
      <c r="C26" s="4"/>
      <c r="D26" s="4"/>
      <c r="E26" s="86" t="s">
        <v>47</v>
      </c>
      <c r="F26" s="44">
        <v>0</v>
      </c>
      <c r="G26" s="44">
        <f t="shared" ref="G26" si="29">G25/F25-1</f>
        <v>28.194430900915542</v>
      </c>
      <c r="H26" s="44">
        <f t="shared" ref="H26" si="30">H25/G25-1</f>
        <v>4.2265726479866395</v>
      </c>
      <c r="I26" s="44">
        <f t="shared" ref="I26" si="31">I25/H25-1</f>
        <v>-0.14851239082581835</v>
      </c>
      <c r="J26" s="44">
        <f t="shared" ref="J26" si="32">J25/I25-1</f>
        <v>0.32823249801943044</v>
      </c>
      <c r="K26" s="44">
        <f t="shared" ref="K26" si="33">K25/J25-1</f>
        <v>0.25666300423795319</v>
      </c>
      <c r="L26" s="44">
        <f t="shared" ref="L26" si="34">L25/K25-1</f>
        <v>0.13477055282156325</v>
      </c>
      <c r="M26" s="44">
        <f t="shared" ref="M26:N26" si="35">M25/L25-1</f>
        <v>-4.7527847488222585E-2</v>
      </c>
      <c r="N26" s="44">
        <f t="shared" si="35"/>
        <v>0.81087202718006801</v>
      </c>
      <c r="O26" s="44"/>
      <c r="P26" s="44"/>
      <c r="Q26" s="44">
        <f>$Y$25</f>
        <v>0.25232408635701686</v>
      </c>
      <c r="R26" s="44">
        <f>$Y$25</f>
        <v>0.25232408635701686</v>
      </c>
      <c r="S26" s="44">
        <f>$Y$25</f>
        <v>0.25232408635701686</v>
      </c>
      <c r="T26" s="44">
        <f>$Y$25</f>
        <v>0.25232408635701686</v>
      </c>
      <c r="U26" s="44">
        <f>$Y$25</f>
        <v>0.25232408635701686</v>
      </c>
      <c r="V26" s="38"/>
      <c r="W26" s="38"/>
      <c r="X26" s="82"/>
      <c r="Y26" s="91"/>
      <c r="Z26" s="4"/>
      <c r="AA26" s="4"/>
      <c r="AB26" s="4"/>
      <c r="AC26" s="4"/>
      <c r="AD26" s="4"/>
      <c r="AE26" s="4"/>
      <c r="AF26" s="4"/>
      <c r="AG26" s="4"/>
      <c r="AH26" s="4"/>
    </row>
    <row r="27" spans="1:37" ht="36" customHeight="1">
      <c r="A27" s="12"/>
      <c r="B27" s="4"/>
      <c r="C27" s="4"/>
      <c r="D27" s="4"/>
      <c r="E27" s="86" t="s">
        <v>13</v>
      </c>
      <c r="F27" s="42">
        <v>-417.34500000000003</v>
      </c>
      <c r="G27" s="42">
        <v>-4656</v>
      </c>
      <c r="H27" s="42">
        <v>-21161</v>
      </c>
      <c r="I27" s="42">
        <v>-9488</v>
      </c>
      <c r="J27" s="42">
        <v>-10409</v>
      </c>
      <c r="K27" s="42">
        <v>-11295</v>
      </c>
      <c r="L27" s="42">
        <v>-10872</v>
      </c>
      <c r="M27" s="42">
        <v>-8190</v>
      </c>
      <c r="N27" s="42">
        <v>-17107</v>
      </c>
      <c r="O27" s="42">
        <v>-4400</v>
      </c>
      <c r="P27" s="42"/>
      <c r="Q27" s="42"/>
      <c r="R27" s="42"/>
      <c r="S27" s="42"/>
      <c r="T27" s="42"/>
      <c r="U27" s="42"/>
      <c r="V27" s="80"/>
      <c r="W27" s="81"/>
      <c r="X27" s="82"/>
      <c r="Y27" s="92"/>
      <c r="Z27" s="4"/>
      <c r="AA27" s="4"/>
      <c r="AB27" s="4"/>
      <c r="AC27" s="4"/>
      <c r="AD27" s="4"/>
      <c r="AE27" s="4"/>
      <c r="AF27" s="4"/>
      <c r="AG27" s="4"/>
      <c r="AH27" s="4"/>
    </row>
    <row r="28" spans="1:37" ht="33" customHeight="1">
      <c r="A28" s="12"/>
      <c r="B28" s="4"/>
      <c r="C28" s="4"/>
      <c r="D28" s="4"/>
      <c r="E28" s="86" t="s">
        <v>159</v>
      </c>
      <c r="F28" s="42"/>
      <c r="G28" s="42"/>
      <c r="H28" s="42"/>
      <c r="I28" s="42"/>
      <c r="J28" s="42">
        <v>0</v>
      </c>
      <c r="K28" s="42">
        <v>0</v>
      </c>
      <c r="L28" s="42"/>
      <c r="M28" s="42"/>
      <c r="N28" s="42"/>
      <c r="O28" s="42"/>
      <c r="P28" s="42"/>
      <c r="Q28" s="42"/>
      <c r="R28" s="42"/>
      <c r="S28" s="42"/>
      <c r="T28" s="42"/>
      <c r="U28" s="42"/>
      <c r="V28" s="44"/>
      <c r="W28" s="81"/>
      <c r="X28" s="82"/>
      <c r="Y28" s="92"/>
      <c r="Z28" s="4"/>
      <c r="AA28" s="4"/>
      <c r="AB28" s="4"/>
      <c r="AC28" s="4"/>
      <c r="AD28" s="4"/>
      <c r="AE28" s="4"/>
      <c r="AF28" s="4"/>
      <c r="AG28" s="4"/>
      <c r="AH28" s="4"/>
    </row>
    <row r="29" spans="1:37" ht="30" customHeight="1">
      <c r="A29" s="12"/>
      <c r="B29" s="4"/>
      <c r="C29" s="4"/>
      <c r="D29" s="4"/>
      <c r="E29" s="79" t="s">
        <v>14</v>
      </c>
      <c r="F29" s="46">
        <f t="shared" ref="F29:O29" si="36">SUM(F25,F27:F28)</f>
        <v>-232.75500000000002</v>
      </c>
      <c r="G29" s="46">
        <f t="shared" si="36"/>
        <v>733</v>
      </c>
      <c r="H29" s="46">
        <f t="shared" si="36"/>
        <v>7005</v>
      </c>
      <c r="I29" s="46">
        <f t="shared" si="36"/>
        <v>14495</v>
      </c>
      <c r="J29" s="46">
        <f t="shared" si="36"/>
        <v>21446</v>
      </c>
      <c r="K29" s="46">
        <f t="shared" si="36"/>
        <v>28736</v>
      </c>
      <c r="L29" s="46">
        <f t="shared" si="36"/>
        <v>34554</v>
      </c>
      <c r="M29" s="46">
        <f t="shared" si="36"/>
        <v>35077</v>
      </c>
      <c r="N29" s="46">
        <f t="shared" si="36"/>
        <v>61244</v>
      </c>
      <c r="O29" s="46">
        <f t="shared" si="36"/>
        <v>5784</v>
      </c>
      <c r="P29" s="42"/>
      <c r="Q29" s="42"/>
      <c r="R29" s="42"/>
      <c r="S29" s="42"/>
      <c r="T29" s="42"/>
      <c r="U29" s="42"/>
      <c r="V29" s="83"/>
      <c r="W29" s="81"/>
      <c r="X29" s="82"/>
      <c r="Y29" s="92"/>
      <c r="Z29" s="4"/>
      <c r="AA29" s="4"/>
      <c r="AB29" s="4"/>
      <c r="AC29" s="4"/>
      <c r="AD29" s="4"/>
      <c r="AE29" s="4"/>
      <c r="AF29" s="4"/>
      <c r="AG29" s="4"/>
      <c r="AH29" s="4"/>
    </row>
    <row r="30" spans="1:37" ht="42" customHeight="1">
      <c r="A30" s="12"/>
      <c r="B30" s="4"/>
      <c r="C30" s="4"/>
      <c r="D30" s="4"/>
      <c r="E30" s="245" t="s">
        <v>51</v>
      </c>
      <c r="F30" s="246">
        <f t="shared" ref="F30:N30" si="37">F29/F25</f>
        <v>-1.2609296278238258</v>
      </c>
      <c r="G30" s="246">
        <f t="shared" si="37"/>
        <v>0.13601781406568936</v>
      </c>
      <c r="H30" s="246">
        <f t="shared" si="37"/>
        <v>0.24870411133991338</v>
      </c>
      <c r="I30" s="246">
        <f t="shared" si="37"/>
        <v>0.60438644039528</v>
      </c>
      <c r="J30" s="246">
        <f t="shared" si="37"/>
        <v>0.67323811018678381</v>
      </c>
      <c r="K30" s="246">
        <f t="shared" si="37"/>
        <v>0.71784367115485503</v>
      </c>
      <c r="L30" s="246">
        <f t="shared" si="37"/>
        <v>0.76066569805838069</v>
      </c>
      <c r="M30" s="246">
        <f t="shared" si="37"/>
        <v>0.81071024106131695</v>
      </c>
      <c r="N30" s="246">
        <f t="shared" si="37"/>
        <v>0.78166200814284437</v>
      </c>
      <c r="O30" s="246"/>
      <c r="P30" s="44"/>
      <c r="Q30" s="246"/>
      <c r="R30" s="246"/>
      <c r="S30" s="246"/>
      <c r="T30" s="246"/>
      <c r="U30" s="246"/>
      <c r="V30" s="83"/>
      <c r="W30" s="81"/>
      <c r="X30" s="82"/>
      <c r="Y30" s="92"/>
      <c r="Z30" s="4"/>
      <c r="AA30" s="4"/>
      <c r="AB30" s="4"/>
      <c r="AC30" s="4"/>
      <c r="AD30" s="4"/>
      <c r="AE30" s="4"/>
      <c r="AF30" s="4"/>
      <c r="AG30" s="4"/>
      <c r="AH30" s="4"/>
    </row>
    <row r="31" spans="1:37" ht="30" customHeight="1">
      <c r="A31" s="12"/>
      <c r="B31" s="4"/>
      <c r="C31" s="4"/>
      <c r="D31" s="4"/>
      <c r="E31" s="86" t="s">
        <v>15</v>
      </c>
      <c r="F31" s="84">
        <f t="shared" ref="F31:I31" si="38">SUM(F33:F36)</f>
        <v>-5951</v>
      </c>
      <c r="G31" s="84">
        <f t="shared" si="38"/>
        <v>-7780</v>
      </c>
      <c r="H31" s="84">
        <f t="shared" si="38"/>
        <v>-8684</v>
      </c>
      <c r="I31" s="84">
        <f t="shared" si="38"/>
        <v>-10297</v>
      </c>
      <c r="J31" s="84">
        <f t="shared" ref="J31:O31" si="39">SUM(J33:J36)</f>
        <v>-12390</v>
      </c>
      <c r="K31" s="84">
        <f t="shared" si="39"/>
        <v>-15687</v>
      </c>
      <c r="L31" s="84">
        <f t="shared" si="39"/>
        <v>-18706</v>
      </c>
      <c r="M31" s="84">
        <f t="shared" si="39"/>
        <v>-18295</v>
      </c>
      <c r="N31" s="84">
        <f t="shared" si="39"/>
        <v>-53403</v>
      </c>
      <c r="O31" s="84">
        <f t="shared" si="39"/>
        <v>-45739</v>
      </c>
      <c r="P31" s="84"/>
      <c r="Q31" s="84"/>
      <c r="R31" s="84"/>
      <c r="S31" s="84"/>
      <c r="T31" s="84"/>
      <c r="U31" s="84"/>
      <c r="V31" s="83"/>
      <c r="W31" s="81"/>
      <c r="X31" s="82"/>
      <c r="Y31" s="92"/>
      <c r="Z31" s="4"/>
      <c r="AA31" s="4"/>
      <c r="AB31" s="4"/>
      <c r="AC31" s="4"/>
      <c r="AD31" s="4"/>
      <c r="AE31" s="4"/>
      <c r="AF31" s="4"/>
      <c r="AG31" s="4"/>
      <c r="AH31" s="4"/>
    </row>
    <row r="32" spans="1:37" ht="30" customHeight="1">
      <c r="A32" s="12"/>
      <c r="B32" s="4"/>
      <c r="C32" s="4"/>
      <c r="D32" s="4"/>
      <c r="E32" s="86" t="s">
        <v>30</v>
      </c>
      <c r="F32" s="44">
        <f>-F31/F25</f>
        <v>32.239016198060568</v>
      </c>
      <c r="G32" s="44">
        <f t="shared" ref="G32:N32" si="40">-G31/G25</f>
        <v>1.4436815735758026</v>
      </c>
      <c r="H32" s="44">
        <f t="shared" si="40"/>
        <v>0.30831498970389831</v>
      </c>
      <c r="I32" s="44">
        <f t="shared" si="40"/>
        <v>0.42934578659884087</v>
      </c>
      <c r="J32" s="44">
        <f t="shared" si="40"/>
        <v>0.38894992936744627</v>
      </c>
      <c r="K32" s="44">
        <f t="shared" si="40"/>
        <v>0.39187129974269941</v>
      </c>
      <c r="L32" s="44">
        <f t="shared" si="40"/>
        <v>0.41179060449962579</v>
      </c>
      <c r="M32" s="44">
        <f t="shared" si="40"/>
        <v>0.42283957750710705</v>
      </c>
      <c r="N32" s="44">
        <f t="shared" si="40"/>
        <v>0.68158670597694992</v>
      </c>
      <c r="O32" s="44">
        <f>O31/O25</f>
        <v>-4.4912608012568738</v>
      </c>
      <c r="P32" s="44"/>
      <c r="Q32" s="44"/>
      <c r="R32" s="44"/>
      <c r="S32" s="44"/>
      <c r="T32" s="44"/>
      <c r="U32" s="44"/>
      <c r="V32" s="83"/>
      <c r="W32" s="83"/>
      <c r="X32" s="83"/>
      <c r="Y32" s="92"/>
      <c r="Z32" s="4"/>
      <c r="AA32" s="4"/>
      <c r="AB32" s="4"/>
      <c r="AC32" s="4"/>
      <c r="AD32" s="4"/>
      <c r="AE32" s="4"/>
      <c r="AF32" s="4"/>
      <c r="AG32" s="4"/>
      <c r="AH32" s="4"/>
    </row>
    <row r="33" spans="1:37" ht="30" customHeight="1">
      <c r="A33" s="12"/>
      <c r="B33" s="4"/>
      <c r="C33" s="4"/>
      <c r="D33" s="4"/>
      <c r="E33" s="86" t="s">
        <v>262</v>
      </c>
      <c r="F33" s="42">
        <f>-5919-9</f>
        <v>-5928</v>
      </c>
      <c r="G33" s="42">
        <f>-7707-26</f>
        <v>-7733</v>
      </c>
      <c r="H33" s="42">
        <f>-8588-75</f>
        <v>-8663</v>
      </c>
      <c r="I33" s="42">
        <v>-10232</v>
      </c>
      <c r="J33" s="42">
        <v>-10585</v>
      </c>
      <c r="K33" s="42">
        <f>-340-11697</f>
        <v>-12037</v>
      </c>
      <c r="L33" s="42">
        <f>-231-11019</f>
        <v>-11250</v>
      </c>
      <c r="M33" s="42">
        <f>-8-12736</f>
        <v>-12744</v>
      </c>
      <c r="N33" s="42">
        <f>-5352-38878</f>
        <v>-44230</v>
      </c>
      <c r="O33" s="42">
        <f>-3178-31329</f>
        <v>-34507</v>
      </c>
      <c r="P33" s="42"/>
      <c r="Q33" s="42"/>
      <c r="R33" s="42"/>
      <c r="S33" s="42"/>
      <c r="T33" s="42"/>
      <c r="U33" s="42"/>
      <c r="V33" s="38"/>
      <c r="W33" s="38"/>
      <c r="X33" s="38"/>
      <c r="Y33" s="91"/>
      <c r="Z33" s="4"/>
      <c r="AA33" s="4"/>
      <c r="AB33" s="4"/>
      <c r="AC33" s="4"/>
      <c r="AD33" s="4"/>
      <c r="AE33" s="4"/>
      <c r="AF33" s="4"/>
      <c r="AG33" s="4"/>
      <c r="AH33" s="4"/>
    </row>
    <row r="34" spans="1:37" ht="30" customHeight="1">
      <c r="A34" s="12"/>
      <c r="B34" s="4"/>
      <c r="C34" s="4"/>
      <c r="D34" s="4"/>
      <c r="E34" s="86" t="s">
        <v>97</v>
      </c>
      <c r="F34" s="42"/>
      <c r="G34" s="42"/>
      <c r="H34" s="42"/>
      <c r="I34" s="42"/>
      <c r="J34" s="42">
        <v>-1833</v>
      </c>
      <c r="K34" s="42">
        <v>-3921</v>
      </c>
      <c r="L34" s="42">
        <v>-9140</v>
      </c>
      <c r="M34" s="42">
        <v>-6664</v>
      </c>
      <c r="N34" s="42">
        <v>-13080</v>
      </c>
      <c r="O34" s="42">
        <v>-12604</v>
      </c>
      <c r="P34" s="42"/>
      <c r="Q34" s="42"/>
      <c r="R34" s="42"/>
      <c r="S34" s="42"/>
      <c r="T34" s="42"/>
      <c r="U34" s="42"/>
      <c r="V34" s="44"/>
      <c r="W34" s="81"/>
      <c r="X34" s="82"/>
      <c r="Y34" s="92"/>
      <c r="Z34" s="4"/>
      <c r="AA34" s="4"/>
      <c r="AB34" s="4"/>
      <c r="AC34" s="4"/>
      <c r="AD34" s="4"/>
      <c r="AE34" s="4"/>
      <c r="AF34" s="4"/>
      <c r="AG34" s="4"/>
      <c r="AH34" s="4"/>
    </row>
    <row r="35" spans="1:37" ht="30" customHeight="1">
      <c r="A35" s="12"/>
      <c r="B35" s="4"/>
      <c r="C35" s="4"/>
      <c r="D35" s="4"/>
      <c r="E35" s="86" t="s">
        <v>19</v>
      </c>
      <c r="F35" s="42">
        <v>-23</v>
      </c>
      <c r="G35" s="42">
        <v>-47</v>
      </c>
      <c r="H35" s="42">
        <v>-21</v>
      </c>
      <c r="I35" s="42">
        <v>-65</v>
      </c>
      <c r="J35" s="42">
        <v>28</v>
      </c>
      <c r="K35" s="42">
        <v>271</v>
      </c>
      <c r="L35" s="42">
        <v>1684</v>
      </c>
      <c r="M35" s="42">
        <v>1109</v>
      </c>
      <c r="N35" s="42">
        <v>3907</v>
      </c>
      <c r="O35" s="42">
        <v>1372</v>
      </c>
      <c r="P35" s="42"/>
      <c r="Q35" s="42"/>
      <c r="R35" s="42"/>
      <c r="S35" s="42"/>
      <c r="T35" s="42"/>
      <c r="U35" s="42"/>
      <c r="V35" s="83"/>
      <c r="W35" s="81"/>
      <c r="X35" s="82"/>
      <c r="Y35" s="92"/>
      <c r="Z35" s="4"/>
      <c r="AA35" s="4"/>
      <c r="AB35" s="4"/>
      <c r="AC35" s="4"/>
      <c r="AD35" s="4"/>
      <c r="AE35" s="4"/>
      <c r="AF35" s="4"/>
      <c r="AG35" s="4"/>
      <c r="AH35" s="4"/>
    </row>
    <row r="36" spans="1:37" ht="30" customHeight="1">
      <c r="A36" s="12"/>
      <c r="B36" s="4"/>
      <c r="C36" s="4"/>
      <c r="D36" s="4"/>
      <c r="E36" s="86" t="s">
        <v>41</v>
      </c>
      <c r="F36" s="42"/>
      <c r="G36" s="42"/>
      <c r="H36" s="42"/>
      <c r="I36" s="42"/>
      <c r="J36" s="42"/>
      <c r="K36" s="42"/>
      <c r="L36" s="42"/>
      <c r="M36" s="42">
        <v>4</v>
      </c>
      <c r="N36" s="42">
        <v>0</v>
      </c>
      <c r="O36" s="42">
        <v>0</v>
      </c>
      <c r="P36" s="42"/>
      <c r="Q36" s="42"/>
      <c r="R36" s="42"/>
      <c r="S36" s="42"/>
      <c r="T36" s="42"/>
      <c r="U36" s="42"/>
      <c r="V36" s="83"/>
      <c r="W36" s="81"/>
      <c r="X36" s="82"/>
      <c r="Y36" s="92"/>
      <c r="Z36" s="4"/>
      <c r="AA36" s="4"/>
      <c r="AB36" s="4"/>
      <c r="AC36" s="4"/>
      <c r="AD36" s="4"/>
      <c r="AE36" s="4"/>
      <c r="AF36" s="4"/>
      <c r="AG36" s="4"/>
      <c r="AH36" s="4"/>
    </row>
    <row r="37" spans="1:37" ht="30" customHeight="1">
      <c r="A37" s="12"/>
      <c r="B37" s="4"/>
      <c r="C37" s="4"/>
      <c r="D37" s="4"/>
      <c r="E37" s="79" t="s">
        <v>16</v>
      </c>
      <c r="F37" s="40">
        <f t="shared" ref="F37:I37" si="41">SUM(F29,F31)</f>
        <v>-6183.7550000000001</v>
      </c>
      <c r="G37" s="40">
        <f t="shared" si="41"/>
        <v>-7047</v>
      </c>
      <c r="H37" s="40">
        <f t="shared" si="41"/>
        <v>-1679</v>
      </c>
      <c r="I37" s="40">
        <f t="shared" si="41"/>
        <v>4198</v>
      </c>
      <c r="J37" s="40">
        <f t="shared" ref="J37:N37" si="42">SUM(J29,J31)</f>
        <v>9056</v>
      </c>
      <c r="K37" s="40">
        <f t="shared" si="42"/>
        <v>13049</v>
      </c>
      <c r="L37" s="40">
        <f t="shared" si="42"/>
        <v>15848</v>
      </c>
      <c r="M37" s="40">
        <f t="shared" si="42"/>
        <v>16782</v>
      </c>
      <c r="N37" s="40">
        <f t="shared" si="42"/>
        <v>7841</v>
      </c>
      <c r="O37" s="40">
        <f t="shared" ref="O37" si="43">SUM(O29,O31)</f>
        <v>-39955</v>
      </c>
      <c r="P37" s="40">
        <f>Q37-O37</f>
        <v>39955</v>
      </c>
      <c r="Q37" s="40">
        <f>Q25*Q38</f>
        <v>0</v>
      </c>
      <c r="R37" s="40">
        <f>R38*R25</f>
        <v>0</v>
      </c>
      <c r="S37" s="40">
        <f t="shared" ref="S37:U37" si="44">S38*S25</f>
        <v>0</v>
      </c>
      <c r="T37" s="40">
        <f t="shared" si="44"/>
        <v>0</v>
      </c>
      <c r="U37" s="40">
        <f t="shared" si="44"/>
        <v>0</v>
      </c>
      <c r="V37" s="206"/>
      <c r="W37" s="206"/>
      <c r="X37" s="206"/>
      <c r="Y37" s="92"/>
      <c r="Z37" s="4"/>
      <c r="AA37" s="4"/>
      <c r="AB37" s="4"/>
      <c r="AC37" s="4"/>
      <c r="AD37" s="4"/>
      <c r="AE37" s="4"/>
      <c r="AF37" s="4"/>
      <c r="AG37" s="4"/>
      <c r="AH37" s="4"/>
    </row>
    <row r="38" spans="1:37" ht="30" customHeight="1" thickBot="1">
      <c r="A38" s="12"/>
      <c r="B38" s="4"/>
      <c r="C38" s="4"/>
      <c r="D38" s="4"/>
      <c r="E38" s="271" t="s">
        <v>50</v>
      </c>
      <c r="F38" s="272">
        <f t="shared" ref="F38:O38" si="45">F37/F25</f>
        <v>-33.499945825884396</v>
      </c>
      <c r="G38" s="272">
        <f t="shared" si="45"/>
        <v>-1.3076637595101133</v>
      </c>
      <c r="H38" s="272">
        <f t="shared" si="45"/>
        <v>-5.9610878363984945E-2</v>
      </c>
      <c r="I38" s="272">
        <f t="shared" si="45"/>
        <v>0.17504065379643916</v>
      </c>
      <c r="J38" s="272">
        <f t="shared" si="45"/>
        <v>0.2842881808193376</v>
      </c>
      <c r="K38" s="272">
        <f t="shared" si="45"/>
        <v>0.32597237141215557</v>
      </c>
      <c r="L38" s="272">
        <f t="shared" si="45"/>
        <v>0.3488750935587549</v>
      </c>
      <c r="M38" s="272">
        <f t="shared" si="45"/>
        <v>0.3878706635542099</v>
      </c>
      <c r="N38" s="272">
        <f t="shared" si="45"/>
        <v>0.1000753021658945</v>
      </c>
      <c r="O38" s="272">
        <f t="shared" si="45"/>
        <v>-3.9233110761979577</v>
      </c>
      <c r="P38" s="272"/>
      <c r="Q38" s="272">
        <v>0</v>
      </c>
      <c r="R38" s="272">
        <v>0</v>
      </c>
      <c r="S38" s="272">
        <v>0</v>
      </c>
      <c r="T38" s="272">
        <v>0</v>
      </c>
      <c r="U38" s="272">
        <v>0</v>
      </c>
      <c r="V38" s="273"/>
      <c r="W38" s="267"/>
      <c r="X38" s="268"/>
      <c r="Y38" s="269"/>
      <c r="Z38" s="4"/>
      <c r="AA38" s="4"/>
      <c r="AB38" s="4"/>
      <c r="AC38" s="4"/>
      <c r="AD38" s="4"/>
      <c r="AE38" s="4"/>
      <c r="AF38" s="4"/>
      <c r="AG38" s="4"/>
      <c r="AH38" s="4"/>
      <c r="AI38" s="4"/>
      <c r="AJ38" s="4"/>
      <c r="AK38" s="4"/>
    </row>
    <row r="39" spans="1:37" ht="30" customHeight="1">
      <c r="A39" s="12"/>
      <c r="B39" s="4"/>
      <c r="C39" s="4"/>
      <c r="D39" s="4"/>
      <c r="E39" s="274"/>
      <c r="F39" s="181"/>
      <c r="G39" s="181"/>
      <c r="H39" s="181"/>
      <c r="I39" s="181"/>
      <c r="J39" s="181"/>
      <c r="K39" s="181"/>
      <c r="L39" s="181"/>
      <c r="M39" s="181"/>
      <c r="N39" s="181"/>
      <c r="O39" s="181"/>
      <c r="P39" s="181"/>
      <c r="Q39" s="181"/>
      <c r="R39" s="181"/>
      <c r="S39" s="181"/>
      <c r="T39" s="181"/>
      <c r="U39" s="181"/>
      <c r="V39" s="181"/>
      <c r="W39" s="182"/>
      <c r="X39" s="178"/>
      <c r="Y39" s="178"/>
      <c r="Z39" s="4"/>
      <c r="AA39" s="4"/>
      <c r="AB39" s="4"/>
      <c r="AC39" s="4"/>
      <c r="AD39" s="4"/>
      <c r="AE39" s="4"/>
      <c r="AF39" s="4"/>
      <c r="AG39" s="4"/>
      <c r="AH39" s="4"/>
      <c r="AI39" s="4"/>
      <c r="AJ39" s="4"/>
      <c r="AK39" s="4"/>
    </row>
    <row r="40" spans="1:37" ht="30" customHeight="1">
      <c r="A40" s="12"/>
      <c r="B40" s="4"/>
      <c r="C40" s="4"/>
      <c r="D40" s="4"/>
      <c r="E40" s="235"/>
      <c r="F40" s="10"/>
      <c r="G40" s="10"/>
      <c r="H40" s="10"/>
      <c r="I40" s="10"/>
      <c r="J40" s="10"/>
      <c r="K40" s="10"/>
      <c r="L40" s="10"/>
      <c r="M40" s="10"/>
      <c r="N40" s="10"/>
      <c r="O40" s="10"/>
      <c r="P40" s="10"/>
      <c r="Q40" s="10"/>
      <c r="R40" s="10"/>
      <c r="S40" s="10"/>
      <c r="T40" s="10"/>
      <c r="U40" s="10"/>
      <c r="V40" s="10"/>
      <c r="W40" s="51"/>
      <c r="X40" s="4"/>
      <c r="Y40" s="4"/>
      <c r="Z40" s="4"/>
      <c r="AA40" s="4"/>
      <c r="AB40" s="4"/>
      <c r="AC40" s="4"/>
      <c r="AD40" s="4"/>
      <c r="AE40" s="4"/>
      <c r="AF40" s="4"/>
      <c r="AG40" s="4"/>
      <c r="AH40" s="4"/>
      <c r="AI40" s="4"/>
      <c r="AJ40" s="4"/>
      <c r="AK40" s="4"/>
    </row>
    <row r="41" spans="1:37" ht="30" customHeight="1">
      <c r="A41" s="12"/>
      <c r="B41" s="4"/>
      <c r="C41" s="4"/>
      <c r="D41" s="4"/>
      <c r="E41" s="235"/>
      <c r="F41" s="10"/>
      <c r="G41" s="10"/>
      <c r="H41" s="10"/>
      <c r="I41" s="10"/>
      <c r="J41" s="10"/>
      <c r="K41" s="10"/>
      <c r="L41" s="10"/>
      <c r="M41" s="10"/>
      <c r="N41" s="10"/>
      <c r="O41" s="10"/>
      <c r="P41" s="10"/>
      <c r="Q41" s="10"/>
      <c r="R41" s="10"/>
      <c r="S41" s="10"/>
      <c r="T41" s="10"/>
      <c r="U41" s="10"/>
      <c r="V41" s="10"/>
      <c r="W41" s="51"/>
      <c r="X41" s="4"/>
      <c r="Y41" s="4"/>
      <c r="Z41" s="4"/>
      <c r="AA41" s="4"/>
      <c r="AB41" s="4"/>
      <c r="AC41" s="4"/>
      <c r="AD41" s="4"/>
      <c r="AE41" s="4"/>
      <c r="AF41" s="4"/>
      <c r="AG41" s="4"/>
      <c r="AH41" s="4"/>
      <c r="AI41" s="4"/>
      <c r="AJ41" s="4"/>
      <c r="AK41" s="4"/>
    </row>
    <row r="42" spans="1:37" ht="30" customHeight="1">
      <c r="A42" s="12"/>
      <c r="B42" s="4"/>
      <c r="C42" s="4"/>
      <c r="D42" s="4"/>
      <c r="E42" s="78"/>
      <c r="F42" s="37">
        <v>2014</v>
      </c>
      <c r="G42" s="37">
        <v>2015</v>
      </c>
      <c r="H42" s="37">
        <v>2016</v>
      </c>
      <c r="I42" s="37">
        <v>2017</v>
      </c>
      <c r="J42" s="37">
        <v>2018</v>
      </c>
      <c r="K42" s="37">
        <v>2019</v>
      </c>
      <c r="L42" s="37">
        <v>2020</v>
      </c>
      <c r="M42" s="37">
        <v>2021</v>
      </c>
      <c r="N42" s="37">
        <v>2022</v>
      </c>
      <c r="O42" s="37" t="s">
        <v>501</v>
      </c>
      <c r="P42" s="37" t="s">
        <v>485</v>
      </c>
      <c r="Q42" s="38">
        <v>2023</v>
      </c>
      <c r="R42" s="38">
        <v>2024</v>
      </c>
      <c r="S42" s="38">
        <v>2025</v>
      </c>
      <c r="T42" s="38">
        <v>2026</v>
      </c>
      <c r="U42" s="38">
        <v>2027</v>
      </c>
      <c r="V42" s="38" t="s">
        <v>94</v>
      </c>
      <c r="W42" s="38" t="s">
        <v>95</v>
      </c>
      <c r="X42" s="38" t="s">
        <v>319</v>
      </c>
      <c r="Y42" s="91" t="s">
        <v>320</v>
      </c>
      <c r="Z42" s="4"/>
      <c r="AA42" s="4"/>
      <c r="AB42" s="4"/>
      <c r="AC42" s="4"/>
      <c r="AD42" s="4"/>
      <c r="AE42" s="4"/>
      <c r="AF42" s="4"/>
      <c r="AG42" s="4"/>
      <c r="AH42" s="4"/>
      <c r="AI42" s="4"/>
      <c r="AJ42" s="4"/>
      <c r="AK42" s="4"/>
    </row>
    <row r="43" spans="1:37" ht="30" customHeight="1">
      <c r="A43" s="12"/>
      <c r="B43" s="4"/>
      <c r="C43" s="4"/>
      <c r="D43" s="4"/>
      <c r="E43" s="79" t="s">
        <v>12</v>
      </c>
      <c r="F43" s="80"/>
      <c r="G43" s="80"/>
      <c r="H43" s="80"/>
      <c r="I43" s="80">
        <v>597682.38326999999</v>
      </c>
      <c r="J43" s="80">
        <v>702486</v>
      </c>
      <c r="K43" s="80">
        <v>821472</v>
      </c>
      <c r="L43" s="80">
        <v>617777</v>
      </c>
      <c r="M43" s="80">
        <v>731758</v>
      </c>
      <c r="N43" s="80">
        <v>3189039</v>
      </c>
      <c r="O43" s="80">
        <v>4805544</v>
      </c>
      <c r="P43" s="80">
        <f>Q43-O43</f>
        <v>1601848</v>
      </c>
      <c r="Q43" s="80">
        <f>O43/3*4</f>
        <v>6407392</v>
      </c>
      <c r="R43" s="80">
        <v>9000000</v>
      </c>
      <c r="S43" s="80">
        <f t="shared" ref="S43:U43" si="46">R43*(1+S44)</f>
        <v>9577861.1999999993</v>
      </c>
      <c r="T43" s="80">
        <f t="shared" si="46"/>
        <v>10214122.350660479</v>
      </c>
      <c r="U43" s="80">
        <f t="shared" si="46"/>
        <v>10924114.166552769</v>
      </c>
      <c r="V43" s="288" t="s">
        <v>337</v>
      </c>
      <c r="W43" s="81">
        <v>2</v>
      </c>
      <c r="X43" s="92">
        <f>(N43/I43)^(1/5)-1</f>
        <v>0.39777695185886786</v>
      </c>
      <c r="Y43" s="92">
        <f>(U43/Q43)^(1/4)-1</f>
        <v>0.14268423027539923</v>
      </c>
      <c r="Z43" s="4"/>
      <c r="AA43" s="4"/>
      <c r="AB43" s="4"/>
      <c r="AC43" s="4"/>
      <c r="AD43" s="4"/>
      <c r="AE43" s="4"/>
      <c r="AF43" s="4"/>
      <c r="AG43" s="4"/>
      <c r="AH43" s="4"/>
      <c r="AI43" s="4"/>
      <c r="AJ43" s="4"/>
      <c r="AK43" s="4"/>
    </row>
    <row r="44" spans="1:37" ht="30" customHeight="1">
      <c r="A44" s="12"/>
      <c r="B44" s="4"/>
      <c r="C44" s="4"/>
      <c r="D44" s="4"/>
      <c r="E44" s="86" t="s">
        <v>47</v>
      </c>
      <c r="F44" s="44"/>
      <c r="G44" s="44"/>
      <c r="H44" s="44"/>
      <c r="I44" s="44">
        <v>0</v>
      </c>
      <c r="J44" s="44">
        <f t="shared" ref="J44" si="47">J43/I43-1</f>
        <v>0.17535001810929329</v>
      </c>
      <c r="K44" s="44">
        <f t="shared" ref="K44" si="48">K43/J43-1</f>
        <v>0.16937846448185434</v>
      </c>
      <c r="L44" s="44">
        <f t="shared" ref="L44" si="49">L43/K43-1</f>
        <v>-0.24796341202134708</v>
      </c>
      <c r="M44" s="44">
        <f t="shared" ref="M44:N44" si="50">M43/L43-1</f>
        <v>0.18450185099153904</v>
      </c>
      <c r="N44" s="44">
        <f t="shared" si="50"/>
        <v>3.3580514323041228</v>
      </c>
      <c r="O44" s="44"/>
      <c r="P44" s="44"/>
      <c r="Q44" s="44">
        <f>Q43/N43-1</f>
        <v>1.0091921108522035</v>
      </c>
      <c r="R44" s="44">
        <f>R43/O43-1</f>
        <v>0.87283687341120997</v>
      </c>
      <c r="S44" s="44">
        <f>'Projeções - CG + Capex'!M39</f>
        <v>6.4206800000000008E-2</v>
      </c>
      <c r="T44" s="44">
        <f>'Projeções - CG + Capex'!N39</f>
        <v>6.6430400000000001E-2</v>
      </c>
      <c r="U44" s="44">
        <f>'Projeções - CG + Capex'!O39</f>
        <v>6.9510799999999984E-2</v>
      </c>
      <c r="V44" s="38"/>
      <c r="W44" s="38"/>
      <c r="X44" s="38"/>
      <c r="Y44" s="91"/>
      <c r="Z44" s="4"/>
      <c r="AA44" s="4"/>
      <c r="AB44" s="4"/>
      <c r="AC44" s="4"/>
      <c r="AD44" s="4"/>
      <c r="AE44" s="4"/>
      <c r="AF44" s="4"/>
      <c r="AG44" s="4"/>
      <c r="AH44" s="4"/>
      <c r="AI44" s="4"/>
      <c r="AJ44" s="4"/>
      <c r="AK44" s="4"/>
    </row>
    <row r="45" spans="1:37" ht="30" customHeight="1">
      <c r="A45" s="12"/>
      <c r="B45" s="4"/>
      <c r="C45" s="4"/>
      <c r="D45" s="4"/>
      <c r="E45" s="86" t="s">
        <v>13</v>
      </c>
      <c r="F45" s="42"/>
      <c r="G45" s="42"/>
      <c r="H45" s="42"/>
      <c r="I45" s="42">
        <v>-485163</v>
      </c>
      <c r="J45" s="42">
        <v>-589249</v>
      </c>
      <c r="K45" s="42">
        <v>-688206</v>
      </c>
      <c r="L45" s="42">
        <v>-505964</v>
      </c>
      <c r="M45" s="42">
        <v>-589455</v>
      </c>
      <c r="N45" s="42">
        <v>-2647230</v>
      </c>
      <c r="O45" s="42">
        <v>-4037006</v>
      </c>
      <c r="P45" s="42"/>
      <c r="Q45" s="42"/>
      <c r="R45" s="42"/>
      <c r="S45" s="42"/>
      <c r="T45" s="42"/>
      <c r="U45" s="42"/>
      <c r="V45" s="80"/>
      <c r="W45" s="81"/>
      <c r="X45" s="82"/>
      <c r="Y45" s="92"/>
      <c r="Z45" s="4"/>
      <c r="AA45" s="4"/>
      <c r="AB45" s="4"/>
      <c r="AC45" s="4"/>
      <c r="AD45" s="4"/>
      <c r="AE45" s="4"/>
      <c r="AF45" s="4"/>
      <c r="AG45" s="4"/>
      <c r="AH45" s="4"/>
      <c r="AI45" s="4"/>
      <c r="AJ45" s="4"/>
      <c r="AK45" s="4"/>
    </row>
    <row r="46" spans="1:37" ht="30" customHeight="1">
      <c r="A46" s="12"/>
      <c r="B46" s="4"/>
      <c r="C46" s="4"/>
      <c r="D46" s="4"/>
      <c r="E46" s="86" t="s">
        <v>159</v>
      </c>
      <c r="F46" s="42"/>
      <c r="G46" s="42"/>
      <c r="H46" s="42"/>
      <c r="I46" s="42">
        <v>-13455</v>
      </c>
      <c r="J46" s="42">
        <v>-5157</v>
      </c>
      <c r="K46" s="42">
        <v>-6611</v>
      </c>
      <c r="L46" s="42">
        <v>-4517</v>
      </c>
      <c r="M46" s="42">
        <v>-1155</v>
      </c>
      <c r="N46" s="42">
        <v>-11457</v>
      </c>
      <c r="O46" s="42">
        <v>-34403</v>
      </c>
      <c r="P46" s="42"/>
      <c r="Q46" s="42">
        <f>-Q47*Q43</f>
        <v>-52671.058529775546</v>
      </c>
      <c r="R46" s="42">
        <f t="shared" ref="R46:U46" si="51">-R47*R43</f>
        <v>-73983.225432122767</v>
      </c>
      <c r="S46" s="42">
        <f t="shared" si="51"/>
        <v>-78733.45159079798</v>
      </c>
      <c r="T46" s="42">
        <f t="shared" si="51"/>
        <v>-83963.746273355311</v>
      </c>
      <c r="U46" s="42">
        <f t="shared" si="51"/>
        <v>-89800.133447813263</v>
      </c>
      <c r="V46" s="44"/>
      <c r="W46" s="81"/>
      <c r="X46" s="82"/>
      <c r="Y46" s="92"/>
      <c r="Z46" s="4"/>
      <c r="AA46" s="4"/>
      <c r="AB46" s="4"/>
      <c r="AC46" s="4"/>
      <c r="AD46" s="4"/>
      <c r="AE46" s="4"/>
      <c r="AF46" s="4"/>
      <c r="AG46" s="4"/>
      <c r="AH46" s="4"/>
      <c r="AI46" s="4"/>
      <c r="AJ46" s="4"/>
      <c r="AK46" s="4"/>
    </row>
    <row r="47" spans="1:37" ht="30" customHeight="1">
      <c r="A47" s="12"/>
      <c r="B47" s="4"/>
      <c r="C47" s="4"/>
      <c r="D47" s="4"/>
      <c r="E47" s="86" t="s">
        <v>316</v>
      </c>
      <c r="F47" s="42"/>
      <c r="G47" s="42"/>
      <c r="H47" s="42"/>
      <c r="I47" s="60">
        <f>-I46/I43</f>
        <v>2.251195681289099E-2</v>
      </c>
      <c r="J47" s="60">
        <f t="shared" ref="J47:O47" si="52">-J46/J43</f>
        <v>7.3410715658390347E-3</v>
      </c>
      <c r="K47" s="60">
        <f t="shared" si="52"/>
        <v>8.0477484320828959E-3</v>
      </c>
      <c r="L47" s="60">
        <f t="shared" si="52"/>
        <v>7.3116998528595266E-3</v>
      </c>
      <c r="M47" s="60">
        <f t="shared" si="52"/>
        <v>1.5783906701395817E-3</v>
      </c>
      <c r="N47" s="60">
        <f t="shared" si="52"/>
        <v>3.5926183405094762E-3</v>
      </c>
      <c r="O47" s="60">
        <f t="shared" si="52"/>
        <v>7.1590229951073179E-3</v>
      </c>
      <c r="P47" s="42"/>
      <c r="Q47" s="60">
        <f t="shared" ref="Q47:U47" si="53">AVERAGE($I$47:$O$47)</f>
        <v>8.2203583813469736E-3</v>
      </c>
      <c r="R47" s="60">
        <f t="shared" si="53"/>
        <v>8.2203583813469736E-3</v>
      </c>
      <c r="S47" s="60">
        <f t="shared" si="53"/>
        <v>8.2203583813469736E-3</v>
      </c>
      <c r="T47" s="60">
        <f t="shared" si="53"/>
        <v>8.2203583813469736E-3</v>
      </c>
      <c r="U47" s="60">
        <f t="shared" si="53"/>
        <v>8.2203583813469736E-3</v>
      </c>
      <c r="V47" s="44"/>
      <c r="W47" s="81"/>
      <c r="X47" s="82"/>
      <c r="Y47" s="92"/>
      <c r="Z47" s="4"/>
      <c r="AA47" s="4"/>
      <c r="AB47" s="4"/>
      <c r="AC47" s="4"/>
      <c r="AD47" s="4"/>
      <c r="AE47" s="4"/>
      <c r="AF47" s="4"/>
      <c r="AG47" s="4"/>
      <c r="AH47" s="4"/>
      <c r="AI47" s="4"/>
      <c r="AJ47" s="4"/>
      <c r="AK47" s="4"/>
    </row>
    <row r="48" spans="1:37" ht="30" customHeight="1">
      <c r="A48" s="12"/>
      <c r="B48" s="4"/>
      <c r="C48" s="4"/>
      <c r="D48" s="4"/>
      <c r="E48" s="79" t="s">
        <v>14</v>
      </c>
      <c r="F48" s="42"/>
      <c r="G48" s="42"/>
      <c r="H48" s="42"/>
      <c r="I48" s="46">
        <f>SUM(I43,I45:I46)</f>
        <v>99064.383269999991</v>
      </c>
      <c r="J48" s="46">
        <f>SUM(J43,J45:J46)</f>
        <v>108080</v>
      </c>
      <c r="K48" s="46">
        <f t="shared" ref="K48" si="54">SUM(K43,K45:K46)</f>
        <v>126655</v>
      </c>
      <c r="L48" s="46">
        <f t="shared" ref="L48" si="55">SUM(L43,L45:L46)</f>
        <v>107296</v>
      </c>
      <c r="M48" s="46">
        <f t="shared" ref="M48:O48" si="56">SUM(M43,M45:M46)</f>
        <v>141148</v>
      </c>
      <c r="N48" s="46">
        <f t="shared" si="56"/>
        <v>530352</v>
      </c>
      <c r="O48" s="46">
        <f t="shared" si="56"/>
        <v>734135</v>
      </c>
      <c r="P48" s="42"/>
      <c r="Q48" s="42"/>
      <c r="R48" s="42"/>
      <c r="S48" s="42"/>
      <c r="T48" s="42"/>
      <c r="U48" s="42"/>
      <c r="V48" s="83"/>
      <c r="W48" s="81"/>
      <c r="X48" s="82"/>
      <c r="Y48" s="92"/>
      <c r="Z48" s="4"/>
      <c r="AA48" s="4"/>
      <c r="AB48" s="4"/>
      <c r="AC48" s="4"/>
      <c r="AD48" s="4"/>
      <c r="AE48" s="4"/>
      <c r="AF48" s="4"/>
      <c r="AG48" s="4"/>
      <c r="AH48" s="4"/>
      <c r="AI48" s="4"/>
      <c r="AJ48" s="4"/>
      <c r="AK48" s="4"/>
    </row>
    <row r="49" spans="1:37" ht="30" customHeight="1">
      <c r="A49" s="12"/>
      <c r="B49" s="4"/>
      <c r="C49" s="4"/>
      <c r="D49" s="4"/>
      <c r="E49" s="245" t="s">
        <v>51</v>
      </c>
      <c r="F49" s="44"/>
      <c r="G49" s="44"/>
      <c r="H49" s="44"/>
      <c r="I49" s="246">
        <f t="shared" ref="I49:O49" si="57">I48/I43</f>
        <v>0.16574753756000896</v>
      </c>
      <c r="J49" s="246">
        <f t="shared" si="57"/>
        <v>0.1538535999293936</v>
      </c>
      <c r="K49" s="246">
        <f t="shared" si="57"/>
        <v>0.15418054419383739</v>
      </c>
      <c r="L49" s="246">
        <f t="shared" si="57"/>
        <v>0.17368079420243873</v>
      </c>
      <c r="M49" s="246">
        <f t="shared" si="57"/>
        <v>0.19288890589511834</v>
      </c>
      <c r="N49" s="246">
        <f t="shared" si="57"/>
        <v>0.16630464538063033</v>
      </c>
      <c r="O49" s="246">
        <f t="shared" si="57"/>
        <v>0.15276834422908209</v>
      </c>
      <c r="P49" s="44"/>
      <c r="Q49" s="44"/>
      <c r="R49" s="44"/>
      <c r="S49" s="44"/>
      <c r="T49" s="44"/>
      <c r="U49" s="44"/>
      <c r="V49" s="83"/>
      <c r="W49" s="81"/>
      <c r="X49" s="82"/>
      <c r="Y49" s="92"/>
      <c r="Z49" s="4"/>
      <c r="AA49" s="4"/>
      <c r="AB49" s="4"/>
      <c r="AC49" s="4"/>
      <c r="AD49" s="4"/>
      <c r="AE49" s="4"/>
      <c r="AF49" s="4"/>
      <c r="AG49" s="4"/>
      <c r="AH49" s="4"/>
      <c r="AI49" s="4"/>
      <c r="AJ49" s="4"/>
      <c r="AK49" s="4"/>
    </row>
    <row r="50" spans="1:37" ht="30" customHeight="1">
      <c r="A50" s="12"/>
      <c r="B50" s="4"/>
      <c r="C50" s="4"/>
      <c r="D50" s="4"/>
      <c r="E50" s="86" t="s">
        <v>15</v>
      </c>
      <c r="F50" s="205"/>
      <c r="G50" s="205"/>
      <c r="H50" s="205"/>
      <c r="I50" s="84">
        <f t="shared" ref="I50:O50" si="58">SUM(I52:I55)</f>
        <v>-81992</v>
      </c>
      <c r="J50" s="84">
        <f t="shared" si="58"/>
        <v>-94262</v>
      </c>
      <c r="K50" s="84">
        <f t="shared" si="58"/>
        <v>-104013</v>
      </c>
      <c r="L50" s="84">
        <f t="shared" si="58"/>
        <v>-87199</v>
      </c>
      <c r="M50" s="84">
        <f t="shared" si="58"/>
        <v>-90691</v>
      </c>
      <c r="N50" s="84">
        <f t="shared" si="58"/>
        <v>-387044</v>
      </c>
      <c r="O50" s="84">
        <f t="shared" si="58"/>
        <v>-526934</v>
      </c>
      <c r="P50" s="84"/>
      <c r="Q50" s="84"/>
      <c r="R50" s="84"/>
      <c r="S50" s="84"/>
      <c r="T50" s="84"/>
      <c r="U50" s="84"/>
      <c r="V50" s="83"/>
      <c r="W50" s="81"/>
      <c r="X50" s="82"/>
      <c r="Y50" s="92"/>
      <c r="Z50" s="4"/>
      <c r="AA50" s="4"/>
      <c r="AB50" s="4"/>
      <c r="AC50" s="4"/>
      <c r="AD50" s="4"/>
      <c r="AE50" s="4"/>
      <c r="AF50" s="4"/>
      <c r="AG50" s="4"/>
      <c r="AH50" s="4"/>
      <c r="AI50" s="4"/>
      <c r="AJ50" s="4"/>
      <c r="AK50" s="4"/>
    </row>
    <row r="51" spans="1:37" ht="30" customHeight="1">
      <c r="A51" s="12"/>
      <c r="B51" s="4"/>
      <c r="C51" s="4"/>
      <c r="D51" s="4"/>
      <c r="E51" s="86" t="s">
        <v>30</v>
      </c>
      <c r="F51" s="44"/>
      <c r="G51" s="44"/>
      <c r="H51" s="44"/>
      <c r="I51" s="44">
        <f>-I50/I43</f>
        <v>0.1371832302491682</v>
      </c>
      <c r="J51" s="44">
        <f t="shared" ref="J51:O51" si="59">-J50/J43</f>
        <v>0.13418345703686621</v>
      </c>
      <c r="K51" s="44">
        <f t="shared" si="59"/>
        <v>0.12661782750964123</v>
      </c>
      <c r="L51" s="44">
        <f t="shared" si="59"/>
        <v>0.14114963813803363</v>
      </c>
      <c r="M51" s="44">
        <f t="shared" si="59"/>
        <v>0.12393578204816347</v>
      </c>
      <c r="N51" s="44">
        <f t="shared" si="59"/>
        <v>0.12136696979873875</v>
      </c>
      <c r="O51" s="44">
        <f t="shared" si="59"/>
        <v>0.10965126945045139</v>
      </c>
      <c r="P51" s="44"/>
      <c r="Q51" s="44"/>
      <c r="R51" s="44"/>
      <c r="S51" s="44"/>
      <c r="T51" s="44"/>
      <c r="U51" s="44"/>
      <c r="V51" s="83"/>
      <c r="W51" s="83"/>
      <c r="X51" s="83"/>
      <c r="Y51" s="92"/>
      <c r="Z51" s="4"/>
      <c r="AA51" s="4"/>
      <c r="AB51" s="4"/>
      <c r="AC51" s="4"/>
      <c r="AD51" s="4"/>
      <c r="AE51" s="4"/>
      <c r="AF51" s="4"/>
      <c r="AG51" s="4"/>
      <c r="AH51" s="4"/>
      <c r="AI51" s="4"/>
      <c r="AJ51" s="4"/>
      <c r="AK51" s="4"/>
    </row>
    <row r="52" spans="1:37" ht="30" customHeight="1">
      <c r="A52" s="12"/>
      <c r="B52" s="4"/>
      <c r="C52" s="4"/>
      <c r="D52" s="4"/>
      <c r="E52" s="86" t="s">
        <v>262</v>
      </c>
      <c r="F52" s="42"/>
      <c r="G52" s="42"/>
      <c r="H52" s="42"/>
      <c r="I52" s="42">
        <f>-87439-7926</f>
        <v>-95365</v>
      </c>
      <c r="J52" s="42">
        <f>-7776-89544</f>
        <v>-97320</v>
      </c>
      <c r="K52" s="42">
        <f>-16460-89599</f>
        <v>-106059</v>
      </c>
      <c r="L52" s="42">
        <f>-32038-57039</f>
        <v>-89077</v>
      </c>
      <c r="M52" s="42">
        <f>-43502-66412</f>
        <v>-109914</v>
      </c>
      <c r="N52" s="42">
        <f>-184076-195167</f>
        <v>-379243</v>
      </c>
      <c r="O52" s="42">
        <f>-279451-273514</f>
        <v>-552965</v>
      </c>
      <c r="P52" s="42"/>
      <c r="Q52" s="42"/>
      <c r="R52" s="42"/>
      <c r="S52" s="42"/>
      <c r="T52" s="42"/>
      <c r="U52" s="42"/>
      <c r="V52" s="38"/>
      <c r="W52" s="38"/>
      <c r="X52" s="38"/>
      <c r="Y52" s="91"/>
      <c r="Z52" s="4"/>
      <c r="AA52" s="4"/>
      <c r="AB52" s="4"/>
      <c r="AC52" s="4"/>
      <c r="AD52" s="4"/>
      <c r="AE52" s="4"/>
      <c r="AF52" s="4"/>
      <c r="AG52" s="4"/>
      <c r="AH52" s="4"/>
      <c r="AI52" s="4"/>
      <c r="AJ52" s="4"/>
      <c r="AK52" s="4"/>
    </row>
    <row r="53" spans="1:37" ht="30" customHeight="1">
      <c r="A53" s="12"/>
      <c r="B53" s="4"/>
      <c r="C53" s="4"/>
      <c r="D53" s="4"/>
      <c r="E53" s="86" t="s">
        <v>97</v>
      </c>
      <c r="F53" s="42"/>
      <c r="G53" s="42"/>
      <c r="H53" s="42"/>
      <c r="I53" s="42">
        <v>-97</v>
      </c>
      <c r="J53" s="42">
        <v>-98</v>
      </c>
      <c r="K53" s="42">
        <v>-944</v>
      </c>
      <c r="L53" s="42">
        <v>581</v>
      </c>
      <c r="M53" s="42">
        <v>97</v>
      </c>
      <c r="N53" s="42">
        <v>-3076</v>
      </c>
      <c r="O53" s="42">
        <v>-5481</v>
      </c>
      <c r="P53" s="42"/>
      <c r="Q53" s="42"/>
      <c r="R53" s="42"/>
      <c r="S53" s="42"/>
      <c r="T53" s="42"/>
      <c r="U53" s="42"/>
      <c r="V53" s="44"/>
      <c r="W53" s="81"/>
      <c r="X53" s="82"/>
      <c r="Y53" s="92"/>
      <c r="Z53" s="4"/>
      <c r="AA53" s="4"/>
      <c r="AB53" s="4"/>
      <c r="AC53" s="4"/>
      <c r="AD53" s="4"/>
      <c r="AE53" s="4"/>
      <c r="AF53" s="4"/>
      <c r="AG53" s="4"/>
      <c r="AH53" s="4"/>
      <c r="AI53" s="4"/>
      <c r="AJ53" s="4"/>
      <c r="AK53" s="4"/>
    </row>
    <row r="54" spans="1:37" ht="30" customHeight="1">
      <c r="A54" s="12"/>
      <c r="B54" s="4"/>
      <c r="C54" s="4"/>
      <c r="D54" s="4"/>
      <c r="E54" s="86" t="s">
        <v>19</v>
      </c>
      <c r="F54" s="42"/>
      <c r="G54" s="42"/>
      <c r="H54" s="42"/>
      <c r="I54" s="42">
        <v>13470</v>
      </c>
      <c r="J54" s="42">
        <v>3156</v>
      </c>
      <c r="K54" s="42">
        <v>2990</v>
      </c>
      <c r="L54" s="42">
        <v>1297</v>
      </c>
      <c r="M54" s="42">
        <v>19126</v>
      </c>
      <c r="N54" s="42">
        <v>-4747</v>
      </c>
      <c r="O54" s="42">
        <v>31468</v>
      </c>
      <c r="P54" s="42"/>
      <c r="Q54" s="42"/>
      <c r="R54" s="42"/>
      <c r="S54" s="42"/>
      <c r="T54" s="42"/>
      <c r="U54" s="42"/>
      <c r="V54" s="83"/>
      <c r="W54" s="81"/>
      <c r="X54" s="82"/>
      <c r="Y54" s="92"/>
      <c r="Z54" s="4"/>
      <c r="AA54" s="4"/>
      <c r="AB54" s="4"/>
      <c r="AC54" s="4"/>
      <c r="AD54" s="4"/>
      <c r="AE54" s="4"/>
      <c r="AF54" s="4"/>
      <c r="AG54" s="4"/>
      <c r="AH54" s="4"/>
      <c r="AI54" s="4"/>
      <c r="AJ54" s="4"/>
      <c r="AK54" s="4"/>
    </row>
    <row r="55" spans="1:37" ht="30" customHeight="1">
      <c r="A55" s="12"/>
      <c r="B55" s="4"/>
      <c r="C55" s="4"/>
      <c r="D55" s="4"/>
      <c r="E55" s="86" t="s">
        <v>41</v>
      </c>
      <c r="F55" s="42"/>
      <c r="G55" s="42"/>
      <c r="H55" s="42"/>
      <c r="I55" s="42"/>
      <c r="J55" s="42"/>
      <c r="K55" s="42"/>
      <c r="L55" s="42"/>
      <c r="M55" s="42"/>
      <c r="N55" s="42">
        <v>22</v>
      </c>
      <c r="O55" s="42">
        <v>44</v>
      </c>
      <c r="P55" s="42"/>
      <c r="Q55" s="42"/>
      <c r="R55" s="42"/>
      <c r="S55" s="42"/>
      <c r="T55" s="42"/>
      <c r="U55" s="42"/>
      <c r="V55" s="83"/>
      <c r="W55" s="81"/>
      <c r="X55" s="82"/>
      <c r="Y55" s="92"/>
      <c r="Z55" s="4"/>
      <c r="AA55" s="4"/>
      <c r="AB55" s="4"/>
      <c r="AC55" s="4"/>
      <c r="AD55" s="4"/>
      <c r="AE55" s="4"/>
      <c r="AF55" s="4"/>
      <c r="AG55" s="4"/>
      <c r="AH55" s="4"/>
      <c r="AI55" s="4"/>
      <c r="AJ55" s="4"/>
      <c r="AK55" s="4"/>
    </row>
    <row r="56" spans="1:37" ht="30" customHeight="1">
      <c r="A56" s="12"/>
      <c r="B56" s="4"/>
      <c r="C56" s="4"/>
      <c r="D56" s="4"/>
      <c r="E56" s="79" t="s">
        <v>16</v>
      </c>
      <c r="F56" s="42"/>
      <c r="G56" s="42"/>
      <c r="H56" s="42"/>
      <c r="I56" s="40">
        <f t="shared" ref="I56:O56" si="60">SUM(I48,I50)</f>
        <v>17072.383269999991</v>
      </c>
      <c r="J56" s="40">
        <f t="shared" si="60"/>
        <v>13818</v>
      </c>
      <c r="K56" s="40">
        <f t="shared" si="60"/>
        <v>22642</v>
      </c>
      <c r="L56" s="40">
        <f t="shared" si="60"/>
        <v>20097</v>
      </c>
      <c r="M56" s="40">
        <f t="shared" si="60"/>
        <v>50457</v>
      </c>
      <c r="N56" s="40">
        <f t="shared" si="60"/>
        <v>143308</v>
      </c>
      <c r="O56" s="40">
        <f t="shared" si="60"/>
        <v>207201</v>
      </c>
      <c r="P56" s="40">
        <f>Q56-O56</f>
        <v>105526.62208393874</v>
      </c>
      <c r="Q56" s="40">
        <f>Q58*Q43</f>
        <v>312727.62208393874</v>
      </c>
      <c r="R56" s="40">
        <f t="shared" ref="R56" si="61">R58*R43</f>
        <v>439265.8664797548</v>
      </c>
      <c r="S56" s="40">
        <f t="shared" ref="S56" si="62">S58*S43</f>
        <v>467469.72211564705</v>
      </c>
      <c r="T56" s="40">
        <f t="shared" ref="T56" si="63">T58*T43</f>
        <v>498523.92274367833</v>
      </c>
      <c r="U56" s="40">
        <f t="shared" ref="U56" si="64">U58*U43</f>
        <v>533176.71943272953</v>
      </c>
      <c r="V56" s="206"/>
      <c r="W56" s="206"/>
      <c r="X56" s="206"/>
      <c r="Y56" s="92"/>
      <c r="Z56" s="4"/>
      <c r="AA56" s="4"/>
      <c r="AB56" s="4"/>
      <c r="AC56" s="4"/>
      <c r="AD56" s="4"/>
      <c r="AE56" s="4"/>
      <c r="AF56" s="4"/>
      <c r="AG56" s="4"/>
      <c r="AH56" s="4"/>
      <c r="AI56" s="4"/>
      <c r="AJ56" s="4"/>
      <c r="AK56" s="4"/>
    </row>
    <row r="57" spans="1:37" ht="30" customHeight="1">
      <c r="A57" s="12"/>
      <c r="B57" s="4"/>
      <c r="C57" s="4"/>
      <c r="D57" s="4"/>
      <c r="E57" s="79" t="s">
        <v>333</v>
      </c>
      <c r="F57" s="177"/>
      <c r="G57" s="177"/>
      <c r="H57" s="177"/>
      <c r="I57" s="187"/>
      <c r="J57" s="187">
        <f>J56/'DRE + DCF'!O15</f>
        <v>0.10829323343626075</v>
      </c>
      <c r="K57" s="187">
        <f>K56/'DRE + DCF'!P15</f>
        <v>0.13735493772862664</v>
      </c>
      <c r="L57" s="187">
        <f>L56/'DRE + DCF'!Q15</f>
        <v>0.12503032904682804</v>
      </c>
      <c r="M57" s="187">
        <f>M56/'DRE + DCF'!R15</f>
        <v>0.27091588544183498</v>
      </c>
      <c r="N57" s="187">
        <f>N56/'DRE + DCF'!S15</f>
        <v>0.44776893538176965</v>
      </c>
      <c r="O57" s="187">
        <f>O56/'DRE + DCF'!T15</f>
        <v>0.87700043595853738</v>
      </c>
      <c r="P57" s="187">
        <f>P56/'DRE + DCF'!U15</f>
        <v>0.34443525105890832</v>
      </c>
      <c r="Q57" s="187">
        <f>Q56/'DRE + DCF'!V15</f>
        <v>0.5763111310412421</v>
      </c>
      <c r="R57" s="187">
        <f>R56/'DRE + DCF'!W15</f>
        <v>0.55398986463330147</v>
      </c>
      <c r="S57" s="187">
        <f>S56/'DRE + DCF'!X15</f>
        <v>0.54186272165772209</v>
      </c>
      <c r="T57" s="187">
        <f>T56/'DRE + DCF'!Y15</f>
        <v>0.54424240214440456</v>
      </c>
      <c r="U57" s="187">
        <f>U56/'DRE + DCF'!Z15</f>
        <v>0.5466949572129961</v>
      </c>
      <c r="V57" s="312"/>
      <c r="W57" s="312"/>
      <c r="X57" s="312"/>
      <c r="Y57" s="269"/>
      <c r="Z57" s="4"/>
      <c r="AA57" s="4"/>
      <c r="AB57" s="4"/>
      <c r="AC57" s="4"/>
      <c r="AD57" s="4"/>
      <c r="AE57" s="4"/>
      <c r="AF57" s="4"/>
      <c r="AG57" s="4"/>
      <c r="AH57" s="4"/>
      <c r="AI57" s="4"/>
      <c r="AJ57" s="4"/>
      <c r="AK57" s="4"/>
    </row>
    <row r="58" spans="1:37" ht="30" customHeight="1" thickBot="1">
      <c r="A58" s="12"/>
      <c r="B58" s="4"/>
      <c r="C58" s="4"/>
      <c r="D58" s="4"/>
      <c r="E58" s="271" t="s">
        <v>50</v>
      </c>
      <c r="F58" s="177"/>
      <c r="G58" s="177"/>
      <c r="H58" s="177"/>
      <c r="I58" s="272">
        <f t="shared" ref="I58:O58" si="65">I56/I43</f>
        <v>2.8564307310840763E-2</v>
      </c>
      <c r="J58" s="272">
        <f t="shared" si="65"/>
        <v>1.9670142892527394E-2</v>
      </c>
      <c r="K58" s="272">
        <f t="shared" si="65"/>
        <v>2.7562716684196176E-2</v>
      </c>
      <c r="L58" s="272">
        <f t="shared" si="65"/>
        <v>3.2531156064405119E-2</v>
      </c>
      <c r="M58" s="272">
        <f t="shared" si="65"/>
        <v>6.8953123846954872E-2</v>
      </c>
      <c r="N58" s="272">
        <f t="shared" si="65"/>
        <v>4.4937675581891601E-2</v>
      </c>
      <c r="O58" s="272">
        <f t="shared" si="65"/>
        <v>4.3117074778630679E-2</v>
      </c>
      <c r="P58" s="272">
        <f t="shared" ref="P58" si="66">P56/P43</f>
        <v>6.5878049655110058E-2</v>
      </c>
      <c r="Q58" s="272">
        <f>AVERAGE($L$58:$N$58)</f>
        <v>4.8807318497750531E-2</v>
      </c>
      <c r="R58" s="272">
        <f t="shared" ref="R58:U58" si="67">AVERAGE($L$58:$N$58)</f>
        <v>4.8807318497750531E-2</v>
      </c>
      <c r="S58" s="272">
        <f t="shared" si="67"/>
        <v>4.8807318497750531E-2</v>
      </c>
      <c r="T58" s="272">
        <f t="shared" si="67"/>
        <v>4.8807318497750531E-2</v>
      </c>
      <c r="U58" s="272">
        <f t="shared" si="67"/>
        <v>4.8807318497750531E-2</v>
      </c>
      <c r="V58" s="273"/>
      <c r="W58" s="267"/>
      <c r="X58" s="268"/>
      <c r="Y58" s="269"/>
      <c r="Z58" s="4"/>
      <c r="AA58" s="4"/>
      <c r="AB58" s="4"/>
      <c r="AC58" s="4"/>
      <c r="AD58" s="4"/>
      <c r="AE58" s="4"/>
      <c r="AF58" s="4"/>
      <c r="AG58" s="4"/>
      <c r="AH58" s="4"/>
      <c r="AI58" s="4"/>
      <c r="AJ58" s="4"/>
      <c r="AK58" s="4"/>
    </row>
    <row r="59" spans="1:37" ht="30" customHeight="1">
      <c r="A59" s="12"/>
      <c r="B59" s="4"/>
      <c r="C59" s="4"/>
      <c r="D59" s="4"/>
      <c r="E59" s="274"/>
      <c r="F59" s="181"/>
      <c r="G59" s="181"/>
      <c r="H59" s="181"/>
      <c r="I59" s="181"/>
      <c r="J59" s="181"/>
      <c r="K59" s="181"/>
      <c r="L59" s="181"/>
      <c r="M59" s="181"/>
      <c r="N59" s="181"/>
      <c r="O59" s="181"/>
      <c r="P59" s="181"/>
      <c r="Q59" s="181"/>
      <c r="R59" s="181"/>
      <c r="S59" s="181"/>
      <c r="T59" s="181"/>
      <c r="U59" s="181"/>
      <c r="V59" s="181"/>
      <c r="W59" s="182"/>
      <c r="X59" s="178"/>
      <c r="Y59" s="178"/>
      <c r="Z59" s="4"/>
      <c r="AA59" s="4"/>
      <c r="AB59" s="4"/>
      <c r="AC59" s="4"/>
      <c r="AD59" s="4"/>
      <c r="AE59" s="4"/>
      <c r="AF59" s="4"/>
      <c r="AG59" s="4"/>
      <c r="AH59" s="4"/>
      <c r="AI59" s="4"/>
      <c r="AJ59" s="4"/>
      <c r="AK59" s="4"/>
    </row>
    <row r="60" spans="1:37" ht="30" customHeight="1">
      <c r="A60" s="12"/>
      <c r="B60" s="4"/>
      <c r="C60" s="4"/>
      <c r="D60" s="4"/>
      <c r="E60" s="235"/>
      <c r="F60" s="10"/>
      <c r="G60" s="10"/>
      <c r="H60" s="10"/>
      <c r="I60" s="10"/>
      <c r="J60" s="10"/>
      <c r="K60" s="10"/>
      <c r="L60" s="10"/>
      <c r="M60" s="10"/>
      <c r="N60" s="10"/>
      <c r="O60" s="10"/>
      <c r="P60" s="10"/>
      <c r="Q60" s="10"/>
      <c r="R60" s="10"/>
      <c r="S60" s="10"/>
      <c r="T60" s="10"/>
      <c r="U60" s="10"/>
      <c r="V60" s="10"/>
      <c r="W60" s="51"/>
      <c r="X60" s="4"/>
      <c r="Y60" s="4"/>
      <c r="Z60" s="4"/>
      <c r="AA60" s="4"/>
      <c r="AB60" s="4"/>
      <c r="AC60" s="4"/>
      <c r="AD60" s="4"/>
      <c r="AE60" s="4"/>
      <c r="AF60" s="4"/>
      <c r="AG60" s="4"/>
      <c r="AH60" s="4"/>
      <c r="AI60" s="4"/>
      <c r="AJ60" s="4"/>
      <c r="AK60" s="4"/>
    </row>
    <row r="61" spans="1:37" ht="42.75" customHeight="1">
      <c r="A61" s="12"/>
      <c r="B61" s="4"/>
      <c r="C61" s="4"/>
      <c r="D61" s="4"/>
      <c r="E61" s="78"/>
      <c r="F61" s="37">
        <v>2014</v>
      </c>
      <c r="G61" s="37">
        <v>2015</v>
      </c>
      <c r="H61" s="37">
        <v>2016</v>
      </c>
      <c r="I61" s="37">
        <v>2017</v>
      </c>
      <c r="J61" s="37">
        <v>2018</v>
      </c>
      <c r="K61" s="37">
        <v>2019</v>
      </c>
      <c r="L61" s="37">
        <v>2020</v>
      </c>
      <c r="M61" s="37">
        <v>2021</v>
      </c>
      <c r="N61" s="37">
        <v>2022</v>
      </c>
      <c r="O61" s="37" t="s">
        <v>501</v>
      </c>
      <c r="P61" s="37" t="s">
        <v>485</v>
      </c>
      <c r="Q61" s="38">
        <v>2023</v>
      </c>
      <c r="R61" s="38">
        <v>2024</v>
      </c>
      <c r="S61" s="38">
        <v>2025</v>
      </c>
      <c r="T61" s="38">
        <v>2026</v>
      </c>
      <c r="U61" s="38">
        <v>2027</v>
      </c>
      <c r="V61" s="38" t="s">
        <v>94</v>
      </c>
      <c r="W61" s="38" t="s">
        <v>95</v>
      </c>
      <c r="X61" s="38" t="s">
        <v>335</v>
      </c>
      <c r="Y61" s="91" t="s">
        <v>320</v>
      </c>
      <c r="Z61" s="4"/>
      <c r="AA61" s="4"/>
      <c r="AB61" s="4"/>
      <c r="AC61" s="4"/>
      <c r="AD61" s="4"/>
      <c r="AE61" s="4"/>
      <c r="AF61" s="4"/>
      <c r="AG61" s="4"/>
      <c r="AH61" s="4"/>
      <c r="AI61" s="4"/>
      <c r="AJ61" s="4"/>
      <c r="AK61" s="4"/>
    </row>
    <row r="62" spans="1:37" ht="30" customHeight="1">
      <c r="A62" s="12"/>
      <c r="B62" s="4"/>
      <c r="C62" s="4"/>
      <c r="D62" s="4"/>
      <c r="E62" s="79" t="s">
        <v>12</v>
      </c>
      <c r="F62" s="80"/>
      <c r="G62" s="80"/>
      <c r="H62" s="80"/>
      <c r="I62" s="80"/>
      <c r="J62" s="80">
        <v>828731</v>
      </c>
      <c r="K62" s="80">
        <v>850951</v>
      </c>
      <c r="L62" s="80">
        <v>845810</v>
      </c>
      <c r="M62" s="80">
        <v>833627</v>
      </c>
      <c r="N62" s="80">
        <v>717399</v>
      </c>
      <c r="O62" s="80">
        <v>528340</v>
      </c>
      <c r="P62" s="80">
        <f>Q62-O62</f>
        <v>228014.91353840008</v>
      </c>
      <c r="Q62" s="80">
        <f>N62*(1+Q63)</f>
        <v>756354.91353840008</v>
      </c>
      <c r="R62" s="80">
        <f>Q62*(1+R63)</f>
        <v>800074.1562459491</v>
      </c>
      <c r="S62" s="80">
        <f t="shared" ref="S62:U62" si="68">R62*(1+S63)</f>
        <v>851444.35758120148</v>
      </c>
      <c r="T62" s="80">
        <f t="shared" si="68"/>
        <v>908006.14683306369</v>
      </c>
      <c r="U62" s="80">
        <f t="shared" si="68"/>
        <v>971122.38050434738</v>
      </c>
      <c r="V62" s="288" t="s">
        <v>338</v>
      </c>
      <c r="W62" s="81">
        <v>4</v>
      </c>
      <c r="X62" s="82">
        <f>(N62/J62)^(1/4)-1</f>
        <v>-3.5423236591679452E-2</v>
      </c>
      <c r="Y62" s="92">
        <f>(U62/Q62)^(1/4)-1</f>
        <v>6.4478961991374817E-2</v>
      </c>
      <c r="Z62" s="4"/>
      <c r="AA62" s="4"/>
      <c r="AB62" s="4"/>
      <c r="AC62" s="4"/>
      <c r="AD62" s="4"/>
      <c r="AE62" s="4"/>
      <c r="AF62" s="4"/>
      <c r="AG62" s="4"/>
      <c r="AH62" s="4"/>
      <c r="AI62" s="4"/>
      <c r="AJ62" s="4"/>
      <c r="AK62" s="4"/>
    </row>
    <row r="63" spans="1:37" ht="30" customHeight="1">
      <c r="A63" s="12"/>
      <c r="B63" s="4"/>
      <c r="C63" s="4"/>
      <c r="D63" s="4"/>
      <c r="E63" s="86" t="s">
        <v>47</v>
      </c>
      <c r="F63" s="44"/>
      <c r="G63" s="44"/>
      <c r="H63" s="44"/>
      <c r="I63" s="44"/>
      <c r="J63" s="44">
        <v>0</v>
      </c>
      <c r="K63" s="44">
        <f t="shared" ref="K63" si="69">K62/J62-1</f>
        <v>2.6812077742958795E-2</v>
      </c>
      <c r="L63" s="44">
        <f t="shared" ref="L63" si="70">L62/K62-1</f>
        <v>-6.04147594867388E-3</v>
      </c>
      <c r="M63" s="44">
        <f t="shared" ref="M63:N63" si="71">M62/L62-1</f>
        <v>-1.4403944148212999E-2</v>
      </c>
      <c r="N63" s="44">
        <f t="shared" si="71"/>
        <v>-0.13942446681789333</v>
      </c>
      <c r="O63" s="44"/>
      <c r="P63" s="44"/>
      <c r="Q63" s="44">
        <f>'Projeções - CG + Capex'!K39</f>
        <v>5.4301600000000061E-2</v>
      </c>
      <c r="R63" s="44">
        <f>'Projeções - CG + Capex'!L39</f>
        <v>5.7802549999999897E-2</v>
      </c>
      <c r="S63" s="44">
        <f>'Projeções - CG + Capex'!M39</f>
        <v>6.4206800000000008E-2</v>
      </c>
      <c r="T63" s="44">
        <f>'Projeções - CG + Capex'!N39</f>
        <v>6.6430400000000001E-2</v>
      </c>
      <c r="U63" s="44">
        <f>'Projeções - CG + Capex'!O39</f>
        <v>6.9510799999999984E-2</v>
      </c>
      <c r="V63" s="38"/>
      <c r="W63" s="38"/>
      <c r="X63" s="38"/>
      <c r="Y63" s="91"/>
      <c r="Z63" s="4"/>
      <c r="AA63" s="4"/>
      <c r="AB63" s="4"/>
      <c r="AC63" s="4"/>
      <c r="AD63" s="4"/>
      <c r="AE63" s="4"/>
      <c r="AF63" s="4"/>
      <c r="AG63" s="4"/>
      <c r="AH63" s="4"/>
      <c r="AI63" s="4"/>
      <c r="AJ63" s="4"/>
      <c r="AK63" s="4"/>
    </row>
    <row r="64" spans="1:37" ht="30" customHeight="1">
      <c r="A64" s="12"/>
      <c r="B64" s="4"/>
      <c r="C64" s="4"/>
      <c r="D64" s="4"/>
      <c r="E64" s="86" t="s">
        <v>13</v>
      </c>
      <c r="F64" s="42"/>
      <c r="G64" s="42"/>
      <c r="H64" s="42"/>
      <c r="I64" s="42"/>
      <c r="J64" s="42">
        <v>-580962</v>
      </c>
      <c r="K64" s="42">
        <v>-558867</v>
      </c>
      <c r="L64" s="42">
        <v>-469196</v>
      </c>
      <c r="M64" s="42">
        <v>-444164</v>
      </c>
      <c r="N64" s="42">
        <v>-530566</v>
      </c>
      <c r="O64" s="42">
        <v>-301260</v>
      </c>
      <c r="P64" s="42"/>
      <c r="Q64" s="42"/>
      <c r="R64" s="42"/>
      <c r="S64" s="42"/>
      <c r="T64" s="42"/>
      <c r="U64" s="42"/>
      <c r="V64" s="80"/>
      <c r="W64" s="81"/>
      <c r="X64" s="82"/>
      <c r="Y64" s="92"/>
      <c r="Z64" s="4"/>
      <c r="AA64" s="4"/>
      <c r="AB64" s="4"/>
      <c r="AC64" s="4"/>
      <c r="AD64" s="4"/>
      <c r="AE64" s="4"/>
      <c r="AF64" s="4"/>
      <c r="AG64" s="4"/>
      <c r="AH64" s="4"/>
      <c r="AI64" s="4"/>
      <c r="AJ64" s="4"/>
      <c r="AK64" s="4"/>
    </row>
    <row r="65" spans="1:37" ht="30" customHeight="1">
      <c r="A65" s="12"/>
      <c r="B65" s="4"/>
      <c r="C65" s="4"/>
      <c r="D65" s="4"/>
      <c r="E65" s="86" t="s">
        <v>159</v>
      </c>
      <c r="F65" s="42"/>
      <c r="G65" s="42"/>
      <c r="H65" s="42"/>
      <c r="I65" s="42"/>
      <c r="J65" s="42">
        <v>-131843</v>
      </c>
      <c r="K65" s="42">
        <v>-139194</v>
      </c>
      <c r="L65" s="42">
        <v>-171242</v>
      </c>
      <c r="M65" s="42">
        <v>-158843</v>
      </c>
      <c r="N65" s="42">
        <v>-43083</v>
      </c>
      <c r="O65" s="42">
        <v>-117672</v>
      </c>
      <c r="P65" s="42"/>
      <c r="Q65" s="42">
        <f>-Q66*Q62</f>
        <v>-125862.89799788863</v>
      </c>
      <c r="R65" s="42">
        <f t="shared" ref="R65:U65" si="72">-R66*R62</f>
        <v>-133138.09445255648</v>
      </c>
      <c r="S65" s="42">
        <f t="shared" si="72"/>
        <v>-141686.46545545288</v>
      </c>
      <c r="T65" s="42">
        <f t="shared" si="72"/>
        <v>-151098.7540302448</v>
      </c>
      <c r="U65" s="42">
        <f t="shared" si="72"/>
        <v>-161601.74930189035</v>
      </c>
      <c r="V65" s="44"/>
      <c r="W65" s="81"/>
      <c r="X65" s="82"/>
      <c r="Y65" s="92"/>
      <c r="Z65" s="4"/>
      <c r="AA65" s="4"/>
      <c r="AB65" s="4"/>
      <c r="AC65" s="4"/>
      <c r="AD65" s="4"/>
      <c r="AE65" s="4"/>
      <c r="AF65" s="4"/>
      <c r="AG65" s="4"/>
      <c r="AH65" s="4"/>
      <c r="AI65" s="4"/>
      <c r="AJ65" s="4"/>
      <c r="AK65" s="4"/>
    </row>
    <row r="66" spans="1:37" ht="30" customHeight="1">
      <c r="A66" s="12"/>
      <c r="B66" s="4"/>
      <c r="C66" s="4"/>
      <c r="D66" s="4"/>
      <c r="E66" s="86" t="s">
        <v>316</v>
      </c>
      <c r="F66" s="42"/>
      <c r="G66" s="42"/>
      <c r="H66" s="42"/>
      <c r="I66" s="42"/>
      <c r="J66" s="60">
        <f>-J65/J62</f>
        <v>0.15909022348626997</v>
      </c>
      <c r="K66" s="60">
        <f t="shared" ref="K66:N66" si="73">-K65/K62</f>
        <v>0.16357463590735541</v>
      </c>
      <c r="L66" s="60">
        <f t="shared" si="73"/>
        <v>0.20245918113997233</v>
      </c>
      <c r="M66" s="60">
        <f t="shared" si="73"/>
        <v>0.1905444521350676</v>
      </c>
      <c r="N66" s="60">
        <f t="shared" si="73"/>
        <v>6.0054446688662791E-2</v>
      </c>
      <c r="O66" s="60">
        <f t="shared" ref="O66" si="74">-O65/O62</f>
        <v>0.22272021804141273</v>
      </c>
      <c r="P66" s="42"/>
      <c r="Q66" s="60">
        <f t="shared" ref="Q66:U66" si="75">AVERAGE($J$66:$O$66)</f>
        <v>0.16640719289979014</v>
      </c>
      <c r="R66" s="60">
        <f t="shared" si="75"/>
        <v>0.16640719289979014</v>
      </c>
      <c r="S66" s="60">
        <f t="shared" si="75"/>
        <v>0.16640719289979014</v>
      </c>
      <c r="T66" s="60">
        <f t="shared" si="75"/>
        <v>0.16640719289979014</v>
      </c>
      <c r="U66" s="60">
        <f t="shared" si="75"/>
        <v>0.16640719289979014</v>
      </c>
      <c r="V66" s="44"/>
      <c r="W66" s="81"/>
      <c r="X66" s="82"/>
      <c r="Y66" s="92"/>
      <c r="Z66" s="4"/>
      <c r="AA66" s="4"/>
      <c r="AB66" s="4"/>
      <c r="AC66" s="4"/>
      <c r="AD66" s="4"/>
      <c r="AE66" s="4"/>
      <c r="AF66" s="4"/>
      <c r="AG66" s="4"/>
      <c r="AH66" s="4"/>
      <c r="AI66" s="4"/>
      <c r="AJ66" s="4"/>
      <c r="AK66" s="4"/>
    </row>
    <row r="67" spans="1:37" ht="30" customHeight="1">
      <c r="A67" s="12"/>
      <c r="B67" s="4"/>
      <c r="C67" s="4"/>
      <c r="D67" s="4"/>
      <c r="E67" s="79" t="s">
        <v>14</v>
      </c>
      <c r="F67" s="42"/>
      <c r="G67" s="42"/>
      <c r="H67" s="42"/>
      <c r="I67" s="42"/>
      <c r="J67" s="46">
        <f>SUM(J62,J64:J65)</f>
        <v>115926</v>
      </c>
      <c r="K67" s="46">
        <f t="shared" ref="K67" si="76">SUM(K62,K64:K65)</f>
        <v>152890</v>
      </c>
      <c r="L67" s="46">
        <f t="shared" ref="L67" si="77">SUM(L62,L64:L65)</f>
        <v>205372</v>
      </c>
      <c r="M67" s="46">
        <f t="shared" ref="M67:N67" si="78">SUM(M62,M64:M65)</f>
        <v>230620</v>
      </c>
      <c r="N67" s="46">
        <f t="shared" si="78"/>
        <v>143750</v>
      </c>
      <c r="O67" s="46">
        <f t="shared" ref="O67" si="79">SUM(O62,O64:O65)</f>
        <v>109408</v>
      </c>
      <c r="P67" s="42"/>
      <c r="Q67" s="42"/>
      <c r="R67" s="42"/>
      <c r="S67" s="42"/>
      <c r="T67" s="42"/>
      <c r="U67" s="42"/>
      <c r="V67" s="83"/>
      <c r="W67" s="81"/>
      <c r="X67" s="82"/>
      <c r="Y67" s="92"/>
      <c r="Z67" s="4"/>
      <c r="AA67" s="4"/>
      <c r="AB67" s="4"/>
      <c r="AC67" s="4"/>
      <c r="AD67" s="4"/>
      <c r="AE67" s="4"/>
      <c r="AF67" s="4"/>
      <c r="AG67" s="4"/>
      <c r="AH67" s="4"/>
      <c r="AI67" s="4"/>
      <c r="AJ67" s="4"/>
      <c r="AK67" s="4"/>
    </row>
    <row r="68" spans="1:37" ht="30" customHeight="1">
      <c r="A68" s="12"/>
      <c r="B68" s="4"/>
      <c r="C68" s="4"/>
      <c r="D68" s="4"/>
      <c r="E68" s="245" t="s">
        <v>51</v>
      </c>
      <c r="F68" s="44"/>
      <c r="G68" s="44"/>
      <c r="H68" s="44"/>
      <c r="I68" s="44"/>
      <c r="J68" s="246">
        <f t="shared" ref="J68:M68" si="80">J67/J62</f>
        <v>0.13988374997435837</v>
      </c>
      <c r="K68" s="246">
        <f t="shared" si="80"/>
        <v>0.17966956969320208</v>
      </c>
      <c r="L68" s="246">
        <f t="shared" si="80"/>
        <v>0.24281103321076838</v>
      </c>
      <c r="M68" s="246">
        <f t="shared" si="80"/>
        <v>0.27664650976995708</v>
      </c>
      <c r="N68" s="246">
        <f t="shared" ref="N68:O68" si="81">N67/N62</f>
        <v>0.20037663838393976</v>
      </c>
      <c r="O68" s="246">
        <f t="shared" si="81"/>
        <v>0.2070787750312299</v>
      </c>
      <c r="P68" s="44"/>
      <c r="Q68" s="44"/>
      <c r="R68" s="44"/>
      <c r="S68" s="44"/>
      <c r="T68" s="44"/>
      <c r="U68" s="44"/>
      <c r="V68" s="83"/>
      <c r="W68" s="81"/>
      <c r="X68" s="82"/>
      <c r="Y68" s="92"/>
      <c r="Z68" s="4"/>
      <c r="AA68" s="4"/>
      <c r="AB68" s="4"/>
      <c r="AC68" s="4"/>
      <c r="AD68" s="4"/>
      <c r="AE68" s="4"/>
      <c r="AF68" s="4"/>
      <c r="AG68" s="4"/>
      <c r="AH68" s="4"/>
      <c r="AI68" s="4"/>
      <c r="AJ68" s="4"/>
      <c r="AK68" s="4"/>
    </row>
    <row r="69" spans="1:37" ht="30" customHeight="1">
      <c r="A69" s="12"/>
      <c r="B69" s="4"/>
      <c r="C69" s="4"/>
      <c r="D69" s="4"/>
      <c r="E69" s="86" t="s">
        <v>15</v>
      </c>
      <c r="F69" s="205"/>
      <c r="G69" s="205"/>
      <c r="H69" s="205"/>
      <c r="I69" s="205"/>
      <c r="J69" s="84">
        <f t="shared" ref="J69:O69" si="82">SUM(J71:J74)</f>
        <v>-32939</v>
      </c>
      <c r="K69" s="84">
        <f t="shared" si="82"/>
        <v>-15212</v>
      </c>
      <c r="L69" s="84">
        <f t="shared" si="82"/>
        <v>-39199</v>
      </c>
      <c r="M69" s="84">
        <f t="shared" si="82"/>
        <v>-48879</v>
      </c>
      <c r="N69" s="84">
        <f t="shared" si="82"/>
        <v>-10417</v>
      </c>
      <c r="O69" s="84">
        <f t="shared" si="82"/>
        <v>-28010</v>
      </c>
      <c r="P69" s="84"/>
      <c r="Q69" s="84"/>
      <c r="R69" s="84"/>
      <c r="S69" s="84"/>
      <c r="T69" s="84"/>
      <c r="U69" s="84"/>
      <c r="V69" s="83"/>
      <c r="W69" s="81"/>
      <c r="X69" s="82"/>
      <c r="Y69" s="92"/>
      <c r="Z69" s="4"/>
      <c r="AA69" s="4"/>
      <c r="AB69" s="4"/>
      <c r="AC69" s="4"/>
      <c r="AD69" s="4"/>
      <c r="AE69" s="4"/>
      <c r="AF69" s="4"/>
      <c r="AG69" s="4"/>
      <c r="AH69" s="4"/>
      <c r="AI69" s="4"/>
      <c r="AJ69" s="4"/>
      <c r="AK69" s="4"/>
    </row>
    <row r="70" spans="1:37" ht="30" customHeight="1">
      <c r="A70" s="12"/>
      <c r="B70" s="4"/>
      <c r="C70" s="4"/>
      <c r="D70" s="4"/>
      <c r="E70" s="86" t="s">
        <v>30</v>
      </c>
      <c r="F70" s="44"/>
      <c r="G70" s="44"/>
      <c r="H70" s="44"/>
      <c r="I70" s="44"/>
      <c r="J70" s="44">
        <f t="shared" ref="J70" si="83">J69/J62</f>
        <v>-3.9746310925982013E-2</v>
      </c>
      <c r="K70" s="44">
        <f t="shared" ref="K70" si="84">K69/K62</f>
        <v>-1.7876469973006671E-2</v>
      </c>
      <c r="L70" s="44">
        <f t="shared" ref="L70" si="85">L69/L62</f>
        <v>-4.6344923800853623E-2</v>
      </c>
      <c r="M70" s="44">
        <f t="shared" ref="M70:O70" si="86">M69/M62</f>
        <v>-5.8634137330004908E-2</v>
      </c>
      <c r="N70" s="44">
        <f t="shared" si="86"/>
        <v>-1.452051090118609E-2</v>
      </c>
      <c r="O70" s="44">
        <f t="shared" si="86"/>
        <v>-5.3015103910360753E-2</v>
      </c>
      <c r="P70" s="44"/>
      <c r="Q70" s="44"/>
      <c r="R70" s="44"/>
      <c r="S70" s="44"/>
      <c r="T70" s="44"/>
      <c r="U70" s="44"/>
      <c r="V70" s="83"/>
      <c r="W70" s="81"/>
      <c r="X70" s="82"/>
      <c r="Y70" s="92"/>
      <c r="Z70" s="4"/>
      <c r="AA70" s="4"/>
      <c r="AB70" s="4"/>
      <c r="AC70" s="4"/>
      <c r="AD70" s="4"/>
      <c r="AE70" s="4"/>
      <c r="AF70" s="4"/>
      <c r="AG70" s="4"/>
      <c r="AH70" s="4"/>
      <c r="AI70" s="4"/>
      <c r="AJ70" s="4"/>
      <c r="AK70" s="4"/>
    </row>
    <row r="71" spans="1:37" ht="30" customHeight="1">
      <c r="A71" s="12"/>
      <c r="B71" s="4"/>
      <c r="C71" s="4"/>
      <c r="D71" s="4"/>
      <c r="E71" s="86" t="s">
        <v>262</v>
      </c>
      <c r="F71" s="42"/>
      <c r="G71" s="42"/>
      <c r="H71" s="42"/>
      <c r="I71" s="42"/>
      <c r="J71" s="42">
        <f>-2517-40311</f>
        <v>-42828</v>
      </c>
      <c r="K71" s="42">
        <f>-3658-31369</f>
        <v>-35027</v>
      </c>
      <c r="L71" s="42">
        <f>-2557-36106</f>
        <v>-38663</v>
      </c>
      <c r="M71" s="42">
        <f>-4290-41322</f>
        <v>-45612</v>
      </c>
      <c r="N71" s="42">
        <f>-2391-45440</f>
        <v>-47831</v>
      </c>
      <c r="O71" s="42">
        <f>-1136-26752</f>
        <v>-27888</v>
      </c>
      <c r="P71" s="42"/>
      <c r="Q71" s="42"/>
      <c r="R71" s="42"/>
      <c r="S71" s="42"/>
      <c r="T71" s="42"/>
      <c r="U71" s="42"/>
      <c r="V71" s="83"/>
      <c r="W71" s="81"/>
      <c r="X71" s="82"/>
      <c r="Y71" s="92"/>
      <c r="Z71" s="4"/>
      <c r="AA71" s="4"/>
      <c r="AB71" s="4"/>
      <c r="AC71" s="4"/>
      <c r="AD71" s="4"/>
      <c r="AE71" s="4"/>
      <c r="AF71" s="4"/>
      <c r="AG71" s="4"/>
      <c r="AH71" s="4"/>
      <c r="AI71" s="4"/>
      <c r="AJ71" s="4"/>
      <c r="AK71" s="4"/>
    </row>
    <row r="72" spans="1:37" ht="30" customHeight="1">
      <c r="A72" s="12"/>
      <c r="B72" s="4"/>
      <c r="C72" s="4"/>
      <c r="D72" s="4"/>
      <c r="E72" s="86" t="s">
        <v>97</v>
      </c>
      <c r="F72" s="42"/>
      <c r="G72" s="42"/>
      <c r="H72" s="42"/>
      <c r="I72" s="42"/>
      <c r="J72" s="42">
        <v>2636</v>
      </c>
      <c r="K72" s="42">
        <v>-1246</v>
      </c>
      <c r="L72" s="42">
        <v>-2122</v>
      </c>
      <c r="M72" s="42">
        <v>160</v>
      </c>
      <c r="N72" s="42">
        <v>-2965</v>
      </c>
      <c r="O72" s="42">
        <v>-2591</v>
      </c>
      <c r="P72" s="42"/>
      <c r="Q72" s="42"/>
      <c r="R72" s="42"/>
      <c r="S72" s="42"/>
      <c r="T72" s="42"/>
      <c r="U72" s="42"/>
      <c r="V72" s="83"/>
      <c r="W72" s="81"/>
      <c r="X72" s="82"/>
      <c r="Y72" s="92"/>
      <c r="Z72" s="4"/>
      <c r="AA72" s="4"/>
      <c r="AB72" s="4"/>
      <c r="AC72" s="4"/>
      <c r="AD72" s="4"/>
      <c r="AE72" s="4"/>
      <c r="AF72" s="4"/>
      <c r="AG72" s="4"/>
      <c r="AH72" s="4"/>
      <c r="AI72" s="4"/>
      <c r="AJ72" s="4"/>
      <c r="AK72" s="4"/>
    </row>
    <row r="73" spans="1:37" ht="30" customHeight="1">
      <c r="A73" s="12"/>
      <c r="B73" s="4"/>
      <c r="C73" s="4"/>
      <c r="D73" s="4"/>
      <c r="E73" s="86" t="s">
        <v>19</v>
      </c>
      <c r="F73" s="42"/>
      <c r="G73" s="42"/>
      <c r="H73" s="42"/>
      <c r="I73" s="42"/>
      <c r="J73" s="42">
        <v>8225</v>
      </c>
      <c r="K73" s="42">
        <v>22262</v>
      </c>
      <c r="L73" s="42">
        <v>2101</v>
      </c>
      <c r="M73" s="42">
        <v>-1936</v>
      </c>
      <c r="N73" s="42">
        <v>37598</v>
      </c>
      <c r="O73" s="42">
        <v>-411</v>
      </c>
      <c r="P73" s="42"/>
      <c r="Q73" s="42"/>
      <c r="R73" s="42"/>
      <c r="S73" s="42"/>
      <c r="T73" s="42"/>
      <c r="U73" s="42"/>
      <c r="V73" s="83"/>
      <c r="W73" s="81"/>
      <c r="X73" s="82"/>
      <c r="Y73" s="92"/>
      <c r="Z73" s="4"/>
      <c r="AA73" s="4"/>
      <c r="AB73" s="4"/>
      <c r="AC73" s="4"/>
      <c r="AD73" s="4"/>
      <c r="AE73" s="4"/>
      <c r="AF73" s="4"/>
      <c r="AG73" s="4"/>
      <c r="AH73" s="4"/>
      <c r="AI73" s="4"/>
      <c r="AJ73" s="4"/>
      <c r="AK73" s="4"/>
    </row>
    <row r="74" spans="1:37" ht="30" customHeight="1">
      <c r="A74" s="12"/>
      <c r="B74" s="4"/>
      <c r="C74" s="4"/>
      <c r="D74" s="4"/>
      <c r="E74" s="86" t="s">
        <v>41</v>
      </c>
      <c r="F74" s="42"/>
      <c r="G74" s="42"/>
      <c r="H74" s="42"/>
      <c r="I74" s="42"/>
      <c r="J74" s="42">
        <v>-972</v>
      </c>
      <c r="K74" s="42">
        <v>-1201</v>
      </c>
      <c r="L74" s="42">
        <v>-515</v>
      </c>
      <c r="M74" s="42">
        <v>-1491</v>
      </c>
      <c r="N74" s="42">
        <v>2781</v>
      </c>
      <c r="O74" s="42">
        <v>2880</v>
      </c>
      <c r="P74" s="42"/>
      <c r="Q74" s="42"/>
      <c r="R74" s="42"/>
      <c r="S74" s="42"/>
      <c r="T74" s="42"/>
      <c r="U74" s="42"/>
      <c r="V74" s="83"/>
      <c r="W74" s="81"/>
      <c r="X74" s="82"/>
      <c r="Y74" s="92"/>
      <c r="Z74" s="4"/>
      <c r="AA74" s="4"/>
      <c r="AB74" s="4"/>
      <c r="AC74" s="4"/>
      <c r="AD74" s="4"/>
      <c r="AE74" s="4"/>
      <c r="AF74" s="4"/>
      <c r="AG74" s="4"/>
      <c r="AH74" s="4"/>
      <c r="AI74" s="4"/>
      <c r="AJ74" s="4"/>
      <c r="AK74" s="4"/>
    </row>
    <row r="75" spans="1:37" ht="30" customHeight="1">
      <c r="A75" s="12"/>
      <c r="B75" s="4"/>
      <c r="C75" s="4"/>
      <c r="D75" s="4"/>
      <c r="E75" s="79" t="s">
        <v>16</v>
      </c>
      <c r="F75" s="42"/>
      <c r="G75" s="42"/>
      <c r="H75" s="42"/>
      <c r="I75" s="42"/>
      <c r="J75" s="40">
        <f t="shared" ref="J75:M75" si="87">SUM(J67,J69)</f>
        <v>82987</v>
      </c>
      <c r="K75" s="40">
        <f t="shared" si="87"/>
        <v>137678</v>
      </c>
      <c r="L75" s="40">
        <f t="shared" si="87"/>
        <v>166173</v>
      </c>
      <c r="M75" s="40">
        <f t="shared" si="87"/>
        <v>181741</v>
      </c>
      <c r="N75" s="40">
        <f t="shared" ref="N75:O75" si="88">SUM(N67,N69)</f>
        <v>133333</v>
      </c>
      <c r="O75" s="40">
        <f t="shared" si="88"/>
        <v>81398</v>
      </c>
      <c r="P75" s="40">
        <f>Q75-O75</f>
        <v>69957.343845294497</v>
      </c>
      <c r="Q75" s="40">
        <f>Q62*Q76</f>
        <v>151355.3438452945</v>
      </c>
      <c r="R75" s="40">
        <f t="shared" ref="R75:U75" si="89">R62*R76</f>
        <v>160104.0686756793</v>
      </c>
      <c r="S75" s="40">
        <f t="shared" si="89"/>
        <v>170383.8385923249</v>
      </c>
      <c r="T75" s="40">
        <f t="shared" si="89"/>
        <v>181702.50514354848</v>
      </c>
      <c r="U75" s="40">
        <f t="shared" si="89"/>
        <v>194332.79163808064</v>
      </c>
      <c r="V75" s="206"/>
      <c r="W75" s="206"/>
      <c r="X75" s="206"/>
      <c r="Y75" s="92"/>
      <c r="Z75" s="4"/>
      <c r="AA75" s="4"/>
      <c r="AB75" s="4"/>
      <c r="AC75" s="4"/>
      <c r="AD75" s="4"/>
      <c r="AE75" s="4"/>
      <c r="AF75" s="4"/>
      <c r="AG75" s="4"/>
      <c r="AH75" s="4"/>
      <c r="AI75" s="4"/>
      <c r="AJ75" s="4"/>
      <c r="AK75" s="4"/>
    </row>
    <row r="76" spans="1:37" ht="30" customHeight="1" thickBot="1">
      <c r="A76" s="12"/>
      <c r="B76" s="4"/>
      <c r="C76" s="4"/>
      <c r="D76" s="4"/>
      <c r="E76" s="271" t="s">
        <v>50</v>
      </c>
      <c r="F76" s="188"/>
      <c r="G76" s="188"/>
      <c r="H76" s="188"/>
      <c r="I76" s="188"/>
      <c r="J76" s="272">
        <f t="shared" ref="J76:P76" si="90">J75/J62</f>
        <v>0.10013743904837637</v>
      </c>
      <c r="K76" s="272">
        <f t="shared" si="90"/>
        <v>0.1617930997201954</v>
      </c>
      <c r="L76" s="272">
        <f t="shared" si="90"/>
        <v>0.19646610940991477</v>
      </c>
      <c r="M76" s="272">
        <f t="shared" si="90"/>
        <v>0.21801237243995217</v>
      </c>
      <c r="N76" s="272">
        <f t="shared" ref="N76:O76" si="91">N75/N62</f>
        <v>0.18585612748275368</v>
      </c>
      <c r="O76" s="272">
        <f t="shared" si="91"/>
        <v>0.15406367112086913</v>
      </c>
      <c r="P76" s="272">
        <f t="shared" si="90"/>
        <v>0.30681038691582319</v>
      </c>
      <c r="Q76" s="272">
        <f>AVERAGE($L$76:$N$76)</f>
        <v>0.20011153644420687</v>
      </c>
      <c r="R76" s="272">
        <f t="shared" ref="R76:U76" si="92">AVERAGE($L$76:$N$76)</f>
        <v>0.20011153644420687</v>
      </c>
      <c r="S76" s="272">
        <f t="shared" si="92"/>
        <v>0.20011153644420687</v>
      </c>
      <c r="T76" s="272">
        <f t="shared" si="92"/>
        <v>0.20011153644420687</v>
      </c>
      <c r="U76" s="272">
        <f t="shared" si="92"/>
        <v>0.20011153644420687</v>
      </c>
      <c r="V76" s="273"/>
      <c r="W76" s="267"/>
      <c r="X76" s="268"/>
      <c r="Y76" s="269"/>
      <c r="Z76" s="4"/>
      <c r="AA76" s="4"/>
      <c r="AB76" s="4"/>
      <c r="AC76" s="4"/>
      <c r="AD76" s="4"/>
      <c r="AE76" s="4"/>
      <c r="AF76" s="4"/>
      <c r="AG76" s="4"/>
      <c r="AH76" s="4"/>
      <c r="AI76" s="4"/>
      <c r="AJ76" s="4"/>
      <c r="AK76" s="4"/>
    </row>
    <row r="77" spans="1:37" ht="30" customHeight="1">
      <c r="A77" s="12"/>
      <c r="B77" s="4"/>
      <c r="C77" s="4"/>
      <c r="D77" s="4"/>
      <c r="E77" s="274"/>
      <c r="F77" s="181"/>
      <c r="G77" s="181"/>
      <c r="H77" s="181"/>
      <c r="I77" s="181"/>
      <c r="J77" s="181"/>
      <c r="K77" s="181"/>
      <c r="L77" s="181"/>
      <c r="M77" s="181"/>
      <c r="N77" s="181"/>
      <c r="O77" s="181"/>
      <c r="P77" s="181"/>
      <c r="Q77" s="181"/>
      <c r="R77" s="181"/>
      <c r="S77" s="181"/>
      <c r="T77" s="181"/>
      <c r="U77" s="181"/>
      <c r="V77" s="181"/>
      <c r="W77" s="182"/>
      <c r="X77" s="178"/>
      <c r="Y77" s="178"/>
      <c r="Z77" s="4"/>
      <c r="AA77" s="4"/>
      <c r="AB77" s="4"/>
      <c r="AC77" s="4"/>
      <c r="AD77" s="4"/>
      <c r="AE77" s="4"/>
      <c r="AF77" s="4"/>
      <c r="AG77" s="4"/>
      <c r="AH77" s="4"/>
      <c r="AI77" s="4"/>
      <c r="AJ77" s="4"/>
      <c r="AK77" s="4"/>
    </row>
    <row r="78" spans="1:37" ht="30" customHeight="1">
      <c r="A78" s="12"/>
      <c r="B78" s="4"/>
      <c r="C78" s="4"/>
      <c r="D78" s="4"/>
      <c r="E78" s="235"/>
      <c r="F78" s="10"/>
      <c r="G78" s="10"/>
      <c r="H78" s="10"/>
      <c r="I78" s="10"/>
      <c r="J78" s="10"/>
      <c r="K78" s="10"/>
      <c r="L78" s="10"/>
      <c r="M78" s="10"/>
      <c r="N78" s="10"/>
      <c r="O78" s="10"/>
      <c r="P78" s="10"/>
      <c r="Q78" s="10"/>
      <c r="R78" s="10"/>
      <c r="S78" s="10"/>
      <c r="T78" s="10"/>
      <c r="U78" s="10"/>
      <c r="V78" s="10"/>
      <c r="W78" s="51"/>
      <c r="X78" s="4"/>
      <c r="Y78" s="4"/>
      <c r="Z78" s="4"/>
      <c r="AA78" s="4"/>
      <c r="AB78" s="4"/>
      <c r="AC78" s="4"/>
      <c r="AD78" s="4"/>
      <c r="AE78" s="4"/>
      <c r="AF78" s="4"/>
      <c r="AG78" s="4"/>
      <c r="AH78" s="4"/>
      <c r="AI78" s="4"/>
      <c r="AJ78" s="4"/>
      <c r="AK78" s="4"/>
    </row>
    <row r="79" spans="1:37" ht="30" customHeight="1">
      <c r="A79" s="12"/>
      <c r="B79" s="4"/>
      <c r="C79" s="4"/>
      <c r="D79" s="4"/>
      <c r="E79" s="235"/>
      <c r="F79" s="10"/>
      <c r="G79" s="10"/>
      <c r="H79" s="10"/>
      <c r="I79" s="10"/>
      <c r="J79" s="10"/>
      <c r="K79" s="10"/>
      <c r="L79" s="10"/>
      <c r="M79" s="10"/>
      <c r="N79" s="10"/>
      <c r="O79" s="10"/>
      <c r="P79" s="10"/>
      <c r="Q79" s="10"/>
      <c r="R79" s="10"/>
      <c r="S79" s="10"/>
      <c r="T79" s="10"/>
      <c r="U79" s="10"/>
      <c r="V79" s="10"/>
      <c r="W79" s="51"/>
      <c r="X79" s="4"/>
      <c r="Y79" s="4"/>
      <c r="Z79" s="4"/>
      <c r="AA79" s="4"/>
      <c r="AB79" s="4"/>
      <c r="AC79" s="4"/>
      <c r="AD79" s="4"/>
      <c r="AE79" s="4"/>
      <c r="AF79" s="4"/>
      <c r="AG79" s="4"/>
      <c r="AH79" s="4"/>
      <c r="AI79" s="4"/>
      <c r="AJ79" s="4"/>
      <c r="AK79" s="4"/>
    </row>
    <row r="80" spans="1:37" ht="54.75" customHeight="1">
      <c r="A80" s="12"/>
      <c r="B80" s="4"/>
      <c r="C80" s="4"/>
      <c r="D80" s="4"/>
      <c r="E80" s="78"/>
      <c r="F80" s="37">
        <v>2014</v>
      </c>
      <c r="G80" s="37">
        <v>2015</v>
      </c>
      <c r="H80" s="37">
        <v>2016</v>
      </c>
      <c r="I80" s="37">
        <v>2017</v>
      </c>
      <c r="J80" s="37">
        <v>2018</v>
      </c>
      <c r="K80" s="37">
        <v>2019</v>
      </c>
      <c r="L80" s="37">
        <v>2020</v>
      </c>
      <c r="M80" s="37">
        <v>2021</v>
      </c>
      <c r="N80" s="37">
        <v>2022</v>
      </c>
      <c r="O80" s="37" t="s">
        <v>501</v>
      </c>
      <c r="P80" s="37" t="s">
        <v>485</v>
      </c>
      <c r="Q80" s="38">
        <v>2023</v>
      </c>
      <c r="R80" s="38">
        <v>2024</v>
      </c>
      <c r="S80" s="38">
        <v>2025</v>
      </c>
      <c r="T80" s="38">
        <v>2026</v>
      </c>
      <c r="U80" s="38">
        <v>2027</v>
      </c>
      <c r="V80" s="38" t="s">
        <v>94</v>
      </c>
      <c r="W80" s="38" t="s">
        <v>95</v>
      </c>
      <c r="X80" s="38"/>
      <c r="Y80" s="91" t="s">
        <v>320</v>
      </c>
      <c r="Z80" s="4"/>
      <c r="AA80" s="4"/>
      <c r="AB80" s="4"/>
      <c r="AC80" s="4"/>
      <c r="AD80" s="4"/>
      <c r="AE80" s="4"/>
      <c r="AF80" s="4"/>
      <c r="AG80" s="4"/>
      <c r="AH80" s="4"/>
      <c r="AI80" s="4"/>
      <c r="AJ80" s="4"/>
      <c r="AK80" s="4"/>
    </row>
    <row r="81" spans="1:38" ht="30" customHeight="1">
      <c r="A81" s="12"/>
      <c r="B81" s="4"/>
      <c r="C81" s="4"/>
      <c r="D81" s="4"/>
      <c r="E81" s="79" t="s">
        <v>12</v>
      </c>
      <c r="F81" s="80"/>
      <c r="G81" s="80"/>
      <c r="H81" s="80"/>
      <c r="I81" s="80"/>
      <c r="J81" s="80"/>
      <c r="K81" s="80"/>
      <c r="L81" s="80"/>
      <c r="M81" s="80"/>
      <c r="N81" s="80">
        <v>401145</v>
      </c>
      <c r="O81" s="80">
        <v>519197</v>
      </c>
      <c r="P81" s="80">
        <f>Q81-O81</f>
        <v>129325.15333333332</v>
      </c>
      <c r="Q81" s="80">
        <f>SUM(Q82:Q85)</f>
        <v>648522.15333333332</v>
      </c>
      <c r="R81" s="80">
        <f>SUM(R82:R85)</f>
        <v>771375.12012546672</v>
      </c>
      <c r="S81" s="80">
        <f>SUM(S82:S85)</f>
        <v>896170.32226024452</v>
      </c>
      <c r="T81" s="80">
        <f>S81*(1+'Projeções - CG + Capex'!O37)</f>
        <v>939670.42970275681</v>
      </c>
      <c r="U81" s="80">
        <f>T81*(1+'Projeções - CG + Capex'!P37)</f>
        <v>987471.46446173603</v>
      </c>
      <c r="V81" s="288" t="s">
        <v>329</v>
      </c>
      <c r="W81" s="81">
        <v>3</v>
      </c>
      <c r="X81" s="82"/>
      <c r="Y81" s="92">
        <f>(U81/Q81)^(1/4)-1</f>
        <v>0.11083597099426346</v>
      </c>
      <c r="Z81" s="4"/>
      <c r="AA81" s="4"/>
      <c r="AB81" s="4"/>
      <c r="AC81" s="4"/>
      <c r="AD81" s="4"/>
      <c r="AE81" s="4"/>
      <c r="AF81" s="4"/>
      <c r="AG81" s="4"/>
      <c r="AH81" s="4"/>
      <c r="AI81" s="4"/>
      <c r="AJ81" s="4"/>
      <c r="AK81" s="4"/>
    </row>
    <row r="82" spans="1:38" ht="30" customHeight="1">
      <c r="A82" s="12"/>
      <c r="B82" s="4"/>
      <c r="C82" s="4"/>
      <c r="D82" s="4"/>
      <c r="E82" s="309" t="s">
        <v>484</v>
      </c>
      <c r="F82" s="287"/>
      <c r="G82" s="287"/>
      <c r="H82" s="287"/>
      <c r="I82" s="287"/>
      <c r="J82" s="287"/>
      <c r="K82" s="287"/>
      <c r="L82" s="287"/>
      <c r="M82" s="287"/>
      <c r="N82" s="287"/>
      <c r="O82" s="287"/>
      <c r="P82" s="287"/>
      <c r="Q82" s="287">
        <v>156500</v>
      </c>
      <c r="R82" s="287">
        <f>S82*3/4</f>
        <v>234750</v>
      </c>
      <c r="S82" s="287">
        <v>313000</v>
      </c>
      <c r="T82" s="80"/>
      <c r="U82" s="80"/>
      <c r="V82" s="80"/>
      <c r="W82" s="81"/>
      <c r="X82" s="82"/>
      <c r="Y82" s="92"/>
      <c r="Z82" s="4"/>
      <c r="AA82" s="4"/>
      <c r="AB82" s="4"/>
      <c r="AC82" s="4"/>
      <c r="AD82" s="4"/>
      <c r="AE82" s="4"/>
      <c r="AF82" s="4"/>
      <c r="AG82" s="4"/>
      <c r="AH82" s="4"/>
      <c r="AI82" s="4"/>
      <c r="AJ82" s="4"/>
      <c r="AK82" s="4"/>
    </row>
    <row r="83" spans="1:38" ht="30" customHeight="1">
      <c r="A83" s="12"/>
      <c r="B83" s="4"/>
      <c r="C83" s="4"/>
      <c r="D83" s="4"/>
      <c r="E83" s="309" t="s">
        <v>268</v>
      </c>
      <c r="F83" s="287"/>
      <c r="G83" s="287"/>
      <c r="H83" s="287"/>
      <c r="I83" s="287"/>
      <c r="J83" s="287"/>
      <c r="K83" s="287"/>
      <c r="L83" s="287"/>
      <c r="M83" s="287"/>
      <c r="N83" s="287"/>
      <c r="O83" s="287"/>
      <c r="P83" s="287"/>
      <c r="Q83" s="287">
        <v>24333.333333333332</v>
      </c>
      <c r="R83" s="287">
        <f>S83*2/3</f>
        <v>48666.666666666664</v>
      </c>
      <c r="S83" s="287">
        <v>73000</v>
      </c>
      <c r="T83" s="80"/>
      <c r="U83" s="80"/>
      <c r="V83" s="80"/>
      <c r="W83" s="81"/>
      <c r="X83" s="82"/>
      <c r="Y83" s="92"/>
      <c r="Z83" s="4"/>
      <c r="AA83" s="4"/>
      <c r="AB83" s="4"/>
      <c r="AC83" s="4"/>
      <c r="AD83" s="4"/>
      <c r="AE83" s="4"/>
      <c r="AF83" s="4"/>
      <c r="AG83" s="4"/>
      <c r="AH83" s="4"/>
      <c r="AI83" s="4"/>
      <c r="AJ83" s="4"/>
      <c r="AK83" s="4"/>
    </row>
    <row r="84" spans="1:38" ht="30" customHeight="1">
      <c r="A84" s="12"/>
      <c r="B84" s="4"/>
      <c r="C84" s="4"/>
      <c r="D84" s="4"/>
      <c r="E84" s="309" t="s">
        <v>267</v>
      </c>
      <c r="F84" s="287"/>
      <c r="G84" s="287"/>
      <c r="H84" s="287"/>
      <c r="I84" s="287"/>
      <c r="J84" s="287"/>
      <c r="K84" s="287"/>
      <c r="L84" s="287"/>
      <c r="M84" s="287"/>
      <c r="N84" s="287"/>
      <c r="O84" s="287"/>
      <c r="P84" s="287"/>
      <c r="Q84" s="287">
        <v>88688.82</v>
      </c>
      <c r="R84" s="287">
        <f>Q84*(1+'Projeções - CG + Capex'!M37)</f>
        <v>92532.593458799995</v>
      </c>
      <c r="S84" s="287">
        <f>R84*(1+'Projeções - CG + Capex'!N37)</f>
        <v>96744.67711304457</v>
      </c>
      <c r="T84" s="80"/>
      <c r="U84" s="80"/>
      <c r="V84" s="80"/>
      <c r="W84" s="81"/>
      <c r="X84" s="82"/>
      <c r="Y84" s="92"/>
      <c r="Z84" s="4"/>
      <c r="AA84" s="4"/>
      <c r="AB84" s="4"/>
      <c r="AC84" s="4"/>
      <c r="AD84" s="4"/>
      <c r="AE84" s="4"/>
      <c r="AF84" s="4"/>
      <c r="AG84" s="4"/>
      <c r="AH84" s="4"/>
      <c r="AI84" s="4"/>
      <c r="AJ84" s="4"/>
      <c r="AK84" s="4"/>
    </row>
    <row r="85" spans="1:38" ht="30" customHeight="1">
      <c r="A85" s="12"/>
      <c r="B85" s="4"/>
      <c r="C85" s="4"/>
      <c r="D85" s="4"/>
      <c r="E85" s="309" t="s">
        <v>266</v>
      </c>
      <c r="F85" s="287"/>
      <c r="G85" s="287"/>
      <c r="H85" s="287"/>
      <c r="I85" s="287"/>
      <c r="J85" s="287"/>
      <c r="K85" s="287"/>
      <c r="L85" s="287"/>
      <c r="M85" s="287"/>
      <c r="N85" s="287"/>
      <c r="O85" s="287"/>
      <c r="P85" s="287"/>
      <c r="Q85" s="287">
        <v>379000</v>
      </c>
      <c r="R85" s="287">
        <f>Q85*(1+'Projeções - CG + Capex'!M37)</f>
        <v>395425.86</v>
      </c>
      <c r="S85" s="287">
        <f>R85*(1+'Projeções - CG + Capex'!N37)</f>
        <v>413425.64514719998</v>
      </c>
      <c r="T85" s="80"/>
      <c r="U85" s="80"/>
      <c r="V85" s="80"/>
      <c r="W85" s="81"/>
      <c r="X85" s="82"/>
      <c r="Y85" s="92"/>
      <c r="Z85" s="4"/>
      <c r="AA85" s="4"/>
      <c r="AB85" s="4"/>
      <c r="AC85" s="4"/>
      <c r="AD85" s="4"/>
      <c r="AE85" s="4"/>
      <c r="AF85" s="4"/>
      <c r="AG85" s="4"/>
      <c r="AH85" s="4"/>
      <c r="AI85" s="4"/>
      <c r="AJ85" s="4"/>
      <c r="AK85" s="4"/>
    </row>
    <row r="86" spans="1:38" ht="30" customHeight="1">
      <c r="A86" s="12"/>
      <c r="B86" s="4"/>
      <c r="C86" s="4"/>
      <c r="D86" s="4"/>
      <c r="E86" s="86" t="s">
        <v>47</v>
      </c>
      <c r="F86" s="44"/>
      <c r="G86" s="44"/>
      <c r="H86" s="44"/>
      <c r="I86" s="44"/>
      <c r="J86" s="44"/>
      <c r="K86" s="44"/>
      <c r="L86" s="44"/>
      <c r="M86" s="44"/>
      <c r="N86" s="44"/>
      <c r="O86" s="44"/>
      <c r="P86" s="44"/>
      <c r="Q86" s="44">
        <f>Q81/N81-1</f>
        <v>0.61667764357858967</v>
      </c>
      <c r="R86" s="44">
        <f>R81/Q81-1</f>
        <v>0.18943526625988416</v>
      </c>
      <c r="S86" s="44">
        <f>S81/R81-1</f>
        <v>0.16178276804478653</v>
      </c>
      <c r="T86" s="44">
        <f>T81/S81-1</f>
        <v>4.8540000000000028E-2</v>
      </c>
      <c r="U86" s="44">
        <f>U81/T81-1</f>
        <v>5.0869999999999971E-2</v>
      </c>
      <c r="V86" s="80"/>
      <c r="W86" s="81"/>
      <c r="X86" s="82"/>
      <c r="Y86" s="92"/>
      <c r="Z86" s="4"/>
      <c r="AA86" s="4"/>
      <c r="AB86" s="4"/>
      <c r="AC86" s="4"/>
      <c r="AD86" s="4"/>
      <c r="AE86" s="4"/>
      <c r="AF86" s="4"/>
      <c r="AG86" s="4"/>
      <c r="AH86" s="4"/>
      <c r="AI86" s="4"/>
      <c r="AJ86" s="4"/>
      <c r="AK86" s="4"/>
    </row>
    <row r="87" spans="1:38" ht="30" customHeight="1">
      <c r="A87" s="12"/>
      <c r="B87" s="4"/>
      <c r="C87" s="4"/>
      <c r="D87" s="4"/>
      <c r="E87" s="86" t="s">
        <v>13</v>
      </c>
      <c r="F87" s="42"/>
      <c r="G87" s="42"/>
      <c r="H87" s="42"/>
      <c r="I87" s="42"/>
      <c r="J87" s="42"/>
      <c r="K87" s="42"/>
      <c r="L87" s="42"/>
      <c r="M87" s="42"/>
      <c r="N87" s="42">
        <v>-279667</v>
      </c>
      <c r="O87" s="42">
        <v>-320612</v>
      </c>
      <c r="P87" s="42"/>
      <c r="Q87" s="42"/>
      <c r="R87" s="42"/>
      <c r="S87" s="42"/>
      <c r="T87" s="42"/>
      <c r="U87" s="42"/>
      <c r="V87" s="80"/>
      <c r="W87" s="81"/>
      <c r="X87" s="82"/>
      <c r="Y87" s="92"/>
      <c r="Z87" s="4"/>
      <c r="AA87" s="4"/>
      <c r="AB87" s="4"/>
      <c r="AC87" s="4"/>
      <c r="AD87" s="4"/>
      <c r="AE87" s="4"/>
      <c r="AF87" s="4"/>
      <c r="AG87" s="4"/>
      <c r="AH87" s="4"/>
      <c r="AI87" s="4"/>
      <c r="AJ87" s="4"/>
      <c r="AK87" s="4"/>
    </row>
    <row r="88" spans="1:38" ht="30" customHeight="1">
      <c r="A88" s="12"/>
      <c r="B88" s="4"/>
      <c r="C88" s="4"/>
      <c r="D88" s="4"/>
      <c r="E88" s="86" t="s">
        <v>496</v>
      </c>
      <c r="F88" s="42"/>
      <c r="G88" s="42"/>
      <c r="H88" s="42"/>
      <c r="I88" s="42"/>
      <c r="J88" s="42"/>
      <c r="K88" s="42"/>
      <c r="L88" s="42"/>
      <c r="M88" s="42"/>
      <c r="N88" s="42">
        <v>0</v>
      </c>
      <c r="O88" s="42">
        <v>-82622</v>
      </c>
      <c r="P88" s="42"/>
      <c r="Q88" s="42"/>
      <c r="R88" s="42"/>
      <c r="S88" s="42"/>
      <c r="T88" s="42"/>
      <c r="U88" s="42"/>
      <c r="V88" s="80"/>
      <c r="W88" s="81"/>
      <c r="X88" s="82"/>
      <c r="Y88" s="92"/>
      <c r="Z88" s="4"/>
      <c r="AA88" s="4"/>
      <c r="AB88" s="4"/>
      <c r="AC88" s="4"/>
      <c r="AD88" s="4"/>
      <c r="AE88" s="4"/>
      <c r="AF88" s="4"/>
      <c r="AG88" s="4"/>
      <c r="AH88" s="4"/>
      <c r="AI88" s="4"/>
      <c r="AJ88" s="4"/>
      <c r="AK88" s="4"/>
    </row>
    <row r="89" spans="1:38" ht="30" customHeight="1">
      <c r="A89" s="12"/>
      <c r="B89" s="4"/>
      <c r="C89" s="4"/>
      <c r="D89" s="4"/>
      <c r="E89" s="86" t="s">
        <v>159</v>
      </c>
      <c r="F89" s="42"/>
      <c r="G89" s="42"/>
      <c r="H89" s="42"/>
      <c r="I89" s="42"/>
      <c r="J89" s="42"/>
      <c r="K89" s="42"/>
      <c r="L89" s="42"/>
      <c r="M89" s="42"/>
      <c r="N89" s="42">
        <v>0</v>
      </c>
      <c r="O89" s="42">
        <v>0</v>
      </c>
      <c r="P89" s="42"/>
      <c r="Q89" s="42"/>
      <c r="R89" s="42"/>
      <c r="S89" s="42"/>
      <c r="T89" s="42"/>
      <c r="U89" s="42"/>
      <c r="V89" s="44"/>
      <c r="W89" s="81"/>
      <c r="X89" s="82"/>
      <c r="Y89" s="92"/>
      <c r="Z89" s="4"/>
      <c r="AA89" s="4"/>
      <c r="AB89" s="4"/>
      <c r="AC89" s="4"/>
      <c r="AD89" s="4"/>
      <c r="AE89" s="4"/>
      <c r="AF89" s="4"/>
      <c r="AG89" s="4"/>
      <c r="AH89" s="4"/>
      <c r="AI89" s="4"/>
      <c r="AJ89" s="4"/>
      <c r="AK89" s="4"/>
    </row>
    <row r="90" spans="1:38" ht="30" customHeight="1">
      <c r="A90" s="12"/>
      <c r="B90" s="4"/>
      <c r="C90" s="4"/>
      <c r="D90" s="4"/>
      <c r="E90" s="79" t="s">
        <v>14</v>
      </c>
      <c r="F90" s="42"/>
      <c r="G90" s="42"/>
      <c r="H90" s="42"/>
      <c r="I90" s="42"/>
      <c r="J90" s="42"/>
      <c r="K90" s="42"/>
      <c r="L90" s="42"/>
      <c r="M90" s="42"/>
      <c r="N90" s="46">
        <f>SUM(N81,N87:N89)</f>
        <v>121478</v>
      </c>
      <c r="O90" s="46">
        <f>SUM(O81,O87:O89)</f>
        <v>115963</v>
      </c>
      <c r="P90" s="42"/>
      <c r="Q90" s="42"/>
      <c r="R90" s="42"/>
      <c r="S90" s="42"/>
      <c r="T90" s="42"/>
      <c r="U90" s="42"/>
      <c r="V90" s="83"/>
      <c r="W90" s="81"/>
      <c r="X90" s="82"/>
      <c r="Y90" s="92"/>
      <c r="Z90" s="4"/>
      <c r="AA90" s="4"/>
      <c r="AB90" s="4"/>
      <c r="AC90" s="4"/>
      <c r="AD90" s="4"/>
      <c r="AE90" s="4"/>
      <c r="AF90" s="4"/>
      <c r="AG90" s="4"/>
      <c r="AH90" s="4"/>
      <c r="AI90" s="4"/>
      <c r="AJ90" s="4"/>
      <c r="AK90" s="4"/>
    </row>
    <row r="91" spans="1:38" ht="30" customHeight="1">
      <c r="A91" s="12"/>
      <c r="B91" s="4"/>
      <c r="C91" s="4"/>
      <c r="D91" s="4"/>
      <c r="E91" s="245" t="s">
        <v>51</v>
      </c>
      <c r="F91" s="44"/>
      <c r="G91" s="44"/>
      <c r="H91" s="44"/>
      <c r="I91" s="44"/>
      <c r="J91" s="44"/>
      <c r="K91" s="44"/>
      <c r="L91" s="44"/>
      <c r="M91" s="44"/>
      <c r="N91" s="272">
        <f>N90/N81</f>
        <v>0.30282815440800709</v>
      </c>
      <c r="O91" s="272">
        <f>O90/O81</f>
        <v>0.22335067421421925</v>
      </c>
      <c r="P91" s="44"/>
      <c r="Q91" s="44"/>
      <c r="R91" s="44"/>
      <c r="S91" s="44"/>
      <c r="T91" s="44"/>
      <c r="U91" s="44"/>
      <c r="V91" s="83"/>
      <c r="W91" s="81"/>
      <c r="X91" s="82"/>
      <c r="Y91" s="92"/>
      <c r="Z91" s="4"/>
      <c r="AA91" s="4"/>
      <c r="AB91" s="4"/>
      <c r="AC91" s="4"/>
      <c r="AD91" s="4"/>
      <c r="AE91" s="4"/>
      <c r="AF91" s="4"/>
      <c r="AG91" s="4"/>
      <c r="AH91" s="4"/>
      <c r="AI91" s="4"/>
      <c r="AJ91" s="4"/>
      <c r="AK91" s="4"/>
    </row>
    <row r="92" spans="1:38" ht="30" customHeight="1">
      <c r="A92" s="12"/>
      <c r="B92" s="4"/>
      <c r="C92" s="4"/>
      <c r="D92" s="4"/>
      <c r="E92" s="86" t="s">
        <v>15</v>
      </c>
      <c r="F92" s="205"/>
      <c r="G92" s="205"/>
      <c r="H92" s="205"/>
      <c r="I92" s="205"/>
      <c r="J92" s="84"/>
      <c r="K92" s="84"/>
      <c r="L92" s="84"/>
      <c r="M92" s="84"/>
      <c r="N92" s="42">
        <f>SUM(N94:N97)</f>
        <v>-20828</v>
      </c>
      <c r="O92" s="42">
        <f>SUM(O94:O97)</f>
        <v>-53074</v>
      </c>
      <c r="P92" s="84"/>
      <c r="Q92" s="84"/>
      <c r="R92" s="84"/>
      <c r="S92" s="84"/>
      <c r="T92" s="84"/>
      <c r="U92" s="84"/>
      <c r="V92" s="83"/>
      <c r="W92" s="81"/>
      <c r="X92" s="82"/>
      <c r="Y92" s="92"/>
      <c r="Z92" s="4"/>
      <c r="AA92" s="4"/>
      <c r="AB92" s="4"/>
      <c r="AC92" s="4"/>
      <c r="AD92" s="4"/>
      <c r="AE92" s="4"/>
      <c r="AF92" s="4"/>
      <c r="AG92" s="4"/>
      <c r="AH92" s="4"/>
      <c r="AI92" s="4"/>
      <c r="AJ92" s="4"/>
      <c r="AK92" s="4"/>
    </row>
    <row r="93" spans="1:38" s="3" customFormat="1" ht="30" customHeight="1">
      <c r="A93" s="12"/>
      <c r="B93" s="4"/>
      <c r="C93" s="4"/>
      <c r="D93" s="4"/>
      <c r="E93" s="86" t="s">
        <v>30</v>
      </c>
      <c r="F93" s="44"/>
      <c r="G93" s="44"/>
      <c r="H93" s="44"/>
      <c r="I93" s="44"/>
      <c r="J93" s="44"/>
      <c r="K93" s="44"/>
      <c r="L93" s="44"/>
      <c r="M93" s="44"/>
      <c r="N93" s="44">
        <f>N92/N81</f>
        <v>-5.1921375063879643E-2</v>
      </c>
      <c r="O93" s="44">
        <f>O92/O81</f>
        <v>-0.10222324088929635</v>
      </c>
      <c r="P93" s="44"/>
      <c r="Q93" s="44"/>
      <c r="R93" s="44"/>
      <c r="S93" s="44"/>
      <c r="T93" s="44"/>
      <c r="U93" s="44"/>
      <c r="V93" s="83"/>
      <c r="W93" s="81"/>
      <c r="X93" s="82"/>
      <c r="Y93" s="92"/>
      <c r="Z93" s="4"/>
      <c r="AA93" s="4"/>
      <c r="AB93" s="4"/>
      <c r="AC93" s="4"/>
      <c r="AD93" s="4"/>
      <c r="AE93" s="4"/>
      <c r="AF93" s="4"/>
      <c r="AG93" s="4"/>
      <c r="AH93" s="4"/>
      <c r="AI93" s="4"/>
      <c r="AJ93" s="4"/>
      <c r="AK93" s="4"/>
      <c r="AL93" s="5"/>
    </row>
    <row r="94" spans="1:38" s="3" customFormat="1" ht="30" customHeight="1">
      <c r="B94" s="4"/>
      <c r="C94" s="4"/>
      <c r="D94" s="4"/>
      <c r="E94" s="86" t="s">
        <v>262</v>
      </c>
      <c r="F94" s="42"/>
      <c r="G94" s="42"/>
      <c r="H94" s="42"/>
      <c r="I94" s="42"/>
      <c r="J94" s="42"/>
      <c r="K94" s="42"/>
      <c r="L94" s="42"/>
      <c r="M94" s="42"/>
      <c r="N94" s="42">
        <f>-44-24016</f>
        <v>-24060</v>
      </c>
      <c r="O94" s="42">
        <f>-481-53280</f>
        <v>-53761</v>
      </c>
      <c r="P94" s="42"/>
      <c r="Q94" s="42"/>
      <c r="R94" s="42"/>
      <c r="S94" s="42"/>
      <c r="T94" s="42"/>
      <c r="U94" s="42"/>
      <c r="V94" s="83"/>
      <c r="W94" s="81"/>
      <c r="X94" s="82"/>
      <c r="Y94" s="92"/>
      <c r="Z94" s="4"/>
      <c r="AA94" s="4"/>
      <c r="AB94" s="4"/>
      <c r="AC94" s="4"/>
      <c r="AD94" s="4"/>
      <c r="AE94" s="4"/>
      <c r="AF94" s="4"/>
      <c r="AG94" s="4"/>
      <c r="AH94" s="4"/>
      <c r="AI94" s="4"/>
      <c r="AJ94" s="4"/>
      <c r="AK94" s="4"/>
      <c r="AL94" s="5"/>
    </row>
    <row r="95" spans="1:38" ht="30" customHeight="1">
      <c r="B95" s="4"/>
      <c r="C95" s="4"/>
      <c r="D95" s="4"/>
      <c r="E95" s="86" t="s">
        <v>97</v>
      </c>
      <c r="F95" s="42"/>
      <c r="G95" s="42"/>
      <c r="H95" s="42"/>
      <c r="I95" s="42"/>
      <c r="J95" s="42"/>
      <c r="K95" s="42"/>
      <c r="L95" s="42"/>
      <c r="M95" s="42"/>
      <c r="N95" s="42">
        <v>0</v>
      </c>
      <c r="O95" s="42">
        <v>49</v>
      </c>
      <c r="P95" s="42"/>
      <c r="Q95" s="42"/>
      <c r="R95" s="42"/>
      <c r="S95" s="42"/>
      <c r="T95" s="42"/>
      <c r="U95" s="42"/>
      <c r="V95" s="83"/>
      <c r="W95" s="81"/>
      <c r="X95" s="82"/>
      <c r="Y95" s="92"/>
      <c r="Z95" s="4"/>
      <c r="AA95" s="4"/>
      <c r="AB95" s="4"/>
      <c r="AC95" s="4"/>
      <c r="AD95" s="4"/>
      <c r="AE95" s="4"/>
      <c r="AF95" s="4"/>
      <c r="AG95" s="4"/>
      <c r="AH95" s="4"/>
      <c r="AI95" s="4"/>
      <c r="AJ95" s="4"/>
      <c r="AK95" s="4"/>
    </row>
    <row r="96" spans="1:38" s="3" customFormat="1" ht="30" customHeight="1">
      <c r="A96" s="12"/>
      <c r="B96" s="4"/>
      <c r="C96" s="4"/>
      <c r="D96" s="4"/>
      <c r="E96" s="86" t="s">
        <v>19</v>
      </c>
      <c r="F96" s="42"/>
      <c r="G96" s="42"/>
      <c r="H96" s="42"/>
      <c r="I96" s="42"/>
      <c r="J96" s="42"/>
      <c r="K96" s="42"/>
      <c r="L96" s="42"/>
      <c r="M96" s="42"/>
      <c r="N96" s="42">
        <v>3232</v>
      </c>
      <c r="O96" s="42">
        <v>638</v>
      </c>
      <c r="P96" s="42"/>
      <c r="Q96" s="42"/>
      <c r="R96" s="42"/>
      <c r="S96" s="42"/>
      <c r="T96" s="42"/>
      <c r="U96" s="42"/>
      <c r="V96" s="83"/>
      <c r="W96" s="81"/>
      <c r="X96" s="82"/>
      <c r="Y96" s="92"/>
      <c r="Z96" s="4"/>
      <c r="AA96" s="4"/>
      <c r="AB96" s="4"/>
      <c r="AC96" s="4"/>
      <c r="AD96" s="4"/>
      <c r="AE96" s="4"/>
      <c r="AF96" s="4"/>
      <c r="AG96" s="4"/>
      <c r="AH96" s="4"/>
      <c r="AI96" s="4"/>
      <c r="AJ96" s="4"/>
      <c r="AK96" s="4"/>
      <c r="AL96" s="5"/>
    </row>
    <row r="97" spans="2:38" s="3" customFormat="1" ht="30" customHeight="1">
      <c r="B97" s="4"/>
      <c r="C97" s="4"/>
      <c r="D97" s="4"/>
      <c r="E97" s="86" t="s">
        <v>41</v>
      </c>
      <c r="F97" s="42"/>
      <c r="G97" s="42"/>
      <c r="H97" s="42"/>
      <c r="I97" s="42"/>
      <c r="J97" s="42"/>
      <c r="K97" s="42"/>
      <c r="L97" s="42"/>
      <c r="M97" s="42"/>
      <c r="N97" s="42">
        <v>0</v>
      </c>
      <c r="O97" s="42">
        <v>0</v>
      </c>
      <c r="P97" s="42"/>
      <c r="Q97" s="42"/>
      <c r="R97" s="42"/>
      <c r="S97" s="42"/>
      <c r="T97" s="42"/>
      <c r="U97" s="42"/>
      <c r="V97" s="83"/>
      <c r="W97" s="81"/>
      <c r="X97" s="82"/>
      <c r="Y97" s="92"/>
      <c r="Z97" s="4"/>
      <c r="AA97" s="4"/>
      <c r="AB97" s="4"/>
      <c r="AC97" s="4"/>
      <c r="AD97" s="4"/>
      <c r="AE97" s="4"/>
      <c r="AF97" s="4"/>
      <c r="AG97" s="4"/>
      <c r="AH97" s="4"/>
      <c r="AI97" s="4"/>
      <c r="AJ97" s="4"/>
      <c r="AK97" s="4"/>
      <c r="AL97" s="5"/>
    </row>
    <row r="98" spans="2:38" ht="30" customHeight="1">
      <c r="B98" s="4"/>
      <c r="C98" s="4"/>
      <c r="D98" s="4"/>
      <c r="E98" s="79" t="s">
        <v>16</v>
      </c>
      <c r="F98" s="42"/>
      <c r="G98" s="42"/>
      <c r="H98" s="42"/>
      <c r="I98" s="42"/>
      <c r="J98" s="42"/>
      <c r="K98" s="42"/>
      <c r="L98" s="42"/>
      <c r="M98" s="42"/>
      <c r="N98" s="40">
        <f>SUM(N90,N92)</f>
        <v>100650</v>
      </c>
      <c r="O98" s="40">
        <f>SUM(O90,O92)</f>
        <v>62889</v>
      </c>
      <c r="P98" s="40">
        <f>Q98-O98</f>
        <v>15664.823887618768</v>
      </c>
      <c r="Q98" s="40">
        <f t="shared" ref="Q98:U98" si="93">Q99*Q81</f>
        <v>78553.823887618768</v>
      </c>
      <c r="R98" s="40">
        <f t="shared" si="93"/>
        <v>193543.24705687026</v>
      </c>
      <c r="S98" s="40">
        <f t="shared" si="93"/>
        <v>224855.20930210673</v>
      </c>
      <c r="T98" s="40">
        <f t="shared" si="93"/>
        <v>235769.68116163099</v>
      </c>
      <c r="U98" s="40">
        <f t="shared" si="93"/>
        <v>247763.28484232316</v>
      </c>
      <c r="V98" s="206"/>
      <c r="W98" s="206"/>
      <c r="X98" s="206"/>
      <c r="Y98" s="92"/>
      <c r="Z98" s="4"/>
      <c r="AA98" s="4"/>
      <c r="AB98" s="4"/>
      <c r="AC98" s="4"/>
      <c r="AD98" s="4"/>
      <c r="AE98" s="4"/>
      <c r="AF98" s="4"/>
      <c r="AG98" s="4"/>
      <c r="AH98" s="4"/>
      <c r="AI98" s="4"/>
      <c r="AJ98" s="4"/>
      <c r="AK98" s="4"/>
    </row>
    <row r="99" spans="2:38" ht="30" customHeight="1" thickBot="1">
      <c r="B99" s="4"/>
      <c r="C99" s="4"/>
      <c r="D99" s="4"/>
      <c r="E99" s="271" t="s">
        <v>50</v>
      </c>
      <c r="F99" s="188"/>
      <c r="G99" s="188"/>
      <c r="H99" s="188"/>
      <c r="I99" s="188"/>
      <c r="J99" s="188"/>
      <c r="K99" s="188"/>
      <c r="L99" s="188"/>
      <c r="M99" s="188"/>
      <c r="N99" s="272">
        <f>N98/N81</f>
        <v>0.25090677934412742</v>
      </c>
      <c r="O99" s="272">
        <f>O98/O81</f>
        <v>0.12112743332492291</v>
      </c>
      <c r="P99" s="272">
        <f>P98/P81</f>
        <v>0.12112743332492294</v>
      </c>
      <c r="Q99" s="272">
        <f>O99</f>
        <v>0.12112743332492291</v>
      </c>
      <c r="R99" s="272">
        <f>N99</f>
        <v>0.25090677934412742</v>
      </c>
      <c r="S99" s="272">
        <f t="shared" ref="S99:U99" si="94">R99</f>
        <v>0.25090677934412742</v>
      </c>
      <c r="T99" s="272">
        <f t="shared" si="94"/>
        <v>0.25090677934412742</v>
      </c>
      <c r="U99" s="272">
        <f t="shared" si="94"/>
        <v>0.25090677934412742</v>
      </c>
      <c r="V99" s="273"/>
      <c r="W99" s="267"/>
      <c r="X99" s="268"/>
      <c r="Y99" s="269"/>
      <c r="Z99" s="4"/>
      <c r="AA99" s="4"/>
      <c r="AB99" s="4"/>
      <c r="AC99" s="4"/>
      <c r="AD99" s="4"/>
      <c r="AE99" s="4"/>
      <c r="AF99" s="4"/>
      <c r="AG99" s="4"/>
      <c r="AH99" s="4"/>
      <c r="AI99" s="4"/>
      <c r="AJ99" s="4"/>
      <c r="AK99" s="4"/>
    </row>
    <row r="100" spans="2:38" ht="30" customHeight="1">
      <c r="B100" s="4"/>
      <c r="C100" s="4"/>
      <c r="D100" s="4"/>
      <c r="E100" s="192"/>
      <c r="F100" s="182"/>
      <c r="G100" s="182"/>
      <c r="H100" s="182"/>
      <c r="I100" s="182"/>
      <c r="J100" s="182"/>
      <c r="K100" s="182"/>
      <c r="L100" s="182"/>
      <c r="M100" s="182"/>
      <c r="N100" s="182"/>
      <c r="O100" s="182"/>
      <c r="P100" s="182"/>
      <c r="Q100" s="182"/>
      <c r="R100" s="182"/>
      <c r="S100" s="182"/>
      <c r="T100" s="182"/>
      <c r="U100" s="182"/>
      <c r="V100" s="182"/>
      <c r="W100" s="182"/>
      <c r="X100" s="178"/>
      <c r="Y100" s="178"/>
      <c r="Z100" s="4"/>
      <c r="AA100" s="4"/>
      <c r="AB100" s="4"/>
      <c r="AC100" s="4"/>
      <c r="AD100" s="4"/>
      <c r="AE100" s="4"/>
      <c r="AF100" s="4"/>
      <c r="AG100" s="4"/>
      <c r="AH100" s="4"/>
      <c r="AI100" s="4"/>
      <c r="AJ100" s="4"/>
      <c r="AK100" s="4"/>
    </row>
    <row r="101" spans="2:38" ht="30" customHeight="1">
      <c r="B101" s="4"/>
      <c r="C101" s="4"/>
      <c r="D101" s="4"/>
      <c r="E101" s="50"/>
      <c r="F101" s="51"/>
      <c r="G101" s="51"/>
      <c r="H101" s="51"/>
      <c r="I101" s="51"/>
      <c r="J101" s="51"/>
      <c r="K101" s="51"/>
      <c r="L101" s="51"/>
      <c r="M101" s="51"/>
      <c r="N101" s="51"/>
      <c r="O101" s="51"/>
      <c r="P101" s="51"/>
      <c r="Q101" s="51"/>
      <c r="R101" s="51"/>
      <c r="S101" s="51"/>
      <c r="T101" s="51"/>
      <c r="U101" s="51"/>
      <c r="V101" s="51"/>
      <c r="W101" s="51"/>
      <c r="X101" s="4"/>
      <c r="Y101" s="4"/>
      <c r="Z101" s="4"/>
      <c r="AA101" s="4"/>
      <c r="AB101" s="4"/>
      <c r="AC101" s="4"/>
      <c r="AD101" s="4"/>
      <c r="AE101" s="4"/>
      <c r="AF101" s="4"/>
      <c r="AG101" s="4"/>
      <c r="AH101" s="4"/>
      <c r="AI101" s="4"/>
      <c r="AJ101" s="4"/>
      <c r="AK101" s="4"/>
    </row>
    <row r="102" spans="2:38" ht="30" customHeight="1">
      <c r="B102" s="4"/>
      <c r="C102" s="4"/>
      <c r="D102" s="4"/>
      <c r="E102" s="50"/>
      <c r="F102" s="51"/>
      <c r="G102" s="51"/>
      <c r="H102" s="51"/>
      <c r="I102" s="51"/>
      <c r="J102" s="51"/>
      <c r="K102" s="51"/>
      <c r="L102" s="51"/>
      <c r="M102" s="51"/>
      <c r="N102" s="51"/>
      <c r="O102" s="51"/>
      <c r="P102" s="51"/>
      <c r="Q102" s="51"/>
      <c r="R102" s="51"/>
      <c r="S102" s="51"/>
      <c r="T102" s="51"/>
      <c r="U102" s="51"/>
      <c r="V102" s="51"/>
      <c r="W102" s="51"/>
      <c r="X102" s="4"/>
      <c r="Y102" s="4"/>
      <c r="Z102" s="4"/>
      <c r="AA102" s="4"/>
      <c r="AB102" s="4"/>
      <c r="AC102" s="4"/>
      <c r="AD102" s="4"/>
      <c r="AE102" s="4"/>
      <c r="AF102" s="4"/>
      <c r="AG102" s="4"/>
      <c r="AH102" s="4"/>
      <c r="AI102" s="4"/>
      <c r="AJ102" s="4"/>
      <c r="AK102" s="4"/>
    </row>
    <row r="103" spans="2:38" ht="30" customHeight="1">
      <c r="B103" s="4"/>
      <c r="C103" s="4"/>
      <c r="D103" s="4"/>
      <c r="E103" s="78"/>
      <c r="F103" s="37">
        <v>2014</v>
      </c>
      <c r="G103" s="37">
        <v>2015</v>
      </c>
      <c r="H103" s="37">
        <v>2016</v>
      </c>
      <c r="I103" s="37">
        <v>2017</v>
      </c>
      <c r="J103" s="37">
        <v>2018</v>
      </c>
      <c r="K103" s="37">
        <v>2019</v>
      </c>
      <c r="L103" s="37">
        <v>2020</v>
      </c>
      <c r="M103" s="37">
        <v>2021</v>
      </c>
      <c r="N103" s="37">
        <v>2022</v>
      </c>
      <c r="O103" s="37" t="s">
        <v>501</v>
      </c>
      <c r="P103" s="37" t="s">
        <v>485</v>
      </c>
      <c r="Q103" s="38">
        <v>2023</v>
      </c>
      <c r="R103" s="38">
        <v>2024</v>
      </c>
      <c r="S103" s="38">
        <v>2025</v>
      </c>
      <c r="T103" s="38">
        <v>2026</v>
      </c>
      <c r="U103" s="38">
        <v>2027</v>
      </c>
      <c r="V103" s="38" t="s">
        <v>94</v>
      </c>
      <c r="W103" s="38" t="s">
        <v>95</v>
      </c>
      <c r="X103" s="38" t="s">
        <v>335</v>
      </c>
      <c r="Y103" s="91" t="s">
        <v>320</v>
      </c>
      <c r="Z103" s="4"/>
      <c r="AA103" s="4"/>
      <c r="AB103" s="4"/>
      <c r="AC103" s="4"/>
      <c r="AD103" s="4"/>
      <c r="AE103" s="4"/>
      <c r="AF103" s="4"/>
      <c r="AG103" s="4"/>
      <c r="AH103" s="4"/>
      <c r="AI103" s="4"/>
      <c r="AJ103" s="4"/>
      <c r="AK103" s="4"/>
    </row>
    <row r="104" spans="2:38" ht="30" customHeight="1">
      <c r="B104" s="4"/>
      <c r="C104" s="4"/>
      <c r="D104" s="4"/>
      <c r="E104" s="79" t="s">
        <v>12</v>
      </c>
      <c r="F104" s="80"/>
      <c r="G104" s="80"/>
      <c r="H104" s="80"/>
      <c r="I104" s="80"/>
      <c r="J104" s="80">
        <v>0</v>
      </c>
      <c r="K104" s="80">
        <v>0</v>
      </c>
      <c r="L104" s="80">
        <v>0</v>
      </c>
      <c r="M104" s="80">
        <v>0</v>
      </c>
      <c r="N104" s="80">
        <v>63286</v>
      </c>
      <c r="O104" s="80">
        <v>61935</v>
      </c>
      <c r="P104" s="80"/>
      <c r="Q104" s="80"/>
      <c r="R104" s="80"/>
      <c r="S104" s="80"/>
      <c r="T104" s="80"/>
      <c r="U104" s="80"/>
      <c r="V104" s="80"/>
      <c r="W104" s="81"/>
      <c r="X104" s="82"/>
      <c r="Y104" s="92"/>
      <c r="Z104" s="4"/>
      <c r="AA104" s="4"/>
      <c r="AB104" s="4"/>
      <c r="AC104" s="4"/>
      <c r="AD104" s="4"/>
      <c r="AE104" s="4"/>
      <c r="AF104" s="4"/>
      <c r="AG104" s="4"/>
      <c r="AH104" s="4"/>
      <c r="AI104" s="4"/>
      <c r="AJ104" s="4"/>
      <c r="AK104" s="4"/>
    </row>
    <row r="105" spans="2:38" ht="30" customHeight="1">
      <c r="B105" s="4"/>
      <c r="C105" s="4"/>
      <c r="D105" s="4"/>
      <c r="E105" s="86" t="s">
        <v>13</v>
      </c>
      <c r="F105" s="42"/>
      <c r="G105" s="42"/>
      <c r="H105" s="42"/>
      <c r="I105" s="42"/>
      <c r="J105" s="42">
        <v>0</v>
      </c>
      <c r="K105" s="42">
        <v>0</v>
      </c>
      <c r="L105" s="42">
        <v>0</v>
      </c>
      <c r="M105" s="42">
        <v>0</v>
      </c>
      <c r="N105" s="42">
        <v>-9026</v>
      </c>
      <c r="O105" s="42">
        <v>-8597</v>
      </c>
      <c r="P105" s="42"/>
      <c r="Q105" s="42"/>
      <c r="R105" s="42"/>
      <c r="S105" s="42"/>
      <c r="T105" s="42"/>
      <c r="U105" s="42"/>
      <c r="V105" s="80"/>
      <c r="W105" s="81"/>
      <c r="X105" s="82"/>
      <c r="Y105" s="92"/>
      <c r="Z105" s="4"/>
      <c r="AA105" s="4"/>
      <c r="AB105" s="4"/>
      <c r="AC105" s="4"/>
      <c r="AD105" s="4"/>
      <c r="AE105" s="4"/>
      <c r="AF105" s="4"/>
      <c r="AG105" s="4"/>
      <c r="AH105" s="4"/>
      <c r="AI105" s="4"/>
      <c r="AJ105" s="4"/>
      <c r="AK105" s="4"/>
    </row>
    <row r="106" spans="2:38" ht="30" customHeight="1">
      <c r="B106" s="4"/>
      <c r="C106" s="4"/>
      <c r="D106" s="4"/>
      <c r="E106" s="86" t="s">
        <v>159</v>
      </c>
      <c r="F106" s="42"/>
      <c r="G106" s="42"/>
      <c r="H106" s="42"/>
      <c r="I106" s="42"/>
      <c r="J106" s="42">
        <v>0</v>
      </c>
      <c r="K106" s="42">
        <v>0</v>
      </c>
      <c r="L106" s="42">
        <v>0</v>
      </c>
      <c r="M106" s="42">
        <v>0</v>
      </c>
      <c r="N106" s="42">
        <v>-28484</v>
      </c>
      <c r="O106" s="42">
        <v>-44814</v>
      </c>
      <c r="P106" s="42"/>
      <c r="Q106" s="42"/>
      <c r="R106" s="42"/>
      <c r="S106" s="42"/>
      <c r="T106" s="42"/>
      <c r="U106" s="42"/>
      <c r="V106" s="44"/>
      <c r="W106" s="81"/>
      <c r="X106" s="82"/>
      <c r="Y106" s="92"/>
      <c r="Z106" s="4"/>
      <c r="AA106" s="4"/>
      <c r="AB106" s="4"/>
      <c r="AC106" s="4"/>
      <c r="AD106" s="4"/>
      <c r="AE106" s="4"/>
      <c r="AF106" s="4"/>
      <c r="AG106" s="4"/>
      <c r="AH106" s="4"/>
      <c r="AI106" s="4"/>
      <c r="AJ106" s="4"/>
      <c r="AK106" s="4"/>
    </row>
    <row r="107" spans="2:38" ht="30" customHeight="1">
      <c r="B107" s="4"/>
      <c r="C107" s="4"/>
      <c r="D107" s="4"/>
      <c r="E107" s="79" t="s">
        <v>14</v>
      </c>
      <c r="F107" s="42"/>
      <c r="G107" s="42"/>
      <c r="H107" s="42"/>
      <c r="I107" s="42"/>
      <c r="J107" s="46">
        <f t="shared" ref="J107:N107" si="95">SUM(J104,J105:J106)</f>
        <v>0</v>
      </c>
      <c r="K107" s="46">
        <f t="shared" si="95"/>
        <v>0</v>
      </c>
      <c r="L107" s="46">
        <f t="shared" si="95"/>
        <v>0</v>
      </c>
      <c r="M107" s="46">
        <f t="shared" si="95"/>
        <v>0</v>
      </c>
      <c r="N107" s="46">
        <f t="shared" si="95"/>
        <v>25776</v>
      </c>
      <c r="O107" s="46">
        <f t="shared" ref="O107" si="96">SUM(O104,O105:O106)</f>
        <v>8524</v>
      </c>
      <c r="P107" s="42"/>
      <c r="Q107" s="42"/>
      <c r="R107" s="42"/>
      <c r="S107" s="42"/>
      <c r="T107" s="42"/>
      <c r="U107" s="42"/>
      <c r="V107" s="83"/>
      <c r="W107" s="81"/>
      <c r="X107" s="82"/>
      <c r="Y107" s="92"/>
      <c r="Z107" s="4"/>
      <c r="AA107" s="4"/>
      <c r="AB107" s="4"/>
      <c r="AC107" s="4"/>
      <c r="AD107" s="4"/>
      <c r="AE107" s="4"/>
      <c r="AF107" s="4"/>
      <c r="AG107" s="4"/>
      <c r="AH107" s="4"/>
      <c r="AI107" s="4"/>
      <c r="AJ107" s="4"/>
      <c r="AK107" s="4"/>
    </row>
    <row r="108" spans="2:38" ht="30" customHeight="1">
      <c r="B108" s="4"/>
      <c r="C108" s="4"/>
      <c r="D108" s="4"/>
      <c r="E108" s="245" t="s">
        <v>51</v>
      </c>
      <c r="F108" s="44"/>
      <c r="G108" s="44"/>
      <c r="H108" s="44"/>
      <c r="I108" s="44"/>
      <c r="J108" s="246">
        <v>0</v>
      </c>
      <c r="K108" s="246">
        <v>0</v>
      </c>
      <c r="L108" s="246">
        <v>0</v>
      </c>
      <c r="M108" s="246">
        <v>0</v>
      </c>
      <c r="N108" s="246">
        <f>N107/N104</f>
        <v>0.40729387226242769</v>
      </c>
      <c r="O108" s="246">
        <f>O107/O104</f>
        <v>0.13762815855332203</v>
      </c>
      <c r="P108" s="44"/>
      <c r="Q108" s="44"/>
      <c r="R108" s="44"/>
      <c r="S108" s="44"/>
      <c r="T108" s="44"/>
      <c r="U108" s="44"/>
      <c r="V108" s="83"/>
      <c r="W108" s="81"/>
      <c r="X108" s="82"/>
      <c r="Y108" s="92"/>
      <c r="Z108" s="4"/>
      <c r="AA108" s="4"/>
      <c r="AB108" s="4"/>
      <c r="AC108" s="4"/>
      <c r="AD108" s="4"/>
      <c r="AE108" s="4"/>
      <c r="AF108" s="4"/>
      <c r="AG108" s="4"/>
      <c r="AH108" s="4"/>
      <c r="AI108" s="4"/>
      <c r="AJ108" s="4"/>
      <c r="AK108" s="4"/>
    </row>
    <row r="109" spans="2:38" ht="30" customHeight="1">
      <c r="B109" s="4"/>
      <c r="C109" s="4"/>
      <c r="D109" s="4"/>
      <c r="E109" s="285" t="s">
        <v>15</v>
      </c>
      <c r="F109" s="286"/>
      <c r="G109" s="286"/>
      <c r="H109" s="286"/>
      <c r="I109" s="286"/>
      <c r="J109" s="40">
        <f t="shared" ref="J109:M109" si="97">SUM(J110,J112:J114)</f>
        <v>21737</v>
      </c>
      <c r="K109" s="40">
        <f t="shared" si="97"/>
        <v>-8508</v>
      </c>
      <c r="L109" s="40">
        <f t="shared" si="97"/>
        <v>-51066</v>
      </c>
      <c r="M109" s="40">
        <f t="shared" si="97"/>
        <v>-57183</v>
      </c>
      <c r="N109" s="40">
        <f>SUM(N110,N112:N114)</f>
        <v>-88803</v>
      </c>
      <c r="O109" s="40">
        <f>SUM(O110,O112:O114)</f>
        <v>-53610</v>
      </c>
      <c r="P109" s="84"/>
      <c r="Q109" s="84"/>
      <c r="R109" s="84"/>
      <c r="S109" s="84"/>
      <c r="T109" s="84"/>
      <c r="U109" s="84"/>
      <c r="V109" s="83"/>
      <c r="W109" s="81"/>
      <c r="X109" s="82"/>
      <c r="Y109" s="92"/>
      <c r="Z109" s="4"/>
      <c r="AA109" s="4"/>
      <c r="AB109" s="4"/>
      <c r="AC109" s="4"/>
      <c r="AD109" s="4"/>
      <c r="AE109" s="4"/>
      <c r="AF109" s="4"/>
      <c r="AG109" s="4"/>
      <c r="AH109" s="4"/>
      <c r="AI109" s="4"/>
      <c r="AJ109" s="4"/>
      <c r="AK109" s="4"/>
    </row>
    <row r="110" spans="2:38" ht="30" customHeight="1">
      <c r="B110" s="4"/>
      <c r="C110" s="4"/>
      <c r="D110" s="4"/>
      <c r="E110" s="86" t="s">
        <v>262</v>
      </c>
      <c r="F110" s="42"/>
      <c r="G110" s="42"/>
      <c r="H110" s="42"/>
      <c r="I110" s="42"/>
      <c r="J110" s="42">
        <v>-4138</v>
      </c>
      <c r="K110" s="42">
        <f>-27-4863</f>
        <v>-4890</v>
      </c>
      <c r="L110" s="42">
        <v>-47407</v>
      </c>
      <c r="M110" s="42">
        <v>-78506</v>
      </c>
      <c r="N110" s="42">
        <v>-98210</v>
      </c>
      <c r="O110" s="42">
        <f>-751-53368</f>
        <v>-54119</v>
      </c>
      <c r="P110" s="42"/>
      <c r="Q110" s="42">
        <f>Q111*'DRE Consolidado'!V16</f>
        <v>-133313.0772506136</v>
      </c>
      <c r="R110" s="42">
        <f>R111*'DRE Consolidado'!W16</f>
        <v>-168143.59614136879</v>
      </c>
      <c r="S110" s="42">
        <f>S111*'DRE Consolidado'!X16</f>
        <v>-198242.14430431163</v>
      </c>
      <c r="T110" s="42">
        <f>T111*'DRE Consolidado'!Y16</f>
        <v>-222614.5355021102</v>
      </c>
      <c r="U110" s="42">
        <f>U111*'DRE Consolidado'!Z16</f>
        <v>-247631.95278106892</v>
      </c>
      <c r="V110" s="83" t="s">
        <v>317</v>
      </c>
      <c r="W110" s="81">
        <v>5</v>
      </c>
      <c r="X110" s="92">
        <f>(N110/J110)^(1/3)-1</f>
        <v>1.8737903022895805</v>
      </c>
      <c r="Y110" s="92">
        <f>(U110/Q110)^(1/4)-1</f>
        <v>0.16743707752213632</v>
      </c>
      <c r="Z110" s="4"/>
      <c r="AA110" s="4"/>
      <c r="AB110" s="4"/>
      <c r="AC110" s="4"/>
      <c r="AD110" s="4"/>
      <c r="AE110" s="4"/>
      <c r="AF110" s="4"/>
      <c r="AG110" s="4"/>
      <c r="AH110" s="4"/>
      <c r="AI110" s="4"/>
      <c r="AJ110" s="4"/>
      <c r="AK110" s="4"/>
    </row>
    <row r="111" spans="2:38" ht="30" customHeight="1">
      <c r="B111" s="4"/>
      <c r="C111" s="4"/>
      <c r="D111" s="4"/>
      <c r="E111" s="86" t="s">
        <v>316</v>
      </c>
      <c r="F111" s="44"/>
      <c r="G111" s="44"/>
      <c r="H111" s="44"/>
      <c r="I111" s="44"/>
      <c r="J111" s="44">
        <f>J110/'DRE Consolidado'!O16</f>
        <v>-5.1242113537812233E-4</v>
      </c>
      <c r="K111" s="44">
        <f>K110/'DRE Consolidado'!P16</f>
        <v>-5.0484147100274214E-4</v>
      </c>
      <c r="L111" s="44">
        <f>L110/'DRE Consolidado'!Q16</f>
        <v>-4.8339680293486616E-3</v>
      </c>
      <c r="M111" s="44">
        <f>M110/'DRE Consolidado'!R16</f>
        <v>-5.6616731641120051E-3</v>
      </c>
      <c r="N111" s="44">
        <f>N110/'DRE Consolidado'!S16</f>
        <v>-4.0280059820051771E-3</v>
      </c>
      <c r="O111" s="44">
        <f>O110/'DRE Consolidado'!T16</f>
        <v>-2.3205338149659104E-3</v>
      </c>
      <c r="P111" s="44"/>
      <c r="Q111" s="44">
        <f>AVERAGE($L$111:$O$111)</f>
        <v>-4.2110452476079386E-3</v>
      </c>
      <c r="R111" s="44">
        <f t="shared" ref="R111:U111" si="98">AVERAGE($L$111:$O$111)</f>
        <v>-4.2110452476079386E-3</v>
      </c>
      <c r="S111" s="44">
        <f t="shared" si="98"/>
        <v>-4.2110452476079386E-3</v>
      </c>
      <c r="T111" s="44">
        <f t="shared" si="98"/>
        <v>-4.2110452476079386E-3</v>
      </c>
      <c r="U111" s="44">
        <f t="shared" si="98"/>
        <v>-4.2110452476079386E-3</v>
      </c>
      <c r="V111" s="38"/>
      <c r="W111" s="81"/>
      <c r="X111" s="82"/>
      <c r="Y111" s="92"/>
      <c r="Z111" s="4"/>
      <c r="AA111" s="4"/>
      <c r="AB111" s="4"/>
      <c r="AC111" s="4"/>
      <c r="AD111" s="4"/>
      <c r="AE111" s="4"/>
      <c r="AF111" s="4"/>
      <c r="AG111" s="4"/>
      <c r="AH111" s="4"/>
      <c r="AI111" s="4"/>
      <c r="AJ111" s="4"/>
      <c r="AK111" s="4"/>
    </row>
    <row r="112" spans="2:38" ht="30" customHeight="1">
      <c r="B112" s="4"/>
      <c r="C112" s="4"/>
      <c r="D112" s="4"/>
      <c r="E112" s="86" t="s">
        <v>97</v>
      </c>
      <c r="F112" s="42"/>
      <c r="G112" s="42"/>
      <c r="H112" s="42"/>
      <c r="I112" s="42"/>
      <c r="J112" s="42">
        <v>0</v>
      </c>
      <c r="K112" s="42">
        <v>0</v>
      </c>
      <c r="L112" s="42">
        <v>0</v>
      </c>
      <c r="M112" s="42">
        <v>0</v>
      </c>
      <c r="N112" s="42">
        <v>0</v>
      </c>
      <c r="O112" s="42">
        <v>0</v>
      </c>
      <c r="P112" s="42"/>
      <c r="Q112" s="42"/>
      <c r="R112" s="42"/>
      <c r="S112" s="42"/>
      <c r="T112" s="42"/>
      <c r="U112" s="42"/>
      <c r="V112" s="44"/>
      <c r="W112" s="81"/>
      <c r="X112" s="82"/>
      <c r="Y112" s="92"/>
      <c r="Z112" s="4"/>
      <c r="AA112" s="4"/>
      <c r="AB112" s="4"/>
      <c r="AC112" s="4"/>
      <c r="AD112" s="4"/>
      <c r="AE112" s="4"/>
      <c r="AF112" s="4"/>
      <c r="AG112" s="4"/>
      <c r="AH112" s="4"/>
      <c r="AI112" s="4"/>
      <c r="AJ112" s="4"/>
      <c r="AK112" s="4"/>
    </row>
    <row r="113" spans="2:37" ht="30" customHeight="1">
      <c r="B113" s="4"/>
      <c r="C113" s="4"/>
      <c r="D113" s="4"/>
      <c r="E113" s="86" t="s">
        <v>19</v>
      </c>
      <c r="F113" s="42"/>
      <c r="G113" s="42"/>
      <c r="H113" s="42"/>
      <c r="I113" s="42"/>
      <c r="J113" s="42">
        <v>25875</v>
      </c>
      <c r="K113" s="42">
        <v>-3618</v>
      </c>
      <c r="L113" s="42">
        <v>-3659</v>
      </c>
      <c r="M113" s="42">
        <v>21323</v>
      </c>
      <c r="N113" s="42">
        <v>9407</v>
      </c>
      <c r="O113" s="42">
        <v>509</v>
      </c>
      <c r="P113" s="42"/>
      <c r="Q113" s="42"/>
      <c r="R113" s="42"/>
      <c r="S113" s="42"/>
      <c r="T113" s="42"/>
      <c r="U113" s="42"/>
      <c r="V113" s="83"/>
      <c r="W113" s="81"/>
      <c r="X113" s="82"/>
      <c r="Y113" s="92"/>
      <c r="Z113" s="4"/>
      <c r="AA113" s="4"/>
      <c r="AB113" s="4"/>
      <c r="AC113" s="4"/>
      <c r="AD113" s="4"/>
      <c r="AE113" s="4"/>
      <c r="AF113" s="4"/>
      <c r="AG113" s="4"/>
      <c r="AH113" s="4"/>
      <c r="AI113" s="4"/>
      <c r="AJ113" s="4"/>
      <c r="AK113" s="4"/>
    </row>
    <row r="114" spans="2:37" ht="30" customHeight="1">
      <c r="B114" s="4"/>
      <c r="C114" s="4"/>
      <c r="D114" s="4"/>
      <c r="E114" s="86" t="s">
        <v>41</v>
      </c>
      <c r="F114" s="42"/>
      <c r="G114" s="42"/>
      <c r="H114" s="42"/>
      <c r="I114" s="42"/>
      <c r="J114" s="42">
        <v>0</v>
      </c>
      <c r="K114" s="42">
        <v>0</v>
      </c>
      <c r="L114" s="42">
        <v>0</v>
      </c>
      <c r="M114" s="42">
        <v>0</v>
      </c>
      <c r="N114" s="42">
        <v>0</v>
      </c>
      <c r="O114" s="42">
        <v>0</v>
      </c>
      <c r="P114" s="42"/>
      <c r="Q114" s="42"/>
      <c r="R114" s="42"/>
      <c r="S114" s="42"/>
      <c r="T114" s="42"/>
      <c r="U114" s="42"/>
      <c r="V114" s="83"/>
      <c r="W114" s="81"/>
      <c r="X114" s="82"/>
      <c r="Y114" s="92"/>
      <c r="Z114" s="4"/>
      <c r="AA114" s="4"/>
      <c r="AB114" s="4"/>
      <c r="AC114" s="4"/>
      <c r="AD114" s="4"/>
      <c r="AE114" s="4"/>
      <c r="AF114" s="4"/>
      <c r="AG114" s="4"/>
      <c r="AH114" s="4"/>
      <c r="AI114" s="4"/>
      <c r="AJ114" s="4"/>
      <c r="AK114" s="4"/>
    </row>
    <row r="115" spans="2:37" ht="30" customHeight="1" thickBot="1">
      <c r="B115" s="4"/>
      <c r="C115" s="4"/>
      <c r="D115" s="4"/>
      <c r="E115" s="79" t="s">
        <v>16</v>
      </c>
      <c r="F115" s="42"/>
      <c r="G115" s="42"/>
      <c r="H115" s="42"/>
      <c r="I115" s="42"/>
      <c r="J115" s="40">
        <f t="shared" ref="J115:O115" si="99">SUM(J107,J109)</f>
        <v>21737</v>
      </c>
      <c r="K115" s="40">
        <f t="shared" si="99"/>
        <v>-8508</v>
      </c>
      <c r="L115" s="40">
        <f t="shared" si="99"/>
        <v>-51066</v>
      </c>
      <c r="M115" s="40">
        <f t="shared" si="99"/>
        <v>-57183</v>
      </c>
      <c r="N115" s="40">
        <f t="shared" si="99"/>
        <v>-63027</v>
      </c>
      <c r="O115" s="40">
        <f t="shared" si="99"/>
        <v>-45086</v>
      </c>
      <c r="P115" s="40"/>
      <c r="Q115" s="40">
        <f>Q110</f>
        <v>-133313.0772506136</v>
      </c>
      <c r="R115" s="40">
        <f t="shared" ref="R115:U115" si="100">R110</f>
        <v>-168143.59614136879</v>
      </c>
      <c r="S115" s="40">
        <f t="shared" si="100"/>
        <v>-198242.14430431163</v>
      </c>
      <c r="T115" s="40">
        <f t="shared" si="100"/>
        <v>-222614.5355021102</v>
      </c>
      <c r="U115" s="40">
        <f t="shared" si="100"/>
        <v>-247631.95278106892</v>
      </c>
      <c r="V115" s="289" t="s">
        <v>509</v>
      </c>
      <c r="W115" s="206"/>
      <c r="X115" s="206"/>
      <c r="Y115" s="92"/>
      <c r="Z115" s="4"/>
      <c r="AA115" s="4"/>
      <c r="AB115" s="4"/>
      <c r="AC115" s="4"/>
      <c r="AD115" s="4"/>
      <c r="AE115" s="4"/>
      <c r="AF115" s="4"/>
      <c r="AG115" s="4"/>
      <c r="AH115" s="4"/>
      <c r="AI115" s="4"/>
      <c r="AJ115" s="4"/>
      <c r="AK115" s="4"/>
    </row>
    <row r="116" spans="2:37" ht="30" customHeight="1">
      <c r="B116" s="4"/>
      <c r="C116" s="4"/>
      <c r="D116" s="4"/>
      <c r="E116" s="192"/>
      <c r="F116" s="192"/>
      <c r="G116" s="192"/>
      <c r="H116" s="192"/>
      <c r="I116" s="192"/>
      <c r="J116" s="192"/>
      <c r="K116" s="192"/>
      <c r="L116" s="192"/>
      <c r="M116" s="192"/>
      <c r="N116" s="192"/>
      <c r="O116" s="192"/>
      <c r="P116" s="192"/>
      <c r="Q116" s="192"/>
      <c r="R116" s="192"/>
      <c r="S116" s="192"/>
      <c r="T116" s="192"/>
      <c r="U116" s="192"/>
      <c r="V116" s="192"/>
      <c r="W116" s="192"/>
      <c r="X116" s="192"/>
      <c r="Y116" s="192"/>
      <c r="Z116" s="4"/>
      <c r="AA116" s="4"/>
      <c r="AB116" s="4"/>
      <c r="AC116" s="4"/>
      <c r="AD116" s="4"/>
      <c r="AE116" s="4"/>
      <c r="AF116" s="4"/>
      <c r="AG116" s="4"/>
      <c r="AH116" s="4"/>
      <c r="AI116" s="4"/>
      <c r="AJ116" s="4"/>
      <c r="AK116" s="4"/>
    </row>
    <row r="117" spans="2:37" ht="30" customHeight="1">
      <c r="B117" s="4"/>
      <c r="C117" s="4"/>
      <c r="D117" s="4"/>
      <c r="E117" s="50"/>
      <c r="F117" s="51"/>
      <c r="G117" s="51"/>
      <c r="H117" s="51"/>
      <c r="I117" s="51"/>
      <c r="J117" s="51"/>
      <c r="K117" s="51"/>
      <c r="L117" s="51"/>
      <c r="M117" s="51"/>
      <c r="N117" s="51"/>
      <c r="O117" s="51"/>
      <c r="P117" s="51"/>
      <c r="Q117" s="51"/>
      <c r="R117" s="51"/>
      <c r="S117" s="51"/>
      <c r="T117" s="51"/>
      <c r="U117" s="51"/>
      <c r="V117" s="51"/>
      <c r="W117" s="51"/>
      <c r="X117" s="4"/>
      <c r="Y117" s="4"/>
      <c r="Z117" s="4"/>
      <c r="AA117" s="4"/>
      <c r="AB117" s="4"/>
      <c r="AC117" s="4"/>
      <c r="AD117" s="4"/>
      <c r="AE117" s="4"/>
      <c r="AF117" s="4"/>
      <c r="AG117" s="4"/>
      <c r="AH117" s="4"/>
      <c r="AI117" s="4"/>
      <c r="AJ117" s="4"/>
      <c r="AK117" s="4"/>
    </row>
    <row r="118" spans="2:37" ht="30" customHeight="1">
      <c r="B118" s="4"/>
      <c r="C118" s="4"/>
      <c r="D118" s="4"/>
      <c r="E118" s="50"/>
      <c r="F118" s="51"/>
      <c r="G118" s="51"/>
      <c r="H118" s="51"/>
      <c r="I118" s="51"/>
      <c r="J118" s="51"/>
      <c r="K118" s="51"/>
      <c r="L118" s="51"/>
      <c r="M118" s="51"/>
      <c r="N118" s="51"/>
      <c r="O118" s="51"/>
      <c r="P118" s="51"/>
      <c r="Q118" s="51"/>
      <c r="R118" s="51"/>
      <c r="S118" s="51"/>
      <c r="T118" s="51"/>
      <c r="U118" s="51"/>
      <c r="V118" s="51"/>
      <c r="W118" s="51"/>
      <c r="X118" s="4"/>
      <c r="Y118" s="4"/>
      <c r="Z118" s="4"/>
      <c r="AA118" s="4"/>
      <c r="AB118" s="4"/>
      <c r="AC118" s="4"/>
      <c r="AD118" s="4"/>
      <c r="AE118" s="4"/>
      <c r="AF118" s="4"/>
      <c r="AG118" s="4"/>
      <c r="AH118" s="4"/>
      <c r="AI118" s="4"/>
      <c r="AJ118" s="4"/>
      <c r="AK118" s="4"/>
    </row>
    <row r="119" spans="2:37" ht="30" customHeight="1">
      <c r="B119" s="4"/>
      <c r="C119" s="4"/>
      <c r="D119" s="4"/>
      <c r="E119" s="78"/>
      <c r="F119" s="37">
        <v>2014</v>
      </c>
      <c r="G119" s="37">
        <v>2015</v>
      </c>
      <c r="H119" s="37">
        <v>2016</v>
      </c>
      <c r="I119" s="37">
        <v>2017</v>
      </c>
      <c r="J119" s="37">
        <v>2018</v>
      </c>
      <c r="K119" s="37">
        <v>2019</v>
      </c>
      <c r="L119" s="37">
        <v>2020</v>
      </c>
      <c r="M119" s="37">
        <v>2021</v>
      </c>
      <c r="N119" s="37">
        <v>2022</v>
      </c>
      <c r="O119" s="37" t="s">
        <v>501</v>
      </c>
      <c r="P119" s="37" t="s">
        <v>485</v>
      </c>
      <c r="Q119" s="38">
        <v>2023</v>
      </c>
      <c r="R119" s="38">
        <v>2024</v>
      </c>
      <c r="S119" s="38">
        <v>2025</v>
      </c>
      <c r="T119" s="38">
        <v>2026</v>
      </c>
      <c r="U119" s="38">
        <v>2027</v>
      </c>
      <c r="V119" s="38" t="s">
        <v>94</v>
      </c>
      <c r="W119" s="38" t="s">
        <v>95</v>
      </c>
      <c r="X119" s="38" t="s">
        <v>335</v>
      </c>
      <c r="Y119" s="91" t="s">
        <v>320</v>
      </c>
      <c r="Z119" s="4"/>
      <c r="AA119" s="4"/>
      <c r="AB119" s="4"/>
      <c r="AC119" s="4"/>
      <c r="AD119" s="4"/>
      <c r="AE119" s="4"/>
      <c r="AF119" s="4"/>
      <c r="AG119" s="4"/>
      <c r="AH119" s="4"/>
      <c r="AI119" s="4"/>
      <c r="AJ119" s="4"/>
      <c r="AK119" s="4"/>
    </row>
    <row r="120" spans="2:37" ht="30" customHeight="1">
      <c r="B120" s="4"/>
      <c r="C120" s="4"/>
      <c r="D120" s="4"/>
      <c r="E120" s="79" t="s">
        <v>12</v>
      </c>
      <c r="F120" s="80">
        <v>-115197</v>
      </c>
      <c r="G120" s="80">
        <v>-203939</v>
      </c>
      <c r="H120" s="80">
        <v>-197163</v>
      </c>
      <c r="I120" s="80">
        <v>-198350</v>
      </c>
      <c r="J120" s="80">
        <v>-152176</v>
      </c>
      <c r="K120" s="80">
        <v>-223981</v>
      </c>
      <c r="L120" s="80">
        <v>-127199</v>
      </c>
      <c r="M120" s="80">
        <v>-194529</v>
      </c>
      <c r="N120" s="80">
        <v>-603318</v>
      </c>
      <c r="O120" s="80">
        <v>-498004</v>
      </c>
      <c r="P120" s="80">
        <f>Q120-O120</f>
        <v>-96503.463208105415</v>
      </c>
      <c r="Q120" s="80">
        <f>-Q122*Q12</f>
        <v>-594507.46320810542</v>
      </c>
      <c r="R120" s="80">
        <f>-R122*R12</f>
        <v>-749833.58615880448</v>
      </c>
      <c r="S120" s="80">
        <f>-S122*S12</f>
        <v>-884057.56390826241</v>
      </c>
      <c r="T120" s="80">
        <f>-T122*T12</f>
        <v>-992745.83937339205</v>
      </c>
      <c r="U120" s="80">
        <f>-U122*U12</f>
        <v>-1104310.5979797267</v>
      </c>
      <c r="V120" s="287" t="s">
        <v>318</v>
      </c>
      <c r="W120" s="81">
        <v>5</v>
      </c>
      <c r="X120" s="82">
        <f>(N120/F120)^(1/8)-1</f>
        <v>0.22995193247367673</v>
      </c>
      <c r="Y120" s="92">
        <f>(U120/Q120)^(1/4)-1</f>
        <v>0.16743707752213632</v>
      </c>
      <c r="Z120" s="4"/>
      <c r="AA120" s="4"/>
      <c r="AB120" s="4"/>
      <c r="AC120" s="4"/>
      <c r="AD120" s="4"/>
      <c r="AE120" s="4"/>
      <c r="AF120" s="4"/>
      <c r="AG120" s="4"/>
      <c r="AH120" s="4"/>
      <c r="AI120" s="4"/>
      <c r="AJ120" s="4"/>
      <c r="AK120" s="4"/>
    </row>
    <row r="121" spans="2:37" ht="30" customHeight="1">
      <c r="B121" s="4"/>
      <c r="C121" s="4"/>
      <c r="D121" s="4"/>
      <c r="E121" s="86" t="s">
        <v>47</v>
      </c>
      <c r="F121" s="44">
        <v>0</v>
      </c>
      <c r="G121" s="44">
        <f t="shared" ref="G121:N121" si="101">G120/F120-1</f>
        <v>0.7703499223070045</v>
      </c>
      <c r="H121" s="44">
        <f t="shared" si="101"/>
        <v>-3.3225621386787196E-2</v>
      </c>
      <c r="I121" s="44">
        <f t="shared" si="101"/>
        <v>6.0203993649923238E-3</v>
      </c>
      <c r="J121" s="44">
        <f t="shared" si="101"/>
        <v>-0.23279052180489035</v>
      </c>
      <c r="K121" s="44">
        <f t="shared" si="101"/>
        <v>0.47185495741772687</v>
      </c>
      <c r="L121" s="44">
        <f t="shared" si="101"/>
        <v>-0.43209915126729503</v>
      </c>
      <c r="M121" s="44">
        <f t="shared" si="101"/>
        <v>0.52932806075519467</v>
      </c>
      <c r="N121" s="44">
        <f t="shared" si="101"/>
        <v>2.1014296068966583</v>
      </c>
      <c r="O121" s="44"/>
      <c r="P121" s="44"/>
      <c r="Q121" s="44">
        <f>Q120/M120-1</f>
        <v>2.0561379702157798</v>
      </c>
      <c r="R121" s="44">
        <f t="shared" ref="R121:U121" si="102">R120/Q120-1</f>
        <v>0.26126858376600004</v>
      </c>
      <c r="S121" s="44">
        <f t="shared" si="102"/>
        <v>0.17900502221706449</v>
      </c>
      <c r="T121" s="44">
        <f t="shared" si="102"/>
        <v>0.12294253214082351</v>
      </c>
      <c r="U121" s="44">
        <f t="shared" si="102"/>
        <v>0.11237998104001412</v>
      </c>
      <c r="V121" s="80"/>
      <c r="W121" s="81"/>
      <c r="X121" s="82"/>
      <c r="Y121" s="92"/>
      <c r="Z121" s="4"/>
      <c r="AA121" s="4"/>
      <c r="AB121" s="4"/>
      <c r="AC121" s="4"/>
      <c r="AD121" s="4"/>
      <c r="AE121" s="4"/>
      <c r="AF121" s="4"/>
      <c r="AG121" s="4"/>
      <c r="AH121" s="4"/>
      <c r="AI121" s="4"/>
      <c r="AJ121" s="4"/>
      <c r="AK121" s="4"/>
    </row>
    <row r="122" spans="2:37" ht="30" customHeight="1">
      <c r="B122" s="4"/>
      <c r="C122" s="4"/>
      <c r="D122" s="4"/>
      <c r="E122" s="86" t="s">
        <v>343</v>
      </c>
      <c r="F122" s="44"/>
      <c r="G122" s="44"/>
      <c r="H122" s="44"/>
      <c r="I122" s="44"/>
      <c r="J122" s="44">
        <f t="shared" ref="J122:P122" si="103">-J120/J12</f>
        <v>1.8605711559420323E-2</v>
      </c>
      <c r="K122" s="44">
        <f t="shared" si="103"/>
        <v>2.2711555129465648E-2</v>
      </c>
      <c r="L122" s="44">
        <f t="shared" si="103"/>
        <v>1.2804079137879065E-2</v>
      </c>
      <c r="M122" s="44">
        <f t="shared" si="103"/>
        <v>1.3834896490256751E-2</v>
      </c>
      <c r="N122" s="44">
        <f t="shared" si="103"/>
        <v>2.420842264261417E-2</v>
      </c>
      <c r="O122" s="44">
        <f t="shared" si="103"/>
        <v>2.0961654034635614E-2</v>
      </c>
      <c r="P122" s="44">
        <f t="shared" si="103"/>
        <v>1.1360561119822912E-2</v>
      </c>
      <c r="Q122" s="44">
        <f>AVERAGE($J$122:$N$122)</f>
        <v>1.8432932991927192E-2</v>
      </c>
      <c r="R122" s="44">
        <f t="shared" ref="R122:U122" si="104">AVERAGE($J$122:$N$122)</f>
        <v>1.8432932991927192E-2</v>
      </c>
      <c r="S122" s="44">
        <f t="shared" si="104"/>
        <v>1.8432932991927192E-2</v>
      </c>
      <c r="T122" s="44">
        <f t="shared" si="104"/>
        <v>1.8432932991927192E-2</v>
      </c>
      <c r="U122" s="44">
        <f t="shared" si="104"/>
        <v>1.8432932991927192E-2</v>
      </c>
      <c r="V122" s="80"/>
      <c r="W122" s="81"/>
      <c r="X122" s="82"/>
      <c r="Y122" s="92"/>
      <c r="Z122" s="4"/>
      <c r="AA122" s="4"/>
      <c r="AB122" s="4"/>
      <c r="AC122" s="4"/>
      <c r="AD122" s="4"/>
      <c r="AE122" s="4"/>
      <c r="AF122" s="4"/>
      <c r="AG122" s="4"/>
      <c r="AH122" s="4"/>
      <c r="AI122" s="4"/>
      <c r="AJ122" s="4"/>
      <c r="AK122" s="4"/>
    </row>
    <row r="123" spans="2:37" ht="30" customHeight="1">
      <c r="B123" s="4"/>
      <c r="C123" s="4"/>
      <c r="D123" s="4"/>
      <c r="E123" s="86" t="s">
        <v>13</v>
      </c>
      <c r="F123" s="42">
        <v>115197</v>
      </c>
      <c r="G123" s="42">
        <v>186698</v>
      </c>
      <c r="H123" s="42">
        <v>197167</v>
      </c>
      <c r="I123" s="42">
        <v>182288</v>
      </c>
      <c r="J123" s="42">
        <v>63460</v>
      </c>
      <c r="K123" s="42">
        <v>47293</v>
      </c>
      <c r="L123" s="42">
        <v>8321</v>
      </c>
      <c r="M123" s="42">
        <v>28049</v>
      </c>
      <c r="N123" s="42">
        <v>164141</v>
      </c>
      <c r="O123" s="42">
        <v>148683</v>
      </c>
      <c r="P123" s="42"/>
      <c r="Q123" s="42"/>
      <c r="R123" s="42"/>
      <c r="S123" s="42"/>
      <c r="T123" s="42"/>
      <c r="U123" s="42"/>
      <c r="V123" s="80"/>
      <c r="W123" s="81"/>
      <c r="X123" s="82"/>
      <c r="Y123" s="92"/>
      <c r="Z123" s="4"/>
      <c r="AA123" s="4"/>
      <c r="AB123" s="4"/>
      <c r="AC123" s="4"/>
      <c r="AD123" s="4"/>
      <c r="AE123" s="4"/>
      <c r="AF123" s="4"/>
      <c r="AG123" s="4"/>
      <c r="AH123" s="4"/>
      <c r="AI123" s="4"/>
      <c r="AJ123" s="4"/>
      <c r="AK123" s="4"/>
    </row>
    <row r="124" spans="2:37" ht="30" customHeight="1">
      <c r="B124" s="4"/>
      <c r="C124" s="4"/>
      <c r="D124" s="4"/>
      <c r="E124" s="86" t="s">
        <v>159</v>
      </c>
      <c r="F124" s="42"/>
      <c r="G124" s="42">
        <v>17241</v>
      </c>
      <c r="H124" s="42">
        <v>-4</v>
      </c>
      <c r="I124" s="42">
        <v>16062</v>
      </c>
      <c r="J124" s="42">
        <v>82485</v>
      </c>
      <c r="K124" s="42">
        <v>172815</v>
      </c>
      <c r="L124" s="42">
        <v>106877</v>
      </c>
      <c r="M124" s="42">
        <v>163076</v>
      </c>
      <c r="N124" s="42">
        <v>408748</v>
      </c>
      <c r="O124" s="42">
        <v>298113</v>
      </c>
      <c r="P124" s="42"/>
      <c r="Q124" s="42"/>
      <c r="R124" s="42"/>
      <c r="S124" s="42"/>
      <c r="T124" s="42"/>
      <c r="U124" s="42"/>
      <c r="V124" s="80"/>
      <c r="W124" s="81"/>
      <c r="X124" s="82"/>
      <c r="Y124" s="92"/>
      <c r="Z124" s="4"/>
      <c r="AA124" s="4"/>
      <c r="AB124" s="4"/>
      <c r="AC124" s="4"/>
      <c r="AD124" s="4"/>
      <c r="AE124" s="4"/>
      <c r="AF124" s="4"/>
      <c r="AG124" s="4"/>
      <c r="AH124" s="4"/>
      <c r="AI124" s="4"/>
      <c r="AJ124" s="4"/>
      <c r="AK124" s="4"/>
    </row>
    <row r="125" spans="2:37" ht="30" customHeight="1">
      <c r="B125" s="4"/>
      <c r="C125" s="4"/>
      <c r="D125" s="4"/>
      <c r="E125" s="79" t="s">
        <v>14</v>
      </c>
      <c r="F125" s="42"/>
      <c r="G125" s="42"/>
      <c r="H125" s="42"/>
      <c r="I125" s="42"/>
      <c r="J125" s="42"/>
      <c r="K125" s="46">
        <f>SUM(K120,K123:K124)</f>
        <v>-3873</v>
      </c>
      <c r="L125" s="46">
        <f>SUM(L120,L123:L124)</f>
        <v>-12001</v>
      </c>
      <c r="M125" s="46">
        <f>SUM(M120,M123:M124)</f>
        <v>-3404</v>
      </c>
      <c r="N125" s="46">
        <f>SUM(N120,N123:N124)</f>
        <v>-30429</v>
      </c>
      <c r="O125" s="46">
        <f>SUM(O120,O123:O124)</f>
        <v>-51208</v>
      </c>
      <c r="P125" s="42"/>
      <c r="Q125" s="42"/>
      <c r="R125" s="42"/>
      <c r="S125" s="42"/>
      <c r="T125" s="42"/>
      <c r="U125" s="42"/>
      <c r="V125" s="83"/>
      <c r="W125" s="81"/>
      <c r="X125" s="82"/>
      <c r="Y125" s="92"/>
      <c r="Z125" s="4"/>
      <c r="AA125" s="4"/>
      <c r="AB125" s="4"/>
      <c r="AC125" s="4"/>
      <c r="AD125" s="4"/>
      <c r="AE125" s="4"/>
      <c r="AF125" s="4"/>
      <c r="AG125" s="4"/>
      <c r="AH125" s="4"/>
      <c r="AI125" s="4"/>
      <c r="AJ125" s="4"/>
      <c r="AK125" s="4"/>
    </row>
    <row r="126" spans="2:37" ht="30" customHeight="1">
      <c r="B126" s="4"/>
      <c r="C126" s="4"/>
      <c r="D126" s="4"/>
      <c r="E126" s="245" t="s">
        <v>51</v>
      </c>
      <c r="F126" s="44"/>
      <c r="G126" s="44"/>
      <c r="H126" s="44"/>
      <c r="I126" s="44"/>
      <c r="J126" s="246"/>
      <c r="K126" s="246">
        <f>K125/K120</f>
        <v>1.7291645273483019E-2</v>
      </c>
      <c r="L126" s="246">
        <f t="shared" ref="L126:M126" si="105">L125/L120</f>
        <v>9.4348226008066097E-2</v>
      </c>
      <c r="M126" s="246">
        <f t="shared" si="105"/>
        <v>1.7498676289910503E-2</v>
      </c>
      <c r="N126" s="246">
        <f t="shared" ref="N126:O126" si="106">N125/N120</f>
        <v>5.0436088430976696E-2</v>
      </c>
      <c r="O126" s="246">
        <f t="shared" si="106"/>
        <v>0.10282648332141911</v>
      </c>
      <c r="P126" s="44"/>
      <c r="Q126" s="44"/>
      <c r="R126" s="44"/>
      <c r="S126" s="44"/>
      <c r="T126" s="44"/>
      <c r="U126" s="44"/>
      <c r="V126" s="83"/>
      <c r="W126" s="81"/>
      <c r="X126" s="82"/>
      <c r="Y126" s="92"/>
      <c r="Z126" s="4"/>
      <c r="AA126" s="4"/>
      <c r="AB126" s="4"/>
      <c r="AC126" s="4"/>
      <c r="AD126" s="4"/>
      <c r="AE126" s="4"/>
      <c r="AF126" s="4"/>
      <c r="AG126" s="4"/>
      <c r="AH126" s="4"/>
      <c r="AI126" s="4"/>
      <c r="AJ126" s="4"/>
      <c r="AK126" s="4"/>
    </row>
    <row r="127" spans="2:37" ht="30" customHeight="1">
      <c r="B127" s="4"/>
      <c r="C127" s="4"/>
      <c r="D127" s="4"/>
      <c r="E127" s="86" t="s">
        <v>15</v>
      </c>
      <c r="F127" s="205"/>
      <c r="G127" s="205"/>
      <c r="H127" s="205"/>
      <c r="I127" s="205"/>
      <c r="J127" s="84"/>
      <c r="K127" s="84">
        <f>SUM(K129:K132)</f>
        <v>3855</v>
      </c>
      <c r="L127" s="84">
        <f>SUM(L129:L132)</f>
        <v>21686</v>
      </c>
      <c r="M127" s="84">
        <f>SUM(M129:M132)</f>
        <v>-2147</v>
      </c>
      <c r="N127" s="84">
        <f>SUM(N129:N132)</f>
        <v>28373</v>
      </c>
      <c r="O127" s="84">
        <f>SUM(O129:O132)</f>
        <v>21022</v>
      </c>
      <c r="P127" s="84"/>
      <c r="Q127" s="84"/>
      <c r="R127" s="84"/>
      <c r="S127" s="84"/>
      <c r="T127" s="84"/>
      <c r="U127" s="84"/>
      <c r="V127" s="83"/>
      <c r="W127" s="81"/>
      <c r="X127" s="82"/>
      <c r="Y127" s="92"/>
      <c r="Z127" s="4"/>
      <c r="AA127" s="4"/>
      <c r="AB127" s="4"/>
      <c r="AC127" s="4"/>
      <c r="AD127" s="4"/>
      <c r="AE127" s="4"/>
      <c r="AF127" s="4"/>
      <c r="AG127" s="4"/>
      <c r="AH127" s="4"/>
      <c r="AI127" s="4"/>
      <c r="AJ127" s="4"/>
      <c r="AK127" s="4"/>
    </row>
    <row r="128" spans="2:37" ht="30" customHeight="1">
      <c r="B128" s="4"/>
      <c r="C128" s="4"/>
      <c r="D128" s="4"/>
      <c r="E128" s="86" t="s">
        <v>30</v>
      </c>
      <c r="F128" s="44"/>
      <c r="G128" s="44"/>
      <c r="H128" s="44"/>
      <c r="I128" s="44"/>
      <c r="J128" s="44"/>
      <c r="K128" s="44">
        <f>K127/K120</f>
        <v>-1.7211281314040029E-2</v>
      </c>
      <c r="L128" s="44">
        <f>L127/L120</f>
        <v>-0.17048876170410146</v>
      </c>
      <c r="M128" s="44">
        <f>M127/M120</f>
        <v>1.1036914804476453E-2</v>
      </c>
      <c r="N128" s="44">
        <f>N127/N120</f>
        <v>-4.702826701673081E-2</v>
      </c>
      <c r="O128" s="44">
        <f>O127/O120</f>
        <v>-4.2212512349298396E-2</v>
      </c>
      <c r="P128" s="44"/>
      <c r="Q128" s="44"/>
      <c r="R128" s="44"/>
      <c r="S128" s="44"/>
      <c r="T128" s="44"/>
      <c r="U128" s="44"/>
      <c r="V128" s="83"/>
      <c r="W128" s="81"/>
      <c r="X128" s="82"/>
      <c r="Y128" s="92"/>
      <c r="Z128" s="4"/>
      <c r="AA128" s="4"/>
      <c r="AB128" s="4"/>
      <c r="AC128" s="4"/>
      <c r="AD128" s="4"/>
      <c r="AE128" s="4"/>
      <c r="AF128" s="4"/>
      <c r="AG128" s="4"/>
      <c r="AH128" s="4"/>
      <c r="AI128" s="4"/>
      <c r="AJ128" s="4"/>
      <c r="AK128" s="4"/>
    </row>
    <row r="129" spans="2:37" ht="30" customHeight="1">
      <c r="B129" s="4"/>
      <c r="C129" s="4"/>
      <c r="D129" s="4"/>
      <c r="E129" s="86" t="s">
        <v>262</v>
      </c>
      <c r="F129" s="42"/>
      <c r="G129" s="42"/>
      <c r="H129" s="42"/>
      <c r="I129" s="42"/>
      <c r="J129" s="42"/>
      <c r="K129" s="42">
        <v>3846</v>
      </c>
      <c r="L129" s="42">
        <f>6584+16552</f>
        <v>23136</v>
      </c>
      <c r="M129" s="42">
        <f>4640+7211</f>
        <v>11851</v>
      </c>
      <c r="N129" s="42">
        <f>34453+62</f>
        <v>34515</v>
      </c>
      <c r="O129" s="42">
        <f>23798+1203</f>
        <v>25001</v>
      </c>
      <c r="P129" s="42"/>
      <c r="Q129" s="42"/>
      <c r="R129" s="42"/>
      <c r="S129" s="42"/>
      <c r="T129" s="42"/>
      <c r="U129" s="42"/>
      <c r="V129" s="83"/>
      <c r="W129" s="81"/>
      <c r="X129" s="82"/>
      <c r="Y129" s="92"/>
      <c r="Z129" s="4"/>
      <c r="AA129" s="4"/>
      <c r="AB129" s="4"/>
      <c r="AC129" s="4"/>
      <c r="AD129" s="4"/>
      <c r="AE129" s="4"/>
      <c r="AF129" s="4"/>
      <c r="AG129" s="4"/>
      <c r="AH129" s="4"/>
      <c r="AI129" s="4"/>
      <c r="AJ129" s="4"/>
      <c r="AK129" s="4"/>
    </row>
    <row r="130" spans="2:37" ht="30" customHeight="1">
      <c r="B130" s="4"/>
      <c r="C130" s="4"/>
      <c r="D130" s="4"/>
      <c r="E130" s="86" t="s">
        <v>97</v>
      </c>
      <c r="F130" s="42"/>
      <c r="G130" s="42"/>
      <c r="H130" s="42"/>
      <c r="I130" s="42"/>
      <c r="J130" s="42"/>
      <c r="K130" s="42">
        <v>-7777</v>
      </c>
      <c r="L130" s="42">
        <v>-1</v>
      </c>
      <c r="M130" s="42">
        <v>0</v>
      </c>
      <c r="N130" s="42"/>
      <c r="O130" s="42">
        <v>0</v>
      </c>
      <c r="P130" s="42"/>
      <c r="Q130" s="42"/>
      <c r="R130" s="42"/>
      <c r="S130" s="42"/>
      <c r="T130" s="42"/>
      <c r="U130" s="42"/>
      <c r="V130" s="83"/>
      <c r="W130" s="81"/>
      <c r="X130" s="82"/>
      <c r="Y130" s="92"/>
      <c r="Z130" s="4"/>
      <c r="AA130" s="4"/>
      <c r="AB130" s="4"/>
      <c r="AC130" s="4"/>
      <c r="AD130" s="4"/>
      <c r="AE130" s="4"/>
      <c r="AF130" s="4"/>
      <c r="AG130" s="4"/>
      <c r="AH130" s="4"/>
      <c r="AI130" s="4"/>
      <c r="AJ130" s="4"/>
      <c r="AK130" s="4"/>
    </row>
    <row r="131" spans="2:37" ht="30" customHeight="1">
      <c r="B131" s="4"/>
      <c r="C131" s="4"/>
      <c r="D131" s="4"/>
      <c r="E131" s="86" t="s">
        <v>19</v>
      </c>
      <c r="F131" s="42"/>
      <c r="G131" s="42"/>
      <c r="H131" s="42"/>
      <c r="I131" s="42"/>
      <c r="J131" s="42"/>
      <c r="K131" s="42">
        <v>7786</v>
      </c>
      <c r="L131" s="42">
        <v>-1449</v>
      </c>
      <c r="M131" s="42">
        <v>-13951</v>
      </c>
      <c r="N131" s="42">
        <v>-6137</v>
      </c>
      <c r="O131" s="42">
        <v>-3979</v>
      </c>
      <c r="P131" s="42"/>
      <c r="Q131" s="42"/>
      <c r="R131" s="42"/>
      <c r="S131" s="42"/>
      <c r="T131" s="42"/>
      <c r="U131" s="42"/>
      <c r="V131" s="83"/>
      <c r="W131" s="81"/>
      <c r="X131" s="82"/>
      <c r="Y131" s="92"/>
      <c r="Z131" s="4"/>
      <c r="AA131" s="4"/>
      <c r="AB131" s="4"/>
      <c r="AC131" s="4"/>
      <c r="AD131" s="4"/>
      <c r="AE131" s="4"/>
      <c r="AF131" s="4"/>
      <c r="AG131" s="4"/>
      <c r="AH131" s="4"/>
      <c r="AI131" s="4"/>
      <c r="AJ131" s="4"/>
      <c r="AK131" s="4"/>
    </row>
    <row r="132" spans="2:37" ht="30" customHeight="1">
      <c r="B132" s="4"/>
      <c r="C132" s="4"/>
      <c r="D132" s="4"/>
      <c r="E132" s="86" t="s">
        <v>41</v>
      </c>
      <c r="F132" s="42"/>
      <c r="G132" s="42"/>
      <c r="H132" s="42"/>
      <c r="I132" s="42"/>
      <c r="J132" s="42"/>
      <c r="K132" s="42">
        <v>0</v>
      </c>
      <c r="L132" s="42">
        <v>0</v>
      </c>
      <c r="M132" s="42">
        <v>-47</v>
      </c>
      <c r="N132" s="42">
        <v>-5</v>
      </c>
      <c r="O132" s="42">
        <v>0</v>
      </c>
      <c r="P132" s="42"/>
      <c r="Q132" s="42"/>
      <c r="R132" s="42"/>
      <c r="S132" s="42"/>
      <c r="T132" s="42"/>
      <c r="U132" s="42"/>
      <c r="V132" s="83"/>
      <c r="W132" s="81"/>
      <c r="X132" s="82"/>
      <c r="Y132" s="92"/>
      <c r="Z132" s="4"/>
      <c r="AA132" s="4"/>
      <c r="AB132" s="4"/>
      <c r="AC132" s="4"/>
      <c r="AD132" s="4"/>
      <c r="AE132" s="4"/>
      <c r="AF132" s="4"/>
      <c r="AG132" s="4"/>
      <c r="AH132" s="4"/>
      <c r="AI132" s="4"/>
      <c r="AJ132" s="4"/>
      <c r="AK132" s="4"/>
    </row>
    <row r="133" spans="2:37" ht="30" customHeight="1">
      <c r="B133" s="4"/>
      <c r="C133" s="4"/>
      <c r="D133" s="4"/>
      <c r="E133" s="79" t="s">
        <v>16</v>
      </c>
      <c r="F133" s="42"/>
      <c r="G133" s="42"/>
      <c r="H133" s="42"/>
      <c r="I133" s="42"/>
      <c r="J133" s="40"/>
      <c r="K133" s="40">
        <f>SUM(K125,K127)</f>
        <v>-18</v>
      </c>
      <c r="L133" s="40">
        <f>SUM(L125,L127)</f>
        <v>9685</v>
      </c>
      <c r="M133" s="40">
        <f>SUM(M125,M127)</f>
        <v>-5551</v>
      </c>
      <c r="N133" s="40">
        <f>SUM(N125,N127)</f>
        <v>-2056</v>
      </c>
      <c r="O133" s="40">
        <f>SUM(O125,O127)</f>
        <v>-30186</v>
      </c>
      <c r="P133" s="40">
        <f>Q133-O133</f>
        <v>44336.747425644193</v>
      </c>
      <c r="Q133" s="40">
        <f>Q120*Q134</f>
        <v>14150.747425644189</v>
      </c>
      <c r="R133" s="40">
        <f t="shared" ref="R133:U133" si="107">R120*R134</f>
        <v>17847.893164772617</v>
      </c>
      <c r="S133" s="40">
        <f t="shared" si="107"/>
        <v>21042.755677260535</v>
      </c>
      <c r="T133" s="40">
        <f t="shared" si="107"/>
        <v>23629.805343443633</v>
      </c>
      <c r="U133" s="40">
        <f t="shared" si="107"/>
        <v>26285.322419919052</v>
      </c>
      <c r="V133" s="206"/>
      <c r="W133" s="206"/>
      <c r="X133" s="206"/>
      <c r="Y133" s="92"/>
      <c r="Z133" s="4"/>
      <c r="AA133" s="4"/>
      <c r="AB133" s="4"/>
      <c r="AC133" s="4"/>
      <c r="AD133" s="4"/>
      <c r="AE133" s="4"/>
      <c r="AF133" s="4"/>
      <c r="AG133" s="4"/>
      <c r="AH133" s="4"/>
      <c r="AI133" s="4"/>
      <c r="AJ133" s="4"/>
      <c r="AK133" s="4"/>
    </row>
    <row r="134" spans="2:37" ht="30" customHeight="1" thickBot="1">
      <c r="B134" s="4"/>
      <c r="C134" s="4"/>
      <c r="D134" s="4"/>
      <c r="E134" s="271" t="s">
        <v>50</v>
      </c>
      <c r="F134" s="188"/>
      <c r="G134" s="188"/>
      <c r="H134" s="188"/>
      <c r="I134" s="188"/>
      <c r="J134" s="272"/>
      <c r="K134" s="272">
        <f t="shared" ref="K134:P134" si="108">K133/K120</f>
        <v>8.0363959442988466E-5</v>
      </c>
      <c r="L134" s="272">
        <f t="shared" si="108"/>
        <v>-7.614053569603535E-2</v>
      </c>
      <c r="M134" s="272">
        <f t="shared" si="108"/>
        <v>2.8535591094386956E-2</v>
      </c>
      <c r="N134" s="272">
        <f t="shared" si="108"/>
        <v>3.4078214142458868E-3</v>
      </c>
      <c r="O134" s="272">
        <f t="shared" ref="O134" si="109">O133/O120</f>
        <v>6.0613970972120707E-2</v>
      </c>
      <c r="P134" s="272">
        <f t="shared" si="108"/>
        <v>-0.45943167169072446</v>
      </c>
      <c r="Q134" s="272">
        <f>AVERAGE($L$134:$M$134)</f>
        <v>-2.3802472300824197E-2</v>
      </c>
      <c r="R134" s="272">
        <f t="shared" ref="R134:U134" si="110">AVERAGE($L$134:$M$134)</f>
        <v>-2.3802472300824197E-2</v>
      </c>
      <c r="S134" s="272">
        <f t="shared" si="110"/>
        <v>-2.3802472300824197E-2</v>
      </c>
      <c r="T134" s="272">
        <f t="shared" si="110"/>
        <v>-2.3802472300824197E-2</v>
      </c>
      <c r="U134" s="272">
        <f t="shared" si="110"/>
        <v>-2.3802472300824197E-2</v>
      </c>
      <c r="V134" s="273"/>
      <c r="W134" s="267"/>
      <c r="X134" s="268"/>
      <c r="Y134" s="269"/>
      <c r="Z134" s="4"/>
      <c r="AA134" s="4"/>
      <c r="AB134" s="4"/>
      <c r="AC134" s="4"/>
      <c r="AD134" s="4"/>
      <c r="AE134" s="4"/>
      <c r="AF134" s="4"/>
      <c r="AG134" s="4"/>
      <c r="AH134" s="4"/>
      <c r="AI134" s="4"/>
      <c r="AJ134" s="4"/>
      <c r="AK134" s="4"/>
    </row>
    <row r="135" spans="2:37" ht="30" customHeight="1">
      <c r="B135" s="4"/>
      <c r="C135" s="4"/>
      <c r="D135" s="4"/>
      <c r="E135" s="192"/>
      <c r="F135" s="192"/>
      <c r="G135" s="192"/>
      <c r="H135" s="192"/>
      <c r="I135" s="192"/>
      <c r="J135" s="192"/>
      <c r="K135" s="192"/>
      <c r="L135" s="192"/>
      <c r="M135" s="192"/>
      <c r="N135" s="192"/>
      <c r="O135" s="192"/>
      <c r="P135" s="192"/>
      <c r="Q135" s="192"/>
      <c r="R135" s="192"/>
      <c r="S135" s="192"/>
      <c r="T135" s="192"/>
      <c r="U135" s="192"/>
      <c r="V135" s="192"/>
      <c r="W135" s="192"/>
      <c r="X135" s="192"/>
      <c r="Y135" s="192"/>
      <c r="Z135" s="4"/>
      <c r="AA135" s="4"/>
      <c r="AB135" s="4"/>
      <c r="AC135" s="4"/>
      <c r="AD135" s="4"/>
      <c r="AE135" s="4"/>
      <c r="AF135" s="4"/>
      <c r="AG135" s="4"/>
      <c r="AH135" s="4"/>
      <c r="AI135" s="4"/>
      <c r="AJ135" s="4"/>
      <c r="AK135" s="4"/>
    </row>
    <row r="136" spans="2:37" ht="30" customHeight="1">
      <c r="B136" s="4"/>
      <c r="C136" s="4"/>
      <c r="D136" s="4"/>
      <c r="E136" s="50"/>
      <c r="F136" s="51"/>
      <c r="G136" s="51"/>
      <c r="H136" s="51"/>
      <c r="I136" s="51"/>
      <c r="J136" s="51"/>
      <c r="K136" s="51"/>
      <c r="L136" s="51"/>
      <c r="M136" s="51"/>
      <c r="N136" s="51"/>
      <c r="O136" s="51"/>
      <c r="P136" s="51"/>
      <c r="Q136" s="51"/>
      <c r="R136" s="51"/>
      <c r="S136" s="51"/>
      <c r="T136" s="51"/>
      <c r="U136" s="51"/>
      <c r="V136" s="51"/>
      <c r="W136" s="51"/>
      <c r="X136" s="4"/>
      <c r="Y136" s="4"/>
      <c r="Z136" s="4"/>
      <c r="AA136" s="4"/>
      <c r="AB136" s="4"/>
      <c r="AC136" s="4"/>
      <c r="AD136" s="4"/>
      <c r="AE136" s="4"/>
      <c r="AF136" s="4"/>
      <c r="AG136" s="4"/>
      <c r="AH136" s="4"/>
      <c r="AI136" s="4"/>
      <c r="AJ136" s="4"/>
      <c r="AK136" s="4"/>
    </row>
    <row r="137" spans="2:37" ht="30" customHeight="1">
      <c r="B137" s="4"/>
      <c r="C137" s="4"/>
      <c r="D137" s="4"/>
      <c r="E137" s="50"/>
      <c r="F137" s="51"/>
      <c r="G137" s="51"/>
      <c r="H137" s="51"/>
      <c r="I137" s="51"/>
      <c r="J137" s="51"/>
      <c r="K137" s="51"/>
      <c r="L137" s="51"/>
      <c r="M137" s="51"/>
      <c r="N137" s="51"/>
      <c r="O137" s="51"/>
      <c r="P137" s="51"/>
      <c r="Q137" s="51"/>
      <c r="R137" s="51"/>
      <c r="S137" s="51"/>
      <c r="T137" s="51"/>
      <c r="U137" s="51"/>
      <c r="V137" s="51"/>
      <c r="W137" s="51"/>
      <c r="X137" s="4"/>
      <c r="Y137" s="4"/>
      <c r="Z137" s="4"/>
      <c r="AA137" s="4"/>
      <c r="AB137" s="4"/>
      <c r="AC137" s="4"/>
      <c r="AD137" s="4"/>
      <c r="AE137" s="4"/>
      <c r="AF137" s="4"/>
      <c r="AG137" s="4"/>
      <c r="AH137" s="4"/>
      <c r="AI137" s="4"/>
      <c r="AJ137" s="4"/>
      <c r="AK137" s="4"/>
    </row>
    <row r="138" spans="2:37" ht="30" customHeight="1">
      <c r="B138" s="4"/>
      <c r="C138" s="4"/>
      <c r="D138" s="4"/>
      <c r="E138" s="50"/>
      <c r="F138" s="51"/>
      <c r="G138" s="51"/>
      <c r="H138" s="51"/>
      <c r="I138" s="51"/>
      <c r="J138" s="51"/>
      <c r="K138" s="51"/>
      <c r="L138" s="51"/>
      <c r="M138" s="51"/>
      <c r="N138" s="51"/>
      <c r="O138" s="51"/>
      <c r="P138" s="51"/>
      <c r="Q138" s="51"/>
      <c r="R138" s="51"/>
      <c r="S138" s="51"/>
      <c r="T138" s="51"/>
      <c r="U138" s="51"/>
      <c r="V138" s="51"/>
      <c r="W138" s="51"/>
      <c r="X138" s="4"/>
      <c r="Y138" s="4"/>
      <c r="Z138" s="4"/>
      <c r="AA138" s="4"/>
      <c r="AB138" s="4"/>
      <c r="AC138" s="4"/>
      <c r="AD138" s="4"/>
      <c r="AE138" s="4"/>
      <c r="AF138" s="4"/>
      <c r="AG138" s="4"/>
      <c r="AH138" s="4"/>
      <c r="AI138" s="4"/>
      <c r="AJ138" s="4"/>
      <c r="AK138" s="4"/>
    </row>
    <row r="139" spans="2:37" ht="30" customHeight="1">
      <c r="B139" s="4"/>
      <c r="C139" s="4"/>
      <c r="D139" s="4"/>
      <c r="E139" s="50"/>
      <c r="F139" s="51"/>
      <c r="G139" s="51"/>
      <c r="H139" s="51"/>
      <c r="I139" s="51"/>
      <c r="J139" s="51"/>
      <c r="K139" s="51"/>
      <c r="L139" s="51"/>
      <c r="M139" s="51"/>
      <c r="N139" s="51"/>
      <c r="O139" s="51"/>
      <c r="P139" s="51"/>
      <c r="Q139" s="51"/>
      <c r="R139" s="51"/>
      <c r="S139" s="51"/>
      <c r="T139" s="51"/>
      <c r="U139" s="51"/>
      <c r="V139" s="51"/>
      <c r="W139" s="51"/>
      <c r="X139" s="4"/>
      <c r="Y139" s="4"/>
      <c r="Z139" s="4"/>
      <c r="AA139" s="4"/>
      <c r="AB139" s="4"/>
      <c r="AC139" s="4"/>
      <c r="AD139" s="4"/>
      <c r="AE139" s="4"/>
      <c r="AF139" s="4"/>
      <c r="AG139" s="4"/>
      <c r="AH139" s="4"/>
      <c r="AI139" s="4"/>
      <c r="AJ139" s="4"/>
      <c r="AK139" s="4"/>
    </row>
    <row r="140" spans="2:37" ht="30" customHeight="1">
      <c r="B140" s="4"/>
      <c r="C140" s="4"/>
      <c r="D140" s="4"/>
      <c r="E140" s="50"/>
      <c r="F140" s="51"/>
      <c r="G140" s="51"/>
      <c r="H140" s="51"/>
      <c r="I140" s="51"/>
      <c r="J140" s="51"/>
      <c r="K140" s="51"/>
      <c r="L140" s="51"/>
      <c r="M140" s="51"/>
      <c r="N140" s="51"/>
      <c r="O140" s="51"/>
      <c r="P140" s="51"/>
      <c r="Q140" s="51"/>
      <c r="R140" s="51"/>
      <c r="S140" s="51"/>
      <c r="T140" s="51"/>
      <c r="U140" s="51"/>
      <c r="V140" s="51"/>
      <c r="W140" s="51"/>
      <c r="X140" s="4"/>
      <c r="Y140" s="4"/>
      <c r="Z140" s="4"/>
      <c r="AA140" s="4"/>
      <c r="AB140" s="4"/>
      <c r="AC140" s="4"/>
      <c r="AD140" s="4"/>
      <c r="AE140" s="4"/>
      <c r="AF140" s="4"/>
      <c r="AG140" s="4"/>
      <c r="AH140" s="4"/>
      <c r="AI140" s="4"/>
      <c r="AJ140" s="4"/>
      <c r="AK140" s="4"/>
    </row>
    <row r="141" spans="2:37" ht="30" customHeight="1">
      <c r="B141" s="4"/>
      <c r="C141" s="4"/>
      <c r="D141" s="4"/>
      <c r="E141" s="50"/>
      <c r="F141" s="51"/>
      <c r="G141" s="51"/>
      <c r="H141" s="51"/>
      <c r="I141" s="51"/>
      <c r="J141" s="51"/>
      <c r="K141" s="51"/>
      <c r="L141" s="51"/>
      <c r="M141" s="51"/>
      <c r="N141" s="51"/>
      <c r="O141" s="51"/>
      <c r="P141" s="51"/>
      <c r="Q141" s="51"/>
      <c r="R141" s="51"/>
      <c r="S141" s="51"/>
      <c r="T141" s="51"/>
      <c r="U141" s="51"/>
      <c r="V141" s="51"/>
      <c r="W141" s="51"/>
      <c r="X141" s="4"/>
      <c r="Y141" s="4"/>
      <c r="Z141" s="4"/>
      <c r="AA141" s="4"/>
      <c r="AB141" s="4"/>
      <c r="AC141" s="4"/>
      <c r="AD141" s="4"/>
      <c r="AE141" s="4"/>
      <c r="AF141" s="4"/>
      <c r="AG141" s="4"/>
      <c r="AH141" s="4"/>
      <c r="AI141" s="4"/>
      <c r="AJ141" s="4"/>
      <c r="AK141" s="4"/>
    </row>
    <row r="142" spans="2:37" ht="30" customHeight="1">
      <c r="B142" s="4"/>
      <c r="C142" s="4"/>
      <c r="D142" s="4"/>
      <c r="E142" s="50"/>
      <c r="F142" s="51"/>
      <c r="G142" s="51"/>
      <c r="H142" s="51"/>
      <c r="I142" s="51"/>
      <c r="J142" s="51"/>
      <c r="K142" s="51"/>
      <c r="L142" s="51"/>
      <c r="M142" s="51"/>
      <c r="N142" s="51"/>
      <c r="O142" s="51"/>
      <c r="P142" s="51"/>
      <c r="Q142" s="51"/>
      <c r="R142" s="51"/>
      <c r="S142" s="51"/>
      <c r="T142" s="51"/>
      <c r="U142" s="51"/>
      <c r="V142" s="51"/>
      <c r="W142" s="51"/>
      <c r="X142" s="4"/>
      <c r="Y142" s="4"/>
      <c r="Z142" s="4"/>
      <c r="AA142" s="4"/>
      <c r="AB142" s="4"/>
      <c r="AC142" s="4"/>
      <c r="AD142" s="4"/>
      <c r="AE142" s="4"/>
      <c r="AF142" s="4"/>
      <c r="AG142" s="4"/>
      <c r="AH142" s="4"/>
      <c r="AI142" s="4"/>
      <c r="AJ142" s="4"/>
      <c r="AK142" s="4"/>
    </row>
    <row r="143" spans="2:37" ht="30" customHeight="1">
      <c r="B143" s="4"/>
      <c r="C143" s="4"/>
      <c r="D143" s="4"/>
      <c r="E143" s="50"/>
      <c r="F143" s="51"/>
      <c r="G143" s="51"/>
      <c r="H143" s="51"/>
      <c r="I143" s="51"/>
      <c r="J143" s="51"/>
      <c r="K143" s="51"/>
      <c r="L143" s="51"/>
      <c r="M143" s="51"/>
      <c r="N143" s="51"/>
      <c r="O143" s="51"/>
      <c r="P143" s="51"/>
      <c r="Q143" s="51"/>
      <c r="R143" s="51"/>
      <c r="S143" s="51"/>
      <c r="T143" s="51"/>
      <c r="U143" s="51"/>
      <c r="V143" s="51"/>
      <c r="W143" s="51"/>
      <c r="X143" s="4"/>
      <c r="Y143" s="4"/>
      <c r="Z143" s="4"/>
      <c r="AA143" s="4"/>
      <c r="AB143" s="4"/>
      <c r="AC143" s="4"/>
      <c r="AD143" s="4"/>
      <c r="AE143" s="4"/>
      <c r="AF143" s="4"/>
      <c r="AG143" s="4"/>
      <c r="AH143" s="4"/>
      <c r="AI143" s="4"/>
      <c r="AJ143" s="4"/>
      <c r="AK143" s="4"/>
    </row>
    <row r="144" spans="2:37" ht="30" customHeight="1">
      <c r="B144" s="4"/>
      <c r="C144" s="4"/>
      <c r="D144" s="4"/>
      <c r="E144" s="50"/>
      <c r="F144" s="51"/>
      <c r="G144" s="51"/>
      <c r="H144" s="51"/>
      <c r="I144" s="51"/>
      <c r="J144" s="51"/>
      <c r="K144" s="51"/>
      <c r="L144" s="51"/>
      <c r="M144" s="51"/>
      <c r="N144" s="51"/>
      <c r="O144" s="51"/>
      <c r="P144" s="51"/>
      <c r="Q144" s="51"/>
      <c r="R144" s="51"/>
      <c r="S144" s="51"/>
      <c r="T144" s="51"/>
      <c r="U144" s="51"/>
      <c r="V144" s="51"/>
      <c r="W144" s="51"/>
      <c r="X144" s="4"/>
      <c r="Y144" s="4"/>
      <c r="Z144" s="4"/>
      <c r="AA144" s="4"/>
      <c r="AB144" s="4"/>
      <c r="AC144" s="4"/>
      <c r="AD144" s="4"/>
      <c r="AE144" s="4"/>
      <c r="AF144" s="4"/>
      <c r="AG144" s="4"/>
      <c r="AH144" s="4"/>
      <c r="AI144" s="4"/>
      <c r="AJ144" s="4"/>
      <c r="AK144" s="4"/>
    </row>
    <row r="145" spans="1:37" ht="30" customHeight="1">
      <c r="B145" s="4"/>
      <c r="C145" s="4"/>
      <c r="D145" s="4"/>
      <c r="E145" s="50"/>
      <c r="F145" s="51"/>
      <c r="G145" s="51"/>
      <c r="H145" s="51"/>
      <c r="I145" s="51"/>
      <c r="J145" s="51"/>
      <c r="K145" s="51"/>
      <c r="L145" s="51"/>
      <c r="M145" s="51"/>
      <c r="N145" s="51"/>
      <c r="O145" s="51"/>
      <c r="P145" s="51"/>
      <c r="Q145" s="51"/>
      <c r="R145" s="51"/>
      <c r="S145" s="51"/>
      <c r="T145" s="51"/>
      <c r="U145" s="51"/>
      <c r="V145" s="51"/>
      <c r="W145" s="51"/>
      <c r="X145" s="4"/>
      <c r="Y145" s="4"/>
      <c r="Z145" s="4"/>
      <c r="AA145" s="4"/>
      <c r="AB145" s="4"/>
      <c r="AC145" s="4"/>
      <c r="AD145" s="4"/>
      <c r="AE145" s="4"/>
      <c r="AF145" s="4"/>
      <c r="AG145" s="4"/>
      <c r="AH145" s="4"/>
      <c r="AI145" s="4"/>
      <c r="AJ145" s="4"/>
      <c r="AK145" s="4"/>
    </row>
    <row r="146" spans="1:37" hidden="1">
      <c r="E146" s="50"/>
      <c r="F146" s="51"/>
      <c r="G146" s="51"/>
      <c r="H146" s="51"/>
      <c r="I146" s="51"/>
      <c r="J146" s="51"/>
      <c r="K146" s="51"/>
      <c r="L146" s="51"/>
      <c r="M146" s="51"/>
      <c r="N146" s="51"/>
      <c r="O146" s="51"/>
      <c r="P146" s="51"/>
      <c r="Q146" s="51"/>
      <c r="R146" s="51"/>
      <c r="S146" s="51"/>
      <c r="T146" s="51"/>
      <c r="U146" s="51"/>
      <c r="V146" s="51"/>
      <c r="W146" s="51"/>
      <c r="X146" s="4"/>
      <c r="Y146" s="4"/>
    </row>
    <row r="147" spans="1:37" hidden="1">
      <c r="E147" s="270"/>
      <c r="F147" s="64"/>
      <c r="G147" s="64"/>
      <c r="H147" s="64"/>
      <c r="I147" s="64"/>
      <c r="J147" s="64"/>
      <c r="K147" s="64"/>
      <c r="L147" s="64"/>
      <c r="M147" s="64"/>
      <c r="N147" s="64"/>
      <c r="O147" s="64"/>
      <c r="P147" s="64"/>
      <c r="Q147" s="64"/>
      <c r="R147" s="64"/>
      <c r="S147" s="64"/>
      <c r="T147" s="64"/>
      <c r="U147" s="64"/>
      <c r="V147" s="64"/>
      <c r="W147" s="64"/>
    </row>
    <row r="148" spans="1:37" hidden="1">
      <c r="E148" s="270"/>
      <c r="F148" s="64"/>
      <c r="G148" s="64"/>
      <c r="H148" s="64"/>
      <c r="I148" s="64"/>
      <c r="J148" s="64"/>
      <c r="K148" s="64"/>
      <c r="L148" s="64"/>
      <c r="M148" s="64"/>
      <c r="N148" s="64"/>
      <c r="O148" s="64"/>
      <c r="P148" s="64"/>
      <c r="Q148" s="64"/>
      <c r="R148" s="64"/>
      <c r="S148" s="64"/>
      <c r="T148" s="64"/>
      <c r="U148" s="64"/>
      <c r="V148" s="64"/>
      <c r="W148" s="64"/>
    </row>
    <row r="149" spans="1:37" hidden="1">
      <c r="E149" s="270"/>
      <c r="F149" s="64"/>
      <c r="G149" s="64"/>
      <c r="H149" s="64"/>
      <c r="I149" s="64"/>
      <c r="J149" s="64"/>
      <c r="K149" s="64"/>
      <c r="L149" s="64"/>
      <c r="M149" s="64"/>
      <c r="N149" s="64"/>
      <c r="O149" s="64"/>
      <c r="P149" s="64"/>
      <c r="Q149" s="64"/>
      <c r="R149" s="64"/>
      <c r="S149" s="64"/>
      <c r="T149" s="64"/>
      <c r="U149" s="64"/>
      <c r="V149" s="64"/>
      <c r="W149" s="64"/>
    </row>
    <row r="150" spans="1:37" hidden="1">
      <c r="A150" s="5"/>
      <c r="E150" s="270"/>
      <c r="F150" s="64"/>
      <c r="G150" s="64"/>
      <c r="H150" s="64"/>
      <c r="I150" s="64"/>
      <c r="J150" s="64"/>
      <c r="K150" s="64"/>
      <c r="L150" s="64"/>
      <c r="M150" s="64"/>
      <c r="N150" s="64"/>
      <c r="O150" s="64"/>
      <c r="P150" s="64"/>
      <c r="Q150" s="64"/>
      <c r="R150" s="64"/>
      <c r="S150" s="64"/>
      <c r="T150" s="64"/>
      <c r="U150" s="64"/>
      <c r="V150" s="64"/>
      <c r="W150" s="64"/>
    </row>
    <row r="151" spans="1:37" hidden="1">
      <c r="A151" s="5"/>
      <c r="E151" s="270"/>
      <c r="F151" s="64"/>
      <c r="G151" s="64"/>
      <c r="H151" s="64"/>
      <c r="I151" s="64"/>
      <c r="J151" s="64"/>
      <c r="K151" s="64"/>
      <c r="L151" s="64"/>
      <c r="M151" s="64"/>
      <c r="N151" s="64"/>
      <c r="O151" s="64"/>
      <c r="P151" s="64"/>
      <c r="Q151" s="64"/>
      <c r="R151" s="64"/>
      <c r="S151" s="64"/>
      <c r="T151" s="64"/>
      <c r="U151" s="64"/>
      <c r="V151" s="64"/>
      <c r="W151" s="64"/>
    </row>
    <row r="152" spans="1:37" hidden="1">
      <c r="A152" s="5"/>
      <c r="E152" s="270"/>
      <c r="F152" s="64"/>
      <c r="G152" s="64"/>
      <c r="H152" s="64"/>
      <c r="I152" s="64"/>
      <c r="J152" s="64"/>
      <c r="K152" s="64"/>
      <c r="L152" s="64"/>
      <c r="M152" s="64"/>
      <c r="N152" s="64"/>
      <c r="O152" s="64"/>
      <c r="P152" s="64"/>
      <c r="Q152" s="64"/>
      <c r="R152" s="64"/>
      <c r="S152" s="64"/>
      <c r="T152" s="64"/>
      <c r="U152" s="64"/>
      <c r="V152" s="64"/>
      <c r="W152" s="64"/>
    </row>
    <row r="153" spans="1:37" hidden="1">
      <c r="A153" s="5"/>
      <c r="E153" s="270"/>
      <c r="F153" s="64"/>
      <c r="G153" s="64"/>
      <c r="H153" s="64"/>
      <c r="I153" s="64"/>
      <c r="J153" s="64"/>
      <c r="K153" s="64"/>
      <c r="L153" s="64"/>
      <c r="M153" s="64"/>
      <c r="N153" s="64"/>
      <c r="O153" s="64"/>
      <c r="P153" s="64"/>
      <c r="Q153" s="64"/>
      <c r="R153" s="64"/>
      <c r="S153" s="64"/>
      <c r="T153" s="64"/>
      <c r="U153" s="64"/>
      <c r="V153" s="64"/>
      <c r="W153" s="64"/>
    </row>
    <row r="154" spans="1:37" hidden="1">
      <c r="A154" s="5"/>
      <c r="E154" s="270"/>
      <c r="F154" s="64"/>
      <c r="G154" s="64"/>
      <c r="H154" s="64"/>
      <c r="I154" s="64"/>
      <c r="J154" s="64"/>
      <c r="K154" s="64"/>
      <c r="L154" s="64"/>
      <c r="M154" s="64"/>
      <c r="N154" s="64"/>
      <c r="O154" s="64"/>
      <c r="P154" s="64"/>
      <c r="Q154" s="64"/>
      <c r="R154" s="64"/>
      <c r="S154" s="64"/>
      <c r="T154" s="64"/>
      <c r="U154" s="64"/>
      <c r="V154" s="64"/>
      <c r="W154" s="64"/>
    </row>
    <row r="155" spans="1:37" hidden="1">
      <c r="A155" s="5"/>
      <c r="E155" s="270"/>
      <c r="F155" s="64"/>
      <c r="G155" s="64"/>
      <c r="H155" s="64"/>
      <c r="I155" s="64"/>
      <c r="J155" s="64"/>
      <c r="K155" s="64"/>
      <c r="L155" s="64"/>
      <c r="M155" s="64"/>
      <c r="N155" s="64"/>
      <c r="O155" s="64"/>
      <c r="P155" s="64"/>
      <c r="Q155" s="64"/>
      <c r="R155" s="64"/>
      <c r="S155" s="64"/>
      <c r="T155" s="64"/>
      <c r="U155" s="64"/>
      <c r="V155" s="64"/>
      <c r="W155" s="64"/>
    </row>
    <row r="156" spans="1:37" hidden="1">
      <c r="A156" s="5"/>
      <c r="E156" s="270"/>
      <c r="F156" s="64"/>
      <c r="G156" s="64"/>
      <c r="H156" s="64"/>
      <c r="I156" s="64"/>
      <c r="J156" s="64"/>
      <c r="K156" s="64"/>
      <c r="L156" s="64"/>
      <c r="M156" s="64"/>
      <c r="N156" s="64"/>
      <c r="O156" s="64"/>
      <c r="P156" s="64"/>
      <c r="Q156" s="64"/>
      <c r="R156" s="64"/>
      <c r="S156" s="64"/>
      <c r="T156" s="64"/>
      <c r="U156" s="64"/>
      <c r="V156" s="64"/>
      <c r="W156" s="64"/>
    </row>
    <row r="157" spans="1:37" hidden="1">
      <c r="A157" s="5"/>
      <c r="E157" s="270"/>
      <c r="F157" s="64"/>
      <c r="G157" s="64"/>
      <c r="H157" s="64"/>
      <c r="I157" s="64"/>
      <c r="J157" s="64"/>
      <c r="K157" s="64"/>
      <c r="L157" s="64"/>
      <c r="M157" s="64"/>
      <c r="N157" s="64"/>
      <c r="O157" s="64"/>
      <c r="P157" s="64"/>
      <c r="Q157" s="64"/>
      <c r="R157" s="64"/>
      <c r="S157" s="64"/>
      <c r="T157" s="64"/>
      <c r="U157" s="64"/>
      <c r="V157" s="64"/>
      <c r="W157" s="64"/>
    </row>
    <row r="158" spans="1:37" hidden="1">
      <c r="A158" s="5"/>
      <c r="E158" s="270"/>
      <c r="F158" s="64"/>
      <c r="G158" s="64"/>
      <c r="H158" s="64"/>
      <c r="I158" s="64"/>
      <c r="J158" s="64"/>
      <c r="K158" s="64"/>
      <c r="L158" s="64"/>
      <c r="M158" s="64"/>
      <c r="N158" s="64"/>
      <c r="O158" s="64"/>
      <c r="P158" s="64"/>
      <c r="Q158" s="64"/>
      <c r="R158" s="64"/>
      <c r="S158" s="64"/>
      <c r="T158" s="64"/>
      <c r="U158" s="64"/>
      <c r="V158" s="64"/>
      <c r="W158" s="64"/>
    </row>
    <row r="159" spans="1:37" hidden="1">
      <c r="A159" s="5"/>
      <c r="E159" s="270"/>
      <c r="F159" s="64"/>
      <c r="G159" s="64"/>
      <c r="H159" s="64"/>
      <c r="I159" s="64"/>
      <c r="J159" s="64"/>
      <c r="K159" s="64"/>
      <c r="L159" s="64"/>
      <c r="M159" s="64"/>
      <c r="N159" s="64"/>
      <c r="O159" s="64"/>
      <c r="P159" s="64"/>
      <c r="Q159" s="64"/>
      <c r="R159" s="64"/>
      <c r="S159" s="64"/>
      <c r="T159" s="64"/>
      <c r="U159" s="64"/>
      <c r="V159" s="64"/>
      <c r="W159" s="64"/>
    </row>
    <row r="160" spans="1:37" hidden="1">
      <c r="A160" s="5"/>
      <c r="E160" s="270"/>
      <c r="F160" s="64"/>
      <c r="G160" s="64"/>
      <c r="H160" s="64"/>
      <c r="I160" s="64"/>
      <c r="J160" s="64"/>
      <c r="K160" s="64"/>
      <c r="L160" s="64"/>
      <c r="M160" s="64"/>
      <c r="N160" s="64"/>
      <c r="O160" s="64"/>
      <c r="P160" s="64"/>
      <c r="Q160" s="64"/>
      <c r="R160" s="64"/>
      <c r="S160" s="64"/>
      <c r="T160" s="64"/>
      <c r="U160" s="64"/>
      <c r="V160" s="64"/>
      <c r="W160" s="64"/>
    </row>
    <row r="161" spans="1:23" hidden="1">
      <c r="A161" s="5"/>
      <c r="E161" s="270"/>
      <c r="F161" s="64"/>
      <c r="G161" s="64"/>
      <c r="H161" s="64"/>
      <c r="I161" s="64"/>
      <c r="J161" s="64"/>
      <c r="K161" s="64"/>
      <c r="L161" s="64"/>
      <c r="M161" s="64"/>
      <c r="N161" s="64"/>
      <c r="O161" s="64"/>
      <c r="P161" s="64"/>
      <c r="Q161" s="64"/>
      <c r="R161" s="64"/>
      <c r="S161" s="64"/>
      <c r="T161" s="64"/>
      <c r="U161" s="64"/>
      <c r="V161" s="64"/>
      <c r="W161" s="64"/>
    </row>
    <row r="162" spans="1:23" hidden="1">
      <c r="A162" s="5"/>
      <c r="E162" s="270"/>
      <c r="F162" s="64"/>
      <c r="G162" s="64"/>
      <c r="H162" s="64"/>
      <c r="I162" s="64"/>
      <c r="J162" s="64"/>
      <c r="K162" s="64"/>
      <c r="L162" s="64"/>
      <c r="M162" s="64"/>
      <c r="N162" s="64"/>
      <c r="O162" s="64"/>
      <c r="P162" s="64"/>
      <c r="Q162" s="64"/>
      <c r="R162" s="64"/>
      <c r="S162" s="64"/>
      <c r="T162" s="64"/>
      <c r="U162" s="64"/>
      <c r="V162" s="64"/>
      <c r="W162" s="64"/>
    </row>
    <row r="163" spans="1:23" hidden="1">
      <c r="A163" s="5"/>
      <c r="E163" s="270"/>
      <c r="F163" s="64"/>
      <c r="G163" s="64"/>
      <c r="H163" s="64"/>
      <c r="I163" s="64"/>
      <c r="J163" s="64"/>
      <c r="K163" s="64"/>
      <c r="L163" s="64"/>
      <c r="M163" s="64"/>
      <c r="N163" s="64"/>
      <c r="O163" s="64"/>
      <c r="P163" s="64"/>
      <c r="Q163" s="64"/>
      <c r="R163" s="64"/>
      <c r="S163" s="64"/>
      <c r="T163" s="64"/>
      <c r="U163" s="64"/>
      <c r="V163" s="64"/>
      <c r="W163" s="64"/>
    </row>
    <row r="164" spans="1:23" hidden="1">
      <c r="A164" s="5"/>
      <c r="E164" s="270"/>
      <c r="F164" s="64"/>
      <c r="G164" s="64"/>
      <c r="H164" s="64"/>
      <c r="I164" s="64"/>
      <c r="J164" s="64"/>
      <c r="K164" s="64"/>
      <c r="L164" s="64"/>
      <c r="M164" s="64"/>
      <c r="N164" s="64"/>
      <c r="O164" s="64"/>
      <c r="P164" s="64"/>
      <c r="Q164" s="64"/>
      <c r="R164" s="64"/>
      <c r="S164" s="64"/>
      <c r="T164" s="64"/>
      <c r="U164" s="64"/>
      <c r="V164" s="64"/>
      <c r="W164" s="64"/>
    </row>
    <row r="165" spans="1:23" hidden="1">
      <c r="A165" s="5"/>
      <c r="E165" s="270"/>
      <c r="F165" s="64"/>
      <c r="G165" s="64"/>
      <c r="H165" s="64"/>
      <c r="I165" s="64"/>
      <c r="J165" s="64"/>
      <c r="K165" s="64"/>
      <c r="L165" s="64"/>
      <c r="M165" s="64"/>
      <c r="N165" s="64"/>
      <c r="O165" s="64"/>
      <c r="P165" s="64"/>
      <c r="Q165" s="64"/>
      <c r="R165" s="64"/>
      <c r="S165" s="64"/>
      <c r="T165" s="64"/>
      <c r="U165" s="64"/>
      <c r="V165" s="64"/>
      <c r="W165" s="64"/>
    </row>
    <row r="166" spans="1:23" hidden="1">
      <c r="A166" s="5"/>
      <c r="E166" s="270"/>
      <c r="F166" s="64"/>
      <c r="G166" s="64"/>
      <c r="H166" s="64"/>
      <c r="I166" s="64"/>
      <c r="J166" s="64"/>
      <c r="K166" s="64"/>
      <c r="L166" s="64"/>
      <c r="M166" s="64"/>
      <c r="N166" s="64"/>
      <c r="O166" s="64"/>
      <c r="P166" s="64"/>
      <c r="Q166" s="64"/>
      <c r="R166" s="64"/>
      <c r="S166" s="64"/>
      <c r="T166" s="64"/>
      <c r="U166" s="64"/>
      <c r="V166" s="64"/>
      <c r="W166" s="64"/>
    </row>
    <row r="167" spans="1:23" hidden="1">
      <c r="A167" s="5"/>
      <c r="E167" s="270"/>
      <c r="F167" s="64"/>
      <c r="G167" s="64"/>
      <c r="H167" s="64"/>
      <c r="I167" s="64"/>
      <c r="J167" s="64"/>
      <c r="K167" s="64"/>
      <c r="L167" s="64"/>
      <c r="M167" s="64"/>
      <c r="N167" s="64"/>
      <c r="O167" s="64"/>
      <c r="P167" s="64"/>
      <c r="Q167" s="64"/>
      <c r="R167" s="64"/>
      <c r="S167" s="64"/>
      <c r="T167" s="64"/>
      <c r="U167" s="64"/>
      <c r="V167" s="64"/>
      <c r="W167" s="64"/>
    </row>
    <row r="168" spans="1:23" hidden="1">
      <c r="A168" s="5"/>
      <c r="E168" s="270"/>
      <c r="F168" s="64"/>
      <c r="G168" s="64"/>
      <c r="H168" s="64"/>
      <c r="I168" s="64"/>
      <c r="J168" s="64"/>
      <c r="K168" s="64"/>
      <c r="L168" s="64"/>
      <c r="M168" s="64"/>
      <c r="N168" s="64"/>
      <c r="O168" s="64"/>
      <c r="P168" s="64"/>
      <c r="Q168" s="64"/>
      <c r="R168" s="64"/>
      <c r="S168" s="64"/>
      <c r="T168" s="64"/>
      <c r="U168" s="64"/>
      <c r="V168" s="64"/>
      <c r="W168" s="64"/>
    </row>
    <row r="169" spans="1:23" hidden="1">
      <c r="A169" s="5"/>
      <c r="E169" s="270"/>
      <c r="F169" s="64"/>
      <c r="G169" s="64"/>
      <c r="H169" s="64"/>
      <c r="I169" s="64"/>
      <c r="J169" s="64"/>
      <c r="K169" s="64"/>
      <c r="L169" s="64"/>
      <c r="M169" s="64"/>
      <c r="N169" s="64"/>
      <c r="O169" s="64"/>
      <c r="P169" s="64"/>
      <c r="Q169" s="64"/>
      <c r="R169" s="64"/>
      <c r="S169" s="64"/>
      <c r="T169" s="64"/>
      <c r="U169" s="64"/>
      <c r="V169" s="64"/>
      <c r="W169" s="64"/>
    </row>
    <row r="170" spans="1:23" hidden="1">
      <c r="A170" s="5"/>
      <c r="F170" s="64"/>
      <c r="G170" s="64"/>
      <c r="H170" s="64"/>
      <c r="I170" s="64"/>
      <c r="J170" s="64"/>
      <c r="K170" s="64"/>
      <c r="L170" s="64"/>
      <c r="M170" s="64"/>
      <c r="N170" s="64"/>
      <c r="O170" s="64"/>
      <c r="P170" s="64"/>
      <c r="Q170" s="64"/>
      <c r="R170" s="64"/>
      <c r="S170" s="64"/>
      <c r="T170" s="64"/>
      <c r="U170" s="64"/>
      <c r="V170" s="64"/>
      <c r="W170" s="64"/>
    </row>
    <row r="171" spans="1:23" hidden="1">
      <c r="A171" s="5"/>
    </row>
    <row r="172" spans="1:23" hidden="1">
      <c r="A172" s="5"/>
    </row>
    <row r="173" spans="1:23" hidden="1">
      <c r="A173" s="5"/>
    </row>
    <row r="174" spans="1:23" hidden="1">
      <c r="A174" s="5"/>
    </row>
    <row r="175" spans="1:23" hidden="1">
      <c r="A175" s="5"/>
    </row>
    <row r="176" spans="1:23" hidden="1">
      <c r="A176" s="5"/>
    </row>
    <row r="177" spans="1:1" hidden="1">
      <c r="A177" s="5"/>
    </row>
    <row r="178" spans="1:1" hidden="1">
      <c r="A178" s="5"/>
    </row>
    <row r="179" spans="1:1" hidden="1">
      <c r="A179" s="5"/>
    </row>
    <row r="180" spans="1:1" hidden="1">
      <c r="A180" s="5"/>
    </row>
  </sheetData>
  <mergeCells count="3">
    <mergeCell ref="X3:X4"/>
    <mergeCell ref="Q3:S5"/>
    <mergeCell ref="Y3:Y4"/>
  </mergeCells>
  <phoneticPr fontId="26" type="noConversion"/>
  <conditionalFormatting sqref="B7:E20 P16:P19 F16:O20 Q19:Y19 P20:AD20 A20:A23 B21:AD21 E22:XFD22 AA23:XFD26 Z23:Z30 W24:Y38 Z31:XFD1048576 B110:D110 E111:I111">
    <cfRule type="cellIs" dxfId="104" priority="444" operator="equal">
      <formula>0</formula>
    </cfRule>
  </conditionalFormatting>
  <conditionalFormatting sqref="E24:E32">
    <cfRule type="cellIs" dxfId="103" priority="565" operator="equal">
      <formula>0</formula>
    </cfRule>
  </conditionalFormatting>
  <conditionalFormatting sqref="E42:E51">
    <cfRule type="cellIs" dxfId="102" priority="113" operator="equal">
      <formula>0</formula>
    </cfRule>
  </conditionalFormatting>
  <conditionalFormatting sqref="E61:E70">
    <cfRule type="cellIs" dxfId="101" priority="112" operator="equal">
      <formula>0</formula>
    </cfRule>
  </conditionalFormatting>
  <conditionalFormatting sqref="E80:E99">
    <cfRule type="cellIs" dxfId="100" priority="495" operator="equal">
      <formula>0</formula>
    </cfRule>
  </conditionalFormatting>
  <conditionalFormatting sqref="E103:E108">
    <cfRule type="cellIs" dxfId="99" priority="225" operator="equal">
      <formula>0</formula>
    </cfRule>
  </conditionalFormatting>
  <conditionalFormatting sqref="E119:E128">
    <cfRule type="cellIs" dxfId="98" priority="338" operator="equal">
      <formula>0</formula>
    </cfRule>
  </conditionalFormatting>
  <conditionalFormatting sqref="E56:H58">
    <cfRule type="cellIs" dxfId="97" priority="489" operator="equal">
      <formula>0</formula>
    </cfRule>
  </conditionalFormatting>
  <conditionalFormatting sqref="E133:I134">
    <cfRule type="cellIs" dxfId="96" priority="334" operator="equal">
      <formula>0</formula>
    </cfRule>
  </conditionalFormatting>
  <conditionalFormatting sqref="E33:N38">
    <cfRule type="cellIs" dxfId="95" priority="486" operator="equal">
      <formula>0</formula>
    </cfRule>
  </conditionalFormatting>
  <conditionalFormatting sqref="E52:O55">
    <cfRule type="cellIs" dxfId="94" priority="182" operator="equal">
      <formula>0</formula>
    </cfRule>
  </conditionalFormatting>
  <conditionalFormatting sqref="E71:O76">
    <cfRule type="cellIs" dxfId="93" priority="163" operator="equal">
      <formula>0</formula>
    </cfRule>
  </conditionalFormatting>
  <conditionalFormatting sqref="E129:P132">
    <cfRule type="cellIs" dxfId="92" priority="351" operator="equal">
      <formula>0</formula>
    </cfRule>
  </conditionalFormatting>
  <conditionalFormatting sqref="E109:U110 E112:U114">
    <cfRule type="cellIs" dxfId="91" priority="244" operator="equal">
      <formula>0</formula>
    </cfRule>
  </conditionalFormatting>
  <conditionalFormatting sqref="E115:Y118">
    <cfRule type="cellIs" dxfId="90" priority="216" operator="equal">
      <formula>0</formula>
    </cfRule>
  </conditionalFormatting>
  <conditionalFormatting sqref="F14:F15">
    <cfRule type="cellIs" dxfId="89" priority="376" operator="equal">
      <formula>0</formula>
    </cfRule>
  </conditionalFormatting>
  <conditionalFormatting sqref="F13:H13">
    <cfRule type="cellIs" dxfId="88" priority="377" operator="equal">
      <formula>0</formula>
    </cfRule>
  </conditionalFormatting>
  <conditionalFormatting sqref="F44:H44">
    <cfRule type="colorScale" priority="2216">
      <colorScale>
        <cfvo type="min"/>
        <cfvo type="max"/>
        <color rgb="FFFCFCFF"/>
        <color rgb="FF63BE7B"/>
      </colorScale>
    </cfRule>
    <cfRule type="colorScale" priority="2215">
      <colorScale>
        <cfvo type="min"/>
        <cfvo type="max"/>
        <color rgb="FFD9FBE2"/>
        <color rgb="FF00C556"/>
      </colorScale>
    </cfRule>
  </conditionalFormatting>
  <conditionalFormatting sqref="F12:I12 F11:J11 V11:V15">
    <cfRule type="colorScale" priority="1917">
      <colorScale>
        <cfvo type="min"/>
        <cfvo type="max"/>
        <color rgb="FFD9FBE2"/>
        <color rgb="FF00C556"/>
      </colorScale>
    </cfRule>
    <cfRule type="colorScale" priority="1918">
      <colorScale>
        <cfvo type="min"/>
        <cfvo type="max"/>
        <color rgb="FFFCFCFF"/>
        <color rgb="FF63BE7B"/>
      </colorScale>
    </cfRule>
  </conditionalFormatting>
  <conditionalFormatting sqref="F63:I63">
    <cfRule type="colorScale" priority="1955">
      <colorScale>
        <cfvo type="min"/>
        <cfvo type="max"/>
        <color rgb="FFD9FBE2"/>
        <color rgb="FF00C556"/>
      </colorScale>
    </cfRule>
    <cfRule type="colorScale" priority="2191">
      <colorScale>
        <cfvo type="min"/>
        <cfvo type="max"/>
        <color rgb="FFFCFCFF"/>
        <color rgb="FF63BE7B"/>
      </colorScale>
    </cfRule>
    <cfRule type="colorScale" priority="2190">
      <colorScale>
        <cfvo type="min"/>
        <cfvo type="max"/>
        <color rgb="FFD9FBE2"/>
        <color rgb="FF00C556"/>
      </colorScale>
    </cfRule>
    <cfRule type="colorScale" priority="1956">
      <colorScale>
        <cfvo type="min"/>
        <cfvo type="max"/>
        <color rgb="FFFCFCFF"/>
        <color rgb="FF63BE7B"/>
      </colorScale>
    </cfRule>
  </conditionalFormatting>
  <conditionalFormatting sqref="F67:I70">
    <cfRule type="cellIs" dxfId="87" priority="621" operator="equal">
      <formula>0</formula>
    </cfRule>
  </conditionalFormatting>
  <conditionalFormatting sqref="F111:I111">
    <cfRule type="colorScale" priority="224">
      <colorScale>
        <cfvo type="min"/>
        <cfvo type="max"/>
        <color rgb="FFFCFCFF"/>
        <color rgb="FF63BE7B"/>
      </colorScale>
    </cfRule>
    <cfRule type="colorScale" priority="233">
      <colorScale>
        <cfvo type="min"/>
        <cfvo type="max"/>
        <color rgb="FFD9FBE2"/>
        <color rgb="FF00C556"/>
      </colorScale>
    </cfRule>
    <cfRule type="colorScale" priority="234">
      <colorScale>
        <cfvo type="min"/>
        <cfvo type="max"/>
        <color rgb="FFFCFCFF"/>
        <color rgb="FF63BE7B"/>
      </colorScale>
    </cfRule>
    <cfRule type="colorScale" priority="223">
      <colorScale>
        <cfvo type="min"/>
        <cfvo type="max"/>
        <color rgb="FFD9FBE2"/>
        <color rgb="FF00C556"/>
      </colorScale>
    </cfRule>
  </conditionalFormatting>
  <conditionalFormatting sqref="F27:N32 O29:P29 O31:P32">
    <cfRule type="cellIs" dxfId="86" priority="73" operator="equal">
      <formula>0</formula>
    </cfRule>
  </conditionalFormatting>
  <conditionalFormatting sqref="F86:N86">
    <cfRule type="colorScale" priority="512">
      <colorScale>
        <cfvo type="min"/>
        <cfvo type="max"/>
        <color rgb="FFFCFCFF"/>
        <color rgb="FF63BE7B"/>
      </colorScale>
    </cfRule>
    <cfRule type="colorScale" priority="2253">
      <colorScale>
        <cfvo type="min"/>
        <cfvo type="max"/>
        <color rgb="FFFCFCFF"/>
        <color rgb="FF63BE7B"/>
      </colorScale>
    </cfRule>
    <cfRule type="colorScale" priority="511">
      <colorScale>
        <cfvo type="min"/>
        <cfvo type="max"/>
        <color rgb="FFD9FBE2"/>
        <color rgb="FF00C556"/>
      </colorScale>
    </cfRule>
    <cfRule type="colorScale" priority="2252">
      <colorScale>
        <cfvo type="min"/>
        <cfvo type="max"/>
        <color rgb="FFD9FBE2"/>
        <color rgb="FF00C556"/>
      </colorScale>
    </cfRule>
  </conditionalFormatting>
  <conditionalFormatting sqref="F32:O32">
    <cfRule type="colorScale" priority="72">
      <colorScale>
        <cfvo type="min"/>
        <cfvo type="max"/>
        <color rgb="FFFCFCFF"/>
        <color rgb="FF43AF43"/>
      </colorScale>
    </cfRule>
    <cfRule type="colorScale" priority="71">
      <colorScale>
        <cfvo type="min"/>
        <cfvo type="max"/>
        <color rgb="FFD9FBE2"/>
        <color rgb="FF43AF43"/>
      </colorScale>
    </cfRule>
    <cfRule type="colorScale" priority="70">
      <colorScale>
        <cfvo type="min"/>
        <cfvo type="max"/>
        <color rgb="FFFCFCFF"/>
        <color rgb="FF43AF43"/>
      </colorScale>
    </cfRule>
    <cfRule type="colorScale" priority="67">
      <colorScale>
        <cfvo type="min"/>
        <cfvo type="max"/>
        <color rgb="FFD9FBE2"/>
        <color rgb="FF43AF43"/>
      </colorScale>
    </cfRule>
    <cfRule type="colorScale" priority="68">
      <colorScale>
        <cfvo type="min"/>
        <cfvo type="max"/>
        <color rgb="FFFCFCFF"/>
        <color rgb="FF43AF43"/>
      </colorScale>
    </cfRule>
    <cfRule type="colorScale" priority="69">
      <colorScale>
        <cfvo type="min"/>
        <cfvo type="max"/>
        <color rgb="FFD9FBE2"/>
        <color rgb="FF43AF43"/>
      </colorScale>
    </cfRule>
  </conditionalFormatting>
  <conditionalFormatting sqref="F45:O51">
    <cfRule type="cellIs" dxfId="85" priority="59" operator="equal">
      <formula>0</formula>
    </cfRule>
  </conditionalFormatting>
  <conditionalFormatting sqref="F64:O65 F66:N66 O66:O68 J67:N68">
    <cfRule type="cellIs" dxfId="84" priority="169" operator="equal">
      <formula>0</formula>
    </cfRule>
  </conditionalFormatting>
  <conditionalFormatting sqref="F81:P97">
    <cfRule type="cellIs" dxfId="83" priority="31" operator="equal">
      <formula>0</formula>
    </cfRule>
  </conditionalFormatting>
  <conditionalFormatting sqref="F104:P108">
    <cfRule type="cellIs" dxfId="82" priority="214" operator="equal">
      <formula>0</formula>
    </cfRule>
  </conditionalFormatting>
  <conditionalFormatting sqref="F123:P128">
    <cfRule type="cellIs" dxfId="81" priority="17" operator="equal">
      <formula>0</formula>
    </cfRule>
  </conditionalFormatting>
  <conditionalFormatting sqref="F10:U11">
    <cfRule type="cellIs" dxfId="80" priority="87" operator="equal">
      <formula>0</formula>
    </cfRule>
  </conditionalFormatting>
  <conditionalFormatting sqref="F26:U26">
    <cfRule type="colorScale" priority="2343">
      <colorScale>
        <cfvo type="min"/>
        <cfvo type="max"/>
        <color rgb="FFFCFCFF"/>
        <color rgb="FF43AF43"/>
      </colorScale>
    </cfRule>
    <cfRule type="colorScale" priority="2344">
      <colorScale>
        <cfvo type="min"/>
        <cfvo type="max"/>
        <color rgb="FFD9FBE2"/>
        <color rgb="FF43AF43"/>
      </colorScale>
    </cfRule>
    <cfRule type="colorScale" priority="2345">
      <colorScale>
        <cfvo type="min"/>
        <cfvo type="max"/>
        <color rgb="FFFCFCFF"/>
        <color rgb="FF43AF43"/>
      </colorScale>
    </cfRule>
    <cfRule type="colorScale" priority="2340">
      <colorScale>
        <cfvo type="min"/>
        <cfvo type="max"/>
        <color rgb="FFD9FBE2"/>
        <color rgb="FF43AF43"/>
      </colorScale>
    </cfRule>
    <cfRule type="colorScale" priority="2341">
      <colorScale>
        <cfvo type="min"/>
        <cfvo type="max"/>
        <color rgb="FFFCFCFF"/>
        <color rgb="FF43AF43"/>
      </colorScale>
    </cfRule>
    <cfRule type="colorScale" priority="2342">
      <colorScale>
        <cfvo type="min"/>
        <cfvo type="max"/>
        <color rgb="FFD9FBE2"/>
        <color rgb="FF43AF43"/>
      </colorScale>
    </cfRule>
  </conditionalFormatting>
  <conditionalFormatting sqref="F119:U121">
    <cfRule type="cellIs" dxfId="79" priority="3" operator="equal">
      <formula>0</formula>
    </cfRule>
  </conditionalFormatting>
  <conditionalFormatting sqref="F121:U121">
    <cfRule type="colorScale" priority="18">
      <colorScale>
        <cfvo type="min"/>
        <cfvo type="max"/>
        <color rgb="FFD9FBE2"/>
        <color rgb="FF43AF43"/>
      </colorScale>
    </cfRule>
    <cfRule type="colorScale" priority="19">
      <colorScale>
        <cfvo type="min"/>
        <cfvo type="max"/>
        <color rgb="FFFCFCFF"/>
        <color rgb="FF43AF43"/>
      </colorScale>
    </cfRule>
    <cfRule type="colorScale" priority="20">
      <colorScale>
        <cfvo type="min"/>
        <cfvo type="max"/>
        <color rgb="FFD9FBE2"/>
        <color rgb="FF43AF43"/>
      </colorScale>
    </cfRule>
    <cfRule type="colorScale" priority="21">
      <colorScale>
        <cfvo type="min"/>
        <cfvo type="max"/>
        <color rgb="FFFCFCFF"/>
        <color rgb="FF43AF43"/>
      </colorScale>
    </cfRule>
    <cfRule type="colorScale" priority="22">
      <colorScale>
        <cfvo type="min"/>
        <cfvo type="max"/>
        <color rgb="FFD9FBE2"/>
        <color rgb="FF43AF43"/>
      </colorScale>
    </cfRule>
    <cfRule type="colorScale" priority="23">
      <colorScale>
        <cfvo type="min"/>
        <cfvo type="max"/>
        <color rgb="FFFCFCFF"/>
        <color rgb="FF43AF43"/>
      </colorScale>
    </cfRule>
  </conditionalFormatting>
  <conditionalFormatting sqref="F1:W2 A1:E6 F3:Q3 F4:P5 F6:W9 V10:Y15 F12:I12 Q16:U16 W16:Y18 Q17:V18 AE20:XFD21 B22:D23 E23:Y23 A24:D1048576 AA28:XFD30 Q31:U37 E39:Y41 Q45:U48 Q50:U56 W53:Y55 I57:U57 E59:Y60 Q64:U67 Q69:U76 E77:Y79 V82:Y86 R87:U90 R92:U97 E100:Y102 Q104:U107 Q123:U125 Q127:U133 E135:Y1048576">
    <cfRule type="cellIs" dxfId="78" priority="1246" operator="equal">
      <formula>0</formula>
    </cfRule>
  </conditionalFormatting>
  <conditionalFormatting sqref="F80:X80">
    <cfRule type="cellIs" dxfId="77" priority="5" operator="equal">
      <formula>0</formula>
    </cfRule>
  </conditionalFormatting>
  <conditionalFormatting sqref="F42:Y44">
    <cfRule type="cellIs" dxfId="76" priority="7" operator="equal">
      <formula>0</formula>
    </cfRule>
  </conditionalFormatting>
  <conditionalFormatting sqref="F61:Y63">
    <cfRule type="cellIs" dxfId="75" priority="6" operator="equal">
      <formula>0</formula>
    </cfRule>
  </conditionalFormatting>
  <conditionalFormatting sqref="F98:Y99">
    <cfRule type="cellIs" dxfId="74" priority="118" operator="equal">
      <formula>0</formula>
    </cfRule>
  </conditionalFormatting>
  <conditionalFormatting sqref="F103:Y103">
    <cfRule type="cellIs" dxfId="73" priority="4" operator="equal">
      <formula>0</formula>
    </cfRule>
  </conditionalFormatting>
  <conditionalFormatting sqref="G15">
    <cfRule type="cellIs" dxfId="72" priority="375" operator="equal">
      <formula>0</formula>
    </cfRule>
  </conditionalFormatting>
  <conditionalFormatting sqref="I51:O51">
    <cfRule type="colorScale" priority="53">
      <colorScale>
        <cfvo type="min"/>
        <cfvo type="max"/>
        <color rgb="FFD9FBE2"/>
        <color rgb="FF43AF43"/>
      </colorScale>
    </cfRule>
    <cfRule type="colorScale" priority="58">
      <colorScale>
        <cfvo type="min"/>
        <cfvo type="max"/>
        <color rgb="FFFCFCFF"/>
        <color rgb="FF43AF43"/>
      </colorScale>
    </cfRule>
    <cfRule type="colorScale" priority="57">
      <colorScale>
        <cfvo type="min"/>
        <cfvo type="max"/>
        <color rgb="FFD9FBE2"/>
        <color rgb="FF43AF43"/>
      </colorScale>
    </cfRule>
    <cfRule type="colorScale" priority="56">
      <colorScale>
        <cfvo type="min"/>
        <cfvo type="max"/>
        <color rgb="FFFCFCFF"/>
        <color rgb="FF43AF43"/>
      </colorScale>
    </cfRule>
    <cfRule type="colorScale" priority="55">
      <colorScale>
        <cfvo type="min"/>
        <cfvo type="max"/>
        <color rgb="FFD9FBE2"/>
        <color rgb="FF43AF43"/>
      </colorScale>
    </cfRule>
    <cfRule type="colorScale" priority="54">
      <colorScale>
        <cfvo type="min"/>
        <cfvo type="max"/>
        <color rgb="FFFCFCFF"/>
        <color rgb="FF43AF43"/>
      </colorScale>
    </cfRule>
  </conditionalFormatting>
  <conditionalFormatting sqref="I56:O56">
    <cfRule type="cellIs" dxfId="71" priority="473" operator="equal">
      <formula>0</formula>
    </cfRule>
  </conditionalFormatting>
  <conditionalFormatting sqref="I44:U44">
    <cfRule type="colorScale" priority="65">
      <colorScale>
        <cfvo type="min"/>
        <cfvo type="max"/>
        <color rgb="FFFCFCFF"/>
        <color rgb="FF43AF43"/>
      </colorScale>
    </cfRule>
    <cfRule type="colorScale" priority="64">
      <colorScale>
        <cfvo type="min"/>
        <cfvo type="max"/>
        <color rgb="FFD9FBE2"/>
        <color rgb="FF43AF43"/>
      </colorScale>
    </cfRule>
    <cfRule type="colorScale" priority="63">
      <colorScale>
        <cfvo type="min"/>
        <cfvo type="max"/>
        <color rgb="FFFCFCFF"/>
        <color rgb="FF43AF43"/>
      </colorScale>
    </cfRule>
    <cfRule type="colorScale" priority="62">
      <colorScale>
        <cfvo type="min"/>
        <cfvo type="max"/>
        <color rgb="FFD9FBE2"/>
        <color rgb="FF43AF43"/>
      </colorScale>
    </cfRule>
    <cfRule type="colorScale" priority="60">
      <colorScale>
        <cfvo type="min"/>
        <cfvo type="max"/>
        <color rgb="FFD9FBE2"/>
        <color rgb="FF43AF43"/>
      </colorScale>
    </cfRule>
    <cfRule type="colorScale" priority="61">
      <colorScale>
        <cfvo type="min"/>
        <cfvo type="max"/>
        <color rgb="FFFCFCFF"/>
        <color rgb="FF43AF43"/>
      </colorScale>
    </cfRule>
  </conditionalFormatting>
  <conditionalFormatting sqref="I58:Y58">
    <cfRule type="cellIs" dxfId="70" priority="471" operator="equal">
      <formula>0</formula>
    </cfRule>
  </conditionalFormatting>
  <conditionalFormatting sqref="J69:O70">
    <cfRule type="cellIs" dxfId="69" priority="45" operator="equal">
      <formula>0</formula>
    </cfRule>
  </conditionalFormatting>
  <conditionalFormatting sqref="J70:O70">
    <cfRule type="colorScale" priority="43">
      <colorScale>
        <cfvo type="min"/>
        <cfvo type="max"/>
        <color rgb="FFD9FBE2"/>
        <color rgb="FF43AF43"/>
      </colorScale>
    </cfRule>
    <cfRule type="colorScale" priority="42">
      <colorScale>
        <cfvo type="min"/>
        <cfvo type="max"/>
        <color rgb="FFFCFCFF"/>
        <color rgb="FF43AF43"/>
      </colorScale>
    </cfRule>
    <cfRule type="colorScale" priority="41">
      <colorScale>
        <cfvo type="min"/>
        <cfvo type="max"/>
        <color rgb="FFD9FBE2"/>
        <color rgb="FF43AF43"/>
      </colorScale>
    </cfRule>
    <cfRule type="colorScale" priority="40">
      <colorScale>
        <cfvo type="min"/>
        <cfvo type="max"/>
        <color rgb="FFFCFCFF"/>
        <color rgb="FF43AF43"/>
      </colorScale>
    </cfRule>
    <cfRule type="colorScale" priority="39">
      <colorScale>
        <cfvo type="min"/>
        <cfvo type="max"/>
        <color rgb="FFD9FBE2"/>
        <color rgb="FF43AF43"/>
      </colorScale>
    </cfRule>
    <cfRule type="colorScale" priority="44">
      <colorScale>
        <cfvo type="min"/>
        <cfvo type="max"/>
        <color rgb="FFFCFCFF"/>
        <color rgb="FF43AF43"/>
      </colorScale>
    </cfRule>
  </conditionalFormatting>
  <conditionalFormatting sqref="J133:P133">
    <cfRule type="cellIs" dxfId="68" priority="116" operator="equal">
      <formula>0</formula>
    </cfRule>
  </conditionalFormatting>
  <conditionalFormatting sqref="J63:U63">
    <cfRule type="colorScale" priority="51">
      <colorScale>
        <cfvo type="min"/>
        <cfvo type="max"/>
        <color rgb="FFFCFCFF"/>
        <color rgb="FF43AF43"/>
      </colorScale>
    </cfRule>
    <cfRule type="colorScale" priority="47">
      <colorScale>
        <cfvo type="min"/>
        <cfvo type="max"/>
        <color rgb="FFFCFCFF"/>
        <color rgb="FF43AF43"/>
      </colorScale>
    </cfRule>
    <cfRule type="colorScale" priority="48">
      <colorScale>
        <cfvo type="min"/>
        <cfvo type="max"/>
        <color rgb="FFD9FBE2"/>
        <color rgb="FF43AF43"/>
      </colorScale>
    </cfRule>
    <cfRule type="colorScale" priority="46">
      <colorScale>
        <cfvo type="min"/>
        <cfvo type="max"/>
        <color rgb="FFD9FBE2"/>
        <color rgb="FF43AF43"/>
      </colorScale>
    </cfRule>
    <cfRule type="colorScale" priority="49">
      <colorScale>
        <cfvo type="min"/>
        <cfvo type="max"/>
        <color rgb="FFFCFCFF"/>
        <color rgb="FF43AF43"/>
      </colorScale>
    </cfRule>
    <cfRule type="colorScale" priority="50">
      <colorScale>
        <cfvo type="min"/>
        <cfvo type="max"/>
        <color rgb="FFD9FBE2"/>
        <color rgb="FF43AF43"/>
      </colorScale>
    </cfRule>
  </conditionalFormatting>
  <conditionalFormatting sqref="J134:Y134">
    <cfRule type="cellIs" dxfId="67" priority="335" operator="equal">
      <formula>0</formula>
    </cfRule>
  </conditionalFormatting>
  <conditionalFormatting sqref="K128:O128">
    <cfRule type="colorScale" priority="16">
      <colorScale>
        <cfvo type="min"/>
        <cfvo type="max"/>
        <color rgb="FFFCFCFF"/>
        <color rgb="FF43AF43"/>
      </colorScale>
    </cfRule>
    <cfRule type="colorScale" priority="15">
      <colorScale>
        <cfvo type="min"/>
        <cfvo type="max"/>
        <color rgb="FFD9FBE2"/>
        <color rgb="FF43AF43"/>
      </colorScale>
    </cfRule>
    <cfRule type="colorScale" priority="13">
      <colorScale>
        <cfvo type="min"/>
        <cfvo type="max"/>
        <color rgb="FFD9FBE2"/>
        <color rgb="FF43AF43"/>
      </colorScale>
    </cfRule>
    <cfRule type="colorScale" priority="12">
      <colorScale>
        <cfvo type="min"/>
        <cfvo type="max"/>
        <color rgb="FFFCFCFF"/>
        <color rgb="FF43AF43"/>
      </colorScale>
    </cfRule>
    <cfRule type="colorScale" priority="11">
      <colorScale>
        <cfvo type="min"/>
        <cfvo type="max"/>
        <color rgb="FFD9FBE2"/>
        <color rgb="FF43AF43"/>
      </colorScale>
    </cfRule>
    <cfRule type="colorScale" priority="14">
      <colorScale>
        <cfvo type="min"/>
        <cfvo type="max"/>
        <color rgb="FFFCFCFF"/>
        <color rgb="FF43AF43"/>
      </colorScale>
    </cfRule>
  </conditionalFormatting>
  <conditionalFormatting sqref="K11:U11">
    <cfRule type="colorScale" priority="84">
      <colorScale>
        <cfvo type="min"/>
        <cfvo type="max"/>
        <color rgb="FFFCFCFF"/>
        <color rgb="FF43AF43"/>
      </colorScale>
    </cfRule>
    <cfRule type="colorScale" priority="86">
      <colorScale>
        <cfvo type="min"/>
        <cfvo type="max"/>
        <color rgb="FFFCFCFF"/>
        <color rgb="FF43AF43"/>
      </colorScale>
    </cfRule>
    <cfRule type="colorScale" priority="85">
      <colorScale>
        <cfvo type="min"/>
        <cfvo type="max"/>
        <color rgb="FFD9FBE2"/>
        <color rgb="FF43AF43"/>
      </colorScale>
    </cfRule>
    <cfRule type="colorScale" priority="83">
      <colorScale>
        <cfvo type="min"/>
        <cfvo type="max"/>
        <color rgb="FFD9FBE2"/>
        <color rgb="FF43AF43"/>
      </colorScale>
    </cfRule>
    <cfRule type="colorScale" priority="82">
      <colorScale>
        <cfvo type="min"/>
        <cfvo type="max"/>
        <color rgb="FFFCFCFF"/>
        <color rgb="FF43AF43"/>
      </colorScale>
    </cfRule>
    <cfRule type="colorScale" priority="81">
      <colorScale>
        <cfvo type="min"/>
        <cfvo type="max"/>
        <color rgb="FFD9FBE2"/>
        <color rgb="FF43AF43"/>
      </colorScale>
    </cfRule>
  </conditionalFormatting>
  <conditionalFormatting sqref="N93:O93">
    <cfRule type="colorScale" priority="27">
      <colorScale>
        <cfvo type="min"/>
        <cfvo type="max"/>
        <color rgb="FFD9FBE2"/>
        <color rgb="FF43AF43"/>
      </colorScale>
    </cfRule>
    <cfRule type="colorScale" priority="29">
      <colorScale>
        <cfvo type="min"/>
        <cfvo type="max"/>
        <color rgb="FFD9FBE2"/>
        <color rgb="FF43AF43"/>
      </colorScale>
    </cfRule>
    <cfRule type="colorScale" priority="30">
      <colorScale>
        <cfvo type="min"/>
        <cfvo type="max"/>
        <color rgb="FFFCFCFF"/>
        <color rgb="FF43AF43"/>
      </colorScale>
    </cfRule>
    <cfRule type="colorScale" priority="28">
      <colorScale>
        <cfvo type="min"/>
        <cfvo type="max"/>
        <color rgb="FFFCFCFF"/>
        <color rgb="FF43AF43"/>
      </colorScale>
    </cfRule>
    <cfRule type="colorScale" priority="25">
      <colorScale>
        <cfvo type="min"/>
        <cfvo type="max"/>
        <color rgb="FFD9FBE2"/>
        <color rgb="FF43AF43"/>
      </colorScale>
    </cfRule>
    <cfRule type="colorScale" priority="26">
      <colorScale>
        <cfvo type="min"/>
        <cfvo type="max"/>
        <color rgb="FFFCFCFF"/>
        <color rgb="FF43AF43"/>
      </colorScale>
    </cfRule>
  </conditionalFormatting>
  <conditionalFormatting sqref="O24">
    <cfRule type="cellIs" dxfId="66" priority="8" operator="equal">
      <formula>0</formula>
    </cfRule>
  </conditionalFormatting>
  <conditionalFormatting sqref="O86:P86">
    <cfRule type="colorScale" priority="2012">
      <colorScale>
        <cfvo type="min"/>
        <cfvo type="max"/>
        <color rgb="FFD9FBE2"/>
        <color rgb="FF00C556"/>
      </colorScale>
    </cfRule>
    <cfRule type="colorScale" priority="2013">
      <colorScale>
        <cfvo type="min"/>
        <cfvo type="max"/>
        <color rgb="FFFCFCFF"/>
        <color rgb="FF63BE7B"/>
      </colorScale>
    </cfRule>
  </conditionalFormatting>
  <conditionalFormatting sqref="O93:P93">
    <cfRule type="colorScale" priority="2015">
      <colorScale>
        <cfvo type="min"/>
        <cfvo type="max"/>
        <color rgb="FFFCFCFF"/>
        <color rgb="FF63BE7B"/>
      </colorScale>
    </cfRule>
    <cfRule type="colorScale" priority="2014">
      <colorScale>
        <cfvo type="min"/>
        <cfvo type="max"/>
        <color rgb="FFD9FBE2"/>
        <color rgb="FF00C556"/>
      </colorScale>
    </cfRule>
  </conditionalFormatting>
  <conditionalFormatting sqref="O38:Y38">
    <cfRule type="cellIs" dxfId="65" priority="130" operator="equal">
      <formula>0</formula>
    </cfRule>
  </conditionalFormatting>
  <conditionalFormatting sqref="P25">
    <cfRule type="cellIs" dxfId="64" priority="2" operator="equal">
      <formula>0</formula>
    </cfRule>
  </conditionalFormatting>
  <conditionalFormatting sqref="P32">
    <cfRule type="colorScale" priority="138">
      <colorScale>
        <cfvo type="min"/>
        <cfvo type="max"/>
        <color rgb="FFD9FBE2"/>
        <color rgb="FF00C556"/>
      </colorScale>
    </cfRule>
    <cfRule type="colorScale" priority="139">
      <colorScale>
        <cfvo type="min"/>
        <cfvo type="max"/>
        <color rgb="FFFCFCFF"/>
        <color rgb="FF63BE7B"/>
      </colorScale>
    </cfRule>
  </conditionalFormatting>
  <conditionalFormatting sqref="P45:P56">
    <cfRule type="cellIs" dxfId="63" priority="147" operator="equal">
      <formula>0</formula>
    </cfRule>
  </conditionalFormatting>
  <conditionalFormatting sqref="P51">
    <cfRule type="colorScale" priority="154">
      <colorScale>
        <cfvo type="min"/>
        <cfvo type="max"/>
        <color rgb="FFD9FBE2"/>
        <color rgb="FF00C556"/>
      </colorScale>
    </cfRule>
    <cfRule type="colorScale" priority="155">
      <colorScale>
        <cfvo type="min"/>
        <cfvo type="max"/>
        <color rgb="FFFCFCFF"/>
        <color rgb="FF63BE7B"/>
      </colorScale>
    </cfRule>
  </conditionalFormatting>
  <conditionalFormatting sqref="P64:P76">
    <cfRule type="cellIs" dxfId="62" priority="174" operator="equal">
      <formula>0</formula>
    </cfRule>
  </conditionalFormatting>
  <conditionalFormatting sqref="P70">
    <cfRule type="colorScale" priority="401">
      <colorScale>
        <cfvo type="min"/>
        <cfvo type="max"/>
        <color rgb="FFD9FBE2"/>
        <color rgb="FF00C556"/>
      </colorScale>
    </cfRule>
    <cfRule type="colorScale" priority="402">
      <colorScale>
        <cfvo type="min"/>
        <cfvo type="max"/>
        <color rgb="FFFCFCFF"/>
        <color rgb="FF63BE7B"/>
      </colorScale>
    </cfRule>
  </conditionalFormatting>
  <conditionalFormatting sqref="P128">
    <cfRule type="colorScale" priority="2041">
      <colorScale>
        <cfvo type="min"/>
        <cfvo type="max"/>
        <color rgb="FFD9FBE2"/>
        <color rgb="FF00C556"/>
      </colorScale>
    </cfRule>
    <cfRule type="colorScale" priority="2042">
      <colorScale>
        <cfvo type="min"/>
        <cfvo type="max"/>
        <color rgb="FFFCFCFF"/>
        <color rgb="FF63BE7B"/>
      </colorScale>
    </cfRule>
  </conditionalFormatting>
  <conditionalFormatting sqref="P24:Y24 Q25:Y25 F26:Y26 A7 F24:N24 F25:O25 O27:P28 O30:P30 O33:P37">
    <cfRule type="cellIs" dxfId="61" priority="880" operator="equal">
      <formula>0</formula>
    </cfRule>
  </conditionalFormatting>
  <conditionalFormatting sqref="Q87:Q97">
    <cfRule type="cellIs" dxfId="60" priority="453" operator="equal">
      <formula>0</formula>
    </cfRule>
  </conditionalFormatting>
  <conditionalFormatting sqref="Q93">
    <cfRule type="colorScale" priority="459">
      <colorScale>
        <cfvo type="min"/>
        <cfvo type="max"/>
        <color rgb="FFD9FBE2"/>
        <color rgb="FF00C556"/>
      </colorScale>
    </cfRule>
    <cfRule type="colorScale" priority="460">
      <colorScale>
        <cfvo type="min"/>
        <cfvo type="max"/>
        <color rgb="FFFCFCFF"/>
        <color rgb="FF63BE7B"/>
      </colorScale>
    </cfRule>
  </conditionalFormatting>
  <conditionalFormatting sqref="Q32:U32">
    <cfRule type="colorScale" priority="2247">
      <colorScale>
        <cfvo type="min"/>
        <cfvo type="max"/>
        <color rgb="FFFCFCFF"/>
        <color rgb="FF63BE7B"/>
      </colorScale>
    </cfRule>
    <cfRule type="colorScale" priority="2246">
      <colorScale>
        <cfvo type="min"/>
        <cfvo type="max"/>
        <color rgb="FFD9FBE2"/>
        <color rgb="FF00C556"/>
      </colorScale>
    </cfRule>
  </conditionalFormatting>
  <conditionalFormatting sqref="Q51:U51 F51:H51">
    <cfRule type="colorScale" priority="2222">
      <colorScale>
        <cfvo type="min"/>
        <cfvo type="max"/>
        <color rgb="FFFCFCFF"/>
        <color rgb="FF63BE7B"/>
      </colorScale>
    </cfRule>
    <cfRule type="colorScale" priority="2221">
      <colorScale>
        <cfvo type="min"/>
        <cfvo type="max"/>
        <color rgb="FFD9FBE2"/>
        <color rgb="FF00C556"/>
      </colorScale>
    </cfRule>
  </conditionalFormatting>
  <conditionalFormatting sqref="Q70:U70 F70:I70">
    <cfRule type="colorScale" priority="2197">
      <colorScale>
        <cfvo type="min"/>
        <cfvo type="max"/>
        <color rgb="FFFCFCFF"/>
        <color rgb="FF63BE7B"/>
      </colorScale>
    </cfRule>
    <cfRule type="colorScale" priority="2196">
      <colorScale>
        <cfvo type="min"/>
        <cfvo type="max"/>
        <color rgb="FFD9FBE2"/>
        <color rgb="FF00C556"/>
      </colorScale>
    </cfRule>
  </conditionalFormatting>
  <conditionalFormatting sqref="Q81:U86">
    <cfRule type="cellIs" dxfId="59" priority="38" operator="equal">
      <formula>0</formula>
    </cfRule>
  </conditionalFormatting>
  <conditionalFormatting sqref="Q86:U86">
    <cfRule type="colorScale" priority="32">
      <colorScale>
        <cfvo type="min"/>
        <cfvo type="max"/>
        <color rgb="FFD9FBE2"/>
        <color rgb="FF43AF43"/>
      </colorScale>
    </cfRule>
    <cfRule type="colorScale" priority="33">
      <colorScale>
        <cfvo type="min"/>
        <cfvo type="max"/>
        <color rgb="FFFCFCFF"/>
        <color rgb="FF43AF43"/>
      </colorScale>
    </cfRule>
    <cfRule type="colorScale" priority="34">
      <colorScale>
        <cfvo type="min"/>
        <cfvo type="max"/>
        <color rgb="FFD9FBE2"/>
        <color rgb="FF43AF43"/>
      </colorScale>
    </cfRule>
    <cfRule type="colorScale" priority="35">
      <colorScale>
        <cfvo type="min"/>
        <cfvo type="max"/>
        <color rgb="FFFCFCFF"/>
        <color rgb="FF43AF43"/>
      </colorScale>
    </cfRule>
    <cfRule type="colorScale" priority="36">
      <colorScale>
        <cfvo type="min"/>
        <cfvo type="max"/>
        <color rgb="FFD9FBE2"/>
        <color rgb="FF43AF43"/>
      </colorScale>
    </cfRule>
    <cfRule type="colorScale" priority="37">
      <colorScale>
        <cfvo type="min"/>
        <cfvo type="max"/>
        <color rgb="FFFCFCFF"/>
        <color rgb="FF43AF43"/>
      </colorScale>
    </cfRule>
  </conditionalFormatting>
  <conditionalFormatting sqref="Q128:U128 F128:J128 O128">
    <cfRule type="colorScale" priority="2313">
      <colorScale>
        <cfvo type="min"/>
        <cfvo type="max"/>
        <color rgb="FFD9FBE2"/>
        <color rgb="FF00C556"/>
      </colorScale>
    </cfRule>
    <cfRule type="colorScale" priority="2314">
      <colorScale>
        <cfvo type="min"/>
        <cfvo type="max"/>
        <color rgb="FFFCFCFF"/>
        <color rgb="FF63BE7B"/>
      </colorScale>
    </cfRule>
  </conditionalFormatting>
  <conditionalFormatting sqref="Q27:V30 V34:V35">
    <cfRule type="cellIs" dxfId="58" priority="578" operator="equal">
      <formula>0</formula>
    </cfRule>
  </conditionalFormatting>
  <conditionalFormatting sqref="R93:U93 F93:M93">
    <cfRule type="colorScale" priority="2256">
      <colorScale>
        <cfvo type="min"/>
        <cfvo type="max"/>
        <color rgb="FFD9FBE2"/>
        <color rgb="FF00C556"/>
      </colorScale>
    </cfRule>
    <cfRule type="colorScale" priority="2257">
      <colorScale>
        <cfvo type="min"/>
        <cfvo type="max"/>
        <color rgb="FFFCFCFF"/>
        <color rgb="FF63BE7B"/>
      </colorScale>
    </cfRule>
  </conditionalFormatting>
  <conditionalFormatting sqref="V34 V28">
    <cfRule type="colorScale" priority="583">
      <colorScale>
        <cfvo type="min"/>
        <cfvo type="max"/>
        <color rgb="FFFCFCFF"/>
        <color rgb="FF63BE7B"/>
      </colorScale>
    </cfRule>
    <cfRule type="colorScale" priority="582">
      <colorScale>
        <cfvo type="min"/>
        <cfvo type="max"/>
        <color rgb="FFD9FBE2"/>
        <color rgb="FF00C556"/>
      </colorScale>
    </cfRule>
  </conditionalFormatting>
  <conditionalFormatting sqref="V45:V49 V53:V54">
    <cfRule type="cellIs" dxfId="57" priority="552" operator="equal">
      <formula>0</formula>
    </cfRule>
  </conditionalFormatting>
  <conditionalFormatting sqref="V46:V47 V53">
    <cfRule type="colorScale" priority="557">
      <colorScale>
        <cfvo type="min"/>
        <cfvo type="max"/>
        <color rgb="FFFCFCFF"/>
        <color rgb="FF63BE7B"/>
      </colorScale>
    </cfRule>
    <cfRule type="colorScale" priority="556">
      <colorScale>
        <cfvo type="min"/>
        <cfvo type="max"/>
        <color rgb="FFD9FBE2"/>
        <color rgb="FF00C556"/>
      </colorScale>
    </cfRule>
  </conditionalFormatting>
  <conditionalFormatting sqref="V64:V73">
    <cfRule type="cellIs" dxfId="56" priority="630" operator="equal">
      <formula>0</formula>
    </cfRule>
  </conditionalFormatting>
  <conditionalFormatting sqref="V65:V66">
    <cfRule type="colorScale" priority="635">
      <colorScale>
        <cfvo type="min"/>
        <cfvo type="max"/>
        <color rgb="FFFCFCFF"/>
        <color rgb="FF63BE7B"/>
      </colorScale>
    </cfRule>
    <cfRule type="colorScale" priority="634">
      <colorScale>
        <cfvo type="min"/>
        <cfvo type="max"/>
        <color rgb="FFD9FBE2"/>
        <color rgb="FF00C556"/>
      </colorScale>
    </cfRule>
  </conditionalFormatting>
  <conditionalFormatting sqref="V87:V91">
    <cfRule type="cellIs" dxfId="55" priority="526" operator="equal">
      <formula>0</formula>
    </cfRule>
  </conditionalFormatting>
  <conditionalFormatting sqref="V89">
    <cfRule type="colorScale" priority="531">
      <colorScale>
        <cfvo type="min"/>
        <cfvo type="max"/>
        <color rgb="FFFCFCFF"/>
        <color rgb="FF63BE7B"/>
      </colorScale>
    </cfRule>
    <cfRule type="colorScale" priority="530">
      <colorScale>
        <cfvo type="min"/>
        <cfvo type="max"/>
        <color rgb="FFD9FBE2"/>
        <color rgb="FF00C556"/>
      </colorScale>
    </cfRule>
  </conditionalFormatting>
  <conditionalFormatting sqref="V105:V108 V111:V113">
    <cfRule type="cellIs" dxfId="54" priority="237" operator="equal">
      <formula>0</formula>
    </cfRule>
  </conditionalFormatting>
  <conditionalFormatting sqref="V112 V106">
    <cfRule type="colorScale" priority="241">
      <colorScale>
        <cfvo type="min"/>
        <cfvo type="max"/>
        <color rgb="FFD9FBE2"/>
        <color rgb="FF00C556"/>
      </colorScale>
    </cfRule>
    <cfRule type="colorScale" priority="242">
      <colorScale>
        <cfvo type="min"/>
        <cfvo type="max"/>
        <color rgb="FFFCFCFF"/>
        <color rgb="FF63BE7B"/>
      </colorScale>
    </cfRule>
  </conditionalFormatting>
  <conditionalFormatting sqref="V125:V126 V131">
    <cfRule type="cellIs" dxfId="53" priority="346" operator="equal">
      <formula>0</formula>
    </cfRule>
  </conditionalFormatting>
  <conditionalFormatting sqref="V81:X81 W87:Y97">
    <cfRule type="cellIs" dxfId="52" priority="529" operator="equal">
      <formula>0</formula>
    </cfRule>
  </conditionalFormatting>
  <conditionalFormatting sqref="V33:Y33">
    <cfRule type="cellIs" dxfId="51" priority="581" operator="equal">
      <formula>0</formula>
    </cfRule>
  </conditionalFormatting>
  <conditionalFormatting sqref="V37:Y37">
    <cfRule type="cellIs" dxfId="50" priority="559" operator="equal">
      <formula>0</formula>
    </cfRule>
  </conditionalFormatting>
  <conditionalFormatting sqref="V56:Y57">
    <cfRule type="cellIs" dxfId="49" priority="533" operator="equal">
      <formula>0</formula>
    </cfRule>
  </conditionalFormatting>
  <conditionalFormatting sqref="V75:Y76">
    <cfRule type="cellIs" dxfId="48" priority="493" operator="equal">
      <formula>0</formula>
    </cfRule>
  </conditionalFormatting>
  <conditionalFormatting sqref="V104:Y104">
    <cfRule type="cellIs" dxfId="47" priority="240" operator="equal">
      <formula>0</formula>
    </cfRule>
  </conditionalFormatting>
  <conditionalFormatting sqref="V119:Y124">
    <cfRule type="cellIs" dxfId="46" priority="88" operator="equal">
      <formula>0</formula>
    </cfRule>
  </conditionalFormatting>
  <conditionalFormatting sqref="V133:Y133">
    <cfRule type="cellIs" dxfId="45" priority="336" operator="equal">
      <formula>0</formula>
    </cfRule>
  </conditionalFormatting>
  <conditionalFormatting sqref="W45:Y50 V52:Y52">
    <cfRule type="cellIs" dxfId="44" priority="555" operator="equal">
      <formula>0</formula>
    </cfRule>
  </conditionalFormatting>
  <conditionalFormatting sqref="W64:Y74">
    <cfRule type="cellIs" dxfId="43" priority="633" operator="equal">
      <formula>0</formula>
    </cfRule>
  </conditionalFormatting>
  <conditionalFormatting sqref="W105:Y114">
    <cfRule type="cellIs" dxfId="42" priority="122" operator="equal">
      <formula>0</formula>
    </cfRule>
  </conditionalFormatting>
  <conditionalFormatting sqref="W125:Y132">
    <cfRule type="cellIs" dxfId="41" priority="347" operator="equal">
      <formula>0</formula>
    </cfRule>
  </conditionalFormatting>
  <conditionalFormatting sqref="X1:Y3">
    <cfRule type="cellIs" dxfId="40" priority="1060" operator="equal">
      <formula>0</formula>
    </cfRule>
  </conditionalFormatting>
  <conditionalFormatting sqref="X5:Y9">
    <cfRule type="cellIs" dxfId="39" priority="1061" operator="equal">
      <formula>0</formula>
    </cfRule>
  </conditionalFormatting>
  <conditionalFormatting sqref="Y32">
    <cfRule type="cellIs" dxfId="38" priority="129" operator="equal">
      <formula>0</formula>
    </cfRule>
  </conditionalFormatting>
  <conditionalFormatting sqref="Y51">
    <cfRule type="cellIs" dxfId="37" priority="128" operator="equal">
      <formula>0</formula>
    </cfRule>
  </conditionalFormatting>
  <conditionalFormatting sqref="Y80:Y81">
    <cfRule type="cellIs" dxfId="36" priority="124" operator="equal">
      <formula>0</formula>
    </cfRule>
  </conditionalFormatting>
  <conditionalFormatting sqref="Z1:XFD19">
    <cfRule type="cellIs" dxfId="35" priority="1094" operator="equal">
      <formula>0</formula>
    </cfRule>
  </conditionalFormatting>
  <conditionalFormatting sqref="AA27:AH27">
    <cfRule type="cellIs" dxfId="34" priority="887" operator="equal">
      <formula>0</formula>
    </cfRule>
  </conditionalFormatting>
  <hyperlinks>
    <hyperlink ref="A17" location="'Projeções - CG + Capex'!A1" display="Projeções - CG + Capex" xr:uid="{B7D58239-838B-4D5B-ADDD-C8507D172491}"/>
    <hyperlink ref="A19" location="Processos!A1" display="Processos" xr:uid="{CB557FA8-3ADD-4A07-8148-544DB57F2236}"/>
    <hyperlink ref="A8" location="Dashboard!A1" display="Dashboard" xr:uid="{F661D361-2E47-41F2-A32D-10CD199347E6}"/>
    <hyperlink ref="A9" location="WACC!A1" display="WACC" xr:uid="{268719B5-DBFD-4245-8B0A-AB24C57D18C4}"/>
    <hyperlink ref="A11" location="'DRE + DCF'!A1" display="DRE + DCF" xr:uid="{1C1E6BB6-DFA3-41D4-8625-083A680AC72A}"/>
    <hyperlink ref="A13" location="'DRE - Contas Abertas'!A1" display="DRE - Contas Abertas" xr:uid="{D911378E-7127-40EC-9C2F-823C16691954}"/>
    <hyperlink ref="A14" location="'Balanço Patrimonial'!A1" display="Balanço Patrimonial" xr:uid="{623754E1-0876-4E5D-BB26-A82BC4E40545}"/>
    <hyperlink ref="A10" location="'DRE Consolidado'!A1" display="DRE Consolidado" xr:uid="{294C7B39-3F71-4FC2-BA7D-027158815CF2}"/>
    <hyperlink ref="A16" location="'Projeções - Receita'!A1" display="Projeções - Receita" xr:uid="{D2771472-0BF8-4D63-BAEE-61093DB25049}"/>
    <hyperlink ref="A15" location="'Painel de Índices'!A1" display="Painel de Índices" xr:uid="{BED41E75-9076-44A7-99E6-7B911E6B90BD}"/>
    <hyperlink ref="A18" location="'Projeções 2023'!A1" display="Projeções 2022" xr:uid="{F4DC3DDE-1E4A-4C2F-80BC-E6E5718DCE94}"/>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Planilha17"/>
  <dimension ref="A1:BN185"/>
  <sheetViews>
    <sheetView showGridLines="0" zoomScale="55" zoomScaleNormal="55" workbookViewId="0">
      <selection activeCell="AH7" sqref="AH7:AL84"/>
    </sheetView>
  </sheetViews>
  <sheetFormatPr defaultColWidth="0" defaultRowHeight="0" customHeight="1" zeroHeight="1"/>
  <cols>
    <col min="1" max="1" width="39.140625" style="3" customWidth="1"/>
    <col min="2" max="4" width="9.140625" style="5" customWidth="1"/>
    <col min="5" max="9" width="7.28515625" style="5" customWidth="1"/>
    <col min="10" max="10" width="20.28515625" style="5" customWidth="1"/>
    <col min="11" max="11" width="13.7109375" style="5" bestFit="1" customWidth="1"/>
    <col min="12" max="13" width="13.28515625" style="5" bestFit="1" customWidth="1"/>
    <col min="14" max="14" width="11.42578125" style="5" bestFit="1" customWidth="1"/>
    <col min="15" max="15" width="13.28515625" style="5" bestFit="1" customWidth="1"/>
    <col min="16" max="16" width="15.42578125" style="5" bestFit="1" customWidth="1"/>
    <col min="17" max="20" width="15.42578125" style="5" customWidth="1"/>
    <col min="21" max="22" width="18" style="5" bestFit="1" customWidth="1"/>
    <col min="23" max="24" width="15.42578125" style="5" bestFit="1" customWidth="1"/>
    <col min="25" max="26" width="16.7109375" style="5" bestFit="1" customWidth="1"/>
    <col min="27" max="38" width="9.140625" style="5" customWidth="1"/>
    <col min="39" max="44" width="9.140625" style="5" hidden="1" customWidth="1"/>
    <col min="45" max="47" width="0" style="5" hidden="1" customWidth="1"/>
    <col min="48" max="66" width="9.140625" style="5" hidden="1" customWidth="1"/>
    <col min="67" max="16384" width="0" style="5" hidden="1"/>
  </cols>
  <sheetData>
    <row r="1" spans="1:40" ht="15" customHeight="1">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c r="AI1" s="4"/>
      <c r="AJ1" s="4"/>
      <c r="AK1" s="4"/>
      <c r="AL1" s="4"/>
    </row>
    <row r="2" spans="1:40" ht="15" customHeight="1">
      <c r="B2" s="4"/>
      <c r="C2" s="4"/>
      <c r="D2" s="4"/>
      <c r="E2" s="4"/>
      <c r="F2" s="4"/>
      <c r="G2" s="4"/>
      <c r="H2" s="4"/>
      <c r="I2" s="4"/>
      <c r="J2" s="4"/>
      <c r="K2" s="65"/>
      <c r="L2" s="65"/>
      <c r="M2" s="65"/>
      <c r="N2" s="65"/>
      <c r="O2" s="65"/>
      <c r="P2" s="65"/>
      <c r="Q2" s="65"/>
      <c r="R2" s="65"/>
      <c r="S2" s="65"/>
      <c r="T2" s="65"/>
      <c r="U2" s="65"/>
      <c r="V2" s="65"/>
      <c r="W2" s="65"/>
      <c r="X2" s="4"/>
      <c r="Y2" s="4"/>
      <c r="Z2" s="4"/>
      <c r="AA2" s="4"/>
      <c r="AB2" s="4"/>
      <c r="AC2" s="4"/>
      <c r="AD2" s="4"/>
      <c r="AE2" s="4"/>
      <c r="AF2" s="4"/>
      <c r="AG2" s="4"/>
      <c r="AH2" s="4"/>
      <c r="AI2" s="4"/>
      <c r="AJ2" s="4"/>
      <c r="AK2" s="4"/>
      <c r="AL2" s="4"/>
    </row>
    <row r="3" spans="1:40" ht="15" customHeight="1">
      <c r="B3" s="4"/>
      <c r="C3" s="4"/>
      <c r="D3" s="4"/>
      <c r="E3" s="4"/>
      <c r="F3" s="4"/>
      <c r="G3" s="4"/>
      <c r="H3" s="4"/>
      <c r="I3" s="4"/>
      <c r="J3" s="4"/>
      <c r="K3" s="65"/>
      <c r="L3" s="343" t="str">
        <f>Dashboard!H3</f>
        <v>SIMPAR (SIMH3)</v>
      </c>
      <c r="M3" s="343"/>
      <c r="N3" s="343"/>
      <c r="O3" s="343"/>
      <c r="P3" s="343"/>
      <c r="Q3" s="343"/>
      <c r="R3" s="343"/>
      <c r="S3" s="343"/>
      <c r="T3" s="343"/>
      <c r="U3" s="343"/>
      <c r="V3" s="343"/>
      <c r="W3" s="65"/>
      <c r="X3" s="4"/>
      <c r="Y3" s="4"/>
      <c r="Z3" s="4"/>
      <c r="AA3" s="4"/>
      <c r="AB3" s="4"/>
      <c r="AC3" s="4"/>
      <c r="AD3" s="4"/>
      <c r="AE3" s="4"/>
      <c r="AF3" s="4"/>
      <c r="AG3" s="4"/>
      <c r="AH3" s="4"/>
      <c r="AI3" s="4"/>
      <c r="AJ3" s="4"/>
      <c r="AK3" s="4"/>
      <c r="AL3" s="4"/>
    </row>
    <row r="4" spans="1:40" ht="15" customHeight="1">
      <c r="B4" s="4"/>
      <c r="C4" s="4"/>
      <c r="D4" s="4"/>
      <c r="E4" s="4"/>
      <c r="F4" s="4"/>
      <c r="G4" s="4"/>
      <c r="H4" s="4"/>
      <c r="I4" s="4"/>
      <c r="J4" s="4"/>
      <c r="K4" s="65"/>
      <c r="L4" s="343"/>
      <c r="M4" s="343"/>
      <c r="N4" s="343"/>
      <c r="O4" s="343"/>
      <c r="P4" s="343"/>
      <c r="Q4" s="343"/>
      <c r="R4" s="343"/>
      <c r="S4" s="343"/>
      <c r="T4" s="343"/>
      <c r="U4" s="343"/>
      <c r="V4" s="343"/>
      <c r="W4" s="65"/>
      <c r="X4" s="4"/>
      <c r="Y4" s="4"/>
      <c r="Z4" s="4"/>
      <c r="AA4" s="4"/>
      <c r="AB4" s="4"/>
      <c r="AC4" s="4"/>
      <c r="AD4" s="4"/>
      <c r="AE4" s="4"/>
      <c r="AF4" s="4"/>
      <c r="AG4" s="4"/>
      <c r="AH4" s="4"/>
      <c r="AI4" s="4"/>
      <c r="AJ4" s="4"/>
      <c r="AK4" s="4"/>
      <c r="AL4" s="4"/>
    </row>
    <row r="5" spans="1:40" ht="15" customHeight="1">
      <c r="B5" s="4"/>
      <c r="C5" s="4"/>
      <c r="D5" s="4"/>
      <c r="E5" s="4"/>
      <c r="F5" s="4"/>
      <c r="G5" s="4"/>
      <c r="H5" s="4"/>
      <c r="I5" s="4"/>
      <c r="J5" s="4"/>
      <c r="K5" s="65"/>
      <c r="L5" s="395"/>
      <c r="M5" s="395"/>
      <c r="N5" s="395"/>
      <c r="O5" s="395"/>
      <c r="P5" s="395"/>
      <c r="Q5" s="395"/>
      <c r="R5" s="395"/>
      <c r="S5" s="395"/>
      <c r="T5" s="395"/>
      <c r="U5" s="395"/>
      <c r="V5" s="395"/>
      <c r="W5" s="65"/>
      <c r="X5" s="4"/>
      <c r="Y5" s="4"/>
      <c r="Z5" s="4"/>
      <c r="AA5" s="4"/>
      <c r="AB5" s="4"/>
      <c r="AC5" s="4"/>
      <c r="AD5" s="4"/>
      <c r="AE5" s="4"/>
      <c r="AF5" s="4"/>
      <c r="AG5" s="4"/>
      <c r="AH5" s="4"/>
      <c r="AI5" s="4"/>
      <c r="AJ5" s="4"/>
      <c r="AK5" s="4"/>
      <c r="AL5" s="4"/>
    </row>
    <row r="6" spans="1:40" ht="15">
      <c r="B6" s="4"/>
      <c r="C6" s="4"/>
      <c r="D6" s="4"/>
      <c r="E6" s="4"/>
      <c r="F6" s="4"/>
      <c r="G6" s="4"/>
      <c r="H6" s="4"/>
      <c r="I6" s="4"/>
      <c r="J6" s="4"/>
      <c r="K6" s="4"/>
      <c r="L6" s="4"/>
      <c r="M6" s="4"/>
      <c r="N6" s="4"/>
      <c r="O6" s="4"/>
      <c r="P6" s="4"/>
      <c r="Q6" s="4"/>
      <c r="R6" s="4"/>
      <c r="S6" s="4"/>
      <c r="T6" s="4"/>
      <c r="U6" s="4"/>
      <c r="V6" s="4"/>
      <c r="W6" s="4"/>
      <c r="X6" s="4"/>
      <c r="Y6" s="4"/>
      <c r="Z6" s="4"/>
      <c r="AA6" s="95"/>
      <c r="AB6" s="4"/>
      <c r="AC6" s="4"/>
      <c r="AD6" s="4"/>
      <c r="AE6" s="4"/>
      <c r="AF6" s="4"/>
      <c r="AG6" s="4"/>
      <c r="AH6" s="4"/>
      <c r="AI6" s="4"/>
      <c r="AJ6" s="4"/>
      <c r="AK6" s="4"/>
      <c r="AL6" s="4"/>
    </row>
    <row r="7" spans="1:40" s="11" customFormat="1" ht="24.75" customHeight="1">
      <c r="A7" s="142" t="s">
        <v>33</v>
      </c>
      <c r="B7" s="10"/>
      <c r="C7" s="10"/>
      <c r="D7" s="10"/>
      <c r="E7" s="10"/>
      <c r="F7" s="10"/>
      <c r="G7" s="10"/>
      <c r="H7" s="10"/>
      <c r="I7" s="10"/>
      <c r="J7" s="10"/>
      <c r="K7" s="10"/>
      <c r="L7" s="10"/>
      <c r="M7" s="10"/>
      <c r="N7" s="10"/>
      <c r="O7" s="10"/>
      <c r="P7" s="10"/>
      <c r="Q7" s="10"/>
      <c r="R7" s="10"/>
      <c r="S7" s="10"/>
      <c r="T7" s="10"/>
      <c r="U7" s="10"/>
      <c r="V7" s="10"/>
      <c r="W7" s="10"/>
      <c r="X7" s="10"/>
      <c r="Y7" s="10"/>
      <c r="Z7" s="10"/>
      <c r="AA7" s="95"/>
      <c r="AB7" s="10"/>
      <c r="AC7" s="10"/>
      <c r="AD7" s="10"/>
      <c r="AE7" s="10"/>
      <c r="AF7" s="10"/>
      <c r="AG7" s="10"/>
      <c r="AH7" s="10"/>
      <c r="AI7" s="10"/>
      <c r="AJ7" s="10"/>
      <c r="AK7" s="10"/>
      <c r="AL7" s="10"/>
    </row>
    <row r="8" spans="1:40" ht="30" customHeight="1">
      <c r="A8" s="12" t="s">
        <v>34</v>
      </c>
      <c r="B8" s="4"/>
      <c r="C8" s="4"/>
      <c r="D8" s="10"/>
      <c r="E8" s="29"/>
      <c r="F8" s="30"/>
      <c r="G8" s="30"/>
      <c r="H8" s="30"/>
      <c r="I8" s="30"/>
      <c r="J8" s="30"/>
      <c r="Y8" s="95"/>
      <c r="Z8" s="95"/>
      <c r="AA8" s="10"/>
      <c r="AB8" s="95"/>
      <c r="AC8" s="4"/>
      <c r="AD8" s="4"/>
      <c r="AE8" s="4"/>
      <c r="AF8" s="4"/>
      <c r="AG8" s="4"/>
      <c r="AH8" s="10"/>
      <c r="AI8" s="10"/>
      <c r="AJ8" s="10"/>
      <c r="AK8" s="10"/>
      <c r="AL8" s="10"/>
      <c r="AM8" s="4"/>
      <c r="AN8" s="4"/>
    </row>
    <row r="9" spans="1:40" ht="30" customHeight="1">
      <c r="A9" s="12" t="s">
        <v>23</v>
      </c>
      <c r="B9" s="4"/>
      <c r="C9" s="4"/>
      <c r="D9" s="4"/>
      <c r="E9" s="35" t="s">
        <v>46</v>
      </c>
      <c r="F9" s="36"/>
      <c r="G9" s="36"/>
      <c r="H9" s="36"/>
      <c r="I9" s="366"/>
      <c r="J9" s="367"/>
      <c r="K9" s="37">
        <v>2014</v>
      </c>
      <c r="L9" s="37">
        <v>2015</v>
      </c>
      <c r="M9" s="37">
        <v>2016</v>
      </c>
      <c r="N9" s="37">
        <v>2017</v>
      </c>
      <c r="O9" s="37">
        <v>2018</v>
      </c>
      <c r="P9" s="37">
        <v>2019</v>
      </c>
      <c r="Q9" s="37">
        <v>2020</v>
      </c>
      <c r="R9" s="37">
        <v>2021</v>
      </c>
      <c r="S9" s="37">
        <v>2022</v>
      </c>
      <c r="T9" s="38">
        <v>2023</v>
      </c>
      <c r="U9" s="38">
        <v>2024</v>
      </c>
      <c r="V9" s="38">
        <v>2025</v>
      </c>
      <c r="W9" s="38">
        <v>2026</v>
      </c>
      <c r="X9" s="149">
        <v>2027</v>
      </c>
      <c r="Y9" s="95"/>
      <c r="Z9" s="95"/>
      <c r="AA9" s="4"/>
      <c r="AB9" s="4"/>
      <c r="AC9" s="4"/>
      <c r="AD9" s="4"/>
      <c r="AE9" s="4"/>
      <c r="AF9" s="4"/>
      <c r="AG9" s="4"/>
      <c r="AH9" s="10"/>
      <c r="AI9" s="10"/>
      <c r="AJ9" s="10"/>
      <c r="AK9" s="10"/>
      <c r="AL9" s="10"/>
    </row>
    <row r="10" spans="1:40" ht="30" customHeight="1">
      <c r="A10" s="12" t="s">
        <v>330</v>
      </c>
      <c r="B10" s="4"/>
      <c r="C10" s="4"/>
      <c r="D10" s="4"/>
      <c r="E10" s="351" t="s">
        <v>32</v>
      </c>
      <c r="F10" s="352"/>
      <c r="G10" s="352"/>
      <c r="H10" s="352"/>
      <c r="I10" s="352"/>
      <c r="J10" s="353"/>
      <c r="K10" s="84">
        <f>'Balanço Patrimonial'!F16</f>
        <v>1054514.8500000001</v>
      </c>
      <c r="L10" s="84">
        <f>'Balanço Patrimonial'!G16</f>
        <v>903808.8</v>
      </c>
      <c r="M10" s="84">
        <f>'Balanço Patrimonial'!H16</f>
        <v>420797.89999999991</v>
      </c>
      <c r="N10" s="84">
        <f>'Balanço Patrimonial'!I16</f>
        <v>837109.10000000009</v>
      </c>
      <c r="O10" s="84">
        <f>'Balanço Patrimonial'!J16</f>
        <v>694547.72500000009</v>
      </c>
      <c r="P10" s="84">
        <f>'Balanço Patrimonial'!K16</f>
        <v>923644.22500000009</v>
      </c>
      <c r="Q10" s="84">
        <f>'Balanço Patrimonial'!L16</f>
        <v>228174.42499999981</v>
      </c>
      <c r="R10" s="84">
        <f>'Balanço Patrimonial'!M16</f>
        <v>38166.474999999627</v>
      </c>
      <c r="S10" s="84">
        <f>'Balanço Patrimonial'!N16</f>
        <v>610651.85302729532</v>
      </c>
      <c r="T10" s="84">
        <f>T11*'DRE Consolidado'!V16</f>
        <v>2650721.7038674327</v>
      </c>
      <c r="U10" s="84">
        <f>U11*'DRE Consolidado'!W16</f>
        <v>3343272.009394675</v>
      </c>
      <c r="V10" s="84">
        <f>V11*'DRE Consolidado'!X16</f>
        <v>3941734.4897140586</v>
      </c>
      <c r="W10" s="84">
        <f>W11*'DRE Consolidado'!Y16</f>
        <v>4426341.3089063214</v>
      </c>
      <c r="X10" s="108">
        <f>X11*'DRE Consolidado'!Z16</f>
        <v>4923773.4612778453</v>
      </c>
      <c r="Y10" s="95"/>
      <c r="Z10" s="95"/>
      <c r="AA10" s="4"/>
      <c r="AB10" s="4"/>
      <c r="AC10" s="4"/>
      <c r="AD10" s="4"/>
      <c r="AE10" s="4"/>
      <c r="AF10" s="4"/>
      <c r="AG10" s="4"/>
      <c r="AH10" s="10"/>
      <c r="AI10" s="10"/>
      <c r="AJ10" s="10"/>
      <c r="AK10" s="10"/>
      <c r="AL10" s="10"/>
    </row>
    <row r="11" spans="1:40" ht="30" customHeight="1" thickBot="1">
      <c r="A11" s="12" t="s">
        <v>36</v>
      </c>
      <c r="B11" s="4"/>
      <c r="C11" s="4"/>
      <c r="D11" s="4"/>
      <c r="E11" s="409" t="s">
        <v>30</v>
      </c>
      <c r="F11" s="410"/>
      <c r="G11" s="410"/>
      <c r="H11" s="410"/>
      <c r="I11" s="410"/>
      <c r="J11" s="411"/>
      <c r="K11" s="188">
        <f>K10/'DRE Consolidado'!K16</f>
        <v>0.19037333770942128</v>
      </c>
      <c r="L11" s="188">
        <f>L10/'DRE Consolidado'!L16</f>
        <v>0.15088849385433376</v>
      </c>
      <c r="M11" s="188">
        <f>M10/'DRE Consolidado'!M16</f>
        <v>6.4508725584521254E-2</v>
      </c>
      <c r="N11" s="188">
        <f>N10/'DRE Consolidado'!N16</f>
        <v>0.11537096371401434</v>
      </c>
      <c r="O11" s="188">
        <f>O10/'DRE Consolidado'!O16</f>
        <v>8.6007958873560164E-2</v>
      </c>
      <c r="P11" s="188">
        <f>P10/'DRE Consolidado'!P16</f>
        <v>9.5356627654844123E-2</v>
      </c>
      <c r="Q11" s="188">
        <f>Q10/'DRE Consolidado'!Q16</f>
        <v>2.3266350445398636E-2</v>
      </c>
      <c r="R11" s="188">
        <f>R10/'DRE Consolidado'!R16</f>
        <v>2.7524788841139483E-3</v>
      </c>
      <c r="S11" s="188">
        <f>S10/'DRE Consolidado'!S16</f>
        <v>2.5045405935408736E-2</v>
      </c>
      <c r="T11" s="188">
        <f>AVERAGE($K$11:$S$11)</f>
        <v>8.3730038072846236E-2</v>
      </c>
      <c r="U11" s="188">
        <f t="shared" ref="U11:X11" si="0">AVERAGE($K$11:$S$11)</f>
        <v>8.3730038072846236E-2</v>
      </c>
      <c r="V11" s="188">
        <f t="shared" si="0"/>
        <v>8.3730038072846236E-2</v>
      </c>
      <c r="W11" s="188">
        <f t="shared" si="0"/>
        <v>8.3730038072846236E-2</v>
      </c>
      <c r="X11" s="188">
        <f t="shared" si="0"/>
        <v>8.3730038072846236E-2</v>
      </c>
      <c r="Y11" s="88"/>
      <c r="Z11" s="95"/>
      <c r="AA11" s="4"/>
      <c r="AB11" s="4"/>
      <c r="AC11" s="4"/>
      <c r="AD11" s="4"/>
      <c r="AE11" s="4"/>
      <c r="AF11" s="4"/>
      <c r="AG11" s="4"/>
      <c r="AH11" s="10"/>
      <c r="AI11" s="10"/>
      <c r="AJ11" s="10"/>
      <c r="AK11" s="10"/>
      <c r="AL11" s="10"/>
    </row>
    <row r="12" spans="1:40" ht="30" customHeight="1">
      <c r="A12" s="167" t="s">
        <v>127</v>
      </c>
      <c r="B12" s="4"/>
      <c r="C12" s="4"/>
      <c r="D12" s="4"/>
      <c r="E12" s="178"/>
      <c r="F12" s="178"/>
      <c r="G12" s="178"/>
      <c r="H12" s="178"/>
      <c r="I12" s="178"/>
      <c r="J12" s="178"/>
      <c r="K12" s="178"/>
      <c r="L12" s="178"/>
      <c r="M12" s="178"/>
      <c r="N12" s="178"/>
      <c r="O12" s="178"/>
      <c r="P12" s="178"/>
      <c r="Q12" s="178"/>
      <c r="R12" s="178"/>
      <c r="S12" s="178"/>
      <c r="T12" s="178"/>
      <c r="U12" s="178"/>
      <c r="V12" s="178"/>
      <c r="W12" s="178"/>
      <c r="X12" s="178"/>
      <c r="Y12" s="95"/>
      <c r="Z12" s="95"/>
      <c r="AA12" s="4"/>
      <c r="AB12" s="4"/>
      <c r="AC12" s="4"/>
      <c r="AD12" s="4"/>
      <c r="AE12" s="4"/>
      <c r="AF12" s="4"/>
      <c r="AG12" s="4"/>
      <c r="AH12" s="10"/>
      <c r="AI12" s="10"/>
      <c r="AJ12" s="10"/>
      <c r="AK12" s="10"/>
      <c r="AL12" s="10"/>
      <c r="AM12" s="4"/>
    </row>
    <row r="13" spans="1:40" ht="30" customHeight="1">
      <c r="A13" s="12" t="s">
        <v>37</v>
      </c>
      <c r="B13" s="4"/>
      <c r="C13" s="4"/>
      <c r="D13" s="4"/>
      <c r="E13" s="4"/>
      <c r="F13" s="4"/>
      <c r="G13" s="4"/>
      <c r="H13" s="4"/>
      <c r="I13" s="4"/>
      <c r="J13" s="4"/>
      <c r="K13" s="50"/>
      <c r="L13" s="50"/>
      <c r="M13" s="50"/>
      <c r="N13" s="93"/>
      <c r="O13" s="50"/>
      <c r="P13" s="50"/>
      <c r="Q13" s="50"/>
      <c r="R13" s="94"/>
      <c r="S13" s="94"/>
      <c r="T13" s="94"/>
      <c r="U13" s="94"/>
      <c r="V13" s="95"/>
      <c r="W13" s="95"/>
      <c r="X13" s="95"/>
      <c r="Y13" s="95"/>
      <c r="Z13" s="95"/>
      <c r="AA13" s="95"/>
      <c r="AB13" s="4"/>
      <c r="AC13" s="4"/>
      <c r="AD13" s="4"/>
      <c r="AE13" s="4"/>
      <c r="AF13" s="4"/>
      <c r="AG13" s="4"/>
      <c r="AH13" s="10"/>
      <c r="AI13" s="10"/>
      <c r="AJ13" s="10"/>
      <c r="AK13" s="10"/>
      <c r="AL13" s="10"/>
      <c r="AM13" s="4"/>
    </row>
    <row r="14" spans="1:40" ht="30" customHeight="1">
      <c r="A14" s="167" t="s">
        <v>100</v>
      </c>
      <c r="B14" s="4"/>
      <c r="C14" s="4"/>
      <c r="D14" s="4"/>
      <c r="E14" s="96"/>
      <c r="F14" s="4"/>
      <c r="G14" s="4"/>
      <c r="H14" s="4"/>
      <c r="I14" s="4"/>
      <c r="J14" s="4"/>
      <c r="K14" s="50"/>
      <c r="L14" s="50"/>
      <c r="M14" s="50"/>
      <c r="N14" s="50"/>
      <c r="O14" s="50"/>
      <c r="P14" s="50"/>
      <c r="Q14" s="50"/>
      <c r="R14" s="50"/>
      <c r="S14" s="50"/>
      <c r="T14" s="50"/>
      <c r="U14" s="50"/>
      <c r="V14" s="50"/>
      <c r="W14" s="50"/>
      <c r="X14" s="50"/>
      <c r="Y14" s="50"/>
      <c r="Z14" s="50"/>
      <c r="AA14" s="4"/>
      <c r="AB14" s="4"/>
      <c r="AC14" s="4"/>
      <c r="AD14" s="4"/>
      <c r="AE14" s="4"/>
      <c r="AF14" s="4"/>
      <c r="AG14" s="4"/>
      <c r="AH14" s="10"/>
      <c r="AI14" s="10"/>
      <c r="AJ14" s="10"/>
      <c r="AK14" s="10"/>
      <c r="AL14" s="10"/>
    </row>
    <row r="15" spans="1:40" ht="30" customHeight="1">
      <c r="A15" s="12" t="s">
        <v>331</v>
      </c>
      <c r="B15" s="4"/>
      <c r="C15" s="4"/>
      <c r="D15" s="4"/>
      <c r="E15" s="403" t="s">
        <v>269</v>
      </c>
      <c r="F15" s="404"/>
      <c r="G15" s="404"/>
      <c r="H15" s="404"/>
      <c r="I15" s="404"/>
      <c r="J15" s="405"/>
      <c r="K15" s="37">
        <v>2014</v>
      </c>
      <c r="L15" s="37">
        <v>2015</v>
      </c>
      <c r="M15" s="37">
        <v>2016</v>
      </c>
      <c r="N15" s="37">
        <v>2017</v>
      </c>
      <c r="O15" s="37">
        <v>2018</v>
      </c>
      <c r="P15" s="37">
        <v>2019</v>
      </c>
      <c r="Q15" s="37">
        <v>2020</v>
      </c>
      <c r="R15" s="37">
        <v>2021</v>
      </c>
      <c r="S15" s="37">
        <v>2022</v>
      </c>
      <c r="T15" s="38">
        <v>2023</v>
      </c>
      <c r="U15" s="38">
        <v>2024</v>
      </c>
      <c r="V15" s="38">
        <v>2025</v>
      </c>
      <c r="W15" s="38">
        <v>2026</v>
      </c>
      <c r="X15" s="218">
        <v>2027</v>
      </c>
      <c r="Y15" s="88"/>
      <c r="Z15" s="4"/>
      <c r="AA15" s="4"/>
      <c r="AB15" s="4"/>
      <c r="AC15" s="4"/>
      <c r="AD15" s="4"/>
      <c r="AE15" s="4"/>
      <c r="AF15" s="4"/>
      <c r="AG15" s="4"/>
      <c r="AH15" s="10"/>
      <c r="AI15" s="10"/>
      <c r="AJ15" s="10"/>
      <c r="AK15" s="10"/>
      <c r="AL15" s="10"/>
    </row>
    <row r="16" spans="1:40" ht="30" customHeight="1">
      <c r="A16" s="168" t="s">
        <v>137</v>
      </c>
      <c r="B16" s="4"/>
      <c r="C16" s="4"/>
      <c r="D16" s="4"/>
      <c r="E16" s="406" t="s">
        <v>274</v>
      </c>
      <c r="F16" s="407"/>
      <c r="G16" s="407"/>
      <c r="H16" s="407"/>
      <c r="I16" s="407"/>
      <c r="J16" s="408"/>
      <c r="K16" s="42"/>
      <c r="L16" s="42"/>
      <c r="M16" s="42"/>
      <c r="N16" s="42"/>
      <c r="O16" s="42"/>
      <c r="P16" s="205"/>
      <c r="Q16" s="205"/>
      <c r="R16" s="205"/>
      <c r="S16" s="205"/>
      <c r="T16" s="84"/>
      <c r="U16" s="84"/>
      <c r="V16" s="84"/>
      <c r="W16" s="84"/>
      <c r="X16" s="219"/>
      <c r="Y16" s="88"/>
      <c r="Z16" s="4"/>
      <c r="AA16" s="4"/>
      <c r="AB16" s="4"/>
      <c r="AC16" s="4"/>
      <c r="AD16" s="4"/>
      <c r="AE16" s="4"/>
      <c r="AF16" s="4"/>
      <c r="AG16" s="4"/>
      <c r="AH16" s="10"/>
      <c r="AI16" s="10"/>
      <c r="AJ16" s="10"/>
      <c r="AK16" s="10"/>
      <c r="AL16" s="10"/>
    </row>
    <row r="17" spans="1:38" ht="30" customHeight="1">
      <c r="A17" s="167" t="s">
        <v>493</v>
      </c>
      <c r="B17" s="4"/>
      <c r="C17" s="4"/>
      <c r="D17" s="10"/>
      <c r="E17" s="406" t="s">
        <v>349</v>
      </c>
      <c r="F17" s="407"/>
      <c r="G17" s="407"/>
      <c r="H17" s="407"/>
      <c r="I17" s="407"/>
      <c r="J17" s="408"/>
      <c r="K17" s="46"/>
      <c r="L17" s="46"/>
      <c r="M17" s="46"/>
      <c r="N17" s="46"/>
      <c r="O17" s="46">
        <v>7811.0773099999997</v>
      </c>
      <c r="P17" s="46">
        <v>11615.357690000001</v>
      </c>
      <c r="Q17" s="46">
        <v>5230.2641800000001</v>
      </c>
      <c r="R17" s="46">
        <v>13485.060509999999</v>
      </c>
      <c r="S17" s="46">
        <v>1254968</v>
      </c>
      <c r="T17" s="40">
        <f>SUM(T19:T26)</f>
        <v>306322.90373725735</v>
      </c>
      <c r="U17" s="40">
        <f t="shared" ref="U17:X17" si="1">SUM(U19:U26)</f>
        <v>159545.26834557898</v>
      </c>
      <c r="V17" s="40">
        <f t="shared" si="1"/>
        <v>188079.63252118987</v>
      </c>
      <c r="W17" s="40">
        <f t="shared" si="1"/>
        <v>133175.43646142553</v>
      </c>
      <c r="X17" s="40">
        <f t="shared" si="1"/>
        <v>142432.56759020837</v>
      </c>
      <c r="Y17" s="88"/>
      <c r="Z17" s="4"/>
      <c r="AA17" s="4"/>
      <c r="AB17" s="4"/>
      <c r="AC17" s="4"/>
      <c r="AD17" s="4"/>
      <c r="AE17" s="4"/>
      <c r="AF17" s="4"/>
      <c r="AG17" s="4"/>
      <c r="AH17" s="10"/>
      <c r="AI17" s="10"/>
      <c r="AJ17" s="10"/>
      <c r="AK17" s="10"/>
      <c r="AL17" s="10"/>
    </row>
    <row r="18" spans="1:38" ht="30" customHeight="1">
      <c r="A18" s="12" t="s">
        <v>128</v>
      </c>
      <c r="B18" s="4"/>
      <c r="C18" s="4"/>
      <c r="D18" s="10"/>
      <c r="E18" s="409" t="s">
        <v>30</v>
      </c>
      <c r="F18" s="410"/>
      <c r="G18" s="410"/>
      <c r="H18" s="410"/>
      <c r="I18" s="410"/>
      <c r="J18" s="411"/>
      <c r="K18" s="42"/>
      <c r="L18" s="42"/>
      <c r="M18" s="42"/>
      <c r="N18" s="42"/>
      <c r="O18" s="60">
        <f>O17/'Projeções - Receita e EBIT'!J43</f>
        <v>1.1119192852241895E-2</v>
      </c>
      <c r="P18" s="60">
        <f>P17/'Projeções - Receita e EBIT'!K43</f>
        <v>1.4139687889544623E-2</v>
      </c>
      <c r="Q18" s="60">
        <f>Q17/'Projeções - Receita e EBIT'!L43</f>
        <v>8.4662656265934149E-3</v>
      </c>
      <c r="R18" s="60">
        <f>R17/'Projeções - Receita e EBIT'!M43</f>
        <v>1.8428306229655158E-2</v>
      </c>
      <c r="S18" s="60">
        <f>S17/'Projeções - Receita e EBIT'!N43</f>
        <v>0.39352544763485175</v>
      </c>
      <c r="T18" s="60">
        <f>AVERAGE($O$18:$R$18)</f>
        <v>1.3038363149508774E-2</v>
      </c>
      <c r="U18" s="60">
        <f t="shared" ref="U18:X18" si="2">AVERAGE($O$18:$R$18)</f>
        <v>1.3038363149508774E-2</v>
      </c>
      <c r="V18" s="60">
        <f t="shared" si="2"/>
        <v>1.3038363149508774E-2</v>
      </c>
      <c r="W18" s="60">
        <f>AVERAGE($O$18:$R$18)</f>
        <v>1.3038363149508774E-2</v>
      </c>
      <c r="X18" s="60">
        <f t="shared" si="2"/>
        <v>1.3038363149508774E-2</v>
      </c>
      <c r="Y18" s="88"/>
      <c r="Z18" s="4"/>
      <c r="AA18" s="4"/>
      <c r="AB18" s="4"/>
      <c r="AC18" s="4"/>
      <c r="AD18" s="4"/>
      <c r="AE18" s="4"/>
      <c r="AF18" s="4"/>
      <c r="AG18" s="4"/>
      <c r="AH18" s="10"/>
      <c r="AI18" s="10"/>
      <c r="AJ18" s="10"/>
      <c r="AK18" s="10"/>
      <c r="AL18" s="10"/>
    </row>
    <row r="19" spans="1:38" ht="30" customHeight="1">
      <c r="A19" s="12"/>
      <c r="B19" s="4"/>
      <c r="C19" s="4"/>
      <c r="D19" s="10"/>
      <c r="E19" s="313"/>
      <c r="F19" s="314" t="s">
        <v>348</v>
      </c>
      <c r="G19" s="314"/>
      <c r="H19" s="314"/>
      <c r="I19" s="314"/>
      <c r="J19" s="315"/>
      <c r="K19" s="42"/>
      <c r="L19" s="42"/>
      <c r="M19" s="42"/>
      <c r="N19" s="42"/>
      <c r="O19" s="60"/>
      <c r="P19" s="60"/>
      <c r="Q19" s="60"/>
      <c r="R19" s="60"/>
      <c r="S19" s="84">
        <v>28055</v>
      </c>
      <c r="T19" s="84">
        <f>T18*'Projeções - Receita e EBIT'!Q43</f>
        <v>83541.903737257322</v>
      </c>
      <c r="U19" s="84">
        <f>U18*'Projeções - Receita e EBIT'!R43</f>
        <v>117345.26834557897</v>
      </c>
      <c r="V19" s="84">
        <f>V18*'Projeções - Receita e EBIT'!S43</f>
        <v>124879.63252118988</v>
      </c>
      <c r="W19" s="84">
        <f>W18*'Projeções - Receita e EBIT'!T43</f>
        <v>133175.43646142553</v>
      </c>
      <c r="X19" s="84">
        <f>X18*'Projeções - Receita e EBIT'!U43</f>
        <v>142432.56759020837</v>
      </c>
      <c r="Y19" s="88"/>
      <c r="Z19" s="4"/>
      <c r="AA19" s="4"/>
      <c r="AB19" s="4"/>
      <c r="AC19" s="4"/>
      <c r="AD19" s="4"/>
      <c r="AE19" s="4"/>
      <c r="AF19" s="4"/>
      <c r="AG19" s="4"/>
      <c r="AH19" s="10"/>
      <c r="AI19" s="10"/>
      <c r="AJ19" s="10"/>
      <c r="AK19" s="10"/>
      <c r="AL19" s="10"/>
    </row>
    <row r="20" spans="1:38" ht="30" customHeight="1">
      <c r="A20" s="12"/>
      <c r="B20" s="4"/>
      <c r="C20" s="4"/>
      <c r="D20" s="10"/>
      <c r="E20" s="313"/>
      <c r="F20" s="314" t="s">
        <v>344</v>
      </c>
      <c r="G20" s="314"/>
      <c r="H20" s="314"/>
      <c r="I20" s="314"/>
      <c r="J20" s="315"/>
      <c r="K20" s="42"/>
      <c r="L20" s="42"/>
      <c r="M20" s="42"/>
      <c r="N20" s="42"/>
      <c r="O20" s="60"/>
      <c r="P20" s="60"/>
      <c r="Q20" s="60"/>
      <c r="R20" s="60"/>
      <c r="S20" s="84">
        <v>262588</v>
      </c>
      <c r="T20" s="42"/>
      <c r="U20" s="42"/>
      <c r="V20" s="42"/>
      <c r="W20" s="42"/>
      <c r="X20" s="42"/>
      <c r="Y20" s="88"/>
      <c r="Z20" s="4"/>
      <c r="AA20" s="4"/>
      <c r="AB20" s="4"/>
      <c r="AC20" s="4"/>
      <c r="AD20" s="4"/>
      <c r="AE20" s="4"/>
      <c r="AF20" s="4"/>
      <c r="AG20" s="4"/>
      <c r="AH20" s="10"/>
      <c r="AI20" s="10"/>
      <c r="AJ20" s="10"/>
      <c r="AK20" s="10"/>
      <c r="AL20" s="10"/>
    </row>
    <row r="21" spans="1:38" ht="30" customHeight="1">
      <c r="A21" s="12"/>
      <c r="B21" s="4"/>
      <c r="C21" s="4"/>
      <c r="D21" s="10"/>
      <c r="E21" s="313"/>
      <c r="F21" s="314" t="s">
        <v>345</v>
      </c>
      <c r="G21" s="314"/>
      <c r="H21" s="314"/>
      <c r="I21" s="314"/>
      <c r="J21" s="315"/>
      <c r="K21" s="42"/>
      <c r="L21" s="42"/>
      <c r="M21" s="42"/>
      <c r="N21" s="42"/>
      <c r="O21" s="60"/>
      <c r="P21" s="60"/>
      <c r="Q21" s="60"/>
      <c r="R21" s="60"/>
      <c r="S21" s="84">
        <v>372189</v>
      </c>
      <c r="T21" s="42"/>
      <c r="U21" s="42"/>
      <c r="V21" s="42"/>
      <c r="W21" s="42"/>
      <c r="X21" s="42"/>
      <c r="Y21" s="88"/>
      <c r="Z21" s="4"/>
      <c r="AA21" s="4"/>
      <c r="AB21" s="4"/>
      <c r="AC21" s="4"/>
      <c r="AD21" s="4"/>
      <c r="AE21" s="4"/>
      <c r="AF21" s="4"/>
      <c r="AG21" s="4"/>
      <c r="AH21" s="10"/>
      <c r="AI21" s="10"/>
      <c r="AJ21" s="10"/>
      <c r="AK21" s="10"/>
      <c r="AL21" s="10"/>
    </row>
    <row r="22" spans="1:38" ht="30" customHeight="1">
      <c r="A22" s="12"/>
      <c r="B22" s="4"/>
      <c r="C22" s="4"/>
      <c r="D22" s="10"/>
      <c r="E22" s="313"/>
      <c r="F22" s="314" t="s">
        <v>346</v>
      </c>
      <c r="G22" s="314"/>
      <c r="H22" s="314"/>
      <c r="I22" s="314"/>
      <c r="J22" s="315"/>
      <c r="K22" s="42"/>
      <c r="L22" s="42"/>
      <c r="M22" s="42"/>
      <c r="N22" s="42"/>
      <c r="O22" s="60"/>
      <c r="P22" s="60"/>
      <c r="Q22" s="60"/>
      <c r="R22" s="60"/>
      <c r="S22" s="84">
        <v>60686</v>
      </c>
      <c r="T22" s="42">
        <v>39481</v>
      </c>
      <c r="U22" s="42"/>
      <c r="V22" s="42"/>
      <c r="W22" s="42"/>
      <c r="X22" s="42"/>
      <c r="Y22" s="88"/>
      <c r="Z22" s="4"/>
      <c r="AA22" s="4"/>
      <c r="AB22" s="4"/>
      <c r="AC22" s="4"/>
      <c r="AD22" s="4"/>
      <c r="AE22" s="4"/>
      <c r="AF22" s="4"/>
      <c r="AG22" s="4"/>
      <c r="AH22" s="10"/>
      <c r="AI22" s="10"/>
      <c r="AJ22" s="10"/>
      <c r="AK22" s="10"/>
      <c r="AL22" s="10"/>
    </row>
    <row r="23" spans="1:38" ht="30" customHeight="1">
      <c r="A23" s="12"/>
      <c r="B23" s="4"/>
      <c r="C23" s="4"/>
      <c r="D23" s="10"/>
      <c r="E23" s="313"/>
      <c r="F23" s="314" t="s">
        <v>347</v>
      </c>
      <c r="G23" s="314"/>
      <c r="H23" s="314"/>
      <c r="I23" s="314"/>
      <c r="J23" s="315"/>
      <c r="K23" s="42"/>
      <c r="L23" s="42"/>
      <c r="M23" s="42"/>
      <c r="N23" s="42"/>
      <c r="O23" s="60"/>
      <c r="P23" s="60"/>
      <c r="Q23" s="60"/>
      <c r="R23" s="60"/>
      <c r="S23" s="84">
        <v>531450</v>
      </c>
      <c r="T23" s="42"/>
      <c r="U23" s="42"/>
      <c r="V23" s="42"/>
      <c r="W23" s="42"/>
      <c r="X23" s="42"/>
      <c r="Y23" s="88"/>
      <c r="Z23" s="4"/>
      <c r="AA23" s="4"/>
      <c r="AB23" s="4"/>
      <c r="AC23" s="4"/>
      <c r="AD23" s="4"/>
      <c r="AE23" s="4"/>
      <c r="AF23" s="4"/>
      <c r="AG23" s="4"/>
      <c r="AH23" s="10"/>
      <c r="AI23" s="10"/>
      <c r="AJ23" s="10"/>
      <c r="AK23" s="10"/>
      <c r="AL23" s="10"/>
    </row>
    <row r="24" spans="1:38" ht="30" customHeight="1">
      <c r="A24" s="12"/>
      <c r="B24" s="4"/>
      <c r="C24" s="4"/>
      <c r="D24" s="10"/>
      <c r="E24" s="313"/>
      <c r="F24" s="314" t="s">
        <v>536</v>
      </c>
      <c r="G24" s="314"/>
      <c r="H24" s="314"/>
      <c r="I24" s="314"/>
      <c r="J24" s="315"/>
      <c r="K24" s="42"/>
      <c r="L24" s="42"/>
      <c r="M24" s="42"/>
      <c r="N24" s="42"/>
      <c r="O24" s="60"/>
      <c r="P24" s="60"/>
      <c r="Q24" s="60"/>
      <c r="R24" s="60"/>
      <c r="S24" s="84"/>
      <c r="T24" s="42">
        <v>60200</v>
      </c>
      <c r="U24" s="42">
        <v>18900</v>
      </c>
      <c r="V24" s="42">
        <v>28300</v>
      </c>
      <c r="W24" s="42"/>
      <c r="X24" s="42"/>
      <c r="Y24" s="88"/>
      <c r="Z24" s="4"/>
      <c r="AA24" s="4"/>
      <c r="AB24" s="4"/>
      <c r="AC24" s="4"/>
      <c r="AD24" s="4"/>
      <c r="AE24" s="4"/>
      <c r="AF24" s="4"/>
      <c r="AG24" s="4"/>
      <c r="AH24" s="10"/>
      <c r="AI24" s="10"/>
      <c r="AJ24" s="10"/>
      <c r="AK24" s="10"/>
      <c r="AL24" s="10"/>
    </row>
    <row r="25" spans="1:38" ht="30" customHeight="1">
      <c r="A25" s="12"/>
      <c r="B25" s="4"/>
      <c r="C25" s="4"/>
      <c r="D25" s="10"/>
      <c r="E25" s="313"/>
      <c r="F25" s="314" t="s">
        <v>537</v>
      </c>
      <c r="G25" s="314"/>
      <c r="H25" s="314"/>
      <c r="I25" s="314"/>
      <c r="J25" s="315"/>
      <c r="K25" s="42"/>
      <c r="L25" s="42"/>
      <c r="M25" s="42"/>
      <c r="N25" s="42"/>
      <c r="O25" s="60"/>
      <c r="P25" s="60"/>
      <c r="Q25" s="60"/>
      <c r="R25" s="60"/>
      <c r="S25" s="84"/>
      <c r="T25" s="42">
        <v>59200</v>
      </c>
      <c r="U25" s="42">
        <v>23300</v>
      </c>
      <c r="V25" s="42">
        <v>34900</v>
      </c>
      <c r="W25" s="42"/>
      <c r="X25" s="42"/>
      <c r="Y25" s="88"/>
      <c r="Z25" s="4"/>
      <c r="AA25" s="4"/>
      <c r="AB25" s="4"/>
      <c r="AC25" s="4"/>
      <c r="AD25" s="4"/>
      <c r="AE25" s="4"/>
      <c r="AF25" s="4"/>
      <c r="AG25" s="4"/>
      <c r="AH25" s="10"/>
      <c r="AI25" s="10"/>
      <c r="AJ25" s="10"/>
      <c r="AK25" s="10"/>
      <c r="AL25" s="10"/>
    </row>
    <row r="26" spans="1:38" ht="30" customHeight="1">
      <c r="A26" s="12"/>
      <c r="B26" s="4"/>
      <c r="C26" s="4"/>
      <c r="D26" s="10"/>
      <c r="E26" s="313"/>
      <c r="F26" s="314" t="s">
        <v>538</v>
      </c>
      <c r="G26" s="314"/>
      <c r="H26" s="314"/>
      <c r="I26" s="314"/>
      <c r="J26" s="315"/>
      <c r="K26" s="42"/>
      <c r="L26" s="42"/>
      <c r="M26" s="42"/>
      <c r="N26" s="42"/>
      <c r="O26" s="60"/>
      <c r="P26" s="60"/>
      <c r="Q26" s="60"/>
      <c r="R26" s="60"/>
      <c r="S26" s="84"/>
      <c r="T26" s="42">
        <v>63900</v>
      </c>
      <c r="U26" s="42"/>
      <c r="V26" s="42"/>
      <c r="W26" s="42"/>
      <c r="X26" s="42"/>
      <c r="Y26" s="88"/>
      <c r="Z26" s="4"/>
      <c r="AA26" s="4"/>
      <c r="AB26" s="4"/>
      <c r="AC26" s="4"/>
      <c r="AD26" s="4"/>
      <c r="AE26" s="4"/>
      <c r="AF26" s="4"/>
      <c r="AG26" s="4"/>
      <c r="AH26" s="10"/>
      <c r="AI26" s="10"/>
      <c r="AJ26" s="10"/>
      <c r="AK26" s="10"/>
      <c r="AL26" s="10"/>
    </row>
    <row r="27" spans="1:38" ht="30" customHeight="1">
      <c r="A27" s="12"/>
      <c r="B27" s="4"/>
      <c r="C27" s="4"/>
      <c r="D27" s="10"/>
      <c r="E27" s="406" t="s">
        <v>264</v>
      </c>
      <c r="F27" s="407"/>
      <c r="G27" s="407"/>
      <c r="H27" s="407"/>
      <c r="I27" s="407"/>
      <c r="J27" s="408"/>
      <c r="K27" s="46"/>
      <c r="L27" s="46"/>
      <c r="M27" s="46"/>
      <c r="N27" s="46"/>
      <c r="O27" s="46">
        <v>534255.88037999603</v>
      </c>
      <c r="P27" s="46">
        <v>539504.35305999301</v>
      </c>
      <c r="Q27" s="46">
        <v>602332.96998000494</v>
      </c>
      <c r="R27" s="46">
        <v>811594.49428997701</v>
      </c>
      <c r="S27" s="46">
        <v>0</v>
      </c>
      <c r="T27" s="46">
        <f>T28*'Projeções - Receita e EBIT'!Q62</f>
        <v>94544.36419230001</v>
      </c>
      <c r="U27" s="46">
        <f>U28*'Projeções - Receita e EBIT'!R62</f>
        <v>100009.26953074364</v>
      </c>
      <c r="V27" s="46">
        <f>V28*'Projeções - Receita e EBIT'!S62</f>
        <v>106430.54469765018</v>
      </c>
      <c r="W27" s="46">
        <f>W28*'Projeções - Receita e EBIT'!T62</f>
        <v>113500.76835413296</v>
      </c>
      <c r="X27" s="46">
        <f>X28*'Projeções - Receita e EBIT'!U62</f>
        <v>121390.29756304342</v>
      </c>
      <c r="Y27" s="200"/>
      <c r="Z27" s="97"/>
      <c r="AA27" s="97"/>
      <c r="AB27" s="4"/>
      <c r="AC27" s="4"/>
      <c r="AD27" s="4"/>
      <c r="AE27" s="4"/>
      <c r="AF27" s="4"/>
      <c r="AG27" s="4"/>
      <c r="AH27" s="10"/>
      <c r="AI27" s="10"/>
      <c r="AJ27" s="10"/>
      <c r="AK27" s="10"/>
      <c r="AL27" s="10"/>
    </row>
    <row r="28" spans="1:38" ht="30" customHeight="1">
      <c r="A28" s="12"/>
      <c r="B28" s="4"/>
      <c r="C28" s="4"/>
      <c r="D28" s="4"/>
      <c r="E28" s="409" t="s">
        <v>30</v>
      </c>
      <c r="F28" s="410"/>
      <c r="G28" s="410"/>
      <c r="H28" s="410"/>
      <c r="I28" s="410"/>
      <c r="J28" s="411"/>
      <c r="K28" s="46"/>
      <c r="L28" s="46"/>
      <c r="M28" s="46"/>
      <c r="N28" s="46"/>
      <c r="O28" s="60">
        <f>O27/'Projeções - Receita e EBIT'!J62</f>
        <v>0.64466742571473257</v>
      </c>
      <c r="P28" s="60">
        <f>P27/'Projeções - Receita e EBIT'!K62</f>
        <v>0.63400166761657606</v>
      </c>
      <c r="Q28" s="60">
        <f>Q27/'Projeções - Receita e EBIT'!L62</f>
        <v>0.71213744219151454</v>
      </c>
      <c r="R28" s="60">
        <f>R27/'Projeções - Receita e EBIT'!M62</f>
        <v>0.97357030697179558</v>
      </c>
      <c r="S28" s="60">
        <f>S27/'Projeções - Receita e EBIT'!N62</f>
        <v>0</v>
      </c>
      <c r="T28" s="60">
        <v>0.125</v>
      </c>
      <c r="U28" s="60">
        <f t="shared" ref="U28:X28" si="3">T28</f>
        <v>0.125</v>
      </c>
      <c r="V28" s="60">
        <f t="shared" si="3"/>
        <v>0.125</v>
      </c>
      <c r="W28" s="60">
        <f t="shared" si="3"/>
        <v>0.125</v>
      </c>
      <c r="X28" s="316">
        <f t="shared" si="3"/>
        <v>0.125</v>
      </c>
      <c r="Y28" s="88"/>
      <c r="Z28" s="4"/>
      <c r="AA28" s="4"/>
      <c r="AB28" s="4"/>
      <c r="AC28" s="4"/>
      <c r="AD28" s="4"/>
      <c r="AE28" s="4"/>
      <c r="AF28" s="4"/>
      <c r="AG28" s="4"/>
      <c r="AH28" s="10"/>
      <c r="AI28" s="10"/>
      <c r="AJ28" s="10"/>
      <c r="AK28" s="10"/>
      <c r="AL28" s="10"/>
    </row>
    <row r="29" spans="1:38" ht="30" customHeight="1">
      <c r="A29" s="12"/>
      <c r="B29" s="4"/>
      <c r="C29" s="4"/>
      <c r="D29" s="4"/>
      <c r="E29" s="406" t="s">
        <v>265</v>
      </c>
      <c r="F29" s="407"/>
      <c r="G29" s="407"/>
      <c r="H29" s="407"/>
      <c r="I29" s="407"/>
      <c r="J29" s="408"/>
      <c r="K29" s="46"/>
      <c r="L29" s="46"/>
      <c r="M29" s="46"/>
      <c r="N29" s="46"/>
      <c r="O29" s="46">
        <v>0</v>
      </c>
      <c r="P29" s="46">
        <v>0</v>
      </c>
      <c r="Q29" s="46">
        <v>0</v>
      </c>
      <c r="R29" s="46">
        <v>0</v>
      </c>
      <c r="S29" s="46">
        <v>134000</v>
      </c>
      <c r="T29" s="46">
        <f t="shared" ref="T29:U29" si="4">(171.7+103)*1000</f>
        <v>274700</v>
      </c>
      <c r="U29" s="46">
        <f t="shared" si="4"/>
        <v>274700</v>
      </c>
      <c r="V29" s="46">
        <v>103000</v>
      </c>
      <c r="W29" s="40">
        <f>W30*'Projeções - Receita e EBIT'!T81</f>
        <v>107999.62000000001</v>
      </c>
      <c r="X29" s="317">
        <f>X30*'Projeções - Receita e EBIT'!U81</f>
        <v>113493.5606694</v>
      </c>
      <c r="Y29" s="88"/>
      <c r="Z29" s="4"/>
      <c r="AA29" s="4"/>
      <c r="AB29" s="4"/>
      <c r="AC29" s="4"/>
      <c r="AD29" s="4"/>
      <c r="AE29" s="4"/>
      <c r="AF29" s="4"/>
      <c r="AG29" s="4"/>
      <c r="AH29" s="10"/>
      <c r="AI29" s="10"/>
      <c r="AJ29" s="10"/>
      <c r="AK29" s="10"/>
      <c r="AL29" s="10"/>
    </row>
    <row r="30" spans="1:38" ht="30" customHeight="1">
      <c r="A30" s="12"/>
      <c r="B30" s="4"/>
      <c r="C30" s="4"/>
      <c r="D30" s="4"/>
      <c r="E30" s="409" t="s">
        <v>30</v>
      </c>
      <c r="F30" s="410"/>
      <c r="G30" s="410"/>
      <c r="H30" s="410"/>
      <c r="I30" s="410"/>
      <c r="J30" s="411"/>
      <c r="K30" s="42"/>
      <c r="L30" s="42"/>
      <c r="M30" s="42"/>
      <c r="N30" s="42"/>
      <c r="O30" s="60">
        <f>O29/'DRE Consolidado'!O16</f>
        <v>0</v>
      </c>
      <c r="P30" s="60">
        <f>P29/'DRE Consolidado'!P16</f>
        <v>0</v>
      </c>
      <c r="Q30" s="60">
        <f>Q29/'DRE Consolidado'!Q16</f>
        <v>0</v>
      </c>
      <c r="R30" s="60">
        <f>R29/'DRE Consolidado'!R16</f>
        <v>0</v>
      </c>
      <c r="S30" s="60">
        <f>S29/'DRE Consolidado'!S16</f>
        <v>5.4959047101995088E-3</v>
      </c>
      <c r="T30" s="60">
        <f>T29/'Projeções - Receita e EBIT'!Q81</f>
        <v>0.42357843689390084</v>
      </c>
      <c r="U30" s="60">
        <f>U29/'Projeções - Receita e EBIT'!R81</f>
        <v>0.35611726750445249</v>
      </c>
      <c r="V30" s="60">
        <f>V29/'Projeções - Receita e EBIT'!S81</f>
        <v>0.11493350922425345</v>
      </c>
      <c r="W30" s="60">
        <f>V30</f>
        <v>0.11493350922425345</v>
      </c>
      <c r="X30" s="316">
        <f>W30</f>
        <v>0.11493350922425345</v>
      </c>
      <c r="Y30" s="88"/>
      <c r="Z30" s="4"/>
      <c r="AA30" s="4"/>
      <c r="AB30" s="4"/>
      <c r="AC30" s="4"/>
      <c r="AD30" s="4"/>
      <c r="AE30" s="4"/>
      <c r="AF30" s="4"/>
      <c r="AG30" s="4"/>
      <c r="AH30" s="10"/>
      <c r="AI30" s="10"/>
      <c r="AJ30" s="10"/>
      <c r="AK30" s="10"/>
      <c r="AL30" s="10"/>
    </row>
    <row r="31" spans="1:38" ht="30" customHeight="1">
      <c r="A31" s="12"/>
      <c r="B31" s="4"/>
      <c r="C31" s="4"/>
      <c r="D31" s="4"/>
      <c r="E31" s="313" t="s">
        <v>350</v>
      </c>
      <c r="F31" s="314"/>
      <c r="G31" s="314"/>
      <c r="H31" s="314"/>
      <c r="I31" s="314"/>
      <c r="J31" s="315"/>
      <c r="K31" s="42"/>
      <c r="L31" s="42"/>
      <c r="M31" s="42"/>
      <c r="N31" s="42"/>
      <c r="O31" s="42">
        <f>SUM('Projeções - Receita e EBIT'!J28,'Projeções - Receita e EBIT'!J46,'Projeções - Receita e EBIT'!J65,'Projeções - Receita e EBIT'!J89)</f>
        <v>-137000</v>
      </c>
      <c r="P31" s="42">
        <f>SUM('Projeções - Receita e EBIT'!K28,'Projeções - Receita e EBIT'!K46,'Projeções - Receita e EBIT'!K65,'Projeções - Receita e EBIT'!K89)</f>
        <v>-145805</v>
      </c>
      <c r="Q31" s="42">
        <f>SUM('Projeções - Receita e EBIT'!L28,'Projeções - Receita e EBIT'!L46,'Projeções - Receita e EBIT'!L65,'Projeções - Receita e EBIT'!L89)</f>
        <v>-175759</v>
      </c>
      <c r="R31" s="42">
        <f>SUM('Projeções - Receita e EBIT'!M28,'Projeções - Receita e EBIT'!M46,'Projeções - Receita e EBIT'!M65,'Projeções - Receita e EBIT'!M89)</f>
        <v>-159998</v>
      </c>
      <c r="S31" s="42">
        <f>SUM('Projeções - Receita e EBIT'!N28,'Projeções - Receita e EBIT'!N46,'Projeções - Receita e EBIT'!N65,'Projeções - Receita e EBIT'!N89)</f>
        <v>-54540</v>
      </c>
      <c r="T31" s="42">
        <f>SUM('Projeções - Receita e EBIT'!Q46,'Projeções - Receita e EBIT'!Q65)</f>
        <v>-178533.95652766418</v>
      </c>
      <c r="U31" s="42">
        <f>SUM('Projeções - Receita e EBIT'!R46,'Projeções - Receita e EBIT'!R65)</f>
        <v>-207121.31988467925</v>
      </c>
      <c r="V31" s="42">
        <f>SUM('Projeções - Receita e EBIT'!S46,'Projeções - Receita e EBIT'!S65)</f>
        <v>-220419.91704625086</v>
      </c>
      <c r="W31" s="42">
        <f>SUM('Projeções - Receita e EBIT'!T46,'Projeções - Receita e EBIT'!T65)</f>
        <v>-235062.5003036001</v>
      </c>
      <c r="X31" s="89">
        <f>SUM('Projeções - Receita e EBIT'!U46,'Projeções - Receita e EBIT'!U65)</f>
        <v>-251401.8827497036</v>
      </c>
      <c r="Y31" s="88"/>
      <c r="Z31" s="4"/>
      <c r="AA31" s="4"/>
      <c r="AB31" s="4"/>
      <c r="AC31" s="4"/>
      <c r="AD31" s="4"/>
      <c r="AE31" s="4"/>
      <c r="AF31" s="4"/>
      <c r="AG31" s="4"/>
      <c r="AH31" s="10"/>
      <c r="AI31" s="10"/>
      <c r="AJ31" s="10"/>
      <c r="AK31" s="10"/>
      <c r="AL31" s="10"/>
    </row>
    <row r="32" spans="1:38" ht="30" customHeight="1" thickBot="1">
      <c r="A32" s="12"/>
      <c r="B32" s="4"/>
      <c r="C32" s="4"/>
      <c r="D32" s="10"/>
      <c r="E32" s="403" t="s">
        <v>351</v>
      </c>
      <c r="F32" s="404"/>
      <c r="G32" s="404"/>
      <c r="H32" s="404"/>
      <c r="I32" s="404"/>
      <c r="J32" s="405"/>
      <c r="K32" s="42"/>
      <c r="L32" s="42"/>
      <c r="M32" s="42"/>
      <c r="N32" s="42"/>
      <c r="O32" s="46">
        <f t="shared" ref="O32:X32" si="5">SUM(O16,O17,O27,O29,O31)</f>
        <v>405066.95768999599</v>
      </c>
      <c r="P32" s="46">
        <f t="shared" si="5"/>
        <v>405314.71074999298</v>
      </c>
      <c r="Q32" s="46">
        <f t="shared" si="5"/>
        <v>431804.234160005</v>
      </c>
      <c r="R32" s="46">
        <f t="shared" si="5"/>
        <v>665081.55479997699</v>
      </c>
      <c r="S32" s="46">
        <f t="shared" si="5"/>
        <v>1334428</v>
      </c>
      <c r="T32" s="46">
        <f t="shared" si="5"/>
        <v>497033.31140189315</v>
      </c>
      <c r="U32" s="46">
        <f t="shared" si="5"/>
        <v>327133.21799164335</v>
      </c>
      <c r="V32" s="46">
        <f t="shared" si="5"/>
        <v>177090.26017258919</v>
      </c>
      <c r="W32" s="46">
        <f t="shared" si="5"/>
        <v>119613.3245119584</v>
      </c>
      <c r="X32" s="298">
        <f t="shared" si="5"/>
        <v>125914.54307294823</v>
      </c>
      <c r="Y32" s="88"/>
      <c r="Z32" s="4"/>
      <c r="AA32" s="4"/>
      <c r="AB32" s="4"/>
      <c r="AC32" s="4"/>
      <c r="AD32" s="4"/>
      <c r="AE32" s="4"/>
      <c r="AF32" s="4"/>
      <c r="AG32" s="4"/>
      <c r="AH32" s="10"/>
      <c r="AI32" s="10"/>
      <c r="AJ32" s="10"/>
      <c r="AK32" s="10"/>
      <c r="AL32" s="10"/>
    </row>
    <row r="33" spans="1:38" ht="30" customHeight="1">
      <c r="A33" s="12"/>
      <c r="B33" s="4"/>
      <c r="C33" s="4"/>
      <c r="D33" s="10"/>
      <c r="E33" s="178"/>
      <c r="F33" s="178"/>
      <c r="G33" s="178"/>
      <c r="H33" s="178"/>
      <c r="I33" s="178"/>
      <c r="J33" s="178"/>
      <c r="K33" s="178"/>
      <c r="L33" s="178"/>
      <c r="M33" s="178"/>
      <c r="N33" s="178"/>
      <c r="O33" s="178"/>
      <c r="P33" s="178"/>
      <c r="Q33" s="178"/>
      <c r="R33" s="178"/>
      <c r="S33" s="178"/>
      <c r="T33" s="178"/>
      <c r="U33" s="178"/>
      <c r="V33" s="178"/>
      <c r="W33" s="275"/>
      <c r="X33" s="275"/>
      <c r="Y33" s="4"/>
      <c r="Z33" s="4"/>
      <c r="AA33" s="4"/>
      <c r="AB33" s="4"/>
      <c r="AC33" s="4"/>
      <c r="AD33" s="4"/>
      <c r="AE33" s="4"/>
      <c r="AF33" s="4"/>
      <c r="AG33" s="4"/>
      <c r="AH33" s="10"/>
      <c r="AI33" s="10"/>
      <c r="AJ33" s="10"/>
      <c r="AK33" s="10"/>
      <c r="AL33" s="10"/>
    </row>
    <row r="34" spans="1:38" ht="30" customHeight="1">
      <c r="A34" s="12"/>
      <c r="B34" s="4"/>
      <c r="C34" s="4"/>
      <c r="D34" s="10"/>
      <c r="E34" s="4"/>
      <c r="F34" s="4"/>
      <c r="G34" s="4"/>
      <c r="H34" s="4"/>
      <c r="I34" s="4"/>
      <c r="J34" s="4"/>
      <c r="K34" s="4"/>
      <c r="L34" s="4"/>
      <c r="M34" s="4"/>
      <c r="N34" s="4"/>
      <c r="O34" s="4"/>
      <c r="P34" s="4"/>
      <c r="Q34" s="4"/>
      <c r="R34" s="4"/>
      <c r="S34" s="4"/>
      <c r="T34" s="4"/>
      <c r="U34" s="4"/>
      <c r="V34" s="4"/>
      <c r="W34" s="97"/>
      <c r="X34" s="97"/>
      <c r="Y34" s="97"/>
      <c r="Z34" s="4"/>
      <c r="AA34" s="4"/>
      <c r="AB34" s="4"/>
      <c r="AC34" s="4"/>
      <c r="AD34" s="4"/>
      <c r="AE34" s="4"/>
      <c r="AF34" s="4"/>
      <c r="AG34" s="4"/>
      <c r="AH34" s="10"/>
      <c r="AI34" s="10"/>
      <c r="AJ34" s="10"/>
      <c r="AK34" s="10"/>
      <c r="AL34" s="10"/>
    </row>
    <row r="35" spans="1:38" ht="30" customHeight="1">
      <c r="A35" s="12"/>
      <c r="B35" s="4"/>
      <c r="C35" s="4"/>
      <c r="D35" s="10"/>
      <c r="E35" s="4"/>
      <c r="F35" s="50"/>
      <c r="G35" s="50"/>
      <c r="H35" s="50"/>
      <c r="I35" s="50"/>
      <c r="J35" s="50"/>
      <c r="K35" s="50"/>
      <c r="L35" s="50"/>
      <c r="M35" s="50"/>
      <c r="N35" s="50"/>
      <c r="O35" s="50"/>
      <c r="P35" s="97"/>
      <c r="Q35" s="97"/>
      <c r="R35" s="97"/>
      <c r="S35" s="97"/>
      <c r="T35" s="97"/>
      <c r="U35" s="97"/>
      <c r="V35" s="97"/>
      <c r="W35" s="97"/>
      <c r="X35" s="97"/>
      <c r="Y35" s="97"/>
      <c r="Z35" s="4"/>
      <c r="AA35" s="4"/>
      <c r="AB35" s="4"/>
      <c r="AC35" s="4"/>
      <c r="AD35" s="4"/>
      <c r="AE35" s="4"/>
      <c r="AF35" s="4"/>
      <c r="AG35" s="4"/>
      <c r="AH35" s="10"/>
      <c r="AI35" s="10"/>
      <c r="AJ35" s="10"/>
      <c r="AK35" s="10"/>
      <c r="AL35" s="10"/>
    </row>
    <row r="36" spans="1:38" ht="30" customHeight="1">
      <c r="A36" s="12"/>
      <c r="B36" s="4"/>
      <c r="C36" s="4"/>
      <c r="D36" s="10"/>
      <c r="E36" s="345" t="s">
        <v>131</v>
      </c>
      <c r="F36" s="346"/>
      <c r="G36" s="346"/>
      <c r="H36" s="346"/>
      <c r="I36" s="346"/>
      <c r="J36" s="347"/>
      <c r="K36" s="38">
        <v>2023</v>
      </c>
      <c r="L36" s="38">
        <v>2024</v>
      </c>
      <c r="M36" s="38">
        <v>2025</v>
      </c>
      <c r="N36" s="38">
        <v>2026</v>
      </c>
      <c r="O36" s="38">
        <v>2027</v>
      </c>
      <c r="P36" s="38">
        <v>2028</v>
      </c>
      <c r="Q36" s="38">
        <v>2029</v>
      </c>
      <c r="R36" s="38">
        <v>2030</v>
      </c>
      <c r="S36" s="38">
        <v>2031</v>
      </c>
      <c r="T36" s="38">
        <v>2032</v>
      </c>
      <c r="U36" s="38">
        <v>2033</v>
      </c>
      <c r="V36" s="200"/>
      <c r="W36" s="97"/>
      <c r="X36" s="97"/>
      <c r="Y36" s="97"/>
      <c r="Z36" s="4"/>
      <c r="AA36" s="4"/>
      <c r="AB36" s="4"/>
      <c r="AC36" s="4"/>
      <c r="AD36" s="4"/>
      <c r="AE36" s="4"/>
      <c r="AF36" s="4"/>
      <c r="AG36" s="4"/>
      <c r="AH36" s="10"/>
      <c r="AI36" s="10"/>
      <c r="AJ36" s="10"/>
      <c r="AK36" s="10"/>
      <c r="AL36" s="10"/>
    </row>
    <row r="37" spans="1:38" ht="30" customHeight="1">
      <c r="A37" s="12"/>
      <c r="B37" s="4"/>
      <c r="C37" s="4"/>
      <c r="D37" s="10"/>
      <c r="E37" s="409" t="s">
        <v>132</v>
      </c>
      <c r="F37" s="410"/>
      <c r="G37" s="410"/>
      <c r="H37" s="410"/>
      <c r="I37" s="410"/>
      <c r="J37" s="411"/>
      <c r="K37" s="207">
        <f>WACC!F12</f>
        <v>4.1799999999999997E-2</v>
      </c>
      <c r="L37" s="207">
        <f>WACC!G12</f>
        <v>4.2169999999999999E-2</v>
      </c>
      <c r="M37" s="207">
        <f>WACC!H12</f>
        <v>4.3339999999999997E-2</v>
      </c>
      <c r="N37" s="207">
        <f>WACC!I12</f>
        <v>4.5519999999999998E-2</v>
      </c>
      <c r="O37" s="207">
        <f>WACC!J12</f>
        <v>4.854E-2</v>
      </c>
      <c r="P37" s="207">
        <f>WACC!K12</f>
        <v>5.0869999999999999E-2</v>
      </c>
      <c r="Q37" s="207">
        <f>WACC!L12</f>
        <v>5.2380000000000003E-2</v>
      </c>
      <c r="R37" s="207">
        <f>WACC!M12</f>
        <v>5.4300000000000001E-2</v>
      </c>
      <c r="S37" s="207">
        <f>WACC!N12</f>
        <v>5.5210000000000002E-2</v>
      </c>
      <c r="T37" s="207">
        <f>WACC!O12</f>
        <v>5.5620000000000003E-2</v>
      </c>
      <c r="U37" s="207">
        <f>WACC!P12</f>
        <v>5.5840000000000001E-2</v>
      </c>
      <c r="V37" s="200"/>
      <c r="W37" s="97"/>
      <c r="X37" s="97"/>
      <c r="Y37" s="97"/>
      <c r="Z37" s="97"/>
      <c r="AA37" s="97"/>
      <c r="AB37" s="97"/>
      <c r="AC37" s="4"/>
      <c r="AD37" s="4"/>
      <c r="AE37" s="4"/>
      <c r="AF37" s="4"/>
      <c r="AG37" s="4"/>
      <c r="AH37" s="10"/>
      <c r="AI37" s="10"/>
      <c r="AJ37" s="10"/>
      <c r="AK37" s="10"/>
      <c r="AL37" s="10"/>
    </row>
    <row r="38" spans="1:38" ht="30" customHeight="1">
      <c r="A38" s="12"/>
      <c r="B38" s="4"/>
      <c r="C38" s="4"/>
      <c r="D38" s="10"/>
      <c r="E38" s="409" t="s">
        <v>477</v>
      </c>
      <c r="F38" s="410"/>
      <c r="G38" s="410"/>
      <c r="H38" s="410"/>
      <c r="I38" s="410"/>
      <c r="J38" s="411"/>
      <c r="K38" s="207">
        <v>1.2E-2</v>
      </c>
      <c r="L38" s="187">
        <v>1.4999999999999999E-2</v>
      </c>
      <c r="M38" s="187">
        <v>0.02</v>
      </c>
      <c r="N38" s="187">
        <v>0.02</v>
      </c>
      <c r="O38" s="187">
        <v>0.02</v>
      </c>
      <c r="P38" s="187">
        <v>0.02</v>
      </c>
      <c r="Q38" s="187">
        <v>0.02</v>
      </c>
      <c r="R38" s="187">
        <v>0.02</v>
      </c>
      <c r="S38" s="187">
        <v>0.02</v>
      </c>
      <c r="T38" s="187">
        <v>0.02</v>
      </c>
      <c r="U38" s="187">
        <v>0.02</v>
      </c>
      <c r="V38" s="200"/>
      <c r="W38" s="97"/>
      <c r="X38" s="97"/>
      <c r="Y38" s="97"/>
      <c r="Z38" s="97"/>
      <c r="AA38" s="97"/>
      <c r="AB38" s="97"/>
      <c r="AC38" s="4"/>
      <c r="AD38" s="4"/>
      <c r="AE38" s="4"/>
      <c r="AF38" s="4"/>
      <c r="AG38" s="4"/>
      <c r="AH38" s="10"/>
      <c r="AI38" s="10"/>
      <c r="AJ38" s="10"/>
      <c r="AK38" s="10"/>
      <c r="AL38" s="10"/>
    </row>
    <row r="39" spans="1:38" ht="30" customHeight="1" thickBot="1">
      <c r="A39" s="12"/>
      <c r="B39" s="4"/>
      <c r="C39" s="4"/>
      <c r="D39" s="10"/>
      <c r="E39" s="409" t="s">
        <v>478</v>
      </c>
      <c r="F39" s="410"/>
      <c r="G39" s="410"/>
      <c r="H39" s="410"/>
      <c r="I39" s="410"/>
      <c r="J39" s="411"/>
      <c r="K39" s="187">
        <f xml:space="preserve"> (1+K37)*(1+K38)-1</f>
        <v>5.4301600000000061E-2</v>
      </c>
      <c r="L39" s="187">
        <f t="shared" ref="L39:U39" si="6" xml:space="preserve"> (1+L37)*(1+L38)-1</f>
        <v>5.7802549999999897E-2</v>
      </c>
      <c r="M39" s="187">
        <f t="shared" si="6"/>
        <v>6.4206800000000008E-2</v>
      </c>
      <c r="N39" s="187">
        <f t="shared" si="6"/>
        <v>6.6430400000000001E-2</v>
      </c>
      <c r="O39" s="187">
        <f t="shared" si="6"/>
        <v>6.9510799999999984E-2</v>
      </c>
      <c r="P39" s="187">
        <f t="shared" si="6"/>
        <v>7.1887400000000046E-2</v>
      </c>
      <c r="Q39" s="187">
        <f t="shared" si="6"/>
        <v>7.3427600000000037E-2</v>
      </c>
      <c r="R39" s="187">
        <f t="shared" si="6"/>
        <v>7.5385999999999953E-2</v>
      </c>
      <c r="S39" s="187">
        <f t="shared" si="6"/>
        <v>7.631420000000011E-2</v>
      </c>
      <c r="T39" s="187">
        <f t="shared" si="6"/>
        <v>7.6732400000000034E-2</v>
      </c>
      <c r="U39" s="187">
        <f t="shared" si="6"/>
        <v>7.6956799999999825E-2</v>
      </c>
      <c r="V39" s="200"/>
      <c r="W39" s="50"/>
      <c r="X39" s="50"/>
      <c r="Y39" s="50"/>
      <c r="Z39" s="50"/>
      <c r="AA39" s="50"/>
      <c r="AB39" s="4"/>
      <c r="AC39" s="4"/>
      <c r="AD39" s="4"/>
      <c r="AE39" s="4"/>
      <c r="AF39" s="4"/>
      <c r="AG39" s="4"/>
      <c r="AH39" s="10"/>
      <c r="AI39" s="10"/>
      <c r="AJ39" s="10"/>
      <c r="AK39" s="10"/>
      <c r="AL39" s="10"/>
    </row>
    <row r="40" spans="1:38" ht="30" customHeight="1">
      <c r="A40" s="12"/>
      <c r="B40" s="4"/>
      <c r="C40" s="4"/>
      <c r="D40" s="10"/>
      <c r="E40" s="192"/>
      <c r="F40" s="192"/>
      <c r="G40" s="192"/>
      <c r="H40" s="192"/>
      <c r="I40" s="192"/>
      <c r="J40" s="192"/>
      <c r="K40" s="192"/>
      <c r="L40" s="192"/>
      <c r="M40" s="192"/>
      <c r="N40" s="192"/>
      <c r="O40" s="192"/>
      <c r="P40" s="192"/>
      <c r="Q40" s="192"/>
      <c r="R40" s="192"/>
      <c r="S40" s="192"/>
      <c r="T40" s="192"/>
      <c r="U40" s="192"/>
      <c r="V40" s="50"/>
      <c r="W40" s="50"/>
      <c r="X40" s="50"/>
      <c r="Y40" s="4"/>
      <c r="Z40" s="50"/>
      <c r="AA40" s="50"/>
      <c r="AB40" s="4"/>
      <c r="AC40" s="4"/>
      <c r="AD40" s="4"/>
      <c r="AE40" s="4"/>
      <c r="AF40" s="4"/>
      <c r="AG40" s="4"/>
      <c r="AH40" s="10"/>
      <c r="AI40" s="10"/>
      <c r="AJ40" s="10"/>
      <c r="AK40" s="10"/>
      <c r="AL40" s="10"/>
    </row>
    <row r="41" spans="1:38" ht="30" customHeight="1">
      <c r="A41" s="12"/>
      <c r="B41" s="4"/>
      <c r="C41" s="4"/>
      <c r="D41" s="10"/>
      <c r="E41" s="50"/>
      <c r="F41" s="50"/>
      <c r="G41" s="50"/>
      <c r="H41" s="50"/>
      <c r="I41" s="50"/>
      <c r="J41" s="50"/>
      <c r="K41" s="50"/>
      <c r="L41" s="50"/>
      <c r="M41" s="50"/>
      <c r="N41" s="50"/>
      <c r="O41" s="50"/>
      <c r="P41" s="50"/>
      <c r="Q41" s="50"/>
      <c r="R41" s="50"/>
      <c r="S41" s="50"/>
      <c r="T41" s="50"/>
      <c r="U41" s="50"/>
      <c r="V41" s="50"/>
      <c r="W41" s="50"/>
      <c r="X41" s="50"/>
      <c r="Y41" s="97"/>
      <c r="Z41" s="50"/>
      <c r="AA41" s="50"/>
      <c r="AB41" s="4"/>
      <c r="AC41" s="4"/>
      <c r="AD41" s="4"/>
      <c r="AE41" s="4"/>
      <c r="AF41" s="4"/>
      <c r="AG41" s="4"/>
      <c r="AH41" s="10"/>
      <c r="AI41" s="10"/>
      <c r="AJ41" s="10"/>
      <c r="AK41" s="10"/>
      <c r="AL41" s="10"/>
    </row>
    <row r="42" spans="1:38" ht="30" customHeight="1">
      <c r="A42" s="12"/>
      <c r="B42" s="4"/>
      <c r="C42" s="4"/>
      <c r="D42" s="4"/>
      <c r="E42" s="50"/>
      <c r="F42" s="50"/>
      <c r="G42" s="50"/>
      <c r="H42" s="50"/>
      <c r="I42" s="50"/>
      <c r="J42" s="50"/>
      <c r="K42" s="51"/>
      <c r="L42" s="51"/>
      <c r="M42" s="51"/>
      <c r="N42" s="51"/>
      <c r="O42" s="4"/>
      <c r="P42" s="50"/>
      <c r="Q42" s="50"/>
      <c r="R42" s="50"/>
      <c r="S42" s="50"/>
      <c r="T42" s="50"/>
      <c r="U42" s="50"/>
      <c r="V42" s="50"/>
      <c r="W42" s="50"/>
      <c r="X42" s="97"/>
      <c r="Y42" s="97"/>
      <c r="Z42" s="50"/>
      <c r="AA42" s="50"/>
      <c r="AB42" s="4"/>
      <c r="AC42" s="4"/>
      <c r="AD42" s="4"/>
      <c r="AE42" s="4"/>
      <c r="AF42" s="4"/>
      <c r="AG42" s="4"/>
      <c r="AH42" s="10"/>
      <c r="AI42" s="10"/>
      <c r="AJ42" s="10"/>
      <c r="AK42" s="10"/>
      <c r="AL42" s="10"/>
    </row>
    <row r="43" spans="1:38" ht="30" customHeight="1">
      <c r="A43" s="12"/>
      <c r="B43" s="4"/>
      <c r="C43" s="4"/>
      <c r="D43" s="4"/>
      <c r="E43" s="50"/>
      <c r="F43" s="50"/>
      <c r="G43" s="50"/>
      <c r="H43" s="50"/>
      <c r="I43" s="50"/>
      <c r="J43" s="50"/>
      <c r="K43" s="51"/>
      <c r="L43" s="51"/>
      <c r="M43" s="51"/>
      <c r="N43" s="51"/>
      <c r="O43" s="4"/>
      <c r="P43" s="4"/>
      <c r="Q43" s="4"/>
      <c r="R43" s="4"/>
      <c r="S43" s="4"/>
      <c r="T43" s="4"/>
      <c r="U43" s="4"/>
      <c r="V43" s="4"/>
      <c r="W43" s="4"/>
      <c r="X43" s="4"/>
      <c r="Y43" s="50"/>
      <c r="Z43" s="50"/>
      <c r="AA43" s="4"/>
      <c r="AB43" s="4"/>
      <c r="AC43" s="4"/>
      <c r="AD43" s="4"/>
      <c r="AE43" s="4"/>
      <c r="AF43" s="4"/>
      <c r="AG43" s="4"/>
      <c r="AH43" s="10"/>
      <c r="AI43" s="10"/>
      <c r="AJ43" s="10"/>
      <c r="AK43" s="10"/>
      <c r="AL43" s="10"/>
    </row>
    <row r="44" spans="1:38" ht="30" customHeight="1">
      <c r="A44" s="12"/>
      <c r="B44" s="4"/>
      <c r="C44" s="4"/>
      <c r="D44" s="4"/>
      <c r="E44" s="345" t="s">
        <v>131</v>
      </c>
      <c r="F44" s="346"/>
      <c r="G44" s="346"/>
      <c r="H44" s="346"/>
      <c r="I44" s="346"/>
      <c r="J44" s="347"/>
      <c r="K44" s="37">
        <v>2014</v>
      </c>
      <c r="L44" s="37">
        <v>2015</v>
      </c>
      <c r="M44" s="37">
        <v>2016</v>
      </c>
      <c r="N44" s="37">
        <v>2017</v>
      </c>
      <c r="O44" s="37">
        <v>2018</v>
      </c>
      <c r="P44" s="37">
        <v>2019</v>
      </c>
      <c r="Q44" s="37">
        <v>2020</v>
      </c>
      <c r="R44" s="37">
        <v>2021</v>
      </c>
      <c r="S44" s="37">
        <v>2022</v>
      </c>
      <c r="T44" s="37" t="s">
        <v>501</v>
      </c>
      <c r="U44" s="200"/>
      <c r="V44" s="4"/>
      <c r="W44" s="4"/>
      <c r="X44" s="4"/>
      <c r="Y44" s="50"/>
      <c r="Z44" s="50"/>
      <c r="AA44" s="4"/>
      <c r="AB44" s="4"/>
      <c r="AC44" s="4"/>
      <c r="AD44" s="4"/>
      <c r="AE44" s="4"/>
      <c r="AF44" s="4"/>
      <c r="AG44" s="4"/>
      <c r="AH44" s="10"/>
      <c r="AI44" s="10"/>
      <c r="AJ44" s="10"/>
      <c r="AK44" s="10"/>
      <c r="AL44" s="10"/>
    </row>
    <row r="45" spans="1:38" ht="30" customHeight="1">
      <c r="A45" s="12"/>
      <c r="B45" s="4"/>
      <c r="C45" s="4"/>
      <c r="D45" s="4"/>
      <c r="E45" s="53" t="s">
        <v>277</v>
      </c>
      <c r="F45" s="243"/>
      <c r="G45" s="243"/>
      <c r="H45" s="243"/>
      <c r="I45" s="243"/>
      <c r="J45" s="244"/>
      <c r="K45" s="46"/>
      <c r="L45" s="46"/>
      <c r="M45" s="46"/>
      <c r="N45" s="46"/>
      <c r="O45" s="46"/>
      <c r="P45" s="42">
        <v>44835</v>
      </c>
      <c r="Q45" s="42">
        <v>91139</v>
      </c>
      <c r="R45" s="42">
        <v>56466</v>
      </c>
      <c r="S45" s="42">
        <v>87450</v>
      </c>
      <c r="T45" s="42">
        <v>78322</v>
      </c>
      <c r="U45" s="200"/>
      <c r="V45" s="4"/>
      <c r="W45" s="4"/>
      <c r="X45" s="4"/>
      <c r="Y45" s="50"/>
      <c r="Z45" s="50"/>
      <c r="AA45" s="4"/>
      <c r="AB45" s="4"/>
      <c r="AC45" s="4"/>
      <c r="AD45" s="4"/>
      <c r="AE45" s="4"/>
      <c r="AF45" s="4"/>
      <c r="AG45" s="4"/>
      <c r="AH45" s="10"/>
      <c r="AI45" s="10"/>
      <c r="AJ45" s="10"/>
      <c r="AK45" s="10"/>
      <c r="AL45" s="10"/>
    </row>
    <row r="46" spans="1:38" ht="30" customHeight="1">
      <c r="A46" s="12"/>
      <c r="B46" s="4"/>
      <c r="C46" s="4"/>
      <c r="D46" s="4"/>
      <c r="E46" s="53" t="s">
        <v>276</v>
      </c>
      <c r="F46" s="243"/>
      <c r="G46" s="243"/>
      <c r="H46" s="243"/>
      <c r="I46" s="243"/>
      <c r="J46" s="244"/>
      <c r="K46" s="46"/>
      <c r="L46" s="46"/>
      <c r="M46" s="46"/>
      <c r="N46" s="46"/>
      <c r="O46" s="46"/>
      <c r="P46" s="42">
        <v>55977</v>
      </c>
      <c r="Q46" s="42">
        <v>58450</v>
      </c>
      <c r="R46" s="42">
        <v>101267</v>
      </c>
      <c r="S46" s="42">
        <v>183795</v>
      </c>
      <c r="T46" s="42">
        <v>109178</v>
      </c>
      <c r="U46" s="200"/>
      <c r="V46" s="4"/>
      <c r="W46" s="4"/>
      <c r="X46" s="4"/>
      <c r="Y46" s="50"/>
      <c r="Z46" s="50"/>
      <c r="AA46" s="4"/>
      <c r="AB46" s="4"/>
      <c r="AC46" s="4"/>
      <c r="AD46" s="4"/>
      <c r="AE46" s="4"/>
      <c r="AF46" s="4"/>
      <c r="AG46" s="4"/>
      <c r="AH46" s="10"/>
      <c r="AI46" s="10"/>
      <c r="AJ46" s="10"/>
      <c r="AK46" s="10"/>
      <c r="AL46" s="10"/>
    </row>
    <row r="47" spans="1:38" ht="30" customHeight="1">
      <c r="A47" s="12"/>
      <c r="B47" s="4"/>
      <c r="C47" s="4"/>
      <c r="D47" s="4"/>
      <c r="E47" s="293" t="s">
        <v>278</v>
      </c>
      <c r="F47" s="291"/>
      <c r="G47" s="291"/>
      <c r="H47" s="291"/>
      <c r="I47" s="291"/>
      <c r="J47" s="292"/>
      <c r="K47" s="217"/>
      <c r="L47" s="217"/>
      <c r="M47" s="217"/>
      <c r="N47" s="217"/>
      <c r="O47" s="217"/>
      <c r="P47" s="177">
        <v>8974</v>
      </c>
      <c r="Q47" s="177">
        <v>9014</v>
      </c>
      <c r="R47" s="177">
        <v>10223</v>
      </c>
      <c r="S47" s="177">
        <v>16120</v>
      </c>
      <c r="T47" s="177">
        <v>18861</v>
      </c>
      <c r="U47" s="200"/>
      <c r="V47" s="4"/>
      <c r="W47" s="4"/>
      <c r="X47" s="4"/>
      <c r="Y47" s="4"/>
      <c r="Z47" s="4"/>
      <c r="AA47" s="4"/>
      <c r="AB47" s="4"/>
      <c r="AC47" s="4"/>
      <c r="AD47" s="4"/>
      <c r="AE47" s="4"/>
      <c r="AF47" s="4"/>
      <c r="AG47" s="4"/>
      <c r="AH47" s="10"/>
      <c r="AI47" s="10"/>
      <c r="AJ47" s="10"/>
      <c r="AK47" s="10"/>
      <c r="AL47" s="10"/>
    </row>
    <row r="48" spans="1:38" ht="30" customHeight="1" thickBot="1">
      <c r="A48" s="12"/>
      <c r="B48" s="4"/>
      <c r="C48" s="4"/>
      <c r="D48" s="4"/>
      <c r="E48" s="295" t="s">
        <v>324</v>
      </c>
      <c r="F48" s="296"/>
      <c r="G48" s="296"/>
      <c r="H48" s="296"/>
      <c r="I48" s="296"/>
      <c r="J48" s="297"/>
      <c r="K48" s="217">
        <v>0</v>
      </c>
      <c r="L48" s="217">
        <v>0</v>
      </c>
      <c r="M48" s="217">
        <v>0</v>
      </c>
      <c r="N48" s="217">
        <v>0</v>
      </c>
      <c r="O48" s="217">
        <v>0</v>
      </c>
      <c r="P48" s="217">
        <v>127308</v>
      </c>
      <c r="Q48" s="217">
        <v>129146</v>
      </c>
      <c r="R48" s="217">
        <v>186383</v>
      </c>
      <c r="S48" s="217">
        <v>199519</v>
      </c>
      <c r="T48" s="217">
        <f>49753+254420</f>
        <v>304173</v>
      </c>
      <c r="U48" s="200"/>
      <c r="V48" s="4"/>
      <c r="W48" s="4"/>
      <c r="X48" s="4"/>
      <c r="Y48" s="4"/>
      <c r="Z48" s="4"/>
      <c r="AA48" s="4"/>
      <c r="AB48" s="4"/>
      <c r="AC48" s="4"/>
      <c r="AD48" s="4"/>
      <c r="AE48" s="4"/>
      <c r="AF48" s="4"/>
      <c r="AG48" s="4"/>
      <c r="AH48" s="10"/>
      <c r="AI48" s="10"/>
      <c r="AJ48" s="10"/>
      <c r="AK48" s="10"/>
      <c r="AL48" s="10"/>
    </row>
    <row r="49" spans="1:38" ht="30" customHeight="1">
      <c r="A49" s="12"/>
      <c r="B49" s="4"/>
      <c r="C49" s="4"/>
      <c r="D49" s="4"/>
      <c r="E49" s="192"/>
      <c r="F49" s="192"/>
      <c r="G49" s="192"/>
      <c r="H49" s="192"/>
      <c r="I49" s="192"/>
      <c r="J49" s="192"/>
      <c r="K49" s="182"/>
      <c r="L49" s="182"/>
      <c r="M49" s="182"/>
      <c r="N49" s="182"/>
      <c r="O49" s="178"/>
      <c r="P49" s="178"/>
      <c r="Q49" s="178"/>
      <c r="R49" s="178"/>
      <c r="S49" s="178"/>
      <c r="T49" s="178"/>
      <c r="U49" s="4"/>
      <c r="V49" s="4"/>
      <c r="W49" s="4"/>
      <c r="X49" s="4"/>
      <c r="Y49" s="4"/>
      <c r="Z49" s="4"/>
      <c r="AA49" s="4"/>
      <c r="AB49" s="4"/>
      <c r="AC49" s="4"/>
      <c r="AD49" s="4"/>
      <c r="AE49" s="4"/>
      <c r="AF49" s="4"/>
      <c r="AG49" s="4"/>
      <c r="AH49" s="10"/>
      <c r="AI49" s="10"/>
      <c r="AJ49" s="10"/>
      <c r="AK49" s="10"/>
      <c r="AL49" s="10"/>
    </row>
    <row r="50" spans="1:38" ht="30" customHeight="1">
      <c r="A50" s="12"/>
      <c r="B50" s="4"/>
      <c r="C50" s="4"/>
      <c r="D50" s="4"/>
      <c r="E50" s="50"/>
      <c r="F50" s="50"/>
      <c r="G50" s="50"/>
      <c r="H50" s="50"/>
      <c r="I50" s="50"/>
      <c r="J50" s="50"/>
      <c r="K50" s="51"/>
      <c r="L50" s="51"/>
      <c r="M50" s="51"/>
      <c r="N50" s="51"/>
      <c r="O50" s="4"/>
      <c r="P50" s="4"/>
      <c r="Q50" s="4"/>
      <c r="R50" s="4"/>
      <c r="S50" s="4"/>
      <c r="T50" s="4"/>
      <c r="U50" s="4"/>
      <c r="V50" s="4"/>
      <c r="W50" s="4"/>
      <c r="X50" s="4"/>
      <c r="Y50" s="4"/>
      <c r="Z50" s="4"/>
      <c r="AA50" s="4"/>
      <c r="AB50" s="4"/>
      <c r="AC50" s="4"/>
      <c r="AD50" s="4"/>
      <c r="AE50" s="4"/>
      <c r="AF50" s="4"/>
      <c r="AG50" s="4"/>
      <c r="AH50" s="10"/>
      <c r="AI50" s="10"/>
      <c r="AJ50" s="10"/>
      <c r="AK50" s="10"/>
      <c r="AL50" s="10"/>
    </row>
    <row r="51" spans="1:38" ht="30" customHeight="1">
      <c r="A51" s="12"/>
      <c r="B51" s="4"/>
      <c r="C51" s="4"/>
      <c r="D51" s="4"/>
      <c r="E51" s="50"/>
      <c r="F51" s="50"/>
      <c r="G51" s="50"/>
      <c r="H51" s="50"/>
      <c r="I51" s="50"/>
      <c r="J51" s="50"/>
      <c r="K51" s="51"/>
      <c r="L51" s="51"/>
      <c r="M51" s="51"/>
      <c r="N51" s="51"/>
      <c r="O51" s="4"/>
      <c r="P51" s="4"/>
      <c r="Q51" s="4"/>
      <c r="R51" s="4"/>
      <c r="S51" s="4"/>
      <c r="T51" s="4"/>
      <c r="U51" s="4"/>
      <c r="V51" s="4"/>
      <c r="W51" s="4"/>
      <c r="X51" s="4"/>
      <c r="Y51" s="4"/>
      <c r="Z51" s="4"/>
      <c r="AA51" s="4"/>
      <c r="AB51" s="4"/>
      <c r="AC51" s="4"/>
      <c r="AD51" s="4"/>
      <c r="AE51" s="4"/>
      <c r="AF51" s="4"/>
      <c r="AG51" s="4"/>
      <c r="AH51" s="10"/>
      <c r="AI51" s="10"/>
      <c r="AJ51" s="10"/>
      <c r="AK51" s="10"/>
      <c r="AL51" s="10"/>
    </row>
    <row r="52" spans="1:38" ht="30" customHeight="1">
      <c r="A52" s="12"/>
      <c r="B52" s="4"/>
      <c r="C52" s="4"/>
      <c r="D52" s="4"/>
      <c r="E52" s="50"/>
      <c r="F52" s="50"/>
      <c r="G52" s="50"/>
      <c r="H52" s="50"/>
      <c r="I52" s="50"/>
      <c r="J52" s="50"/>
      <c r="K52" s="51"/>
      <c r="L52" s="51"/>
      <c r="M52" s="51"/>
      <c r="N52" s="51"/>
      <c r="O52" s="4"/>
      <c r="P52" s="4"/>
      <c r="Q52" s="4"/>
      <c r="R52" s="4"/>
      <c r="S52" s="4"/>
      <c r="T52" s="4"/>
      <c r="U52" s="4"/>
      <c r="V52" s="4"/>
      <c r="W52" s="4"/>
      <c r="X52" s="4"/>
      <c r="Y52" s="4"/>
      <c r="Z52" s="4"/>
      <c r="AA52" s="4"/>
      <c r="AB52" s="4"/>
      <c r="AC52" s="4"/>
      <c r="AD52" s="4"/>
      <c r="AE52" s="4"/>
      <c r="AF52" s="4"/>
      <c r="AG52" s="4"/>
      <c r="AH52" s="10"/>
      <c r="AI52" s="10"/>
      <c r="AJ52" s="10"/>
      <c r="AK52" s="10"/>
      <c r="AL52" s="10"/>
    </row>
    <row r="53" spans="1:38" ht="30" customHeight="1">
      <c r="A53" s="12"/>
      <c r="B53" s="4"/>
      <c r="C53" s="4"/>
      <c r="D53" s="4"/>
      <c r="E53" s="345" t="s">
        <v>131</v>
      </c>
      <c r="F53" s="346"/>
      <c r="G53" s="346"/>
      <c r="H53" s="346"/>
      <c r="I53" s="346"/>
      <c r="J53" s="347"/>
      <c r="K53" s="37">
        <v>2014</v>
      </c>
      <c r="L53" s="37">
        <v>2015</v>
      </c>
      <c r="M53" s="37">
        <v>2016</v>
      </c>
      <c r="N53" s="37">
        <v>2017</v>
      </c>
      <c r="O53" s="37">
        <v>2018</v>
      </c>
      <c r="P53" s="37">
        <v>2019</v>
      </c>
      <c r="Q53" s="37">
        <v>2020</v>
      </c>
      <c r="R53" s="37">
        <v>2021</v>
      </c>
      <c r="S53" s="37">
        <v>2022</v>
      </c>
      <c r="T53" s="37" t="s">
        <v>501</v>
      </c>
      <c r="U53" s="200"/>
      <c r="V53" s="4"/>
      <c r="W53" s="4"/>
      <c r="X53" s="4"/>
      <c r="Y53" s="4"/>
      <c r="Z53" s="4"/>
      <c r="AA53" s="4"/>
      <c r="AB53" s="4"/>
      <c r="AC53" s="4"/>
      <c r="AD53" s="4"/>
      <c r="AE53" s="4"/>
      <c r="AF53" s="4"/>
      <c r="AG53" s="4"/>
      <c r="AH53" s="10"/>
      <c r="AI53" s="10"/>
      <c r="AJ53" s="10"/>
      <c r="AK53" s="10"/>
      <c r="AL53" s="10"/>
    </row>
    <row r="54" spans="1:38" ht="30" customHeight="1">
      <c r="A54" s="12"/>
      <c r="B54" s="4"/>
      <c r="C54" s="4"/>
      <c r="D54" s="4"/>
      <c r="E54" s="397" t="s">
        <v>284</v>
      </c>
      <c r="F54" s="398">
        <v>0</v>
      </c>
      <c r="G54" s="398">
        <v>0</v>
      </c>
      <c r="H54" s="398">
        <v>0</v>
      </c>
      <c r="I54" s="398">
        <v>0</v>
      </c>
      <c r="J54" s="399">
        <v>0</v>
      </c>
      <c r="K54" s="42"/>
      <c r="L54" s="42"/>
      <c r="M54" s="42"/>
      <c r="N54" s="42"/>
      <c r="O54" s="42">
        <v>176783</v>
      </c>
      <c r="P54" s="42">
        <v>183884</v>
      </c>
      <c r="Q54" s="42">
        <v>144858</v>
      </c>
      <c r="R54" s="42">
        <v>177673</v>
      </c>
      <c r="S54" s="42">
        <v>71645</v>
      </c>
      <c r="T54" s="42">
        <v>239860</v>
      </c>
      <c r="U54" s="200"/>
      <c r="V54" s="4"/>
      <c r="W54" s="4"/>
      <c r="X54" s="4"/>
      <c r="Y54" s="4"/>
      <c r="Z54" s="4"/>
      <c r="AA54" s="4"/>
      <c r="AB54" s="4"/>
      <c r="AC54" s="4"/>
      <c r="AD54" s="4"/>
      <c r="AE54" s="4"/>
      <c r="AF54" s="4"/>
      <c r="AG54" s="4"/>
      <c r="AH54" s="10"/>
      <c r="AI54" s="10"/>
      <c r="AJ54" s="10"/>
      <c r="AK54" s="10"/>
      <c r="AL54" s="10"/>
    </row>
    <row r="55" spans="1:38" ht="30" customHeight="1">
      <c r="A55" s="12"/>
      <c r="B55" s="4"/>
      <c r="C55" s="4"/>
      <c r="D55" s="4"/>
      <c r="E55" s="397" t="s">
        <v>285</v>
      </c>
      <c r="F55" s="398">
        <v>0</v>
      </c>
      <c r="G55" s="398">
        <v>0</v>
      </c>
      <c r="H55" s="398">
        <v>0</v>
      </c>
      <c r="I55" s="398">
        <v>0</v>
      </c>
      <c r="J55" s="399">
        <v>0</v>
      </c>
      <c r="K55" s="42"/>
      <c r="L55" s="42">
        <v>101445</v>
      </c>
      <c r="M55" s="42">
        <v>77845</v>
      </c>
      <c r="N55" s="42">
        <v>74739</v>
      </c>
      <c r="O55" s="42">
        <v>102011</v>
      </c>
      <c r="P55" s="42">
        <v>222394</v>
      </c>
      <c r="Q55" s="42">
        <v>354430</v>
      </c>
      <c r="R55" s="42">
        <v>314984</v>
      </c>
      <c r="S55" s="42">
        <v>951429</v>
      </c>
      <c r="T55" s="42">
        <v>1082576</v>
      </c>
      <c r="U55" s="200"/>
      <c r="V55" s="4"/>
      <c r="W55" s="4"/>
      <c r="X55" s="4"/>
      <c r="Y55" s="4"/>
      <c r="Z55" s="4"/>
      <c r="AA55" s="4"/>
      <c r="AB55" s="4"/>
      <c r="AC55" s="4"/>
      <c r="AD55" s="4"/>
      <c r="AE55" s="4"/>
      <c r="AF55" s="4"/>
      <c r="AG55" s="4"/>
      <c r="AH55" s="10"/>
      <c r="AI55" s="10"/>
      <c r="AJ55" s="10"/>
      <c r="AK55" s="10"/>
      <c r="AL55" s="10"/>
    </row>
    <row r="56" spans="1:38" ht="30" customHeight="1">
      <c r="A56" s="12"/>
      <c r="B56" s="4"/>
      <c r="C56" s="4"/>
      <c r="D56" s="4"/>
      <c r="E56" s="400" t="s">
        <v>286</v>
      </c>
      <c r="F56" s="401">
        <v>0</v>
      </c>
      <c r="G56" s="401">
        <v>0</v>
      </c>
      <c r="H56" s="401">
        <v>0</v>
      </c>
      <c r="I56" s="401">
        <v>0</v>
      </c>
      <c r="J56" s="402">
        <v>0</v>
      </c>
      <c r="K56" s="177"/>
      <c r="L56" s="177"/>
      <c r="M56" s="177">
        <v>116439</v>
      </c>
      <c r="N56" s="177">
        <v>124043</v>
      </c>
      <c r="O56" s="177">
        <v>207475</v>
      </c>
      <c r="P56" s="177">
        <v>225997</v>
      </c>
      <c r="Q56" s="177">
        <v>260205</v>
      </c>
      <c r="R56" s="177">
        <v>285886</v>
      </c>
      <c r="S56" s="177">
        <v>305835</v>
      </c>
      <c r="T56" s="177">
        <v>387109</v>
      </c>
      <c r="U56" s="200"/>
      <c r="V56" s="4"/>
      <c r="W56" s="4"/>
      <c r="X56" s="4"/>
      <c r="Y56" s="4"/>
      <c r="Z56" s="4"/>
      <c r="AA56" s="4"/>
      <c r="AB56" s="4"/>
      <c r="AC56" s="4"/>
      <c r="AD56" s="4"/>
      <c r="AE56" s="4"/>
      <c r="AF56" s="4"/>
      <c r="AG56" s="4"/>
      <c r="AH56" s="10"/>
      <c r="AI56" s="10"/>
      <c r="AJ56" s="10"/>
      <c r="AK56" s="10"/>
      <c r="AL56" s="10"/>
    </row>
    <row r="57" spans="1:38" ht="30" customHeight="1" thickBot="1">
      <c r="A57" s="12"/>
      <c r="B57" s="4"/>
      <c r="C57" s="4"/>
      <c r="D57" s="4"/>
      <c r="E57" s="300" t="s">
        <v>325</v>
      </c>
      <c r="F57" s="301"/>
      <c r="G57" s="301"/>
      <c r="H57" s="301"/>
      <c r="I57" s="301"/>
      <c r="J57" s="302"/>
      <c r="K57" s="217">
        <f>-'DRE - Contas Abertas'!F19</f>
        <v>408865</v>
      </c>
      <c r="L57" s="217">
        <f>-'DRE - Contas Abertas'!G19</f>
        <v>508626</v>
      </c>
      <c r="M57" s="217">
        <f>-'DRE - Contas Abertas'!H19</f>
        <v>547187</v>
      </c>
      <c r="N57" s="217">
        <f>-'DRE - Contas Abertas'!I19</f>
        <v>525731</v>
      </c>
      <c r="O57" s="217">
        <f>-'DRE - Contas Abertas'!J19</f>
        <v>636817</v>
      </c>
      <c r="P57" s="217">
        <f>-'DRE - Contas Abertas'!K19-P48</f>
        <v>789436</v>
      </c>
      <c r="Q57" s="217">
        <f>-'DRE - Contas Abertas'!L19-Q48</f>
        <v>982807</v>
      </c>
      <c r="R57" s="217">
        <f>-'DRE - Contas Abertas'!M19-R48</f>
        <v>872731</v>
      </c>
      <c r="S57" s="217">
        <f>-'DRE - Contas Abertas'!N19-S48</f>
        <v>1686758</v>
      </c>
      <c r="T57" s="217">
        <f>-'DRE - Contas Abertas'!O19-T48</f>
        <v>1739054</v>
      </c>
      <c r="U57" s="200"/>
      <c r="V57" s="4"/>
      <c r="W57" s="4"/>
      <c r="X57" s="4"/>
      <c r="Y57" s="4"/>
      <c r="Z57" s="4"/>
      <c r="AA57" s="4"/>
      <c r="AB57" s="4"/>
      <c r="AC57" s="4"/>
      <c r="AD57" s="4"/>
      <c r="AE57" s="4"/>
      <c r="AF57" s="4"/>
      <c r="AG57" s="4"/>
      <c r="AH57" s="10"/>
      <c r="AI57" s="10"/>
      <c r="AJ57" s="10"/>
      <c r="AK57" s="10"/>
      <c r="AL57" s="10"/>
    </row>
    <row r="58" spans="1:38" ht="30" customHeight="1">
      <c r="A58" s="12"/>
      <c r="B58" s="4"/>
      <c r="C58" s="4"/>
      <c r="D58" s="4"/>
      <c r="E58" s="192"/>
      <c r="F58" s="192"/>
      <c r="G58" s="192"/>
      <c r="H58" s="192"/>
      <c r="I58" s="192"/>
      <c r="J58" s="192"/>
      <c r="K58" s="182"/>
      <c r="L58" s="182"/>
      <c r="M58" s="182"/>
      <c r="N58" s="182"/>
      <c r="O58" s="178"/>
      <c r="P58" s="178"/>
      <c r="Q58" s="178"/>
      <c r="R58" s="178"/>
      <c r="S58" s="178"/>
      <c r="T58" s="178"/>
      <c r="U58" s="4"/>
      <c r="V58" s="4"/>
      <c r="W58" s="4"/>
      <c r="X58" s="4"/>
      <c r="Y58" s="4"/>
      <c r="Z58" s="4"/>
      <c r="AA58" s="4"/>
      <c r="AB58" s="4"/>
      <c r="AC58" s="4"/>
      <c r="AD58" s="4"/>
      <c r="AE58" s="4"/>
      <c r="AF58" s="4"/>
      <c r="AG58" s="4"/>
      <c r="AH58" s="10"/>
      <c r="AI58" s="10"/>
      <c r="AJ58" s="10"/>
      <c r="AK58" s="10"/>
      <c r="AL58" s="10"/>
    </row>
    <row r="59" spans="1:38" ht="30" customHeight="1">
      <c r="A59" s="12"/>
      <c r="B59" s="4"/>
      <c r="C59" s="4"/>
      <c r="D59" s="4"/>
      <c r="E59" s="50"/>
      <c r="F59" s="50"/>
      <c r="G59" s="50"/>
      <c r="H59" s="50"/>
      <c r="I59" s="50"/>
      <c r="J59" s="50"/>
      <c r="K59" s="51"/>
      <c r="L59" s="51"/>
      <c r="M59" s="51"/>
      <c r="N59" s="51"/>
      <c r="O59" s="4"/>
      <c r="P59" s="4"/>
      <c r="Q59" s="4"/>
      <c r="R59" s="4"/>
      <c r="S59" s="4"/>
      <c r="T59" s="4"/>
      <c r="U59" s="4"/>
      <c r="V59" s="4"/>
      <c r="W59" s="4"/>
      <c r="X59" s="4"/>
      <c r="Y59" s="4"/>
      <c r="Z59" s="4"/>
      <c r="AA59" s="4"/>
      <c r="AB59" s="4"/>
      <c r="AC59" s="4"/>
      <c r="AD59" s="4"/>
      <c r="AE59" s="4"/>
      <c r="AF59" s="4"/>
      <c r="AG59" s="4"/>
      <c r="AH59" s="10"/>
      <c r="AI59" s="10"/>
      <c r="AJ59" s="10"/>
      <c r="AK59" s="10"/>
      <c r="AL59" s="10"/>
    </row>
    <row r="60" spans="1:38" ht="30" customHeight="1">
      <c r="A60" s="12"/>
      <c r="B60" s="4"/>
      <c r="C60" s="4"/>
      <c r="D60" s="4"/>
      <c r="E60" s="50"/>
      <c r="F60" s="50"/>
      <c r="G60" s="50"/>
      <c r="H60" s="50"/>
      <c r="I60" s="50"/>
      <c r="J60" s="50"/>
      <c r="K60" s="51"/>
      <c r="L60" s="51"/>
      <c r="M60" s="51"/>
      <c r="N60" s="51"/>
      <c r="O60" s="4"/>
      <c r="P60" s="4"/>
      <c r="Q60" s="4"/>
      <c r="R60" s="4"/>
      <c r="S60" s="4"/>
      <c r="T60" s="4"/>
      <c r="U60" s="4"/>
      <c r="V60" s="4"/>
      <c r="W60" s="4"/>
      <c r="X60" s="4"/>
      <c r="Y60" s="4"/>
      <c r="Z60" s="4"/>
      <c r="AA60" s="4"/>
      <c r="AB60" s="4"/>
      <c r="AC60" s="4"/>
      <c r="AD60" s="4"/>
      <c r="AE60" s="4"/>
      <c r="AF60" s="4"/>
      <c r="AG60" s="4"/>
      <c r="AH60" s="10"/>
      <c r="AI60" s="10"/>
      <c r="AJ60" s="10"/>
      <c r="AK60" s="10"/>
      <c r="AL60" s="10"/>
    </row>
    <row r="61" spans="1:38" ht="30" customHeight="1">
      <c r="A61" s="12"/>
      <c r="B61" s="4"/>
      <c r="C61" s="4"/>
      <c r="D61" s="4"/>
      <c r="E61" s="50"/>
      <c r="F61" s="50"/>
      <c r="G61" s="50"/>
      <c r="H61" s="50"/>
      <c r="I61" s="50"/>
      <c r="J61" s="50"/>
      <c r="K61" s="51"/>
      <c r="L61" s="51"/>
      <c r="M61" s="51"/>
      <c r="N61" s="51"/>
      <c r="O61" s="4"/>
      <c r="P61" s="4"/>
      <c r="Q61" s="4"/>
      <c r="R61" s="4"/>
      <c r="S61" s="4"/>
      <c r="T61" s="4"/>
      <c r="U61" s="4"/>
      <c r="V61" s="4"/>
      <c r="W61" s="4"/>
      <c r="X61" s="4"/>
      <c r="Y61" s="4"/>
      <c r="Z61" s="4"/>
      <c r="AA61" s="4"/>
      <c r="AB61" s="4"/>
      <c r="AC61" s="4"/>
      <c r="AD61" s="4"/>
      <c r="AE61" s="4"/>
      <c r="AF61" s="4"/>
      <c r="AG61" s="4"/>
      <c r="AH61" s="10"/>
      <c r="AI61" s="10"/>
      <c r="AJ61" s="10"/>
      <c r="AK61" s="10"/>
      <c r="AL61" s="10"/>
    </row>
    <row r="62" spans="1:38" ht="30" customHeight="1">
      <c r="A62" s="12"/>
      <c r="B62" s="4"/>
      <c r="C62" s="4"/>
      <c r="D62" s="4"/>
      <c r="E62" s="345" t="s">
        <v>131</v>
      </c>
      <c r="F62" s="346"/>
      <c r="G62" s="346"/>
      <c r="H62" s="346"/>
      <c r="I62" s="346"/>
      <c r="J62" s="347"/>
      <c r="K62" s="37">
        <v>2014</v>
      </c>
      <c r="L62" s="37">
        <v>2015</v>
      </c>
      <c r="M62" s="37">
        <v>2016</v>
      </c>
      <c r="N62" s="37">
        <v>2017</v>
      </c>
      <c r="O62" s="37">
        <v>2018</v>
      </c>
      <c r="P62" s="37">
        <v>2019</v>
      </c>
      <c r="Q62" s="37">
        <v>2020</v>
      </c>
      <c r="R62" s="37">
        <v>2021</v>
      </c>
      <c r="S62" s="37">
        <v>2022</v>
      </c>
      <c r="T62" s="37" t="s">
        <v>501</v>
      </c>
      <c r="U62" s="200"/>
      <c r="V62" s="4"/>
      <c r="W62" s="4"/>
      <c r="X62" s="4"/>
      <c r="Y62" s="4"/>
      <c r="Z62" s="4"/>
      <c r="AA62" s="4"/>
      <c r="AB62" s="4"/>
      <c r="AC62" s="4"/>
      <c r="AD62" s="4"/>
      <c r="AE62" s="4"/>
      <c r="AF62" s="4"/>
      <c r="AG62" s="4"/>
      <c r="AH62" s="10"/>
      <c r="AI62" s="10"/>
      <c r="AJ62" s="10"/>
      <c r="AK62" s="10"/>
      <c r="AL62" s="10"/>
    </row>
    <row r="63" spans="1:38" ht="30" customHeight="1">
      <c r="A63" s="12"/>
      <c r="B63" s="4"/>
      <c r="C63" s="4"/>
      <c r="D63" s="4"/>
      <c r="E63" s="397" t="s">
        <v>288</v>
      </c>
      <c r="F63" s="398">
        <v>0</v>
      </c>
      <c r="G63" s="398">
        <v>-122636.71999999997</v>
      </c>
      <c r="H63" s="398">
        <v>147702.64000000001</v>
      </c>
      <c r="I63" s="398">
        <v>-36069.720000000088</v>
      </c>
      <c r="J63" s="399">
        <v>-41836.439999999944</v>
      </c>
      <c r="K63" s="42"/>
      <c r="L63" s="42"/>
      <c r="M63" s="42"/>
      <c r="N63" s="42"/>
      <c r="O63" s="42">
        <v>-106924.90431349992</v>
      </c>
      <c r="P63" s="42">
        <v>165562.03668649995</v>
      </c>
      <c r="Q63" s="42">
        <v>-37475.532372999936</v>
      </c>
      <c r="R63" s="42">
        <v>151983.53736783238</v>
      </c>
      <c r="S63" s="42">
        <v>-563688.63736783247</v>
      </c>
      <c r="T63" s="42">
        <v>172467.59078229719</v>
      </c>
      <c r="U63" s="200"/>
      <c r="V63" s="4"/>
      <c r="W63" s="4"/>
      <c r="X63" s="4"/>
      <c r="Y63" s="4"/>
      <c r="Z63" s="4"/>
      <c r="AA63" s="4"/>
      <c r="AB63" s="4"/>
      <c r="AC63" s="4"/>
      <c r="AD63" s="4"/>
      <c r="AE63" s="4"/>
      <c r="AF63" s="4"/>
      <c r="AG63" s="4"/>
      <c r="AH63" s="10"/>
      <c r="AI63" s="10"/>
      <c r="AJ63" s="10"/>
      <c r="AK63" s="10"/>
      <c r="AL63" s="10"/>
    </row>
    <row r="64" spans="1:38" ht="30" customHeight="1">
      <c r="A64" s="12"/>
      <c r="B64" s="4"/>
      <c r="C64" s="4"/>
      <c r="D64" s="4"/>
      <c r="E64" s="397" t="s">
        <v>289</v>
      </c>
      <c r="F64" s="398">
        <v>0</v>
      </c>
      <c r="G64" s="398">
        <v>-122636.71999999997</v>
      </c>
      <c r="H64" s="398">
        <v>147702.64000000001</v>
      </c>
      <c r="I64" s="398">
        <v>-36069.720000000088</v>
      </c>
      <c r="J64" s="399">
        <v>-41836.439999999944</v>
      </c>
      <c r="K64" s="42"/>
      <c r="L64" s="42"/>
      <c r="M64" s="42">
        <v>-331764.22499999998</v>
      </c>
      <c r="N64" s="42">
        <v>67357.250000097731</v>
      </c>
      <c r="O64" s="42">
        <v>-78593.600000097766</v>
      </c>
      <c r="P64" s="42">
        <v>-119673.875</v>
      </c>
      <c r="Q64" s="42">
        <v>7026</v>
      </c>
      <c r="R64" s="42">
        <v>-595796.99999999988</v>
      </c>
      <c r="S64" s="42">
        <v>1212017.4750001952</v>
      </c>
      <c r="T64" s="42">
        <v>209538.8624998536</v>
      </c>
      <c r="U64" s="200"/>
      <c r="V64" s="4"/>
      <c r="W64" s="4"/>
      <c r="X64" s="4"/>
      <c r="Y64" s="4"/>
      <c r="Z64" s="4"/>
      <c r="AA64" s="4"/>
      <c r="AB64" s="4"/>
      <c r="AC64" s="4"/>
      <c r="AD64" s="4"/>
      <c r="AE64" s="4"/>
      <c r="AF64" s="4"/>
      <c r="AG64" s="4"/>
      <c r="AH64" s="10"/>
      <c r="AI64" s="10"/>
      <c r="AJ64" s="10"/>
      <c r="AK64" s="10"/>
      <c r="AL64" s="10"/>
    </row>
    <row r="65" spans="1:39" ht="30" customHeight="1">
      <c r="A65" s="12"/>
      <c r="B65" s="4"/>
      <c r="C65" s="4"/>
      <c r="D65" s="4"/>
      <c r="E65" s="400" t="s">
        <v>290</v>
      </c>
      <c r="F65" s="401">
        <v>0</v>
      </c>
      <c r="G65" s="401">
        <v>-122636.71999999997</v>
      </c>
      <c r="H65" s="401">
        <v>147702.64000000001</v>
      </c>
      <c r="I65" s="401">
        <v>-36069.720000000088</v>
      </c>
      <c r="J65" s="402">
        <v>-41836.439999999944</v>
      </c>
      <c r="K65" s="177"/>
      <c r="L65" s="177"/>
      <c r="M65" s="177">
        <v>85296.5</v>
      </c>
      <c r="N65" s="177">
        <v>109623.40000000002</v>
      </c>
      <c r="O65" s="177">
        <v>49086.75</v>
      </c>
      <c r="P65" s="177">
        <v>122239.04999999993</v>
      </c>
      <c r="Q65" s="177">
        <v>-435335.02499999991</v>
      </c>
      <c r="R65" s="177">
        <v>389113.69999999995</v>
      </c>
      <c r="S65" s="177">
        <v>-728826.54349088715</v>
      </c>
      <c r="T65" s="177">
        <v>3507374.625</v>
      </c>
      <c r="U65" s="200"/>
      <c r="V65" s="4"/>
      <c r="W65" s="4"/>
      <c r="X65" s="4"/>
      <c r="Y65" s="4"/>
      <c r="Z65" s="4"/>
      <c r="AA65" s="4"/>
      <c r="AB65" s="4"/>
      <c r="AC65" s="4"/>
      <c r="AD65" s="4"/>
      <c r="AE65" s="4"/>
      <c r="AF65" s="4"/>
      <c r="AG65" s="4"/>
      <c r="AH65" s="10"/>
      <c r="AI65" s="10"/>
      <c r="AJ65" s="10"/>
      <c r="AK65" s="10"/>
      <c r="AL65" s="10"/>
    </row>
    <row r="66" spans="1:39" ht="30" customHeight="1" thickBot="1">
      <c r="A66" s="12"/>
      <c r="B66" s="4"/>
      <c r="C66" s="4"/>
      <c r="D66" s="4"/>
      <c r="E66" s="300" t="s">
        <v>326</v>
      </c>
      <c r="F66" s="301"/>
      <c r="G66" s="301"/>
      <c r="H66" s="301"/>
      <c r="I66" s="301"/>
      <c r="J66" s="302"/>
      <c r="K66" s="217"/>
      <c r="L66" s="217">
        <f>'Projeções - CG + Capex'!L10-'Projeções - CG + Capex'!K10</f>
        <v>-150706.05000000005</v>
      </c>
      <c r="M66" s="217">
        <f>'Projeções - CG + Capex'!M10-'Projeções - CG + Capex'!L10</f>
        <v>-483010.90000000014</v>
      </c>
      <c r="N66" s="217">
        <f>'Projeções - CG + Capex'!N10-'Projeções - CG + Capex'!M10</f>
        <v>416311.20000000019</v>
      </c>
      <c r="O66" s="217">
        <f>'Projeções - CG + Capex'!O10-'Projeções - CG + Capex'!N10</f>
        <v>-142561.375</v>
      </c>
      <c r="P66" s="217">
        <f>'Projeções - CG + Capex'!P10-'Projeções - CG + Capex'!O10</f>
        <v>229096.5</v>
      </c>
      <c r="Q66" s="217">
        <f>'Projeções - CG + Capex'!Q10-'Projeções - CG + Capex'!P10</f>
        <v>-695469.80000000028</v>
      </c>
      <c r="R66" s="217">
        <f>'Projeções - CG + Capex'!R10-'Projeções - CG + Capex'!Q10</f>
        <v>-190007.95000000019</v>
      </c>
      <c r="S66" s="217">
        <f>'Projeções - CG + Capex'!S10-'Projeções - CG + Capex'!R10</f>
        <v>572485.37802729569</v>
      </c>
      <c r="T66" s="217">
        <f>'Balanço Patrimonial'!O16-'Balanço Patrimonial'!N16</f>
        <v>5062236.7209536657</v>
      </c>
      <c r="U66" s="200"/>
      <c r="V66" s="4"/>
      <c r="W66" s="4"/>
      <c r="X66" s="4"/>
      <c r="Y66" s="4"/>
      <c r="Z66" s="4"/>
      <c r="AA66" s="4"/>
      <c r="AB66" s="4"/>
      <c r="AC66" s="4"/>
      <c r="AD66" s="4"/>
      <c r="AE66" s="4"/>
      <c r="AF66" s="4"/>
      <c r="AG66" s="4"/>
      <c r="AH66" s="10"/>
      <c r="AI66" s="10"/>
      <c r="AJ66" s="10"/>
      <c r="AK66" s="10"/>
      <c r="AL66" s="10"/>
      <c r="AM66" s="4"/>
    </row>
    <row r="67" spans="1:39" ht="30" customHeight="1">
      <c r="A67" s="12"/>
      <c r="B67" s="4"/>
      <c r="C67" s="4"/>
      <c r="D67" s="4"/>
      <c r="E67" s="192"/>
      <c r="F67" s="192"/>
      <c r="G67" s="192"/>
      <c r="H67" s="192"/>
      <c r="I67" s="192"/>
      <c r="J67" s="192"/>
      <c r="K67" s="182"/>
      <c r="L67" s="182"/>
      <c r="M67" s="182"/>
      <c r="N67" s="182"/>
      <c r="O67" s="178"/>
      <c r="P67" s="178"/>
      <c r="Q67" s="178"/>
      <c r="R67" s="178"/>
      <c r="S67" s="178"/>
      <c r="T67" s="178"/>
      <c r="U67" s="4"/>
      <c r="V67" s="4"/>
      <c r="W67" s="4"/>
      <c r="X67" s="4"/>
      <c r="Y67" s="4"/>
      <c r="Z67" s="4"/>
      <c r="AA67" s="4"/>
      <c r="AB67" s="4"/>
      <c r="AC67" s="4"/>
      <c r="AD67" s="4"/>
      <c r="AE67" s="4"/>
      <c r="AF67" s="4"/>
      <c r="AG67" s="4"/>
      <c r="AH67" s="10"/>
      <c r="AI67" s="10"/>
      <c r="AJ67" s="10"/>
      <c r="AK67" s="10"/>
      <c r="AL67" s="10"/>
    </row>
    <row r="68" spans="1:39" ht="30" customHeight="1">
      <c r="A68" s="12"/>
      <c r="B68" s="4"/>
      <c r="C68" s="4"/>
      <c r="D68" s="4"/>
      <c r="E68" s="50"/>
      <c r="F68" s="50"/>
      <c r="G68" s="50"/>
      <c r="H68" s="50"/>
      <c r="I68" s="50"/>
      <c r="J68" s="50"/>
      <c r="K68" s="51"/>
      <c r="L68" s="51"/>
      <c r="M68" s="51"/>
      <c r="N68" s="51"/>
      <c r="O68" s="4"/>
      <c r="P68" s="4"/>
      <c r="Q68" s="4"/>
      <c r="R68" s="4"/>
      <c r="S68" s="4"/>
      <c r="T68" s="4"/>
      <c r="U68" s="4"/>
      <c r="V68" s="4"/>
      <c r="W68" s="4"/>
      <c r="X68" s="4"/>
      <c r="Y68" s="4"/>
      <c r="Z68" s="4"/>
      <c r="AA68" s="4"/>
      <c r="AB68" s="4"/>
      <c r="AC68" s="4"/>
      <c r="AD68" s="4"/>
      <c r="AE68" s="4"/>
      <c r="AF68" s="4"/>
      <c r="AG68" s="4"/>
      <c r="AH68" s="10"/>
      <c r="AI68" s="10"/>
      <c r="AJ68" s="10"/>
      <c r="AK68" s="10"/>
      <c r="AL68" s="10"/>
    </row>
    <row r="69" spans="1:39" ht="30" customHeight="1">
      <c r="A69" s="12"/>
      <c r="B69" s="4"/>
      <c r="C69" s="4"/>
      <c r="D69" s="4"/>
      <c r="E69" s="50"/>
      <c r="F69" s="50"/>
      <c r="G69" s="50"/>
      <c r="H69" s="50"/>
      <c r="I69" s="50"/>
      <c r="J69" s="50"/>
      <c r="K69" s="51"/>
      <c r="L69" s="4"/>
      <c r="M69" s="4"/>
      <c r="N69" s="4"/>
      <c r="O69" s="4"/>
      <c r="P69" s="4"/>
      <c r="Q69" s="4"/>
      <c r="R69" s="4"/>
      <c r="S69" s="4"/>
      <c r="T69" s="4"/>
      <c r="U69" s="4"/>
      <c r="V69" s="4"/>
      <c r="W69" s="4"/>
      <c r="X69" s="4"/>
      <c r="Y69" s="4"/>
      <c r="Z69" s="4"/>
      <c r="AA69" s="4"/>
      <c r="AB69" s="4"/>
      <c r="AC69" s="4"/>
      <c r="AD69" s="4"/>
      <c r="AE69" s="4"/>
      <c r="AF69" s="4"/>
      <c r="AG69" s="4"/>
      <c r="AH69" s="10"/>
      <c r="AI69" s="10"/>
      <c r="AJ69" s="10"/>
      <c r="AK69" s="10"/>
      <c r="AL69" s="10"/>
    </row>
    <row r="70" spans="1:39" ht="30" customHeight="1">
      <c r="A70" s="12"/>
      <c r="B70" s="4"/>
      <c r="C70" s="4"/>
      <c r="D70" s="4"/>
      <c r="E70" s="50"/>
      <c r="F70" s="50"/>
      <c r="G70" s="50"/>
      <c r="H70" s="50"/>
      <c r="I70" s="50"/>
      <c r="J70" s="50"/>
      <c r="K70" s="51"/>
      <c r="L70" s="4"/>
      <c r="M70" s="4"/>
      <c r="N70" s="4"/>
      <c r="O70" s="4"/>
      <c r="P70" s="4"/>
      <c r="Q70" s="4"/>
      <c r="R70" s="4"/>
      <c r="S70" s="4"/>
      <c r="T70" s="4"/>
      <c r="U70" s="4"/>
      <c r="V70" s="4"/>
      <c r="W70" s="4"/>
      <c r="X70" s="4"/>
      <c r="Y70" s="4"/>
      <c r="Z70" s="4"/>
      <c r="AA70" s="4"/>
      <c r="AB70" s="4"/>
      <c r="AC70" s="4"/>
      <c r="AD70" s="4"/>
      <c r="AE70" s="4"/>
      <c r="AF70" s="4"/>
      <c r="AG70" s="4"/>
      <c r="AH70" s="10"/>
      <c r="AI70" s="10"/>
      <c r="AJ70" s="10"/>
      <c r="AK70" s="10"/>
      <c r="AL70" s="10"/>
    </row>
    <row r="71" spans="1:39" ht="30" customHeight="1">
      <c r="A71" s="12"/>
      <c r="B71" s="4"/>
      <c r="C71" s="4"/>
      <c r="D71" s="4"/>
      <c r="E71" s="50"/>
      <c r="F71" s="50"/>
      <c r="G71" s="50"/>
      <c r="H71" s="50"/>
      <c r="I71" s="50"/>
      <c r="J71" s="50"/>
      <c r="K71" s="51"/>
      <c r="L71" s="4"/>
      <c r="M71" s="4"/>
      <c r="N71" s="4"/>
      <c r="O71" s="4"/>
      <c r="P71" s="4"/>
      <c r="Q71" s="4"/>
      <c r="R71" s="4"/>
      <c r="S71" s="4"/>
      <c r="T71" s="4"/>
      <c r="U71" s="4"/>
      <c r="V71" s="4"/>
      <c r="W71" s="4"/>
      <c r="X71" s="4"/>
      <c r="Y71" s="4"/>
      <c r="Z71" s="4"/>
      <c r="AA71" s="4"/>
      <c r="AB71" s="4"/>
      <c r="AC71" s="4"/>
      <c r="AD71" s="4"/>
      <c r="AE71" s="4"/>
      <c r="AF71" s="4"/>
      <c r="AG71" s="4"/>
      <c r="AH71" s="10"/>
      <c r="AI71" s="10"/>
      <c r="AJ71" s="10"/>
      <c r="AK71" s="10"/>
      <c r="AL71" s="10"/>
    </row>
    <row r="72" spans="1:39" ht="30" customHeight="1">
      <c r="A72" s="12"/>
      <c r="B72" s="4"/>
      <c r="C72" s="4"/>
      <c r="D72" s="4"/>
      <c r="E72" s="50"/>
      <c r="F72" s="50"/>
      <c r="G72" s="50"/>
      <c r="H72" s="50"/>
      <c r="I72" s="50"/>
      <c r="J72" s="50"/>
      <c r="K72" s="51"/>
      <c r="L72" s="4"/>
      <c r="M72" s="4"/>
      <c r="N72" s="4"/>
      <c r="O72" s="4"/>
      <c r="P72" s="4"/>
      <c r="Q72" s="4"/>
      <c r="R72" s="4"/>
      <c r="S72" s="4"/>
      <c r="T72" s="4"/>
      <c r="U72" s="4"/>
      <c r="V72" s="4"/>
      <c r="W72" s="4"/>
      <c r="X72" s="4"/>
      <c r="Y72" s="4"/>
      <c r="Z72" s="4"/>
      <c r="AA72" s="4"/>
      <c r="AB72" s="4"/>
      <c r="AC72" s="4"/>
      <c r="AD72" s="4"/>
      <c r="AE72" s="4"/>
      <c r="AF72" s="4"/>
      <c r="AG72" s="4"/>
      <c r="AH72" s="10"/>
      <c r="AI72" s="10"/>
      <c r="AJ72" s="10"/>
      <c r="AK72" s="10"/>
      <c r="AL72" s="10"/>
    </row>
    <row r="73" spans="1:39" ht="30" customHeight="1">
      <c r="A73" s="12"/>
      <c r="B73" s="4"/>
      <c r="C73" s="4"/>
      <c r="D73" s="4"/>
      <c r="E73" s="50"/>
      <c r="F73" s="50"/>
      <c r="G73" s="50"/>
      <c r="H73" s="50"/>
      <c r="I73" s="50"/>
      <c r="J73" s="50"/>
      <c r="K73" s="51"/>
      <c r="L73" s="4"/>
      <c r="M73" s="4"/>
      <c r="N73" s="4"/>
      <c r="O73" s="4"/>
      <c r="P73" s="4"/>
      <c r="Q73" s="4"/>
      <c r="R73" s="4"/>
      <c r="S73" s="4"/>
      <c r="T73" s="4"/>
      <c r="U73" s="4"/>
      <c r="V73" s="4"/>
      <c r="W73" s="4"/>
      <c r="X73" s="4"/>
      <c r="Y73" s="4"/>
      <c r="Z73" s="4"/>
      <c r="AA73" s="4"/>
      <c r="AB73" s="4"/>
      <c r="AC73" s="4"/>
      <c r="AD73" s="4"/>
      <c r="AE73" s="4"/>
      <c r="AF73" s="4"/>
      <c r="AG73" s="4"/>
      <c r="AH73" s="10"/>
      <c r="AI73" s="10"/>
      <c r="AJ73" s="10"/>
      <c r="AK73" s="10"/>
      <c r="AL73" s="10"/>
    </row>
    <row r="74" spans="1:39" ht="30" customHeight="1">
      <c r="A74" s="12"/>
      <c r="B74" s="4"/>
      <c r="C74" s="4"/>
      <c r="D74" s="4"/>
      <c r="E74" s="50"/>
      <c r="F74" s="50"/>
      <c r="G74" s="50"/>
      <c r="H74" s="50"/>
      <c r="I74" s="50"/>
      <c r="J74" s="50"/>
      <c r="K74" s="51"/>
      <c r="L74" s="4"/>
      <c r="M74" s="4"/>
      <c r="N74" s="4"/>
      <c r="O74" s="4"/>
      <c r="P74" s="4"/>
      <c r="Q74" s="4"/>
      <c r="R74" s="4"/>
      <c r="S74" s="4"/>
      <c r="T74" s="4"/>
      <c r="U74" s="4"/>
      <c r="V74" s="4"/>
      <c r="W74" s="4"/>
      <c r="X74" s="4"/>
      <c r="Y74" s="4"/>
      <c r="Z74" s="4"/>
      <c r="AA74" s="4"/>
      <c r="AB74" s="4"/>
      <c r="AC74" s="4"/>
      <c r="AD74" s="4"/>
      <c r="AE74" s="4"/>
      <c r="AF74" s="4"/>
      <c r="AG74" s="4"/>
      <c r="AH74" s="10"/>
      <c r="AI74" s="10"/>
      <c r="AJ74" s="10"/>
      <c r="AK74" s="10"/>
      <c r="AL74" s="10"/>
    </row>
    <row r="75" spans="1:39" ht="30" customHeight="1">
      <c r="A75" s="12"/>
      <c r="B75" s="4"/>
      <c r="C75" s="4"/>
      <c r="D75" s="4"/>
      <c r="E75" s="50"/>
      <c r="F75" s="50"/>
      <c r="G75" s="50"/>
      <c r="H75" s="50"/>
      <c r="I75" s="50"/>
      <c r="J75" s="50"/>
      <c r="K75" s="51"/>
      <c r="L75" s="4"/>
      <c r="M75" s="4"/>
      <c r="N75" s="4"/>
      <c r="O75" s="4"/>
      <c r="P75" s="4"/>
      <c r="Q75" s="4"/>
      <c r="R75" s="4"/>
      <c r="S75" s="4"/>
      <c r="T75" s="4"/>
      <c r="U75" s="4"/>
      <c r="V75" s="4"/>
      <c r="W75" s="4"/>
      <c r="X75" s="4"/>
      <c r="Y75" s="4"/>
      <c r="Z75" s="4"/>
      <c r="AA75" s="4"/>
      <c r="AB75" s="4"/>
      <c r="AC75" s="4"/>
      <c r="AD75" s="4"/>
      <c r="AE75" s="4"/>
      <c r="AF75" s="4"/>
      <c r="AG75" s="4"/>
      <c r="AH75" s="10"/>
      <c r="AI75" s="10"/>
      <c r="AJ75" s="10"/>
      <c r="AK75" s="10"/>
      <c r="AL75" s="10"/>
    </row>
    <row r="76" spans="1:39" ht="30" customHeight="1">
      <c r="A76" s="12"/>
      <c r="B76" s="4"/>
      <c r="C76" s="4"/>
      <c r="D76" s="4"/>
      <c r="E76" s="50"/>
      <c r="F76" s="50"/>
      <c r="G76" s="50"/>
      <c r="H76" s="50"/>
      <c r="I76" s="50"/>
      <c r="J76" s="50"/>
      <c r="K76" s="51"/>
      <c r="L76" s="4"/>
      <c r="M76" s="4"/>
      <c r="N76" s="4"/>
      <c r="O76" s="4"/>
      <c r="P76" s="4"/>
      <c r="Q76" s="4"/>
      <c r="R76" s="4"/>
      <c r="S76" s="4"/>
      <c r="T76" s="4"/>
      <c r="U76" s="4"/>
      <c r="V76" s="4"/>
      <c r="W76" s="4"/>
      <c r="X76" s="4"/>
      <c r="Y76" s="4"/>
      <c r="Z76" s="4"/>
      <c r="AA76" s="4"/>
      <c r="AB76" s="4"/>
      <c r="AC76" s="4"/>
      <c r="AD76" s="4"/>
      <c r="AE76" s="4"/>
      <c r="AF76" s="4"/>
      <c r="AG76" s="4"/>
      <c r="AH76" s="10"/>
      <c r="AI76" s="10"/>
      <c r="AJ76" s="10"/>
      <c r="AK76" s="10"/>
      <c r="AL76" s="10"/>
    </row>
    <row r="77" spans="1:39" ht="30" customHeight="1">
      <c r="A77" s="12"/>
      <c r="B77" s="4"/>
      <c r="C77" s="4"/>
      <c r="D77" s="4"/>
      <c r="E77" s="50"/>
      <c r="F77" s="50"/>
      <c r="G77" s="50"/>
      <c r="H77" s="50"/>
      <c r="I77" s="50"/>
      <c r="J77" s="50"/>
      <c r="K77" s="51"/>
      <c r="L77" s="4"/>
      <c r="M77" s="4"/>
      <c r="N77" s="4"/>
      <c r="O77" s="4"/>
      <c r="P77" s="4"/>
      <c r="Q77" s="4"/>
      <c r="R77" s="4"/>
      <c r="S77" s="4"/>
      <c r="T77" s="4"/>
      <c r="U77" s="4"/>
      <c r="V77" s="4"/>
      <c r="W77" s="4"/>
      <c r="X77" s="4"/>
      <c r="Y77" s="4"/>
      <c r="Z77" s="4"/>
      <c r="AA77" s="4"/>
      <c r="AB77" s="4"/>
      <c r="AC77" s="4"/>
      <c r="AD77" s="4"/>
      <c r="AE77" s="4"/>
      <c r="AF77" s="4"/>
      <c r="AG77" s="4"/>
      <c r="AH77" s="10"/>
      <c r="AI77" s="10"/>
      <c r="AJ77" s="10"/>
      <c r="AK77" s="10"/>
      <c r="AL77" s="10"/>
    </row>
    <row r="78" spans="1:39" ht="30" customHeight="1">
      <c r="A78" s="12"/>
      <c r="B78" s="4"/>
      <c r="C78" s="4"/>
      <c r="D78" s="4"/>
      <c r="E78" s="50"/>
      <c r="F78" s="50"/>
      <c r="G78" s="50"/>
      <c r="H78" s="50"/>
      <c r="I78" s="50"/>
      <c r="J78" s="50"/>
      <c r="K78" s="51"/>
      <c r="L78" s="51"/>
      <c r="M78" s="51"/>
      <c r="N78" s="51"/>
      <c r="O78" s="4"/>
      <c r="P78" s="4"/>
      <c r="Q78" s="4"/>
      <c r="R78" s="4"/>
      <c r="S78" s="4"/>
      <c r="T78" s="4"/>
      <c r="U78" s="4"/>
      <c r="V78" s="4"/>
      <c r="W78" s="4"/>
      <c r="X78" s="4"/>
      <c r="Y78" s="4"/>
      <c r="Z78" s="4"/>
      <c r="AA78" s="4"/>
      <c r="AB78" s="4"/>
      <c r="AC78" s="4"/>
      <c r="AD78" s="4"/>
      <c r="AE78" s="4"/>
      <c r="AF78" s="4"/>
      <c r="AG78" s="4"/>
      <c r="AH78" s="10"/>
      <c r="AI78" s="10"/>
      <c r="AJ78" s="10"/>
      <c r="AK78" s="10"/>
      <c r="AL78" s="10"/>
    </row>
    <row r="79" spans="1:39" ht="30" customHeight="1">
      <c r="A79" s="12"/>
      <c r="B79" s="4"/>
      <c r="C79" s="4"/>
      <c r="D79" s="4"/>
      <c r="E79" s="50"/>
      <c r="F79" s="50"/>
      <c r="G79" s="50"/>
      <c r="H79" s="50"/>
      <c r="I79" s="50"/>
      <c r="J79" s="50"/>
      <c r="K79" s="51"/>
      <c r="L79" s="51"/>
      <c r="M79" s="51"/>
      <c r="N79" s="51"/>
      <c r="O79" s="4"/>
      <c r="P79" s="4"/>
      <c r="Q79" s="4"/>
      <c r="R79" s="4"/>
      <c r="S79" s="4"/>
      <c r="T79" s="4"/>
      <c r="U79" s="4"/>
      <c r="V79" s="4"/>
      <c r="W79" s="4"/>
      <c r="X79" s="4"/>
      <c r="Y79" s="4"/>
      <c r="Z79" s="4"/>
      <c r="AA79" s="4"/>
      <c r="AB79" s="4"/>
      <c r="AC79" s="4"/>
      <c r="AD79" s="4"/>
      <c r="AE79" s="4"/>
      <c r="AF79" s="4"/>
      <c r="AG79" s="4"/>
      <c r="AH79" s="10"/>
      <c r="AI79" s="10"/>
      <c r="AJ79" s="10"/>
      <c r="AK79" s="10"/>
      <c r="AL79" s="10"/>
    </row>
    <row r="80" spans="1:39" ht="30" customHeight="1">
      <c r="A80" s="12"/>
      <c r="B80" s="4"/>
      <c r="C80" s="4"/>
      <c r="D80" s="4"/>
      <c r="E80" s="50"/>
      <c r="F80" s="50"/>
      <c r="G80" s="50"/>
      <c r="H80" s="50"/>
      <c r="I80" s="50"/>
      <c r="J80" s="50"/>
      <c r="K80" s="51"/>
      <c r="L80" s="51"/>
      <c r="M80" s="51"/>
      <c r="N80" s="51"/>
      <c r="O80" s="4"/>
      <c r="P80" s="4"/>
      <c r="Q80" s="4"/>
      <c r="R80" s="4"/>
      <c r="S80" s="4"/>
      <c r="T80" s="4"/>
      <c r="U80" s="4"/>
      <c r="V80" s="4"/>
      <c r="W80" s="4"/>
      <c r="X80" s="4"/>
      <c r="Y80" s="4"/>
      <c r="Z80" s="4"/>
      <c r="AA80" s="4"/>
      <c r="AB80" s="4"/>
      <c r="AC80" s="4"/>
      <c r="AD80" s="4"/>
      <c r="AE80" s="4"/>
      <c r="AF80" s="4"/>
      <c r="AG80" s="4"/>
      <c r="AH80" s="10"/>
      <c r="AI80" s="10"/>
      <c r="AJ80" s="10"/>
      <c r="AK80" s="10"/>
      <c r="AL80" s="10"/>
    </row>
    <row r="81" spans="1:38" ht="30" customHeight="1">
      <c r="A81" s="12"/>
      <c r="B81" s="4"/>
      <c r="C81" s="4"/>
      <c r="D81" s="4"/>
      <c r="E81" s="50"/>
      <c r="F81" s="50"/>
      <c r="G81" s="50"/>
      <c r="H81" s="50"/>
      <c r="I81" s="50"/>
      <c r="J81" s="50"/>
      <c r="K81" s="51"/>
      <c r="L81" s="51"/>
      <c r="M81" s="51"/>
      <c r="N81" s="51"/>
      <c r="O81" s="4"/>
      <c r="P81" s="4"/>
      <c r="Q81" s="4"/>
      <c r="R81" s="4"/>
      <c r="S81" s="4"/>
      <c r="T81" s="4"/>
      <c r="U81" s="4"/>
      <c r="V81" s="4"/>
      <c r="W81" s="4"/>
      <c r="X81" s="4"/>
      <c r="Y81" s="4"/>
      <c r="Z81" s="4"/>
      <c r="AA81" s="4"/>
      <c r="AB81" s="4"/>
      <c r="AC81" s="4"/>
      <c r="AD81" s="4"/>
      <c r="AE81" s="4"/>
      <c r="AF81" s="4"/>
      <c r="AG81" s="4"/>
      <c r="AH81" s="10"/>
      <c r="AI81" s="10"/>
      <c r="AJ81" s="10"/>
      <c r="AK81" s="10"/>
      <c r="AL81" s="10"/>
    </row>
    <row r="82" spans="1:38" ht="30" customHeight="1">
      <c r="A82" s="12"/>
      <c r="B82" s="4"/>
      <c r="C82" s="4"/>
      <c r="D82" s="4"/>
      <c r="E82" s="50"/>
      <c r="F82" s="50"/>
      <c r="G82" s="50"/>
      <c r="H82" s="50"/>
      <c r="I82" s="50"/>
      <c r="J82" s="50"/>
      <c r="K82" s="51"/>
      <c r="L82" s="51"/>
      <c r="M82" s="51"/>
      <c r="N82" s="51"/>
      <c r="O82" s="4"/>
      <c r="P82" s="4"/>
      <c r="Q82" s="4"/>
      <c r="R82" s="4"/>
      <c r="S82" s="4"/>
      <c r="T82" s="4"/>
      <c r="U82" s="4"/>
      <c r="V82" s="4"/>
      <c r="W82" s="4"/>
      <c r="X82" s="4"/>
      <c r="Y82" s="4"/>
      <c r="Z82" s="4"/>
      <c r="AA82" s="4"/>
      <c r="AB82" s="4"/>
      <c r="AC82" s="4"/>
      <c r="AD82" s="4"/>
      <c r="AE82" s="4"/>
      <c r="AF82" s="4"/>
      <c r="AG82" s="4"/>
      <c r="AH82" s="10"/>
      <c r="AI82" s="10"/>
      <c r="AJ82" s="10"/>
      <c r="AK82" s="10"/>
      <c r="AL82" s="10"/>
    </row>
    <row r="83" spans="1:38" ht="30" customHeight="1">
      <c r="A83" s="12"/>
      <c r="B83" s="4"/>
      <c r="C83" s="4"/>
      <c r="D83" s="4"/>
      <c r="E83" s="50"/>
      <c r="F83" s="50"/>
      <c r="G83" s="50"/>
      <c r="H83" s="50"/>
      <c r="I83" s="50"/>
      <c r="J83" s="50"/>
      <c r="K83" s="51"/>
      <c r="L83" s="51"/>
      <c r="M83" s="51"/>
      <c r="N83" s="51"/>
      <c r="O83" s="4"/>
      <c r="P83" s="4"/>
      <c r="Q83" s="4"/>
      <c r="R83" s="4"/>
      <c r="S83" s="4"/>
      <c r="T83" s="4"/>
      <c r="U83" s="4"/>
      <c r="V83" s="4"/>
      <c r="W83" s="4"/>
      <c r="X83" s="4"/>
      <c r="Y83" s="4"/>
      <c r="Z83" s="4"/>
      <c r="AA83" s="4"/>
      <c r="AB83" s="4"/>
      <c r="AC83" s="4"/>
      <c r="AD83" s="4"/>
      <c r="AE83" s="4"/>
      <c r="AF83" s="4"/>
      <c r="AG83" s="4"/>
      <c r="AH83" s="10"/>
      <c r="AI83" s="10"/>
      <c r="AJ83" s="10"/>
      <c r="AK83" s="10"/>
      <c r="AL83" s="10"/>
    </row>
    <row r="84" spans="1:38" ht="30" customHeight="1">
      <c r="A84" s="12"/>
      <c r="B84" s="4"/>
      <c r="C84" s="4"/>
      <c r="D84" s="4"/>
      <c r="E84" s="50"/>
      <c r="F84" s="50"/>
      <c r="G84" s="50"/>
      <c r="H84" s="50"/>
      <c r="I84" s="50"/>
      <c r="J84" s="50"/>
      <c r="K84" s="51"/>
      <c r="L84" s="51"/>
      <c r="M84" s="51"/>
      <c r="N84" s="51"/>
      <c r="O84" s="4"/>
      <c r="P84" s="4"/>
      <c r="Q84" s="4"/>
      <c r="R84" s="4"/>
      <c r="S84" s="4"/>
      <c r="T84" s="4"/>
      <c r="U84" s="4"/>
      <c r="V84" s="4"/>
      <c r="W84" s="4"/>
      <c r="X84" s="4"/>
      <c r="Y84" s="4"/>
      <c r="Z84" s="4"/>
      <c r="AA84" s="4"/>
      <c r="AB84" s="4"/>
      <c r="AC84" s="4"/>
      <c r="AD84" s="4"/>
      <c r="AE84" s="4"/>
      <c r="AF84" s="4"/>
      <c r="AG84" s="4"/>
      <c r="AH84" s="10"/>
      <c r="AI84" s="10"/>
      <c r="AJ84" s="10"/>
      <c r="AK84" s="10"/>
      <c r="AL84" s="10"/>
    </row>
    <row r="85" spans="1:38" ht="30" customHeight="1">
      <c r="A85" s="12"/>
      <c r="B85" s="4"/>
      <c r="C85" s="4"/>
      <c r="D85" s="4"/>
      <c r="E85" s="50"/>
      <c r="F85" s="50"/>
      <c r="G85" s="50"/>
      <c r="H85" s="50"/>
      <c r="I85" s="50"/>
      <c r="J85" s="50"/>
      <c r="K85" s="51"/>
      <c r="L85" s="51"/>
      <c r="M85" s="51"/>
      <c r="N85" s="51"/>
      <c r="O85" s="4"/>
      <c r="P85" s="4"/>
      <c r="Q85" s="4"/>
      <c r="R85" s="4"/>
      <c r="S85" s="4"/>
      <c r="T85" s="4"/>
      <c r="U85" s="4"/>
      <c r="V85" s="4"/>
      <c r="W85" s="4"/>
      <c r="X85" s="4"/>
      <c r="Y85" s="4"/>
      <c r="Z85" s="4"/>
      <c r="AA85" s="4"/>
      <c r="AB85" s="4"/>
      <c r="AC85" s="4"/>
      <c r="AD85" s="4"/>
      <c r="AE85" s="4"/>
      <c r="AF85" s="4"/>
      <c r="AG85" s="4"/>
      <c r="AH85" s="4"/>
      <c r="AI85" s="4"/>
      <c r="AJ85" s="4"/>
      <c r="AK85" s="4"/>
      <c r="AL85" s="4"/>
    </row>
    <row r="86" spans="1:38" ht="30" customHeight="1">
      <c r="A86" s="12"/>
      <c r="B86" s="4"/>
      <c r="C86" s="4"/>
      <c r="D86" s="4"/>
      <c r="E86" s="50"/>
      <c r="F86" s="50"/>
      <c r="G86" s="50"/>
      <c r="H86" s="50"/>
      <c r="I86" s="50"/>
      <c r="J86" s="50"/>
      <c r="K86" s="51"/>
      <c r="L86" s="51"/>
      <c r="M86" s="51"/>
      <c r="N86" s="51"/>
      <c r="O86" s="4"/>
      <c r="P86" s="4"/>
      <c r="Q86" s="4"/>
      <c r="R86" s="4"/>
      <c r="S86" s="4"/>
      <c r="T86" s="4"/>
      <c r="U86" s="4"/>
      <c r="V86" s="4"/>
      <c r="W86" s="4"/>
      <c r="X86" s="4"/>
      <c r="Y86" s="4"/>
      <c r="Z86" s="4"/>
      <c r="AA86" s="4"/>
      <c r="AB86" s="4"/>
      <c r="AC86" s="4"/>
      <c r="AD86" s="4"/>
      <c r="AE86" s="4"/>
      <c r="AF86" s="4"/>
      <c r="AG86" s="4"/>
      <c r="AH86" s="4"/>
      <c r="AI86" s="4"/>
      <c r="AJ86" s="4"/>
      <c r="AK86" s="4"/>
      <c r="AL86" s="4"/>
    </row>
    <row r="87" spans="1:38" ht="30" customHeight="1">
      <c r="A87" s="12"/>
      <c r="B87" s="4"/>
      <c r="C87" s="4"/>
      <c r="D87" s="4"/>
      <c r="E87" s="50"/>
      <c r="F87" s="50"/>
      <c r="G87" s="50"/>
      <c r="H87" s="50"/>
      <c r="I87" s="50"/>
      <c r="J87" s="50"/>
      <c r="K87" s="51"/>
      <c r="L87" s="51"/>
      <c r="M87" s="51"/>
      <c r="N87" s="51"/>
      <c r="O87" s="4"/>
      <c r="P87" s="4"/>
      <c r="Q87" s="4"/>
      <c r="R87" s="4"/>
      <c r="S87" s="4"/>
      <c r="T87" s="4"/>
      <c r="U87" s="4"/>
      <c r="V87" s="4"/>
      <c r="W87" s="4"/>
      <c r="X87" s="4"/>
      <c r="Y87" s="4"/>
      <c r="Z87" s="4"/>
      <c r="AA87" s="4"/>
      <c r="AB87" s="4"/>
      <c r="AC87" s="4"/>
      <c r="AD87" s="4"/>
      <c r="AE87" s="4"/>
      <c r="AF87" s="4"/>
      <c r="AG87" s="4"/>
      <c r="AH87" s="4"/>
      <c r="AI87" s="4"/>
      <c r="AJ87" s="4"/>
      <c r="AK87" s="4"/>
      <c r="AL87" s="4"/>
    </row>
    <row r="88" spans="1:38" ht="30" customHeight="1">
      <c r="A88" s="12"/>
      <c r="B88" s="4"/>
      <c r="C88" s="4"/>
      <c r="D88" s="4"/>
      <c r="E88" s="50"/>
      <c r="F88" s="50"/>
      <c r="G88" s="50"/>
      <c r="H88" s="50"/>
      <c r="I88" s="50"/>
      <c r="J88" s="50"/>
      <c r="K88" s="51"/>
      <c r="L88" s="51"/>
      <c r="M88" s="51"/>
      <c r="N88" s="51"/>
      <c r="O88" s="4"/>
      <c r="P88" s="4"/>
      <c r="Q88" s="4"/>
      <c r="R88" s="4"/>
      <c r="S88" s="4"/>
      <c r="T88" s="4"/>
      <c r="U88" s="4"/>
      <c r="V88" s="4"/>
      <c r="W88" s="4"/>
      <c r="X88" s="4"/>
      <c r="Y88" s="4"/>
      <c r="Z88" s="4"/>
      <c r="AA88" s="4"/>
      <c r="AB88" s="4"/>
      <c r="AC88" s="4"/>
      <c r="AD88" s="4"/>
      <c r="AE88" s="4"/>
      <c r="AF88" s="4"/>
      <c r="AG88" s="4"/>
      <c r="AH88" s="4"/>
      <c r="AI88" s="4"/>
      <c r="AJ88" s="4"/>
      <c r="AK88" s="4"/>
      <c r="AL88" s="4"/>
    </row>
    <row r="89" spans="1:38" ht="30" customHeight="1">
      <c r="A89" s="12"/>
      <c r="B89" s="4"/>
      <c r="C89" s="4"/>
      <c r="D89" s="4"/>
      <c r="E89" s="50"/>
      <c r="F89" s="50"/>
      <c r="G89" s="50"/>
      <c r="H89" s="50"/>
      <c r="I89" s="50"/>
      <c r="J89" s="50"/>
      <c r="K89" s="51"/>
      <c r="L89" s="51"/>
      <c r="M89" s="51"/>
      <c r="N89" s="51"/>
      <c r="O89" s="4"/>
      <c r="P89" s="4"/>
      <c r="Q89" s="4"/>
      <c r="R89" s="4"/>
      <c r="S89" s="4"/>
      <c r="T89" s="4"/>
      <c r="U89" s="4"/>
      <c r="V89" s="4"/>
      <c r="W89" s="4"/>
      <c r="X89" s="4"/>
      <c r="Y89" s="4"/>
      <c r="Z89" s="4"/>
      <c r="AA89" s="4"/>
      <c r="AB89" s="4"/>
      <c r="AC89" s="4"/>
      <c r="AD89" s="4"/>
      <c r="AE89" s="4"/>
      <c r="AF89" s="4"/>
      <c r="AG89" s="4"/>
      <c r="AH89" s="4"/>
      <c r="AI89" s="4"/>
      <c r="AJ89" s="4"/>
      <c r="AK89" s="4"/>
      <c r="AL89" s="4"/>
    </row>
    <row r="90" spans="1:38" ht="30" customHeight="1">
      <c r="A90" s="12"/>
      <c r="B90" s="4"/>
      <c r="C90" s="4"/>
      <c r="D90" s="4"/>
      <c r="E90" s="50"/>
      <c r="F90" s="50"/>
      <c r="G90" s="50"/>
      <c r="H90" s="50"/>
      <c r="I90" s="50"/>
      <c r="J90" s="50"/>
      <c r="K90" s="51"/>
      <c r="L90" s="51"/>
      <c r="M90" s="51"/>
      <c r="N90" s="51"/>
      <c r="O90" s="4"/>
      <c r="P90" s="4"/>
      <c r="Q90" s="4"/>
      <c r="R90" s="4"/>
      <c r="S90" s="4"/>
      <c r="T90" s="4"/>
      <c r="U90" s="4"/>
      <c r="V90" s="4"/>
      <c r="W90" s="4"/>
      <c r="X90" s="4"/>
      <c r="Y90" s="4"/>
      <c r="Z90" s="4"/>
      <c r="AA90" s="4"/>
      <c r="AB90" s="4"/>
      <c r="AC90" s="4"/>
      <c r="AD90" s="4"/>
      <c r="AE90" s="4"/>
      <c r="AF90" s="4"/>
      <c r="AG90" s="4"/>
      <c r="AH90" s="4"/>
      <c r="AI90" s="4"/>
      <c r="AJ90" s="4"/>
      <c r="AK90" s="4"/>
      <c r="AL90" s="4"/>
    </row>
    <row r="91" spans="1:38" ht="30" customHeight="1">
      <c r="A91" s="12"/>
      <c r="B91" s="4"/>
      <c r="C91" s="4"/>
      <c r="D91" s="4"/>
      <c r="E91" s="50"/>
      <c r="F91" s="50"/>
      <c r="G91" s="50"/>
      <c r="H91" s="50"/>
      <c r="I91" s="50"/>
      <c r="J91" s="50"/>
      <c r="K91" s="51"/>
      <c r="L91" s="51"/>
      <c r="M91" s="51"/>
      <c r="N91" s="51"/>
      <c r="O91" s="4"/>
      <c r="P91" s="4"/>
      <c r="Q91" s="4"/>
      <c r="R91" s="4"/>
      <c r="S91" s="4"/>
      <c r="T91" s="4"/>
      <c r="U91" s="4"/>
      <c r="V91" s="4"/>
      <c r="W91" s="4"/>
      <c r="X91" s="4"/>
      <c r="Y91" s="4"/>
      <c r="Z91" s="4"/>
      <c r="AA91" s="4"/>
      <c r="AB91" s="4"/>
      <c r="AC91" s="4"/>
      <c r="AD91" s="4"/>
      <c r="AE91" s="4"/>
      <c r="AF91" s="4"/>
      <c r="AG91" s="4"/>
      <c r="AH91" s="4"/>
      <c r="AI91" s="4"/>
      <c r="AJ91" s="4"/>
      <c r="AK91" s="4"/>
      <c r="AL91" s="4"/>
    </row>
    <row r="92" spans="1:38" ht="30" customHeight="1">
      <c r="A92" s="12"/>
      <c r="B92" s="4"/>
      <c r="C92" s="4"/>
      <c r="D92" s="4"/>
      <c r="E92" s="50"/>
      <c r="F92" s="50"/>
      <c r="G92" s="50"/>
      <c r="H92" s="50"/>
      <c r="I92" s="50"/>
      <c r="J92" s="50"/>
      <c r="K92" s="51"/>
      <c r="L92" s="51"/>
      <c r="M92" s="51"/>
      <c r="N92" s="51"/>
      <c r="O92" s="4"/>
      <c r="P92" s="4"/>
      <c r="Q92" s="4"/>
      <c r="R92" s="4"/>
      <c r="S92" s="4"/>
      <c r="T92" s="4"/>
      <c r="U92" s="4"/>
      <c r="V92" s="4"/>
      <c r="W92" s="4"/>
      <c r="X92" s="4"/>
      <c r="Y92" s="4"/>
      <c r="Z92" s="4"/>
      <c r="AA92" s="4"/>
      <c r="AB92" s="4"/>
      <c r="AC92" s="4"/>
      <c r="AD92" s="4"/>
      <c r="AE92" s="4"/>
      <c r="AF92" s="4"/>
      <c r="AG92" s="4"/>
      <c r="AH92" s="4"/>
      <c r="AI92" s="4"/>
      <c r="AJ92" s="4"/>
      <c r="AK92" s="4"/>
      <c r="AL92" s="4"/>
    </row>
    <row r="93" spans="1:38" ht="30" customHeight="1">
      <c r="A93" s="12"/>
      <c r="B93" s="4"/>
      <c r="C93" s="4"/>
      <c r="D93" s="4"/>
      <c r="E93" s="50"/>
      <c r="F93" s="50"/>
      <c r="G93" s="50"/>
      <c r="H93" s="50"/>
      <c r="I93" s="50"/>
      <c r="J93" s="50"/>
      <c r="K93" s="51"/>
      <c r="L93" s="51"/>
      <c r="M93" s="51"/>
      <c r="N93" s="51"/>
      <c r="O93" s="4"/>
      <c r="P93" s="4"/>
      <c r="Q93" s="4"/>
      <c r="R93" s="4"/>
      <c r="S93" s="4"/>
      <c r="T93" s="4"/>
      <c r="U93" s="4"/>
      <c r="V93" s="4"/>
      <c r="W93" s="4"/>
      <c r="X93" s="4"/>
      <c r="Y93" s="4"/>
      <c r="Z93" s="4"/>
      <c r="AA93" s="4"/>
      <c r="AB93" s="4"/>
      <c r="AC93" s="4"/>
      <c r="AD93" s="4"/>
      <c r="AE93" s="4"/>
      <c r="AF93" s="4"/>
      <c r="AG93" s="4"/>
      <c r="AH93" s="4"/>
      <c r="AI93" s="4"/>
      <c r="AJ93" s="4"/>
      <c r="AK93" s="4"/>
      <c r="AL93" s="4"/>
    </row>
    <row r="94" spans="1:38" ht="30" customHeight="1">
      <c r="A94" s="12"/>
      <c r="B94" s="4"/>
      <c r="C94" s="4"/>
      <c r="D94" s="4"/>
      <c r="E94" s="50"/>
      <c r="F94" s="50"/>
      <c r="G94" s="50"/>
      <c r="H94" s="50"/>
      <c r="I94" s="50"/>
      <c r="J94" s="50"/>
      <c r="K94" s="51"/>
      <c r="L94" s="51"/>
      <c r="M94" s="51"/>
      <c r="N94" s="51"/>
      <c r="O94" s="4"/>
      <c r="P94" s="4"/>
      <c r="Q94" s="4"/>
      <c r="R94" s="4"/>
      <c r="S94" s="4"/>
      <c r="T94" s="4"/>
      <c r="U94" s="4"/>
      <c r="V94" s="4"/>
      <c r="W94" s="4"/>
      <c r="X94" s="4"/>
      <c r="Y94" s="4"/>
      <c r="Z94" s="4"/>
      <c r="AA94" s="4"/>
      <c r="AB94" s="4"/>
      <c r="AC94" s="4"/>
      <c r="AD94" s="4"/>
      <c r="AE94" s="4"/>
      <c r="AF94" s="4"/>
      <c r="AG94" s="4"/>
      <c r="AH94" s="4"/>
      <c r="AI94" s="4"/>
      <c r="AJ94" s="4"/>
      <c r="AK94" s="4"/>
      <c r="AL94" s="4"/>
    </row>
    <row r="95" spans="1:38" ht="30" customHeight="1">
      <c r="A95" s="12"/>
      <c r="B95" s="4"/>
      <c r="C95" s="4"/>
      <c r="D95" s="4"/>
      <c r="E95" s="50"/>
      <c r="F95" s="50"/>
      <c r="G95" s="50"/>
      <c r="H95" s="50"/>
      <c r="I95" s="50"/>
      <c r="J95" s="50"/>
      <c r="K95" s="51"/>
      <c r="L95" s="51"/>
      <c r="M95" s="51"/>
      <c r="N95" s="51"/>
      <c r="O95" s="4"/>
      <c r="P95" s="4"/>
      <c r="Q95" s="4"/>
      <c r="R95" s="4"/>
      <c r="S95" s="4"/>
      <c r="T95" s="4"/>
      <c r="U95" s="4"/>
      <c r="V95" s="4"/>
      <c r="W95" s="4"/>
      <c r="X95" s="4"/>
      <c r="Y95" s="4"/>
      <c r="Z95" s="4"/>
      <c r="AA95" s="4"/>
      <c r="AB95" s="4"/>
      <c r="AC95" s="4"/>
      <c r="AD95" s="4"/>
      <c r="AE95" s="4"/>
      <c r="AF95" s="4"/>
      <c r="AG95" s="4"/>
      <c r="AH95" s="4"/>
      <c r="AI95" s="4"/>
      <c r="AJ95" s="4"/>
      <c r="AK95" s="4"/>
      <c r="AL95" s="4"/>
    </row>
    <row r="96" spans="1:38" ht="30" customHeight="1">
      <c r="A96" s="12"/>
      <c r="B96" s="4"/>
      <c r="C96" s="4"/>
      <c r="D96" s="4"/>
      <c r="E96" s="50"/>
      <c r="F96" s="50"/>
      <c r="G96" s="50"/>
      <c r="H96" s="50"/>
      <c r="I96" s="50"/>
      <c r="J96" s="50"/>
      <c r="K96" s="51"/>
      <c r="L96" s="51"/>
      <c r="M96" s="51"/>
      <c r="N96" s="51"/>
      <c r="O96" s="4"/>
      <c r="P96" s="4"/>
      <c r="Q96" s="4"/>
      <c r="R96" s="4"/>
      <c r="S96" s="4"/>
      <c r="T96" s="4"/>
      <c r="U96" s="4"/>
      <c r="V96" s="4"/>
      <c r="W96" s="4"/>
      <c r="X96" s="4"/>
      <c r="Y96" s="4"/>
      <c r="Z96" s="4"/>
      <c r="AA96" s="4"/>
      <c r="AB96" s="4"/>
      <c r="AC96" s="4"/>
      <c r="AD96" s="4"/>
      <c r="AE96" s="4"/>
      <c r="AF96" s="4"/>
      <c r="AG96" s="4"/>
      <c r="AH96" s="4"/>
      <c r="AI96" s="4"/>
      <c r="AJ96" s="4"/>
      <c r="AK96" s="4"/>
      <c r="AL96" s="4"/>
    </row>
    <row r="97" spans="1:38" ht="30" customHeight="1">
      <c r="A97" s="12"/>
      <c r="B97" s="4"/>
      <c r="C97" s="4"/>
      <c r="D97" s="4"/>
      <c r="E97" s="50"/>
      <c r="F97" s="50"/>
      <c r="G97" s="50"/>
      <c r="H97" s="50"/>
      <c r="I97" s="50"/>
      <c r="J97" s="50"/>
      <c r="K97" s="51"/>
      <c r="L97" s="51"/>
      <c r="M97" s="51"/>
      <c r="N97" s="51"/>
      <c r="O97" s="4"/>
      <c r="P97" s="4"/>
      <c r="Q97" s="4"/>
      <c r="R97" s="4"/>
      <c r="S97" s="4"/>
      <c r="T97" s="4"/>
      <c r="U97" s="4"/>
      <c r="V97" s="4"/>
      <c r="W97" s="4"/>
      <c r="X97" s="4"/>
      <c r="Y97" s="4"/>
      <c r="Z97" s="4"/>
      <c r="AA97" s="4"/>
      <c r="AB97" s="4"/>
      <c r="AC97" s="4"/>
      <c r="AD97" s="4"/>
      <c r="AE97" s="4"/>
      <c r="AF97" s="4"/>
      <c r="AG97" s="4"/>
      <c r="AH97" s="4"/>
      <c r="AI97" s="4"/>
      <c r="AJ97" s="4"/>
      <c r="AK97" s="4"/>
      <c r="AL97" s="4"/>
    </row>
    <row r="98" spans="1:38" ht="30" customHeight="1">
      <c r="A98" s="12"/>
      <c r="B98" s="4"/>
      <c r="C98" s="4"/>
      <c r="D98" s="4"/>
      <c r="E98" s="50"/>
      <c r="F98" s="50"/>
      <c r="G98" s="50"/>
      <c r="H98" s="50"/>
      <c r="I98" s="50"/>
      <c r="J98" s="50"/>
      <c r="K98" s="51"/>
      <c r="L98" s="51"/>
      <c r="M98" s="51"/>
      <c r="N98" s="51"/>
      <c r="O98" s="4"/>
      <c r="P98" s="4"/>
      <c r="Q98" s="4"/>
      <c r="R98" s="4"/>
      <c r="S98" s="4"/>
      <c r="T98" s="4"/>
      <c r="U98" s="4"/>
      <c r="V98" s="4"/>
      <c r="W98" s="4"/>
      <c r="X98" s="4"/>
      <c r="Y98" s="4"/>
      <c r="Z98" s="4"/>
      <c r="AA98" s="4"/>
      <c r="AB98" s="4"/>
      <c r="AC98" s="4"/>
      <c r="AD98" s="4"/>
      <c r="AE98" s="4"/>
      <c r="AF98" s="4"/>
      <c r="AG98" s="4"/>
      <c r="AH98" s="4"/>
      <c r="AI98" s="4"/>
      <c r="AJ98" s="4"/>
      <c r="AK98" s="4"/>
      <c r="AL98" s="4"/>
    </row>
    <row r="99" spans="1:38" ht="30" customHeight="1">
      <c r="A99" s="12"/>
      <c r="B99" s="4"/>
      <c r="C99" s="4"/>
      <c r="D99" s="4"/>
      <c r="E99" s="50"/>
      <c r="F99" s="50"/>
      <c r="G99" s="50"/>
      <c r="H99" s="50"/>
      <c r="I99" s="50"/>
      <c r="J99" s="50"/>
      <c r="K99" s="51"/>
      <c r="L99" s="51"/>
      <c r="M99" s="51"/>
      <c r="N99" s="51"/>
      <c r="O99" s="4"/>
      <c r="P99" s="4"/>
      <c r="Q99" s="4"/>
      <c r="R99" s="4"/>
      <c r="S99" s="4"/>
      <c r="T99" s="4"/>
      <c r="U99" s="4"/>
      <c r="V99" s="4"/>
      <c r="W99" s="4"/>
      <c r="X99" s="4"/>
      <c r="Y99" s="4"/>
      <c r="Z99" s="4"/>
      <c r="AA99" s="4"/>
      <c r="AB99" s="4"/>
      <c r="AC99" s="4"/>
      <c r="AD99" s="4"/>
      <c r="AE99" s="4"/>
      <c r="AF99" s="4"/>
      <c r="AG99" s="4"/>
      <c r="AH99" s="4"/>
      <c r="AI99" s="4"/>
      <c r="AJ99" s="4"/>
      <c r="AK99" s="4"/>
      <c r="AL99" s="4"/>
    </row>
    <row r="100" spans="1:38" ht="30" customHeight="1">
      <c r="A100" s="12"/>
      <c r="B100" s="4"/>
      <c r="C100" s="4"/>
      <c r="D100" s="4"/>
      <c r="E100" s="50"/>
      <c r="F100" s="50"/>
      <c r="G100" s="50"/>
      <c r="H100" s="50"/>
      <c r="I100" s="50"/>
      <c r="J100" s="50"/>
      <c r="K100" s="51"/>
      <c r="L100" s="51"/>
      <c r="M100" s="51"/>
      <c r="N100" s="51"/>
      <c r="O100" s="4"/>
      <c r="P100" s="4"/>
      <c r="Q100" s="4"/>
      <c r="R100" s="4"/>
      <c r="S100" s="4"/>
      <c r="T100" s="4"/>
      <c r="U100" s="4"/>
      <c r="V100" s="4"/>
      <c r="W100" s="4"/>
      <c r="X100" s="4"/>
      <c r="Y100" s="4"/>
      <c r="Z100" s="4"/>
      <c r="AA100" s="4"/>
      <c r="AB100" s="4"/>
      <c r="AC100" s="4"/>
      <c r="AD100" s="4"/>
      <c r="AE100" s="4"/>
      <c r="AF100" s="4"/>
      <c r="AG100" s="4"/>
      <c r="AH100" s="4"/>
      <c r="AI100" s="4"/>
      <c r="AJ100" s="4"/>
      <c r="AK100" s="4"/>
      <c r="AL100" s="4"/>
    </row>
    <row r="101" spans="1:38" ht="30" customHeight="1">
      <c r="A101" s="12"/>
      <c r="B101" s="4"/>
      <c r="C101" s="4"/>
      <c r="D101" s="4"/>
      <c r="E101" s="50"/>
      <c r="F101" s="50"/>
      <c r="G101" s="50"/>
      <c r="H101" s="50"/>
      <c r="I101" s="50"/>
      <c r="J101" s="50"/>
      <c r="K101" s="51"/>
      <c r="L101" s="51"/>
      <c r="M101" s="51"/>
      <c r="N101" s="51"/>
      <c r="O101" s="4"/>
      <c r="P101" s="4"/>
      <c r="Q101" s="4"/>
      <c r="R101" s="4"/>
      <c r="S101" s="4"/>
      <c r="T101" s="4"/>
      <c r="U101" s="4"/>
      <c r="V101" s="4"/>
      <c r="W101" s="4"/>
      <c r="X101" s="4"/>
      <c r="Y101" s="4"/>
      <c r="Z101" s="4"/>
      <c r="AA101" s="4"/>
      <c r="AB101" s="4"/>
      <c r="AC101" s="4"/>
      <c r="AD101" s="4"/>
      <c r="AE101" s="4"/>
      <c r="AF101" s="4"/>
      <c r="AG101" s="4"/>
      <c r="AH101" s="4"/>
      <c r="AI101" s="4"/>
      <c r="AJ101" s="4"/>
      <c r="AK101" s="4"/>
      <c r="AL101" s="4"/>
    </row>
    <row r="102" spans="1:38" ht="30" customHeight="1">
      <c r="A102" s="12"/>
      <c r="B102" s="4"/>
      <c r="C102" s="4"/>
      <c r="D102" s="4"/>
      <c r="E102" s="50"/>
      <c r="F102" s="50"/>
      <c r="G102" s="50"/>
      <c r="H102" s="50"/>
      <c r="I102" s="50"/>
      <c r="J102" s="50"/>
      <c r="K102" s="51"/>
      <c r="L102" s="51"/>
      <c r="M102" s="51"/>
      <c r="N102" s="51"/>
      <c r="O102" s="4"/>
      <c r="P102" s="4"/>
      <c r="Q102" s="4"/>
      <c r="R102" s="4"/>
      <c r="S102" s="4"/>
      <c r="T102" s="4"/>
      <c r="U102" s="4"/>
      <c r="V102" s="4"/>
      <c r="W102" s="4"/>
      <c r="X102" s="4"/>
      <c r="Y102" s="4"/>
      <c r="Z102" s="4"/>
      <c r="AA102" s="4"/>
      <c r="AB102" s="4"/>
      <c r="AC102" s="4"/>
      <c r="AD102" s="4"/>
      <c r="AE102" s="4"/>
      <c r="AF102" s="4"/>
      <c r="AG102" s="4"/>
      <c r="AH102" s="4"/>
      <c r="AI102" s="4"/>
      <c r="AJ102" s="4"/>
      <c r="AK102" s="4"/>
      <c r="AL102" s="4"/>
    </row>
    <row r="103" spans="1:38" ht="30" customHeight="1">
      <c r="A103" s="12"/>
      <c r="B103" s="4"/>
      <c r="C103" s="4"/>
      <c r="D103" s="4"/>
      <c r="E103" s="50"/>
      <c r="F103" s="50"/>
      <c r="G103" s="50"/>
      <c r="H103" s="50"/>
      <c r="I103" s="50"/>
      <c r="J103" s="50"/>
      <c r="K103" s="51"/>
      <c r="L103" s="51"/>
      <c r="M103" s="51"/>
      <c r="N103" s="51"/>
      <c r="O103" s="4"/>
      <c r="P103" s="4"/>
      <c r="Q103" s="4"/>
      <c r="R103" s="4"/>
      <c r="S103" s="4"/>
      <c r="T103" s="4"/>
      <c r="U103" s="4"/>
      <c r="V103" s="4"/>
      <c r="W103" s="4"/>
      <c r="X103" s="4"/>
      <c r="Y103" s="4"/>
      <c r="Z103" s="4"/>
      <c r="AA103" s="4"/>
      <c r="AB103" s="4"/>
      <c r="AC103" s="4"/>
      <c r="AD103" s="4"/>
      <c r="AE103" s="4"/>
      <c r="AF103" s="4"/>
      <c r="AG103" s="4"/>
      <c r="AH103" s="4"/>
      <c r="AI103" s="4"/>
      <c r="AJ103" s="4"/>
      <c r="AK103" s="4"/>
      <c r="AL103" s="4"/>
    </row>
    <row r="104" spans="1:38" ht="30" customHeight="1">
      <c r="A104" s="12"/>
      <c r="B104" s="4"/>
      <c r="C104" s="4"/>
      <c r="D104" s="4"/>
      <c r="E104" s="50"/>
      <c r="F104" s="50"/>
      <c r="G104" s="50"/>
      <c r="H104" s="50"/>
      <c r="I104" s="50"/>
      <c r="J104" s="50"/>
      <c r="K104" s="51"/>
      <c r="L104" s="51"/>
      <c r="M104" s="51"/>
      <c r="N104" s="51"/>
      <c r="O104" s="4"/>
      <c r="P104" s="4"/>
      <c r="Q104" s="4"/>
      <c r="R104" s="4"/>
      <c r="S104" s="4"/>
      <c r="T104" s="4"/>
      <c r="U104" s="4"/>
      <c r="V104" s="4"/>
      <c r="W104" s="4"/>
      <c r="X104" s="4"/>
      <c r="Y104" s="4"/>
      <c r="Z104" s="4"/>
      <c r="AA104" s="4"/>
      <c r="AB104" s="4"/>
      <c r="AC104" s="4"/>
      <c r="AD104" s="4"/>
      <c r="AE104" s="4"/>
      <c r="AF104" s="4"/>
      <c r="AG104" s="4"/>
      <c r="AH104" s="4"/>
      <c r="AI104" s="4"/>
      <c r="AJ104" s="4"/>
      <c r="AK104" s="4"/>
      <c r="AL104" s="4"/>
    </row>
    <row r="105" spans="1:38" ht="30" customHeight="1">
      <c r="A105" s="12"/>
      <c r="B105" s="4"/>
      <c r="C105" s="4"/>
      <c r="D105" s="4"/>
      <c r="E105" s="50"/>
      <c r="F105" s="50"/>
      <c r="G105" s="50"/>
      <c r="H105" s="50"/>
      <c r="I105" s="50"/>
      <c r="J105" s="50"/>
      <c r="K105" s="51"/>
      <c r="L105" s="51"/>
      <c r="M105" s="51"/>
      <c r="N105" s="51"/>
      <c r="O105" s="4"/>
      <c r="P105" s="4"/>
      <c r="Q105" s="4"/>
      <c r="R105" s="4"/>
      <c r="S105" s="4"/>
      <c r="T105" s="4"/>
      <c r="U105" s="4"/>
      <c r="V105" s="4"/>
      <c r="W105" s="4"/>
      <c r="X105" s="4"/>
      <c r="Y105" s="4"/>
      <c r="Z105" s="4"/>
      <c r="AA105" s="4"/>
      <c r="AB105" s="4"/>
      <c r="AC105" s="4"/>
      <c r="AD105" s="4"/>
      <c r="AE105" s="4"/>
      <c r="AF105" s="4"/>
      <c r="AG105" s="4"/>
      <c r="AH105" s="4"/>
      <c r="AI105" s="4"/>
      <c r="AJ105" s="4"/>
      <c r="AK105" s="4"/>
      <c r="AL105" s="4"/>
    </row>
    <row r="106" spans="1:38" ht="30" customHeight="1">
      <c r="A106" s="12"/>
      <c r="B106" s="4"/>
      <c r="C106" s="4"/>
      <c r="D106" s="4"/>
      <c r="E106" s="50"/>
      <c r="F106" s="50"/>
      <c r="G106" s="50"/>
      <c r="H106" s="50"/>
      <c r="I106" s="50"/>
      <c r="J106" s="50"/>
      <c r="K106" s="51"/>
      <c r="L106" s="51"/>
      <c r="M106" s="51"/>
      <c r="N106" s="51"/>
      <c r="O106" s="4"/>
      <c r="P106" s="4"/>
      <c r="Q106" s="4"/>
      <c r="R106" s="4"/>
      <c r="S106" s="4"/>
      <c r="T106" s="4"/>
      <c r="U106" s="4"/>
      <c r="V106" s="4"/>
      <c r="W106" s="4"/>
      <c r="X106" s="4"/>
      <c r="Y106" s="4"/>
      <c r="Z106" s="4"/>
      <c r="AA106" s="4"/>
      <c r="AB106" s="4"/>
      <c r="AC106" s="4"/>
      <c r="AD106" s="4"/>
      <c r="AE106" s="4"/>
      <c r="AF106" s="4"/>
      <c r="AG106" s="4"/>
      <c r="AH106" s="4"/>
      <c r="AI106" s="4"/>
      <c r="AJ106" s="4"/>
      <c r="AK106" s="4"/>
      <c r="AL106" s="4"/>
    </row>
    <row r="107" spans="1:38" ht="30" customHeight="1">
      <c r="A107" s="12"/>
      <c r="B107" s="4"/>
      <c r="C107" s="4"/>
      <c r="D107" s="4"/>
      <c r="E107" s="50"/>
      <c r="F107" s="50"/>
      <c r="G107" s="50"/>
      <c r="H107" s="50"/>
      <c r="I107" s="50"/>
      <c r="J107" s="50"/>
      <c r="K107" s="51"/>
      <c r="L107" s="51"/>
      <c r="M107" s="51"/>
      <c r="N107" s="51"/>
      <c r="O107" s="4"/>
      <c r="P107" s="4"/>
      <c r="Q107" s="4"/>
      <c r="R107" s="4"/>
      <c r="S107" s="4"/>
      <c r="T107" s="4"/>
      <c r="U107" s="4"/>
      <c r="V107" s="4"/>
      <c r="W107" s="4"/>
      <c r="X107" s="4"/>
      <c r="Y107" s="4"/>
      <c r="Z107" s="4"/>
      <c r="AA107" s="4"/>
      <c r="AB107" s="4"/>
      <c r="AC107" s="4"/>
      <c r="AD107" s="4"/>
      <c r="AE107" s="4"/>
      <c r="AF107" s="4"/>
      <c r="AG107" s="4"/>
      <c r="AH107" s="4"/>
      <c r="AI107" s="4"/>
      <c r="AJ107" s="4"/>
      <c r="AK107" s="4"/>
      <c r="AL107" s="4"/>
    </row>
    <row r="108" spans="1:38" ht="30" customHeight="1">
      <c r="A108" s="12"/>
      <c r="B108" s="4"/>
      <c r="C108" s="4"/>
      <c r="D108" s="4"/>
      <c r="E108" s="50"/>
      <c r="F108" s="50"/>
      <c r="G108" s="50"/>
      <c r="H108" s="50"/>
      <c r="I108" s="50"/>
      <c r="J108" s="50"/>
      <c r="K108" s="51"/>
      <c r="L108" s="51"/>
      <c r="M108" s="51"/>
      <c r="N108" s="51"/>
      <c r="O108" s="4"/>
      <c r="P108" s="4"/>
      <c r="Q108" s="4"/>
      <c r="R108" s="4"/>
      <c r="S108" s="4"/>
      <c r="T108" s="4"/>
      <c r="U108" s="4"/>
      <c r="V108" s="4"/>
      <c r="W108" s="4"/>
      <c r="X108" s="4"/>
      <c r="Y108" s="4"/>
      <c r="Z108" s="4"/>
      <c r="AA108" s="4"/>
      <c r="AB108" s="4"/>
      <c r="AC108" s="4"/>
      <c r="AD108" s="4"/>
      <c r="AE108" s="4"/>
      <c r="AF108" s="4"/>
      <c r="AG108" s="4"/>
      <c r="AH108" s="4"/>
      <c r="AI108" s="4"/>
      <c r="AJ108" s="4"/>
      <c r="AK108" s="4"/>
      <c r="AL108" s="4"/>
    </row>
    <row r="109" spans="1:38" ht="30" customHeight="1">
      <c r="A109" s="12"/>
      <c r="B109" s="4"/>
      <c r="C109" s="4"/>
      <c r="D109" s="4"/>
      <c r="E109" s="50"/>
      <c r="F109" s="50"/>
      <c r="G109" s="50"/>
      <c r="H109" s="50"/>
      <c r="I109" s="50"/>
      <c r="J109" s="50"/>
      <c r="K109" s="51"/>
      <c r="L109" s="51"/>
      <c r="M109" s="51"/>
      <c r="N109" s="51"/>
      <c r="O109" s="4"/>
      <c r="P109" s="4"/>
      <c r="Q109" s="4"/>
      <c r="R109" s="4"/>
      <c r="S109" s="4"/>
      <c r="T109" s="4"/>
      <c r="U109" s="4"/>
      <c r="V109" s="4"/>
      <c r="W109" s="4"/>
      <c r="X109" s="4"/>
      <c r="Y109" s="4"/>
      <c r="Z109" s="4"/>
      <c r="AA109" s="4"/>
      <c r="AB109" s="4"/>
      <c r="AC109" s="4"/>
      <c r="AD109" s="4"/>
      <c r="AE109" s="4"/>
      <c r="AF109" s="4"/>
      <c r="AG109" s="4"/>
      <c r="AH109" s="4"/>
      <c r="AI109" s="4"/>
      <c r="AJ109" s="4"/>
      <c r="AK109" s="4"/>
      <c r="AL109" s="4"/>
    </row>
    <row r="110" spans="1:38" ht="30" customHeight="1">
      <c r="A110" s="12"/>
      <c r="B110" s="4"/>
      <c r="C110" s="4"/>
      <c r="D110" s="4"/>
      <c r="E110" s="50"/>
      <c r="F110" s="50"/>
      <c r="G110" s="50"/>
      <c r="H110" s="50"/>
      <c r="I110" s="50"/>
      <c r="J110" s="50"/>
      <c r="K110" s="51"/>
      <c r="L110" s="51"/>
      <c r="M110" s="51"/>
      <c r="N110" s="51"/>
      <c r="O110" s="4"/>
      <c r="P110" s="4"/>
      <c r="Q110" s="4"/>
      <c r="R110" s="4"/>
      <c r="S110" s="4"/>
      <c r="T110" s="4"/>
      <c r="U110" s="4"/>
      <c r="V110" s="4"/>
      <c r="W110" s="4"/>
      <c r="X110" s="4"/>
      <c r="Y110" s="4"/>
      <c r="Z110" s="4"/>
      <c r="AA110" s="4"/>
      <c r="AB110" s="4"/>
      <c r="AC110" s="4"/>
      <c r="AD110" s="4"/>
      <c r="AE110" s="4"/>
      <c r="AF110" s="4"/>
      <c r="AG110" s="4"/>
      <c r="AH110" s="4"/>
      <c r="AI110" s="4"/>
      <c r="AJ110" s="4"/>
      <c r="AK110" s="4"/>
      <c r="AL110" s="4"/>
    </row>
    <row r="111" spans="1:38" ht="30" customHeight="1">
      <c r="A111" s="12"/>
      <c r="B111" s="4"/>
      <c r="C111" s="4"/>
      <c r="D111" s="4"/>
      <c r="E111" s="50"/>
      <c r="F111" s="50"/>
      <c r="G111" s="50"/>
      <c r="H111" s="50"/>
      <c r="I111" s="50"/>
      <c r="J111" s="50"/>
      <c r="K111" s="51"/>
      <c r="L111" s="51"/>
      <c r="M111" s="51"/>
      <c r="N111" s="51"/>
      <c r="O111" s="4"/>
      <c r="P111" s="4"/>
      <c r="Q111" s="4"/>
      <c r="R111" s="4"/>
      <c r="S111" s="4"/>
      <c r="T111" s="4"/>
      <c r="U111" s="4"/>
      <c r="V111" s="4"/>
      <c r="W111" s="4"/>
      <c r="X111" s="4"/>
      <c r="Y111" s="4"/>
      <c r="Z111" s="4"/>
      <c r="AA111" s="4"/>
      <c r="AB111" s="4"/>
      <c r="AC111" s="4"/>
      <c r="AD111" s="4"/>
      <c r="AE111" s="4"/>
      <c r="AF111" s="4"/>
      <c r="AG111" s="4"/>
      <c r="AH111" s="4"/>
      <c r="AI111" s="4"/>
      <c r="AJ111" s="4"/>
      <c r="AK111" s="4"/>
      <c r="AL111" s="4"/>
    </row>
    <row r="112" spans="1:38" ht="30" customHeight="1">
      <c r="A112" s="12"/>
      <c r="B112" s="4"/>
      <c r="C112" s="4"/>
      <c r="D112" s="4"/>
      <c r="E112" s="50"/>
      <c r="F112" s="50"/>
      <c r="G112" s="50"/>
      <c r="H112" s="50"/>
      <c r="I112" s="50"/>
      <c r="J112" s="50"/>
      <c r="K112" s="51"/>
      <c r="L112" s="51"/>
      <c r="M112" s="51"/>
      <c r="N112" s="51"/>
      <c r="O112" s="4"/>
      <c r="P112" s="4"/>
      <c r="Q112" s="4"/>
      <c r="R112" s="4"/>
      <c r="S112" s="4"/>
      <c r="T112" s="4"/>
      <c r="U112" s="4"/>
      <c r="V112" s="4"/>
      <c r="W112" s="4"/>
      <c r="X112" s="4"/>
      <c r="Y112" s="4"/>
      <c r="Z112" s="4"/>
      <c r="AA112" s="4"/>
      <c r="AB112" s="4"/>
      <c r="AC112" s="4"/>
      <c r="AD112" s="4"/>
      <c r="AE112" s="4"/>
      <c r="AF112" s="4"/>
      <c r="AG112" s="4"/>
      <c r="AH112" s="4"/>
      <c r="AI112" s="4"/>
      <c r="AJ112" s="4"/>
      <c r="AK112" s="4"/>
      <c r="AL112" s="4"/>
    </row>
    <row r="113" spans="1:38" ht="30" customHeight="1">
      <c r="A113" s="12"/>
      <c r="B113" s="4"/>
      <c r="C113" s="4"/>
      <c r="D113" s="4"/>
      <c r="E113" s="50"/>
      <c r="F113" s="50"/>
      <c r="G113" s="50"/>
      <c r="H113" s="50"/>
      <c r="I113" s="50"/>
      <c r="J113" s="50"/>
      <c r="K113" s="51"/>
      <c r="L113" s="51"/>
      <c r="M113" s="51"/>
      <c r="N113" s="51"/>
      <c r="O113" s="4"/>
      <c r="P113" s="4"/>
      <c r="Q113" s="4"/>
      <c r="R113" s="4"/>
      <c r="S113" s="4"/>
      <c r="T113" s="4"/>
      <c r="U113" s="4"/>
      <c r="V113" s="4"/>
      <c r="W113" s="4"/>
      <c r="X113" s="4"/>
      <c r="Y113" s="4"/>
      <c r="Z113" s="4"/>
      <c r="AA113" s="4"/>
      <c r="AB113" s="4"/>
      <c r="AC113" s="4"/>
      <c r="AD113" s="4"/>
      <c r="AE113" s="4"/>
      <c r="AF113" s="4"/>
      <c r="AG113" s="4"/>
      <c r="AH113" s="4"/>
      <c r="AI113" s="4"/>
      <c r="AJ113" s="4"/>
      <c r="AK113" s="4"/>
      <c r="AL113" s="4"/>
    </row>
    <row r="114" spans="1:38" ht="30" customHeight="1">
      <c r="A114" s="12"/>
      <c r="B114" s="4"/>
      <c r="C114" s="4"/>
      <c r="D114" s="4"/>
      <c r="E114" s="50"/>
      <c r="F114" s="50"/>
      <c r="G114" s="50"/>
      <c r="H114" s="50"/>
      <c r="I114" s="50"/>
      <c r="J114" s="50"/>
      <c r="K114" s="51"/>
      <c r="L114" s="51"/>
      <c r="M114" s="51"/>
      <c r="N114" s="51"/>
      <c r="O114" s="4"/>
      <c r="P114" s="4"/>
      <c r="Q114" s="4"/>
      <c r="R114" s="4"/>
      <c r="S114" s="4"/>
      <c r="T114" s="4"/>
      <c r="U114" s="4"/>
      <c r="V114" s="4"/>
      <c r="W114" s="4"/>
      <c r="X114" s="4"/>
      <c r="Y114" s="4"/>
      <c r="Z114" s="4"/>
      <c r="AA114" s="4"/>
      <c r="AB114" s="4"/>
      <c r="AC114" s="4"/>
      <c r="AD114" s="4"/>
      <c r="AE114" s="4"/>
      <c r="AF114" s="4"/>
      <c r="AG114" s="4"/>
      <c r="AH114" s="4"/>
      <c r="AI114" s="4"/>
      <c r="AJ114" s="4"/>
      <c r="AK114" s="4"/>
      <c r="AL114" s="4"/>
    </row>
    <row r="115" spans="1:38" ht="30" customHeight="1">
      <c r="A115" s="12"/>
      <c r="B115" s="4"/>
      <c r="C115" s="4"/>
      <c r="D115" s="4"/>
      <c r="E115" s="50"/>
      <c r="F115" s="50"/>
      <c r="G115" s="50"/>
      <c r="H115" s="50"/>
      <c r="I115" s="50"/>
      <c r="J115" s="50"/>
      <c r="K115" s="51"/>
      <c r="L115" s="51"/>
      <c r="M115" s="51"/>
      <c r="N115" s="51"/>
      <c r="O115" s="4"/>
      <c r="P115" s="4"/>
      <c r="Q115" s="4"/>
      <c r="R115" s="4"/>
      <c r="S115" s="4"/>
      <c r="T115" s="4"/>
      <c r="U115" s="4"/>
      <c r="V115" s="4"/>
      <c r="W115" s="4"/>
      <c r="X115" s="4"/>
      <c r="Y115" s="4"/>
      <c r="Z115" s="4"/>
      <c r="AA115" s="4"/>
      <c r="AB115" s="4"/>
      <c r="AC115" s="4"/>
      <c r="AD115" s="4"/>
      <c r="AE115" s="4"/>
      <c r="AF115" s="4"/>
      <c r="AG115" s="4"/>
      <c r="AH115" s="4"/>
      <c r="AI115" s="4"/>
      <c r="AJ115" s="4"/>
      <c r="AK115" s="4"/>
      <c r="AL115" s="4"/>
    </row>
    <row r="116" spans="1:38" ht="30" customHeight="1">
      <c r="A116" s="12"/>
      <c r="B116" s="4"/>
      <c r="C116" s="4"/>
      <c r="D116" s="4"/>
      <c r="E116" s="50"/>
      <c r="F116" s="50"/>
      <c r="G116" s="50"/>
      <c r="H116" s="50"/>
      <c r="I116" s="50"/>
      <c r="J116" s="50"/>
      <c r="K116" s="51"/>
      <c r="L116" s="51"/>
      <c r="M116" s="51"/>
      <c r="N116" s="51"/>
      <c r="O116" s="4"/>
      <c r="P116" s="4"/>
      <c r="Q116" s="4"/>
      <c r="R116" s="4"/>
      <c r="S116" s="4"/>
      <c r="T116" s="4"/>
      <c r="U116" s="4"/>
      <c r="V116" s="4"/>
      <c r="W116" s="4"/>
      <c r="X116" s="4"/>
      <c r="Y116" s="4"/>
      <c r="Z116" s="4"/>
      <c r="AA116" s="4"/>
      <c r="AB116" s="4"/>
      <c r="AC116" s="4"/>
      <c r="AD116" s="4"/>
      <c r="AE116" s="4"/>
      <c r="AF116" s="4"/>
      <c r="AG116" s="4"/>
      <c r="AH116" s="4"/>
      <c r="AI116" s="4"/>
      <c r="AJ116" s="4"/>
      <c r="AK116" s="4"/>
      <c r="AL116" s="4"/>
    </row>
    <row r="117" spans="1:38" ht="30" customHeight="1">
      <c r="A117" s="12"/>
      <c r="B117" s="4"/>
      <c r="C117" s="4"/>
      <c r="D117" s="4"/>
      <c r="E117" s="50"/>
      <c r="F117" s="50"/>
      <c r="G117" s="50"/>
      <c r="H117" s="50"/>
      <c r="I117" s="50"/>
      <c r="J117" s="50"/>
      <c r="K117" s="51"/>
      <c r="L117" s="51"/>
      <c r="M117" s="51"/>
      <c r="N117" s="51"/>
      <c r="O117" s="4"/>
      <c r="P117" s="4"/>
      <c r="Q117" s="4"/>
      <c r="R117" s="4"/>
      <c r="S117" s="4"/>
      <c r="T117" s="4"/>
      <c r="U117" s="4"/>
      <c r="V117" s="4"/>
      <c r="W117" s="4"/>
      <c r="X117" s="4"/>
      <c r="Y117" s="4"/>
      <c r="Z117" s="4"/>
      <c r="AA117" s="4"/>
      <c r="AB117" s="4"/>
      <c r="AC117" s="4"/>
      <c r="AD117" s="4"/>
      <c r="AE117" s="4"/>
      <c r="AF117" s="4"/>
      <c r="AG117" s="4"/>
      <c r="AH117" s="4"/>
      <c r="AI117" s="4"/>
      <c r="AJ117" s="4"/>
      <c r="AK117" s="4"/>
      <c r="AL117" s="4"/>
    </row>
    <row r="118" spans="1:38" ht="30" customHeight="1">
      <c r="A118" s="12"/>
      <c r="B118" s="4"/>
      <c r="C118" s="4"/>
      <c r="D118" s="4"/>
      <c r="E118" s="50"/>
      <c r="F118" s="50"/>
      <c r="G118" s="50"/>
      <c r="H118" s="50"/>
      <c r="I118" s="50"/>
      <c r="J118" s="50"/>
      <c r="K118" s="51"/>
      <c r="L118" s="51"/>
      <c r="M118" s="51"/>
      <c r="N118" s="51"/>
      <c r="O118" s="4"/>
      <c r="P118" s="4"/>
      <c r="Q118" s="4"/>
      <c r="R118" s="4"/>
      <c r="S118" s="4"/>
      <c r="T118" s="4"/>
      <c r="U118" s="4"/>
      <c r="V118" s="4"/>
      <c r="W118" s="4"/>
      <c r="X118" s="4"/>
      <c r="Y118" s="4"/>
      <c r="Z118" s="4"/>
      <c r="AA118" s="4"/>
      <c r="AB118" s="4"/>
      <c r="AC118" s="4"/>
      <c r="AD118" s="4"/>
      <c r="AE118" s="4"/>
      <c r="AF118" s="4"/>
      <c r="AG118" s="4"/>
      <c r="AH118" s="4"/>
      <c r="AI118" s="4"/>
      <c r="AJ118" s="4"/>
      <c r="AK118" s="4"/>
      <c r="AL118" s="4"/>
    </row>
    <row r="119" spans="1:38" ht="30" customHeight="1">
      <c r="A119" s="12"/>
      <c r="B119" s="4"/>
      <c r="C119" s="4"/>
      <c r="D119" s="4"/>
      <c r="E119" s="50"/>
      <c r="F119" s="50"/>
      <c r="G119" s="50"/>
      <c r="H119" s="50"/>
      <c r="I119" s="50"/>
      <c r="J119" s="50"/>
      <c r="K119" s="51"/>
      <c r="L119" s="51"/>
      <c r="M119" s="51"/>
      <c r="N119" s="51"/>
      <c r="O119" s="4"/>
      <c r="P119" s="4"/>
      <c r="Q119" s="4"/>
      <c r="R119" s="4"/>
      <c r="S119" s="4"/>
      <c r="T119" s="4"/>
      <c r="U119" s="4"/>
      <c r="V119" s="4"/>
      <c r="W119" s="4"/>
      <c r="X119" s="4"/>
      <c r="Y119" s="4"/>
      <c r="Z119" s="4"/>
      <c r="AA119" s="4"/>
      <c r="AB119" s="4"/>
      <c r="AC119" s="4"/>
      <c r="AD119" s="4"/>
      <c r="AE119" s="4"/>
      <c r="AF119" s="4"/>
      <c r="AG119" s="4"/>
      <c r="AH119" s="4"/>
      <c r="AI119" s="4"/>
      <c r="AJ119" s="4"/>
      <c r="AK119" s="4"/>
      <c r="AL119" s="4"/>
    </row>
    <row r="120" spans="1:38" ht="30" customHeight="1">
      <c r="A120" s="12"/>
      <c r="B120" s="4"/>
      <c r="C120" s="4"/>
      <c r="D120" s="4"/>
      <c r="E120" s="50"/>
      <c r="F120" s="50"/>
      <c r="G120" s="50"/>
      <c r="H120" s="50"/>
      <c r="I120" s="50"/>
      <c r="J120" s="50"/>
      <c r="K120" s="51"/>
      <c r="L120" s="51"/>
      <c r="M120" s="51"/>
      <c r="N120" s="51"/>
      <c r="O120" s="4"/>
      <c r="P120" s="4"/>
      <c r="Q120" s="4"/>
      <c r="R120" s="4"/>
      <c r="S120" s="4"/>
      <c r="T120" s="4"/>
      <c r="U120" s="4"/>
      <c r="V120" s="4"/>
      <c r="W120" s="4"/>
      <c r="X120" s="4"/>
      <c r="Y120" s="4"/>
      <c r="Z120" s="4"/>
      <c r="AA120" s="4"/>
      <c r="AB120" s="4"/>
      <c r="AC120" s="4"/>
      <c r="AD120" s="4"/>
      <c r="AE120" s="4"/>
      <c r="AF120" s="4"/>
      <c r="AG120" s="4"/>
      <c r="AH120" s="4"/>
      <c r="AI120" s="4"/>
      <c r="AJ120" s="4"/>
      <c r="AK120" s="4"/>
      <c r="AL120" s="4"/>
    </row>
    <row r="121" spans="1:38" ht="30" customHeight="1">
      <c r="A121" s="12"/>
      <c r="B121" s="4"/>
      <c r="C121" s="4"/>
      <c r="D121" s="4"/>
      <c r="E121" s="50"/>
      <c r="F121" s="50"/>
      <c r="G121" s="50"/>
      <c r="H121" s="50"/>
      <c r="I121" s="50"/>
      <c r="J121" s="50"/>
      <c r="K121" s="51"/>
      <c r="L121" s="51"/>
      <c r="M121" s="51"/>
      <c r="N121" s="51"/>
      <c r="O121" s="4"/>
      <c r="P121" s="4"/>
      <c r="Q121" s="4"/>
      <c r="R121" s="4"/>
      <c r="S121" s="4"/>
      <c r="T121" s="4"/>
      <c r="U121" s="4"/>
      <c r="V121" s="4"/>
      <c r="W121" s="4"/>
      <c r="X121" s="4"/>
      <c r="Y121" s="4"/>
      <c r="Z121" s="4"/>
      <c r="AA121" s="4"/>
      <c r="AB121" s="4"/>
      <c r="AC121" s="4"/>
      <c r="AD121" s="4"/>
      <c r="AE121" s="4"/>
      <c r="AF121" s="4"/>
      <c r="AG121" s="4"/>
      <c r="AH121" s="4"/>
      <c r="AI121" s="4"/>
      <c r="AJ121" s="4"/>
      <c r="AK121" s="4"/>
      <c r="AL121" s="4"/>
    </row>
    <row r="122" spans="1:38" ht="30" customHeight="1">
      <c r="A122" s="12"/>
      <c r="B122" s="4"/>
      <c r="C122" s="4"/>
      <c r="D122" s="4"/>
      <c r="E122" s="50"/>
      <c r="F122" s="50"/>
      <c r="G122" s="50"/>
      <c r="H122" s="50"/>
      <c r="I122" s="50"/>
      <c r="J122" s="50"/>
      <c r="K122" s="51"/>
      <c r="L122" s="51"/>
      <c r="M122" s="51"/>
      <c r="N122" s="51"/>
      <c r="O122" s="4"/>
      <c r="P122" s="4"/>
      <c r="Q122" s="4"/>
      <c r="R122" s="4"/>
      <c r="S122" s="4"/>
      <c r="T122" s="4"/>
      <c r="U122" s="4"/>
      <c r="V122" s="4"/>
      <c r="W122" s="4"/>
      <c r="X122" s="4"/>
      <c r="Y122" s="4"/>
      <c r="Z122" s="4"/>
      <c r="AA122" s="4"/>
      <c r="AB122" s="4"/>
      <c r="AC122" s="4"/>
      <c r="AD122" s="4"/>
      <c r="AE122" s="4"/>
      <c r="AF122" s="4"/>
      <c r="AG122" s="4"/>
      <c r="AH122" s="4"/>
      <c r="AI122" s="4"/>
      <c r="AJ122" s="4"/>
      <c r="AK122" s="4"/>
      <c r="AL122" s="4"/>
    </row>
    <row r="123" spans="1:38" ht="30" customHeight="1">
      <c r="A123" s="12"/>
      <c r="B123" s="4"/>
      <c r="C123" s="4"/>
      <c r="D123" s="4"/>
      <c r="E123" s="50"/>
      <c r="F123" s="50"/>
      <c r="G123" s="50"/>
      <c r="H123" s="50"/>
      <c r="I123" s="50"/>
      <c r="J123" s="50"/>
      <c r="K123" s="51"/>
      <c r="L123" s="51"/>
      <c r="M123" s="51"/>
      <c r="N123" s="51"/>
      <c r="O123" s="4"/>
      <c r="P123" s="4"/>
      <c r="Q123" s="4"/>
      <c r="R123" s="4"/>
      <c r="S123" s="4"/>
      <c r="T123" s="4"/>
      <c r="U123" s="4"/>
      <c r="V123" s="4"/>
      <c r="W123" s="4"/>
      <c r="X123" s="4"/>
      <c r="Y123" s="4"/>
      <c r="Z123" s="4"/>
      <c r="AA123" s="4"/>
      <c r="AB123" s="4"/>
      <c r="AC123" s="4"/>
      <c r="AD123" s="4"/>
      <c r="AE123" s="4"/>
      <c r="AF123" s="4"/>
      <c r="AG123" s="4"/>
      <c r="AH123" s="4"/>
      <c r="AI123" s="4"/>
      <c r="AJ123" s="4"/>
      <c r="AK123" s="4"/>
      <c r="AL123" s="4"/>
    </row>
    <row r="124" spans="1:38" ht="30" customHeight="1">
      <c r="A124" s="12"/>
      <c r="B124" s="4"/>
      <c r="C124" s="4"/>
      <c r="D124" s="4"/>
      <c r="E124" s="50"/>
      <c r="F124" s="50"/>
      <c r="G124" s="50"/>
      <c r="H124" s="50"/>
      <c r="I124" s="50"/>
      <c r="J124" s="50"/>
      <c r="K124" s="51"/>
      <c r="L124" s="51"/>
      <c r="M124" s="51"/>
      <c r="N124" s="51"/>
      <c r="O124" s="4"/>
      <c r="P124" s="4"/>
      <c r="Q124" s="4"/>
      <c r="R124" s="4"/>
      <c r="S124" s="4"/>
      <c r="T124" s="4"/>
      <c r="U124" s="4"/>
      <c r="V124" s="4"/>
      <c r="W124" s="4"/>
      <c r="X124" s="4"/>
      <c r="Y124" s="4"/>
      <c r="Z124" s="4"/>
      <c r="AA124" s="4"/>
      <c r="AB124" s="4"/>
      <c r="AC124" s="4"/>
      <c r="AD124" s="4"/>
      <c r="AE124" s="4"/>
      <c r="AF124" s="4"/>
      <c r="AG124" s="4"/>
      <c r="AH124" s="4"/>
      <c r="AI124" s="4"/>
      <c r="AJ124" s="4"/>
      <c r="AK124" s="4"/>
      <c r="AL124" s="4"/>
    </row>
    <row r="125" spans="1:38" ht="30" customHeight="1">
      <c r="A125" s="12"/>
      <c r="B125" s="4"/>
      <c r="C125" s="4"/>
      <c r="D125" s="4"/>
      <c r="E125" s="50"/>
      <c r="F125" s="50"/>
      <c r="G125" s="50"/>
      <c r="H125" s="50"/>
      <c r="I125" s="50"/>
      <c r="J125" s="50"/>
      <c r="K125" s="51"/>
      <c r="L125" s="51"/>
      <c r="M125" s="51"/>
      <c r="N125" s="51"/>
      <c r="O125" s="4"/>
      <c r="P125" s="4"/>
      <c r="Q125" s="4"/>
      <c r="R125" s="4"/>
      <c r="S125" s="4"/>
      <c r="T125" s="4"/>
      <c r="U125" s="4"/>
      <c r="V125" s="4"/>
      <c r="W125" s="4"/>
      <c r="X125" s="4"/>
      <c r="Y125" s="4"/>
      <c r="Z125" s="4"/>
      <c r="AA125" s="4"/>
      <c r="AB125" s="4"/>
      <c r="AC125" s="4"/>
      <c r="AD125" s="4"/>
      <c r="AE125" s="4"/>
      <c r="AF125" s="4"/>
      <c r="AG125" s="4"/>
      <c r="AH125" s="4"/>
      <c r="AI125" s="4"/>
      <c r="AJ125" s="4"/>
      <c r="AK125" s="4"/>
      <c r="AL125" s="4"/>
    </row>
    <row r="126" spans="1:38" ht="30" customHeight="1">
      <c r="A126" s="12"/>
      <c r="B126" s="4"/>
      <c r="C126" s="4"/>
      <c r="D126" s="4"/>
      <c r="E126" s="50"/>
      <c r="F126" s="50"/>
      <c r="G126" s="50"/>
      <c r="H126" s="50"/>
      <c r="I126" s="50"/>
      <c r="J126" s="50"/>
      <c r="K126" s="51"/>
      <c r="L126" s="51"/>
      <c r="M126" s="51"/>
      <c r="N126" s="51"/>
      <c r="O126" s="4"/>
      <c r="P126" s="4"/>
      <c r="Q126" s="4"/>
      <c r="R126" s="4"/>
      <c r="S126" s="4"/>
      <c r="T126" s="4"/>
      <c r="U126" s="4"/>
      <c r="V126" s="4"/>
      <c r="W126" s="4"/>
      <c r="X126" s="4"/>
      <c r="Y126" s="4"/>
      <c r="Z126" s="4"/>
      <c r="AA126" s="4"/>
      <c r="AB126" s="4"/>
      <c r="AC126" s="4"/>
      <c r="AD126" s="4"/>
      <c r="AE126" s="4"/>
      <c r="AF126" s="4"/>
      <c r="AG126" s="4"/>
      <c r="AH126" s="4"/>
      <c r="AI126" s="4"/>
      <c r="AJ126" s="4"/>
      <c r="AK126" s="4"/>
      <c r="AL126" s="4"/>
    </row>
    <row r="127" spans="1:38" ht="30" customHeight="1">
      <c r="A127" s="12"/>
      <c r="B127" s="4"/>
      <c r="C127" s="4"/>
      <c r="D127" s="4"/>
      <c r="E127" s="50"/>
      <c r="F127" s="50"/>
      <c r="G127" s="50"/>
      <c r="H127" s="50"/>
      <c r="I127" s="50"/>
      <c r="J127" s="50"/>
      <c r="K127" s="51"/>
      <c r="L127" s="51"/>
      <c r="M127" s="51"/>
      <c r="N127" s="51"/>
      <c r="O127" s="4"/>
      <c r="P127" s="4"/>
      <c r="Q127" s="4"/>
      <c r="R127" s="4"/>
      <c r="S127" s="4"/>
      <c r="T127" s="4"/>
      <c r="U127" s="4"/>
      <c r="V127" s="4"/>
      <c r="W127" s="4"/>
      <c r="X127" s="4"/>
      <c r="Y127" s="4"/>
      <c r="Z127" s="4"/>
      <c r="AA127" s="4"/>
      <c r="AB127" s="4"/>
      <c r="AC127" s="4"/>
      <c r="AD127" s="4"/>
      <c r="AE127" s="4"/>
      <c r="AF127" s="4"/>
      <c r="AG127" s="4"/>
      <c r="AH127" s="4"/>
      <c r="AI127" s="4"/>
      <c r="AJ127" s="4"/>
      <c r="AK127" s="4"/>
      <c r="AL127" s="4"/>
    </row>
    <row r="128" spans="1:38" ht="30" customHeight="1">
      <c r="A128" s="12"/>
      <c r="B128" s="4"/>
      <c r="C128" s="4"/>
      <c r="D128" s="4"/>
      <c r="E128" s="50"/>
      <c r="F128" s="50"/>
      <c r="G128" s="50"/>
      <c r="H128" s="50"/>
      <c r="I128" s="50"/>
      <c r="J128" s="50"/>
      <c r="K128" s="51"/>
      <c r="L128" s="51"/>
      <c r="M128" s="51"/>
      <c r="N128" s="51"/>
      <c r="O128" s="4"/>
      <c r="P128" s="4"/>
      <c r="Q128" s="4"/>
      <c r="R128" s="4"/>
      <c r="S128" s="4"/>
      <c r="T128" s="4"/>
      <c r="U128" s="4"/>
      <c r="V128" s="4"/>
      <c r="W128" s="4"/>
      <c r="X128" s="4"/>
      <c r="Y128" s="4"/>
      <c r="Z128" s="4"/>
      <c r="AA128" s="4"/>
      <c r="AB128" s="4"/>
      <c r="AC128" s="4"/>
      <c r="AD128" s="4"/>
      <c r="AE128" s="4"/>
      <c r="AF128" s="4"/>
      <c r="AG128" s="4"/>
      <c r="AH128" s="4"/>
      <c r="AI128" s="4"/>
      <c r="AJ128" s="4"/>
      <c r="AK128" s="4"/>
      <c r="AL128" s="4"/>
    </row>
    <row r="129" spans="1:38" ht="30" customHeight="1">
      <c r="A129" s="12"/>
      <c r="B129" s="4"/>
      <c r="C129" s="4"/>
      <c r="D129" s="4"/>
      <c r="E129" s="50"/>
      <c r="F129" s="50"/>
      <c r="G129" s="50"/>
      <c r="H129" s="50"/>
      <c r="I129" s="50"/>
      <c r="J129" s="50"/>
      <c r="K129" s="51"/>
      <c r="L129" s="51"/>
      <c r="M129" s="51"/>
      <c r="N129" s="51"/>
      <c r="O129" s="4"/>
      <c r="P129" s="4"/>
      <c r="Q129" s="4"/>
      <c r="R129" s="4"/>
      <c r="S129" s="4"/>
      <c r="T129" s="4"/>
      <c r="U129" s="4"/>
      <c r="V129" s="4"/>
      <c r="W129" s="4"/>
      <c r="X129" s="4"/>
      <c r="Y129" s="4"/>
      <c r="Z129" s="4"/>
      <c r="AA129" s="4"/>
      <c r="AB129" s="4"/>
      <c r="AC129" s="4"/>
      <c r="AD129" s="4"/>
      <c r="AE129" s="4"/>
      <c r="AF129" s="4"/>
      <c r="AG129" s="4"/>
      <c r="AH129" s="4"/>
      <c r="AI129" s="4"/>
      <c r="AJ129" s="4"/>
      <c r="AK129" s="4"/>
      <c r="AL129" s="4"/>
    </row>
    <row r="130" spans="1:38" ht="30" customHeight="1">
      <c r="A130" s="12"/>
      <c r="B130" s="4"/>
      <c r="C130" s="4"/>
      <c r="D130" s="4"/>
      <c r="E130" s="50"/>
      <c r="F130" s="50"/>
      <c r="G130" s="50"/>
      <c r="H130" s="50"/>
      <c r="I130" s="50"/>
      <c r="J130" s="50"/>
      <c r="K130" s="51"/>
      <c r="L130" s="51"/>
      <c r="M130" s="51"/>
      <c r="N130" s="51"/>
      <c r="O130" s="4"/>
      <c r="P130" s="4"/>
      <c r="Q130" s="4"/>
      <c r="R130" s="4"/>
      <c r="S130" s="4"/>
      <c r="T130" s="4"/>
      <c r="U130" s="4"/>
      <c r="V130" s="4"/>
      <c r="W130" s="4"/>
      <c r="X130" s="4"/>
      <c r="Y130" s="4"/>
      <c r="Z130" s="4"/>
      <c r="AA130" s="4"/>
      <c r="AB130" s="4"/>
      <c r="AC130" s="4"/>
      <c r="AD130" s="4"/>
      <c r="AE130" s="4"/>
      <c r="AF130" s="4"/>
      <c r="AG130" s="4"/>
      <c r="AH130" s="4"/>
      <c r="AI130" s="4"/>
      <c r="AJ130" s="4"/>
      <c r="AK130" s="4"/>
      <c r="AL130" s="4"/>
    </row>
    <row r="131" spans="1:38" ht="30" customHeight="1">
      <c r="A131" s="12"/>
      <c r="B131" s="4"/>
      <c r="C131" s="4"/>
      <c r="D131" s="4"/>
      <c r="E131" s="50"/>
      <c r="F131" s="50"/>
      <c r="G131" s="50"/>
      <c r="H131" s="50"/>
      <c r="I131" s="50"/>
      <c r="J131" s="50"/>
      <c r="K131" s="51"/>
      <c r="L131" s="51"/>
      <c r="M131" s="51"/>
      <c r="N131" s="51"/>
      <c r="O131" s="4"/>
      <c r="P131" s="4"/>
      <c r="Q131" s="4"/>
      <c r="R131" s="4"/>
      <c r="S131" s="4"/>
      <c r="T131" s="4"/>
      <c r="U131" s="4"/>
      <c r="V131" s="4"/>
      <c r="W131" s="4"/>
      <c r="X131" s="4"/>
      <c r="Y131" s="4"/>
      <c r="Z131" s="4"/>
      <c r="AA131" s="4"/>
      <c r="AB131" s="4"/>
      <c r="AC131" s="4"/>
      <c r="AD131" s="4"/>
      <c r="AE131" s="4"/>
      <c r="AF131" s="4"/>
      <c r="AG131" s="4"/>
      <c r="AH131" s="4"/>
      <c r="AI131" s="4"/>
      <c r="AJ131" s="4"/>
      <c r="AK131" s="4"/>
      <c r="AL131" s="4"/>
    </row>
    <row r="132" spans="1:38" ht="30" customHeight="1">
      <c r="A132" s="12"/>
      <c r="B132" s="4"/>
      <c r="C132" s="4"/>
      <c r="D132" s="4"/>
      <c r="E132" s="50"/>
      <c r="F132" s="50"/>
      <c r="G132" s="50"/>
      <c r="H132" s="50"/>
      <c r="I132" s="50"/>
      <c r="J132" s="50"/>
      <c r="K132" s="51"/>
      <c r="L132" s="51"/>
      <c r="M132" s="51"/>
      <c r="N132" s="51"/>
      <c r="O132" s="4"/>
      <c r="P132" s="4"/>
      <c r="Q132" s="4"/>
      <c r="R132" s="4"/>
      <c r="S132" s="4"/>
      <c r="T132" s="4"/>
      <c r="U132" s="4"/>
      <c r="V132" s="4"/>
      <c r="W132" s="4"/>
      <c r="X132" s="4"/>
      <c r="Y132" s="4"/>
      <c r="Z132" s="4"/>
      <c r="AA132" s="4"/>
      <c r="AB132" s="4"/>
      <c r="AC132" s="4"/>
      <c r="AD132" s="4"/>
      <c r="AE132" s="4"/>
      <c r="AF132" s="4"/>
      <c r="AG132" s="4"/>
      <c r="AH132" s="4"/>
      <c r="AI132" s="4"/>
      <c r="AJ132" s="4"/>
      <c r="AK132" s="4"/>
      <c r="AL132" s="4"/>
    </row>
    <row r="133" spans="1:38" ht="30" customHeight="1">
      <c r="A133" s="12"/>
      <c r="B133" s="4"/>
      <c r="C133" s="4"/>
      <c r="D133" s="4"/>
      <c r="E133" s="50"/>
      <c r="F133" s="50"/>
      <c r="G133" s="50"/>
      <c r="H133" s="50"/>
      <c r="I133" s="50"/>
      <c r="J133" s="50"/>
      <c r="K133" s="51"/>
      <c r="L133" s="51"/>
      <c r="M133" s="51"/>
      <c r="N133" s="51"/>
      <c r="O133" s="4"/>
      <c r="P133" s="4"/>
      <c r="Q133" s="4"/>
      <c r="R133" s="4"/>
      <c r="S133" s="4"/>
      <c r="T133" s="4"/>
      <c r="U133" s="4"/>
      <c r="V133" s="4"/>
      <c r="W133" s="4"/>
      <c r="X133" s="4"/>
      <c r="Y133" s="4"/>
      <c r="Z133" s="4"/>
      <c r="AA133" s="4"/>
      <c r="AB133" s="4"/>
      <c r="AC133" s="4"/>
      <c r="AD133" s="4"/>
      <c r="AE133" s="4"/>
      <c r="AF133" s="4"/>
      <c r="AG133" s="4"/>
      <c r="AH133" s="4"/>
      <c r="AI133" s="4"/>
      <c r="AJ133" s="4"/>
      <c r="AK133" s="4"/>
      <c r="AL133" s="4"/>
    </row>
    <row r="134" spans="1:38" ht="30" customHeight="1">
      <c r="A134" s="12"/>
      <c r="B134" s="4"/>
      <c r="C134" s="4"/>
      <c r="D134" s="4"/>
      <c r="E134" s="50"/>
      <c r="F134" s="50"/>
      <c r="G134" s="50"/>
      <c r="H134" s="50"/>
      <c r="I134" s="50"/>
      <c r="J134" s="50"/>
      <c r="K134" s="51"/>
      <c r="L134" s="51"/>
      <c r="M134" s="51"/>
      <c r="N134" s="51"/>
      <c r="O134" s="4"/>
      <c r="P134" s="4"/>
      <c r="Q134" s="4"/>
      <c r="R134" s="4"/>
      <c r="S134" s="4"/>
      <c r="T134" s="4"/>
      <c r="U134" s="4"/>
      <c r="V134" s="4"/>
      <c r="W134" s="4"/>
      <c r="X134" s="4"/>
      <c r="Y134" s="4"/>
      <c r="Z134" s="4"/>
      <c r="AA134" s="4"/>
      <c r="AB134" s="4"/>
      <c r="AC134" s="4"/>
      <c r="AD134" s="4"/>
      <c r="AE134" s="4"/>
      <c r="AF134" s="4"/>
      <c r="AG134" s="4"/>
      <c r="AH134" s="4"/>
      <c r="AI134" s="4"/>
      <c r="AJ134" s="4"/>
      <c r="AK134" s="4"/>
      <c r="AL134" s="4"/>
    </row>
    <row r="135" spans="1:38" ht="30" customHeight="1">
      <c r="A135" s="12"/>
      <c r="B135" s="4"/>
      <c r="C135" s="4"/>
      <c r="D135" s="4"/>
      <c r="E135" s="50"/>
      <c r="F135" s="50"/>
      <c r="G135" s="50"/>
      <c r="H135" s="50"/>
      <c r="I135" s="50"/>
      <c r="J135" s="50"/>
      <c r="K135" s="51"/>
      <c r="L135" s="51"/>
      <c r="M135" s="51"/>
      <c r="N135" s="51"/>
      <c r="O135" s="4"/>
      <c r="P135" s="4"/>
      <c r="Q135" s="4"/>
      <c r="R135" s="4"/>
      <c r="S135" s="4"/>
      <c r="T135" s="4"/>
      <c r="U135" s="4"/>
      <c r="V135" s="4"/>
      <c r="W135" s="4"/>
      <c r="X135" s="4"/>
      <c r="Y135" s="4"/>
      <c r="Z135" s="4"/>
      <c r="AA135" s="4"/>
      <c r="AB135" s="4"/>
      <c r="AC135" s="4"/>
      <c r="AD135" s="4"/>
      <c r="AE135" s="4"/>
      <c r="AF135" s="4"/>
      <c r="AG135" s="4"/>
      <c r="AH135" s="4"/>
      <c r="AI135" s="4"/>
      <c r="AJ135" s="4"/>
      <c r="AK135" s="4"/>
      <c r="AL135" s="4"/>
    </row>
    <row r="136" spans="1:38" ht="30" customHeight="1">
      <c r="A136" s="12"/>
      <c r="B136" s="4"/>
      <c r="C136" s="4"/>
      <c r="D136" s="4"/>
      <c r="E136" s="50"/>
      <c r="F136" s="50"/>
      <c r="G136" s="50"/>
      <c r="H136" s="50"/>
      <c r="I136" s="50"/>
      <c r="J136" s="50"/>
      <c r="K136" s="51"/>
      <c r="L136" s="51"/>
      <c r="M136" s="51"/>
      <c r="N136" s="51"/>
      <c r="O136" s="4"/>
      <c r="P136" s="4"/>
      <c r="Q136" s="4"/>
      <c r="R136" s="4"/>
      <c r="S136" s="4"/>
      <c r="T136" s="4"/>
      <c r="U136" s="4"/>
      <c r="V136" s="4"/>
      <c r="W136" s="4"/>
      <c r="X136" s="4"/>
      <c r="Y136" s="4"/>
      <c r="Z136" s="4"/>
      <c r="AA136" s="4"/>
      <c r="AB136" s="4"/>
      <c r="AC136" s="4"/>
      <c r="AD136" s="4"/>
      <c r="AE136" s="4"/>
      <c r="AF136" s="4"/>
      <c r="AG136" s="4"/>
      <c r="AH136" s="4"/>
      <c r="AI136" s="4"/>
      <c r="AJ136" s="4"/>
      <c r="AK136" s="4"/>
      <c r="AL136" s="4"/>
    </row>
    <row r="137" spans="1:38" ht="30" customHeight="1">
      <c r="A137" s="12"/>
      <c r="B137" s="4"/>
      <c r="C137" s="4"/>
      <c r="D137" s="4"/>
      <c r="E137" s="50"/>
      <c r="F137" s="50"/>
      <c r="G137" s="50"/>
      <c r="H137" s="50"/>
      <c r="I137" s="50"/>
      <c r="J137" s="50"/>
      <c r="K137" s="51"/>
      <c r="L137" s="51"/>
      <c r="M137" s="51"/>
      <c r="N137" s="51"/>
      <c r="O137" s="4"/>
      <c r="P137" s="4"/>
      <c r="Q137" s="4"/>
      <c r="R137" s="4"/>
      <c r="S137" s="4"/>
      <c r="T137" s="4"/>
      <c r="U137" s="4"/>
      <c r="V137" s="4"/>
      <c r="W137" s="4"/>
      <c r="X137" s="4"/>
      <c r="Y137" s="4"/>
      <c r="Z137" s="4"/>
      <c r="AA137" s="4"/>
      <c r="AB137" s="4"/>
      <c r="AC137" s="4"/>
      <c r="AD137" s="4"/>
      <c r="AE137" s="4"/>
      <c r="AF137" s="4"/>
      <c r="AG137" s="4"/>
      <c r="AH137" s="4"/>
      <c r="AI137" s="4"/>
      <c r="AJ137" s="4"/>
      <c r="AK137" s="4"/>
      <c r="AL137" s="4"/>
    </row>
    <row r="138" spans="1:38" ht="30" customHeight="1">
      <c r="A138" s="12"/>
      <c r="B138" s="4"/>
      <c r="C138" s="4"/>
      <c r="D138" s="4"/>
      <c r="E138" s="50"/>
      <c r="F138" s="50"/>
      <c r="G138" s="50"/>
      <c r="H138" s="50"/>
      <c r="I138" s="50"/>
      <c r="J138" s="50"/>
      <c r="K138" s="51"/>
      <c r="L138" s="51"/>
      <c r="M138" s="51"/>
      <c r="N138" s="51"/>
      <c r="O138" s="4"/>
      <c r="P138" s="4"/>
      <c r="Q138" s="4"/>
      <c r="R138" s="4"/>
      <c r="S138" s="4"/>
      <c r="T138" s="4"/>
      <c r="U138" s="4"/>
      <c r="V138" s="4"/>
      <c r="W138" s="4"/>
      <c r="X138" s="4"/>
      <c r="Y138" s="4"/>
      <c r="Z138" s="4"/>
      <c r="AA138" s="4"/>
      <c r="AB138" s="4"/>
      <c r="AC138" s="4"/>
      <c r="AD138" s="4"/>
      <c r="AE138" s="4"/>
      <c r="AF138" s="4"/>
      <c r="AG138" s="4"/>
      <c r="AH138" s="4"/>
      <c r="AI138" s="4"/>
      <c r="AJ138" s="4"/>
      <c r="AK138" s="4"/>
      <c r="AL138" s="4"/>
    </row>
    <row r="139" spans="1:38" ht="30" customHeight="1">
      <c r="A139" s="12"/>
      <c r="B139" s="4"/>
      <c r="C139" s="4"/>
      <c r="D139" s="4"/>
      <c r="E139" s="50"/>
      <c r="F139" s="50"/>
      <c r="G139" s="50"/>
      <c r="H139" s="50"/>
      <c r="I139" s="50"/>
      <c r="J139" s="50"/>
      <c r="K139" s="51"/>
      <c r="L139" s="51"/>
      <c r="M139" s="51"/>
      <c r="N139" s="51"/>
      <c r="O139" s="4"/>
      <c r="P139" s="4"/>
      <c r="Q139" s="4"/>
      <c r="R139" s="4"/>
      <c r="S139" s="4"/>
      <c r="T139" s="4"/>
      <c r="U139" s="4"/>
      <c r="V139" s="4"/>
      <c r="W139" s="4"/>
      <c r="X139" s="4"/>
      <c r="Y139" s="4"/>
      <c r="Z139" s="4"/>
      <c r="AA139" s="4"/>
      <c r="AB139" s="4"/>
      <c r="AC139" s="4"/>
      <c r="AD139" s="4"/>
      <c r="AE139" s="4"/>
      <c r="AF139" s="4"/>
      <c r="AG139" s="4"/>
      <c r="AH139" s="4"/>
      <c r="AI139" s="4"/>
      <c r="AJ139" s="4"/>
      <c r="AK139" s="4"/>
      <c r="AL139" s="4"/>
    </row>
    <row r="140" spans="1:38" ht="30" customHeight="1">
      <c r="A140" s="12"/>
      <c r="B140" s="4"/>
      <c r="C140" s="4"/>
      <c r="D140" s="4"/>
      <c r="E140" s="50"/>
      <c r="F140" s="50"/>
      <c r="G140" s="50"/>
      <c r="H140" s="50"/>
      <c r="I140" s="50"/>
      <c r="J140" s="50"/>
      <c r="K140" s="51"/>
      <c r="L140" s="51"/>
      <c r="M140" s="51"/>
      <c r="N140" s="51"/>
      <c r="O140" s="4"/>
      <c r="P140" s="4"/>
      <c r="Q140" s="4"/>
      <c r="R140" s="4"/>
      <c r="S140" s="4"/>
      <c r="T140" s="4"/>
      <c r="U140" s="4"/>
      <c r="V140" s="4"/>
      <c r="W140" s="4"/>
      <c r="X140" s="4"/>
      <c r="Y140" s="4"/>
      <c r="Z140" s="4"/>
      <c r="AA140" s="4"/>
      <c r="AB140" s="4"/>
      <c r="AC140" s="4"/>
      <c r="AD140" s="4"/>
      <c r="AE140" s="4"/>
      <c r="AF140" s="4"/>
      <c r="AG140" s="4"/>
      <c r="AH140" s="4"/>
      <c r="AI140" s="4"/>
      <c r="AJ140" s="4"/>
      <c r="AK140" s="4"/>
      <c r="AL140" s="4"/>
    </row>
    <row r="141" spans="1:38" ht="30" customHeight="1">
      <c r="A141" s="12"/>
      <c r="B141" s="4"/>
      <c r="C141" s="4"/>
      <c r="D141" s="4"/>
      <c r="E141" s="50"/>
      <c r="F141" s="50"/>
      <c r="G141" s="50"/>
      <c r="H141" s="50"/>
      <c r="I141" s="50"/>
      <c r="J141" s="50"/>
      <c r="K141" s="51"/>
      <c r="L141" s="51"/>
      <c r="M141" s="51"/>
      <c r="N141" s="51"/>
      <c r="O141" s="4"/>
      <c r="P141" s="4"/>
      <c r="Q141" s="4"/>
      <c r="R141" s="4"/>
      <c r="S141" s="4"/>
      <c r="T141" s="4"/>
      <c r="U141" s="4"/>
      <c r="V141" s="4"/>
      <c r="W141" s="4"/>
      <c r="X141" s="4"/>
      <c r="Y141" s="4"/>
      <c r="Z141" s="4"/>
      <c r="AA141" s="4"/>
      <c r="AB141" s="4"/>
      <c r="AC141" s="4"/>
      <c r="AD141" s="4"/>
      <c r="AE141" s="4"/>
      <c r="AF141" s="4"/>
      <c r="AG141" s="4"/>
      <c r="AH141" s="4"/>
      <c r="AI141" s="4"/>
      <c r="AJ141" s="4"/>
      <c r="AK141" s="4"/>
      <c r="AL141" s="4"/>
    </row>
    <row r="142" spans="1:38" ht="30" customHeight="1">
      <c r="A142" s="12"/>
      <c r="B142" s="4"/>
      <c r="C142" s="4"/>
      <c r="D142" s="4"/>
      <c r="E142" s="50"/>
      <c r="F142" s="50"/>
      <c r="G142" s="50"/>
      <c r="H142" s="50"/>
      <c r="I142" s="50"/>
      <c r="J142" s="50"/>
      <c r="K142" s="51"/>
      <c r="L142" s="51"/>
      <c r="M142" s="51"/>
      <c r="N142" s="51"/>
      <c r="O142" s="4"/>
      <c r="P142" s="4"/>
      <c r="Q142" s="4"/>
      <c r="R142" s="4"/>
      <c r="S142" s="4"/>
      <c r="T142" s="4"/>
      <c r="U142" s="4"/>
      <c r="V142" s="4"/>
      <c r="W142" s="4"/>
      <c r="X142" s="4"/>
      <c r="Y142" s="4"/>
      <c r="Z142" s="4"/>
      <c r="AA142" s="4"/>
      <c r="AB142" s="4"/>
      <c r="AC142" s="4"/>
      <c r="AD142" s="4"/>
      <c r="AE142" s="4"/>
      <c r="AF142" s="4"/>
      <c r="AG142" s="4"/>
      <c r="AH142" s="4"/>
      <c r="AI142" s="4"/>
      <c r="AJ142" s="4"/>
      <c r="AK142" s="4"/>
      <c r="AL142" s="4"/>
    </row>
    <row r="143" spans="1:38" ht="30" customHeight="1">
      <c r="A143" s="12"/>
      <c r="B143" s="4"/>
      <c r="C143" s="4"/>
      <c r="D143" s="4"/>
      <c r="E143" s="50"/>
      <c r="F143" s="50"/>
      <c r="G143" s="50"/>
      <c r="H143" s="50"/>
      <c r="I143" s="50"/>
      <c r="J143" s="50"/>
      <c r="K143" s="51"/>
      <c r="L143" s="51"/>
      <c r="M143" s="51"/>
      <c r="N143" s="51"/>
      <c r="O143" s="4"/>
      <c r="P143" s="4"/>
      <c r="Q143" s="4"/>
      <c r="R143" s="4"/>
      <c r="S143" s="4"/>
      <c r="T143" s="4"/>
      <c r="U143" s="4"/>
      <c r="V143" s="4"/>
      <c r="W143" s="4"/>
      <c r="X143" s="4"/>
      <c r="Y143" s="4"/>
      <c r="Z143" s="4"/>
      <c r="AA143" s="4"/>
      <c r="AB143" s="4"/>
      <c r="AC143" s="4"/>
      <c r="AD143" s="4"/>
      <c r="AE143" s="4"/>
      <c r="AF143" s="4"/>
      <c r="AG143" s="4"/>
      <c r="AH143" s="4"/>
      <c r="AI143" s="4"/>
      <c r="AJ143" s="4"/>
      <c r="AK143" s="4"/>
      <c r="AL143" s="4"/>
    </row>
    <row r="144" spans="1:38" ht="30" customHeight="1">
      <c r="A144" s="12"/>
      <c r="B144" s="4"/>
      <c r="C144" s="4"/>
      <c r="D144" s="4"/>
      <c r="E144" s="50"/>
      <c r="F144" s="50"/>
      <c r="G144" s="50"/>
      <c r="H144" s="50"/>
      <c r="I144" s="50"/>
      <c r="J144" s="50"/>
      <c r="K144" s="51"/>
      <c r="L144" s="51"/>
      <c r="M144" s="51"/>
      <c r="N144" s="51"/>
      <c r="O144" s="4"/>
      <c r="P144" s="4"/>
      <c r="Q144" s="4"/>
      <c r="R144" s="4"/>
      <c r="S144" s="4"/>
      <c r="T144" s="4"/>
      <c r="U144" s="4"/>
      <c r="V144" s="4"/>
      <c r="W144" s="4"/>
      <c r="X144" s="4"/>
      <c r="Y144" s="4"/>
      <c r="Z144" s="4"/>
      <c r="AA144" s="4"/>
      <c r="AB144" s="4"/>
      <c r="AC144" s="4"/>
      <c r="AD144" s="4"/>
      <c r="AE144" s="4"/>
      <c r="AF144" s="4"/>
      <c r="AG144" s="4"/>
      <c r="AH144" s="4"/>
      <c r="AI144" s="4"/>
      <c r="AJ144" s="4"/>
      <c r="AK144" s="4"/>
      <c r="AL144" s="4"/>
    </row>
    <row r="145" spans="1:38" ht="30" customHeight="1">
      <c r="A145" s="12"/>
      <c r="B145" s="4"/>
      <c r="C145" s="4"/>
      <c r="D145" s="4"/>
      <c r="E145" s="50"/>
      <c r="F145" s="50"/>
      <c r="G145" s="50"/>
      <c r="H145" s="50"/>
      <c r="I145" s="50"/>
      <c r="J145" s="50"/>
      <c r="K145" s="51"/>
      <c r="L145" s="51"/>
      <c r="M145" s="51"/>
      <c r="N145" s="51"/>
      <c r="O145" s="4"/>
      <c r="P145" s="4"/>
      <c r="Q145" s="4"/>
      <c r="R145" s="4"/>
      <c r="S145" s="4"/>
      <c r="T145" s="4"/>
      <c r="U145" s="4"/>
      <c r="V145" s="4"/>
      <c r="W145" s="4"/>
      <c r="X145" s="4"/>
      <c r="Y145" s="4"/>
      <c r="Z145" s="4"/>
      <c r="AA145" s="4"/>
      <c r="AB145" s="4"/>
      <c r="AC145" s="4"/>
      <c r="AD145" s="4"/>
      <c r="AE145" s="4"/>
      <c r="AF145" s="4"/>
      <c r="AG145" s="4"/>
      <c r="AH145" s="4"/>
      <c r="AI145" s="4"/>
      <c r="AJ145" s="4"/>
      <c r="AK145" s="4"/>
      <c r="AL145" s="4"/>
    </row>
    <row r="146" spans="1:38" ht="30" customHeight="1">
      <c r="A146" s="12"/>
      <c r="B146" s="4"/>
      <c r="C146" s="4"/>
      <c r="D146" s="4"/>
      <c r="E146" s="50"/>
      <c r="F146" s="50"/>
      <c r="G146" s="50"/>
      <c r="H146" s="50"/>
      <c r="I146" s="50"/>
      <c r="J146" s="50"/>
      <c r="K146" s="51"/>
      <c r="L146" s="51"/>
      <c r="M146" s="51"/>
      <c r="N146" s="51"/>
      <c r="O146" s="4"/>
      <c r="P146" s="4"/>
      <c r="Q146" s="4"/>
      <c r="R146" s="4"/>
      <c r="S146" s="4"/>
      <c r="T146" s="4"/>
      <c r="U146" s="4"/>
      <c r="V146" s="4"/>
      <c r="W146" s="4"/>
      <c r="X146" s="4"/>
      <c r="Y146" s="4"/>
      <c r="Z146" s="4"/>
      <c r="AA146" s="4"/>
      <c r="AB146" s="4"/>
      <c r="AC146" s="4"/>
      <c r="AD146" s="4"/>
      <c r="AE146" s="4"/>
      <c r="AF146" s="4"/>
      <c r="AG146" s="4"/>
      <c r="AH146" s="4"/>
      <c r="AI146" s="4"/>
      <c r="AJ146" s="4"/>
      <c r="AK146" s="4"/>
      <c r="AL146" s="4"/>
    </row>
    <row r="147" spans="1:38" ht="30" customHeight="1">
      <c r="A147" s="12"/>
      <c r="B147" s="4"/>
      <c r="C147" s="4"/>
      <c r="D147" s="4"/>
      <c r="E147" s="50"/>
      <c r="F147" s="50"/>
      <c r="G147" s="50"/>
      <c r="H147" s="50"/>
      <c r="I147" s="50"/>
      <c r="J147" s="50"/>
      <c r="K147" s="51"/>
      <c r="L147" s="51"/>
      <c r="M147" s="51"/>
      <c r="N147" s="51"/>
      <c r="O147" s="4"/>
      <c r="P147" s="4"/>
      <c r="Q147" s="4"/>
      <c r="R147" s="4"/>
      <c r="S147" s="4"/>
      <c r="T147" s="4"/>
      <c r="U147" s="4"/>
      <c r="V147" s="4"/>
      <c r="W147" s="4"/>
      <c r="X147" s="4"/>
      <c r="Y147" s="4"/>
      <c r="Z147" s="4"/>
      <c r="AA147" s="4"/>
      <c r="AB147" s="4"/>
      <c r="AC147" s="4"/>
      <c r="AD147" s="4"/>
      <c r="AE147" s="4"/>
      <c r="AF147" s="4"/>
      <c r="AG147" s="4"/>
      <c r="AH147" s="4"/>
      <c r="AI147" s="4"/>
      <c r="AJ147" s="4"/>
      <c r="AK147" s="4"/>
      <c r="AL147" s="4"/>
    </row>
    <row r="148" spans="1:38" ht="30" customHeight="1">
      <c r="A148" s="12"/>
      <c r="B148" s="4"/>
      <c r="C148" s="4"/>
      <c r="D148" s="4"/>
      <c r="E148" s="50"/>
      <c r="F148" s="50"/>
      <c r="G148" s="50"/>
      <c r="H148" s="50"/>
      <c r="I148" s="50"/>
      <c r="J148" s="50"/>
      <c r="K148" s="51"/>
      <c r="L148" s="51"/>
      <c r="M148" s="51"/>
      <c r="N148" s="51"/>
      <c r="O148" s="4"/>
      <c r="P148" s="4"/>
      <c r="Q148" s="4"/>
      <c r="R148" s="4"/>
      <c r="S148" s="4"/>
      <c r="T148" s="4"/>
      <c r="U148" s="4"/>
      <c r="V148" s="4"/>
      <c r="W148" s="4"/>
      <c r="X148" s="4"/>
      <c r="Y148" s="4"/>
      <c r="Z148" s="4"/>
      <c r="AA148" s="4"/>
      <c r="AB148" s="4"/>
      <c r="AC148" s="4"/>
      <c r="AD148" s="4"/>
      <c r="AE148" s="4"/>
      <c r="AF148" s="4"/>
      <c r="AG148" s="4"/>
      <c r="AH148" s="4"/>
      <c r="AI148" s="4"/>
      <c r="AJ148" s="4"/>
      <c r="AK148" s="4"/>
      <c r="AL148" s="4"/>
    </row>
    <row r="149" spans="1:38" ht="30" customHeight="1">
      <c r="A149" s="12"/>
      <c r="B149" s="4"/>
      <c r="C149" s="4"/>
      <c r="D149" s="4"/>
      <c r="E149" s="50"/>
      <c r="F149" s="50"/>
      <c r="G149" s="50"/>
      <c r="H149" s="50"/>
      <c r="I149" s="50"/>
      <c r="J149" s="50"/>
      <c r="K149" s="50"/>
      <c r="L149" s="50"/>
      <c r="M149" s="50"/>
      <c r="N149" s="50"/>
      <c r="O149" s="50"/>
      <c r="P149" s="4"/>
      <c r="Q149" s="4"/>
      <c r="R149" s="4"/>
      <c r="S149" s="4"/>
      <c r="T149" s="4"/>
      <c r="U149" s="4"/>
      <c r="V149" s="4"/>
      <c r="W149" s="4"/>
      <c r="X149" s="4"/>
      <c r="Y149" s="4"/>
      <c r="Z149" s="4"/>
      <c r="AA149" s="4"/>
      <c r="AB149" s="4"/>
      <c r="AC149" s="4"/>
      <c r="AD149" s="4"/>
      <c r="AE149" s="4"/>
      <c r="AF149" s="4"/>
      <c r="AG149" s="4"/>
      <c r="AH149" s="4"/>
      <c r="AI149" s="4"/>
      <c r="AJ149" s="4"/>
      <c r="AK149" s="4"/>
      <c r="AL149" s="4"/>
    </row>
    <row r="150" spans="1:38" ht="30" customHeight="1">
      <c r="A150" s="12"/>
      <c r="B150" s="4"/>
      <c r="C150" s="4"/>
      <c r="D150" s="4"/>
      <c r="E150" s="50"/>
      <c r="F150" s="50"/>
      <c r="G150" s="50"/>
      <c r="H150" s="50"/>
      <c r="I150" s="50"/>
      <c r="J150" s="50"/>
      <c r="K150" s="50"/>
      <c r="L150" s="50"/>
      <c r="M150" s="50"/>
      <c r="N150" s="50"/>
      <c r="O150" s="50"/>
      <c r="P150" s="50"/>
      <c r="Q150" s="50"/>
      <c r="R150" s="50"/>
      <c r="S150" s="50"/>
      <c r="T150" s="50"/>
      <c r="U150" s="50"/>
      <c r="V150" s="50"/>
      <c r="W150" s="50"/>
      <c r="X150" s="50"/>
      <c r="Y150" s="4"/>
      <c r="Z150" s="4"/>
      <c r="AA150" s="4"/>
      <c r="AB150" s="4"/>
      <c r="AC150" s="4"/>
      <c r="AD150" s="4"/>
      <c r="AE150" s="4"/>
      <c r="AF150" s="4"/>
      <c r="AG150" s="4"/>
      <c r="AH150" s="4"/>
      <c r="AI150" s="4"/>
      <c r="AJ150" s="4"/>
      <c r="AK150" s="4"/>
      <c r="AL150" s="4"/>
    </row>
    <row r="151" spans="1:38" ht="30" customHeight="1">
      <c r="A151" s="12"/>
      <c r="B151" s="4"/>
      <c r="C151" s="4"/>
      <c r="D151" s="4"/>
      <c r="E151" s="50"/>
      <c r="F151" s="50"/>
      <c r="G151" s="50"/>
      <c r="H151" s="50"/>
      <c r="I151" s="50"/>
      <c r="J151" s="50"/>
      <c r="K151" s="50"/>
      <c r="L151" s="50"/>
      <c r="M151" s="50"/>
      <c r="N151" s="50"/>
      <c r="O151" s="50"/>
      <c r="P151" s="50"/>
      <c r="Q151" s="50"/>
      <c r="R151" s="50"/>
      <c r="S151" s="50"/>
      <c r="T151" s="50"/>
      <c r="U151" s="50"/>
      <c r="V151" s="50"/>
      <c r="W151" s="50"/>
      <c r="X151" s="50"/>
      <c r="Y151" s="4"/>
      <c r="Z151" s="4"/>
      <c r="AA151" s="4"/>
      <c r="AB151" s="4"/>
      <c r="AC151" s="4"/>
      <c r="AD151" s="4"/>
      <c r="AE151" s="4"/>
      <c r="AF151" s="4"/>
      <c r="AG151" s="4"/>
      <c r="AH151" s="4"/>
      <c r="AI151" s="4"/>
      <c r="AJ151" s="4"/>
      <c r="AK151" s="4"/>
      <c r="AL151" s="4"/>
    </row>
    <row r="152" spans="1:38" ht="30" customHeight="1">
      <c r="A152" s="12"/>
      <c r="B152" s="4"/>
      <c r="C152" s="4"/>
      <c r="D152" s="4"/>
      <c r="E152" s="50"/>
      <c r="F152" s="50"/>
      <c r="G152" s="50"/>
      <c r="H152" s="50"/>
      <c r="I152" s="50"/>
      <c r="J152" s="50"/>
      <c r="K152" s="50"/>
      <c r="L152" s="50"/>
      <c r="M152" s="50"/>
      <c r="N152" s="50"/>
      <c r="O152" s="50"/>
      <c r="P152" s="50"/>
      <c r="Q152" s="50"/>
      <c r="R152" s="50"/>
      <c r="S152" s="50"/>
      <c r="T152" s="50"/>
      <c r="U152" s="50"/>
      <c r="V152" s="50"/>
      <c r="W152" s="50"/>
      <c r="X152" s="50"/>
      <c r="Y152" s="4"/>
      <c r="Z152" s="4"/>
      <c r="AA152" s="4"/>
      <c r="AB152" s="4"/>
      <c r="AC152" s="4"/>
      <c r="AD152" s="4"/>
      <c r="AE152" s="4"/>
      <c r="AF152" s="4"/>
      <c r="AG152" s="4"/>
      <c r="AH152" s="4"/>
      <c r="AI152" s="4"/>
      <c r="AJ152" s="4"/>
      <c r="AK152" s="4"/>
      <c r="AL152" s="4"/>
    </row>
    <row r="153" spans="1:38" ht="30" customHeight="1">
      <c r="A153" s="12"/>
      <c r="B153" s="4"/>
      <c r="C153" s="4"/>
      <c r="D153" s="4"/>
      <c r="E153" s="50"/>
      <c r="F153" s="50"/>
      <c r="G153" s="50"/>
      <c r="H153" s="50"/>
      <c r="I153" s="50"/>
      <c r="J153" s="50"/>
      <c r="K153" s="50"/>
      <c r="L153" s="50"/>
      <c r="M153" s="50"/>
      <c r="N153" s="50"/>
      <c r="O153" s="50"/>
      <c r="P153" s="50"/>
      <c r="Q153" s="50"/>
      <c r="R153" s="50"/>
      <c r="S153" s="50"/>
      <c r="T153" s="50"/>
      <c r="U153" s="50"/>
      <c r="V153" s="50"/>
      <c r="W153" s="50"/>
      <c r="X153" s="50"/>
      <c r="Y153" s="4"/>
      <c r="Z153" s="4"/>
      <c r="AA153" s="4"/>
      <c r="AB153" s="4"/>
      <c r="AC153" s="4"/>
      <c r="AD153" s="4"/>
      <c r="AE153" s="4"/>
      <c r="AF153" s="4"/>
      <c r="AG153" s="4"/>
      <c r="AH153" s="4"/>
      <c r="AI153" s="4"/>
      <c r="AJ153" s="4"/>
      <c r="AK153" s="4"/>
      <c r="AL153" s="4"/>
    </row>
    <row r="154" spans="1:38" ht="30" customHeight="1">
      <c r="A154" s="12"/>
      <c r="B154" s="4"/>
      <c r="C154" s="4"/>
      <c r="D154" s="4"/>
      <c r="E154" s="50"/>
      <c r="F154" s="50"/>
      <c r="G154" s="50"/>
      <c r="H154" s="50"/>
      <c r="I154" s="50"/>
      <c r="J154" s="50"/>
      <c r="K154" s="50"/>
      <c r="L154" s="50"/>
      <c r="M154" s="50"/>
      <c r="N154" s="50"/>
      <c r="O154" s="50"/>
      <c r="P154" s="50"/>
      <c r="Q154" s="50"/>
      <c r="R154" s="50"/>
      <c r="S154" s="50"/>
      <c r="T154" s="50"/>
      <c r="U154" s="50"/>
      <c r="V154" s="50"/>
      <c r="W154" s="50"/>
      <c r="X154" s="50"/>
      <c r="Y154" s="4"/>
      <c r="Z154" s="4"/>
      <c r="AA154" s="4"/>
      <c r="AB154" s="4"/>
      <c r="AC154" s="4"/>
      <c r="AD154" s="4"/>
      <c r="AE154" s="4"/>
      <c r="AF154" s="4"/>
      <c r="AG154" s="4"/>
      <c r="AH154" s="4"/>
      <c r="AI154" s="4"/>
      <c r="AJ154" s="4"/>
      <c r="AK154" s="4"/>
      <c r="AL154" s="4"/>
    </row>
    <row r="155" spans="1:38" ht="30" customHeight="1">
      <c r="A155" s="12"/>
      <c r="B155" s="4"/>
      <c r="C155" s="4"/>
      <c r="D155" s="4"/>
      <c r="E155" s="50"/>
      <c r="F155" s="50"/>
      <c r="G155" s="50"/>
      <c r="H155" s="50"/>
      <c r="I155" s="50"/>
      <c r="J155" s="50"/>
      <c r="K155" s="50"/>
      <c r="L155" s="50"/>
      <c r="M155" s="50"/>
      <c r="N155" s="50"/>
      <c r="O155" s="50"/>
      <c r="P155" s="50"/>
      <c r="Q155" s="50"/>
      <c r="R155" s="50"/>
      <c r="S155" s="50"/>
      <c r="T155" s="50"/>
      <c r="U155" s="50"/>
      <c r="V155" s="50"/>
      <c r="W155" s="50"/>
      <c r="X155" s="50"/>
      <c r="Y155" s="4"/>
      <c r="Z155" s="4"/>
      <c r="AA155" s="4"/>
      <c r="AB155" s="4"/>
      <c r="AC155" s="4"/>
      <c r="AD155" s="4"/>
      <c r="AE155" s="4"/>
      <c r="AF155" s="4"/>
      <c r="AG155" s="4"/>
      <c r="AH155" s="4"/>
      <c r="AI155" s="4"/>
      <c r="AJ155" s="4"/>
      <c r="AK155" s="4"/>
      <c r="AL155" s="4"/>
    </row>
    <row r="156" spans="1:38" ht="30" customHeight="1">
      <c r="A156" s="12"/>
      <c r="B156" s="4"/>
      <c r="C156" s="4"/>
      <c r="D156" s="4"/>
      <c r="E156" s="50"/>
      <c r="F156" s="50"/>
      <c r="G156" s="50"/>
      <c r="H156" s="50"/>
      <c r="I156" s="50"/>
      <c r="J156" s="50"/>
      <c r="K156" s="50"/>
      <c r="L156" s="50"/>
      <c r="M156" s="50"/>
      <c r="N156" s="50"/>
      <c r="O156" s="50"/>
      <c r="P156" s="50"/>
      <c r="Q156" s="50"/>
      <c r="R156" s="50"/>
      <c r="S156" s="50"/>
      <c r="T156" s="50"/>
      <c r="U156" s="50"/>
      <c r="V156" s="50"/>
      <c r="W156" s="50"/>
      <c r="X156" s="50"/>
      <c r="Y156" s="4"/>
      <c r="Z156" s="4"/>
      <c r="AA156" s="4"/>
      <c r="AB156" s="4"/>
      <c r="AC156" s="4"/>
      <c r="AD156" s="4"/>
      <c r="AE156" s="4"/>
      <c r="AF156" s="4"/>
      <c r="AG156" s="4"/>
      <c r="AH156" s="4"/>
      <c r="AI156" s="4"/>
      <c r="AJ156" s="4"/>
      <c r="AK156" s="4"/>
      <c r="AL156" s="4"/>
    </row>
    <row r="157" spans="1:38" ht="30" customHeight="1">
      <c r="A157" s="12"/>
      <c r="B157" s="4"/>
      <c r="C157" s="4"/>
      <c r="D157" s="4"/>
      <c r="E157" s="50"/>
      <c r="F157" s="50"/>
      <c r="G157" s="50"/>
      <c r="H157" s="50"/>
      <c r="I157" s="50"/>
      <c r="J157" s="50"/>
      <c r="K157" s="50"/>
      <c r="L157" s="50"/>
      <c r="M157" s="50"/>
      <c r="N157" s="50"/>
      <c r="O157" s="50"/>
      <c r="P157" s="50"/>
      <c r="Q157" s="50"/>
      <c r="R157" s="50"/>
      <c r="S157" s="50"/>
      <c r="T157" s="50"/>
      <c r="U157" s="50"/>
      <c r="V157" s="50"/>
      <c r="W157" s="50"/>
      <c r="X157" s="50"/>
      <c r="Y157" s="4"/>
      <c r="Z157" s="4"/>
      <c r="AA157" s="4"/>
      <c r="AB157" s="4"/>
      <c r="AC157" s="4"/>
      <c r="AD157" s="4"/>
      <c r="AE157" s="4"/>
      <c r="AF157" s="4"/>
      <c r="AG157" s="4"/>
      <c r="AH157" s="4"/>
      <c r="AI157" s="4"/>
      <c r="AJ157" s="4"/>
      <c r="AK157" s="4"/>
      <c r="AL157" s="4"/>
    </row>
    <row r="158" spans="1:38" ht="30" customHeight="1">
      <c r="A158" s="12"/>
      <c r="B158" s="4"/>
      <c r="C158" s="4"/>
      <c r="D158" s="4"/>
      <c r="E158" s="50"/>
      <c r="F158" s="50"/>
      <c r="G158" s="50"/>
      <c r="H158" s="50"/>
      <c r="I158" s="50"/>
      <c r="J158" s="50"/>
      <c r="K158" s="50"/>
      <c r="L158" s="50"/>
      <c r="M158" s="50"/>
      <c r="N158" s="50"/>
      <c r="O158" s="50"/>
      <c r="P158" s="50"/>
      <c r="Q158" s="50"/>
      <c r="R158" s="50"/>
      <c r="S158" s="50"/>
      <c r="T158" s="50"/>
      <c r="U158" s="50"/>
      <c r="V158" s="50"/>
      <c r="W158" s="50"/>
      <c r="X158" s="50"/>
      <c r="Y158" s="4"/>
      <c r="Z158" s="4"/>
      <c r="AA158" s="4"/>
      <c r="AB158" s="4"/>
      <c r="AC158" s="4"/>
      <c r="AD158" s="4"/>
      <c r="AE158" s="4"/>
      <c r="AF158" s="4"/>
      <c r="AG158" s="4"/>
      <c r="AH158" s="4"/>
      <c r="AI158" s="4"/>
      <c r="AJ158" s="4"/>
      <c r="AK158" s="4"/>
      <c r="AL158" s="4"/>
    </row>
    <row r="159" spans="1:38" ht="30" customHeight="1">
      <c r="A159" s="12"/>
      <c r="B159" s="4"/>
      <c r="C159" s="4"/>
      <c r="D159" s="4"/>
      <c r="E159" s="50"/>
      <c r="F159" s="50"/>
      <c r="G159" s="50"/>
      <c r="H159" s="50"/>
      <c r="I159" s="50"/>
      <c r="J159" s="50"/>
      <c r="K159" s="50"/>
      <c r="L159" s="50"/>
      <c r="M159" s="50"/>
      <c r="N159" s="50"/>
      <c r="O159" s="50"/>
      <c r="P159" s="50"/>
      <c r="Q159" s="50"/>
      <c r="R159" s="50"/>
      <c r="S159" s="50"/>
      <c r="T159" s="50"/>
      <c r="U159" s="50"/>
      <c r="V159" s="50"/>
      <c r="W159" s="50"/>
      <c r="X159" s="50"/>
      <c r="Y159" s="4"/>
      <c r="Z159" s="4"/>
      <c r="AA159" s="4"/>
      <c r="AB159" s="4"/>
      <c r="AC159" s="4"/>
      <c r="AD159" s="4"/>
      <c r="AE159" s="4"/>
      <c r="AF159" s="4"/>
      <c r="AG159" s="4"/>
      <c r="AH159" s="4"/>
      <c r="AI159" s="4"/>
      <c r="AJ159" s="4"/>
      <c r="AK159" s="4"/>
      <c r="AL159" s="4"/>
    </row>
    <row r="160" spans="1:38" ht="30" customHeight="1">
      <c r="A160" s="12"/>
      <c r="B160" s="4"/>
      <c r="C160" s="4"/>
      <c r="D160" s="4"/>
      <c r="E160" s="50"/>
      <c r="F160" s="50"/>
      <c r="G160" s="50"/>
      <c r="H160" s="50"/>
      <c r="I160" s="50"/>
      <c r="J160" s="50"/>
      <c r="K160" s="50"/>
      <c r="L160" s="50"/>
      <c r="M160" s="50"/>
      <c r="N160" s="50"/>
      <c r="O160" s="50"/>
      <c r="P160" s="50"/>
      <c r="Q160" s="50"/>
      <c r="R160" s="50"/>
      <c r="S160" s="50"/>
      <c r="T160" s="50"/>
      <c r="U160" s="50"/>
      <c r="V160" s="50"/>
      <c r="W160" s="50"/>
      <c r="X160" s="50"/>
      <c r="Y160" s="4"/>
      <c r="Z160" s="4"/>
      <c r="AA160" s="4"/>
      <c r="AB160" s="4"/>
      <c r="AC160" s="4"/>
      <c r="AD160" s="4"/>
      <c r="AE160" s="4"/>
      <c r="AF160" s="4"/>
      <c r="AG160" s="4"/>
      <c r="AH160" s="4"/>
      <c r="AI160" s="4"/>
      <c r="AJ160" s="4"/>
      <c r="AK160" s="4"/>
      <c r="AL160" s="4"/>
    </row>
    <row r="161" spans="1:39" ht="30" customHeight="1">
      <c r="A161" s="12"/>
      <c r="B161" s="4"/>
      <c r="C161" s="4"/>
      <c r="D161" s="4"/>
      <c r="E161" s="50"/>
      <c r="F161" s="50"/>
      <c r="G161" s="50"/>
      <c r="H161" s="50"/>
      <c r="I161" s="50"/>
      <c r="J161" s="50"/>
      <c r="K161" s="50"/>
      <c r="L161" s="50"/>
      <c r="M161" s="50"/>
      <c r="N161" s="50"/>
      <c r="O161" s="50"/>
      <c r="P161" s="50"/>
      <c r="Q161" s="50"/>
      <c r="R161" s="50"/>
      <c r="S161" s="50"/>
      <c r="T161" s="50"/>
      <c r="U161" s="50"/>
      <c r="V161" s="50"/>
      <c r="W161" s="50"/>
      <c r="X161" s="50"/>
      <c r="Y161" s="4"/>
      <c r="Z161" s="4"/>
      <c r="AA161" s="4"/>
      <c r="AB161" s="4"/>
      <c r="AC161" s="4"/>
      <c r="AD161" s="4"/>
      <c r="AE161" s="4"/>
      <c r="AF161" s="4"/>
      <c r="AG161" s="4"/>
      <c r="AH161" s="4"/>
      <c r="AI161" s="4"/>
      <c r="AJ161" s="4"/>
      <c r="AK161" s="4"/>
      <c r="AL161" s="4"/>
    </row>
    <row r="162" spans="1:39" ht="30" customHeight="1">
      <c r="A162" s="12"/>
      <c r="B162" s="4"/>
      <c r="C162" s="4"/>
      <c r="D162" s="4"/>
      <c r="E162" s="50"/>
      <c r="F162" s="50"/>
      <c r="G162" s="50"/>
      <c r="H162" s="50"/>
      <c r="I162" s="50"/>
      <c r="J162" s="50"/>
      <c r="K162" s="50"/>
      <c r="L162" s="50"/>
      <c r="M162" s="50"/>
      <c r="N162" s="50"/>
      <c r="O162" s="50"/>
      <c r="P162" s="50"/>
      <c r="Q162" s="50"/>
      <c r="R162" s="50"/>
      <c r="S162" s="50"/>
      <c r="T162" s="50"/>
      <c r="U162" s="50"/>
      <c r="V162" s="50"/>
      <c r="W162" s="50"/>
      <c r="X162" s="50"/>
      <c r="Y162" s="4"/>
      <c r="Z162" s="4"/>
      <c r="AA162" s="4"/>
      <c r="AB162" s="4"/>
      <c r="AC162" s="4"/>
      <c r="AD162" s="4"/>
      <c r="AE162" s="4"/>
      <c r="AF162" s="4"/>
      <c r="AG162" s="4"/>
      <c r="AH162" s="4"/>
      <c r="AI162" s="4"/>
      <c r="AJ162" s="4"/>
      <c r="AK162" s="4"/>
      <c r="AL162" s="4"/>
    </row>
    <row r="163" spans="1:39" ht="30" customHeight="1">
      <c r="A163" s="12"/>
      <c r="B163" s="4"/>
      <c r="C163" s="4"/>
      <c r="D163" s="4"/>
      <c r="P163" s="50"/>
      <c r="Q163" s="50"/>
      <c r="R163" s="50"/>
      <c r="S163" s="50"/>
      <c r="T163" s="50"/>
      <c r="U163" s="50"/>
      <c r="V163" s="50"/>
      <c r="W163" s="50"/>
      <c r="X163" s="50"/>
      <c r="Y163" s="4"/>
      <c r="Z163" s="4"/>
      <c r="AA163" s="4"/>
      <c r="AB163" s="4"/>
      <c r="AC163" s="4"/>
      <c r="AD163" s="4"/>
      <c r="AE163" s="4"/>
      <c r="AF163" s="4"/>
      <c r="AG163" s="4"/>
      <c r="AH163" s="4"/>
      <c r="AI163" s="4"/>
      <c r="AJ163" s="4"/>
      <c r="AK163" s="4"/>
      <c r="AL163" s="4"/>
    </row>
    <row r="164" spans="1:39" ht="30" customHeight="1">
      <c r="A164" s="12"/>
      <c r="B164" s="4"/>
      <c r="C164" s="4"/>
      <c r="D164" s="4"/>
      <c r="Y164" s="4"/>
      <c r="Z164" s="4"/>
      <c r="AA164" s="4"/>
      <c r="AB164" s="4"/>
      <c r="AC164" s="4"/>
      <c r="AD164" s="4"/>
      <c r="AE164" s="4"/>
      <c r="AF164" s="4"/>
      <c r="AG164" s="4"/>
      <c r="AH164" s="4"/>
      <c r="AI164" s="4"/>
      <c r="AJ164" s="4"/>
      <c r="AK164" s="4"/>
      <c r="AL164" s="4"/>
    </row>
    <row r="165" spans="1:39" ht="30" customHeight="1">
      <c r="A165" s="12"/>
      <c r="B165" s="4"/>
      <c r="C165" s="4"/>
      <c r="D165" s="4"/>
      <c r="Y165" s="4"/>
      <c r="Z165" s="4"/>
      <c r="AA165" s="4"/>
      <c r="AB165" s="4"/>
      <c r="AC165" s="4"/>
      <c r="AD165" s="4"/>
      <c r="AE165" s="4"/>
      <c r="AF165" s="4"/>
      <c r="AG165" s="4"/>
      <c r="AH165" s="4"/>
      <c r="AI165" s="4"/>
      <c r="AJ165" s="4"/>
      <c r="AK165" s="4"/>
      <c r="AL165" s="4"/>
    </row>
    <row r="166" spans="1:39" ht="30" customHeight="1">
      <c r="A166" s="12"/>
      <c r="B166" s="4"/>
      <c r="C166" s="4"/>
      <c r="D166" s="4"/>
      <c r="Y166" s="4"/>
      <c r="Z166" s="4"/>
      <c r="AA166" s="50"/>
      <c r="AB166" s="50"/>
      <c r="AC166" s="50"/>
      <c r="AD166" s="50"/>
      <c r="AE166" s="50"/>
      <c r="AF166" s="50"/>
      <c r="AG166" s="50"/>
      <c r="AH166" s="50"/>
      <c r="AI166" s="50"/>
      <c r="AJ166" s="50"/>
      <c r="AK166" s="50"/>
      <c r="AL166" s="50"/>
    </row>
    <row r="167" spans="1:39" ht="30" customHeight="1">
      <c r="A167" s="12"/>
      <c r="B167" s="4"/>
      <c r="C167" s="4"/>
      <c r="D167" s="4"/>
      <c r="Y167" s="4"/>
      <c r="Z167" s="4"/>
      <c r="AA167" s="50"/>
      <c r="AB167" s="50"/>
      <c r="AC167" s="50"/>
      <c r="AD167" s="50"/>
      <c r="AE167" s="50"/>
      <c r="AF167" s="50"/>
      <c r="AG167" s="50"/>
      <c r="AH167" s="50"/>
      <c r="AI167" s="50"/>
      <c r="AJ167" s="50"/>
      <c r="AK167" s="50"/>
      <c r="AL167" s="50"/>
    </row>
    <row r="168" spans="1:39" ht="30" customHeight="1">
      <c r="A168" s="12"/>
      <c r="B168" s="4"/>
      <c r="C168" s="4"/>
      <c r="D168" s="4"/>
      <c r="Y168" s="4"/>
      <c r="Z168" s="50"/>
      <c r="AA168" s="50"/>
      <c r="AB168" s="50"/>
      <c r="AC168" s="50"/>
      <c r="AD168" s="50"/>
      <c r="AE168" s="50"/>
      <c r="AF168" s="50"/>
      <c r="AG168" s="50"/>
      <c r="AH168" s="50"/>
      <c r="AI168" s="50"/>
      <c r="AJ168" s="50"/>
      <c r="AK168" s="50"/>
      <c r="AL168" s="50"/>
    </row>
    <row r="169" spans="1:39" ht="30" customHeight="1">
      <c r="A169" s="12"/>
      <c r="B169" s="4"/>
      <c r="C169" s="4"/>
      <c r="D169" s="4"/>
      <c r="Y169" s="4"/>
      <c r="Z169" s="50"/>
      <c r="AA169" s="50"/>
      <c r="AB169" s="50"/>
      <c r="AC169" s="50"/>
      <c r="AD169" s="50"/>
      <c r="AE169" s="50"/>
      <c r="AF169" s="50"/>
      <c r="AG169" s="50"/>
      <c r="AH169" s="50"/>
      <c r="AI169" s="50"/>
      <c r="AJ169" s="50"/>
      <c r="AK169" s="50"/>
      <c r="AL169" s="50"/>
    </row>
    <row r="170" spans="1:39" ht="30" customHeight="1">
      <c r="A170" s="12"/>
      <c r="B170" s="4"/>
      <c r="C170" s="4"/>
      <c r="D170" s="4"/>
      <c r="Y170" s="4"/>
      <c r="Z170" s="50"/>
      <c r="AA170" s="50"/>
      <c r="AB170" s="50"/>
      <c r="AC170" s="50"/>
      <c r="AD170" s="50"/>
      <c r="AE170" s="50"/>
      <c r="AF170" s="50"/>
      <c r="AG170" s="50"/>
      <c r="AH170" s="50"/>
      <c r="AI170" s="50"/>
      <c r="AJ170" s="50"/>
      <c r="AK170" s="50"/>
      <c r="AL170" s="50"/>
    </row>
    <row r="171" spans="1:39" ht="30" customHeight="1">
      <c r="A171" s="12"/>
      <c r="B171" s="4"/>
      <c r="C171" s="4"/>
      <c r="D171" s="4"/>
      <c r="Y171" s="4"/>
      <c r="Z171" s="50"/>
      <c r="AA171" s="50"/>
      <c r="AB171" s="50"/>
      <c r="AC171" s="50"/>
      <c r="AD171" s="50"/>
      <c r="AE171" s="50"/>
      <c r="AF171" s="50"/>
      <c r="AG171" s="50"/>
      <c r="AH171" s="50"/>
      <c r="AI171" s="50"/>
      <c r="AJ171" s="50"/>
      <c r="AK171" s="50"/>
      <c r="AL171" s="50"/>
    </row>
    <row r="172" spans="1:39" ht="30" customHeight="1">
      <c r="A172" s="12"/>
      <c r="B172" s="4"/>
      <c r="C172" s="4"/>
      <c r="D172" s="4"/>
      <c r="Y172" s="50"/>
      <c r="Z172" s="50"/>
      <c r="AA172" s="50"/>
      <c r="AB172" s="50"/>
      <c r="AC172" s="50"/>
      <c r="AD172" s="50"/>
      <c r="AE172" s="50"/>
      <c r="AF172" s="50"/>
      <c r="AG172" s="50"/>
      <c r="AH172" s="50"/>
      <c r="AI172" s="50"/>
      <c r="AJ172" s="50"/>
      <c r="AK172" s="50"/>
      <c r="AL172" s="50"/>
    </row>
    <row r="173" spans="1:39" s="3" customFormat="1" ht="30" customHeight="1">
      <c r="A173" s="12"/>
      <c r="B173" s="4"/>
      <c r="C173" s="4"/>
      <c r="D173" s="4"/>
      <c r="E173" s="5"/>
      <c r="F173" s="5"/>
      <c r="G173" s="5"/>
      <c r="H173" s="5"/>
      <c r="I173" s="5"/>
      <c r="J173" s="5"/>
      <c r="K173" s="5"/>
      <c r="L173" s="5"/>
      <c r="M173" s="5"/>
      <c r="N173" s="5"/>
      <c r="O173" s="5"/>
      <c r="P173" s="5"/>
      <c r="Q173" s="5"/>
      <c r="R173" s="5"/>
      <c r="S173" s="5"/>
      <c r="T173" s="5"/>
      <c r="U173" s="5"/>
      <c r="V173" s="5"/>
      <c r="W173" s="5"/>
      <c r="X173" s="5"/>
      <c r="Y173" s="50"/>
      <c r="Z173" s="50"/>
      <c r="AA173" s="50"/>
      <c r="AB173" s="50"/>
      <c r="AC173" s="50"/>
      <c r="AD173" s="50"/>
      <c r="AE173" s="50"/>
      <c r="AF173" s="50"/>
      <c r="AG173" s="50"/>
      <c r="AH173" s="50"/>
      <c r="AI173" s="50"/>
      <c r="AJ173" s="50"/>
      <c r="AK173" s="50"/>
      <c r="AL173" s="50"/>
      <c r="AM173" s="5"/>
    </row>
    <row r="174" spans="1:39" s="3" customFormat="1" ht="30" customHeight="1">
      <c r="A174" s="12"/>
      <c r="B174" s="4"/>
      <c r="C174" s="4"/>
      <c r="D174" s="4"/>
      <c r="E174" s="5"/>
      <c r="F174" s="5"/>
      <c r="G174" s="5"/>
      <c r="H174" s="5"/>
      <c r="I174" s="5"/>
      <c r="J174" s="5"/>
      <c r="K174" s="5"/>
      <c r="L174" s="5"/>
      <c r="M174" s="5"/>
      <c r="N174" s="5"/>
      <c r="O174" s="5"/>
      <c r="P174" s="5"/>
      <c r="Q174" s="5"/>
      <c r="R174" s="5"/>
      <c r="S174" s="5"/>
      <c r="T174" s="5"/>
      <c r="U174" s="5"/>
      <c r="V174" s="5"/>
      <c r="W174" s="5"/>
      <c r="X174" s="5"/>
      <c r="Y174" s="50"/>
      <c r="Z174" s="50"/>
      <c r="AA174" s="50"/>
      <c r="AB174" s="50"/>
      <c r="AC174" s="50"/>
      <c r="AD174" s="50"/>
      <c r="AE174" s="50"/>
      <c r="AF174" s="50"/>
      <c r="AG174" s="50"/>
      <c r="AH174" s="50"/>
      <c r="AI174" s="50"/>
      <c r="AJ174" s="50"/>
      <c r="AK174" s="50"/>
      <c r="AL174" s="50"/>
      <c r="AM174" s="5"/>
    </row>
    <row r="175" spans="1:39" s="3" customFormat="1" ht="30" customHeight="1">
      <c r="A175" s="12"/>
      <c r="B175" s="4"/>
      <c r="C175" s="4"/>
      <c r="D175" s="4"/>
      <c r="E175" s="5"/>
      <c r="F175" s="5"/>
      <c r="G175" s="5"/>
      <c r="H175" s="5"/>
      <c r="I175" s="5"/>
      <c r="J175" s="5"/>
      <c r="K175" s="5"/>
      <c r="L175" s="5"/>
      <c r="M175" s="5"/>
      <c r="N175" s="5"/>
      <c r="O175" s="5"/>
      <c r="P175" s="5"/>
      <c r="Q175" s="5"/>
      <c r="R175" s="5"/>
      <c r="S175" s="5"/>
      <c r="T175" s="5"/>
      <c r="U175" s="5"/>
      <c r="V175" s="5"/>
      <c r="W175" s="5"/>
      <c r="X175" s="5"/>
      <c r="Y175" s="50"/>
      <c r="Z175" s="50"/>
      <c r="AA175" s="50"/>
      <c r="AB175" s="50"/>
      <c r="AC175" s="50"/>
      <c r="AD175" s="50"/>
      <c r="AE175" s="50"/>
      <c r="AF175" s="50"/>
      <c r="AG175" s="50"/>
      <c r="AH175" s="50"/>
      <c r="AI175" s="50"/>
      <c r="AJ175" s="50"/>
      <c r="AK175" s="50"/>
      <c r="AL175" s="50"/>
      <c r="AM175" s="5"/>
    </row>
    <row r="176" spans="1:39" s="3" customFormat="1" ht="30" customHeight="1">
      <c r="B176" s="4"/>
      <c r="C176" s="4"/>
      <c r="D176" s="4"/>
      <c r="E176" s="5"/>
      <c r="F176" s="5"/>
      <c r="G176" s="5"/>
      <c r="H176" s="5"/>
      <c r="I176" s="5"/>
      <c r="J176" s="5"/>
      <c r="K176" s="5"/>
      <c r="L176" s="5"/>
      <c r="M176" s="5"/>
      <c r="N176" s="5"/>
      <c r="O176" s="5"/>
      <c r="P176" s="5"/>
      <c r="Q176" s="5"/>
      <c r="R176" s="5"/>
      <c r="S176" s="5"/>
      <c r="T176" s="5"/>
      <c r="U176" s="5"/>
      <c r="V176" s="5"/>
      <c r="W176" s="5"/>
      <c r="X176" s="5"/>
      <c r="Y176" s="50"/>
      <c r="Z176" s="50"/>
      <c r="AA176" s="50"/>
      <c r="AB176" s="50"/>
      <c r="AC176" s="50"/>
      <c r="AD176" s="50"/>
      <c r="AE176" s="50"/>
      <c r="AF176" s="50"/>
      <c r="AG176" s="50"/>
      <c r="AH176" s="50"/>
      <c r="AI176" s="50"/>
      <c r="AJ176" s="50"/>
      <c r="AK176" s="50"/>
      <c r="AL176" s="50"/>
      <c r="AM176" s="5"/>
    </row>
    <row r="177" spans="2:39" s="3" customFormat="1" ht="30" customHeight="1">
      <c r="B177" s="4"/>
      <c r="C177" s="4"/>
      <c r="D177" s="4"/>
      <c r="E177" s="5"/>
      <c r="F177" s="5"/>
      <c r="G177" s="5"/>
      <c r="H177" s="5"/>
      <c r="I177" s="5"/>
      <c r="J177" s="5"/>
      <c r="K177" s="5"/>
      <c r="L177" s="5"/>
      <c r="M177" s="5"/>
      <c r="N177" s="5"/>
      <c r="O177" s="5"/>
      <c r="P177" s="5"/>
      <c r="Q177" s="5"/>
      <c r="R177" s="5"/>
      <c r="S177" s="5"/>
      <c r="T177" s="5"/>
      <c r="U177" s="5"/>
      <c r="V177" s="5"/>
      <c r="W177" s="5"/>
      <c r="X177" s="5"/>
      <c r="Y177" s="50"/>
      <c r="Z177" s="50"/>
      <c r="AA177" s="50"/>
      <c r="AB177" s="50"/>
      <c r="AC177" s="50"/>
      <c r="AD177" s="50"/>
      <c r="AE177" s="50"/>
      <c r="AF177" s="50"/>
      <c r="AG177" s="50"/>
      <c r="AH177" s="50"/>
      <c r="AI177" s="50"/>
      <c r="AJ177" s="50"/>
      <c r="AK177" s="50"/>
      <c r="AL177" s="50"/>
      <c r="AM177" s="5"/>
    </row>
    <row r="178" spans="2:39" s="3" customFormat="1" ht="30" customHeight="1">
      <c r="B178" s="4"/>
      <c r="C178" s="4"/>
      <c r="D178" s="4"/>
      <c r="E178" s="5"/>
      <c r="F178" s="5"/>
      <c r="G178" s="5"/>
      <c r="H178" s="5"/>
      <c r="I178" s="5"/>
      <c r="J178" s="5"/>
      <c r="K178" s="5"/>
      <c r="L178" s="5"/>
      <c r="M178" s="5"/>
      <c r="N178" s="5"/>
      <c r="O178" s="5"/>
      <c r="P178" s="5"/>
      <c r="Q178" s="5"/>
      <c r="R178" s="5"/>
      <c r="S178" s="5"/>
      <c r="T178" s="5"/>
      <c r="U178" s="5"/>
      <c r="V178" s="5"/>
      <c r="W178" s="5"/>
      <c r="X178" s="5"/>
      <c r="Y178" s="50"/>
      <c r="Z178" s="50"/>
      <c r="AA178" s="50"/>
      <c r="AB178" s="50"/>
      <c r="AC178" s="50"/>
      <c r="AD178" s="50"/>
      <c r="AE178" s="50"/>
      <c r="AF178" s="50"/>
      <c r="AG178" s="50"/>
      <c r="AH178" s="50"/>
      <c r="AI178" s="50"/>
      <c r="AJ178" s="50"/>
      <c r="AK178" s="50"/>
      <c r="AL178" s="50"/>
      <c r="AM178" s="5"/>
    </row>
    <row r="179" spans="2:39" s="3" customFormat="1" ht="30" customHeight="1">
      <c r="B179" s="4"/>
      <c r="C179" s="4"/>
      <c r="D179" s="4"/>
      <c r="E179" s="5"/>
      <c r="F179" s="5"/>
      <c r="G179" s="5"/>
      <c r="H179" s="5"/>
      <c r="I179" s="5"/>
      <c r="J179" s="5"/>
      <c r="K179" s="5"/>
      <c r="L179" s="5"/>
      <c r="M179" s="5"/>
      <c r="N179" s="5"/>
      <c r="O179" s="5"/>
      <c r="P179" s="5"/>
      <c r="Q179" s="5"/>
      <c r="R179" s="5"/>
      <c r="S179" s="5"/>
      <c r="T179" s="5"/>
      <c r="U179" s="5"/>
      <c r="V179" s="5"/>
      <c r="W179" s="5"/>
      <c r="X179" s="5"/>
      <c r="Y179" s="50"/>
      <c r="Z179" s="50"/>
      <c r="AA179" s="50"/>
      <c r="AB179" s="50"/>
      <c r="AC179" s="50"/>
      <c r="AD179" s="50"/>
      <c r="AE179" s="50"/>
      <c r="AF179" s="50"/>
      <c r="AG179" s="50"/>
      <c r="AH179" s="50"/>
      <c r="AI179" s="50"/>
      <c r="AJ179" s="50"/>
      <c r="AK179" s="50"/>
      <c r="AL179" s="50"/>
      <c r="AM179" s="5"/>
    </row>
    <row r="180" spans="2:39" ht="0" hidden="1" customHeight="1">
      <c r="Y180" s="50"/>
      <c r="Z180" s="50"/>
    </row>
    <row r="181" spans="2:39" ht="0" hidden="1" customHeight="1">
      <c r="Y181" s="50"/>
      <c r="Z181" s="50"/>
    </row>
    <row r="182" spans="2:39" ht="0" hidden="1" customHeight="1">
      <c r="Y182" s="50"/>
    </row>
    <row r="183" spans="2:39" ht="0" hidden="1" customHeight="1">
      <c r="Y183" s="50"/>
    </row>
    <row r="184" spans="2:39" ht="0" hidden="1" customHeight="1">
      <c r="Y184" s="50"/>
    </row>
    <row r="185" spans="2:39" ht="0" hidden="1" customHeight="1">
      <c r="Y185" s="50"/>
    </row>
  </sheetData>
  <mergeCells count="26">
    <mergeCell ref="E28:J28"/>
    <mergeCell ref="E30:J30"/>
    <mergeCell ref="L3:V5"/>
    <mergeCell ref="I9:J9"/>
    <mergeCell ref="E10:J10"/>
    <mergeCell ref="E11:J11"/>
    <mergeCell ref="E27:J27"/>
    <mergeCell ref="E16:J16"/>
    <mergeCell ref="E17:J17"/>
    <mergeCell ref="E18:J18"/>
    <mergeCell ref="E15:J15"/>
    <mergeCell ref="E64:J64"/>
    <mergeCell ref="E65:J65"/>
    <mergeCell ref="E63:J63"/>
    <mergeCell ref="E32:J32"/>
    <mergeCell ref="E29:J29"/>
    <mergeCell ref="E36:J36"/>
    <mergeCell ref="E37:J37"/>
    <mergeCell ref="E44:J44"/>
    <mergeCell ref="E53:J53"/>
    <mergeCell ref="E62:J62"/>
    <mergeCell ref="E55:J55"/>
    <mergeCell ref="E56:J56"/>
    <mergeCell ref="E54:J54"/>
    <mergeCell ref="E38:J38"/>
    <mergeCell ref="E39:J39"/>
  </mergeCells>
  <conditionalFormatting sqref="A1:W1 X1:XFD5 V2:W2 A2:J5 W3:W5 AA6:XFD7 B9:X11 Y9:AG12 D12:X12 B12:J15 K13:AG14 K15:X15 Y15:AG31 B16:D1048576 A29:A34 Y32:Y33 Z32:AG42 S42:Y42 A42:A1048576 S43:Z43 AA43:AG48 U44:Z48 K45:T48 S49:AG51 T52:AG52 S52:S56 U53:AG57 K54:R56 K57:T57 E58:Y58 Z58:AG60 S59:Y60 S61:Z61 AA61:AG66 S62:S66 U62:Z66 K63:R65 K66:S66 E85:XFD1048576 E67:AG84 B8:AG8 AH8:XFD84">
    <cfRule type="cellIs" dxfId="33" priority="54" operator="equal">
      <formula>0</formula>
    </cfRule>
  </conditionalFormatting>
  <conditionalFormatting sqref="A6:Z7">
    <cfRule type="cellIs" dxfId="32" priority="37" operator="equal">
      <formula>0</formula>
    </cfRule>
  </conditionalFormatting>
  <conditionalFormatting sqref="E13">
    <cfRule type="cellIs" dxfId="31" priority="50" operator="equal">
      <formula>0</formula>
    </cfRule>
  </conditionalFormatting>
  <conditionalFormatting sqref="E16:E19">
    <cfRule type="cellIs" dxfId="30" priority="32" operator="equal">
      <formula>0</formula>
    </cfRule>
  </conditionalFormatting>
  <conditionalFormatting sqref="E27:E31">
    <cfRule type="cellIs" dxfId="29" priority="29" operator="equal">
      <formula>0</formula>
    </cfRule>
  </conditionalFormatting>
  <conditionalFormatting sqref="E42:R44">
    <cfRule type="cellIs" dxfId="28" priority="14" operator="equal">
      <formula>0</formula>
    </cfRule>
  </conditionalFormatting>
  <conditionalFormatting sqref="E49:R53">
    <cfRule type="cellIs" dxfId="27" priority="13" operator="equal">
      <formula>0</formula>
    </cfRule>
  </conditionalFormatting>
  <conditionalFormatting sqref="E59:R62">
    <cfRule type="cellIs" dxfId="26" priority="12" operator="equal">
      <formula>0</formula>
    </cfRule>
  </conditionalFormatting>
  <conditionalFormatting sqref="E16:X33 E34:Y41">
    <cfRule type="cellIs" dxfId="25" priority="10" operator="equal">
      <formula>0</formula>
    </cfRule>
  </conditionalFormatting>
  <conditionalFormatting sqref="S44:T44">
    <cfRule type="cellIs" dxfId="24" priority="5" operator="equal">
      <formula>0</formula>
    </cfRule>
  </conditionalFormatting>
  <conditionalFormatting sqref="T53:T58">
    <cfRule type="cellIs" dxfId="23" priority="2" operator="equal">
      <formula>0</formula>
    </cfRule>
  </conditionalFormatting>
  <conditionalFormatting sqref="T62:T67">
    <cfRule type="cellIs" dxfId="22" priority="1" operator="equal">
      <formula>0</formula>
    </cfRule>
  </conditionalFormatting>
  <hyperlinks>
    <hyperlink ref="A18" location="Processos!A1" display="Processos" xr:uid="{98A316BD-0CA6-4494-AE02-C015CEFEFA1B}"/>
    <hyperlink ref="A8" location="Dashboard!A1" display="Dashboard" xr:uid="{774167C4-2C08-4429-BAEC-2611E48BA2DC}"/>
    <hyperlink ref="A9" location="WACC!A1" display="WACC" xr:uid="{2B5FB2A3-1361-4D73-ABE5-4DBE9B2123E7}"/>
    <hyperlink ref="A11" location="'DRE + DCF'!A1" display="DRE + DCF" xr:uid="{80353A14-B9F3-40C1-B449-A236C4EE801A}"/>
    <hyperlink ref="A12" location="'DRE - Contas Abertas'!A1" display="DRE - Contas Abertas" xr:uid="{6C84A133-88B5-4192-B0EA-3816BAF1BD7B}"/>
    <hyperlink ref="A13" location="'Balanço Patrimonial'!A1" display="Balanço Patrimonial" xr:uid="{170EB93D-6EA6-41DA-A6AC-435F8D9A8298}"/>
    <hyperlink ref="A14" location="'Painel de Índices'!A1" display="Projeções - Receita" xr:uid="{3D4256BC-D7D4-4E40-B43A-5C2EF79191A3}"/>
    <hyperlink ref="A10" location="'DRE Consolidado'!A1" display="DRE Consolidado" xr:uid="{EE86DEC9-BF4A-440A-B7C1-FFFAC167709E}"/>
    <hyperlink ref="A15" location="'Projeções - Receita e EBIT'!A1" display="Projeções - Receita" xr:uid="{3A74F240-177A-493C-AC68-5335DEEE4714}"/>
    <hyperlink ref="A17" location="'Projeções 2023'!A1" display="Projeções 2022" xr:uid="{1DD601D9-9BF5-4098-8CDB-829AA854CFAC}"/>
  </hyperlinks>
  <pageMargins left="0.511811024" right="0.511811024" top="0.78740157499999996" bottom="0.78740157499999996" header="0.31496062000000002" footer="0.31496062000000002"/>
  <pageSetup paperSize="9"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784B4-0645-482A-9265-7AB44439AD1E}">
  <sheetPr codeName="Sheet5"/>
  <dimension ref="A1:CC159"/>
  <sheetViews>
    <sheetView showGridLines="0" topLeftCell="A8" zoomScale="80" zoomScaleNormal="80" workbookViewId="0">
      <selection activeCell="R15" sqref="R15"/>
    </sheetView>
  </sheetViews>
  <sheetFormatPr defaultColWidth="0" defaultRowHeight="15" zeroHeight="1"/>
  <cols>
    <col min="1" max="1" width="35.28515625" style="99" customWidth="1"/>
    <col min="2" max="2" width="9.140625" style="114" customWidth="1"/>
    <col min="3" max="4" width="9.140625" style="5" customWidth="1"/>
    <col min="5" max="5" width="39.42578125" style="5" bestFit="1" customWidth="1"/>
    <col min="6" max="9" width="15.42578125" style="5" bestFit="1" customWidth="1"/>
    <col min="10" max="10" width="15.5703125" style="5" bestFit="1" customWidth="1"/>
    <col min="11" max="11" width="11.28515625" style="5" bestFit="1" customWidth="1"/>
    <col min="12" max="12" width="35.5703125" style="5" bestFit="1" customWidth="1"/>
    <col min="13" max="13" width="15.42578125" style="5" bestFit="1" customWidth="1"/>
    <col min="14" max="17" width="15.42578125" style="5" customWidth="1"/>
    <col min="18" max="21" width="9.140625" style="5" customWidth="1"/>
    <col min="22" max="22" width="9.140625" style="5" hidden="1" customWidth="1"/>
    <col min="23" max="26" width="0" style="5" hidden="1" customWidth="1"/>
    <col min="27" max="28" width="9.140625" style="5" hidden="1" customWidth="1"/>
    <col min="29" max="32" width="0" style="5" hidden="1" customWidth="1"/>
    <col min="33" max="34" width="9.140625" style="5" hidden="1" customWidth="1"/>
    <col min="35" max="51" width="0" style="5" hidden="1" customWidth="1"/>
    <col min="52" max="52" width="9.140625" style="5" hidden="1" customWidth="1"/>
    <col min="53" max="56" width="0" style="5" hidden="1" customWidth="1"/>
    <col min="57" max="58" width="9.140625" style="5" hidden="1" customWidth="1"/>
    <col min="59" max="62" width="0" style="5" hidden="1" customWidth="1"/>
    <col min="63" max="64" width="9.140625" style="5" hidden="1" customWidth="1"/>
    <col min="65" max="68" width="0" style="5" hidden="1" customWidth="1"/>
    <col min="69" max="69" width="9.140625" style="5" hidden="1" customWidth="1"/>
    <col min="70" max="73" width="0" style="5" hidden="1" customWidth="1"/>
    <col min="74" max="75" width="9.140625" style="5" hidden="1" customWidth="1"/>
    <col min="76" max="79" width="0" style="5" hidden="1" customWidth="1"/>
    <col min="80" max="81" width="9.140625" style="5" hidden="1" customWidth="1"/>
    <col min="82" max="16384" width="0" style="5" hidden="1"/>
  </cols>
  <sheetData>
    <row r="1" spans="1:26">
      <c r="A1" s="145"/>
      <c r="B1" s="4"/>
      <c r="C1" s="4"/>
      <c r="D1" s="4"/>
      <c r="E1" s="4"/>
      <c r="F1" s="4"/>
      <c r="G1" s="4"/>
      <c r="H1" s="4"/>
      <c r="I1" s="4"/>
      <c r="J1" s="4"/>
      <c r="K1" s="4"/>
      <c r="L1" s="4"/>
      <c r="M1" s="4"/>
      <c r="N1" s="4"/>
      <c r="O1" s="4"/>
      <c r="P1" s="4"/>
      <c r="Q1" s="4"/>
      <c r="R1" s="4"/>
      <c r="S1" s="4"/>
      <c r="T1" s="4"/>
      <c r="U1" s="4"/>
    </row>
    <row r="2" spans="1:26" ht="28.5">
      <c r="A2" s="146"/>
      <c r="B2" s="4"/>
      <c r="C2" s="4"/>
      <c r="D2" s="4"/>
      <c r="E2" s="4"/>
      <c r="F2" s="4"/>
      <c r="G2" s="4"/>
      <c r="H2" s="4"/>
      <c r="I2" s="4"/>
      <c r="J2" s="6"/>
      <c r="K2" s="4"/>
      <c r="L2" s="4"/>
      <c r="M2" s="4"/>
      <c r="N2" s="4"/>
      <c r="O2" s="4"/>
      <c r="P2" s="4"/>
      <c r="Q2" s="4"/>
      <c r="R2" s="4"/>
      <c r="S2" s="4"/>
      <c r="T2" s="4"/>
      <c r="U2" s="4"/>
    </row>
    <row r="3" spans="1:26" s="98" customFormat="1" ht="15" customHeight="1">
      <c r="A3" s="147"/>
      <c r="B3" s="144"/>
      <c r="C3" s="100"/>
      <c r="D3" s="100"/>
      <c r="E3" s="101"/>
      <c r="F3" s="412" t="str">
        <f>Dashboard!H3</f>
        <v>SIMPAR (SIMH3)</v>
      </c>
      <c r="G3" s="412"/>
      <c r="H3" s="412"/>
      <c r="I3" s="412"/>
      <c r="J3" s="412"/>
      <c r="K3" s="412"/>
      <c r="L3" s="412"/>
      <c r="M3" s="101"/>
      <c r="N3" s="101"/>
      <c r="O3" s="101"/>
      <c r="P3" s="100"/>
      <c r="Q3" s="100"/>
      <c r="R3" s="100"/>
      <c r="S3" s="100"/>
      <c r="T3" s="100"/>
      <c r="U3" s="100"/>
    </row>
    <row r="4" spans="1:26" s="98" customFormat="1" ht="15" customHeight="1">
      <c r="A4" s="147"/>
      <c r="B4" s="144"/>
      <c r="C4" s="100"/>
      <c r="D4" s="100"/>
      <c r="E4" s="101"/>
      <c r="F4" s="412"/>
      <c r="G4" s="412"/>
      <c r="H4" s="412"/>
      <c r="I4" s="412"/>
      <c r="J4" s="412"/>
      <c r="K4" s="412"/>
      <c r="L4" s="412"/>
      <c r="M4" s="101"/>
      <c r="N4" s="101"/>
      <c r="O4" s="101"/>
      <c r="P4" s="100"/>
      <c r="Q4" s="100"/>
      <c r="R4" s="100"/>
      <c r="S4" s="100"/>
      <c r="T4" s="100"/>
      <c r="U4" s="100"/>
    </row>
    <row r="5" spans="1:26" s="98" customFormat="1" ht="15" customHeight="1">
      <c r="A5" s="147"/>
      <c r="B5" s="144"/>
      <c r="C5" s="100"/>
      <c r="D5" s="100"/>
      <c r="E5" s="101"/>
      <c r="F5" s="413"/>
      <c r="G5" s="413"/>
      <c r="H5" s="413"/>
      <c r="I5" s="413"/>
      <c r="J5" s="413"/>
      <c r="K5" s="413"/>
      <c r="L5" s="413"/>
      <c r="M5" s="101"/>
      <c r="N5" s="101"/>
      <c r="O5" s="101"/>
      <c r="P5" s="100"/>
      <c r="Q5" s="100"/>
      <c r="R5" s="100"/>
      <c r="S5" s="100"/>
      <c r="T5" s="100"/>
      <c r="U5" s="100"/>
    </row>
    <row r="6" spans="1:26">
      <c r="A6" s="146"/>
      <c r="B6" s="4"/>
      <c r="C6" s="4"/>
      <c r="D6" s="4"/>
      <c r="E6" s="4"/>
      <c r="F6" s="4"/>
      <c r="G6" s="4"/>
      <c r="H6" s="4"/>
      <c r="I6" s="4"/>
      <c r="J6" s="4"/>
      <c r="K6" s="4"/>
      <c r="L6" s="4"/>
      <c r="M6" s="4"/>
      <c r="N6" s="4"/>
      <c r="O6" s="4"/>
      <c r="P6" s="4"/>
      <c r="Q6" s="4"/>
      <c r="R6" s="4"/>
      <c r="S6" s="4"/>
      <c r="T6" s="4"/>
      <c r="U6" s="4"/>
    </row>
    <row r="7" spans="1:26" s="11" customFormat="1" ht="30" customHeight="1">
      <c r="A7" s="142" t="s">
        <v>33</v>
      </c>
      <c r="B7" s="10"/>
      <c r="C7" s="4"/>
      <c r="D7" s="10"/>
      <c r="E7" s="10"/>
      <c r="F7" s="10"/>
      <c r="G7" s="10"/>
      <c r="H7" s="10"/>
      <c r="I7" s="10"/>
      <c r="J7" s="10"/>
      <c r="K7" s="4"/>
      <c r="L7" s="4"/>
      <c r="M7" s="4"/>
      <c r="N7" s="4"/>
      <c r="O7" s="4"/>
      <c r="P7" s="4"/>
      <c r="Q7" s="4"/>
      <c r="R7" s="4"/>
      <c r="S7" s="4"/>
      <c r="T7" s="4"/>
      <c r="U7" s="10"/>
      <c r="V7" s="10"/>
    </row>
    <row r="8" spans="1:26" ht="30" customHeight="1">
      <c r="A8" s="12" t="s">
        <v>34</v>
      </c>
      <c r="B8" s="4"/>
      <c r="C8" s="4"/>
      <c r="D8" s="10"/>
      <c r="E8" s="10"/>
      <c r="F8" s="10"/>
      <c r="G8" s="10"/>
      <c r="H8" s="10"/>
      <c r="I8" s="10"/>
      <c r="J8" s="10"/>
      <c r="K8" s="4"/>
      <c r="L8" s="4"/>
      <c r="M8" s="4"/>
      <c r="N8" s="4"/>
      <c r="O8" s="4"/>
      <c r="P8" s="4"/>
      <c r="Q8" s="4"/>
      <c r="R8" s="4"/>
      <c r="S8" s="4"/>
      <c r="T8" s="4"/>
      <c r="U8" s="4"/>
      <c r="V8" s="4"/>
    </row>
    <row r="9" spans="1:26" ht="30" customHeight="1">
      <c r="A9" s="12" t="s">
        <v>23</v>
      </c>
      <c r="B9" s="4"/>
      <c r="C9" s="4"/>
      <c r="D9" s="102"/>
      <c r="E9" s="103"/>
      <c r="F9" s="37" t="s">
        <v>488</v>
      </c>
      <c r="G9" s="37" t="s">
        <v>489</v>
      </c>
      <c r="H9" s="37" t="s">
        <v>490</v>
      </c>
      <c r="I9" s="37" t="s">
        <v>491</v>
      </c>
      <c r="J9" s="104" t="s">
        <v>492</v>
      </c>
      <c r="K9" s="4"/>
      <c r="L9" s="105"/>
      <c r="M9" s="37" t="s">
        <v>488</v>
      </c>
      <c r="N9" s="37" t="s">
        <v>489</v>
      </c>
      <c r="O9" s="37" t="s">
        <v>490</v>
      </c>
      <c r="P9" s="37" t="s">
        <v>491</v>
      </c>
      <c r="Q9" s="104" t="s">
        <v>492</v>
      </c>
      <c r="R9" s="4"/>
      <c r="S9" s="4"/>
      <c r="T9" s="4"/>
      <c r="U9" s="4"/>
      <c r="V9" s="4"/>
      <c r="W9" s="4"/>
      <c r="X9" s="4"/>
      <c r="Y9" s="4"/>
      <c r="Z9" s="4"/>
    </row>
    <row r="10" spans="1:26" ht="30" customHeight="1">
      <c r="A10" s="12" t="s">
        <v>330</v>
      </c>
      <c r="B10" s="4"/>
      <c r="C10" s="4"/>
      <c r="D10" s="106"/>
      <c r="E10" s="105" t="s">
        <v>12</v>
      </c>
      <c r="F10" s="40">
        <f>AVERAGE(M$21:M$22,M$24:M$25)*$J$10</f>
        <v>6690979.4273068532</v>
      </c>
      <c r="G10" s="40">
        <f t="shared" ref="G10:I10" si="0">AVERAGE(N$21:N$22,N$24:N$25)*$J$10</f>
        <v>7422415.8005100228</v>
      </c>
      <c r="H10" s="40">
        <f t="shared" si="0"/>
        <v>8532345.4475215524</v>
      </c>
      <c r="I10" s="40">
        <f t="shared" si="0"/>
        <v>9012213.4457533304</v>
      </c>
      <c r="J10" s="41">
        <f>'DRE Consolidado'!V16</f>
        <v>31657954.121091761</v>
      </c>
      <c r="K10" s="4"/>
      <c r="L10" s="105" t="s">
        <v>12</v>
      </c>
      <c r="M10" s="40">
        <v>7440044</v>
      </c>
      <c r="N10" s="40">
        <v>7563636</v>
      </c>
      <c r="O10" s="40">
        <v>8318109</v>
      </c>
      <c r="P10" s="40">
        <v>0</v>
      </c>
      <c r="Q10" s="41">
        <v>0</v>
      </c>
      <c r="R10" s="113"/>
      <c r="S10" s="4"/>
      <c r="T10" s="4"/>
      <c r="U10" s="4"/>
      <c r="V10" s="4"/>
      <c r="W10" s="4"/>
      <c r="X10" s="4"/>
      <c r="Y10" s="4"/>
      <c r="Z10" s="4"/>
    </row>
    <row r="11" spans="1:26" ht="30" customHeight="1">
      <c r="A11" s="12" t="s">
        <v>36</v>
      </c>
      <c r="B11" s="4"/>
      <c r="C11" s="4"/>
      <c r="D11" s="106"/>
      <c r="E11" s="107" t="s">
        <v>106</v>
      </c>
      <c r="F11" s="84">
        <f>F12-F10</f>
        <v>-5314726.1748878574</v>
      </c>
      <c r="G11" s="84">
        <f>G12-G10</f>
        <v>-5773192.8038519118</v>
      </c>
      <c r="H11" s="84">
        <f>H12-H10</f>
        <v>-6770628.4905348113</v>
      </c>
      <c r="I11" s="84">
        <f>I12-I10</f>
        <v>-7171863.2264491469</v>
      </c>
      <c r="J11" s="108">
        <f>J12-J10</f>
        <v>-25030410.695723727</v>
      </c>
      <c r="K11" s="4"/>
      <c r="L11" s="107" t="s">
        <v>106</v>
      </c>
      <c r="M11" s="84">
        <f>-3874946-14313-1417269-303427-407793-63043-43430+1281</f>
        <v>-6122940</v>
      </c>
      <c r="N11" s="84">
        <f>-4189000-10787-1213561-274419-449086-47563+207949+939</f>
        <v>-5975528</v>
      </c>
      <c r="O11" s="84">
        <f>-6095554-302873-488047-31933-4825+856</f>
        <v>-6922376</v>
      </c>
      <c r="P11" s="40">
        <v>0</v>
      </c>
      <c r="Q11" s="41">
        <v>0</v>
      </c>
      <c r="R11" s="113"/>
      <c r="S11" s="4"/>
      <c r="T11" s="4"/>
      <c r="U11" s="4"/>
      <c r="V11" s="4"/>
      <c r="W11" s="4"/>
      <c r="X11" s="4"/>
      <c r="Y11" s="4"/>
      <c r="Z11" s="4"/>
    </row>
    <row r="12" spans="1:26" ht="30" customHeight="1">
      <c r="A12" s="167" t="s">
        <v>127</v>
      </c>
      <c r="B12" s="4"/>
      <c r="C12" s="4"/>
      <c r="D12" s="106"/>
      <c r="E12" s="105" t="s">
        <v>16</v>
      </c>
      <c r="F12" s="40">
        <f>AVERAGE(M$29:M$30,M$32:M$33)*$J$12</f>
        <v>1376253.2524189961</v>
      </c>
      <c r="G12" s="40">
        <f t="shared" ref="G12:I12" si="1">AVERAGE(N$29:N$30,N$32:N$33)*$J$12</f>
        <v>1649222.9966581108</v>
      </c>
      <c r="H12" s="40">
        <f t="shared" si="1"/>
        <v>1761716.9569867412</v>
      </c>
      <c r="I12" s="40">
        <f t="shared" si="1"/>
        <v>1840350.219304184</v>
      </c>
      <c r="J12" s="41">
        <f>'DRE Consolidado'!S37*J10</f>
        <v>6627543.4253680324</v>
      </c>
      <c r="K12" s="4"/>
      <c r="L12" s="105" t="s">
        <v>16</v>
      </c>
      <c r="M12" s="40">
        <f>SUM(M10:M11)</f>
        <v>1317104</v>
      </c>
      <c r="N12" s="40">
        <f>SUM(N10:N11)</f>
        <v>1588108</v>
      </c>
      <c r="O12" s="40">
        <f>SUM(O10:O11)</f>
        <v>1395733</v>
      </c>
      <c r="P12" s="40">
        <v>0</v>
      </c>
      <c r="Q12" s="41">
        <v>0</v>
      </c>
      <c r="R12" s="4"/>
      <c r="S12" s="4"/>
      <c r="T12" s="4"/>
      <c r="U12" s="4"/>
      <c r="V12" s="4"/>
      <c r="W12" s="4"/>
      <c r="X12" s="4"/>
      <c r="Y12" s="4"/>
      <c r="Z12" s="4"/>
    </row>
    <row r="13" spans="1:26" ht="30" customHeight="1">
      <c r="A13" s="12" t="s">
        <v>37</v>
      </c>
      <c r="B13" s="4"/>
      <c r="C13" s="4"/>
      <c r="D13" s="106"/>
      <c r="E13" s="109" t="s">
        <v>50</v>
      </c>
      <c r="F13" s="44">
        <f>F12/F10</f>
        <v>0.20568786189990479</v>
      </c>
      <c r="G13" s="44">
        <f>G12/G10</f>
        <v>0.2221949080978172</v>
      </c>
      <c r="H13" s="44">
        <f>H12/H10</f>
        <v>0.2064751090801743</v>
      </c>
      <c r="I13" s="44">
        <f>I12/I10</f>
        <v>0.20420623971920909</v>
      </c>
      <c r="J13" s="44">
        <f>J12/J10</f>
        <v>0.20934844368077801</v>
      </c>
      <c r="K13" s="4"/>
      <c r="L13" s="109" t="s">
        <v>50</v>
      </c>
      <c r="M13" s="44">
        <f>M12/M10</f>
        <v>0.17702906058082452</v>
      </c>
      <c r="N13" s="44">
        <f>N12/N10</f>
        <v>0.20996621201760635</v>
      </c>
      <c r="O13" s="44">
        <f>O12/O10</f>
        <v>0.16779450714098601</v>
      </c>
      <c r="P13" s="40">
        <v>0</v>
      </c>
      <c r="Q13" s="41">
        <v>0</v>
      </c>
      <c r="R13" s="4"/>
      <c r="S13" s="4"/>
      <c r="T13" s="4"/>
      <c r="U13" s="4"/>
      <c r="V13" s="4"/>
      <c r="W13" s="4"/>
      <c r="X13" s="4"/>
      <c r="Y13" s="4"/>
      <c r="Z13" s="4"/>
    </row>
    <row r="14" spans="1:26" ht="30" customHeight="1">
      <c r="A14" s="167" t="s">
        <v>100</v>
      </c>
      <c r="B14" s="4"/>
      <c r="C14" s="4"/>
      <c r="D14" s="4"/>
      <c r="E14" s="107" t="s">
        <v>31</v>
      </c>
      <c r="F14" s="84">
        <f>-'DRE Consolidado'!$V$54*'Projeções 2023'!F12</f>
        <v>-176155.56168405365</v>
      </c>
      <c r="G14" s="84">
        <f>-'DRE Consolidado'!$V$54*'Projeções 2023'!G12</f>
        <v>-211094.72606726291</v>
      </c>
      <c r="H14" s="84">
        <f>-'DRE Consolidado'!$V$54*'Projeções 2023'!H12</f>
        <v>-225493.5561756916</v>
      </c>
      <c r="I14" s="84">
        <f>-'DRE Consolidado'!$V$54*'Projeções 2023'!I12</f>
        <v>-235558.33637964897</v>
      </c>
      <c r="J14" s="233">
        <f>SUM(F14:I14)</f>
        <v>-848302.1803066571</v>
      </c>
      <c r="K14" s="311"/>
      <c r="L14" s="107" t="s">
        <v>31</v>
      </c>
      <c r="M14" s="84">
        <f>-32898+103176</f>
        <v>70278</v>
      </c>
      <c r="N14" s="84">
        <f>-32042+25155</f>
        <v>-6887</v>
      </c>
      <c r="O14" s="84">
        <f>-21094+103252</f>
        <v>82158</v>
      </c>
      <c r="P14" s="40">
        <v>0</v>
      </c>
      <c r="Q14" s="41">
        <v>0</v>
      </c>
      <c r="R14" s="113"/>
      <c r="S14" s="4"/>
      <c r="T14" s="4"/>
      <c r="U14" s="4"/>
      <c r="V14" s="4"/>
      <c r="W14" s="4"/>
      <c r="X14" s="4"/>
      <c r="Y14" s="4"/>
      <c r="Z14" s="4"/>
    </row>
    <row r="15" spans="1:26" ht="30" customHeight="1">
      <c r="A15" s="12" t="s">
        <v>331</v>
      </c>
      <c r="B15" s="4"/>
      <c r="C15" s="4"/>
      <c r="D15" s="4"/>
      <c r="E15" s="107" t="s">
        <v>105</v>
      </c>
      <c r="F15" s="84">
        <f>'DRE Consolidado'!$V$56*'Projeções 2023'!F10</f>
        <v>88663.102087446227</v>
      </c>
      <c r="G15" s="84">
        <f>'DRE Consolidado'!$V$56*'Projeções 2023'!G10</f>
        <v>98355.467537430435</v>
      </c>
      <c r="H15" s="84">
        <f>'DRE Consolidado'!$V$56*'Projeções 2023'!H10</f>
        <v>113063.3001756899</v>
      </c>
      <c r="I15" s="84">
        <f>'DRE Consolidado'!$V$56*'Projeções 2023'!I10</f>
        <v>119422.09798368851</v>
      </c>
      <c r="J15" s="234">
        <f>'DRE Consolidado'!$V$56*'Projeções 2023'!J10</f>
        <v>419503.9677842551</v>
      </c>
      <c r="K15" s="311"/>
      <c r="L15" s="107" t="s">
        <v>105</v>
      </c>
      <c r="M15" s="84">
        <v>81612</v>
      </c>
      <c r="N15" s="84">
        <v>84705</v>
      </c>
      <c r="O15" s="84">
        <v>137856</v>
      </c>
      <c r="P15" s="40">
        <v>0</v>
      </c>
      <c r="Q15" s="41">
        <v>0</v>
      </c>
      <c r="R15" s="4"/>
      <c r="S15" s="4"/>
      <c r="T15" s="4"/>
      <c r="U15" s="4"/>
      <c r="V15" s="4"/>
      <c r="W15" s="4"/>
      <c r="X15" s="4"/>
      <c r="Y15" s="4"/>
      <c r="Z15" s="4"/>
    </row>
    <row r="16" spans="1:26" ht="30" customHeight="1" thickBot="1">
      <c r="A16" s="167" t="s">
        <v>129</v>
      </c>
      <c r="B16" s="4"/>
      <c r="C16" s="4"/>
      <c r="D16" s="4"/>
      <c r="E16" s="193" t="s">
        <v>24</v>
      </c>
      <c r="F16" s="194">
        <f>F12+F14+F15</f>
        <v>1288760.7928223887</v>
      </c>
      <c r="G16" s="194">
        <f>G12+G14+G15</f>
        <v>1536483.7381282782</v>
      </c>
      <c r="H16" s="194">
        <f>H12+H14+H15</f>
        <v>1649286.7009867395</v>
      </c>
      <c r="I16" s="194">
        <f>I12+I14+I15</f>
        <v>1724213.9809082237</v>
      </c>
      <c r="J16" s="310">
        <f>J12+J14+J15</f>
        <v>6198745.21284563</v>
      </c>
      <c r="K16" s="311"/>
      <c r="L16" s="193" t="s">
        <v>24</v>
      </c>
      <c r="M16" s="194">
        <f>SUM(M12,M14:M15)</f>
        <v>1468994</v>
      </c>
      <c r="N16" s="194">
        <f>SUM(N12,N14:N15)</f>
        <v>1665926</v>
      </c>
      <c r="O16" s="194">
        <f>SUM(O12,O14:O15)</f>
        <v>1615747</v>
      </c>
      <c r="P16" s="194">
        <v>0</v>
      </c>
      <c r="Q16" s="195">
        <v>0</v>
      </c>
      <c r="R16" s="4"/>
      <c r="S16" s="4"/>
      <c r="T16" s="4"/>
      <c r="U16" s="4"/>
      <c r="V16" s="4"/>
      <c r="W16" s="4"/>
      <c r="X16" s="4"/>
      <c r="Y16" s="4"/>
      <c r="Z16" s="4"/>
    </row>
    <row r="17" spans="1:26" ht="30" customHeight="1">
      <c r="A17" s="168" t="s">
        <v>493</v>
      </c>
      <c r="B17" s="4"/>
      <c r="C17" s="4"/>
      <c r="D17" s="4"/>
      <c r="E17" s="178"/>
      <c r="F17" s="178"/>
      <c r="G17" s="178"/>
      <c r="H17" s="178"/>
      <c r="I17" s="178"/>
      <c r="J17" s="178"/>
      <c r="K17" s="4"/>
      <c r="L17" s="178"/>
      <c r="M17" s="178"/>
      <c r="N17" s="178"/>
      <c r="O17" s="178"/>
      <c r="P17" s="178"/>
      <c r="Q17" s="178"/>
      <c r="R17" s="4"/>
      <c r="S17" s="4"/>
      <c r="T17" s="4"/>
      <c r="U17" s="4"/>
      <c r="V17" s="4"/>
      <c r="W17" s="4"/>
      <c r="X17" s="4"/>
      <c r="Y17" s="4"/>
      <c r="Z17" s="4"/>
    </row>
    <row r="18" spans="1:26" ht="30" customHeight="1">
      <c r="A18" s="12" t="s">
        <v>128</v>
      </c>
      <c r="B18" s="4"/>
      <c r="C18" s="4"/>
      <c r="D18" s="4"/>
      <c r="E18" s="4"/>
      <c r="F18" s="4"/>
      <c r="G18" s="4"/>
      <c r="H18" s="4"/>
      <c r="I18" s="4"/>
      <c r="J18" s="4"/>
      <c r="K18" s="4"/>
      <c r="L18" s="4"/>
      <c r="M18" s="4"/>
      <c r="N18" s="4"/>
      <c r="O18" s="4"/>
      <c r="P18" s="4"/>
      <c r="Q18" s="4"/>
      <c r="R18" s="4"/>
      <c r="S18" s="4"/>
      <c r="T18" s="4"/>
      <c r="U18" s="4"/>
      <c r="V18" s="4"/>
      <c r="W18" s="4"/>
      <c r="X18" s="4"/>
      <c r="Y18" s="4"/>
      <c r="Z18" s="4"/>
    </row>
    <row r="19" spans="1:26" ht="30" customHeight="1">
      <c r="A19" s="12"/>
      <c r="B19" s="4"/>
      <c r="C19" s="4"/>
      <c r="D19" s="4"/>
      <c r="E19" s="4"/>
      <c r="F19" s="4"/>
      <c r="G19" s="4"/>
      <c r="H19" s="4"/>
      <c r="I19" s="4"/>
      <c r="J19" s="4"/>
      <c r="K19" s="4"/>
      <c r="L19" s="4"/>
      <c r="M19" s="4"/>
      <c r="N19" s="4"/>
      <c r="O19" s="4"/>
      <c r="P19" s="4"/>
      <c r="Q19" s="4"/>
      <c r="R19" s="4"/>
      <c r="S19" s="4"/>
      <c r="T19" s="4"/>
      <c r="U19" s="4"/>
      <c r="V19" s="4"/>
      <c r="W19" s="4"/>
      <c r="X19" s="4"/>
      <c r="Y19" s="4"/>
      <c r="Z19" s="4"/>
    </row>
    <row r="20" spans="1:26" ht="30" customHeight="1">
      <c r="A20" s="148"/>
      <c r="B20" s="4"/>
      <c r="C20" s="4"/>
      <c r="D20" s="90"/>
      <c r="E20" s="105"/>
      <c r="F20" s="40" t="s">
        <v>104</v>
      </c>
      <c r="G20" s="40" t="s">
        <v>103</v>
      </c>
      <c r="H20" s="40" t="s">
        <v>102</v>
      </c>
      <c r="I20" s="41" t="s">
        <v>101</v>
      </c>
      <c r="J20" s="4"/>
      <c r="K20" s="4"/>
      <c r="L20" s="105"/>
      <c r="M20" s="40" t="s">
        <v>104</v>
      </c>
      <c r="N20" s="40" t="s">
        <v>103</v>
      </c>
      <c r="O20" s="40" t="s">
        <v>102</v>
      </c>
      <c r="P20" s="41" t="s">
        <v>101</v>
      </c>
      <c r="Q20" s="4"/>
      <c r="R20" s="4"/>
      <c r="S20" s="4"/>
      <c r="T20" s="4"/>
      <c r="U20" s="4"/>
      <c r="V20" s="4"/>
      <c r="W20" s="4"/>
      <c r="X20" s="4"/>
      <c r="Y20" s="4"/>
      <c r="Z20" s="4"/>
    </row>
    <row r="21" spans="1:26" ht="30" customHeight="1">
      <c r="A21" s="148"/>
      <c r="B21" s="4"/>
      <c r="C21" s="4"/>
      <c r="D21" s="4"/>
      <c r="E21" s="105">
        <v>2018</v>
      </c>
      <c r="F21" s="84">
        <v>1936817.3360252001</v>
      </c>
      <c r="G21" s="84">
        <v>1938188.59171093</v>
      </c>
      <c r="H21" s="84">
        <v>2068909.8588538701</v>
      </c>
      <c r="I21" s="139">
        <v>2131477.8912999998</v>
      </c>
      <c r="J21" s="282"/>
      <c r="K21" s="4"/>
      <c r="L21" s="105">
        <v>2018</v>
      </c>
      <c r="M21" s="110">
        <f t="shared" ref="M21:P24" si="2">F21/SUM($F21:$I21)</f>
        <v>0.2398418471322461</v>
      </c>
      <c r="N21" s="110">
        <f t="shared" si="2"/>
        <v>0.24001165379931724</v>
      </c>
      <c r="O21" s="110">
        <f t="shared" si="2"/>
        <v>0.25619925682613287</v>
      </c>
      <c r="P21" s="111">
        <f t="shared" si="2"/>
        <v>0.2639472422423037</v>
      </c>
      <c r="Q21" s="176"/>
      <c r="R21" s="4"/>
      <c r="S21" s="4"/>
      <c r="T21" s="4"/>
      <c r="U21" s="4"/>
    </row>
    <row r="22" spans="1:26" ht="30" customHeight="1">
      <c r="A22" s="148"/>
      <c r="B22" s="4"/>
      <c r="C22" s="4"/>
      <c r="D22" s="4"/>
      <c r="E22" s="105">
        <v>2019</v>
      </c>
      <c r="F22" s="84">
        <v>2211784.7672756999</v>
      </c>
      <c r="G22" s="84">
        <v>2388942.8912800001</v>
      </c>
      <c r="H22" s="84">
        <v>2453591.5448942999</v>
      </c>
      <c r="I22" s="108">
        <v>2631890.1307399999</v>
      </c>
      <c r="J22" s="282"/>
      <c r="K22" s="4"/>
      <c r="L22" s="105">
        <v>2019</v>
      </c>
      <c r="M22" s="110">
        <f t="shared" si="2"/>
        <v>0.22834368853341103</v>
      </c>
      <c r="N22" s="110">
        <f t="shared" si="2"/>
        <v>0.24663341549388199</v>
      </c>
      <c r="O22" s="110">
        <f t="shared" si="2"/>
        <v>0.25330771411616193</v>
      </c>
      <c r="P22" s="111">
        <f t="shared" si="2"/>
        <v>0.27171518185654503</v>
      </c>
      <c r="Q22" s="176"/>
      <c r="R22" s="4"/>
      <c r="S22" s="4"/>
      <c r="T22" s="4"/>
      <c r="U22" s="4"/>
    </row>
    <row r="23" spans="1:26" ht="30" customHeight="1">
      <c r="A23" s="148"/>
      <c r="B23" s="4"/>
      <c r="C23" s="4"/>
      <c r="D23" s="4"/>
      <c r="E23" s="105">
        <v>2020</v>
      </c>
      <c r="F23" s="84">
        <v>2356892.28214755</v>
      </c>
      <c r="G23" s="84">
        <v>2197224.7700399999</v>
      </c>
      <c r="H23" s="84">
        <v>2603044.9478124501</v>
      </c>
      <c r="I23" s="139">
        <v>2649895</v>
      </c>
      <c r="J23" s="282"/>
      <c r="K23" s="4"/>
      <c r="L23" s="105">
        <v>2020</v>
      </c>
      <c r="M23" s="110">
        <f t="shared" si="2"/>
        <v>0.24032615311071914</v>
      </c>
      <c r="N23" s="110">
        <f t="shared" si="2"/>
        <v>0.22404527372890765</v>
      </c>
      <c r="O23" s="110">
        <f t="shared" si="2"/>
        <v>0.26542569782274644</v>
      </c>
      <c r="P23" s="111">
        <f t="shared" si="2"/>
        <v>0.27020287533762677</v>
      </c>
      <c r="Q23" s="176"/>
      <c r="R23" s="4"/>
      <c r="S23" s="4"/>
      <c r="T23" s="4"/>
      <c r="U23" s="4"/>
    </row>
    <row r="24" spans="1:26" ht="30" customHeight="1">
      <c r="A24" s="148"/>
      <c r="B24" s="4"/>
      <c r="C24" s="4"/>
      <c r="D24" s="4"/>
      <c r="E24" s="105">
        <v>2021</v>
      </c>
      <c r="F24" s="84">
        <v>2620105.6559162498</v>
      </c>
      <c r="G24" s="84">
        <v>3149066.3440837502</v>
      </c>
      <c r="H24" s="84">
        <v>3958280</v>
      </c>
      <c r="I24" s="139">
        <v>4138767</v>
      </c>
      <c r="J24" s="282"/>
      <c r="K24" s="4"/>
      <c r="L24" s="105">
        <v>2021</v>
      </c>
      <c r="M24" s="110">
        <f t="shared" si="2"/>
        <v>0.18895602730032246</v>
      </c>
      <c r="N24" s="110">
        <f t="shared" si="2"/>
        <v>0.22710346231252732</v>
      </c>
      <c r="O24" s="110">
        <f t="shared" si="2"/>
        <v>0.28546210037501935</v>
      </c>
      <c r="P24" s="111">
        <f t="shared" si="2"/>
        <v>0.29847841001213093</v>
      </c>
      <c r="Q24" s="176"/>
      <c r="R24" s="4"/>
      <c r="S24" s="4"/>
      <c r="T24" s="4"/>
      <c r="U24" s="4"/>
    </row>
    <row r="25" spans="1:26" ht="30" customHeight="1" thickBot="1">
      <c r="A25" s="148"/>
      <c r="B25" s="4"/>
      <c r="C25" s="4"/>
      <c r="D25" s="4"/>
      <c r="E25" s="276">
        <v>2022</v>
      </c>
      <c r="F25" s="277">
        <f>4590.296*1000</f>
        <v>4590296</v>
      </c>
      <c r="G25" s="277">
        <f>5463.4182*1000</f>
        <v>5463418.2000000002</v>
      </c>
      <c r="H25" s="279">
        <f>6902.4238*1000</f>
        <v>6902423.7999999998</v>
      </c>
      <c r="I25" s="278">
        <f>7425.65273798362*1000</f>
        <v>7425652.7379836198</v>
      </c>
      <c r="J25" s="282"/>
      <c r="K25" s="4"/>
      <c r="L25" s="276">
        <v>2022</v>
      </c>
      <c r="M25" s="280">
        <f t="shared" ref="M25" si="3">F25/SUM($F25:$I25)</f>
        <v>0.18826738566207621</v>
      </c>
      <c r="N25" s="280">
        <f t="shared" ref="N25" si="4">G25/SUM($F25:$I25)</f>
        <v>0.22407780702869842</v>
      </c>
      <c r="O25" s="280">
        <f t="shared" ref="O25" si="5">H25/SUM($F25:$I25)</f>
        <v>0.283097491655809</v>
      </c>
      <c r="P25" s="281">
        <f t="shared" ref="P25" si="6">I25/SUM($F25:$I25)</f>
        <v>0.30455731565341632</v>
      </c>
      <c r="Q25" s="176"/>
      <c r="R25" s="4"/>
      <c r="S25" s="4"/>
      <c r="T25" s="4"/>
      <c r="U25" s="4"/>
    </row>
    <row r="26" spans="1:26" ht="30" customHeight="1">
      <c r="A26" s="148"/>
      <c r="B26" s="4"/>
      <c r="C26" s="4"/>
      <c r="D26" s="4"/>
      <c r="E26" s="50"/>
      <c r="F26" s="50"/>
      <c r="G26" s="50"/>
      <c r="H26" s="50"/>
      <c r="I26" s="50"/>
      <c r="J26" s="4"/>
      <c r="K26" s="4"/>
      <c r="L26" s="4"/>
      <c r="M26" s="4"/>
      <c r="N26" s="4"/>
      <c r="O26" s="4"/>
      <c r="P26" s="4"/>
      <c r="Q26" s="4"/>
      <c r="R26" s="4"/>
      <c r="S26" s="4"/>
      <c r="T26" s="4"/>
      <c r="U26" s="4"/>
    </row>
    <row r="27" spans="1:26" ht="30" customHeight="1">
      <c r="A27" s="148"/>
      <c r="B27" s="4"/>
      <c r="C27" s="4"/>
      <c r="D27" s="4"/>
      <c r="E27" s="50"/>
      <c r="F27" s="51"/>
      <c r="G27" s="51"/>
      <c r="H27" s="51"/>
      <c r="I27" s="51"/>
      <c r="J27" s="4"/>
      <c r="K27" s="4"/>
      <c r="L27" s="4"/>
      <c r="M27" s="4"/>
      <c r="N27" s="4"/>
      <c r="O27" s="4"/>
      <c r="P27" s="4"/>
      <c r="Q27" s="4"/>
      <c r="R27" s="4"/>
      <c r="S27" s="4"/>
      <c r="T27" s="4"/>
      <c r="U27" s="4"/>
    </row>
    <row r="28" spans="1:26" ht="30" customHeight="1">
      <c r="A28" s="148"/>
      <c r="B28" s="4"/>
      <c r="C28" s="4"/>
      <c r="D28" s="4"/>
      <c r="E28" s="105"/>
      <c r="F28" s="40" t="s">
        <v>104</v>
      </c>
      <c r="G28" s="40" t="s">
        <v>103</v>
      </c>
      <c r="H28" s="40" t="s">
        <v>102</v>
      </c>
      <c r="I28" s="41" t="s">
        <v>101</v>
      </c>
      <c r="J28" s="4"/>
      <c r="K28" s="4"/>
      <c r="L28" s="105"/>
      <c r="M28" s="40" t="s">
        <v>104</v>
      </c>
      <c r="N28" s="40" t="s">
        <v>103</v>
      </c>
      <c r="O28" s="40" t="s">
        <v>102</v>
      </c>
      <c r="P28" s="41" t="s">
        <v>101</v>
      </c>
      <c r="Q28" s="4"/>
      <c r="R28" s="4"/>
      <c r="S28" s="4"/>
      <c r="T28" s="4"/>
      <c r="U28" s="4"/>
    </row>
    <row r="29" spans="1:26" ht="30" customHeight="1">
      <c r="A29" s="148"/>
      <c r="B29" s="4"/>
      <c r="C29" s="4"/>
      <c r="D29" s="4"/>
      <c r="E29" s="105">
        <v>2018</v>
      </c>
      <c r="F29" s="84">
        <v>211738.26255898399</v>
      </c>
      <c r="G29" s="84">
        <v>245084.87355839901</v>
      </c>
      <c r="H29" s="84">
        <v>251980.40893160101</v>
      </c>
      <c r="I29" s="108">
        <v>251919.86694026101</v>
      </c>
      <c r="J29" s="140"/>
      <c r="K29" s="4"/>
      <c r="L29" s="105">
        <v>2018</v>
      </c>
      <c r="M29" s="110">
        <f t="shared" ref="M29:P32" si="7">F29/SUM($F29:$I29)</f>
        <v>0.22039461089072984</v>
      </c>
      <c r="N29" s="110">
        <f t="shared" si="7"/>
        <v>0.25510450822774644</v>
      </c>
      <c r="O29" s="110">
        <f t="shared" si="7"/>
        <v>0.262281948984524</v>
      </c>
      <c r="P29" s="112">
        <f t="shared" si="7"/>
        <v>0.26221893189699969</v>
      </c>
      <c r="Q29" s="113"/>
      <c r="R29" s="4"/>
      <c r="S29" s="4"/>
      <c r="T29" s="4"/>
      <c r="U29" s="4"/>
    </row>
    <row r="30" spans="1:26" ht="30" customHeight="1">
      <c r="A30" s="148"/>
      <c r="B30" s="4"/>
      <c r="C30" s="4"/>
      <c r="D30" s="4"/>
      <c r="E30" s="105">
        <v>2019</v>
      </c>
      <c r="F30" s="84">
        <v>267737.72173569998</v>
      </c>
      <c r="G30" s="84">
        <v>308979.79927000002</v>
      </c>
      <c r="H30" s="84">
        <v>285057.99309429899</v>
      </c>
      <c r="I30" s="108">
        <v>337389.34498499997</v>
      </c>
      <c r="J30" s="140"/>
      <c r="K30" s="4"/>
      <c r="L30" s="105">
        <v>2019</v>
      </c>
      <c r="M30" s="110">
        <f t="shared" si="7"/>
        <v>0.22327015314640924</v>
      </c>
      <c r="N30" s="110">
        <f t="shared" si="7"/>
        <v>0.25766248646225465</v>
      </c>
      <c r="O30" s="110">
        <f t="shared" si="7"/>
        <v>0.23771376465435065</v>
      </c>
      <c r="P30" s="112">
        <f t="shared" si="7"/>
        <v>0.28135359573698548</v>
      </c>
      <c r="Q30" s="113"/>
      <c r="R30" s="4"/>
      <c r="S30" s="4"/>
      <c r="T30" s="4"/>
      <c r="U30" s="4"/>
    </row>
    <row r="31" spans="1:26" ht="30" customHeight="1">
      <c r="A31" s="148"/>
      <c r="B31" s="4"/>
      <c r="C31" s="4"/>
      <c r="D31" s="4"/>
      <c r="E31" s="105">
        <v>2020</v>
      </c>
      <c r="F31" s="84">
        <v>286003.67738954898</v>
      </c>
      <c r="G31" s="84">
        <v>187163</v>
      </c>
      <c r="H31" s="84">
        <v>297260.558362449</v>
      </c>
      <c r="I31" s="108">
        <v>425874.95265948499</v>
      </c>
      <c r="J31" s="113"/>
      <c r="K31" s="113"/>
      <c r="L31" s="105">
        <v>2020</v>
      </c>
      <c r="M31" s="110">
        <f t="shared" si="7"/>
        <v>0.23907310390305372</v>
      </c>
      <c r="N31" s="110">
        <f t="shared" si="7"/>
        <v>0.15645127277458676</v>
      </c>
      <c r="O31" s="110">
        <f t="shared" si="7"/>
        <v>0.24848283422198553</v>
      </c>
      <c r="P31" s="112">
        <f t="shared" si="7"/>
        <v>0.35599278910037407</v>
      </c>
      <c r="Q31" s="113"/>
      <c r="R31" s="4"/>
      <c r="S31" s="4"/>
      <c r="T31" s="4"/>
      <c r="U31" s="4"/>
    </row>
    <row r="32" spans="1:26" ht="30" customHeight="1">
      <c r="A32" s="148"/>
      <c r="B32" s="4"/>
      <c r="C32" s="4"/>
      <c r="D32" s="4"/>
      <c r="E32" s="105">
        <v>2021</v>
      </c>
      <c r="F32" s="196">
        <v>516655.01820325799</v>
      </c>
      <c r="G32" s="196">
        <v>723575.59292375005</v>
      </c>
      <c r="H32" s="196">
        <v>889681.744184223</v>
      </c>
      <c r="I32" s="198">
        <v>1000638.6446887699</v>
      </c>
      <c r="J32" s="140"/>
      <c r="K32" s="4"/>
      <c r="L32" s="105">
        <v>2021</v>
      </c>
      <c r="M32" s="197">
        <f t="shared" si="7"/>
        <v>0.1650364482812316</v>
      </c>
      <c r="N32" s="197">
        <f t="shared" si="7"/>
        <v>0.23113362245935296</v>
      </c>
      <c r="O32" s="197">
        <f t="shared" si="7"/>
        <v>0.28419333982555234</v>
      </c>
      <c r="P32" s="199">
        <f t="shared" si="7"/>
        <v>0.31963658943386314</v>
      </c>
      <c r="Q32" s="113"/>
      <c r="R32" s="4"/>
      <c r="S32" s="4"/>
      <c r="T32" s="4"/>
      <c r="U32" s="4"/>
    </row>
    <row r="33" spans="1:21" ht="30" customHeight="1" thickBot="1">
      <c r="A33" s="148"/>
      <c r="B33" s="4"/>
      <c r="C33" s="4"/>
      <c r="D33" s="4"/>
      <c r="E33" s="276">
        <v>2022</v>
      </c>
      <c r="F33" s="196">
        <f>1135.551*1000</f>
        <v>1135551</v>
      </c>
      <c r="G33" s="196">
        <f>1286.7492*1000</f>
        <v>1286749.2</v>
      </c>
      <c r="H33" s="196">
        <f>1428.00600045888*1000</f>
        <v>1428006.0004588799</v>
      </c>
      <c r="I33" s="198">
        <f>1266.51107638132*1000</f>
        <v>1266511.0763813199</v>
      </c>
      <c r="J33" s="140"/>
      <c r="K33" s="4"/>
      <c r="L33" s="276">
        <v>2022</v>
      </c>
      <c r="M33" s="197">
        <f t="shared" ref="M33" si="8">F33/SUM($F33:$I33)</f>
        <v>0.22192525911365737</v>
      </c>
      <c r="N33" s="197">
        <f t="shared" ref="N33" si="9">G33/SUM($F33:$I33)</f>
        <v>0.25147452613250426</v>
      </c>
      <c r="O33" s="197">
        <f t="shared" ref="O33" si="10">H33/SUM($F33:$I33)</f>
        <v>0.27908090580493033</v>
      </c>
      <c r="P33" s="199">
        <f t="shared" ref="P33" si="11">I33/SUM($F33:$I33)</f>
        <v>0.24751930894890808</v>
      </c>
      <c r="Q33" s="113"/>
      <c r="R33" s="4"/>
      <c r="S33" s="4"/>
      <c r="T33" s="4"/>
      <c r="U33" s="4"/>
    </row>
    <row r="34" spans="1:21" ht="30" customHeight="1">
      <c r="A34" s="148"/>
      <c r="B34" s="4"/>
      <c r="C34" s="4"/>
      <c r="D34" s="4"/>
      <c r="E34" s="192"/>
      <c r="F34" s="182"/>
      <c r="G34" s="182"/>
      <c r="H34" s="182"/>
      <c r="I34" s="182"/>
      <c r="J34" s="51"/>
      <c r="K34" s="4"/>
      <c r="L34" s="178"/>
      <c r="M34" s="178"/>
      <c r="N34" s="178"/>
      <c r="O34" s="178"/>
      <c r="P34" s="178"/>
      <c r="Q34" s="4"/>
      <c r="R34" s="4"/>
      <c r="S34" s="4"/>
      <c r="T34" s="4"/>
      <c r="U34" s="4"/>
    </row>
    <row r="35" spans="1:21">
      <c r="A35" s="148"/>
      <c r="B35" s="4"/>
      <c r="C35" s="4"/>
      <c r="D35" s="4"/>
      <c r="E35" s="50"/>
      <c r="F35" s="51"/>
      <c r="G35" s="51"/>
      <c r="H35" s="51"/>
      <c r="I35" s="51"/>
      <c r="J35" s="51"/>
      <c r="K35" s="4"/>
      <c r="L35" s="4"/>
      <c r="M35" s="4"/>
      <c r="N35" s="4"/>
      <c r="O35" s="4"/>
      <c r="P35" s="4"/>
      <c r="Q35" s="4"/>
      <c r="R35" s="4"/>
      <c r="S35" s="4"/>
      <c r="T35" s="4"/>
      <c r="U35" s="4"/>
    </row>
    <row r="36" spans="1:21">
      <c r="A36" s="148"/>
      <c r="B36" s="4"/>
      <c r="C36" s="4"/>
      <c r="D36" s="4"/>
      <c r="E36" s="50"/>
      <c r="F36" s="51"/>
      <c r="G36" s="51"/>
      <c r="H36" s="51"/>
      <c r="I36" s="51"/>
      <c r="J36" s="51"/>
      <c r="K36" s="4"/>
      <c r="L36" s="4"/>
      <c r="M36" s="4"/>
      <c r="N36" s="4"/>
      <c r="O36" s="4"/>
      <c r="P36" s="4"/>
      <c r="Q36" s="4"/>
      <c r="R36" s="4"/>
      <c r="S36" s="4"/>
      <c r="T36" s="4"/>
      <c r="U36" s="4"/>
    </row>
    <row r="37" spans="1:21">
      <c r="A37" s="148"/>
      <c r="B37" s="4"/>
      <c r="C37" s="4"/>
      <c r="D37" s="4"/>
      <c r="E37" s="50"/>
      <c r="F37" s="51"/>
      <c r="G37" s="51"/>
      <c r="H37" s="51"/>
      <c r="I37" s="51"/>
      <c r="J37" s="51"/>
      <c r="K37" s="4"/>
      <c r="L37" s="4"/>
      <c r="M37" s="4"/>
      <c r="N37" s="4"/>
      <c r="O37" s="4"/>
      <c r="P37" s="4"/>
      <c r="Q37" s="4"/>
      <c r="R37" s="4"/>
      <c r="S37" s="4"/>
      <c r="T37" s="4"/>
      <c r="U37" s="4"/>
    </row>
    <row r="38" spans="1:21">
      <c r="A38" s="148"/>
      <c r="B38" s="4"/>
      <c r="C38" s="4"/>
      <c r="D38" s="4"/>
      <c r="E38" s="50"/>
      <c r="F38" s="51"/>
      <c r="G38" s="51"/>
      <c r="H38" s="51"/>
      <c r="I38" s="51"/>
      <c r="J38" s="51"/>
      <c r="K38" s="4"/>
      <c r="L38" s="4"/>
      <c r="M38" s="4"/>
      <c r="N38" s="4"/>
      <c r="O38" s="4"/>
      <c r="P38" s="4"/>
      <c r="Q38" s="4"/>
      <c r="R38" s="4"/>
      <c r="S38" s="4"/>
      <c r="T38" s="4"/>
      <c r="U38" s="4"/>
    </row>
    <row r="39" spans="1:21">
      <c r="A39" s="148"/>
      <c r="B39" s="4"/>
      <c r="C39" s="4"/>
      <c r="D39" s="4"/>
      <c r="E39" s="50"/>
      <c r="F39" s="51"/>
      <c r="G39" s="51"/>
      <c r="H39" s="51"/>
      <c r="I39" s="51"/>
      <c r="J39" s="51"/>
      <c r="K39" s="4"/>
      <c r="L39" s="4"/>
      <c r="M39" s="4"/>
      <c r="N39" s="4"/>
      <c r="O39" s="4"/>
      <c r="P39" s="4"/>
      <c r="Q39" s="4"/>
      <c r="R39" s="4"/>
      <c r="S39" s="4"/>
      <c r="T39" s="4"/>
      <c r="U39" s="4"/>
    </row>
    <row r="40" spans="1:21">
      <c r="A40" s="148"/>
      <c r="B40" s="4"/>
      <c r="C40" s="4"/>
      <c r="D40" s="4"/>
      <c r="E40" s="50"/>
      <c r="F40" s="51"/>
      <c r="G40" s="51"/>
      <c r="H40" s="51"/>
      <c r="I40" s="51"/>
      <c r="J40" s="51"/>
      <c r="K40" s="4"/>
      <c r="L40" s="4"/>
      <c r="M40" s="4"/>
      <c r="N40" s="4"/>
      <c r="O40" s="4"/>
      <c r="P40" s="4"/>
      <c r="Q40" s="4"/>
      <c r="R40" s="4"/>
      <c r="S40" s="4"/>
      <c r="T40" s="4"/>
      <c r="U40" s="4"/>
    </row>
    <row r="41" spans="1:21">
      <c r="A41" s="148"/>
      <c r="B41" s="4"/>
      <c r="C41" s="4"/>
      <c r="D41" s="4"/>
      <c r="E41" s="50"/>
      <c r="F41" s="51"/>
      <c r="G41" s="51"/>
      <c r="H41" s="51"/>
      <c r="I41" s="51"/>
      <c r="J41" s="51"/>
      <c r="K41" s="4"/>
      <c r="L41" s="4"/>
      <c r="M41" s="4"/>
      <c r="N41" s="4"/>
      <c r="O41" s="4"/>
      <c r="P41" s="4"/>
      <c r="Q41" s="4"/>
      <c r="R41" s="4"/>
      <c r="S41" s="4"/>
      <c r="T41" s="4"/>
      <c r="U41" s="4"/>
    </row>
    <row r="42" spans="1:21">
      <c r="A42" s="148"/>
      <c r="B42" s="4"/>
      <c r="C42" s="4"/>
      <c r="D42" s="4"/>
      <c r="E42" s="50"/>
      <c r="F42" s="51"/>
      <c r="G42" s="51"/>
      <c r="H42" s="51"/>
      <c r="I42" s="51"/>
      <c r="J42" s="51"/>
      <c r="K42" s="4"/>
      <c r="L42" s="4"/>
      <c r="M42" s="4"/>
      <c r="N42" s="4"/>
      <c r="O42" s="4"/>
      <c r="P42" s="4"/>
      <c r="Q42" s="4"/>
      <c r="R42" s="4"/>
      <c r="S42" s="4"/>
      <c r="T42" s="4"/>
      <c r="U42" s="4"/>
    </row>
    <row r="43" spans="1:21">
      <c r="A43" s="148"/>
      <c r="B43" s="4"/>
      <c r="C43" s="4"/>
      <c r="D43" s="4"/>
      <c r="E43" s="50"/>
      <c r="F43" s="51"/>
      <c r="G43" s="51"/>
      <c r="H43" s="51"/>
      <c r="I43" s="51"/>
      <c r="J43" s="51"/>
      <c r="K43" s="4"/>
      <c r="L43" s="4"/>
      <c r="M43" s="4"/>
      <c r="N43" s="4"/>
      <c r="O43" s="4"/>
      <c r="P43" s="4"/>
      <c r="Q43" s="4"/>
      <c r="R43" s="4"/>
      <c r="S43" s="4"/>
      <c r="T43" s="4"/>
      <c r="U43" s="4"/>
    </row>
    <row r="44" spans="1:21">
      <c r="A44" s="148"/>
      <c r="B44" s="4"/>
      <c r="C44" s="4"/>
      <c r="D44" s="4"/>
      <c r="E44" s="50"/>
      <c r="F44" s="51"/>
      <c r="G44" s="51"/>
      <c r="H44" s="51"/>
      <c r="I44" s="51"/>
      <c r="J44" s="51"/>
      <c r="K44" s="4"/>
      <c r="L44" s="4"/>
      <c r="M44" s="4"/>
      <c r="N44" s="4"/>
      <c r="O44" s="4"/>
      <c r="P44" s="4"/>
      <c r="Q44" s="4"/>
      <c r="R44" s="4"/>
      <c r="S44" s="4"/>
      <c r="T44" s="4"/>
      <c r="U44" s="4"/>
    </row>
    <row r="45" spans="1:21">
      <c r="A45" s="148"/>
      <c r="B45" s="4"/>
      <c r="C45" s="4"/>
      <c r="D45" s="4"/>
      <c r="E45" s="50"/>
      <c r="F45" s="51"/>
      <c r="G45" s="51"/>
      <c r="H45" s="51"/>
      <c r="I45" s="51"/>
      <c r="J45" s="51"/>
      <c r="K45" s="4"/>
      <c r="L45" s="4"/>
      <c r="M45" s="4"/>
      <c r="N45" s="4"/>
      <c r="O45" s="4"/>
      <c r="P45" s="4"/>
      <c r="Q45" s="4"/>
      <c r="R45" s="4"/>
      <c r="S45" s="4"/>
      <c r="T45" s="4"/>
      <c r="U45" s="4"/>
    </row>
    <row r="46" spans="1:21">
      <c r="A46" s="148"/>
      <c r="B46" s="4"/>
      <c r="C46" s="4"/>
      <c r="D46" s="4"/>
      <c r="E46" s="50"/>
      <c r="F46" s="51"/>
      <c r="G46" s="51"/>
      <c r="H46" s="51"/>
      <c r="I46" s="51"/>
      <c r="J46" s="51"/>
      <c r="K46" s="4"/>
      <c r="L46" s="4"/>
      <c r="M46" s="4"/>
      <c r="N46" s="4"/>
      <c r="O46" s="4"/>
      <c r="P46" s="4"/>
      <c r="Q46" s="4"/>
      <c r="R46" s="4"/>
      <c r="S46" s="4"/>
      <c r="T46" s="4"/>
      <c r="U46" s="4"/>
    </row>
    <row r="47" spans="1:21">
      <c r="A47" s="148"/>
      <c r="B47" s="4"/>
      <c r="C47" s="4"/>
      <c r="D47" s="4"/>
      <c r="E47" s="50"/>
      <c r="F47" s="51"/>
      <c r="G47" s="51"/>
      <c r="H47" s="51"/>
      <c r="I47" s="51"/>
      <c r="J47" s="51"/>
      <c r="K47" s="4"/>
      <c r="L47" s="4"/>
      <c r="M47" s="4"/>
      <c r="N47" s="4"/>
      <c r="O47" s="4"/>
      <c r="P47" s="4"/>
      <c r="Q47" s="4"/>
      <c r="R47" s="4"/>
      <c r="S47" s="4"/>
      <c r="T47" s="4"/>
      <c r="U47" s="4"/>
    </row>
    <row r="48" spans="1:21">
      <c r="A48" s="148"/>
      <c r="B48" s="4"/>
      <c r="C48" s="4"/>
      <c r="D48" s="4"/>
      <c r="E48" s="50"/>
      <c r="F48" s="51"/>
      <c r="G48" s="51"/>
      <c r="H48" s="51"/>
      <c r="I48" s="51"/>
      <c r="J48" s="51"/>
      <c r="K48" s="4"/>
      <c r="L48" s="4"/>
      <c r="M48" s="4"/>
      <c r="N48" s="4"/>
      <c r="O48" s="4"/>
      <c r="P48" s="4"/>
      <c r="Q48" s="4"/>
      <c r="R48" s="4"/>
      <c r="S48" s="4"/>
      <c r="T48" s="4"/>
      <c r="U48" s="4"/>
    </row>
    <row r="49" spans="1:21">
      <c r="A49" s="148"/>
      <c r="B49" s="4"/>
      <c r="C49" s="4"/>
      <c r="D49" s="4"/>
      <c r="E49" s="50"/>
      <c r="F49" s="51"/>
      <c r="G49" s="51"/>
      <c r="H49" s="51"/>
      <c r="I49" s="51"/>
      <c r="J49" s="51"/>
      <c r="K49" s="4"/>
      <c r="L49" s="4"/>
      <c r="M49" s="4"/>
      <c r="N49" s="4"/>
      <c r="O49" s="4"/>
      <c r="P49" s="4"/>
      <c r="Q49" s="4"/>
      <c r="R49" s="4"/>
      <c r="S49" s="4"/>
      <c r="T49" s="4"/>
      <c r="U49" s="4"/>
    </row>
    <row r="50" spans="1:21">
      <c r="A50" s="148"/>
      <c r="B50" s="4"/>
      <c r="C50" s="4"/>
      <c r="D50" s="4"/>
      <c r="E50" s="50"/>
      <c r="F50" s="51"/>
      <c r="G50" s="51"/>
      <c r="H50" s="51"/>
      <c r="I50" s="51"/>
      <c r="J50" s="51"/>
      <c r="K50" s="4"/>
      <c r="L50" s="4"/>
      <c r="M50" s="4"/>
      <c r="N50" s="4"/>
      <c r="O50" s="4"/>
      <c r="P50" s="4"/>
      <c r="Q50" s="4"/>
      <c r="R50" s="4"/>
      <c r="S50" s="4"/>
      <c r="T50" s="4"/>
      <c r="U50" s="4"/>
    </row>
    <row r="51" spans="1:21">
      <c r="A51" s="148"/>
      <c r="B51" s="4"/>
      <c r="C51" s="4"/>
      <c r="D51" s="4"/>
      <c r="E51" s="50"/>
      <c r="F51" s="51"/>
      <c r="G51" s="51"/>
      <c r="H51" s="51"/>
      <c r="I51" s="51"/>
      <c r="J51" s="51"/>
      <c r="K51" s="4"/>
      <c r="L51" s="4"/>
      <c r="M51" s="4"/>
      <c r="N51" s="4"/>
      <c r="O51" s="4"/>
      <c r="P51" s="4"/>
      <c r="Q51" s="4"/>
      <c r="R51" s="4"/>
      <c r="S51" s="4"/>
      <c r="T51" s="4"/>
      <c r="U51" s="4"/>
    </row>
    <row r="52" spans="1:21">
      <c r="A52" s="148"/>
      <c r="B52" s="4"/>
      <c r="C52" s="4"/>
      <c r="D52" s="4"/>
      <c r="E52" s="50"/>
      <c r="F52" s="51"/>
      <c r="G52" s="51"/>
      <c r="H52" s="51"/>
      <c r="I52" s="51"/>
      <c r="J52" s="51"/>
      <c r="K52" s="4"/>
      <c r="L52" s="4"/>
      <c r="M52" s="4"/>
      <c r="N52" s="4"/>
      <c r="O52" s="4"/>
      <c r="P52" s="4"/>
      <c r="Q52" s="4"/>
      <c r="R52" s="4"/>
      <c r="S52" s="4"/>
      <c r="T52" s="4"/>
      <c r="U52" s="4"/>
    </row>
    <row r="53" spans="1:21">
      <c r="A53" s="148"/>
      <c r="B53" s="4"/>
      <c r="C53" s="4"/>
      <c r="D53" s="4"/>
      <c r="E53" s="50"/>
      <c r="F53" s="51"/>
      <c r="G53" s="51"/>
      <c r="H53" s="51"/>
      <c r="I53" s="51"/>
      <c r="J53" s="51"/>
      <c r="K53" s="4"/>
      <c r="L53" s="4"/>
      <c r="M53" s="4"/>
      <c r="N53" s="4"/>
      <c r="O53" s="4"/>
      <c r="P53" s="4"/>
      <c r="Q53" s="4"/>
      <c r="R53" s="4"/>
      <c r="S53" s="4"/>
      <c r="T53" s="4"/>
      <c r="U53" s="4"/>
    </row>
    <row r="54" spans="1:21">
      <c r="A54" s="148"/>
      <c r="B54" s="4"/>
      <c r="C54" s="4"/>
      <c r="D54" s="4"/>
      <c r="E54" s="50"/>
      <c r="F54" s="51"/>
      <c r="G54" s="51"/>
      <c r="H54" s="51"/>
      <c r="I54" s="51"/>
      <c r="J54" s="51"/>
      <c r="K54" s="4"/>
      <c r="L54" s="4"/>
      <c r="M54" s="4"/>
      <c r="N54" s="4"/>
      <c r="O54" s="4"/>
      <c r="P54" s="4"/>
      <c r="Q54" s="4"/>
      <c r="R54" s="4"/>
      <c r="S54" s="4"/>
      <c r="T54" s="4"/>
      <c r="U54" s="4"/>
    </row>
    <row r="55" spans="1:21">
      <c r="A55" s="148"/>
      <c r="B55" s="4"/>
      <c r="C55" s="4"/>
      <c r="D55" s="4"/>
      <c r="E55" s="50"/>
      <c r="F55" s="51"/>
      <c r="G55" s="51"/>
      <c r="H55" s="51"/>
      <c r="I55" s="51"/>
      <c r="J55" s="51"/>
      <c r="K55" s="4"/>
      <c r="L55" s="4"/>
      <c r="M55" s="4"/>
      <c r="N55" s="4"/>
      <c r="O55" s="4"/>
      <c r="P55" s="4"/>
      <c r="Q55" s="4"/>
      <c r="R55" s="4"/>
      <c r="S55" s="4"/>
      <c r="T55" s="4"/>
      <c r="U55" s="4"/>
    </row>
    <row r="56" spans="1:21">
      <c r="A56" s="148"/>
      <c r="B56" s="4"/>
      <c r="C56" s="4"/>
      <c r="D56" s="4"/>
      <c r="E56" s="50"/>
      <c r="F56" s="51"/>
      <c r="G56" s="51"/>
      <c r="H56" s="51"/>
      <c r="I56" s="51"/>
      <c r="J56" s="51"/>
      <c r="K56" s="4"/>
      <c r="L56" s="4"/>
      <c r="M56" s="4"/>
      <c r="N56" s="4"/>
      <c r="O56" s="4"/>
      <c r="P56" s="4"/>
      <c r="Q56" s="4"/>
      <c r="R56" s="4"/>
      <c r="S56" s="4"/>
      <c r="T56" s="4"/>
      <c r="U56" s="4"/>
    </row>
    <row r="57" spans="1:21">
      <c r="A57" s="148"/>
      <c r="B57" s="4"/>
      <c r="C57" s="4"/>
      <c r="D57" s="4"/>
      <c r="E57" s="50"/>
      <c r="F57" s="51"/>
      <c r="G57" s="51"/>
      <c r="H57" s="51"/>
      <c r="I57" s="51"/>
      <c r="J57" s="51"/>
      <c r="K57" s="4"/>
      <c r="L57" s="4"/>
      <c r="M57" s="4"/>
      <c r="N57" s="4"/>
      <c r="O57" s="4"/>
      <c r="P57" s="4"/>
      <c r="Q57" s="4"/>
      <c r="R57" s="4"/>
      <c r="S57" s="4"/>
      <c r="T57" s="4"/>
      <c r="U57" s="4"/>
    </row>
    <row r="58" spans="1:21">
      <c r="A58" s="148"/>
      <c r="B58" s="4"/>
      <c r="C58" s="4"/>
      <c r="D58" s="4"/>
      <c r="E58" s="50"/>
      <c r="F58" s="51"/>
      <c r="G58" s="51"/>
      <c r="H58" s="51"/>
      <c r="I58" s="51"/>
      <c r="J58" s="51"/>
      <c r="K58" s="4"/>
      <c r="L58" s="4"/>
      <c r="M58" s="4"/>
      <c r="N58" s="4"/>
      <c r="O58" s="4"/>
      <c r="P58" s="4"/>
      <c r="Q58" s="4"/>
      <c r="R58" s="4"/>
      <c r="S58" s="4"/>
      <c r="T58" s="4"/>
      <c r="U58" s="4"/>
    </row>
    <row r="59" spans="1:21">
      <c r="A59" s="148"/>
      <c r="B59" s="4"/>
      <c r="C59" s="4"/>
      <c r="D59" s="4"/>
      <c r="E59" s="50"/>
      <c r="F59" s="51"/>
      <c r="G59" s="51"/>
      <c r="H59" s="51"/>
      <c r="I59" s="51"/>
      <c r="J59" s="51"/>
      <c r="K59" s="4"/>
      <c r="L59" s="4"/>
      <c r="M59" s="4"/>
      <c r="N59" s="4"/>
      <c r="O59" s="4"/>
      <c r="P59" s="4"/>
      <c r="Q59" s="4"/>
      <c r="R59" s="4"/>
      <c r="S59" s="4"/>
      <c r="T59" s="4"/>
      <c r="U59" s="4"/>
    </row>
    <row r="60" spans="1:21">
      <c r="A60" s="148"/>
      <c r="B60" s="4"/>
      <c r="C60" s="4"/>
      <c r="D60" s="4"/>
      <c r="E60" s="50"/>
      <c r="F60" s="51"/>
      <c r="G60" s="51"/>
      <c r="H60" s="51"/>
      <c r="I60" s="51"/>
      <c r="J60" s="51"/>
      <c r="K60" s="4"/>
      <c r="L60" s="4"/>
      <c r="M60" s="4"/>
      <c r="N60" s="4"/>
      <c r="O60" s="4"/>
      <c r="P60" s="4"/>
      <c r="Q60" s="4"/>
      <c r="R60" s="4"/>
      <c r="S60" s="4"/>
      <c r="T60" s="4"/>
      <c r="U60" s="4"/>
    </row>
    <row r="61" spans="1:21">
      <c r="A61" s="148"/>
      <c r="B61" s="4"/>
      <c r="C61" s="4"/>
      <c r="D61" s="4"/>
      <c r="E61" s="50"/>
      <c r="F61" s="51"/>
      <c r="G61" s="51"/>
      <c r="H61" s="51"/>
      <c r="I61" s="51"/>
      <c r="J61" s="51"/>
      <c r="K61" s="4"/>
      <c r="L61" s="4"/>
      <c r="M61" s="4"/>
      <c r="N61" s="4"/>
      <c r="O61" s="4"/>
      <c r="P61" s="4"/>
      <c r="Q61" s="4"/>
      <c r="R61" s="4"/>
      <c r="S61" s="4"/>
      <c r="T61" s="4"/>
      <c r="U61" s="4"/>
    </row>
    <row r="62" spans="1:21">
      <c r="A62" s="148"/>
      <c r="B62" s="4"/>
      <c r="C62" s="4"/>
      <c r="D62" s="4"/>
      <c r="E62" s="50"/>
      <c r="F62" s="51"/>
      <c r="G62" s="51"/>
      <c r="H62" s="51"/>
      <c r="I62" s="51"/>
      <c r="J62" s="51"/>
      <c r="K62" s="4"/>
      <c r="L62" s="4"/>
      <c r="M62" s="4"/>
      <c r="N62" s="4"/>
      <c r="O62" s="4"/>
      <c r="P62" s="4"/>
      <c r="Q62" s="4"/>
      <c r="R62" s="4"/>
      <c r="S62" s="4"/>
      <c r="T62" s="4"/>
      <c r="U62" s="4"/>
    </row>
    <row r="63" spans="1:21">
      <c r="A63" s="148"/>
      <c r="B63" s="4"/>
      <c r="C63" s="4"/>
      <c r="D63" s="4"/>
      <c r="E63" s="50"/>
      <c r="F63" s="51"/>
      <c r="G63" s="51"/>
      <c r="H63" s="51"/>
      <c r="I63" s="51"/>
      <c r="J63" s="51"/>
      <c r="K63" s="4"/>
      <c r="L63" s="4"/>
      <c r="M63" s="4"/>
      <c r="N63" s="4"/>
      <c r="O63" s="4"/>
      <c r="P63" s="4"/>
      <c r="Q63" s="4"/>
      <c r="R63" s="4"/>
      <c r="S63" s="4"/>
      <c r="T63" s="4"/>
      <c r="U63" s="4"/>
    </row>
    <row r="64" spans="1:21">
      <c r="A64" s="148"/>
      <c r="B64" s="4"/>
      <c r="C64" s="4"/>
      <c r="D64" s="4"/>
      <c r="E64" s="50"/>
      <c r="F64" s="51"/>
      <c r="G64" s="51"/>
      <c r="H64" s="51"/>
      <c r="I64" s="51"/>
      <c r="J64" s="51"/>
      <c r="K64" s="4"/>
      <c r="L64" s="4"/>
      <c r="M64" s="4"/>
      <c r="N64" s="4"/>
      <c r="O64" s="4"/>
      <c r="P64" s="4"/>
      <c r="Q64" s="4"/>
      <c r="R64" s="4"/>
      <c r="S64" s="4"/>
      <c r="T64" s="4"/>
      <c r="U64" s="4"/>
    </row>
    <row r="65" spans="1:21">
      <c r="A65" s="148"/>
      <c r="B65" s="4"/>
      <c r="C65" s="4"/>
      <c r="D65" s="4"/>
      <c r="E65" s="50"/>
      <c r="F65" s="51"/>
      <c r="G65" s="51"/>
      <c r="H65" s="51"/>
      <c r="I65" s="51"/>
      <c r="J65" s="51"/>
      <c r="K65" s="4"/>
      <c r="L65" s="4"/>
      <c r="M65" s="4"/>
      <c r="N65" s="4"/>
      <c r="O65" s="4"/>
      <c r="P65" s="4"/>
      <c r="Q65" s="4"/>
      <c r="R65" s="4"/>
      <c r="S65" s="4"/>
      <c r="T65" s="4"/>
      <c r="U65" s="4"/>
    </row>
    <row r="66" spans="1:21">
      <c r="A66" s="148"/>
      <c r="B66" s="4"/>
      <c r="C66" s="4"/>
      <c r="D66" s="4"/>
      <c r="E66" s="50"/>
      <c r="F66" s="51"/>
      <c r="G66" s="51"/>
      <c r="H66" s="51"/>
      <c r="I66" s="51"/>
      <c r="J66" s="51"/>
      <c r="K66" s="4"/>
      <c r="L66" s="4"/>
      <c r="M66" s="4"/>
      <c r="N66" s="4"/>
      <c r="O66" s="4"/>
      <c r="P66" s="4"/>
      <c r="Q66" s="4"/>
      <c r="R66" s="4"/>
      <c r="S66" s="4"/>
      <c r="T66" s="4"/>
      <c r="U66" s="4"/>
    </row>
    <row r="67" spans="1:21">
      <c r="A67" s="148"/>
      <c r="B67" s="4"/>
      <c r="C67" s="4"/>
      <c r="D67" s="4"/>
      <c r="E67" s="50"/>
      <c r="F67" s="51"/>
      <c r="G67" s="51"/>
      <c r="H67" s="51"/>
      <c r="I67" s="51"/>
      <c r="J67" s="51"/>
      <c r="K67" s="4"/>
      <c r="L67" s="4"/>
      <c r="M67" s="4"/>
      <c r="N67" s="4"/>
      <c r="O67" s="4"/>
      <c r="P67" s="4"/>
      <c r="Q67" s="4"/>
      <c r="R67" s="4"/>
      <c r="S67" s="4"/>
      <c r="T67" s="4"/>
      <c r="U67" s="4"/>
    </row>
    <row r="68" spans="1:21">
      <c r="A68" s="148"/>
      <c r="B68" s="4"/>
      <c r="C68" s="4"/>
      <c r="D68" s="4"/>
      <c r="E68" s="50"/>
      <c r="F68" s="51"/>
      <c r="G68" s="51"/>
      <c r="H68" s="51"/>
      <c r="I68" s="51"/>
      <c r="J68" s="51"/>
      <c r="K68" s="4"/>
      <c r="L68" s="4"/>
      <c r="M68" s="4"/>
      <c r="N68" s="4"/>
      <c r="O68" s="4"/>
      <c r="P68" s="4"/>
      <c r="Q68" s="4"/>
      <c r="R68" s="4"/>
      <c r="S68" s="4"/>
      <c r="T68" s="4"/>
      <c r="U68" s="4"/>
    </row>
    <row r="69" spans="1:21">
      <c r="A69" s="148"/>
      <c r="B69" s="4"/>
      <c r="C69" s="4"/>
      <c r="D69" s="4"/>
      <c r="E69" s="50"/>
      <c r="F69" s="51"/>
      <c r="G69" s="51"/>
      <c r="H69" s="51"/>
      <c r="I69" s="51"/>
      <c r="J69" s="51"/>
      <c r="K69" s="4"/>
      <c r="L69" s="4"/>
      <c r="M69" s="4"/>
      <c r="N69" s="4"/>
      <c r="O69" s="4"/>
      <c r="P69" s="4"/>
      <c r="Q69" s="4"/>
      <c r="R69" s="4"/>
      <c r="S69" s="4"/>
      <c r="T69" s="4"/>
      <c r="U69" s="4"/>
    </row>
    <row r="70" spans="1:21">
      <c r="A70" s="148"/>
      <c r="B70" s="4"/>
      <c r="C70" s="4"/>
      <c r="D70" s="4"/>
      <c r="E70" s="50"/>
      <c r="F70" s="51"/>
      <c r="G70" s="51"/>
      <c r="H70" s="51"/>
      <c r="I70" s="51"/>
      <c r="J70" s="51"/>
      <c r="K70" s="4"/>
      <c r="L70" s="4"/>
      <c r="M70" s="4"/>
      <c r="N70" s="4"/>
      <c r="O70" s="4"/>
      <c r="P70" s="4"/>
      <c r="Q70" s="4"/>
      <c r="R70" s="4"/>
      <c r="S70" s="4"/>
      <c r="T70" s="4"/>
      <c r="U70" s="4"/>
    </row>
    <row r="71" spans="1:21">
      <c r="A71" s="148"/>
      <c r="B71" s="4"/>
      <c r="C71" s="4"/>
      <c r="D71" s="4"/>
      <c r="E71" s="50"/>
      <c r="F71" s="51"/>
      <c r="G71" s="51"/>
      <c r="H71" s="51"/>
      <c r="I71" s="51"/>
      <c r="J71" s="51"/>
      <c r="K71" s="4"/>
      <c r="L71" s="4"/>
      <c r="M71" s="4"/>
      <c r="N71" s="4"/>
      <c r="O71" s="4"/>
      <c r="P71" s="4"/>
      <c r="Q71" s="4"/>
      <c r="R71" s="4"/>
      <c r="S71" s="4"/>
      <c r="T71" s="4"/>
      <c r="U71" s="4"/>
    </row>
    <row r="72" spans="1:21">
      <c r="A72" s="148"/>
      <c r="B72" s="4"/>
      <c r="C72" s="4"/>
      <c r="D72" s="4"/>
      <c r="E72" s="50"/>
      <c r="F72" s="51"/>
      <c r="G72" s="51"/>
      <c r="H72" s="51"/>
      <c r="I72" s="51"/>
      <c r="J72" s="51"/>
      <c r="K72" s="4"/>
      <c r="L72" s="4"/>
      <c r="M72" s="4"/>
      <c r="N72" s="4"/>
      <c r="O72" s="4"/>
      <c r="P72" s="4"/>
      <c r="Q72" s="4"/>
      <c r="R72" s="4"/>
      <c r="S72" s="4"/>
      <c r="T72" s="4"/>
      <c r="U72" s="4"/>
    </row>
    <row r="73" spans="1:21">
      <c r="A73" s="148"/>
      <c r="B73" s="4"/>
      <c r="C73" s="4"/>
      <c r="D73" s="4"/>
      <c r="E73" s="50"/>
      <c r="F73" s="51"/>
      <c r="G73" s="51"/>
      <c r="H73" s="51"/>
      <c r="I73" s="51"/>
      <c r="J73" s="51"/>
      <c r="K73" s="4"/>
      <c r="L73" s="4"/>
      <c r="M73" s="4"/>
      <c r="N73" s="4"/>
      <c r="O73" s="4"/>
      <c r="P73" s="4"/>
      <c r="Q73" s="4"/>
      <c r="R73" s="4"/>
      <c r="S73" s="4"/>
      <c r="T73" s="4"/>
      <c r="U73" s="4"/>
    </row>
    <row r="74" spans="1:21">
      <c r="A74" s="148"/>
      <c r="B74" s="4"/>
      <c r="C74" s="4"/>
      <c r="D74" s="4"/>
      <c r="E74" s="50"/>
      <c r="F74" s="51"/>
      <c r="G74" s="51"/>
      <c r="H74" s="51"/>
      <c r="I74" s="51"/>
      <c r="J74" s="51"/>
      <c r="K74" s="4"/>
      <c r="L74" s="4"/>
      <c r="M74" s="4"/>
      <c r="N74" s="4"/>
      <c r="O74" s="4"/>
      <c r="P74" s="4"/>
      <c r="Q74" s="4"/>
      <c r="R74" s="4"/>
      <c r="S74" s="4"/>
      <c r="T74" s="4"/>
      <c r="U74" s="4"/>
    </row>
    <row r="75" spans="1:21">
      <c r="A75" s="148"/>
      <c r="B75" s="4"/>
      <c r="C75" s="4"/>
      <c r="D75" s="4"/>
      <c r="E75" s="50"/>
      <c r="F75" s="51"/>
      <c r="G75" s="51"/>
      <c r="H75" s="51"/>
      <c r="I75" s="51"/>
      <c r="J75" s="51"/>
      <c r="K75" s="4"/>
      <c r="L75" s="4"/>
      <c r="M75" s="4"/>
      <c r="N75" s="4"/>
      <c r="O75" s="4"/>
      <c r="P75" s="4"/>
      <c r="Q75" s="4"/>
      <c r="R75" s="4"/>
      <c r="S75" s="4"/>
      <c r="T75" s="4"/>
      <c r="U75" s="4"/>
    </row>
    <row r="76" spans="1:21">
      <c r="A76" s="148"/>
      <c r="B76" s="4"/>
      <c r="C76" s="4"/>
      <c r="D76" s="4"/>
      <c r="E76" s="50"/>
      <c r="F76" s="51"/>
      <c r="G76" s="51"/>
      <c r="H76" s="51"/>
      <c r="I76" s="51"/>
      <c r="J76" s="51"/>
      <c r="K76" s="4"/>
      <c r="L76" s="4"/>
      <c r="M76" s="4"/>
      <c r="N76" s="4"/>
      <c r="O76" s="4"/>
      <c r="P76" s="4"/>
      <c r="Q76" s="4"/>
      <c r="R76" s="4"/>
      <c r="S76" s="4"/>
      <c r="T76" s="4"/>
      <c r="U76" s="4"/>
    </row>
    <row r="77" spans="1:21">
      <c r="A77" s="148"/>
      <c r="B77" s="4"/>
      <c r="C77" s="4"/>
      <c r="D77" s="4"/>
      <c r="E77" s="50"/>
      <c r="F77" s="51"/>
      <c r="G77" s="51"/>
      <c r="H77" s="51"/>
      <c r="I77" s="51"/>
      <c r="J77" s="51"/>
      <c r="K77" s="4"/>
      <c r="L77" s="4"/>
      <c r="M77" s="4"/>
      <c r="N77" s="4"/>
      <c r="O77" s="4"/>
      <c r="P77" s="4"/>
      <c r="Q77" s="4"/>
      <c r="R77" s="4"/>
      <c r="S77" s="4"/>
      <c r="T77" s="4"/>
      <c r="U77" s="4"/>
    </row>
    <row r="78" spans="1:21">
      <c r="A78" s="148"/>
      <c r="B78" s="4"/>
      <c r="C78" s="4"/>
      <c r="D78" s="4"/>
      <c r="E78" s="50"/>
      <c r="F78" s="51"/>
      <c r="G78" s="51"/>
      <c r="H78" s="51"/>
      <c r="I78" s="51"/>
      <c r="J78" s="51"/>
      <c r="K78" s="4"/>
      <c r="L78" s="4"/>
      <c r="M78" s="4"/>
      <c r="N78" s="4"/>
      <c r="O78" s="4"/>
      <c r="P78" s="4"/>
      <c r="Q78" s="4"/>
      <c r="R78" s="4"/>
      <c r="S78" s="4"/>
      <c r="T78" s="4"/>
      <c r="U78" s="4"/>
    </row>
    <row r="79" spans="1:21">
      <c r="A79" s="148"/>
      <c r="B79" s="4"/>
      <c r="C79" s="4"/>
      <c r="D79" s="4"/>
      <c r="E79" s="50"/>
      <c r="F79" s="51"/>
      <c r="G79" s="51"/>
      <c r="H79" s="51"/>
      <c r="I79" s="51"/>
      <c r="J79" s="51"/>
      <c r="K79" s="4"/>
      <c r="L79" s="4"/>
      <c r="M79" s="4"/>
      <c r="N79" s="4"/>
      <c r="O79" s="4"/>
      <c r="P79" s="4"/>
      <c r="Q79" s="4"/>
      <c r="R79" s="4"/>
      <c r="S79" s="4"/>
      <c r="T79" s="4"/>
      <c r="U79" s="4"/>
    </row>
    <row r="80" spans="1:21">
      <c r="A80" s="148"/>
      <c r="B80" s="4"/>
      <c r="C80" s="4"/>
      <c r="D80" s="4"/>
      <c r="E80" s="50"/>
      <c r="F80" s="51"/>
      <c r="G80" s="51"/>
      <c r="H80" s="51"/>
      <c r="I80" s="51"/>
      <c r="J80" s="51"/>
      <c r="K80" s="4"/>
      <c r="L80" s="4"/>
      <c r="M80" s="4"/>
      <c r="N80" s="4"/>
      <c r="O80" s="4"/>
      <c r="P80" s="4"/>
      <c r="Q80" s="4"/>
      <c r="R80" s="4"/>
      <c r="S80" s="4"/>
      <c r="T80" s="4"/>
      <c r="U80" s="4"/>
    </row>
    <row r="81" spans="1:22">
      <c r="A81" s="148"/>
      <c r="B81" s="4"/>
      <c r="C81" s="4"/>
      <c r="D81" s="4"/>
      <c r="E81" s="50"/>
      <c r="F81" s="51"/>
      <c r="G81" s="51"/>
      <c r="H81" s="51"/>
      <c r="I81" s="51"/>
      <c r="J81" s="51"/>
      <c r="K81" s="4"/>
      <c r="L81" s="4"/>
      <c r="M81" s="4"/>
      <c r="N81" s="4"/>
      <c r="O81" s="4"/>
      <c r="P81" s="4"/>
      <c r="Q81" s="4"/>
      <c r="R81" s="4"/>
      <c r="S81" s="4"/>
      <c r="T81" s="4"/>
      <c r="U81" s="4"/>
    </row>
    <row r="82" spans="1:22">
      <c r="A82" s="148"/>
      <c r="B82" s="4"/>
      <c r="C82" s="4"/>
      <c r="D82" s="4"/>
      <c r="E82" s="50"/>
      <c r="F82" s="51"/>
      <c r="G82" s="51"/>
      <c r="H82" s="51"/>
      <c r="I82" s="51"/>
      <c r="J82" s="51"/>
      <c r="K82" s="4"/>
      <c r="L82" s="4"/>
      <c r="M82" s="4"/>
      <c r="N82" s="4"/>
      <c r="O82" s="4"/>
      <c r="P82" s="4"/>
      <c r="Q82" s="4"/>
      <c r="R82" s="4"/>
      <c r="S82" s="4"/>
      <c r="T82" s="4"/>
      <c r="U82" s="4"/>
    </row>
    <row r="83" spans="1:22">
      <c r="A83" s="148"/>
      <c r="B83" s="4"/>
      <c r="C83" s="4"/>
      <c r="D83" s="4"/>
      <c r="E83" s="50"/>
      <c r="F83" s="51"/>
      <c r="G83" s="51"/>
      <c r="H83" s="51"/>
      <c r="I83" s="51"/>
      <c r="J83" s="51"/>
      <c r="K83" s="4"/>
      <c r="L83" s="4"/>
      <c r="M83" s="4"/>
      <c r="N83" s="4"/>
      <c r="O83" s="4"/>
      <c r="P83" s="4"/>
      <c r="Q83" s="4"/>
      <c r="R83" s="4"/>
      <c r="S83" s="4"/>
      <c r="T83" s="4"/>
      <c r="U83" s="4"/>
    </row>
    <row r="84" spans="1:22">
      <c r="A84" s="148"/>
      <c r="B84" s="4"/>
      <c r="C84" s="4"/>
      <c r="D84" s="4"/>
      <c r="E84" s="50"/>
      <c r="F84" s="51"/>
      <c r="G84" s="51"/>
      <c r="H84" s="51"/>
      <c r="I84" s="51"/>
      <c r="J84" s="51"/>
      <c r="K84" s="4"/>
      <c r="L84" s="4"/>
      <c r="M84" s="4"/>
      <c r="N84" s="4"/>
      <c r="O84" s="4"/>
      <c r="P84" s="4"/>
      <c r="Q84" s="4"/>
      <c r="R84" s="4"/>
      <c r="S84" s="4"/>
      <c r="T84" s="4"/>
      <c r="U84" s="4"/>
    </row>
    <row r="85" spans="1:22">
      <c r="A85" s="148"/>
      <c r="B85" s="4"/>
      <c r="C85" s="4"/>
      <c r="D85" s="4"/>
      <c r="E85" s="50"/>
      <c r="F85" s="51"/>
      <c r="G85" s="51"/>
      <c r="H85" s="51"/>
      <c r="I85" s="51"/>
      <c r="J85" s="51"/>
      <c r="K85" s="4"/>
      <c r="L85" s="4"/>
      <c r="M85" s="4"/>
      <c r="N85" s="4"/>
      <c r="O85" s="4"/>
      <c r="P85" s="4"/>
      <c r="Q85" s="4"/>
      <c r="R85" s="4"/>
      <c r="S85" s="4"/>
      <c r="T85" s="4"/>
      <c r="U85" s="4"/>
    </row>
    <row r="86" spans="1:22">
      <c r="A86" s="148"/>
      <c r="B86" s="4"/>
      <c r="C86" s="4"/>
      <c r="D86" s="4"/>
      <c r="E86" s="50"/>
      <c r="F86" s="51"/>
      <c r="G86" s="51"/>
      <c r="H86" s="51"/>
      <c r="I86" s="51"/>
      <c r="J86" s="51"/>
      <c r="K86" s="4"/>
      <c r="L86" s="4"/>
      <c r="M86" s="4"/>
      <c r="N86" s="4"/>
      <c r="O86" s="4"/>
      <c r="P86" s="4"/>
      <c r="Q86" s="4"/>
      <c r="R86" s="4"/>
      <c r="S86" s="4"/>
      <c r="T86" s="4"/>
      <c r="U86" s="4"/>
    </row>
    <row r="87" spans="1:22">
      <c r="A87" s="148"/>
      <c r="B87" s="4"/>
      <c r="C87" s="4"/>
      <c r="D87" s="4"/>
      <c r="E87" s="50"/>
      <c r="F87" s="51"/>
      <c r="G87" s="51"/>
      <c r="H87" s="51"/>
      <c r="I87" s="51"/>
      <c r="J87" s="51"/>
      <c r="K87" s="4"/>
      <c r="L87" s="4"/>
      <c r="M87" s="4"/>
      <c r="N87" s="4"/>
      <c r="O87" s="4"/>
      <c r="P87" s="4"/>
      <c r="Q87" s="4"/>
      <c r="R87" s="4"/>
      <c r="S87" s="4"/>
      <c r="T87" s="4"/>
      <c r="U87" s="4"/>
    </row>
    <row r="88" spans="1:22">
      <c r="A88" s="148"/>
      <c r="B88" s="4"/>
      <c r="C88" s="4"/>
      <c r="D88" s="4"/>
      <c r="E88" s="50"/>
      <c r="F88" s="51"/>
      <c r="G88" s="51"/>
      <c r="H88" s="51"/>
      <c r="I88" s="51"/>
      <c r="J88" s="51"/>
      <c r="K88" s="4"/>
      <c r="L88" s="4"/>
      <c r="M88" s="4"/>
      <c r="N88" s="4"/>
      <c r="O88" s="4"/>
      <c r="P88" s="4"/>
      <c r="Q88" s="4"/>
      <c r="R88" s="4"/>
      <c r="S88" s="4"/>
      <c r="T88" s="4"/>
      <c r="U88" s="4"/>
    </row>
    <row r="89" spans="1:22">
      <c r="A89" s="148"/>
      <c r="B89" s="4"/>
      <c r="C89" s="4"/>
      <c r="D89" s="4"/>
      <c r="E89" s="50"/>
      <c r="F89" s="51"/>
      <c r="G89" s="51"/>
      <c r="H89" s="51"/>
      <c r="I89" s="51"/>
      <c r="J89" s="51"/>
      <c r="K89" s="4"/>
      <c r="L89" s="4"/>
      <c r="M89" s="4"/>
      <c r="N89" s="4"/>
      <c r="O89" s="4"/>
      <c r="P89" s="4"/>
      <c r="Q89" s="4"/>
      <c r="R89" s="4"/>
      <c r="S89" s="4"/>
      <c r="T89" s="4"/>
      <c r="U89" s="4"/>
    </row>
    <row r="90" spans="1:22" s="3" customFormat="1">
      <c r="A90" s="148"/>
      <c r="B90" s="4"/>
      <c r="C90" s="4"/>
      <c r="D90" s="4"/>
      <c r="E90" s="50"/>
      <c r="F90" s="51"/>
      <c r="G90" s="51"/>
      <c r="H90" s="51"/>
      <c r="I90" s="51"/>
      <c r="J90" s="51"/>
      <c r="K90" s="4"/>
      <c r="L90" s="4"/>
      <c r="M90" s="4"/>
      <c r="N90" s="4"/>
      <c r="O90" s="4"/>
      <c r="P90" s="4"/>
      <c r="Q90" s="4"/>
      <c r="R90" s="4"/>
      <c r="S90" s="4"/>
      <c r="T90" s="4"/>
      <c r="U90" s="4"/>
      <c r="V90" s="5"/>
    </row>
    <row r="91" spans="1:22" s="3" customFormat="1">
      <c r="A91" s="148"/>
      <c r="B91" s="4"/>
      <c r="C91" s="4"/>
      <c r="D91" s="4"/>
      <c r="E91" s="50"/>
      <c r="F91" s="51"/>
      <c r="G91" s="51"/>
      <c r="H91" s="51"/>
      <c r="I91" s="51"/>
      <c r="J91" s="51"/>
      <c r="K91" s="4"/>
      <c r="L91" s="4"/>
      <c r="M91" s="4"/>
      <c r="N91" s="4"/>
      <c r="O91" s="4"/>
      <c r="P91" s="4"/>
      <c r="Q91" s="4"/>
      <c r="R91" s="4"/>
      <c r="S91" s="4"/>
      <c r="T91" s="4"/>
      <c r="U91" s="4"/>
      <c r="V91" s="5"/>
    </row>
    <row r="92" spans="1:22" s="3" customFormat="1">
      <c r="A92" s="148"/>
      <c r="B92" s="4"/>
      <c r="C92" s="4"/>
      <c r="D92" s="4"/>
      <c r="E92" s="50"/>
      <c r="F92" s="51"/>
      <c r="G92" s="51"/>
      <c r="H92" s="51"/>
      <c r="I92" s="51"/>
      <c r="J92" s="51"/>
      <c r="K92" s="4"/>
      <c r="L92" s="4"/>
      <c r="M92" s="4"/>
      <c r="N92" s="4"/>
      <c r="O92" s="4"/>
      <c r="P92" s="4"/>
      <c r="Q92" s="4"/>
      <c r="R92" s="4"/>
      <c r="S92" s="4"/>
      <c r="T92" s="4"/>
      <c r="U92" s="4"/>
      <c r="V92" s="5"/>
    </row>
    <row r="93" spans="1:22" s="3" customFormat="1">
      <c r="A93" s="148"/>
      <c r="B93" s="4"/>
      <c r="C93" s="4"/>
      <c r="D93" s="4"/>
      <c r="E93" s="50"/>
      <c r="F93" s="51"/>
      <c r="G93" s="51"/>
      <c r="H93" s="51"/>
      <c r="I93" s="51"/>
      <c r="J93" s="51"/>
      <c r="K93" s="4"/>
      <c r="L93" s="4"/>
      <c r="M93" s="4"/>
      <c r="N93" s="4"/>
      <c r="O93" s="4"/>
      <c r="P93" s="4"/>
      <c r="Q93" s="4"/>
      <c r="R93" s="4"/>
      <c r="S93" s="4"/>
      <c r="T93" s="4"/>
      <c r="U93" s="4"/>
      <c r="V93" s="5"/>
    </row>
    <row r="94" spans="1:22" s="3" customFormat="1">
      <c r="A94" s="148"/>
      <c r="B94" s="4"/>
      <c r="C94" s="4"/>
      <c r="D94" s="4"/>
      <c r="E94" s="50"/>
      <c r="F94" s="51"/>
      <c r="G94" s="51"/>
      <c r="H94" s="51"/>
      <c r="I94" s="51"/>
      <c r="J94" s="51"/>
      <c r="K94" s="4"/>
      <c r="L94" s="4"/>
      <c r="M94" s="4"/>
      <c r="N94" s="4"/>
      <c r="O94" s="4"/>
      <c r="P94" s="4"/>
      <c r="Q94" s="4"/>
      <c r="R94" s="4"/>
      <c r="S94" s="4"/>
      <c r="T94" s="4"/>
      <c r="U94" s="4"/>
      <c r="V94" s="5"/>
    </row>
    <row r="95" spans="1:22" s="3" customFormat="1">
      <c r="A95" s="148"/>
      <c r="B95" s="4"/>
      <c r="C95" s="4"/>
      <c r="D95" s="4"/>
      <c r="E95" s="50"/>
      <c r="F95" s="51"/>
      <c r="G95" s="51"/>
      <c r="H95" s="51"/>
      <c r="I95" s="51"/>
      <c r="J95" s="51"/>
      <c r="K95" s="4"/>
      <c r="L95" s="4"/>
      <c r="M95" s="4"/>
      <c r="N95" s="4"/>
      <c r="O95" s="4"/>
      <c r="P95" s="4"/>
      <c r="Q95" s="4"/>
      <c r="R95" s="4"/>
      <c r="S95" s="4"/>
      <c r="T95" s="4"/>
      <c r="U95" s="4"/>
      <c r="V95" s="5"/>
    </row>
    <row r="96" spans="1:22" s="3" customFormat="1">
      <c r="A96" s="148"/>
      <c r="B96" s="4"/>
      <c r="C96" s="4"/>
      <c r="D96" s="4"/>
      <c r="E96" s="50"/>
      <c r="F96" s="51"/>
      <c r="G96" s="51"/>
      <c r="H96" s="51"/>
      <c r="I96" s="51"/>
      <c r="J96" s="51"/>
      <c r="K96" s="4"/>
      <c r="L96" s="4"/>
      <c r="M96" s="4"/>
      <c r="N96" s="4"/>
      <c r="O96" s="4"/>
      <c r="P96" s="4"/>
      <c r="Q96" s="4"/>
      <c r="R96" s="4"/>
      <c r="S96" s="4"/>
      <c r="T96" s="4"/>
      <c r="U96" s="4"/>
      <c r="V96" s="5"/>
    </row>
    <row r="97" spans="1:21">
      <c r="A97" s="148"/>
      <c r="B97" s="4"/>
      <c r="C97" s="4"/>
      <c r="D97" s="4"/>
      <c r="E97" s="50"/>
      <c r="F97" s="51"/>
      <c r="G97" s="51"/>
      <c r="H97" s="51"/>
      <c r="I97" s="51"/>
      <c r="J97" s="51"/>
      <c r="K97" s="4"/>
      <c r="L97" s="4"/>
      <c r="M97" s="4"/>
      <c r="N97" s="4"/>
      <c r="O97" s="4"/>
      <c r="P97" s="4"/>
      <c r="Q97" s="4"/>
      <c r="R97" s="4"/>
      <c r="S97" s="4"/>
      <c r="T97" s="4"/>
      <c r="U97" s="4"/>
    </row>
    <row r="98" spans="1:21">
      <c r="A98" s="148"/>
      <c r="B98" s="4"/>
      <c r="C98" s="4"/>
      <c r="D98" s="4"/>
      <c r="E98" s="50"/>
      <c r="F98" s="51"/>
      <c r="G98" s="51"/>
      <c r="H98" s="51"/>
      <c r="I98" s="51"/>
      <c r="J98" s="51"/>
      <c r="K98" s="4"/>
      <c r="L98" s="4"/>
      <c r="M98" s="4"/>
      <c r="N98" s="4"/>
      <c r="O98" s="4"/>
      <c r="P98" s="4"/>
      <c r="Q98" s="4"/>
      <c r="R98" s="4"/>
      <c r="S98" s="4"/>
      <c r="T98" s="4"/>
      <c r="U98" s="4"/>
    </row>
    <row r="99" spans="1:21">
      <c r="A99" s="148"/>
      <c r="B99" s="4"/>
      <c r="C99" s="4"/>
      <c r="D99" s="4"/>
      <c r="E99" s="50"/>
      <c r="F99" s="51"/>
      <c r="G99" s="51"/>
      <c r="H99" s="51"/>
      <c r="I99" s="51"/>
      <c r="J99" s="51"/>
      <c r="K99" s="4"/>
      <c r="L99" s="4"/>
      <c r="M99" s="4"/>
      <c r="N99" s="4"/>
      <c r="O99" s="4"/>
      <c r="P99" s="4"/>
      <c r="Q99" s="4"/>
      <c r="R99" s="4"/>
      <c r="S99" s="4"/>
      <c r="T99" s="4"/>
      <c r="U99" s="4"/>
    </row>
    <row r="100" spans="1:21">
      <c r="A100" s="148"/>
      <c r="B100" s="4"/>
      <c r="C100" s="4"/>
      <c r="D100" s="4"/>
      <c r="E100" s="50"/>
      <c r="F100" s="51"/>
      <c r="G100" s="51"/>
      <c r="H100" s="51"/>
      <c r="I100" s="51"/>
      <c r="J100" s="51"/>
      <c r="K100" s="4"/>
      <c r="L100" s="4"/>
      <c r="M100" s="4"/>
      <c r="N100" s="4"/>
      <c r="O100" s="4"/>
      <c r="P100" s="4"/>
      <c r="Q100" s="4"/>
      <c r="R100" s="4"/>
      <c r="S100" s="4"/>
      <c r="T100" s="4"/>
      <c r="U100" s="4"/>
    </row>
    <row r="101" spans="1:21">
      <c r="A101" s="148"/>
    </row>
    <row r="102" spans="1:21"/>
    <row r="103" spans="1:21"/>
    <row r="104" spans="1:21"/>
    <row r="105" spans="1:21"/>
    <row r="106" spans="1:21"/>
    <row r="107" spans="1:21"/>
    <row r="108" spans="1:21"/>
    <row r="109" spans="1:21"/>
    <row r="110" spans="1:21"/>
    <row r="111" spans="1:21"/>
    <row r="112" spans="1:21"/>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sheetData>
  <mergeCells count="1">
    <mergeCell ref="F3:L5"/>
  </mergeCells>
  <conditionalFormatting sqref="A1:A7">
    <cfRule type="cellIs" dxfId="21" priority="36" operator="equal">
      <formula>0</formula>
    </cfRule>
  </conditionalFormatting>
  <conditionalFormatting sqref="B29:J34">
    <cfRule type="cellIs" dxfId="20" priority="37" operator="equal">
      <formula>0</formula>
    </cfRule>
  </conditionalFormatting>
  <conditionalFormatting sqref="C17:XFD17">
    <cfRule type="cellIs" dxfId="19" priority="51" operator="equal">
      <formula>0</formula>
    </cfRule>
  </conditionalFormatting>
  <conditionalFormatting sqref="E3:F3">
    <cfRule type="cellIs" dxfId="18" priority="63" operator="equal">
      <formula>0</formula>
    </cfRule>
  </conditionalFormatting>
  <conditionalFormatting sqref="E9:J9">
    <cfRule type="cellIs" dxfId="17" priority="113" operator="equal">
      <formula>0</formula>
    </cfRule>
  </conditionalFormatting>
  <conditionalFormatting sqref="F10:J16">
    <cfRule type="cellIs" dxfId="16" priority="7" operator="equal">
      <formula>0</formula>
    </cfRule>
  </conditionalFormatting>
  <conditionalFormatting sqref="F13:J13">
    <cfRule type="colorScale" priority="1">
      <colorScale>
        <cfvo type="min"/>
        <cfvo type="max"/>
        <color rgb="FFD9FBE2"/>
        <color rgb="FF43AF43"/>
      </colorScale>
    </cfRule>
    <cfRule type="colorScale" priority="2">
      <colorScale>
        <cfvo type="min"/>
        <cfvo type="max"/>
        <color rgb="FFFCFCFF"/>
        <color rgb="FF43AF43"/>
      </colorScale>
    </cfRule>
    <cfRule type="colorScale" priority="3">
      <colorScale>
        <cfvo type="min"/>
        <cfvo type="max"/>
        <color rgb="FFD9FBE2"/>
        <color rgb="FF43AF43"/>
      </colorScale>
    </cfRule>
    <cfRule type="colorScale" priority="4">
      <colorScale>
        <cfvo type="min"/>
        <cfvo type="max"/>
        <color rgb="FFFCFCFF"/>
        <color rgb="FF43AF43"/>
      </colorScale>
    </cfRule>
    <cfRule type="colorScale" priority="5">
      <colorScale>
        <cfvo type="min"/>
        <cfvo type="max"/>
        <color rgb="FFD9FBE2"/>
        <color rgb="FF43AF43"/>
      </colorScale>
    </cfRule>
    <cfRule type="colorScale" priority="6">
      <colorScale>
        <cfvo type="min"/>
        <cfvo type="max"/>
        <color rgb="FFFCFCFF"/>
        <color rgb="FF43AF43"/>
      </colorScale>
    </cfRule>
  </conditionalFormatting>
  <conditionalFormatting sqref="J21:J25">
    <cfRule type="cellIs" dxfId="15" priority="85" operator="equal">
      <formula>0</formula>
    </cfRule>
  </conditionalFormatting>
  <conditionalFormatting sqref="J29:J33">
    <cfRule type="cellIs" dxfId="14" priority="70" operator="equal">
      <formula>0</formula>
    </cfRule>
  </conditionalFormatting>
  <conditionalFormatting sqref="M9:M11">
    <cfRule type="cellIs" dxfId="13" priority="8" operator="equal">
      <formula>0</formula>
    </cfRule>
  </conditionalFormatting>
  <conditionalFormatting sqref="M14:N15">
    <cfRule type="cellIs" dxfId="12" priority="44" operator="equal">
      <formula>0</formula>
    </cfRule>
  </conditionalFormatting>
  <conditionalFormatting sqref="M12:O12">
    <cfRule type="cellIs" dxfId="11" priority="60" operator="equal">
      <formula>0</formula>
    </cfRule>
  </conditionalFormatting>
  <conditionalFormatting sqref="M13:O13">
    <cfRule type="cellIs" dxfId="10" priority="48" operator="equal">
      <formula>0</formula>
    </cfRule>
    <cfRule type="colorScale" priority="1236">
      <colorScale>
        <cfvo type="min"/>
        <cfvo type="max"/>
        <color rgb="FFD9FBE2"/>
        <color rgb="FF00C556"/>
      </colorScale>
    </cfRule>
    <cfRule type="colorScale" priority="1237">
      <colorScale>
        <cfvo type="min"/>
        <cfvo type="max"/>
        <color rgb="FFFCFCFF"/>
        <color rgb="FF63BE7B"/>
      </colorScale>
    </cfRule>
  </conditionalFormatting>
  <conditionalFormatting sqref="M16:Q16">
    <cfRule type="cellIs" dxfId="9" priority="42" operator="equal">
      <formula>0</formula>
    </cfRule>
  </conditionalFormatting>
  <conditionalFormatting sqref="N10:N13 M12:M13 O12:O13 C1:XFD2 B1:B20 C3:D5 P3:XFD5 C6:XFD8 C9:D16 K9:K16 R9:XFD16 L18:XFD18 C18:J19 K18:K34 L19:Q27 R19:XFD34 C20:D20 F20:J20 A20:A1048576 E21:J27 B21:D28 F28:J28 M28:Q28 L29:Q34 L35:XFD99 B35:U100 B100:XFD1048576">
    <cfRule type="cellIs" dxfId="8" priority="119" operator="equal">
      <formula>0</formula>
    </cfRule>
  </conditionalFormatting>
  <conditionalFormatting sqref="N9:Q9">
    <cfRule type="cellIs" dxfId="7" priority="9" operator="equal">
      <formula>0</formula>
    </cfRule>
  </conditionalFormatting>
  <conditionalFormatting sqref="O10:Q15">
    <cfRule type="cellIs" dxfId="6" priority="61" operator="equal">
      <formula>0</formula>
    </cfRule>
  </conditionalFormatting>
  <hyperlinks>
    <hyperlink ref="A18" location="Processos!A1" display="Processos" xr:uid="{8D15E547-4FFD-4114-90D5-3CC2384CCD14}"/>
    <hyperlink ref="A8" location="Dashboard!A1" display="Dashboard" xr:uid="{6D6AEE07-558B-48B0-9CBB-46A0274638CB}"/>
    <hyperlink ref="A9" location="WACC!A1" display="WACC" xr:uid="{782F3CE0-D327-4FAC-93A4-FF493FA18D0D}"/>
    <hyperlink ref="A11" location="'DRE + DCF'!A1" display="DRE + DCF" xr:uid="{7DECF909-12A1-40CF-8486-D2242A582471}"/>
    <hyperlink ref="A12" location="'DRE - Contas Abertas'!A1" display="DRE - Contas Abertas" xr:uid="{E94C43B6-08BF-4D8A-B47E-3D75DA3E1196}"/>
    <hyperlink ref="A13" location="'Balanço Patrimonial'!A1" display="Balanço Patrimonial" xr:uid="{6D985B48-3F5E-43B0-87EB-D71040934DD4}"/>
    <hyperlink ref="A14" location="'Painel de Índices'!A1" display="Projeções - Receita" xr:uid="{49D930B8-8607-43DD-815C-48B15AAC5A13}"/>
    <hyperlink ref="A16" location="'Projeções - CG + Capex'!A1" display="Projeções - CG + Capex" xr:uid="{B0DA1FAA-4281-4140-BA06-3D82B7AF807D}"/>
    <hyperlink ref="A10" location="'DRE Consolidado'!A1" display="DRE Consolidado" xr:uid="{7C3D6AA2-9840-4C92-BCDF-033541FF5CD9}"/>
    <hyperlink ref="A15" location="'Projeções - Receita e EBIT'!A1" display="Projeções - Receita" xr:uid="{1D592DA4-BB52-4F06-8342-A67EB5FD1745}"/>
    <hyperlink ref="A17" location="'Projeções 2023'!A1" display="Projeções 2022" xr:uid="{8FF008D3-EC4F-4FC8-AFC6-287675EC9F3E}"/>
  </hyperlinks>
  <pageMargins left="0.511811024" right="0.511811024" top="0.78740157499999996" bottom="0.78740157499999996" header="0.31496062000000002" footer="0.31496062000000002"/>
  <drawing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36426A-93AF-400B-9BD9-DC5FB452C160}">
  <sheetPr codeName="Sheet6"/>
  <dimension ref="A1:BB140"/>
  <sheetViews>
    <sheetView showGridLines="0" tabSelected="1" topLeftCell="A8" zoomScale="80" zoomScaleNormal="80" workbookViewId="0">
      <selection activeCell="A17" sqref="A17"/>
    </sheetView>
  </sheetViews>
  <sheetFormatPr defaultColWidth="0" defaultRowHeight="15" zeroHeight="1"/>
  <cols>
    <col min="1" max="1" width="34.7109375" style="122" customWidth="1"/>
    <col min="2" max="4" width="9.140625" style="5" customWidth="1"/>
    <col min="5" max="5" width="26.28515625" style="5" bestFit="1" customWidth="1"/>
    <col min="6" max="6" width="56" style="5" customWidth="1"/>
    <col min="7" max="7" width="23.140625" style="5" customWidth="1"/>
    <col min="8" max="8" width="30" style="5" bestFit="1" customWidth="1"/>
    <col min="9" max="9" width="28.85546875" style="5" bestFit="1" customWidth="1"/>
    <col min="10" max="10" width="11.85546875" style="5" customWidth="1"/>
    <col min="11" max="11" width="15.7109375" style="5" customWidth="1"/>
    <col min="12" max="12" width="11.85546875" style="5" customWidth="1"/>
    <col min="13" max="13" width="11.85546875" style="5" hidden="1"/>
    <col min="14" max="14" width="14" style="5" hidden="1"/>
    <col min="15" max="24" width="9.140625" style="5" customWidth="1"/>
    <col min="25" max="25" width="9.140625" style="5" hidden="1" customWidth="1"/>
    <col min="26" max="29" width="0" style="5" hidden="1" customWidth="1"/>
    <col min="30" max="31" width="9.140625" style="5" hidden="1" customWidth="1"/>
    <col min="32" max="35" width="0" style="5" hidden="1" customWidth="1"/>
    <col min="36" max="37" width="9.140625" style="5" hidden="1" customWidth="1"/>
    <col min="38" max="41" width="0" style="5" hidden="1" customWidth="1"/>
    <col min="42" max="42" width="9.140625" style="5" hidden="1" customWidth="1"/>
    <col min="43" max="46" width="0" style="5" hidden="1" customWidth="1"/>
    <col min="47" max="48" width="9.140625" style="5" hidden="1" customWidth="1"/>
    <col min="49" max="52" width="0" style="5" hidden="1" customWidth="1"/>
    <col min="53" max="54" width="9.140625" style="5" hidden="1" customWidth="1"/>
    <col min="55" max="16384" width="0" style="5" hidden="1"/>
  </cols>
  <sheetData>
    <row r="1" spans="1:27" ht="15" customHeight="1">
      <c r="B1" s="4"/>
      <c r="C1" s="4"/>
      <c r="D1" s="4"/>
      <c r="E1" s="4"/>
      <c r="F1" s="4"/>
      <c r="G1" s="4"/>
      <c r="H1" s="4"/>
      <c r="I1" s="4"/>
      <c r="J1" s="4"/>
      <c r="K1" s="4"/>
      <c r="L1" s="4"/>
      <c r="M1" s="133" t="s">
        <v>80</v>
      </c>
      <c r="N1" s="133" t="s">
        <v>81</v>
      </c>
      <c r="O1" s="4"/>
      <c r="P1" s="4"/>
      <c r="Q1" s="4"/>
      <c r="R1" s="4"/>
      <c r="S1" s="4"/>
      <c r="T1" s="4"/>
      <c r="U1" s="4"/>
      <c r="V1" s="4"/>
      <c r="W1" s="4"/>
      <c r="X1" s="4"/>
    </row>
    <row r="2" spans="1:27" ht="15" customHeight="1">
      <c r="B2" s="4"/>
      <c r="C2" s="4"/>
      <c r="D2" s="4"/>
      <c r="E2" s="4"/>
      <c r="F2" s="4"/>
      <c r="G2" s="4"/>
      <c r="H2" s="4"/>
      <c r="I2" s="4"/>
      <c r="J2" s="4"/>
      <c r="K2" s="4"/>
      <c r="L2" s="6"/>
      <c r="M2" s="133" t="s">
        <v>82</v>
      </c>
      <c r="N2" s="133" t="s">
        <v>83</v>
      </c>
      <c r="O2" s="4"/>
      <c r="P2" s="4"/>
      <c r="Q2" s="4"/>
      <c r="R2" s="4"/>
      <c r="S2" s="4"/>
      <c r="T2" s="4"/>
      <c r="U2" s="4"/>
      <c r="V2" s="4"/>
      <c r="W2" s="4"/>
      <c r="X2" s="4"/>
    </row>
    <row r="3" spans="1:27" ht="15" customHeight="1">
      <c r="B3" s="4"/>
      <c r="C3" s="4"/>
      <c r="D3" s="4"/>
      <c r="E3" s="4"/>
      <c r="F3" s="343" t="str">
        <f>Dashboard!H3</f>
        <v>SIMPAR (SIMH3)</v>
      </c>
      <c r="G3" s="343"/>
      <c r="H3" s="343"/>
      <c r="I3" s="343"/>
      <c r="J3" s="4"/>
      <c r="K3" s="4"/>
      <c r="L3" s="6"/>
      <c r="M3" s="133" t="s">
        <v>84</v>
      </c>
      <c r="N3" s="133" t="s">
        <v>85</v>
      </c>
      <c r="O3" s="4"/>
      <c r="P3" s="4"/>
      <c r="Q3" s="4"/>
      <c r="R3" s="4"/>
      <c r="S3" s="4"/>
      <c r="T3" s="4"/>
      <c r="U3" s="4"/>
      <c r="V3" s="4"/>
      <c r="W3" s="4"/>
      <c r="X3" s="4"/>
    </row>
    <row r="4" spans="1:27" ht="15" customHeight="1">
      <c r="B4" s="4"/>
      <c r="C4" s="4"/>
      <c r="D4" s="4"/>
      <c r="E4" s="4"/>
      <c r="F4" s="343"/>
      <c r="G4" s="343"/>
      <c r="H4" s="343"/>
      <c r="I4" s="343"/>
      <c r="J4" s="4"/>
      <c r="K4" s="4"/>
      <c r="L4" s="6"/>
      <c r="M4" s="133"/>
      <c r="N4" s="133" t="s">
        <v>86</v>
      </c>
      <c r="O4" s="4"/>
      <c r="P4" s="4"/>
      <c r="Q4" s="4"/>
      <c r="R4" s="4"/>
      <c r="S4" s="4"/>
      <c r="T4" s="4"/>
      <c r="U4" s="4"/>
      <c r="V4" s="4"/>
      <c r="W4" s="4"/>
      <c r="X4" s="4"/>
    </row>
    <row r="5" spans="1:27" ht="15" customHeight="1">
      <c r="B5" s="4"/>
      <c r="C5" s="4"/>
      <c r="D5" s="4"/>
      <c r="E5" s="4"/>
      <c r="F5" s="414"/>
      <c r="G5" s="414"/>
      <c r="H5" s="414"/>
      <c r="I5" s="414"/>
      <c r="J5" s="4"/>
      <c r="K5" s="4"/>
      <c r="L5" s="6"/>
      <c r="M5" s="65"/>
      <c r="N5" s="4"/>
      <c r="O5" s="4"/>
      <c r="P5" s="4"/>
      <c r="Q5" s="4"/>
      <c r="R5" s="4"/>
      <c r="S5" s="4"/>
      <c r="T5" s="4"/>
      <c r="U5" s="4"/>
      <c r="V5" s="4"/>
      <c r="W5" s="4"/>
      <c r="X5" s="4"/>
    </row>
    <row r="6" spans="1:27">
      <c r="B6" s="4"/>
      <c r="C6" s="4"/>
      <c r="D6" s="4"/>
      <c r="E6" s="4"/>
      <c r="F6" s="4"/>
      <c r="G6" s="4"/>
      <c r="H6" s="4"/>
      <c r="I6" s="4"/>
      <c r="J6" s="4"/>
      <c r="K6" s="4"/>
      <c r="L6" s="4"/>
      <c r="M6" s="4"/>
      <c r="N6" s="4"/>
      <c r="O6" s="4"/>
      <c r="P6" s="4"/>
      <c r="Q6" s="4"/>
      <c r="R6" s="4"/>
      <c r="S6" s="4"/>
      <c r="T6" s="4"/>
      <c r="U6" s="4"/>
      <c r="V6" s="4"/>
      <c r="W6" s="4"/>
      <c r="X6" s="4"/>
    </row>
    <row r="7" spans="1:27" s="11" customFormat="1" ht="24.75" customHeight="1">
      <c r="A7" s="142" t="s">
        <v>33</v>
      </c>
      <c r="B7" s="10"/>
      <c r="C7" s="10"/>
      <c r="D7" s="10"/>
      <c r="E7" s="10"/>
      <c r="F7" s="10"/>
      <c r="G7" s="10"/>
      <c r="H7" s="10"/>
      <c r="I7" s="10"/>
      <c r="J7" s="10"/>
      <c r="K7" s="10"/>
      <c r="L7" s="10"/>
      <c r="M7" s="10"/>
      <c r="N7" s="10"/>
      <c r="O7" s="10"/>
      <c r="P7" s="10"/>
      <c r="Q7" s="10"/>
      <c r="R7" s="10"/>
      <c r="S7" s="10"/>
      <c r="T7" s="10"/>
      <c r="U7" s="10"/>
      <c r="V7" s="10"/>
      <c r="W7" s="10"/>
      <c r="X7" s="10"/>
    </row>
    <row r="8" spans="1:27" ht="30" customHeight="1">
      <c r="A8" s="12" t="s">
        <v>34</v>
      </c>
      <c r="B8" s="4"/>
      <c r="C8" s="10"/>
      <c r="D8" s="10"/>
      <c r="E8" s="134"/>
      <c r="F8" s="134"/>
      <c r="G8" s="134"/>
      <c r="H8" s="134"/>
      <c r="I8" s="134"/>
      <c r="J8" s="10"/>
      <c r="K8" s="10"/>
      <c r="L8" s="10"/>
      <c r="M8" s="10"/>
      <c r="N8" s="10"/>
      <c r="O8" s="10"/>
      <c r="P8" s="10"/>
      <c r="Q8" s="10"/>
      <c r="R8" s="10"/>
      <c r="S8" s="10"/>
      <c r="T8" s="10"/>
      <c r="U8" s="4"/>
      <c r="V8" s="4"/>
      <c r="W8" s="4"/>
      <c r="X8" s="4"/>
    </row>
    <row r="9" spans="1:27" ht="30" customHeight="1">
      <c r="A9" s="12" t="s">
        <v>23</v>
      </c>
      <c r="B9" s="4"/>
      <c r="C9" s="10"/>
      <c r="D9" s="4"/>
      <c r="E9" s="135"/>
      <c r="F9" s="136"/>
      <c r="G9" s="136"/>
      <c r="H9" s="134"/>
      <c r="I9" s="134"/>
      <c r="J9" s="10"/>
      <c r="K9" s="10"/>
      <c r="L9" s="10"/>
      <c r="M9" s="10"/>
      <c r="N9" s="10"/>
      <c r="O9" s="10"/>
      <c r="P9" s="10"/>
      <c r="Q9" s="10"/>
      <c r="R9" s="10"/>
      <c r="S9" s="10"/>
      <c r="T9" s="10"/>
      <c r="U9" s="4"/>
      <c r="V9" s="4"/>
      <c r="W9" s="4"/>
      <c r="X9" s="4"/>
      <c r="Y9" s="4"/>
      <c r="Z9" s="4"/>
      <c r="AA9" s="4"/>
    </row>
    <row r="10" spans="1:27" ht="30" customHeight="1">
      <c r="A10" s="12" t="s">
        <v>330</v>
      </c>
      <c r="B10" s="4"/>
      <c r="C10" s="10"/>
      <c r="D10" s="4"/>
      <c r="E10" s="137"/>
      <c r="F10" s="37" t="s">
        <v>476</v>
      </c>
      <c r="G10" s="37" t="s">
        <v>87</v>
      </c>
      <c r="H10" s="37" t="s">
        <v>88</v>
      </c>
      <c r="I10" s="104" t="s">
        <v>89</v>
      </c>
      <c r="J10" s="10"/>
      <c r="K10" s="10"/>
      <c r="L10" s="10"/>
      <c r="M10" s="10"/>
      <c r="N10" s="10"/>
      <c r="O10" s="10"/>
      <c r="P10" s="10"/>
      <c r="Q10" s="10"/>
      <c r="R10" s="10"/>
      <c r="S10" s="10"/>
      <c r="T10" s="10"/>
      <c r="U10" s="4"/>
      <c r="V10" s="4"/>
      <c r="W10" s="4"/>
      <c r="X10" s="4"/>
      <c r="Y10" s="4"/>
      <c r="Z10" s="4"/>
      <c r="AA10" s="4"/>
    </row>
    <row r="11" spans="1:27" ht="30" customHeight="1">
      <c r="A11" s="12" t="s">
        <v>36</v>
      </c>
      <c r="B11" s="4"/>
      <c r="C11" s="10"/>
      <c r="D11" s="4"/>
      <c r="E11" s="137" t="s">
        <v>90</v>
      </c>
      <c r="F11" s="42">
        <v>541</v>
      </c>
      <c r="G11" s="42">
        <v>0</v>
      </c>
      <c r="H11" s="42">
        <v>138400</v>
      </c>
      <c r="I11" s="45"/>
      <c r="J11" s="10"/>
      <c r="K11" s="10"/>
      <c r="L11" s="10"/>
      <c r="M11" s="10"/>
      <c r="N11" s="10"/>
      <c r="O11" s="10"/>
      <c r="P11" s="10"/>
      <c r="Q11" s="10"/>
      <c r="R11" s="10"/>
      <c r="S11" s="10"/>
      <c r="T11" s="10"/>
      <c r="U11" s="4"/>
      <c r="V11" s="4"/>
      <c r="W11" s="4"/>
      <c r="X11" s="4"/>
      <c r="Y11" s="4"/>
      <c r="Z11" s="4"/>
      <c r="AA11" s="4"/>
    </row>
    <row r="12" spans="1:27" ht="30" customHeight="1">
      <c r="A12" s="167" t="s">
        <v>127</v>
      </c>
      <c r="B12" s="4"/>
      <c r="C12" s="10"/>
      <c r="D12" s="4"/>
      <c r="E12" s="137" t="s">
        <v>91</v>
      </c>
      <c r="F12" s="42">
        <v>4930</v>
      </c>
      <c r="G12" s="42">
        <v>18700</v>
      </c>
      <c r="H12" s="42">
        <v>116900</v>
      </c>
      <c r="I12" s="45"/>
      <c r="J12" s="10"/>
      <c r="K12" s="10"/>
      <c r="L12" s="10"/>
      <c r="M12" s="10"/>
      <c r="N12" s="10"/>
      <c r="O12" s="10"/>
      <c r="P12" s="10"/>
      <c r="Q12" s="10"/>
      <c r="R12" s="10"/>
      <c r="S12" s="10"/>
      <c r="T12" s="10"/>
      <c r="U12" s="4"/>
      <c r="V12" s="4"/>
      <c r="W12" s="4"/>
      <c r="X12" s="4"/>
    </row>
    <row r="13" spans="1:27" ht="30" customHeight="1" thickBot="1">
      <c r="A13" s="12" t="s">
        <v>37</v>
      </c>
      <c r="B13" s="4"/>
      <c r="C13" s="10"/>
      <c r="D13" s="4"/>
      <c r="E13" s="220" t="s">
        <v>92</v>
      </c>
      <c r="F13" s="177">
        <v>3259</v>
      </c>
      <c r="G13" s="177">
        <v>156100</v>
      </c>
      <c r="H13" s="177">
        <v>141200</v>
      </c>
      <c r="I13" s="189"/>
      <c r="J13" s="10"/>
      <c r="K13" s="10"/>
      <c r="L13" s="10"/>
      <c r="M13" s="10"/>
      <c r="N13" s="10"/>
      <c r="O13" s="10"/>
      <c r="P13" s="10"/>
      <c r="Q13" s="10"/>
      <c r="R13" s="10"/>
      <c r="S13" s="10"/>
      <c r="T13" s="10"/>
      <c r="U13" s="4"/>
      <c r="V13" s="4"/>
      <c r="W13" s="4"/>
      <c r="X13" s="4"/>
    </row>
    <row r="14" spans="1:27" ht="30" customHeight="1">
      <c r="A14" s="167" t="s">
        <v>100</v>
      </c>
      <c r="B14" s="4"/>
      <c r="C14" s="10"/>
      <c r="D14" s="4"/>
      <c r="E14" s="192"/>
      <c r="F14" s="182"/>
      <c r="G14" s="182"/>
      <c r="H14" s="182"/>
      <c r="I14" s="182"/>
      <c r="J14" s="10"/>
      <c r="K14" s="10"/>
      <c r="L14" s="10"/>
      <c r="M14" s="10"/>
      <c r="N14" s="10"/>
      <c r="O14" s="10"/>
      <c r="P14" s="10"/>
      <c r="Q14" s="10"/>
      <c r="R14" s="10"/>
      <c r="S14" s="10"/>
      <c r="T14" s="10"/>
      <c r="U14" s="4"/>
      <c r="V14" s="4"/>
      <c r="W14" s="4"/>
      <c r="X14" s="4"/>
    </row>
    <row r="15" spans="1:27" ht="30" customHeight="1">
      <c r="A15" s="12" t="s">
        <v>331</v>
      </c>
      <c r="B15" s="4"/>
      <c r="C15" s="10"/>
      <c r="D15" s="4"/>
      <c r="E15" s="50"/>
      <c r="F15" s="51"/>
      <c r="G15" s="51"/>
      <c r="H15" s="51"/>
      <c r="I15" s="51"/>
      <c r="J15" s="10"/>
      <c r="K15" s="10"/>
      <c r="L15" s="10"/>
      <c r="M15" s="10"/>
      <c r="N15" s="10"/>
      <c r="O15" s="10"/>
      <c r="P15" s="10"/>
      <c r="Q15" s="10"/>
      <c r="R15" s="10"/>
      <c r="S15" s="10"/>
      <c r="T15" s="10"/>
      <c r="U15" s="4"/>
      <c r="V15" s="4"/>
      <c r="W15" s="4"/>
      <c r="X15" s="4"/>
    </row>
    <row r="16" spans="1:27" ht="30" customHeight="1">
      <c r="A16" s="167" t="s">
        <v>129</v>
      </c>
      <c r="B16" s="4"/>
      <c r="C16" s="10"/>
      <c r="D16" s="4"/>
      <c r="E16" s="50"/>
      <c r="F16" s="51"/>
      <c r="G16" s="51"/>
      <c r="H16" s="51"/>
      <c r="I16" s="51"/>
      <c r="J16" s="51"/>
      <c r="K16" s="10"/>
      <c r="L16" s="10"/>
      <c r="M16" s="10"/>
      <c r="N16" s="10"/>
      <c r="O16" s="10"/>
      <c r="P16" s="10"/>
      <c r="Q16" s="10"/>
      <c r="R16" s="10"/>
      <c r="S16" s="10"/>
      <c r="T16" s="10"/>
      <c r="U16" s="4"/>
      <c r="V16" s="4"/>
      <c r="W16" s="4"/>
      <c r="X16" s="4"/>
    </row>
    <row r="17" spans="1:24" ht="30" customHeight="1">
      <c r="A17" s="167" t="s">
        <v>493</v>
      </c>
      <c r="B17" s="4"/>
      <c r="C17" s="10"/>
      <c r="D17" s="4"/>
      <c r="E17" s="134"/>
      <c r="F17" s="134"/>
      <c r="G17" s="134"/>
      <c r="H17" s="134"/>
      <c r="I17" s="134"/>
      <c r="J17" s="4"/>
      <c r="K17" s="10"/>
      <c r="L17" s="10"/>
      <c r="M17" s="10"/>
      <c r="N17" s="10"/>
      <c r="O17" s="10"/>
      <c r="P17" s="10"/>
      <c r="Q17" s="10"/>
      <c r="R17" s="10"/>
      <c r="S17" s="10"/>
      <c r="T17" s="10"/>
      <c r="U17" s="4"/>
      <c r="V17" s="4"/>
      <c r="W17" s="4"/>
      <c r="X17" s="4"/>
    </row>
    <row r="18" spans="1:24" ht="30" customHeight="1">
      <c r="A18" s="33" t="s">
        <v>128</v>
      </c>
      <c r="B18" s="4"/>
      <c r="C18" s="10"/>
      <c r="D18" s="4"/>
      <c r="E18" s="224" t="s">
        <v>186</v>
      </c>
      <c r="F18" s="37" t="s">
        <v>187</v>
      </c>
      <c r="G18" s="37" t="s">
        <v>188</v>
      </c>
      <c r="H18" s="37" t="s">
        <v>189</v>
      </c>
      <c r="I18" s="104" t="s">
        <v>190</v>
      </c>
      <c r="J18" s="10"/>
      <c r="K18" s="10"/>
      <c r="L18" s="10"/>
      <c r="M18" s="10"/>
      <c r="N18" s="10"/>
      <c r="O18" s="10"/>
      <c r="P18" s="10"/>
      <c r="Q18" s="10"/>
      <c r="R18" s="10"/>
      <c r="S18" s="10"/>
      <c r="T18" s="10"/>
      <c r="U18" s="4"/>
      <c r="V18" s="4"/>
      <c r="W18" s="4"/>
      <c r="X18" s="4"/>
    </row>
    <row r="19" spans="1:24" ht="30" customHeight="1">
      <c r="A19" s="12"/>
      <c r="B19" s="4"/>
      <c r="C19" s="10"/>
      <c r="D19" s="4"/>
      <c r="E19" s="225" t="s">
        <v>352</v>
      </c>
      <c r="F19" s="87" t="s">
        <v>353</v>
      </c>
      <c r="G19" s="42">
        <v>85216</v>
      </c>
      <c r="H19" s="42" t="s">
        <v>80</v>
      </c>
      <c r="I19" s="226"/>
      <c r="J19" s="10"/>
      <c r="K19" s="10"/>
      <c r="L19" s="10"/>
      <c r="M19" s="10"/>
      <c r="N19" s="10"/>
      <c r="O19" s="10"/>
      <c r="P19" s="10"/>
      <c r="Q19" s="10"/>
      <c r="R19" s="10"/>
      <c r="S19" s="10"/>
      <c r="T19" s="10"/>
      <c r="U19" s="4"/>
      <c r="V19" s="4"/>
      <c r="W19" s="4"/>
      <c r="X19" s="4"/>
    </row>
    <row r="20" spans="1:24" ht="30" customHeight="1">
      <c r="A20" s="77"/>
      <c r="B20" s="4"/>
      <c r="C20" s="10"/>
      <c r="D20" s="4"/>
      <c r="E20" s="225" t="s">
        <v>354</v>
      </c>
      <c r="F20" s="87" t="s">
        <v>355</v>
      </c>
      <c r="G20" s="42">
        <v>134801</v>
      </c>
      <c r="H20" s="42" t="s">
        <v>80</v>
      </c>
      <c r="I20" s="226"/>
      <c r="J20" s="10"/>
      <c r="K20" s="10"/>
      <c r="L20" s="10"/>
      <c r="M20" s="10"/>
      <c r="N20" s="10"/>
      <c r="O20" s="10"/>
      <c r="P20" s="10"/>
      <c r="Q20" s="10"/>
      <c r="R20" s="10"/>
      <c r="S20" s="10"/>
      <c r="T20" s="10"/>
      <c r="U20" s="4"/>
      <c r="V20" s="4"/>
      <c r="W20" s="4"/>
      <c r="X20" s="4"/>
    </row>
    <row r="21" spans="1:24" ht="30" customHeight="1">
      <c r="A21" s="77"/>
      <c r="B21" s="4"/>
      <c r="C21" s="10"/>
      <c r="D21" s="4"/>
      <c r="E21" s="225" t="s">
        <v>356</v>
      </c>
      <c r="F21" s="87" t="s">
        <v>357</v>
      </c>
      <c r="G21" s="42">
        <v>597401</v>
      </c>
      <c r="H21" s="42" t="s">
        <v>80</v>
      </c>
      <c r="I21" s="226"/>
      <c r="J21" s="10"/>
      <c r="K21" s="10"/>
      <c r="L21" s="10"/>
      <c r="M21" s="10"/>
      <c r="N21" s="10"/>
      <c r="O21" s="10"/>
      <c r="P21" s="10"/>
      <c r="Q21" s="10"/>
      <c r="R21" s="10"/>
      <c r="S21" s="10"/>
      <c r="T21" s="10"/>
      <c r="U21" s="4"/>
      <c r="V21" s="4"/>
      <c r="W21" s="4"/>
      <c r="X21" s="4"/>
    </row>
    <row r="22" spans="1:24" ht="30" customHeight="1">
      <c r="A22" s="77"/>
      <c r="B22" s="4"/>
      <c r="C22" s="10"/>
      <c r="D22" s="4"/>
      <c r="E22" s="225" t="s">
        <v>358</v>
      </c>
      <c r="F22" s="87" t="s">
        <v>359</v>
      </c>
      <c r="G22" s="42">
        <v>195085</v>
      </c>
      <c r="H22" s="42" t="s">
        <v>82</v>
      </c>
      <c r="I22" s="226" t="s">
        <v>360</v>
      </c>
      <c r="J22" s="10"/>
      <c r="K22" s="10"/>
      <c r="L22" s="10"/>
      <c r="M22" s="10"/>
      <c r="N22" s="10"/>
      <c r="O22" s="10"/>
      <c r="P22" s="10"/>
      <c r="Q22" s="10"/>
      <c r="R22" s="10"/>
      <c r="S22" s="10"/>
      <c r="T22" s="10"/>
      <c r="U22" s="4"/>
      <c r="V22" s="4"/>
      <c r="W22" s="4"/>
      <c r="X22" s="4"/>
    </row>
    <row r="23" spans="1:24" ht="30" customHeight="1">
      <c r="A23" s="77"/>
      <c r="B23" s="4"/>
      <c r="C23" s="10"/>
      <c r="D23" s="4"/>
      <c r="E23" s="225" t="s">
        <v>361</v>
      </c>
      <c r="F23" s="87" t="s">
        <v>362</v>
      </c>
      <c r="G23" s="42">
        <v>4023</v>
      </c>
      <c r="H23" s="42" t="s">
        <v>82</v>
      </c>
      <c r="I23" s="226" t="s">
        <v>363</v>
      </c>
      <c r="J23" s="10"/>
      <c r="K23" s="10"/>
      <c r="L23" s="10"/>
      <c r="M23" s="10"/>
      <c r="N23" s="10"/>
      <c r="O23" s="10"/>
      <c r="P23" s="10"/>
      <c r="Q23" s="10"/>
      <c r="R23" s="10"/>
      <c r="S23" s="10"/>
      <c r="T23" s="10"/>
      <c r="U23" s="4"/>
      <c r="V23" s="4"/>
      <c r="W23" s="4"/>
      <c r="X23" s="4"/>
    </row>
    <row r="24" spans="1:24" ht="30" customHeight="1">
      <c r="A24" s="77"/>
      <c r="B24" s="4"/>
      <c r="C24" s="10"/>
      <c r="D24" s="4"/>
      <c r="E24" s="225" t="s">
        <v>364</v>
      </c>
      <c r="F24" s="87" t="s">
        <v>365</v>
      </c>
      <c r="G24" s="42">
        <v>24193</v>
      </c>
      <c r="H24" s="42" t="s">
        <v>82</v>
      </c>
      <c r="I24" s="226" t="s">
        <v>366</v>
      </c>
      <c r="J24" s="10"/>
      <c r="K24" s="10"/>
      <c r="L24" s="10"/>
      <c r="M24" s="10"/>
      <c r="N24" s="10"/>
      <c r="O24" s="10"/>
      <c r="P24" s="10"/>
      <c r="Q24" s="10"/>
      <c r="R24" s="10"/>
      <c r="S24" s="10"/>
      <c r="T24" s="10"/>
      <c r="U24" s="4"/>
      <c r="V24" s="4"/>
      <c r="W24" s="4"/>
      <c r="X24" s="4"/>
    </row>
    <row r="25" spans="1:24" ht="30" customHeight="1">
      <c r="A25" s="77"/>
      <c r="B25" s="4"/>
      <c r="C25" s="10"/>
      <c r="D25" s="4"/>
      <c r="E25" s="225" t="s">
        <v>367</v>
      </c>
      <c r="F25" s="87" t="s">
        <v>368</v>
      </c>
      <c r="G25" s="42">
        <v>1869</v>
      </c>
      <c r="H25" s="42" t="s">
        <v>84</v>
      </c>
      <c r="I25" s="226" t="s">
        <v>369</v>
      </c>
      <c r="J25" s="10"/>
      <c r="K25" s="10"/>
      <c r="L25" s="10"/>
      <c r="M25" s="10"/>
      <c r="N25" s="10"/>
      <c r="O25" s="10"/>
      <c r="P25" s="10"/>
      <c r="Q25" s="10"/>
      <c r="R25" s="10"/>
      <c r="S25" s="10"/>
      <c r="T25" s="10"/>
      <c r="U25" s="4"/>
      <c r="V25" s="4"/>
      <c r="W25" s="4"/>
      <c r="X25" s="4"/>
    </row>
    <row r="26" spans="1:24" ht="30" customHeight="1">
      <c r="A26" s="77"/>
      <c r="B26" s="4"/>
      <c r="C26" s="4"/>
      <c r="D26" s="4"/>
      <c r="E26" s="225" t="s">
        <v>370</v>
      </c>
      <c r="F26" s="87" t="s">
        <v>371</v>
      </c>
      <c r="G26" s="42">
        <v>46698</v>
      </c>
      <c r="H26" s="42" t="s">
        <v>80</v>
      </c>
      <c r="I26" s="226"/>
      <c r="J26" s="51"/>
      <c r="K26" s="51"/>
      <c r="L26" s="51"/>
      <c r="M26" s="51"/>
      <c r="N26" s="4"/>
      <c r="O26" s="4"/>
      <c r="P26" s="4"/>
      <c r="Q26" s="4"/>
      <c r="R26" s="4"/>
      <c r="S26" s="4"/>
      <c r="T26" s="4"/>
      <c r="U26" s="4"/>
      <c r="V26" s="4"/>
      <c r="W26" s="4"/>
      <c r="X26" s="4"/>
    </row>
    <row r="27" spans="1:24" ht="30" customHeight="1">
      <c r="A27" s="77"/>
      <c r="B27" s="4"/>
      <c r="C27" s="4"/>
      <c r="D27" s="4"/>
      <c r="E27" s="225" t="s">
        <v>372</v>
      </c>
      <c r="F27" s="87" t="s">
        <v>373</v>
      </c>
      <c r="G27" s="42">
        <v>3000</v>
      </c>
      <c r="H27" s="42" t="s">
        <v>82</v>
      </c>
      <c r="I27" s="226" t="s">
        <v>374</v>
      </c>
      <c r="J27" s="51"/>
      <c r="K27" s="51"/>
      <c r="L27" s="51"/>
      <c r="M27" s="51"/>
      <c r="N27" s="4"/>
      <c r="O27" s="4"/>
      <c r="P27" s="4"/>
      <c r="Q27" s="4"/>
      <c r="R27" s="4"/>
      <c r="S27" s="4"/>
      <c r="T27" s="4"/>
      <c r="U27" s="4"/>
      <c r="V27" s="4"/>
      <c r="W27" s="4"/>
      <c r="X27" s="4"/>
    </row>
    <row r="28" spans="1:24" ht="30" customHeight="1">
      <c r="A28" s="77"/>
      <c r="B28" s="4"/>
      <c r="C28" s="4"/>
      <c r="D28" s="4"/>
      <c r="E28" s="225" t="s">
        <v>375</v>
      </c>
      <c r="F28" s="87" t="s">
        <v>376</v>
      </c>
      <c r="G28" s="42">
        <v>1600</v>
      </c>
      <c r="H28" s="42" t="s">
        <v>82</v>
      </c>
      <c r="I28" s="226" t="s">
        <v>377</v>
      </c>
      <c r="J28" s="51"/>
      <c r="K28" s="51"/>
      <c r="L28" s="51"/>
      <c r="M28" s="51"/>
      <c r="N28" s="4"/>
      <c r="O28" s="4"/>
      <c r="P28" s="4"/>
      <c r="Q28" s="4"/>
      <c r="R28" s="4"/>
      <c r="S28" s="4"/>
      <c r="T28" s="4"/>
      <c r="U28" s="4"/>
      <c r="V28" s="4"/>
      <c r="W28" s="4"/>
      <c r="X28" s="4"/>
    </row>
    <row r="29" spans="1:24" ht="30" customHeight="1">
      <c r="A29" s="77"/>
      <c r="B29" s="4"/>
      <c r="C29" s="4"/>
      <c r="D29" s="4"/>
      <c r="E29" s="225" t="s">
        <v>378</v>
      </c>
      <c r="F29" s="87" t="s">
        <v>379</v>
      </c>
      <c r="G29" s="42">
        <v>3200</v>
      </c>
      <c r="H29" s="42" t="s">
        <v>82</v>
      </c>
      <c r="I29" s="226"/>
      <c r="J29" s="51"/>
      <c r="K29" s="51"/>
      <c r="L29" s="51"/>
      <c r="M29" s="51"/>
      <c r="N29" s="4"/>
      <c r="O29" s="4"/>
      <c r="P29" s="4"/>
      <c r="Q29" s="4"/>
      <c r="R29" s="4"/>
      <c r="S29" s="4"/>
      <c r="T29" s="4"/>
      <c r="U29" s="4"/>
      <c r="V29" s="4"/>
      <c r="W29" s="4"/>
      <c r="X29" s="4"/>
    </row>
    <row r="30" spans="1:24" ht="30" customHeight="1">
      <c r="A30" s="77"/>
      <c r="B30" s="4"/>
      <c r="C30" s="4"/>
      <c r="D30" s="4"/>
      <c r="E30" s="225" t="s">
        <v>380</v>
      </c>
      <c r="F30" s="87" t="s">
        <v>379</v>
      </c>
      <c r="G30" s="42">
        <v>1200</v>
      </c>
      <c r="H30" s="42" t="s">
        <v>82</v>
      </c>
      <c r="I30" s="226"/>
      <c r="J30" s="51"/>
      <c r="K30" s="51"/>
      <c r="L30" s="51"/>
      <c r="M30" s="51"/>
      <c r="N30" s="4"/>
      <c r="O30" s="4"/>
      <c r="P30" s="4"/>
      <c r="Q30" s="4"/>
      <c r="R30" s="4"/>
      <c r="S30" s="4"/>
      <c r="T30" s="4"/>
      <c r="U30" s="4"/>
      <c r="V30" s="4"/>
      <c r="W30" s="4"/>
      <c r="X30" s="4"/>
    </row>
    <row r="31" spans="1:24" ht="30" customHeight="1">
      <c r="A31" s="77"/>
      <c r="B31" s="4"/>
      <c r="C31" s="4"/>
      <c r="D31" s="4"/>
      <c r="E31" s="225" t="s">
        <v>381</v>
      </c>
      <c r="F31" s="87" t="s">
        <v>379</v>
      </c>
      <c r="G31" s="42">
        <v>2000</v>
      </c>
      <c r="H31" s="42" t="s">
        <v>82</v>
      </c>
      <c r="I31" s="226"/>
      <c r="J31" s="51"/>
      <c r="K31" s="51"/>
      <c r="L31" s="51"/>
      <c r="M31" s="51"/>
      <c r="N31" s="4"/>
      <c r="O31" s="4"/>
      <c r="P31" s="4"/>
      <c r="Q31" s="4"/>
      <c r="R31" s="4"/>
      <c r="S31" s="4"/>
      <c r="T31" s="4"/>
      <c r="U31" s="4"/>
      <c r="V31" s="4"/>
      <c r="W31" s="4"/>
      <c r="X31" s="4"/>
    </row>
    <row r="32" spans="1:24" ht="30" customHeight="1">
      <c r="A32" s="77"/>
      <c r="B32" s="4"/>
      <c r="C32" s="4"/>
      <c r="D32" s="4"/>
      <c r="E32" s="225" t="s">
        <v>382</v>
      </c>
      <c r="F32" s="87" t="s">
        <v>379</v>
      </c>
      <c r="G32" s="42">
        <v>400</v>
      </c>
      <c r="H32" s="42" t="s">
        <v>82</v>
      </c>
      <c r="I32" s="226"/>
      <c r="J32" s="51"/>
      <c r="K32" s="51"/>
      <c r="L32" s="51"/>
      <c r="M32" s="51"/>
      <c r="N32" s="4"/>
      <c r="O32" s="4"/>
      <c r="P32" s="4"/>
      <c r="Q32" s="4"/>
      <c r="R32" s="4"/>
      <c r="S32" s="4"/>
      <c r="T32" s="4"/>
      <c r="U32" s="4"/>
      <c r="V32" s="4"/>
      <c r="W32" s="4"/>
      <c r="X32" s="4"/>
    </row>
    <row r="33" spans="1:24" ht="30" customHeight="1">
      <c r="A33" s="77"/>
      <c r="B33" s="4"/>
      <c r="C33" s="4"/>
      <c r="D33" s="4"/>
      <c r="E33" s="225" t="s">
        <v>383</v>
      </c>
      <c r="F33" s="87" t="s">
        <v>379</v>
      </c>
      <c r="G33" s="42">
        <v>1800</v>
      </c>
      <c r="H33" s="42" t="s">
        <v>82</v>
      </c>
      <c r="I33" s="226"/>
      <c r="J33" s="51"/>
      <c r="K33" s="51"/>
      <c r="L33" s="51"/>
      <c r="M33" s="51"/>
      <c r="N33" s="4"/>
      <c r="O33" s="4"/>
      <c r="P33" s="4"/>
      <c r="Q33" s="4"/>
      <c r="R33" s="4"/>
      <c r="S33" s="4"/>
      <c r="T33" s="4"/>
      <c r="U33" s="4"/>
      <c r="V33" s="4"/>
      <c r="W33" s="4"/>
      <c r="X33" s="4"/>
    </row>
    <row r="34" spans="1:24" ht="30" customHeight="1">
      <c r="A34" s="77"/>
      <c r="B34" s="4"/>
      <c r="C34" s="4"/>
      <c r="D34" s="4"/>
      <c r="E34" s="225" t="s">
        <v>384</v>
      </c>
      <c r="F34" s="87" t="s">
        <v>385</v>
      </c>
      <c r="G34" s="42">
        <v>9966</v>
      </c>
      <c r="H34" s="42" t="s">
        <v>82</v>
      </c>
      <c r="I34" s="226"/>
      <c r="J34" s="51"/>
      <c r="K34" s="51"/>
      <c r="L34" s="51"/>
      <c r="M34" s="51"/>
      <c r="N34" s="4"/>
      <c r="O34" s="4"/>
      <c r="P34" s="4"/>
      <c r="Q34" s="4"/>
      <c r="R34" s="4"/>
      <c r="S34" s="4"/>
      <c r="T34" s="4"/>
      <c r="U34" s="4"/>
      <c r="V34" s="4"/>
      <c r="W34" s="4"/>
      <c r="X34" s="4"/>
    </row>
    <row r="35" spans="1:24" ht="30" customHeight="1">
      <c r="A35" s="77"/>
      <c r="B35" s="4"/>
      <c r="C35" s="4"/>
      <c r="D35" s="4"/>
      <c r="E35" s="225" t="s">
        <v>386</v>
      </c>
      <c r="F35" s="87" t="s">
        <v>387</v>
      </c>
      <c r="G35" s="42">
        <v>100</v>
      </c>
      <c r="H35" s="42" t="s">
        <v>82</v>
      </c>
      <c r="I35" s="226"/>
      <c r="J35" s="51"/>
      <c r="K35" s="51"/>
      <c r="L35" s="51"/>
      <c r="M35" s="51"/>
      <c r="N35" s="4"/>
      <c r="O35" s="4"/>
      <c r="P35" s="4"/>
      <c r="Q35" s="4"/>
      <c r="R35" s="4"/>
      <c r="S35" s="4"/>
      <c r="T35" s="4"/>
      <c r="U35" s="4"/>
      <c r="V35" s="4"/>
      <c r="W35" s="4"/>
      <c r="X35" s="4"/>
    </row>
    <row r="36" spans="1:24" ht="30" customHeight="1">
      <c r="A36" s="77"/>
      <c r="B36" s="4"/>
      <c r="C36" s="4"/>
      <c r="D36" s="4"/>
      <c r="E36" s="225" t="s">
        <v>388</v>
      </c>
      <c r="F36" s="87" t="s">
        <v>389</v>
      </c>
      <c r="G36" s="42">
        <v>154000</v>
      </c>
      <c r="H36" s="42" t="s">
        <v>80</v>
      </c>
      <c r="I36" s="226" t="s">
        <v>390</v>
      </c>
      <c r="J36" s="51"/>
      <c r="K36" s="51"/>
      <c r="L36" s="51"/>
      <c r="M36" s="51"/>
      <c r="N36" s="4"/>
      <c r="O36" s="4"/>
      <c r="P36" s="4"/>
      <c r="Q36" s="4"/>
      <c r="R36" s="4"/>
      <c r="S36" s="4"/>
      <c r="T36" s="4"/>
      <c r="U36" s="4"/>
      <c r="V36" s="4"/>
      <c r="W36" s="4"/>
      <c r="X36" s="4"/>
    </row>
    <row r="37" spans="1:24" ht="30" customHeight="1">
      <c r="A37" s="77"/>
      <c r="B37" s="4"/>
      <c r="C37" s="4"/>
      <c r="D37" s="4"/>
      <c r="E37" s="225" t="s">
        <v>391</v>
      </c>
      <c r="F37" s="87" t="s">
        <v>392</v>
      </c>
      <c r="G37" s="42">
        <v>0</v>
      </c>
      <c r="H37" s="42" t="s">
        <v>82</v>
      </c>
      <c r="I37" s="226" t="s">
        <v>393</v>
      </c>
      <c r="J37" s="51"/>
      <c r="K37" s="51"/>
      <c r="L37" s="51"/>
      <c r="M37" s="51"/>
      <c r="N37" s="4"/>
      <c r="O37" s="4"/>
      <c r="P37" s="4"/>
      <c r="Q37" s="4"/>
      <c r="R37" s="4"/>
      <c r="S37" s="4"/>
      <c r="T37" s="4"/>
      <c r="U37" s="4"/>
      <c r="V37" s="4"/>
      <c r="W37" s="4"/>
      <c r="X37" s="4"/>
    </row>
    <row r="38" spans="1:24" ht="30" customHeight="1">
      <c r="A38" s="77"/>
      <c r="B38" s="4"/>
      <c r="C38" s="4"/>
      <c r="D38" s="4"/>
      <c r="E38" s="225" t="s">
        <v>394</v>
      </c>
      <c r="F38" s="87" t="s">
        <v>395</v>
      </c>
      <c r="G38" s="42">
        <v>123</v>
      </c>
      <c r="H38" s="42" t="s">
        <v>84</v>
      </c>
      <c r="I38" s="226"/>
      <c r="J38" s="51"/>
      <c r="K38" s="51"/>
      <c r="L38" s="51"/>
      <c r="M38" s="51"/>
      <c r="N38" s="4"/>
      <c r="O38" s="4"/>
      <c r="P38" s="4"/>
      <c r="Q38" s="4"/>
      <c r="R38" s="4"/>
      <c r="S38" s="4"/>
      <c r="T38" s="4"/>
      <c r="U38" s="4"/>
      <c r="V38" s="4"/>
      <c r="W38" s="4"/>
      <c r="X38" s="4"/>
    </row>
    <row r="39" spans="1:24" ht="30" customHeight="1">
      <c r="A39" s="77"/>
      <c r="B39" s="4"/>
      <c r="C39" s="4"/>
      <c r="D39" s="4"/>
      <c r="E39" s="225" t="s">
        <v>396</v>
      </c>
      <c r="F39" s="87" t="s">
        <v>397</v>
      </c>
      <c r="G39" s="42">
        <v>100</v>
      </c>
      <c r="H39" s="42" t="s">
        <v>82</v>
      </c>
      <c r="I39" s="226" t="s">
        <v>398</v>
      </c>
      <c r="J39" s="51"/>
      <c r="K39" s="51"/>
      <c r="L39" s="51"/>
      <c r="M39" s="51"/>
      <c r="N39" s="4"/>
      <c r="O39" s="4"/>
      <c r="P39" s="4"/>
      <c r="Q39" s="4"/>
      <c r="R39" s="4"/>
      <c r="S39" s="4"/>
      <c r="T39" s="4"/>
      <c r="U39" s="4"/>
      <c r="V39" s="4"/>
      <c r="W39" s="4"/>
      <c r="X39" s="4"/>
    </row>
    <row r="40" spans="1:24" ht="30" customHeight="1">
      <c r="A40" s="77"/>
      <c r="B40" s="4"/>
      <c r="C40" s="4"/>
      <c r="D40" s="4"/>
      <c r="E40" s="225" t="s">
        <v>399</v>
      </c>
      <c r="F40" s="87" t="s">
        <v>400</v>
      </c>
      <c r="G40" s="42">
        <v>500</v>
      </c>
      <c r="H40" s="42" t="s">
        <v>82</v>
      </c>
      <c r="I40" s="226" t="s">
        <v>398</v>
      </c>
      <c r="J40" s="51"/>
      <c r="K40" s="51"/>
      <c r="L40" s="51"/>
      <c r="M40" s="51"/>
      <c r="N40" s="4"/>
      <c r="O40" s="4"/>
      <c r="P40" s="4"/>
      <c r="Q40" s="4"/>
      <c r="R40" s="4"/>
      <c r="S40" s="4"/>
      <c r="T40" s="4"/>
      <c r="U40" s="4"/>
      <c r="V40" s="4"/>
      <c r="W40" s="4"/>
      <c r="X40" s="4"/>
    </row>
    <row r="41" spans="1:24" ht="30" customHeight="1">
      <c r="A41" s="77"/>
      <c r="B41" s="4"/>
      <c r="C41" s="4"/>
      <c r="D41" s="4"/>
      <c r="E41" s="225" t="s">
        <v>401</v>
      </c>
      <c r="F41" s="87" t="s">
        <v>402</v>
      </c>
      <c r="G41" s="42">
        <v>500</v>
      </c>
      <c r="H41" s="42" t="s">
        <v>84</v>
      </c>
      <c r="I41" s="226"/>
      <c r="J41" s="51"/>
      <c r="K41" s="51"/>
      <c r="L41" s="51"/>
      <c r="M41" s="51"/>
      <c r="N41" s="4"/>
      <c r="O41" s="4"/>
      <c r="P41" s="4"/>
      <c r="Q41" s="4"/>
      <c r="R41" s="4"/>
      <c r="S41" s="4"/>
      <c r="T41" s="4"/>
      <c r="U41" s="4"/>
      <c r="V41" s="4"/>
      <c r="W41" s="4"/>
      <c r="X41" s="4"/>
    </row>
    <row r="42" spans="1:24" ht="30" customHeight="1">
      <c r="A42" s="77"/>
      <c r="B42" s="4"/>
      <c r="C42" s="4"/>
      <c r="D42" s="4"/>
      <c r="E42" s="225" t="s">
        <v>403</v>
      </c>
      <c r="F42" s="87" t="s">
        <v>404</v>
      </c>
      <c r="G42" s="42">
        <v>1000</v>
      </c>
      <c r="H42" s="42" t="s">
        <v>82</v>
      </c>
      <c r="I42" s="226"/>
      <c r="J42" s="51"/>
      <c r="K42" s="51"/>
      <c r="L42" s="51"/>
      <c r="M42" s="51"/>
      <c r="N42" s="4"/>
      <c r="O42" s="4"/>
      <c r="P42" s="4"/>
      <c r="Q42" s="4"/>
      <c r="R42" s="4"/>
      <c r="S42" s="4"/>
      <c r="T42" s="4"/>
      <c r="U42" s="4"/>
      <c r="V42" s="4"/>
      <c r="W42" s="4"/>
      <c r="X42" s="4"/>
    </row>
    <row r="43" spans="1:24" ht="30" customHeight="1">
      <c r="A43" s="77"/>
      <c r="B43" s="4"/>
      <c r="C43" s="4"/>
      <c r="D43" s="4"/>
      <c r="E43" s="225" t="s">
        <v>405</v>
      </c>
      <c r="F43" s="87" t="s">
        <v>406</v>
      </c>
      <c r="G43" s="42">
        <v>6454</v>
      </c>
      <c r="H43" s="42" t="s">
        <v>82</v>
      </c>
      <c r="I43" s="226"/>
      <c r="J43" s="51"/>
      <c r="K43" s="51"/>
      <c r="L43" s="51"/>
      <c r="M43" s="51"/>
      <c r="N43" s="4"/>
      <c r="O43" s="4"/>
      <c r="P43" s="4"/>
      <c r="Q43" s="4"/>
      <c r="R43" s="4"/>
      <c r="S43" s="4"/>
      <c r="T43" s="4"/>
      <c r="U43" s="4"/>
      <c r="V43" s="4"/>
      <c r="W43" s="4"/>
      <c r="X43" s="4"/>
    </row>
    <row r="44" spans="1:24" ht="30" customHeight="1">
      <c r="A44" s="77"/>
      <c r="B44" s="4"/>
      <c r="C44" s="4"/>
      <c r="D44" s="4"/>
      <c r="E44" s="225" t="s">
        <v>407</v>
      </c>
      <c r="F44" s="87" t="s">
        <v>408</v>
      </c>
      <c r="G44" s="42">
        <v>109631</v>
      </c>
      <c r="H44" s="42" t="s">
        <v>80</v>
      </c>
      <c r="I44" s="226"/>
      <c r="J44" s="51"/>
      <c r="K44" s="51"/>
      <c r="L44" s="51"/>
      <c r="M44" s="51"/>
      <c r="N44" s="4"/>
      <c r="O44" s="4"/>
      <c r="P44" s="4"/>
      <c r="Q44" s="4"/>
      <c r="R44" s="4"/>
      <c r="S44" s="4"/>
      <c r="T44" s="4"/>
      <c r="U44" s="4"/>
      <c r="V44" s="4"/>
      <c r="W44" s="4"/>
      <c r="X44" s="4"/>
    </row>
    <row r="45" spans="1:24" ht="30" customHeight="1">
      <c r="A45" s="77"/>
      <c r="B45" s="4"/>
      <c r="C45" s="4"/>
      <c r="D45" s="4"/>
      <c r="E45" s="225" t="s">
        <v>409</v>
      </c>
      <c r="F45" s="87" t="s">
        <v>410</v>
      </c>
      <c r="G45" s="42">
        <v>112760</v>
      </c>
      <c r="H45" s="42" t="s">
        <v>82</v>
      </c>
      <c r="I45" s="226"/>
      <c r="J45" s="51"/>
      <c r="K45" s="51"/>
      <c r="L45" s="51"/>
      <c r="M45" s="51"/>
      <c r="N45" s="4"/>
      <c r="O45" s="4"/>
      <c r="P45" s="4"/>
      <c r="Q45" s="4"/>
      <c r="R45" s="4"/>
      <c r="S45" s="4"/>
      <c r="T45" s="4"/>
      <c r="U45" s="4"/>
      <c r="V45" s="4"/>
      <c r="W45" s="4"/>
      <c r="X45" s="4"/>
    </row>
    <row r="46" spans="1:24" ht="30" customHeight="1">
      <c r="A46" s="77"/>
      <c r="B46" s="4"/>
      <c r="C46" s="4"/>
      <c r="D46" s="4"/>
      <c r="E46" s="225" t="s">
        <v>411</v>
      </c>
      <c r="F46" s="87" t="s">
        <v>412</v>
      </c>
      <c r="G46" s="42">
        <v>12119</v>
      </c>
      <c r="H46" s="42" t="s">
        <v>82</v>
      </c>
      <c r="I46" s="226"/>
      <c r="J46" s="51"/>
      <c r="K46" s="51"/>
      <c r="L46" s="51"/>
      <c r="M46" s="51"/>
      <c r="N46" s="4"/>
      <c r="O46" s="4"/>
      <c r="P46" s="4"/>
      <c r="Q46" s="4"/>
      <c r="R46" s="4"/>
      <c r="S46" s="4"/>
      <c r="T46" s="4"/>
      <c r="U46" s="4"/>
      <c r="V46" s="4"/>
      <c r="W46" s="4"/>
      <c r="X46" s="4"/>
    </row>
    <row r="47" spans="1:24" ht="30" customHeight="1">
      <c r="A47" s="77"/>
      <c r="B47" s="4"/>
      <c r="C47" s="4"/>
      <c r="D47" s="4"/>
      <c r="E47" s="225" t="s">
        <v>413</v>
      </c>
      <c r="F47" s="87" t="s">
        <v>414</v>
      </c>
      <c r="G47" s="42">
        <v>12016</v>
      </c>
      <c r="H47" s="42" t="s">
        <v>82</v>
      </c>
      <c r="I47" s="226"/>
      <c r="J47" s="51"/>
      <c r="K47" s="51"/>
      <c r="L47" s="51"/>
      <c r="M47" s="51"/>
      <c r="N47" s="4"/>
      <c r="O47" s="4"/>
      <c r="P47" s="4"/>
      <c r="Q47" s="4"/>
      <c r="R47" s="4"/>
      <c r="S47" s="4"/>
      <c r="T47" s="4"/>
      <c r="U47" s="4"/>
      <c r="V47" s="4"/>
      <c r="W47" s="4"/>
      <c r="X47" s="4"/>
    </row>
    <row r="48" spans="1:24" ht="30" customHeight="1">
      <c r="A48" s="77"/>
      <c r="B48" s="4"/>
      <c r="C48" s="4"/>
      <c r="D48" s="4"/>
      <c r="E48" s="225" t="s">
        <v>415</v>
      </c>
      <c r="F48" s="87" t="s">
        <v>400</v>
      </c>
      <c r="G48" s="42">
        <v>29652</v>
      </c>
      <c r="H48" s="42" t="s">
        <v>82</v>
      </c>
      <c r="I48" s="226"/>
      <c r="J48" s="51"/>
      <c r="K48" s="51"/>
      <c r="L48" s="51"/>
      <c r="M48" s="51"/>
      <c r="N48" s="4"/>
      <c r="O48" s="4"/>
      <c r="P48" s="4"/>
      <c r="Q48" s="4"/>
      <c r="R48" s="4"/>
      <c r="S48" s="4"/>
      <c r="T48" s="4"/>
      <c r="U48" s="4"/>
      <c r="V48" s="4"/>
      <c r="W48" s="4"/>
      <c r="X48" s="4"/>
    </row>
    <row r="49" spans="1:24" ht="30" customHeight="1">
      <c r="A49" s="77"/>
      <c r="B49" s="4"/>
      <c r="C49" s="4"/>
      <c r="D49" s="4"/>
      <c r="E49" s="225" t="s">
        <v>416</v>
      </c>
      <c r="F49" s="87" t="s">
        <v>400</v>
      </c>
      <c r="G49" s="42">
        <v>9259</v>
      </c>
      <c r="H49" s="42" t="s">
        <v>82</v>
      </c>
      <c r="I49" s="226"/>
      <c r="J49" s="51"/>
      <c r="K49" s="51"/>
      <c r="L49" s="51"/>
      <c r="M49" s="51"/>
      <c r="N49" s="4"/>
      <c r="O49" s="4"/>
      <c r="P49" s="4"/>
      <c r="Q49" s="4"/>
      <c r="R49" s="4"/>
      <c r="S49" s="4"/>
      <c r="T49" s="4"/>
      <c r="U49" s="4"/>
      <c r="V49" s="4"/>
      <c r="W49" s="4"/>
      <c r="X49" s="4"/>
    </row>
    <row r="50" spans="1:24" ht="30" customHeight="1">
      <c r="A50" s="77"/>
      <c r="B50" s="4"/>
      <c r="C50" s="4"/>
      <c r="D50" s="4"/>
      <c r="E50" s="225" t="s">
        <v>417</v>
      </c>
      <c r="F50" s="87" t="s">
        <v>418</v>
      </c>
      <c r="G50" s="42">
        <v>14043</v>
      </c>
      <c r="H50" s="42" t="s">
        <v>80</v>
      </c>
      <c r="I50" s="226"/>
      <c r="J50" s="51"/>
      <c r="K50" s="51"/>
      <c r="L50" s="51"/>
      <c r="M50" s="51"/>
      <c r="N50" s="4"/>
      <c r="O50" s="4"/>
      <c r="P50" s="4"/>
      <c r="Q50" s="4"/>
      <c r="R50" s="4"/>
      <c r="S50" s="4"/>
      <c r="T50" s="4"/>
      <c r="U50" s="4"/>
      <c r="V50" s="4"/>
      <c r="W50" s="4"/>
      <c r="X50" s="4"/>
    </row>
    <row r="51" spans="1:24" ht="30" customHeight="1">
      <c r="A51" s="77"/>
      <c r="B51" s="4"/>
      <c r="C51" s="4"/>
      <c r="D51" s="4"/>
      <c r="E51" s="225" t="s">
        <v>419</v>
      </c>
      <c r="F51" s="87" t="s">
        <v>420</v>
      </c>
      <c r="G51" s="42">
        <v>19986</v>
      </c>
      <c r="H51" s="42" t="s">
        <v>82</v>
      </c>
      <c r="I51" s="226"/>
      <c r="J51" s="51"/>
      <c r="K51" s="51"/>
      <c r="L51" s="51"/>
      <c r="M51" s="51"/>
      <c r="N51" s="4"/>
      <c r="O51" s="4"/>
      <c r="P51" s="4"/>
      <c r="Q51" s="4"/>
      <c r="R51" s="4"/>
      <c r="S51" s="4"/>
      <c r="T51" s="4"/>
      <c r="U51" s="4"/>
      <c r="V51" s="4"/>
      <c r="W51" s="4"/>
      <c r="X51" s="4"/>
    </row>
    <row r="52" spans="1:24" ht="30" customHeight="1">
      <c r="A52" s="77"/>
      <c r="B52" s="4"/>
      <c r="C52" s="4"/>
      <c r="D52" s="4"/>
      <c r="E52" s="225" t="s">
        <v>421</v>
      </c>
      <c r="F52" s="87" t="s">
        <v>422</v>
      </c>
      <c r="G52" s="42">
        <v>11901</v>
      </c>
      <c r="H52" s="42" t="s">
        <v>82</v>
      </c>
      <c r="I52" s="226"/>
      <c r="J52" s="51"/>
      <c r="K52" s="51"/>
      <c r="L52" s="51"/>
      <c r="M52" s="51"/>
      <c r="N52" s="4"/>
      <c r="O52" s="4"/>
      <c r="P52" s="4"/>
      <c r="Q52" s="4"/>
      <c r="R52" s="4"/>
      <c r="S52" s="4"/>
      <c r="T52" s="4"/>
      <c r="U52" s="4"/>
      <c r="V52" s="4"/>
      <c r="W52" s="4"/>
      <c r="X52" s="4"/>
    </row>
    <row r="53" spans="1:24" ht="30" customHeight="1">
      <c r="A53" s="77"/>
      <c r="B53" s="4"/>
      <c r="C53" s="4"/>
      <c r="D53" s="4"/>
      <c r="E53" s="225" t="s">
        <v>423</v>
      </c>
      <c r="F53" s="87" t="s">
        <v>424</v>
      </c>
      <c r="G53" s="42">
        <v>9635</v>
      </c>
      <c r="H53" s="42" t="s">
        <v>82</v>
      </c>
      <c r="I53" s="226"/>
      <c r="J53" s="51"/>
      <c r="K53" s="51"/>
      <c r="L53" s="51"/>
      <c r="M53" s="51"/>
      <c r="N53" s="4"/>
      <c r="O53" s="4"/>
      <c r="P53" s="4"/>
      <c r="Q53" s="4"/>
      <c r="R53" s="4"/>
      <c r="S53" s="4"/>
      <c r="T53" s="4"/>
      <c r="U53" s="4"/>
      <c r="V53" s="4"/>
      <c r="W53" s="4"/>
      <c r="X53" s="4"/>
    </row>
    <row r="54" spans="1:24" ht="30" customHeight="1">
      <c r="A54" s="77"/>
      <c r="B54" s="4"/>
      <c r="C54" s="4"/>
      <c r="D54" s="4"/>
      <c r="E54" s="225" t="s">
        <v>425</v>
      </c>
      <c r="F54" s="87" t="s">
        <v>426</v>
      </c>
      <c r="G54" s="42">
        <v>28098</v>
      </c>
      <c r="H54" s="42" t="s">
        <v>82</v>
      </c>
      <c r="I54" s="226"/>
      <c r="J54" s="51"/>
      <c r="K54" s="51"/>
      <c r="L54" s="51"/>
      <c r="M54" s="51"/>
      <c r="N54" s="4"/>
      <c r="O54" s="4"/>
      <c r="P54" s="4"/>
      <c r="Q54" s="4"/>
      <c r="R54" s="4"/>
      <c r="S54" s="4"/>
      <c r="T54" s="4"/>
      <c r="U54" s="4"/>
      <c r="V54" s="4"/>
      <c r="W54" s="4"/>
      <c r="X54" s="4"/>
    </row>
    <row r="55" spans="1:24" ht="30" customHeight="1">
      <c r="A55" s="77"/>
      <c r="B55" s="4"/>
      <c r="C55" s="4"/>
      <c r="D55" s="4"/>
      <c r="E55" s="225" t="s">
        <v>427</v>
      </c>
      <c r="F55" s="87" t="s">
        <v>428</v>
      </c>
      <c r="G55" s="42">
        <v>6780</v>
      </c>
      <c r="H55" s="42" t="s">
        <v>82</v>
      </c>
      <c r="I55" s="226"/>
      <c r="J55" s="51"/>
      <c r="K55" s="51"/>
      <c r="L55" s="51"/>
      <c r="M55" s="51"/>
      <c r="N55" s="4"/>
      <c r="O55" s="4"/>
      <c r="P55" s="4"/>
      <c r="Q55" s="4"/>
      <c r="R55" s="4"/>
      <c r="S55" s="4"/>
      <c r="T55" s="4"/>
      <c r="U55" s="4"/>
      <c r="V55" s="4"/>
      <c r="W55" s="4"/>
      <c r="X55" s="4"/>
    </row>
    <row r="56" spans="1:24" ht="30" customHeight="1">
      <c r="A56" s="77"/>
      <c r="B56" s="4"/>
      <c r="C56" s="4"/>
      <c r="D56" s="4"/>
      <c r="E56" s="225" t="s">
        <v>429</v>
      </c>
      <c r="F56" s="87" t="s">
        <v>430</v>
      </c>
      <c r="G56" s="42">
        <v>7759</v>
      </c>
      <c r="H56" s="42" t="s">
        <v>80</v>
      </c>
      <c r="I56" s="226"/>
      <c r="J56" s="51"/>
      <c r="K56" s="51"/>
      <c r="L56" s="51"/>
      <c r="M56" s="51"/>
      <c r="N56" s="4"/>
      <c r="O56" s="4"/>
      <c r="P56" s="4"/>
      <c r="Q56" s="4"/>
      <c r="R56" s="4"/>
      <c r="S56" s="4"/>
      <c r="T56" s="4"/>
      <c r="U56" s="4"/>
      <c r="V56" s="4"/>
      <c r="W56" s="4"/>
      <c r="X56" s="4"/>
    </row>
    <row r="57" spans="1:24" ht="30" customHeight="1">
      <c r="A57" s="77"/>
      <c r="B57" s="4"/>
      <c r="C57" s="4"/>
      <c r="D57" s="4"/>
      <c r="E57" s="225" t="s">
        <v>431</v>
      </c>
      <c r="F57" s="87" t="s">
        <v>400</v>
      </c>
      <c r="G57" s="42">
        <v>19763</v>
      </c>
      <c r="H57" s="42" t="s">
        <v>80</v>
      </c>
      <c r="I57" s="226"/>
      <c r="J57" s="51"/>
      <c r="K57" s="51"/>
      <c r="L57" s="51"/>
      <c r="M57" s="51"/>
      <c r="N57" s="4"/>
      <c r="O57" s="4"/>
      <c r="P57" s="4"/>
      <c r="Q57" s="4"/>
      <c r="R57" s="4"/>
      <c r="S57" s="4"/>
      <c r="T57" s="4"/>
      <c r="U57" s="4"/>
      <c r="V57" s="4"/>
      <c r="W57" s="4"/>
      <c r="X57" s="4"/>
    </row>
    <row r="58" spans="1:24" ht="30" customHeight="1">
      <c r="A58" s="77"/>
      <c r="B58" s="4"/>
      <c r="C58" s="4"/>
      <c r="D58" s="4"/>
      <c r="E58" s="225" t="s">
        <v>432</v>
      </c>
      <c r="F58" s="87" t="s">
        <v>433</v>
      </c>
      <c r="G58" s="42">
        <v>100</v>
      </c>
      <c r="H58" s="42" t="s">
        <v>82</v>
      </c>
      <c r="I58" s="226" t="s">
        <v>434</v>
      </c>
      <c r="J58" s="51"/>
      <c r="K58" s="51"/>
      <c r="L58" s="51"/>
      <c r="M58" s="51"/>
      <c r="N58" s="4"/>
      <c r="O58" s="4"/>
      <c r="P58" s="4"/>
      <c r="Q58" s="4"/>
      <c r="R58" s="4"/>
      <c r="S58" s="4"/>
      <c r="T58" s="4"/>
      <c r="U58" s="4"/>
      <c r="V58" s="4"/>
      <c r="W58" s="4"/>
      <c r="X58" s="4"/>
    </row>
    <row r="59" spans="1:24" ht="30" customHeight="1">
      <c r="A59" s="77"/>
      <c r="B59" s="4"/>
      <c r="C59" s="4"/>
      <c r="D59" s="4"/>
      <c r="E59" s="225" t="s">
        <v>391</v>
      </c>
      <c r="F59" s="87" t="s">
        <v>392</v>
      </c>
      <c r="G59" s="42">
        <v>0</v>
      </c>
      <c r="H59" s="42" t="s">
        <v>82</v>
      </c>
      <c r="I59" s="226" t="s">
        <v>393</v>
      </c>
      <c r="J59" s="51"/>
      <c r="K59" s="51"/>
      <c r="L59" s="51"/>
      <c r="M59" s="51"/>
      <c r="N59" s="4"/>
      <c r="O59" s="4"/>
      <c r="P59" s="4"/>
      <c r="Q59" s="4"/>
      <c r="R59" s="4"/>
      <c r="S59" s="4"/>
      <c r="T59" s="4"/>
      <c r="U59" s="4"/>
      <c r="V59" s="4"/>
      <c r="W59" s="4"/>
      <c r="X59" s="4"/>
    </row>
    <row r="60" spans="1:24" ht="30" customHeight="1">
      <c r="A60" s="77"/>
      <c r="B60" s="4"/>
      <c r="C60" s="4"/>
      <c r="D60" s="4"/>
      <c r="E60" s="225" t="s">
        <v>358</v>
      </c>
      <c r="F60" s="87" t="s">
        <v>435</v>
      </c>
      <c r="G60" s="42">
        <v>195085</v>
      </c>
      <c r="H60" s="42" t="s">
        <v>82</v>
      </c>
      <c r="I60" s="226" t="s">
        <v>360</v>
      </c>
      <c r="J60" s="51"/>
      <c r="K60" s="51"/>
      <c r="L60" s="51"/>
      <c r="M60" s="51"/>
      <c r="N60" s="4"/>
      <c r="O60" s="4"/>
      <c r="P60" s="4"/>
      <c r="Q60" s="4"/>
      <c r="R60" s="4"/>
      <c r="S60" s="4"/>
      <c r="T60" s="4"/>
      <c r="U60" s="4"/>
      <c r="V60" s="4"/>
      <c r="W60" s="4"/>
      <c r="X60" s="4"/>
    </row>
    <row r="61" spans="1:24" ht="30" customHeight="1">
      <c r="A61" s="77"/>
      <c r="B61" s="4"/>
      <c r="C61" s="4"/>
      <c r="D61" s="4"/>
      <c r="E61" s="225" t="s">
        <v>361</v>
      </c>
      <c r="F61" s="87" t="s">
        <v>362</v>
      </c>
      <c r="G61" s="42">
        <v>4023</v>
      </c>
      <c r="H61" s="42" t="s">
        <v>82</v>
      </c>
      <c r="I61" s="226" t="s">
        <v>363</v>
      </c>
      <c r="J61" s="51"/>
      <c r="K61" s="51"/>
      <c r="L61" s="51"/>
      <c r="M61" s="51"/>
      <c r="N61" s="4"/>
      <c r="O61" s="4"/>
      <c r="P61" s="4"/>
      <c r="Q61" s="4"/>
      <c r="R61" s="4"/>
      <c r="S61" s="4"/>
      <c r="T61" s="4"/>
      <c r="U61" s="4"/>
      <c r="V61" s="4"/>
      <c r="W61" s="4"/>
      <c r="X61" s="4"/>
    </row>
    <row r="62" spans="1:24" ht="30" customHeight="1">
      <c r="A62" s="77"/>
      <c r="B62" s="4"/>
      <c r="C62" s="4"/>
      <c r="D62" s="4"/>
      <c r="E62" s="225" t="s">
        <v>372</v>
      </c>
      <c r="F62" s="227" t="s">
        <v>373</v>
      </c>
      <c r="G62" s="177">
        <v>3000</v>
      </c>
      <c r="H62" s="177" t="s">
        <v>82</v>
      </c>
      <c r="I62" s="228" t="s">
        <v>374</v>
      </c>
      <c r="J62" s="51"/>
      <c r="K62" s="51"/>
      <c r="L62" s="51"/>
      <c r="M62" s="51"/>
      <c r="N62" s="4"/>
      <c r="O62" s="4"/>
      <c r="P62" s="4"/>
      <c r="Q62" s="4"/>
      <c r="R62" s="4"/>
      <c r="S62" s="4"/>
      <c r="T62" s="4"/>
      <c r="U62" s="4"/>
      <c r="V62" s="4"/>
      <c r="W62" s="4"/>
      <c r="X62" s="4"/>
    </row>
    <row r="63" spans="1:24" ht="30" customHeight="1">
      <c r="A63" s="77"/>
      <c r="B63" s="4"/>
      <c r="C63" s="4"/>
      <c r="D63" s="4"/>
      <c r="E63" s="225" t="s">
        <v>436</v>
      </c>
      <c r="F63" s="227" t="s">
        <v>437</v>
      </c>
      <c r="G63" s="177">
        <v>134643</v>
      </c>
      <c r="H63" s="177" t="s">
        <v>80</v>
      </c>
      <c r="I63" s="228" t="s">
        <v>374</v>
      </c>
      <c r="J63" s="51"/>
      <c r="K63" s="51"/>
      <c r="L63" s="51"/>
      <c r="M63" s="51"/>
      <c r="N63" s="4"/>
      <c r="O63" s="4"/>
      <c r="P63" s="4"/>
      <c r="Q63" s="4"/>
      <c r="R63" s="4"/>
      <c r="S63" s="4"/>
      <c r="T63" s="4"/>
      <c r="U63" s="4"/>
      <c r="V63" s="4"/>
      <c r="W63" s="4"/>
      <c r="X63" s="4"/>
    </row>
    <row r="64" spans="1:24" ht="30" customHeight="1">
      <c r="A64" s="77"/>
      <c r="B64" s="4"/>
      <c r="C64" s="4"/>
      <c r="D64" s="4"/>
      <c r="E64" s="225" t="s">
        <v>438</v>
      </c>
      <c r="F64" s="227" t="s">
        <v>437</v>
      </c>
      <c r="G64" s="177">
        <v>134643</v>
      </c>
      <c r="H64" s="177" t="s">
        <v>80</v>
      </c>
      <c r="I64" s="228" t="s">
        <v>374</v>
      </c>
      <c r="J64" s="51"/>
      <c r="K64" s="51"/>
      <c r="L64" s="51"/>
      <c r="M64" s="51"/>
      <c r="N64" s="4"/>
      <c r="O64" s="4"/>
      <c r="P64" s="4"/>
      <c r="Q64" s="4"/>
      <c r="R64" s="4"/>
      <c r="S64" s="4"/>
      <c r="T64" s="4"/>
      <c r="U64" s="4"/>
      <c r="V64" s="4"/>
      <c r="W64" s="4"/>
      <c r="X64" s="4"/>
    </row>
    <row r="65" spans="1:24" ht="30" customHeight="1">
      <c r="A65" s="77"/>
      <c r="B65" s="4"/>
      <c r="C65" s="4"/>
      <c r="D65" s="4"/>
      <c r="E65" s="225" t="s">
        <v>439</v>
      </c>
      <c r="F65" s="227" t="s">
        <v>440</v>
      </c>
      <c r="G65" s="177">
        <v>257749</v>
      </c>
      <c r="H65" s="177" t="s">
        <v>80</v>
      </c>
      <c r="I65" s="228"/>
      <c r="J65" s="51"/>
      <c r="K65" s="51"/>
      <c r="L65" s="51"/>
      <c r="M65" s="51"/>
      <c r="N65" s="4"/>
      <c r="O65" s="4"/>
      <c r="P65" s="4"/>
      <c r="Q65" s="4"/>
      <c r="R65" s="4"/>
      <c r="S65" s="4"/>
      <c r="T65" s="4"/>
      <c r="U65" s="4"/>
      <c r="V65" s="4"/>
      <c r="W65" s="4"/>
      <c r="X65" s="4"/>
    </row>
    <row r="66" spans="1:24" ht="30" customHeight="1">
      <c r="A66" s="77"/>
      <c r="B66" s="4"/>
      <c r="C66" s="4"/>
      <c r="D66" s="4"/>
      <c r="E66" s="225" t="s">
        <v>441</v>
      </c>
      <c r="F66" s="227" t="s">
        <v>442</v>
      </c>
      <c r="G66" s="177">
        <v>5</v>
      </c>
      <c r="H66" s="177" t="s">
        <v>82</v>
      </c>
      <c r="I66" s="228"/>
      <c r="J66" s="51"/>
      <c r="K66" s="51"/>
      <c r="L66" s="51"/>
      <c r="M66" s="51"/>
      <c r="N66" s="4"/>
      <c r="O66" s="4"/>
      <c r="P66" s="4"/>
      <c r="Q66" s="4"/>
      <c r="R66" s="4"/>
      <c r="S66" s="4"/>
      <c r="T66" s="4"/>
      <c r="U66" s="4"/>
      <c r="V66" s="4"/>
      <c r="W66" s="4"/>
      <c r="X66" s="4"/>
    </row>
    <row r="67" spans="1:24" ht="30" customHeight="1">
      <c r="A67" s="77"/>
      <c r="B67" s="4"/>
      <c r="C67" s="4"/>
      <c r="D67" s="4"/>
      <c r="E67" s="225" t="s">
        <v>443</v>
      </c>
      <c r="F67" s="227" t="s">
        <v>444</v>
      </c>
      <c r="G67" s="177">
        <v>25</v>
      </c>
      <c r="H67" s="177" t="s">
        <v>82</v>
      </c>
      <c r="I67" s="228"/>
      <c r="J67" s="51"/>
      <c r="K67" s="51"/>
      <c r="L67" s="51"/>
      <c r="M67" s="51"/>
      <c r="N67" s="4"/>
      <c r="O67" s="4"/>
      <c r="P67" s="4"/>
      <c r="Q67" s="4"/>
      <c r="R67" s="4"/>
      <c r="S67" s="4"/>
      <c r="T67" s="4"/>
      <c r="U67" s="4"/>
      <c r="V67" s="4"/>
      <c r="W67" s="4"/>
      <c r="X67" s="4"/>
    </row>
    <row r="68" spans="1:24" ht="30" customHeight="1">
      <c r="A68" s="77"/>
      <c r="B68" s="4"/>
      <c r="C68" s="4"/>
      <c r="D68" s="4"/>
      <c r="E68" s="225" t="s">
        <v>445</v>
      </c>
      <c r="F68" s="227" t="s">
        <v>446</v>
      </c>
      <c r="G68" s="177">
        <v>50</v>
      </c>
      <c r="H68" s="177" t="s">
        <v>80</v>
      </c>
      <c r="I68" s="228"/>
      <c r="J68" s="51"/>
      <c r="K68" s="51"/>
      <c r="L68" s="51"/>
      <c r="M68" s="51"/>
      <c r="N68" s="4"/>
      <c r="O68" s="4"/>
      <c r="P68" s="4"/>
      <c r="Q68" s="4"/>
      <c r="R68" s="4"/>
      <c r="S68" s="4"/>
      <c r="T68" s="4"/>
      <c r="U68" s="4"/>
      <c r="V68" s="4"/>
      <c r="W68" s="4"/>
      <c r="X68" s="4"/>
    </row>
    <row r="69" spans="1:24" ht="30" customHeight="1">
      <c r="A69" s="77"/>
      <c r="B69" s="4"/>
      <c r="C69" s="4"/>
      <c r="D69" s="4"/>
      <c r="E69" s="225" t="s">
        <v>447</v>
      </c>
      <c r="F69" s="227" t="s">
        <v>448</v>
      </c>
      <c r="G69" s="177">
        <v>30</v>
      </c>
      <c r="H69" s="177" t="s">
        <v>82</v>
      </c>
      <c r="I69" s="228"/>
      <c r="J69" s="51"/>
      <c r="K69" s="51"/>
      <c r="L69" s="51"/>
      <c r="M69" s="51"/>
      <c r="N69" s="4"/>
      <c r="O69" s="4"/>
      <c r="P69" s="4"/>
      <c r="Q69" s="4"/>
      <c r="R69" s="4"/>
      <c r="S69" s="4"/>
      <c r="T69" s="4"/>
      <c r="U69" s="4"/>
      <c r="V69" s="4"/>
      <c r="W69" s="4"/>
      <c r="X69" s="4"/>
    </row>
    <row r="70" spans="1:24" ht="30" customHeight="1">
      <c r="A70" s="77"/>
      <c r="B70" s="4"/>
      <c r="C70" s="4"/>
      <c r="D70" s="4"/>
      <c r="E70" s="225" t="s">
        <v>449</v>
      </c>
      <c r="F70" s="227" t="s">
        <v>450</v>
      </c>
      <c r="G70" s="177">
        <v>10</v>
      </c>
      <c r="H70" s="177" t="s">
        <v>82</v>
      </c>
      <c r="I70" s="228"/>
      <c r="J70" s="51"/>
      <c r="K70" s="51"/>
      <c r="L70" s="51"/>
      <c r="M70" s="51"/>
      <c r="N70" s="4"/>
      <c r="O70" s="4"/>
      <c r="P70" s="4"/>
      <c r="Q70" s="4"/>
      <c r="R70" s="4"/>
      <c r="S70" s="4"/>
      <c r="T70" s="4"/>
      <c r="U70" s="4"/>
      <c r="V70" s="4"/>
      <c r="W70" s="4"/>
      <c r="X70" s="4"/>
    </row>
    <row r="71" spans="1:24" ht="30" customHeight="1">
      <c r="A71" s="77"/>
      <c r="B71" s="4"/>
      <c r="C71" s="4"/>
      <c r="D71" s="4"/>
      <c r="E71" s="225" t="s">
        <v>451</v>
      </c>
      <c r="F71" s="227" t="s">
        <v>452</v>
      </c>
      <c r="G71" s="177">
        <v>1</v>
      </c>
      <c r="H71" s="177" t="s">
        <v>84</v>
      </c>
      <c r="I71" s="228"/>
      <c r="J71" s="51"/>
      <c r="K71" s="51"/>
      <c r="L71" s="51"/>
      <c r="M71" s="51"/>
      <c r="N71" s="4"/>
      <c r="O71" s="4"/>
      <c r="P71" s="4"/>
      <c r="Q71" s="4"/>
      <c r="R71" s="4"/>
      <c r="S71" s="4"/>
      <c r="T71" s="4"/>
      <c r="U71" s="4"/>
      <c r="V71" s="4"/>
      <c r="W71" s="4"/>
      <c r="X71" s="4"/>
    </row>
    <row r="72" spans="1:24" ht="30" customHeight="1">
      <c r="A72" s="77"/>
      <c r="B72" s="4"/>
      <c r="C72" s="4"/>
      <c r="D72" s="4"/>
      <c r="E72" s="225" t="s">
        <v>453</v>
      </c>
      <c r="F72" s="227" t="s">
        <v>454</v>
      </c>
      <c r="G72" s="177">
        <v>100</v>
      </c>
      <c r="H72" s="177" t="s">
        <v>80</v>
      </c>
      <c r="I72" s="228" t="s">
        <v>455</v>
      </c>
      <c r="J72" s="51"/>
      <c r="K72" s="51"/>
      <c r="L72" s="51"/>
      <c r="M72" s="51"/>
      <c r="N72" s="4"/>
      <c r="O72" s="4"/>
      <c r="P72" s="4"/>
      <c r="Q72" s="4"/>
      <c r="R72" s="4"/>
      <c r="S72" s="4"/>
      <c r="T72" s="4"/>
      <c r="U72" s="4"/>
      <c r="V72" s="4"/>
      <c r="W72" s="4"/>
      <c r="X72" s="4"/>
    </row>
    <row r="73" spans="1:24" ht="30" customHeight="1">
      <c r="A73" s="77"/>
      <c r="B73" s="4"/>
      <c r="C73" s="4"/>
      <c r="D73" s="4"/>
      <c r="E73" s="225" t="s">
        <v>456</v>
      </c>
      <c r="F73" s="227" t="s">
        <v>457</v>
      </c>
      <c r="G73" s="177">
        <v>72</v>
      </c>
      <c r="H73" s="177" t="s">
        <v>82</v>
      </c>
      <c r="I73" s="228" t="s">
        <v>458</v>
      </c>
      <c r="J73" s="51"/>
      <c r="K73" s="51"/>
      <c r="L73" s="51"/>
      <c r="M73" s="51"/>
      <c r="N73" s="4"/>
      <c r="O73" s="4"/>
      <c r="P73" s="4"/>
      <c r="Q73" s="4"/>
      <c r="R73" s="4"/>
      <c r="S73" s="4"/>
      <c r="T73" s="4"/>
      <c r="U73" s="4"/>
      <c r="V73" s="4"/>
      <c r="W73" s="4"/>
      <c r="X73" s="4"/>
    </row>
    <row r="74" spans="1:24" ht="30" customHeight="1">
      <c r="A74" s="77"/>
      <c r="B74" s="4"/>
      <c r="C74" s="4"/>
      <c r="D74" s="4"/>
      <c r="E74" s="225" t="s">
        <v>459</v>
      </c>
      <c r="F74" s="227" t="s">
        <v>460</v>
      </c>
      <c r="G74" s="177">
        <v>541</v>
      </c>
      <c r="H74" s="177" t="s">
        <v>82</v>
      </c>
      <c r="I74" s="228" t="s">
        <v>461</v>
      </c>
      <c r="J74" s="51"/>
      <c r="K74" s="51"/>
      <c r="L74" s="51"/>
      <c r="M74" s="51"/>
      <c r="N74" s="4"/>
      <c r="O74" s="4"/>
      <c r="P74" s="4"/>
      <c r="Q74" s="4"/>
      <c r="R74" s="4"/>
      <c r="S74" s="4"/>
      <c r="T74" s="4"/>
      <c r="U74" s="4"/>
      <c r="V74" s="4"/>
      <c r="W74" s="4"/>
      <c r="X74" s="4"/>
    </row>
    <row r="75" spans="1:24" ht="30" customHeight="1">
      <c r="A75" s="77"/>
      <c r="B75" s="4"/>
      <c r="C75" s="4"/>
      <c r="D75" s="4"/>
      <c r="E75" s="225" t="s">
        <v>462</v>
      </c>
      <c r="F75" s="227" t="s">
        <v>463</v>
      </c>
      <c r="G75" s="177"/>
      <c r="H75" s="177" t="s">
        <v>82</v>
      </c>
      <c r="I75" s="228" t="s">
        <v>464</v>
      </c>
      <c r="J75" s="51"/>
      <c r="K75" s="51"/>
      <c r="L75" s="51"/>
      <c r="M75" s="51"/>
      <c r="N75" s="4"/>
      <c r="O75" s="4"/>
      <c r="P75" s="4"/>
      <c r="Q75" s="4"/>
      <c r="R75" s="4"/>
      <c r="S75" s="4"/>
      <c r="T75" s="4"/>
      <c r="U75" s="4"/>
      <c r="V75" s="4"/>
      <c r="W75" s="4"/>
      <c r="X75" s="4"/>
    </row>
    <row r="76" spans="1:24" ht="30" customHeight="1">
      <c r="A76" s="77"/>
      <c r="B76" s="4"/>
      <c r="C76" s="4"/>
      <c r="D76" s="4"/>
      <c r="E76" s="225" t="s">
        <v>465</v>
      </c>
      <c r="F76" s="227" t="s">
        <v>466</v>
      </c>
      <c r="G76" s="177">
        <v>857</v>
      </c>
      <c r="H76" s="177" t="s">
        <v>82</v>
      </c>
      <c r="I76" s="228"/>
      <c r="J76" s="51"/>
      <c r="K76" s="51"/>
      <c r="L76" s="51"/>
      <c r="M76" s="51"/>
      <c r="N76" s="4"/>
      <c r="O76" s="4"/>
      <c r="P76" s="4"/>
      <c r="Q76" s="4"/>
      <c r="R76" s="4"/>
      <c r="S76" s="4"/>
      <c r="T76" s="4"/>
      <c r="U76" s="4"/>
      <c r="V76" s="4"/>
      <c r="W76" s="4"/>
      <c r="X76" s="4"/>
    </row>
    <row r="77" spans="1:24" ht="30" customHeight="1">
      <c r="A77" s="77"/>
      <c r="B77" s="4"/>
      <c r="C77" s="4"/>
      <c r="D77" s="4"/>
      <c r="E77" s="225" t="s">
        <v>401</v>
      </c>
      <c r="F77" s="227" t="s">
        <v>467</v>
      </c>
      <c r="G77" s="177">
        <v>500</v>
      </c>
      <c r="H77" s="177" t="s">
        <v>84</v>
      </c>
      <c r="I77" s="228"/>
      <c r="J77" s="51"/>
      <c r="K77" s="51"/>
      <c r="L77" s="51"/>
      <c r="M77" s="51"/>
      <c r="N77" s="4"/>
      <c r="O77" s="4"/>
      <c r="P77" s="4"/>
      <c r="Q77" s="4"/>
      <c r="R77" s="4"/>
      <c r="S77" s="4"/>
      <c r="T77" s="4"/>
      <c r="U77" s="4"/>
      <c r="V77" s="4"/>
      <c r="W77" s="4"/>
      <c r="X77" s="4"/>
    </row>
    <row r="78" spans="1:24" ht="30" customHeight="1">
      <c r="A78" s="77"/>
      <c r="B78" s="4"/>
      <c r="C78" s="4"/>
      <c r="D78" s="4"/>
      <c r="E78" s="225" t="s">
        <v>425</v>
      </c>
      <c r="F78" s="227" t="s">
        <v>468</v>
      </c>
      <c r="G78" s="177">
        <v>28098</v>
      </c>
      <c r="H78" s="177" t="s">
        <v>82</v>
      </c>
      <c r="I78" s="228"/>
      <c r="J78" s="51"/>
      <c r="K78" s="51"/>
      <c r="L78" s="51"/>
      <c r="M78" s="51"/>
      <c r="N78" s="4"/>
      <c r="O78" s="4"/>
      <c r="P78" s="4"/>
      <c r="Q78" s="4"/>
      <c r="R78" s="4"/>
      <c r="S78" s="4"/>
      <c r="T78" s="4"/>
      <c r="U78" s="4"/>
      <c r="V78" s="4"/>
      <c r="W78" s="4"/>
      <c r="X78" s="4"/>
    </row>
    <row r="79" spans="1:24" ht="30" customHeight="1">
      <c r="A79" s="77"/>
      <c r="B79" s="4"/>
      <c r="C79" s="4"/>
      <c r="D79" s="4"/>
      <c r="E79" s="225" t="s">
        <v>469</v>
      </c>
      <c r="F79" s="227" t="s">
        <v>470</v>
      </c>
      <c r="G79" s="177">
        <v>72335</v>
      </c>
      <c r="H79" s="177" t="s">
        <v>80</v>
      </c>
      <c r="I79" s="228"/>
      <c r="J79" s="51"/>
      <c r="K79" s="51"/>
      <c r="L79" s="51"/>
      <c r="M79" s="51"/>
      <c r="N79" s="4"/>
      <c r="O79" s="4"/>
      <c r="P79" s="4"/>
      <c r="Q79" s="4"/>
      <c r="R79" s="4"/>
      <c r="S79" s="4"/>
      <c r="T79" s="4"/>
      <c r="U79" s="4"/>
      <c r="V79" s="4"/>
      <c r="W79" s="4"/>
      <c r="X79" s="4"/>
    </row>
    <row r="80" spans="1:24" ht="30" customHeight="1">
      <c r="A80" s="77"/>
      <c r="B80" s="4"/>
      <c r="C80" s="4"/>
      <c r="D80" s="4"/>
      <c r="E80" s="225" t="s">
        <v>471</v>
      </c>
      <c r="F80" s="227" t="s">
        <v>472</v>
      </c>
      <c r="G80" s="177">
        <v>12765</v>
      </c>
      <c r="H80" s="177" t="s">
        <v>82</v>
      </c>
      <c r="I80" s="228"/>
      <c r="J80" s="51"/>
      <c r="K80" s="51"/>
      <c r="L80" s="51"/>
      <c r="M80" s="51"/>
      <c r="N80" s="4"/>
      <c r="O80" s="4"/>
      <c r="P80" s="4"/>
      <c r="Q80" s="4"/>
      <c r="R80" s="4"/>
      <c r="S80" s="4"/>
      <c r="T80" s="4"/>
      <c r="U80" s="4"/>
      <c r="V80" s="4"/>
      <c r="W80" s="4"/>
      <c r="X80" s="4"/>
    </row>
    <row r="81" spans="1:24" ht="30" customHeight="1">
      <c r="A81" s="77"/>
      <c r="B81" s="4"/>
      <c r="C81" s="4"/>
      <c r="D81" s="4"/>
      <c r="E81" s="225" t="s">
        <v>473</v>
      </c>
      <c r="F81" s="227" t="s">
        <v>474</v>
      </c>
      <c r="G81" s="177">
        <v>9744</v>
      </c>
      <c r="H81" s="177" t="s">
        <v>82</v>
      </c>
      <c r="I81" s="228"/>
      <c r="J81" s="51"/>
      <c r="K81" s="51"/>
      <c r="L81" s="51"/>
      <c r="M81" s="51"/>
      <c r="N81" s="4"/>
      <c r="O81" s="4"/>
      <c r="P81" s="4"/>
      <c r="Q81" s="4"/>
      <c r="R81" s="4"/>
      <c r="S81" s="4"/>
      <c r="T81" s="4"/>
      <c r="U81" s="4"/>
      <c r="V81" s="4"/>
      <c r="W81" s="4"/>
      <c r="X81" s="4"/>
    </row>
    <row r="82" spans="1:24" ht="30" customHeight="1" thickBot="1">
      <c r="A82" s="77"/>
      <c r="B82" s="4"/>
      <c r="C82" s="4"/>
      <c r="D82" s="4"/>
      <c r="E82" s="225" t="s">
        <v>475</v>
      </c>
      <c r="F82" s="227"/>
      <c r="G82" s="177">
        <v>1928</v>
      </c>
      <c r="H82" s="177"/>
      <c r="I82" s="228"/>
      <c r="J82" s="51"/>
      <c r="K82" s="51"/>
      <c r="L82" s="51"/>
      <c r="M82" s="51"/>
      <c r="N82" s="4"/>
      <c r="O82" s="4"/>
      <c r="P82" s="4"/>
      <c r="Q82" s="4"/>
      <c r="R82" s="4"/>
      <c r="S82" s="4"/>
      <c r="T82" s="4"/>
      <c r="U82" s="4"/>
      <c r="V82" s="4"/>
      <c r="W82" s="4"/>
      <c r="X82" s="4"/>
    </row>
    <row r="83" spans="1:24" ht="30" customHeight="1">
      <c r="A83" s="77"/>
      <c r="B83" s="4"/>
      <c r="C83" s="4"/>
      <c r="D83" s="4"/>
      <c r="E83" s="192"/>
      <c r="F83" s="182"/>
      <c r="G83" s="182"/>
      <c r="H83" s="182"/>
      <c r="I83" s="182"/>
      <c r="J83" s="51"/>
      <c r="K83" s="51"/>
      <c r="L83" s="51"/>
      <c r="M83" s="51"/>
      <c r="N83" s="4"/>
      <c r="O83" s="4"/>
      <c r="P83" s="4"/>
      <c r="Q83" s="4"/>
      <c r="R83" s="4"/>
      <c r="S83" s="4"/>
      <c r="T83" s="4"/>
      <c r="U83" s="4"/>
      <c r="V83" s="4"/>
      <c r="W83" s="4"/>
      <c r="X83" s="4"/>
    </row>
    <row r="84" spans="1:24" ht="30" customHeight="1">
      <c r="A84" s="77"/>
      <c r="B84" s="4"/>
      <c r="C84" s="4"/>
      <c r="D84" s="4"/>
      <c r="E84" s="50"/>
      <c r="F84" s="51"/>
      <c r="G84" s="51"/>
      <c r="H84" s="51"/>
      <c r="I84" s="51"/>
      <c r="J84" s="51"/>
      <c r="K84" s="51"/>
      <c r="L84" s="51"/>
      <c r="M84" s="51"/>
      <c r="N84" s="4"/>
      <c r="O84" s="4"/>
      <c r="P84" s="4"/>
      <c r="Q84" s="4"/>
      <c r="R84" s="4"/>
      <c r="S84" s="4"/>
      <c r="T84" s="4"/>
      <c r="U84" s="4"/>
      <c r="V84" s="4"/>
      <c r="W84" s="4"/>
      <c r="X84" s="4"/>
    </row>
    <row r="85" spans="1:24" ht="30" customHeight="1">
      <c r="A85" s="77"/>
      <c r="B85" s="4"/>
      <c r="C85" s="4"/>
      <c r="D85" s="4"/>
      <c r="E85" s="50"/>
      <c r="F85" s="51"/>
      <c r="G85" s="51"/>
      <c r="H85" s="51"/>
      <c r="I85" s="51"/>
      <c r="J85" s="51"/>
      <c r="K85" s="51"/>
      <c r="L85" s="51"/>
      <c r="M85" s="51"/>
      <c r="N85" s="4"/>
      <c r="O85" s="4"/>
      <c r="P85" s="4"/>
      <c r="Q85" s="4"/>
      <c r="R85" s="4"/>
      <c r="S85" s="4"/>
      <c r="T85" s="4"/>
      <c r="U85" s="4"/>
      <c r="V85" s="4"/>
      <c r="W85" s="4"/>
      <c r="X85" s="4"/>
    </row>
    <row r="86" spans="1:24" ht="30" customHeight="1">
      <c r="A86" s="77"/>
      <c r="B86" s="4"/>
      <c r="C86" s="4"/>
      <c r="D86" s="4"/>
      <c r="E86" s="50"/>
      <c r="F86" s="51"/>
      <c r="G86" s="51"/>
      <c r="H86" s="51"/>
      <c r="I86" s="51"/>
      <c r="J86" s="51"/>
      <c r="K86" s="51"/>
      <c r="L86" s="51"/>
      <c r="M86" s="51"/>
      <c r="N86" s="4"/>
      <c r="O86" s="4"/>
      <c r="P86" s="4"/>
      <c r="Q86" s="4"/>
      <c r="R86" s="4"/>
      <c r="S86" s="4"/>
      <c r="T86" s="4"/>
      <c r="U86" s="4"/>
      <c r="V86" s="4"/>
      <c r="W86" s="4"/>
      <c r="X86" s="4"/>
    </row>
    <row r="87" spans="1:24" ht="30" customHeight="1">
      <c r="A87" s="77"/>
      <c r="B87" s="4"/>
      <c r="C87" s="4"/>
      <c r="D87" s="4"/>
      <c r="E87" s="50"/>
      <c r="F87" s="51"/>
      <c r="G87" s="51"/>
      <c r="H87" s="51"/>
      <c r="I87" s="51"/>
      <c r="J87" s="51"/>
      <c r="K87" s="51"/>
      <c r="L87" s="51"/>
      <c r="M87" s="51"/>
      <c r="N87" s="4"/>
      <c r="O87" s="4"/>
      <c r="P87" s="4"/>
      <c r="Q87" s="4"/>
      <c r="R87" s="4"/>
      <c r="S87" s="4"/>
      <c r="T87" s="4"/>
      <c r="U87" s="4"/>
      <c r="V87" s="4"/>
      <c r="W87" s="4"/>
      <c r="X87" s="4"/>
    </row>
    <row r="88" spans="1:24" ht="30" customHeight="1">
      <c r="A88" s="77"/>
      <c r="B88" s="4"/>
      <c r="C88" s="4"/>
      <c r="D88" s="4"/>
      <c r="E88" s="50"/>
      <c r="F88" s="51"/>
      <c r="G88" s="51"/>
      <c r="H88" s="51"/>
      <c r="I88" s="51"/>
      <c r="J88" s="51"/>
      <c r="K88" s="51"/>
      <c r="L88" s="51"/>
      <c r="M88" s="51"/>
      <c r="N88" s="4"/>
      <c r="O88" s="4"/>
      <c r="P88" s="4"/>
      <c r="Q88" s="4"/>
      <c r="R88" s="4"/>
      <c r="S88" s="4"/>
      <c r="T88" s="4"/>
      <c r="U88" s="4"/>
      <c r="V88" s="4"/>
      <c r="W88" s="4"/>
      <c r="X88" s="4"/>
    </row>
    <row r="89" spans="1:24" ht="30" customHeight="1">
      <c r="A89" s="77"/>
      <c r="B89" s="4"/>
      <c r="C89" s="4"/>
      <c r="D89" s="4"/>
      <c r="E89" s="50"/>
      <c r="F89" s="51"/>
      <c r="G89" s="51"/>
      <c r="H89" s="51"/>
      <c r="I89" s="51"/>
      <c r="J89" s="51"/>
      <c r="K89" s="51"/>
      <c r="L89" s="51"/>
      <c r="M89" s="51"/>
      <c r="N89" s="4"/>
      <c r="O89" s="4"/>
      <c r="P89" s="4"/>
      <c r="Q89" s="4"/>
      <c r="R89" s="4"/>
      <c r="S89" s="4"/>
      <c r="T89" s="4"/>
      <c r="U89" s="4"/>
      <c r="V89" s="4"/>
      <c r="W89" s="4"/>
      <c r="X89" s="4"/>
    </row>
    <row r="90" spans="1:24" ht="30" customHeight="1">
      <c r="A90" s="77"/>
      <c r="B90" s="4"/>
      <c r="C90" s="4"/>
      <c r="D90" s="4"/>
      <c r="E90" s="50"/>
      <c r="F90" s="51"/>
      <c r="G90" s="51"/>
      <c r="H90" s="51"/>
      <c r="I90" s="51"/>
      <c r="J90" s="51"/>
      <c r="K90" s="51"/>
      <c r="L90" s="51"/>
      <c r="M90" s="51"/>
      <c r="N90" s="4"/>
      <c r="O90" s="4"/>
      <c r="P90" s="4"/>
      <c r="Q90" s="4"/>
      <c r="R90" s="4"/>
      <c r="S90" s="4"/>
      <c r="T90" s="4"/>
      <c r="U90" s="4"/>
      <c r="V90" s="4"/>
      <c r="W90" s="4"/>
      <c r="X90" s="4"/>
    </row>
    <row r="91" spans="1:24" ht="30" customHeight="1">
      <c r="A91" s="77"/>
      <c r="B91" s="4"/>
      <c r="C91" s="4"/>
      <c r="D91" s="4"/>
      <c r="E91" s="50"/>
      <c r="F91" s="51"/>
      <c r="G91" s="51"/>
      <c r="H91" s="51"/>
      <c r="I91" s="51"/>
      <c r="J91" s="51"/>
      <c r="K91" s="51"/>
      <c r="L91" s="51"/>
      <c r="M91" s="51"/>
      <c r="N91" s="4"/>
      <c r="O91" s="4"/>
      <c r="P91" s="4"/>
      <c r="Q91" s="4"/>
      <c r="R91" s="4"/>
      <c r="S91" s="4"/>
      <c r="T91" s="4"/>
      <c r="U91" s="4"/>
      <c r="V91" s="4"/>
      <c r="W91" s="4"/>
      <c r="X91" s="4"/>
    </row>
    <row r="92" spans="1:24" ht="30" customHeight="1">
      <c r="A92" s="77"/>
      <c r="B92" s="4"/>
      <c r="C92" s="4"/>
      <c r="D92" s="4"/>
      <c r="E92" s="50"/>
      <c r="F92" s="51"/>
      <c r="G92" s="51"/>
      <c r="H92" s="51"/>
      <c r="I92" s="51"/>
      <c r="J92" s="51"/>
      <c r="K92" s="51"/>
      <c r="L92" s="51"/>
      <c r="M92" s="51"/>
      <c r="N92" s="4"/>
      <c r="O92" s="4"/>
      <c r="P92" s="4"/>
      <c r="Q92" s="4"/>
      <c r="R92" s="4"/>
      <c r="S92" s="4"/>
      <c r="T92" s="4"/>
      <c r="U92" s="4"/>
      <c r="V92" s="4"/>
      <c r="W92" s="4"/>
      <c r="X92" s="4"/>
    </row>
    <row r="93" spans="1:24" ht="30" customHeight="1">
      <c r="A93" s="77"/>
      <c r="B93" s="4"/>
      <c r="C93" s="4"/>
      <c r="D93" s="4"/>
      <c r="E93" s="50"/>
      <c r="F93" s="51"/>
      <c r="G93" s="51"/>
      <c r="H93" s="51"/>
      <c r="I93" s="51"/>
      <c r="J93" s="51"/>
      <c r="K93" s="51"/>
      <c r="L93" s="51"/>
      <c r="M93" s="51"/>
      <c r="N93" s="4"/>
      <c r="O93" s="4"/>
      <c r="P93" s="4"/>
      <c r="Q93" s="4"/>
      <c r="R93" s="4"/>
      <c r="S93" s="4"/>
      <c r="T93" s="4"/>
      <c r="U93" s="4"/>
      <c r="V93" s="4"/>
      <c r="W93" s="4"/>
      <c r="X93" s="4"/>
    </row>
    <row r="94" spans="1:24" ht="30" customHeight="1">
      <c r="A94" s="77"/>
      <c r="B94" s="4"/>
      <c r="C94" s="4"/>
      <c r="D94" s="4"/>
      <c r="E94" s="50"/>
      <c r="F94" s="51"/>
      <c r="G94" s="51"/>
      <c r="H94" s="51"/>
      <c r="I94" s="51"/>
      <c r="J94" s="51"/>
      <c r="K94" s="51"/>
      <c r="L94" s="51"/>
      <c r="M94" s="51"/>
      <c r="N94" s="4"/>
      <c r="O94" s="4"/>
      <c r="P94" s="4"/>
      <c r="Q94" s="4"/>
      <c r="R94" s="4"/>
      <c r="S94" s="4"/>
      <c r="T94" s="4"/>
      <c r="U94" s="4"/>
      <c r="V94" s="4"/>
      <c r="W94" s="4"/>
      <c r="X94" s="4"/>
    </row>
    <row r="95" spans="1:24" ht="30" customHeight="1">
      <c r="A95" s="77"/>
      <c r="B95" s="4"/>
      <c r="C95" s="4"/>
      <c r="D95" s="4"/>
      <c r="E95" s="50"/>
      <c r="F95" s="51"/>
      <c r="G95" s="51"/>
      <c r="H95" s="51"/>
      <c r="I95" s="51"/>
      <c r="J95" s="51"/>
      <c r="K95" s="51"/>
      <c r="L95" s="51"/>
      <c r="M95" s="51"/>
      <c r="N95" s="4"/>
      <c r="O95" s="4"/>
      <c r="P95" s="4"/>
      <c r="Q95" s="4"/>
      <c r="R95" s="4"/>
      <c r="S95" s="4"/>
      <c r="T95" s="4"/>
      <c r="U95" s="4"/>
      <c r="V95" s="4"/>
      <c r="W95" s="4"/>
      <c r="X95" s="4"/>
    </row>
    <row r="96" spans="1:24" ht="30" customHeight="1">
      <c r="A96" s="77"/>
      <c r="B96" s="4"/>
      <c r="C96" s="4"/>
      <c r="D96" s="4"/>
      <c r="E96" s="50"/>
      <c r="F96" s="51"/>
      <c r="G96" s="51"/>
      <c r="H96" s="51"/>
      <c r="I96" s="51"/>
      <c r="J96" s="51"/>
      <c r="K96" s="51"/>
      <c r="L96" s="51"/>
      <c r="M96" s="51"/>
      <c r="N96" s="4"/>
      <c r="O96" s="4"/>
      <c r="P96" s="4"/>
      <c r="Q96" s="4"/>
      <c r="R96" s="4"/>
      <c r="S96" s="4"/>
      <c r="T96" s="4"/>
      <c r="U96" s="4"/>
      <c r="V96" s="4"/>
      <c r="W96" s="4"/>
      <c r="X96" s="4"/>
    </row>
    <row r="97" spans="1:25" s="3" customFormat="1" ht="30" customHeight="1">
      <c r="A97" s="77"/>
      <c r="B97" s="4"/>
      <c r="C97" s="4"/>
      <c r="D97" s="4"/>
      <c r="E97" s="50"/>
      <c r="F97" s="51"/>
      <c r="G97" s="51"/>
      <c r="H97" s="51"/>
      <c r="I97" s="51"/>
      <c r="J97" s="51"/>
      <c r="K97" s="51"/>
      <c r="L97" s="51"/>
      <c r="M97" s="51"/>
      <c r="N97" s="4"/>
      <c r="O97" s="4"/>
      <c r="P97" s="4"/>
      <c r="Q97" s="4"/>
      <c r="R97" s="4"/>
      <c r="S97" s="4"/>
      <c r="T97" s="4"/>
      <c r="U97" s="4"/>
      <c r="V97" s="4"/>
      <c r="W97" s="4"/>
      <c r="X97" s="4"/>
      <c r="Y97" s="5"/>
    </row>
    <row r="98" spans="1:25" s="3" customFormat="1" ht="30" customHeight="1">
      <c r="A98" s="77"/>
      <c r="B98" s="4"/>
      <c r="C98" s="4"/>
      <c r="D98" s="4"/>
      <c r="E98" s="50"/>
      <c r="F98" s="51"/>
      <c r="G98" s="51"/>
      <c r="H98" s="51"/>
      <c r="I98" s="51"/>
      <c r="J98" s="51"/>
      <c r="K98" s="51"/>
      <c r="L98" s="51"/>
      <c r="M98" s="51"/>
      <c r="N98" s="4"/>
      <c r="O98" s="4"/>
      <c r="P98" s="4"/>
      <c r="Q98" s="4"/>
      <c r="R98" s="4"/>
      <c r="S98" s="4"/>
      <c r="T98" s="4"/>
      <c r="U98" s="4"/>
      <c r="V98" s="4"/>
      <c r="W98" s="4"/>
      <c r="X98" s="4"/>
      <c r="Y98" s="5"/>
    </row>
    <row r="99" spans="1:25" s="3" customFormat="1" ht="30" customHeight="1">
      <c r="A99" s="77"/>
      <c r="B99" s="4"/>
      <c r="C99" s="4"/>
      <c r="D99" s="4"/>
      <c r="E99" s="50"/>
      <c r="F99" s="51"/>
      <c r="G99" s="51"/>
      <c r="H99" s="51"/>
      <c r="I99" s="51"/>
      <c r="J99" s="51"/>
      <c r="K99" s="51"/>
      <c r="L99" s="51"/>
      <c r="M99" s="51"/>
      <c r="N99" s="4"/>
      <c r="O99" s="4"/>
      <c r="P99" s="4"/>
      <c r="Q99" s="4"/>
      <c r="R99" s="4"/>
      <c r="S99" s="4"/>
      <c r="T99" s="4"/>
      <c r="U99" s="4"/>
      <c r="V99" s="4"/>
      <c r="W99" s="4"/>
      <c r="X99" s="4"/>
      <c r="Y99" s="5"/>
    </row>
    <row r="100" spans="1:25" s="3" customFormat="1" ht="30" customHeight="1">
      <c r="A100" s="77"/>
      <c r="B100" s="4"/>
      <c r="C100" s="4"/>
      <c r="D100" s="4"/>
      <c r="E100" s="50"/>
      <c r="F100" s="51"/>
      <c r="G100" s="51"/>
      <c r="H100" s="51"/>
      <c r="I100" s="51"/>
      <c r="J100" s="51"/>
      <c r="K100" s="51"/>
      <c r="L100" s="51"/>
      <c r="M100" s="51"/>
      <c r="N100" s="4"/>
      <c r="O100" s="4"/>
      <c r="P100" s="4"/>
      <c r="Q100" s="4"/>
      <c r="R100" s="4"/>
      <c r="S100" s="4"/>
      <c r="T100" s="4"/>
      <c r="U100" s="4"/>
      <c r="V100" s="4"/>
      <c r="W100" s="4"/>
      <c r="X100" s="4"/>
      <c r="Y100" s="5"/>
    </row>
    <row r="101" spans="1:25" s="3" customFormat="1" ht="30" customHeight="1">
      <c r="A101" s="77"/>
      <c r="B101" s="4"/>
      <c r="C101" s="4"/>
      <c r="D101" s="4"/>
      <c r="E101" s="50"/>
      <c r="F101" s="51"/>
      <c r="G101" s="51"/>
      <c r="H101" s="51"/>
      <c r="I101" s="51"/>
      <c r="J101" s="51"/>
      <c r="K101" s="51"/>
      <c r="L101" s="51"/>
      <c r="M101" s="51"/>
      <c r="N101" s="4"/>
      <c r="O101" s="4"/>
      <c r="P101" s="4"/>
      <c r="Q101" s="4"/>
      <c r="R101" s="4"/>
      <c r="S101" s="4"/>
      <c r="T101" s="4"/>
      <c r="U101" s="4"/>
      <c r="V101" s="4"/>
      <c r="W101" s="4"/>
      <c r="X101" s="4"/>
      <c r="Y101" s="5"/>
    </row>
    <row r="102" spans="1:25" s="3" customFormat="1" ht="30" customHeight="1">
      <c r="A102" s="77"/>
      <c r="B102" s="4"/>
      <c r="C102" s="4"/>
      <c r="D102" s="4"/>
      <c r="E102" s="50"/>
      <c r="F102" s="51"/>
      <c r="G102" s="51"/>
      <c r="H102" s="51"/>
      <c r="I102" s="51"/>
      <c r="J102" s="51"/>
      <c r="K102" s="51"/>
      <c r="L102" s="51"/>
      <c r="M102" s="51"/>
      <c r="N102" s="4"/>
      <c r="O102" s="4"/>
      <c r="P102" s="4"/>
      <c r="Q102" s="4"/>
      <c r="R102" s="4"/>
      <c r="S102" s="4"/>
      <c r="T102" s="4"/>
      <c r="U102" s="4"/>
      <c r="V102" s="4"/>
      <c r="W102" s="4"/>
      <c r="X102" s="4"/>
      <c r="Y102" s="5"/>
    </row>
    <row r="103" spans="1:25" s="3" customFormat="1" ht="30" customHeight="1">
      <c r="A103" s="77"/>
      <c r="B103" s="4"/>
      <c r="C103" s="4"/>
      <c r="D103" s="4"/>
      <c r="E103" s="50"/>
      <c r="F103" s="51"/>
      <c r="G103" s="51"/>
      <c r="H103" s="51"/>
      <c r="I103" s="51"/>
      <c r="J103" s="51"/>
      <c r="K103" s="51"/>
      <c r="L103" s="51"/>
      <c r="M103" s="51"/>
      <c r="N103" s="4"/>
      <c r="O103" s="4"/>
      <c r="P103" s="4"/>
      <c r="Q103" s="4"/>
      <c r="R103" s="4"/>
      <c r="S103" s="4"/>
      <c r="T103" s="4"/>
      <c r="U103" s="4"/>
      <c r="V103" s="4"/>
      <c r="W103" s="4"/>
      <c r="X103" s="4"/>
      <c r="Y103" s="5"/>
    </row>
    <row r="104" spans="1:25" ht="0" hidden="1" customHeight="1">
      <c r="A104" s="77"/>
      <c r="B104" s="4"/>
      <c r="C104" s="4"/>
      <c r="D104" s="4"/>
      <c r="E104" s="50"/>
      <c r="F104" s="51"/>
      <c r="G104" s="51"/>
      <c r="H104" s="51"/>
      <c r="I104" s="51"/>
      <c r="J104" s="51"/>
      <c r="K104" s="51"/>
      <c r="L104" s="51"/>
      <c r="M104" s="51"/>
      <c r="N104" s="4"/>
      <c r="O104" s="4"/>
      <c r="P104" s="4"/>
      <c r="Q104" s="4"/>
      <c r="R104" s="4"/>
      <c r="S104" s="4"/>
      <c r="T104" s="4"/>
      <c r="U104" s="4"/>
      <c r="V104" s="4"/>
      <c r="W104" s="4"/>
      <c r="X104" s="4"/>
    </row>
    <row r="105" spans="1:25" ht="0" hidden="1" customHeight="1">
      <c r="A105" s="77"/>
      <c r="B105" s="4"/>
      <c r="C105" s="4"/>
      <c r="D105" s="4"/>
      <c r="E105" s="50"/>
      <c r="F105" s="51"/>
      <c r="G105" s="51"/>
      <c r="H105" s="51"/>
      <c r="I105" s="51"/>
      <c r="J105" s="51"/>
      <c r="K105" s="51"/>
      <c r="L105" s="51"/>
      <c r="M105" s="51"/>
      <c r="N105" s="4"/>
      <c r="O105" s="4"/>
      <c r="P105" s="4"/>
      <c r="Q105" s="4"/>
      <c r="R105" s="4"/>
      <c r="S105" s="4"/>
      <c r="T105" s="4"/>
      <c r="U105" s="4"/>
      <c r="V105" s="4"/>
      <c r="W105" s="4"/>
      <c r="X105" s="4"/>
    </row>
    <row r="106" spans="1:25" ht="0" hidden="1" customHeight="1">
      <c r="A106" s="77"/>
      <c r="B106" s="4"/>
      <c r="C106" s="4"/>
      <c r="D106" s="4"/>
      <c r="E106" s="50"/>
      <c r="F106" s="51"/>
      <c r="G106" s="51"/>
      <c r="H106" s="51"/>
      <c r="I106" s="51"/>
      <c r="J106" s="51"/>
      <c r="K106" s="51"/>
      <c r="L106" s="51"/>
      <c r="M106" s="51"/>
      <c r="N106" s="4"/>
      <c r="O106" s="4"/>
      <c r="P106" s="4"/>
      <c r="Q106" s="4"/>
      <c r="R106" s="4"/>
      <c r="S106" s="4"/>
      <c r="T106" s="4"/>
      <c r="U106" s="4"/>
      <c r="V106" s="4"/>
      <c r="W106" s="4"/>
      <c r="X106" s="4"/>
    </row>
    <row r="107" spans="1:25" ht="0" hidden="1" customHeight="1">
      <c r="A107" s="77"/>
      <c r="B107" s="4"/>
      <c r="C107" s="4"/>
      <c r="D107" s="4"/>
      <c r="E107" s="50"/>
      <c r="F107" s="51"/>
      <c r="G107" s="51"/>
      <c r="H107" s="51"/>
      <c r="I107" s="51"/>
      <c r="J107" s="51"/>
      <c r="K107" s="51"/>
      <c r="L107" s="51"/>
      <c r="M107" s="51"/>
      <c r="N107" s="4"/>
      <c r="O107" s="4"/>
      <c r="P107" s="4"/>
      <c r="Q107" s="4"/>
      <c r="R107" s="4"/>
      <c r="S107" s="4"/>
      <c r="T107" s="4"/>
      <c r="U107" s="4"/>
      <c r="V107" s="4"/>
      <c r="W107" s="4"/>
      <c r="X107" s="4"/>
    </row>
    <row r="108" spans="1:25" ht="0" hidden="1" customHeight="1">
      <c r="A108" s="77"/>
      <c r="B108" s="4"/>
      <c r="C108" s="4"/>
      <c r="D108" s="4"/>
      <c r="E108" s="50"/>
      <c r="F108" s="51"/>
      <c r="G108" s="51"/>
      <c r="H108" s="51"/>
      <c r="I108" s="51"/>
      <c r="J108" s="51"/>
      <c r="K108" s="51"/>
      <c r="L108" s="51"/>
      <c r="M108" s="51"/>
      <c r="N108" s="4"/>
      <c r="O108" s="4"/>
      <c r="P108" s="4"/>
      <c r="Q108" s="4"/>
      <c r="R108" s="4"/>
      <c r="S108" s="4"/>
      <c r="T108" s="4"/>
      <c r="U108" s="4"/>
      <c r="V108" s="4"/>
      <c r="W108" s="4"/>
      <c r="X108" s="4"/>
    </row>
    <row r="109" spans="1:25" ht="0" hidden="1" customHeight="1">
      <c r="A109" s="77"/>
      <c r="B109" s="4"/>
      <c r="C109" s="4"/>
      <c r="D109" s="4"/>
      <c r="E109" s="50"/>
      <c r="F109" s="51"/>
      <c r="G109" s="51"/>
      <c r="H109" s="51"/>
      <c r="I109" s="51"/>
      <c r="J109" s="51"/>
      <c r="K109" s="51"/>
      <c r="L109" s="51"/>
      <c r="M109" s="51"/>
      <c r="N109" s="4"/>
      <c r="O109" s="4"/>
      <c r="P109" s="4"/>
      <c r="Q109" s="4"/>
      <c r="R109" s="4"/>
      <c r="S109" s="4"/>
      <c r="T109" s="4"/>
      <c r="U109" s="4"/>
      <c r="V109" s="4"/>
      <c r="W109" s="4"/>
      <c r="X109" s="4"/>
    </row>
    <row r="110" spans="1:25" ht="0" hidden="1" customHeight="1">
      <c r="A110" s="77"/>
      <c r="B110" s="4"/>
      <c r="C110" s="4"/>
      <c r="D110" s="4"/>
      <c r="E110" s="50"/>
      <c r="F110" s="51"/>
      <c r="G110" s="51"/>
      <c r="H110" s="51"/>
      <c r="I110" s="51"/>
      <c r="J110" s="51"/>
      <c r="K110" s="51"/>
      <c r="L110" s="51"/>
      <c r="M110" s="51"/>
      <c r="N110" s="4"/>
      <c r="O110" s="4"/>
      <c r="P110" s="4"/>
      <c r="Q110" s="4"/>
      <c r="R110" s="4"/>
      <c r="S110" s="4"/>
      <c r="T110" s="4"/>
      <c r="U110" s="4"/>
      <c r="V110" s="4"/>
      <c r="W110" s="4"/>
      <c r="X110" s="4"/>
    </row>
    <row r="111" spans="1:25" ht="0" hidden="1" customHeight="1">
      <c r="A111" s="77"/>
      <c r="B111" s="4"/>
      <c r="C111" s="4"/>
      <c r="D111" s="4"/>
      <c r="E111" s="50"/>
      <c r="F111" s="51"/>
      <c r="G111" s="51"/>
      <c r="H111" s="51"/>
      <c r="I111" s="51"/>
      <c r="J111" s="51"/>
      <c r="K111" s="51"/>
      <c r="L111" s="51"/>
      <c r="M111" s="51"/>
      <c r="N111" s="4"/>
      <c r="O111" s="4"/>
      <c r="P111" s="4"/>
      <c r="Q111" s="4"/>
      <c r="R111" s="4"/>
      <c r="S111" s="4"/>
      <c r="T111" s="4"/>
      <c r="U111" s="4"/>
      <c r="V111" s="4"/>
      <c r="W111" s="4"/>
      <c r="X111" s="4"/>
    </row>
    <row r="112" spans="1:25" ht="0" hidden="1" customHeight="1">
      <c r="A112" s="77"/>
      <c r="B112" s="4"/>
      <c r="C112" s="4"/>
      <c r="D112" s="4"/>
      <c r="E112" s="50"/>
      <c r="F112" s="51"/>
      <c r="G112" s="51"/>
      <c r="H112" s="51"/>
      <c r="I112" s="51"/>
      <c r="J112" s="51"/>
      <c r="K112" s="51"/>
      <c r="L112" s="51"/>
      <c r="M112" s="51"/>
      <c r="N112" s="4"/>
      <c r="O112" s="4"/>
      <c r="P112" s="4"/>
      <c r="Q112" s="4"/>
      <c r="R112" s="4"/>
      <c r="S112" s="4"/>
      <c r="T112" s="4"/>
      <c r="U112" s="4"/>
      <c r="V112" s="4"/>
      <c r="W112" s="4"/>
      <c r="X112" s="4"/>
    </row>
    <row r="113" spans="1:24" ht="0" hidden="1" customHeight="1">
      <c r="A113" s="77"/>
      <c r="B113" s="4"/>
      <c r="C113" s="4"/>
      <c r="D113" s="4"/>
      <c r="E113" s="50"/>
      <c r="F113" s="51"/>
      <c r="G113" s="51"/>
      <c r="H113" s="51"/>
      <c r="I113" s="51"/>
      <c r="J113" s="51"/>
      <c r="K113" s="51"/>
      <c r="L113" s="51"/>
      <c r="M113" s="51"/>
      <c r="N113" s="4"/>
      <c r="O113" s="4"/>
      <c r="P113" s="4"/>
      <c r="Q113" s="4"/>
      <c r="R113" s="4"/>
      <c r="S113" s="4"/>
      <c r="T113" s="4"/>
      <c r="U113" s="4"/>
      <c r="V113" s="4"/>
      <c r="W113" s="4"/>
      <c r="X113" s="4"/>
    </row>
    <row r="114" spans="1:24" ht="0" hidden="1" customHeight="1">
      <c r="A114" s="77"/>
      <c r="B114" s="4"/>
      <c r="C114" s="4"/>
      <c r="D114" s="4"/>
      <c r="E114" s="50"/>
      <c r="F114" s="51"/>
      <c r="G114" s="51"/>
      <c r="H114" s="51"/>
      <c r="I114" s="51"/>
      <c r="J114" s="51"/>
      <c r="K114" s="51"/>
      <c r="L114" s="51"/>
      <c r="M114" s="51"/>
      <c r="N114" s="4"/>
      <c r="O114" s="4"/>
      <c r="P114" s="4"/>
      <c r="Q114" s="4"/>
      <c r="R114" s="4"/>
      <c r="S114" s="4"/>
      <c r="T114" s="4"/>
      <c r="U114" s="4"/>
      <c r="V114" s="4"/>
      <c r="W114" s="4"/>
      <c r="X114" s="4"/>
    </row>
    <row r="115" spans="1:24" ht="0" hidden="1" customHeight="1">
      <c r="A115" s="77"/>
      <c r="B115" s="4"/>
      <c r="C115" s="4"/>
      <c r="D115" s="4"/>
      <c r="E115" s="50"/>
      <c r="F115" s="51"/>
      <c r="G115" s="51"/>
      <c r="H115" s="51"/>
      <c r="I115" s="51"/>
      <c r="J115" s="51"/>
      <c r="K115" s="51"/>
      <c r="L115" s="51"/>
      <c r="M115" s="51"/>
      <c r="N115" s="4"/>
      <c r="O115" s="4"/>
      <c r="P115" s="4"/>
      <c r="Q115" s="4"/>
      <c r="R115" s="4"/>
      <c r="S115" s="4"/>
      <c r="T115" s="4"/>
      <c r="U115" s="4"/>
      <c r="V115" s="4"/>
      <c r="W115" s="4"/>
      <c r="X115" s="4"/>
    </row>
    <row r="116" spans="1:24" ht="0" hidden="1" customHeight="1">
      <c r="A116" s="77"/>
      <c r="B116" s="4"/>
      <c r="C116" s="4"/>
      <c r="D116" s="4"/>
      <c r="E116" s="50"/>
      <c r="F116" s="51"/>
      <c r="G116" s="51"/>
      <c r="H116" s="51"/>
      <c r="I116" s="51"/>
      <c r="J116" s="51"/>
      <c r="K116" s="51"/>
      <c r="L116" s="51"/>
      <c r="M116" s="51"/>
      <c r="N116" s="4"/>
      <c r="O116" s="4"/>
      <c r="P116" s="4"/>
      <c r="Q116" s="4"/>
      <c r="R116" s="4"/>
      <c r="S116" s="4"/>
      <c r="T116" s="4"/>
      <c r="U116" s="4"/>
      <c r="V116" s="4"/>
      <c r="W116" s="4"/>
      <c r="X116" s="4"/>
    </row>
    <row r="117" spans="1:24" ht="0" hidden="1" customHeight="1">
      <c r="A117" s="77"/>
      <c r="B117" s="4"/>
      <c r="C117" s="4"/>
      <c r="D117" s="4"/>
      <c r="E117" s="50"/>
      <c r="F117" s="51"/>
      <c r="G117" s="51"/>
      <c r="H117" s="51"/>
      <c r="I117" s="51"/>
      <c r="J117" s="51"/>
      <c r="K117" s="51"/>
      <c r="L117" s="51"/>
      <c r="M117" s="51"/>
      <c r="N117" s="4"/>
      <c r="O117" s="4"/>
      <c r="P117" s="4"/>
      <c r="Q117" s="4"/>
      <c r="R117" s="4"/>
      <c r="S117" s="4"/>
      <c r="T117" s="4"/>
      <c r="U117" s="4"/>
      <c r="V117" s="4"/>
      <c r="W117" s="4"/>
      <c r="X117" s="4"/>
    </row>
    <row r="118" spans="1:24" ht="0" hidden="1" customHeight="1">
      <c r="A118" s="77"/>
      <c r="B118" s="4"/>
      <c r="C118" s="4"/>
      <c r="D118" s="4"/>
      <c r="E118" s="50"/>
      <c r="F118" s="51"/>
      <c r="G118" s="51"/>
      <c r="H118" s="51"/>
      <c r="I118" s="51"/>
      <c r="J118" s="51"/>
      <c r="K118" s="51"/>
      <c r="L118" s="51"/>
      <c r="M118" s="51"/>
      <c r="N118" s="4"/>
      <c r="O118" s="4"/>
      <c r="P118" s="4"/>
      <c r="Q118" s="4"/>
      <c r="R118" s="4"/>
      <c r="S118" s="4"/>
      <c r="T118" s="4"/>
      <c r="U118" s="4"/>
      <c r="V118" s="4"/>
      <c r="W118" s="4"/>
      <c r="X118" s="4"/>
    </row>
    <row r="119" spans="1:24" ht="0" hidden="1" customHeight="1">
      <c r="A119" s="77"/>
      <c r="B119" s="4"/>
      <c r="C119" s="4"/>
      <c r="D119" s="4"/>
      <c r="E119" s="50"/>
      <c r="F119" s="51"/>
      <c r="G119" s="51"/>
      <c r="H119" s="51"/>
      <c r="I119" s="51"/>
      <c r="J119" s="51"/>
      <c r="K119" s="51"/>
      <c r="L119" s="51"/>
      <c r="M119" s="51"/>
      <c r="N119" s="4"/>
      <c r="O119" s="4"/>
      <c r="P119" s="4"/>
      <c r="Q119" s="4"/>
      <c r="R119" s="4"/>
      <c r="S119" s="4"/>
      <c r="T119" s="4"/>
      <c r="U119" s="4"/>
      <c r="V119" s="4"/>
      <c r="W119" s="4"/>
      <c r="X119" s="4"/>
    </row>
    <row r="120" spans="1:24" ht="0" hidden="1" customHeight="1">
      <c r="A120" s="77"/>
      <c r="B120" s="4"/>
      <c r="C120" s="4"/>
      <c r="D120" s="4"/>
      <c r="E120" s="50"/>
      <c r="F120" s="51"/>
      <c r="G120" s="51"/>
      <c r="H120" s="51"/>
      <c r="I120" s="51"/>
      <c r="J120" s="51"/>
      <c r="K120" s="51"/>
      <c r="L120" s="51"/>
      <c r="M120" s="51"/>
      <c r="N120" s="4"/>
      <c r="O120" s="4"/>
      <c r="P120" s="4"/>
      <c r="Q120" s="4"/>
      <c r="R120" s="4"/>
      <c r="S120" s="4"/>
      <c r="T120" s="4"/>
      <c r="U120" s="4"/>
      <c r="V120" s="4"/>
      <c r="W120" s="4"/>
      <c r="X120" s="4"/>
    </row>
    <row r="121" spans="1:24" ht="0" hidden="1" customHeight="1">
      <c r="A121" s="77"/>
      <c r="B121" s="4"/>
      <c r="C121" s="4"/>
      <c r="D121" s="4"/>
      <c r="E121" s="50"/>
      <c r="F121" s="51"/>
      <c r="G121" s="51"/>
      <c r="H121" s="51"/>
      <c r="I121" s="51"/>
      <c r="J121" s="51"/>
      <c r="K121" s="51"/>
      <c r="L121" s="51"/>
      <c r="M121" s="51"/>
      <c r="N121" s="4"/>
      <c r="O121" s="4"/>
      <c r="P121" s="4"/>
      <c r="Q121" s="4"/>
      <c r="R121" s="4"/>
      <c r="S121" s="4"/>
      <c r="T121" s="4"/>
      <c r="U121" s="4"/>
      <c r="V121" s="4"/>
      <c r="W121" s="4"/>
      <c r="X121" s="4"/>
    </row>
    <row r="122" spans="1:24" hidden="1">
      <c r="B122" s="4"/>
      <c r="C122" s="4"/>
      <c r="D122" s="4"/>
      <c r="E122" s="50"/>
      <c r="F122" s="51"/>
      <c r="G122" s="51"/>
      <c r="H122" s="51"/>
      <c r="I122" s="51"/>
      <c r="J122" s="51"/>
      <c r="K122" s="51"/>
      <c r="L122" s="51"/>
      <c r="M122" s="51"/>
      <c r="N122" s="4"/>
      <c r="O122" s="4"/>
      <c r="P122" s="4"/>
      <c r="Q122" s="4"/>
      <c r="R122" s="4"/>
      <c r="S122" s="4"/>
      <c r="T122" s="4"/>
      <c r="U122" s="4"/>
      <c r="V122" s="4"/>
      <c r="W122" s="4"/>
      <c r="X122" s="4"/>
    </row>
    <row r="123" spans="1:24" hidden="1">
      <c r="B123" s="4"/>
      <c r="C123" s="4"/>
      <c r="D123" s="4"/>
      <c r="E123" s="50"/>
      <c r="F123" s="51"/>
      <c r="G123" s="51"/>
      <c r="H123" s="51"/>
      <c r="I123" s="51"/>
      <c r="J123" s="51"/>
      <c r="K123" s="51"/>
      <c r="L123" s="51"/>
      <c r="M123" s="51"/>
      <c r="N123" s="4"/>
      <c r="O123" s="4"/>
      <c r="P123" s="4"/>
      <c r="Q123" s="4"/>
      <c r="R123" s="4"/>
      <c r="S123" s="4"/>
      <c r="T123" s="4"/>
      <c r="U123" s="4"/>
      <c r="V123" s="4"/>
      <c r="W123" s="4"/>
      <c r="X123" s="4"/>
    </row>
    <row r="124" spans="1:24" hidden="1">
      <c r="B124" s="4"/>
      <c r="C124" s="4"/>
      <c r="D124" s="4"/>
      <c r="E124" s="50"/>
      <c r="F124" s="51"/>
      <c r="G124" s="51"/>
      <c r="H124" s="51"/>
      <c r="I124" s="51"/>
      <c r="J124" s="51"/>
      <c r="K124" s="51"/>
      <c r="L124" s="51"/>
      <c r="M124" s="51"/>
      <c r="N124" s="4"/>
      <c r="O124" s="4"/>
      <c r="P124" s="4"/>
      <c r="Q124" s="4"/>
      <c r="R124" s="4"/>
      <c r="S124" s="4"/>
      <c r="T124" s="4"/>
      <c r="U124" s="4"/>
      <c r="V124" s="4"/>
      <c r="W124" s="4"/>
      <c r="X124" s="4"/>
    </row>
    <row r="125" spans="1:24" hidden="1">
      <c r="B125" s="4"/>
      <c r="C125" s="4"/>
      <c r="D125" s="4"/>
      <c r="E125" s="50"/>
      <c r="F125" s="51"/>
      <c r="G125" s="51"/>
      <c r="H125" s="51"/>
      <c r="I125" s="51"/>
      <c r="J125" s="51"/>
      <c r="K125" s="51"/>
      <c r="L125" s="51"/>
      <c r="M125" s="51"/>
      <c r="N125" s="4"/>
      <c r="O125" s="4"/>
      <c r="P125" s="4"/>
      <c r="Q125" s="4"/>
      <c r="R125" s="4"/>
      <c r="S125" s="4"/>
      <c r="T125" s="4"/>
      <c r="U125" s="4"/>
      <c r="V125" s="4"/>
      <c r="W125" s="4"/>
      <c r="X125" s="4"/>
    </row>
    <row r="126" spans="1:24" hidden="1">
      <c r="B126" s="4"/>
      <c r="C126" s="4"/>
      <c r="D126" s="4"/>
      <c r="E126" s="50"/>
      <c r="F126" s="51"/>
      <c r="G126" s="51"/>
      <c r="H126" s="51"/>
      <c r="I126" s="51"/>
      <c r="J126" s="51"/>
      <c r="K126" s="51"/>
      <c r="L126" s="51"/>
      <c r="M126" s="51"/>
      <c r="N126" s="4"/>
      <c r="O126" s="4"/>
      <c r="P126" s="4"/>
      <c r="Q126" s="4"/>
      <c r="R126" s="4"/>
      <c r="S126" s="4"/>
      <c r="T126" s="4"/>
      <c r="U126" s="4"/>
      <c r="V126" s="4"/>
      <c r="W126" s="4"/>
      <c r="X126" s="4"/>
    </row>
    <row r="127" spans="1:24" hidden="1">
      <c r="B127" s="4"/>
      <c r="C127" s="4"/>
      <c r="D127" s="4"/>
      <c r="E127" s="50"/>
      <c r="F127" s="51"/>
      <c r="G127" s="51"/>
      <c r="H127" s="51"/>
      <c r="I127" s="51"/>
      <c r="J127" s="51"/>
      <c r="K127" s="51"/>
      <c r="L127" s="51"/>
      <c r="M127" s="51"/>
      <c r="N127" s="4"/>
      <c r="O127" s="4"/>
      <c r="P127" s="4"/>
      <c r="Q127" s="4"/>
      <c r="R127" s="4"/>
      <c r="S127" s="4"/>
      <c r="T127" s="4"/>
      <c r="U127" s="4"/>
      <c r="V127" s="4"/>
      <c r="W127" s="4"/>
      <c r="X127" s="4"/>
    </row>
    <row r="128" spans="1:24" hidden="1">
      <c r="B128" s="4"/>
      <c r="C128" s="4"/>
      <c r="D128" s="4"/>
      <c r="E128" s="50"/>
      <c r="F128" s="51"/>
      <c r="G128" s="51"/>
      <c r="H128" s="51"/>
      <c r="I128" s="51"/>
      <c r="J128" s="51"/>
      <c r="K128" s="51"/>
      <c r="L128" s="51"/>
      <c r="M128" s="51"/>
      <c r="N128" s="4"/>
      <c r="O128" s="4"/>
      <c r="P128" s="4"/>
      <c r="Q128" s="4"/>
      <c r="R128" s="4"/>
      <c r="S128" s="4"/>
      <c r="T128" s="4"/>
      <c r="U128" s="4"/>
      <c r="V128" s="4"/>
      <c r="W128" s="4"/>
      <c r="X128" s="4"/>
    </row>
    <row r="129" spans="2:24">
      <c r="B129" s="4"/>
      <c r="C129" s="4"/>
      <c r="D129" s="4"/>
      <c r="E129" s="50"/>
      <c r="F129" s="51"/>
      <c r="G129" s="51"/>
      <c r="H129" s="51"/>
      <c r="I129" s="51"/>
      <c r="J129" s="51"/>
      <c r="K129" s="51"/>
      <c r="L129" s="51"/>
      <c r="M129" s="51"/>
      <c r="N129" s="4"/>
      <c r="O129" s="4"/>
      <c r="P129" s="4"/>
      <c r="Q129" s="4"/>
      <c r="R129" s="4"/>
      <c r="S129" s="4"/>
      <c r="T129" s="4"/>
      <c r="U129" s="4"/>
      <c r="V129" s="4"/>
      <c r="W129" s="4"/>
      <c r="X129" s="4"/>
    </row>
    <row r="130" spans="2:24">
      <c r="B130" s="4"/>
      <c r="C130" s="4"/>
      <c r="D130" s="4"/>
      <c r="E130" s="50"/>
      <c r="F130" s="51"/>
      <c r="G130" s="51"/>
      <c r="H130" s="51"/>
      <c r="I130" s="51"/>
      <c r="J130" s="51"/>
      <c r="K130" s="51"/>
      <c r="L130" s="51"/>
      <c r="M130" s="51"/>
      <c r="N130" s="4"/>
      <c r="O130" s="4"/>
      <c r="P130" s="4"/>
      <c r="Q130" s="4"/>
      <c r="R130" s="4"/>
      <c r="S130" s="4"/>
      <c r="T130" s="4"/>
      <c r="U130" s="4"/>
      <c r="V130" s="4"/>
      <c r="W130" s="4"/>
      <c r="X130" s="4"/>
    </row>
    <row r="131" spans="2:24">
      <c r="B131" s="4"/>
      <c r="C131" s="4"/>
      <c r="D131" s="4"/>
      <c r="E131" s="50"/>
      <c r="F131" s="51"/>
      <c r="G131" s="51"/>
      <c r="H131" s="51"/>
      <c r="I131" s="51"/>
      <c r="J131" s="51"/>
      <c r="K131" s="51"/>
      <c r="L131" s="51"/>
      <c r="M131" s="51"/>
      <c r="N131" s="4"/>
      <c r="O131" s="4"/>
      <c r="P131" s="4"/>
      <c r="Q131" s="4"/>
      <c r="R131" s="4"/>
      <c r="S131" s="4"/>
      <c r="T131" s="4"/>
      <c r="U131" s="4"/>
      <c r="V131" s="4"/>
      <c r="W131" s="4"/>
      <c r="X131" s="4"/>
    </row>
    <row r="132" spans="2:24">
      <c r="B132" s="4"/>
      <c r="C132" s="4"/>
      <c r="D132" s="4"/>
      <c r="E132" s="50"/>
      <c r="F132" s="51"/>
      <c r="G132" s="51"/>
      <c r="H132" s="51"/>
      <c r="I132" s="51"/>
      <c r="J132" s="51"/>
      <c r="K132" s="51"/>
      <c r="L132" s="51"/>
      <c r="M132" s="51"/>
      <c r="N132" s="4"/>
      <c r="O132" s="4"/>
      <c r="P132" s="4"/>
      <c r="Q132" s="4"/>
      <c r="R132" s="4"/>
      <c r="S132" s="4"/>
      <c r="T132" s="4"/>
      <c r="U132" s="4"/>
      <c r="V132" s="4"/>
      <c r="W132" s="4"/>
      <c r="X132" s="4"/>
    </row>
    <row r="133" spans="2:24">
      <c r="B133" s="4"/>
      <c r="C133" s="4"/>
      <c r="D133" s="4"/>
      <c r="E133" s="50"/>
      <c r="F133" s="51"/>
      <c r="G133" s="51"/>
      <c r="H133" s="51"/>
      <c r="I133" s="51"/>
      <c r="J133" s="51"/>
      <c r="K133" s="51"/>
      <c r="L133" s="51"/>
      <c r="M133" s="51"/>
      <c r="N133" s="4"/>
      <c r="O133" s="4"/>
      <c r="P133" s="4"/>
      <c r="Q133" s="4"/>
      <c r="R133" s="4"/>
      <c r="S133" s="4"/>
      <c r="T133" s="4"/>
      <c r="U133" s="4"/>
      <c r="V133" s="4"/>
      <c r="W133" s="4"/>
      <c r="X133" s="4"/>
    </row>
    <row r="134" spans="2:24">
      <c r="B134" s="4"/>
      <c r="C134" s="4"/>
      <c r="D134" s="4"/>
      <c r="E134" s="50"/>
      <c r="F134" s="51"/>
      <c r="G134" s="51"/>
      <c r="H134" s="51"/>
      <c r="I134" s="51"/>
      <c r="J134" s="51"/>
      <c r="K134" s="51"/>
      <c r="L134" s="51"/>
      <c r="M134" s="51"/>
      <c r="N134" s="4"/>
      <c r="O134" s="4"/>
      <c r="P134" s="4"/>
      <c r="Q134" s="4"/>
      <c r="R134" s="4"/>
      <c r="S134" s="4"/>
      <c r="T134" s="4"/>
      <c r="U134" s="4"/>
      <c r="V134" s="4"/>
      <c r="W134" s="4"/>
      <c r="X134" s="4"/>
    </row>
    <row r="135" spans="2:24">
      <c r="B135" s="4"/>
      <c r="C135" s="4"/>
      <c r="D135" s="4"/>
      <c r="E135" s="50"/>
      <c r="F135" s="51"/>
      <c r="G135" s="51"/>
      <c r="H135" s="51"/>
      <c r="I135" s="51"/>
      <c r="J135" s="51"/>
      <c r="K135" s="51"/>
      <c r="L135" s="51"/>
      <c r="M135" s="51"/>
      <c r="N135" s="4"/>
      <c r="O135" s="4"/>
      <c r="P135" s="4"/>
      <c r="Q135" s="4"/>
      <c r="R135" s="4"/>
      <c r="S135" s="4"/>
      <c r="T135" s="4"/>
      <c r="U135" s="4"/>
      <c r="V135" s="4"/>
      <c r="W135" s="4"/>
      <c r="X135" s="4"/>
    </row>
    <row r="136" spans="2:24">
      <c r="B136" s="4"/>
      <c r="C136" s="4"/>
      <c r="D136" s="4"/>
      <c r="E136" s="50"/>
      <c r="F136" s="51"/>
      <c r="G136" s="51"/>
      <c r="H136" s="51"/>
      <c r="I136" s="51"/>
      <c r="J136" s="51"/>
      <c r="K136" s="51"/>
      <c r="L136" s="51"/>
      <c r="M136" s="51"/>
      <c r="N136" s="4"/>
      <c r="O136" s="4"/>
      <c r="P136" s="4"/>
      <c r="Q136" s="4"/>
      <c r="R136" s="4"/>
      <c r="S136" s="4"/>
      <c r="T136" s="4"/>
      <c r="U136" s="4"/>
      <c r="V136" s="4"/>
      <c r="W136" s="4"/>
      <c r="X136" s="4"/>
    </row>
    <row r="137" spans="2:24">
      <c r="B137" s="4"/>
      <c r="C137" s="4"/>
      <c r="D137" s="4"/>
      <c r="E137" s="50"/>
      <c r="F137" s="51"/>
      <c r="G137" s="51"/>
      <c r="H137" s="51"/>
      <c r="I137" s="51"/>
      <c r="J137" s="51"/>
      <c r="K137" s="51"/>
      <c r="L137" s="51"/>
      <c r="M137" s="51"/>
      <c r="N137" s="4"/>
      <c r="O137" s="4"/>
      <c r="P137" s="4"/>
      <c r="Q137" s="4"/>
      <c r="R137" s="4"/>
      <c r="S137" s="4"/>
      <c r="T137" s="4"/>
      <c r="U137" s="4"/>
      <c r="V137" s="4"/>
      <c r="W137" s="4"/>
      <c r="X137" s="4"/>
    </row>
    <row r="138" spans="2:24">
      <c r="B138" s="4"/>
      <c r="C138" s="4"/>
      <c r="D138" s="4"/>
      <c r="E138" s="50"/>
      <c r="F138" s="51"/>
      <c r="G138" s="51"/>
      <c r="H138" s="51"/>
      <c r="I138" s="51"/>
      <c r="J138" s="51"/>
      <c r="K138" s="51"/>
      <c r="L138" s="51"/>
      <c r="M138" s="51"/>
      <c r="N138" s="4"/>
      <c r="O138" s="4"/>
      <c r="P138" s="4"/>
      <c r="Q138" s="4"/>
      <c r="R138" s="4"/>
      <c r="S138" s="4"/>
      <c r="T138" s="4"/>
      <c r="U138" s="4"/>
      <c r="V138" s="4"/>
      <c r="W138" s="4"/>
      <c r="X138" s="4"/>
    </row>
    <row r="139" spans="2:24">
      <c r="B139" s="4"/>
      <c r="C139" s="4"/>
      <c r="D139" s="4"/>
      <c r="E139" s="50"/>
      <c r="F139" s="51"/>
      <c r="G139" s="51"/>
      <c r="H139" s="51"/>
      <c r="I139" s="51"/>
      <c r="J139" s="51"/>
      <c r="K139" s="51"/>
      <c r="L139" s="51"/>
      <c r="M139" s="51"/>
      <c r="N139" s="4"/>
      <c r="O139" s="4"/>
      <c r="P139" s="4"/>
      <c r="Q139" s="4"/>
      <c r="R139" s="4"/>
      <c r="S139" s="4"/>
      <c r="T139" s="4"/>
      <c r="U139" s="4"/>
      <c r="V139" s="4"/>
      <c r="W139" s="4"/>
      <c r="X139" s="4"/>
    </row>
    <row r="140" spans="2:24">
      <c r="B140" s="4"/>
      <c r="C140" s="4"/>
      <c r="D140" s="4"/>
      <c r="E140" s="50"/>
      <c r="F140" s="51"/>
      <c r="G140" s="51"/>
      <c r="H140" s="51"/>
      <c r="I140" s="51"/>
      <c r="J140" s="51"/>
      <c r="K140" s="51"/>
      <c r="L140" s="51"/>
      <c r="M140" s="51"/>
      <c r="N140" s="4"/>
      <c r="O140" s="4"/>
      <c r="P140" s="4"/>
      <c r="Q140" s="4"/>
      <c r="R140" s="4"/>
      <c r="S140" s="4"/>
      <c r="T140" s="4"/>
      <c r="U140" s="4"/>
      <c r="V140" s="4"/>
      <c r="W140" s="4"/>
      <c r="X140" s="4"/>
    </row>
  </sheetData>
  <mergeCells count="1">
    <mergeCell ref="F3:I5"/>
  </mergeCells>
  <phoneticPr fontId="26" type="noConversion"/>
  <conditionalFormatting sqref="A1:A7">
    <cfRule type="cellIs" dxfId="5" priority="4" operator="equal">
      <formula>0</formula>
    </cfRule>
  </conditionalFormatting>
  <conditionalFormatting sqref="A20:A1048576">
    <cfRule type="cellIs" dxfId="4" priority="15" operator="equal">
      <formula>0</formula>
    </cfRule>
  </conditionalFormatting>
  <conditionalFormatting sqref="F11:I13">
    <cfRule type="cellIs" dxfId="3" priority="13" operator="equal">
      <formula>0</formula>
    </cfRule>
  </conditionalFormatting>
  <conditionalFormatting sqref="F19:I82">
    <cfRule type="cellIs" dxfId="2" priority="1" operator="equal">
      <formula>0</formula>
    </cfRule>
  </conditionalFormatting>
  <conditionalFormatting sqref="J10:J21">
    <cfRule type="cellIs" dxfId="1" priority="3" operator="equal">
      <formula>0</formula>
    </cfRule>
  </conditionalFormatting>
  <conditionalFormatting sqref="J23:J25">
    <cfRule type="cellIs" dxfId="0" priority="14" operator="equal">
      <formula>0</formula>
    </cfRule>
  </conditionalFormatting>
  <dataValidations count="2">
    <dataValidation type="list" allowBlank="1" sqref="E19:E82" xr:uid="{1313167E-0D4C-407D-A129-9E59B9EAA771}">
      <formula1>$N$1:$N$4</formula1>
    </dataValidation>
    <dataValidation type="list" allowBlank="1" sqref="H19:H82" xr:uid="{D9ED6EA6-95EC-4791-870A-C3B2D9D30707}">
      <formula1>$M$1:$M$3</formula1>
    </dataValidation>
  </dataValidations>
  <hyperlinks>
    <hyperlink ref="A8" location="Dashboard!A1" display="Dashboard" xr:uid="{C3C435C8-B07E-4E10-B1F9-B38B5BF76F08}"/>
    <hyperlink ref="A9" location="WACC!A1" display="WACC" xr:uid="{46E59910-99A1-4AC0-93AD-A5784A4FB1F0}"/>
    <hyperlink ref="A11" location="'DRE + DCF'!A1" display="DRE + DCF" xr:uid="{1BE3B651-4788-43B1-B0DC-EE8CC271868B}"/>
    <hyperlink ref="A12" location="'DRE - Contas Abertas'!A1" display="DRE - Contas Abertas" xr:uid="{6E78CD44-3A7A-4D29-ADE2-F984A7F9F8DF}"/>
    <hyperlink ref="A13" location="'Balanço Patrimonial'!A1" display="Balanço Patrimonial" xr:uid="{C0397392-6B89-4E91-89B3-54B807CC2B5B}"/>
    <hyperlink ref="A14" location="'Painel de Índices'!A1" display="Projeções - Receita" xr:uid="{131BD88C-5FFF-421E-B315-5164AED02351}"/>
    <hyperlink ref="A16" location="'Projeções - CG + Capex'!A1" display="Projeções - CG + Capex" xr:uid="{CAF1687F-B48B-46B8-9CCE-EC7F4668A8D3}"/>
    <hyperlink ref="A10" location="'DRE Consolidado'!A1" display="DRE Consolidado" xr:uid="{B06901CC-D12E-43BD-BBE8-D6DFEF17ACF3}"/>
    <hyperlink ref="A15" location="'Projeções - Receita e EBIT'!A1" display="Projeções - Receita" xr:uid="{032210F4-3712-496F-9BC3-13FFB22B877C}"/>
    <hyperlink ref="A17" location="'Projeções 2023'!A1" display="Projeções 2022" xr:uid="{639FDD71-466B-47E1-9E5C-E27A628C0C65}"/>
  </hyperlinks>
  <pageMargins left="0.511811024" right="0.511811024" top="0.78740157499999996" bottom="0.78740157499999996" header="0.31496062000000002" footer="0.31496062000000002"/>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Planilha14"/>
  <dimension ref="A1:BB150"/>
  <sheetViews>
    <sheetView workbookViewId="0">
      <selection activeCell="A2" sqref="A2"/>
    </sheetView>
  </sheetViews>
  <sheetFormatPr defaultColWidth="0" defaultRowHeight="15" zeroHeight="1"/>
  <cols>
    <col min="1" max="54" width="9.140625" customWidth="1"/>
    <col min="55" max="16384" width="9.140625" hidden="1"/>
  </cols>
  <sheetData>
    <row r="1" spans="1:54">
      <c r="A1" s="2" t="s">
        <v>38</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row>
    <row r="2" spans="1:54">
      <c r="A2" s="2"/>
      <c r="B2" s="2"/>
      <c r="C2" s="2"/>
      <c r="D2" s="2"/>
      <c r="E2" s="2"/>
      <c r="F2" s="2"/>
      <c r="G2" s="2"/>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row>
    <row r="3" spans="1:54">
      <c r="A3" s="2"/>
      <c r="B3" s="2"/>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row>
    <row r="4" spans="1:54">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row>
    <row r="5" spans="1:54">
      <c r="A5" s="2"/>
      <c r="B5" s="2"/>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row>
    <row r="6" spans="1:54">
      <c r="A6" s="2"/>
      <c r="B6" s="2"/>
      <c r="C6" s="2"/>
      <c r="D6" s="2"/>
      <c r="E6" s="2"/>
      <c r="F6" s="2"/>
      <c r="G6" s="2"/>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row>
    <row r="7" spans="1:54">
      <c r="A7" s="2"/>
      <c r="B7" s="2"/>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row>
    <row r="8" spans="1:54">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row>
    <row r="9" spans="1:54">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row>
    <row r="10" spans="1:54">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row>
    <row r="11" spans="1:54">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row>
    <row r="12" spans="1:54">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row>
    <row r="13" spans="1:54">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row>
    <row r="14" spans="1:54">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row>
    <row r="15" spans="1:54">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row>
    <row r="16" spans="1:54">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row>
    <row r="17" spans="1:54">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row>
    <row r="18" spans="1:54">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row>
    <row r="19" spans="1:54">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row>
    <row r="20" spans="1:54">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row>
    <row r="21" spans="1:54">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row>
    <row r="22" spans="1:54">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row>
    <row r="23" spans="1:54">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row>
    <row r="24" spans="1:54">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row>
    <row r="25" spans="1:54">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row>
    <row r="26" spans="1:54">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row>
    <row r="27" spans="1:54">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row>
    <row r="28" spans="1:54">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row>
    <row r="29" spans="1:54">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row>
    <row r="30" spans="1:54">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row>
    <row r="31" spans="1:54">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row>
    <row r="32" spans="1:54">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row>
    <row r="33" spans="1:54">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row>
    <row r="34" spans="1:54">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row>
    <row r="35" spans="1:54">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row>
    <row r="36" spans="1:54">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row>
    <row r="37" spans="1:54">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row>
    <row r="38" spans="1:54">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row>
    <row r="39" spans="1:54">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row>
    <row r="40" spans="1:54">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row>
    <row r="41" spans="1:54">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row>
    <row r="42" spans="1:54">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row>
    <row r="43" spans="1:54">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row>
    <row r="44" spans="1:54">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row>
    <row r="45" spans="1:54">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row>
    <row r="46" spans="1:54">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row>
    <row r="47" spans="1:54">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row>
    <row r="48" spans="1:54">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row>
    <row r="49" spans="1:54">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row>
    <row r="50" spans="1:54">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row>
    <row r="51" spans="1:54">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row>
    <row r="52" spans="1:54">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row>
    <row r="53" spans="1:54">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row>
    <row r="54" spans="1:54">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row>
    <row r="55" spans="1:54">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row>
    <row r="56" spans="1:54">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row>
    <row r="57" spans="1:54">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row>
    <row r="58" spans="1:54">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row>
    <row r="59" spans="1:54">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row>
    <row r="60" spans="1:54">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row>
    <row r="61" spans="1:54">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row>
    <row r="62" spans="1:54">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row>
    <row r="63" spans="1:54">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row>
    <row r="64" spans="1:54">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row>
    <row r="65" spans="1:54">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row>
    <row r="66" spans="1:54">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row>
    <row r="67" spans="1:54">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row>
    <row r="68" spans="1:54">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row>
    <row r="69" spans="1:54">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row>
    <row r="70" spans="1:54">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row>
    <row r="71" spans="1:54">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row>
    <row r="72" spans="1:54">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row>
    <row r="73" spans="1:54">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row>
    <row r="74" spans="1:54">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row>
    <row r="75" spans="1:54">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row>
    <row r="76" spans="1:54">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row>
    <row r="77" spans="1:54">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row>
    <row r="78" spans="1:54">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row>
    <row r="79" spans="1:54">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row>
    <row r="80" spans="1:54">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row>
    <row r="81" spans="1:54">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row>
    <row r="82" spans="1:54">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row>
    <row r="83" spans="1:54">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row>
    <row r="84" spans="1:54">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row>
    <row r="85" spans="1:54">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row>
    <row r="86" spans="1:54">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row>
    <row r="87" spans="1:54">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row>
    <row r="88" spans="1:54">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row>
    <row r="89" spans="1:54">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row>
    <row r="90" spans="1:54">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row>
    <row r="91" spans="1:54">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row>
    <row r="92" spans="1:54">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row>
    <row r="93" spans="1:54">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row>
    <row r="94" spans="1:54">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row>
    <row r="95" spans="1:54">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row>
    <row r="96" spans="1:54">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row>
    <row r="97" spans="1:54">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row>
    <row r="98" spans="1:54">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row>
    <row r="99" spans="1:54">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row>
    <row r="100" spans="1:54">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row>
    <row r="101" spans="1:54">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row>
    <row r="102" spans="1:54">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row>
    <row r="103" spans="1:54">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row>
    <row r="104" spans="1:5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AZ104" s="2"/>
      <c r="BA104" s="2"/>
      <c r="BB104" s="2"/>
    </row>
    <row r="105" spans="1:54">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AZ105" s="2"/>
      <c r="BA105" s="2"/>
      <c r="BB105" s="2"/>
    </row>
    <row r="106" spans="1:54">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AZ106" s="2"/>
      <c r="BA106" s="2"/>
      <c r="BB106" s="2"/>
    </row>
    <row r="107" spans="1:54">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AZ107" s="2"/>
      <c r="BA107" s="2"/>
      <c r="BB107" s="2"/>
    </row>
    <row r="108" spans="1:54">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row>
    <row r="109" spans="1:54">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row>
    <row r="110" spans="1:54">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AZ110" s="2"/>
      <c r="BA110" s="2"/>
      <c r="BB110" s="2"/>
    </row>
    <row r="111" spans="1:54">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row>
    <row r="112" spans="1:54">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AZ112" s="2"/>
      <c r="BA112" s="2"/>
      <c r="BB112" s="2"/>
    </row>
    <row r="113" spans="1:54">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row>
    <row r="114" spans="1:5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row>
    <row r="115" spans="1:54">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AZ115" s="2"/>
      <c r="BA115" s="2"/>
      <c r="BB115" s="2"/>
    </row>
    <row r="116" spans="1:54">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AZ116" s="2"/>
      <c r="BA116" s="2"/>
      <c r="BB116" s="2"/>
    </row>
    <row r="117" spans="1:54">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AZ117" s="2"/>
      <c r="BA117" s="2"/>
      <c r="BB117" s="2"/>
    </row>
    <row r="118" spans="1:54">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row>
    <row r="119" spans="1:54">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AZ119" s="2"/>
      <c r="BA119" s="2"/>
      <c r="BB119" s="2"/>
    </row>
    <row r="120" spans="1:54">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AZ120" s="2"/>
      <c r="BA120" s="2"/>
      <c r="BB120" s="2"/>
    </row>
    <row r="121" spans="1:54">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AZ121" s="2"/>
      <c r="BA121" s="2"/>
      <c r="BB121" s="2"/>
    </row>
    <row r="122" spans="1:54">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AZ122" s="2"/>
      <c r="BA122" s="2"/>
      <c r="BB122" s="2"/>
    </row>
    <row r="123" spans="1:54">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row>
    <row r="124" spans="1:5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row>
    <row r="125" spans="1:54">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AZ125" s="2"/>
      <c r="BA125" s="2"/>
      <c r="BB125" s="2"/>
    </row>
    <row r="126" spans="1:54">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row>
    <row r="127" spans="1:54">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AZ127" s="2"/>
      <c r="BA127" s="2"/>
      <c r="BB127" s="2"/>
    </row>
    <row r="128" spans="1:54">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AZ128" s="2"/>
      <c r="BA128" s="2"/>
      <c r="BB128" s="2"/>
    </row>
    <row r="129" spans="1:54">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AZ129" s="2"/>
      <c r="BA129" s="2"/>
      <c r="BB129" s="2"/>
    </row>
    <row r="130" spans="1:54">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row>
    <row r="131" spans="1:54">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row>
    <row r="132" spans="1:54">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row>
    <row r="133" spans="1:54">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c r="AT133" s="2"/>
      <c r="AU133" s="2"/>
      <c r="AV133" s="2"/>
      <c r="AW133" s="2"/>
      <c r="AX133" s="2"/>
      <c r="AY133" s="2"/>
      <c r="AZ133" s="2"/>
      <c r="BA133" s="2"/>
      <c r="BB133" s="2"/>
    </row>
    <row r="134" spans="1:5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AZ134" s="2"/>
      <c r="BA134" s="2"/>
      <c r="BB134" s="2"/>
    </row>
    <row r="135" spans="1:54">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c r="AT135" s="2"/>
      <c r="AU135" s="2"/>
      <c r="AV135" s="2"/>
      <c r="AW135" s="2"/>
      <c r="AX135" s="2"/>
      <c r="AY135" s="2"/>
      <c r="AZ135" s="2"/>
      <c r="BA135" s="2"/>
      <c r="BB135" s="2"/>
    </row>
    <row r="136" spans="1:54">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c r="AT136" s="2"/>
      <c r="AU136" s="2"/>
      <c r="AV136" s="2"/>
      <c r="AW136" s="2"/>
      <c r="AX136" s="2"/>
      <c r="AY136" s="2"/>
      <c r="AZ136" s="2"/>
      <c r="BA136" s="2"/>
      <c r="BB136" s="2"/>
    </row>
    <row r="137" spans="1:54">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c r="AT137" s="2"/>
      <c r="AU137" s="2"/>
      <c r="AV137" s="2"/>
      <c r="AW137" s="2"/>
      <c r="AX137" s="2"/>
      <c r="AY137" s="2"/>
      <c r="AZ137" s="2"/>
      <c r="BA137" s="2"/>
      <c r="BB137" s="2"/>
    </row>
    <row r="138" spans="1:54">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c r="AT138" s="2"/>
      <c r="AU138" s="2"/>
      <c r="AV138" s="2"/>
      <c r="AW138" s="2"/>
      <c r="AX138" s="2"/>
      <c r="AY138" s="2"/>
      <c r="AZ138" s="2"/>
      <c r="BA138" s="2"/>
      <c r="BB138" s="2"/>
    </row>
    <row r="139" spans="1:54">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c r="AT139" s="2"/>
      <c r="AU139" s="2"/>
      <c r="AV139" s="2"/>
      <c r="AW139" s="2"/>
      <c r="AX139" s="2"/>
      <c r="AY139" s="2"/>
      <c r="AZ139" s="2"/>
      <c r="BA139" s="2"/>
      <c r="BB139" s="2"/>
    </row>
    <row r="140" spans="1:54">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c r="AT140" s="2"/>
      <c r="AU140" s="2"/>
      <c r="AV140" s="2"/>
      <c r="AW140" s="2"/>
      <c r="AX140" s="2"/>
      <c r="AY140" s="2"/>
      <c r="AZ140" s="2"/>
      <c r="BA140" s="2"/>
      <c r="BB140" s="2"/>
    </row>
    <row r="141" spans="1:54">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c r="AT141" s="2"/>
      <c r="AU141" s="2"/>
      <c r="AV141" s="2"/>
      <c r="AW141" s="2"/>
      <c r="AX141" s="2"/>
      <c r="AY141" s="2"/>
      <c r="AZ141" s="2"/>
      <c r="BA141" s="2"/>
      <c r="BB141" s="2"/>
    </row>
    <row r="142" spans="1:54">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c r="AT142" s="2"/>
      <c r="AU142" s="2"/>
      <c r="AV142" s="2"/>
      <c r="AW142" s="2"/>
      <c r="AX142" s="2"/>
      <c r="AY142" s="2"/>
      <c r="AZ142" s="2"/>
      <c r="BA142" s="2"/>
      <c r="BB142" s="2"/>
    </row>
    <row r="143" spans="1:54">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c r="AT143" s="2"/>
      <c r="AU143" s="2"/>
      <c r="AV143" s="2"/>
      <c r="AW143" s="2"/>
      <c r="AX143" s="2"/>
      <c r="AY143" s="2"/>
      <c r="AZ143" s="2"/>
      <c r="BA143" s="2"/>
      <c r="BB143" s="2"/>
    </row>
    <row r="144" spans="1:5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c r="AT144" s="2"/>
      <c r="AU144" s="2"/>
      <c r="AV144" s="2"/>
      <c r="AW144" s="2"/>
      <c r="AX144" s="2"/>
      <c r="AY144" s="2"/>
      <c r="AZ144" s="2"/>
      <c r="BA144" s="2"/>
      <c r="BB144" s="2"/>
    </row>
    <row r="145" spans="1:54">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c r="AT145" s="2"/>
      <c r="AU145" s="2"/>
      <c r="AV145" s="2"/>
      <c r="AW145" s="2"/>
      <c r="AX145" s="2"/>
      <c r="AY145" s="2"/>
      <c r="AZ145" s="2"/>
      <c r="BA145" s="2"/>
      <c r="BB145" s="2"/>
    </row>
    <row r="146" spans="1:54">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c r="AT146" s="2"/>
      <c r="AU146" s="2"/>
      <c r="AV146" s="2"/>
      <c r="AW146" s="2"/>
      <c r="AX146" s="2"/>
      <c r="AY146" s="2"/>
      <c r="AZ146" s="2"/>
      <c r="BA146" s="2"/>
      <c r="BB146" s="2"/>
    </row>
    <row r="147" spans="1:54">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c r="AT147" s="2"/>
      <c r="AU147" s="2"/>
      <c r="AV147" s="2"/>
      <c r="AW147" s="2"/>
      <c r="AX147" s="2"/>
      <c r="AY147" s="2"/>
      <c r="AZ147" s="2"/>
      <c r="BA147" s="2"/>
      <c r="BB147" s="2"/>
    </row>
    <row r="148" spans="1:54">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c r="AT148" s="2"/>
      <c r="AU148" s="2"/>
      <c r="AV148" s="2"/>
      <c r="AW148" s="2"/>
      <c r="AX148" s="2"/>
      <c r="AY148" s="2"/>
      <c r="AZ148" s="2"/>
      <c r="BA148" s="2"/>
      <c r="BB148" s="2"/>
    </row>
    <row r="149" spans="1:54">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c r="AT149" s="2"/>
      <c r="AU149" s="2"/>
      <c r="AV149" s="2"/>
      <c r="AW149" s="2"/>
      <c r="AX149" s="2"/>
      <c r="AY149" s="2"/>
      <c r="AZ149" s="2"/>
      <c r="BA149" s="2"/>
      <c r="BB149" s="2"/>
    </row>
    <row r="150" spans="1:54">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c r="AT150" s="2"/>
      <c r="AU150" s="2"/>
      <c r="AV150" s="2"/>
      <c r="AW150" s="2"/>
      <c r="AX150" s="2"/>
      <c r="AY150" s="2"/>
      <c r="AZ150" s="2"/>
      <c r="BA150" s="2"/>
      <c r="BB150" s="2"/>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12</vt:i4>
      </vt:variant>
    </vt:vector>
  </HeadingPairs>
  <TitlesOfParts>
    <vt:vector size="12" baseType="lpstr">
      <vt:lpstr>Dashboard</vt:lpstr>
      <vt:lpstr>WACC</vt:lpstr>
      <vt:lpstr>DRE Consolidado</vt:lpstr>
      <vt:lpstr>DRE + DCF</vt:lpstr>
      <vt:lpstr>DRE - Contas Abertas</vt:lpstr>
      <vt:lpstr>Balanço Patrimonial</vt:lpstr>
      <vt:lpstr>Painel de Índices</vt:lpstr>
      <vt:lpstr>Projeções - Receita e EBIT</vt:lpstr>
      <vt:lpstr>Projeções - CG + Capex</vt:lpstr>
      <vt:lpstr>Projeções 2023</vt:lpstr>
      <vt:lpstr>Processos</vt:lpstr>
      <vt:lpstr>To-Do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 Lacombe</dc:creator>
  <cp:lastModifiedBy>Thiago Duarte</cp:lastModifiedBy>
  <cp:lastPrinted>2021-04-29T14:50:01Z</cp:lastPrinted>
  <dcterms:created xsi:type="dcterms:W3CDTF">2015-06-05T18:17:20Z</dcterms:created>
  <dcterms:modified xsi:type="dcterms:W3CDTF">2023-11-20T18:22:54Z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coUpdateId">
    <vt:lpwstr>1333635916</vt:lpwstr>
  </property>
  <property fmtid="{D5CDD505-2E9C-101B-9397-08002B2CF9AE}" pid="3" name="EcoUpdateMessage">
    <vt:lpwstr>2022/04/05-14:25:16</vt:lpwstr>
  </property>
  <property fmtid="{D5CDD505-2E9C-101B-9397-08002B2CF9AE}" pid="4" name="EcoUpdateStatus">
    <vt:lpwstr>2022-04-04=BRA:St,ME,Fd,TP;USA:St,ME;ARG:St,ME,Fd,TP;MEX:St,ME,Fd,TP;CHL:St,ME;COL:St,ME;PER:St,ME|2022-03-24=USA:TP|2022-04-01=CHL:Fd;COL:Fd;PER:Fd|2021-11-17=CHL:TP|2014-02-26=VEN:St|2002-11-08=JPN:St|2022-03-31=GBR:St,ME;PER:TP|2016-08-18=NNN:St|2007-0</vt:lpwstr>
  </property>
</Properties>
</file>