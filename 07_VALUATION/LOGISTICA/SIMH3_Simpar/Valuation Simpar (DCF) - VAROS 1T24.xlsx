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mc:AlternateContent xmlns:mc="http://schemas.openxmlformats.org/markup-compatibility/2006">
    <mc:Choice Requires="x15">
      <x15ac:absPath xmlns:x15ac="http://schemas.microsoft.com/office/spreadsheetml/2010/11/ac" url="T:\Trabalho\Direito\TMD\Clientes\Pessoas Jurídicas\Varos\VBOX\Simpar\Atualizações Trimestrais\2024-1T\"/>
    </mc:Choice>
  </mc:AlternateContent>
  <xr:revisionPtr revIDLastSave="0" documentId="13_ncr:1_{35CA130F-740A-417D-9BB5-A1E52A7CC2C6}" xr6:coauthVersionLast="47" xr6:coauthVersionMax="47" xr10:uidLastSave="{00000000-0000-0000-0000-000000000000}"/>
  <bookViews>
    <workbookView xWindow="38280" yWindow="5370" windowWidth="29040" windowHeight="15720" tabRatio="817" activeTab="9" xr2:uid="{00000000-000D-0000-FFFF-FFFF00000000}"/>
  </bookViews>
  <sheets>
    <sheet name="Dashboard" sheetId="20" r:id="rId1"/>
    <sheet name="WACC" sheetId="41" r:id="rId2"/>
    <sheet name="DRE Consolidado" sheetId="24" r:id="rId3"/>
    <sheet name="DRE + DCF" sheetId="45" r:id="rId4"/>
    <sheet name="DRE - Contas Abertas" sheetId="32" r:id="rId5"/>
    <sheet name="Balanço Patrimonial" sheetId="26" r:id="rId6"/>
    <sheet name="Painel de Índices" sheetId="38" r:id="rId7"/>
    <sheet name="Projeções - Receita e EBIT" sheetId="28" r:id="rId8"/>
    <sheet name="Projeções - CG + Capex" sheetId="27" r:id="rId9"/>
    <sheet name="Projeções 2023" sheetId="37" r:id="rId10"/>
    <sheet name="Processos" sheetId="34" r:id="rId11"/>
    <sheet name="To-Do" sheetId="22"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5" hidden="1">'Balanço Patrimonial'!$E$15:$N$30</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Dashboard!$F$18</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16.5</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1" l="1"/>
  <c r="H16" i="41"/>
  <c r="I16" i="41"/>
  <c r="J16" i="41"/>
  <c r="K16" i="41"/>
  <c r="L16" i="41"/>
  <c r="M16" i="41"/>
  <c r="N16" i="41"/>
  <c r="O16" i="41"/>
  <c r="P16" i="41"/>
  <c r="F16" i="41"/>
  <c r="J10" i="37" l="1"/>
  <c r="G10" i="37"/>
  <c r="H10" i="37"/>
  <c r="I10" i="37"/>
  <c r="F10" i="37"/>
  <c r="M36" i="37"/>
  <c r="N36" i="37"/>
  <c r="O36" i="37"/>
  <c r="P36" i="37"/>
  <c r="M26" i="37"/>
  <c r="N26" i="37"/>
  <c r="O26" i="37"/>
  <c r="P26" i="37"/>
  <c r="P56" i="32"/>
  <c r="P54" i="32"/>
  <c r="P53" i="32"/>
  <c r="P52" i="32"/>
  <c r="L34" i="24"/>
  <c r="M34" i="24"/>
  <c r="N34" i="24"/>
  <c r="O34" i="24"/>
  <c r="P34" i="24"/>
  <c r="Q34" i="24"/>
  <c r="R34" i="24"/>
  <c r="S34" i="24"/>
  <c r="T34" i="24"/>
  <c r="U34" i="24"/>
  <c r="K34" i="24"/>
  <c r="V34" i="24"/>
  <c r="U56" i="24" l="1"/>
  <c r="U57" i="24" s="1"/>
  <c r="F17" i="41"/>
  <c r="I35" i="20" l="1"/>
  <c r="I34" i="20"/>
  <c r="I33" i="20"/>
  <c r="F53" i="20"/>
  <c r="I28" i="20"/>
  <c r="I27" i="20"/>
  <c r="I26" i="20"/>
  <c r="F19" i="41"/>
  <c r="G19" i="41"/>
  <c r="U32" i="45"/>
  <c r="U57" i="27"/>
  <c r="U62" i="27"/>
  <c r="U53" i="27"/>
  <c r="G16" i="26"/>
  <c r="H16" i="26"/>
  <c r="O16" i="26"/>
  <c r="P87" i="26"/>
  <c r="P71" i="26"/>
  <c r="P52" i="26"/>
  <c r="P35" i="26"/>
  <c r="O20" i="26"/>
  <c r="G20" i="26"/>
  <c r="H20" i="26"/>
  <c r="I20" i="26"/>
  <c r="I16" i="26" s="1"/>
  <c r="J20" i="26"/>
  <c r="J16" i="26" s="1"/>
  <c r="K20" i="26"/>
  <c r="K16" i="26" s="1"/>
  <c r="L20" i="26"/>
  <c r="L16" i="26" s="1"/>
  <c r="M20" i="26"/>
  <c r="M16" i="26" s="1"/>
  <c r="N20" i="26"/>
  <c r="N16" i="26" s="1"/>
  <c r="P19" i="26"/>
  <c r="P18" i="26" s="1"/>
  <c r="P17" i="26" s="1"/>
  <c r="P31" i="27"/>
  <c r="Q31" i="27"/>
  <c r="R31" i="27"/>
  <c r="S31" i="27"/>
  <c r="T31" i="27"/>
  <c r="O31" i="27"/>
  <c r="N20" i="28"/>
  <c r="M21" i="28"/>
  <c r="L21" i="28"/>
  <c r="K21" i="28"/>
  <c r="J21" i="28"/>
  <c r="M20" i="28"/>
  <c r="L20" i="28"/>
  <c r="K20" i="28"/>
  <c r="J20" i="28"/>
  <c r="P20" i="28"/>
  <c r="P51" i="26" l="1"/>
  <c r="R26" i="28" l="1"/>
  <c r="P33" i="28"/>
  <c r="P29" i="28"/>
  <c r="R81" i="28"/>
  <c r="R104" i="28"/>
  <c r="Q104" i="28" s="1"/>
  <c r="P107" i="28"/>
  <c r="P112" i="28"/>
  <c r="P110" i="28" s="1"/>
  <c r="P111" i="28" s="1"/>
  <c r="P108" i="28"/>
  <c r="V105" i="28"/>
  <c r="U105" i="28"/>
  <c r="T105" i="28"/>
  <c r="S105" i="28"/>
  <c r="S104" i="28" s="1"/>
  <c r="Y104" i="28"/>
  <c r="S103" i="28"/>
  <c r="T103" i="28" s="1"/>
  <c r="U103" i="28" s="1"/>
  <c r="V103" i="28" s="1"/>
  <c r="S121" i="28"/>
  <c r="T121" i="28" s="1"/>
  <c r="U121" i="28" s="1"/>
  <c r="V121" i="28" s="1"/>
  <c r="P147" i="28"/>
  <c r="P128" i="28"/>
  <c r="P94" i="28"/>
  <c r="P71" i="28"/>
  <c r="P47" i="28"/>
  <c r="O47" i="28"/>
  <c r="P52" i="28"/>
  <c r="P105" i="32"/>
  <c r="P59" i="32"/>
  <c r="U36" i="24"/>
  <c r="U26" i="24"/>
  <c r="P97" i="32"/>
  <c r="P79" i="32"/>
  <c r="P84" i="32" s="1"/>
  <c r="P51" i="32"/>
  <c r="P65" i="32" s="1"/>
  <c r="P88" i="32" s="1"/>
  <c r="P101" i="32" s="1"/>
  <c r="P111" i="32" s="1"/>
  <c r="P47" i="32"/>
  <c r="P116" i="28" l="1"/>
  <c r="T104" i="28"/>
  <c r="P109" i="28"/>
  <c r="P12" i="37"/>
  <c r="P13" i="37" s="1"/>
  <c r="O34" i="38"/>
  <c r="O35" i="38"/>
  <c r="F60" i="38"/>
  <c r="H49" i="38"/>
  <c r="I49" i="38"/>
  <c r="J49" i="38" s="1"/>
  <c r="G49" i="38"/>
  <c r="X71" i="24"/>
  <c r="Y71" i="24" s="1"/>
  <c r="Z71" i="24" s="1"/>
  <c r="AA71" i="24" s="1"/>
  <c r="X62" i="24"/>
  <c r="Y62" i="24" s="1"/>
  <c r="Z62" i="24" s="1"/>
  <c r="AA62" i="24" s="1"/>
  <c r="X54" i="24"/>
  <c r="Y54" i="24" s="1"/>
  <c r="Z54" i="24" s="1"/>
  <c r="AA54" i="24" s="1"/>
  <c r="X12" i="24"/>
  <c r="Y12" i="24" s="1"/>
  <c r="Z12" i="24" s="1"/>
  <c r="AA12" i="24" s="1"/>
  <c r="P117" i="28" l="1"/>
  <c r="R117" i="28" s="1"/>
  <c r="S117" i="28" s="1"/>
  <c r="T117" i="28" s="1"/>
  <c r="U117" i="28" s="1"/>
  <c r="V117" i="28" s="1"/>
  <c r="U104" i="28"/>
  <c r="X22" i="45"/>
  <c r="Y22" i="45" s="1"/>
  <c r="Z22" i="45" s="1"/>
  <c r="AA22" i="45" s="1"/>
  <c r="X12" i="45"/>
  <c r="Y12" i="45" s="1"/>
  <c r="Z12" i="45" s="1"/>
  <c r="AA12" i="45" s="1"/>
  <c r="R17" i="28"/>
  <c r="Q43" i="28"/>
  <c r="R44" i="28"/>
  <c r="G105" i="32"/>
  <c r="H105" i="32"/>
  <c r="I105" i="32"/>
  <c r="J105" i="32"/>
  <c r="K105" i="32"/>
  <c r="L105" i="32"/>
  <c r="M105" i="32"/>
  <c r="N105" i="32"/>
  <c r="O105" i="32"/>
  <c r="F105" i="32"/>
  <c r="N59" i="32"/>
  <c r="O59" i="32"/>
  <c r="O52" i="32"/>
  <c r="O66" i="28"/>
  <c r="V104" i="28" l="1"/>
  <c r="V9" i="27"/>
  <c r="W9" i="27" s="1"/>
  <c r="X9" i="27" s="1"/>
  <c r="Y9" i="27" s="1"/>
  <c r="T57" i="27"/>
  <c r="T56" i="24"/>
  <c r="T57" i="24" s="1"/>
  <c r="V15" i="27"/>
  <c r="W15" i="27" s="1"/>
  <c r="X15" i="27" s="1"/>
  <c r="Y15" i="27" s="1"/>
  <c r="T30" i="27"/>
  <c r="T28" i="27"/>
  <c r="U28" i="27" s="1"/>
  <c r="M36" i="27"/>
  <c r="N36" i="27" s="1"/>
  <c r="O36" i="27" s="1"/>
  <c r="P36" i="27" s="1"/>
  <c r="Q36" i="27" s="1"/>
  <c r="R36" i="27" s="1"/>
  <c r="S36" i="27" s="1"/>
  <c r="T36" i="27" s="1"/>
  <c r="U36" i="27" s="1"/>
  <c r="L36" i="27"/>
  <c r="T32" i="27"/>
  <c r="T29" i="45" s="1"/>
  <c r="T17" i="27"/>
  <c r="T18" i="27" s="1"/>
  <c r="T25" i="24"/>
  <c r="T17" i="24"/>
  <c r="T15" i="24"/>
  <c r="Z104" i="28" l="1"/>
  <c r="T32" i="45"/>
  <c r="T28" i="45" s="1"/>
  <c r="O21" i="28" l="1"/>
  <c r="O22" i="28"/>
  <c r="O19" i="28"/>
  <c r="O18" i="28"/>
  <c r="O17" i="28"/>
  <c r="O16" i="28"/>
  <c r="T13" i="45" s="1"/>
  <c r="T33" i="45" l="1"/>
  <c r="T31" i="45"/>
  <c r="O143" i="28"/>
  <c r="O144" i="28" s="1"/>
  <c r="O147" i="28"/>
  <c r="O145" i="28" s="1"/>
  <c r="O146" i="28" s="1"/>
  <c r="O139" i="28"/>
  <c r="O125" i="28"/>
  <c r="O126" i="28" s="1"/>
  <c r="O128" i="28"/>
  <c r="O129" i="28" s="1"/>
  <c r="O90" i="28"/>
  <c r="O94" i="28"/>
  <c r="O92" i="28" s="1"/>
  <c r="O93" i="28" s="1"/>
  <c r="O63" i="28"/>
  <c r="O67" i="28"/>
  <c r="O68" i="28" s="1"/>
  <c r="O71" i="28"/>
  <c r="O69" i="28" s="1"/>
  <c r="O70" i="28" s="1"/>
  <c r="O48" i="28"/>
  <c r="O44" i="28"/>
  <c r="O52" i="28"/>
  <c r="O50" i="28" s="1"/>
  <c r="O51" i="28" s="1"/>
  <c r="O27" i="28"/>
  <c r="O33" i="28"/>
  <c r="O31" i="28" s="1"/>
  <c r="O29" i="28"/>
  <c r="O30" i="28" s="1"/>
  <c r="S137" i="28"/>
  <c r="T137" i="28" s="1"/>
  <c r="U137" i="28" s="1"/>
  <c r="V137" i="28" s="1"/>
  <c r="S80" i="28"/>
  <c r="T80" i="28" s="1"/>
  <c r="U80" i="28" s="1"/>
  <c r="V80" i="28" s="1"/>
  <c r="S61" i="28"/>
  <c r="T61" i="28" s="1"/>
  <c r="U61" i="28" s="1"/>
  <c r="V61" i="28" s="1"/>
  <c r="S42" i="28"/>
  <c r="T42" i="28" s="1"/>
  <c r="U42" i="28" s="1"/>
  <c r="V42" i="28" s="1"/>
  <c r="S25" i="28"/>
  <c r="T25" i="28" s="1"/>
  <c r="U25" i="28" s="1"/>
  <c r="V25" i="28" s="1"/>
  <c r="S9" i="28"/>
  <c r="T9" i="28" s="1"/>
  <c r="U9" i="28" s="1"/>
  <c r="V9" i="28" s="1"/>
  <c r="O12" i="28"/>
  <c r="O140" i="28" s="1"/>
  <c r="O10" i="28"/>
  <c r="T43" i="24"/>
  <c r="T17" i="45" s="1"/>
  <c r="T39" i="24"/>
  <c r="T27" i="24"/>
  <c r="T29" i="24"/>
  <c r="T26" i="24"/>
  <c r="T23" i="24" s="1"/>
  <c r="T21" i="24"/>
  <c r="T22" i="24"/>
  <c r="O53" i="32" l="1"/>
  <c r="O54" i="32" s="1"/>
  <c r="O36" i="38"/>
  <c r="O37" i="38" s="1"/>
  <c r="T35" i="24"/>
  <c r="O127" i="28"/>
  <c r="O37" i="28"/>
  <c r="O38" i="28" s="1"/>
  <c r="O32" i="28"/>
  <c r="O56" i="28"/>
  <c r="O58" i="28" s="1"/>
  <c r="O98" i="28"/>
  <c r="O99" i="28" s="1"/>
  <c r="O133" i="28"/>
  <c r="O49" i="28"/>
  <c r="O75" i="28"/>
  <c r="O151" i="28"/>
  <c r="O152" i="28" s="1"/>
  <c r="O91" i="28"/>
  <c r="Q24" i="20"/>
  <c r="O26" i="38" l="1"/>
  <c r="T55" i="24"/>
  <c r="T42" i="24"/>
  <c r="O76" i="28"/>
  <c r="T15" i="45"/>
  <c r="O12" i="37"/>
  <c r="Q15" i="28"/>
  <c r="Q14" i="28"/>
  <c r="Q13" i="28"/>
  <c r="O16" i="37" l="1"/>
  <c r="O13" i="37"/>
  <c r="O104" i="32"/>
  <c r="T46" i="24"/>
  <c r="T16" i="45"/>
  <c r="O57" i="28"/>
  <c r="F62" i="38"/>
  <c r="G60" i="38"/>
  <c r="H60" i="38"/>
  <c r="I60" i="38"/>
  <c r="J60" i="38"/>
  <c r="G59" i="38"/>
  <c r="H59" i="38"/>
  <c r="I59" i="38"/>
  <c r="J59" i="38"/>
  <c r="F59" i="38"/>
  <c r="T49" i="24" l="1"/>
  <c r="T50" i="24"/>
  <c r="N67" i="24"/>
  <c r="N76" i="24"/>
  <c r="T24" i="45" l="1"/>
  <c r="T14" i="45" l="1"/>
  <c r="T26" i="45"/>
  <c r="T25" i="45"/>
  <c r="F50" i="20"/>
  <c r="T75" i="24" l="1"/>
  <c r="T76" i="24" s="1"/>
  <c r="F48" i="20"/>
  <c r="F52" i="20" s="1"/>
  <c r="F54" i="20" s="1"/>
  <c r="F17" i="20" s="1"/>
  <c r="P16" i="28"/>
  <c r="P17" i="28"/>
  <c r="P18" i="28"/>
  <c r="P19" i="28"/>
  <c r="P21" i="28"/>
  <c r="P22" i="28"/>
  <c r="N12" i="37" l="1"/>
  <c r="N16" i="37" s="1"/>
  <c r="V56" i="24"/>
  <c r="F32" i="20"/>
  <c r="R21" i="28"/>
  <c r="Q21" i="28" s="1"/>
  <c r="S21" i="28"/>
  <c r="T21" i="28"/>
  <c r="U21" i="28"/>
  <c r="V21" i="28"/>
  <c r="N21" i="28"/>
  <c r="P31" i="28"/>
  <c r="M12" i="37" l="1"/>
  <c r="Q12" i="37"/>
  <c r="Q13" i="37" s="1"/>
  <c r="R37" i="28"/>
  <c r="Q26" i="28"/>
  <c r="N13" i="37"/>
  <c r="P32" i="28"/>
  <c r="P37" i="28"/>
  <c r="P38" i="28" s="1"/>
  <c r="M16" i="37" l="1"/>
  <c r="M13" i="37"/>
  <c r="Q37" i="28"/>
  <c r="G59" i="32"/>
  <c r="H59" i="32"/>
  <c r="I59" i="32"/>
  <c r="J59" i="32"/>
  <c r="K59" i="32"/>
  <c r="L59" i="32"/>
  <c r="M59" i="32"/>
  <c r="F59" i="32"/>
  <c r="G19" i="26" l="1"/>
  <c r="G18" i="26" s="1"/>
  <c r="H19" i="26"/>
  <c r="H18" i="26" s="1"/>
  <c r="I19" i="26"/>
  <c r="I18" i="26" s="1"/>
  <c r="J19" i="26"/>
  <c r="J18" i="26" s="1"/>
  <c r="K19" i="26"/>
  <c r="K18" i="26" s="1"/>
  <c r="L19" i="26"/>
  <c r="L18" i="26" s="1"/>
  <c r="M19" i="26"/>
  <c r="M18" i="26" s="1"/>
  <c r="N19" i="26"/>
  <c r="N18" i="26" s="1"/>
  <c r="O19" i="26"/>
  <c r="O25" i="38" s="1"/>
  <c r="F19" i="26"/>
  <c r="F18" i="26" s="1"/>
  <c r="I36" i="20"/>
  <c r="O18" i="26" l="1"/>
  <c r="S18" i="27"/>
  <c r="S57" i="27"/>
  <c r="Q57" i="27"/>
  <c r="R57" i="27"/>
  <c r="M57" i="27"/>
  <c r="N57" i="27"/>
  <c r="O57" i="27"/>
  <c r="L57" i="27"/>
  <c r="T33" i="24" l="1"/>
  <c r="G18" i="41"/>
  <c r="G55" i="38" s="1"/>
  <c r="H18" i="41"/>
  <c r="I18" i="41"/>
  <c r="J18" i="41"/>
  <c r="K18" i="41"/>
  <c r="L18" i="41"/>
  <c r="M18" i="41"/>
  <c r="N18" i="41"/>
  <c r="O18" i="41"/>
  <c r="P18" i="41"/>
  <c r="F18" i="41"/>
  <c r="U43" i="24" l="1"/>
  <c r="U39" i="24"/>
  <c r="G56" i="32"/>
  <c r="H56" i="32"/>
  <c r="I56" i="32"/>
  <c r="J56" i="32"/>
  <c r="K56" i="32"/>
  <c r="L56" i="32"/>
  <c r="M56" i="32"/>
  <c r="N56" i="32"/>
  <c r="O56" i="32"/>
  <c r="F56" i="32"/>
  <c r="U25" i="24"/>
  <c r="U27" i="24"/>
  <c r="U29" i="24"/>
  <c r="U23" i="24" s="1"/>
  <c r="U21" i="24"/>
  <c r="U22" i="24" s="1"/>
  <c r="P145" i="28"/>
  <c r="P146" i="28" s="1"/>
  <c r="P143" i="28"/>
  <c r="J127" i="28"/>
  <c r="L127" i="28"/>
  <c r="M127" i="28"/>
  <c r="P127" i="28"/>
  <c r="N127" i="28"/>
  <c r="P125" i="28"/>
  <c r="P126" i="28" s="1"/>
  <c r="P92" i="28"/>
  <c r="P93" i="28" s="1"/>
  <c r="P90" i="28"/>
  <c r="P69" i="28"/>
  <c r="P70" i="28" s="1"/>
  <c r="P66" i="28"/>
  <c r="P67" i="28"/>
  <c r="P68" i="28" s="1"/>
  <c r="P50" i="28"/>
  <c r="P51" i="28" s="1"/>
  <c r="P48" i="28"/>
  <c r="P49" i="28" s="1"/>
  <c r="O97" i="32"/>
  <c r="O79" i="32"/>
  <c r="O84" i="32" s="1"/>
  <c r="O47" i="32"/>
  <c r="O87" i="26"/>
  <c r="O71" i="26"/>
  <c r="O52" i="26"/>
  <c r="O35" i="26"/>
  <c r="P55" i="32" l="1"/>
  <c r="P57" i="32"/>
  <c r="O28" i="38"/>
  <c r="O29" i="38"/>
  <c r="O18" i="38"/>
  <c r="T36" i="24"/>
  <c r="T37" i="24" s="1"/>
  <c r="O51" i="26"/>
  <c r="O12" i="38"/>
  <c r="O13" i="38"/>
  <c r="O11" i="38"/>
  <c r="P151" i="28"/>
  <c r="P152" i="28" s="1"/>
  <c r="P98" i="28"/>
  <c r="P99" i="28" s="1"/>
  <c r="P91" i="28"/>
  <c r="P133" i="28"/>
  <c r="P144" i="28"/>
  <c r="O17" i="26"/>
  <c r="U35" i="24"/>
  <c r="U33" i="24" s="1"/>
  <c r="P56" i="28"/>
  <c r="P75" i="28"/>
  <c r="P76" i="28" s="1"/>
  <c r="L37" i="27"/>
  <c r="M37" i="27"/>
  <c r="N37" i="27"/>
  <c r="O37" i="27"/>
  <c r="P37" i="27"/>
  <c r="Q37" i="27"/>
  <c r="R37" i="27"/>
  <c r="S37" i="27"/>
  <c r="T37" i="27"/>
  <c r="U37" i="27"/>
  <c r="AD23" i="45" s="1"/>
  <c r="K37" i="27"/>
  <c r="R85" i="28" s="1"/>
  <c r="P58" i="32" l="1"/>
  <c r="P102" i="32"/>
  <c r="P60" i="32"/>
  <c r="O27" i="38"/>
  <c r="O19" i="38"/>
  <c r="S85" i="28"/>
  <c r="T38" i="24"/>
  <c r="T58" i="24"/>
  <c r="T39" i="45" s="1"/>
  <c r="O20" i="38" s="1"/>
  <c r="T23" i="45"/>
  <c r="O10" i="38"/>
  <c r="U55" i="24"/>
  <c r="U42" i="24"/>
  <c r="P104" i="32" s="1"/>
  <c r="P106" i="32" s="1"/>
  <c r="P112" i="32" s="1"/>
  <c r="P114" i="32" s="1"/>
  <c r="U37" i="24"/>
  <c r="P58" i="28"/>
  <c r="P134" i="32" l="1"/>
  <c r="P135" i="32" s="1"/>
  <c r="P132" i="32"/>
  <c r="P133" i="32" s="1"/>
  <c r="P103" i="32"/>
  <c r="P107" i="32" s="1"/>
  <c r="P136" i="32" s="1"/>
  <c r="P137" i="32" s="1"/>
  <c r="P61" i="32"/>
  <c r="U46" i="24"/>
  <c r="O106" i="32"/>
  <c r="U58" i="24"/>
  <c r="U38" i="24"/>
  <c r="U50" i="24"/>
  <c r="U49" i="24"/>
  <c r="Y138" i="28"/>
  <c r="Y128" i="28"/>
  <c r="Y62" i="28"/>
  <c r="Y43" i="28"/>
  <c r="Z26" i="28"/>
  <c r="Y26" i="28"/>
  <c r="I35" i="37"/>
  <c r="H35" i="37"/>
  <c r="G35" i="37"/>
  <c r="N35" i="37" s="1"/>
  <c r="F35" i="37"/>
  <c r="I25" i="37"/>
  <c r="H25" i="37"/>
  <c r="G25" i="37"/>
  <c r="F25" i="37"/>
  <c r="M25" i="37"/>
  <c r="N25" i="37"/>
  <c r="O25" i="37"/>
  <c r="P25" i="37"/>
  <c r="O112" i="32" l="1"/>
  <c r="O114" i="32" s="1"/>
  <c r="O35" i="37"/>
  <c r="M35" i="37"/>
  <c r="P35" i="37"/>
  <c r="N34" i="38"/>
  <c r="N35" i="38"/>
  <c r="O134" i="32" l="1"/>
  <c r="O132" i="32"/>
  <c r="S15" i="24"/>
  <c r="S56" i="24" l="1"/>
  <c r="S57" i="24" s="1"/>
  <c r="S84" i="28" l="1"/>
  <c r="S32" i="27"/>
  <c r="S29" i="45" s="1"/>
  <c r="T30" i="45" s="1"/>
  <c r="S30" i="27"/>
  <c r="S28" i="27"/>
  <c r="S24" i="45" l="1"/>
  <c r="N52" i="32"/>
  <c r="N147" i="28"/>
  <c r="N145" i="28" s="1"/>
  <c r="N146" i="28" s="1"/>
  <c r="N143" i="28"/>
  <c r="N139" i="28"/>
  <c r="N129" i="28"/>
  <c r="N125" i="28"/>
  <c r="N126" i="28" s="1"/>
  <c r="N94" i="28"/>
  <c r="N92" i="28" s="1"/>
  <c r="N90" i="28"/>
  <c r="N91" i="28" s="1"/>
  <c r="N71" i="28"/>
  <c r="N69" i="28" s="1"/>
  <c r="N70" i="28" s="1"/>
  <c r="N67" i="28"/>
  <c r="N68" i="28" s="1"/>
  <c r="N66" i="28"/>
  <c r="N63" i="28"/>
  <c r="N52" i="28"/>
  <c r="N50" i="28" s="1"/>
  <c r="N51" i="28" s="1"/>
  <c r="N48" i="28"/>
  <c r="N49" i="28" s="1"/>
  <c r="N47" i="28"/>
  <c r="N44" i="28"/>
  <c r="N33" i="28"/>
  <c r="N31" i="28" s="1"/>
  <c r="N29" i="28"/>
  <c r="N30" i="28" s="1"/>
  <c r="N27" i="28"/>
  <c r="N16" i="28"/>
  <c r="N17" i="28"/>
  <c r="N18" i="28"/>
  <c r="N19" i="28"/>
  <c r="N22" i="28"/>
  <c r="S43" i="24"/>
  <c r="S17" i="45" s="1"/>
  <c r="S39" i="24"/>
  <c r="S29" i="24"/>
  <c r="S25" i="24"/>
  <c r="S26" i="24"/>
  <c r="S27" i="24" s="1"/>
  <c r="S21" i="24"/>
  <c r="S17" i="24"/>
  <c r="S23" i="24" l="1"/>
  <c r="N151" i="28"/>
  <c r="N152" i="28" s="1"/>
  <c r="N133" i="28"/>
  <c r="N53" i="32"/>
  <c r="N54" i="32" s="1"/>
  <c r="S35" i="24"/>
  <c r="S42" i="24"/>
  <c r="N104" i="32" s="1"/>
  <c r="S22" i="24"/>
  <c r="N98" i="28"/>
  <c r="N99" i="28" s="1"/>
  <c r="S99" i="28" s="1"/>
  <c r="N75" i="28"/>
  <c r="N76" i="28" s="1"/>
  <c r="N37" i="28"/>
  <c r="N32" i="28"/>
  <c r="N144" i="28"/>
  <c r="N56" i="28"/>
  <c r="S13" i="45"/>
  <c r="N93" i="28"/>
  <c r="N10" i="28"/>
  <c r="O11" i="28" s="1"/>
  <c r="N12" i="28"/>
  <c r="N140" i="28" s="1"/>
  <c r="R82" i="28"/>
  <c r="R83" i="28"/>
  <c r="R99" i="28" l="1"/>
  <c r="T99" i="28"/>
  <c r="U99" i="28" s="1"/>
  <c r="V99" i="28" s="1"/>
  <c r="U30" i="27"/>
  <c r="S55" i="24"/>
  <c r="S33" i="24"/>
  <c r="S46" i="24"/>
  <c r="S50" i="24" s="1"/>
  <c r="S81" i="28"/>
  <c r="V30" i="27" s="1"/>
  <c r="W30" i="27" s="1"/>
  <c r="N26" i="38"/>
  <c r="S25" i="45"/>
  <c r="S31" i="45"/>
  <c r="S49" i="24"/>
  <c r="N58" i="28"/>
  <c r="S15" i="45"/>
  <c r="N38" i="28"/>
  <c r="K143" i="28"/>
  <c r="J35" i="20"/>
  <c r="T81" i="28" l="1"/>
  <c r="U81" i="28" s="1"/>
  <c r="V81" i="28" s="1"/>
  <c r="S86" i="28"/>
  <c r="R86" i="28"/>
  <c r="Q81" i="28"/>
  <c r="S16" i="45"/>
  <c r="S26" i="45"/>
  <c r="N57" i="28"/>
  <c r="W29" i="27" l="1"/>
  <c r="S36" i="24"/>
  <c r="S37" i="24" s="1"/>
  <c r="S32" i="45" l="1"/>
  <c r="S14" i="45" s="1"/>
  <c r="S75" i="24" s="1"/>
  <c r="S76" i="24" s="1"/>
  <c r="N36" i="38"/>
  <c r="N37" i="38" s="1"/>
  <c r="N25" i="38"/>
  <c r="S38" i="24"/>
  <c r="S58" i="24"/>
  <c r="S23" i="45"/>
  <c r="G35" i="38"/>
  <c r="H35" i="38"/>
  <c r="I35" i="38"/>
  <c r="J35" i="38"/>
  <c r="K35" i="38"/>
  <c r="L35" i="38"/>
  <c r="M35" i="38"/>
  <c r="F35" i="38"/>
  <c r="G34" i="38"/>
  <c r="H34" i="38"/>
  <c r="I34" i="38"/>
  <c r="J34" i="38"/>
  <c r="K34" i="38"/>
  <c r="L34" i="38"/>
  <c r="M34" i="38"/>
  <c r="F34" i="38"/>
  <c r="S28" i="45" l="1"/>
  <c r="S33" i="45"/>
  <c r="K66" i="28"/>
  <c r="L66" i="28"/>
  <c r="M66" i="28"/>
  <c r="J66" i="28"/>
  <c r="J47" i="28"/>
  <c r="K47" i="28"/>
  <c r="L47" i="28"/>
  <c r="M47" i="28"/>
  <c r="I47" i="28"/>
  <c r="Q32" i="27"/>
  <c r="R32" i="27"/>
  <c r="O32" i="27"/>
  <c r="T107" i="28" l="1"/>
  <c r="S107" i="28"/>
  <c r="R107" i="28"/>
  <c r="V107" i="28"/>
  <c r="U107" i="28"/>
  <c r="T47" i="28"/>
  <c r="U47" i="28"/>
  <c r="V47" i="28"/>
  <c r="R47" i="28"/>
  <c r="R46" i="28" s="1"/>
  <c r="S47" i="28"/>
  <c r="R66" i="28"/>
  <c r="S66" i="28"/>
  <c r="T66" i="28"/>
  <c r="U66" i="28"/>
  <c r="V66" i="28"/>
  <c r="P32" i="27"/>
  <c r="N71" i="26" l="1"/>
  <c r="N106" i="32"/>
  <c r="N112" i="32" s="1"/>
  <c r="N97" i="32"/>
  <c r="N79" i="32"/>
  <c r="N84" i="32" s="1"/>
  <c r="N47" i="32"/>
  <c r="L39" i="27" l="1"/>
  <c r="S44" i="28" s="1"/>
  <c r="S43" i="28" s="1"/>
  <c r="M39" i="27"/>
  <c r="T44" i="28" s="1"/>
  <c r="N39" i="27"/>
  <c r="U44" i="28" s="1"/>
  <c r="O39" i="27"/>
  <c r="V44" i="28" s="1"/>
  <c r="P39" i="27"/>
  <c r="Q39" i="27"/>
  <c r="R39" i="27"/>
  <c r="S39" i="27"/>
  <c r="T39" i="27"/>
  <c r="U39" i="27"/>
  <c r="K39" i="27"/>
  <c r="R63" i="28" s="1"/>
  <c r="R62" i="28" s="1"/>
  <c r="T43" i="28" l="1"/>
  <c r="S17" i="28"/>
  <c r="S46" i="28"/>
  <c r="T63" i="28"/>
  <c r="V63" i="28"/>
  <c r="U63" i="28"/>
  <c r="S63" i="28"/>
  <c r="S62" i="28" s="1"/>
  <c r="U43" i="28" l="1"/>
  <c r="T17" i="28"/>
  <c r="T46" i="28"/>
  <c r="R65" i="28"/>
  <c r="U31" i="27" s="1"/>
  <c r="U27" i="27"/>
  <c r="T62" i="28"/>
  <c r="U62" i="28" s="1"/>
  <c r="V62" i="28" s="1"/>
  <c r="Z62" i="28" s="1"/>
  <c r="O57" i="24"/>
  <c r="N57" i="24"/>
  <c r="M57" i="24"/>
  <c r="L57" i="24"/>
  <c r="K57" i="24"/>
  <c r="Q56" i="24"/>
  <c r="Q57" i="24" s="1"/>
  <c r="R56" i="24"/>
  <c r="R57" i="24" s="1"/>
  <c r="V43" i="28" l="1"/>
  <c r="U17" i="28"/>
  <c r="U46" i="28"/>
  <c r="F46" i="32"/>
  <c r="M46" i="32"/>
  <c r="M47" i="32" s="1"/>
  <c r="L46" i="32"/>
  <c r="L47" i="32" s="1"/>
  <c r="K46" i="32"/>
  <c r="K47" i="32" s="1"/>
  <c r="J46" i="32"/>
  <c r="J47" i="32" s="1"/>
  <c r="I46" i="32"/>
  <c r="I47" i="32" s="1"/>
  <c r="H46" i="32"/>
  <c r="H47" i="32" s="1"/>
  <c r="G46" i="32"/>
  <c r="G47" i="32" s="1"/>
  <c r="V17" i="28" l="1"/>
  <c r="V46" i="28"/>
  <c r="R32" i="45"/>
  <c r="Q32" i="45"/>
  <c r="O32" i="45"/>
  <c r="R24" i="45"/>
  <c r="Q24" i="45"/>
  <c r="Z43" i="28" l="1"/>
  <c r="P26" i="24"/>
  <c r="G27" i="28" l="1"/>
  <c r="H27" i="28"/>
  <c r="I27" i="28"/>
  <c r="J27" i="28"/>
  <c r="P28" i="27"/>
  <c r="Q28" i="27"/>
  <c r="R28" i="27"/>
  <c r="O28" i="27"/>
  <c r="P18" i="27"/>
  <c r="Q18" i="27"/>
  <c r="R18" i="27"/>
  <c r="O18" i="27"/>
  <c r="Q62" i="28"/>
  <c r="L129" i="28"/>
  <c r="M129" i="28"/>
  <c r="J129" i="28"/>
  <c r="U18" i="27" l="1"/>
  <c r="U19" i="27" s="1"/>
  <c r="U17" i="27" s="1"/>
  <c r="V18" i="27"/>
  <c r="W18" i="27"/>
  <c r="Y18" i="27"/>
  <c r="X18" i="27"/>
  <c r="P10" i="28"/>
  <c r="K128" i="28"/>
  <c r="K125" i="28"/>
  <c r="L125" i="28"/>
  <c r="M125" i="28"/>
  <c r="J125" i="28"/>
  <c r="L22" i="28"/>
  <c r="M22" i="28"/>
  <c r="K129" i="28" l="1"/>
  <c r="K127" i="28"/>
  <c r="P12" i="28"/>
  <c r="P140" i="28" s="1"/>
  <c r="U13" i="45"/>
  <c r="J133" i="28"/>
  <c r="K133" i="28"/>
  <c r="L133" i="28"/>
  <c r="M133" i="28"/>
  <c r="T129" i="28" l="1"/>
  <c r="V129" i="28"/>
  <c r="S129" i="28"/>
  <c r="U129" i="28"/>
  <c r="R129" i="28"/>
  <c r="U33" i="45"/>
  <c r="U25" i="45"/>
  <c r="U15" i="45" l="1"/>
  <c r="N114" i="32"/>
  <c r="N55" i="32"/>
  <c r="N57" i="32"/>
  <c r="N60" i="32" s="1"/>
  <c r="V38" i="24"/>
  <c r="U23" i="45" l="1"/>
  <c r="U14" i="45"/>
  <c r="U75" i="24" s="1"/>
  <c r="U76" i="24" s="1"/>
  <c r="N61" i="32"/>
  <c r="N103" i="32"/>
  <c r="U26" i="45"/>
  <c r="U16" i="45"/>
  <c r="P57" i="28"/>
  <c r="N132" i="32"/>
  <c r="N134" i="32"/>
  <c r="N102" i="32"/>
  <c r="N58" i="32"/>
  <c r="G139" i="28"/>
  <c r="H139" i="28"/>
  <c r="I139" i="28"/>
  <c r="J139" i="28"/>
  <c r="M147" i="28"/>
  <c r="M145" i="28" s="1"/>
  <c r="M146" i="28" s="1"/>
  <c r="L147" i="28"/>
  <c r="L145" i="28" s="1"/>
  <c r="L146" i="28" s="1"/>
  <c r="K145" i="28"/>
  <c r="K146" i="28" s="1"/>
  <c r="M143" i="28"/>
  <c r="M144" i="28" s="1"/>
  <c r="L143" i="28"/>
  <c r="L144" i="28" s="1"/>
  <c r="K144" i="28"/>
  <c r="N107" i="32" l="1"/>
  <c r="N136" i="32" s="1"/>
  <c r="N137" i="32" s="1"/>
  <c r="N135" i="32"/>
  <c r="N133" i="32"/>
  <c r="M151" i="28"/>
  <c r="M152" i="28" s="1"/>
  <c r="L151" i="28"/>
  <c r="L152" i="28" s="1"/>
  <c r="K151" i="28"/>
  <c r="K152" i="28" s="1"/>
  <c r="R152" i="28" s="1"/>
  <c r="S152" i="28" s="1"/>
  <c r="T152" i="28" s="1"/>
  <c r="U152" i="28" s="1"/>
  <c r="V152" i="28" s="1"/>
  <c r="M139" i="28"/>
  <c r="L139" i="28"/>
  <c r="K139" i="28"/>
  <c r="F33" i="28" l="1"/>
  <c r="F31" i="28" s="1"/>
  <c r="F32" i="28" s="1"/>
  <c r="H33" i="28"/>
  <c r="H31" i="28" s="1"/>
  <c r="H32" i="28" s="1"/>
  <c r="G33" i="28"/>
  <c r="G31" i="28" s="1"/>
  <c r="G32" i="28" s="1"/>
  <c r="I31" i="28"/>
  <c r="I32" i="28" s="1"/>
  <c r="F29" i="28"/>
  <c r="F30" i="28" s="1"/>
  <c r="G29" i="28"/>
  <c r="G30" i="28" s="1"/>
  <c r="H29" i="28"/>
  <c r="I29" i="28"/>
  <c r="I37" i="28" l="1"/>
  <c r="I38" i="28" s="1"/>
  <c r="H37" i="28"/>
  <c r="H38" i="28" s="1"/>
  <c r="I30" i="28"/>
  <c r="H30" i="28"/>
  <c r="G37" i="28"/>
  <c r="G38" i="28" s="1"/>
  <c r="F37" i="28"/>
  <c r="F38" i="28" s="1"/>
  <c r="I52" i="28" l="1"/>
  <c r="I50" i="28" s="1"/>
  <c r="I51" i="28" s="1"/>
  <c r="J44" i="28"/>
  <c r="I48" i="28"/>
  <c r="I49" i="28" s="1"/>
  <c r="I56" i="28" l="1"/>
  <c r="I58" i="28" s="1"/>
  <c r="K23" i="45"/>
  <c r="L23" i="45"/>
  <c r="M23" i="45"/>
  <c r="N23" i="45"/>
  <c r="K2" i="45"/>
  <c r="R29" i="45" l="1"/>
  <c r="S30" i="45" s="1"/>
  <c r="Q29" i="45"/>
  <c r="P29" i="45"/>
  <c r="O29" i="45"/>
  <c r="O28" i="45" l="1"/>
  <c r="Q28" i="45"/>
  <c r="Q30" i="45"/>
  <c r="P30" i="45"/>
  <c r="R30" i="45"/>
  <c r="R28" i="45"/>
  <c r="G64" i="26"/>
  <c r="F64" i="26"/>
  <c r="F20" i="26"/>
  <c r="F16" i="26" l="1"/>
  <c r="K10" i="27" s="1"/>
  <c r="V23" i="45"/>
  <c r="G14" i="41"/>
  <c r="H14" i="41" s="1"/>
  <c r="I14" i="41" s="1"/>
  <c r="J14" i="41" s="1"/>
  <c r="K14" i="41" s="1"/>
  <c r="L14" i="41" s="1"/>
  <c r="M14" i="41" s="1"/>
  <c r="N14" i="41" s="1"/>
  <c r="O14" i="41" s="1"/>
  <c r="P14" i="41" s="1"/>
  <c r="J34" i="20"/>
  <c r="J33" i="20"/>
  <c r="K36" i="20" l="1"/>
  <c r="K35" i="20"/>
  <c r="K34" i="20"/>
  <c r="K33" i="20"/>
  <c r="F36" i="20"/>
  <c r="F12" i="20" l="1"/>
  <c r="K37" i="20"/>
  <c r="H19" i="41" l="1"/>
  <c r="I19" i="41" l="1"/>
  <c r="J19" i="41" l="1"/>
  <c r="K19" i="41" l="1"/>
  <c r="L19" i="41" l="1"/>
  <c r="P30" i="27"/>
  <c r="Q30" i="27"/>
  <c r="R30" i="27"/>
  <c r="O30" i="27"/>
  <c r="M19" i="41" l="1"/>
  <c r="X19" i="27"/>
  <c r="X17" i="27" s="1"/>
  <c r="V19" i="27"/>
  <c r="V17" i="27" s="1"/>
  <c r="Y19" i="27"/>
  <c r="Y17" i="27" s="1"/>
  <c r="W19" i="27"/>
  <c r="W17" i="27" s="1"/>
  <c r="N19" i="41" l="1"/>
  <c r="Q17" i="28"/>
  <c r="R18" i="28"/>
  <c r="Q18" i="28" s="1"/>
  <c r="R19" i="28"/>
  <c r="Q19" i="28" s="1"/>
  <c r="O19" i="41" l="1"/>
  <c r="S18" i="28" l="1"/>
  <c r="S65" i="28"/>
  <c r="X30" i="27"/>
  <c r="Y30" i="27" s="1"/>
  <c r="P19" i="41"/>
  <c r="S19" i="28"/>
  <c r="T19" i="28"/>
  <c r="T18" i="28" l="1"/>
  <c r="T65" i="28"/>
  <c r="V28" i="27"/>
  <c r="V27" i="27" s="1"/>
  <c r="U19" i="28"/>
  <c r="Z81" i="28"/>
  <c r="U18" i="28" l="1"/>
  <c r="U65" i="28"/>
  <c r="W28" i="27"/>
  <c r="V19" i="28"/>
  <c r="V65" i="28" l="1"/>
  <c r="X28" i="27"/>
  <c r="W27" i="27"/>
  <c r="V18" i="28"/>
  <c r="Y28" i="27" l="1"/>
  <c r="Y27" i="27" s="1"/>
  <c r="X27" i="27"/>
  <c r="M63" i="28"/>
  <c r="M67" i="28"/>
  <c r="M68" i="28" s="1"/>
  <c r="M71" i="28"/>
  <c r="M69" i="28" s="1"/>
  <c r="M70" i="28" s="1"/>
  <c r="J16" i="28"/>
  <c r="K16" i="28"/>
  <c r="L16" i="28"/>
  <c r="M16" i="28"/>
  <c r="J17" i="28"/>
  <c r="K17" i="28"/>
  <c r="L17" i="28"/>
  <c r="M17" i="28"/>
  <c r="J18" i="28"/>
  <c r="K18" i="28"/>
  <c r="L18" i="28"/>
  <c r="M18" i="28"/>
  <c r="J19" i="28"/>
  <c r="K19" i="28"/>
  <c r="L19" i="28"/>
  <c r="M19" i="28"/>
  <c r="M52" i="28"/>
  <c r="M50" i="28" s="1"/>
  <c r="M51" i="28" s="1"/>
  <c r="J31" i="28"/>
  <c r="J32" i="28" s="1"/>
  <c r="M33" i="28"/>
  <c r="M31" i="28" s="1"/>
  <c r="M32" i="28" s="1"/>
  <c r="L71" i="28"/>
  <c r="L69" i="28" s="1"/>
  <c r="L70" i="28" s="1"/>
  <c r="L52" i="28"/>
  <c r="L50" i="28" s="1"/>
  <c r="L51" i="28" s="1"/>
  <c r="L33" i="28"/>
  <c r="L31" i="28" s="1"/>
  <c r="L32" i="28" s="1"/>
  <c r="K71" i="28"/>
  <c r="K69" i="28" s="1"/>
  <c r="K70" i="28" s="1"/>
  <c r="K52" i="28"/>
  <c r="K50" i="28" s="1"/>
  <c r="K51" i="28" s="1"/>
  <c r="K33" i="28"/>
  <c r="K31" i="28" s="1"/>
  <c r="K32" i="28" s="1"/>
  <c r="J71" i="28"/>
  <c r="J52" i="28"/>
  <c r="J50" i="28" s="1"/>
  <c r="J51" i="28" s="1"/>
  <c r="L67" i="28"/>
  <c r="L68" i="28" s="1"/>
  <c r="K67" i="28"/>
  <c r="K68" i="28" s="1"/>
  <c r="J67" i="28"/>
  <c r="J68" i="28" s="1"/>
  <c r="M48" i="28"/>
  <c r="M49" i="28" s="1"/>
  <c r="L48" i="28"/>
  <c r="L49" i="28" s="1"/>
  <c r="K48" i="28"/>
  <c r="K49" i="28" s="1"/>
  <c r="J48" i="28"/>
  <c r="J49" i="28" s="1"/>
  <c r="K29" i="28"/>
  <c r="K30" i="28" s="1"/>
  <c r="L29" i="28"/>
  <c r="L30" i="28" s="1"/>
  <c r="M29" i="28"/>
  <c r="M30" i="28" s="1"/>
  <c r="J29" i="28"/>
  <c r="J30" i="28" s="1"/>
  <c r="V86" i="28"/>
  <c r="U86" i="28"/>
  <c r="T86" i="28"/>
  <c r="M44" i="28"/>
  <c r="L44" i="28"/>
  <c r="K44" i="28"/>
  <c r="M27" i="28"/>
  <c r="L27" i="28"/>
  <c r="K27" i="28"/>
  <c r="L63" i="28"/>
  <c r="K63" i="28"/>
  <c r="J10" i="28" l="1"/>
  <c r="Y10" i="28" s="1"/>
  <c r="J12" i="28"/>
  <c r="J140" i="28" s="1"/>
  <c r="L12" i="28"/>
  <c r="L140" i="28" s="1"/>
  <c r="K12" i="28"/>
  <c r="K140" i="28" s="1"/>
  <c r="M12" i="28"/>
  <c r="M140" i="28" s="1"/>
  <c r="Q13" i="45"/>
  <c r="P13" i="45"/>
  <c r="O13" i="45"/>
  <c r="R13" i="45"/>
  <c r="M10" i="28"/>
  <c r="N11" i="28" s="1"/>
  <c r="L10" i="28"/>
  <c r="K10" i="28"/>
  <c r="K56" i="28"/>
  <c r="K58" i="28" s="1"/>
  <c r="J69" i="28"/>
  <c r="J75" i="28" s="1"/>
  <c r="J76" i="28" s="1"/>
  <c r="M75" i="28"/>
  <c r="M76" i="28" s="1"/>
  <c r="M56" i="28"/>
  <c r="M58" i="28" s="1"/>
  <c r="K75" i="28"/>
  <c r="K76" i="28" s="1"/>
  <c r="L75" i="28"/>
  <c r="L76" i="28" s="1"/>
  <c r="L56" i="28"/>
  <c r="L58" i="28" s="1"/>
  <c r="M37" i="28"/>
  <c r="K37" i="28"/>
  <c r="L37" i="28"/>
  <c r="J56" i="28"/>
  <c r="J58" i="28" s="1"/>
  <c r="J37" i="28"/>
  <c r="F97" i="32"/>
  <c r="H97" i="32"/>
  <c r="I97" i="32"/>
  <c r="J97" i="32"/>
  <c r="K97" i="32"/>
  <c r="L97" i="32"/>
  <c r="M97" i="32"/>
  <c r="G97" i="32"/>
  <c r="G79" i="32"/>
  <c r="G84" i="32" s="1"/>
  <c r="H79" i="32"/>
  <c r="H84" i="32" s="1"/>
  <c r="I79" i="32"/>
  <c r="I84" i="32" s="1"/>
  <c r="J79" i="32"/>
  <c r="J84" i="32" s="1"/>
  <c r="K79" i="32"/>
  <c r="K84" i="32" s="1"/>
  <c r="L79" i="32"/>
  <c r="L84" i="32" s="1"/>
  <c r="M79" i="32"/>
  <c r="M84" i="32" s="1"/>
  <c r="F79" i="32"/>
  <c r="F84" i="32" s="1"/>
  <c r="V116" i="28" l="1"/>
  <c r="U116" i="28"/>
  <c r="T116" i="28"/>
  <c r="S116" i="28"/>
  <c r="R116" i="28"/>
  <c r="R140" i="28"/>
  <c r="S140" i="28"/>
  <c r="U140" i="28"/>
  <c r="V140" i="28"/>
  <c r="T140" i="28"/>
  <c r="R76" i="28"/>
  <c r="R75" i="28" s="1"/>
  <c r="Q75" i="28" s="1"/>
  <c r="Q76" i="28" s="1"/>
  <c r="S76" i="28"/>
  <c r="S75" i="28" s="1"/>
  <c r="T76" i="28"/>
  <c r="T75" i="28" s="1"/>
  <c r="U76" i="28"/>
  <c r="U75" i="28" s="1"/>
  <c r="V76" i="28"/>
  <c r="V75" i="28" s="1"/>
  <c r="S58" i="28"/>
  <c r="S56" i="28" s="1"/>
  <c r="V58" i="28"/>
  <c r="V56" i="28" s="1"/>
  <c r="R58" i="28"/>
  <c r="R56" i="28" s="1"/>
  <c r="Q56" i="28" s="1"/>
  <c r="Q58" i="28" s="1"/>
  <c r="T58" i="28"/>
  <c r="T56" i="28" s="1"/>
  <c r="U58" i="28"/>
  <c r="U56" i="28" s="1"/>
  <c r="O15" i="45"/>
  <c r="R15" i="45"/>
  <c r="M57" i="28" s="1"/>
  <c r="M11" i="28"/>
  <c r="L11" i="28"/>
  <c r="R25" i="45"/>
  <c r="R33" i="45"/>
  <c r="R31" i="45"/>
  <c r="Q15" i="45"/>
  <c r="Q14" i="45" s="1"/>
  <c r="Q75" i="24" s="1"/>
  <c r="Q76" i="24" s="1"/>
  <c r="O33" i="45"/>
  <c r="O31" i="45"/>
  <c r="P15" i="45"/>
  <c r="P31" i="45"/>
  <c r="Q25" i="45"/>
  <c r="Q33" i="45"/>
  <c r="Q31" i="45"/>
  <c r="M38" i="28"/>
  <c r="J38" i="28"/>
  <c r="K38" i="28"/>
  <c r="L38" i="28"/>
  <c r="R98" i="28"/>
  <c r="J70" i="28"/>
  <c r="F45" i="32"/>
  <c r="F19" i="32"/>
  <c r="K57" i="27" s="1"/>
  <c r="F29" i="32"/>
  <c r="F23" i="32"/>
  <c r="F17" i="32"/>
  <c r="Q116" i="28" l="1"/>
  <c r="R16" i="45"/>
  <c r="R14" i="45"/>
  <c r="R75" i="24" s="1"/>
  <c r="R76" i="24" s="1"/>
  <c r="O16" i="45"/>
  <c r="O14" i="45"/>
  <c r="O75" i="24" s="1"/>
  <c r="O76" i="24" s="1"/>
  <c r="Q98" i="28"/>
  <c r="Q99" i="28" s="1"/>
  <c r="W15" i="45"/>
  <c r="F47" i="32"/>
  <c r="J57" i="28"/>
  <c r="Q16" i="45"/>
  <c r="L57" i="28"/>
  <c r="P16" i="45"/>
  <c r="K57" i="28"/>
  <c r="S98" i="28"/>
  <c r="G52" i="32"/>
  <c r="H52" i="32"/>
  <c r="I52" i="32"/>
  <c r="J52" i="32"/>
  <c r="K52" i="32"/>
  <c r="L52" i="32"/>
  <c r="M52" i="32"/>
  <c r="Q117" i="28" l="1"/>
  <c r="T98" i="28"/>
  <c r="M87" i="26"/>
  <c r="I87" i="26"/>
  <c r="J87" i="26"/>
  <c r="K87" i="26"/>
  <c r="L87" i="26"/>
  <c r="N87" i="26"/>
  <c r="S39" i="45" s="1"/>
  <c r="H87" i="26"/>
  <c r="G87" i="26"/>
  <c r="F87" i="26"/>
  <c r="G71" i="26"/>
  <c r="H71" i="26"/>
  <c r="I71" i="26"/>
  <c r="J71" i="26"/>
  <c r="K71" i="26"/>
  <c r="L71" i="26"/>
  <c r="M71" i="26"/>
  <c r="F71" i="26"/>
  <c r="G52" i="26"/>
  <c r="G13" i="38" s="1"/>
  <c r="H52" i="26"/>
  <c r="H13" i="38" s="1"/>
  <c r="I52" i="26"/>
  <c r="I13" i="38" s="1"/>
  <c r="J52" i="26"/>
  <c r="K52" i="26"/>
  <c r="K13" i="38" s="1"/>
  <c r="L52" i="26"/>
  <c r="L13" i="38" s="1"/>
  <c r="M52" i="26"/>
  <c r="N52" i="26"/>
  <c r="N13" i="38" s="1"/>
  <c r="F52" i="26"/>
  <c r="G35" i="26"/>
  <c r="H35" i="26"/>
  <c r="I35" i="26"/>
  <c r="J35" i="26"/>
  <c r="K35" i="26"/>
  <c r="L35" i="26"/>
  <c r="M35" i="26"/>
  <c r="N35" i="26"/>
  <c r="F35" i="26"/>
  <c r="S26" i="28" l="1"/>
  <c r="N29" i="38"/>
  <c r="N28" i="38"/>
  <c r="N18" i="38"/>
  <c r="N20" i="38"/>
  <c r="N11" i="38"/>
  <c r="G29" i="38"/>
  <c r="G28" i="38"/>
  <c r="J11" i="38"/>
  <c r="J12" i="38"/>
  <c r="H12" i="38"/>
  <c r="H11" i="38"/>
  <c r="L29" i="38"/>
  <c r="L28" i="38"/>
  <c r="K28" i="38"/>
  <c r="K29" i="38"/>
  <c r="I29" i="38"/>
  <c r="I28" i="38"/>
  <c r="K17" i="26"/>
  <c r="K12" i="38"/>
  <c r="K11" i="38"/>
  <c r="J51" i="26"/>
  <c r="J13" i="38"/>
  <c r="G12" i="38"/>
  <c r="G11" i="38"/>
  <c r="M28" i="38"/>
  <c r="M29" i="38"/>
  <c r="H28" i="38"/>
  <c r="H29" i="38"/>
  <c r="F11" i="38"/>
  <c r="F12" i="38"/>
  <c r="M17" i="26"/>
  <c r="M11" i="38"/>
  <c r="M12" i="38"/>
  <c r="F51" i="26"/>
  <c r="F13" i="38"/>
  <c r="M51" i="26"/>
  <c r="M13" i="38"/>
  <c r="I11" i="38"/>
  <c r="I12" i="38"/>
  <c r="J28" i="38"/>
  <c r="J29" i="38"/>
  <c r="L17" i="26"/>
  <c r="L11" i="38"/>
  <c r="N12" i="38"/>
  <c r="L12" i="38"/>
  <c r="F28" i="38"/>
  <c r="F29" i="38"/>
  <c r="I17" i="26"/>
  <c r="N51" i="26"/>
  <c r="N17" i="26"/>
  <c r="F17" i="26"/>
  <c r="G17" i="26"/>
  <c r="I51" i="26"/>
  <c r="J17" i="26"/>
  <c r="L51" i="26"/>
  <c r="M10" i="27"/>
  <c r="I21" i="26"/>
  <c r="L10" i="27"/>
  <c r="L66" i="27" s="1"/>
  <c r="K21" i="26"/>
  <c r="J21" i="26"/>
  <c r="K51" i="26"/>
  <c r="H17" i="26"/>
  <c r="G51" i="26"/>
  <c r="H51" i="26"/>
  <c r="V98" i="28"/>
  <c r="U98" i="28"/>
  <c r="G21" i="26"/>
  <c r="F21" i="26"/>
  <c r="H21" i="26"/>
  <c r="M21" i="26"/>
  <c r="L21" i="26"/>
  <c r="K25" i="24"/>
  <c r="L25" i="24"/>
  <c r="M25" i="24"/>
  <c r="N25" i="24"/>
  <c r="O25" i="24"/>
  <c r="P25" i="24"/>
  <c r="Q25" i="24"/>
  <c r="R25" i="24"/>
  <c r="L17" i="24"/>
  <c r="M17" i="24"/>
  <c r="N17" i="24"/>
  <c r="O17" i="24"/>
  <c r="P17" i="24"/>
  <c r="Q17" i="24"/>
  <c r="R17" i="24"/>
  <c r="L14" i="24"/>
  <c r="L15" i="24" s="1"/>
  <c r="L21" i="24"/>
  <c r="L27" i="24"/>
  <c r="L29" i="24"/>
  <c r="L39" i="24"/>
  <c r="L43" i="24"/>
  <c r="M43" i="24"/>
  <c r="M17" i="45" s="1"/>
  <c r="M39" i="24"/>
  <c r="M29" i="24"/>
  <c r="M23" i="24" s="1"/>
  <c r="M27" i="24"/>
  <c r="M21" i="24"/>
  <c r="M14" i="24"/>
  <c r="M15" i="24" s="1"/>
  <c r="T26" i="28" l="1"/>
  <c r="S37" i="28"/>
  <c r="N27" i="38"/>
  <c r="N19" i="38"/>
  <c r="N10" i="38"/>
  <c r="M27" i="38"/>
  <c r="M10" i="38"/>
  <c r="I27" i="38"/>
  <c r="I10" i="38"/>
  <c r="K27" i="38"/>
  <c r="K10" i="38"/>
  <c r="J27" i="38"/>
  <c r="J10" i="38"/>
  <c r="G27" i="38"/>
  <c r="G10" i="38"/>
  <c r="F27" i="38"/>
  <c r="F10" i="38"/>
  <c r="H27" i="38"/>
  <c r="H10" i="38"/>
  <c r="L27" i="38"/>
  <c r="L10" i="38"/>
  <c r="H53" i="32"/>
  <c r="H54" i="32" s="1"/>
  <c r="H55" i="32" s="1"/>
  <c r="H36" i="38"/>
  <c r="H37" i="38" s="1"/>
  <c r="L23" i="24"/>
  <c r="M66" i="27"/>
  <c r="L11" i="27"/>
  <c r="M11" i="27"/>
  <c r="L22" i="24"/>
  <c r="M22" i="24"/>
  <c r="M35" i="24"/>
  <c r="M55" i="24" l="1"/>
  <c r="M33" i="24"/>
  <c r="U26" i="28"/>
  <c r="T37" i="28"/>
  <c r="H57" i="32"/>
  <c r="H25" i="38"/>
  <c r="H26" i="38"/>
  <c r="L35" i="24"/>
  <c r="G36" i="38"/>
  <c r="G37" i="38" s="1"/>
  <c r="G53" i="32"/>
  <c r="G54" i="32" s="1"/>
  <c r="G55" i="32" s="1"/>
  <c r="L42" i="24"/>
  <c r="M42" i="24"/>
  <c r="L55" i="24" l="1"/>
  <c r="L33" i="24"/>
  <c r="H58" i="32"/>
  <c r="H60" i="32"/>
  <c r="V26" i="28"/>
  <c r="V37" i="28" s="1"/>
  <c r="U37" i="28"/>
  <c r="H102" i="32"/>
  <c r="G25" i="38"/>
  <c r="G26" i="38"/>
  <c r="G57" i="32"/>
  <c r="L46" i="24"/>
  <c r="G104" i="32"/>
  <c r="M46" i="24"/>
  <c r="H104" i="32"/>
  <c r="G58" i="32" l="1"/>
  <c r="G60" i="32"/>
  <c r="H61" i="32"/>
  <c r="H103" i="32"/>
  <c r="G106" i="32"/>
  <c r="G112" i="32" s="1"/>
  <c r="G114" i="32" s="1"/>
  <c r="H106" i="32"/>
  <c r="H112" i="32" s="1"/>
  <c r="H114" i="32" s="1"/>
  <c r="H18" i="38"/>
  <c r="H19" i="38"/>
  <c r="G18" i="38"/>
  <c r="G19" i="38"/>
  <c r="G102" i="32"/>
  <c r="M49" i="24"/>
  <c r="L49" i="24"/>
  <c r="M50" i="24"/>
  <c r="L50" i="24"/>
  <c r="H107" i="32" l="1"/>
  <c r="H136" i="32" s="1"/>
  <c r="H137" i="32" s="1"/>
  <c r="H132" i="32"/>
  <c r="H133" i="32" s="1"/>
  <c r="H134" i="32"/>
  <c r="H135" i="32" s="1"/>
  <c r="G132" i="32"/>
  <c r="G133" i="32" s="1"/>
  <c r="G134" i="32"/>
  <c r="G135" i="32" s="1"/>
  <c r="G103" i="32"/>
  <c r="G61" i="32"/>
  <c r="R36" i="24"/>
  <c r="Q36" i="24"/>
  <c r="P36" i="24"/>
  <c r="M36" i="24"/>
  <c r="M37" i="24" s="1"/>
  <c r="L36" i="24"/>
  <c r="L37" i="24" s="1"/>
  <c r="K36" i="24"/>
  <c r="G107" i="32" l="1"/>
  <c r="G136" i="32" s="1"/>
  <c r="G137" i="32" s="1"/>
  <c r="L58" i="24"/>
  <c r="M58" i="24"/>
  <c r="L38" i="24"/>
  <c r="M38" i="24"/>
  <c r="N36" i="24"/>
  <c r="O36" i="24"/>
  <c r="M39" i="45" l="1"/>
  <c r="H20" i="38" s="1"/>
  <c r="L39" i="45"/>
  <c r="G20" i="38" s="1"/>
  <c r="F3" i="32" l="1"/>
  <c r="N14" i="24" l="1"/>
  <c r="N15" i="24" s="1"/>
  <c r="O14" i="24"/>
  <c r="O15" i="24" s="1"/>
  <c r="P14" i="24"/>
  <c r="P15" i="24" s="1"/>
  <c r="Q14" i="24"/>
  <c r="Q15" i="24" s="1"/>
  <c r="R14" i="24"/>
  <c r="R15" i="24" s="1"/>
  <c r="K14" i="24"/>
  <c r="K15" i="24" s="1"/>
  <c r="V31" i="27" l="1"/>
  <c r="W31" i="27" l="1"/>
  <c r="X15" i="45"/>
  <c r="V32" i="27" l="1"/>
  <c r="X29" i="45" s="1"/>
  <c r="Y15" i="45"/>
  <c r="X31" i="27"/>
  <c r="W32" i="27" l="1"/>
  <c r="Z15" i="45"/>
  <c r="Y29" i="45" l="1"/>
  <c r="Y30" i="45" s="1"/>
  <c r="Y31" i="27"/>
  <c r="AA15" i="45"/>
  <c r="F9" i="26"/>
  <c r="K2" i="24"/>
  <c r="Q29" i="24"/>
  <c r="Q23" i="24" s="1"/>
  <c r="L36" i="38" s="1"/>
  <c r="L37" i="38" s="1"/>
  <c r="N21" i="24" l="1"/>
  <c r="O21" i="24"/>
  <c r="P21" i="24"/>
  <c r="Q21" i="24"/>
  <c r="R21" i="24"/>
  <c r="K21" i="24" l="1"/>
  <c r="K27" i="24" l="1"/>
  <c r="N27" i="24"/>
  <c r="O27" i="24"/>
  <c r="P27" i="24"/>
  <c r="Q27" i="24"/>
  <c r="R27" i="24"/>
  <c r="F3" i="41" l="1"/>
  <c r="G9" i="41"/>
  <c r="H9" i="41" s="1"/>
  <c r="I9" i="41" s="1"/>
  <c r="J9" i="41" s="1"/>
  <c r="K9" i="41" s="1"/>
  <c r="L9" i="41" s="1"/>
  <c r="M9" i="41" s="1"/>
  <c r="N9" i="41" s="1"/>
  <c r="O9" i="41" s="1"/>
  <c r="P9" i="41" s="1"/>
  <c r="R43" i="24" l="1"/>
  <c r="R17" i="45" s="1"/>
  <c r="Q43" i="24"/>
  <c r="Q17" i="45" s="1"/>
  <c r="P43" i="24"/>
  <c r="P17" i="45" s="1"/>
  <c r="O43" i="24"/>
  <c r="O17" i="45" s="1"/>
  <c r="N43" i="24"/>
  <c r="N17" i="45" s="1"/>
  <c r="K43" i="24"/>
  <c r="Q26" i="45" l="1"/>
  <c r="O26" i="45"/>
  <c r="R26" i="45"/>
  <c r="M21" i="37" l="1"/>
  <c r="N21" i="37"/>
  <c r="O21" i="37"/>
  <c r="P21" i="37"/>
  <c r="M22" i="37"/>
  <c r="N22" i="37"/>
  <c r="O22" i="37"/>
  <c r="P22" i="37"/>
  <c r="M23" i="37"/>
  <c r="N23" i="37"/>
  <c r="O23" i="37"/>
  <c r="P23" i="37"/>
  <c r="M31" i="37"/>
  <c r="N31" i="37"/>
  <c r="O31" i="37"/>
  <c r="P31" i="37"/>
  <c r="E3" i="38" l="1"/>
  <c r="F3" i="37"/>
  <c r="M24" i="37" l="1"/>
  <c r="N24" i="37"/>
  <c r="O24" i="37"/>
  <c r="P24" i="37"/>
  <c r="M32" i="37"/>
  <c r="N32" i="37"/>
  <c r="O32" i="37"/>
  <c r="P32" i="37"/>
  <c r="M34" i="37"/>
  <c r="N34" i="37"/>
  <c r="O34" i="37"/>
  <c r="P34" i="37"/>
  <c r="F3" i="34" l="1"/>
  <c r="K29" i="24" l="1"/>
  <c r="K23" i="24" s="1"/>
  <c r="F36" i="38" s="1"/>
  <c r="R29" i="24" l="1"/>
  <c r="R23" i="24" s="1"/>
  <c r="M36" i="38" s="1"/>
  <c r="M37" i="38" s="1"/>
  <c r="R39" i="24"/>
  <c r="M53" i="32" l="1"/>
  <c r="R22" i="24"/>
  <c r="R35" i="24" l="1"/>
  <c r="R55" i="24" l="1"/>
  <c r="R33" i="24"/>
  <c r="M25" i="38"/>
  <c r="M26" i="38"/>
  <c r="R37" i="24"/>
  <c r="R42" i="24"/>
  <c r="R46" i="24" s="1"/>
  <c r="M19" i="38" l="1"/>
  <c r="M18" i="38"/>
  <c r="R23" i="45"/>
  <c r="R58" i="24"/>
  <c r="R49" i="24"/>
  <c r="R38" i="24"/>
  <c r="M104" i="32"/>
  <c r="M106" i="32" s="1"/>
  <c r="M112" i="32" s="1"/>
  <c r="R50" i="24"/>
  <c r="R39" i="45" l="1"/>
  <c r="M20" i="38" s="1"/>
  <c r="O29" i="24" l="1"/>
  <c r="O23" i="24" s="1"/>
  <c r="J36" i="38" s="1"/>
  <c r="J37" i="38" s="1"/>
  <c r="P29" i="24"/>
  <c r="P23" i="24" s="1"/>
  <c r="N29" i="24"/>
  <c r="N23" i="24" s="1"/>
  <c r="I36" i="38" s="1"/>
  <c r="I37" i="38" s="1"/>
  <c r="F52" i="32"/>
  <c r="Q10" i="27"/>
  <c r="P10" i="27"/>
  <c r="O10" i="27"/>
  <c r="N10" i="27"/>
  <c r="N66" i="27" s="1"/>
  <c r="P39" i="24"/>
  <c r="O39" i="24"/>
  <c r="Q39" i="24"/>
  <c r="K39" i="24"/>
  <c r="N39" i="24"/>
  <c r="Q66" i="27" l="1"/>
  <c r="Q34" i="45" s="1"/>
  <c r="Q35" i="45" s="1"/>
  <c r="O66" i="27"/>
  <c r="O34" i="45" s="1"/>
  <c r="O35" i="45" s="1"/>
  <c r="P66" i="27"/>
  <c r="P34" i="45" s="1"/>
  <c r="P35" i="45" s="1"/>
  <c r="R10" i="27"/>
  <c r="R66" i="27" l="1"/>
  <c r="R34" i="45" s="1"/>
  <c r="R35" i="45" s="1"/>
  <c r="O27" i="45"/>
  <c r="O36" i="45" s="1"/>
  <c r="Q27" i="45"/>
  <c r="Q36" i="45" s="1"/>
  <c r="R11" i="27"/>
  <c r="O66" i="24" l="1"/>
  <c r="O67" i="24" s="1"/>
  <c r="Q66" i="24"/>
  <c r="Q67" i="24" s="1"/>
  <c r="R27" i="45"/>
  <c r="R36" i="45" s="1"/>
  <c r="K11" i="28"/>
  <c r="L3" i="27"/>
  <c r="R66" i="24" l="1"/>
  <c r="R67" i="24" s="1"/>
  <c r="I53" i="32"/>
  <c r="I54" i="32" s="1"/>
  <c r="J53" i="32"/>
  <c r="J54" i="32" s="1"/>
  <c r="J55" i="32" s="1"/>
  <c r="M54" i="32"/>
  <c r="M55" i="32" s="1"/>
  <c r="L53" i="32"/>
  <c r="L54" i="32" s="1"/>
  <c r="L55" i="32" s="1"/>
  <c r="F37" i="38"/>
  <c r="F53" i="32"/>
  <c r="F54" i="32" s="1"/>
  <c r="F57" i="32" s="1"/>
  <c r="K53" i="32"/>
  <c r="K54" i="32" s="1"/>
  <c r="R3" i="28"/>
  <c r="F102" i="32" l="1"/>
  <c r="F60" i="32"/>
  <c r="K57" i="32"/>
  <c r="K55" i="32"/>
  <c r="I57" i="32"/>
  <c r="I55" i="32"/>
  <c r="M57" i="32"/>
  <c r="M60" i="32" s="1"/>
  <c r="J57" i="32"/>
  <c r="J60" i="32" s="1"/>
  <c r="L57" i="32"/>
  <c r="F55" i="32"/>
  <c r="F58" i="32"/>
  <c r="Q35" i="24"/>
  <c r="Q55" i="24" l="1"/>
  <c r="Q33" i="24"/>
  <c r="L58" i="32"/>
  <c r="L60" i="32"/>
  <c r="J61" i="32"/>
  <c r="J103" i="32"/>
  <c r="I58" i="32"/>
  <c r="I60" i="32"/>
  <c r="K58" i="32"/>
  <c r="K60" i="32"/>
  <c r="F61" i="32"/>
  <c r="F103" i="32"/>
  <c r="F107" i="32" s="1"/>
  <c r="F136" i="32" s="1"/>
  <c r="M103" i="32"/>
  <c r="M61" i="32"/>
  <c r="K102" i="32"/>
  <c r="I102" i="32"/>
  <c r="L25" i="38"/>
  <c r="L26" i="38"/>
  <c r="M102" i="32"/>
  <c r="M58" i="32"/>
  <c r="J102" i="32"/>
  <c r="J58" i="32"/>
  <c r="L102" i="32"/>
  <c r="Q37" i="24"/>
  <c r="Q22" i="24"/>
  <c r="Q42" i="24"/>
  <c r="L104" i="32" s="1"/>
  <c r="L106" i="32" s="1"/>
  <c r="L112" i="32" s="1"/>
  <c r="M107" i="32" l="1"/>
  <c r="M136" i="32" s="1"/>
  <c r="J107" i="32"/>
  <c r="J136" i="32" s="1"/>
  <c r="K103" i="32"/>
  <c r="K61" i="32"/>
  <c r="I61" i="32"/>
  <c r="I103" i="32"/>
  <c r="L103" i="32"/>
  <c r="L61" i="32"/>
  <c r="Q23" i="45"/>
  <c r="Q58" i="24"/>
  <c r="M114" i="32"/>
  <c r="Q46" i="24"/>
  <c r="Q38" i="24"/>
  <c r="L114" i="32"/>
  <c r="K107" i="32" l="1"/>
  <c r="K136" i="32" s="1"/>
  <c r="L107" i="32"/>
  <c r="L136" i="32" s="1"/>
  <c r="L137" i="32" s="1"/>
  <c r="I107" i="32"/>
  <c r="I136" i="32" s="1"/>
  <c r="Q39" i="45"/>
  <c r="L20" i="38" s="1"/>
  <c r="L18" i="38"/>
  <c r="L19" i="38"/>
  <c r="Q49" i="24"/>
  <c r="L134" i="32"/>
  <c r="L135" i="32" s="1"/>
  <c r="M137" i="32"/>
  <c r="M134" i="32"/>
  <c r="M135" i="32" s="1"/>
  <c r="L132" i="32"/>
  <c r="L133" i="32" s="1"/>
  <c r="M132" i="32"/>
  <c r="M133" i="32" s="1"/>
  <c r="P33" i="37"/>
  <c r="M33" i="37"/>
  <c r="N33" i="37"/>
  <c r="O33" i="37"/>
  <c r="Q50" i="24"/>
  <c r="K11" i="27" l="1"/>
  <c r="Q11" i="27"/>
  <c r="N11" i="27"/>
  <c r="O11" i="27"/>
  <c r="P11" i="27"/>
  <c r="K35" i="24"/>
  <c r="K33" i="24" s="1"/>
  <c r="F25" i="38" l="1"/>
  <c r="K55" i="24"/>
  <c r="F26" i="38"/>
  <c r="K37" i="24"/>
  <c r="K22" i="24"/>
  <c r="K42" i="24"/>
  <c r="O22" i="24"/>
  <c r="O35" i="24"/>
  <c r="P22" i="24"/>
  <c r="P35" i="24"/>
  <c r="N22" i="24"/>
  <c r="N35" i="24"/>
  <c r="N55" i="24" l="1"/>
  <c r="N33" i="24"/>
  <c r="O55" i="24"/>
  <c r="O33" i="24"/>
  <c r="P55" i="24"/>
  <c r="J25" i="38"/>
  <c r="J26" i="38"/>
  <c r="I25" i="38"/>
  <c r="I26" i="38"/>
  <c r="K26" i="38"/>
  <c r="K58" i="24"/>
  <c r="K46" i="24"/>
  <c r="F18" i="38" s="1"/>
  <c r="K38" i="24"/>
  <c r="O37" i="24"/>
  <c r="N37" i="24"/>
  <c r="P37" i="24"/>
  <c r="F104" i="32"/>
  <c r="O42" i="24"/>
  <c r="N42" i="24"/>
  <c r="P42" i="24"/>
  <c r="W55" i="24" l="1"/>
  <c r="K39" i="45"/>
  <c r="F20" i="38" s="1"/>
  <c r="F106" i="32"/>
  <c r="F112" i="32" s="1"/>
  <c r="F114" i="32" s="1"/>
  <c r="N58" i="24"/>
  <c r="P23" i="45"/>
  <c r="O23" i="45"/>
  <c r="O58" i="24"/>
  <c r="K49" i="24"/>
  <c r="F137" i="32"/>
  <c r="N38" i="24"/>
  <c r="O38" i="24"/>
  <c r="P38" i="24"/>
  <c r="N46" i="24"/>
  <c r="I104" i="32"/>
  <c r="O46" i="24"/>
  <c r="J104" i="32"/>
  <c r="P46" i="24"/>
  <c r="K104" i="32"/>
  <c r="K50" i="24"/>
  <c r="F19" i="38"/>
  <c r="F134" i="32" l="1"/>
  <c r="F135" i="32" s="1"/>
  <c r="F132" i="32"/>
  <c r="F133" i="32" s="1"/>
  <c r="N39" i="45"/>
  <c r="I20" i="38" s="1"/>
  <c r="O39" i="45"/>
  <c r="J20" i="38" s="1"/>
  <c r="K106" i="32"/>
  <c r="K112" i="32" s="1"/>
  <c r="K114" i="32" s="1"/>
  <c r="J106" i="32"/>
  <c r="J112" i="32" s="1"/>
  <c r="J114" i="32" s="1"/>
  <c r="I106" i="32"/>
  <c r="I112" i="32" s="1"/>
  <c r="I114" i="32" s="1"/>
  <c r="K18" i="38"/>
  <c r="K19" i="38"/>
  <c r="I18" i="38"/>
  <c r="I19" i="38"/>
  <c r="O50" i="24"/>
  <c r="J18" i="38"/>
  <c r="J19" i="38"/>
  <c r="N49" i="24"/>
  <c r="O49" i="24"/>
  <c r="P49" i="24"/>
  <c r="J137" i="32"/>
  <c r="K137" i="32"/>
  <c r="P50" i="24"/>
  <c r="N50" i="24"/>
  <c r="K134" i="32" l="1"/>
  <c r="K135" i="32" s="1"/>
  <c r="K132" i="32"/>
  <c r="K133" i="32" s="1"/>
  <c r="J132" i="32"/>
  <c r="J133" i="32" s="1"/>
  <c r="J134" i="32"/>
  <c r="J135" i="32" s="1"/>
  <c r="I137" i="32"/>
  <c r="I134" i="32"/>
  <c r="I135" i="32" s="1"/>
  <c r="I132" i="32"/>
  <c r="I133" i="32" s="1"/>
  <c r="P13" i="41" l="1"/>
  <c r="N13" i="41"/>
  <c r="L13" i="41"/>
  <c r="M13" i="41"/>
  <c r="I13" i="41"/>
  <c r="K13" i="41"/>
  <c r="F13" i="41"/>
  <c r="G13" i="41"/>
  <c r="J13" i="41"/>
  <c r="H13" i="41"/>
  <c r="O13" i="41"/>
  <c r="M18" i="20" l="1"/>
  <c r="L18" i="20" l="1"/>
  <c r="N18" i="20"/>
  <c r="O18" i="20" l="1"/>
  <c r="K18" i="20"/>
  <c r="J18" i="20" l="1"/>
  <c r="P18" i="20"/>
  <c r="I18" i="20" l="1"/>
  <c r="Q18" i="20"/>
  <c r="R18" i="20" l="1"/>
  <c r="X29" i="27" l="1"/>
  <c r="X32" i="27" s="1"/>
  <c r="Y29" i="27"/>
  <c r="Y32" i="27" s="1"/>
  <c r="AA29" i="45" s="1"/>
  <c r="Z29" i="45" l="1"/>
  <c r="Z30" i="45" s="1"/>
  <c r="U32" i="27"/>
  <c r="W29" i="45" s="1"/>
  <c r="U28" i="45" s="1"/>
  <c r="AA30" i="45" l="1"/>
  <c r="W30" i="45"/>
  <c r="V29" i="45"/>
  <c r="X30" i="45"/>
  <c r="V27" i="28"/>
  <c r="T27" i="28"/>
  <c r="S27" i="28"/>
  <c r="U27" i="28"/>
  <c r="R27" i="28"/>
  <c r="R16" i="28" l="1"/>
  <c r="Q16" i="28" s="1"/>
  <c r="Q12" i="28" s="1"/>
  <c r="R12" i="28" l="1"/>
  <c r="R138" i="28" s="1"/>
  <c r="S16" i="28"/>
  <c r="R22" i="28" l="1"/>
  <c r="R139" i="28"/>
  <c r="Q138" i="28"/>
  <c r="Q140" i="28" s="1"/>
  <c r="R151" i="28"/>
  <c r="Q151" i="28" s="1"/>
  <c r="T16" i="28"/>
  <c r="S12" i="28"/>
  <c r="S138" i="28" s="1"/>
  <c r="Q22" i="28"/>
  <c r="W13" i="45"/>
  <c r="R10" i="28"/>
  <c r="W16" i="24" l="1"/>
  <c r="P20" i="26" s="1"/>
  <c r="R11" i="28"/>
  <c r="Q152" i="28"/>
  <c r="Q10" i="28"/>
  <c r="V13" i="45"/>
  <c r="V31" i="45" s="1"/>
  <c r="W31" i="45"/>
  <c r="S22" i="28"/>
  <c r="S151" i="28"/>
  <c r="S139" i="28"/>
  <c r="U16" i="28"/>
  <c r="T12" i="28"/>
  <c r="T138" i="28" s="1"/>
  <c r="P16" i="26" l="1"/>
  <c r="P21" i="26"/>
  <c r="F25" i="20" s="1"/>
  <c r="R128" i="28"/>
  <c r="W17" i="24"/>
  <c r="V16" i="28"/>
  <c r="U12" i="28"/>
  <c r="U138" i="28" s="1"/>
  <c r="T151" i="28"/>
  <c r="T22" i="28"/>
  <c r="T139" i="28"/>
  <c r="X13" i="45"/>
  <c r="S10" i="28"/>
  <c r="X16" i="24" s="1"/>
  <c r="U151" i="28" l="1"/>
  <c r="U139" i="28"/>
  <c r="U22" i="28"/>
  <c r="S11" i="28"/>
  <c r="Y13" i="45"/>
  <c r="T10" i="28"/>
  <c r="Y16" i="24" s="1"/>
  <c r="N21" i="26"/>
  <c r="S10" i="27"/>
  <c r="J12" i="37"/>
  <c r="X31" i="45"/>
  <c r="W17" i="45"/>
  <c r="V17" i="45" s="1"/>
  <c r="W16" i="45"/>
  <c r="V15" i="45"/>
  <c r="R57" i="28"/>
  <c r="V12" i="28"/>
  <c r="V138" i="28" s="1"/>
  <c r="Z138" i="28" s="1"/>
  <c r="Q57" i="28" l="1"/>
  <c r="S11" i="27"/>
  <c r="S66" i="27"/>
  <c r="S34" i="45" s="1"/>
  <c r="O21" i="26"/>
  <c r="G12" i="37"/>
  <c r="I12" i="37"/>
  <c r="J11" i="37"/>
  <c r="H12" i="37"/>
  <c r="J13" i="37"/>
  <c r="F12" i="37"/>
  <c r="Y31" i="45"/>
  <c r="V22" i="28"/>
  <c r="V139" i="28"/>
  <c r="V151" i="28"/>
  <c r="T11" i="28"/>
  <c r="X17" i="24"/>
  <c r="U10" i="28"/>
  <c r="Z16" i="24" s="1"/>
  <c r="Z13" i="45"/>
  <c r="T66" i="27" l="1"/>
  <c r="T34" i="45" s="1"/>
  <c r="T10" i="27"/>
  <c r="T11" i="27" s="1"/>
  <c r="V11" i="27" s="1"/>
  <c r="V10" i="27" s="1"/>
  <c r="F29" i="20"/>
  <c r="S35" i="45"/>
  <c r="S27" i="45"/>
  <c r="S36" i="45" s="1"/>
  <c r="F14" i="37"/>
  <c r="F13" i="37"/>
  <c r="F11" i="37"/>
  <c r="G11" i="37"/>
  <c r="G14" i="37"/>
  <c r="G13" i="37"/>
  <c r="U11" i="28"/>
  <c r="I14" i="37"/>
  <c r="I13" i="37"/>
  <c r="I11" i="37"/>
  <c r="S57" i="28"/>
  <c r="X16" i="45"/>
  <c r="X17" i="45"/>
  <c r="Y17" i="24"/>
  <c r="Z31" i="45"/>
  <c r="H13" i="37"/>
  <c r="H11" i="37"/>
  <c r="H14" i="37"/>
  <c r="AA13" i="45"/>
  <c r="V10" i="28"/>
  <c r="AA16" i="24" s="1"/>
  <c r="U11" i="27" l="1"/>
  <c r="U10" i="27" s="1"/>
  <c r="T35" i="45"/>
  <c r="X35" i="45" s="1"/>
  <c r="T27" i="45"/>
  <c r="T36" i="45" s="1"/>
  <c r="T66" i="24" s="1"/>
  <c r="T67" i="24" s="1"/>
  <c r="Y11" i="27"/>
  <c r="X11" i="27"/>
  <c r="X10" i="27" s="1"/>
  <c r="W11" i="27"/>
  <c r="W10" i="27" s="1"/>
  <c r="S66" i="24"/>
  <c r="S67" i="24" s="1"/>
  <c r="F13" i="20"/>
  <c r="Y17" i="45"/>
  <c r="Y16" i="45"/>
  <c r="T57" i="28"/>
  <c r="V11" i="28"/>
  <c r="Z10" i="28"/>
  <c r="Z17" i="24"/>
  <c r="AA31" i="45"/>
  <c r="J14" i="37"/>
  <c r="AA35" i="45" l="1"/>
  <c r="Z35" i="45"/>
  <c r="Z34" i="45" s="1"/>
  <c r="W35" i="45"/>
  <c r="Y35" i="45"/>
  <c r="Y34" i="45" s="1"/>
  <c r="X34" i="45"/>
  <c r="F55" i="38"/>
  <c r="U57" i="28"/>
  <c r="Z16" i="45"/>
  <c r="Z17" i="45"/>
  <c r="AA17" i="24"/>
  <c r="Y10" i="27"/>
  <c r="AA34" i="45" s="1"/>
  <c r="V57" i="28" l="1"/>
  <c r="F40" i="20" s="1"/>
  <c r="AA16" i="45"/>
  <c r="AA17" i="45"/>
  <c r="P129" i="28" l="1"/>
  <c r="V16" i="24"/>
  <c r="S128" i="28" l="1"/>
  <c r="S133" i="28" s="1"/>
  <c r="T128" i="28"/>
  <c r="T133" i="28" s="1"/>
  <c r="U128" i="28"/>
  <c r="U133" i="28" s="1"/>
  <c r="V128" i="28"/>
  <c r="R133" i="28"/>
  <c r="V35" i="24"/>
  <c r="V57" i="24"/>
  <c r="O57" i="32"/>
  <c r="O55" i="32"/>
  <c r="O60" i="32" l="1"/>
  <c r="O102" i="32"/>
  <c r="Z128" i="28"/>
  <c r="V133" i="28"/>
  <c r="V37" i="24"/>
  <c r="V58" i="24" s="1"/>
  <c r="V55" i="24"/>
  <c r="O103" i="32"/>
  <c r="O61" i="32"/>
  <c r="O58" i="32"/>
  <c r="O107" i="32" l="1"/>
  <c r="O136" i="32" s="1"/>
  <c r="O137" i="32" s="1"/>
  <c r="O133" i="32"/>
  <c r="O135" i="32"/>
  <c r="W34" i="45" l="1"/>
  <c r="U34" i="45" s="1"/>
  <c r="V34" i="45" l="1"/>
  <c r="U27" i="45" l="1"/>
  <c r="U36" i="45" s="1"/>
  <c r="U66" i="24" l="1"/>
  <c r="U67" i="24" s="1"/>
  <c r="P24" i="45" l="1"/>
  <c r="P26" i="45" s="1"/>
  <c r="P57" i="27"/>
  <c r="P32" i="45" s="1"/>
  <c r="P56" i="24"/>
  <c r="K36" i="38"/>
  <c r="K37" i="38" s="1"/>
  <c r="K25" i="38" l="1"/>
  <c r="P14" i="45"/>
  <c r="P75" i="24" s="1"/>
  <c r="P76" i="24" s="1"/>
  <c r="P33" i="45"/>
  <c r="W33" i="45" s="1"/>
  <c r="P28" i="45"/>
  <c r="P27" i="45" s="1"/>
  <c r="P36" i="45" s="1"/>
  <c r="P66" i="24" s="1"/>
  <c r="P67" i="24" s="1"/>
  <c r="P25" i="45"/>
  <c r="P57" i="24"/>
  <c r="W57" i="24" s="1"/>
  <c r="P58" i="24"/>
  <c r="P39" i="45" s="1"/>
  <c r="K20" i="38" s="1"/>
  <c r="P33" i="24"/>
  <c r="X33" i="45" l="1"/>
  <c r="W32" i="45"/>
  <c r="I15" i="37"/>
  <c r="I16" i="37" s="1"/>
  <c r="J15" i="37"/>
  <c r="J16" i="37" s="1"/>
  <c r="F15" i="37"/>
  <c r="F16" i="37" s="1"/>
  <c r="G15" i="37"/>
  <c r="G16" i="37" s="1"/>
  <c r="H15" i="37"/>
  <c r="H16" i="37" s="1"/>
  <c r="W56" i="24"/>
  <c r="Z25" i="45"/>
  <c r="Z24" i="45" s="1"/>
  <c r="X25" i="45"/>
  <c r="X24" i="45" s="1"/>
  <c r="Y25" i="45"/>
  <c r="Y24" i="45" s="1"/>
  <c r="W25" i="45"/>
  <c r="W24" i="45" s="1"/>
  <c r="AA25" i="45"/>
  <c r="AA24" i="45" s="1"/>
  <c r="W28" i="45" l="1"/>
  <c r="V28" i="45" s="1"/>
  <c r="V32" i="45"/>
  <c r="V33" i="45" s="1"/>
  <c r="Y33" i="45"/>
  <c r="X32" i="45"/>
  <c r="X28" i="45" s="1"/>
  <c r="X26" i="45"/>
  <c r="Y26" i="45"/>
  <c r="AA26" i="45"/>
  <c r="W14" i="45"/>
  <c r="W75" i="24" s="1"/>
  <c r="W76" i="24" s="1"/>
  <c r="W26" i="45"/>
  <c r="V24" i="45"/>
  <c r="Z26" i="45"/>
  <c r="F50" i="38" l="1"/>
  <c r="F58" i="38" s="1"/>
  <c r="W33" i="24"/>
  <c r="X14" i="45"/>
  <c r="X75" i="24" s="1"/>
  <c r="X76" i="24" s="1"/>
  <c r="Z33" i="45"/>
  <c r="Y32" i="45"/>
  <c r="V14" i="45"/>
  <c r="V75" i="24" s="1"/>
  <c r="V76" i="24" s="1"/>
  <c r="V25" i="45"/>
  <c r="X27" i="45"/>
  <c r="X36" i="45" s="1"/>
  <c r="X66" i="24" s="1"/>
  <c r="W27" i="45"/>
  <c r="W36" i="45" s="1"/>
  <c r="W66" i="24" s="1"/>
  <c r="V26" i="45"/>
  <c r="V27" i="45" s="1"/>
  <c r="AB26" i="45"/>
  <c r="G50" i="38" l="1"/>
  <c r="G58" i="38" s="1"/>
  <c r="X33" i="24"/>
  <c r="Y28" i="45"/>
  <c r="Y27" i="45" s="1"/>
  <c r="Y36" i="45" s="1"/>
  <c r="Y66" i="24" s="1"/>
  <c r="Y67" i="24" s="1"/>
  <c r="H56" i="38" s="1"/>
  <c r="H57" i="38" s="1"/>
  <c r="Y14" i="45"/>
  <c r="Y75" i="24" s="1"/>
  <c r="Y76" i="24" s="1"/>
  <c r="AA33" i="45"/>
  <c r="AA32" i="45" s="1"/>
  <c r="Z32" i="45"/>
  <c r="V36" i="45"/>
  <c r="W67" i="24"/>
  <c r="X67" i="24"/>
  <c r="G56" i="38" s="1"/>
  <c r="G57" i="38" s="1"/>
  <c r="G54" i="38" s="1"/>
  <c r="H50" i="38" l="1"/>
  <c r="H58" i="38" s="1"/>
  <c r="Y33" i="24"/>
  <c r="AA28" i="45"/>
  <c r="AA27" i="45" s="1"/>
  <c r="AA36" i="45" s="1"/>
  <c r="AA14" i="45"/>
  <c r="AA75" i="24" s="1"/>
  <c r="AA76" i="24" s="1"/>
  <c r="Z28" i="45"/>
  <c r="Z27" i="45" s="1"/>
  <c r="Z36" i="45" s="1"/>
  <c r="Z14" i="45"/>
  <c r="Z75" i="24" s="1"/>
  <c r="Z76" i="24" s="1"/>
  <c r="G53" i="38"/>
  <c r="G63" i="38"/>
  <c r="V66" i="24"/>
  <c r="V67" i="24" s="1"/>
  <c r="F56" i="38" s="1"/>
  <c r="J50" i="38" l="1"/>
  <c r="J58" i="38" s="1"/>
  <c r="AA33" i="24"/>
  <c r="I50" i="38"/>
  <c r="I58" i="38" s="1"/>
  <c r="Z33" i="24"/>
  <c r="Z66" i="24"/>
  <c r="Z67" i="24" s="1"/>
  <c r="I56" i="38" s="1"/>
  <c r="I57" i="38" s="1"/>
  <c r="AA66" i="24"/>
  <c r="AA67" i="24" s="1"/>
  <c r="J56" i="38" s="1"/>
  <c r="J57" i="38" s="1"/>
  <c r="F57" i="38"/>
  <c r="F54" i="38" s="1"/>
  <c r="F63" i="38" s="1"/>
  <c r="H55" i="38"/>
  <c r="H54" i="38" s="1"/>
  <c r="H63" i="38" s="1"/>
  <c r="G61" i="38"/>
  <c r="F52" i="38" l="1"/>
  <c r="F61" i="38" s="1"/>
  <c r="H53" i="38"/>
  <c r="H61" i="38" s="1"/>
  <c r="I55" i="38" l="1"/>
  <c r="I54" i="38" s="1"/>
  <c r="I63" i="38" s="1"/>
  <c r="I53" i="38" l="1"/>
  <c r="I61" i="38" s="1"/>
  <c r="J55" i="38" l="1"/>
  <c r="J54" i="38" s="1"/>
  <c r="J63" i="38" s="1"/>
  <c r="J53" i="38" l="1"/>
  <c r="J61" i="38" s="1"/>
  <c r="K26" i="20" l="1"/>
  <c r="K28" i="20" l="1"/>
  <c r="K27" i="20" l="1"/>
  <c r="K29" i="20" s="1"/>
  <c r="F14" i="20" s="1"/>
  <c r="G17" i="41" l="1"/>
  <c r="G20" i="41" s="1"/>
  <c r="F20" i="41"/>
  <c r="F21" i="41" s="1"/>
  <c r="H17" i="41" l="1"/>
  <c r="G21" i="41"/>
  <c r="V37" i="45"/>
  <c r="V38" i="45" s="1"/>
  <c r="I17" i="41" l="1"/>
  <c r="H20" i="41"/>
  <c r="H21" i="41" s="1"/>
  <c r="X37" i="45"/>
  <c r="X38" i="45" s="1"/>
  <c r="I20" i="41" l="1"/>
  <c r="I21" i="41" s="1"/>
  <c r="J17" i="41"/>
  <c r="Y37" i="45"/>
  <c r="Y38" i="45" s="1"/>
  <c r="K17" i="41" l="1"/>
  <c r="J20" i="41"/>
  <c r="J21" i="41" s="1"/>
  <c r="Z37" i="45"/>
  <c r="Z38" i="45" s="1"/>
  <c r="L17" i="41" l="1"/>
  <c r="K20" i="41"/>
  <c r="K21" i="41" s="1"/>
  <c r="AA37" i="45"/>
  <c r="AA38" i="45" s="1"/>
  <c r="M17" i="41" l="1"/>
  <c r="L20" i="41"/>
  <c r="L21" i="41" s="1"/>
  <c r="N17" i="41" l="1"/>
  <c r="M20" i="41"/>
  <c r="M21" i="41" s="1"/>
  <c r="N20" i="41" l="1"/>
  <c r="N21" i="41" s="1"/>
  <c r="O17" i="41"/>
  <c r="O20" i="41" l="1"/>
  <c r="O21" i="41" s="1"/>
  <c r="P17" i="41"/>
  <c r="P20" i="41" s="1"/>
  <c r="F16" i="20" l="1"/>
  <c r="AC23" i="45"/>
  <c r="AB27" i="45" s="1"/>
  <c r="AB36" i="45" s="1"/>
  <c r="AB38" i="45" s="1"/>
  <c r="F11" i="20" s="1"/>
  <c r="F41" i="20" s="1"/>
  <c r="F43" i="20" s="1"/>
  <c r="F44" i="20" s="1"/>
  <c r="F15" i="20" s="1"/>
  <c r="Q13" i="20" s="1"/>
  <c r="H13" i="20"/>
  <c r="P21" i="41"/>
  <c r="O13" i="20" l="1"/>
  <c r="N13" i="20"/>
  <c r="J13" i="20"/>
  <c r="I13" i="20"/>
  <c r="M13" i="20"/>
  <c r="K13" i="20"/>
  <c r="R13" i="20"/>
  <c r="F18" i="20"/>
  <c r="O25" i="20" s="1"/>
  <c r="H14" i="20"/>
  <c r="H12" i="20"/>
  <c r="L13" i="20"/>
  <c r="P13" i="20"/>
  <c r="F20" i="20" l="1"/>
  <c r="E20" i="20" s="1"/>
  <c r="Q12" i="20"/>
  <c r="L12" i="20"/>
  <c r="H11" i="20"/>
  <c r="K12" i="20"/>
  <c r="P12" i="20"/>
  <c r="M12" i="20"/>
  <c r="I12" i="20"/>
  <c r="N12" i="20"/>
  <c r="R12" i="20"/>
  <c r="O12" i="20"/>
  <c r="J12" i="20"/>
  <c r="L14" i="20"/>
  <c r="H15" i="20"/>
  <c r="P14" i="20"/>
  <c r="I14" i="20"/>
  <c r="O14" i="20"/>
  <c r="K14" i="20"/>
  <c r="R14" i="20"/>
  <c r="J14" i="20"/>
  <c r="M14" i="20"/>
  <c r="N14" i="20"/>
  <c r="Q14" i="20"/>
  <c r="Q15" i="20" l="1"/>
  <c r="H16" i="20"/>
  <c r="J15" i="20"/>
  <c r="I15" i="20"/>
  <c r="O15" i="20"/>
  <c r="P15" i="20"/>
  <c r="M15" i="20"/>
  <c r="N15" i="20"/>
  <c r="R15" i="20"/>
  <c r="L15" i="20"/>
  <c r="K15" i="20"/>
  <c r="N11" i="20"/>
  <c r="P11" i="20"/>
  <c r="M11" i="20"/>
  <c r="H10" i="20"/>
  <c r="L11" i="20"/>
  <c r="K11" i="20"/>
  <c r="O11" i="20"/>
  <c r="I11" i="20"/>
  <c r="Q11" i="20"/>
  <c r="R11" i="20"/>
  <c r="J11" i="20"/>
  <c r="H17" i="20" l="1"/>
  <c r="I16" i="20"/>
  <c r="P16" i="20"/>
  <c r="M16" i="20"/>
  <c r="N16" i="20"/>
  <c r="O16" i="20"/>
  <c r="K16" i="20"/>
  <c r="R16" i="20"/>
  <c r="J16" i="20"/>
  <c r="L16" i="20"/>
  <c r="Q16" i="20"/>
  <c r="K10" i="20"/>
  <c r="R10" i="20"/>
  <c r="L10" i="20"/>
  <c r="P10" i="20"/>
  <c r="I10" i="20"/>
  <c r="J10" i="20"/>
  <c r="Q10" i="20"/>
  <c r="O10" i="20"/>
  <c r="M10" i="20"/>
  <c r="H9" i="20"/>
  <c r="N10" i="20"/>
  <c r="L9" i="20" l="1"/>
  <c r="N9" i="20"/>
  <c r="R9" i="20"/>
  <c r="O9" i="20"/>
  <c r="Q9" i="20"/>
  <c r="M9" i="20"/>
  <c r="I9" i="20"/>
  <c r="K9" i="20"/>
  <c r="J9" i="20"/>
  <c r="P9" i="20"/>
  <c r="J17" i="20"/>
  <c r="Q17" i="20"/>
  <c r="R17" i="20"/>
  <c r="N17" i="20"/>
  <c r="I17" i="20"/>
  <c r="K17" i="20"/>
  <c r="M17" i="20"/>
  <c r="O17" i="20"/>
  <c r="P17" i="20"/>
  <c r="L1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6" authorId="0" shapeId="0" xr:uid="{C5190BD6-32C5-449C-A53A-97A086811BA8}">
      <text>
        <r>
          <rPr>
            <b/>
            <sz val="9"/>
            <color indexed="81"/>
            <rFont val="Segoe UI"/>
            <family val="2"/>
          </rPr>
          <t>Thiago Duarte:</t>
        </r>
        <r>
          <rPr>
            <sz val="9"/>
            <color indexed="81"/>
            <rFont val="Segoe UI"/>
            <family val="2"/>
          </rPr>
          <t xml:space="preserve">
Perpetuidade do EBIT da holding com crescimento de 3,5% (meta de inflação)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8" authorId="0" shapeId="0" xr:uid="{78CC833E-F71C-436F-9261-6BC4F644D920}">
      <text>
        <r>
          <rPr>
            <b/>
            <sz val="9"/>
            <color indexed="81"/>
            <rFont val="Segoe UI"/>
            <family val="2"/>
          </rPr>
          <t>Thiago Duarte:</t>
        </r>
        <r>
          <rPr>
            <sz val="9"/>
            <color indexed="81"/>
            <rFont val="Segoe UI"/>
            <family val="2"/>
          </rPr>
          <t xml:space="preserve">
Última debenture emitida a DI + 3,2%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R34" authorId="0" shapeId="0" xr:uid="{67BA396A-795E-48FF-B033-6309851F4BA4}">
      <text>
        <r>
          <rPr>
            <b/>
            <sz val="9"/>
            <color indexed="81"/>
            <rFont val="Segoe UI"/>
            <family val="2"/>
          </rPr>
          <t>Thiago Duarte:</t>
        </r>
        <r>
          <rPr>
            <sz val="9"/>
            <color indexed="81"/>
            <rFont val="Segoe UI"/>
            <family val="2"/>
          </rPr>
          <t xml:space="preserve">
Mudança em razão do ganho de margem em Seminovos e valorização de ativos</t>
        </r>
      </text>
    </comment>
    <comment ref="R38" authorId="0" shapeId="0" xr:uid="{D4168CC8-D0CB-4FC0-B70F-1AFD723A9AB2}">
      <text>
        <r>
          <rPr>
            <b/>
            <sz val="9"/>
            <color indexed="81"/>
            <rFont val="Segoe UI"/>
            <family val="2"/>
          </rPr>
          <t>Thiago Duarte:</t>
        </r>
        <r>
          <rPr>
            <sz val="9"/>
            <color indexed="81"/>
            <rFont val="Segoe UI"/>
            <family val="2"/>
          </rPr>
          <t xml:space="preserve">
Mudança em razão do ganho de margem em Seminovos e valorização de ativos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Gabriel Lacombe</author>
    <author>Thiago Duarte</author>
  </authors>
  <commentList>
    <comment ref="K9" authorId="0" shapeId="0" xr:uid="{BFCCF80F-EAB1-4D9B-92FC-572796D60D73}">
      <text>
        <r>
          <rPr>
            <b/>
            <sz val="9"/>
            <color indexed="81"/>
            <rFont val="Segoe UI"/>
            <family val="2"/>
          </rPr>
          <t>Adoção do IFRS 16</t>
        </r>
      </text>
    </comment>
    <comment ref="E47" authorId="1" shapeId="0" xr:uid="{95D4B18C-65FA-4B88-AD40-A65452C99AFF}">
      <text>
        <r>
          <rPr>
            <b/>
            <sz val="9"/>
            <color indexed="81"/>
            <rFont val="Segoe UI"/>
            <family val="2"/>
          </rPr>
          <t>Thiago Duarte:</t>
        </r>
        <r>
          <rPr>
            <sz val="9"/>
            <color indexed="81"/>
            <rFont val="Segoe UI"/>
            <family val="2"/>
          </rPr>
          <t xml:space="preserve">
A soma dos custos + despesas operacionais de 2014, 2015 não batem com a aba DRE + DCF pois as notas explicativas das DFs não conversam com a DRE</t>
        </r>
      </text>
    </comment>
    <comment ref="K51" authorId="0" shapeId="0" xr:uid="{30B57251-2A02-49AE-83BE-0D62E7355BB1}">
      <text>
        <r>
          <rPr>
            <b/>
            <sz val="9"/>
            <color indexed="81"/>
            <rFont val="Segoe UI"/>
            <family val="2"/>
          </rPr>
          <t>Adoção do IFRS 16</t>
        </r>
      </text>
    </comment>
    <comment ref="K65" authorId="0" shapeId="0" xr:uid="{19819AEE-A2C1-4454-94E9-C4F56BCC940F}">
      <text>
        <r>
          <rPr>
            <b/>
            <sz val="9"/>
            <color indexed="81"/>
            <rFont val="Segoe UI"/>
            <family val="2"/>
          </rPr>
          <t>Adoção do IFRS 16</t>
        </r>
      </text>
    </comment>
    <comment ref="K88" authorId="0" shapeId="0" xr:uid="{F0A11115-587B-4633-AE4F-F7738C94D2F7}">
      <text>
        <r>
          <rPr>
            <b/>
            <sz val="9"/>
            <color indexed="81"/>
            <rFont val="Segoe UI"/>
            <family val="2"/>
          </rPr>
          <t>Adoção do IFRS 16</t>
        </r>
      </text>
    </comment>
    <comment ref="E97" authorId="1" shapeId="0" xr:uid="{4E3B0434-0CD8-4AA2-9539-CDECEE3E926A}">
      <text>
        <r>
          <rPr>
            <b/>
            <sz val="9"/>
            <color indexed="81"/>
            <rFont val="Segoe UI"/>
            <family val="2"/>
          </rPr>
          <t xml:space="preserve">Thiago Duarte:
</t>
        </r>
        <r>
          <rPr>
            <sz val="9"/>
            <color indexed="81"/>
            <rFont val="Segoe UI"/>
            <family val="2"/>
          </rPr>
          <t>A soma das despesas financeiras de 2014 a 2017 não batem com a aba DRE + DCF, por divergência na DFP apresentada pela empresa.</t>
        </r>
      </text>
    </comment>
    <comment ref="K101" authorId="0" shapeId="0" xr:uid="{A3653A47-E752-454F-9EFC-4E270432AD42}">
      <text>
        <r>
          <rPr>
            <b/>
            <sz val="9"/>
            <color indexed="81"/>
            <rFont val="Segoe UI"/>
            <family val="2"/>
          </rPr>
          <t>Adoção do IFRS 16</t>
        </r>
      </text>
    </comment>
    <comment ref="E107" authorId="1" shapeId="0" xr:uid="{C479DB12-0BA7-4B20-A9EE-460050539F87}">
      <text>
        <r>
          <rPr>
            <b/>
            <sz val="9"/>
            <color indexed="81"/>
            <rFont val="Segoe UI"/>
            <family val="2"/>
          </rPr>
          <t>Thiago Duarte:</t>
        </r>
        <r>
          <rPr>
            <sz val="9"/>
            <color indexed="81"/>
            <rFont val="Segoe UI"/>
            <family val="2"/>
          </rPr>
          <t xml:space="preserve">
Aqui a gente tira o efeitos dos incentivos no EBIT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53" authorId="0" shapeId="0" xr:uid="{F754EA12-E9D4-474B-8B0C-0F785CEA6858}">
      <text>
        <r>
          <rPr>
            <b/>
            <sz val="9"/>
            <color indexed="81"/>
            <rFont val="Segoe UI"/>
            <family val="2"/>
          </rPr>
          <t>Thiago Duarte:</t>
        </r>
        <r>
          <rPr>
            <sz val="9"/>
            <color indexed="81"/>
            <rFont val="Segoe UI"/>
            <family val="2"/>
          </rPr>
          <t xml:space="preserve">
Considera empréstimos e financiamentos + derivativos</t>
        </r>
      </text>
    </comment>
    <comment ref="F56" authorId="0" shapeId="0" xr:uid="{C86A7ED6-7E2A-4B81-B1F9-CE1CB0BFAB45}">
      <text>
        <r>
          <rPr>
            <b/>
            <sz val="9"/>
            <color indexed="81"/>
            <rFont val="Segoe UI"/>
            <family val="2"/>
          </rPr>
          <t>Thiago Duarte:</t>
        </r>
        <r>
          <rPr>
            <sz val="9"/>
            <color indexed="81"/>
            <rFont val="Segoe UI"/>
            <family val="2"/>
          </rPr>
          <t xml:space="preserve">
YTG</t>
        </r>
      </text>
    </comment>
    <comment ref="F57" authorId="0" shapeId="0" xr:uid="{5E5F0437-813F-422E-A643-A05B8CA919BA}">
      <text>
        <r>
          <rPr>
            <b/>
            <sz val="9"/>
            <color indexed="81"/>
            <rFont val="Segoe UI"/>
            <family val="2"/>
          </rPr>
          <t>Thiago Duarte:</t>
        </r>
        <r>
          <rPr>
            <sz val="9"/>
            <color indexed="81"/>
            <rFont val="Segoe UI"/>
            <family val="2"/>
          </rPr>
          <t xml:space="preserve">
YTG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3" authorId="0" shapeId="0" xr:uid="{B1D34663-075F-48F2-97D5-05E5F228FED2}">
      <text>
        <r>
          <rPr>
            <b/>
            <sz val="9"/>
            <color indexed="81"/>
            <rFont val="Segoe UI"/>
            <family val="2"/>
          </rPr>
          <t>Thiago Duarte:</t>
        </r>
        <r>
          <rPr>
            <sz val="9"/>
            <color indexed="81"/>
            <rFont val="Segoe UI"/>
            <family val="2"/>
          </rPr>
          <t xml:space="preserve">
Tirada do VBOX da empresa.</t>
        </r>
      </text>
    </comment>
    <comment ref="E14" authorId="0" shapeId="0" xr:uid="{B7C7AF9C-5BB3-49D0-B64A-81CA759B8FFC}">
      <text>
        <r>
          <rPr>
            <b/>
            <sz val="9"/>
            <color indexed="81"/>
            <rFont val="Segoe UI"/>
            <family val="2"/>
          </rPr>
          <t>Thiago Duarte:</t>
        </r>
        <r>
          <rPr>
            <sz val="9"/>
            <color indexed="81"/>
            <rFont val="Segoe UI"/>
            <family val="2"/>
          </rPr>
          <t xml:space="preserve">
Tirada do VBOX da empresa.</t>
        </r>
      </text>
    </comment>
    <comment ref="E15" authorId="0" shapeId="0" xr:uid="{ED1EA099-8FEA-4DD5-BEDD-846902856C16}">
      <text>
        <r>
          <rPr>
            <b/>
            <sz val="9"/>
            <color indexed="81"/>
            <rFont val="Segoe UI"/>
            <family val="2"/>
          </rPr>
          <t>Thiago Duarte:</t>
        </r>
        <r>
          <rPr>
            <sz val="9"/>
            <color indexed="81"/>
            <rFont val="Segoe UI"/>
            <family val="2"/>
          </rPr>
          <t xml:space="preserve">
Tirada do VBOX da empresa.</t>
        </r>
      </text>
    </comment>
    <comment ref="R26" authorId="0" shapeId="0" xr:uid="{CFB264A5-A234-4B5D-B68F-69F0F7A0F130}">
      <text>
        <r>
          <rPr>
            <b/>
            <sz val="9"/>
            <color indexed="81"/>
            <rFont val="Segoe UI"/>
            <family val="2"/>
          </rPr>
          <t>Thiago Duarte:</t>
        </r>
        <r>
          <rPr>
            <sz val="9"/>
            <color indexed="81"/>
            <rFont val="Segoe UI"/>
            <family val="2"/>
          </rPr>
          <t xml:space="preserve">
Receita realizada até agora e anualizada.</t>
        </r>
      </text>
    </comment>
    <comment ref="N38" authorId="0" shapeId="0" xr:uid="{EA19E86B-1528-4603-A649-EDF795842BA8}">
      <text>
        <r>
          <rPr>
            <b/>
            <sz val="9"/>
            <color indexed="81"/>
            <rFont val="Segoe UI"/>
            <family val="2"/>
          </rPr>
          <t>Thiago Duarte:</t>
        </r>
        <r>
          <rPr>
            <sz val="9"/>
            <color indexed="81"/>
            <rFont val="Segoe UI"/>
            <family val="2"/>
          </rPr>
          <t xml:space="preserve">
O gasto com implementação está alto.</t>
        </r>
      </text>
    </comment>
    <comment ref="R38" authorId="0" shapeId="0" xr:uid="{ED09C2AA-2789-4739-99E0-2C338F3344BF}">
      <text>
        <r>
          <rPr>
            <b/>
            <sz val="9"/>
            <color indexed="81"/>
            <rFont val="Segoe UI"/>
            <family val="2"/>
          </rPr>
          <t>Thiago Duarte:</t>
        </r>
        <r>
          <rPr>
            <sz val="9"/>
            <color indexed="81"/>
            <rFont val="Segoe UI"/>
            <family val="2"/>
          </rPr>
          <t xml:space="preserve">
Zeramos a margem enquanto aguardamos o resultado do resto do ano.</t>
        </r>
      </text>
    </comment>
    <comment ref="R43" authorId="0" shapeId="0" xr:uid="{BBFDBB0D-DCF7-4997-8B9E-2D57CF52744C}">
      <text>
        <r>
          <rPr>
            <b/>
            <sz val="9"/>
            <color indexed="81"/>
            <rFont val="Segoe UI"/>
            <family val="2"/>
          </rPr>
          <t>Thiago Duarte:</t>
        </r>
        <r>
          <rPr>
            <sz val="9"/>
            <color indexed="81"/>
            <rFont val="Segoe UI"/>
            <family val="2"/>
          </rPr>
          <t xml:space="preserve">
Ajustado pela aquisição da Nova Quality, do Grupo Alta e da Best Points</t>
        </r>
      </text>
    </comment>
    <comment ref="R62" authorId="0" shapeId="0" xr:uid="{E2456AF8-2F69-49B5-87DB-FD9D2B6D87AE}">
      <text>
        <r>
          <rPr>
            <b/>
            <sz val="9"/>
            <color indexed="81"/>
            <rFont val="Segoe UI"/>
            <family val="2"/>
          </rPr>
          <t>Thiago Duarte:</t>
        </r>
        <r>
          <rPr>
            <sz val="9"/>
            <color indexed="81"/>
            <rFont val="Segoe UI"/>
            <family val="2"/>
          </rPr>
          <t xml:space="preserve">
Receita realizada até agora e anualizada.</t>
        </r>
      </text>
    </comment>
    <comment ref="R81" authorId="0" shapeId="0" xr:uid="{B737D8F3-6351-4E26-9B62-6E427EF31440}">
      <text>
        <r>
          <rPr>
            <b/>
            <sz val="9"/>
            <color indexed="81"/>
            <rFont val="Segoe UI"/>
            <family val="2"/>
          </rPr>
          <t>Thiago Duarte:</t>
        </r>
        <r>
          <rPr>
            <sz val="9"/>
            <color indexed="81"/>
            <rFont val="Segoe UI"/>
            <family val="2"/>
          </rPr>
          <t xml:space="preserve">
Terminais portuários vão parar até 2025</t>
        </r>
      </text>
    </comment>
    <comment ref="S81" authorId="0" shapeId="0" xr:uid="{B298356D-9079-4B47-A7CC-9D1BCA8AA056}">
      <text>
        <r>
          <rPr>
            <b/>
            <sz val="9"/>
            <color indexed="81"/>
            <rFont val="Segoe UI"/>
            <family val="2"/>
          </rPr>
          <t>Thiago Duarte:</t>
        </r>
        <r>
          <rPr>
            <sz val="9"/>
            <color indexed="81"/>
            <rFont val="Segoe UI"/>
            <family val="2"/>
          </rPr>
          <t xml:space="preserve">
Maturidade das concessões.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6" authorId="0" shapeId="0" xr:uid="{AAFEBD86-6AD3-409A-8B79-B356BF156756}">
      <text>
        <r>
          <rPr>
            <b/>
            <sz val="9"/>
            <color indexed="81"/>
            <rFont val="Segoe UI"/>
            <family val="2"/>
          </rPr>
          <t>Thiago Duarte:</t>
        </r>
        <r>
          <rPr>
            <sz val="9"/>
            <color indexed="81"/>
            <rFont val="Segoe UI"/>
            <family val="2"/>
          </rPr>
          <t xml:space="preserve">
Sem informações claras nos documentos da empresa.</t>
        </r>
      </text>
    </comment>
    <comment ref="U18" authorId="0" shapeId="0" xr:uid="{DC5F79C6-44F7-4B1C-8FB2-C3CA729543E8}">
      <text>
        <r>
          <rPr>
            <b/>
            <sz val="9"/>
            <color indexed="81"/>
            <rFont val="Segoe UI"/>
            <family val="2"/>
          </rPr>
          <t>Thiago Duarte:</t>
        </r>
        <r>
          <rPr>
            <sz val="9"/>
            <color indexed="81"/>
            <rFont val="Segoe UI"/>
            <family val="2"/>
          </rPr>
          <t xml:space="preserve">
Média de 2018 a 2021. Em 2022 tiveram muitas aquisições, que não devem se repetir tão cedo.</t>
        </r>
      </text>
    </comment>
    <comment ref="U28" authorId="0" shapeId="0" xr:uid="{43497309-01FB-42B5-B498-1853447E9AE9}">
      <text>
        <r>
          <rPr>
            <b/>
            <sz val="9"/>
            <color indexed="81"/>
            <rFont val="Segoe UI"/>
            <family val="2"/>
          </rPr>
          <t>Thiago Duarte:</t>
        </r>
        <r>
          <rPr>
            <sz val="9"/>
            <color indexed="81"/>
            <rFont val="Segoe UI"/>
            <family val="2"/>
          </rPr>
          <t xml:space="preserve">
Desde a cessão das concessões para a CS Infra, a CS Brasil é outra empresa. Menor e focada em GTF com motoristas. É dificil projetar o que ela vai virar. Mas não parece ser um foco de crescimento da Simpar. Na call de resultados do 3T22, perguntado, o CEO disse que o crescimento da CS Brasil depende da demanda de empresas públicas. Isso reforça o nossa ideia de baixo investimento. Mantivemos o percentual de 2023, para 2024.</t>
        </r>
      </text>
    </comment>
    <comment ref="S29" authorId="0" shapeId="0" xr:uid="{D5D5D134-624F-475E-8FEE-CDDF9D4C33E6}">
      <text>
        <r>
          <rPr>
            <b/>
            <sz val="9"/>
            <color indexed="81"/>
            <rFont val="Segoe UI"/>
            <family val="2"/>
          </rPr>
          <t>Thiago Duarte:</t>
        </r>
        <r>
          <rPr>
            <sz val="9"/>
            <color indexed="81"/>
            <rFont val="Segoe UI"/>
            <family val="2"/>
          </rPr>
          <t xml:space="preserve">
A Simpar realizou 63% do piso do Guidance para o CAPEX de CS Infra + CS Brasil. Não há abertura dos números, por isso jogamos o valor total como CAPEX da CS Infra.</t>
        </r>
      </text>
    </comment>
    <comment ref="U29" authorId="0" shapeId="0" xr:uid="{B34644D6-7F77-4C5C-AEF3-31B90825A296}">
      <text>
        <r>
          <rPr>
            <b/>
            <sz val="9"/>
            <color indexed="81"/>
            <rFont val="Segoe UI"/>
            <family val="2"/>
          </rPr>
          <t>Thiago Duarte:</t>
        </r>
        <r>
          <rPr>
            <sz val="9"/>
            <color indexed="81"/>
            <rFont val="Segoe UI"/>
            <family val="2"/>
          </rPr>
          <t xml:space="preserve">
Capex por ano projetado para as concessões pela empresa, até 2025. Quando as concessões ficam maduras. </t>
        </r>
      </text>
    </comment>
    <comment ref="V29" authorId="0" shapeId="0" xr:uid="{4300EFDF-3B66-41A7-9973-8CD47A69B6AD}">
      <text>
        <r>
          <rPr>
            <b/>
            <sz val="9"/>
            <color indexed="81"/>
            <rFont val="Segoe UI"/>
            <family val="2"/>
          </rPr>
          <t>Thiago Duarte:</t>
        </r>
        <r>
          <rPr>
            <sz val="9"/>
            <color indexed="81"/>
            <rFont val="Segoe UI"/>
            <family val="2"/>
          </rPr>
          <t xml:space="preserve">
Capex por ano projetado para as concessões pela empresa, até 2025. Quando as concessões ficam maduras. </t>
        </r>
      </text>
    </comment>
    <comment ref="X29" authorId="0" shapeId="0" xr:uid="{D114D4A5-6779-4209-94B6-3ADB10B2CADA}">
      <text>
        <r>
          <rPr>
            <b/>
            <sz val="9"/>
            <color indexed="81"/>
            <rFont val="Segoe UI"/>
            <family val="2"/>
          </rPr>
          <t>Thiago Duarte:</t>
        </r>
        <r>
          <rPr>
            <sz val="9"/>
            <color indexed="81"/>
            <rFont val="Segoe UI"/>
            <family val="2"/>
          </rPr>
          <t xml:space="preserve">
Projetado como % da Receita da empresa igual ao ano de menor investimento, já que uma vez investido o valor mais pesado para atingir a maturidade das concessões, o valor do Capex de manutenção tende a ser menor.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J12" authorId="0" shapeId="0" xr:uid="{D3A308D0-4C41-40D7-A7B1-72A198563DF0}">
      <text>
        <r>
          <rPr>
            <b/>
            <sz val="9"/>
            <color indexed="81"/>
            <rFont val="Segoe UI"/>
            <family val="2"/>
          </rPr>
          <t>Thiago Duarte:</t>
        </r>
        <r>
          <rPr>
            <sz val="9"/>
            <color indexed="81"/>
            <rFont val="Segoe UI"/>
            <family val="2"/>
          </rPr>
          <t xml:space="preserve">
Mantida a de 2022.</t>
        </r>
      </text>
    </comment>
    <comment ref="E33" authorId="0" shapeId="0" xr:uid="{76779DC7-2BF0-4EE5-93E3-E59944494C5F}">
      <text>
        <r>
          <rPr>
            <b/>
            <sz val="9"/>
            <color indexed="81"/>
            <rFont val="Segoe UI"/>
            <family val="2"/>
          </rPr>
          <t>Thiago Duarte:</t>
        </r>
        <r>
          <rPr>
            <sz val="9"/>
            <color indexed="81"/>
            <rFont val="Segoe UI"/>
            <family val="2"/>
          </rPr>
          <t xml:space="preserve">
No 1T20 ocorreu a restruturação do grupo. Os dados não conciliam direito entre DFP e Planilha do RI, o que gera essa pequena diferença para aba DRE+DCF</t>
        </r>
      </text>
    </comment>
  </commentList>
</comments>
</file>

<file path=xl/sharedStrings.xml><?xml version="1.0" encoding="utf-8"?>
<sst xmlns="http://schemas.openxmlformats.org/spreadsheetml/2006/main" count="1020" uniqueCount="541">
  <si>
    <t>Ativo Total</t>
  </si>
  <si>
    <t>Passivo Total</t>
  </si>
  <si>
    <t>Passivo Não Circulante</t>
  </si>
  <si>
    <t>Patrimônio Líquido</t>
  </si>
  <si>
    <t>Ativo Circulante</t>
  </si>
  <si>
    <t>Estoques</t>
  </si>
  <si>
    <t>Ativo Não Circulante</t>
  </si>
  <si>
    <t>Imobilizado</t>
  </si>
  <si>
    <t>Intangível</t>
  </si>
  <si>
    <t>Passivo Circulante</t>
  </si>
  <si>
    <t>Fornecedores</t>
  </si>
  <si>
    <t>Imposto de renda e contribuição social diferidos</t>
  </si>
  <si>
    <t>Receita Líquida</t>
  </si>
  <si>
    <t>Custos das Vendas e Serviços</t>
  </si>
  <si>
    <t>Lucro Bruto</t>
  </si>
  <si>
    <t>Despesas/ Receitas Operacionais</t>
  </si>
  <si>
    <t>EBIT</t>
  </si>
  <si>
    <t>Resultado Financeiro</t>
  </si>
  <si>
    <t>Resultado Antes dos Tributos Sobre o Lucro</t>
  </si>
  <si>
    <t>Resultado Operacional Outros</t>
  </si>
  <si>
    <t>Custo de Capital Próprio (Ke)</t>
  </si>
  <si>
    <t>Custo de Capital de Terceiros (Kd)</t>
  </si>
  <si>
    <t>-</t>
  </si>
  <si>
    <t>WACC</t>
  </si>
  <si>
    <t>NOPAT</t>
  </si>
  <si>
    <t>Taxa de Reinvestimento</t>
  </si>
  <si>
    <t>ROIC</t>
  </si>
  <si>
    <t>Perpetuidade</t>
  </si>
  <si>
    <t>ROIC Perp.</t>
  </si>
  <si>
    <t>Growth</t>
  </si>
  <si>
    <t>(%) da Receita Líquida</t>
  </si>
  <si>
    <t>Imposto de Renda e CSLL</t>
  </si>
  <si>
    <t>Capital de Giro</t>
  </si>
  <si>
    <t>Páginas</t>
  </si>
  <si>
    <t>Dashboard</t>
  </si>
  <si>
    <t>Beta</t>
  </si>
  <si>
    <t>DRE + DCF</t>
  </si>
  <si>
    <t>Balanço Patrimonial</t>
  </si>
  <si>
    <t>Tirar todos os "VULC3" de dentro da célula e linkar com o dashboard</t>
  </si>
  <si>
    <t>Outras Receitas Operacionais</t>
  </si>
  <si>
    <t>Outras Despesas Operacionais</t>
  </si>
  <si>
    <t>Resultado de Equivalência Patrimonial</t>
  </si>
  <si>
    <t>Corrente</t>
  </si>
  <si>
    <t>Diferido</t>
  </si>
  <si>
    <t>Despesas Financeiras</t>
  </si>
  <si>
    <t>Receitas Financeiras</t>
  </si>
  <si>
    <t>Data do Último Resultado:</t>
  </si>
  <si>
    <t>Crescimento da Receita (YoY)¹</t>
  </si>
  <si>
    <t>¹- "YoY", ou "year over year", significa "de um ano pro outro".</t>
  </si>
  <si>
    <t>Margem Líquida</t>
  </si>
  <si>
    <t>Margem EBIT</t>
  </si>
  <si>
    <t>Margem Bruta</t>
  </si>
  <si>
    <t>Ticker</t>
  </si>
  <si>
    <t>Cotação</t>
  </si>
  <si>
    <t>Valor da Ação</t>
  </si>
  <si>
    <t>Ações Emitidas (mil)</t>
  </si>
  <si>
    <t>Valor da Empresa (mil)</t>
  </si>
  <si>
    <t>Dívida (mil)</t>
  </si>
  <si>
    <t>Atribuído a Sócios da Empresa Controladora</t>
  </si>
  <si>
    <t xml:space="preserve"> </t>
  </si>
  <si>
    <t>Pessoal</t>
  </si>
  <si>
    <t>Total:</t>
  </si>
  <si>
    <t>Eventos não recorrentes</t>
  </si>
  <si>
    <t>EBIT recorrente</t>
  </si>
  <si>
    <t>Margem EBIT recorrente</t>
  </si>
  <si>
    <t>EBIT Recorrente</t>
  </si>
  <si>
    <t>Lucro antes do IR Não Recorrente</t>
  </si>
  <si>
    <t>Lucro Antes do IR Recorrente</t>
  </si>
  <si>
    <t>Alíquota Vigente</t>
  </si>
  <si>
    <t>Efeito Fiscal das adiçoes e exclusões permanentes:</t>
  </si>
  <si>
    <t>Aplicações financeiras</t>
  </si>
  <si>
    <t>Juros recebidos</t>
  </si>
  <si>
    <t>Outras receitas financeiras</t>
  </si>
  <si>
    <t>Custos das Vendas e Serviços + Despesas</t>
  </si>
  <si>
    <t>IRPJ e CSLL calculados às aliquotas nominais</t>
  </si>
  <si>
    <t>Lucro (prejuízo) líquido antes de imposto Recorrente e da CSLL</t>
  </si>
  <si>
    <t>Despesas indedutíveis</t>
  </si>
  <si>
    <t>D&amp;A do Arrendamento</t>
  </si>
  <si>
    <t>D&amp;A do Arrendamento como (%) da Receita</t>
  </si>
  <si>
    <t>TIR</t>
  </si>
  <si>
    <t>Remota</t>
  </si>
  <si>
    <t>Tributário</t>
  </si>
  <si>
    <t>Possível</t>
  </si>
  <si>
    <t>Cível</t>
  </si>
  <si>
    <t>Provável</t>
  </si>
  <si>
    <t>Trabalhista</t>
  </si>
  <si>
    <t>Administrativo</t>
  </si>
  <si>
    <t>Valor das Provisões</t>
  </si>
  <si>
    <t>Valor de Perdas Possiveis</t>
  </si>
  <si>
    <t>Valor de Perdas Remotas</t>
  </si>
  <si>
    <t>Tributários</t>
  </si>
  <si>
    <t>Cíveis</t>
  </si>
  <si>
    <t>Trabalhistas</t>
  </si>
  <si>
    <t>Eventos não Recorrentes</t>
  </si>
  <si>
    <t>Premissa</t>
  </si>
  <si>
    <t>Nível de Otimismo (0-5)</t>
  </si>
  <si>
    <t>Crescimento do Capex Bruto (YoY)¹</t>
  </si>
  <si>
    <t>Perdas pela Não Recuperabilidade de Ativos</t>
  </si>
  <si>
    <t>Gráficos</t>
  </si>
  <si>
    <t>Ciclo de Caixa</t>
  </si>
  <si>
    <t>Painel de Índices</t>
  </si>
  <si>
    <t>4º Trimestre</t>
  </si>
  <si>
    <t>3º Trimestre</t>
  </si>
  <si>
    <t>2º Trimestre</t>
  </si>
  <si>
    <t>1º Trimestre</t>
  </si>
  <si>
    <t>D&amp;A de Arrendamento</t>
  </si>
  <si>
    <t>CPV + Despesas Operacionais</t>
  </si>
  <si>
    <t>Payout</t>
  </si>
  <si>
    <t>Dividend Yield (12 meses)</t>
  </si>
  <si>
    <t>Proventos por ação</t>
  </si>
  <si>
    <t>Prazo Médio de Compras</t>
  </si>
  <si>
    <t>Prazo Médio de Estoques</t>
  </si>
  <si>
    <t>Prazo Médio de Recebimento</t>
  </si>
  <si>
    <t>Dívida/(Dívida + Patrimônio Líquido)</t>
  </si>
  <si>
    <t>Dívida/Patrimônio Líquido</t>
  </si>
  <si>
    <t>Dívida/Ativo</t>
  </si>
  <si>
    <t>Cobertura de Juros</t>
  </si>
  <si>
    <t>Divida Líquida/EBITDA</t>
  </si>
  <si>
    <t>Retorno sobre o Ativo (ROA)</t>
  </si>
  <si>
    <t>Retorno sobre o Equity (ROE)</t>
  </si>
  <si>
    <t>Liquidez Imediata</t>
  </si>
  <si>
    <t>Liquidez Seca</t>
  </si>
  <si>
    <t>Liquidez Corrente</t>
  </si>
  <si>
    <t>Liquidez Geral</t>
  </si>
  <si>
    <t>Receita Bruta</t>
  </si>
  <si>
    <t>Deduções</t>
  </si>
  <si>
    <t>IRPJ + CSLL</t>
  </si>
  <si>
    <t>DRE - Contas Abertas</t>
  </si>
  <si>
    <t>Processos</t>
  </si>
  <si>
    <t>Projeções - CG + Capex</t>
  </si>
  <si>
    <t>Desconto</t>
  </si>
  <si>
    <t>Ano</t>
  </si>
  <si>
    <t>Inflação</t>
  </si>
  <si>
    <t>DI</t>
  </si>
  <si>
    <t>CDS</t>
  </si>
  <si>
    <t>Taxa Livre de Risco</t>
  </si>
  <si>
    <t>Prêmio de Risco</t>
  </si>
  <si>
    <t>Projeções - CG + CAPEX</t>
  </si>
  <si>
    <t>Caixa e equivalentes de caixa</t>
  </si>
  <si>
    <t>Contas a receber</t>
  </si>
  <si>
    <t>Tributos a recuperar</t>
  </si>
  <si>
    <t>Imposto de renda e contribuição social a recuperar</t>
  </si>
  <si>
    <t>Ativo imobilizado disponibilizado para venda</t>
  </si>
  <si>
    <t>Despesas antecipadas</t>
  </si>
  <si>
    <t>Adiantamentos a terceiros</t>
  </si>
  <si>
    <t>Outros créditos</t>
  </si>
  <si>
    <t>Depósitos judiciais</t>
  </si>
  <si>
    <t>Floor plan</t>
  </si>
  <si>
    <t>Risco sacado a pagar - montadoras</t>
  </si>
  <si>
    <t>Empréstimos e financiamentos</t>
  </si>
  <si>
    <t>Partes relacionadas</t>
  </si>
  <si>
    <t>Cessão de direitos creditórios</t>
  </si>
  <si>
    <t>Imposto de renda e contribuição social a recolher</t>
  </si>
  <si>
    <t>Tributos a recolher</t>
  </si>
  <si>
    <t>Adiantamentos de clientes</t>
  </si>
  <si>
    <t>Outras contas a pagar</t>
  </si>
  <si>
    <t>Provisão para demandas judiciais e administrativas</t>
  </si>
  <si>
    <t>Reservas de lucros</t>
  </si>
  <si>
    <t>Capital social</t>
  </si>
  <si>
    <t>Custo de Venda de Ativos Desmobilizados</t>
  </si>
  <si>
    <t>Outros resultados abrangentes</t>
  </si>
  <si>
    <t>Lucro das operações descontinuadas, líquido de impostos</t>
  </si>
  <si>
    <t>Resultado Líquido de Operações Continuadas</t>
  </si>
  <si>
    <t>Lucro Líquido do exercício</t>
  </si>
  <si>
    <t>Obrigações sociais e trabalhistas</t>
  </si>
  <si>
    <t>Caixa Operacional</t>
  </si>
  <si>
    <t>Excesso de Caixa</t>
  </si>
  <si>
    <t>Peças, pneus e manutenções</t>
  </si>
  <si>
    <t>Combustíveis e lubrificantes</t>
  </si>
  <si>
    <t>Propaganda e publicidade</t>
  </si>
  <si>
    <t>Energia elétrica</t>
  </si>
  <si>
    <t>Comunicação</t>
  </si>
  <si>
    <t>Viagens, refeições e estadias</t>
  </si>
  <si>
    <t>Despesas tributárias</t>
  </si>
  <si>
    <t>Juros sobre empréstimos, financiamentos e debêntures</t>
  </si>
  <si>
    <t>Despesa total do serviço da dívida</t>
  </si>
  <si>
    <t>Juros passivos</t>
  </si>
  <si>
    <t>Despesas bancárias</t>
  </si>
  <si>
    <t>Outras despesas financeiras</t>
  </si>
  <si>
    <t>Incentivos fiscais – PAT</t>
  </si>
  <si>
    <t>Juros sobre capital próprio</t>
  </si>
  <si>
    <t>Outras adições/exclusões</t>
  </si>
  <si>
    <t>Como % do EBIT Recorrente</t>
  </si>
  <si>
    <t xml:space="preserve">IRPJ + CSLL - Não-Recorrentes </t>
  </si>
  <si>
    <t>IRPJ + CSLL - Não-Recorrentes - Incentivos</t>
  </si>
  <si>
    <t>Como % do EBIT Recorrente sem Incentivos</t>
  </si>
  <si>
    <t>Número</t>
  </si>
  <si>
    <t>Descrição</t>
  </si>
  <si>
    <t>Valor do Processo</t>
  </si>
  <si>
    <t>Chance de Perda</t>
  </si>
  <si>
    <t>Comentário</t>
  </si>
  <si>
    <t>Receita de variação monetária</t>
  </si>
  <si>
    <t>Variação monetária</t>
  </si>
  <si>
    <t>Despesas Tributárias</t>
  </si>
  <si>
    <t>Títulos, valores mobiliários e aplicações financeiras</t>
  </si>
  <si>
    <t>Instrumentos financeiros derivativos</t>
  </si>
  <si>
    <t>Dividendos a receber</t>
  </si>
  <si>
    <t>Títulos. valores mobiliários e aplicações financeiras</t>
  </si>
  <si>
    <t>Ativo de indenização por combinação de negócios</t>
  </si>
  <si>
    <t>Investimentos</t>
  </si>
  <si>
    <t>Debêntures</t>
  </si>
  <si>
    <t>Arrendamentos a pagar</t>
  </si>
  <si>
    <t>Arrendamentos por direito de uso</t>
  </si>
  <si>
    <t>Dividendos e juros sobre capital próprio a pagar</t>
  </si>
  <si>
    <t>Compra de Ações Controlada a Termo</t>
  </si>
  <si>
    <t>Obrigações por aquisições de empresas</t>
  </si>
  <si>
    <t>Aterro sanitário – custo de encerramento</t>
  </si>
  <si>
    <t>Reservas de capital</t>
  </si>
  <si>
    <t>Ações em tesouraria</t>
  </si>
  <si>
    <t>Ajustes de avaliação patrimonial</t>
  </si>
  <si>
    <t>Outros ajustes patrimoniais reflexos de controladas</t>
  </si>
  <si>
    <t>Participações de não controladores</t>
  </si>
  <si>
    <t>Prejuízos Acumulados</t>
  </si>
  <si>
    <t>Custo de venda de veículos novos e usados</t>
  </si>
  <si>
    <t>Custo de venda de veículos novos</t>
  </si>
  <si>
    <t>Custo de venda de veículos usados</t>
  </si>
  <si>
    <t>Custo de venda de peças</t>
  </si>
  <si>
    <t>Custo / despesas com frota</t>
  </si>
  <si>
    <t>Custo de venda de ativos desmobilizados</t>
  </si>
  <si>
    <t>Agregados e terceiros</t>
  </si>
  <si>
    <t>Depreciação e amortização (i)</t>
  </si>
  <si>
    <t>Prestação de serviços</t>
  </si>
  <si>
    <t>Reversão (provisão) de perdas esperadas ("impairment") de contas a receber</t>
  </si>
  <si>
    <t>Provisão para perdas de valor recuperável ("Impairment")</t>
  </si>
  <si>
    <t>Indenizações judiciais</t>
  </si>
  <si>
    <t>Resultado na venda de veículos avariados (ii)</t>
  </si>
  <si>
    <t>Alugueis de imóveis (nota 4.1.(d)) (i)</t>
  </si>
  <si>
    <t>Aluguéis de veículos, máquinas e equipamentos</t>
  </si>
  <si>
    <t>Crédito de impostos extemporâneos</t>
  </si>
  <si>
    <t>Provisão para perdas tributárias ICMS RJ</t>
  </si>
  <si>
    <t>Perdas estimadas com créditos de liquidação duvidosa</t>
  </si>
  <si>
    <t>Material de embalagem</t>
  </si>
  <si>
    <t>Baixa da mais valia de ativo vendido</t>
  </si>
  <si>
    <t>Gasto com infraestrutura das filiais</t>
  </si>
  <si>
    <t>Outros custos</t>
  </si>
  <si>
    <t>Recuperação de PIS e COFINS</t>
  </si>
  <si>
    <t>Telefones</t>
  </si>
  <si>
    <t>Manutenção Predial</t>
  </si>
  <si>
    <t>Impostos, manutenção e conservação de automóveis</t>
  </si>
  <si>
    <t>Equivalência Patrimonial</t>
  </si>
  <si>
    <t>Baixa de crédito de imposto</t>
  </si>
  <si>
    <t>Créditos diferidos constituidos sobre prejuízos fiscais de exercícios anteriores</t>
  </si>
  <si>
    <t>Créditos diferidos não constituídos sobre prejuízos fiscais no exterior</t>
  </si>
  <si>
    <t>Mais valia de combinação de negócios</t>
  </si>
  <si>
    <t>Provisão para desvalorização de investimento</t>
  </si>
  <si>
    <t>Benefícios fiscais não tributáveis (ICMS presumido)</t>
  </si>
  <si>
    <t>Atualização monetária sobre exlcusão do ICMS da base do PIS e COFINS</t>
  </si>
  <si>
    <t>Juros e encargos bancários sobre arrendamento mercantil</t>
  </si>
  <si>
    <t>Juros de risco sacado - montadoras</t>
  </si>
  <si>
    <t>Variação cambial</t>
  </si>
  <si>
    <t>Resultado na apuração dos swaps, líquido</t>
  </si>
  <si>
    <t>Juros de alongamento</t>
  </si>
  <si>
    <t>Juros sobre arrendamento por direito de uso</t>
  </si>
  <si>
    <t>Ganho na liquidação antecipada de swaps</t>
  </si>
  <si>
    <t>IOF</t>
  </si>
  <si>
    <t>Descontos</t>
  </si>
  <si>
    <t>AVP</t>
  </si>
  <si>
    <t>SIMPAR (SIMH3)</t>
  </si>
  <si>
    <t>Despesas Comerciais Gerais e Administrativas</t>
  </si>
  <si>
    <t>Automob</t>
  </si>
  <si>
    <t>CS Brasil</t>
  </si>
  <si>
    <t>CS Infra</t>
  </si>
  <si>
    <t>Ciclus</t>
  </si>
  <si>
    <t>Transcerrados</t>
  </si>
  <si>
    <t>Controladas</t>
  </si>
  <si>
    <t>Total</t>
  </si>
  <si>
    <t>JSL</t>
  </si>
  <si>
    <t>Movida</t>
  </si>
  <si>
    <t>Vamos</t>
  </si>
  <si>
    <t>BBC</t>
  </si>
  <si>
    <t>CAPEX Bruto (Ex empresas de Capital Aberto)</t>
  </si>
  <si>
    <t>D&amp;A do Arrendamento Movida</t>
  </si>
  <si>
    <t>D&amp;A do Arrendamento JSL</t>
  </si>
  <si>
    <t>D&amp;A do Arrendamento Vamos</t>
  </si>
  <si>
    <t>D&amp;A do Arrendamento Ex empresas de capital aberto</t>
  </si>
  <si>
    <t>Imposto de Renda e CSLL Ex empresas de capital aberto</t>
  </si>
  <si>
    <t>Imposto de Renda e CSLL Movida</t>
  </si>
  <si>
    <t>Imposto de Renda e CSLL JSL</t>
  </si>
  <si>
    <t>Imposto de Renda e CSLL Vamos</t>
  </si>
  <si>
    <t>Depreciação &amp; Amortização JSL</t>
  </si>
  <si>
    <t>Depreciação &amp; Amortização Movida</t>
  </si>
  <si>
    <t>Depreciação &amp; Amortização Vamos</t>
  </si>
  <si>
    <t>Depreciação &amp; Amortização Ex empresas de capital aberto</t>
  </si>
  <si>
    <t>∆ Capital de Giro JSL</t>
  </si>
  <si>
    <t>∆ Capital de Giro Movida</t>
  </si>
  <si>
    <t>∆ Capital de Giro Vamos</t>
  </si>
  <si>
    <t>∆ Capital de Giro Ex empresas de capital aberto</t>
  </si>
  <si>
    <t>CAPEX Líquido Ex Empresas de Capital Aberto</t>
  </si>
  <si>
    <t>Alíquota Efetiva Ex Empresas de Capital Aberto</t>
  </si>
  <si>
    <t>SIMH3</t>
  </si>
  <si>
    <t>Empresas de Capital Aberto</t>
  </si>
  <si>
    <t>Alíquota Efetiva</t>
  </si>
  <si>
    <t>NOPAT Ex Empresas de Capital Aberto</t>
  </si>
  <si>
    <t>FCFF Ex Empresas de Capital Aberto</t>
  </si>
  <si>
    <t>FCFF Descontado Ex Empresas de Capital Aberto</t>
  </si>
  <si>
    <t>Holding excluindo empresas de capital aberto</t>
  </si>
  <si>
    <t>Empresa</t>
  </si>
  <si>
    <t>Valor do Equity</t>
  </si>
  <si>
    <t>Participação Simpar</t>
  </si>
  <si>
    <t>Valor da Participação da Simpar</t>
  </si>
  <si>
    <t>Market Cap</t>
  </si>
  <si>
    <t>Valor de mercado da Participação</t>
  </si>
  <si>
    <t>Simpar</t>
  </si>
  <si>
    <t>Fundos para capitalizações de concessionárias</t>
  </si>
  <si>
    <t>% da Receita Bruta</t>
  </si>
  <si>
    <t>EBIT Recorrente Excluindo Empresas de Capital Aberto</t>
  </si>
  <si>
    <t>Margem EBIT Excluindo Empresas de Capital Aberto</t>
  </si>
  <si>
    <t>Ativos/Passivos Não-Operacionais</t>
  </si>
  <si>
    <t>Receita Líquida Ex empresas de capital aberto</t>
  </si>
  <si>
    <t>Eliminações</t>
  </si>
  <si>
    <t>% da Receita</t>
  </si>
  <si>
    <t xml:space="preserve">Custos cálculados com base na média histórica, em cima da Receita Líquida do grupo todo. </t>
  </si>
  <si>
    <t xml:space="preserve">Percentual fixo da Receita Líquida, com base na média histórica. </t>
  </si>
  <si>
    <t>CAGR (2017 a 2022)</t>
  </si>
  <si>
    <t>CAGR (2023 a 2027)</t>
  </si>
  <si>
    <t>Dívida Bruta (R$ Mil)</t>
  </si>
  <si>
    <t>Total Holding</t>
  </si>
  <si>
    <t>D&amp;A do Arrendamento Simpar</t>
  </si>
  <si>
    <t>Depreciação e Amortização Simpar</t>
  </si>
  <si>
    <t>∆ Capital de Giro Simpar</t>
  </si>
  <si>
    <t>D&amp;A do Arrendamento como (%) da Receita das empresas de Capital Fechado</t>
  </si>
  <si>
    <t>ROIC - Simpar Consolidado</t>
  </si>
  <si>
    <t>Crescemos a Receita conforme calendário de maturidade das concessões fornecidos pela Simpar. Daí em diante, crescemos a Receita com a inflação, por se tratarem de concessões com preços regulados.</t>
  </si>
  <si>
    <t>DRE Consolidado</t>
  </si>
  <si>
    <t>Projeções - Receita e EBIT</t>
  </si>
  <si>
    <t xml:space="preserve">  DRE + DCF</t>
  </si>
  <si>
    <t>% EBIT Simpar Capital Fechado</t>
  </si>
  <si>
    <t>Participação da Simpar na Automob</t>
  </si>
  <si>
    <t>CAGR (2018 a 2022)</t>
  </si>
  <si>
    <t>Crescimento com base no CAGR histórico de 2018 a 2022, cuja operação é mais parecida com a atual.</t>
  </si>
  <si>
    <t>Crescimento com o PIB. Difícil projetar Automob agora, depois das últimas aquisições. Por isso, usamos um modelo de crescimento bem conservador.</t>
  </si>
  <si>
    <t>Crescimento com o PIB. Difícil projetar CS Brasil agora, depois das últimas transformações. Por isso, usamos um modelo de crescimento bem conservador.</t>
  </si>
  <si>
    <t>Provisão para créditos de impostos diferidos sobre prejuízos fiscais</t>
  </si>
  <si>
    <t>Compensação de prejuízo fiscal sem constituição de imposto diferido</t>
  </si>
  <si>
    <t>Obrigações a pagar por aquisição de emrpesas</t>
  </si>
  <si>
    <t>Receita Líquida Ex Eliminações</t>
  </si>
  <si>
    <t>% sobre Receita Líquida Ex Eliminações</t>
  </si>
  <si>
    <t>Aquisição SAGAMAR</t>
  </si>
  <si>
    <t>Aquisição Autostar</t>
  </si>
  <si>
    <t>Aquisição Grupo Green</t>
  </si>
  <si>
    <t>Aquisição UAB Motors</t>
  </si>
  <si>
    <t>Capex líquido de Renovação</t>
  </si>
  <si>
    <t>Automob (Aquisições + Bruto de Renovação)</t>
  </si>
  <si>
    <t>Custo de Venda de Ativos</t>
  </si>
  <si>
    <t>Total Capex Líquido</t>
  </si>
  <si>
    <t>0427983-81.2012.8.19.0001</t>
  </si>
  <si>
    <t>O Ministério Público do Estado do Rio de Janeiro ajuizou três ações civis públicas discutindo a aquisição de veículos pela Polícia do Rio de Janeiro com gestão e manutenção de frota (processo 0152872-07.2014.8.19.0001, da 7ª Vara da Fazenda Pública do Rio de Janeiro; processo 0145782-45.2014.8.19.0001, da 13ª Vara da Fazenda Pública do Rio de Janeiro; e processo 0167693-16.2014.8.19.0001, da 9ª Vara da Fazenda Pública do Rio de Janeiro). Sobre o mesmo assunto, foram propostas quatro ações populares pelo Sr. Carlos Fernando dos Santos Azeredo (Processos: 0242335-28.2012.8.19.0001; 0043810-66.2013.8.19.0001; 0427983-81.2012.8.19.0001 e 0136630-70.2014.8.19.0001), as quais foram apensadas para julgamento em conjunto com as ações civis públicas acima referidas. Em todos os casos, a Companhia ratifica que cumpriu todas as suas obrigações contratuais.</t>
  </si>
  <si>
    <t>0152872-07.2014.8.19.0001</t>
  </si>
  <si>
    <t xml:space="preserve">Ação Civil Pública proposta pelo MP, sendo um dos processos apensos ao processo explicado anteiormente. </t>
  </si>
  <si>
    <t>0167693-16.2014.8.19.0001</t>
  </si>
  <si>
    <t xml:space="preserve">Ação Popular, sendo um dos processos apensos ao processo explicado anteiormente. </t>
  </si>
  <si>
    <t>0136630-70.2014.8.19.0001</t>
  </si>
  <si>
    <t xml:space="preserve">Ação Civil Pública, sendo um dos processos apensos ao processo explicado anteiormente. </t>
  </si>
  <si>
    <t>Consequências: Desembolso de caixa e suspensão/invalidação dos contratos discutidos.</t>
  </si>
  <si>
    <t>0315594-41.2015.8.05.0001</t>
  </si>
  <si>
    <t>Trata-se de ação civil pública proposta pelo Ministério Público do Estado da Bahia para discutir suposto ato de improbidade administrativa praticado pela Companhia e outras 27 pessoas, referente a um processo licitatório. O MP, em linhas gerais,
alega a existência de uma organização de pessoas que agiram para fraudar diversas licitações relacionadas à Polícia Militar do Estado da Bahia, em benefício de empresas participantes. A Companhia foi mencionada em uma única licitação
por ela vencida, referente a um contrato de venda de frota para a Polícia Militar do Estado da Bahia, com o fornecimento e manutenção, por 30 meses, de um total de 191 viaturas (“Contrato”).</t>
  </si>
  <si>
    <t>Consequências: Desembolso de caixa, suspensão/invalidação do contrato discutido, restrições ao
exercício de atividades e/ou recebimento de benefícios junto ao Poder Público.</t>
  </si>
  <si>
    <t>0000225-70.2009.8.26.0045</t>
  </si>
  <si>
    <t xml:space="preserve">Trata-se de ação civil pública, na qual se discute o preço do contrato de prestação de serviços de coleta e transporte de resíduos sólidos firmado pela Companhia com o Município de Arujá- SP, alegando que seria superior aos preços praticados por outros Municípios na mesma região </t>
  </si>
  <si>
    <t xml:space="preserve">A JSL alega que o MP não considerou as diferenças de prestação de serviços em cada município. O processo encontra-se em primeira instância, sem sentença, ainda. </t>
  </si>
  <si>
    <t>0009283-48.2007.8.26.0278</t>
  </si>
  <si>
    <t>Trata-se de Ação Popular que tem por objeto o Contrato Emergencial n.º 160/0-A, mantido entre a JSL e a Prefeitura Municipal de Itaquaquecetuba, cujo objeto é a locação de veículos leves e caminhões sem motorista, com manutenção de frota e outras avenças.  O Autor questiona a dispensa de licitação e critica a modalidade da contratação realizada pela Administração Pública, sustentando que a locação de veículos seria mais onerosa aos cofres públicos do que a sua aquisição.</t>
  </si>
  <si>
    <t>O processo já teve decisão do STJ e determinou um ressarcimento parcial aos cofres públicos, cuja estimativa de perda é essa de R$ 1.869.</t>
  </si>
  <si>
    <t>0039632-44.2010.8.26.0564</t>
  </si>
  <si>
    <t>Trata-se de execução por quantia certa, com base em 40 (quarenta) contratos de mútuos no valor originário total de R$ 7.080.915,00, celebrados entre, de um lado e na condição de mutuante, a empresa Selpa, e do outro lado e na condição de mutuaria, a Transportadora Grande ABC Ltda., incorporada pela JSL em 29 de dezembro de 2011. Tais contratos teriam sido celebrados entre 2005 e 2006, antes da aquisição da Transportadora Grande ABC Ltda. pela Companhia.</t>
  </si>
  <si>
    <t>0015304-72.2013.8.26.0361</t>
  </si>
  <si>
    <t xml:space="preserve">Trata-se de Ação Civil Pública que discute o contrato de concessão dos serviços de transporte público coletivo urbano de Mogi das Cruzes. O Ministério Público (“MP”) ajuizou Ação de Responsabilidade Civil por Ato de Improbidade
Administrativa com base em gravação de conversa mantida unicamente entre representantes da empresa Eroles, que na ocasião explorava os serviços de transporte público coletivo de Mogi das Cruzes a título de permissão, com o então
prefeito municipal. Nesta conversa, supostamente teria sido prometido pagamento de quantia ao então prefeito em troca de favorecimento das empresas Júlio Simões Transportes e Serviços Ltda. </t>
  </si>
  <si>
    <t>Consequências: Desembolso de caixa, suspensão/invalidação dos contratos discutidos, restrições
ao exercício de atividades e/ou recebimento de benefícios junto ao Poder Público.</t>
  </si>
  <si>
    <t>0010938-33.2016.4.01.3200</t>
  </si>
  <si>
    <t xml:space="preserve">O Ministério Público Federal (“MPF”) ajuizou seis ações civis públicas por improbidade administrativa decorrente de fatos ocorridos em período anterior à compra da Quick Logística Ltda. pela JSL S.A., movidas contra agentes públicos, despachantes e sociedades empresárias – entre as quais a Quick -, que supostamente estariam envolvidos em um esquema de pagamento indevido de valores para vistoriadores da SUFRAMA para facilitação de ingresso de mercadorias na Zona Franca de Manaus, (processo 10938-33.2016.4.01.3200, processo 10959-09.2016.4.01.3200, processo 11391- 28.2016.4.01.3200, processo 10960-91.2016.4.01.3200, processo 11345-39.2016.4.01.3200 e processo 10939-18.2016.4.01.3200, todos em trâmite na 3ª Vara Federal da Seção Judiciária do Estado
do Amazonas). </t>
  </si>
  <si>
    <t>MPF e a Quick celebraram acordo de não persecução cível para o encerramento das referidas ações, o qual será submetido à homologação judicial nos respectivos processos.</t>
  </si>
  <si>
    <t>0011391-28.2016.4.01.3200</t>
  </si>
  <si>
    <t>Um dos processos apensos ao anterior</t>
  </si>
  <si>
    <t>0010939-18.2016.4.01.3200</t>
  </si>
  <si>
    <t>0010960-91.2016.4.01.3200</t>
  </si>
  <si>
    <t>0011345-39.2016.4.01.3200</t>
  </si>
  <si>
    <t>0010959-09.2016.4.01.3200</t>
  </si>
  <si>
    <t>0206683-08.2016.8.19.0001</t>
  </si>
  <si>
    <t xml:space="preserve">O Ministério Público do Estado do Rio de Janeiro propôs Ação Civil Pública questionando supostas irregularidades relacionadas aos contratos administrativos nos 034/2007, 035/2007, 036/2007 e 037/2007, firmados após regular processo licitatório (Pregão Presencial nº 04/2007), entre o Município do Rio de Janeiro e as empresas Viação Saens Peña S.A, Consórcio Trespan Rio, Breda Transportes e Turismo Rio – EIRELI e Júlio Simões Transportes e Serviços Ltda. (atual JSL), cujo objeto é a prestação de serviços de transportes, com o fornecimento de veículos e mão-de-obra operacional, para o evento esportivo internacional dos Jogos Pan-americanos e Parapan-americanos, sediados na cidade do Rio de Janeiro em 2007, sendo pleiteado em face da JSL S.A. a condenação na devolução aos cofres públicos da quantia de R$ 6.582.655,87, em razão de alegado sobrepreço e inadimplemento parcial do contrato. </t>
  </si>
  <si>
    <t>1007206-52.2021.4.01.3814</t>
  </si>
  <si>
    <t>Trata-se de Ação Civil Pública ajuizada pelo Ministério Público Federal (“MPF”) em face da Companhia, por suposto excesso de peso em seus veículos de transporte de carga (ou de seus contratados), quando trafegavam em rodovias federais.</t>
  </si>
  <si>
    <t>0546979-57.2014.8.05.0001</t>
  </si>
  <si>
    <t>Trata-se de ação civil pública ajuizada pelo Ministério Público do Estado da Bahia, na qual alega irregularidades no edital de licitação do Pregão Presencial nº 076/2014 – que resultou na celebração do Contrato SEMGE nº 056/2014, em virtude de exigências e restrições que alega serem excessivas e indevidas, bem como em razão do suposto caráter genérico do Termo de Referência, que indicava apenas o valor global de cada Secretaria, sem qualquer detalhamento de custos unitários, além de alegar discrepâncias de valores em relação a Contrato anterior, sugerindo sobrepreço.</t>
  </si>
  <si>
    <t>Em defesa, a Pronto Express demonstrou a diferença de objeto e escopo entre os contratos comparados pelo Ministério Público, evidenciando a regularidade da contratação e o atendimento de requisitos legais pela Contratada. O processo se encontra na fase inicial, de modo que não houve prolação de sentença.</t>
  </si>
  <si>
    <t>0005434-42.2009.8.26.0361</t>
  </si>
  <si>
    <t>Trata-se de ação penal, movida contra o Diretor Presidente da controladora da Companhia, Sr. Fernando Antonio Simões e dos Srs. Antonio Alexandre Eroles, Antonio Adriano Eroles e José Carlos Pavanelli pelos mesmos fatos discutidos na ação civil pública processo nº 0015304-72.2013.8.26.0361, reportada abaixo. A denúncia foi recebida em 29 de novembro de 2013. O Sr. Fernando Antonio Simões apresentou resposta prévia à denúncia, rejeitando todas as alegações e acusações apresentadas contra si pelo Ministério Público e requerendo sua absolvição sumária uma vez que jamais participou de qualquer suposto acordo ilícito e pelos demais argumentos descritos no item 4.3 acima mencionado. Em audiência de instrução, o corréu Antonio Alexandre Eroles, em seu interrogatório perante o juízo, negou a participação do Sr. Fernando Antonio Simões em qualquer ato ilícito, desmentindo falsa afirmação anteriormente feita em relação ao mesmo e que deu origem à sua indevida inclusão em ambas as ações. A Ação Penal foi julgada improcedente em primeira instância e o Tribunal de Justiça do Estado de São Paulo, em julgamento realizado no dia 22/10/2020, manteve a improcedência.</t>
  </si>
  <si>
    <t>As principais consequência de uma condenação aqui são: Condenação criminal dos réus e restrição à administração de empresas.</t>
  </si>
  <si>
    <t>0000080-25-2015-5-18-0191</t>
  </si>
  <si>
    <t>Ação Civil Pública, requerendo a antecipação de tutela e a condenação da JSL às seguintes obrigações: (a) consignar em registro mecânico, manual ou sistema eletrônico os horários de entrada, saída e período de repouso efetivamente praticados pelo empregado; (b) respeitar a jornada legal de trabalho pactuada com os seus empregados, observado o limite legal; (c) respeitar o limite de prorrogação legal de 02 horas diárias; (d) remunerar as horas extras com 50%, quando não houver compensação; (e) conceder o descanso semanal remunerado conforme escala de revezamento; (f) compensar ou remunerar em dobro as horas trabalhadas em domingos e feriados; (g) arbitramento de multa de R$ 10.000,00, por dia, para a hipótese de descumprimento; (h) indenização por dano moral coletivo no valor de R$ 2.000.000,00.</t>
  </si>
  <si>
    <t>10003410220175020044</t>
  </si>
  <si>
    <t xml:space="preserve">Ação anulatória, para anular autos de infração lavrados em decorrência de suposta terceirização ilícita. </t>
  </si>
  <si>
    <t xml:space="preserve">O processo já teve sentença procedente. Está pendente de julgamento de recurso interposto pela União. </t>
  </si>
  <si>
    <t>10005763020195020001</t>
  </si>
  <si>
    <t>Idem ao anterior</t>
  </si>
  <si>
    <t>0100759-80.2018.5.01.0262</t>
  </si>
  <si>
    <t>Trata-se de ação civil pública ajuizada pelo Ministério Público do Trabalho visando: (i) declarar inconstitucional o artigo 235-C, caput da CLT, impedindo a prorrogação da jornada diária de trabalho dos motoristas da Companhia além do limite de 2 horas, sem  justificativa legal; (ii) reconhecer a não concessão dos intervalos intrajornada e interjornada, e do descanso semanal remunerado; e (iii) ondenação ao pagamento de dano moral coletivo</t>
  </si>
  <si>
    <t>0010963-36.2021.5.15.0116</t>
  </si>
  <si>
    <t>A presente ação visa a condenação da Companhia ao cumprimento de obrigação de fazer consistente em manter o percentual de empregados previsto no artigo 93 da Lei n.º 8.213/1991, com beneficiários reabilitados ou pessoas portadoras de deficiência,  considerando para o cálculo do percentual a somatória de todos os trabalhadores de todos os estabelecimentos da Ré.</t>
  </si>
  <si>
    <t>10932.000003/2008-41</t>
  </si>
  <si>
    <t>Auto de infração que impõe multa isolada à Transportadora Grande ABC Ltda (empresa esta incorporada pela JSL S.A.) por alegada realização de compensações de débitos de COFINS (de Janeiro a Setembro de 2002 e de Janeiro de 2003 a Dezembro de 2005) e de PIS (de Abril de 2003 a Dezembro de 2005), nos meses de outubro e novembro de 2005 e junho de 2006 de forma indevida, utilizando-se de créditos de terceiros para tanto.</t>
  </si>
  <si>
    <t>10.803.720003/2013-02</t>
  </si>
  <si>
    <t>Auto de infração lavrado (processo administrativo fiscal nº 10.803.720003/2013-02), com a constituição de créditos tributários no valor total de R$ 68.104.480,07 (sessenta e oito milhões, cento e quatro mil, quatrocentos e oitenta reais e sete centavos), incluindo Imposto de Renda Pessoa Jurídica – IRPJ, Contribuição Social sobre o Lucro Líquido – CSLL, contribuição ao PIS e COFINS.</t>
  </si>
  <si>
    <t>10.803.720334/2013-34</t>
  </si>
  <si>
    <t xml:space="preserve">Autos de infração lavrados (processo administrativo fiscal nº 10.803.720334/2013-34), com a constituição de créditos tributários no valor total de R$ 71.197.415,46 (setenta e um milhões, cento e noventa e sete mil, quatrocentos e quinze reais e quarenta e seis centavos), incluindo Imposto de Renda Pessoa Jurídica – IRPJ, Contribuição Social sobre o Lucro Líquido – CSLL, contribuição ao PIS e COFINS </t>
  </si>
  <si>
    <t>19515.720.098/2018-81</t>
  </si>
  <si>
    <t>Trata-se de autos de infração lavrados contra a Companhia , relativos ao exercício de 2013, com a constituição de créditos de contribuição ao PIS e de COFINS.Em apertada síntese, a fiscalização, a partir das declarações apresentadas pela JSL à Receita Federal do Brasil e da documentação contida no procedimento administrativo, refez a apuração da contribuição ao PIS e da COFINS da referida companhia no exercício de 2013, tendo sido apontadas supostas inconsistências.</t>
  </si>
  <si>
    <t>4.117.807-5</t>
  </si>
  <si>
    <t>Trata-se de Auto de Infração por meio do qual foram constituídos em face da JSL supostos créditos tributários de ICMS, sob alegação de creditamento indevido do ICMS incidente na aquisição de bens destinados ao ativo imobilizado (caminhões e semirreboques) que teriam sido dados em locação a terceiros.</t>
  </si>
  <si>
    <t>4.121.117-0</t>
  </si>
  <si>
    <t>4.060.192-4</t>
  </si>
  <si>
    <t>2.081.717-0</t>
  </si>
  <si>
    <t>Auto de Infração, com imposição de crédito de ICMS + multa em decorrência do suposto não pagamento do tributo em razão do diferencial de alíquotas, nas aquisições de máquinas, equipamentos e veículos leves;</t>
  </si>
  <si>
    <t>003603646.2013.4.03.6182</t>
  </si>
  <si>
    <t>Cobrança de supostos débitos de COFINS devidos pela empresa (inscrição em dívida ativa nº 80613015708-20).</t>
  </si>
  <si>
    <t>4.011.801.72704-6</t>
  </si>
  <si>
    <t>Trata-se de auto de infração lavrado por suposta omissão de recolhimento de ICMS, em decorrência da utilização irregular do benefício do LOGPRODUZIR, benefício fiscal concedido pelo Estado de Goiás que consiste na concessão de crédito outorgado do ICMS, incidente sobre as prestações interestaduais de transporte realizadas pela empresa operadora de logística. Processo aguarda julgamento em segunda instância.</t>
  </si>
  <si>
    <t>4.011.900.76996-0</t>
  </si>
  <si>
    <t>Auto de infração, com imposição de crédito de ICMS e encargos em decorrência (i) de pretensa omissão de pagamento de ICMS por conta do suposto indevido aproveitamento de créditos de ICMS sobre aquisições de bens do ativo imobilizado; e (ii) de suposto estorno indevido de débito do imposto.</t>
  </si>
  <si>
    <t>15.746-720.226/2020-36</t>
  </si>
  <si>
    <t xml:space="preserve">Auto de infração porque o Agente Fiscal glosou os créditos a título de contribuição ao PIS e COFINS descontados pela JSL amparado em 2 (duas) premissas: (i) os serviços prestados à JSL teriam sido realizados por pessoas físicas e, ainda, (ii) os serviços prestados não se enquadrariam no conceito de “insumo”, com base na interpretação do Parecer Normativo COSIT/RFB nº 05/2018. </t>
  </si>
  <si>
    <t>1001548-15.2022.8.26.0053</t>
  </si>
  <si>
    <t xml:space="preserve">Ação anulatória que tem por objeto a desconstituição do débito objeto do Auto de Infração nº 4.121.118-2, sob a alegação de suposto creditamento indevido de ICMS decorrente de aquisição de ativo imobilizado, pelo fato de não ter apresentado os CTe’s que demonstrassem a utilização de seus ativos em operações de saídas tributadas (descumprimento de obrigação acessória), razão pela qual presumiu que referidos bens do ativo imobilizado teriam sido utilizados na atividade de locação de bens
para terceiros, ao que teriam sido violados o artigo 66, inciso I, do RICMS/SP e o artigo 20, §1º, da Lei Complementar nº 87/96. </t>
  </si>
  <si>
    <t>000672.2017</t>
  </si>
  <si>
    <t>Trata-se de Notificação Fiscal de Lançamento de Imposto sobre Serviços – ISS, face a prestação de serviços materializadas em notas fiscais emitidas pela Pronto Express Logística S.A. no período de novembro/2012 a novembro/2013.</t>
  </si>
  <si>
    <t>000595.2017</t>
  </si>
  <si>
    <t>5056523-69.2017.8.09.0051</t>
  </si>
  <si>
    <t>Ação Civil Pública. Inobservância ao Estatuto da Pessoa com Deficiência pelo fato de não disponibilizar em sua
frota a cota mínima de carros adaptados.</t>
  </si>
  <si>
    <t>A ação envolve norma que precisa de regulamentação, ainda. A defesa da empresa se sustenta nessa ausencia de regulamentação</t>
  </si>
  <si>
    <t>O Ministério Público do Estado do Rio de Janeiro ajuizou três ações civis públicas discutindo a aquisição de veículos pela Polícia do Rio de Janeiro com gestão e manutenção de frota (processo 0152872-07.2014.8.19.0001, da 7ª Vara da
Fazenda Pública do Rio de Janeiro; processo 0145782-45.2014.8.19.0001, da 13ª Vara da Fazenda Pública do Rio de Janeiro; e processo 0167693-16.2014.8.19.0001, da 9ª Vara da Fazenda Pública do Rio de Janeiro). Sobre o mesmo assunto, foram propostas quatro ações populares pelo Sr. Carlos Fernando dos Santos Azeredo (Processos: 0242335-28.2012.8.19.0001; 0043810-66.2013.8.19.0001; 0427983-81.2012.8.19.0001 e 0136630-70.2014.8.19.0001), as quais foram apensadas para julgamento em conjunto com as ações civis públicas acima referidas. Em todos os casos, a Companhia ratifica que cumpriu todas as suas obrigações contratuais.</t>
  </si>
  <si>
    <t>0242335-28.2012.8.19.0001</t>
  </si>
  <si>
    <t xml:space="preserve">O Ministério Público do Estado do Rio de Janeiro ajuizou três ações civis públicas discutindo a aquisição conforme já relatado no processo da primeira linha. </t>
  </si>
  <si>
    <t xml:space="preserve"> 0145782-45.2014.8.19.0001</t>
  </si>
  <si>
    <t xml:space="preserve"> 0043810-66.2013.8.19.0001</t>
  </si>
  <si>
    <t>O Ministério Público do Estado do Rio de Janeiro ajuizou três ações civis públicas discutindo a aquisição conforme já relatado no processo da primeira linha. Essa é uma das ações popuplares</t>
  </si>
  <si>
    <t xml:space="preserve"> 0034695-44.2013.8.26.0577</t>
  </si>
  <si>
    <t>Trata-se de Ação Popular tendo por objeto discussão a respeito do reajuste tarifário aplicado nos contratos de transporte coletivo urbano do Município de São Jose dos Campos</t>
  </si>
  <si>
    <t>1001512-60.2016.8.26.0577</t>
  </si>
  <si>
    <t>Trata-se de Ação Popular que tem por objeto discussão de reajuste tarifário no serviço de transporte coletivo no Município de São José dos Campos</t>
  </si>
  <si>
    <t>1000098-27.2016.8.26.0577</t>
  </si>
  <si>
    <t>Trata-se de Ação Popular objetivando a anulação do ato (Lei Complementar
Municipal nº. 536, de 28 de abril de 2014), que concedeu isenção temporária
de ISSQN às empresas que operam o serviço de transporte coletivo na cidade, bem como a condenação dos Réus a restituir aos cofres públicos os valores não arrecadados no período, estimados em R$ 15.000.000,00.</t>
  </si>
  <si>
    <t xml:space="preserve"> 0179606-92.2014.8.19.0001</t>
  </si>
  <si>
    <t>Trata-se de Ação Popular que questiona três processos licitatórios para locação de veículos e equipamentos para limpeza urbana realizados pela Comlurb sob os nºs. 698/2013, 073/2014 e 074/2014</t>
  </si>
  <si>
    <t xml:space="preserve"> 0804667-19.2018.4.05.8300</t>
  </si>
  <si>
    <t xml:space="preserve">A Yolanda Logística sagrou-se vencedora em procedimento licitatório, tendo então celebrado, em 25.5.98, contrato de permissão para exploração de serviços públicos de movimentação e armazenagem de cargas em terminal alfandegado, regulado pela Lei nº 9.074/95 e pelo Decreto nº 1.910/96, que estabeleciam o prazo máximo de 10 (dez) anos para a delegação. Ocorre que, em 30.5.03, sobreveio a Lei Federal nº 10.684/03, que introduziu dois novos parágrafos no artigo 1º da Lei nº 9.074/95, os quais determinavam que “o prazo das concessões e permissões de que se trata o inciso VI deste artigo será de vinte e cinco anos, podendo ser prorrogados por dez anos” e que “ao término do prazo, as atuais concessões e permissões, mencionadas no § 2º, incluídas as anteriores à Lei n. 8.987, de 13 de fevereiro de 1995, seriam prorrogadas pelo prazo previsto no § 2º”.   </t>
  </si>
  <si>
    <t xml:space="preserve"> 1015595-42.2019.8.26.0071</t>
  </si>
  <si>
    <t>Inobservância ao Estatuto da Pessoa com Deficiênc</t>
  </si>
  <si>
    <t>0009137-51.2011.4.02.5101</t>
  </si>
  <si>
    <t xml:space="preserve">Trata-se de ação civil pública movida por Universidade Federal Rural do Rio de Janeiro em face de Ciclus Ambiental do Brasil S.A, Município do Rio de Janeiro, Município de Seropédica e Instituto Estadual do Ambiente – INEA.
Pleiteia a autora seja declarada a nulidade do licenciamento ambiental concedido pelo INEA à Central de Tratamento de Resíduos Sólidos Santa Rosa (“CTR Santa Rosa”), localizado no Município de Seropédica, condenando os réus à paralisação definitiva das atividades da CTR, com transferência para áreas adequadas, bem como retirada de todo e qualquer resíduo no local, às expensas das rés. O principal fundamento utilizado é no sentido de que o empreendimento causará danos ao ecossistema daquela região, e que no procedimento de expedição da licença teriam supostas irregularidades. </t>
  </si>
  <si>
    <t xml:space="preserve">Se a Simpar perder esse processo, a Ciclus poderá ter que parar de operar. </t>
  </si>
  <si>
    <t>0190756-70.2014.8.19.0001</t>
  </si>
  <si>
    <t xml:space="preserve">Trata-se de processo relativo à regularidade ambiental da Estação de Transferência de Resíduos (ETR) de Santa Cruz, oriundos da cidade do Rio de Janeiro e destinados ao Aterro Sanitário de Seropédica (CTR RIO), relativos a apuração de supostas irregularidades ambientais ocorridas no licenciamento, instalação e na operação da ETR Santa Cruz. </t>
  </si>
  <si>
    <t>Não há impacto direto a Companhia, em caso de perda, afetará somente a logística da disposição dos resíduos que deverá ser transferida para outro local.</t>
  </si>
  <si>
    <t>0047867-20.2019.8.19.0001</t>
  </si>
  <si>
    <t xml:space="preserve">Trata-se de potencial suspensão de todas as atividades que envolvam recebimento, armazenamento e transferência de resíduos na Estação de Transferência de Resíduos (ETR) de Jacarepaguá, instalada supostamente
em caráter de ilegalidade, até que seja obtida licença ambiental de operação válida e atendidas todas as suas condicionantes, precedida de processo de licenciamento ambiental, no qual seja elaborado EIA/RIMA e realizada audiência pública pelo órgão ambiental competente  </t>
  </si>
  <si>
    <t>Não há impacto</t>
  </si>
  <si>
    <t>627262/2018</t>
  </si>
  <si>
    <t xml:space="preserve">No ano de 2017 a CS Brasil foi surpreendida por uma decisão proferida em recurso administrativo interposto no Pregão Eletrônico n.º 019/2015, onde a empresa foi desclassificada por apresentar certidão negativa de débitos que
não correspondia à certidão original emitida pelo Posto Fiscal da SEFAZ na cidade de Mogi das Cruzes. Após rápida apuração interna, a CS Brasil constatou que um de seus funcionários à época havia alterado o conteúdo
da referida certidão através de montagem em máquina fotocopiadora (apesar da empresa dispor à época de outra certidão que lhe dava plenas condições de participar da referida licitação). O empregado autor do fato foi prontamente despedido por justa causa e a CS Brasil levou o caso ao conhecimento das autoridades competentes, pedindo, inclusive, a instauração de inquérito policial junto à 2º Delegacia de Polícia de Mogi das Cruzes. Após confessar sua conduta e afirmar que agiu por conta própria e
por mero comodismo, o referido funcionário foi denunciado em ação penal e condenado pelo Tribunal de Justiça do Estado de São Paulo. </t>
  </si>
  <si>
    <t xml:space="preserve">Entendemos que não se trata de hipótese de aplicação de qualquer penalidade à CS Brasil, que é vítima dos fatos acima mencionados, porém, na remota hipótese de ser aplicada qualquer penalidade à empresa, caberá recurso ainda no âmbito
administrativo </t>
  </si>
  <si>
    <t xml:space="preserve"> 396/2020</t>
  </si>
  <si>
    <t>Após sagrar-se vencedora do Pregão Eletrônico nº 81/2020 por ter apresentado a proposta com o menor preço, a CS Frotas firmou o Contrato nº 396/2020 com a Alesp, cujo objeto é o fornecimento de 94 (noventa e
quatro) veículos para locação pelo período de 12 (doze) meses. Na mesma data, a Alesp emitiu a ordem de serviço para entrega dos veículos no prazo de 30 (trinta) dias. Imediatamente, a CS Frotas cotou com diversas
montadoras a aquisição dos veículos. Contudo, em razão do impacto da pandemia na indústria automobilística e que perdura até hoje, as montadoras informaram que não poderiam fornecer os veículos até a data aprazada pela Alesp. Por essa razão, a CS Frotas solicitou a prorrogação do prazo de entrega apresentando cronograma com as datas (05/02/2021 e 05/03/2021). Não obstante os argumentos da CS Frotas, a Alesp negou o requerimento de prorrogação do prazo de entrega e rescindiu o contrato. A
CS Frotas apresentou defesa demonstrando que o atraso na entrega não caracterizaria inadimplemento contratual e, muito menos, que a rescisão contratual era a medida mais condizente ao interesse público. Contudo, a Mesa Diretora da Alesp aplicou as seguintes penalidades: i) rescisão contratual; ii) multa correspondente a 30% do valor do contrato e iii) proibição de contratar com a Administração Pública pelo prazo de 2 (dois) anos.</t>
  </si>
  <si>
    <t xml:space="preserve">Trata-se de ação civil pública ajuizada pelo Ministério Público do Trabalho visando: (i) declarar inconstitucional o artigo 235-C, caput da CLT, impedindo a prorrogação da jornada diária de trabalho dos motoristas da Companhia
além do limite de 2 horas, sem justificativa legal; (ii) reconhecer a não concessão dos intervalos intrajornada e interjornada, e do descanso semanal remunerado; e (iii) condenação ao pagamento de dano moral coletivo. </t>
  </si>
  <si>
    <t xml:space="preserve">O Agente Fiscal glosou os créditos a título de contribuição ao PIS e COFINS descontados pela JSL amparado em 2 (duas) premissas: (i) os serviços prestados à JSL teriam sido realizados por pessoas físicas e, ainda, (ii) os serviços prestados não se enquadrariam no conceito de “insumo”, com base na interpretação do Parecer Normativo COSIT/RFB nº 05/2018. </t>
  </si>
  <si>
    <t xml:space="preserve"> 03.620796-7</t>
  </si>
  <si>
    <t>Auto de infração lavrado contra a CS BRASIL, por meio do qual foi constituído crédito tributário de ICMS referente ao período de janeiro de 2016, sob o entendimento equivocado de que a CS BRASIL não faria jus ao crédito de
ICMS acumulado no período autuado, na medida em que não teriam sido localizadas operações de exportação ou quaisquer tipos de saídas isentas ou não tributadas, no período de 2010 a 2016, que a autorizasse a manter
créditos referentes a aquisição de mercadorias para a venda através de saída não tributadas, infringido os artigos 2º, 3º, 33, 34, 35 e 39 da Lei nº 2657/1996.</t>
  </si>
  <si>
    <t>15746-720.070/2020-93</t>
  </si>
  <si>
    <t xml:space="preserve">Autuação em decorrência de divergências de contas, na Parte-B do e-Lalur e do e-LACs relativos ano-calendário de 2017, no montante total de R$ 851.052.060,99. </t>
  </si>
  <si>
    <t>10314-720.075/2020-82 (</t>
  </si>
  <si>
    <t>Auto de infração lavrados contra a MOVIDA, relativos ao exercício de 2016, com a constituição de créditos de contribuição ao PIS e de COFINS nos valores (incluídos os encargos), respectivamente, de R$ 1.738.182,18 (um milhão, setecentos e trinta e oito mil, cento e oitenta e dois reais e dezoito centavos) e de R$ 8.006.319,40 (oito milhões, seis mil, trezentos e dezenove reais e quarenta centavos), totalizando R$ 9.744.501,58 (nove milhões, setecentos e quarenta e quatro mil, quinhentos e um reais e cinquenta e oito centavos).</t>
  </si>
  <si>
    <t>Valor total provisionado</t>
  </si>
  <si>
    <t>Numero de Processos em Unidades</t>
  </si>
  <si>
    <t>Crescimento PIB Real (FMI)</t>
  </si>
  <si>
    <t>Crescimento PIB Nominal</t>
  </si>
  <si>
    <t>% médio do EBIT projetado que vem da Automob</t>
  </si>
  <si>
    <t>Valor da Empresa da Automob baseado no EBIT</t>
  </si>
  <si>
    <t>Dívida Líquida Automob</t>
  </si>
  <si>
    <t>Valor do Equity Automob</t>
  </si>
  <si>
    <t>Valor do Equity da Automob que não pertence à Simpar</t>
  </si>
  <si>
    <t>Portos</t>
  </si>
  <si>
    <t>Despesas com captação</t>
  </si>
  <si>
    <t>Projeções 2023</t>
  </si>
  <si>
    <t>CAGR (2015 a 2022)</t>
  </si>
  <si>
    <t>Inflação Implícita</t>
  </si>
  <si>
    <t>Custo de Construção</t>
  </si>
  <si>
    <t>Juros sobre cessão de direitos creditórios</t>
  </si>
  <si>
    <t>Valor Justo do Equity (R$ Mil)</t>
  </si>
  <si>
    <t>∆ Capital de Giro Ex empresas de capital aberto % da ∆ Capital de Giro do Grupo todo</t>
  </si>
  <si>
    <t>Preço Teto</t>
  </si>
  <si>
    <t>Caixa</t>
  </si>
  <si>
    <t>EBIT Recorrente sem Incentivos</t>
  </si>
  <si>
    <t>Lucro Antes do IR Recorrente sem Incentivos</t>
  </si>
  <si>
    <t>Incentivos Fiscais</t>
  </si>
  <si>
    <t>Ebit Recorrente sem incentivos</t>
  </si>
  <si>
    <t>Margem EBIT recorrente sem Incentivos</t>
  </si>
  <si>
    <t>Holding</t>
  </si>
  <si>
    <t>Desconto de Holding</t>
  </si>
  <si>
    <t>Receita de financiamentos e produtos de créditos concedidos</t>
  </si>
  <si>
    <t>Não tributação sobre incentivos fiscais tratados como subvenção para investimento</t>
  </si>
  <si>
    <t>Participação de não controladores</t>
  </si>
  <si>
    <t>Passivo Judicial Capital Fechado</t>
  </si>
  <si>
    <t>EBITDA</t>
  </si>
  <si>
    <t>Resultado Financeiro Líquido Total</t>
  </si>
  <si>
    <t>Resultado Financeiro Sobre Dívida Líquida</t>
  </si>
  <si>
    <t>FCFF</t>
  </si>
  <si>
    <t>Resultado Financeiro Sobre Variação de Caixa</t>
  </si>
  <si>
    <t>Resultado Financeiro Máximo</t>
  </si>
  <si>
    <t>EBITDA Excluindo Empresas de Capital Aberto</t>
  </si>
  <si>
    <t>EBITDA - A</t>
  </si>
  <si>
    <t>Capital Fechado</t>
  </si>
  <si>
    <t>Dívida Líquida para Covenant dos Bonds</t>
  </si>
  <si>
    <t>Dívida Líquida Para Covenant Local</t>
  </si>
  <si>
    <t>Dívida Líquida Máxima Bonds</t>
  </si>
  <si>
    <t>Dívida Líquida Máxima Local</t>
  </si>
  <si>
    <t>Divida Líquida/EBITDA Local</t>
  </si>
  <si>
    <t>Divida Líquida/EBITDA Bonds</t>
  </si>
  <si>
    <t>Aquisição Best Points</t>
  </si>
  <si>
    <t>Aquisição Grupo Alta</t>
  </si>
  <si>
    <t>Aquisição Nova Quality</t>
  </si>
  <si>
    <t>Compra de ações de controladas a termo sintético</t>
  </si>
  <si>
    <t>YTD 2024</t>
  </si>
  <si>
    <t>YTG2024</t>
  </si>
  <si>
    <t>BRT + CS Mobi Cuiabá</t>
  </si>
  <si>
    <t xml:space="preserve">O EBIT foi igualado aos custos administrativos da holding. </t>
  </si>
  <si>
    <t>YTG 2024E</t>
  </si>
  <si>
    <t>Total Grupo</t>
  </si>
  <si>
    <t xml:space="preserve"> Empresas de Capital Fechado</t>
  </si>
  <si>
    <t>YTD</t>
  </si>
  <si>
    <t>Benefício Fiscal Sudene</t>
  </si>
  <si>
    <t>No periodo de investimentos, fizemos a média de margem entre 2022 e 2023. Depois disso, conforme as concessões maturam, adicionamos 1 p.p. a cada ano. Para 2024 fizemos uma transição entre 2023 e 2025. Tendo em vista que os terminais portuários ficarão fechados até 2026.</t>
  </si>
  <si>
    <t>Voltar aqui para ver crescimento</t>
  </si>
  <si>
    <t>Ciclus Ambiental</t>
  </si>
  <si>
    <t>Atualizado em: 10/05/2024</t>
  </si>
  <si>
    <t>Margem EBITDA</t>
  </si>
  <si>
    <t>1T24</t>
  </si>
  <si>
    <t>2T24</t>
  </si>
  <si>
    <t>3T24</t>
  </si>
  <si>
    <t>4T24</t>
  </si>
  <si>
    <t>1T24E</t>
  </si>
  <si>
    <t>2T24E</t>
  </si>
  <si>
    <t>3T24E</t>
  </si>
  <si>
    <t>4T24E</t>
  </si>
  <si>
    <t>2024E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</si>
</sst>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R$&quot;\ #,##0;\-&quot;R$&quot;\ #,##0"/>
    <numFmt numFmtId="6" formatCode="&quot;R$&quot;\ #,##0;[Red]\-&quot;R$&quot;\ #,##0"/>
    <numFmt numFmtId="7" formatCode="&quot;R$&quot;\ #,##0.00;\-&quot;R$&quot;\ #,##0.00"/>
    <numFmt numFmtId="8" formatCode="&quot;R$&quot;\ #,##0.00;[Red]\-&quot;R$&quot;\ #,##0.00"/>
    <numFmt numFmtId="44" formatCode="_-&quot;R$&quot;\ * #,##0.00_-;\-&quot;R$&quot;\ * #,##0.00_-;_-&quot;R$&quot;\ * &quot;-&quot;??_-;_-@_-"/>
    <numFmt numFmtId="43" formatCode="_-* #,##0.00_-;\-* #,##0.00_-;_-* &quot;-&quot;??_-;_-@_-"/>
    <numFmt numFmtId="164" formatCode="0.0%"/>
    <numFmt numFmtId="165" formatCode="General&quot;E&quot;"/>
    <numFmt numFmtId="166" formatCode="#,##0;\(#,##0\)"/>
    <numFmt numFmtId="167" formatCode="0.0"/>
    <numFmt numFmtId="168" formatCode="#,##0.0"/>
    <numFmt numFmtId="169" formatCode="0.000"/>
    <numFmt numFmtId="170" formatCode="#,##0.000"/>
    <numFmt numFmtId="171" formatCode="#,##0.00;\(#,##0.00\)"/>
    <numFmt numFmtId="172" formatCode="&quot;R$&quot;\ #,##0.00"/>
  </numFmts>
  <fonts count="28">
    <font>
      <sz val="11"/>
      <color theme="1"/>
      <name val="Calibri"/>
      <family val="2"/>
      <scheme val="minor"/>
    </font>
    <font>
      <b/>
      <sz val="11"/>
      <color theme="1"/>
      <name val="Calibri"/>
      <family val="2"/>
      <scheme val="minor"/>
    </font>
    <font>
      <sz val="11"/>
      <color theme="1"/>
      <name val="SF Pro Display"/>
      <family val="3"/>
    </font>
    <font>
      <sz val="11"/>
      <color theme="1"/>
      <name val="Calibri"/>
      <family val="2"/>
      <scheme val="minor"/>
    </font>
    <font>
      <b/>
      <sz val="9"/>
      <color indexed="81"/>
      <name val="Segoe UI"/>
      <family val="2"/>
    </font>
    <font>
      <sz val="9"/>
      <color indexed="81"/>
      <name val="Segoe UI"/>
      <family val="2"/>
    </font>
    <font>
      <sz val="10"/>
      <color rgb="FF000000"/>
      <name val="Arial"/>
      <family val="2"/>
    </font>
    <font>
      <sz val="11"/>
      <color rgb="FF00C556"/>
      <name val="Calibri"/>
      <family val="2"/>
      <scheme val="minor"/>
    </font>
    <font>
      <b/>
      <sz val="22"/>
      <color theme="1" tint="0.249977111117893"/>
      <name val="Calibri"/>
      <family val="2"/>
      <scheme val="minor"/>
    </font>
    <font>
      <b/>
      <sz val="20"/>
      <color theme="1" tint="0.249977111117893"/>
      <name val="Calibri"/>
      <family val="2"/>
      <scheme val="minor"/>
    </font>
    <font>
      <b/>
      <sz val="10"/>
      <color rgb="FFCBCBCB"/>
      <name val="Calibri"/>
      <family val="2"/>
      <scheme val="minor"/>
    </font>
    <font>
      <sz val="11"/>
      <color rgb="FF6B7280"/>
      <name val="Calibri"/>
      <family val="2"/>
      <scheme val="minor"/>
    </font>
    <font>
      <sz val="11"/>
      <color theme="1" tint="0.249977111117893"/>
      <name val="Calibri"/>
      <family val="2"/>
      <scheme val="minor"/>
    </font>
    <font>
      <b/>
      <sz val="11"/>
      <color theme="1" tint="0.249977111117893"/>
      <name val="Calibri"/>
      <family val="2"/>
      <scheme val="minor"/>
    </font>
    <font>
      <b/>
      <sz val="10"/>
      <color theme="1" tint="0.249977111117893"/>
      <name val="Calibri"/>
      <family val="2"/>
      <scheme val="minor"/>
    </font>
    <font>
      <sz val="11"/>
      <color theme="1" tint="0.34998626667073579"/>
      <name val="Calibri"/>
      <family val="2"/>
      <scheme val="minor"/>
    </font>
    <font>
      <sz val="10"/>
      <color theme="1" tint="0.249977111117893"/>
      <name val="Calibri"/>
      <family val="2"/>
      <scheme val="minor"/>
    </font>
    <font>
      <sz val="10"/>
      <color theme="1"/>
      <name val="Calibri"/>
      <family val="2"/>
      <scheme val="minor"/>
    </font>
    <font>
      <sz val="10"/>
      <color rgb="FF00C556"/>
      <name val="Calibri"/>
      <family val="2"/>
      <scheme val="minor"/>
    </font>
    <font>
      <sz val="9"/>
      <color theme="1"/>
      <name val="Calibri"/>
      <family val="2"/>
      <scheme val="minor"/>
    </font>
    <font>
      <b/>
      <sz val="14"/>
      <color theme="1" tint="0.249977111117893"/>
      <name val="Calibri"/>
      <family val="2"/>
      <scheme val="minor"/>
    </font>
    <font>
      <b/>
      <sz val="10"/>
      <name val="Calibri"/>
      <family val="2"/>
      <scheme val="minor"/>
    </font>
    <font>
      <b/>
      <sz val="10"/>
      <color rgb="FF00C556"/>
      <name val="Calibri"/>
      <family val="2"/>
      <scheme val="minor"/>
    </font>
    <font>
      <i/>
      <sz val="10"/>
      <color theme="1" tint="0.249977111117893"/>
      <name val="Calibri"/>
      <family val="2"/>
      <scheme val="minor"/>
    </font>
    <font>
      <sz val="10"/>
      <color rgb="FF000000"/>
      <name val="Calibri"/>
      <family val="2"/>
      <scheme val="minor"/>
    </font>
    <font>
      <i/>
      <sz val="10"/>
      <color rgb="FF434343"/>
      <name val="Calibri"/>
      <family val="2"/>
      <scheme val="minor"/>
    </font>
    <font>
      <sz val="8"/>
      <name val="Calibri"/>
      <family val="2"/>
      <scheme val="minor"/>
    </font>
    <font>
      <sz val="1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9FBFD"/>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s>
  <borders count="67">
    <border>
      <left/>
      <right/>
      <top/>
      <bottom/>
      <diagonal/>
    </border>
    <border>
      <left/>
      <right style="thin">
        <color rgb="FFE5E7EB"/>
      </right>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medium">
        <color rgb="FFE5E7EB"/>
      </left>
      <right/>
      <top/>
      <bottom style="thin">
        <color rgb="FFE5E7EB"/>
      </bottom>
      <diagonal/>
    </border>
    <border>
      <left style="medium">
        <color rgb="FFE5E7EB"/>
      </left>
      <right/>
      <top/>
      <bottom/>
      <diagonal/>
    </border>
    <border>
      <left/>
      <right style="medium">
        <color rgb="FFE5E7EB"/>
      </right>
      <top/>
      <bottom/>
      <diagonal/>
    </border>
    <border>
      <left style="medium">
        <color rgb="FFE5E7EB"/>
      </left>
      <right/>
      <top style="thin">
        <color rgb="FFE5E7EB"/>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bottom style="thin">
        <color rgb="FFE5E7EB"/>
      </bottom>
      <diagonal/>
    </border>
    <border>
      <left style="medium">
        <color rgb="FFE5E7EB"/>
      </left>
      <right style="thin">
        <color rgb="FFE5E7EB"/>
      </right>
      <top/>
      <bottom style="thin">
        <color rgb="FFE5E7EB"/>
      </bottom>
      <diagonal/>
    </border>
    <border>
      <left style="thin">
        <color rgb="FFE5E7EB"/>
      </left>
      <right style="medium">
        <color rgb="FFE5E7EB"/>
      </right>
      <top style="thin">
        <color rgb="FFE5E7EB"/>
      </top>
      <bottom style="thin">
        <color rgb="FFE5E7EB"/>
      </bottom>
      <diagonal/>
    </border>
    <border>
      <left style="medium">
        <color rgb="FFE5E7EB"/>
      </left>
      <right style="thin">
        <color rgb="FFE5E7EB"/>
      </right>
      <top style="thin">
        <color rgb="FFE5E7EB"/>
      </top>
      <bottom style="thin">
        <color rgb="FFE5E7EB"/>
      </bottom>
      <diagonal/>
    </border>
    <border>
      <left style="medium">
        <color rgb="FFE5E7EB"/>
      </left>
      <right style="thin">
        <color rgb="FFE5E7EB"/>
      </right>
      <top/>
      <bottom/>
      <diagonal/>
    </border>
    <border>
      <left style="medium">
        <color rgb="FFE5E7EB"/>
      </left>
      <right style="thin">
        <color theme="2"/>
      </right>
      <top/>
      <bottom style="thin">
        <color rgb="FFE5E7EB"/>
      </bottom>
      <diagonal/>
    </border>
    <border>
      <left style="medium">
        <color rgb="FFE5E7EB"/>
      </left>
      <right style="thin">
        <color theme="2"/>
      </right>
      <top style="thin">
        <color rgb="FFE5E7EB"/>
      </top>
      <bottom style="medium">
        <color rgb="FFE5E7EB"/>
      </bottom>
      <diagonal/>
    </border>
    <border>
      <left/>
      <right style="thin">
        <color rgb="FFE5E7EB"/>
      </right>
      <top style="thin">
        <color rgb="FFE5E7EB"/>
      </top>
      <bottom style="medium">
        <color rgb="FFE5E7EB"/>
      </bottom>
      <diagonal/>
    </border>
    <border>
      <left style="medium">
        <color rgb="FFE5E7EB"/>
      </left>
      <right style="thin">
        <color theme="2"/>
      </right>
      <top style="thin">
        <color rgb="FFE5E7EB"/>
      </top>
      <bottom style="thin">
        <color rgb="FFE5E7EB"/>
      </bottom>
      <diagonal/>
    </border>
    <border>
      <left/>
      <right/>
      <top/>
      <bottom style="thin">
        <color theme="0" tint="-0.14999847407452621"/>
      </bottom>
      <diagonal/>
    </border>
    <border>
      <left/>
      <right style="medium">
        <color theme="2"/>
      </right>
      <top/>
      <bottom/>
      <diagonal/>
    </border>
    <border>
      <left/>
      <right style="medium">
        <color theme="0" tint="-0.14999847407452621"/>
      </right>
      <top/>
      <bottom/>
      <diagonal/>
    </border>
    <border>
      <left/>
      <right/>
      <top style="thin">
        <color theme="2"/>
      </top>
      <bottom/>
      <diagonal/>
    </border>
    <border>
      <left/>
      <right/>
      <top/>
      <bottom style="thin">
        <color theme="2"/>
      </bottom>
      <diagonal/>
    </border>
    <border>
      <left style="thin">
        <color theme="0" tint="-0.249977111117893"/>
      </left>
      <right/>
      <top/>
      <bottom/>
      <diagonal/>
    </border>
    <border>
      <left style="medium">
        <color theme="0"/>
      </left>
      <right/>
      <top/>
      <bottom/>
      <diagonal/>
    </border>
    <border>
      <left style="thin">
        <color rgb="FFE5E7EB"/>
      </left>
      <right style="medium">
        <color theme="2"/>
      </right>
      <top style="thin">
        <color rgb="FFE5E7EB"/>
      </top>
      <bottom style="thin">
        <color rgb="FFE5E7EB"/>
      </bottom>
      <diagonal/>
    </border>
    <border>
      <left/>
      <right style="medium">
        <color theme="2"/>
      </right>
      <top style="thin">
        <color rgb="FFE5E7EB"/>
      </top>
      <bottom style="thin">
        <color rgb="FFE5E7EB"/>
      </bottom>
      <diagonal/>
    </border>
    <border>
      <left style="thin">
        <color rgb="FFE5E7EB"/>
      </left>
      <right style="medium">
        <color theme="2"/>
      </right>
      <top/>
      <bottom/>
      <diagonal/>
    </border>
    <border>
      <left style="thin">
        <color rgb="FFE5E7EB"/>
      </left>
      <right style="thin">
        <color theme="2"/>
      </right>
      <top/>
      <bottom style="thin">
        <color rgb="FFE5E7EB"/>
      </bottom>
      <diagonal/>
    </border>
    <border>
      <left style="medium">
        <color theme="2"/>
      </left>
      <right style="thin">
        <color rgb="FFE5E7EB"/>
      </right>
      <top/>
      <bottom style="thin">
        <color rgb="FFE5E7EB"/>
      </bottom>
      <diagonal/>
    </border>
    <border>
      <left style="thin">
        <color theme="2"/>
      </left>
      <right style="thin">
        <color theme="2"/>
      </right>
      <top style="thin">
        <color rgb="FFE5E7EB"/>
      </top>
      <bottom style="thin">
        <color rgb="FFE5E7EB"/>
      </bottom>
      <diagonal/>
    </border>
    <border>
      <left style="medium">
        <color theme="2"/>
      </left>
      <right/>
      <top/>
      <bottom/>
      <diagonal/>
    </border>
    <border>
      <left/>
      <right style="medium">
        <color theme="2"/>
      </right>
      <top style="thin">
        <color rgb="FFE5E7EB"/>
      </top>
      <bottom/>
      <diagonal/>
    </border>
    <border>
      <left style="thin">
        <color theme="2"/>
      </left>
      <right/>
      <top style="thin">
        <color rgb="FFE5E7EB"/>
      </top>
      <bottom style="thin">
        <color rgb="FFE5E7EB"/>
      </bottom>
      <diagonal/>
    </border>
    <border>
      <left/>
      <right style="thin">
        <color theme="2"/>
      </right>
      <top style="thin">
        <color rgb="FFE5E7EB"/>
      </top>
      <bottom style="thin">
        <color rgb="FFE5E7EB"/>
      </bottom>
      <diagonal/>
    </border>
    <border>
      <left style="thin">
        <color rgb="FFE5E7EB"/>
      </left>
      <right style="thin">
        <color theme="2"/>
      </right>
      <top style="thin">
        <color rgb="FFE5E7EB"/>
      </top>
      <bottom style="thin">
        <color rgb="FFE5E7EB"/>
      </bottom>
      <diagonal/>
    </border>
    <border>
      <left/>
      <right style="thin">
        <color theme="2"/>
      </right>
      <top/>
      <bottom/>
      <diagonal/>
    </border>
    <border>
      <left style="medium">
        <color theme="0"/>
      </left>
      <right style="thin">
        <color theme="2"/>
      </right>
      <top style="medium">
        <color theme="0"/>
      </top>
      <bottom/>
      <diagonal/>
    </border>
    <border>
      <left style="medium">
        <color theme="0"/>
      </left>
      <right style="thin">
        <color theme="2"/>
      </right>
      <top/>
      <bottom/>
      <diagonal/>
    </border>
    <border>
      <left style="medium">
        <color rgb="FFE5E7EB"/>
      </left>
      <right style="thin">
        <color theme="6" tint="0.59999389629810485"/>
      </right>
      <top/>
      <bottom/>
      <diagonal/>
    </border>
    <border>
      <left style="medium">
        <color rgb="FFE5E7EB"/>
      </left>
      <right style="thin">
        <color theme="6" tint="0.59999389629810485"/>
      </right>
      <top style="thin">
        <color rgb="FFE5E7EB"/>
      </top>
      <bottom style="thin">
        <color rgb="FFE5E7EB"/>
      </bottom>
      <diagonal/>
    </border>
    <border>
      <left style="medium">
        <color rgb="FFE5E7EB"/>
      </left>
      <right style="thin">
        <color theme="6" tint="0.59999389629810485"/>
      </right>
      <top style="thin">
        <color rgb="FFE5E7EB"/>
      </top>
      <bottom style="medium">
        <color theme="2"/>
      </bottom>
      <diagonal/>
    </border>
    <border>
      <left/>
      <right style="thin">
        <color rgb="FFE5E7EB"/>
      </right>
      <top style="thin">
        <color rgb="FFE5E7EB"/>
      </top>
      <bottom style="medium">
        <color theme="2"/>
      </bottom>
      <diagonal/>
    </border>
    <border>
      <left/>
      <right style="medium">
        <color theme="2"/>
      </right>
      <top style="thin">
        <color rgb="FFE5E7EB"/>
      </top>
      <bottom style="medium">
        <color theme="2"/>
      </bottom>
      <diagonal/>
    </border>
    <border>
      <left/>
      <right/>
      <top style="medium">
        <color theme="2"/>
      </top>
      <bottom/>
      <diagonal/>
    </border>
    <border>
      <left/>
      <right style="thin">
        <color rgb="FFE5E7EB"/>
      </right>
      <top style="thin">
        <color rgb="FFE5E7EB"/>
      </top>
      <bottom/>
      <diagonal/>
    </border>
    <border>
      <left style="thin">
        <color rgb="FFE5E7EB"/>
      </left>
      <right style="medium">
        <color theme="2"/>
      </right>
      <top style="thin">
        <color rgb="FFE5E7EB"/>
      </top>
      <bottom/>
      <diagonal/>
    </border>
    <border>
      <left style="medium">
        <color theme="2"/>
      </left>
      <right style="thin">
        <color rgb="FFE5E7EB"/>
      </right>
      <top style="thin">
        <color rgb="FFE5E7EB"/>
      </top>
      <bottom/>
      <diagonal/>
    </border>
    <border>
      <left style="thin">
        <color rgb="FFE5E7EB"/>
      </left>
      <right style="medium">
        <color rgb="FFE5E7EB"/>
      </right>
      <top style="thin">
        <color rgb="FFE5E7EB"/>
      </top>
      <bottom/>
      <diagonal/>
    </border>
    <border>
      <left style="medium">
        <color rgb="FFE5E7EB"/>
      </left>
      <right/>
      <top style="thin">
        <color rgb="FFE5E7EB"/>
      </top>
      <bottom/>
      <diagonal/>
    </border>
    <border>
      <left style="medium">
        <color rgb="FFE5E7EB"/>
      </left>
      <right style="thin">
        <color theme="2"/>
      </right>
      <top/>
      <bottom/>
      <diagonal/>
    </border>
    <border>
      <left style="medium">
        <color rgb="FFE5E7EB"/>
      </left>
      <right style="thin">
        <color theme="2"/>
      </right>
      <top style="thin">
        <color theme="2"/>
      </top>
      <bottom style="medium">
        <color theme="2"/>
      </bottom>
      <diagonal/>
    </border>
    <border>
      <left style="thin">
        <color theme="2"/>
      </left>
      <right/>
      <top/>
      <bottom style="thin">
        <color rgb="FFE5E7EB"/>
      </bottom>
      <diagonal/>
    </border>
    <border>
      <left style="medium">
        <color rgb="FFE5E7EB"/>
      </left>
      <right style="thin">
        <color theme="2"/>
      </right>
      <top style="thin">
        <color rgb="FFE5E7EB"/>
      </top>
      <bottom style="medium">
        <color theme="2"/>
      </bottom>
      <diagonal/>
    </border>
    <border>
      <left style="thin">
        <color rgb="FFE5E7EB"/>
      </left>
      <right style="thin">
        <color rgb="FFE5E7EB"/>
      </right>
      <top style="thin">
        <color rgb="FFE5E7EB"/>
      </top>
      <bottom style="medium">
        <color theme="2"/>
      </bottom>
      <diagonal/>
    </border>
    <border>
      <left style="medium">
        <color theme="2"/>
      </left>
      <right style="medium">
        <color theme="2"/>
      </right>
      <top/>
      <bottom/>
      <diagonal/>
    </border>
    <border>
      <left style="medium">
        <color rgb="FFE5E7EB"/>
      </left>
      <right style="thin">
        <color theme="2"/>
      </right>
      <top style="thin">
        <color rgb="FFE5E7EB"/>
      </top>
      <bottom/>
      <diagonal/>
    </border>
    <border>
      <left/>
      <right/>
      <top style="thin">
        <color theme="2"/>
      </top>
      <bottom style="medium">
        <color theme="2"/>
      </bottom>
      <diagonal/>
    </border>
    <border>
      <left/>
      <right style="thin">
        <color rgb="FFE5E7EB"/>
      </right>
      <top style="thin">
        <color theme="2"/>
      </top>
      <bottom style="medium">
        <color theme="2"/>
      </bottom>
      <diagonal/>
    </border>
    <border>
      <left style="thin">
        <color rgb="FFE5E7EB"/>
      </left>
      <right style="thin">
        <color theme="2"/>
      </right>
      <top style="thin">
        <color rgb="FFE5E7EB"/>
      </top>
      <bottom style="medium">
        <color rgb="FFE5E7EB"/>
      </bottom>
      <diagonal/>
    </border>
    <border>
      <left/>
      <right style="medium">
        <color rgb="FFE5E7EB"/>
      </right>
      <top style="thin">
        <color rgb="FFE5E7EB"/>
      </top>
      <bottom style="medium">
        <color rgb="FFE5E7EB"/>
      </bottom>
      <diagonal/>
    </border>
    <border>
      <left style="medium">
        <color theme="2"/>
      </left>
      <right style="medium">
        <color rgb="FFE5E7EB"/>
      </right>
      <top/>
      <bottom/>
      <diagonal/>
    </border>
    <border>
      <left style="medium">
        <color theme="2"/>
      </left>
      <right style="thin">
        <color rgb="FFE5E7EB"/>
      </right>
      <top style="medium">
        <color theme="2"/>
      </top>
      <bottom/>
      <diagonal/>
    </border>
    <border>
      <left style="medium">
        <color theme="2"/>
      </left>
      <right style="thin">
        <color rgb="FFE5E7EB"/>
      </right>
      <top style="thin">
        <color theme="2"/>
      </top>
      <bottom/>
      <diagonal/>
    </border>
    <border>
      <left style="thin">
        <color rgb="FFE5E7EB"/>
      </left>
      <right style="medium">
        <color theme="2"/>
      </right>
      <top style="medium">
        <color theme="2"/>
      </top>
      <bottom style="thin">
        <color theme="2"/>
      </bottom>
      <diagonal/>
    </border>
  </borders>
  <cellStyleXfs count="5">
    <xf numFmtId="0" fontId="0" fillId="0" borderId="0"/>
    <xf numFmtId="9" fontId="3" fillId="0" borderId="0" applyFont="0" applyFill="0" applyBorder="0" applyAlignment="0" applyProtection="0"/>
    <xf numFmtId="0" fontId="6" fillId="0" borderId="0"/>
    <xf numFmtId="43" fontId="3" fillId="0" borderId="0" applyFont="0" applyFill="0" applyBorder="0" applyAlignment="0" applyProtection="0"/>
    <xf numFmtId="44" fontId="3" fillId="0" borderId="0" applyFont="0" applyFill="0" applyBorder="0" applyAlignment="0" applyProtection="0"/>
  </cellStyleXfs>
  <cellXfs count="409">
    <xf numFmtId="0" fontId="0" fillId="0" borderId="0" xfId="0"/>
    <xf numFmtId="0" fontId="1" fillId="0" borderId="0" xfId="0" applyFont="1" applyAlignment="1">
      <alignment vertical="center"/>
    </xf>
    <xf numFmtId="0" fontId="2" fillId="0" borderId="0" xfId="0" applyFont="1"/>
    <xf numFmtId="0" fontId="0" fillId="0" borderId="1" xfId="0" applyBorder="1" applyAlignment="1">
      <alignment vertical="center"/>
    </xf>
    <xf numFmtId="0" fontId="0" fillId="3" borderId="0" xfId="0" applyFill="1" applyAlignment="1">
      <alignment vertical="center"/>
    </xf>
    <xf numFmtId="0" fontId="0" fillId="0" borderId="0" xfId="0" applyAlignment="1">
      <alignment vertical="center"/>
    </xf>
    <xf numFmtId="0" fontId="8" fillId="3" borderId="0" xfId="0" applyFont="1" applyFill="1" applyAlignment="1">
      <alignment vertical="center"/>
    </xf>
    <xf numFmtId="0" fontId="8" fillId="3" borderId="0" xfId="0" applyFont="1" applyFill="1"/>
    <xf numFmtId="0" fontId="8" fillId="3" borderId="0" xfId="0" applyFont="1" applyFill="1" applyAlignment="1">
      <alignment horizontal="center" vertical="center"/>
    </xf>
    <xf numFmtId="0" fontId="10" fillId="0" borderId="1" xfId="0" applyFont="1" applyBorder="1" applyAlignment="1">
      <alignment horizontal="left" vertical="center" indent="2"/>
    </xf>
    <xf numFmtId="0" fontId="0" fillId="3" borderId="0" xfId="0" applyFill="1" applyAlignment="1">
      <alignment horizontal="left" vertical="center"/>
    </xf>
    <xf numFmtId="0" fontId="0" fillId="0" borderId="0" xfId="0" applyAlignment="1">
      <alignment horizontal="left" vertical="center"/>
    </xf>
    <xf numFmtId="0" fontId="11" fillId="0" borderId="1" xfId="0" applyFont="1" applyBorder="1" applyAlignment="1">
      <alignment horizontal="left" vertical="center" indent="2"/>
    </xf>
    <xf numFmtId="0" fontId="12" fillId="2" borderId="6" xfId="0" applyFont="1" applyFill="1" applyBorder="1" applyAlignment="1">
      <alignment vertical="center"/>
    </xf>
    <xf numFmtId="0" fontId="12" fillId="2" borderId="0" xfId="0" applyFont="1" applyFill="1" applyAlignment="1">
      <alignment horizontal="right" vertical="center"/>
    </xf>
    <xf numFmtId="0" fontId="12" fillId="2" borderId="7" xfId="0" applyFont="1" applyFill="1" applyBorder="1" applyAlignment="1">
      <alignment vertical="center"/>
    </xf>
    <xf numFmtId="0" fontId="13" fillId="2" borderId="15" xfId="0" applyFont="1" applyFill="1" applyBorder="1" applyAlignment="1">
      <alignment horizontal="left" vertical="center" indent="2"/>
    </xf>
    <xf numFmtId="0" fontId="7" fillId="2" borderId="0" xfId="0" applyFont="1" applyFill="1" applyAlignment="1">
      <alignment horizontal="right" vertical="center"/>
    </xf>
    <xf numFmtId="10" fontId="14" fillId="2" borderId="0" xfId="0" applyNumberFormat="1" applyFont="1" applyFill="1" applyAlignment="1">
      <alignment horizontal="center" vertical="center"/>
    </xf>
    <xf numFmtId="3" fontId="12" fillId="2" borderId="0" xfId="0" applyNumberFormat="1" applyFont="1" applyFill="1" applyAlignment="1">
      <alignment vertical="center"/>
    </xf>
    <xf numFmtId="0" fontId="12" fillId="2" borderId="0" xfId="0" applyFont="1" applyFill="1" applyAlignment="1">
      <alignment horizontal="left" vertical="center" indent="4"/>
    </xf>
    <xf numFmtId="5" fontId="0" fillId="3" borderId="0" xfId="0" applyNumberFormat="1" applyFill="1" applyAlignment="1">
      <alignment vertical="center"/>
    </xf>
    <xf numFmtId="0" fontId="12" fillId="2" borderId="15" xfId="0" applyFont="1" applyFill="1" applyBorder="1" applyAlignment="1">
      <alignment horizontal="left" vertical="center" indent="4"/>
    </xf>
    <xf numFmtId="5" fontId="12" fillId="2" borderId="0" xfId="0" applyNumberFormat="1" applyFont="1" applyFill="1" applyAlignment="1">
      <alignment vertical="center"/>
    </xf>
    <xf numFmtId="6" fontId="12" fillId="2" borderId="0" xfId="0" applyNumberFormat="1" applyFont="1" applyFill="1" applyAlignment="1">
      <alignment vertical="center"/>
    </xf>
    <xf numFmtId="8" fontId="13" fillId="2" borderId="0" xfId="0" applyNumberFormat="1" applyFont="1" applyFill="1" applyAlignment="1">
      <alignment vertical="center"/>
    </xf>
    <xf numFmtId="8" fontId="15" fillId="2" borderId="0" xfId="0" applyNumberFormat="1" applyFont="1" applyFill="1" applyAlignment="1">
      <alignment vertical="center" wrapText="1"/>
    </xf>
    <xf numFmtId="9" fontId="13" fillId="2" borderId="0" xfId="0" applyNumberFormat="1" applyFont="1" applyFill="1" applyAlignment="1">
      <alignment vertical="center"/>
    </xf>
    <xf numFmtId="10" fontId="14" fillId="2" borderId="7" xfId="0" applyNumberFormat="1" applyFont="1" applyFill="1" applyBorder="1" applyAlignment="1">
      <alignment horizontal="center" vertical="center"/>
    </xf>
    <xf numFmtId="0" fontId="0" fillId="2" borderId="6" xfId="0" applyFill="1" applyBorder="1" applyAlignment="1">
      <alignment horizontal="left" vertical="center"/>
    </xf>
    <xf numFmtId="0" fontId="0" fillId="2" borderId="0" xfId="0" applyFill="1" applyAlignment="1">
      <alignment horizontal="left" vertical="center"/>
    </xf>
    <xf numFmtId="0" fontId="0" fillId="2" borderId="7" xfId="0" applyFill="1" applyBorder="1" applyAlignment="1">
      <alignment horizontal="left" vertical="center"/>
    </xf>
    <xf numFmtId="0" fontId="0" fillId="3" borderId="4" xfId="0" applyFill="1" applyBorder="1" applyAlignment="1">
      <alignment vertical="center"/>
    </xf>
    <xf numFmtId="0" fontId="7" fillId="0" borderId="1" xfId="0" applyFont="1" applyBorder="1" applyAlignment="1">
      <alignment horizontal="left" vertical="center" indent="2"/>
    </xf>
    <xf numFmtId="0" fontId="0" fillId="3" borderId="23" xfId="0" applyFill="1" applyBorder="1" applyAlignment="1">
      <alignment vertical="center"/>
    </xf>
    <xf numFmtId="0" fontId="16" fillId="2" borderId="5" xfId="0" applyFont="1" applyFill="1" applyBorder="1" applyAlignment="1">
      <alignment horizontal="left" vertical="center" indent="2"/>
    </xf>
    <xf numFmtId="0" fontId="16" fillId="2" borderId="2" xfId="0" applyFont="1" applyFill="1" applyBorder="1" applyAlignment="1">
      <alignment vertical="center"/>
    </xf>
    <xf numFmtId="0" fontId="14" fillId="2" borderId="1" xfId="0" applyFont="1" applyFill="1" applyBorder="1" applyAlignment="1">
      <alignment horizontal="center" vertical="center"/>
    </xf>
    <xf numFmtId="165" fontId="14" fillId="2" borderId="1" xfId="0" applyNumberFormat="1" applyFont="1" applyFill="1" applyBorder="1" applyAlignment="1">
      <alignment horizontal="center" vertical="center"/>
    </xf>
    <xf numFmtId="0" fontId="17" fillId="3" borderId="0" xfId="0" applyFont="1" applyFill="1" applyAlignment="1">
      <alignment horizontal="left" vertical="center"/>
    </xf>
    <xf numFmtId="3" fontId="14" fillId="2" borderId="9" xfId="0" applyNumberFormat="1" applyFont="1" applyFill="1" applyBorder="1" applyAlignment="1">
      <alignment horizontal="center" vertical="center"/>
    </xf>
    <xf numFmtId="3" fontId="14" fillId="2" borderId="27" xfId="0" applyNumberFormat="1" applyFont="1" applyFill="1" applyBorder="1" applyAlignment="1">
      <alignment horizontal="center" vertical="center"/>
    </xf>
    <xf numFmtId="166" fontId="16" fillId="2" borderId="9" xfId="0" applyNumberFormat="1" applyFont="1" applyFill="1" applyBorder="1" applyAlignment="1">
      <alignment horizontal="center" vertical="center"/>
    </xf>
    <xf numFmtId="0" fontId="17" fillId="3" borderId="0" xfId="0" applyFont="1" applyFill="1" applyAlignment="1">
      <alignment vertical="center"/>
    </xf>
    <xf numFmtId="164" fontId="16" fillId="2" borderId="9" xfId="0" applyNumberFormat="1" applyFont="1" applyFill="1" applyBorder="1" applyAlignment="1">
      <alignment horizontal="center" vertical="center"/>
    </xf>
    <xf numFmtId="166" fontId="16" fillId="2" borderId="27" xfId="0" applyNumberFormat="1" applyFont="1" applyFill="1" applyBorder="1" applyAlignment="1">
      <alignment horizontal="center" vertical="center"/>
    </xf>
    <xf numFmtId="166" fontId="14" fillId="2" borderId="9" xfId="0" applyNumberFormat="1" applyFont="1" applyFill="1" applyBorder="1" applyAlignment="1">
      <alignment horizontal="center" vertical="center"/>
    </xf>
    <xf numFmtId="0" fontId="16" fillId="2" borderId="5" xfId="0" applyFont="1" applyFill="1" applyBorder="1" applyAlignment="1">
      <alignment horizontal="left" vertical="center" indent="8"/>
    </xf>
    <xf numFmtId="0" fontId="16" fillId="2" borderId="2" xfId="0" applyFont="1" applyFill="1" applyBorder="1" applyAlignment="1">
      <alignment horizontal="left" vertical="center" indent="8"/>
    </xf>
    <xf numFmtId="0" fontId="16" fillId="2" borderId="11" xfId="0" applyFont="1" applyFill="1" applyBorder="1" applyAlignment="1">
      <alignment horizontal="left" vertical="center" indent="8"/>
    </xf>
    <xf numFmtId="0" fontId="0" fillId="3" borderId="0" xfId="0" applyFill="1" applyAlignment="1">
      <alignment horizontal="left" vertical="center" indent="2"/>
    </xf>
    <xf numFmtId="0" fontId="0" fillId="3" borderId="0" xfId="0" applyFill="1" applyAlignment="1">
      <alignment horizontal="center" vertical="center"/>
    </xf>
    <xf numFmtId="0" fontId="14" fillId="2" borderId="7" xfId="0" applyFont="1" applyFill="1" applyBorder="1" applyAlignment="1">
      <alignment horizontal="center" vertical="center"/>
    </xf>
    <xf numFmtId="0" fontId="16" fillId="2" borderId="19" xfId="0" applyFont="1" applyFill="1" applyBorder="1" applyAlignment="1">
      <alignment horizontal="left" vertical="center" indent="4"/>
    </xf>
    <xf numFmtId="166" fontId="14" fillId="2" borderId="13" xfId="0" applyNumberFormat="1" applyFont="1" applyFill="1" applyBorder="1" applyAlignment="1">
      <alignment horizontal="center" vertical="center"/>
    </xf>
    <xf numFmtId="164" fontId="14" fillId="2" borderId="9" xfId="0" applyNumberFormat="1" applyFont="1" applyFill="1" applyBorder="1" applyAlignment="1">
      <alignment horizontal="center" vertical="center"/>
    </xf>
    <xf numFmtId="9" fontId="14" fillId="2" borderId="13" xfId="0" applyNumberFormat="1" applyFont="1" applyFill="1" applyBorder="1" applyAlignment="1">
      <alignment horizontal="center" vertical="center"/>
    </xf>
    <xf numFmtId="166" fontId="16" fillId="2" borderId="13" xfId="0" applyNumberFormat="1" applyFont="1" applyFill="1" applyBorder="1" applyAlignment="1">
      <alignment horizontal="center" vertical="center"/>
    </xf>
    <xf numFmtId="0" fontId="1" fillId="3" borderId="0" xfId="0" applyFont="1" applyFill="1" applyAlignment="1">
      <alignment vertical="center"/>
    </xf>
    <xf numFmtId="9" fontId="16" fillId="2" borderId="9" xfId="0" applyNumberFormat="1" applyFont="1" applyFill="1" applyBorder="1" applyAlignment="1">
      <alignment horizontal="center" vertical="center"/>
    </xf>
    <xf numFmtId="10" fontId="16" fillId="2" borderId="9" xfId="0" applyNumberFormat="1" applyFont="1" applyFill="1" applyBorder="1" applyAlignment="1">
      <alignment horizontal="center" vertical="center"/>
    </xf>
    <xf numFmtId="10" fontId="16" fillId="2" borderId="9" xfId="1" applyNumberFormat="1" applyFont="1" applyFill="1" applyBorder="1" applyAlignment="1">
      <alignment horizontal="center" vertical="center"/>
    </xf>
    <xf numFmtId="0" fontId="19" fillId="3" borderId="0" xfId="0" applyFont="1" applyFill="1" applyAlignment="1">
      <alignment horizontal="left" vertical="center" indent="2"/>
    </xf>
    <xf numFmtId="164" fontId="0" fillId="3" borderId="0" xfId="0" applyNumberFormat="1" applyFill="1" applyAlignment="1">
      <alignment horizontal="center" vertical="center"/>
    </xf>
    <xf numFmtId="0" fontId="0" fillId="0" borderId="0" xfId="0" applyAlignment="1">
      <alignment horizontal="center" vertical="center"/>
    </xf>
    <xf numFmtId="0" fontId="9" fillId="3" borderId="0" xfId="0" applyFont="1" applyFill="1" applyAlignment="1">
      <alignment vertical="center"/>
    </xf>
    <xf numFmtId="0" fontId="0" fillId="0" borderId="7" xfId="0" applyBorder="1" applyAlignment="1">
      <alignment vertical="center"/>
    </xf>
    <xf numFmtId="0" fontId="16" fillId="2" borderId="12" xfId="0" applyFont="1" applyFill="1" applyBorder="1" applyAlignment="1">
      <alignment horizontal="left" vertical="center" indent="2"/>
    </xf>
    <xf numFmtId="0" fontId="18" fillId="2" borderId="14" xfId="0" applyFont="1" applyFill="1" applyBorder="1" applyAlignment="1">
      <alignment horizontal="left" vertical="center" indent="2"/>
    </xf>
    <xf numFmtId="0" fontId="14" fillId="2" borderId="14" xfId="0" applyFont="1" applyFill="1" applyBorder="1" applyAlignment="1">
      <alignment horizontal="left" vertical="center" indent="2"/>
    </xf>
    <xf numFmtId="0" fontId="18" fillId="2" borderId="12" xfId="0" applyFont="1" applyFill="1" applyBorder="1" applyAlignment="1">
      <alignment horizontal="left" vertical="center" indent="4"/>
    </xf>
    <xf numFmtId="0" fontId="16" fillId="2" borderId="12" xfId="0" applyFont="1" applyFill="1" applyBorder="1" applyAlignment="1">
      <alignment horizontal="left" vertical="center" indent="6"/>
    </xf>
    <xf numFmtId="0" fontId="16" fillId="2" borderId="12" xfId="0" applyFont="1" applyFill="1" applyBorder="1" applyAlignment="1">
      <alignment horizontal="left" vertical="center" indent="8"/>
    </xf>
    <xf numFmtId="0" fontId="16" fillId="2" borderId="12" xfId="0" applyFont="1" applyFill="1" applyBorder="1" applyAlignment="1">
      <alignment horizontal="left" vertical="center" indent="4"/>
    </xf>
    <xf numFmtId="164" fontId="20" fillId="3" borderId="0" xfId="1" applyNumberFormat="1" applyFont="1" applyFill="1" applyBorder="1" applyAlignment="1">
      <alignment vertical="center"/>
    </xf>
    <xf numFmtId="0" fontId="9" fillId="3" borderId="0" xfId="0" applyFont="1" applyFill="1" applyAlignment="1">
      <alignment horizontal="center" vertical="center"/>
    </xf>
    <xf numFmtId="164" fontId="8" fillId="3" borderId="0" xfId="1" applyNumberFormat="1" applyFont="1" applyFill="1" applyBorder="1" applyAlignment="1">
      <alignment vertical="center"/>
    </xf>
    <xf numFmtId="0" fontId="11" fillId="2" borderId="1" xfId="0" applyFont="1" applyFill="1" applyBorder="1" applyAlignment="1">
      <alignment horizontal="left" vertical="center" indent="2"/>
    </xf>
    <xf numFmtId="0" fontId="18" fillId="2" borderId="12" xfId="0" applyFont="1" applyFill="1" applyBorder="1" applyAlignment="1">
      <alignment horizontal="left" vertical="center" indent="2"/>
    </xf>
    <xf numFmtId="0" fontId="21" fillId="2" borderId="12" xfId="0" applyFont="1" applyFill="1" applyBorder="1" applyAlignment="1">
      <alignment horizontal="left" vertical="center" indent="2"/>
    </xf>
    <xf numFmtId="166" fontId="21" fillId="2" borderId="9" xfId="0" applyNumberFormat="1" applyFont="1" applyFill="1" applyBorder="1" applyAlignment="1">
      <alignment horizontal="center" vertical="center"/>
    </xf>
    <xf numFmtId="1" fontId="16" fillId="2" borderId="9" xfId="0" applyNumberFormat="1" applyFont="1" applyFill="1" applyBorder="1" applyAlignment="1">
      <alignment horizontal="center" vertical="center"/>
    </xf>
    <xf numFmtId="164" fontId="21" fillId="2" borderId="9" xfId="0" applyNumberFormat="1" applyFont="1" applyFill="1" applyBorder="1" applyAlignment="1">
      <alignment horizontal="center" vertical="center"/>
    </xf>
    <xf numFmtId="10" fontId="16" fillId="2" borderId="9" xfId="0" applyNumberFormat="1" applyFont="1" applyFill="1" applyBorder="1" applyAlignment="1">
      <alignment horizontal="center" vertical="center" wrapText="1"/>
    </xf>
    <xf numFmtId="3" fontId="16" fillId="2" borderId="9" xfId="0" applyNumberFormat="1" applyFont="1" applyFill="1" applyBorder="1" applyAlignment="1">
      <alignment horizontal="center" vertical="center"/>
    </xf>
    <xf numFmtId="9" fontId="16" fillId="2" borderId="9" xfId="1" applyFont="1" applyFill="1" applyBorder="1" applyAlignment="1">
      <alignment horizontal="center" vertical="center"/>
    </xf>
    <xf numFmtId="0" fontId="16" fillId="2" borderId="12" xfId="0" applyFont="1" applyFill="1" applyBorder="1" applyAlignment="1">
      <alignment horizontal="left" vertical="center" indent="7"/>
    </xf>
    <xf numFmtId="166" fontId="16" fillId="2" borderId="9" xfId="0" applyNumberFormat="1" applyFont="1" applyFill="1" applyBorder="1" applyAlignment="1">
      <alignment horizontal="center" vertical="center" wrapText="1"/>
    </xf>
    <xf numFmtId="0" fontId="0" fillId="3" borderId="33" xfId="0" applyFill="1" applyBorder="1" applyAlignment="1">
      <alignment vertical="center"/>
    </xf>
    <xf numFmtId="166" fontId="16" fillId="2" borderId="3" xfId="0" applyNumberFormat="1" applyFont="1" applyFill="1" applyBorder="1" applyAlignment="1">
      <alignment horizontal="center" vertical="center"/>
    </xf>
    <xf numFmtId="0" fontId="0" fillId="3" borderId="21" xfId="0" applyFill="1" applyBorder="1" applyAlignment="1">
      <alignment vertical="center"/>
    </xf>
    <xf numFmtId="165" fontId="14" fillId="2" borderId="21" xfId="0" applyNumberFormat="1" applyFont="1" applyFill="1" applyBorder="1" applyAlignment="1">
      <alignment horizontal="center" vertical="center"/>
    </xf>
    <xf numFmtId="164" fontId="21" fillId="2" borderId="28" xfId="0" applyNumberFormat="1" applyFont="1" applyFill="1" applyBorder="1" applyAlignment="1">
      <alignment horizontal="center" vertical="center"/>
    </xf>
    <xf numFmtId="164" fontId="0" fillId="3" borderId="0" xfId="0" applyNumberFormat="1" applyFill="1" applyAlignment="1">
      <alignment horizontal="left" vertical="center" indent="2"/>
    </xf>
    <xf numFmtId="10" fontId="0" fillId="3" borderId="0" xfId="1" applyNumberFormat="1" applyFont="1" applyFill="1" applyAlignment="1">
      <alignment horizontal="left" vertical="center" indent="2"/>
    </xf>
    <xf numFmtId="168" fontId="0" fillId="3" borderId="0" xfId="0" applyNumberFormat="1" applyFill="1" applyAlignment="1">
      <alignment horizontal="left" vertical="center" indent="2"/>
    </xf>
    <xf numFmtId="0" fontId="19" fillId="3" borderId="0" xfId="0" applyFont="1" applyFill="1" applyAlignment="1">
      <alignment vertical="center"/>
    </xf>
    <xf numFmtId="164" fontId="0" fillId="3" borderId="0" xfId="1" applyNumberFormat="1" applyFont="1" applyFill="1" applyAlignment="1">
      <alignment horizontal="left" vertical="center" indent="2"/>
    </xf>
    <xf numFmtId="43" fontId="0" fillId="0" borderId="0" xfId="3" applyFont="1" applyAlignment="1">
      <alignment vertical="center"/>
    </xf>
    <xf numFmtId="0" fontId="0" fillId="2" borderId="26" xfId="0" applyFill="1" applyBorder="1" applyAlignment="1">
      <alignment vertical="center"/>
    </xf>
    <xf numFmtId="43" fontId="0" fillId="3" borderId="0" xfId="3" applyFont="1" applyFill="1" applyAlignment="1">
      <alignment vertical="center"/>
    </xf>
    <xf numFmtId="43" fontId="9" fillId="3" borderId="0" xfId="3" applyFont="1" applyFill="1" applyAlignment="1">
      <alignment vertical="center"/>
    </xf>
    <xf numFmtId="0" fontId="0" fillId="3" borderId="22" xfId="0" applyFill="1" applyBorder="1" applyAlignment="1">
      <alignment horizontal="left" vertical="center"/>
    </xf>
    <xf numFmtId="166" fontId="22" fillId="2" borderId="9" xfId="0" applyNumberFormat="1" applyFont="1" applyFill="1" applyBorder="1" applyAlignment="1">
      <alignment horizontal="center" vertical="center"/>
    </xf>
    <xf numFmtId="0" fontId="14" fillId="2" borderId="29" xfId="0" applyFont="1" applyFill="1" applyBorder="1" applyAlignment="1">
      <alignment horizontal="center" vertical="center"/>
    </xf>
    <xf numFmtId="0" fontId="14" fillId="2" borderId="16" xfId="0" applyFont="1" applyFill="1" applyBorder="1" applyAlignment="1">
      <alignment horizontal="left" vertical="center" indent="4"/>
    </xf>
    <xf numFmtId="0" fontId="0" fillId="3" borderId="22" xfId="0" applyFill="1" applyBorder="1" applyAlignment="1">
      <alignment vertical="center"/>
    </xf>
    <xf numFmtId="0" fontId="16" fillId="2" borderId="16" xfId="0" applyFont="1" applyFill="1" applyBorder="1" applyAlignment="1">
      <alignment horizontal="left" vertical="center" indent="4"/>
    </xf>
    <xf numFmtId="3" fontId="16" fillId="2" borderId="27" xfId="0" applyNumberFormat="1" applyFont="1" applyFill="1" applyBorder="1" applyAlignment="1">
      <alignment horizontal="center" vertical="center"/>
    </xf>
    <xf numFmtId="0" fontId="18" fillId="2" borderId="16" xfId="0" applyFont="1" applyFill="1" applyBorder="1" applyAlignment="1">
      <alignment horizontal="left" vertical="center" indent="4"/>
    </xf>
    <xf numFmtId="164" fontId="16" fillId="2" borderId="9" xfId="1" applyNumberFormat="1" applyFont="1" applyFill="1" applyBorder="1" applyAlignment="1">
      <alignment horizontal="center" vertical="center"/>
    </xf>
    <xf numFmtId="164" fontId="16" fillId="2" borderId="28" xfId="1" applyNumberFormat="1" applyFont="1" applyFill="1" applyBorder="1" applyAlignment="1">
      <alignment horizontal="center" vertical="center"/>
    </xf>
    <xf numFmtId="164" fontId="16" fillId="2" borderId="27" xfId="1" applyNumberFormat="1" applyFont="1" applyFill="1" applyBorder="1" applyAlignment="1">
      <alignment horizontal="center" vertical="center"/>
    </xf>
    <xf numFmtId="3" fontId="0" fillId="3" borderId="0" xfId="0" applyNumberFormat="1" applyFill="1" applyAlignment="1">
      <alignment vertical="center"/>
    </xf>
    <xf numFmtId="0" fontId="0" fillId="0" borderId="25" xfId="0" applyBorder="1" applyAlignment="1">
      <alignment vertical="center"/>
    </xf>
    <xf numFmtId="0" fontId="0" fillId="2" borderId="0" xfId="0" applyFill="1" applyAlignment="1">
      <alignment vertical="center"/>
    </xf>
    <xf numFmtId="0" fontId="16" fillId="2" borderId="11" xfId="0" applyFont="1" applyFill="1" applyBorder="1" applyAlignment="1">
      <alignment horizontal="center" vertical="center"/>
    </xf>
    <xf numFmtId="4" fontId="16" fillId="2" borderId="9" xfId="0" applyNumberFormat="1" applyFont="1" applyFill="1" applyBorder="1" applyAlignment="1">
      <alignment horizontal="center" vertical="center"/>
    </xf>
    <xf numFmtId="0" fontId="16" fillId="2" borderId="31" xfId="0" applyFont="1" applyFill="1" applyBorder="1" applyAlignment="1">
      <alignment horizontal="center" vertical="center"/>
    </xf>
    <xf numFmtId="0" fontId="14" fillId="2" borderId="30" xfId="0" applyFont="1" applyFill="1" applyBorder="1" applyAlignment="1">
      <alignment horizontal="center" vertical="center"/>
    </xf>
    <xf numFmtId="2" fontId="16" fillId="2" borderId="9" xfId="1" applyNumberFormat="1" applyFont="1" applyFill="1" applyBorder="1" applyAlignment="1">
      <alignment horizontal="center" vertical="center"/>
    </xf>
    <xf numFmtId="167" fontId="16" fillId="2" borderId="9" xfId="1" applyNumberFormat="1" applyFont="1" applyFill="1" applyBorder="1" applyAlignment="1">
      <alignment horizontal="center" vertical="center"/>
    </xf>
    <xf numFmtId="0" fontId="0" fillId="2" borderId="1" xfId="0" applyFill="1" applyBorder="1" applyAlignment="1">
      <alignment vertical="center"/>
    </xf>
    <xf numFmtId="0" fontId="10" fillId="2" borderId="1" xfId="0" applyFont="1" applyFill="1" applyBorder="1" applyAlignment="1">
      <alignment horizontal="left" vertical="center" indent="2"/>
    </xf>
    <xf numFmtId="0" fontId="16" fillId="2" borderId="16" xfId="0" applyFont="1" applyFill="1" applyBorder="1" applyAlignment="1">
      <alignment horizontal="left" vertical="center" indent="2"/>
    </xf>
    <xf numFmtId="0" fontId="14" fillId="2" borderId="17" xfId="0" applyFont="1" applyFill="1" applyBorder="1" applyAlignment="1">
      <alignment horizontal="left" vertical="center" indent="2"/>
    </xf>
    <xf numFmtId="166" fontId="14" fillId="2" borderId="18" xfId="0" applyNumberFormat="1" applyFont="1" applyFill="1" applyBorder="1" applyAlignment="1">
      <alignment horizontal="center" vertical="center"/>
    </xf>
    <xf numFmtId="166" fontId="0" fillId="3" borderId="0" xfId="0" applyNumberFormat="1" applyFill="1" applyAlignment="1">
      <alignment vertical="center"/>
    </xf>
    <xf numFmtId="0" fontId="22" fillId="2" borderId="16" xfId="0" applyFont="1" applyFill="1" applyBorder="1" applyAlignment="1">
      <alignment horizontal="left" vertical="center" indent="2"/>
    </xf>
    <xf numFmtId="0" fontId="14" fillId="2" borderId="16" xfId="0" applyFont="1" applyFill="1" applyBorder="1" applyAlignment="1">
      <alignment horizontal="left" vertical="center" indent="2"/>
    </xf>
    <xf numFmtId="0" fontId="14" fillId="2" borderId="12" xfId="0" applyFont="1" applyFill="1" applyBorder="1" applyAlignment="1">
      <alignment horizontal="left" vertical="center" indent="4"/>
    </xf>
    <xf numFmtId="9" fontId="16" fillId="2" borderId="11" xfId="1" applyFont="1" applyFill="1" applyBorder="1" applyAlignment="1">
      <alignment horizontal="center" vertical="center"/>
    </xf>
    <xf numFmtId="0" fontId="23" fillId="2" borderId="12" xfId="0" applyFont="1" applyFill="1" applyBorder="1" applyAlignment="1">
      <alignment horizontal="left" vertical="center" indent="4"/>
    </xf>
    <xf numFmtId="0" fontId="17" fillId="0" borderId="0" xfId="0" applyFont="1" applyAlignment="1">
      <alignment wrapText="1"/>
    </xf>
    <xf numFmtId="0" fontId="24" fillId="0" borderId="0" xfId="2" applyFont="1"/>
    <xf numFmtId="0" fontId="25" fillId="0" borderId="0" xfId="2" applyFont="1"/>
    <xf numFmtId="0" fontId="17" fillId="0" borderId="0" xfId="2" applyFont="1"/>
    <xf numFmtId="0" fontId="16" fillId="2" borderId="12" xfId="0" applyFont="1" applyFill="1" applyBorder="1" applyAlignment="1">
      <alignment horizontal="left" vertical="center"/>
    </xf>
    <xf numFmtId="166" fontId="16" fillId="2" borderId="35" xfId="0" applyNumberFormat="1" applyFont="1" applyFill="1" applyBorder="1" applyAlignment="1">
      <alignment horizontal="center" vertical="center"/>
    </xf>
    <xf numFmtId="3" fontId="16" fillId="2" borderId="28" xfId="0" applyNumberFormat="1" applyFont="1" applyFill="1" applyBorder="1" applyAlignment="1">
      <alignment horizontal="center" vertical="center"/>
    </xf>
    <xf numFmtId="4" fontId="0" fillId="3" borderId="0" xfId="0" applyNumberFormat="1" applyFill="1" applyAlignment="1">
      <alignment vertical="center"/>
    </xf>
    <xf numFmtId="0" fontId="0" fillId="2" borderId="38" xfId="0" applyFill="1" applyBorder="1" applyAlignment="1">
      <alignment vertical="center"/>
    </xf>
    <xf numFmtId="0" fontId="10" fillId="2" borderId="38" xfId="0" applyFont="1" applyFill="1" applyBorder="1" applyAlignment="1">
      <alignment horizontal="left" vertical="center" indent="2"/>
    </xf>
    <xf numFmtId="0" fontId="11" fillId="2" borderId="38" xfId="0" applyFont="1" applyFill="1" applyBorder="1" applyAlignment="1">
      <alignment horizontal="left" vertical="center" indent="2"/>
    </xf>
    <xf numFmtId="43" fontId="0" fillId="3" borderId="0" xfId="3" applyFont="1" applyFill="1" applyBorder="1" applyAlignment="1">
      <alignment vertical="center"/>
    </xf>
    <xf numFmtId="0" fontId="0" fillId="2" borderId="39" xfId="0" applyFill="1" applyBorder="1" applyAlignment="1">
      <alignment vertical="center"/>
    </xf>
    <xf numFmtId="0" fontId="0" fillId="2" borderId="40" xfId="0" applyFill="1" applyBorder="1" applyAlignment="1">
      <alignment vertical="center"/>
    </xf>
    <xf numFmtId="43" fontId="0" fillId="2" borderId="40" xfId="3" applyFont="1" applyFill="1" applyBorder="1" applyAlignment="1">
      <alignment vertical="center"/>
    </xf>
    <xf numFmtId="0" fontId="11" fillId="2" borderId="40" xfId="0" applyFont="1" applyFill="1" applyBorder="1" applyAlignment="1">
      <alignment horizontal="left" vertical="center" indent="2"/>
    </xf>
    <xf numFmtId="169" fontId="0" fillId="3" borderId="0" xfId="0" applyNumberFormat="1" applyFill="1" applyAlignment="1">
      <alignment vertical="center"/>
    </xf>
    <xf numFmtId="14" fontId="12" fillId="2" borderId="41"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2" fillId="2" borderId="42" xfId="0" applyFont="1" applyFill="1" applyBorder="1" applyAlignment="1">
      <alignment horizontal="left" vertical="center" indent="5"/>
    </xf>
    <xf numFmtId="10" fontId="12" fillId="2" borderId="9" xfId="1" applyNumberFormat="1" applyFont="1" applyFill="1" applyBorder="1" applyAlignment="1">
      <alignment horizontal="center" vertical="center"/>
    </xf>
    <xf numFmtId="0" fontId="13" fillId="2" borderId="42" xfId="0" applyFont="1" applyFill="1" applyBorder="1" applyAlignment="1">
      <alignment horizontal="left" vertical="center" indent="2"/>
    </xf>
    <xf numFmtId="10" fontId="13" fillId="2" borderId="9" xfId="1" applyNumberFormat="1" applyFont="1" applyFill="1" applyBorder="1" applyAlignment="1">
      <alignment horizontal="center" vertical="center"/>
    </xf>
    <xf numFmtId="4" fontId="12" fillId="2" borderId="9" xfId="0" applyNumberFormat="1" applyFont="1" applyFill="1" applyBorder="1" applyAlignment="1">
      <alignment horizontal="center" vertical="center"/>
    </xf>
    <xf numFmtId="164" fontId="12" fillId="2" borderId="9" xfId="1" applyNumberFormat="1" applyFont="1" applyFill="1" applyBorder="1" applyAlignment="1">
      <alignment horizontal="center" vertical="center"/>
    </xf>
    <xf numFmtId="10" fontId="13" fillId="2" borderId="1" xfId="1" applyNumberFormat="1" applyFont="1" applyFill="1" applyBorder="1" applyAlignment="1">
      <alignment horizontal="center" vertical="center"/>
    </xf>
    <xf numFmtId="3" fontId="12" fillId="2" borderId="10" xfId="0" applyNumberFormat="1" applyFont="1" applyFill="1" applyBorder="1" applyAlignment="1">
      <alignment horizontal="center" vertical="center"/>
    </xf>
    <xf numFmtId="3" fontId="12" fillId="2" borderId="9" xfId="0" applyNumberFormat="1" applyFont="1" applyFill="1" applyBorder="1" applyAlignment="1">
      <alignment horizontal="center" vertical="center"/>
    </xf>
    <xf numFmtId="0" fontId="13" fillId="2" borderId="0" xfId="0" applyFont="1" applyFill="1" applyAlignment="1">
      <alignment horizontal="center" vertical="center"/>
    </xf>
    <xf numFmtId="0" fontId="0" fillId="3" borderId="33" xfId="0" applyFill="1" applyBorder="1" applyAlignment="1">
      <alignment horizontal="left" vertical="center"/>
    </xf>
    <xf numFmtId="10" fontId="13" fillId="2" borderId="3" xfId="1" applyNumberFormat="1" applyFont="1" applyFill="1" applyBorder="1" applyAlignment="1">
      <alignment horizontal="center" vertical="center"/>
    </xf>
    <xf numFmtId="164" fontId="12" fillId="2" borderId="3" xfId="1" applyNumberFormat="1" applyFont="1" applyFill="1" applyBorder="1" applyAlignment="1">
      <alignment horizontal="center" vertical="center"/>
    </xf>
    <xf numFmtId="10" fontId="13" fillId="2" borderId="0" xfId="1" applyNumberFormat="1" applyFont="1" applyFill="1" applyBorder="1" applyAlignment="1">
      <alignment horizontal="center" vertical="center"/>
    </xf>
    <xf numFmtId="0" fontId="11" fillId="0" borderId="1" xfId="0" applyFont="1" applyBorder="1" applyAlignment="1">
      <alignment horizontal="left" vertical="center" indent="3"/>
    </xf>
    <xf numFmtId="0" fontId="7" fillId="0" borderId="1" xfId="0" applyFont="1" applyBorder="1" applyAlignment="1">
      <alignment horizontal="left" vertical="center" indent="3"/>
    </xf>
    <xf numFmtId="9" fontId="0" fillId="3" borderId="0" xfId="0" applyNumberFormat="1" applyFill="1" applyAlignment="1">
      <alignment vertical="center"/>
    </xf>
    <xf numFmtId="10" fontId="0" fillId="3" borderId="0" xfId="0" applyNumberFormat="1" applyFill="1" applyAlignment="1">
      <alignment vertical="center"/>
    </xf>
    <xf numFmtId="10" fontId="13" fillId="2" borderId="0" xfId="0" applyNumberFormat="1" applyFont="1" applyFill="1" applyAlignment="1">
      <alignment vertical="center"/>
    </xf>
    <xf numFmtId="0" fontId="13" fillId="2" borderId="43" xfId="0" applyFont="1" applyFill="1" applyBorder="1" applyAlignment="1">
      <alignment horizontal="left" vertical="center" indent="2"/>
    </xf>
    <xf numFmtId="2" fontId="12" fillId="2" borderId="44" xfId="1" applyNumberFormat="1" applyFont="1" applyFill="1" applyBorder="1" applyAlignment="1">
      <alignment horizontal="center" vertical="center"/>
    </xf>
    <xf numFmtId="2" fontId="12" fillId="2" borderId="45" xfId="1" applyNumberFormat="1" applyFont="1" applyFill="1" applyBorder="1" applyAlignment="1">
      <alignment horizontal="center" vertical="center"/>
    </xf>
    <xf numFmtId="0" fontId="17" fillId="3" borderId="33" xfId="0" applyFont="1" applyFill="1" applyBorder="1" applyAlignment="1">
      <alignment horizontal="left" vertical="center"/>
    </xf>
    <xf numFmtId="164" fontId="0" fillId="3" borderId="0" xfId="0" applyNumberFormat="1" applyFill="1" applyAlignment="1">
      <alignment vertical="center"/>
    </xf>
    <xf numFmtId="166" fontId="16" fillId="2" borderId="47" xfId="0" applyNumberFormat="1" applyFont="1" applyFill="1" applyBorder="1" applyAlignment="1">
      <alignment horizontal="center" vertical="center"/>
    </xf>
    <xf numFmtId="0" fontId="0" fillId="3" borderId="46" xfId="0" applyFill="1" applyBorder="1" applyAlignment="1">
      <alignment vertical="center"/>
    </xf>
    <xf numFmtId="167" fontId="16" fillId="2" borderId="47" xfId="1" applyNumberFormat="1" applyFont="1" applyFill="1" applyBorder="1" applyAlignment="1">
      <alignment horizontal="center" vertical="center"/>
    </xf>
    <xf numFmtId="10" fontId="16" fillId="2" borderId="47" xfId="1" applyNumberFormat="1" applyFont="1" applyFill="1" applyBorder="1" applyAlignment="1">
      <alignment horizontal="center" vertical="center"/>
    </xf>
    <xf numFmtId="0" fontId="0" fillId="3" borderId="46" xfId="0" applyFill="1" applyBorder="1" applyAlignment="1">
      <alignment horizontal="left" vertical="center"/>
    </xf>
    <xf numFmtId="0" fontId="0" fillId="3" borderId="46" xfId="0" applyFill="1" applyBorder="1" applyAlignment="1">
      <alignment horizontal="center" vertical="center"/>
    </xf>
    <xf numFmtId="0" fontId="16" fillId="2" borderId="1" xfId="0" applyFont="1" applyFill="1" applyBorder="1" applyAlignment="1">
      <alignment horizontal="center" vertical="center"/>
    </xf>
    <xf numFmtId="2" fontId="16" fillId="2" borderId="47" xfId="1" applyNumberFormat="1" applyFont="1" applyFill="1" applyBorder="1" applyAlignment="1">
      <alignment horizontal="center" vertical="center"/>
    </xf>
    <xf numFmtId="0" fontId="16" fillId="2" borderId="49" xfId="0" applyFont="1" applyFill="1" applyBorder="1" applyAlignment="1">
      <alignment horizontal="center" vertical="center"/>
    </xf>
    <xf numFmtId="4" fontId="16" fillId="2" borderId="47" xfId="0" applyNumberFormat="1" applyFont="1" applyFill="1" applyBorder="1" applyAlignment="1">
      <alignment horizontal="center" vertical="center"/>
    </xf>
    <xf numFmtId="10" fontId="16" fillId="2" borderId="47" xfId="0" applyNumberFormat="1" applyFont="1" applyFill="1" applyBorder="1" applyAlignment="1">
      <alignment horizontal="center" vertical="center"/>
    </xf>
    <xf numFmtId="164" fontId="16" fillId="2" borderId="47" xfId="0" applyNumberFormat="1" applyFont="1" applyFill="1" applyBorder="1" applyAlignment="1">
      <alignment horizontal="center" vertical="center"/>
    </xf>
    <xf numFmtId="166" fontId="16" fillId="2" borderId="48" xfId="0" applyNumberFormat="1" applyFont="1" applyFill="1" applyBorder="1" applyAlignment="1">
      <alignment horizontal="center" vertical="center"/>
    </xf>
    <xf numFmtId="166" fontId="0" fillId="3" borderId="46" xfId="0" applyNumberFormat="1" applyFill="1" applyBorder="1" applyAlignment="1">
      <alignment horizontal="center" vertical="center"/>
    </xf>
    <xf numFmtId="166" fontId="14" fillId="2" borderId="50" xfId="0" applyNumberFormat="1" applyFont="1" applyFill="1" applyBorder="1" applyAlignment="1">
      <alignment horizontal="center" vertical="center"/>
    </xf>
    <xf numFmtId="0" fontId="0" fillId="3" borderId="46" xfId="0" applyFill="1" applyBorder="1" applyAlignment="1">
      <alignment horizontal="left" vertical="center" indent="2"/>
    </xf>
    <xf numFmtId="0" fontId="14" fillId="2" borderId="52" xfId="0" applyFont="1" applyFill="1" applyBorder="1" applyAlignment="1">
      <alignment horizontal="left" vertical="center" indent="4"/>
    </xf>
    <xf numFmtId="3" fontId="14" fillId="2" borderId="47" xfId="0" applyNumberFormat="1" applyFont="1" applyFill="1" applyBorder="1" applyAlignment="1">
      <alignment horizontal="center" vertical="center"/>
    </xf>
    <xf numFmtId="3" fontId="14" fillId="2" borderId="48" xfId="0" applyNumberFormat="1" applyFont="1" applyFill="1" applyBorder="1" applyAlignment="1">
      <alignment horizontal="center" vertical="center"/>
    </xf>
    <xf numFmtId="3" fontId="16" fillId="2" borderId="47" xfId="0" applyNumberFormat="1" applyFont="1" applyFill="1" applyBorder="1" applyAlignment="1">
      <alignment horizontal="center" vertical="center"/>
    </xf>
    <xf numFmtId="164" fontId="16" fillId="2" borderId="47" xfId="1" applyNumberFormat="1" applyFont="1" applyFill="1" applyBorder="1" applyAlignment="1">
      <alignment horizontal="center" vertical="center"/>
    </xf>
    <xf numFmtId="3" fontId="16" fillId="2" borderId="48" xfId="0" applyNumberFormat="1" applyFont="1" applyFill="1" applyBorder="1" applyAlignment="1">
      <alignment horizontal="center" vertical="center"/>
    </xf>
    <xf numFmtId="164" fontId="16" fillId="2" borderId="48" xfId="1" applyNumberFormat="1" applyFont="1" applyFill="1" applyBorder="1" applyAlignment="1">
      <alignment horizontal="center" vertical="center"/>
    </xf>
    <xf numFmtId="164" fontId="0" fillId="3" borderId="33" xfId="1" applyNumberFormat="1" applyFont="1" applyFill="1" applyBorder="1" applyAlignment="1">
      <alignment horizontal="left" vertical="center" indent="2"/>
    </xf>
    <xf numFmtId="0" fontId="16" fillId="2" borderId="5" xfId="0" applyFont="1" applyFill="1" applyBorder="1" applyAlignment="1">
      <alignment horizontal="left" vertical="center" indent="4"/>
    </xf>
    <xf numFmtId="0" fontId="16" fillId="2" borderId="2" xfId="0" applyFont="1" applyFill="1" applyBorder="1" applyAlignment="1">
      <alignment horizontal="left" vertical="center" indent="4"/>
    </xf>
    <xf numFmtId="0" fontId="16" fillId="2" borderId="11" xfId="0" applyFont="1" applyFill="1" applyBorder="1" applyAlignment="1">
      <alignment horizontal="left" vertical="center" indent="4"/>
    </xf>
    <xf numFmtId="3" fontId="18" fillId="2" borderId="9" xfId="0" applyNumberFormat="1" applyFont="1" applyFill="1" applyBorder="1" applyAlignment="1">
      <alignment horizontal="center" vertical="center"/>
    </xf>
    <xf numFmtId="170" fontId="16" fillId="2" borderId="9" xfId="0" applyNumberFormat="1" applyFont="1" applyFill="1" applyBorder="1" applyAlignment="1">
      <alignment horizontal="center" vertical="center"/>
    </xf>
    <xf numFmtId="169" fontId="16" fillId="2" borderId="9" xfId="0" applyNumberFormat="1" applyFont="1" applyFill="1" applyBorder="1" applyAlignment="1">
      <alignment horizontal="center" vertical="center"/>
    </xf>
    <xf numFmtId="10" fontId="16" fillId="2" borderId="47" xfId="0" applyNumberFormat="1" applyFont="1" applyFill="1" applyBorder="1" applyAlignment="1">
      <alignment horizontal="left" vertical="center" indent="4"/>
    </xf>
    <xf numFmtId="10" fontId="16" fillId="2" borderId="11" xfId="1" applyNumberFormat="1" applyFont="1" applyFill="1" applyBorder="1" applyAlignment="1">
      <alignment horizontal="center" vertical="center"/>
    </xf>
    <xf numFmtId="44" fontId="0" fillId="2" borderId="1" xfId="4" applyFont="1" applyFill="1" applyBorder="1" applyAlignment="1">
      <alignment vertical="center"/>
    </xf>
    <xf numFmtId="44" fontId="0" fillId="0" borderId="0" xfId="4" applyFont="1" applyAlignment="1">
      <alignment vertical="center"/>
    </xf>
    <xf numFmtId="44" fontId="0" fillId="0" borderId="0" xfId="4" applyFont="1"/>
    <xf numFmtId="166" fontId="16" fillId="2" borderId="10" xfId="0" applyNumberFormat="1" applyFont="1" applyFill="1" applyBorder="1" applyAlignment="1">
      <alignment horizontal="center" vertical="center"/>
    </xf>
    <xf numFmtId="166" fontId="14" fillId="2" borderId="10" xfId="0" applyNumberFormat="1" applyFont="1" applyFill="1" applyBorder="1" applyAlignment="1">
      <alignment horizontal="center" vertical="center"/>
    </xf>
    <xf numFmtId="0" fontId="21" fillId="2" borderId="52" xfId="0" applyFont="1" applyFill="1" applyBorder="1" applyAlignment="1">
      <alignment horizontal="left" vertical="center" indent="2"/>
    </xf>
    <xf numFmtId="166" fontId="21" fillId="2" borderId="47" xfId="0" applyNumberFormat="1" applyFont="1" applyFill="1" applyBorder="1" applyAlignment="1">
      <alignment horizontal="center" vertical="center"/>
    </xf>
    <xf numFmtId="0" fontId="14" fillId="2" borderId="52" xfId="0" applyFont="1" applyFill="1" applyBorder="1" applyAlignment="1">
      <alignment horizontal="left" vertical="center" indent="2"/>
    </xf>
    <xf numFmtId="166" fontId="14" fillId="2" borderId="47" xfId="0" applyNumberFormat="1" applyFont="1" applyFill="1" applyBorder="1" applyAlignment="1">
      <alignment horizontal="center" vertical="center"/>
    </xf>
    <xf numFmtId="170" fontId="16" fillId="2" borderId="3" xfId="0" applyNumberFormat="1" applyFont="1" applyFill="1" applyBorder="1" applyAlignment="1">
      <alignment horizontal="center" vertical="center"/>
    </xf>
    <xf numFmtId="0" fontId="16" fillId="2" borderId="15" xfId="0" applyFont="1" applyFill="1" applyBorder="1" applyAlignment="1">
      <alignment horizontal="left" vertical="center"/>
    </xf>
    <xf numFmtId="0" fontId="17" fillId="3" borderId="33" xfId="0" applyFont="1" applyFill="1" applyBorder="1" applyAlignment="1">
      <alignment vertical="center"/>
    </xf>
    <xf numFmtId="166" fontId="0" fillId="3" borderId="46" xfId="0" applyNumberFormat="1" applyFill="1" applyBorder="1" applyAlignment="1">
      <alignment vertical="center"/>
    </xf>
    <xf numFmtId="171" fontId="0" fillId="3" borderId="0" xfId="0" applyNumberFormat="1" applyFill="1" applyAlignment="1">
      <alignment horizontal="center" vertical="center"/>
    </xf>
    <xf numFmtId="0" fontId="14" fillId="2" borderId="12" xfId="0" applyFont="1" applyFill="1" applyBorder="1" applyAlignment="1">
      <alignment horizontal="center" vertical="center"/>
    </xf>
    <xf numFmtId="49" fontId="16" fillId="2" borderId="12" xfId="0" applyNumberFormat="1" applyFont="1" applyFill="1" applyBorder="1" applyAlignment="1">
      <alignment horizontal="left" vertical="center"/>
    </xf>
    <xf numFmtId="166" fontId="16" fillId="2" borderId="27" xfId="0" applyNumberFormat="1" applyFont="1" applyFill="1" applyBorder="1" applyAlignment="1">
      <alignment horizontal="center" vertical="center" wrapText="1"/>
    </xf>
    <xf numFmtId="166" fontId="16" fillId="2" borderId="47" xfId="0" applyNumberFormat="1" applyFont="1" applyFill="1" applyBorder="1" applyAlignment="1">
      <alignment horizontal="center" vertical="center" wrapText="1"/>
    </xf>
    <xf numFmtId="166" fontId="16" fillId="2" borderId="48" xfId="0" applyNumberFormat="1" applyFont="1" applyFill="1" applyBorder="1" applyAlignment="1">
      <alignment horizontal="center" vertical="center" wrapText="1"/>
    </xf>
    <xf numFmtId="0" fontId="14" fillId="2" borderId="0" xfId="0" applyFont="1" applyFill="1" applyAlignment="1">
      <alignment horizontal="center" vertical="center"/>
    </xf>
    <xf numFmtId="0" fontId="23" fillId="2" borderId="15" xfId="0" applyFont="1" applyFill="1" applyBorder="1" applyAlignment="1">
      <alignment horizontal="left" vertical="center" indent="4"/>
    </xf>
    <xf numFmtId="10" fontId="16" fillId="2" borderId="1" xfId="1" applyNumberFormat="1" applyFont="1" applyFill="1" applyBorder="1" applyAlignment="1">
      <alignment horizontal="center" vertical="center"/>
    </xf>
    <xf numFmtId="3" fontId="16" fillId="2" borderId="10" xfId="0" applyNumberFormat="1" applyFont="1" applyFill="1" applyBorder="1" applyAlignment="1">
      <alignment horizontal="center" vertical="center"/>
    </xf>
    <xf numFmtId="3" fontId="16" fillId="2" borderId="3" xfId="0" applyNumberFormat="1" applyFont="1" applyFill="1" applyBorder="1" applyAlignment="1">
      <alignment horizontal="center" vertical="center"/>
    </xf>
    <xf numFmtId="0" fontId="1" fillId="3" borderId="0" xfId="0" applyFont="1" applyFill="1" applyAlignment="1">
      <alignment horizontal="left" vertical="center"/>
    </xf>
    <xf numFmtId="0" fontId="21" fillId="2" borderId="53" xfId="0" applyFont="1" applyFill="1" applyBorder="1" applyAlignment="1">
      <alignment horizontal="left" vertical="center" indent="2"/>
    </xf>
    <xf numFmtId="166" fontId="14" fillId="2" borderId="35" xfId="0" applyNumberFormat="1" applyFont="1" applyFill="1" applyBorder="1" applyAlignment="1">
      <alignment horizontal="center" vertical="center"/>
    </xf>
    <xf numFmtId="10" fontId="16" fillId="2" borderId="54" xfId="1" applyNumberFormat="1" applyFont="1" applyFill="1" applyBorder="1" applyAlignment="1">
      <alignment horizontal="center" vertical="center"/>
    </xf>
    <xf numFmtId="3" fontId="16" fillId="2" borderId="36" xfId="0" applyNumberFormat="1" applyFont="1" applyFill="1" applyBorder="1" applyAlignment="1">
      <alignment horizontal="center" vertical="center"/>
    </xf>
    <xf numFmtId="3" fontId="16" fillId="2" borderId="32" xfId="0" applyNumberFormat="1" applyFont="1" applyFill="1" applyBorder="1" applyAlignment="1">
      <alignment horizontal="center" vertical="center"/>
    </xf>
    <xf numFmtId="3" fontId="16" fillId="2" borderId="37" xfId="0" applyNumberFormat="1" applyFont="1" applyFill="1" applyBorder="1" applyAlignment="1">
      <alignment horizontal="center" vertical="center"/>
    </xf>
    <xf numFmtId="0" fontId="14" fillId="2" borderId="2" xfId="0" applyFont="1" applyFill="1" applyBorder="1" applyAlignment="1">
      <alignment horizontal="left" vertical="center" indent="2"/>
    </xf>
    <xf numFmtId="0" fontId="14" fillId="2" borderId="11" xfId="0" applyFont="1" applyFill="1" applyBorder="1" applyAlignment="1">
      <alignment horizontal="left" vertical="center" indent="2"/>
    </xf>
    <xf numFmtId="0" fontId="22" fillId="2" borderId="12" xfId="0" applyFont="1" applyFill="1" applyBorder="1" applyAlignment="1">
      <alignment horizontal="left" vertical="center" indent="2"/>
    </xf>
    <xf numFmtId="164" fontId="18" fillId="2" borderId="9" xfId="0" applyNumberFormat="1" applyFont="1" applyFill="1" applyBorder="1" applyAlignment="1">
      <alignment horizontal="center" vertical="center"/>
    </xf>
    <xf numFmtId="3" fontId="12" fillId="2" borderId="3" xfId="0" applyNumberFormat="1" applyFont="1" applyFill="1" applyBorder="1" applyAlignment="1">
      <alignment horizontal="center" vertical="center"/>
    </xf>
    <xf numFmtId="10" fontId="12" fillId="2" borderId="9" xfId="0" applyNumberFormat="1" applyFont="1" applyFill="1" applyBorder="1" applyAlignment="1">
      <alignment horizontal="center" vertical="center"/>
    </xf>
    <xf numFmtId="0" fontId="14" fillId="2" borderId="19" xfId="0" applyFont="1" applyFill="1" applyBorder="1" applyAlignment="1">
      <alignment horizontal="left" vertical="center" indent="4"/>
    </xf>
    <xf numFmtId="3" fontId="13" fillId="2" borderId="9" xfId="0" applyNumberFormat="1" applyFont="1" applyFill="1" applyBorder="1" applyAlignment="1">
      <alignment horizontal="center" vertical="center"/>
    </xf>
    <xf numFmtId="3" fontId="13" fillId="2" borderId="9" xfId="0" applyNumberFormat="1" applyFont="1" applyFill="1" applyBorder="1" applyAlignment="1">
      <alignment horizontal="center" vertical="center" wrapText="1"/>
    </xf>
    <xf numFmtId="10" fontId="13" fillId="2" borderId="9" xfId="0" applyNumberFormat="1" applyFont="1" applyFill="1" applyBorder="1" applyAlignment="1">
      <alignment horizontal="center" vertical="center"/>
    </xf>
    <xf numFmtId="3" fontId="13" fillId="2" borderId="3" xfId="0" applyNumberFormat="1" applyFont="1" applyFill="1" applyBorder="1" applyAlignment="1">
      <alignment horizontal="center" vertical="center"/>
    </xf>
    <xf numFmtId="10" fontId="13" fillId="2" borderId="9" xfId="0" applyNumberFormat="1" applyFont="1" applyFill="1" applyBorder="1" applyAlignment="1">
      <alignment horizontal="center" vertical="center" wrapText="1"/>
    </xf>
    <xf numFmtId="3" fontId="13" fillId="2" borderId="3" xfId="0" applyNumberFormat="1" applyFont="1" applyFill="1" applyBorder="1" applyAlignment="1">
      <alignment horizontal="center" vertical="center" wrapText="1"/>
    </xf>
    <xf numFmtId="3" fontId="13" fillId="2" borderId="47" xfId="0" applyNumberFormat="1" applyFont="1" applyFill="1" applyBorder="1" applyAlignment="1">
      <alignment horizontal="center" vertical="center"/>
    </xf>
    <xf numFmtId="3" fontId="13" fillId="2" borderId="4" xfId="0" applyNumberFormat="1" applyFont="1" applyFill="1" applyBorder="1" applyAlignment="1">
      <alignment horizontal="center" vertical="center"/>
    </xf>
    <xf numFmtId="166" fontId="14" fillId="2" borderId="3" xfId="0" applyNumberFormat="1" applyFont="1" applyFill="1" applyBorder="1" applyAlignment="1">
      <alignment horizontal="center" vertical="center"/>
    </xf>
    <xf numFmtId="164" fontId="16" fillId="2" borderId="3" xfId="0" applyNumberFormat="1" applyFont="1" applyFill="1" applyBorder="1" applyAlignment="1">
      <alignment horizontal="center" vertical="center"/>
    </xf>
    <xf numFmtId="3" fontId="27" fillId="2" borderId="9" xfId="0" applyNumberFormat="1" applyFont="1" applyFill="1" applyBorder="1" applyAlignment="1">
      <alignment horizontal="center" vertical="center"/>
    </xf>
    <xf numFmtId="0" fontId="16" fillId="0" borderId="12" xfId="0" applyFont="1" applyBorder="1" applyAlignment="1">
      <alignment horizontal="left" vertical="center" indent="6"/>
    </xf>
    <xf numFmtId="3" fontId="16" fillId="0" borderId="9" xfId="0" applyNumberFormat="1" applyFont="1" applyBorder="1" applyAlignment="1">
      <alignment horizontal="center" vertical="center"/>
    </xf>
    <xf numFmtId="1" fontId="16" fillId="2" borderId="47" xfId="0" applyNumberFormat="1" applyFont="1" applyFill="1" applyBorder="1" applyAlignment="1">
      <alignment horizontal="center" vertical="center"/>
    </xf>
    <xf numFmtId="164" fontId="21" fillId="2" borderId="47" xfId="0" applyNumberFormat="1" applyFont="1" applyFill="1" applyBorder="1" applyAlignment="1">
      <alignment horizontal="center" vertical="center"/>
    </xf>
    <xf numFmtId="164" fontId="21" fillId="2" borderId="34" xfId="0" applyNumberFormat="1" applyFont="1" applyFill="1" applyBorder="1" applyAlignment="1">
      <alignment horizontal="center" vertical="center"/>
    </xf>
    <xf numFmtId="0" fontId="0" fillId="0" borderId="0" xfId="0" applyAlignment="1">
      <alignment horizontal="left" vertical="center" indent="2"/>
    </xf>
    <xf numFmtId="0" fontId="22" fillId="2" borderId="15" xfId="0" applyFont="1" applyFill="1" applyBorder="1" applyAlignment="1">
      <alignment horizontal="left" vertical="center" indent="2"/>
    </xf>
    <xf numFmtId="164" fontId="18" fillId="2" borderId="47" xfId="0" applyNumberFormat="1" applyFont="1" applyFill="1" applyBorder="1" applyAlignment="1">
      <alignment horizontal="center" vertical="center"/>
    </xf>
    <xf numFmtId="10" fontId="16" fillId="2" borderId="47" xfId="0" applyNumberFormat="1" applyFont="1" applyFill="1" applyBorder="1" applyAlignment="1">
      <alignment horizontal="center" vertical="center" wrapText="1"/>
    </xf>
    <xf numFmtId="0" fontId="1" fillId="3" borderId="46" xfId="0" applyFont="1" applyFill="1" applyBorder="1" applyAlignment="1">
      <alignment horizontal="left" vertical="center"/>
    </xf>
    <xf numFmtId="164" fontId="0" fillId="3" borderId="46" xfId="1" applyNumberFormat="1" applyFont="1" applyFill="1" applyBorder="1" applyAlignment="1">
      <alignment horizontal="left" vertical="center" indent="2"/>
    </xf>
    <xf numFmtId="0" fontId="14" fillId="2" borderId="55" xfId="0" applyFont="1" applyFill="1" applyBorder="1" applyAlignment="1">
      <alignment horizontal="left" vertical="center" indent="4"/>
    </xf>
    <xf numFmtId="3" fontId="16" fillId="2" borderId="44" xfId="0" applyNumberFormat="1" applyFont="1" applyFill="1" applyBorder="1" applyAlignment="1">
      <alignment horizontal="center" vertical="center"/>
    </xf>
    <xf numFmtId="3" fontId="16" fillId="2" borderId="45" xfId="0" applyNumberFormat="1" applyFont="1" applyFill="1" applyBorder="1" applyAlignment="1">
      <alignment horizontal="center" vertical="center"/>
    </xf>
    <xf numFmtId="3" fontId="16" fillId="2" borderId="56" xfId="0" applyNumberFormat="1" applyFont="1" applyFill="1" applyBorder="1" applyAlignment="1">
      <alignment horizontal="center" vertical="center"/>
    </xf>
    <xf numFmtId="169" fontId="0" fillId="3" borderId="0" xfId="3" applyNumberFormat="1" applyFont="1" applyFill="1" applyAlignment="1">
      <alignment vertical="center"/>
    </xf>
    <xf numFmtId="0" fontId="14" fillId="2" borderId="5" xfId="0" applyFont="1" applyFill="1" applyBorder="1" applyAlignment="1">
      <alignment horizontal="left" vertical="center" indent="2"/>
    </xf>
    <xf numFmtId="0" fontId="14" fillId="2" borderId="12" xfId="0" applyFont="1" applyFill="1" applyBorder="1" applyAlignment="1">
      <alignment horizontal="left" vertical="center" indent="7"/>
    </xf>
    <xf numFmtId="170" fontId="14" fillId="2" borderId="9" xfId="0" applyNumberFormat="1" applyFont="1" applyFill="1" applyBorder="1" applyAlignment="1">
      <alignment horizontal="center" vertical="center"/>
    </xf>
    <xf numFmtId="166" fontId="27" fillId="2" borderId="9" xfId="0" applyNumberFormat="1" applyFont="1" applyFill="1" applyBorder="1" applyAlignment="1">
      <alignment horizontal="center" vertical="center"/>
    </xf>
    <xf numFmtId="166" fontId="27" fillId="2" borderId="9" xfId="0" applyNumberFormat="1" applyFont="1" applyFill="1" applyBorder="1" applyAlignment="1">
      <alignment horizontal="center" vertical="center" wrapText="1"/>
    </xf>
    <xf numFmtId="169" fontId="16" fillId="2" borderId="9" xfId="0" applyNumberFormat="1" applyFont="1" applyFill="1" applyBorder="1" applyAlignment="1">
      <alignment horizontal="center" vertical="center" wrapText="1"/>
    </xf>
    <xf numFmtId="0" fontId="0" fillId="3" borderId="57" xfId="0" applyFill="1" applyBorder="1" applyAlignment="1">
      <alignment vertical="center"/>
    </xf>
    <xf numFmtId="0" fontId="14" fillId="2" borderId="0" xfId="0" applyFont="1" applyFill="1" applyAlignment="1">
      <alignment horizontal="left" vertical="center" indent="2"/>
    </xf>
    <xf numFmtId="0" fontId="14" fillId="2" borderId="1" xfId="0" applyFont="1" applyFill="1" applyBorder="1" applyAlignment="1">
      <alignment horizontal="left" vertical="center" indent="2"/>
    </xf>
    <xf numFmtId="0" fontId="16" fillId="2" borderId="58" xfId="0" applyFont="1" applyFill="1" applyBorder="1" applyAlignment="1">
      <alignment horizontal="left" vertical="center" indent="4"/>
    </xf>
    <xf numFmtId="0" fontId="17" fillId="3" borderId="46" xfId="0" applyFont="1" applyFill="1" applyBorder="1" applyAlignment="1">
      <alignment vertical="center"/>
    </xf>
    <xf numFmtId="0" fontId="14" fillId="2" borderId="53" xfId="0" applyFont="1" applyFill="1" applyBorder="1" applyAlignment="1">
      <alignment horizontal="left" vertical="center" indent="4"/>
    </xf>
    <xf numFmtId="0" fontId="14" fillId="2" borderId="59" xfId="0" applyFont="1" applyFill="1" applyBorder="1" applyAlignment="1">
      <alignment horizontal="left" vertical="center" indent="2"/>
    </xf>
    <xf numFmtId="0" fontId="14" fillId="2" borderId="60" xfId="0" applyFont="1" applyFill="1" applyBorder="1" applyAlignment="1">
      <alignment horizontal="left" vertical="center" indent="2"/>
    </xf>
    <xf numFmtId="166" fontId="14" fillId="2" borderId="4" xfId="0" applyNumberFormat="1" applyFont="1" applyFill="1" applyBorder="1" applyAlignment="1">
      <alignment horizontal="center" vertical="center"/>
    </xf>
    <xf numFmtId="166" fontId="16" fillId="2" borderId="4" xfId="0" applyNumberFormat="1" applyFont="1" applyFill="1" applyBorder="1" applyAlignment="1">
      <alignment horizontal="center" vertical="center"/>
    </xf>
    <xf numFmtId="0" fontId="14" fillId="2" borderId="53" xfId="0" applyFont="1" applyFill="1" applyBorder="1" applyAlignment="1">
      <alignment horizontal="left" vertical="center" indent="3"/>
    </xf>
    <xf numFmtId="0" fontId="14" fillId="2" borderId="59" xfId="0" applyFont="1" applyFill="1" applyBorder="1" applyAlignment="1">
      <alignment horizontal="left" vertical="center" indent="1"/>
    </xf>
    <xf numFmtId="0" fontId="14" fillId="2" borderId="60" xfId="0" applyFont="1" applyFill="1" applyBorder="1" applyAlignment="1">
      <alignment horizontal="left" vertical="center" indent="1"/>
    </xf>
    <xf numFmtId="164" fontId="14" fillId="2" borderId="62" xfId="0" applyNumberFormat="1" applyFont="1" applyFill="1" applyBorder="1" applyAlignment="1">
      <alignment horizontal="center" vertical="center"/>
    </xf>
    <xf numFmtId="164" fontId="14" fillId="2" borderId="61" xfId="0" applyNumberFormat="1" applyFont="1" applyFill="1" applyBorder="1" applyAlignment="1">
      <alignment horizontal="center" vertical="center"/>
    </xf>
    <xf numFmtId="0" fontId="16" fillId="2" borderId="52" xfId="0" applyFont="1" applyFill="1" applyBorder="1" applyAlignment="1">
      <alignment horizontal="left" vertical="center" indent="2"/>
    </xf>
    <xf numFmtId="0" fontId="16" fillId="2" borderId="15" xfId="0" applyFont="1" applyFill="1" applyBorder="1" applyAlignment="1">
      <alignment horizontal="left" vertical="center" indent="6"/>
    </xf>
    <xf numFmtId="9" fontId="16" fillId="2" borderId="47" xfId="1" applyFont="1" applyFill="1" applyBorder="1" applyAlignment="1">
      <alignment horizontal="center" vertical="center"/>
    </xf>
    <xf numFmtId="0" fontId="27" fillId="2" borderId="12" xfId="0" applyFont="1" applyFill="1" applyBorder="1" applyAlignment="1">
      <alignment horizontal="left" vertical="center" indent="3"/>
    </xf>
    <xf numFmtId="3" fontId="14" fillId="2" borderId="4" xfId="0" applyNumberFormat="1" applyFont="1" applyFill="1" applyBorder="1" applyAlignment="1">
      <alignment horizontal="center" vertical="center"/>
    </xf>
    <xf numFmtId="0" fontId="0" fillId="3" borderId="63" xfId="0" applyFill="1" applyBorder="1" applyAlignment="1">
      <alignment vertical="center"/>
    </xf>
    <xf numFmtId="169" fontId="16" fillId="2" borderId="47" xfId="0" applyNumberFormat="1" applyFont="1" applyFill="1" applyBorder="1" applyAlignment="1">
      <alignment horizontal="center" vertical="center"/>
    </xf>
    <xf numFmtId="0" fontId="16" fillId="2" borderId="51" xfId="0" applyFont="1" applyFill="1" applyBorder="1" applyAlignment="1">
      <alignment horizontal="left" vertical="center" indent="4"/>
    </xf>
    <xf numFmtId="0" fontId="16" fillId="2" borderId="4" xfId="0" applyFont="1" applyFill="1" applyBorder="1" applyAlignment="1">
      <alignment horizontal="left" vertical="center" indent="4"/>
    </xf>
    <xf numFmtId="0" fontId="16" fillId="2" borderId="47" xfId="0" applyFont="1" applyFill="1" applyBorder="1" applyAlignment="1">
      <alignment horizontal="left" vertical="center" indent="4"/>
    </xf>
    <xf numFmtId="10" fontId="16" fillId="2" borderId="3" xfId="0" applyNumberFormat="1" applyFont="1" applyFill="1" applyBorder="1" applyAlignment="1">
      <alignment horizontal="center" vertical="center"/>
    </xf>
    <xf numFmtId="3" fontId="14" fillId="2" borderId="3" xfId="0" applyNumberFormat="1" applyFont="1" applyFill="1" applyBorder="1" applyAlignment="1">
      <alignment horizontal="center" vertical="center"/>
    </xf>
    <xf numFmtId="3" fontId="12" fillId="2" borderId="64" xfId="0" applyNumberFormat="1" applyFont="1" applyFill="1" applyBorder="1" applyAlignment="1">
      <alignment horizontal="center" vertical="center"/>
    </xf>
    <xf numFmtId="164" fontId="12" fillId="2" borderId="66" xfId="1" applyNumberFormat="1" applyFont="1" applyFill="1" applyBorder="1" applyAlignment="1">
      <alignment horizontal="center" vertical="center"/>
    </xf>
    <xf numFmtId="3" fontId="12" fillId="2" borderId="65" xfId="0" applyNumberFormat="1" applyFont="1" applyFill="1" applyBorder="1" applyAlignment="1">
      <alignment horizontal="center" vertical="center" wrapText="1"/>
    </xf>
    <xf numFmtId="164" fontId="12" fillId="2" borderId="29" xfId="1" applyNumberFormat="1" applyFont="1" applyFill="1" applyBorder="1" applyAlignment="1">
      <alignment horizontal="center" vertical="center"/>
    </xf>
    <xf numFmtId="0" fontId="12" fillId="2" borderId="15" xfId="0" applyFont="1" applyFill="1" applyBorder="1" applyAlignment="1">
      <alignment horizontal="left" vertical="center" wrapText="1" indent="4"/>
    </xf>
    <xf numFmtId="3" fontId="13" fillId="2" borderId="65" xfId="0" applyNumberFormat="1" applyFont="1" applyFill="1" applyBorder="1" applyAlignment="1">
      <alignment horizontal="center" vertical="center" wrapText="1"/>
    </xf>
    <xf numFmtId="172" fontId="16" fillId="2" borderId="0" xfId="0" applyNumberFormat="1" applyFont="1" applyFill="1" applyAlignment="1">
      <alignment horizontal="center" vertical="center"/>
    </xf>
    <xf numFmtId="7" fontId="0" fillId="3" borderId="0" xfId="0" applyNumberFormat="1" applyFill="1" applyAlignment="1">
      <alignment vertical="center"/>
    </xf>
    <xf numFmtId="10" fontId="12" fillId="2" borderId="0" xfId="0" applyNumberFormat="1" applyFont="1" applyFill="1" applyAlignment="1">
      <alignment vertical="top"/>
    </xf>
    <xf numFmtId="6" fontId="0" fillId="0" borderId="0" xfId="0" applyNumberFormat="1" applyAlignment="1">
      <alignment vertical="center"/>
    </xf>
    <xf numFmtId="10" fontId="12" fillId="2" borderId="0" xfId="0" applyNumberFormat="1" applyFont="1" applyFill="1" applyAlignment="1">
      <alignment horizontal="center" vertical="top"/>
    </xf>
    <xf numFmtId="10" fontId="12" fillId="2" borderId="7" xfId="0" applyNumberFormat="1" applyFont="1" applyFill="1" applyBorder="1" applyAlignment="1">
      <alignment horizontal="center" vertical="top"/>
    </xf>
    <xf numFmtId="0" fontId="16" fillId="2" borderId="8" xfId="0" applyFont="1" applyFill="1" applyBorder="1" applyAlignment="1">
      <alignment horizontal="left" vertical="center" indent="2"/>
    </xf>
    <xf numFmtId="0" fontId="14" fillId="2" borderId="31" xfId="0" applyFont="1" applyFill="1" applyBorder="1" applyAlignment="1">
      <alignment horizontal="center" vertical="center"/>
    </xf>
    <xf numFmtId="2" fontId="14" fillId="2" borderId="9" xfId="1" applyNumberFormat="1" applyFont="1" applyFill="1" applyBorder="1" applyAlignment="1">
      <alignment horizontal="center" vertical="center"/>
    </xf>
    <xf numFmtId="166" fontId="16" fillId="4" borderId="9" xfId="0" applyNumberFormat="1" applyFont="1" applyFill="1" applyBorder="1" applyAlignment="1">
      <alignment horizontal="center" vertical="center"/>
    </xf>
    <xf numFmtId="3" fontId="12" fillId="4" borderId="9" xfId="0" applyNumberFormat="1" applyFont="1" applyFill="1" applyBorder="1" applyAlignment="1">
      <alignment horizontal="center" vertical="center"/>
    </xf>
    <xf numFmtId="3" fontId="12" fillId="4" borderId="3" xfId="0" applyNumberFormat="1" applyFont="1" applyFill="1" applyBorder="1" applyAlignment="1">
      <alignment horizontal="center" vertical="center"/>
    </xf>
    <xf numFmtId="8" fontId="0" fillId="3" borderId="0" xfId="0" applyNumberFormat="1" applyFill="1" applyAlignment="1">
      <alignment vertical="center"/>
    </xf>
    <xf numFmtId="166" fontId="16" fillId="5" borderId="9" xfId="0" applyNumberFormat="1" applyFont="1" applyFill="1" applyBorder="1" applyAlignment="1">
      <alignment horizontal="center" vertical="center"/>
    </xf>
    <xf numFmtId="166" fontId="16" fillId="5" borderId="47" xfId="0" applyNumberFormat="1" applyFont="1" applyFill="1" applyBorder="1" applyAlignment="1">
      <alignment horizontal="center" vertical="center"/>
    </xf>
    <xf numFmtId="166" fontId="14" fillId="5" borderId="47" xfId="0" applyNumberFormat="1" applyFont="1" applyFill="1" applyBorder="1" applyAlignment="1">
      <alignment horizontal="center" vertical="center"/>
    </xf>
    <xf numFmtId="10" fontId="16" fillId="6" borderId="9" xfId="0" applyNumberFormat="1" applyFont="1" applyFill="1" applyBorder="1" applyAlignment="1">
      <alignment horizontal="center" vertical="center"/>
    </xf>
    <xf numFmtId="10" fontId="16" fillId="6" borderId="3" xfId="0" applyNumberFormat="1" applyFont="1" applyFill="1" applyBorder="1" applyAlignment="1">
      <alignment horizontal="center" vertical="center"/>
    </xf>
    <xf numFmtId="3" fontId="12" fillId="5" borderId="3" xfId="0" applyNumberFormat="1" applyFont="1" applyFill="1" applyBorder="1" applyAlignment="1">
      <alignment horizontal="center" vertical="center"/>
    </xf>
    <xf numFmtId="10" fontId="12" fillId="2" borderId="0" xfId="0" applyNumberFormat="1" applyFont="1" applyFill="1" applyAlignment="1">
      <alignment horizontal="center" vertical="top"/>
    </xf>
    <xf numFmtId="10" fontId="12" fillId="2" borderId="7" xfId="0" applyNumberFormat="1" applyFont="1" applyFill="1" applyBorder="1" applyAlignment="1">
      <alignment horizontal="center" vertical="top"/>
    </xf>
    <xf numFmtId="0" fontId="12" fillId="2" borderId="0" xfId="0" applyFont="1" applyFill="1" applyAlignment="1">
      <alignment horizontal="right" vertical="center" textRotation="90"/>
    </xf>
    <xf numFmtId="0" fontId="9" fillId="3" borderId="0" xfId="0" applyFont="1" applyFill="1" applyAlignment="1">
      <alignment horizontal="center" vertical="center" shrinkToFit="1"/>
    </xf>
    <xf numFmtId="0" fontId="9" fillId="3" borderId="2" xfId="0" applyFont="1" applyFill="1" applyBorder="1" applyAlignment="1">
      <alignment horizontal="center" vertical="center" shrinkToFit="1"/>
    </xf>
    <xf numFmtId="0" fontId="9" fillId="3" borderId="0" xfId="0" applyFont="1" applyFill="1" applyAlignment="1">
      <alignment horizontal="center" vertical="center"/>
    </xf>
    <xf numFmtId="0" fontId="0" fillId="0" borderId="1" xfId="0" applyBorder="1" applyAlignment="1">
      <alignment horizontal="left" vertical="center"/>
    </xf>
    <xf numFmtId="0" fontId="16" fillId="2" borderId="8" xfId="0" applyFont="1" applyFill="1" applyBorder="1" applyAlignment="1">
      <alignment horizontal="left" vertical="center" indent="4"/>
    </xf>
    <xf numFmtId="0" fontId="16" fillId="2" borderId="3" xfId="0" applyFont="1" applyFill="1" applyBorder="1" applyAlignment="1">
      <alignment horizontal="left" vertical="center" indent="4"/>
    </xf>
    <xf numFmtId="0" fontId="16" fillId="2" borderId="9" xfId="0" applyFont="1" applyFill="1" applyBorder="1" applyAlignment="1">
      <alignment horizontal="left" vertical="center" indent="4"/>
    </xf>
    <xf numFmtId="0" fontId="16" fillId="2" borderId="5" xfId="0" applyFont="1" applyFill="1" applyBorder="1" applyAlignment="1">
      <alignment horizontal="left" vertical="center" indent="2"/>
    </xf>
    <xf numFmtId="0" fontId="16" fillId="2" borderId="2" xfId="0" applyFont="1" applyFill="1" applyBorder="1" applyAlignment="1">
      <alignment horizontal="left" vertical="center" indent="2"/>
    </xf>
    <xf numFmtId="0" fontId="16" fillId="2" borderId="11" xfId="0" applyFont="1" applyFill="1" applyBorder="1" applyAlignment="1">
      <alignment horizontal="left" vertical="center" indent="2"/>
    </xf>
    <xf numFmtId="0" fontId="16" fillId="2" borderId="8" xfId="0" applyFont="1" applyFill="1" applyBorder="1" applyAlignment="1">
      <alignment horizontal="left" vertical="center" indent="2"/>
    </xf>
    <xf numFmtId="0" fontId="16" fillId="2" borderId="3" xfId="0" applyFont="1" applyFill="1" applyBorder="1" applyAlignment="1">
      <alignment horizontal="left" vertical="center" indent="2"/>
    </xf>
    <xf numFmtId="0" fontId="16" fillId="2" borderId="9" xfId="0" applyFont="1" applyFill="1" applyBorder="1" applyAlignment="1">
      <alignment horizontal="left" vertical="center" indent="2"/>
    </xf>
    <xf numFmtId="0" fontId="14" fillId="2" borderId="5" xfId="0" applyFont="1" applyFill="1" applyBorder="1" applyAlignment="1">
      <alignment horizontal="left" vertical="center" indent="2"/>
    </xf>
    <xf numFmtId="0" fontId="14" fillId="2" borderId="2" xfId="0" applyFont="1" applyFill="1" applyBorder="1" applyAlignment="1">
      <alignment horizontal="left" vertical="center" indent="2"/>
    </xf>
    <xf numFmtId="0" fontId="14" fillId="2" borderId="11" xfId="0" applyFont="1" applyFill="1" applyBorder="1" applyAlignment="1">
      <alignment horizontal="left" vertical="center" indent="2"/>
    </xf>
    <xf numFmtId="0" fontId="16" fillId="2" borderId="5" xfId="0" applyFont="1" applyFill="1" applyBorder="1" applyAlignment="1">
      <alignment horizontal="left" vertical="center" indent="6"/>
    </xf>
    <xf numFmtId="0" fontId="16" fillId="2" borderId="2" xfId="0" applyFont="1" applyFill="1" applyBorder="1" applyAlignment="1">
      <alignment horizontal="left" vertical="center" indent="6"/>
    </xf>
    <xf numFmtId="0" fontId="16" fillId="2" borderId="11" xfId="0" applyFont="1" applyFill="1" applyBorder="1" applyAlignment="1">
      <alignment horizontal="left" vertical="center" indent="6"/>
    </xf>
    <xf numFmtId="0" fontId="18" fillId="2" borderId="5" xfId="0" applyFont="1" applyFill="1" applyBorder="1" applyAlignment="1">
      <alignment horizontal="left" vertical="center" indent="4"/>
    </xf>
    <xf numFmtId="0" fontId="18" fillId="2" borderId="2" xfId="0" applyFont="1" applyFill="1" applyBorder="1" applyAlignment="1">
      <alignment horizontal="left" vertical="center" indent="4"/>
    </xf>
    <xf numFmtId="0" fontId="18" fillId="2" borderId="11" xfId="0" applyFont="1" applyFill="1" applyBorder="1" applyAlignment="1">
      <alignment horizontal="left" vertical="center" indent="4"/>
    </xf>
    <xf numFmtId="0" fontId="16" fillId="2" borderId="5" xfId="0" applyFont="1" applyFill="1" applyBorder="1" applyAlignment="1">
      <alignment horizontal="left" vertical="center" indent="4"/>
    </xf>
    <xf numFmtId="0" fontId="16" fillId="2" borderId="2" xfId="0" applyFont="1" applyFill="1" applyBorder="1" applyAlignment="1">
      <alignment horizontal="left" vertical="center" indent="4"/>
    </xf>
    <xf numFmtId="0" fontId="16" fillId="2" borderId="11" xfId="0" applyFont="1" applyFill="1" applyBorder="1" applyAlignment="1">
      <alignment horizontal="left" vertical="center" indent="4"/>
    </xf>
    <xf numFmtId="0" fontId="16" fillId="2" borderId="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8" xfId="0" applyFont="1" applyFill="1" applyBorder="1" applyAlignment="1">
      <alignment horizontal="left" vertical="center" indent="8"/>
    </xf>
    <xf numFmtId="0" fontId="16" fillId="2" borderId="3" xfId="0" applyFont="1" applyFill="1" applyBorder="1" applyAlignment="1">
      <alignment horizontal="left" vertical="center" indent="8"/>
    </xf>
    <xf numFmtId="0" fontId="16" fillId="2" borderId="9" xfId="0" applyFont="1" applyFill="1" applyBorder="1" applyAlignment="1">
      <alignment horizontal="left" vertical="center" indent="8"/>
    </xf>
    <xf numFmtId="0" fontId="16" fillId="2" borderId="5" xfId="0" applyFont="1" applyFill="1" applyBorder="1" applyAlignment="1">
      <alignment horizontal="left" vertical="center" indent="8"/>
    </xf>
    <xf numFmtId="0" fontId="16" fillId="2" borderId="2" xfId="0" applyFont="1" applyFill="1" applyBorder="1" applyAlignment="1">
      <alignment horizontal="left" vertical="center" indent="8"/>
    </xf>
    <xf numFmtId="0" fontId="16" fillId="2" borderId="11" xfId="0" applyFont="1" applyFill="1" applyBorder="1" applyAlignment="1">
      <alignment horizontal="left" vertical="center" indent="8"/>
    </xf>
    <xf numFmtId="0" fontId="16" fillId="2" borderId="8" xfId="0" applyFont="1" applyFill="1" applyBorder="1" applyAlignment="1">
      <alignment horizontal="left" vertical="center" indent="6"/>
    </xf>
    <xf numFmtId="0" fontId="16" fillId="2" borderId="3" xfId="0" applyFont="1" applyFill="1" applyBorder="1" applyAlignment="1">
      <alignment horizontal="left" vertical="center" indent="6"/>
    </xf>
    <xf numFmtId="0" fontId="16" fillId="2" borderId="9" xfId="0" applyFont="1" applyFill="1" applyBorder="1" applyAlignment="1">
      <alignment horizontal="left" vertical="center" indent="6"/>
    </xf>
    <xf numFmtId="0" fontId="18" fillId="2" borderId="6" xfId="0" applyFont="1" applyFill="1" applyBorder="1" applyAlignment="1">
      <alignment horizontal="left" vertical="center" indent="4"/>
    </xf>
    <xf numFmtId="0" fontId="18" fillId="2" borderId="0" xfId="0" applyFont="1" applyFill="1" applyAlignment="1">
      <alignment horizontal="left" vertical="center" indent="4"/>
    </xf>
    <xf numFmtId="0" fontId="18" fillId="2" borderId="1" xfId="0" applyFont="1" applyFill="1" applyBorder="1" applyAlignment="1">
      <alignment horizontal="left" vertical="center" indent="4"/>
    </xf>
    <xf numFmtId="0" fontId="18" fillId="2" borderId="6" xfId="0" applyFont="1" applyFill="1" applyBorder="1" applyAlignment="1">
      <alignment horizontal="left" vertical="center" indent="2"/>
    </xf>
    <xf numFmtId="0" fontId="18" fillId="2" borderId="0" xfId="0" applyFont="1" applyFill="1" applyAlignment="1">
      <alignment horizontal="left" vertical="center" indent="2"/>
    </xf>
    <xf numFmtId="0" fontId="18" fillId="2" borderId="1" xfId="0" applyFont="1" applyFill="1" applyBorder="1" applyAlignment="1">
      <alignment horizontal="left" vertical="center" indent="2"/>
    </xf>
    <xf numFmtId="0" fontId="14" fillId="2" borderId="5" xfId="0" applyFont="1" applyFill="1" applyBorder="1" applyAlignment="1">
      <alignment horizontal="left" vertical="center" indent="4"/>
    </xf>
    <xf numFmtId="0" fontId="14" fillId="2" borderId="2" xfId="0" applyFont="1" applyFill="1" applyBorder="1" applyAlignment="1">
      <alignment horizontal="left" vertical="center" indent="4"/>
    </xf>
    <xf numFmtId="0" fontId="14" fillId="2" borderId="11" xfId="0" applyFont="1" applyFill="1" applyBorder="1" applyAlignment="1">
      <alignment horizontal="left" vertical="center" indent="4"/>
    </xf>
    <xf numFmtId="0" fontId="14" fillId="2" borderId="5" xfId="0" applyFont="1" applyFill="1" applyBorder="1" applyAlignment="1">
      <alignment horizontal="left" vertical="center" indent="6"/>
    </xf>
    <xf numFmtId="0" fontId="14" fillId="2" borderId="2" xfId="0" applyFont="1" applyFill="1" applyBorder="1" applyAlignment="1">
      <alignment horizontal="left" vertical="center" indent="6"/>
    </xf>
    <xf numFmtId="0" fontId="14" fillId="2" borderId="11" xfId="0" applyFont="1" applyFill="1" applyBorder="1" applyAlignment="1">
      <alignment horizontal="left" vertical="center" indent="6"/>
    </xf>
    <xf numFmtId="0" fontId="14" fillId="2" borderId="6" xfId="0" applyFont="1" applyFill="1" applyBorder="1" applyAlignment="1">
      <alignment horizontal="left" vertical="center" indent="2"/>
    </xf>
    <xf numFmtId="0" fontId="14" fillId="2" borderId="0" xfId="0" applyFont="1" applyFill="1" applyAlignment="1">
      <alignment horizontal="left" vertical="center" indent="2"/>
    </xf>
    <xf numFmtId="0" fontId="14" fillId="2" borderId="1" xfId="0" applyFont="1" applyFill="1" applyBorder="1" applyAlignment="1">
      <alignment horizontal="left" vertical="center" indent="2"/>
    </xf>
    <xf numFmtId="0" fontId="14" fillId="2" borderId="8" xfId="0" applyFont="1" applyFill="1" applyBorder="1" applyAlignment="1">
      <alignment horizontal="left" vertical="center" indent="2"/>
    </xf>
    <xf numFmtId="0" fontId="14" fillId="2" borderId="3" xfId="0" applyFont="1" applyFill="1" applyBorder="1" applyAlignment="1">
      <alignment horizontal="left" vertical="center" indent="2"/>
    </xf>
    <xf numFmtId="0" fontId="14" fillId="2" borderId="9" xfId="0" applyFont="1" applyFill="1" applyBorder="1" applyAlignment="1">
      <alignment horizontal="left" vertical="center" indent="2"/>
    </xf>
    <xf numFmtId="0" fontId="9" fillId="3" borderId="20" xfId="0" applyFont="1" applyFill="1" applyBorder="1" applyAlignment="1">
      <alignment horizontal="center" vertical="center"/>
    </xf>
    <xf numFmtId="0" fontId="9" fillId="3" borderId="24" xfId="0" applyFont="1" applyFill="1" applyBorder="1" applyAlignment="1">
      <alignment horizontal="center" vertical="center"/>
    </xf>
    <xf numFmtId="0" fontId="16" fillId="2" borderId="5" xfId="0" applyFont="1" applyFill="1" applyBorder="1" applyAlignment="1">
      <alignment horizontal="left" vertical="center" indent="3"/>
    </xf>
    <xf numFmtId="0" fontId="16" fillId="2" borderId="2" xfId="0" applyFont="1" applyFill="1" applyBorder="1" applyAlignment="1">
      <alignment horizontal="left" vertical="center" indent="3"/>
    </xf>
    <xf numFmtId="0" fontId="16" fillId="2" borderId="11" xfId="0" applyFont="1" applyFill="1" applyBorder="1" applyAlignment="1">
      <alignment horizontal="left" vertical="center" indent="3"/>
    </xf>
    <xf numFmtId="0" fontId="16" fillId="2" borderId="6" xfId="0" applyFont="1" applyFill="1" applyBorder="1" applyAlignment="1">
      <alignment horizontal="left" vertical="center" indent="3"/>
    </xf>
    <xf numFmtId="0" fontId="16" fillId="2" borderId="0" xfId="0" applyFont="1" applyFill="1" applyAlignment="1">
      <alignment horizontal="left" vertical="center" indent="3"/>
    </xf>
    <xf numFmtId="0" fontId="16" fillId="2" borderId="1" xfId="0" applyFont="1" applyFill="1" applyBorder="1" applyAlignment="1">
      <alignment horizontal="left" vertical="center" indent="3"/>
    </xf>
    <xf numFmtId="0" fontId="14" fillId="2" borderId="8" xfId="0" applyFont="1" applyFill="1" applyBorder="1" applyAlignment="1">
      <alignment horizontal="left" vertical="center" indent="4"/>
    </xf>
    <xf numFmtId="0" fontId="14" fillId="2" borderId="3" xfId="0" applyFont="1" applyFill="1" applyBorder="1" applyAlignment="1">
      <alignment horizontal="left" vertical="center" indent="4"/>
    </xf>
    <xf numFmtId="0" fontId="14" fillId="2" borderId="9" xfId="0" applyFont="1" applyFill="1" applyBorder="1" applyAlignment="1">
      <alignment horizontal="left" vertical="center" indent="4"/>
    </xf>
    <xf numFmtId="0" fontId="14" fillId="2" borderId="8" xfId="0" applyFont="1" applyFill="1" applyBorder="1" applyAlignment="1">
      <alignment horizontal="left" vertical="center" indent="5"/>
    </xf>
    <xf numFmtId="0" fontId="14" fillId="2" borderId="3" xfId="0" applyFont="1" applyFill="1" applyBorder="1" applyAlignment="1">
      <alignment horizontal="left" vertical="center" indent="5"/>
    </xf>
    <xf numFmtId="0" fontId="14" fillId="2" borderId="9" xfId="0" applyFont="1" applyFill="1" applyBorder="1" applyAlignment="1">
      <alignment horizontal="left" vertical="center" indent="5"/>
    </xf>
    <xf numFmtId="0" fontId="16" fillId="2" borderId="51" xfId="0" applyFont="1" applyFill="1" applyBorder="1" applyAlignment="1">
      <alignment horizontal="left" vertical="center" indent="4"/>
    </xf>
    <xf numFmtId="0" fontId="16" fillId="2" borderId="4" xfId="0" applyFont="1" applyFill="1" applyBorder="1" applyAlignment="1">
      <alignment horizontal="left" vertical="center" indent="4"/>
    </xf>
    <xf numFmtId="0" fontId="16" fillId="2" borderId="47" xfId="0" applyFont="1" applyFill="1" applyBorder="1" applyAlignment="1">
      <alignment horizontal="left" vertical="center" indent="4"/>
    </xf>
    <xf numFmtId="43" fontId="9" fillId="3" borderId="0" xfId="3" applyFont="1" applyFill="1" applyAlignment="1">
      <alignment horizontal="center" vertical="center"/>
    </xf>
    <xf numFmtId="43" fontId="9" fillId="3" borderId="24" xfId="3" applyFont="1" applyFill="1" applyBorder="1" applyAlignment="1">
      <alignment horizontal="center" vertical="center"/>
    </xf>
    <xf numFmtId="0" fontId="9" fillId="3" borderId="2" xfId="0" applyFont="1" applyFill="1" applyBorder="1" applyAlignment="1">
      <alignment horizontal="center" vertical="center"/>
    </xf>
    <xf numFmtId="0" fontId="14" fillId="5" borderId="1" xfId="0" applyFont="1" applyFill="1" applyBorder="1" applyAlignment="1">
      <alignment horizontal="center" vertical="center"/>
    </xf>
  </cellXfs>
  <cellStyles count="5">
    <cellStyle name="Moeda" xfId="4" builtinId="4"/>
    <cellStyle name="Normal" xfId="0" builtinId="0"/>
    <cellStyle name="Normal 2" xfId="2" xr:uid="{2D6B5196-4656-4F66-A1AD-064433AF1156}"/>
    <cellStyle name="Porcentagem" xfId="1" builtinId="5"/>
    <cellStyle name="Vírgula" xfId="3" builtinId="3"/>
  </cellStyles>
  <dxfs count="181">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4" formatCode="&quot;-&quot;"/>
    </dxf>
    <dxf>
      <numFmt numFmtId="174" formatCode="&quot;-&quot;"/>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3" formatCode="\-"/>
    </dxf>
    <dxf>
      <numFmt numFmtId="173" formatCode="\-"/>
    </dxf>
    <dxf>
      <numFmt numFmtId="173" formatCode="\-"/>
    </dxf>
    <dxf>
      <numFmt numFmtId="173" formatCode="\-"/>
    </dxf>
    <dxf>
      <numFmt numFmtId="174" formatCode="&quot;-&quot;"/>
    </dxf>
    <dxf>
      <numFmt numFmtId="173" formatCode="\-"/>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3" formatCode="\-"/>
    </dxf>
    <dxf>
      <numFmt numFmtId="174" formatCode="&quot;-&quot;"/>
    </dxf>
    <dxf>
      <numFmt numFmtId="174" formatCode="&quot;-&quot;"/>
    </dxf>
    <dxf>
      <numFmt numFmtId="173" formatCode="\-"/>
    </dxf>
    <dxf>
      <numFmt numFmtId="173" formatCode="\-"/>
    </dxf>
    <dxf>
      <numFmt numFmtId="174" formatCode="&quot;-&quot;"/>
    </dxf>
    <dxf>
      <numFmt numFmtId="173" formatCode="\-"/>
    </dxf>
    <dxf>
      <numFmt numFmtId="174" formatCode="&quot;-&quot;"/>
    </dxf>
    <dxf>
      <numFmt numFmtId="174" formatCode="&quot;-&quot;"/>
    </dxf>
    <dxf>
      <numFmt numFmtId="174" formatCode="&quot;-&quot;"/>
    </dxf>
    <dxf>
      <font>
        <color rgb="FF00C556"/>
      </font>
    </dxf>
    <dxf>
      <font>
        <color rgb="FFFF5757"/>
      </font>
    </dxf>
  </dxfs>
  <tableStyles count="0" defaultTableStyle="TableStyleMedium2" defaultPivotStyle="PivotStyleLight16"/>
  <colors>
    <mruColors>
      <color rgb="FF00C556"/>
      <color rgb="FFD9FBE2"/>
      <color rgb="FFC0F8C7"/>
      <color rgb="FF30E278"/>
      <color rgb="FF199144"/>
      <color rgb="FF2E6D41"/>
      <color rgb="FF00CC66"/>
      <color rgb="FF00FF00"/>
      <color rgb="FF339966"/>
      <color rgb="FFAD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200024</xdr:rowOff>
    </xdr:from>
    <xdr:to>
      <xdr:col>18</xdr:col>
      <xdr:colOff>0</xdr:colOff>
      <xdr:row>7</xdr:row>
      <xdr:rowOff>285750</xdr:rowOff>
    </xdr:to>
    <xdr:sp macro="" textlink="">
      <xdr:nvSpPr>
        <xdr:cNvPr id="3" name="Retângulo: Cantos Superiores Arredondados 2">
          <a:extLst>
            <a:ext uri="{FF2B5EF4-FFF2-40B4-BE49-F238E27FC236}">
              <a16:creationId xmlns:a16="http://schemas.microsoft.com/office/drawing/2014/main" id="{00000000-0008-0000-0000-000003000000}"/>
            </a:ext>
          </a:extLst>
        </xdr:cNvPr>
        <xdr:cNvSpPr/>
      </xdr:nvSpPr>
      <xdr:spPr>
        <a:xfrm>
          <a:off x="4438650" y="1343024"/>
          <a:ext cx="11620500" cy="40005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Dashboard</a:t>
          </a:r>
        </a:p>
      </xdr:txBody>
    </xdr:sp>
    <xdr:clientData/>
  </xdr:twoCellAnchor>
  <xdr:twoCellAnchor>
    <xdr:from>
      <xdr:col>4</xdr:col>
      <xdr:colOff>0</xdr:colOff>
      <xdr:row>20</xdr:row>
      <xdr:rowOff>349344</xdr:rowOff>
    </xdr:from>
    <xdr:to>
      <xdr:col>18</xdr:col>
      <xdr:colOff>3375</xdr:colOff>
      <xdr:row>21</xdr:row>
      <xdr:rowOff>73119</xdr:rowOff>
    </xdr:to>
    <xdr:grpSp>
      <xdr:nvGrpSpPr>
        <xdr:cNvPr id="4" name="Agrupar 3">
          <a:extLst>
            <a:ext uri="{FF2B5EF4-FFF2-40B4-BE49-F238E27FC236}">
              <a16:creationId xmlns:a16="http://schemas.microsoft.com/office/drawing/2014/main" id="{00000000-0008-0000-0000-000004000000}"/>
            </a:ext>
          </a:extLst>
        </xdr:cNvPr>
        <xdr:cNvGrpSpPr/>
      </xdr:nvGrpSpPr>
      <xdr:grpSpPr>
        <a:xfrm>
          <a:off x="4997824" y="6759109"/>
          <a:ext cx="14145198" cy="104775"/>
          <a:chOff x="5048250" y="5231131"/>
          <a:chExt cx="9258300" cy="179069"/>
        </a:xfrm>
      </xdr:grpSpPr>
      <xdr:sp macro="" textlink="">
        <xdr:nvSpPr>
          <xdr:cNvPr id="5" name="Retângulo: Cantos Superiores Arredondados 4">
            <a:extLst>
              <a:ext uri="{FF2B5EF4-FFF2-40B4-BE49-F238E27FC236}">
                <a16:creationId xmlns:a16="http://schemas.microsoft.com/office/drawing/2014/main" id="{00000000-0008-0000-0000-000005000000}"/>
              </a:ext>
            </a:extLst>
          </xdr:cNvPr>
          <xdr:cNvSpPr/>
        </xdr:nvSpPr>
        <xdr:spPr>
          <a:xfrm rot="10800000">
            <a:off x="5048250" y="5276847"/>
            <a:ext cx="9258300" cy="133353"/>
          </a:xfrm>
          <a:prstGeom prst="round2SameRect">
            <a:avLst/>
          </a:prstGeom>
          <a:solidFill>
            <a:schemeClr val="bg1"/>
          </a:solidFill>
          <a:ln w="19050">
            <a:solidFill>
              <a:srgbClr val="E5E7EB"/>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t-BR" sz="1100" b="0">
              <a:solidFill>
                <a:schemeClr val="tx1">
                  <a:lumMod val="75000"/>
                  <a:lumOff val="25000"/>
                </a:schemeClr>
              </a:solidFill>
              <a:latin typeface="SF Pro Display" panose="00000500000000000000" pitchFamily="2" charset="0"/>
              <a:ea typeface="SF Pro Display" panose="00000500000000000000" pitchFamily="2" charset="0"/>
            </a:endParaRPr>
          </a:p>
        </xdr:txBody>
      </xdr:sp>
      <xdr:sp macro="" textlink="">
        <xdr:nvSpPr>
          <xdr:cNvPr id="6" name="Retângulo 5">
            <a:extLst>
              <a:ext uri="{FF2B5EF4-FFF2-40B4-BE49-F238E27FC236}">
                <a16:creationId xmlns:a16="http://schemas.microsoft.com/office/drawing/2014/main" id="{00000000-0008-0000-0000-000006000000}"/>
              </a:ext>
            </a:extLst>
          </xdr:cNvPr>
          <xdr:cNvSpPr/>
        </xdr:nvSpPr>
        <xdr:spPr>
          <a:xfrm>
            <a:off x="5057774" y="5231131"/>
            <a:ext cx="9234000" cy="45719"/>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4</xdr:col>
      <xdr:colOff>0</xdr:colOff>
      <xdr:row>23</xdr:row>
      <xdr:rowOff>0</xdr:rowOff>
    </xdr:from>
    <xdr:to>
      <xdr:col>6</xdr:col>
      <xdr:colOff>0</xdr:colOff>
      <xdr:row>24</xdr:row>
      <xdr:rowOff>14289</xdr:rowOff>
    </xdr:to>
    <xdr:sp macro="" textlink="">
      <xdr:nvSpPr>
        <xdr:cNvPr id="7" name="Retângulo: Cantos Superiores Arredondados 6">
          <a:extLst>
            <a:ext uri="{FF2B5EF4-FFF2-40B4-BE49-F238E27FC236}">
              <a16:creationId xmlns:a16="http://schemas.microsoft.com/office/drawing/2014/main" id="{A7134545-4323-4AFE-9131-D322742B9F5A}"/>
            </a:ext>
          </a:extLst>
        </xdr:cNvPr>
        <xdr:cNvSpPr/>
      </xdr:nvSpPr>
      <xdr:spPr>
        <a:xfrm>
          <a:off x="5000625" y="6786563"/>
          <a:ext cx="5012531"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Ativos</a:t>
          </a:r>
          <a:r>
            <a:rPr lang="pt-BR" sz="1100" baseline="0">
              <a:solidFill>
                <a:schemeClr val="tx1">
                  <a:lumMod val="75000"/>
                  <a:lumOff val="25000"/>
                </a:schemeClr>
              </a:solidFill>
              <a:latin typeface="+mn-lt"/>
              <a:ea typeface="SF Pro Display" panose="00000500000000000000" pitchFamily="2" charset="0"/>
            </a:rPr>
            <a:t> Não-Operacionais</a:t>
          </a:r>
          <a:endParaRPr lang="pt-BR" sz="1100">
            <a:solidFill>
              <a:schemeClr val="tx1">
                <a:lumMod val="75000"/>
                <a:lumOff val="25000"/>
              </a:schemeClr>
            </a:solidFill>
            <a:latin typeface="+mn-lt"/>
            <a:ea typeface="SF Pro Display" panose="00000500000000000000" pitchFamily="2" charset="0"/>
          </a:endParaRPr>
        </a:p>
      </xdr:txBody>
    </xdr:sp>
    <xdr:clientData/>
  </xdr:twoCellAnchor>
  <xdr:twoCellAnchor>
    <xdr:from>
      <xdr:col>7</xdr:col>
      <xdr:colOff>7144</xdr:colOff>
      <xdr:row>22</xdr:row>
      <xdr:rowOff>238125</xdr:rowOff>
    </xdr:from>
    <xdr:to>
      <xdr:col>11</xdr:col>
      <xdr:colOff>23812</xdr:colOff>
      <xdr:row>24</xdr:row>
      <xdr:rowOff>11906</xdr:rowOff>
    </xdr:to>
    <xdr:sp macro="" textlink="">
      <xdr:nvSpPr>
        <xdr:cNvPr id="8" name="Retângulo: Cantos Superiores Arredondados 7">
          <a:extLst>
            <a:ext uri="{FF2B5EF4-FFF2-40B4-BE49-F238E27FC236}">
              <a16:creationId xmlns:a16="http://schemas.microsoft.com/office/drawing/2014/main" id="{4CDEEBAC-4D72-4CA7-9964-34C7C587226A}"/>
            </a:ext>
          </a:extLst>
        </xdr:cNvPr>
        <xdr:cNvSpPr/>
      </xdr:nvSpPr>
      <xdr:spPr>
        <a:xfrm>
          <a:off x="9972675" y="6643688"/>
          <a:ext cx="4529137" cy="53578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Valuation</a:t>
          </a:r>
          <a:r>
            <a:rPr lang="pt-BR" sz="1100" baseline="0">
              <a:solidFill>
                <a:schemeClr val="tx1">
                  <a:lumMod val="75000"/>
                  <a:lumOff val="25000"/>
                </a:schemeClr>
              </a:solidFill>
              <a:latin typeface="+mn-lt"/>
              <a:ea typeface="SF Pro Display" panose="00000500000000000000" pitchFamily="2" charset="0"/>
            </a:rPr>
            <a:t> Empresas de Capital Aberto</a:t>
          </a:r>
        </a:p>
      </xdr:txBody>
    </xdr:sp>
    <xdr:clientData/>
  </xdr:twoCellAnchor>
  <xdr:twoCellAnchor>
    <xdr:from>
      <xdr:col>4</xdr:col>
      <xdr:colOff>0</xdr:colOff>
      <xdr:row>30</xdr:row>
      <xdr:rowOff>0</xdr:rowOff>
    </xdr:from>
    <xdr:to>
      <xdr:col>6</xdr:col>
      <xdr:colOff>0</xdr:colOff>
      <xdr:row>31</xdr:row>
      <xdr:rowOff>14289</xdr:rowOff>
    </xdr:to>
    <xdr:sp macro="" textlink="">
      <xdr:nvSpPr>
        <xdr:cNvPr id="10" name="Retângulo: Cantos Superiores Arredondados 6">
          <a:extLst>
            <a:ext uri="{FF2B5EF4-FFF2-40B4-BE49-F238E27FC236}">
              <a16:creationId xmlns:a16="http://schemas.microsoft.com/office/drawing/2014/main" id="{6D90EA11-6348-4FC3-BD5A-BC00F285ADED}"/>
            </a:ext>
          </a:extLst>
        </xdr:cNvPr>
        <xdr:cNvSpPr/>
      </xdr:nvSpPr>
      <xdr:spPr>
        <a:xfrm>
          <a:off x="5000625" y="9453563"/>
          <a:ext cx="4476750"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Dívida</a:t>
          </a:r>
        </a:p>
      </xdr:txBody>
    </xdr:sp>
    <xdr:clientData/>
  </xdr:twoCellAnchor>
  <xdr:twoCellAnchor>
    <xdr:from>
      <xdr:col>6</xdr:col>
      <xdr:colOff>1023937</xdr:colOff>
      <xdr:row>29</xdr:row>
      <xdr:rowOff>238125</xdr:rowOff>
    </xdr:from>
    <xdr:to>
      <xdr:col>11</xdr:col>
      <xdr:colOff>23812</xdr:colOff>
      <xdr:row>31</xdr:row>
      <xdr:rowOff>35718</xdr:rowOff>
    </xdr:to>
    <xdr:sp macro="" textlink="">
      <xdr:nvSpPr>
        <xdr:cNvPr id="12" name="Retângulo: Cantos Superiores Arredondados 7">
          <a:extLst>
            <a:ext uri="{FF2B5EF4-FFF2-40B4-BE49-F238E27FC236}">
              <a16:creationId xmlns:a16="http://schemas.microsoft.com/office/drawing/2014/main" id="{9DE7E639-73B4-4D34-93AF-1FC9C41A1298}"/>
            </a:ext>
          </a:extLst>
        </xdr:cNvPr>
        <xdr:cNvSpPr/>
      </xdr:nvSpPr>
      <xdr:spPr>
        <a:xfrm>
          <a:off x="11132343" y="6643688"/>
          <a:ext cx="3036094" cy="559593"/>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Valor</a:t>
          </a:r>
          <a:r>
            <a:rPr lang="pt-BR" sz="1100" baseline="0">
              <a:solidFill>
                <a:schemeClr val="tx1">
                  <a:lumMod val="75000"/>
                  <a:lumOff val="25000"/>
                </a:schemeClr>
              </a:solidFill>
              <a:latin typeface="+mn-lt"/>
              <a:ea typeface="SF Pro Display" panose="00000500000000000000" pitchFamily="2" charset="0"/>
            </a:rPr>
            <a:t> de Mercado das Empresas em 10/05/2024</a:t>
          </a:r>
        </a:p>
      </xdr:txBody>
    </xdr:sp>
    <xdr:clientData/>
  </xdr:twoCellAnchor>
  <xdr:twoCellAnchor>
    <xdr:from>
      <xdr:col>3</xdr:col>
      <xdr:colOff>1176338</xdr:colOff>
      <xdr:row>36</xdr:row>
      <xdr:rowOff>377918</xdr:rowOff>
    </xdr:from>
    <xdr:to>
      <xdr:col>5</xdr:col>
      <xdr:colOff>1259682</xdr:colOff>
      <xdr:row>38</xdr:row>
      <xdr:rowOff>11207</xdr:rowOff>
    </xdr:to>
    <xdr:sp macro="" textlink="">
      <xdr:nvSpPr>
        <xdr:cNvPr id="9" name="Retângulo: Cantos Superiores Arredondados 6">
          <a:extLst>
            <a:ext uri="{FF2B5EF4-FFF2-40B4-BE49-F238E27FC236}">
              <a16:creationId xmlns:a16="http://schemas.microsoft.com/office/drawing/2014/main" id="{5ADDF472-1DBA-46EC-B0C7-359084E629D6}"/>
            </a:ext>
          </a:extLst>
        </xdr:cNvPr>
        <xdr:cNvSpPr/>
      </xdr:nvSpPr>
      <xdr:spPr>
        <a:xfrm>
          <a:off x="4997544" y="12502683"/>
          <a:ext cx="4453638"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Valor</a:t>
          </a:r>
          <a:r>
            <a:rPr lang="pt-BR" sz="1100" baseline="0">
              <a:solidFill>
                <a:schemeClr val="tx1">
                  <a:lumMod val="75000"/>
                  <a:lumOff val="25000"/>
                </a:schemeClr>
              </a:solidFill>
              <a:latin typeface="+mn-lt"/>
              <a:ea typeface="SF Pro Display" panose="00000500000000000000" pitchFamily="2" charset="0"/>
            </a:rPr>
            <a:t> do Equity da Automob que não pertence à Simpar</a:t>
          </a:r>
          <a:endParaRPr lang="pt-BR" sz="110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1000125</xdr:colOff>
      <xdr:row>1</xdr:row>
      <xdr:rowOff>35718</xdr:rowOff>
    </xdr:from>
    <xdr:to>
      <xdr:col>0</xdr:col>
      <xdr:colOff>1349600</xdr:colOff>
      <xdr:row>4</xdr:row>
      <xdr:rowOff>61435</xdr:rowOff>
    </xdr:to>
    <xdr:pic>
      <xdr:nvPicPr>
        <xdr:cNvPr id="11" name="Imagem 10">
          <a:extLst>
            <a:ext uri="{FF2B5EF4-FFF2-40B4-BE49-F238E27FC236}">
              <a16:creationId xmlns:a16="http://schemas.microsoft.com/office/drawing/2014/main" id="{0C6808B1-2236-49AE-92CB-F958BF4CD0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 y="226218"/>
          <a:ext cx="349475" cy="597217"/>
        </a:xfrm>
        <a:prstGeom prst="rect">
          <a:avLst/>
        </a:prstGeom>
      </xdr:spPr>
    </xdr:pic>
    <xdr:clientData/>
  </xdr:twoCellAnchor>
  <xdr:twoCellAnchor>
    <xdr:from>
      <xdr:col>4</xdr:col>
      <xdr:colOff>0</xdr:colOff>
      <xdr:row>46</xdr:row>
      <xdr:rowOff>0</xdr:rowOff>
    </xdr:from>
    <xdr:to>
      <xdr:col>6</xdr:col>
      <xdr:colOff>0</xdr:colOff>
      <xdr:row>47</xdr:row>
      <xdr:rowOff>14289</xdr:rowOff>
    </xdr:to>
    <xdr:sp macro="" textlink="">
      <xdr:nvSpPr>
        <xdr:cNvPr id="14" name="Retângulo: Cantos Superiores Arredondados 6">
          <a:extLst>
            <a:ext uri="{FF2B5EF4-FFF2-40B4-BE49-F238E27FC236}">
              <a16:creationId xmlns:a16="http://schemas.microsoft.com/office/drawing/2014/main" id="{4D42A8E3-CE9E-40E4-B9E8-809C1720B95C}"/>
            </a:ext>
          </a:extLst>
        </xdr:cNvPr>
        <xdr:cNvSpPr/>
      </xdr:nvSpPr>
      <xdr:spPr>
        <a:xfrm>
          <a:off x="5010150" y="10220325"/>
          <a:ext cx="4457700"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Passivo Judicial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598716</xdr:colOff>
      <xdr:row>6</xdr:row>
      <xdr:rowOff>296763</xdr:rowOff>
    </xdr:from>
    <xdr:to>
      <xdr:col>15</xdr:col>
      <xdr:colOff>801120</xdr:colOff>
      <xdr:row>7</xdr:row>
      <xdr:rowOff>378958</xdr:rowOff>
    </xdr:to>
    <xdr:sp macro="" textlink="">
      <xdr:nvSpPr>
        <xdr:cNvPr id="3" name="Retângulo: Cantos Superiores Arredondados 2">
          <a:extLst>
            <a:ext uri="{FF2B5EF4-FFF2-40B4-BE49-F238E27FC236}">
              <a16:creationId xmlns:a16="http://schemas.microsoft.com/office/drawing/2014/main" id="{ED36573F-2CF8-4F3C-86CA-F6974859BD0A}"/>
            </a:ext>
          </a:extLst>
        </xdr:cNvPr>
        <xdr:cNvSpPr/>
      </xdr:nvSpPr>
      <xdr:spPr>
        <a:xfrm>
          <a:off x="4435930" y="1439763"/>
          <a:ext cx="12149476" cy="39515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WACC</a:t>
          </a:r>
        </a:p>
      </xdr:txBody>
    </xdr:sp>
    <xdr:clientData/>
  </xdr:twoCellAnchor>
  <xdr:twoCellAnchor editAs="oneCell">
    <xdr:from>
      <xdr:col>0</xdr:col>
      <xdr:colOff>1000125</xdr:colOff>
      <xdr:row>1</xdr:row>
      <xdr:rowOff>23812</xdr:rowOff>
    </xdr:from>
    <xdr:to>
      <xdr:col>0</xdr:col>
      <xdr:colOff>1349600</xdr:colOff>
      <xdr:row>4</xdr:row>
      <xdr:rowOff>49529</xdr:rowOff>
    </xdr:to>
    <xdr:pic>
      <xdr:nvPicPr>
        <xdr:cNvPr id="4" name="Imagem 3">
          <a:extLst>
            <a:ext uri="{FF2B5EF4-FFF2-40B4-BE49-F238E27FC236}">
              <a16:creationId xmlns:a16="http://schemas.microsoft.com/office/drawing/2014/main" id="{49B9E5E6-AEFC-4174-8019-3EEB584AEC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 y="214312"/>
          <a:ext cx="349475" cy="5972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598716</xdr:colOff>
      <xdr:row>9</xdr:row>
      <xdr:rowOff>319926</xdr:rowOff>
    </xdr:from>
    <xdr:to>
      <xdr:col>26</xdr:col>
      <xdr:colOff>1088573</xdr:colOff>
      <xdr:row>10</xdr:row>
      <xdr:rowOff>338417</xdr:rowOff>
    </xdr:to>
    <xdr:sp macro="" textlink="">
      <xdr:nvSpPr>
        <xdr:cNvPr id="3" name="Retângulo: Cantos Superiores Arredondados 2">
          <a:extLst>
            <a:ext uri="{FF2B5EF4-FFF2-40B4-BE49-F238E27FC236}">
              <a16:creationId xmlns:a16="http://schemas.microsoft.com/office/drawing/2014/main" id="{00000000-0008-0000-0400-000003000000}"/>
            </a:ext>
          </a:extLst>
        </xdr:cNvPr>
        <xdr:cNvSpPr/>
      </xdr:nvSpPr>
      <xdr:spPr>
        <a:xfrm>
          <a:off x="4419922" y="2538691"/>
          <a:ext cx="23394680" cy="39949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r>
            <a:rPr lang="pt-BR" sz="1100" b="0">
              <a:solidFill>
                <a:schemeClr val="tx1">
                  <a:lumMod val="75000"/>
                  <a:lumOff val="25000"/>
                </a:schemeClr>
              </a:solidFill>
              <a:latin typeface="SF Pro Display" panose="00000500000000000000" pitchFamily="2" charset="0"/>
              <a:ea typeface="SF Pro Display" panose="00000500000000000000" pitchFamily="2" charset="0"/>
            </a:rPr>
            <a:t> </a:t>
          </a:r>
        </a:p>
      </xdr:txBody>
    </xdr:sp>
    <xdr:clientData/>
  </xdr:twoCellAnchor>
  <xdr:twoCellAnchor>
    <xdr:from>
      <xdr:col>3</xdr:col>
      <xdr:colOff>592530</xdr:colOff>
      <xdr:row>51</xdr:row>
      <xdr:rowOff>273817</xdr:rowOff>
    </xdr:from>
    <xdr:to>
      <xdr:col>27</xdr:col>
      <xdr:colOff>11906</xdr:colOff>
      <xdr:row>53</xdr:row>
      <xdr:rowOff>16072</xdr:rowOff>
    </xdr:to>
    <xdr:sp macro="" textlink="">
      <xdr:nvSpPr>
        <xdr:cNvPr id="4" name="Retângulo: Cantos Superiores Arredondados 3">
          <a:extLst>
            <a:ext uri="{FF2B5EF4-FFF2-40B4-BE49-F238E27FC236}">
              <a16:creationId xmlns:a16="http://schemas.microsoft.com/office/drawing/2014/main" id="{8F7D3793-4521-4737-999B-9D7B173793A3}"/>
            </a:ext>
          </a:extLst>
        </xdr:cNvPr>
        <xdr:cNvSpPr/>
      </xdr:nvSpPr>
      <xdr:spPr>
        <a:xfrm>
          <a:off x="4414436" y="17347380"/>
          <a:ext cx="21457845"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Cálculo</a:t>
          </a:r>
          <a:r>
            <a:rPr lang="pt-BR" sz="1100" b="0" baseline="0">
              <a:solidFill>
                <a:schemeClr val="tx1">
                  <a:lumMod val="75000"/>
                  <a:lumOff val="25000"/>
                </a:schemeClr>
              </a:solidFill>
              <a:latin typeface="+mn-lt"/>
              <a:ea typeface="SF Pro Display" panose="00000500000000000000" pitchFamily="2" charset="0"/>
            </a:rPr>
            <a:t> do NOPAT</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938893</xdr:colOff>
      <xdr:row>1</xdr:row>
      <xdr:rowOff>108857</xdr:rowOff>
    </xdr:from>
    <xdr:to>
      <xdr:col>0</xdr:col>
      <xdr:colOff>1288368</xdr:colOff>
      <xdr:row>4</xdr:row>
      <xdr:rowOff>134574</xdr:rowOff>
    </xdr:to>
    <xdr:pic>
      <xdr:nvPicPr>
        <xdr:cNvPr id="5" name="Imagem 4">
          <a:extLst>
            <a:ext uri="{FF2B5EF4-FFF2-40B4-BE49-F238E27FC236}">
              <a16:creationId xmlns:a16="http://schemas.microsoft.com/office/drawing/2014/main" id="{EDCB2173-5599-4135-904B-676363834F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8893" y="299357"/>
          <a:ext cx="349475" cy="597217"/>
        </a:xfrm>
        <a:prstGeom prst="rect">
          <a:avLst/>
        </a:prstGeom>
      </xdr:spPr>
    </xdr:pic>
    <xdr:clientData/>
  </xdr:twoCellAnchor>
  <xdr:twoCellAnchor>
    <xdr:from>
      <xdr:col>3</xdr:col>
      <xdr:colOff>592530</xdr:colOff>
      <xdr:row>68</xdr:row>
      <xdr:rowOff>273817</xdr:rowOff>
    </xdr:from>
    <xdr:to>
      <xdr:col>27</xdr:col>
      <xdr:colOff>11906</xdr:colOff>
      <xdr:row>70</xdr:row>
      <xdr:rowOff>16072</xdr:rowOff>
    </xdr:to>
    <xdr:sp macro="" textlink="">
      <xdr:nvSpPr>
        <xdr:cNvPr id="2" name="Retângulo: Cantos Superiores Arredondados 1">
          <a:extLst>
            <a:ext uri="{FF2B5EF4-FFF2-40B4-BE49-F238E27FC236}">
              <a16:creationId xmlns:a16="http://schemas.microsoft.com/office/drawing/2014/main" id="{C66B60A3-0408-4E66-BEF9-0DC876857645}"/>
            </a:ext>
          </a:extLst>
        </xdr:cNvPr>
        <xdr:cNvSpPr/>
      </xdr:nvSpPr>
      <xdr:spPr>
        <a:xfrm>
          <a:off x="4429744" y="18112781"/>
          <a:ext cx="21585412"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EBITDA Consolidado</a:t>
          </a:r>
        </a:p>
      </xdr:txBody>
    </xdr:sp>
    <xdr:clientData/>
  </xdr:twoCellAnchor>
  <xdr:twoCellAnchor>
    <xdr:from>
      <xdr:col>3</xdr:col>
      <xdr:colOff>592530</xdr:colOff>
      <xdr:row>59</xdr:row>
      <xdr:rowOff>273817</xdr:rowOff>
    </xdr:from>
    <xdr:to>
      <xdr:col>27</xdr:col>
      <xdr:colOff>11906</xdr:colOff>
      <xdr:row>61</xdr:row>
      <xdr:rowOff>16072</xdr:rowOff>
    </xdr:to>
    <xdr:sp macro="" textlink="">
      <xdr:nvSpPr>
        <xdr:cNvPr id="7" name="Retângulo: Cantos Superiores Arredondados 6">
          <a:extLst>
            <a:ext uri="{FF2B5EF4-FFF2-40B4-BE49-F238E27FC236}">
              <a16:creationId xmlns:a16="http://schemas.microsoft.com/office/drawing/2014/main" id="{8492861C-445B-4A70-A2F3-1A383985FAAA}"/>
            </a:ext>
          </a:extLst>
        </xdr:cNvPr>
        <xdr:cNvSpPr/>
      </xdr:nvSpPr>
      <xdr:spPr>
        <a:xfrm>
          <a:off x="4429744" y="24957174"/>
          <a:ext cx="21585412"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FCFF Consolidado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559130</xdr:colOff>
      <xdr:row>9</xdr:row>
      <xdr:rowOff>207818</xdr:rowOff>
    </xdr:from>
    <xdr:to>
      <xdr:col>27</xdr:col>
      <xdr:colOff>13607</xdr:colOff>
      <xdr:row>11</xdr:row>
      <xdr:rowOff>21888</xdr:rowOff>
    </xdr:to>
    <xdr:sp macro="" textlink="">
      <xdr:nvSpPr>
        <xdr:cNvPr id="3" name="Retângulo: Cantos Superiores Arredondados 2">
          <a:extLst>
            <a:ext uri="{FF2B5EF4-FFF2-40B4-BE49-F238E27FC236}">
              <a16:creationId xmlns:a16="http://schemas.microsoft.com/office/drawing/2014/main" id="{5F01F6A2-0D76-43EC-B399-4EB91CE59927}"/>
            </a:ext>
          </a:extLst>
        </xdr:cNvPr>
        <xdr:cNvSpPr/>
      </xdr:nvSpPr>
      <xdr:spPr>
        <a:xfrm>
          <a:off x="4396344" y="2425782"/>
          <a:ext cx="21620513" cy="57607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DRE Ex</a:t>
          </a:r>
          <a:r>
            <a:rPr lang="pt-BR" sz="1100" b="0" baseline="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 Empresas de Capital Aberto</a:t>
          </a:r>
          <a:r>
            <a:rPr lang="pt-BR" sz="1100" b="0" baseline="0">
              <a:solidFill>
                <a:schemeClr val="tx1">
                  <a:lumMod val="75000"/>
                  <a:lumOff val="25000"/>
                </a:schemeClr>
              </a:solidFill>
              <a:latin typeface="SF Pro Display" panose="00000500000000000000" pitchFamily="2" charset="0"/>
              <a:ea typeface="SF Pro Display" panose="00000500000000000000" pitchFamily="2" charset="0"/>
            </a:rPr>
            <a:t>	</a:t>
          </a:r>
          <a:endParaRPr lang="pt-BR" sz="1100" b="0">
            <a:solidFill>
              <a:schemeClr val="tx1">
                <a:lumMod val="75000"/>
                <a:lumOff val="25000"/>
              </a:schemeClr>
            </a:solidFill>
            <a:latin typeface="SF Pro Display" panose="00000500000000000000" pitchFamily="2" charset="0"/>
            <a:ea typeface="SF Pro Display" panose="00000500000000000000" pitchFamily="2" charset="0"/>
          </a:endParaRPr>
        </a:p>
      </xdr:txBody>
    </xdr:sp>
    <xdr:clientData/>
  </xdr:twoCellAnchor>
  <xdr:twoCellAnchor>
    <xdr:from>
      <xdr:col>3</xdr:col>
      <xdr:colOff>592530</xdr:colOff>
      <xdr:row>19</xdr:row>
      <xdr:rowOff>273817</xdr:rowOff>
    </xdr:from>
    <xdr:to>
      <xdr:col>30</xdr:col>
      <xdr:colOff>40821</xdr:colOff>
      <xdr:row>21</xdr:row>
      <xdr:rowOff>16072</xdr:rowOff>
    </xdr:to>
    <xdr:sp macro="" textlink="">
      <xdr:nvSpPr>
        <xdr:cNvPr id="4" name="Retângulo: Cantos Superiores Arredondados 3">
          <a:extLst>
            <a:ext uri="{FF2B5EF4-FFF2-40B4-BE49-F238E27FC236}">
              <a16:creationId xmlns:a16="http://schemas.microsoft.com/office/drawing/2014/main" id="{76E3F416-CA1C-48C5-8309-F1833AC101DA}"/>
            </a:ext>
          </a:extLst>
        </xdr:cNvPr>
        <xdr:cNvSpPr/>
      </xdr:nvSpPr>
      <xdr:spPr>
        <a:xfrm>
          <a:off x="4413736" y="5921582"/>
          <a:ext cx="26006232"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DCF Ex Empresas de Capital Aberto</a:t>
          </a:r>
        </a:p>
      </xdr:txBody>
    </xdr:sp>
    <xdr:clientData/>
  </xdr:twoCellAnchor>
  <xdr:twoCellAnchor editAs="oneCell">
    <xdr:from>
      <xdr:col>0</xdr:col>
      <xdr:colOff>925286</xdr:colOff>
      <xdr:row>1</xdr:row>
      <xdr:rowOff>27215</xdr:rowOff>
    </xdr:from>
    <xdr:to>
      <xdr:col>0</xdr:col>
      <xdr:colOff>1282381</xdr:colOff>
      <xdr:row>4</xdr:row>
      <xdr:rowOff>60552</xdr:rowOff>
    </xdr:to>
    <xdr:pic>
      <xdr:nvPicPr>
        <xdr:cNvPr id="5" name="Imagem 4">
          <a:extLst>
            <a:ext uri="{FF2B5EF4-FFF2-40B4-BE49-F238E27FC236}">
              <a16:creationId xmlns:a16="http://schemas.microsoft.com/office/drawing/2014/main" id="{1A250878-CFDC-42E2-837D-E0456C0C13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5286" y="217715"/>
          <a:ext cx="349475" cy="597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6</xdr:row>
      <xdr:rowOff>142875</xdr:rowOff>
    </xdr:from>
    <xdr:to>
      <xdr:col>16</xdr:col>
      <xdr:colOff>44823</xdr:colOff>
      <xdr:row>8</xdr:row>
      <xdr:rowOff>23814</xdr:rowOff>
    </xdr:to>
    <xdr:sp macro="" textlink="">
      <xdr:nvSpPr>
        <xdr:cNvPr id="16" name="Retângulo: Cantos Superiores Arredondados 15">
          <a:extLst>
            <a:ext uri="{FF2B5EF4-FFF2-40B4-BE49-F238E27FC236}">
              <a16:creationId xmlns:a16="http://schemas.microsoft.com/office/drawing/2014/main" id="{24B6FD97-D599-4777-855B-994692766F88}"/>
            </a:ext>
          </a:extLst>
        </xdr:cNvPr>
        <xdr:cNvSpPr/>
      </xdr:nvSpPr>
      <xdr:spPr>
        <a:xfrm>
          <a:off x="4144496" y="1285875"/>
          <a:ext cx="14983945" cy="6429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Custos das Vendas e Serviços e Despesas</a:t>
          </a:r>
          <a:r>
            <a:rPr lang="pt-BR" sz="1100" b="0" baseline="0">
              <a:solidFill>
                <a:schemeClr val="tx1">
                  <a:lumMod val="75000"/>
                  <a:lumOff val="25000"/>
                </a:schemeClr>
              </a:solidFill>
              <a:latin typeface="+mn-lt"/>
              <a:ea typeface="SF Pro Display" panose="00000500000000000000" pitchFamily="2" charset="0"/>
            </a:rPr>
            <a:t>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595311</xdr:colOff>
      <xdr:row>48</xdr:row>
      <xdr:rowOff>333375</xdr:rowOff>
    </xdr:from>
    <xdr:to>
      <xdr:col>16</xdr:col>
      <xdr:colOff>23811</xdr:colOff>
      <xdr:row>50</xdr:row>
      <xdr:rowOff>0</xdr:rowOff>
    </xdr:to>
    <xdr:sp macro="" textlink="">
      <xdr:nvSpPr>
        <xdr:cNvPr id="19" name="Retângulo: Cantos Superiores Arredondados 18">
          <a:extLst>
            <a:ext uri="{FF2B5EF4-FFF2-40B4-BE49-F238E27FC236}">
              <a16:creationId xmlns:a16="http://schemas.microsoft.com/office/drawing/2014/main" id="{54B4B063-8227-4195-A6DA-38D2ABF35EE1}"/>
            </a:ext>
          </a:extLst>
        </xdr:cNvPr>
        <xdr:cNvSpPr/>
      </xdr:nvSpPr>
      <xdr:spPr>
        <a:xfrm>
          <a:off x="4119561" y="17478375"/>
          <a:ext cx="14061281" cy="42862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EBIT</a:t>
          </a:r>
        </a:p>
      </xdr:txBody>
    </xdr:sp>
    <xdr:clientData/>
  </xdr:twoCellAnchor>
  <xdr:twoCellAnchor>
    <xdr:from>
      <xdr:col>4</xdr:col>
      <xdr:colOff>11906</xdr:colOff>
      <xdr:row>85</xdr:row>
      <xdr:rowOff>273843</xdr:rowOff>
    </xdr:from>
    <xdr:to>
      <xdr:col>16</xdr:col>
      <xdr:colOff>11906</xdr:colOff>
      <xdr:row>86</xdr:row>
      <xdr:rowOff>357187</xdr:rowOff>
    </xdr:to>
    <xdr:sp macro="" textlink="">
      <xdr:nvSpPr>
        <xdr:cNvPr id="20" name="Retângulo: Cantos Superiores Arredondados 19">
          <a:extLst>
            <a:ext uri="{FF2B5EF4-FFF2-40B4-BE49-F238E27FC236}">
              <a16:creationId xmlns:a16="http://schemas.microsoft.com/office/drawing/2014/main" id="{77B61A8C-2049-47F2-B5F4-2890F296D1DD}"/>
            </a:ext>
          </a:extLst>
        </xdr:cNvPr>
        <xdr:cNvSpPr/>
      </xdr:nvSpPr>
      <xdr:spPr>
        <a:xfrm>
          <a:off x="4143375" y="30753843"/>
          <a:ext cx="14025562" cy="46434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Financeiras</a:t>
          </a:r>
        </a:p>
      </xdr:txBody>
    </xdr:sp>
    <xdr:clientData/>
  </xdr:twoCellAnchor>
  <xdr:twoCellAnchor>
    <xdr:from>
      <xdr:col>4</xdr:col>
      <xdr:colOff>11907</xdr:colOff>
      <xdr:row>98</xdr:row>
      <xdr:rowOff>321468</xdr:rowOff>
    </xdr:from>
    <xdr:to>
      <xdr:col>16</xdr:col>
      <xdr:colOff>23813</xdr:colOff>
      <xdr:row>99</xdr:row>
      <xdr:rowOff>380999</xdr:rowOff>
    </xdr:to>
    <xdr:sp macro="" textlink="">
      <xdr:nvSpPr>
        <xdr:cNvPr id="21" name="Retângulo: Cantos Superiores Arredondados 20">
          <a:extLst>
            <a:ext uri="{FF2B5EF4-FFF2-40B4-BE49-F238E27FC236}">
              <a16:creationId xmlns:a16="http://schemas.microsoft.com/office/drawing/2014/main" id="{3455D22B-57F9-4A3B-B449-9F29A5F632C4}"/>
            </a:ext>
          </a:extLst>
        </xdr:cNvPr>
        <xdr:cNvSpPr/>
      </xdr:nvSpPr>
      <xdr:spPr>
        <a:xfrm>
          <a:off x="4143376" y="34611468"/>
          <a:ext cx="14037468" cy="44053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Lucro antes do IR</a:t>
          </a:r>
        </a:p>
      </xdr:txBody>
    </xdr:sp>
    <xdr:clientData/>
  </xdr:twoCellAnchor>
  <xdr:twoCellAnchor>
    <xdr:from>
      <xdr:col>4</xdr:col>
      <xdr:colOff>0</xdr:colOff>
      <xdr:row>108</xdr:row>
      <xdr:rowOff>285749</xdr:rowOff>
    </xdr:from>
    <xdr:to>
      <xdr:col>16</xdr:col>
      <xdr:colOff>11906</xdr:colOff>
      <xdr:row>109</xdr:row>
      <xdr:rowOff>380999</xdr:rowOff>
    </xdr:to>
    <xdr:sp macro="" textlink="">
      <xdr:nvSpPr>
        <xdr:cNvPr id="22" name="Retângulo: Cantos Superiores Arredondados 21">
          <a:extLst>
            <a:ext uri="{FF2B5EF4-FFF2-40B4-BE49-F238E27FC236}">
              <a16:creationId xmlns:a16="http://schemas.microsoft.com/office/drawing/2014/main" id="{80620257-2369-473A-AE07-D37A9A59978F}"/>
            </a:ext>
          </a:extLst>
        </xdr:cNvPr>
        <xdr:cNvSpPr/>
      </xdr:nvSpPr>
      <xdr:spPr>
        <a:xfrm>
          <a:off x="4131469" y="37623749"/>
          <a:ext cx="14037468" cy="476250"/>
        </a:xfrm>
        <a:prstGeom prst="round2SameRect">
          <a:avLst>
            <a:gd name="adj1" fmla="val 37075"/>
            <a:gd name="adj2" fmla="val 0"/>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Imposto</a:t>
          </a:r>
          <a:r>
            <a:rPr lang="pt-BR" sz="1100" b="0" baseline="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 de Renda (R$ Mil)</a:t>
          </a:r>
          <a:endPar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endParaRPr>
        </a:p>
      </xdr:txBody>
    </xdr:sp>
    <xdr:clientData/>
  </xdr:twoCellAnchor>
  <xdr:twoCellAnchor>
    <xdr:from>
      <xdr:col>4</xdr:col>
      <xdr:colOff>11905</xdr:colOff>
      <xdr:row>62</xdr:row>
      <xdr:rowOff>285749</xdr:rowOff>
    </xdr:from>
    <xdr:to>
      <xdr:col>16</xdr:col>
      <xdr:colOff>35718</xdr:colOff>
      <xdr:row>63</xdr:row>
      <xdr:rowOff>357188</xdr:rowOff>
    </xdr:to>
    <xdr:sp macro="" textlink="">
      <xdr:nvSpPr>
        <xdr:cNvPr id="26" name="Retângulo: Cantos Superiores Arredondados 25">
          <a:extLst>
            <a:ext uri="{FF2B5EF4-FFF2-40B4-BE49-F238E27FC236}">
              <a16:creationId xmlns:a16="http://schemas.microsoft.com/office/drawing/2014/main" id="{81E17982-0EFC-4FE3-99BB-55CC38EF00EA}"/>
            </a:ext>
          </a:extLst>
        </xdr:cNvPr>
        <xdr:cNvSpPr/>
      </xdr:nvSpPr>
      <xdr:spPr>
        <a:xfrm>
          <a:off x="4143374" y="21621749"/>
          <a:ext cx="14049375" cy="452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 Financeiras</a:t>
          </a:r>
        </a:p>
      </xdr:txBody>
    </xdr:sp>
    <xdr:clientData/>
  </xdr:twoCellAnchor>
  <xdr:twoCellAnchor>
    <xdr:from>
      <xdr:col>4</xdr:col>
      <xdr:colOff>1</xdr:colOff>
      <xdr:row>140</xdr:row>
      <xdr:rowOff>119064</xdr:rowOff>
    </xdr:from>
    <xdr:to>
      <xdr:col>16</xdr:col>
      <xdr:colOff>11907</xdr:colOff>
      <xdr:row>143</xdr:row>
      <xdr:rowOff>23814</xdr:rowOff>
    </xdr:to>
    <xdr:sp macro="" textlink="">
      <xdr:nvSpPr>
        <xdr:cNvPr id="9" name="Retângulo: Cantos Superiores Arredondados 8">
          <a:extLst>
            <a:ext uri="{FF2B5EF4-FFF2-40B4-BE49-F238E27FC236}">
              <a16:creationId xmlns:a16="http://schemas.microsoft.com/office/drawing/2014/main" id="{3AC6806A-5799-4BD4-A426-73DC1F55D7B8}"/>
            </a:ext>
          </a:extLst>
        </xdr:cNvPr>
        <xdr:cNvSpPr/>
      </xdr:nvSpPr>
      <xdr:spPr>
        <a:xfrm>
          <a:off x="4131470" y="47124939"/>
          <a:ext cx="14704218" cy="476250"/>
        </a:xfrm>
        <a:prstGeom prst="round2SameRect">
          <a:avLst>
            <a:gd name="adj1" fmla="val 37075"/>
            <a:gd name="adj2" fmla="val 0"/>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Imposto</a:t>
          </a:r>
          <a:r>
            <a:rPr lang="pt-BR" sz="1100" b="0" baseline="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 de Renda Empresas de Capital Aberto (R$ Mil)</a:t>
          </a:r>
          <a:endPar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endParaRPr>
        </a:p>
      </xdr:txBody>
    </xdr:sp>
    <xdr:clientData/>
  </xdr:twoCellAnchor>
  <xdr:twoCellAnchor editAs="oneCell">
    <xdr:from>
      <xdr:col>0</xdr:col>
      <xdr:colOff>857250</xdr:colOff>
      <xdr:row>1</xdr:row>
      <xdr:rowOff>59531</xdr:rowOff>
    </xdr:from>
    <xdr:to>
      <xdr:col>0</xdr:col>
      <xdr:colOff>1206725</xdr:colOff>
      <xdr:row>4</xdr:row>
      <xdr:rowOff>85248</xdr:rowOff>
    </xdr:to>
    <xdr:pic>
      <xdr:nvPicPr>
        <xdr:cNvPr id="2" name="Imagem 1">
          <a:extLst>
            <a:ext uri="{FF2B5EF4-FFF2-40B4-BE49-F238E27FC236}">
              <a16:creationId xmlns:a16="http://schemas.microsoft.com/office/drawing/2014/main" id="{5F8D8155-F34B-4D7E-B9D3-CD2FCCCD1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50" y="250031"/>
          <a:ext cx="349475" cy="5972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1047750</xdr:colOff>
      <xdr:row>1</xdr:row>
      <xdr:rowOff>104775</xdr:rowOff>
    </xdr:from>
    <xdr:to>
      <xdr:col>0</xdr:col>
      <xdr:colOff>1524000</xdr:colOff>
      <xdr:row>4</xdr:row>
      <xdr:rowOff>9525</xdr:rowOff>
    </xdr:to>
    <xdr:pic>
      <xdr:nvPicPr>
        <xdr:cNvPr id="2" name="Imagem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607217</xdr:colOff>
      <xdr:row>13</xdr:row>
      <xdr:rowOff>-1</xdr:rowOff>
    </xdr:from>
    <xdr:to>
      <xdr:col>16</xdr:col>
      <xdr:colOff>11905</xdr:colOff>
      <xdr:row>14</xdr:row>
      <xdr:rowOff>35718</xdr:rowOff>
    </xdr:to>
    <xdr:sp macro="" textlink="">
      <xdr:nvSpPr>
        <xdr:cNvPr id="3" name="Retângulo: Cantos Superiores Arredondados 2">
          <a:extLst>
            <a:ext uri="{FF2B5EF4-FFF2-40B4-BE49-F238E27FC236}">
              <a16:creationId xmlns:a16="http://schemas.microsoft.com/office/drawing/2014/main" id="{00000000-0008-0000-0300-000003000000}"/>
            </a:ext>
          </a:extLst>
        </xdr:cNvPr>
        <xdr:cNvSpPr/>
      </xdr:nvSpPr>
      <xdr:spPr>
        <a:xfrm rot="10800000" flipV="1">
          <a:off x="4429123" y="2690812"/>
          <a:ext cx="11453813" cy="41671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Balanço</a:t>
          </a:r>
          <a:r>
            <a:rPr lang="pt-BR" sz="1100" b="0" baseline="0">
              <a:solidFill>
                <a:schemeClr val="tx1">
                  <a:lumMod val="75000"/>
                  <a:lumOff val="25000"/>
                </a:schemeClr>
              </a:solidFill>
              <a:latin typeface="+mn-lt"/>
              <a:ea typeface="SF Pro Display" panose="00000500000000000000" pitchFamily="2" charset="0"/>
            </a:rPr>
            <a:t> Patrimonial</a:t>
          </a:r>
          <a:r>
            <a:rPr lang="pt-BR" sz="1100" b="0">
              <a:solidFill>
                <a:schemeClr val="tx1">
                  <a:lumMod val="75000"/>
                  <a:lumOff val="25000"/>
                </a:schemeClr>
              </a:solidFill>
              <a:latin typeface="+mn-lt"/>
              <a:ea typeface="SF Pro Display" panose="00000500000000000000" pitchFamily="2" charset="0"/>
            </a:rPr>
            <a:t> </a:t>
          </a:r>
        </a:p>
      </xdr:txBody>
    </xdr:sp>
    <xdr:clientData/>
  </xdr:twoCellAnchor>
  <xdr:twoCellAnchor editAs="oneCell">
    <xdr:from>
      <xdr:col>0</xdr:col>
      <xdr:colOff>916781</xdr:colOff>
      <xdr:row>7</xdr:row>
      <xdr:rowOff>154781</xdr:rowOff>
    </xdr:from>
    <xdr:to>
      <xdr:col>0</xdr:col>
      <xdr:colOff>1266256</xdr:colOff>
      <xdr:row>10</xdr:row>
      <xdr:rowOff>85248</xdr:rowOff>
    </xdr:to>
    <xdr:pic>
      <xdr:nvPicPr>
        <xdr:cNvPr id="4" name="Imagem 3">
          <a:extLst>
            <a:ext uri="{FF2B5EF4-FFF2-40B4-BE49-F238E27FC236}">
              <a16:creationId xmlns:a16="http://schemas.microsoft.com/office/drawing/2014/main" id="{E6E0A4E9-600C-4E01-B123-D4AE4A0AF9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6781" y="1488281"/>
          <a:ext cx="349475" cy="5972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1047750</xdr:colOff>
      <xdr:row>1</xdr:row>
      <xdr:rowOff>104775</xdr:rowOff>
    </xdr:from>
    <xdr:ext cx="0" cy="476250"/>
    <xdr:pic>
      <xdr:nvPicPr>
        <xdr:cNvPr id="2" name="Imagem 1">
          <a:extLst>
            <a:ext uri="{FF2B5EF4-FFF2-40B4-BE49-F238E27FC236}">
              <a16:creationId xmlns:a16="http://schemas.microsoft.com/office/drawing/2014/main" id="{A354804E-6D34-42AC-8E37-EBEE69DC3F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0" cy="476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2380</xdr:colOff>
      <xdr:row>7</xdr:row>
      <xdr:rowOff>26194</xdr:rowOff>
    </xdr:from>
    <xdr:to>
      <xdr:col>15</xdr:col>
      <xdr:colOff>23812</xdr:colOff>
      <xdr:row>8</xdr:row>
      <xdr:rowOff>35718</xdr:rowOff>
    </xdr:to>
    <xdr:sp macro="" textlink="">
      <xdr:nvSpPr>
        <xdr:cNvPr id="6" name="Retângulo: Cantos Superiores Arredondados 2">
          <a:extLst>
            <a:ext uri="{FF2B5EF4-FFF2-40B4-BE49-F238E27FC236}">
              <a16:creationId xmlns:a16="http://schemas.microsoft.com/office/drawing/2014/main" id="{B8C707B8-ED3A-4B2C-A342-E2A7C26A963F}"/>
            </a:ext>
          </a:extLst>
        </xdr:cNvPr>
        <xdr:cNvSpPr/>
      </xdr:nvSpPr>
      <xdr:spPr>
        <a:xfrm>
          <a:off x="4121943" y="1478757"/>
          <a:ext cx="12046744" cy="39052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Liquidez</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2380</xdr:colOff>
      <xdr:row>14</xdr:row>
      <xdr:rowOff>288813</xdr:rowOff>
    </xdr:from>
    <xdr:to>
      <xdr:col>15</xdr:col>
      <xdr:colOff>35719</xdr:colOff>
      <xdr:row>15</xdr:row>
      <xdr:rowOff>363654</xdr:rowOff>
    </xdr:to>
    <xdr:sp macro="" textlink="">
      <xdr:nvSpPr>
        <xdr:cNvPr id="7" name="Retângulo: Cantos Superiores Arredondados 2">
          <a:extLst>
            <a:ext uri="{FF2B5EF4-FFF2-40B4-BE49-F238E27FC236}">
              <a16:creationId xmlns:a16="http://schemas.microsoft.com/office/drawing/2014/main" id="{3E3344AC-4234-4A7B-8241-5C5DB846F935}"/>
            </a:ext>
          </a:extLst>
        </xdr:cNvPr>
        <xdr:cNvSpPr/>
      </xdr:nvSpPr>
      <xdr:spPr>
        <a:xfrm>
          <a:off x="4121943" y="4408376"/>
          <a:ext cx="12058651" cy="45584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Rentabilidade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15305</xdr:colOff>
      <xdr:row>21</xdr:row>
      <xdr:rowOff>303779</xdr:rowOff>
    </xdr:from>
    <xdr:to>
      <xdr:col>15</xdr:col>
      <xdr:colOff>35718</xdr:colOff>
      <xdr:row>22</xdr:row>
      <xdr:rowOff>378620</xdr:rowOff>
    </xdr:to>
    <xdr:sp macro="" textlink="">
      <xdr:nvSpPr>
        <xdr:cNvPr id="8" name="Retângulo: Cantos Superiores Arredondados 2">
          <a:extLst>
            <a:ext uri="{FF2B5EF4-FFF2-40B4-BE49-F238E27FC236}">
              <a16:creationId xmlns:a16="http://schemas.microsoft.com/office/drawing/2014/main" id="{075AB7D8-FE0D-4A2F-AB42-A08A86E06B08}"/>
            </a:ext>
          </a:extLst>
        </xdr:cNvPr>
        <xdr:cNvSpPr/>
      </xdr:nvSpPr>
      <xdr:spPr>
        <a:xfrm>
          <a:off x="4134868" y="7090342"/>
          <a:ext cx="12045725" cy="45584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Endividamento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599053</xdr:colOff>
      <xdr:row>30</xdr:row>
      <xdr:rowOff>375217</xdr:rowOff>
    </xdr:from>
    <xdr:to>
      <xdr:col>15</xdr:col>
      <xdr:colOff>11906</xdr:colOff>
      <xdr:row>32</xdr:row>
      <xdr:rowOff>35718</xdr:rowOff>
    </xdr:to>
    <xdr:sp macro="" textlink="">
      <xdr:nvSpPr>
        <xdr:cNvPr id="9" name="Retângulo: Cantos Superiores Arredondados 2">
          <a:extLst>
            <a:ext uri="{FF2B5EF4-FFF2-40B4-BE49-F238E27FC236}">
              <a16:creationId xmlns:a16="http://schemas.microsoft.com/office/drawing/2014/main" id="{837898B1-B3F0-4994-A218-93CE7FA7B086}"/>
            </a:ext>
          </a:extLst>
        </xdr:cNvPr>
        <xdr:cNvSpPr/>
      </xdr:nvSpPr>
      <xdr:spPr>
        <a:xfrm>
          <a:off x="4111397" y="10590780"/>
          <a:ext cx="12045384" cy="42250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Capital de Giro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1047750</xdr:colOff>
      <xdr:row>1</xdr:row>
      <xdr:rowOff>104775</xdr:rowOff>
    </xdr:from>
    <xdr:ext cx="0" cy="476250"/>
    <xdr:pic>
      <xdr:nvPicPr>
        <xdr:cNvPr id="10" name="Imagem 9">
          <a:extLst>
            <a:ext uri="{FF2B5EF4-FFF2-40B4-BE49-F238E27FC236}">
              <a16:creationId xmlns:a16="http://schemas.microsoft.com/office/drawing/2014/main" id="{B53487D5-3DCF-429E-963E-419D9F57B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0" cy="476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39</xdr:row>
      <xdr:rowOff>1</xdr:rowOff>
    </xdr:from>
    <xdr:to>
      <xdr:col>15</xdr:col>
      <xdr:colOff>0</xdr:colOff>
      <xdr:row>40</xdr:row>
      <xdr:rowOff>19051</xdr:rowOff>
    </xdr:to>
    <xdr:sp macro="" textlink="">
      <xdr:nvSpPr>
        <xdr:cNvPr id="24" name="Retângulo: Cantos Superiores Arredondados 2">
          <a:extLst>
            <a:ext uri="{FF2B5EF4-FFF2-40B4-BE49-F238E27FC236}">
              <a16:creationId xmlns:a16="http://schemas.microsoft.com/office/drawing/2014/main" id="{9EF2DE84-1516-428E-833D-3EF538BCCFAA}"/>
            </a:ext>
          </a:extLst>
        </xdr:cNvPr>
        <xdr:cNvSpPr/>
      </xdr:nvSpPr>
      <xdr:spPr>
        <a:xfrm>
          <a:off x="4119563" y="13644564"/>
          <a:ext cx="12025312" cy="40005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Dividendos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785812</xdr:colOff>
      <xdr:row>1</xdr:row>
      <xdr:rowOff>107156</xdr:rowOff>
    </xdr:from>
    <xdr:to>
      <xdr:col>0</xdr:col>
      <xdr:colOff>1135287</xdr:colOff>
      <xdr:row>4</xdr:row>
      <xdr:rowOff>132873</xdr:rowOff>
    </xdr:to>
    <xdr:pic>
      <xdr:nvPicPr>
        <xdr:cNvPr id="3" name="Imagem 2">
          <a:extLst>
            <a:ext uri="{FF2B5EF4-FFF2-40B4-BE49-F238E27FC236}">
              <a16:creationId xmlns:a16="http://schemas.microsoft.com/office/drawing/2014/main" id="{7B624998-B363-4F6C-ACFE-7CD592882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5812" y="297656"/>
          <a:ext cx="349475" cy="597217"/>
        </a:xfrm>
        <a:prstGeom prst="rect">
          <a:avLst/>
        </a:prstGeom>
      </xdr:spPr>
    </xdr:pic>
    <xdr:clientData/>
  </xdr:twoCellAnchor>
  <xdr:twoCellAnchor>
    <xdr:from>
      <xdr:col>3</xdr:col>
      <xdr:colOff>605857</xdr:colOff>
      <xdr:row>46</xdr:row>
      <xdr:rowOff>339498</xdr:rowOff>
    </xdr:from>
    <xdr:to>
      <xdr:col>10</xdr:col>
      <xdr:colOff>19050</xdr:colOff>
      <xdr:row>48</xdr:row>
      <xdr:rowOff>33339</xdr:rowOff>
    </xdr:to>
    <xdr:sp macro="" textlink="">
      <xdr:nvSpPr>
        <xdr:cNvPr id="4" name="Retângulo: Cantos Superiores Arredondados 2">
          <a:extLst>
            <a:ext uri="{FF2B5EF4-FFF2-40B4-BE49-F238E27FC236}">
              <a16:creationId xmlns:a16="http://schemas.microsoft.com/office/drawing/2014/main" id="{8484A68F-3123-480F-8E2E-46920A4A9CDB}"/>
            </a:ext>
          </a:extLst>
        </xdr:cNvPr>
        <xdr:cNvSpPr/>
      </xdr:nvSpPr>
      <xdr:spPr>
        <a:xfrm>
          <a:off x="4120582" y="18179823"/>
          <a:ext cx="7633268" cy="45584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chemeClr val="tx1">
                  <a:lumMod val="75000"/>
                  <a:lumOff val="25000"/>
                </a:schemeClr>
              </a:solidFill>
              <a:latin typeface="+mn-lt"/>
              <a:ea typeface="SF Pro Display" panose="00000500000000000000" pitchFamily="2" charset="0"/>
            </a:rPr>
            <a:t>Endividamento para fins de Covenants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601550</xdr:colOff>
      <xdr:row>6</xdr:row>
      <xdr:rowOff>268020</xdr:rowOff>
    </xdr:from>
    <xdr:to>
      <xdr:col>26</xdr:col>
      <xdr:colOff>0</xdr:colOff>
      <xdr:row>7</xdr:row>
      <xdr:rowOff>372495</xdr:rowOff>
    </xdr:to>
    <xdr:sp macro="" textlink="">
      <xdr:nvSpPr>
        <xdr:cNvPr id="3" name="Retângulo: Cantos Superiores Arredondados 2">
          <a:extLst>
            <a:ext uri="{FF2B5EF4-FFF2-40B4-BE49-F238E27FC236}">
              <a16:creationId xmlns:a16="http://schemas.microsoft.com/office/drawing/2014/main" id="{00000000-0008-0000-0500-000003000000}"/>
            </a:ext>
          </a:extLst>
        </xdr:cNvPr>
        <xdr:cNvSpPr/>
      </xdr:nvSpPr>
      <xdr:spPr>
        <a:xfrm>
          <a:off x="4423456" y="1411020"/>
          <a:ext cx="24365857" cy="41403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a:t>
          </a:r>
          <a:r>
            <a:rPr lang="pt-BR" sz="1100" b="0" baseline="0">
              <a:solidFill>
                <a:schemeClr val="tx1">
                  <a:lumMod val="75000"/>
                  <a:lumOff val="25000"/>
                </a:schemeClr>
              </a:solidFill>
              <a:latin typeface="+mn-lt"/>
              <a:ea typeface="SF Pro Display" panose="00000500000000000000" pitchFamily="2" charset="0"/>
            </a:rPr>
            <a:t> Receita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568098</xdr:colOff>
      <xdr:row>40</xdr:row>
      <xdr:rowOff>10204</xdr:rowOff>
    </xdr:from>
    <xdr:to>
      <xdr:col>26</xdr:col>
      <xdr:colOff>11906</xdr:colOff>
      <xdr:row>41</xdr:row>
      <xdr:rowOff>46643</xdr:rowOff>
    </xdr:to>
    <xdr:sp macro="" textlink="">
      <xdr:nvSpPr>
        <xdr:cNvPr id="4" name="Retângulo: Cantos Superiores Arredondados 3">
          <a:extLst>
            <a:ext uri="{FF2B5EF4-FFF2-40B4-BE49-F238E27FC236}">
              <a16:creationId xmlns:a16="http://schemas.microsoft.com/office/drawing/2014/main" id="{A045FB2D-806F-467B-A646-22B9F648285D}"/>
            </a:ext>
          </a:extLst>
        </xdr:cNvPr>
        <xdr:cNvSpPr/>
      </xdr:nvSpPr>
      <xdr:spPr>
        <a:xfrm>
          <a:off x="4405312" y="14270490"/>
          <a:ext cx="29828558"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Automob</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595312</xdr:colOff>
      <xdr:row>58</xdr:row>
      <xdr:rowOff>360590</xdr:rowOff>
    </xdr:from>
    <xdr:to>
      <xdr:col>25</xdr:col>
      <xdr:colOff>1534771</xdr:colOff>
      <xdr:row>60</xdr:row>
      <xdr:rowOff>16029</xdr:rowOff>
    </xdr:to>
    <xdr:sp macro="" textlink="">
      <xdr:nvSpPr>
        <xdr:cNvPr id="5" name="Retângulo: Cantos Superiores Arredondados 4">
          <a:extLst>
            <a:ext uri="{FF2B5EF4-FFF2-40B4-BE49-F238E27FC236}">
              <a16:creationId xmlns:a16="http://schemas.microsoft.com/office/drawing/2014/main" id="{0F78AAC0-0AEA-4E19-AF0E-7EFE78AF8372}"/>
            </a:ext>
          </a:extLst>
        </xdr:cNvPr>
        <xdr:cNvSpPr/>
      </xdr:nvSpPr>
      <xdr:spPr>
        <a:xfrm>
          <a:off x="4432526" y="21478876"/>
          <a:ext cx="29786602"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CS Brasil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568098</xdr:colOff>
      <xdr:row>77</xdr:row>
      <xdr:rowOff>234724</xdr:rowOff>
    </xdr:from>
    <xdr:to>
      <xdr:col>25</xdr:col>
      <xdr:colOff>1507557</xdr:colOff>
      <xdr:row>79</xdr:row>
      <xdr:rowOff>16028</xdr:rowOff>
    </xdr:to>
    <xdr:sp macro="" textlink="">
      <xdr:nvSpPr>
        <xdr:cNvPr id="6" name="Retângulo: Cantos Superiores Arredondados 5">
          <a:extLst>
            <a:ext uri="{FF2B5EF4-FFF2-40B4-BE49-F238E27FC236}">
              <a16:creationId xmlns:a16="http://schemas.microsoft.com/office/drawing/2014/main" id="{CC7505ED-67E3-4BF4-A389-903F365D5313}"/>
            </a:ext>
          </a:extLst>
        </xdr:cNvPr>
        <xdr:cNvSpPr/>
      </xdr:nvSpPr>
      <xdr:spPr>
        <a:xfrm>
          <a:off x="4405312" y="28755295"/>
          <a:ext cx="29786602" cy="54330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CS Infra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585108</xdr:colOff>
      <xdr:row>23</xdr:row>
      <xdr:rowOff>169469</xdr:rowOff>
    </xdr:from>
    <xdr:to>
      <xdr:col>26</xdr:col>
      <xdr:colOff>11906</xdr:colOff>
      <xdr:row>24</xdr:row>
      <xdr:rowOff>16644</xdr:rowOff>
    </xdr:to>
    <xdr:sp macro="" textlink="">
      <xdr:nvSpPr>
        <xdr:cNvPr id="11" name="Retângulo: Cantos Superiores Arredondados 10">
          <a:extLst>
            <a:ext uri="{FF2B5EF4-FFF2-40B4-BE49-F238E27FC236}">
              <a16:creationId xmlns:a16="http://schemas.microsoft.com/office/drawing/2014/main" id="{5F71ACAB-EC3E-4785-9021-3D6CD21F6B8C}"/>
            </a:ext>
          </a:extLst>
        </xdr:cNvPr>
        <xdr:cNvSpPr/>
      </xdr:nvSpPr>
      <xdr:spPr>
        <a:xfrm>
          <a:off x="4422322" y="7122719"/>
          <a:ext cx="29811548" cy="40506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BBC</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585108</xdr:colOff>
      <xdr:row>134</xdr:row>
      <xdr:rowOff>353786</xdr:rowOff>
    </xdr:from>
    <xdr:to>
      <xdr:col>25</xdr:col>
      <xdr:colOff>1524567</xdr:colOff>
      <xdr:row>136</xdr:row>
      <xdr:rowOff>9225</xdr:rowOff>
    </xdr:to>
    <xdr:sp macro="" textlink="">
      <xdr:nvSpPr>
        <xdr:cNvPr id="8" name="Retângulo: Cantos Superiores Arredondados 7">
          <a:extLst>
            <a:ext uri="{FF2B5EF4-FFF2-40B4-BE49-F238E27FC236}">
              <a16:creationId xmlns:a16="http://schemas.microsoft.com/office/drawing/2014/main" id="{96328B16-C2FC-406F-97C9-BE4E18954535}"/>
            </a:ext>
          </a:extLst>
        </xdr:cNvPr>
        <xdr:cNvSpPr/>
      </xdr:nvSpPr>
      <xdr:spPr>
        <a:xfrm>
          <a:off x="4422322" y="44046322"/>
          <a:ext cx="29786602"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Eliminações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554491</xdr:colOff>
      <xdr:row>118</xdr:row>
      <xdr:rowOff>360588</xdr:rowOff>
    </xdr:from>
    <xdr:to>
      <xdr:col>25</xdr:col>
      <xdr:colOff>1493950</xdr:colOff>
      <xdr:row>120</xdr:row>
      <xdr:rowOff>16027</xdr:rowOff>
    </xdr:to>
    <xdr:sp macro="" textlink="">
      <xdr:nvSpPr>
        <xdr:cNvPr id="9" name="Retângulo: Cantos Superiores Arredondados 8">
          <a:extLst>
            <a:ext uri="{FF2B5EF4-FFF2-40B4-BE49-F238E27FC236}">
              <a16:creationId xmlns:a16="http://schemas.microsoft.com/office/drawing/2014/main" id="{CA31BA8F-A104-47A3-9CF1-7C2F4E62C529}"/>
            </a:ext>
          </a:extLst>
        </xdr:cNvPr>
        <xdr:cNvSpPr/>
      </xdr:nvSpPr>
      <xdr:spPr>
        <a:xfrm>
          <a:off x="4391705" y="37957124"/>
          <a:ext cx="29786602"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Holding</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1006929</xdr:colOff>
      <xdr:row>1</xdr:row>
      <xdr:rowOff>122464</xdr:rowOff>
    </xdr:from>
    <xdr:to>
      <xdr:col>0</xdr:col>
      <xdr:colOff>1356404</xdr:colOff>
      <xdr:row>4</xdr:row>
      <xdr:rowOff>148181</xdr:rowOff>
    </xdr:to>
    <xdr:pic>
      <xdr:nvPicPr>
        <xdr:cNvPr id="7" name="Imagem 6">
          <a:extLst>
            <a:ext uri="{FF2B5EF4-FFF2-40B4-BE49-F238E27FC236}">
              <a16:creationId xmlns:a16="http://schemas.microsoft.com/office/drawing/2014/main" id="{E33D9293-0597-4D05-BB08-0A034E9235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6929" y="312964"/>
          <a:ext cx="349475" cy="597217"/>
        </a:xfrm>
        <a:prstGeom prst="rect">
          <a:avLst/>
        </a:prstGeom>
      </xdr:spPr>
    </xdr:pic>
    <xdr:clientData/>
  </xdr:twoCellAnchor>
  <xdr:twoCellAnchor>
    <xdr:from>
      <xdr:col>3</xdr:col>
      <xdr:colOff>568098</xdr:colOff>
      <xdr:row>101</xdr:row>
      <xdr:rowOff>10204</xdr:rowOff>
    </xdr:from>
    <xdr:to>
      <xdr:col>26</xdr:col>
      <xdr:colOff>11906</xdr:colOff>
      <xdr:row>102</xdr:row>
      <xdr:rowOff>46643</xdr:rowOff>
    </xdr:to>
    <xdr:sp macro="" textlink="">
      <xdr:nvSpPr>
        <xdr:cNvPr id="12" name="Retângulo: Cantos Superiores Arredondados 11">
          <a:extLst>
            <a:ext uri="{FF2B5EF4-FFF2-40B4-BE49-F238E27FC236}">
              <a16:creationId xmlns:a16="http://schemas.microsoft.com/office/drawing/2014/main" id="{804CE495-8C43-47D0-A411-862B0CB510E2}"/>
            </a:ext>
          </a:extLst>
        </xdr:cNvPr>
        <xdr:cNvSpPr/>
      </xdr:nvSpPr>
      <xdr:spPr>
        <a:xfrm>
          <a:off x="4389304" y="14275292"/>
          <a:ext cx="30954749"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 Ciclus Ambiental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5716</xdr:colOff>
      <xdr:row>6</xdr:row>
      <xdr:rowOff>222883</xdr:rowOff>
    </xdr:from>
    <xdr:to>
      <xdr:col>25</xdr:col>
      <xdr:colOff>22412</xdr:colOff>
      <xdr:row>8</xdr:row>
      <xdr:rowOff>35717</xdr:rowOff>
    </xdr:to>
    <xdr:sp macro="" textlink="">
      <xdr:nvSpPr>
        <xdr:cNvPr id="3" name="Retângulo: Cantos Superiores Arredondados 2">
          <a:extLst>
            <a:ext uri="{FF2B5EF4-FFF2-40B4-BE49-F238E27FC236}">
              <a16:creationId xmlns:a16="http://schemas.microsoft.com/office/drawing/2014/main" id="{00000000-0008-0000-0600-000003000000}"/>
            </a:ext>
          </a:extLst>
        </xdr:cNvPr>
        <xdr:cNvSpPr/>
      </xdr:nvSpPr>
      <xdr:spPr>
        <a:xfrm>
          <a:off x="4432040" y="1365883"/>
          <a:ext cx="18842578" cy="50759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 Capital</a:t>
          </a:r>
          <a:r>
            <a:rPr lang="pt-BR" sz="1100" b="0" baseline="0">
              <a:solidFill>
                <a:schemeClr val="tx1">
                  <a:lumMod val="75000"/>
                  <a:lumOff val="25000"/>
                </a:schemeClr>
              </a:solidFill>
              <a:latin typeface="+mn-lt"/>
              <a:ea typeface="SF Pro Display" panose="00000500000000000000" pitchFamily="2" charset="0"/>
            </a:rPr>
            <a:t> de Giro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603016</xdr:colOff>
      <xdr:row>12</xdr:row>
      <xdr:rowOff>254318</xdr:rowOff>
    </xdr:from>
    <xdr:to>
      <xdr:col>24</xdr:col>
      <xdr:colOff>1098176</xdr:colOff>
      <xdr:row>13</xdr:row>
      <xdr:rowOff>370998</xdr:rowOff>
    </xdr:to>
    <xdr:sp macro="" textlink="">
      <xdr:nvSpPr>
        <xdr:cNvPr id="5" name="Retângulo: Cantos Superiores Arredondados 4">
          <a:extLst>
            <a:ext uri="{FF2B5EF4-FFF2-40B4-BE49-F238E27FC236}">
              <a16:creationId xmlns:a16="http://schemas.microsoft.com/office/drawing/2014/main" id="{B10C8D87-E2C5-4183-9B00-9917381674C4}"/>
            </a:ext>
          </a:extLst>
        </xdr:cNvPr>
        <xdr:cNvSpPr/>
      </xdr:nvSpPr>
      <xdr:spPr>
        <a:xfrm>
          <a:off x="4424222" y="3616083"/>
          <a:ext cx="18816778" cy="49768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 Capex</a:t>
          </a:r>
        </a:p>
      </xdr:txBody>
    </xdr:sp>
    <xdr:clientData/>
  </xdr:twoCellAnchor>
  <xdr:twoCellAnchor>
    <xdr:from>
      <xdr:col>3</xdr:col>
      <xdr:colOff>573600</xdr:colOff>
      <xdr:row>34</xdr:row>
      <xdr:rowOff>26921</xdr:rowOff>
    </xdr:from>
    <xdr:to>
      <xdr:col>21</xdr:col>
      <xdr:colOff>17930</xdr:colOff>
      <xdr:row>35</xdr:row>
      <xdr:rowOff>62639</xdr:rowOff>
    </xdr:to>
    <xdr:sp macro="" textlink="">
      <xdr:nvSpPr>
        <xdr:cNvPr id="13" name="Retângulo: Cantos Superiores Arredondados 12">
          <a:extLst>
            <a:ext uri="{FF2B5EF4-FFF2-40B4-BE49-F238E27FC236}">
              <a16:creationId xmlns:a16="http://schemas.microsoft.com/office/drawing/2014/main" id="{EA017C90-40AA-4C19-ADCC-289FCA29D1F7}"/>
            </a:ext>
          </a:extLst>
        </xdr:cNvPr>
        <xdr:cNvSpPr/>
      </xdr:nvSpPr>
      <xdr:spPr>
        <a:xfrm>
          <a:off x="4410494" y="10721815"/>
          <a:ext cx="14522965" cy="42120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 Inflação</a:t>
          </a:r>
          <a:r>
            <a:rPr lang="pt-BR" sz="1100" b="0" baseline="0">
              <a:solidFill>
                <a:schemeClr val="tx1">
                  <a:lumMod val="75000"/>
                  <a:lumOff val="25000"/>
                </a:schemeClr>
              </a:solidFill>
              <a:latin typeface="+mn-lt"/>
              <a:ea typeface="SF Pro Display" panose="00000500000000000000" pitchFamily="2" charset="0"/>
            </a:rPr>
            <a:t> Implícita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-1</xdr:colOff>
      <xdr:row>59</xdr:row>
      <xdr:rowOff>246529</xdr:rowOff>
    </xdr:from>
    <xdr:to>
      <xdr:col>21</xdr:col>
      <xdr:colOff>33617</xdr:colOff>
      <xdr:row>60</xdr:row>
      <xdr:rowOff>376938</xdr:rowOff>
    </xdr:to>
    <xdr:sp macro="" textlink="">
      <xdr:nvSpPr>
        <xdr:cNvPr id="6" name="Retângulo: Cantos Superiores Arredondados 5">
          <a:extLst>
            <a:ext uri="{FF2B5EF4-FFF2-40B4-BE49-F238E27FC236}">
              <a16:creationId xmlns:a16="http://schemas.microsoft.com/office/drawing/2014/main" id="{168239A2-8FDD-435D-BC79-1AF8B8578894}"/>
            </a:ext>
          </a:extLst>
        </xdr:cNvPr>
        <xdr:cNvSpPr/>
      </xdr:nvSpPr>
      <xdr:spPr>
        <a:xfrm>
          <a:off x="4426323" y="21515294"/>
          <a:ext cx="14489206" cy="51140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Histórico - Capital</a:t>
          </a:r>
          <a:r>
            <a:rPr lang="pt-BR" sz="1100" b="0" baseline="0">
              <a:solidFill>
                <a:schemeClr val="tx1">
                  <a:lumMod val="75000"/>
                  <a:lumOff val="25000"/>
                </a:schemeClr>
              </a:solidFill>
              <a:latin typeface="+mn-lt"/>
              <a:ea typeface="SF Pro Display" panose="00000500000000000000" pitchFamily="2" charset="0"/>
            </a:rPr>
            <a:t> de Giro das Empresas da Simpar</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50</xdr:row>
      <xdr:rowOff>257735</xdr:rowOff>
    </xdr:from>
    <xdr:to>
      <xdr:col>21</xdr:col>
      <xdr:colOff>22412</xdr:colOff>
      <xdr:row>52</xdr:row>
      <xdr:rowOff>7144</xdr:rowOff>
    </xdr:to>
    <xdr:sp macro="" textlink="">
      <xdr:nvSpPr>
        <xdr:cNvPr id="7" name="Retângulo: Cantos Superiores Arredondados 6">
          <a:extLst>
            <a:ext uri="{FF2B5EF4-FFF2-40B4-BE49-F238E27FC236}">
              <a16:creationId xmlns:a16="http://schemas.microsoft.com/office/drawing/2014/main" id="{5415A0F1-6A2A-411B-90C1-6BFC5EDE8F24}"/>
            </a:ext>
          </a:extLst>
        </xdr:cNvPr>
        <xdr:cNvSpPr/>
      </xdr:nvSpPr>
      <xdr:spPr>
        <a:xfrm>
          <a:off x="4426324" y="18097500"/>
          <a:ext cx="14478000" cy="51140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Histórico - D&amp;A d</a:t>
          </a:r>
          <a:r>
            <a:rPr lang="pt-BR" sz="1100" b="0" baseline="0">
              <a:solidFill>
                <a:schemeClr val="tx1">
                  <a:lumMod val="75000"/>
                  <a:lumOff val="25000"/>
                </a:schemeClr>
              </a:solidFill>
              <a:latin typeface="+mn-lt"/>
              <a:ea typeface="SF Pro Display" panose="00000500000000000000" pitchFamily="2" charset="0"/>
            </a:rPr>
            <a:t>as Empresas da Simpar</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593910</xdr:colOff>
      <xdr:row>41</xdr:row>
      <xdr:rowOff>246529</xdr:rowOff>
    </xdr:from>
    <xdr:to>
      <xdr:col>20</xdr:col>
      <xdr:colOff>1187823</xdr:colOff>
      <xdr:row>42</xdr:row>
      <xdr:rowOff>376938</xdr:rowOff>
    </xdr:to>
    <xdr:sp macro="" textlink="">
      <xdr:nvSpPr>
        <xdr:cNvPr id="8" name="Retângulo: Cantos Superiores Arredondados 7">
          <a:extLst>
            <a:ext uri="{FF2B5EF4-FFF2-40B4-BE49-F238E27FC236}">
              <a16:creationId xmlns:a16="http://schemas.microsoft.com/office/drawing/2014/main" id="{4C8EBDC2-573D-457F-886F-45D173AAA1DE}"/>
            </a:ext>
          </a:extLst>
        </xdr:cNvPr>
        <xdr:cNvSpPr/>
      </xdr:nvSpPr>
      <xdr:spPr>
        <a:xfrm>
          <a:off x="4415116" y="14657294"/>
          <a:ext cx="14455589" cy="51140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Histórico - D&amp;A do Arrendamento d</a:t>
          </a:r>
          <a:r>
            <a:rPr lang="pt-BR" sz="1100" b="0" baseline="0">
              <a:solidFill>
                <a:schemeClr val="tx1">
                  <a:lumMod val="75000"/>
                  <a:lumOff val="25000"/>
                </a:schemeClr>
              </a:solidFill>
              <a:latin typeface="+mn-lt"/>
              <a:ea typeface="SF Pro Display" panose="00000500000000000000" pitchFamily="2" charset="0"/>
            </a:rPr>
            <a:t>as Empresas da Simpar</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898071</xdr:colOff>
      <xdr:row>1</xdr:row>
      <xdr:rowOff>149679</xdr:rowOff>
    </xdr:from>
    <xdr:to>
      <xdr:col>0</xdr:col>
      <xdr:colOff>1253261</xdr:colOff>
      <xdr:row>4</xdr:row>
      <xdr:rowOff>186826</xdr:rowOff>
    </xdr:to>
    <xdr:pic>
      <xdr:nvPicPr>
        <xdr:cNvPr id="10" name="Imagem 9">
          <a:extLst>
            <a:ext uri="{FF2B5EF4-FFF2-40B4-BE49-F238E27FC236}">
              <a16:creationId xmlns:a16="http://schemas.microsoft.com/office/drawing/2014/main" id="{F6D03837-D7C2-4DE0-9326-98F5FA1567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8071" y="340179"/>
          <a:ext cx="349475" cy="5972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1047750</xdr:colOff>
      <xdr:row>1</xdr:row>
      <xdr:rowOff>104775</xdr:rowOff>
    </xdr:from>
    <xdr:ext cx="0" cy="476250"/>
    <xdr:pic>
      <xdr:nvPicPr>
        <xdr:cNvPr id="2" name="Imagem 1">
          <a:extLst>
            <a:ext uri="{FF2B5EF4-FFF2-40B4-BE49-F238E27FC236}">
              <a16:creationId xmlns:a16="http://schemas.microsoft.com/office/drawing/2014/main" id="{25501799-961E-49A9-996D-61E66298D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0" cy="476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4484</xdr:colOff>
      <xdr:row>6</xdr:row>
      <xdr:rowOff>250371</xdr:rowOff>
    </xdr:from>
    <xdr:to>
      <xdr:col>10</xdr:col>
      <xdr:colOff>2</xdr:colOff>
      <xdr:row>8</xdr:row>
      <xdr:rowOff>0</xdr:rowOff>
    </xdr:to>
    <xdr:sp macro="" textlink="">
      <xdr:nvSpPr>
        <xdr:cNvPr id="3" name="Retângulo: Cantos Superiores Arredondados 2">
          <a:extLst>
            <a:ext uri="{FF2B5EF4-FFF2-40B4-BE49-F238E27FC236}">
              <a16:creationId xmlns:a16="http://schemas.microsoft.com/office/drawing/2014/main" id="{14CE89CB-1F67-4FDD-9A82-50EA97AB3463}"/>
            </a:ext>
          </a:extLst>
        </xdr:cNvPr>
        <xdr:cNvSpPr/>
      </xdr:nvSpPr>
      <xdr:spPr>
        <a:xfrm>
          <a:off x="4185959" y="1336221"/>
          <a:ext cx="7777443" cy="18777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a:t>
          </a:r>
          <a:r>
            <a:rPr lang="pt-BR" sz="1100" b="0" baseline="0">
              <a:solidFill>
                <a:schemeClr val="tx1">
                  <a:lumMod val="75000"/>
                  <a:lumOff val="25000"/>
                </a:schemeClr>
              </a:solidFill>
              <a:latin typeface="+mn-lt"/>
              <a:ea typeface="SF Pro Display" panose="00000500000000000000" pitchFamily="2" charset="0"/>
            </a:rPr>
            <a:t> Trimestrais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2</xdr:colOff>
      <xdr:row>17</xdr:row>
      <xdr:rowOff>273842</xdr:rowOff>
    </xdr:from>
    <xdr:to>
      <xdr:col>9</xdr:col>
      <xdr:colOff>0</xdr:colOff>
      <xdr:row>19</xdr:row>
      <xdr:rowOff>54429</xdr:rowOff>
    </xdr:to>
    <xdr:sp macro="" textlink="">
      <xdr:nvSpPr>
        <xdr:cNvPr id="4" name="Retângulo: Cantos Superiores Arredondados 2">
          <a:extLst>
            <a:ext uri="{FF2B5EF4-FFF2-40B4-BE49-F238E27FC236}">
              <a16:creationId xmlns:a16="http://schemas.microsoft.com/office/drawing/2014/main" id="{444C232D-5B88-4CA0-AB39-C2F216BC4C23}"/>
            </a:ext>
          </a:extLst>
        </xdr:cNvPr>
        <xdr:cNvSpPr/>
      </xdr:nvSpPr>
      <xdr:spPr>
        <a:xfrm>
          <a:off x="4179096" y="6536530"/>
          <a:ext cx="6727029" cy="542587"/>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 Líquida</a:t>
          </a:r>
          <a:r>
            <a:rPr lang="pt-BR" sz="1100" b="0" baseline="0">
              <a:solidFill>
                <a:schemeClr val="tx1">
                  <a:lumMod val="75000"/>
                  <a:lumOff val="25000"/>
                </a:schemeClr>
              </a:solidFill>
              <a:latin typeface="+mn-lt"/>
              <a:ea typeface="SF Pro Display" panose="00000500000000000000" pitchFamily="2" charset="0"/>
            </a:rPr>
            <a:t>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0</xdr:colOff>
      <xdr:row>17</xdr:row>
      <xdr:rowOff>250031</xdr:rowOff>
    </xdr:from>
    <xdr:to>
      <xdr:col>16</xdr:col>
      <xdr:colOff>0</xdr:colOff>
      <xdr:row>19</xdr:row>
      <xdr:rowOff>56029</xdr:rowOff>
    </xdr:to>
    <xdr:sp macro="" textlink="">
      <xdr:nvSpPr>
        <xdr:cNvPr id="5" name="Retângulo: Cantos Superiores Arredondados 2">
          <a:extLst>
            <a:ext uri="{FF2B5EF4-FFF2-40B4-BE49-F238E27FC236}">
              <a16:creationId xmlns:a16="http://schemas.microsoft.com/office/drawing/2014/main" id="{A05C193C-8303-4C24-AE02-1F098179B59B}"/>
            </a:ext>
          </a:extLst>
        </xdr:cNvPr>
        <xdr:cNvSpPr/>
      </xdr:nvSpPr>
      <xdr:spPr>
        <a:xfrm>
          <a:off x="11941969" y="6512719"/>
          <a:ext cx="6000750" cy="56799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da Receita Líquida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2</xdr:colOff>
      <xdr:row>27</xdr:row>
      <xdr:rowOff>285749</xdr:rowOff>
    </xdr:from>
    <xdr:to>
      <xdr:col>9</xdr:col>
      <xdr:colOff>0</xdr:colOff>
      <xdr:row>29</xdr:row>
      <xdr:rowOff>10886</xdr:rowOff>
    </xdr:to>
    <xdr:sp macro="" textlink="">
      <xdr:nvSpPr>
        <xdr:cNvPr id="6" name="Retângulo: Cantos Superiores Arredondados 2">
          <a:extLst>
            <a:ext uri="{FF2B5EF4-FFF2-40B4-BE49-F238E27FC236}">
              <a16:creationId xmlns:a16="http://schemas.microsoft.com/office/drawing/2014/main" id="{343BD772-0A61-4BF6-B73C-6836A13CE76E}"/>
            </a:ext>
          </a:extLst>
        </xdr:cNvPr>
        <xdr:cNvSpPr/>
      </xdr:nvSpPr>
      <xdr:spPr>
        <a:xfrm>
          <a:off x="4179096" y="9596437"/>
          <a:ext cx="6727029" cy="487137"/>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EBIT</a:t>
          </a:r>
          <a:r>
            <a:rPr lang="pt-BR" sz="1100" b="0" baseline="0">
              <a:solidFill>
                <a:schemeClr val="tx1">
                  <a:lumMod val="75000"/>
                  <a:lumOff val="25000"/>
                </a:schemeClr>
              </a:solidFill>
              <a:latin typeface="+mn-lt"/>
              <a:ea typeface="SF Pro Display" panose="00000500000000000000" pitchFamily="2" charset="0"/>
            </a:rPr>
            <a:t>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10888</xdr:colOff>
      <xdr:row>27</xdr:row>
      <xdr:rowOff>261936</xdr:rowOff>
    </xdr:from>
    <xdr:to>
      <xdr:col>16</xdr:col>
      <xdr:colOff>10885</xdr:colOff>
      <xdr:row>29</xdr:row>
      <xdr:rowOff>4083</xdr:rowOff>
    </xdr:to>
    <xdr:sp macro="" textlink="">
      <xdr:nvSpPr>
        <xdr:cNvPr id="7" name="Retângulo: Cantos Superiores Arredondados 2">
          <a:extLst>
            <a:ext uri="{FF2B5EF4-FFF2-40B4-BE49-F238E27FC236}">
              <a16:creationId xmlns:a16="http://schemas.microsoft.com/office/drawing/2014/main" id="{08A6BB47-EE71-4165-A770-3F798DD23DEF}"/>
            </a:ext>
          </a:extLst>
        </xdr:cNvPr>
        <xdr:cNvSpPr/>
      </xdr:nvSpPr>
      <xdr:spPr>
        <a:xfrm>
          <a:off x="12702951" y="9572624"/>
          <a:ext cx="6465090" cy="504147"/>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do EBIT</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xdr:col>
      <xdr:colOff>726281</xdr:colOff>
      <xdr:row>6</xdr:row>
      <xdr:rowOff>226218</xdr:rowOff>
    </xdr:from>
    <xdr:to>
      <xdr:col>16</xdr:col>
      <xdr:colOff>1012031</xdr:colOff>
      <xdr:row>8</xdr:row>
      <xdr:rowOff>35717</xdr:rowOff>
    </xdr:to>
    <xdr:sp macro="" textlink="">
      <xdr:nvSpPr>
        <xdr:cNvPr id="27" name="Retângulo: Cantos Superiores Arredondados 26">
          <a:extLst>
            <a:ext uri="{FF2B5EF4-FFF2-40B4-BE49-F238E27FC236}">
              <a16:creationId xmlns:a16="http://schemas.microsoft.com/office/drawing/2014/main" id="{EDC8E90A-A86A-4CB4-8DC8-01E167839ADD}"/>
            </a:ext>
          </a:extLst>
        </xdr:cNvPr>
        <xdr:cNvSpPr/>
      </xdr:nvSpPr>
      <xdr:spPr>
        <a:xfrm>
          <a:off x="12668250" y="1535906"/>
          <a:ext cx="7500937" cy="57149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Resultados</a:t>
          </a:r>
          <a:r>
            <a:rPr lang="pt-BR" sz="1100" b="0" baseline="0">
              <a:solidFill>
                <a:schemeClr val="tx1">
                  <a:lumMod val="75000"/>
                  <a:lumOff val="25000"/>
                </a:schemeClr>
              </a:solidFill>
              <a:latin typeface="+mn-lt"/>
              <a:ea typeface="SF Pro Display" panose="00000500000000000000" pitchFamily="2" charset="0"/>
            </a:rPr>
            <a:t> Realizados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833438</xdr:colOff>
      <xdr:row>1</xdr:row>
      <xdr:rowOff>104775</xdr:rowOff>
    </xdr:from>
    <xdr:to>
      <xdr:col>0</xdr:col>
      <xdr:colOff>1182913</xdr:colOff>
      <xdr:row>3</xdr:row>
      <xdr:rowOff>154304</xdr:rowOff>
    </xdr:to>
    <xdr:pic>
      <xdr:nvPicPr>
        <xdr:cNvPr id="8" name="Imagem 7">
          <a:extLst>
            <a:ext uri="{FF2B5EF4-FFF2-40B4-BE49-F238E27FC236}">
              <a16:creationId xmlns:a16="http://schemas.microsoft.com/office/drawing/2014/main" id="{C767F826-EB7A-400F-9F3B-E35D5E0937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8" y="295275"/>
          <a:ext cx="349475" cy="5972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1047750</xdr:colOff>
      <xdr:row>1</xdr:row>
      <xdr:rowOff>104775</xdr:rowOff>
    </xdr:from>
    <xdr:to>
      <xdr:col>0</xdr:col>
      <xdr:colOff>1047750</xdr:colOff>
      <xdr:row>4</xdr:row>
      <xdr:rowOff>9525</xdr:rowOff>
    </xdr:to>
    <xdr:pic>
      <xdr:nvPicPr>
        <xdr:cNvPr id="2" name="Imagem 1">
          <a:extLst>
            <a:ext uri="{FF2B5EF4-FFF2-40B4-BE49-F238E27FC236}">
              <a16:creationId xmlns:a16="http://schemas.microsoft.com/office/drawing/2014/main" id="{09512396-747C-415A-822B-ECC7435EC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584089</xdr:colOff>
      <xdr:row>7</xdr:row>
      <xdr:rowOff>680</xdr:rowOff>
    </xdr:from>
    <xdr:to>
      <xdr:col>9</xdr:col>
      <xdr:colOff>13607</xdr:colOff>
      <xdr:row>8</xdr:row>
      <xdr:rowOff>376919</xdr:rowOff>
    </xdr:to>
    <xdr:sp macro="" textlink="">
      <xdr:nvSpPr>
        <xdr:cNvPr id="3" name="Retângulo: Cantos Superiores Arredondados 6">
          <a:extLst>
            <a:ext uri="{FF2B5EF4-FFF2-40B4-BE49-F238E27FC236}">
              <a16:creationId xmlns:a16="http://schemas.microsoft.com/office/drawing/2014/main" id="{01FDDCB5-DB39-430A-A5B1-9BFC43E92A9D}"/>
            </a:ext>
          </a:extLst>
        </xdr:cNvPr>
        <xdr:cNvSpPr/>
      </xdr:nvSpPr>
      <xdr:spPr>
        <a:xfrm>
          <a:off x="4108339" y="1453243"/>
          <a:ext cx="11002393" cy="7572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Valor das</a:t>
          </a:r>
          <a:r>
            <a:rPr lang="pt-BR" sz="1100" b="0" baseline="0">
              <a:solidFill>
                <a:sysClr val="windowText" lastClr="000000"/>
              </a:solidFill>
              <a:effectLst/>
              <a:latin typeface="+mn-lt"/>
              <a:ea typeface="+mn-ea"/>
              <a:cs typeface="+mn-cs"/>
            </a:rPr>
            <a:t> Provisões e Perdas Possíveis em 07/11/2022</a:t>
          </a:r>
          <a:endParaRPr lang="pt-BR">
            <a:solidFill>
              <a:sysClr val="windowText" lastClr="000000"/>
            </a:solidFill>
            <a:effectLst/>
          </a:endParaRPr>
        </a:p>
      </xdr:txBody>
    </xdr:sp>
    <xdr:clientData/>
  </xdr:twoCellAnchor>
  <xdr:twoCellAnchor>
    <xdr:from>
      <xdr:col>3</xdr:col>
      <xdr:colOff>604840</xdr:colOff>
      <xdr:row>15</xdr:row>
      <xdr:rowOff>345280</xdr:rowOff>
    </xdr:from>
    <xdr:to>
      <xdr:col>8</xdr:col>
      <xdr:colOff>1916907</xdr:colOff>
      <xdr:row>17</xdr:row>
      <xdr:rowOff>16670</xdr:rowOff>
    </xdr:to>
    <xdr:sp macro="" textlink="">
      <xdr:nvSpPr>
        <xdr:cNvPr id="8" name="Retângulo: Cantos Superiores Arredondados 7">
          <a:extLst>
            <a:ext uri="{FF2B5EF4-FFF2-40B4-BE49-F238E27FC236}">
              <a16:creationId xmlns:a16="http://schemas.microsoft.com/office/drawing/2014/main" id="{944B504D-8BF7-4BF6-82ED-F3900B431C77}"/>
            </a:ext>
          </a:extLst>
        </xdr:cNvPr>
        <xdr:cNvSpPr/>
      </xdr:nvSpPr>
      <xdr:spPr>
        <a:xfrm>
          <a:off x="4129090" y="4845843"/>
          <a:ext cx="10956130" cy="43339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Processos Relevantes (FRE)</a:t>
          </a:r>
        </a:p>
      </xdr:txBody>
    </xdr:sp>
    <xdr:clientData/>
  </xdr:twoCellAnchor>
  <xdr:twoCellAnchor editAs="oneCell">
    <xdr:from>
      <xdr:col>0</xdr:col>
      <xdr:colOff>785812</xdr:colOff>
      <xdr:row>1</xdr:row>
      <xdr:rowOff>45243</xdr:rowOff>
    </xdr:from>
    <xdr:to>
      <xdr:col>0</xdr:col>
      <xdr:colOff>1135287</xdr:colOff>
      <xdr:row>4</xdr:row>
      <xdr:rowOff>70960</xdr:rowOff>
    </xdr:to>
    <xdr:pic>
      <xdr:nvPicPr>
        <xdr:cNvPr id="4" name="Imagem 3">
          <a:extLst>
            <a:ext uri="{FF2B5EF4-FFF2-40B4-BE49-F238E27FC236}">
              <a16:creationId xmlns:a16="http://schemas.microsoft.com/office/drawing/2014/main" id="{39DE7A97-1242-4B81-958A-FCBE89495D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5812" y="235743"/>
          <a:ext cx="349475" cy="5972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hiag\Desktop\Dashboard\Valuation%20JSL%20(DCF)%20-%20VAROS%201T24.xlsx" TargetMode="External"/><Relationship Id="rId1" Type="http://schemas.openxmlformats.org/officeDocument/2006/relationships/externalLinkPath" Target="file:///C:\Users\thiag\Desktop\Dashboard\Valuation%20JSL%20(DCF)%20-%20VAROS%201T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hiag\Desktop\Dashboard\Valuation%20Movida%20(DCF)%20-%20VAROS%201T24.xlsx" TargetMode="External"/><Relationship Id="rId1" Type="http://schemas.openxmlformats.org/officeDocument/2006/relationships/externalLinkPath" Target="file:///C:\Users\thiag\Desktop\Dashboard\Valuation%20Movida%20(DCF)%20-%20VAROS%201T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hiag\Desktop\Dashboard\Valuation%20VAMOS%20(DCF)%20-%20VAROS%201T24.xlsx" TargetMode="External"/><Relationship Id="rId1" Type="http://schemas.openxmlformats.org/officeDocument/2006/relationships/externalLinkPath" Target="file:///C:\Users\thiag\Desktop\Dashboard\Valuation%20VAMOS%20(DCF)%20-%20VAROS%201T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thiag\Desktop\Dashboard\Valuation%20Movida%20(DCF)%20-%20VAROS%203T23.xlsx" TargetMode="External"/><Relationship Id="rId1" Type="http://schemas.openxmlformats.org/officeDocument/2006/relationships/externalLinkPath" Target="file:///C:\Users\thiag\Desktop\Dashboard\Valuation%20Movida%20(DCF)%20-%20VAROS%203T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thiag\Desktop\Dashboard\Valuation%20JSL%20(DCF)%20-%20VAROS%203T23.xlsx" TargetMode="External"/><Relationship Id="rId1" Type="http://schemas.openxmlformats.org/officeDocument/2006/relationships/externalLinkPath" Target="file:///C:\Users\thiag\Desktop\Dashboard\Valuation%20JSL%20(DCF)%20-%20VAROS%203T2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thiag\Desktop\Dashboard\Valuation%20VAMOS%20(DCF)%20-%20VAROS%203T23.xlsx" TargetMode="External"/><Relationship Id="rId1" Type="http://schemas.openxmlformats.org/officeDocument/2006/relationships/externalLinkPath" Target="file:///C:\Users\thiag\Desktop\Dashboard\Valuation%20VAMOS%20(DCF)%20-%20VAROS%203T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 val="To-Do"/>
    </sheetNames>
    <sheetDataSet>
      <sheetData sheetId="0">
        <row r="11">
          <cell r="F11">
            <v>286431.07799999998</v>
          </cell>
        </row>
        <row r="12">
          <cell r="F12">
            <v>10690149.672111638</v>
          </cell>
        </row>
        <row r="13">
          <cell r="F13">
            <v>-9650368</v>
          </cell>
        </row>
        <row r="14">
          <cell r="F14">
            <v>3528272.1955508739</v>
          </cell>
        </row>
        <row r="15">
          <cell r="F15">
            <v>28169</v>
          </cell>
        </row>
        <row r="16">
          <cell r="F16">
            <v>-528483</v>
          </cell>
        </row>
        <row r="18">
          <cell r="F18">
            <v>11.83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 val="To-Do"/>
    </sheetNames>
    <sheetDataSet>
      <sheetData sheetId="0">
        <row r="11">
          <cell r="F11">
            <v>362302.08600000001</v>
          </cell>
        </row>
        <row r="12">
          <cell r="F12">
            <v>20284874.518736061</v>
          </cell>
        </row>
        <row r="13">
          <cell r="F13">
            <v>-17964301</v>
          </cell>
        </row>
        <row r="14">
          <cell r="F14">
            <v>2901197.7440966121</v>
          </cell>
        </row>
        <row r="15">
          <cell r="F15">
            <v>0</v>
          </cell>
        </row>
        <row r="17">
          <cell r="F17">
            <v>7.24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s>
    <sheetDataSet>
      <sheetData sheetId="0">
        <row r="11">
          <cell r="F11">
            <v>1104324.5689999999</v>
          </cell>
        </row>
        <row r="12">
          <cell r="F12">
            <v>20835195.532696608</v>
          </cell>
        </row>
        <row r="13">
          <cell r="F13">
            <v>-14245979</v>
          </cell>
        </row>
        <row r="14">
          <cell r="F14">
            <v>2415732.2250000001</v>
          </cell>
        </row>
        <row r="15">
          <cell r="F15">
            <v>-108010</v>
          </cell>
        </row>
        <row r="17">
          <cell r="F17">
            <v>8.23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 val="To-Do"/>
    </sheetNames>
    <sheetDataSet>
      <sheetData sheetId="0">
        <row r="11">
          <cell r="F11">
            <v>362302.08600000001</v>
          </cell>
        </row>
        <row r="15">
          <cell r="F15">
            <v>0</v>
          </cell>
        </row>
      </sheetData>
      <sheetData sheetId="1"/>
      <sheetData sheetId="2"/>
      <sheetData sheetId="3"/>
      <sheetData sheetId="4"/>
      <sheetData sheetId="5">
        <row r="12">
          <cell r="N12">
            <v>2538599</v>
          </cell>
          <cell r="T12">
            <v>2569024.8584517129</v>
          </cell>
        </row>
      </sheetData>
      <sheetData sheetId="6"/>
      <sheetData sheetId="7"/>
      <sheetData sheetId="8"/>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 val="To-Do"/>
    </sheetNames>
    <sheetDataSet>
      <sheetData sheetId="0">
        <row r="11">
          <cell r="F11">
            <v>286431.07799999998</v>
          </cell>
        </row>
      </sheetData>
      <sheetData sheetId="1"/>
      <sheetData sheetId="2"/>
      <sheetData sheetId="3"/>
      <sheetData sheetId="4"/>
      <sheetData sheetId="5">
        <row r="12">
          <cell r="L12">
            <v>3138376.8274600003</v>
          </cell>
          <cell r="R12">
            <v>2168878.9517161688</v>
          </cell>
        </row>
      </sheetData>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s>
    <sheetDataSet>
      <sheetData sheetId="0">
        <row r="11">
          <cell r="F11">
            <v>1104324.5689999999</v>
          </cell>
        </row>
      </sheetData>
      <sheetData sheetId="1"/>
      <sheetData sheetId="2"/>
      <sheetData sheetId="3"/>
      <sheetData sheetId="4"/>
      <sheetData sheetId="5">
        <row r="12">
          <cell r="M12">
            <v>938946</v>
          </cell>
          <cell r="S12">
            <v>1787320.1230364023</v>
          </cell>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Edufinance">
  <a:themeElements>
    <a:clrScheme name="Paleta Edufinance">
      <a:dk1>
        <a:sysClr val="windowText" lastClr="000000"/>
      </a:dk1>
      <a:lt1>
        <a:sysClr val="window" lastClr="FFFFFF"/>
      </a:lt1>
      <a:dk2>
        <a:srgbClr val="44546A"/>
      </a:dk2>
      <a:lt2>
        <a:srgbClr val="E7E6E6"/>
      </a:lt2>
      <a:accent1>
        <a:srgbClr val="43AF43"/>
      </a:accent1>
      <a:accent2>
        <a:srgbClr val="273835"/>
      </a:accent2>
      <a:accent3>
        <a:srgbClr val="878D96"/>
      </a:accent3>
      <a:accent4>
        <a:srgbClr val="C6CAD2"/>
      </a:accent4>
      <a:accent5>
        <a:srgbClr val="1CB799"/>
      </a:accent5>
      <a:accent6>
        <a:srgbClr val="296055"/>
      </a:accent6>
      <a:hlink>
        <a:srgbClr val="273835"/>
      </a:hlink>
      <a:folHlink>
        <a:srgbClr val="5B9BD5"/>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2"/>
  <dimension ref="A1:BB155"/>
  <sheetViews>
    <sheetView showGridLines="0" topLeftCell="A11" zoomScale="85" zoomScaleNormal="85" workbookViewId="0">
      <selection activeCell="D19" sqref="D19"/>
    </sheetView>
  </sheetViews>
  <sheetFormatPr defaultColWidth="0" defaultRowHeight="0" customHeight="1" zeroHeight="1"/>
  <cols>
    <col min="1" max="1" width="39.140625" style="3" customWidth="1"/>
    <col min="2" max="3" width="9.140625" style="5" customWidth="1"/>
    <col min="4" max="4" width="17.7109375" style="5" bestFit="1" customWidth="1"/>
    <col min="5" max="5" width="47.85546875" style="5" bestFit="1" customWidth="1"/>
    <col min="6" max="6" width="19" style="5" bestFit="1" customWidth="1"/>
    <col min="7" max="7" width="7.7109375" style="5" customWidth="1"/>
    <col min="8" max="8" width="15.85546875" style="5" customWidth="1"/>
    <col min="9" max="9" width="11.28515625" style="5" bestFit="1" customWidth="1"/>
    <col min="10" max="10" width="12" style="5" customWidth="1"/>
    <col min="11" max="11" width="19.7109375" style="5" bestFit="1" customWidth="1"/>
    <col min="12" max="18" width="11.28515625" style="5" bestFit="1" customWidth="1"/>
    <col min="19" max="19" width="14.7109375" style="5" customWidth="1"/>
    <col min="20" max="52" width="9.140625" style="5" customWidth="1"/>
    <col min="53" max="54" width="9.140625" style="5" hidden="1" customWidth="1"/>
    <col min="55" max="16384" width="0" style="5" hidden="1"/>
  </cols>
  <sheetData>
    <row r="1" spans="1:52" ht="15">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spans="1:52" ht="15" customHeight="1">
      <c r="B2" s="4"/>
      <c r="C2" s="4"/>
      <c r="D2" s="6"/>
      <c r="E2" s="6"/>
      <c r="F2" s="6"/>
      <c r="G2" s="6"/>
      <c r="H2" s="6"/>
      <c r="I2" s="6"/>
      <c r="J2" s="6"/>
      <c r="K2" s="6"/>
      <c r="L2" s="6"/>
      <c r="M2" s="6"/>
      <c r="N2" s="6"/>
      <c r="O2" s="6"/>
      <c r="P2" s="6"/>
      <c r="Q2" s="6"/>
      <c r="R2" s="6"/>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ht="15" customHeight="1">
      <c r="B3" s="4"/>
      <c r="C3" s="4"/>
      <c r="D3" s="7"/>
      <c r="E3" s="7"/>
      <c r="F3" s="7"/>
      <c r="G3" s="7"/>
      <c r="H3" s="334" t="s">
        <v>257</v>
      </c>
      <c r="I3" s="334"/>
      <c r="J3" s="334"/>
      <c r="K3" s="334"/>
      <c r="L3" s="6"/>
      <c r="M3" s="6"/>
      <c r="N3" s="6"/>
      <c r="O3" s="6"/>
      <c r="P3" s="6"/>
      <c r="Q3" s="6"/>
      <c r="R3" s="6"/>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row>
    <row r="4" spans="1:52" ht="15" customHeight="1">
      <c r="B4" s="4"/>
      <c r="C4" s="4"/>
      <c r="D4" s="7"/>
      <c r="E4" s="7"/>
      <c r="F4" s="7"/>
      <c r="G4" s="7"/>
      <c r="H4" s="334"/>
      <c r="I4" s="334"/>
      <c r="J4" s="334"/>
      <c r="K4" s="334"/>
      <c r="L4" s="6"/>
      <c r="M4" s="6"/>
      <c r="N4" s="6"/>
      <c r="O4" s="6"/>
      <c r="P4" s="6"/>
      <c r="Q4" s="6"/>
      <c r="R4" s="6"/>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row>
    <row r="5" spans="1:52" ht="15" customHeight="1">
      <c r="B5" s="4"/>
      <c r="C5" s="4"/>
      <c r="D5" s="7"/>
      <c r="E5" s="7"/>
      <c r="F5" s="7"/>
      <c r="G5" s="7"/>
      <c r="H5" s="335"/>
      <c r="I5" s="335"/>
      <c r="J5" s="335"/>
      <c r="K5" s="335"/>
      <c r="L5" s="6"/>
      <c r="M5" s="6"/>
      <c r="N5" s="6"/>
      <c r="O5" s="6"/>
      <c r="P5" s="6"/>
      <c r="Q5" s="8"/>
      <c r="R5" s="6"/>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row>
    <row r="6" spans="1:52" ht="15" customHeight="1">
      <c r="B6" s="4"/>
      <c r="C6" s="4"/>
      <c r="D6" s="7"/>
      <c r="E6" s="7"/>
      <c r="F6" s="7"/>
      <c r="G6" s="6"/>
      <c r="H6" s="6"/>
      <c r="I6" s="6"/>
      <c r="J6" s="6"/>
      <c r="K6" s="6"/>
      <c r="L6" s="6"/>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row>
    <row r="7" spans="1:52" s="11" customFormat="1" ht="24.75" customHeight="1">
      <c r="A7" s="9" t="s">
        <v>33</v>
      </c>
      <c r="B7" s="10"/>
      <c r="C7" s="10"/>
      <c r="D7" s="10"/>
      <c r="E7" s="10"/>
      <c r="F7" s="10"/>
      <c r="G7" s="10"/>
      <c r="H7" s="7"/>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row>
    <row r="8" spans="1:52" ht="30" customHeight="1">
      <c r="A8" s="33" t="s">
        <v>34</v>
      </c>
      <c r="B8" s="4"/>
      <c r="C8" s="4"/>
      <c r="D8" s="10"/>
      <c r="E8" s="13"/>
      <c r="F8" s="14"/>
      <c r="G8" s="14"/>
      <c r="H8" s="14"/>
      <c r="I8" s="14"/>
      <c r="J8" s="14"/>
      <c r="K8" s="14"/>
      <c r="L8" s="14"/>
      <c r="M8" s="14"/>
      <c r="N8" s="14"/>
      <c r="O8" s="14"/>
      <c r="P8" s="14"/>
      <c r="Q8" s="14"/>
      <c r="R8" s="15"/>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row>
    <row r="9" spans="1:52" ht="30" customHeight="1">
      <c r="A9" s="12" t="s">
        <v>23</v>
      </c>
      <c r="B9" s="4"/>
      <c r="C9" s="4"/>
      <c r="D9" s="4"/>
      <c r="E9" s="16" t="s">
        <v>52</v>
      </c>
      <c r="F9" s="17" t="s">
        <v>289</v>
      </c>
      <c r="G9" s="333" t="s">
        <v>23</v>
      </c>
      <c r="H9" s="18">
        <f t="shared" ref="H9:H11" si="0">H10-0.5%</f>
        <v>9.0330137025549165E-2</v>
      </c>
      <c r="I9" s="312">
        <f>(((NPV($H9,'DRE + DCF'!$V$36,'DRE + DCF'!$X$36:$AA$36)*((1+$H9)^((12-3)/12))+('DRE + DCF'!$AB$36*(1+I$18)/(($H9-I$18)*(1+$H9)^(COUNT('DRE + DCF'!$W$22:$AA$22)-((12-3)/12)))))+SUM($F$12:$F$17)))/$F$10-(((NPV($H9,'DRE + DCF'!$V$36,'DRE + DCF'!$X$36:$AA$36)*((1+$H9)^((12-3)/12))+('DRE + DCF'!$AB$36*(1+I$18)/(($H9-I$18)*(1+$H9)^(COUNT('DRE + DCF'!$W$22:$AA$22)-((12-3)/12)))))*$F$40+$F$42)*(1-$F$39))/$F$10</f>
        <v>14.189123487868788</v>
      </c>
      <c r="J9" s="312">
        <f>(((NPV($H9,'DRE + DCF'!$V$36,'DRE + DCF'!$X$36:$AA$36)*((1+$H9)^((12-3)/12))+('DRE + DCF'!$AB$36*(1+J$18)/(($H9-J$18)*(1+$H9)^(COUNT('DRE + DCF'!$W$22:$AA$22)-((12-3)/12)))))+SUM($F$12:$F$17)))/$F$10-(((NPV($H9,'DRE + DCF'!$V$36,'DRE + DCF'!$X$36:$AA$36)*((1+$H9)^((12-3)/12))+('DRE + DCF'!$AB$36*(1+J$18)/(($H9-J$18)*(1+$H9)^(COUNT('DRE + DCF'!$W$22:$AA$22)-((12-3)/12)))))*$F$40+$F$42)*(1-$F$39))/$F$10</f>
        <v>15.347343227380634</v>
      </c>
      <c r="K9" s="312">
        <f>(((NPV($H9,'DRE + DCF'!$V$36,'DRE + DCF'!$X$36:$AA$36)*((1+$H9)^((12-3)/12))+('DRE + DCF'!$AB$36*(1+K$18)/(($H9-K$18)*(1+$H9)^(COUNT('DRE + DCF'!$W$22:$AA$22)-((12-3)/12)))))+SUM($F$12:$F$17)))/$F$10-(((NPV($H9,'DRE + DCF'!$V$36,'DRE + DCF'!$X$36:$AA$36)*((1+$H9)^((12-3)/12))+('DRE + DCF'!$AB$36*(1+K$18)/(($H9-K$18)*(1+$H9)^(COUNT('DRE + DCF'!$W$22:$AA$22)-((12-3)/12)))))*$F$40+$F$42)*(1-$F$39))/$F$10</f>
        <v>16.743584589683923</v>
      </c>
      <c r="L9" s="312">
        <f>(((NPV($H9,'DRE + DCF'!$V$36,'DRE + DCF'!$X$36:$AA$36)*((1+$H9)^((12-3)/12))+('DRE + DCF'!$AB$36*(1+L$18)/(($H9-L$18)*(1+$H9)^(COUNT('DRE + DCF'!$W$22:$AA$22)-((12-3)/12)))))+SUM($F$12:$F$17)))/$F$10-(((NPV($H9,'DRE + DCF'!$V$36,'DRE + DCF'!$X$36:$AA$36)*((1+$H9)^((12-3)/12))+('DRE + DCF'!$AB$36*(1+L$18)/(($H9-L$18)*(1+$H9)^(COUNT('DRE + DCF'!$W$22:$AA$22)-((12-3)/12)))))*$F$40+$F$42)*(1-$F$39))/$F$10</f>
        <v>18.459622699178755</v>
      </c>
      <c r="M9" s="312">
        <f>(((NPV($H9,'DRE + DCF'!$V$36,'DRE + DCF'!$X$36:$AA$36)*((1+$H9)^((12-3)/12))+('DRE + DCF'!$AB$36*(1+M$18)/(($H9-M$18)*(1+$H9)^(COUNT('DRE + DCF'!$W$22:$AA$22)-((12-3)/12)))))+SUM($F$12:$F$17)))/$F$10-(((NPV($H9,'DRE + DCF'!$V$36,'DRE + DCF'!$X$36:$AA$36)*((1+$H9)^((12-3)/12))+('DRE + DCF'!$AB$36*(1+M$18)/(($H9-M$18)*(1+$H9)^(COUNT('DRE + DCF'!$W$22:$AA$22)-((12-3)/12)))))*$F$40+$F$42)*(1-$F$39))/$F$10</f>
        <v>20.61953715244362</v>
      </c>
      <c r="N9" s="312">
        <f>(((NPV($H9,'DRE + DCF'!$V$36,'DRE + DCF'!$X$36:$AA$36)*((1+$H9)^((12-3)/12))+('DRE + DCF'!$AB$36*(1+N$18)/(($H9-N$18)*(1+$H9)^(COUNT('DRE + DCF'!$W$22:$AA$22)-((12-3)/12)))))+SUM($F$12:$F$17)))/$F$10-(((NPV($H9,'DRE + DCF'!$V$36,'DRE + DCF'!$X$36:$AA$36)*((1+$H9)^((12-3)/12))+('DRE + DCF'!$AB$36*(1+N$18)/(($H9-N$18)*(1+$H9)^(COUNT('DRE + DCF'!$W$22:$AA$22)-((12-3)/12)))))*$F$40+$F$42)*(1-$F$39))/$F$10</f>
        <v>23.421132196302004</v>
      </c>
      <c r="O9" s="312">
        <f>(((NPV($H9,'DRE + DCF'!$V$36,'DRE + DCF'!$X$36:$AA$36)*((1+$H9)^((12-3)/12))+('DRE + DCF'!$AB$36*(1+O$18)/(($H9-O$18)*(1+$H9)^(COUNT('DRE + DCF'!$W$22:$AA$22)-((12-3)/12)))))+SUM($F$12:$F$17)))/$F$10-(((NPV($H9,'DRE + DCF'!$V$36,'DRE + DCF'!$X$36:$AA$36)*((1+$H9)^((12-3)/12))+('DRE + DCF'!$AB$36*(1+O$18)/(($H9-O$18)*(1+$H9)^(COUNT('DRE + DCF'!$W$22:$AA$22)-((12-3)/12)))))*$F$40+$F$42)*(1-$F$39))/$F$10</f>
        <v>27.200245821756464</v>
      </c>
      <c r="P9" s="312">
        <f>(((NPV($H9,'DRE + DCF'!$V$36,'DRE + DCF'!$X$36:$AA$36)*((1+$H9)^((12-3)/12))+('DRE + DCF'!$AB$36*(1+P$18)/(($H9-P$18)*(1+$H9)^(COUNT('DRE + DCF'!$W$22:$AA$22)-((12-3)/12)))))+SUM($F$12:$F$17)))/$F$10-(((NPV($H9,'DRE + DCF'!$V$36,'DRE + DCF'!$X$36:$AA$36)*((1+$H9)^((12-3)/12))+('DRE + DCF'!$AB$36*(1+P$18)/(($H9-P$18)*(1+$H9)^(COUNT('DRE + DCF'!$W$22:$AA$22)-((12-3)/12)))))*$F$40+$F$42)*(1-$F$39))/$F$10</f>
        <v>32.576599452670244</v>
      </c>
      <c r="Q9" s="312">
        <f>(((NPV($H9,'DRE + DCF'!$V$36,'DRE + DCF'!$X$36:$AA$36)*((1+$H9)^((12-3)/12))+('DRE + DCF'!$AB$36*(1+Q$18)/(($H9-Q$18)*(1+$H9)^(COUNT('DRE + DCF'!$W$22:$AA$22)-((12-3)/12)))))+SUM($F$12:$F$17)))/$F$10-(((NPV($H9,'DRE + DCF'!$V$36,'DRE + DCF'!$X$36:$AA$36)*((1+$H9)^((12-3)/12))+('DRE + DCF'!$AB$36*(1+Q$18)/(($H9-Q$18)*(1+$H9)^(COUNT('DRE + DCF'!$W$22:$AA$22)-((12-3)/12)))))*$F$40+$F$42)*(1-$F$39))/$F$10</f>
        <v>40.834129220757326</v>
      </c>
      <c r="R9" s="312">
        <f>(((NPV($H9,'DRE + DCF'!$V$36,'DRE + DCF'!$X$36:$AA$36)*((1+$H9)^((12-3)/12))+('DRE + DCF'!$AB$36*(1+R$18)/(($H9-R$18)*(1+$H9)^(COUNT('DRE + DCF'!$W$22:$AA$22)-((12-3)/12)))))+SUM($F$12:$F$17)))/$F$10-(((NPV($H9,'DRE + DCF'!$V$36,'DRE + DCF'!$X$36:$AA$36)*((1+$H9)^((12-3)/12))+('DRE + DCF'!$AB$36*(1+R$18)/(($H9-R$18)*(1+$H9)^(COUNT('DRE + DCF'!$W$22:$AA$22)-((12-3)/12)))))*$F$40+$F$42)*(1-$F$39))/$F$10</f>
        <v>55.136581467850888</v>
      </c>
      <c r="S9" s="88"/>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row>
    <row r="10" spans="1:52" ht="30" customHeight="1">
      <c r="A10" s="12" t="s">
        <v>323</v>
      </c>
      <c r="B10" s="4"/>
      <c r="C10" s="4"/>
      <c r="D10" s="4"/>
      <c r="E10" s="16" t="s">
        <v>55</v>
      </c>
      <c r="F10" s="19">
        <v>873040.53300000005</v>
      </c>
      <c r="G10" s="333"/>
      <c r="H10" s="18">
        <f t="shared" si="0"/>
        <v>9.5330137025549169E-2</v>
      </c>
      <c r="I10" s="312">
        <f>(((NPV($H10,'DRE + DCF'!$V$36,'DRE + DCF'!$X$36:$AA$36)*((1+$H10)^((12-3)/12))+('DRE + DCF'!$AB$36*(1+I$18)/(($H10-I$18)*(1+$H10)^(COUNT('DRE + DCF'!$W$22:$AA$22)-((12-3)/12)))))+SUM($F$12:$F$17)))/$F$10-(((NPV($H10,'DRE + DCF'!$V$36,'DRE + DCF'!$X$36:$AA$36)*((1+$H10)^((12-3)/12))+('DRE + DCF'!$AB$36*(1+I$18)/(($H10-I$18)*(1+$H10)^(COUNT('DRE + DCF'!$W$22:$AA$22)-((12-3)/12)))))*$F$40+$F$42)*(1-$F$39))/$F$10</f>
        <v>12.188699213514001</v>
      </c>
      <c r="J10" s="312">
        <f>(((NPV($H10,'DRE + DCF'!$V$36,'DRE + DCF'!$X$36:$AA$36)*((1+$H10)^((12-3)/12))+('DRE + DCF'!$AB$36*(1+J$18)/(($H10-J$18)*(1+$H10)^(COUNT('DRE + DCF'!$W$22:$AA$22)-((12-3)/12)))))+SUM($F$12:$F$17)))/$F$10-(((NPV($H10,'DRE + DCF'!$V$36,'DRE + DCF'!$X$36:$AA$36)*((1+$H10)^((12-3)/12))+('DRE + DCF'!$AB$36*(1+J$18)/(($H10-J$18)*(1+$H10)^(COUNT('DRE + DCF'!$W$22:$AA$22)-((12-3)/12)))))*$F$40+$F$42)*(1-$F$39))/$F$10</f>
        <v>13.010480187733373</v>
      </c>
      <c r="K10" s="312">
        <f>(((NPV($H10,'DRE + DCF'!$V$36,'DRE + DCF'!$X$36:$AA$36)*((1+$H10)^((12-3)/12))+('DRE + DCF'!$AB$36*(1+K$18)/(($H10-K$18)*(1+$H10)^(COUNT('DRE + DCF'!$W$22:$AA$22)-((12-3)/12)))))+SUM($F$12:$F$17)))/$F$10-(((NPV($H10,'DRE + DCF'!$V$36,'DRE + DCF'!$X$36:$AA$36)*((1+$H10)^((12-3)/12))+('DRE + DCF'!$AB$36*(1+K$18)/(($H10-K$18)*(1+$H10)^(COUNT('DRE + DCF'!$W$22:$AA$22)-((12-3)/12)))))*$F$40+$F$42)*(1-$F$39))/$F$10</f>
        <v>13.972352729459498</v>
      </c>
      <c r="L10" s="312">
        <f>(((NPV($H10,'DRE + DCF'!$V$36,'DRE + DCF'!$X$36:$AA$36)*((1+$H10)^((12-3)/12))+('DRE + DCF'!$AB$36*(1+L$18)/(($H10-L$18)*(1+$H10)^(COUNT('DRE + DCF'!$W$22:$AA$22)-((12-3)/12)))))+SUM($F$12:$F$17)))/$F$10-(((NPV($H10,'DRE + DCF'!$V$36,'DRE + DCF'!$X$36:$AA$36)*((1+$H10)^((12-3)/12))+('DRE + DCF'!$AB$36*(1+L$18)/(($H10-L$18)*(1+$H10)^(COUNT('DRE + DCF'!$W$22:$AA$22)-((12-3)/12)))))*$F$40+$F$42)*(1-$F$39))/$F$10</f>
        <v>15.113477531584099</v>
      </c>
      <c r="M10" s="312">
        <f>(((NPV($H10,'DRE + DCF'!$V$36,'DRE + DCF'!$X$36:$AA$36)*((1+$H10)^((12-3)/12))+('DRE + DCF'!$AB$36*(1+M$18)/(($H10-M$18)*(1+$H10)^(COUNT('DRE + DCF'!$W$22:$AA$22)-((12-3)/12)))))+SUM($F$12:$F$17)))/$F$10-(((NPV($H10,'DRE + DCF'!$V$36,'DRE + DCF'!$X$36:$AA$36)*((1+$H10)^((12-3)/12))+('DRE + DCF'!$AB$36*(1+M$18)/(($H10-M$18)*(1+$H10)^(COUNT('DRE + DCF'!$W$22:$AA$22)-((12-3)/12)))))*$F$40+$F$42)*(1-$F$39))/$F$10</f>
        <v>16.48911083666664</v>
      </c>
      <c r="N10" s="312">
        <f>(((NPV($H10,'DRE + DCF'!$V$36,'DRE + DCF'!$X$36:$AA$36)*((1+$H10)^((12-3)/12))+('DRE + DCF'!$AB$36*(1+N$18)/(($H10-N$18)*(1+$H10)^(COUNT('DRE + DCF'!$W$22:$AA$22)-((12-3)/12)))))+SUM($F$12:$F$17)))/$F$10-(((NPV($H10,'DRE + DCF'!$V$36,'DRE + DCF'!$X$36:$AA$36)*((1+$H10)^((12-3)/12))+('DRE + DCF'!$AB$36*(1+N$18)/(($H10-N$18)*(1+$H10)^(COUNT('DRE + DCF'!$W$22:$AA$22)-((12-3)/12)))))*$F$40+$F$42)*(1-$F$39))/$F$10</f>
        <v>18.179820795522023</v>
      </c>
      <c r="O10" s="312">
        <f>(((NPV($H10,'DRE + DCF'!$V$36,'DRE + DCF'!$X$36:$AA$36)*((1+$H10)^((12-3)/12))+('DRE + DCF'!$AB$36*(1+O$18)/(($H10-O$18)*(1+$H10)^(COUNT('DRE + DCF'!$W$22:$AA$22)-((12-3)/12)))))+SUM($F$12:$F$17)))/$F$10-(((NPV($H10,'DRE + DCF'!$V$36,'DRE + DCF'!$X$36:$AA$36)*((1+$H10)^((12-3)/12))+('DRE + DCF'!$AB$36*(1+O$18)/(($H10-O$18)*(1+$H10)^(COUNT('DRE + DCF'!$W$22:$AA$22)-((12-3)/12)))))*$F$40+$F$42)*(1-$F$39))/$F$10</f>
        <v>20.307855631231817</v>
      </c>
      <c r="P10" s="312">
        <f>(((NPV($H10,'DRE + DCF'!$V$36,'DRE + DCF'!$X$36:$AA$36)*((1+$H10)^((12-3)/12))+('DRE + DCF'!$AB$36*(1+P$18)/(($H10-P$18)*(1+$H10)^(COUNT('DRE + DCF'!$W$22:$AA$22)-((12-3)/12)))))+SUM($F$12:$F$17)))/$F$10-(((NPV($H10,'DRE + DCF'!$V$36,'DRE + DCF'!$X$36:$AA$36)*((1+$H10)^((12-3)/12))+('DRE + DCF'!$AB$36*(1+P$18)/(($H10-P$18)*(1+$H10)^(COUNT('DRE + DCF'!$W$22:$AA$22)-((12-3)/12)))))*$F$40+$F$42)*(1-$F$39))/$F$10</f>
        <v>23.068100065853166</v>
      </c>
      <c r="Q10" s="312">
        <f>(((NPV($H10,'DRE + DCF'!$V$36,'DRE + DCF'!$X$36:$AA$36)*((1+$H10)^((12-3)/12))+('DRE + DCF'!$AB$36*(1+Q$18)/(($H10-Q$18)*(1+$H10)^(COUNT('DRE + DCF'!$W$22:$AA$22)-((12-3)/12)))))+SUM($F$12:$F$17)))/$F$10-(((NPV($H10,'DRE + DCF'!$V$36,'DRE + DCF'!$X$36:$AA$36)*((1+$H10)^((12-3)/12))+('DRE + DCF'!$AB$36*(1+Q$18)/(($H10-Q$18)*(1+$H10)^(COUNT('DRE + DCF'!$W$22:$AA$22)-((12-3)/12)))))*$F$40+$F$42)*(1-$F$39))/$F$10</f>
        <v>26.791435233556889</v>
      </c>
      <c r="R10" s="312">
        <f>(((NPV($H10,'DRE + DCF'!$V$36,'DRE + DCF'!$X$36:$AA$36)*((1+$H10)^((12-3)/12))+('DRE + DCF'!$AB$36*(1+R$18)/(($H10-R$18)*(1+$H10)^(COUNT('DRE + DCF'!$W$22:$AA$22)-((12-3)/12)))))+SUM($F$12:$F$17)))/$F$10-(((NPV($H10,'DRE + DCF'!$V$36,'DRE + DCF'!$X$36:$AA$36)*((1+$H10)^((12-3)/12))+('DRE + DCF'!$AB$36*(1+R$18)/(($H10-R$18)*(1+$H10)^(COUNT('DRE + DCF'!$W$22:$AA$22)-((12-3)/12)))))*$F$40+$F$42)*(1-$F$39))/$F$10</f>
        <v>32.088435676507473</v>
      </c>
      <c r="S10" s="88"/>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row>
    <row r="11" spans="1:52" ht="30" customHeight="1">
      <c r="A11" s="12" t="s">
        <v>36</v>
      </c>
      <c r="B11" s="4"/>
      <c r="C11" s="4"/>
      <c r="D11" s="4"/>
      <c r="E11" s="16" t="s">
        <v>56</v>
      </c>
      <c r="F11" s="23">
        <f>SUM('DRE + DCF'!V38:AB38)</f>
        <v>10729799.513242425</v>
      </c>
      <c r="G11" s="333"/>
      <c r="H11" s="18">
        <f t="shared" si="0"/>
        <v>0.10033013702554917</v>
      </c>
      <c r="I11" s="312">
        <f>(((NPV($H11,'DRE + DCF'!$V$36,'DRE + DCF'!$X$36:$AA$36)*((1+$H11)^((12-3)/12))+('DRE + DCF'!$AB$36*(1+I$18)/(($H11-I$18)*(1+$H11)^(COUNT('DRE + DCF'!$W$22:$AA$22)-((12-3)/12)))))+SUM($F$12:$F$17)))/$F$10-(((NPV($H11,'DRE + DCF'!$V$36,'DRE + DCF'!$X$36:$AA$36)*((1+$H11)^((12-3)/12))+('DRE + DCF'!$AB$36*(1+I$18)/(($H11-I$18)*(1+$H11)^(COUNT('DRE + DCF'!$W$22:$AA$22)-((12-3)/12)))))*$F$40+$F$42)*(1-$F$39))/$F$10</f>
        <v>10.69167590744143</v>
      </c>
      <c r="J11" s="312">
        <f>(((NPV($H11,'DRE + DCF'!$V$36,'DRE + DCF'!$X$36:$AA$36)*((1+$H11)^((12-3)/12))+('DRE + DCF'!$AB$36*(1+J$18)/(($H11-J$18)*(1+$H11)^(COUNT('DRE + DCF'!$W$22:$AA$22)-((12-3)/12)))))+SUM($F$12:$F$17)))/$F$10-(((NPV($H11,'DRE + DCF'!$V$36,'DRE + DCF'!$X$36:$AA$36)*((1+$H11)^((12-3)/12))+('DRE + DCF'!$AB$36*(1+J$18)/(($H11-J$18)*(1+$H11)^(COUNT('DRE + DCF'!$W$22:$AA$22)-((12-3)/12)))))*$F$40+$F$42)*(1-$F$39))/$F$10</f>
        <v>11.302495455812558</v>
      </c>
      <c r="K11" s="312">
        <f>(((NPV($H11,'DRE + DCF'!$V$36,'DRE + DCF'!$X$36:$AA$36)*((1+$H11)^((12-3)/12))+('DRE + DCF'!$AB$36*(1+K$18)/(($H11-K$18)*(1+$H11)^(COUNT('DRE + DCF'!$W$22:$AA$22)-((12-3)/12)))))+SUM($F$12:$F$17)))/$F$10-(((NPV($H11,'DRE + DCF'!$V$36,'DRE + DCF'!$X$36:$AA$36)*((1+$H11)^((12-3)/12))+('DRE + DCF'!$AB$36*(1+K$18)/(($H11-K$18)*(1+$H11)^(COUNT('DRE + DCF'!$W$22:$AA$22)-((12-3)/12)))))*$F$40+$F$42)*(1-$F$39))/$F$10</f>
        <v>12.002277589435906</v>
      </c>
      <c r="L11" s="312">
        <f>(((NPV($H11,'DRE + DCF'!$V$36,'DRE + DCF'!$X$36:$AA$36)*((1+$H11)^((12-3)/12))+('DRE + DCF'!$AB$36*(1+L$18)/(($H11-L$18)*(1+$H11)^(COUNT('DRE + DCF'!$W$22:$AA$22)-((12-3)/12)))))+SUM($F$12:$F$17)))/$F$10-(((NPV($H11,'DRE + DCF'!$V$36,'DRE + DCF'!$X$36:$AA$36)*((1+$H11)^((12-3)/12))+('DRE + DCF'!$AB$36*(1+L$18)/(($H11-L$18)*(1+$H11)^(COUNT('DRE + DCF'!$W$22:$AA$22)-((12-3)/12)))))*$F$40+$F$42)*(1-$F$39))/$F$10</f>
        <v>12.811984184437105</v>
      </c>
      <c r="M11" s="312">
        <f>(((NPV($H11,'DRE + DCF'!$V$36,'DRE + DCF'!$X$36:$AA$36)*((1+$H11)^((12-3)/12))+('DRE + DCF'!$AB$36*(1+M$18)/(($H11-M$18)*(1+$H11)^(COUNT('DRE + DCF'!$W$22:$AA$22)-((12-3)/12)))))+SUM($F$12:$F$17)))/$F$10-(((NPV($H11,'DRE + DCF'!$V$36,'DRE + DCF'!$X$36:$AA$36)*((1+$H11)^((12-3)/12))+('DRE + DCF'!$AB$36*(1+M$18)/(($H11-M$18)*(1+$H11)^(COUNT('DRE + DCF'!$W$22:$AA$22)-((12-3)/12)))))*$F$40+$F$42)*(1-$F$39))/$F$10</f>
        <v>13.759723989834814</v>
      </c>
      <c r="N11" s="312">
        <f>(((NPV($H11,'DRE + DCF'!$V$36,'DRE + DCF'!$X$36:$AA$36)*((1+$H11)^((12-3)/12))+('DRE + DCF'!$AB$36*(1+N$18)/(($H11-N$18)*(1+$H11)^(COUNT('DRE + DCF'!$W$22:$AA$22)-((12-3)/12)))))+SUM($F$12:$F$17)))/$F$10-(((NPV($H11,'DRE + DCF'!$V$36,'DRE + DCF'!$X$36:$AA$36)*((1+$H11)^((12-3)/12))+('DRE + DCF'!$AB$36*(1+N$18)/(($H11-N$18)*(1+$H11)^(COUNT('DRE + DCF'!$W$22:$AA$22)-((12-3)/12)))))*$F$40+$F$42)*(1-$F$39))/$F$10</f>
        <v>14.884082312777775</v>
      </c>
      <c r="O11" s="312">
        <f>(((NPV($H11,'DRE + DCF'!$V$36,'DRE + DCF'!$X$36:$AA$36)*((1+$H11)^((12-3)/12))+('DRE + DCF'!$AB$36*(1+O$18)/(($H11-O$18)*(1+$H11)^(COUNT('DRE + DCF'!$W$22:$AA$22)-((12-3)/12)))))+SUM($F$12:$F$17)))/$F$10-(((NPV($H11,'DRE + DCF'!$V$36,'DRE + DCF'!$X$36:$AA$36)*((1+$H11)^((12-3)/12))+('DRE + DCF'!$AB$36*(1+O$18)/(($H11-O$18)*(1+$H11)^(COUNT('DRE + DCF'!$W$22:$AA$22)-((12-3)/12)))))*$F$40+$F$42)*(1-$F$39))/$F$10</f>
        <v>16.23950351912379</v>
      </c>
      <c r="P11" s="312">
        <f>(((NPV($H11,'DRE + DCF'!$V$36,'DRE + DCF'!$X$36:$AA$36)*((1+$H11)^((12-3)/12))+('DRE + DCF'!$AB$36*(1+P$18)/(($H11-P$18)*(1+$H11)^(COUNT('DRE + DCF'!$W$22:$AA$22)-((12-3)/12)))))+SUM($F$12:$F$17)))/$F$10-(((NPV($H11,'DRE + DCF'!$V$36,'DRE + DCF'!$X$36:$AA$36)*((1+$H11)^((12-3)/12))+('DRE + DCF'!$AB$36*(1+P$18)/(($H11-P$18)*(1+$H11)^(COUNT('DRE + DCF'!$W$22:$AA$22)-((12-3)/12)))))*$F$40+$F$42)*(1-$F$39))/$F$10</f>
        <v>17.905371976616181</v>
      </c>
      <c r="Q11" s="312">
        <f>(((NPV($H11,'DRE + DCF'!$V$36,'DRE + DCF'!$X$36:$AA$36)*((1+$H11)^((12-3)/12))+('DRE + DCF'!$AB$36*(1+Q$18)/(($H11-Q$18)*(1+$H11)^(COUNT('DRE + DCF'!$W$22:$AA$22)-((12-3)/12)))))+SUM($F$12:$F$17)))/$F$10-(((NPV($H11,'DRE + DCF'!$V$36,'DRE + DCF'!$X$36:$AA$36)*((1+$H11)^((12-3)/12))+('DRE + DCF'!$AB$36*(1+Q$18)/(($H11-Q$18)*(1+$H11)^(COUNT('DRE + DCF'!$W$22:$AA$22)-((12-3)/12)))))*$F$40+$F$42)*(1-$F$39))/$F$10</f>
        <v>20.002139722429838</v>
      </c>
      <c r="R11" s="312">
        <f>(((NPV($H11,'DRE + DCF'!$V$36,'DRE + DCF'!$X$36:$AA$36)*((1+$H11)^((12-3)/12))+('DRE + DCF'!$AB$36*(1+R$18)/(($H11-R$18)*(1+$H11)^(COUNT('DRE + DCF'!$W$22:$AA$22)-((12-3)/12)))))+SUM($F$12:$F$17)))/$F$10-(((NPV($H11,'DRE + DCF'!$V$36,'DRE + DCF'!$X$36:$AA$36)*((1+$H11)^((12-3)/12))+('DRE + DCF'!$AB$36*(1+R$18)/(($H11-R$18)*(1+$H11)^(COUNT('DRE + DCF'!$W$22:$AA$22)-((12-3)/12)))))*$F$40+$F$42)*(1-$F$39))/$F$10</f>
        <v>22.721828048934746</v>
      </c>
      <c r="S11" s="88"/>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row>
    <row r="12" spans="1:52" ht="30" customHeight="1">
      <c r="A12" s="166" t="s">
        <v>127</v>
      </c>
      <c r="B12" s="4"/>
      <c r="C12" s="4"/>
      <c r="D12" s="21"/>
      <c r="E12" s="22" t="s">
        <v>57</v>
      </c>
      <c r="F12" s="23">
        <f>-F36</f>
        <v>-13637481</v>
      </c>
      <c r="G12" s="333"/>
      <c r="H12" s="18">
        <f>H13-0.5%</f>
        <v>0.10533013702554918</v>
      </c>
      <c r="I12" s="312">
        <f>(((NPV($H12,'DRE + DCF'!$V$36,'DRE + DCF'!$X$36:$AA$36)*((1+$H12)^((12-3)/12))+('DRE + DCF'!$AB$36*(1+I$18)/(($H12-I$18)*(1+$H12)^(COUNT('DRE + DCF'!$W$22:$AA$22)-((12-3)/12)))))+SUM($F$12:$F$17)))/$F$10-(((NPV($H12,'DRE + DCF'!$V$36,'DRE + DCF'!$X$36:$AA$36)*((1+$H12)^((12-3)/12))+('DRE + DCF'!$AB$36*(1+I$18)/(($H12-I$18)*(1+$H12)^(COUNT('DRE + DCF'!$W$22:$AA$22)-((12-3)/12)))))*$F$40+$F$42)*(1-$F$39))/$F$10</f>
        <v>9.5278565673966096</v>
      </c>
      <c r="J12" s="312">
        <f>(((NPV($H12,'DRE + DCF'!$V$36,'DRE + DCF'!$X$36:$AA$36)*((1+$H12)^((12-3)/12))+('DRE + DCF'!$AB$36*(1+J$18)/(($H12-J$18)*(1+$H12)^(COUNT('DRE + DCF'!$W$22:$AA$22)-((12-3)/12)))))+SUM($F$12:$F$17)))/$F$10-(((NPV($H12,'DRE + DCF'!$V$36,'DRE + DCF'!$X$36:$AA$36)*((1+$H12)^((12-3)/12))+('DRE + DCF'!$AB$36*(1+J$18)/(($H12-J$18)*(1+$H12)^(COUNT('DRE + DCF'!$W$22:$AA$22)-((12-3)/12)))))*$F$40+$F$42)*(1-$F$39))/$F$10</f>
        <v>9.9980256854935057</v>
      </c>
      <c r="K12" s="312">
        <f>(((NPV($H12,'DRE + DCF'!$V$36,'DRE + DCF'!$X$36:$AA$36)*((1+$H12)^((12-3)/12))+('DRE + DCF'!$AB$36*(1+K$18)/(($H12-K$18)*(1+$H12)^(COUNT('DRE + DCF'!$W$22:$AA$22)-((12-3)/12)))))+SUM($F$12:$F$17)))/$F$10-(((NPV($H12,'DRE + DCF'!$V$36,'DRE + DCF'!$X$36:$AA$36)*((1+$H12)^((12-3)/12))+('DRE + DCF'!$AB$36*(1+K$18)/(($H12-K$18)*(1+$H12)^(COUNT('DRE + DCF'!$W$22:$AA$22)-((12-3)/12)))))*$F$40+$F$42)*(1-$F$39))/$F$10</f>
        <v>10.527966921571009</v>
      </c>
      <c r="L12" s="312">
        <f>(((NPV($H12,'DRE + DCF'!$V$36,'DRE + DCF'!$X$36:$AA$36)*((1+$H12)^((12-3)/12))+('DRE + DCF'!$AB$36*(1+L$18)/(($H12-L$18)*(1+$H12)^(COUNT('DRE + DCF'!$W$22:$AA$22)-((12-3)/12)))))+SUM($F$12:$F$17)))/$F$10-(((NPV($H12,'DRE + DCF'!$V$36,'DRE + DCF'!$X$36:$AA$36)*((1+$H12)^((12-3)/12))+('DRE + DCF'!$AB$36*(1+L$18)/(($H12-L$18)*(1+$H12)^(COUNT('DRE + DCF'!$W$22:$AA$22)-((12-3)/12)))))*$F$40+$F$42)*(1-$F$39))/$F$10</f>
        <v>11.129852125126817</v>
      </c>
      <c r="M12" s="312">
        <f>(((NPV($H12,'DRE + DCF'!$V$36,'DRE + DCF'!$X$36:$AA$36)*((1+$H12)^((12-3)/12))+('DRE + DCF'!$AB$36*(1+M$18)/(($H12-M$18)*(1+$H12)^(COUNT('DRE + DCF'!$W$22:$AA$22)-((12-3)/12)))))+SUM($F$12:$F$17)))/$F$10-(((NPV($H12,'DRE + DCF'!$V$36,'DRE + DCF'!$X$36:$AA$36)*((1+$H12)^((12-3)/12))+('DRE + DCF'!$AB$36*(1+M$18)/(($H12-M$18)*(1+$H12)^(COUNT('DRE + DCF'!$W$22:$AA$22)-((12-3)/12)))))*$F$40+$F$42)*(1-$F$39))/$F$10</f>
        <v>11.819398674617224</v>
      </c>
      <c r="N12" s="312">
        <f>(((NPV($H12,'DRE + DCF'!$V$36,'DRE + DCF'!$X$36:$AA$36)*((1+$H12)^((12-3)/12))+('DRE + DCF'!$AB$36*(1+N$18)/(($H12-N$18)*(1+$H12)^(COUNT('DRE + DCF'!$W$22:$AA$22)-((12-3)/12)))))+SUM($F$12:$F$17)))/$F$10-(((NPV($H12,'DRE + DCF'!$V$36,'DRE + DCF'!$X$36:$AA$36)*((1+$H12)^((12-3)/12))+('DRE + DCF'!$AB$36*(1+N$18)/(($H12-N$18)*(1+$H12)^(COUNT('DRE + DCF'!$W$22:$AA$22)-((12-3)/12)))))*$F$40+$F$42)*(1-$F$39))/$F$10</f>
        <v>12.617261840674027</v>
      </c>
      <c r="O12" s="312">
        <f>(((NPV($H12,'DRE + DCF'!$V$36,'DRE + DCF'!$X$36:$AA$36)*((1+$H12)^((12-3)/12))+('DRE + DCF'!$AB$36*(1+O$18)/(($H12-O$18)*(1+$H12)^(COUNT('DRE + DCF'!$W$22:$AA$22)-((12-3)/12)))))+SUM($F$12:$F$17)))/$F$10-(((NPV($H12,'DRE + DCF'!$V$36,'DRE + DCF'!$X$36:$AA$36)*((1+$H12)^((12-3)/12))+('DRE + DCF'!$AB$36*(1+O$18)/(($H12-O$18)*(1+$H12)^(COUNT('DRE + DCF'!$W$22:$AA$22)-((12-3)/12)))))*$F$40+$F$42)*(1-$F$39))/$F$10</f>
        <v>13.551139230831073</v>
      </c>
      <c r="P12" s="312">
        <f>(((NPV($H12,'DRE + DCF'!$V$36,'DRE + DCF'!$X$36:$AA$36)*((1+$H12)^((12-3)/12))+('DRE + DCF'!$AB$36*(1+P$18)/(($H12-P$18)*(1+$H12)^(COUNT('DRE + DCF'!$W$22:$AA$22)-((12-3)/12)))))+SUM($F$12:$F$17)))/$F$10-(((NPV($H12,'DRE + DCF'!$V$36,'DRE + DCF'!$X$36:$AA$36)*((1+$H12)^((12-3)/12))+('DRE + DCF'!$AB$36*(1+P$18)/(($H12-P$18)*(1+$H12)^(COUNT('DRE + DCF'!$W$22:$AA$22)-((12-3)/12)))))*$F$40+$F$42)*(1-$F$39))/$F$10</f>
        <v>14.659051772069866</v>
      </c>
      <c r="Q12" s="312">
        <f>(((NPV($H12,'DRE + DCF'!$V$36,'DRE + DCF'!$X$36:$AA$36)*((1+$H12)^((12-3)/12))+('DRE + DCF'!$AB$36*(1+Q$18)/(($H12-Q$18)*(1+$H12)^(COUNT('DRE + DCF'!$W$22:$AA$22)-((12-3)/12)))))+SUM($F$12:$F$17)))/$F$10-(((NPV($H12,'DRE + DCF'!$V$36,'DRE + DCF'!$X$36:$AA$36)*((1+$H12)^((12-3)/12))+('DRE + DCF'!$AB$36*(1+Q$18)/(($H12-Q$18)*(1+$H12)^(COUNT('DRE + DCF'!$W$22:$AA$22)-((12-3)/12)))))*$F$40+$F$42)*(1-$F$39))/$F$10</f>
        <v>15.994647482555788</v>
      </c>
      <c r="R12" s="312">
        <f>(((NPV($H12,'DRE + DCF'!$V$36,'DRE + DCF'!$X$36:$AA$36)*((1+$H12)^((12-3)/12))+('DRE + DCF'!$AB$36*(1+R$18)/(($H12-R$18)*(1+$H12)^(COUNT('DRE + DCF'!$W$22:$AA$22)-((12-3)/12)))))+SUM($F$12:$F$17)))/$F$10-(((NPV($H12,'DRE + DCF'!$V$36,'DRE + DCF'!$X$36:$AA$36)*((1+$H12)^((12-3)/12))+('DRE + DCF'!$AB$36*(1+R$18)/(($H12-R$18)*(1+$H12)^(COUNT('DRE + DCF'!$W$22:$AA$22)-((12-3)/12)))))*$F$40+$F$42)*(1-$F$39))/$F$10</f>
        <v>17.636149589534494</v>
      </c>
      <c r="S12" s="88"/>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row>
    <row r="13" spans="1:52" ht="30" customHeight="1">
      <c r="A13" s="12" t="s">
        <v>37</v>
      </c>
      <c r="B13" s="4"/>
      <c r="C13" s="4"/>
      <c r="D13" s="4"/>
      <c r="E13" s="22" t="s">
        <v>307</v>
      </c>
      <c r="F13" s="24">
        <f>F29</f>
        <v>3676632.3074197713</v>
      </c>
      <c r="G13" s="333"/>
      <c r="H13" s="18">
        <f>WACC!P20</f>
        <v>0.11033013702554918</v>
      </c>
      <c r="I13" s="312">
        <f>(((NPV($H13,'DRE + DCF'!$V$36,'DRE + DCF'!$X$36:$AA$36)*((1+$H13)^((12-3)/12))+('DRE + DCF'!$AB$36*(1+I$18)/(($H13-I$18)*(1+$H13)^(COUNT('DRE + DCF'!$W$22:$AA$22)-((12-3)/12)))))+SUM($F$12:$F$17)))/$F$10-(((NPV($H13,'DRE + DCF'!$V$36,'DRE + DCF'!$X$36:$AA$36)*((1+$H13)^((12-3)/12))+('DRE + DCF'!$AB$36*(1+I$18)/(($H13-I$18)*(1+$H13)^(COUNT('DRE + DCF'!$W$22:$AA$22)-((12-3)/12)))))*$F$40+$F$42)*(1-$F$39))/$F$10</f>
        <v>8.5960432799591882</v>
      </c>
      <c r="J13" s="312">
        <f>(((NPV($H13,'DRE + DCF'!$V$36,'DRE + DCF'!$X$36:$AA$36)*((1+$H13)^((12-3)/12))+('DRE + DCF'!$AB$36*(1+J$18)/(($H13-J$18)*(1+$H13)^(COUNT('DRE + DCF'!$W$22:$AA$22)-((12-3)/12)))))+SUM($F$12:$F$17)))/$F$10-(((NPV($H13,'DRE + DCF'!$V$36,'DRE + DCF'!$X$36:$AA$36)*((1+$H13)^((12-3)/12))+('DRE + DCF'!$AB$36*(1+J$18)/(($H13-J$18)*(1+$H13)^(COUNT('DRE + DCF'!$W$22:$AA$22)-((12-3)/12)))))*$F$40+$F$42)*(1-$F$39))/$F$10</f>
        <v>8.967950262443269</v>
      </c>
      <c r="K13" s="312">
        <f>(((NPV($H13,'DRE + DCF'!$V$36,'DRE + DCF'!$X$36:$AA$36)*((1+$H13)^((12-3)/12))+('DRE + DCF'!$AB$36*(1+K$18)/(($H13-K$18)*(1+$H13)^(COUNT('DRE + DCF'!$W$22:$AA$22)-((12-3)/12)))))+SUM($F$12:$F$17)))/$F$10-(((NPV($H13,'DRE + DCF'!$V$36,'DRE + DCF'!$X$36:$AA$36)*((1+$H13)^((12-3)/12))+('DRE + DCF'!$AB$36*(1+K$18)/(($H13-K$18)*(1+$H13)^(COUNT('DRE + DCF'!$W$22:$AA$22)-((12-3)/12)))))*$F$40+$F$42)*(1-$F$39))/$F$10</f>
        <v>9.3818046657383558</v>
      </c>
      <c r="L13" s="312">
        <f>(((NPV($H13,'DRE + DCF'!$V$36,'DRE + DCF'!$X$36:$AA$36)*((1+$H13)^((12-3)/12))+('DRE + DCF'!$AB$36*(1+L$18)/(($H13-L$18)*(1+$H13)^(COUNT('DRE + DCF'!$W$22:$AA$22)-((12-3)/12)))))+SUM($F$12:$F$17)))/$F$10-(((NPV($H13,'DRE + DCF'!$V$36,'DRE + DCF'!$X$36:$AA$36)*((1+$H13)^((12-3)/12))+('DRE + DCF'!$AB$36*(1+L$18)/(($H13-L$18)*(1+$H13)^(COUNT('DRE + DCF'!$W$22:$AA$22)-((12-3)/12)))))*$F$40+$F$42)*(1-$F$39))/$F$10</f>
        <v>9.8451275184246487</v>
      </c>
      <c r="M13" s="312">
        <f>(((NPV($H13,'DRE + DCF'!$V$36,'DRE + DCF'!$X$36:$AA$36)*((1+$H13)^((12-3)/12))+('DRE + DCF'!$AB$36*(1+M$18)/(($H13-M$18)*(1+$H13)^(COUNT('DRE + DCF'!$W$22:$AA$22)-((12-3)/12)))))+SUM($F$12:$F$17)))/$F$10-(((NPV($H13,'DRE + DCF'!$V$36,'DRE + DCF'!$X$36:$AA$36)*((1+$H13)^((12-3)/12))+('DRE + DCF'!$AB$36*(1+M$18)/(($H13-M$18)*(1+$H13)^(COUNT('DRE + DCF'!$W$22:$AA$22)-((12-3)/12)))))*$F$40+$F$42)*(1-$F$39))/$F$10</f>
        <v>10.367352130388481</v>
      </c>
      <c r="N13" s="312">
        <f>(((NPV($H13,'DRE + DCF'!$V$36,'DRE + DCF'!$X$36:$AA$36)*((1+$H13)^((12-3)/12))+('DRE + DCF'!$AB$36*(1+N$18)/(($H13-N$18)*(1+$H13)^(COUNT('DRE + DCF'!$W$22:$AA$22)-((12-3)/12)))))+SUM($F$12:$F$17)))/$F$10-(((NPV($H13,'DRE + DCF'!$V$36,'DRE + DCF'!$X$36:$AA$36)*((1+$H13)^((12-3)/12))+('DRE + DCF'!$AB$36*(1+N$18)/(($H13-N$18)*(1+$H13)^(COUNT('DRE + DCF'!$W$22:$AA$22)-((12-3)/12)))))*$F$40+$F$42)*(1-$F$39))/$F$10</f>
        <v>10.960473113386925</v>
      </c>
      <c r="O13" s="312">
        <f>(((NPV($H13,'DRE + DCF'!$V$36,'DRE + DCF'!$X$36:$AA$36)*((1+$H13)^((12-3)/12))+('DRE + DCF'!$AB$36*(1+O$18)/(($H13-O$18)*(1+$H13)^(COUNT('DRE + DCF'!$W$22:$AA$22)-((12-3)/12)))))+SUM($F$12:$F$17)))/$F$10-(((NPV($H13,'DRE + DCF'!$V$36,'DRE + DCF'!$X$36:$AA$36)*((1+$H13)^((12-3)/12))+('DRE + DCF'!$AB$36*(1+O$18)/(($H13-O$18)*(1+$H13)^(COUNT('DRE + DCF'!$W$22:$AA$22)-((12-3)/12)))))*$F$40+$F$42)*(1-$F$39))/$F$10</f>
        <v>11.639978980686452</v>
      </c>
      <c r="P13" s="312">
        <f>(((NPV($H13,'DRE + DCF'!$V$36,'DRE + DCF'!$X$36:$AA$36)*((1+$H13)^((12-3)/12))+('DRE + DCF'!$AB$36*(1+P$18)/(($H13-P$18)*(1+$H13)^(COUNT('DRE + DCF'!$W$22:$AA$22)-((12-3)/12)))))+SUM($F$12:$F$17)))/$F$10-(((NPV($H13,'DRE + DCF'!$V$36,'DRE + DCF'!$X$36:$AA$36)*((1+$H13)^((12-3)/12))+('DRE + DCF'!$AB$36*(1+P$18)/(($H13-P$18)*(1+$H13)^(COUNT('DRE + DCF'!$W$22:$AA$22)-((12-3)/12)))))*$F$40+$F$42)*(1-$F$39))/$F$10</f>
        <v>12.426224235685458</v>
      </c>
      <c r="Q13" s="312">
        <f>(((NPV($H13,'DRE + DCF'!$V$36,'DRE + DCF'!$X$36:$AA$36)*((1+$H13)^((12-3)/12))+('DRE + DCF'!$AB$36*(1+Q$18)/(($H13-Q$18)*(1+$H13)^(COUNT('DRE + DCF'!$W$22:$AA$22)-((12-3)/12)))))+SUM($F$12:$F$17)))/$F$10-(((NPV($H13,'DRE + DCF'!$V$36,'DRE + DCF'!$X$36:$AA$36)*((1+$H13)^((12-3)/12))+('DRE + DCF'!$AB$36*(1+Q$18)/(($H13-Q$18)*(1+$H13)^(COUNT('DRE + DCF'!$W$22:$AA$22)-((12-3)/12)))))*$F$40+$F$42)*(1-$F$39))/$F$10</f>
        <v>13.34650317322644</v>
      </c>
      <c r="R13" s="312">
        <f>(((NPV($H13,'DRE + DCF'!$V$36,'DRE + DCF'!$X$36:$AA$36)*((1+$H13)^((12-3)/12))+('DRE + DCF'!$AB$36*(1+R$18)/(($H13-R$18)*(1+$H13)^(COUNT('DRE + DCF'!$W$22:$AA$22)-((12-3)/12)))))+SUM($F$12:$F$17)))/$F$10-(((NPV($H13,'DRE + DCF'!$V$36,'DRE + DCF'!$X$36:$AA$36)*((1+$H13)^((12-3)/12))+('DRE + DCF'!$AB$36*(1+R$18)/(($H13-R$18)*(1+$H13)^(COUNT('DRE + DCF'!$W$22:$AA$22)-((12-3)/12)))))*$F$40+$F$42)*(1-$F$39))/$F$10</f>
        <v>14.438283086827408</v>
      </c>
      <c r="S13" s="88"/>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row>
    <row r="14" spans="1:52" ht="30" customHeight="1">
      <c r="A14" s="166" t="s">
        <v>100</v>
      </c>
      <c r="B14" s="4"/>
      <c r="C14" s="4"/>
      <c r="D14" s="4"/>
      <c r="E14" s="22" t="s">
        <v>290</v>
      </c>
      <c r="F14" s="24">
        <f>K29</f>
        <v>12494155.804467089</v>
      </c>
      <c r="G14" s="333"/>
      <c r="H14" s="18">
        <f>H13+0.5%</f>
        <v>0.11533013702554919</v>
      </c>
      <c r="I14" s="312">
        <f>(((NPV($H14,'DRE + DCF'!$V$36,'DRE + DCF'!$X$36:$AA$36)*((1+$H14)^((12-3)/12))+('DRE + DCF'!$AB$36*(1+I$18)/(($H14-I$18)*(1+$H14)^(COUNT('DRE + DCF'!$W$22:$AA$22)-((12-3)/12)))))+SUM($F$12:$F$17)))/$F$10-(((NPV($H14,'DRE + DCF'!$V$36,'DRE + DCF'!$X$36:$AA$36)*((1+$H14)^((12-3)/12))+('DRE + DCF'!$AB$36*(1+I$18)/(($H14-I$18)*(1+$H14)^(COUNT('DRE + DCF'!$W$22:$AA$22)-((12-3)/12)))))*$F$40+$F$42)*(1-$F$39))/$F$10</f>
        <v>7.8322874469931163</v>
      </c>
      <c r="J14" s="312">
        <f>(((NPV($H14,'DRE + DCF'!$V$36,'DRE + DCF'!$X$36:$AA$36)*((1+$H14)^((12-3)/12))+('DRE + DCF'!$AB$36*(1+J$18)/(($H14-J$18)*(1+$H14)^(COUNT('DRE + DCF'!$W$22:$AA$22)-((12-3)/12)))))+SUM($F$12:$F$17)))/$F$10-(((NPV($H14,'DRE + DCF'!$V$36,'DRE + DCF'!$X$36:$AA$36)*((1+$H14)^((12-3)/12))+('DRE + DCF'!$AB$36*(1+J$18)/(($H14-J$18)*(1+$H14)^(COUNT('DRE + DCF'!$W$22:$AA$22)-((12-3)/12)))))*$F$40+$F$42)*(1-$F$39))/$F$10</f>
        <v>8.1329692662186748</v>
      </c>
      <c r="K14" s="312">
        <f>(((NPV($H14,'DRE + DCF'!$V$36,'DRE + DCF'!$X$36:$AA$36)*((1+$H14)^((12-3)/12))+('DRE + DCF'!$AB$36*(1+K$18)/(($H14-K$18)*(1+$H14)^(COUNT('DRE + DCF'!$W$22:$AA$22)-((12-3)/12)))))+SUM($F$12:$F$17)))/$F$10-(((NPV($H14,'DRE + DCF'!$V$36,'DRE + DCF'!$X$36:$AA$36)*((1+$H14)^((12-3)/12))+('DRE + DCF'!$AB$36*(1+K$18)/(($H14-K$18)*(1+$H14)^(COUNT('DRE + DCF'!$W$22:$AA$22)-((12-3)/12)))))*$F$40+$F$42)*(1-$F$39))/$F$10</f>
        <v>8.4641275687215689</v>
      </c>
      <c r="L14" s="312">
        <f>(((NPV($H14,'DRE + DCF'!$V$36,'DRE + DCF'!$X$36:$AA$36)*((1+$H14)^((12-3)/12))+('DRE + DCF'!$AB$36*(1+L$18)/(($H14-L$18)*(1+$H14)^(COUNT('DRE + DCF'!$W$22:$AA$22)-((12-3)/12)))))+SUM($F$12:$F$17)))/$F$10-(((NPV($H14,'DRE + DCF'!$V$36,'DRE + DCF'!$X$36:$AA$36)*((1+$H14)^((12-3)/12))+('DRE + DCF'!$AB$36*(1+L$18)/(($H14-L$18)*(1+$H14)^(COUNT('DRE + DCF'!$W$22:$AA$22)-((12-3)/12)))))*$F$40+$F$42)*(1-$F$39))/$F$10</f>
        <v>8.8306432632306215</v>
      </c>
      <c r="M14" s="312">
        <f>(((NPV($H14,'DRE + DCF'!$V$36,'DRE + DCF'!$X$36:$AA$36)*((1+$H14)^((12-3)/12))+('DRE + DCF'!$AB$36*(1+M$18)/(($H14-M$18)*(1+$H14)^(COUNT('DRE + DCF'!$W$22:$AA$22)-((12-3)/12)))))+SUM($F$12:$F$17)))/$F$10-(((NPV($H14,'DRE + DCF'!$V$36,'DRE + DCF'!$X$36:$AA$36)*((1+$H14)^((12-3)/12))+('DRE + DCF'!$AB$36*(1+M$18)/(($H14-M$18)*(1+$H14)^(COUNT('DRE + DCF'!$W$22:$AA$22)-((12-3)/12)))))*$F$40+$F$42)*(1-$F$39))/$F$10</f>
        <v>9.2384982947123753</v>
      </c>
      <c r="N14" s="312">
        <f>(((NPV($H14,'DRE + DCF'!$V$36,'DRE + DCF'!$X$36:$AA$36)*((1+$H14)^((12-3)/12))+('DRE + DCF'!$AB$36*(1+N$18)/(($H14-N$18)*(1+$H14)^(COUNT('DRE + DCF'!$W$22:$AA$22)-((12-3)/12)))))+SUM($F$12:$F$17)))/$F$10-(((NPV($H14,'DRE + DCF'!$V$36,'DRE + DCF'!$X$36:$AA$36)*((1+$H14)^((12-3)/12))+('DRE + DCF'!$AB$36*(1+N$18)/(($H14-N$18)*(1+$H14)^(COUNT('DRE + DCF'!$W$22:$AA$22)-((12-3)/12)))))*$F$40+$F$42)*(1-$F$39))/$F$10</f>
        <v>9.6951046644018728</v>
      </c>
      <c r="O14" s="312">
        <f>(((NPV($H14,'DRE + DCF'!$V$36,'DRE + DCF'!$X$36:$AA$36)*((1+$H14)^((12-3)/12))+('DRE + DCF'!$AB$36*(1+O$18)/(($H14-O$18)*(1+$H14)^(COUNT('DRE + DCF'!$W$22:$AA$22)-((12-3)/12)))))+SUM($F$12:$F$17)))/$F$10-(((NPV($H14,'DRE + DCF'!$V$36,'DRE + DCF'!$X$36:$AA$36)*((1+$H14)^((12-3)/12))+('DRE + DCF'!$AB$36*(1+O$18)/(($H14-O$18)*(1+$H14)^(COUNT('DRE + DCF'!$W$22:$AA$22)-((12-3)/12)))))*$F$40+$F$42)*(1-$F$39))/$F$10</f>
        <v>10.209758933771059</v>
      </c>
      <c r="P14" s="312">
        <f>(((NPV($H14,'DRE + DCF'!$V$36,'DRE + DCF'!$X$36:$AA$36)*((1+$H14)^((12-3)/12))+('DRE + DCF'!$AB$36*(1+P$18)/(($H14-P$18)*(1+$H14)^(COUNT('DRE + DCF'!$W$22:$AA$22)-((12-3)/12)))))+SUM($F$12:$F$17)))/$F$10-(((NPV($H14,'DRE + DCF'!$V$36,'DRE + DCF'!$X$36:$AA$36)*((1+$H14)^((12-3)/12))+('DRE + DCF'!$AB$36*(1+P$18)/(($H14-P$18)*(1+$H14)^(COUNT('DRE + DCF'!$W$22:$AA$22)-((12-3)/12)))))*$F$40+$F$42)*(1-$F$39))/$F$10</f>
        <v>10.794281836674273</v>
      </c>
      <c r="Q14" s="312">
        <f>(((NPV($H14,'DRE + DCF'!$V$36,'DRE + DCF'!$X$36:$AA$36)*((1+$H14)^((12-3)/12))+('DRE + DCF'!$AB$36*(1+Q$18)/(($H14-Q$18)*(1+$H14)^(COUNT('DRE + DCF'!$W$22:$AA$22)-((12-3)/12)))))+SUM($F$12:$F$17)))/$F$10-(((NPV($H14,'DRE + DCF'!$V$36,'DRE + DCF'!$X$36:$AA$36)*((1+$H14)^((12-3)/12))+('DRE + DCF'!$AB$36*(1+Q$18)/(($H14-Q$18)*(1+$H14)^(COUNT('DRE + DCF'!$W$22:$AA$22)-((12-3)/12)))))*$F$40+$F$42)*(1-$F$39))/$F$10</f>
        <v>11.463937359710663</v>
      </c>
      <c r="R14" s="312">
        <f>(((NPV($H14,'DRE + DCF'!$V$36,'DRE + DCF'!$X$36:$AA$36)*((1+$H14)^((12-3)/12))+('DRE + DCF'!$AB$36*(1+R$18)/(($H14-R$18)*(1+$H14)^(COUNT('DRE + DCF'!$W$22:$AA$22)-((12-3)/12)))))+SUM($F$12:$F$17)))/$F$10-(((NPV($H14,'DRE + DCF'!$V$36,'DRE + DCF'!$X$36:$AA$36)*((1+$H14)^((12-3)/12))+('DRE + DCF'!$AB$36*(1+R$18)/(($H14-R$18)*(1+$H14)^(COUNT('DRE + DCF'!$W$22:$AA$22)-((12-3)/12)))))*$F$40+$F$42)*(1-$F$39))/$F$10</f>
        <v>12.238784940591302</v>
      </c>
      <c r="S14" s="88"/>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row>
    <row r="15" spans="1:52" ht="30" customHeight="1">
      <c r="A15" s="12" t="s">
        <v>324</v>
      </c>
      <c r="B15" s="4"/>
      <c r="C15" s="4"/>
      <c r="D15" s="4"/>
      <c r="E15" s="310" t="s">
        <v>476</v>
      </c>
      <c r="F15" s="315">
        <f>-F44</f>
        <v>-1461068.1685266127</v>
      </c>
      <c r="G15" s="333"/>
      <c r="H15" s="18">
        <f t="shared" ref="H15:H16" si="1">H14+0.5%</f>
        <v>0.12033013702554919</v>
      </c>
      <c r="I15" s="312">
        <f>(((NPV($H15,'DRE + DCF'!$V$36,'DRE + DCF'!$X$36:$AA$36)*((1+$H15)^((12-3)/12))+('DRE + DCF'!$AB$36*(1+I$18)/(($H15-I$18)*(1+$H15)^(COUNT('DRE + DCF'!$W$22:$AA$22)-((12-3)/12)))))+SUM($F$12:$F$17)))/$F$10-(((NPV($H15,'DRE + DCF'!$V$36,'DRE + DCF'!$X$36:$AA$36)*((1+$H15)^((12-3)/12))+('DRE + DCF'!$AB$36*(1+I$18)/(($H15-I$18)*(1+$H15)^(COUNT('DRE + DCF'!$W$22:$AA$22)-((12-3)/12)))))*$F$40+$F$42)*(1-$F$39))/$F$10</f>
        <v>7.1941941278701398</v>
      </c>
      <c r="J15" s="312">
        <f>(((NPV($H15,'DRE + DCF'!$V$36,'DRE + DCF'!$X$36:$AA$36)*((1+$H15)^((12-3)/12))+('DRE + DCF'!$AB$36*(1+J$18)/(($H15-J$18)*(1+$H15)^(COUNT('DRE + DCF'!$W$22:$AA$22)-((12-3)/12)))))+SUM($F$12:$F$17)))/$F$10-(((NPV($H15,'DRE + DCF'!$V$36,'DRE + DCF'!$X$36:$AA$36)*((1+$H15)^((12-3)/12))+('DRE + DCF'!$AB$36*(1+J$18)/(($H15-J$18)*(1+$H15)^(COUNT('DRE + DCF'!$W$22:$AA$22)-((12-3)/12)))))*$F$40+$F$42)*(1-$F$39))/$F$10</f>
        <v>7.4416871064790353</v>
      </c>
      <c r="K15" s="312">
        <f>(((NPV($H15,'DRE + DCF'!$V$36,'DRE + DCF'!$X$36:$AA$36)*((1+$H15)^((12-3)/12))+('DRE + DCF'!$AB$36*(1+K$18)/(($H15-K$18)*(1+$H15)^(COUNT('DRE + DCF'!$W$22:$AA$22)-((12-3)/12)))))+SUM($F$12:$F$17)))/$F$10-(((NPV($H15,'DRE + DCF'!$V$36,'DRE + DCF'!$X$36:$AA$36)*((1+$H15)^((12-3)/12))+('DRE + DCF'!$AB$36*(1+K$18)/(($H15-K$18)*(1+$H15)^(COUNT('DRE + DCF'!$W$22:$AA$22)-((12-3)/12)))))*$F$40+$F$42)*(1-$F$39))/$F$10</f>
        <v>7.7119568524732696</v>
      </c>
      <c r="L15" s="312">
        <f>(((NPV($H15,'DRE + DCF'!$V$36,'DRE + DCF'!$X$36:$AA$36)*((1+$H15)^((12-3)/12))+('DRE + DCF'!$AB$36*(1+L$18)/(($H15-L$18)*(1+$H15)^(COUNT('DRE + DCF'!$W$22:$AA$22)-((12-3)/12)))))+SUM($F$12:$F$17)))/$F$10-(((NPV($H15,'DRE + DCF'!$V$36,'DRE + DCF'!$X$36:$AA$36)*((1+$H15)^((12-3)/12))+('DRE + DCF'!$AB$36*(1+L$18)/(($H15-L$18)*(1+$H15)^(COUNT('DRE + DCF'!$W$22:$AA$22)-((12-3)/12)))))*$F$40+$F$42)*(1-$F$39))/$F$10</f>
        <v>8.0082992428308568</v>
      </c>
      <c r="M15" s="312">
        <f>(((NPV($H15,'DRE + DCF'!$V$36,'DRE + DCF'!$X$36:$AA$36)*((1+$H15)^((12-3)/12))+('DRE + DCF'!$AB$36*(1+M$18)/(($H15-M$18)*(1+$H15)^(COUNT('DRE + DCF'!$W$22:$AA$22)-((12-3)/12)))))+SUM($F$12:$F$17)))/$F$10-(((NPV($H15,'DRE + DCF'!$V$36,'DRE + DCF'!$X$36:$AA$36)*((1+$H15)^((12-3)/12))+('DRE + DCF'!$AB$36*(1+M$18)/(($H15-M$18)*(1+$H15)^(COUNT('DRE + DCF'!$W$22:$AA$22)-((12-3)/12)))))*$F$40+$F$42)*(1-$F$39))/$F$10</f>
        <v>8.3346782809889692</v>
      </c>
      <c r="N15" s="312">
        <f>(((NPV($H15,'DRE + DCF'!$V$36,'DRE + DCF'!$X$36:$AA$36)*((1+$H15)^((12-3)/12))+('DRE + DCF'!$AB$36*(1+N$18)/(($H15-N$18)*(1+$H15)^(COUNT('DRE + DCF'!$W$22:$AA$22)-((12-3)/12)))))+SUM($F$12:$F$17)))/$F$10-(((NPV($H15,'DRE + DCF'!$V$36,'DRE + DCF'!$X$36:$AA$36)*((1+$H15)^((12-3)/12))+('DRE + DCF'!$AB$36*(1+N$18)/(($H15-N$18)*(1+$H15)^(COUNT('DRE + DCF'!$W$22:$AA$22)-((12-3)/12)))))*$F$40+$F$42)*(1-$F$39))/$F$10</f>
        <v>8.6959044345826015</v>
      </c>
      <c r="O15" s="312">
        <f>(((NPV($H15,'DRE + DCF'!$V$36,'DRE + DCF'!$X$36:$AA$36)*((1+$H15)^((12-3)/12))+('DRE + DCF'!$AB$36*(1+O$18)/(($H15-O$18)*(1+$H15)^(COUNT('DRE + DCF'!$W$22:$AA$22)-((12-3)/12)))))+SUM($F$12:$F$17)))/$F$10-(((NPV($H15,'DRE + DCF'!$V$36,'DRE + DCF'!$X$36:$AA$36)*((1+$H15)^((12-3)/12))+('DRE + DCF'!$AB$36*(1+O$18)/(($H15-O$18)*(1+$H15)^(COUNT('DRE + DCF'!$W$22:$AA$22)-((12-3)/12)))))*$F$40+$F$42)*(1-$F$39))/$F$10</f>
        <v>9.0978733173703095</v>
      </c>
      <c r="P15" s="312">
        <f>(((NPV($H15,'DRE + DCF'!$V$36,'DRE + DCF'!$X$36:$AA$36)*((1+$H15)^((12-3)/12))+('DRE + DCF'!$AB$36*(1+P$18)/(($H15-P$18)*(1+$H15)^(COUNT('DRE + DCF'!$W$22:$AA$22)-((12-3)/12)))))+SUM($F$12:$F$17)))/$F$10-(((NPV($H15,'DRE + DCF'!$V$36,'DRE + DCF'!$X$36:$AA$36)*((1+$H15)^((12-3)/12))+('DRE + DCF'!$AB$36*(1+P$18)/(($H15-P$18)*(1+$H15)^(COUNT('DRE + DCF'!$W$22:$AA$22)-((12-3)/12)))))*$F$40+$F$42)*(1-$F$39))/$F$10</f>
        <v>9.5478899608600916</v>
      </c>
      <c r="Q15" s="312">
        <f>(((NPV($H15,'DRE + DCF'!$V$36,'DRE + DCF'!$X$36:$AA$36)*((1+$H15)^((12-3)/12))+('DRE + DCF'!$AB$36*(1+Q$18)/(($H15-Q$18)*(1+$H15)^(COUNT('DRE + DCF'!$W$22:$AA$22)-((12-3)/12)))))+SUM($F$12:$F$17)))/$F$10-(((NPV($H15,'DRE + DCF'!$V$36,'DRE + DCF'!$X$36:$AA$36)*((1+$H15)^((12-3)/12))+('DRE + DCF'!$AB$36*(1+Q$18)/(($H15-Q$18)*(1+$H15)^(COUNT('DRE + DCF'!$W$22:$AA$22)-((12-3)/12)))))*$F$40+$F$42)*(1-$F$39))/$F$10</f>
        <v>10.05511675889338</v>
      </c>
      <c r="R15" s="312">
        <f>(((NPV($H15,'DRE + DCF'!$V$36,'DRE + DCF'!$X$36:$AA$36)*((1+$H15)^((12-3)/12))+('DRE + DCF'!$AB$36*(1+R$18)/(($H15-R$18)*(1+$H15)^(COUNT('DRE + DCF'!$W$22:$AA$22)-((12-3)/12)))))+SUM($F$12:$F$17)))/$F$10-(((NPV($H15,'DRE + DCF'!$V$36,'DRE + DCF'!$X$36:$AA$36)*((1+$H15)^((12-3)/12))+('DRE + DCF'!$AB$36*(1+R$18)/(($H15-R$18)*(1+$H15)^(COUNT('DRE + DCF'!$W$22:$AA$22)-((12-3)/12)))))*$F$40+$F$42)*(1-$F$39))/$F$10</f>
        <v>10.631203848931746</v>
      </c>
      <c r="S15" s="88"/>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row>
    <row r="16" spans="1:52" ht="30" customHeight="1">
      <c r="A16" s="166" t="s">
        <v>129</v>
      </c>
      <c r="B16" s="4"/>
      <c r="C16" s="4"/>
      <c r="D16" s="4"/>
      <c r="E16" s="310" t="s">
        <v>494</v>
      </c>
      <c r="F16" s="315">
        <f>('Projeções - Receita e EBIT'!V133)/((WACC!P20)-3.5%)/'DRE + DCF'!AA37</f>
        <v>-1549244.289004318</v>
      </c>
      <c r="G16" s="333"/>
      <c r="H16" s="18">
        <f t="shared" si="1"/>
        <v>0.12533013702554918</v>
      </c>
      <c r="I16" s="312">
        <f>(((NPV($H16,'DRE + DCF'!$V$36,'DRE + DCF'!$X$36:$AA$36)*((1+$H16)^((12-3)/12))+('DRE + DCF'!$AB$36*(1+I$18)/(($H16-I$18)*(1+$H16)^(COUNT('DRE + DCF'!$W$22:$AA$22)-((12-3)/12)))))+SUM($F$12:$F$17)))/$F$10-(((NPV($H16,'DRE + DCF'!$V$36,'DRE + DCF'!$X$36:$AA$36)*((1+$H16)^((12-3)/12))+('DRE + DCF'!$AB$36*(1+I$18)/(($H16-I$18)*(1+$H16)^(COUNT('DRE + DCF'!$W$22:$AA$22)-((12-3)/12)))))*$F$40+$F$42)*(1-$F$39))/$F$10</f>
        <v>6.6525459592923992</v>
      </c>
      <c r="J16" s="312">
        <f>(((NPV($H16,'DRE + DCF'!$V$36,'DRE + DCF'!$X$36:$AA$36)*((1+$H16)^((12-3)/12))+('DRE + DCF'!$AB$36*(1+J$18)/(($H16-J$18)*(1+$H16)^(COUNT('DRE + DCF'!$W$22:$AA$22)-((12-3)/12)))))+SUM($F$12:$F$17)))/$F$10-(((NPV($H16,'DRE + DCF'!$V$36,'DRE + DCF'!$X$36:$AA$36)*((1+$H16)^((12-3)/12))+('DRE + DCF'!$AB$36*(1+J$18)/(($H16-J$18)*(1+$H16)^(COUNT('DRE + DCF'!$W$22:$AA$22)-((12-3)/12)))))*$F$40+$F$42)*(1-$F$39))/$F$10</f>
        <v>6.8593299801889298</v>
      </c>
      <c r="K16" s="312">
        <f>(((NPV($H16,'DRE + DCF'!$V$36,'DRE + DCF'!$X$36:$AA$36)*((1+$H16)^((12-3)/12))+('DRE + DCF'!$AB$36*(1+K$18)/(($H16-K$18)*(1+$H16)^(COUNT('DRE + DCF'!$W$22:$AA$22)-((12-3)/12)))))+SUM($F$12:$F$17)))/$F$10-(((NPV($H16,'DRE + DCF'!$V$36,'DRE + DCF'!$X$36:$AA$36)*((1+$H16)^((12-3)/12))+('DRE + DCF'!$AB$36*(1+K$18)/(($H16-K$18)*(1+$H16)^(COUNT('DRE + DCF'!$W$22:$AA$22)-((12-3)/12)))))*$F$40+$F$42)*(1-$F$39))/$F$10</f>
        <v>7.083540559598843</v>
      </c>
      <c r="L16" s="312">
        <f>(((NPV($H16,'DRE + DCF'!$V$36,'DRE + DCF'!$X$36:$AA$36)*((1+$H16)^((12-3)/12))+('DRE + DCF'!$AB$36*(1+L$18)/(($H16-L$18)*(1+$H16)^(COUNT('DRE + DCF'!$W$22:$AA$22)-((12-3)/12)))))+SUM($F$12:$F$17)))/$F$10-(((NPV($H16,'DRE + DCF'!$V$36,'DRE + DCF'!$X$36:$AA$36)*((1+$H16)^((12-3)/12))+('DRE + DCF'!$AB$36*(1+L$18)/(($H16-L$18)*(1+$H16)^(COUNT('DRE + DCF'!$W$22:$AA$22)-((12-3)/12)))))*$F$40+$F$42)*(1-$F$39))/$F$10</f>
        <v>7.3274775193365995</v>
      </c>
      <c r="M16" s="312">
        <f>(((NPV($H16,'DRE + DCF'!$V$36,'DRE + DCF'!$X$36:$AA$36)*((1+$H16)^((12-3)/12))+('DRE + DCF'!$AB$36*(1+M$18)/(($H16-M$18)*(1+$H16)^(COUNT('DRE + DCF'!$W$22:$AA$22)-((12-3)/12)))))+SUM($F$12:$F$17)))/$F$10-(((NPV($H16,'DRE + DCF'!$V$36,'DRE + DCF'!$X$36:$AA$36)*((1+$H16)^((12-3)/12))+('DRE + DCF'!$AB$36*(1+M$18)/(($H16-M$18)*(1+$H16)^(COUNT('DRE + DCF'!$W$22:$AA$22)-((12-3)/12)))))*$F$40+$F$42)*(1-$F$39))/$F$10</f>
        <v>7.5938639862072996</v>
      </c>
      <c r="N16" s="312">
        <f>(((NPV($H16,'DRE + DCF'!$V$36,'DRE + DCF'!$X$36:$AA$36)*((1+$H16)^((12-3)/12))+('DRE + DCF'!$AB$36*(1+N$18)/(($H16-N$18)*(1+$H16)^(COUNT('DRE + DCF'!$W$22:$AA$22)-((12-3)/12)))))+SUM($F$12:$F$17)))/$F$10-(((NPV($H16,'DRE + DCF'!$V$36,'DRE + DCF'!$X$36:$AA$36)*((1+$H16)^((12-3)/12))+('DRE + DCF'!$AB$36*(1+N$18)/(($H16-N$18)*(1+$H16)^(COUNT('DRE + DCF'!$W$22:$AA$22)-((12-3)/12)))))*$F$40+$F$42)*(1-$F$39))/$F$10</f>
        <v>7.8859484814991276</v>
      </c>
      <c r="O16" s="312">
        <f>(((NPV($H16,'DRE + DCF'!$V$36,'DRE + DCF'!$X$36:$AA$36)*((1+$H16)^((12-3)/12))+('DRE + DCF'!$AB$36*(1+O$18)/(($H16-O$18)*(1+$H16)^(COUNT('DRE + DCF'!$W$22:$AA$22)-((12-3)/12)))))+SUM($F$12:$F$17)))/$F$10-(((NPV($H16,'DRE + DCF'!$V$36,'DRE + DCF'!$X$36:$AA$36)*((1+$H16)^((12-3)/12))+('DRE + DCF'!$AB$36*(1+O$18)/(($H16-O$18)*(1+$H16)^(COUNT('DRE + DCF'!$W$22:$AA$22)-((12-3)/12)))))*$F$40+$F$42)*(1-$F$39))/$F$10</f>
        <v>8.2076380532111308</v>
      </c>
      <c r="P16" s="312">
        <f>(((NPV($H16,'DRE + DCF'!$V$36,'DRE + DCF'!$X$36:$AA$36)*((1+$H16)^((12-3)/12))+('DRE + DCF'!$AB$36*(1+P$18)/(($H16-P$18)*(1+$H16)^(COUNT('DRE + DCF'!$W$22:$AA$22)-((12-3)/12)))))+SUM($F$12:$F$17)))/$F$10-(((NPV($H16,'DRE + DCF'!$V$36,'DRE + DCF'!$X$36:$AA$36)*((1+$H16)^((12-3)/12))+('DRE + DCF'!$AB$36*(1+P$18)/(($H16-P$18)*(1+$H16)^(COUNT('DRE + DCF'!$W$22:$AA$22)-((12-3)/12)))))*$F$40+$F$42)*(1-$F$39))/$F$10</f>
        <v>8.5636740514066325</v>
      </c>
      <c r="Q16" s="312">
        <f>(((NPV($H16,'DRE + DCF'!$V$36,'DRE + DCF'!$X$36:$AA$36)*((1+$H16)^((12-3)/12))+('DRE + DCF'!$AB$36*(1+Q$18)/(($H16-Q$18)*(1+$H16)^(COUNT('DRE + DCF'!$W$22:$AA$22)-((12-3)/12)))))+SUM($F$12:$F$17)))/$F$10-(((NPV($H16,'DRE + DCF'!$V$36,'DRE + DCF'!$X$36:$AA$36)*((1+$H16)^((12-3)/12))+('DRE + DCF'!$AB$36*(1+Q$18)/(($H16-Q$18)*(1+$H16)^(COUNT('DRE + DCF'!$W$22:$AA$22)-((12-3)/12)))))*$F$40+$F$42)*(1-$F$39))/$F$10</f>
        <v>8.9598673807186895</v>
      </c>
      <c r="R16" s="312">
        <f>(((NPV($H16,'DRE + DCF'!$V$36,'DRE + DCF'!$X$36:$AA$36)*((1+$H16)^((12-3)/12))+('DRE + DCF'!$AB$36*(1+R$18)/(($H16-R$18)*(1+$H16)^(COUNT('DRE + DCF'!$W$22:$AA$22)-((12-3)/12)))))+SUM($F$12:$F$17)))/$F$10-(((NPV($H16,'DRE + DCF'!$V$36,'DRE + DCF'!$X$36:$AA$36)*((1+$H16)^((12-3)/12))+('DRE + DCF'!$AB$36*(1+R$18)/(($H16-R$18)*(1+$H16)^(COUNT('DRE + DCF'!$W$22:$AA$22)-((12-3)/12)))))*$F$40+$F$42)*(1-$F$39))/$F$10</f>
        <v>9.4034181127892058</v>
      </c>
      <c r="S16" s="88"/>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row>
    <row r="17" spans="1:52" ht="30" customHeight="1">
      <c r="A17" s="166" t="s">
        <v>479</v>
      </c>
      <c r="B17" s="4"/>
      <c r="C17" s="4"/>
      <c r="D17" s="4"/>
      <c r="E17" s="310" t="s">
        <v>498</v>
      </c>
      <c r="F17" s="23">
        <f>IF(F54&gt;=0,0,F54)</f>
        <v>0</v>
      </c>
      <c r="G17" s="333"/>
      <c r="H17" s="18">
        <f>H16+0.5%</f>
        <v>0.13033013702554919</v>
      </c>
      <c r="I17" s="312">
        <f>(((NPV($H17,'DRE + DCF'!$V$36,'DRE + DCF'!$X$36:$AA$36)*((1+$H17)^((12-3)/12))+('DRE + DCF'!$AB$36*(1+I$18)/(($H17-I$18)*(1+$H17)^(COUNT('DRE + DCF'!$W$22:$AA$22)-((12-3)/12)))))+SUM($F$12:$F$17)))/$F$10-(((NPV($H17,'DRE + DCF'!$V$36,'DRE + DCF'!$X$36:$AA$36)*((1+$H17)^((12-3)/12))+('DRE + DCF'!$AB$36*(1+I$18)/(($H17-I$18)*(1+$H17)^(COUNT('DRE + DCF'!$W$22:$AA$22)-((12-3)/12)))))*$F$40+$F$42)*(1-$F$39))/$F$10</f>
        <v>6.1865515034876317</v>
      </c>
      <c r="J17" s="312">
        <f>(((NPV($H17,'DRE + DCF'!$V$36,'DRE + DCF'!$X$36:$AA$36)*((1+$H17)^((12-3)/12))+('DRE + DCF'!$AB$36*(1+J$18)/(($H17-J$18)*(1+$H17)^(COUNT('DRE + DCF'!$W$22:$AA$22)-((12-3)/12)))))+SUM($F$12:$F$17)))/$F$10-(((NPV($H17,'DRE + DCF'!$V$36,'DRE + DCF'!$X$36:$AA$36)*((1+$H17)^((12-3)/12))+('DRE + DCF'!$AB$36*(1+J$18)/(($H17-J$18)*(1+$H17)^(COUNT('DRE + DCF'!$W$22:$AA$22)-((12-3)/12)))))*$F$40+$F$42)*(1-$F$39))/$F$10</f>
        <v>6.3615280497404525</v>
      </c>
      <c r="K17" s="312">
        <f>(((NPV($H17,'DRE + DCF'!$V$36,'DRE + DCF'!$X$36:$AA$36)*((1+$H17)^((12-3)/12))+('DRE + DCF'!$AB$36*(1+K$18)/(($H17-K$18)*(1+$H17)^(COUNT('DRE + DCF'!$W$22:$AA$22)-((12-3)/12)))))+SUM($F$12:$F$17)))/$F$10-(((NPV($H17,'DRE + DCF'!$V$36,'DRE + DCF'!$X$36:$AA$36)*((1+$H17)^((12-3)/12))+('DRE + DCF'!$AB$36*(1+K$18)/(($H17-K$18)*(1+$H17)^(COUNT('DRE + DCF'!$W$22:$AA$22)-((12-3)/12)))))*$F$40+$F$42)*(1-$F$39))/$F$10</f>
        <v>6.5501044851232555</v>
      </c>
      <c r="L17" s="312">
        <f>(((NPV($H17,'DRE + DCF'!$V$36,'DRE + DCF'!$X$36:$AA$36)*((1+$H17)^((12-3)/12))+('DRE + DCF'!$AB$36*(1+L$18)/(($H17-L$18)*(1+$H17)^(COUNT('DRE + DCF'!$W$22:$AA$22)-((12-3)/12)))))+SUM($F$12:$F$17)))/$F$10-(((NPV($H17,'DRE + DCF'!$V$36,'DRE + DCF'!$X$36:$AA$36)*((1+$H17)^((12-3)/12))+('DRE + DCF'!$AB$36*(1+L$18)/(($H17-L$18)*(1+$H17)^(COUNT('DRE + DCF'!$W$22:$AA$22)-((12-3)/12)))))*$F$40+$F$42)*(1-$F$39))/$F$10</f>
        <v>6.7539304771506501</v>
      </c>
      <c r="M17" s="312">
        <f>(((NPV($H17,'DRE + DCF'!$V$36,'DRE + DCF'!$X$36:$AA$36)*((1+$H17)^((12-3)/12))+('DRE + DCF'!$AB$36*(1+M$18)/(($H17-M$18)*(1+$H17)^(COUNT('DRE + DCF'!$W$22:$AA$22)-((12-3)/12)))))+SUM($F$12:$F$17)))/$F$10-(((NPV($H17,'DRE + DCF'!$V$36,'DRE + DCF'!$X$36:$AA$36)*((1+$H17)^((12-3)/12))+('DRE + DCF'!$AB$36*(1+M$18)/(($H17-M$18)*(1+$H17)^(COUNT('DRE + DCF'!$W$22:$AA$22)-((12-3)/12)))))*$F$40+$F$42)*(1-$F$39))/$F$10</f>
        <v>6.9749337421666118</v>
      </c>
      <c r="N17" s="312">
        <f>(((NPV($H17,'DRE + DCF'!$V$36,'DRE + DCF'!$X$36:$AA$36)*((1+$H17)^((12-3)/12))+('DRE + DCF'!$AB$36*(1+N$18)/(($H17-N$18)*(1+$H17)^(COUNT('DRE + DCF'!$W$22:$AA$22)-((12-3)/12)))))+SUM($F$12:$F$17)))/$F$10-(((NPV($H17,'DRE + DCF'!$V$36,'DRE + DCF'!$X$36:$AA$36)*((1+$H17)^((12-3)/12))+('DRE + DCF'!$AB$36*(1+N$18)/(($H17-N$18)*(1+$H17)^(COUNT('DRE + DCF'!$W$22:$AA$22)-((12-3)/12)))))*$F$40+$F$42)*(1-$F$39))/$F$10</f>
        <v>7.2153812032186151</v>
      </c>
      <c r="O17" s="312">
        <f>(((NPV($H17,'DRE + DCF'!$V$36,'DRE + DCF'!$X$36:$AA$36)*((1+$H17)^((12-3)/12))+('DRE + DCF'!$AB$36*(1+O$18)/(($H17-O$18)*(1+$H17)^(COUNT('DRE + DCF'!$W$22:$AA$22)-((12-3)/12)))))+SUM($F$12:$F$17)))/$F$10-(((NPV($H17,'DRE + DCF'!$V$36,'DRE + DCF'!$X$36:$AA$36)*((1+$H17)^((12-3)/12))+('DRE + DCF'!$AB$36*(1+O$18)/(($H17-O$18)*(1+$H17)^(COUNT('DRE + DCF'!$W$22:$AA$22)-((12-3)/12)))))*$F$40+$F$42)*(1-$F$39))/$F$10</f>
        <v>7.4779570330007532</v>
      </c>
      <c r="P17" s="312">
        <f>(((NPV($H17,'DRE + DCF'!$V$36,'DRE + DCF'!$X$36:$AA$36)*((1+$H17)^((12-3)/12))+('DRE + DCF'!$AB$36*(1+P$18)/(($H17-P$18)*(1+$H17)^(COUNT('DRE + DCF'!$W$22:$AA$22)-((12-3)/12)))))+SUM($F$12:$F$17)))/$F$10-(((NPV($H17,'DRE + DCF'!$V$36,'DRE + DCF'!$X$36:$AA$36)*((1+$H17)^((12-3)/12))+('DRE + DCF'!$AB$36*(1+P$18)/(($H17-P$18)*(1+$H17)^(COUNT('DRE + DCF'!$W$22:$AA$22)-((12-3)/12)))))*$F$40+$F$42)*(1-$F$39))/$F$10</f>
        <v>7.7658632829641725</v>
      </c>
      <c r="Q17" s="312">
        <f>(((NPV($H17,'DRE + DCF'!$V$36,'DRE + DCF'!$X$36:$AA$36)*((1+$H17)^((12-3)/12))+('DRE + DCF'!$AB$36*(1+Q$18)/(($H17-Q$18)*(1+$H17)^(COUNT('DRE + DCF'!$W$22:$AA$22)-((12-3)/12)))))+SUM($F$12:$F$17)))/$F$10-(((NPV($H17,'DRE + DCF'!$V$36,'DRE + DCF'!$X$36:$AA$36)*((1+$H17)^((12-3)/12))+('DRE + DCF'!$AB$36*(1+Q$18)/(($H17-Q$18)*(1+$H17)^(COUNT('DRE + DCF'!$W$22:$AA$22)-((12-3)/12)))))*$F$40+$F$42)*(1-$F$39))/$F$10</f>
        <v>8.082951111098998</v>
      </c>
      <c r="R17" s="312">
        <f>(((NPV($H17,'DRE + DCF'!$V$36,'DRE + DCF'!$X$36:$AA$36)*((1+$H17)^((12-3)/12))+('DRE + DCF'!$AB$36*(1+R$18)/(($H17-R$18)*(1+$H17)^(COUNT('DRE + DCF'!$W$22:$AA$22)-((12-3)/12)))))+SUM($F$12:$F$17)))/$F$10-(((NPV($H17,'DRE + DCF'!$V$36,'DRE + DCF'!$X$36:$AA$36)*((1+$H17)^((12-3)/12))+('DRE + DCF'!$AB$36*(1+R$18)/(($H17-R$18)*(1+$H17)^(COUNT('DRE + DCF'!$W$22:$AA$22)-((12-3)/12)))))*$F$40+$F$42)*(1-$F$39))/$F$10</f>
        <v>8.4338940428353588</v>
      </c>
      <c r="S17" s="88"/>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row>
    <row r="18" spans="1:52" ht="30" customHeight="1">
      <c r="A18" s="12" t="s">
        <v>128</v>
      </c>
      <c r="B18" s="4"/>
      <c r="C18" s="4"/>
      <c r="D18" s="4"/>
      <c r="E18" s="16" t="s">
        <v>54</v>
      </c>
      <c r="F18" s="25">
        <f>SUM($F$11:$F$17)/$F$10</f>
        <v>11.743777957670558</v>
      </c>
      <c r="G18" s="20"/>
      <c r="H18" s="20"/>
      <c r="I18" s="18">
        <f>J18-0.25%</f>
        <v>6.1000000000000165E-2</v>
      </c>
      <c r="J18" s="18">
        <f>K18-0.25%</f>
        <v>6.3500000000000167E-2</v>
      </c>
      <c r="K18" s="18">
        <f>L18-0.25%</f>
        <v>6.600000000000017E-2</v>
      </c>
      <c r="L18" s="18">
        <f>M18-0.25%</f>
        <v>6.8500000000000172E-2</v>
      </c>
      <c r="M18" s="18">
        <f>'DRE + DCF'!AD23</f>
        <v>7.1000000000000174E-2</v>
      </c>
      <c r="N18" s="18">
        <f>M18+0.25%</f>
        <v>7.3500000000000176E-2</v>
      </c>
      <c r="O18" s="18">
        <f>N18+0.25%</f>
        <v>7.6000000000000179E-2</v>
      </c>
      <c r="P18" s="18">
        <f>O18+0.25%</f>
        <v>7.8500000000000181E-2</v>
      </c>
      <c r="Q18" s="18">
        <f>P18+0.25%</f>
        <v>8.1000000000000183E-2</v>
      </c>
      <c r="R18" s="28">
        <f>Q18+0.25%</f>
        <v>8.3500000000000185E-2</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row>
    <row r="19" spans="1:52" ht="30" customHeight="1">
      <c r="A19" s="12"/>
      <c r="B19" s="4"/>
      <c r="C19" s="4"/>
      <c r="D19" s="4"/>
      <c r="E19" s="22" t="s">
        <v>53</v>
      </c>
      <c r="F19" s="26">
        <v>6.16</v>
      </c>
      <c r="G19" s="20"/>
      <c r="H19" s="20"/>
      <c r="I19" s="331" t="s">
        <v>29</v>
      </c>
      <c r="J19" s="331"/>
      <c r="K19" s="331"/>
      <c r="L19" s="331"/>
      <c r="M19" s="331"/>
      <c r="N19" s="331"/>
      <c r="O19" s="331"/>
      <c r="P19" s="331"/>
      <c r="Q19" s="331"/>
      <c r="R19" s="332"/>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row>
    <row r="20" spans="1:52" ht="30" customHeight="1">
      <c r="A20" s="12"/>
      <c r="B20" s="4"/>
      <c r="C20" s="4"/>
      <c r="D20" s="4"/>
      <c r="E20" s="16" t="str">
        <f>IF(F20=0,"",IF(F20&gt;0,"Upside","Downside"))</f>
        <v>Upside</v>
      </c>
      <c r="F20" s="27">
        <f>IF(F18&lt;0,"-",F18/F19-1)</f>
        <v>0.90645746066080468</v>
      </c>
      <c r="G20" s="20"/>
      <c r="H20" s="20"/>
      <c r="I20" s="316"/>
      <c r="J20" s="316"/>
      <c r="K20" s="316"/>
      <c r="L20" s="316"/>
      <c r="M20" s="316"/>
      <c r="N20" s="316"/>
      <c r="O20" s="316"/>
      <c r="P20" s="316"/>
      <c r="Q20" s="316"/>
      <c r="R20" s="317"/>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row>
    <row r="21" spans="1:52" ht="30" customHeight="1">
      <c r="B21" s="4"/>
      <c r="C21" s="4"/>
      <c r="D21" s="4"/>
      <c r="E21" s="16" t="s">
        <v>79</v>
      </c>
      <c r="F21" s="170">
        <v>0.25800000000000001</v>
      </c>
      <c r="G21" s="20"/>
      <c r="H21" s="20"/>
      <c r="I21" s="314"/>
      <c r="J21" s="314"/>
      <c r="K21" s="314"/>
      <c r="L21" s="314"/>
      <c r="M21" s="314"/>
      <c r="N21" s="314"/>
      <c r="O21" s="314"/>
      <c r="P21" s="314"/>
      <c r="Q21" s="314"/>
      <c r="R21" s="28"/>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row>
    <row r="22" spans="1:52" ht="30" customHeight="1">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row>
    <row r="23" spans="1:52" ht="30" customHeight="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row>
    <row r="24" spans="1:52" ht="30" customHeight="1">
      <c r="B24" s="4"/>
      <c r="C24" s="4"/>
      <c r="D24" s="90"/>
      <c r="E24" s="4"/>
      <c r="F24" s="4"/>
      <c r="G24" s="4"/>
      <c r="H24" s="4"/>
      <c r="I24" s="4"/>
      <c r="J24" s="4"/>
      <c r="K24" s="4"/>
      <c r="L24" s="4"/>
      <c r="M24" s="4"/>
      <c r="N24" s="4" t="s">
        <v>486</v>
      </c>
      <c r="O24" s="4">
        <v>12.93</v>
      </c>
      <c r="P24" s="4">
        <v>11.31</v>
      </c>
      <c r="Q24" s="4">
        <f>O24/P24-1</f>
        <v>0.14323607427055696</v>
      </c>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row>
    <row r="25" spans="1:52" ht="30" customHeight="1">
      <c r="B25" s="4"/>
      <c r="C25" s="4"/>
      <c r="D25" s="90"/>
      <c r="E25" s="160" t="s">
        <v>316</v>
      </c>
      <c r="F25" s="243">
        <f>SUM('Balanço Patrimonial'!P21,'Balanço Patrimonial'!P24+'Balanço Patrimonial'!P36+'Balanço Patrimonial'!P37)</f>
        <v>12521834.472067257</v>
      </c>
      <c r="G25" s="279"/>
      <c r="H25" s="246" t="s">
        <v>296</v>
      </c>
      <c r="I25" s="247" t="s">
        <v>297</v>
      </c>
      <c r="J25" s="250" t="s">
        <v>298</v>
      </c>
      <c r="K25" s="251" t="s">
        <v>299</v>
      </c>
      <c r="L25" s="88"/>
      <c r="M25" s="4"/>
      <c r="N25" s="4"/>
      <c r="O25" s="324">
        <f>F18*(1-Q24)</f>
        <v>10.061645305908728</v>
      </c>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row>
    <row r="26" spans="1:52" ht="30" customHeight="1">
      <c r="B26" s="4"/>
      <c r="C26" s="4"/>
      <c r="D26" s="90"/>
      <c r="E26" s="160" t="s">
        <v>266</v>
      </c>
      <c r="F26" s="323">
        <v>3528272.1955508739</v>
      </c>
      <c r="G26" s="279"/>
      <c r="H26" s="160" t="s">
        <v>266</v>
      </c>
      <c r="I26" s="322">
        <f>SUM([1]Dashboard!$F$12:$F$16)</f>
        <v>4067739.8676625118</v>
      </c>
      <c r="J26" s="244">
        <v>0.72419999999999995</v>
      </c>
      <c r="K26" s="243">
        <f>I26*J26</f>
        <v>2945857.2121611908</v>
      </c>
      <c r="L26" s="88"/>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row>
    <row r="27" spans="1:52" ht="30" customHeight="1">
      <c r="B27" s="4"/>
      <c r="C27" s="4"/>
      <c r="D27" s="90"/>
      <c r="E27" s="160" t="s">
        <v>267</v>
      </c>
      <c r="F27" s="323">
        <v>2901197.7440966121</v>
      </c>
      <c r="G27" s="279"/>
      <c r="H27" s="160" t="s">
        <v>267</v>
      </c>
      <c r="I27" s="322">
        <f>SUM([2]Dashboard!$F$12:$F$15)</f>
        <v>5221771.2628326733</v>
      </c>
      <c r="J27" s="244">
        <v>0.65190000000000003</v>
      </c>
      <c r="K27" s="243">
        <f t="shared" ref="K27:K28" si="2">I27*J27</f>
        <v>3404072.68624062</v>
      </c>
      <c r="L27" s="88"/>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row>
    <row r="28" spans="1:52" ht="30" customHeight="1">
      <c r="B28" s="4"/>
      <c r="C28" s="4"/>
      <c r="D28" s="90"/>
      <c r="E28" s="160" t="s">
        <v>268</v>
      </c>
      <c r="F28" s="323">
        <v>2415732.2250000001</v>
      </c>
      <c r="G28" s="279"/>
      <c r="H28" s="160" t="s">
        <v>268</v>
      </c>
      <c r="I28" s="322">
        <f>SUM([3]Dashboard!$F$12:$F$15)</f>
        <v>8896938.7576966081</v>
      </c>
      <c r="J28" s="244">
        <v>0.69059999999999999</v>
      </c>
      <c r="K28" s="243">
        <f t="shared" si="2"/>
        <v>6144225.9060652778</v>
      </c>
      <c r="L28" s="88"/>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row>
    <row r="29" spans="1:52" ht="30" customHeight="1" thickBot="1">
      <c r="B29" s="4"/>
      <c r="C29" s="4"/>
      <c r="D29" s="90"/>
      <c r="E29" s="252" t="s">
        <v>295</v>
      </c>
      <c r="F29" s="253">
        <f>F25-SUM(F26:F28)</f>
        <v>3676632.3074197713</v>
      </c>
      <c r="G29" s="279"/>
      <c r="H29" s="252" t="s">
        <v>265</v>
      </c>
      <c r="I29" s="252"/>
      <c r="J29" s="252"/>
      <c r="K29" s="253">
        <f>SUM(K26:K28)</f>
        <v>12494155.804467089</v>
      </c>
      <c r="L29" s="88"/>
      <c r="M29" s="4"/>
      <c r="N29" s="4"/>
      <c r="O29" s="4"/>
      <c r="P29" s="4"/>
      <c r="Q29" s="4"/>
      <c r="R29" s="4"/>
      <c r="S29" s="100"/>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row>
    <row r="30" spans="1:52" ht="30" customHeight="1">
      <c r="B30" s="4"/>
      <c r="C30" s="4"/>
      <c r="D30" s="4"/>
      <c r="E30" s="177"/>
      <c r="F30" s="177"/>
      <c r="G30" s="4"/>
      <c r="H30" s="177"/>
      <c r="I30" s="177"/>
      <c r="J30" s="177"/>
      <c r="K30" s="177"/>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row>
    <row r="31" spans="1:52" ht="30" customHeight="1">
      <c r="B31" s="4"/>
      <c r="C31" s="4"/>
      <c r="D31" s="90"/>
      <c r="E31" s="4"/>
      <c r="F31" s="4"/>
      <c r="G31" s="4"/>
      <c r="H31" s="4"/>
      <c r="I31" s="4"/>
      <c r="J31" s="4"/>
      <c r="K31" s="4"/>
      <c r="L31" s="4"/>
      <c r="M31" s="4"/>
      <c r="N31" s="4"/>
      <c r="O31" s="4"/>
      <c r="P31" s="4"/>
      <c r="Q31" s="4"/>
      <c r="R31" s="4"/>
      <c r="S31" s="313"/>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row>
    <row r="32" spans="1:52" ht="30" customHeight="1">
      <c r="B32" s="4"/>
      <c r="C32" s="4"/>
      <c r="D32" s="90"/>
      <c r="E32" s="160" t="s">
        <v>316</v>
      </c>
      <c r="F32" s="243">
        <f>WACC!F19</f>
        <v>55498129</v>
      </c>
      <c r="G32" s="279"/>
      <c r="H32" s="246" t="s">
        <v>296</v>
      </c>
      <c r="I32" s="247" t="s">
        <v>300</v>
      </c>
      <c r="J32" s="250" t="s">
        <v>298</v>
      </c>
      <c r="K32" s="251" t="s">
        <v>301</v>
      </c>
      <c r="L32" s="88"/>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row>
    <row r="33" spans="2:53" ht="30" customHeight="1">
      <c r="B33" s="4"/>
      <c r="C33" s="4"/>
      <c r="D33" s="90"/>
      <c r="E33" s="160" t="s">
        <v>266</v>
      </c>
      <c r="F33" s="323">
        <v>-9650368</v>
      </c>
      <c r="G33" s="279"/>
      <c r="H33" s="160" t="s">
        <v>266</v>
      </c>
      <c r="I33" s="322">
        <f>[1]Dashboard!$F$18*[1]Dashboard!$F$11</f>
        <v>3388479.6527399998</v>
      </c>
      <c r="J33" s="244">
        <f>J26</f>
        <v>0.72419999999999995</v>
      </c>
      <c r="K33" s="243">
        <f>I33*J33</f>
        <v>2453936.9645143077</v>
      </c>
      <c r="L33" s="88"/>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row>
    <row r="34" spans="2:53" ht="30" customHeight="1">
      <c r="B34" s="4"/>
      <c r="C34" s="4"/>
      <c r="D34" s="90"/>
      <c r="E34" s="160" t="s">
        <v>267</v>
      </c>
      <c r="F34" s="323">
        <v>-17964301</v>
      </c>
      <c r="G34" s="279"/>
      <c r="H34" s="160" t="s">
        <v>267</v>
      </c>
      <c r="I34" s="322">
        <f>[2]Dashboard!$F$17*[2]Dashboard!$F$11</f>
        <v>2623067.1026400002</v>
      </c>
      <c r="J34" s="244">
        <f t="shared" ref="J34" si="3">J27</f>
        <v>0.65190000000000003</v>
      </c>
      <c r="K34" s="243">
        <f t="shared" ref="K34:K35" si="4">I34*J34</f>
        <v>1709977.4442110162</v>
      </c>
      <c r="L34" s="88"/>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row>
    <row r="35" spans="2:53" ht="30" customHeight="1">
      <c r="B35" s="4"/>
      <c r="C35" s="4"/>
      <c r="D35" s="90"/>
      <c r="E35" s="160" t="s">
        <v>268</v>
      </c>
      <c r="F35" s="323">
        <v>-14245979</v>
      </c>
      <c r="G35" s="279"/>
      <c r="H35" s="160" t="s">
        <v>268</v>
      </c>
      <c r="I35" s="322">
        <f>[3]Dashboard!$F$17*[3]Dashboard!$F$11</f>
        <v>9088591.2028700002</v>
      </c>
      <c r="J35" s="244">
        <f>J28</f>
        <v>0.69059999999999999</v>
      </c>
      <c r="K35" s="243">
        <f t="shared" si="4"/>
        <v>6276581.0847020224</v>
      </c>
      <c r="L35" s="88"/>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row>
    <row r="36" spans="2:53" ht="30" customHeight="1" thickBot="1">
      <c r="B36" s="4"/>
      <c r="C36" s="4"/>
      <c r="D36" s="90"/>
      <c r="E36" s="252" t="s">
        <v>295</v>
      </c>
      <c r="F36" s="253">
        <f>SUM(F32:F35)</f>
        <v>13637481</v>
      </c>
      <c r="G36" s="279"/>
      <c r="H36" s="160" t="s">
        <v>302</v>
      </c>
      <c r="I36" s="160">
        <f>F19*F10</f>
        <v>5377929.6832800005</v>
      </c>
      <c r="J36" s="244">
        <v>1</v>
      </c>
      <c r="K36" s="243">
        <f>J36*I36</f>
        <v>5377929.6832800005</v>
      </c>
      <c r="L36" s="88"/>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row>
    <row r="37" spans="2:53" ht="30" customHeight="1">
      <c r="B37" s="4"/>
      <c r="C37" s="4"/>
      <c r="D37" s="4"/>
      <c r="E37" s="177"/>
      <c r="F37" s="177"/>
      <c r="G37" s="90"/>
      <c r="H37" s="247" t="s">
        <v>524</v>
      </c>
      <c r="I37" s="246"/>
      <c r="J37" s="248"/>
      <c r="K37" s="249">
        <f>K36-SUM(K33:K35)</f>
        <v>-5062565.8101473469</v>
      </c>
      <c r="L37" s="88"/>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2:53" ht="30" customHeight="1" thickBot="1">
      <c r="B38" s="4"/>
      <c r="C38" s="4"/>
      <c r="D38" s="4"/>
      <c r="G38" s="88"/>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row>
    <row r="39" spans="2:53" ht="30" customHeight="1">
      <c r="B39" s="4"/>
      <c r="C39" s="4"/>
      <c r="D39" s="4"/>
      <c r="E39" s="306" t="s">
        <v>327</v>
      </c>
      <c r="F39" s="307">
        <v>0.79400000000000004</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row>
    <row r="40" spans="2:53" ht="30" customHeight="1">
      <c r="B40" s="4"/>
      <c r="C40" s="4"/>
      <c r="D40" s="4"/>
      <c r="E40" s="308" t="s">
        <v>472</v>
      </c>
      <c r="F40" s="309">
        <f>AVERAGE('Projeções - Receita e EBIT'!$R$57:$V$57)</f>
        <v>0.59655018875112242</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row>
    <row r="41" spans="2:53" ht="30" customHeight="1">
      <c r="B41" s="4"/>
      <c r="C41" s="4"/>
      <c r="D41" s="4"/>
      <c r="E41" s="308" t="s">
        <v>473</v>
      </c>
      <c r="F41" s="243">
        <f>F11*F40</f>
        <v>6400863.9248864707</v>
      </c>
      <c r="G41" s="88"/>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row>
    <row r="42" spans="2:53" ht="30" customHeight="1">
      <c r="B42" s="4"/>
      <c r="C42" s="4"/>
      <c r="D42" s="4"/>
      <c r="E42" s="308" t="s">
        <v>474</v>
      </c>
      <c r="F42" s="330">
        <v>691700</v>
      </c>
      <c r="G42" s="88"/>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row>
    <row r="43" spans="2:53" ht="30" customHeight="1">
      <c r="B43" s="4"/>
      <c r="C43" s="4"/>
      <c r="D43" s="4"/>
      <c r="E43" s="308" t="s">
        <v>475</v>
      </c>
      <c r="F43" s="243">
        <f>F41+F42</f>
        <v>7092563.9248864707</v>
      </c>
      <c r="G43" s="88"/>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row>
    <row r="44" spans="2:53" ht="30" customHeight="1" thickBot="1">
      <c r="B44" s="4"/>
      <c r="C44" s="4"/>
      <c r="D44" s="4"/>
      <c r="E44" s="311" t="s">
        <v>476</v>
      </c>
      <c r="F44" s="253">
        <f>F43*(1-$F$39)</f>
        <v>1461068.1685266127</v>
      </c>
      <c r="G44" s="88"/>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row>
    <row r="45" spans="2:53" ht="30" customHeight="1">
      <c r="B45" s="4"/>
      <c r="C45" s="4"/>
      <c r="D45" s="4"/>
      <c r="E45" s="177"/>
      <c r="F45" s="177"/>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row>
    <row r="46" spans="2:53" ht="30"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row>
    <row r="47" spans="2:53" ht="30"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row>
    <row r="48" spans="2:53" ht="30" customHeight="1">
      <c r="B48" s="4"/>
      <c r="C48" s="4"/>
      <c r="D48" s="90"/>
      <c r="E48" s="160" t="s">
        <v>316</v>
      </c>
      <c r="F48" s="243">
        <f>WACC!F35</f>
        <v>0</v>
      </c>
      <c r="G48" s="88"/>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row>
    <row r="49" spans="2:52" ht="30" customHeight="1">
      <c r="B49" s="4"/>
      <c r="C49" s="4"/>
      <c r="D49" s="90"/>
      <c r="E49" s="160" t="s">
        <v>266</v>
      </c>
      <c r="F49" s="323">
        <v>-528483</v>
      </c>
      <c r="G49" s="88"/>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row>
    <row r="50" spans="2:52" ht="30.75" customHeight="1">
      <c r="B50" s="4"/>
      <c r="C50" s="4"/>
      <c r="D50" s="90"/>
      <c r="E50" s="160" t="s">
        <v>267</v>
      </c>
      <c r="F50" s="323">
        <f>[4]Dashboard!$F$15</f>
        <v>0</v>
      </c>
      <c r="G50" s="88"/>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row>
    <row r="51" spans="2:52" ht="34.5" customHeight="1">
      <c r="B51" s="4"/>
      <c r="C51" s="4"/>
      <c r="D51" s="90"/>
      <c r="E51" s="160" t="s">
        <v>268</v>
      </c>
      <c r="F51" s="323">
        <v>-108010</v>
      </c>
      <c r="G51" s="88"/>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row>
    <row r="52" spans="2:52" ht="34.5" customHeight="1">
      <c r="B52" s="4"/>
      <c r="C52" s="4"/>
      <c r="D52" s="90"/>
      <c r="E52" s="160" t="s">
        <v>295</v>
      </c>
      <c r="F52" s="243">
        <f>SUM(F48:F51)</f>
        <v>-636493</v>
      </c>
      <c r="G52" s="88"/>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row>
    <row r="53" spans="2:52" ht="34.5" customHeight="1">
      <c r="B53" s="4"/>
      <c r="C53" s="4"/>
      <c r="D53" s="90"/>
      <c r="E53" s="160" t="s">
        <v>493</v>
      </c>
      <c r="F53" s="243">
        <f>('Balanço Patrimonial'!P80-'Balanço Patrimonial'!P41)*-1</f>
        <v>-631328</v>
      </c>
      <c r="G53" s="88"/>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row>
    <row r="54" spans="2:52" ht="34.5" customHeight="1" thickBot="1">
      <c r="B54" s="4"/>
      <c r="C54" s="4"/>
      <c r="D54" s="90"/>
      <c r="E54" s="246" t="s">
        <v>523</v>
      </c>
      <c r="F54" s="249">
        <f>F53-F52</f>
        <v>5165</v>
      </c>
      <c r="G54" s="88"/>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row>
    <row r="55" spans="2:52" ht="15">
      <c r="B55" s="4"/>
      <c r="C55" s="4"/>
      <c r="D55" s="4"/>
      <c r="E55" s="177"/>
      <c r="F55" s="177"/>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row>
    <row r="56" spans="2:52" ht="15">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row>
    <row r="57" spans="2:52" ht="15">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row>
    <row r="58" spans="2:52" ht="15">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row>
    <row r="59" spans="2:52" ht="15">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row>
    <row r="60" spans="2:52" ht="15">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row>
    <row r="61" spans="2:52" ht="15">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row>
    <row r="62" spans="2:52" ht="15">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row>
    <row r="63" spans="2:52" ht="15">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row>
    <row r="64" spans="2:52" ht="15">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row>
    <row r="65" spans="2:52" ht="1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row>
    <row r="66" spans="2:52" ht="15">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row>
    <row r="67" spans="2:52" ht="15">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row>
    <row r="68" spans="2:52" ht="15">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row>
    <row r="69" spans="2:52" ht="15">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row>
    <row r="70" spans="2:52" ht="15">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row>
    <row r="71" spans="2:52" ht="15">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row>
    <row r="72" spans="2:52" ht="15">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row>
    <row r="73" spans="2:52" ht="15">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row>
    <row r="74" spans="2:52" ht="15">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row>
    <row r="75" spans="2:52" ht="1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row>
    <row r="76" spans="2:52" ht="15">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row>
    <row r="77" spans="2:52" ht="15">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row>
    <row r="78" spans="2:52" ht="15">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row>
    <row r="79" spans="2:52" ht="15">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row>
    <row r="80" spans="2:52" ht="15">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row>
    <row r="81" spans="2:52" ht="15">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row>
    <row r="82" spans="2:52" ht="15">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row>
    <row r="83" spans="2:52" ht="15">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row>
    <row r="84" spans="2:52" ht="15">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row>
    <row r="85" spans="2:52" ht="1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row>
    <row r="86" spans="2:52" ht="1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row>
    <row r="87" spans="2:52" ht="15">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row>
    <row r="88" spans="2:52" ht="15">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row>
    <row r="89" spans="2:52" ht="15">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row>
    <row r="90" spans="2:52" ht="15">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row>
    <row r="91" spans="2:52" ht="15">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row>
    <row r="92" spans="2:52" ht="15">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row>
    <row r="93" spans="2:52" ht="15">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row>
    <row r="94" spans="2:52" ht="15">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row>
    <row r="95" spans="2:52" ht="1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row>
    <row r="96" spans="2:52" ht="15">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row>
    <row r="97" spans="1:52" ht="15">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spans="1:52" ht="15">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row>
    <row r="99" spans="1:52" ht="15">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row>
    <row r="100" spans="1:52" ht="15">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row>
    <row r="101" spans="1:52" ht="15">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row>
    <row r="102" spans="1:52" ht="15">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row>
    <row r="103" spans="1:52" ht="15" hidden="1">
      <c r="A103" s="5"/>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row>
    <row r="104" spans="1:52" ht="15" hidden="1">
      <c r="A104" s="5"/>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row>
    <row r="105" spans="1:52" ht="15" hidden="1">
      <c r="A105" s="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row>
    <row r="106" spans="1:52" ht="15" hidden="1">
      <c r="A106" s="5"/>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row>
    <row r="107" spans="1:52" ht="15" hidden="1">
      <c r="A107" s="5"/>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row>
    <row r="108" spans="1:52" ht="15" hidden="1">
      <c r="A108" s="5"/>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row>
    <row r="109" spans="1:52" ht="15" hidden="1">
      <c r="A109" s="5"/>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row>
    <row r="110" spans="1:52" ht="15" hidden="1">
      <c r="A110" s="5"/>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row>
    <row r="111" spans="1:52" ht="15" hidden="1">
      <c r="A111" s="5"/>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row>
    <row r="112" spans="1:52" ht="15" hidden="1">
      <c r="A112" s="5"/>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row>
    <row r="113" spans="1:52" ht="15" hidden="1">
      <c r="A113" s="5"/>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row>
    <row r="114" spans="1:52" ht="15" hidden="1">
      <c r="A114" s="5"/>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row>
    <row r="115" spans="1:52" ht="15" hidden="1">
      <c r="A115" s="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row>
    <row r="116" spans="1:52" ht="15" hidden="1">
      <c r="A116" s="5"/>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row>
    <row r="117" spans="1:52" ht="15" hidden="1">
      <c r="A117" s="5"/>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row>
    <row r="118" spans="1:52" ht="15" hidden="1">
      <c r="A118" s="5"/>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row>
    <row r="119" spans="1:52" ht="15" hidden="1">
      <c r="A119" s="5"/>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row>
    <row r="120" spans="1:52" ht="15" hidden="1">
      <c r="A120" s="5"/>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row>
    <row r="121" spans="1:52" ht="15" hidden="1">
      <c r="A121" s="5"/>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row>
    <row r="122" spans="1:52" ht="15" hidden="1">
      <c r="A122" s="5"/>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row>
    <row r="123" spans="1:52" ht="15" hidden="1">
      <c r="A123" s="5"/>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row>
    <row r="124" spans="1:52" ht="15" hidden="1">
      <c r="A124" s="5"/>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row>
    <row r="125" spans="1:52" ht="15" hidden="1">
      <c r="A125" s="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row>
    <row r="126" spans="1:52" ht="15" hidden="1">
      <c r="A126" s="5"/>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row>
    <row r="127" spans="1:52" ht="15" hidden="1">
      <c r="A127" s="5"/>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row>
    <row r="128" spans="1:52" ht="15" hidden="1">
      <c r="A128" s="5"/>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row>
    <row r="129" spans="1:52" ht="15" hidden="1">
      <c r="A129" s="5"/>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row>
    <row r="130" spans="1:52" ht="15" hidden="1">
      <c r="A130" s="5"/>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row>
    <row r="131" spans="1:52" ht="15" hidden="1">
      <c r="A131" s="5"/>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row>
    <row r="132" spans="1:52" ht="15" hidden="1">
      <c r="A132" s="5"/>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row>
    <row r="133" spans="1:52" ht="15" hidden="1">
      <c r="A133" s="5"/>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row>
    <row r="134" spans="1:52" ht="15" hidden="1">
      <c r="A134" s="5"/>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row>
    <row r="135" spans="1:52" ht="15" hidden="1">
      <c r="A135" s="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row>
    <row r="136" spans="1:52" ht="15" hidden="1">
      <c r="A136" s="5"/>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row>
    <row r="137" spans="1:52" ht="15" hidden="1">
      <c r="A137" s="5"/>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row>
    <row r="138" spans="1:52" ht="15" hidden="1">
      <c r="A138" s="5"/>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row>
    <row r="139" spans="1:52" ht="15" hidden="1">
      <c r="A139" s="5"/>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row>
    <row r="140" spans="1:52" ht="15" hidden="1">
      <c r="A140" s="5"/>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row>
    <row r="141" spans="1:52" ht="15" hidden="1">
      <c r="A141" s="5"/>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row>
    <row r="142" spans="1:52" ht="15" hidden="1">
      <c r="A142" s="5"/>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row>
    <row r="143" spans="1:52" ht="15" hidden="1">
      <c r="A143" s="5"/>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row>
    <row r="144" spans="1:52" ht="15" hidden="1">
      <c r="A144" s="5"/>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row>
    <row r="145" spans="1:52" ht="15" hidden="1">
      <c r="A145" s="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row>
    <row r="146" spans="1:52" ht="15" hidden="1" customHeight="1">
      <c r="A146" s="5"/>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row>
    <row r="147" spans="1:52" ht="15" hidden="1" customHeight="1">
      <c r="A147" s="5"/>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row>
    <row r="148" spans="1:52" ht="15" hidden="1" customHeight="1">
      <c r="A148" s="5"/>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row>
    <row r="149" spans="1:52" ht="15" hidden="1" customHeight="1">
      <c r="A149" s="5"/>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row>
    <row r="150" spans="1:52" ht="15" hidden="1" customHeight="1">
      <c r="A150" s="5"/>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row>
    <row r="151" spans="1:52" ht="15" hidden="1" customHeight="1">
      <c r="A151" s="5"/>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row>
    <row r="152" spans="1:52" ht="15" hidden="1" customHeight="1">
      <c r="A152" s="5"/>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row>
    <row r="153" spans="1:52" ht="15" hidden="1" customHeight="1">
      <c r="A153" s="5"/>
      <c r="E153" s="4"/>
      <c r="F153" s="4"/>
      <c r="G153" s="4"/>
      <c r="H153" s="4"/>
      <c r="I153" s="4"/>
      <c r="J153" s="4"/>
      <c r="K153" s="4"/>
      <c r="L153" s="4"/>
      <c r="M153" s="4"/>
      <c r="N153" s="4"/>
      <c r="O153" s="4"/>
      <c r="P153" s="4"/>
      <c r="Q153" s="4"/>
      <c r="R153" s="4"/>
    </row>
    <row r="154" spans="1:52" ht="0" hidden="1" customHeight="1">
      <c r="A154" s="5"/>
      <c r="G154" s="4"/>
      <c r="H154" s="4"/>
      <c r="I154" s="4"/>
      <c r="J154" s="4"/>
      <c r="K154" s="4"/>
      <c r="L154" s="4"/>
    </row>
    <row r="155" spans="1:52" ht="0" hidden="1" customHeight="1">
      <c r="A155" s="5"/>
    </row>
  </sheetData>
  <mergeCells count="3">
    <mergeCell ref="I19:R19"/>
    <mergeCell ref="G9:G17"/>
    <mergeCell ref="H3:K5"/>
  </mergeCells>
  <conditionalFormatting sqref="F18 F20:F21">
    <cfRule type="cellIs" dxfId="180" priority="8" operator="lessThan">
      <formula>0</formula>
    </cfRule>
    <cfRule type="cellIs" dxfId="179" priority="9" operator="greaterThan">
      <formula>0</formula>
    </cfRule>
  </conditionalFormatting>
  <conditionalFormatting sqref="I9:R17">
    <cfRule type="colorScale" priority="1">
      <colorScale>
        <cfvo type="min"/>
        <cfvo type="max"/>
        <color rgb="FFD9FBE2"/>
        <color rgb="FF43AF43"/>
      </colorScale>
    </cfRule>
    <cfRule type="colorScale" priority="2">
      <colorScale>
        <cfvo type="min"/>
        <cfvo type="max"/>
        <color rgb="FFFCFCFF"/>
        <color rgb="FF43AF43"/>
      </colorScale>
    </cfRule>
    <cfRule type="colorScale" priority="3">
      <colorScale>
        <cfvo type="min"/>
        <cfvo type="max"/>
        <color rgb="FFD9FBE2"/>
        <color rgb="FF43AF43"/>
      </colorScale>
    </cfRule>
    <cfRule type="colorScale" priority="4">
      <colorScale>
        <cfvo type="min"/>
        <cfvo type="max"/>
        <color rgb="FFFCFCFF"/>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fRule type="cellIs" dxfId="178" priority="7" operator="equal">
      <formula>0</formula>
    </cfRule>
  </conditionalFormatting>
  <hyperlinks>
    <hyperlink ref="A11" location="'DRE + DCF'!A1" display="DRE + DCF" xr:uid="{9BE924B9-012A-43BF-9456-7334C3D7FF58}"/>
    <hyperlink ref="A9" location="WACC!A1" display="WACC" xr:uid="{8C9B0C2A-BB72-4A9C-86B2-E5BB618DA594}"/>
    <hyperlink ref="A13" location="'Balanço Patrimonial'!A1" display="Balanço Patrimonial" xr:uid="{6AE1563C-F6EB-4322-883D-DAAFC9CB30B9}"/>
    <hyperlink ref="A12" location="'DRE - Contas Abertas'!A1" display="DRE - Contas Abertas" xr:uid="{757E3AC2-BB18-43A9-B8D1-E6F9B86D2DC0}"/>
    <hyperlink ref="A14" location="'Painel de Índices'!A1" display="Projeções - Receita" xr:uid="{00B0D2C7-9F17-4C73-9411-2608B29AFED0}"/>
    <hyperlink ref="A16" location="'Projeções - CG + Capex'!A1" display="Projeções - CG + Capex" xr:uid="{1443EF69-CEDD-425F-8E4E-EB6EB3EED96D}"/>
    <hyperlink ref="A17" location="'Projeções 2023'!A1" display="Projeções 2022" xr:uid="{50ADC267-CC84-4EAB-8465-BEDD0A96C6AF}"/>
    <hyperlink ref="A18" location="Processos!A1" display="Processos" xr:uid="{546958E0-2DCF-48E8-A6B7-6BCF907D4293}"/>
    <hyperlink ref="A15" location="'Projeções - Receita e EBIT'!A1" display="Projeções - Receita" xr:uid="{93D6B055-CB55-40A1-96A5-72C601C7DD78}"/>
    <hyperlink ref="A10" location="'DRE Consolidado'!A1" display="DRE Consolidado" xr:uid="{DFBCD6E7-E766-43DF-86D2-F8BD84105FAE}"/>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21F8-35B5-4E1D-9EB4-AA8C421D77D6}">
  <sheetPr codeName="Sheet2"/>
  <dimension ref="A1:BW151"/>
  <sheetViews>
    <sheetView showGridLines="0" topLeftCell="A3" zoomScale="80" zoomScaleNormal="80" zoomScaleSheetLayoutView="40" workbookViewId="0">
      <selection activeCell="G16" sqref="G16"/>
    </sheetView>
  </sheetViews>
  <sheetFormatPr defaultColWidth="0" defaultRowHeight="0" customHeight="1" zeroHeight="1"/>
  <cols>
    <col min="1" max="1" width="39.140625" style="3" customWidth="1"/>
    <col min="2" max="4" width="9.140625" style="5" customWidth="1"/>
    <col min="5" max="5" width="66" style="5" bestFit="1" customWidth="1"/>
    <col min="6" max="11" width="12.7109375" style="5" customWidth="1"/>
    <col min="12" max="12" width="13.85546875" style="5" bestFit="1" customWidth="1"/>
    <col min="13" max="16" width="12" style="5" bestFit="1" customWidth="1"/>
    <col min="17" max="17" width="10.85546875" style="5" customWidth="1"/>
    <col min="18" max="18" width="9.140625" style="5" customWidth="1"/>
    <col min="19" max="19" width="12.28515625" style="5" bestFit="1" customWidth="1"/>
    <col min="20" max="50" width="9.140625" style="5" customWidth="1"/>
    <col min="51" max="52" width="9.140625" style="5" hidden="1" customWidth="1"/>
    <col min="53" max="60" width="0" style="5" hidden="1" customWidth="1"/>
    <col min="61" max="64" width="9.140625" style="5" hidden="1" customWidth="1"/>
    <col min="65" max="65" width="0" style="5" hidden="1" customWidth="1"/>
    <col min="66" max="70" width="9.140625" style="5" hidden="1" customWidth="1"/>
    <col min="71" max="71" width="0" style="5" hidden="1" customWidth="1"/>
    <col min="72" max="75" width="9.140625" style="5" hidden="1" customWidth="1"/>
    <col min="76" max="16384" width="0" style="5" hidden="1"/>
  </cols>
  <sheetData>
    <row r="1" spans="1:50" ht="15">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row>
    <row r="2" spans="1:50" ht="15" customHeight="1">
      <c r="B2" s="4"/>
      <c r="C2" s="4"/>
      <c r="D2" s="4"/>
      <c r="E2" s="6"/>
      <c r="F2" s="6"/>
      <c r="G2" s="6"/>
      <c r="H2" s="65"/>
      <c r="I2" s="65"/>
      <c r="J2" s="65"/>
      <c r="K2" s="65"/>
      <c r="L2" s="65"/>
      <c r="M2" s="65"/>
      <c r="N2" s="65"/>
      <c r="O2" s="6"/>
      <c r="P2" s="6"/>
      <c r="Q2" s="6"/>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pans="1:50" ht="15" customHeight="1">
      <c r="B3" s="4"/>
      <c r="C3" s="4"/>
      <c r="D3" s="4"/>
      <c r="E3" s="6"/>
      <c r="F3" s="336" t="str">
        <f>Dashboard!$H$3</f>
        <v>SIMPAR (SIMH3)</v>
      </c>
      <c r="G3" s="336"/>
      <c r="H3" s="336"/>
      <c r="I3" s="336"/>
      <c r="J3" s="336"/>
      <c r="K3" s="336"/>
      <c r="L3" s="336"/>
      <c r="M3" s="336"/>
      <c r="N3" s="65"/>
      <c r="O3" s="6"/>
      <c r="P3" s="6"/>
      <c r="Q3" s="6"/>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row>
    <row r="4" spans="1:50" ht="15" customHeight="1">
      <c r="B4" s="4"/>
      <c r="C4" s="4"/>
      <c r="D4" s="4"/>
      <c r="E4" s="6"/>
      <c r="F4" s="336"/>
      <c r="G4" s="336"/>
      <c r="H4" s="336"/>
      <c r="I4" s="336"/>
      <c r="J4" s="336"/>
      <c r="K4" s="336"/>
      <c r="L4" s="336"/>
      <c r="M4" s="336"/>
      <c r="N4" s="65"/>
      <c r="O4" s="6"/>
      <c r="P4" s="6"/>
      <c r="Q4" s="6"/>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row>
    <row r="5" spans="1:50" ht="15" customHeight="1">
      <c r="B5" s="4"/>
      <c r="C5" s="4"/>
      <c r="D5" s="4"/>
      <c r="E5" s="6"/>
      <c r="F5" s="336"/>
      <c r="G5" s="336"/>
      <c r="H5" s="336"/>
      <c r="I5" s="336"/>
      <c r="J5" s="336"/>
      <c r="K5" s="336"/>
      <c r="L5" s="336"/>
      <c r="M5" s="336"/>
      <c r="N5" s="65"/>
      <c r="O5" s="6"/>
      <c r="P5" s="8"/>
      <c r="Q5" s="6"/>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row>
    <row r="6" spans="1:50" ht="15" customHeight="1">
      <c r="B6" s="4"/>
      <c r="C6" s="4"/>
      <c r="D6" s="4"/>
      <c r="E6" s="4"/>
      <c r="F6" s="34"/>
      <c r="G6" s="34"/>
      <c r="H6" s="34"/>
      <c r="I6" s="34"/>
      <c r="J6" s="34"/>
      <c r="K6" s="34"/>
      <c r="L6" s="34"/>
      <c r="M6" s="3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row>
    <row r="7" spans="1:50" s="11" customFormat="1" ht="24.75" customHeight="1">
      <c r="A7" s="9" t="s">
        <v>33</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0" ht="30" customHeight="1">
      <c r="A8" s="12" t="s">
        <v>34</v>
      </c>
      <c r="B8" s="4"/>
      <c r="C8" s="4"/>
      <c r="D8" s="10"/>
      <c r="E8" s="10"/>
      <c r="F8" s="30"/>
      <c r="G8" s="30"/>
      <c r="H8" s="30"/>
      <c r="I8" s="30"/>
      <c r="J8" s="30"/>
      <c r="K8" s="30"/>
      <c r="L8" s="10"/>
      <c r="M8" s="10"/>
      <c r="N8" s="10"/>
      <c r="O8" s="10"/>
      <c r="P8" s="10"/>
      <c r="Q8" s="10"/>
      <c r="R8" s="10"/>
      <c r="S8" s="10"/>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row>
    <row r="9" spans="1:50" ht="30" customHeight="1">
      <c r="A9" s="33" t="s">
        <v>23</v>
      </c>
      <c r="B9" s="4"/>
      <c r="C9" s="4"/>
      <c r="D9" s="4"/>
      <c r="E9" s="150" t="s">
        <v>530</v>
      </c>
      <c r="F9" s="151">
        <v>2024</v>
      </c>
      <c r="G9" s="151">
        <f>F9+1</f>
        <v>2025</v>
      </c>
      <c r="H9" s="151">
        <f t="shared" ref="H9:P9" si="0">G9+1</f>
        <v>2026</v>
      </c>
      <c r="I9" s="151">
        <f t="shared" si="0"/>
        <v>2027</v>
      </c>
      <c r="J9" s="151">
        <f t="shared" si="0"/>
        <v>2028</v>
      </c>
      <c r="K9" s="151">
        <f t="shared" si="0"/>
        <v>2029</v>
      </c>
      <c r="L9" s="151">
        <f t="shared" si="0"/>
        <v>2030</v>
      </c>
      <c r="M9" s="151">
        <f t="shared" si="0"/>
        <v>2031</v>
      </c>
      <c r="N9" s="151">
        <f t="shared" si="0"/>
        <v>2032</v>
      </c>
      <c r="O9" s="151">
        <f t="shared" si="0"/>
        <v>2033</v>
      </c>
      <c r="P9" s="161">
        <f t="shared" si="0"/>
        <v>2034</v>
      </c>
      <c r="Q9" s="162"/>
      <c r="R9" s="10"/>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row>
    <row r="10" spans="1:50" ht="30" customHeight="1">
      <c r="A10" s="12" t="s">
        <v>323</v>
      </c>
      <c r="B10" s="4"/>
      <c r="C10" s="4"/>
      <c r="D10" s="4"/>
      <c r="E10" s="152" t="s">
        <v>133</v>
      </c>
      <c r="F10" s="153">
        <v>0.10210000000000001</v>
      </c>
      <c r="G10" s="153">
        <v>0.1045</v>
      </c>
      <c r="H10" s="153">
        <v>0.10785</v>
      </c>
      <c r="I10" s="153">
        <v>0.1108</v>
      </c>
      <c r="J10" s="153">
        <v>0.11282</v>
      </c>
      <c r="K10" s="153">
        <v>0.11410000000000001</v>
      </c>
      <c r="L10" s="153">
        <v>0.11493</v>
      </c>
      <c r="M10" s="153">
        <v>0.11539999999999999</v>
      </c>
      <c r="N10" s="153">
        <v>0.11554</v>
      </c>
      <c r="O10" s="153">
        <v>0.11539999999999999</v>
      </c>
      <c r="P10" s="153">
        <v>0.11840000000000001</v>
      </c>
      <c r="Q10" s="88"/>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row>
    <row r="11" spans="1:50" ht="30" customHeight="1">
      <c r="A11" s="12" t="s">
        <v>36</v>
      </c>
      <c r="B11" s="4"/>
      <c r="C11" s="4"/>
      <c r="D11" s="4"/>
      <c r="E11" s="152" t="s">
        <v>134</v>
      </c>
      <c r="F11" s="153">
        <v>5.1923760000000003E-3</v>
      </c>
      <c r="G11" s="153">
        <v>7.5295950000000009E-3</v>
      </c>
      <c r="H11" s="153">
        <v>9.8256639999999996E-3</v>
      </c>
      <c r="I11" s="153">
        <v>1.2549005E-2</v>
      </c>
      <c r="J11" s="153">
        <v>1.5362527000000001E-2</v>
      </c>
      <c r="K11" s="153">
        <v>1.7833094000000001E-2</v>
      </c>
      <c r="L11" s="153">
        <v>1.9839555999999998E-2</v>
      </c>
      <c r="M11" s="153">
        <v>2.1316616E-2</v>
      </c>
      <c r="N11" s="153">
        <v>2.2198978000000001E-2</v>
      </c>
      <c r="O11" s="153">
        <v>2.2423307999999999E-2</v>
      </c>
      <c r="P11" s="153">
        <v>2.3871660999999999E-2</v>
      </c>
      <c r="Q11" s="88"/>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row>
    <row r="12" spans="1:50" ht="30" customHeight="1">
      <c r="A12" s="166" t="s">
        <v>127</v>
      </c>
      <c r="B12" s="4"/>
      <c r="C12" s="4"/>
      <c r="D12" s="4"/>
      <c r="E12" s="152" t="s">
        <v>481</v>
      </c>
      <c r="F12" s="153">
        <v>4.0329999999999998E-2</v>
      </c>
      <c r="G12" s="153">
        <v>3.7539999999999997E-2</v>
      </c>
      <c r="H12" s="153">
        <v>4.2479999999999997E-2</v>
      </c>
      <c r="I12" s="153">
        <v>4.5170000000000002E-2</v>
      </c>
      <c r="J12" s="153">
        <v>4.7199999999999999E-2</v>
      </c>
      <c r="K12" s="153">
        <v>4.8489999999999998E-2</v>
      </c>
      <c r="L12" s="153">
        <v>5.0110000000000002E-2</v>
      </c>
      <c r="M12" s="153">
        <v>5.0770000000000003E-2</v>
      </c>
      <c r="N12" s="153">
        <v>5.0970000000000001E-2</v>
      </c>
      <c r="O12" s="153">
        <v>5.1209999999999999E-2</v>
      </c>
      <c r="P12" s="153">
        <v>0.05</v>
      </c>
      <c r="Q12" s="88"/>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row>
    <row r="13" spans="1:50" ht="30" customHeight="1">
      <c r="A13" s="12" t="s">
        <v>37</v>
      </c>
      <c r="B13" s="4"/>
      <c r="C13" s="4"/>
      <c r="D13" s="4"/>
      <c r="E13" s="154" t="s">
        <v>135</v>
      </c>
      <c r="F13" s="155">
        <f t="shared" ref="F13:P13" si="1">F10-F11</f>
        <v>9.6907624000000012E-2</v>
      </c>
      <c r="G13" s="155">
        <f t="shared" si="1"/>
        <v>9.6970404999999996E-2</v>
      </c>
      <c r="H13" s="155">
        <f t="shared" si="1"/>
        <v>9.8024336000000004E-2</v>
      </c>
      <c r="I13" s="155">
        <f t="shared" si="1"/>
        <v>9.8250994999999994E-2</v>
      </c>
      <c r="J13" s="155">
        <f t="shared" si="1"/>
        <v>9.7457473000000003E-2</v>
      </c>
      <c r="K13" s="155">
        <f t="shared" si="1"/>
        <v>9.6266906000000013E-2</v>
      </c>
      <c r="L13" s="155">
        <f t="shared" si="1"/>
        <v>9.509044400000001E-2</v>
      </c>
      <c r="M13" s="155">
        <f t="shared" si="1"/>
        <v>9.4083383999999992E-2</v>
      </c>
      <c r="N13" s="155">
        <f t="shared" si="1"/>
        <v>9.3341021999999996E-2</v>
      </c>
      <c r="O13" s="155">
        <f t="shared" si="1"/>
        <v>9.2976691999999986E-2</v>
      </c>
      <c r="P13" s="163">
        <f t="shared" si="1"/>
        <v>9.4528339000000003E-2</v>
      </c>
      <c r="Q13" s="88"/>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row>
    <row r="14" spans="1:50" ht="30" customHeight="1">
      <c r="A14" s="166" t="s">
        <v>100</v>
      </c>
      <c r="B14" s="4"/>
      <c r="C14" s="4"/>
      <c r="D14" s="4"/>
      <c r="E14" s="152" t="s">
        <v>35</v>
      </c>
      <c r="F14" s="156">
        <v>2</v>
      </c>
      <c r="G14" s="156">
        <f>F14</f>
        <v>2</v>
      </c>
      <c r="H14" s="156">
        <f t="shared" ref="H14:P14" si="2">G14</f>
        <v>2</v>
      </c>
      <c r="I14" s="156">
        <f t="shared" si="2"/>
        <v>2</v>
      </c>
      <c r="J14" s="156">
        <f t="shared" si="2"/>
        <v>2</v>
      </c>
      <c r="K14" s="156">
        <f t="shared" si="2"/>
        <v>2</v>
      </c>
      <c r="L14" s="156">
        <f t="shared" si="2"/>
        <v>2</v>
      </c>
      <c r="M14" s="156">
        <f t="shared" si="2"/>
        <v>2</v>
      </c>
      <c r="N14" s="156">
        <f t="shared" si="2"/>
        <v>2</v>
      </c>
      <c r="O14" s="156">
        <f t="shared" si="2"/>
        <v>2</v>
      </c>
      <c r="P14" s="156">
        <f t="shared" si="2"/>
        <v>2</v>
      </c>
      <c r="Q14" s="88"/>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row>
    <row r="15" spans="1:50" ht="30" customHeight="1">
      <c r="A15" s="12" t="s">
        <v>324</v>
      </c>
      <c r="B15" s="4"/>
      <c r="C15" s="4"/>
      <c r="D15" s="4"/>
      <c r="E15" s="152" t="s">
        <v>136</v>
      </c>
      <c r="F15" s="157">
        <v>6.5000000000000002E-2</v>
      </c>
      <c r="G15" s="157">
        <v>6.5000000000000002E-2</v>
      </c>
      <c r="H15" s="157">
        <v>6.5000000000000002E-2</v>
      </c>
      <c r="I15" s="157">
        <v>6.5000000000000002E-2</v>
      </c>
      <c r="J15" s="157">
        <v>6.5000000000000002E-2</v>
      </c>
      <c r="K15" s="157">
        <v>6.5000000000000002E-2</v>
      </c>
      <c r="L15" s="157">
        <v>6.5000000000000002E-2</v>
      </c>
      <c r="M15" s="157">
        <v>6.5000000000000002E-2</v>
      </c>
      <c r="N15" s="157">
        <v>6.5000000000000002E-2</v>
      </c>
      <c r="O15" s="157">
        <v>6.5000000000000002E-2</v>
      </c>
      <c r="P15" s="164">
        <v>6.5000000000000002E-2</v>
      </c>
      <c r="Q15" s="88"/>
      <c r="R15" s="4"/>
      <c r="S15" s="4"/>
      <c r="T15" s="4"/>
      <c r="U15" s="4"/>
      <c r="V15" s="168"/>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row>
    <row r="16" spans="1:50" ht="30" customHeight="1">
      <c r="A16" s="166" t="s">
        <v>129</v>
      </c>
      <c r="B16" s="4"/>
      <c r="C16" s="4"/>
      <c r="D16" s="4"/>
      <c r="E16" s="154" t="s">
        <v>20</v>
      </c>
      <c r="F16" s="158">
        <f>F13+(F14*F15)</f>
        <v>0.22690762400000003</v>
      </c>
      <c r="G16" s="158">
        <f t="shared" ref="G16:P16" si="3">G13+(G14*G15)</f>
        <v>0.22697040499999999</v>
      </c>
      <c r="H16" s="158">
        <f t="shared" si="3"/>
        <v>0.22802433599999999</v>
      </c>
      <c r="I16" s="158">
        <f t="shared" si="3"/>
        <v>0.22825099500000001</v>
      </c>
      <c r="J16" s="158">
        <f t="shared" si="3"/>
        <v>0.22745747300000002</v>
      </c>
      <c r="K16" s="158">
        <f t="shared" si="3"/>
        <v>0.22626690600000002</v>
      </c>
      <c r="L16" s="158">
        <f t="shared" si="3"/>
        <v>0.225090444</v>
      </c>
      <c r="M16" s="158">
        <f t="shared" si="3"/>
        <v>0.224083384</v>
      </c>
      <c r="N16" s="158">
        <f t="shared" si="3"/>
        <v>0.223341022</v>
      </c>
      <c r="O16" s="158">
        <f t="shared" si="3"/>
        <v>0.22297669199999998</v>
      </c>
      <c r="P16" s="165">
        <f t="shared" si="3"/>
        <v>0.22452833900000002</v>
      </c>
      <c r="Q16" s="88"/>
      <c r="R16" s="4"/>
      <c r="S16" s="4"/>
      <c r="T16" s="4"/>
      <c r="U16" s="4"/>
      <c r="V16" s="169"/>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row>
    <row r="17" spans="1:50" ht="30" customHeight="1">
      <c r="A17" s="166" t="s">
        <v>479</v>
      </c>
      <c r="B17" s="4"/>
      <c r="C17" s="4"/>
      <c r="D17" s="4"/>
      <c r="E17" s="152" t="s">
        <v>484</v>
      </c>
      <c r="F17" s="159">
        <f>Dashboard!F19*Dashboard!F10</f>
        <v>5377929.6832800005</v>
      </c>
      <c r="G17" s="159">
        <f>F17</f>
        <v>5377929.6832800005</v>
      </c>
      <c r="H17" s="159">
        <f t="shared" ref="H17:P17" si="4">G17</f>
        <v>5377929.6832800005</v>
      </c>
      <c r="I17" s="159">
        <f t="shared" si="4"/>
        <v>5377929.6832800005</v>
      </c>
      <c r="J17" s="159">
        <f t="shared" si="4"/>
        <v>5377929.6832800005</v>
      </c>
      <c r="K17" s="159">
        <f t="shared" si="4"/>
        <v>5377929.6832800005</v>
      </c>
      <c r="L17" s="159">
        <f t="shared" si="4"/>
        <v>5377929.6832800005</v>
      </c>
      <c r="M17" s="159">
        <f t="shared" si="4"/>
        <v>5377929.6832800005</v>
      </c>
      <c r="N17" s="159">
        <f t="shared" si="4"/>
        <v>5377929.6832800005</v>
      </c>
      <c r="O17" s="159">
        <f t="shared" si="4"/>
        <v>5377929.6832800005</v>
      </c>
      <c r="P17" s="159">
        <f t="shared" si="4"/>
        <v>5377929.6832800005</v>
      </c>
      <c r="Q17" s="88"/>
      <c r="R17" s="4"/>
      <c r="S17" s="4"/>
      <c r="T17" s="4"/>
      <c r="U17" s="4"/>
      <c r="V17" s="169"/>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spans="1:50" ht="30" customHeight="1">
      <c r="A18" s="12" t="s">
        <v>128</v>
      </c>
      <c r="B18" s="4"/>
      <c r="C18" s="4"/>
      <c r="D18" s="4"/>
      <c r="E18" s="154" t="s">
        <v>21</v>
      </c>
      <c r="F18" s="158">
        <f>F10+3.2%</f>
        <v>0.1341</v>
      </c>
      <c r="G18" s="158">
        <f t="shared" ref="G18:P18" si="5">G10+3.2%</f>
        <v>0.13650000000000001</v>
      </c>
      <c r="H18" s="158">
        <f t="shared" si="5"/>
        <v>0.13985</v>
      </c>
      <c r="I18" s="158">
        <f t="shared" si="5"/>
        <v>0.14279999999999998</v>
      </c>
      <c r="J18" s="158">
        <f t="shared" si="5"/>
        <v>0.14482</v>
      </c>
      <c r="K18" s="158">
        <f t="shared" si="5"/>
        <v>0.14610000000000001</v>
      </c>
      <c r="L18" s="158">
        <f t="shared" si="5"/>
        <v>0.14693000000000001</v>
      </c>
      <c r="M18" s="158">
        <f t="shared" si="5"/>
        <v>0.14739999999999998</v>
      </c>
      <c r="N18" s="158">
        <f t="shared" si="5"/>
        <v>0.14754</v>
      </c>
      <c r="O18" s="158">
        <f t="shared" si="5"/>
        <v>0.14739999999999998</v>
      </c>
      <c r="P18" s="158">
        <f t="shared" si="5"/>
        <v>0.15040000000000001</v>
      </c>
      <c r="Q18" s="88"/>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spans="1:50" ht="30" customHeight="1">
      <c r="A19" s="12"/>
      <c r="B19" s="4"/>
      <c r="C19" s="4"/>
      <c r="D19" s="4"/>
      <c r="E19" s="152" t="s">
        <v>315</v>
      </c>
      <c r="F19" s="160">
        <f>SUM('Balanço Patrimonial'!P54:P60,'Balanço Patrimonial'!P63,'Balanço Patrimonial'!P72:P76,'Balanço Patrimonial'!P78,'Balanço Patrimonial'!P85)</f>
        <v>55498129</v>
      </c>
      <c r="G19" s="160">
        <f>SUM('Balanço Patrimonial'!P54:P60,'Balanço Patrimonial'!P63,'Balanço Patrimonial'!P72:P76,'Balanço Patrimonial'!P78,'Balanço Patrimonial'!P85)</f>
        <v>55498129</v>
      </c>
      <c r="H19" s="160">
        <f t="shared" ref="H19:P19" si="6">G19</f>
        <v>55498129</v>
      </c>
      <c r="I19" s="160">
        <f t="shared" si="6"/>
        <v>55498129</v>
      </c>
      <c r="J19" s="160">
        <f t="shared" si="6"/>
        <v>55498129</v>
      </c>
      <c r="K19" s="160">
        <f t="shared" si="6"/>
        <v>55498129</v>
      </c>
      <c r="L19" s="160">
        <f t="shared" si="6"/>
        <v>55498129</v>
      </c>
      <c r="M19" s="160">
        <f t="shared" si="6"/>
        <v>55498129</v>
      </c>
      <c r="N19" s="160">
        <f t="shared" si="6"/>
        <v>55498129</v>
      </c>
      <c r="O19" s="160">
        <f t="shared" si="6"/>
        <v>55498129</v>
      </c>
      <c r="P19" s="160">
        <f t="shared" si="6"/>
        <v>55498129</v>
      </c>
      <c r="Q19" s="88"/>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spans="1:50" ht="30" customHeight="1">
      <c r="A20" s="12"/>
      <c r="B20" s="4"/>
      <c r="C20" s="4"/>
      <c r="D20" s="4"/>
      <c r="E20" s="154" t="s">
        <v>23</v>
      </c>
      <c r="F20" s="155">
        <f>((F16*F17)+(F18*F19*(1-'DRE + DCF'!W23)))/(F17+F19)</f>
        <v>0.10073271470563169</v>
      </c>
      <c r="G20" s="155">
        <f>((G16*G17)+(G18*G19*(1-'DRE + DCF'!X23)))/(G17+G19)</f>
        <v>0.1021823267542462</v>
      </c>
      <c r="H20" s="155">
        <f>((H16*H17)+(H18*H19*(1-'DRE + DCF'!Y23)))/(H17+H19)</f>
        <v>0.10429110864329591</v>
      </c>
      <c r="I20" s="155">
        <f>((I16*I17)+(I18*I19*(1-'DRE + DCF'!Z23)))/(I17+I19)</f>
        <v>0.10608612980088433</v>
      </c>
      <c r="J20" s="155">
        <f>((J16*J17)+(J18*J19*(1-'DRE + DCF'!$AA$23)))/(J17+J19)</f>
        <v>0.10723145033530676</v>
      </c>
      <c r="K20" s="155">
        <f>((K16*K17)+(K18*K19*(1-'DRE + DCF'!$AA$23)))/(K17+K19)</f>
        <v>0.10789644137851116</v>
      </c>
      <c r="L20" s="155">
        <f>((L16*L17)+(L18*L19*(1-'DRE + DCF'!$AA$23)))/(L17+L19)</f>
        <v>0.10829191614602862</v>
      </c>
      <c r="M20" s="155">
        <f>((M16*M17)+(M18*M19*(1-'DRE + DCF'!$AA$23)))/(M17+M19)</f>
        <v>0.10848574639726653</v>
      </c>
      <c r="N20" s="155">
        <f>((N16*N17)+(N18*N19*(1-'DRE + DCF'!$AA$23)))/(N17+N19)</f>
        <v>0.10850440162082445</v>
      </c>
      <c r="O20" s="155">
        <f>((O16*O17)+(O18*O19*(1-'DRE + DCF'!$AA$23)))/(O17+O19)</f>
        <v>0.10838797870524143</v>
      </c>
      <c r="P20" s="155">
        <f>((P16*P17)+(P18*P19*(1-'DRE + DCF'!$AA$23)))/(P17+P19)</f>
        <v>0.11033013702554918</v>
      </c>
      <c r="Q20" s="88"/>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spans="1:50" ht="30" customHeight="1" thickBot="1">
      <c r="A21" s="337"/>
      <c r="B21" s="4"/>
      <c r="C21" s="4"/>
      <c r="D21" s="4"/>
      <c r="E21" s="171" t="s">
        <v>130</v>
      </c>
      <c r="F21" s="172">
        <f>1*(1+F20)^((9)/12)</f>
        <v>1.0746360506808272</v>
      </c>
      <c r="G21" s="172">
        <f>F21*(1+G20)</f>
        <v>1.1844448627533881</v>
      </c>
      <c r="H21" s="172">
        <f t="shared" ref="H21:P21" si="7">G21*(1+H20)</f>
        <v>1.3079719306167954</v>
      </c>
      <c r="I21" s="172">
        <f t="shared" si="7"/>
        <v>1.4467296106241221</v>
      </c>
      <c r="J21" s="172">
        <f t="shared" si="7"/>
        <v>1.6018645250143801</v>
      </c>
      <c r="K21" s="172">
        <f t="shared" si="7"/>
        <v>1.7747000068339107</v>
      </c>
      <c r="L21" s="172">
        <f t="shared" si="7"/>
        <v>1.9668856711583251</v>
      </c>
      <c r="M21" s="172">
        <f t="shared" si="7"/>
        <v>2.1802647312720249</v>
      </c>
      <c r="N21" s="172">
        <f t="shared" si="7"/>
        <v>2.416833051313684</v>
      </c>
      <c r="O21" s="172">
        <f t="shared" si="7"/>
        <v>2.6787887006135955</v>
      </c>
      <c r="P21" s="173">
        <f t="shared" si="7"/>
        <v>2.9743398250147863</v>
      </c>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row>
    <row r="22" spans="1:50" ht="30" customHeight="1">
      <c r="A22" s="337"/>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spans="1:50" ht="30" customHeight="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spans="1:50" ht="30" customHeight="1">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row>
    <row r="25" spans="1:50" ht="30" customHeight="1">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row>
    <row r="26" spans="1:50" ht="30" customHeight="1">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1:50" ht="15" hidden="1" customHeight="1">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row>
    <row r="28" spans="1:50" ht="15" hidden="1" customHeight="1">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1:50" ht="15" hidden="1" customHeight="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spans="1:50" ht="15" hidden="1" customHeight="1">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spans="1:50" ht="15" hidden="1" customHeight="1">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spans="1:50" ht="15" hidden="1" customHeight="1">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spans="2:50" ht="15" hidden="1" customHeight="1">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row>
    <row r="34" spans="2:50" ht="15" hidden="1" customHeight="1">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row>
    <row r="35" spans="2:50" ht="15" hidden="1" customHeight="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row>
    <row r="36" spans="2:50" ht="15" hidden="1" customHeight="1">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row>
    <row r="37" spans="2:50" ht="15" hidden="1" customHeight="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row>
    <row r="38" spans="2:50" ht="15" hidden="1" customHeight="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row>
    <row r="39" spans="2:50" ht="15" hidden="1" customHeight="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row>
    <row r="40" spans="2:50" ht="15" hidden="1"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row>
    <row r="41" spans="2:50" ht="15" hidden="1"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row>
    <row r="42" spans="2:50" ht="15" hidden="1"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row>
    <row r="43" spans="2:50" ht="15" hidden="1"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row>
    <row r="44" spans="2:50" ht="15" hidden="1"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row>
    <row r="45" spans="2:50" ht="15" hidden="1"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row>
    <row r="46" spans="2:50" ht="15" hidden="1"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row>
    <row r="47" spans="2:50" ht="15" hidden="1"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row>
    <row r="48" spans="2:50" ht="15" hidden="1" customHeight="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row>
    <row r="49" spans="2:50" ht="15" hidden="1" customHeight="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row>
    <row r="50" spans="2:50" ht="15" hidden="1" customHeight="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row>
    <row r="51" spans="2:50" ht="15" hidden="1" customHeight="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row>
    <row r="52" spans="2:50" ht="15" hidden="1" customHeight="1">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row>
    <row r="53" spans="2:50" ht="15" hidden="1" customHeight="1">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row>
    <row r="54" spans="2:50" ht="15" hidden="1" customHeight="1">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row>
    <row r="55" spans="2:50" ht="15" hidden="1" customHeight="1">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row>
    <row r="56" spans="2:50" ht="15" hidden="1" customHeight="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row>
    <row r="57" spans="2:50" ht="15" hidden="1" customHeight="1">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row>
    <row r="58" spans="2:50" ht="15" hidden="1" customHeight="1">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row>
    <row r="59" spans="2:50" ht="15" hidden="1" customHeight="1">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row>
    <row r="60" spans="2:50" ht="15" hidden="1" customHeight="1">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row>
    <row r="61" spans="2:50" ht="15" hidden="1" customHeight="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row>
    <row r="62" spans="2:50" ht="15" hidden="1" customHeight="1">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row>
    <row r="63" spans="2:50" ht="15" hidden="1" customHeight="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row>
    <row r="64" spans="2:50" ht="15" hidden="1" customHeight="1">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row>
    <row r="65" spans="2:50" ht="15" hidden="1" customHeight="1">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row>
    <row r="66" spans="2:50" ht="15" hidden="1" customHeight="1">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spans="2:50" ht="15" hidden="1" customHeight="1">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row>
    <row r="68" spans="2:50" ht="15" hidden="1" customHeight="1">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row>
    <row r="69" spans="2:50" ht="15" hidden="1" customHeight="1">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row>
    <row r="70" spans="2:50" ht="15" hidden="1" customHeight="1">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row>
    <row r="71" spans="2:50" ht="15" hidden="1" customHeight="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row>
    <row r="72" spans="2:50" ht="15" hidden="1" customHeight="1">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row>
    <row r="73" spans="2:50" ht="15" hidden="1" customHeight="1">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row>
    <row r="74" spans="2:50" ht="15" hidden="1" customHeight="1">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row>
    <row r="75" spans="2:50" ht="15" hidden="1" customHeight="1">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row>
    <row r="76" spans="2:50" ht="15" hidden="1" customHeight="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row>
    <row r="77" spans="2:50" ht="15" hidden="1" customHeight="1">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row>
    <row r="78" spans="2:50" ht="15" hidden="1" customHeight="1">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row>
    <row r="79" spans="2:50" ht="15" hidden="1" customHeight="1">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row>
    <row r="80" spans="2:50" ht="15" hidden="1" customHeight="1">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row>
    <row r="81" spans="2:50" ht="15" hidden="1" customHeight="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row>
    <row r="82" spans="2:50" ht="15" hidden="1" customHeight="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row>
    <row r="83" spans="2:50" ht="15" hidden="1" customHeight="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row>
    <row r="84" spans="2:50" ht="15" hidden="1"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row>
    <row r="85" spans="2:50" ht="15" hidden="1"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row>
    <row r="86" spans="2:50" ht="15" hidden="1"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row>
    <row r="87" spans="2:50" ht="15" hidden="1"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row>
    <row r="88" spans="2:50" ht="15" hidden="1"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row>
    <row r="89" spans="2:50" ht="15" hidden="1"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row>
    <row r="90" spans="2:50" ht="15" hidden="1"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row>
    <row r="91" spans="2:50" ht="15" hidden="1"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row>
    <row r="92" spans="2:50" ht="15" hidden="1"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row>
    <row r="93" spans="2:50" ht="15" hidden="1"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row>
    <row r="94" spans="2:50" ht="15" hidden="1"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row>
    <row r="95" spans="2:50" ht="15" hidden="1"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row>
    <row r="96" spans="2:50" ht="15" hidden="1"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row>
    <row r="97" spans="2:50" ht="15" hidden="1"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row>
    <row r="98" spans="2:50" ht="15" hidden="1"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row>
    <row r="99" spans="2:50" ht="15" hidden="1" customHeight="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row>
    <row r="100" spans="2:50" ht="15" hidden="1" customHeight="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row>
    <row r="101" spans="2:50" ht="15" hidden="1" customHeight="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row>
    <row r="102" spans="2:50" ht="15" hidden="1" customHeight="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row>
    <row r="103" spans="2:50" ht="15" hidden="1" customHeight="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row>
    <row r="104" spans="2:50" ht="15" hidden="1" customHeight="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row>
    <row r="105" spans="2:50" ht="15" hidden="1" customHeight="1">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row>
    <row r="106" spans="2:50" ht="15" hidden="1" customHeight="1">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row>
    <row r="107" spans="2:50" ht="15" hidden="1" customHeight="1">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row>
    <row r="108" spans="2:50" ht="15" hidden="1" customHeight="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row>
    <row r="109" spans="2:50" ht="15" hidden="1" customHeight="1">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row>
    <row r="110" spans="2:50" ht="15" hidden="1" customHeight="1">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row>
    <row r="111" spans="2:50" ht="15" hidden="1" customHeight="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row>
    <row r="112" spans="2:50" ht="15" hidden="1" customHeight="1">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row>
    <row r="113" spans="2:50" ht="15" hidden="1" customHeight="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row>
    <row r="114" spans="2:50" ht="15" hidden="1" customHeight="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row>
    <row r="115" spans="2:50" ht="15" hidden="1" customHeight="1">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row>
    <row r="116" spans="2:50" ht="15" hidden="1" customHeight="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row>
    <row r="117" spans="2:50" ht="15" hidden="1" customHeight="1">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row>
    <row r="118" spans="2:50" ht="15" hidden="1" customHeight="1">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row>
    <row r="119" spans="2:50" ht="15" hidden="1" customHeight="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row>
    <row r="120" spans="2:50" ht="15" hidden="1" customHeight="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row>
    <row r="121" spans="2:50" ht="15" hidden="1" customHeight="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row>
    <row r="122" spans="2:50" ht="15" hidden="1" customHeight="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row>
    <row r="123" spans="2:50" ht="15" hidden="1" customHeight="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row>
    <row r="124" spans="2:50" ht="15" hidden="1" customHeight="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row>
    <row r="125" spans="2:50" ht="15" hidden="1" customHeight="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row>
    <row r="126" spans="2:50" ht="15" hidden="1" customHeight="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row>
    <row r="127" spans="2:50" ht="15" hidden="1" customHeight="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row>
    <row r="128" spans="2:50" ht="15" hidden="1" customHeight="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row>
    <row r="129" spans="2:50" ht="15" hidden="1" customHeight="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row>
    <row r="130" spans="2:50" ht="15" hidden="1" customHeight="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row>
    <row r="131" spans="2:50" ht="15" hidden="1" customHeight="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row>
    <row r="132" spans="2:50" ht="15" hidden="1" customHeight="1">
      <c r="B132" s="4"/>
      <c r="C132" s="4"/>
      <c r="D132" s="4"/>
      <c r="E132" s="4"/>
      <c r="F132" s="4"/>
      <c r="G132" s="4"/>
      <c r="H132" s="4"/>
      <c r="I132" s="4"/>
      <c r="J132" s="4"/>
      <c r="K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row>
    <row r="133" spans="2:50" ht="15" hidden="1" customHeight="1">
      <c r="B133" s="4"/>
      <c r="C133" s="4"/>
      <c r="D133" s="4"/>
      <c r="E133" s="4"/>
      <c r="F133" s="4"/>
      <c r="G133" s="4"/>
      <c r="H133" s="4"/>
      <c r="I133" s="4"/>
      <c r="J133" s="4"/>
      <c r="K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row>
    <row r="134" spans="2:50" ht="15" hidden="1" customHeight="1">
      <c r="B134" s="4"/>
      <c r="C134" s="4"/>
      <c r="D134" s="4"/>
      <c r="E134" s="4"/>
      <c r="F134" s="4"/>
      <c r="G134" s="4"/>
      <c r="H134" s="4"/>
      <c r="I134" s="4"/>
      <c r="J134" s="4"/>
      <c r="K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row>
    <row r="135" spans="2:50" ht="15" hidden="1" customHeight="1">
      <c r="B135" s="4"/>
      <c r="C135" s="4"/>
      <c r="D135" s="4"/>
      <c r="E135" s="4"/>
      <c r="F135" s="4"/>
      <c r="G135" s="4"/>
      <c r="H135" s="4"/>
      <c r="I135" s="4"/>
      <c r="J135" s="4"/>
      <c r="K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row>
    <row r="136" spans="2:50" ht="15" hidden="1" customHeight="1">
      <c r="B136" s="4"/>
      <c r="C136" s="4"/>
      <c r="D136" s="4"/>
      <c r="E136" s="4"/>
      <c r="F136" s="4"/>
      <c r="G136" s="4"/>
      <c r="H136" s="4"/>
      <c r="I136" s="4"/>
      <c r="J136" s="4"/>
      <c r="K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row>
    <row r="137" spans="2:50" ht="15" hidden="1" customHeight="1">
      <c r="B137" s="4"/>
      <c r="C137" s="4"/>
      <c r="D137" s="4"/>
      <c r="E137" s="4"/>
      <c r="F137" s="4"/>
      <c r="G137" s="4"/>
      <c r="H137" s="4"/>
      <c r="I137" s="4"/>
      <c r="J137" s="4"/>
      <c r="K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row>
    <row r="138" spans="2:50" ht="15" hidden="1" customHeight="1">
      <c r="B138" s="4"/>
      <c r="C138" s="4"/>
      <c r="D138" s="4"/>
      <c r="E138" s="4"/>
      <c r="F138" s="4"/>
      <c r="G138" s="4"/>
      <c r="H138" s="4"/>
      <c r="I138" s="4"/>
      <c r="J138" s="4"/>
      <c r="K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row>
    <row r="139" spans="2:50" ht="15" hidden="1" customHeight="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row>
    <row r="140" spans="2:50" ht="15" hidden="1" customHeight="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row>
    <row r="141" spans="2:50" ht="15" hidden="1" customHeight="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row>
    <row r="142" spans="2:50" ht="15" hidden="1" customHeight="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row>
    <row r="143" spans="2:50" ht="15" hidden="1" customHeight="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row>
    <row r="144" spans="2:50" ht="15" customHeight="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row>
    <row r="145" spans="2:50" ht="15" customHeight="1">
      <c r="B145" s="4"/>
      <c r="C145" s="4"/>
      <c r="D145" s="4"/>
      <c r="E145" s="4"/>
      <c r="F145" s="149"/>
      <c r="G145" s="149"/>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row>
    <row r="146" spans="2:50" ht="15" customHeight="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row>
    <row r="147" spans="2:50" ht="15" customHeight="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row>
    <row r="148" spans="2:50" ht="15" customHeight="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row>
    <row r="149" spans="2:50" ht="15" customHeight="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row>
    <row r="150" spans="2:50" ht="15" customHeight="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row>
    <row r="151" spans="2:50" ht="15" hidden="1" customHeight="1">
      <c r="E151" s="4"/>
      <c r="F151" s="4"/>
      <c r="G151" s="4"/>
      <c r="H151" s="4"/>
      <c r="I151" s="4"/>
      <c r="J151" s="4"/>
      <c r="K151" s="4"/>
      <c r="L151" s="4"/>
      <c r="M151" s="4"/>
      <c r="N151" s="4"/>
      <c r="O151" s="4"/>
      <c r="P151" s="4"/>
    </row>
  </sheetData>
  <mergeCells count="2">
    <mergeCell ref="F3:M5"/>
    <mergeCell ref="A21:A22"/>
  </mergeCells>
  <hyperlinks>
    <hyperlink ref="A11" location="'DRE + DCF'!A1" display="DRE + DCF" xr:uid="{0EFF24A9-67C2-4489-87B1-80EA210E7A8A}"/>
    <hyperlink ref="A13" location="'Balanço Patrimonial'!A1" display="Balanço Patrimonial" xr:uid="{3151BC57-FC24-432F-9988-A41B63A5D56C}"/>
    <hyperlink ref="A12" location="'DRE - Contas Abertas'!A1" display="DRE - Contas Abertas" xr:uid="{E4D27D01-E40E-44D0-90FD-2ACD64B44213}"/>
    <hyperlink ref="A14" location="'Painel de Índices'!A1" display="Projeções - Receita" xr:uid="{CB8EB748-76E8-48EF-A5FB-13BF3EA30A28}"/>
    <hyperlink ref="A16" location="'Projeções - CG + Capex'!A1" display="Projeções - CG + Capex" xr:uid="{56992112-09AA-4872-959F-16E3A67ACD3A}"/>
    <hyperlink ref="A18" location="Processos!A1" display="Processos" xr:uid="{98F4242A-AB70-4CC1-A8D1-D4BACE818E84}"/>
    <hyperlink ref="A8" location="Dashboard!A1" display="Dashboard" xr:uid="{1CFA4D30-1A72-42F2-BD44-AF276D0D94ED}"/>
    <hyperlink ref="A10" location="'DRE Consolidado'!A1" display="DRE Consolidado" xr:uid="{9D59BA7B-1A2C-4BDC-8806-50FA0FE8DB7D}"/>
    <hyperlink ref="A15" location="'Projeções - Receita e EBIT'!A1" display="Projeções - Receita" xr:uid="{D70B2C20-5A42-4010-AF39-6F45B596C198}"/>
    <hyperlink ref="A17" location="'Projeções 2023'!A1" display="Projeções 2022" xr:uid="{5648F6FA-CE6C-4A6B-AE09-5E91170DFC70}"/>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6"/>
  <dimension ref="A1:BV148"/>
  <sheetViews>
    <sheetView showGridLines="0" topLeftCell="B36" zoomScale="70" zoomScaleNormal="70" workbookViewId="0">
      <selection activeCell="U56" sqref="U56"/>
    </sheetView>
  </sheetViews>
  <sheetFormatPr defaultColWidth="0" defaultRowHeight="0" customHeight="1" zeroHeight="1"/>
  <cols>
    <col min="1" max="1" width="39.140625" style="3" customWidth="1"/>
    <col min="2" max="4" width="9.140625" style="5" customWidth="1"/>
    <col min="5" max="9" width="7.28515625" style="5" customWidth="1"/>
    <col min="10" max="10" width="35.28515625" style="5" customWidth="1"/>
    <col min="11" max="11" width="15.140625" style="5" bestFit="1" customWidth="1"/>
    <col min="12" max="12" width="15.140625" style="5" customWidth="1"/>
    <col min="13" max="18" width="15.140625" style="5" bestFit="1" customWidth="1"/>
    <col min="19" max="21" width="15.140625" style="5" customWidth="1"/>
    <col min="22" max="22" width="16.42578125" style="5" bestFit="1" customWidth="1"/>
    <col min="23" max="23" width="17.5703125" style="5" bestFit="1" customWidth="1"/>
    <col min="24" max="27" width="16.42578125" style="5" bestFit="1" customWidth="1"/>
    <col min="28" max="28" width="15.42578125" style="5" bestFit="1" customWidth="1"/>
    <col min="29" max="29" width="13.85546875" style="5" customWidth="1"/>
    <col min="30" max="42" width="9.140625" style="5" customWidth="1"/>
    <col min="43" max="47" width="9.140625" style="5" hidden="1" customWidth="1"/>
    <col min="48" max="51" width="0" style="5" hidden="1" customWidth="1"/>
    <col min="52" max="74" width="9.140625" style="5" hidden="1" customWidth="1"/>
    <col min="75" max="16384" width="0" style="5" hidden="1"/>
  </cols>
  <sheetData>
    <row r="1" spans="1:44" ht="15">
      <c r="A1" s="3" t="s">
        <v>59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row>
    <row r="2" spans="1:44" ht="15" customHeight="1">
      <c r="B2" s="4"/>
      <c r="C2" s="4"/>
      <c r="D2" s="4"/>
      <c r="E2" s="4"/>
      <c r="F2" s="4"/>
      <c r="G2" s="4"/>
      <c r="H2" s="4"/>
      <c r="I2" s="4"/>
      <c r="J2" s="4"/>
      <c r="K2" s="336" t="str">
        <f>Dashboard!H3</f>
        <v>SIMPAR (SIMH3)</v>
      </c>
      <c r="L2" s="336"/>
      <c r="M2" s="336"/>
      <c r="N2" s="336"/>
      <c r="O2" s="336"/>
      <c r="P2" s="336"/>
      <c r="Q2" s="336"/>
      <c r="R2" s="336"/>
      <c r="S2" s="336"/>
      <c r="T2" s="336"/>
      <c r="U2" s="336"/>
      <c r="V2" s="336"/>
      <c r="W2" s="336"/>
      <c r="X2" s="4"/>
      <c r="Y2" s="4"/>
      <c r="Z2" s="4"/>
      <c r="AA2" s="4"/>
      <c r="AB2" s="4"/>
      <c r="AC2" s="4"/>
      <c r="AD2" s="4"/>
      <c r="AE2" s="4"/>
      <c r="AF2" s="4"/>
      <c r="AG2" s="4"/>
      <c r="AH2" s="4"/>
      <c r="AI2" s="4"/>
      <c r="AJ2" s="4"/>
      <c r="AK2" s="4"/>
      <c r="AL2" s="4"/>
      <c r="AM2" s="4"/>
      <c r="AN2" s="4"/>
      <c r="AO2" s="4"/>
      <c r="AP2" s="4"/>
      <c r="AQ2" s="4"/>
      <c r="AR2" s="4"/>
    </row>
    <row r="3" spans="1:44" ht="15" customHeight="1">
      <c r="B3" s="4"/>
      <c r="C3" s="4"/>
      <c r="D3" s="4"/>
      <c r="E3" s="4"/>
      <c r="F3" s="4"/>
      <c r="G3" s="4"/>
      <c r="H3" s="4"/>
      <c r="I3" s="4"/>
      <c r="J3" s="4"/>
      <c r="K3" s="336"/>
      <c r="L3" s="336"/>
      <c r="M3" s="336"/>
      <c r="N3" s="336"/>
      <c r="O3" s="336"/>
      <c r="P3" s="336"/>
      <c r="Q3" s="336"/>
      <c r="R3" s="336"/>
      <c r="S3" s="336"/>
      <c r="T3" s="336"/>
      <c r="U3" s="336"/>
      <c r="V3" s="336"/>
      <c r="W3" s="336"/>
      <c r="X3" s="4"/>
      <c r="Y3" s="4"/>
      <c r="Z3" s="4"/>
      <c r="AA3" s="4"/>
      <c r="AB3" s="4"/>
      <c r="AC3" s="4"/>
      <c r="AD3" s="4"/>
      <c r="AE3" s="4"/>
      <c r="AF3" s="4"/>
      <c r="AG3" s="4"/>
      <c r="AH3" s="4"/>
      <c r="AI3" s="4"/>
      <c r="AJ3" s="4"/>
      <c r="AK3" s="4"/>
      <c r="AL3" s="4"/>
      <c r="AM3" s="4"/>
      <c r="AN3" s="4"/>
      <c r="AO3" s="4"/>
      <c r="AP3" s="4"/>
      <c r="AQ3" s="4"/>
      <c r="AR3" s="4"/>
    </row>
    <row r="4" spans="1:44" ht="15" customHeight="1">
      <c r="B4" s="4"/>
      <c r="C4" s="4"/>
      <c r="D4" s="4"/>
      <c r="E4" s="4"/>
      <c r="F4" s="4"/>
      <c r="G4" s="4"/>
      <c r="H4" s="4"/>
      <c r="I4" s="4"/>
      <c r="J4" s="4"/>
      <c r="K4" s="336"/>
      <c r="L4" s="336"/>
      <c r="M4" s="336"/>
      <c r="N4" s="336"/>
      <c r="O4" s="336"/>
      <c r="P4" s="336"/>
      <c r="Q4" s="336"/>
      <c r="R4" s="336"/>
      <c r="S4" s="336"/>
      <c r="T4" s="336"/>
      <c r="U4" s="336"/>
      <c r="V4" s="336"/>
      <c r="W4" s="336"/>
      <c r="X4" s="4"/>
      <c r="Y4" s="4"/>
      <c r="Z4" s="4"/>
      <c r="AA4" s="4"/>
      <c r="AB4" s="4"/>
      <c r="AC4" s="4"/>
      <c r="AD4" s="4"/>
      <c r="AE4" s="4"/>
      <c r="AF4" s="4"/>
      <c r="AG4" s="4"/>
      <c r="AH4" s="4"/>
      <c r="AI4" s="4"/>
      <c r="AJ4" s="4"/>
      <c r="AK4" s="4"/>
      <c r="AL4" s="4"/>
      <c r="AM4" s="4"/>
      <c r="AN4" s="4"/>
      <c r="AO4" s="4"/>
      <c r="AP4" s="4"/>
      <c r="AQ4" s="4"/>
      <c r="AR4" s="4"/>
    </row>
    <row r="5" spans="1:44" ht="15" customHeight="1">
      <c r="B5" s="4"/>
      <c r="C5" s="4"/>
      <c r="D5" s="4"/>
      <c r="E5" s="4"/>
      <c r="F5" s="4"/>
      <c r="G5" s="4"/>
      <c r="H5" s="4"/>
      <c r="I5" s="4"/>
      <c r="J5" s="4"/>
      <c r="K5" s="336"/>
      <c r="L5" s="336"/>
      <c r="M5" s="336"/>
      <c r="N5" s="336"/>
      <c r="O5" s="336"/>
      <c r="P5" s="336"/>
      <c r="Q5" s="336"/>
      <c r="R5" s="336"/>
      <c r="S5" s="336"/>
      <c r="T5" s="336"/>
      <c r="U5" s="336"/>
      <c r="V5" s="336"/>
      <c r="W5" s="336"/>
      <c r="X5" s="4"/>
      <c r="Y5" s="4"/>
      <c r="Z5" s="4"/>
      <c r="AA5" s="4"/>
      <c r="AB5" s="4"/>
      <c r="AC5" s="4"/>
      <c r="AD5" s="4"/>
      <c r="AE5" s="4"/>
      <c r="AF5" s="4"/>
      <c r="AG5" s="4"/>
      <c r="AH5" s="4"/>
      <c r="AI5" s="4"/>
      <c r="AJ5" s="4"/>
      <c r="AK5" s="4"/>
      <c r="AL5" s="4"/>
      <c r="AM5" s="4"/>
      <c r="AN5" s="4"/>
      <c r="AO5" s="4"/>
      <c r="AP5" s="4"/>
      <c r="AQ5" s="4"/>
      <c r="AR5" s="4"/>
    </row>
    <row r="6" spans="1:44" ht="15">
      <c r="B6" s="4"/>
      <c r="C6" s="4"/>
      <c r="D6" s="4"/>
      <c r="E6" s="4"/>
      <c r="F6" s="4"/>
      <c r="G6" s="4"/>
      <c r="H6" s="4"/>
      <c r="I6" s="4"/>
      <c r="J6" s="4"/>
      <c r="K6" s="4"/>
      <c r="L6" s="4"/>
      <c r="M6" s="4"/>
      <c r="N6" s="32"/>
      <c r="O6" s="32"/>
      <c r="P6" s="32"/>
      <c r="Q6" s="32"/>
      <c r="R6" s="32"/>
      <c r="S6" s="32"/>
      <c r="T6" s="32"/>
      <c r="U6" s="32"/>
      <c r="V6" s="4"/>
      <c r="W6" s="4"/>
      <c r="X6" s="4"/>
      <c r="Y6" s="4"/>
      <c r="Z6" s="4"/>
      <c r="AA6" s="4"/>
      <c r="AB6" s="4"/>
      <c r="AC6" s="4"/>
      <c r="AD6" s="4"/>
      <c r="AE6" s="4"/>
      <c r="AF6" s="4"/>
      <c r="AG6" s="4"/>
      <c r="AH6" s="4"/>
      <c r="AI6" s="4"/>
      <c r="AJ6" s="4"/>
      <c r="AK6" s="4"/>
      <c r="AL6" s="4"/>
      <c r="AM6" s="4"/>
      <c r="AN6" s="4"/>
      <c r="AO6" s="4"/>
      <c r="AP6" s="4"/>
      <c r="AQ6" s="4"/>
      <c r="AR6" s="4"/>
    </row>
    <row r="7" spans="1:44" s="11" customFormat="1" ht="24.75" customHeight="1">
      <c r="A7" s="9" t="s">
        <v>33</v>
      </c>
      <c r="B7" s="10"/>
      <c r="C7" s="10"/>
      <c r="D7" s="10"/>
      <c r="E7" s="4"/>
      <c r="F7" s="4"/>
      <c r="G7" s="4"/>
      <c r="H7" s="4"/>
      <c r="I7" s="4"/>
      <c r="J7" s="4"/>
      <c r="K7" s="4"/>
      <c r="L7" s="4"/>
      <c r="M7" s="4"/>
      <c r="N7" s="4"/>
      <c r="O7" s="4"/>
      <c r="P7" s="4"/>
      <c r="Q7" s="4"/>
      <c r="R7" s="4"/>
      <c r="S7" s="4"/>
      <c r="T7" s="4"/>
      <c r="U7" s="4"/>
      <c r="V7" s="4"/>
      <c r="W7" s="4"/>
      <c r="X7" s="4"/>
      <c r="Y7" s="4"/>
      <c r="Z7" s="4"/>
      <c r="AA7" s="4"/>
      <c r="AB7" s="4"/>
      <c r="AC7" s="4"/>
      <c r="AD7" s="4"/>
      <c r="AE7" s="4"/>
      <c r="AF7" s="4"/>
      <c r="AG7" s="10"/>
      <c r="AH7" s="10"/>
      <c r="AI7" s="10"/>
      <c r="AJ7" s="10"/>
      <c r="AK7" s="10"/>
      <c r="AL7" s="10"/>
      <c r="AM7" s="10"/>
      <c r="AN7" s="10"/>
      <c r="AO7" s="10"/>
      <c r="AP7" s="4"/>
      <c r="AQ7" s="10"/>
      <c r="AR7" s="10"/>
    </row>
    <row r="8" spans="1:44" ht="30" customHeight="1">
      <c r="A8" s="12" t="s">
        <v>34</v>
      </c>
      <c r="B8" s="4"/>
      <c r="C8" s="4"/>
      <c r="D8" s="10"/>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4" ht="30" customHeight="1">
      <c r="A9" s="12" t="s">
        <v>23</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spans="1:44" ht="30" customHeight="1">
      <c r="A10" s="33" t="s">
        <v>323</v>
      </c>
      <c r="B10" s="4"/>
      <c r="C10" s="4"/>
      <c r="D10" s="4"/>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4"/>
      <c r="AH10" s="4"/>
      <c r="AI10" s="4"/>
      <c r="AJ10" s="4"/>
      <c r="AK10" s="4"/>
      <c r="AL10" s="4"/>
      <c r="AM10" s="4"/>
      <c r="AN10" s="4"/>
      <c r="AO10" s="4"/>
      <c r="AP10" s="4"/>
      <c r="AQ10" s="4"/>
    </row>
    <row r="11" spans="1:44" ht="30" customHeight="1">
      <c r="A11" s="166" t="s">
        <v>36</v>
      </c>
      <c r="B11" s="4"/>
      <c r="C11" s="4"/>
      <c r="D11" s="4"/>
      <c r="E11" s="29"/>
      <c r="F11" s="30"/>
      <c r="G11" s="30"/>
      <c r="H11" s="30"/>
      <c r="I11" s="30"/>
      <c r="J11" s="30"/>
      <c r="AB11" s="4"/>
      <c r="AC11" s="4"/>
      <c r="AD11" s="4"/>
      <c r="AE11" s="4"/>
      <c r="AF11" s="4"/>
      <c r="AG11" s="4"/>
      <c r="AH11" s="4"/>
      <c r="AI11" s="4"/>
      <c r="AJ11" s="4"/>
      <c r="AK11" s="4"/>
      <c r="AL11" s="4"/>
      <c r="AM11" s="4"/>
      <c r="AN11" s="4"/>
      <c r="AO11" s="4"/>
      <c r="AP11" s="4"/>
      <c r="AQ11" s="4"/>
    </row>
    <row r="12" spans="1:44" ht="30" customHeight="1">
      <c r="A12" s="166" t="s">
        <v>127</v>
      </c>
      <c r="B12" s="4"/>
      <c r="C12" s="4"/>
      <c r="D12" s="4"/>
      <c r="E12" s="35" t="s">
        <v>46</v>
      </c>
      <c r="F12" s="36"/>
      <c r="G12" s="36"/>
      <c r="H12" s="36"/>
      <c r="I12" s="359"/>
      <c r="J12" s="360"/>
      <c r="K12" s="37">
        <v>2014</v>
      </c>
      <c r="L12" s="37">
        <v>2015</v>
      </c>
      <c r="M12" s="37">
        <v>2016</v>
      </c>
      <c r="N12" s="37">
        <v>2017</v>
      </c>
      <c r="O12" s="37">
        <v>2018</v>
      </c>
      <c r="P12" s="37">
        <v>2019</v>
      </c>
      <c r="Q12" s="37">
        <v>2020</v>
      </c>
      <c r="R12" s="37">
        <v>2021</v>
      </c>
      <c r="S12" s="37">
        <v>2022</v>
      </c>
      <c r="T12" s="37">
        <v>2023</v>
      </c>
      <c r="U12" s="37" t="s">
        <v>518</v>
      </c>
      <c r="V12" s="37" t="s">
        <v>522</v>
      </c>
      <c r="W12" s="38">
        <v>2024</v>
      </c>
      <c r="X12" s="38">
        <f>W12+1</f>
        <v>2025</v>
      </c>
      <c r="Y12" s="38">
        <f t="shared" ref="Y12:AA12" si="0">X12+1</f>
        <v>2026</v>
      </c>
      <c r="Z12" s="38">
        <f t="shared" si="0"/>
        <v>2027</v>
      </c>
      <c r="AA12" s="38">
        <f t="shared" si="0"/>
        <v>2028</v>
      </c>
      <c r="AB12" s="39"/>
      <c r="AC12" s="4"/>
      <c r="AD12" s="4"/>
      <c r="AE12" s="4"/>
      <c r="AF12" s="4"/>
      <c r="AG12" s="4"/>
      <c r="AH12" s="4"/>
      <c r="AI12" s="4"/>
      <c r="AJ12" s="4"/>
      <c r="AK12" s="4"/>
      <c r="AL12" s="4"/>
      <c r="AM12" s="4"/>
      <c r="AN12" s="4"/>
      <c r="AO12" s="4"/>
      <c r="AP12" s="4"/>
      <c r="AQ12" s="4"/>
    </row>
    <row r="13" spans="1:44" ht="30" customHeight="1">
      <c r="A13" s="12" t="s">
        <v>37</v>
      </c>
      <c r="B13" s="4"/>
      <c r="C13" s="4"/>
      <c r="D13" s="4"/>
      <c r="E13" s="347" t="s">
        <v>124</v>
      </c>
      <c r="F13" s="348"/>
      <c r="G13" s="348"/>
      <c r="H13" s="348"/>
      <c r="I13" s="348"/>
      <c r="J13" s="349"/>
      <c r="K13" s="40">
        <v>6079086.0759683698</v>
      </c>
      <c r="L13" s="40">
        <v>6561486.6784280296</v>
      </c>
      <c r="M13" s="40">
        <v>7403983</v>
      </c>
      <c r="N13" s="40">
        <v>8199829</v>
      </c>
      <c r="O13" s="40">
        <v>9203466</v>
      </c>
      <c r="P13" s="40">
        <v>10734355.498780699</v>
      </c>
      <c r="Q13" s="40">
        <v>10874860</v>
      </c>
      <c r="R13" s="40">
        <v>15453380</v>
      </c>
      <c r="S13" s="40">
        <v>26844011.719840299</v>
      </c>
      <c r="T13" s="40">
        <v>35513417</v>
      </c>
      <c r="U13" s="40"/>
      <c r="V13" s="40"/>
      <c r="W13" s="40"/>
      <c r="X13" s="40"/>
      <c r="Y13" s="40"/>
      <c r="Z13" s="40"/>
      <c r="AA13" s="41"/>
      <c r="AB13" s="39"/>
      <c r="AC13" s="4"/>
      <c r="AD13" s="4"/>
      <c r="AE13" s="4"/>
      <c r="AF13" s="4"/>
      <c r="AG13" s="4"/>
      <c r="AH13" s="4"/>
      <c r="AI13" s="4"/>
      <c r="AJ13" s="4"/>
      <c r="AK13" s="4"/>
      <c r="AL13" s="4"/>
      <c r="AM13" s="4"/>
      <c r="AN13" s="4"/>
      <c r="AO13" s="4"/>
      <c r="AP13" s="4"/>
      <c r="AQ13" s="4"/>
    </row>
    <row r="14" spans="1:44" ht="30" customHeight="1">
      <c r="A14" s="166" t="s">
        <v>100</v>
      </c>
      <c r="B14" s="4"/>
      <c r="C14" s="4"/>
      <c r="D14" s="4"/>
      <c r="E14" s="338" t="s">
        <v>125</v>
      </c>
      <c r="F14" s="339"/>
      <c r="G14" s="339"/>
      <c r="H14" s="339"/>
      <c r="I14" s="339"/>
      <c r="J14" s="340"/>
      <c r="K14" s="42">
        <f t="shared" ref="K14:R14" si="1">-(K13-K16)</f>
        <v>-539892.07596836984</v>
      </c>
      <c r="L14" s="42">
        <f t="shared" si="1"/>
        <v>-571574.67842802964</v>
      </c>
      <c r="M14" s="42">
        <f t="shared" si="1"/>
        <v>-880867</v>
      </c>
      <c r="N14" s="42">
        <f t="shared" si="1"/>
        <v>-944025</v>
      </c>
      <c r="O14" s="42">
        <f t="shared" si="1"/>
        <v>-1128077</v>
      </c>
      <c r="P14" s="42">
        <f t="shared" si="1"/>
        <v>-1048146.4987806994</v>
      </c>
      <c r="Q14" s="42">
        <f t="shared" si="1"/>
        <v>-1067803</v>
      </c>
      <c r="R14" s="42">
        <f t="shared" si="1"/>
        <v>-1587161</v>
      </c>
      <c r="S14" s="42">
        <v>-2462220.7198402998</v>
      </c>
      <c r="T14" s="42">
        <v>-2462220.7198402998</v>
      </c>
      <c r="U14" s="42"/>
      <c r="V14" s="42"/>
      <c r="W14" s="40"/>
      <c r="X14" s="40"/>
      <c r="Y14" s="40"/>
      <c r="Z14" s="40"/>
      <c r="AA14" s="41"/>
      <c r="AB14" s="39"/>
      <c r="AC14" s="4"/>
      <c r="AD14" s="4"/>
      <c r="AE14" s="4"/>
      <c r="AF14" s="4"/>
      <c r="AG14" s="4"/>
      <c r="AH14" s="4"/>
      <c r="AI14" s="4"/>
      <c r="AJ14" s="4"/>
      <c r="AK14" s="4"/>
      <c r="AL14" s="4"/>
      <c r="AM14" s="4"/>
      <c r="AN14" s="4"/>
      <c r="AO14" s="4"/>
      <c r="AP14" s="4"/>
      <c r="AQ14" s="4"/>
    </row>
    <row r="15" spans="1:44" ht="30" customHeight="1">
      <c r="A15" s="12" t="s">
        <v>324</v>
      </c>
      <c r="B15" s="4"/>
      <c r="C15" s="4"/>
      <c r="D15" s="4"/>
      <c r="E15" s="200" t="s">
        <v>304</v>
      </c>
      <c r="F15" s="201"/>
      <c r="G15" s="201"/>
      <c r="H15" s="201"/>
      <c r="I15" s="201"/>
      <c r="J15" s="202"/>
      <c r="K15" s="60">
        <f t="shared" ref="K15:T15" si="2">-K14/K13</f>
        <v>8.8811388623472903E-2</v>
      </c>
      <c r="L15" s="60">
        <f t="shared" si="2"/>
        <v>8.7110544673842855E-2</v>
      </c>
      <c r="M15" s="60">
        <f t="shared" si="2"/>
        <v>0.11897204518162724</v>
      </c>
      <c r="N15" s="60">
        <f t="shared" si="2"/>
        <v>0.11512740082750506</v>
      </c>
      <c r="O15" s="60">
        <f t="shared" si="2"/>
        <v>0.12257088796764176</v>
      </c>
      <c r="P15" s="60">
        <f t="shared" si="2"/>
        <v>9.7644101585768889E-2</v>
      </c>
      <c r="Q15" s="60">
        <f t="shared" si="2"/>
        <v>9.8190045664955691E-2</v>
      </c>
      <c r="R15" s="60">
        <f t="shared" si="2"/>
        <v>0.10270639821191221</v>
      </c>
      <c r="S15" s="60">
        <f t="shared" si="2"/>
        <v>9.1723276890856159E-2</v>
      </c>
      <c r="T15" s="60">
        <f t="shared" si="2"/>
        <v>6.9332126498565308E-2</v>
      </c>
      <c r="U15" s="60"/>
      <c r="V15" s="42"/>
      <c r="W15" s="40"/>
      <c r="X15" s="40"/>
      <c r="Y15" s="40"/>
      <c r="Z15" s="40"/>
      <c r="AA15" s="41"/>
      <c r="AB15" s="43"/>
      <c r="AC15" s="4"/>
      <c r="AD15" s="4"/>
      <c r="AE15" s="4"/>
      <c r="AF15" s="4"/>
      <c r="AG15" s="4"/>
      <c r="AH15" s="4"/>
      <c r="AI15" s="4"/>
      <c r="AJ15" s="4"/>
      <c r="AK15" s="4"/>
      <c r="AL15" s="4"/>
      <c r="AM15" s="4"/>
      <c r="AN15" s="4"/>
      <c r="AO15" s="4"/>
      <c r="AP15" s="4"/>
      <c r="AQ15" s="4"/>
    </row>
    <row r="16" spans="1:44" ht="30" customHeight="1">
      <c r="A16" s="166" t="s">
        <v>129</v>
      </c>
      <c r="B16" s="4"/>
      <c r="C16" s="4"/>
      <c r="D16" s="10"/>
      <c r="E16" s="347" t="s">
        <v>12</v>
      </c>
      <c r="F16" s="348"/>
      <c r="G16" s="348"/>
      <c r="H16" s="348"/>
      <c r="I16" s="348"/>
      <c r="J16" s="349"/>
      <c r="K16" s="40">
        <v>5539194</v>
      </c>
      <c r="L16" s="40">
        <v>5989912</v>
      </c>
      <c r="M16" s="40">
        <v>6523116</v>
      </c>
      <c r="N16" s="40">
        <v>7255804</v>
      </c>
      <c r="O16" s="40">
        <v>8075389</v>
      </c>
      <c r="P16" s="40">
        <v>9686209</v>
      </c>
      <c r="Q16" s="40">
        <v>9807057</v>
      </c>
      <c r="R16" s="40">
        <v>13866219</v>
      </c>
      <c r="S16" s="40">
        <v>24381791</v>
      </c>
      <c r="T16" s="40">
        <v>31843613</v>
      </c>
      <c r="U16" s="40">
        <v>9146986</v>
      </c>
      <c r="V16" s="40">
        <f>W16-SUM(U16:U16)</f>
        <v>28759355.117309682</v>
      </c>
      <c r="W16" s="40">
        <f>'Projeções - Receita e EBIT'!R10</f>
        <v>37906341.117309682</v>
      </c>
      <c r="X16" s="40">
        <f>'Projeções - Receita e EBIT'!S10</f>
        <v>43423209.647348762</v>
      </c>
      <c r="Y16" s="40">
        <f>'Projeções - Receita e EBIT'!T10</f>
        <v>50252033.765647396</v>
      </c>
      <c r="Z16" s="40">
        <f>'Projeções - Receita e EBIT'!U10</f>
        <v>55355891.925883435</v>
      </c>
      <c r="AA16" s="40">
        <f>'Projeções - Receita e EBIT'!V10</f>
        <v>60832681.112675846</v>
      </c>
      <c r="AB16" s="43"/>
      <c r="AC16" s="4"/>
      <c r="AD16" s="4"/>
      <c r="AE16" s="4"/>
      <c r="AF16" s="4"/>
      <c r="AG16" s="4"/>
      <c r="AH16" s="4"/>
      <c r="AI16" s="4"/>
      <c r="AJ16" s="4"/>
      <c r="AK16" s="4"/>
      <c r="AL16" s="4"/>
      <c r="AM16" s="4"/>
      <c r="AN16" s="4"/>
      <c r="AO16" s="4"/>
      <c r="AP16" s="4"/>
      <c r="AQ16" s="4"/>
    </row>
    <row r="17" spans="1:43" ht="30" customHeight="1">
      <c r="A17" s="166" t="s">
        <v>479</v>
      </c>
      <c r="B17" s="4"/>
      <c r="C17" s="4"/>
      <c r="D17" s="10"/>
      <c r="E17" s="356" t="s">
        <v>47</v>
      </c>
      <c r="F17" s="357"/>
      <c r="G17" s="357"/>
      <c r="H17" s="357"/>
      <c r="I17" s="357"/>
      <c r="J17" s="358"/>
      <c r="K17" s="44">
        <v>0</v>
      </c>
      <c r="L17" s="44">
        <f t="shared" ref="L17:T17" si="3">L16/K16-1</f>
        <v>8.1368877854792521E-2</v>
      </c>
      <c r="M17" s="44">
        <f t="shared" si="3"/>
        <v>8.9017000583647921E-2</v>
      </c>
      <c r="N17" s="44">
        <f t="shared" si="3"/>
        <v>0.11232177995914827</v>
      </c>
      <c r="O17" s="44">
        <f t="shared" si="3"/>
        <v>0.11295577995215966</v>
      </c>
      <c r="P17" s="44">
        <f t="shared" si="3"/>
        <v>0.19947274366597068</v>
      </c>
      <c r="Q17" s="44">
        <f t="shared" si="3"/>
        <v>1.2476294905468199E-2</v>
      </c>
      <c r="R17" s="44">
        <f t="shared" si="3"/>
        <v>0.41390215229706517</v>
      </c>
      <c r="S17" s="44">
        <f t="shared" si="3"/>
        <v>0.75835900183027549</v>
      </c>
      <c r="T17" s="44">
        <f t="shared" si="3"/>
        <v>0.30604076624231591</v>
      </c>
      <c r="U17" s="44"/>
      <c r="V17" s="44"/>
      <c r="W17" s="44">
        <f>W16/T16-1</f>
        <v>0.19039071091931947</v>
      </c>
      <c r="X17" s="44">
        <f>X16/W16-1</f>
        <v>0.14553946298762765</v>
      </c>
      <c r="Y17" s="44">
        <f>Y16/X16-1</f>
        <v>0.15726207651984514</v>
      </c>
      <c r="Z17" s="44">
        <f>Z16/Y16-1</f>
        <v>0.10156520597829144</v>
      </c>
      <c r="AA17" s="44">
        <f>AA16/Z16-1</f>
        <v>9.8937782343482716E-2</v>
      </c>
      <c r="AB17" s="43"/>
      <c r="AC17" s="4"/>
      <c r="AD17" s="4"/>
      <c r="AE17" s="4"/>
      <c r="AF17" s="4"/>
      <c r="AG17" s="4"/>
      <c r="AH17" s="4"/>
      <c r="AI17" s="4"/>
      <c r="AJ17" s="4"/>
      <c r="AK17" s="4"/>
      <c r="AL17" s="4"/>
      <c r="AM17" s="4"/>
      <c r="AN17" s="4"/>
      <c r="AO17" s="4"/>
      <c r="AP17" s="4"/>
      <c r="AQ17" s="4"/>
    </row>
    <row r="18" spans="1:43" ht="30" customHeight="1">
      <c r="A18" s="12" t="s">
        <v>128</v>
      </c>
      <c r="B18" s="4"/>
      <c r="C18" s="4"/>
      <c r="D18" s="10"/>
      <c r="E18" s="356" t="s">
        <v>13</v>
      </c>
      <c r="F18" s="357"/>
      <c r="G18" s="357"/>
      <c r="H18" s="357"/>
      <c r="I18" s="357"/>
      <c r="J18" s="358"/>
      <c r="K18" s="42">
        <v>-3865141</v>
      </c>
      <c r="L18" s="42">
        <v>-3974936</v>
      </c>
      <c r="M18" s="42">
        <v>-3936687</v>
      </c>
      <c r="N18" s="42">
        <v>-4032052</v>
      </c>
      <c r="O18" s="42">
        <v>-4699220</v>
      </c>
      <c r="P18" s="42">
        <v>-5102646</v>
      </c>
      <c r="Q18" s="42">
        <v>-5168883</v>
      </c>
      <c r="R18" s="42">
        <v>-7304534</v>
      </c>
      <c r="S18" s="42">
        <v>-12624428</v>
      </c>
      <c r="T18" s="42">
        <v>-23669760</v>
      </c>
      <c r="U18" s="42">
        <v>-6677400</v>
      </c>
      <c r="V18" s="42"/>
      <c r="W18" s="42"/>
      <c r="X18" s="42"/>
      <c r="Y18" s="42"/>
      <c r="Z18" s="42"/>
      <c r="AA18" s="45"/>
      <c r="AB18" s="43"/>
      <c r="AC18" s="4"/>
      <c r="AD18" s="4"/>
      <c r="AE18" s="4"/>
      <c r="AF18" s="4"/>
      <c r="AG18" s="4"/>
      <c r="AH18" s="4"/>
      <c r="AI18" s="4"/>
      <c r="AJ18" s="4"/>
      <c r="AK18" s="4"/>
      <c r="AL18" s="4"/>
      <c r="AM18" s="4"/>
      <c r="AN18" s="4"/>
      <c r="AO18" s="4"/>
      <c r="AP18" s="4"/>
      <c r="AQ18" s="4"/>
    </row>
    <row r="19" spans="1:43" ht="30" customHeight="1">
      <c r="A19" s="12"/>
      <c r="B19" s="4"/>
      <c r="C19" s="4"/>
      <c r="D19" s="10"/>
      <c r="E19" s="356" t="s">
        <v>482</v>
      </c>
      <c r="F19" s="357" t="s">
        <v>482</v>
      </c>
      <c r="G19" s="357"/>
      <c r="H19" s="357"/>
      <c r="I19" s="357"/>
      <c r="J19" s="358"/>
      <c r="K19" s="42"/>
      <c r="L19" s="42"/>
      <c r="M19" s="42"/>
      <c r="N19" s="42"/>
      <c r="O19" s="42"/>
      <c r="P19" s="42"/>
      <c r="Q19" s="42"/>
      <c r="R19" s="42"/>
      <c r="S19" s="42"/>
      <c r="T19" s="42"/>
      <c r="U19" s="42">
        <v>0</v>
      </c>
      <c r="V19" s="42"/>
      <c r="W19" s="42"/>
      <c r="X19" s="42"/>
      <c r="Y19" s="42"/>
      <c r="Z19" s="42"/>
      <c r="AA19" s="45"/>
      <c r="AB19" s="43"/>
      <c r="AC19" s="4"/>
      <c r="AD19" s="4"/>
      <c r="AE19" s="4"/>
      <c r="AF19" s="4"/>
      <c r="AG19" s="4"/>
      <c r="AH19" s="4"/>
      <c r="AI19" s="4"/>
      <c r="AJ19" s="4"/>
      <c r="AK19" s="4"/>
      <c r="AL19" s="4"/>
      <c r="AM19" s="4"/>
      <c r="AN19" s="4"/>
      <c r="AO19" s="4"/>
      <c r="AP19" s="4"/>
      <c r="AQ19" s="4"/>
    </row>
    <row r="20" spans="1:43" ht="30" customHeight="1">
      <c r="A20" s="12" t="s">
        <v>98</v>
      </c>
      <c r="B20" s="4"/>
      <c r="C20" s="4"/>
      <c r="D20" s="10"/>
      <c r="E20" s="200" t="s">
        <v>159</v>
      </c>
      <c r="F20" s="201"/>
      <c r="G20" s="201"/>
      <c r="H20" s="201"/>
      <c r="I20" s="201"/>
      <c r="J20" s="202"/>
      <c r="K20" s="42">
        <v>-681231</v>
      </c>
      <c r="L20" s="42">
        <v>-877618</v>
      </c>
      <c r="M20" s="42">
        <v>-1289069</v>
      </c>
      <c r="N20" s="42">
        <v>-1737637</v>
      </c>
      <c r="O20" s="42">
        <v>-1609867</v>
      </c>
      <c r="P20" s="42">
        <v>-2524180</v>
      </c>
      <c r="Q20" s="42">
        <v>-2618101</v>
      </c>
      <c r="R20" s="42">
        <v>-2077780</v>
      </c>
      <c r="S20" s="42">
        <v>-4166192</v>
      </c>
      <c r="T20" s="42"/>
      <c r="U20" s="42">
        <v>0</v>
      </c>
      <c r="V20" s="42"/>
      <c r="W20" s="42"/>
      <c r="X20" s="42"/>
      <c r="Y20" s="42"/>
      <c r="Z20" s="42"/>
      <c r="AA20" s="45"/>
      <c r="AB20" s="43"/>
      <c r="AC20" s="4"/>
      <c r="AD20" s="4"/>
      <c r="AE20" s="4"/>
      <c r="AF20" s="4"/>
      <c r="AG20" s="4"/>
      <c r="AH20" s="4"/>
      <c r="AI20" s="4"/>
      <c r="AJ20" s="4"/>
      <c r="AK20" s="4"/>
      <c r="AL20" s="4"/>
      <c r="AM20" s="4"/>
      <c r="AN20" s="4"/>
      <c r="AO20" s="4"/>
      <c r="AP20" s="4"/>
      <c r="AQ20" s="4"/>
    </row>
    <row r="21" spans="1:43" ht="30" customHeight="1">
      <c r="A21" s="12"/>
      <c r="B21" s="4"/>
      <c r="C21" s="4"/>
      <c r="D21" s="4"/>
      <c r="E21" s="347" t="s">
        <v>14</v>
      </c>
      <c r="F21" s="348"/>
      <c r="G21" s="348"/>
      <c r="H21" s="348"/>
      <c r="I21" s="348"/>
      <c r="J21" s="349"/>
      <c r="K21" s="46">
        <f t="shared" ref="K21:S21" si="4">K16+K18+K20</f>
        <v>992822</v>
      </c>
      <c r="L21" s="46">
        <f t="shared" si="4"/>
        <v>1137358</v>
      </c>
      <c r="M21" s="46">
        <f t="shared" si="4"/>
        <v>1297360</v>
      </c>
      <c r="N21" s="46">
        <f t="shared" si="4"/>
        <v>1486115</v>
      </c>
      <c r="O21" s="46">
        <f t="shared" si="4"/>
        <v>1766302</v>
      </c>
      <c r="P21" s="46">
        <f t="shared" si="4"/>
        <v>2059383</v>
      </c>
      <c r="Q21" s="46">
        <f t="shared" si="4"/>
        <v>2020073</v>
      </c>
      <c r="R21" s="46">
        <f t="shared" si="4"/>
        <v>4483905</v>
      </c>
      <c r="S21" s="46">
        <f t="shared" si="4"/>
        <v>7591171</v>
      </c>
      <c r="T21" s="46">
        <f t="shared" ref="T21" si="5">T16+T18+T20</f>
        <v>8173853</v>
      </c>
      <c r="U21" s="46">
        <f>U16+U18+U19+U20</f>
        <v>2469586</v>
      </c>
      <c r="V21" s="46"/>
      <c r="W21" s="42"/>
      <c r="X21" s="42"/>
      <c r="Y21" s="42"/>
      <c r="Z21" s="42"/>
      <c r="AA21" s="45"/>
      <c r="AB21" s="43"/>
      <c r="AC21" s="4"/>
      <c r="AD21" s="4"/>
      <c r="AE21" s="4"/>
      <c r="AF21" s="4"/>
      <c r="AG21" s="4"/>
      <c r="AH21" s="4"/>
      <c r="AI21" s="4"/>
      <c r="AJ21" s="4"/>
      <c r="AK21" s="4"/>
      <c r="AL21" s="4"/>
      <c r="AM21" s="4"/>
      <c r="AN21" s="4"/>
      <c r="AO21" s="4"/>
      <c r="AP21" s="4"/>
      <c r="AQ21" s="4"/>
    </row>
    <row r="22" spans="1:43" ht="30" customHeight="1">
      <c r="A22" s="12"/>
      <c r="B22" s="4"/>
      <c r="C22" s="4"/>
      <c r="D22" s="4"/>
      <c r="E22" s="353" t="s">
        <v>51</v>
      </c>
      <c r="F22" s="354"/>
      <c r="G22" s="354"/>
      <c r="H22" s="354"/>
      <c r="I22" s="354"/>
      <c r="J22" s="355"/>
      <c r="K22" s="44">
        <f t="shared" ref="K22:S22" si="6">K21/K16</f>
        <v>0.17923582384007491</v>
      </c>
      <c r="L22" s="44">
        <f t="shared" si="6"/>
        <v>0.1898789164181377</v>
      </c>
      <c r="M22" s="44">
        <f t="shared" si="6"/>
        <v>0.19888654440607831</v>
      </c>
      <c r="N22" s="44">
        <f t="shared" si="6"/>
        <v>0.20481741237773238</v>
      </c>
      <c r="O22" s="44">
        <f t="shared" si="6"/>
        <v>0.21872655298710689</v>
      </c>
      <c r="P22" s="44">
        <f t="shared" si="6"/>
        <v>0.21260980431043766</v>
      </c>
      <c r="Q22" s="44">
        <f t="shared" si="6"/>
        <v>0.20598157021010483</v>
      </c>
      <c r="R22" s="44">
        <f t="shared" si="6"/>
        <v>0.32336897318584107</v>
      </c>
      <c r="S22" s="44">
        <f t="shared" si="6"/>
        <v>0.31134591384201432</v>
      </c>
      <c r="T22" s="44">
        <f t="shared" ref="T22" si="7">T21/T16</f>
        <v>0.25668736144984555</v>
      </c>
      <c r="U22" s="44">
        <f t="shared" ref="U22" si="8">U21/U16</f>
        <v>0.26998904338543867</v>
      </c>
      <c r="V22" s="44"/>
      <c r="W22" s="42"/>
      <c r="X22" s="42"/>
      <c r="Y22" s="42"/>
      <c r="Z22" s="42"/>
      <c r="AA22" s="45"/>
      <c r="AB22" s="43"/>
      <c r="AC22" s="4"/>
      <c r="AD22" s="4"/>
      <c r="AE22" s="4"/>
      <c r="AF22" s="4"/>
      <c r="AG22" s="4"/>
      <c r="AH22" s="4"/>
      <c r="AI22" s="4"/>
      <c r="AJ22" s="4"/>
      <c r="AK22" s="4"/>
      <c r="AL22" s="4"/>
      <c r="AM22" s="4"/>
      <c r="AN22" s="4"/>
      <c r="AO22" s="4"/>
      <c r="AP22" s="4"/>
      <c r="AQ22" s="4"/>
    </row>
    <row r="23" spans="1:43" ht="30" customHeight="1">
      <c r="A23" s="12"/>
      <c r="B23" s="4"/>
      <c r="C23" s="4"/>
      <c r="D23" s="4"/>
      <c r="E23" s="356" t="s">
        <v>15</v>
      </c>
      <c r="F23" s="357"/>
      <c r="G23" s="357"/>
      <c r="H23" s="357"/>
      <c r="I23" s="357"/>
      <c r="J23" s="358"/>
      <c r="K23" s="42">
        <f t="shared" ref="K23:U23" si="9">SUM(K24,K26,K28,K29,K32)</f>
        <v>-532720</v>
      </c>
      <c r="L23" s="42">
        <f t="shared" si="9"/>
        <v>-553903</v>
      </c>
      <c r="M23" s="42">
        <f t="shared" si="9"/>
        <v>-798577</v>
      </c>
      <c r="N23" s="42">
        <f t="shared" si="9"/>
        <v>-781645</v>
      </c>
      <c r="O23" s="42">
        <f t="shared" si="9"/>
        <v>-805585</v>
      </c>
      <c r="P23" s="42">
        <f t="shared" si="9"/>
        <v>-860218</v>
      </c>
      <c r="Q23" s="42">
        <f t="shared" si="9"/>
        <v>-990091</v>
      </c>
      <c r="R23" s="42">
        <f t="shared" si="9"/>
        <v>-1353354</v>
      </c>
      <c r="S23" s="42">
        <f t="shared" si="9"/>
        <v>-2474355</v>
      </c>
      <c r="T23" s="42">
        <f t="shared" si="9"/>
        <v>-3279182</v>
      </c>
      <c r="U23" s="42">
        <f t="shared" si="9"/>
        <v>-891623</v>
      </c>
      <c r="V23" s="42"/>
      <c r="W23" s="42"/>
      <c r="X23" s="42"/>
      <c r="Y23" s="42"/>
      <c r="Z23" s="42"/>
      <c r="AA23" s="45"/>
      <c r="AB23" s="43"/>
      <c r="AC23" s="4"/>
      <c r="AD23" s="4"/>
      <c r="AE23" s="4"/>
      <c r="AF23" s="4"/>
      <c r="AG23" s="4"/>
      <c r="AH23" s="4"/>
      <c r="AI23" s="4"/>
      <c r="AJ23" s="4"/>
      <c r="AK23" s="4"/>
      <c r="AL23" s="4"/>
      <c r="AM23" s="4"/>
      <c r="AN23" s="4"/>
      <c r="AO23" s="4"/>
      <c r="AP23" s="4"/>
      <c r="AQ23" s="4"/>
    </row>
    <row r="24" spans="1:43" ht="30" customHeight="1">
      <c r="A24" s="12"/>
      <c r="B24" s="4"/>
      <c r="C24" s="4"/>
      <c r="D24" s="4"/>
      <c r="E24" s="367" t="s">
        <v>193</v>
      </c>
      <c r="F24" s="368"/>
      <c r="G24" s="368"/>
      <c r="H24" s="368"/>
      <c r="I24" s="368"/>
      <c r="J24" s="369"/>
      <c r="K24" s="42">
        <v>-8093</v>
      </c>
      <c r="L24" s="42">
        <v>-9584</v>
      </c>
      <c r="M24" s="42">
        <v>0</v>
      </c>
      <c r="N24" s="42">
        <v>0</v>
      </c>
      <c r="O24" s="42">
        <v>0</v>
      </c>
      <c r="P24" s="42">
        <v>0</v>
      </c>
      <c r="Q24" s="42">
        <v>0</v>
      </c>
      <c r="R24" s="42">
        <v>0</v>
      </c>
      <c r="S24" s="42">
        <v>0</v>
      </c>
      <c r="T24" s="42"/>
      <c r="U24" s="42">
        <v>0</v>
      </c>
      <c r="V24" s="42"/>
      <c r="W24" s="42"/>
      <c r="X24" s="42"/>
      <c r="Y24" s="42"/>
      <c r="Z24" s="42"/>
      <c r="AA24" s="45"/>
      <c r="AB24" s="43"/>
      <c r="AC24" s="4"/>
      <c r="AD24" s="4"/>
      <c r="AE24" s="4"/>
      <c r="AF24" s="4"/>
      <c r="AG24" s="4"/>
      <c r="AH24" s="4"/>
      <c r="AI24" s="4"/>
      <c r="AJ24" s="4"/>
      <c r="AK24" s="4"/>
      <c r="AL24" s="4"/>
      <c r="AM24" s="4"/>
      <c r="AN24" s="4"/>
      <c r="AO24" s="4"/>
      <c r="AP24" s="4"/>
      <c r="AQ24" s="4"/>
    </row>
    <row r="25" spans="1:43" ht="30" customHeight="1">
      <c r="A25" s="12"/>
      <c r="B25" s="4"/>
      <c r="C25" s="4"/>
      <c r="D25" s="4"/>
      <c r="E25" s="361" t="s">
        <v>30</v>
      </c>
      <c r="F25" s="362"/>
      <c r="G25" s="362"/>
      <c r="H25" s="362"/>
      <c r="I25" s="362"/>
      <c r="J25" s="363"/>
      <c r="K25" s="44">
        <f t="shared" ref="K25:T25" si="10">-K24/K16</f>
        <v>1.4610428881891482E-3</v>
      </c>
      <c r="L25" s="44">
        <f t="shared" si="10"/>
        <v>1.6000235061884047E-3</v>
      </c>
      <c r="M25" s="44">
        <f t="shared" si="10"/>
        <v>0</v>
      </c>
      <c r="N25" s="44">
        <f t="shared" si="10"/>
        <v>0</v>
      </c>
      <c r="O25" s="44">
        <f t="shared" si="10"/>
        <v>0</v>
      </c>
      <c r="P25" s="44">
        <f t="shared" si="10"/>
        <v>0</v>
      </c>
      <c r="Q25" s="44">
        <f t="shared" si="10"/>
        <v>0</v>
      </c>
      <c r="R25" s="44">
        <f t="shared" si="10"/>
        <v>0</v>
      </c>
      <c r="S25" s="44">
        <f t="shared" si="10"/>
        <v>0</v>
      </c>
      <c r="T25" s="44">
        <f t="shared" si="10"/>
        <v>0</v>
      </c>
      <c r="U25" s="44">
        <f t="shared" ref="U25" si="11">-U24/U16</f>
        <v>0</v>
      </c>
      <c r="V25" s="44"/>
      <c r="W25" s="42"/>
      <c r="X25" s="42"/>
      <c r="Y25" s="42"/>
      <c r="Z25" s="42"/>
      <c r="AA25" s="45"/>
      <c r="AB25" s="43"/>
      <c r="AC25" s="4"/>
      <c r="AD25" s="4"/>
      <c r="AE25" s="4"/>
      <c r="AF25" s="4"/>
      <c r="AG25" s="4"/>
      <c r="AH25" s="4"/>
      <c r="AI25" s="4"/>
      <c r="AJ25" s="4"/>
      <c r="AK25" s="4"/>
      <c r="AL25" s="4"/>
      <c r="AM25" s="4"/>
      <c r="AN25" s="4"/>
      <c r="AO25" s="4"/>
      <c r="AP25" s="4"/>
      <c r="AQ25" s="4"/>
    </row>
    <row r="26" spans="1:43" ht="30" customHeight="1">
      <c r="A26" s="12"/>
      <c r="B26" s="4"/>
      <c r="C26" s="4"/>
      <c r="D26" s="4"/>
      <c r="E26" s="350" t="s">
        <v>258</v>
      </c>
      <c r="F26" s="351"/>
      <c r="G26" s="351"/>
      <c r="H26" s="351"/>
      <c r="I26" s="351"/>
      <c r="J26" s="352"/>
      <c r="K26" s="42">
        <v>-491535</v>
      </c>
      <c r="L26" s="42">
        <v>-510134</v>
      </c>
      <c r="M26" s="42">
        <v>-684175</v>
      </c>
      <c r="N26" s="42">
        <v>-746102</v>
      </c>
      <c r="O26" s="42">
        <v>-794421</v>
      </c>
      <c r="P26" s="42">
        <f>-571098-293107</f>
        <v>-864205</v>
      </c>
      <c r="Q26" s="42">
        <v>-896692</v>
      </c>
      <c r="R26" s="42">
        <v>-1398455</v>
      </c>
      <c r="S26" s="42">
        <f>-884377-1397532</f>
        <v>-2281909</v>
      </c>
      <c r="T26" s="42">
        <f>-1217597-2064530</f>
        <v>-3282127</v>
      </c>
      <c r="U26" s="42">
        <f>-349090-452112</f>
        <v>-801202</v>
      </c>
      <c r="V26" s="42"/>
      <c r="W26" s="42"/>
      <c r="X26" s="42"/>
      <c r="Y26" s="42"/>
      <c r="Z26" s="42"/>
      <c r="AA26" s="45"/>
      <c r="AB26" s="43"/>
      <c r="AC26" s="4"/>
      <c r="AD26" s="4"/>
      <c r="AE26" s="4"/>
      <c r="AF26" s="4"/>
      <c r="AG26" s="4"/>
      <c r="AH26" s="4"/>
      <c r="AI26" s="4"/>
      <c r="AJ26" s="4"/>
      <c r="AK26" s="4"/>
      <c r="AL26" s="4"/>
      <c r="AM26" s="4"/>
      <c r="AN26" s="4"/>
      <c r="AO26" s="4"/>
      <c r="AP26" s="4"/>
      <c r="AQ26" s="4"/>
    </row>
    <row r="27" spans="1:43" ht="30" customHeight="1">
      <c r="A27" s="12"/>
      <c r="B27" s="4"/>
      <c r="C27" s="4"/>
      <c r="D27" s="4"/>
      <c r="E27" s="364" t="s">
        <v>30</v>
      </c>
      <c r="F27" s="365"/>
      <c r="G27" s="365"/>
      <c r="H27" s="365"/>
      <c r="I27" s="365"/>
      <c r="J27" s="366"/>
      <c r="K27" s="44">
        <f t="shared" ref="K27:U27" si="12">-K26/K16</f>
        <v>8.8737639447183103E-2</v>
      </c>
      <c r="L27" s="44">
        <f t="shared" si="12"/>
        <v>8.5165524969315079E-2</v>
      </c>
      <c r="M27" s="44">
        <f t="shared" si="12"/>
        <v>0.10488469007756415</v>
      </c>
      <c r="N27" s="44">
        <f t="shared" si="12"/>
        <v>0.10282830131574668</v>
      </c>
      <c r="O27" s="44">
        <f t="shared" si="12"/>
        <v>9.8375570514312061E-2</v>
      </c>
      <c r="P27" s="44">
        <f t="shared" si="12"/>
        <v>8.9220147944360895E-2</v>
      </c>
      <c r="Q27" s="44">
        <f t="shared" si="12"/>
        <v>9.1433342337053816E-2</v>
      </c>
      <c r="R27" s="44">
        <f t="shared" si="12"/>
        <v>0.10085337610779117</v>
      </c>
      <c r="S27" s="44">
        <f t="shared" si="12"/>
        <v>9.3590704636915309E-2</v>
      </c>
      <c r="T27" s="44">
        <f t="shared" si="12"/>
        <v>0.10307018239419001</v>
      </c>
      <c r="U27" s="44">
        <f t="shared" si="12"/>
        <v>8.7591912789633658E-2</v>
      </c>
      <c r="V27" s="44"/>
      <c r="W27" s="42"/>
      <c r="X27" s="42"/>
      <c r="Y27" s="42"/>
      <c r="Z27" s="42"/>
      <c r="AA27" s="45"/>
      <c r="AB27" s="43"/>
      <c r="AC27" s="4"/>
      <c r="AD27" s="4"/>
      <c r="AE27" s="4"/>
      <c r="AF27" s="4"/>
      <c r="AG27" s="4"/>
      <c r="AH27" s="4"/>
      <c r="AI27" s="4"/>
      <c r="AJ27" s="4"/>
      <c r="AK27" s="4"/>
      <c r="AL27" s="4"/>
      <c r="AM27" s="4"/>
      <c r="AN27" s="4"/>
      <c r="AO27" s="4"/>
      <c r="AP27" s="4"/>
      <c r="AQ27" s="4"/>
    </row>
    <row r="28" spans="1:43" ht="30" customHeight="1">
      <c r="A28" s="12"/>
      <c r="B28" s="4"/>
      <c r="C28" s="4"/>
      <c r="D28" s="4"/>
      <c r="E28" s="47" t="s">
        <v>97</v>
      </c>
      <c r="F28" s="48"/>
      <c r="G28" s="48"/>
      <c r="H28" s="48"/>
      <c r="I28" s="48"/>
      <c r="J28" s="49"/>
      <c r="K28" s="42">
        <v>0</v>
      </c>
      <c r="L28" s="42">
        <v>0</v>
      </c>
      <c r="M28" s="42">
        <v>0</v>
      </c>
      <c r="N28" s="42">
        <v>0</v>
      </c>
      <c r="O28" s="42">
        <v>-9146</v>
      </c>
      <c r="P28" s="42">
        <v>-32527</v>
      </c>
      <c r="Q28" s="42">
        <v>-78667</v>
      </c>
      <c r="R28" s="42">
        <v>-56164</v>
      </c>
      <c r="S28" s="42">
        <v>-127315</v>
      </c>
      <c r="T28" s="42">
        <v>-184393</v>
      </c>
      <c r="U28" s="42">
        <v>-53232</v>
      </c>
      <c r="V28" s="42"/>
      <c r="W28" s="42"/>
      <c r="X28" s="42"/>
      <c r="Y28" s="42"/>
      <c r="Z28" s="42"/>
      <c r="AA28" s="45"/>
      <c r="AB28" s="43"/>
      <c r="AC28" s="4"/>
      <c r="AD28" s="4"/>
      <c r="AE28" s="4"/>
      <c r="AF28" s="4"/>
      <c r="AG28" s="4"/>
      <c r="AH28" s="4"/>
      <c r="AI28" s="4"/>
      <c r="AJ28" s="4"/>
      <c r="AK28" s="4"/>
      <c r="AL28" s="4"/>
      <c r="AM28" s="4"/>
      <c r="AN28" s="4"/>
      <c r="AO28" s="4"/>
      <c r="AP28" s="4"/>
      <c r="AQ28" s="4"/>
    </row>
    <row r="29" spans="1:43" ht="30" customHeight="1">
      <c r="A29" s="12"/>
      <c r="B29" s="4"/>
      <c r="C29" s="4"/>
      <c r="D29" s="4"/>
      <c r="E29" s="350" t="s">
        <v>19</v>
      </c>
      <c r="F29" s="351"/>
      <c r="G29" s="351"/>
      <c r="H29" s="351"/>
      <c r="I29" s="351"/>
      <c r="J29" s="352"/>
      <c r="K29" s="42">
        <f t="shared" ref="K29:U29" si="13">SUM(K30:K31)</f>
        <v>-33186</v>
      </c>
      <c r="L29" s="42">
        <f t="shared" si="13"/>
        <v>-34256</v>
      </c>
      <c r="M29" s="42">
        <f t="shared" si="13"/>
        <v>-114402</v>
      </c>
      <c r="N29" s="42">
        <f t="shared" si="13"/>
        <v>-35543</v>
      </c>
      <c r="O29" s="42">
        <f t="shared" si="13"/>
        <v>-1058</v>
      </c>
      <c r="P29" s="42">
        <f t="shared" si="13"/>
        <v>37715</v>
      </c>
      <c r="Q29" s="42">
        <f t="shared" si="13"/>
        <v>-14217</v>
      </c>
      <c r="R29" s="42">
        <f t="shared" si="13"/>
        <v>102799</v>
      </c>
      <c r="S29" s="42">
        <f t="shared" si="13"/>
        <v>-67941</v>
      </c>
      <c r="T29" s="42">
        <f t="shared" si="13"/>
        <v>182011</v>
      </c>
      <c r="U29" s="42">
        <f t="shared" si="13"/>
        <v>-36142</v>
      </c>
      <c r="V29" s="42"/>
      <c r="W29" s="42"/>
      <c r="X29" s="42"/>
      <c r="Y29" s="42"/>
      <c r="Z29" s="42"/>
      <c r="AA29" s="45"/>
      <c r="AB29" s="43"/>
      <c r="AC29" s="4"/>
      <c r="AD29" s="4"/>
      <c r="AE29" s="4"/>
      <c r="AF29" s="4"/>
      <c r="AG29" s="4"/>
      <c r="AH29" s="4"/>
      <c r="AI29" s="4"/>
      <c r="AJ29" s="4"/>
      <c r="AK29" s="4"/>
      <c r="AL29" s="4"/>
      <c r="AM29" s="4"/>
      <c r="AN29" s="4"/>
      <c r="AO29" s="4"/>
      <c r="AP29" s="4"/>
      <c r="AQ29" s="4"/>
    </row>
    <row r="30" spans="1:43" ht="30" customHeight="1">
      <c r="A30" s="12"/>
      <c r="B30" s="4"/>
      <c r="C30" s="4"/>
      <c r="D30" s="4"/>
      <c r="E30" s="364" t="s">
        <v>39</v>
      </c>
      <c r="F30" s="365"/>
      <c r="G30" s="365"/>
      <c r="H30" s="365"/>
      <c r="I30" s="365"/>
      <c r="J30" s="366"/>
      <c r="K30" s="42">
        <v>-33186</v>
      </c>
      <c r="L30" s="42">
        <v>-34256</v>
      </c>
      <c r="M30" s="42">
        <v>-114402</v>
      </c>
      <c r="N30" s="42">
        <v>-35543</v>
      </c>
      <c r="O30" s="42">
        <v>-1058</v>
      </c>
      <c r="P30" s="42">
        <v>37715</v>
      </c>
      <c r="Q30" s="42">
        <v>-14217</v>
      </c>
      <c r="R30" s="42">
        <v>102799</v>
      </c>
      <c r="S30" s="42">
        <v>0</v>
      </c>
      <c r="T30" s="42">
        <v>182011</v>
      </c>
      <c r="U30" s="42">
        <v>0</v>
      </c>
      <c r="V30" s="42"/>
      <c r="W30" s="42"/>
      <c r="X30" s="42"/>
      <c r="Y30" s="42"/>
      <c r="Z30" s="42"/>
      <c r="AA30" s="45"/>
      <c r="AB30" s="43"/>
      <c r="AC30" s="4"/>
      <c r="AD30" s="4"/>
      <c r="AE30" s="4"/>
      <c r="AF30" s="4"/>
      <c r="AG30" s="4"/>
      <c r="AH30" s="4"/>
      <c r="AI30" s="4"/>
      <c r="AJ30" s="4"/>
      <c r="AK30" s="4"/>
      <c r="AL30" s="4"/>
      <c r="AM30" s="4"/>
      <c r="AN30" s="4"/>
      <c r="AO30" s="4"/>
      <c r="AP30" s="4"/>
      <c r="AQ30" s="4"/>
    </row>
    <row r="31" spans="1:43" ht="30" customHeight="1">
      <c r="A31" s="12"/>
      <c r="B31" s="4"/>
      <c r="C31" s="4"/>
      <c r="D31" s="4"/>
      <c r="E31" s="364" t="s">
        <v>40</v>
      </c>
      <c r="F31" s="365"/>
      <c r="G31" s="365"/>
      <c r="H31" s="365"/>
      <c r="I31" s="365"/>
      <c r="J31" s="366"/>
      <c r="K31" s="42">
        <v>0</v>
      </c>
      <c r="L31" s="42">
        <v>0</v>
      </c>
      <c r="M31" s="42">
        <v>0</v>
      </c>
      <c r="N31" s="42">
        <v>0</v>
      </c>
      <c r="O31" s="42">
        <v>0</v>
      </c>
      <c r="P31" s="42">
        <v>0</v>
      </c>
      <c r="Q31" s="42">
        <v>0</v>
      </c>
      <c r="R31" s="42">
        <v>0</v>
      </c>
      <c r="S31" s="42">
        <v>-67941</v>
      </c>
      <c r="T31" s="42"/>
      <c r="U31" s="42">
        <v>-36142</v>
      </c>
      <c r="V31" s="42"/>
      <c r="W31" s="42"/>
      <c r="X31" s="42"/>
      <c r="Y31" s="42"/>
      <c r="Z31" s="42"/>
      <c r="AA31" s="45"/>
      <c r="AB31" s="43"/>
      <c r="AC31" s="4"/>
      <c r="AD31" s="4"/>
      <c r="AE31" s="4"/>
      <c r="AF31" s="4"/>
      <c r="AG31" s="4"/>
      <c r="AH31" s="4"/>
      <c r="AI31" s="4"/>
      <c r="AJ31" s="4"/>
      <c r="AK31" s="4"/>
      <c r="AL31" s="4"/>
      <c r="AM31" s="4"/>
      <c r="AN31" s="4"/>
      <c r="AO31" s="4"/>
      <c r="AP31" s="4"/>
      <c r="AQ31" s="4"/>
    </row>
    <row r="32" spans="1:43" ht="30" customHeight="1">
      <c r="A32" s="12"/>
      <c r="B32" s="4"/>
      <c r="C32" s="4"/>
      <c r="D32" s="4"/>
      <c r="E32" s="350" t="s">
        <v>41</v>
      </c>
      <c r="F32" s="351"/>
      <c r="G32" s="351"/>
      <c r="H32" s="351"/>
      <c r="I32" s="351"/>
      <c r="J32" s="352"/>
      <c r="K32" s="42">
        <v>94</v>
      </c>
      <c r="L32" s="42">
        <v>71</v>
      </c>
      <c r="M32" s="42">
        <v>0</v>
      </c>
      <c r="N32" s="42">
        <v>0</v>
      </c>
      <c r="O32" s="42">
        <v>-960</v>
      </c>
      <c r="P32" s="42">
        <v>-1201</v>
      </c>
      <c r="Q32" s="42">
        <v>-515</v>
      </c>
      <c r="R32" s="42">
        <v>-1534</v>
      </c>
      <c r="S32" s="42">
        <v>2810</v>
      </c>
      <c r="T32" s="42">
        <v>5327</v>
      </c>
      <c r="U32" s="42">
        <v>-1047</v>
      </c>
      <c r="V32" s="42"/>
      <c r="W32" s="42"/>
      <c r="X32" s="42"/>
      <c r="Y32" s="42"/>
      <c r="Z32" s="42"/>
      <c r="AA32" s="45"/>
      <c r="AB32" s="219"/>
      <c r="AC32" s="4"/>
      <c r="AD32" s="4"/>
      <c r="AE32" s="4"/>
      <c r="AF32" s="4"/>
      <c r="AG32" s="4"/>
      <c r="AH32" s="4"/>
      <c r="AI32" s="4"/>
      <c r="AJ32" s="4"/>
      <c r="AK32" s="4"/>
      <c r="AL32" s="4"/>
      <c r="AM32" s="4"/>
      <c r="AN32" s="4"/>
      <c r="AO32" s="4"/>
      <c r="AP32" s="4"/>
      <c r="AQ32" s="4"/>
    </row>
    <row r="33" spans="1:46" ht="30" customHeight="1">
      <c r="A33" s="12"/>
      <c r="B33" s="4"/>
      <c r="C33" s="4"/>
      <c r="D33" s="4"/>
      <c r="E33" s="347" t="s">
        <v>499</v>
      </c>
      <c r="F33" s="348"/>
      <c r="G33" s="348"/>
      <c r="H33" s="348"/>
      <c r="I33" s="348"/>
      <c r="J33" s="349"/>
      <c r="K33" s="46">
        <f>K35+K56+'Projeções - CG + Capex'!K57</f>
        <v>868967</v>
      </c>
      <c r="L33" s="46">
        <f>L35+L56+'Projeções - CG + Capex'!L57</f>
        <v>1092081</v>
      </c>
      <c r="M33" s="46">
        <f>M35+M56+'Projeções - CG + Capex'!M57</f>
        <v>1045970</v>
      </c>
      <c r="N33" s="46">
        <f>N35+N56+'Projeções - CG + Capex'!N57</f>
        <v>1230201</v>
      </c>
      <c r="O33" s="46">
        <f>O35+O56+'Projeções - CG + Capex'!O57</f>
        <v>1597534</v>
      </c>
      <c r="P33" s="46">
        <f>P35+P56+'Projeções - CG + Capex'!P57</f>
        <v>2115909</v>
      </c>
      <c r="Q33" s="46">
        <f>Q35+Q56+'Projeções - CG + Capex'!Q57</f>
        <v>2141935</v>
      </c>
      <c r="R33" s="46">
        <f>R35+R56+'Projeções - CG + Capex'!R57</f>
        <v>4189665</v>
      </c>
      <c r="S33" s="46">
        <f>S35+S56+'Projeções - CG + Capex'!S57</f>
        <v>7003093</v>
      </c>
      <c r="T33" s="46">
        <f>T35+T56+'Projeções - CG + Capex'!T57</f>
        <v>8402956</v>
      </c>
      <c r="U33" s="46">
        <f>U35+U56+'Projeções - CG + Capex'!U57</f>
        <v>2391544</v>
      </c>
      <c r="V33" s="46"/>
      <c r="W33" s="46">
        <f>'DRE Consolidado'!W76</f>
        <v>10673111.597608028</v>
      </c>
      <c r="X33" s="46">
        <f>'DRE Consolidado'!X76</f>
        <v>12207507.224924704</v>
      </c>
      <c r="Y33" s="46">
        <f>'DRE Consolidado'!Y76</f>
        <v>13530226.773200938</v>
      </c>
      <c r="Z33" s="46">
        <f>'DRE Consolidado'!Z76</f>
        <v>14681135.441757487</v>
      </c>
      <c r="AA33" s="46">
        <f>'DRE Consolidado'!AA76</f>
        <v>15843161.367011022</v>
      </c>
      <c r="AB33" s="219"/>
      <c r="AC33" s="4"/>
      <c r="AD33" s="4"/>
      <c r="AE33" s="4"/>
      <c r="AF33" s="4"/>
      <c r="AG33" s="4"/>
      <c r="AH33" s="4"/>
      <c r="AI33" s="4"/>
      <c r="AJ33" s="4"/>
      <c r="AK33" s="4"/>
      <c r="AL33" s="4"/>
      <c r="AM33" s="4"/>
      <c r="AN33" s="4"/>
      <c r="AO33" s="4"/>
      <c r="AP33" s="4"/>
      <c r="AQ33" s="4"/>
    </row>
    <row r="34" spans="1:46" ht="30" customHeight="1">
      <c r="A34" s="12"/>
      <c r="B34" s="4"/>
      <c r="C34" s="4"/>
      <c r="D34" s="4"/>
      <c r="E34" s="353" t="s">
        <v>531</v>
      </c>
      <c r="F34" s="354"/>
      <c r="G34" s="354"/>
      <c r="H34" s="354"/>
      <c r="I34" s="354"/>
      <c r="J34" s="355"/>
      <c r="K34" s="44">
        <f>K33/K16</f>
        <v>0.15687607258384523</v>
      </c>
      <c r="L34" s="44">
        <f t="shared" ref="L34:U34" si="14">L33/L16</f>
        <v>0.18232004076186761</v>
      </c>
      <c r="M34" s="44">
        <f t="shared" si="14"/>
        <v>0.16034821395173718</v>
      </c>
      <c r="N34" s="44">
        <f t="shared" si="14"/>
        <v>0.16954716527623956</v>
      </c>
      <c r="O34" s="44">
        <f t="shared" si="14"/>
        <v>0.19782749784561462</v>
      </c>
      <c r="P34" s="44">
        <f t="shared" si="14"/>
        <v>0.21844552394027425</v>
      </c>
      <c r="Q34" s="44">
        <f t="shared" si="14"/>
        <v>0.2184075202173292</v>
      </c>
      <c r="R34" s="44">
        <f t="shared" si="14"/>
        <v>0.30214905736019315</v>
      </c>
      <c r="S34" s="44">
        <f t="shared" si="14"/>
        <v>0.28722635675123293</v>
      </c>
      <c r="T34" s="44">
        <f t="shared" si="14"/>
        <v>0.26388199102909587</v>
      </c>
      <c r="U34" s="44">
        <f t="shared" si="14"/>
        <v>0.26145705262913926</v>
      </c>
      <c r="V34" s="44">
        <f>U34</f>
        <v>0.26145705262913926</v>
      </c>
      <c r="W34" s="44"/>
      <c r="X34" s="44"/>
      <c r="Y34" s="44"/>
      <c r="Z34" s="44"/>
      <c r="AA34" s="255"/>
      <c r="AB34" s="219"/>
      <c r="AC34" s="4"/>
      <c r="AD34" s="4"/>
      <c r="AE34" s="4"/>
      <c r="AF34" s="4"/>
      <c r="AG34" s="4"/>
      <c r="AH34" s="4"/>
      <c r="AI34" s="4"/>
      <c r="AJ34" s="4"/>
      <c r="AK34" s="4"/>
      <c r="AL34" s="4"/>
      <c r="AM34" s="4"/>
      <c r="AN34" s="4"/>
      <c r="AO34" s="4"/>
      <c r="AP34" s="4"/>
      <c r="AQ34" s="4"/>
    </row>
    <row r="35" spans="1:46" ht="30" customHeight="1">
      <c r="A35" s="12"/>
      <c r="B35" s="4"/>
      <c r="C35" s="4"/>
      <c r="D35" s="4"/>
      <c r="E35" s="347" t="s">
        <v>16</v>
      </c>
      <c r="F35" s="348"/>
      <c r="G35" s="348"/>
      <c r="H35" s="348"/>
      <c r="I35" s="348"/>
      <c r="J35" s="349"/>
      <c r="K35" s="46">
        <f t="shared" ref="K35:U35" si="15">K21+K23</f>
        <v>460102</v>
      </c>
      <c r="L35" s="46">
        <f t="shared" si="15"/>
        <v>583455</v>
      </c>
      <c r="M35" s="46">
        <f t="shared" si="15"/>
        <v>498783</v>
      </c>
      <c r="N35" s="46">
        <f t="shared" si="15"/>
        <v>704470</v>
      </c>
      <c r="O35" s="46">
        <f t="shared" si="15"/>
        <v>960717</v>
      </c>
      <c r="P35" s="46">
        <f t="shared" si="15"/>
        <v>1199165</v>
      </c>
      <c r="Q35" s="46">
        <f t="shared" si="15"/>
        <v>1029982</v>
      </c>
      <c r="R35" s="46">
        <f t="shared" si="15"/>
        <v>3130551</v>
      </c>
      <c r="S35" s="46">
        <f t="shared" si="15"/>
        <v>5116816</v>
      </c>
      <c r="T35" s="46">
        <f t="shared" ref="T35" si="16">T21+T23</f>
        <v>4894671</v>
      </c>
      <c r="U35" s="46">
        <f t="shared" si="15"/>
        <v>1577963</v>
      </c>
      <c r="V35" s="40">
        <f>V16*V38</f>
        <v>4983198.6572594885</v>
      </c>
      <c r="W35" s="46"/>
      <c r="X35" s="46"/>
      <c r="Y35" s="46"/>
      <c r="Z35" s="46"/>
      <c r="AA35" s="254"/>
      <c r="AB35" s="219"/>
      <c r="AC35" s="4"/>
      <c r="AD35" s="4"/>
      <c r="AE35" s="4"/>
      <c r="AF35" s="4"/>
      <c r="AG35" s="4"/>
      <c r="AH35" s="4"/>
      <c r="AI35" s="4"/>
      <c r="AJ35" s="4"/>
      <c r="AK35" s="4"/>
      <c r="AL35" s="4"/>
      <c r="AM35" s="4"/>
      <c r="AN35" s="4"/>
      <c r="AO35" s="4"/>
      <c r="AP35" s="4"/>
      <c r="AQ35" s="4"/>
    </row>
    <row r="36" spans="1:46" ht="30" customHeight="1">
      <c r="A36" s="12"/>
      <c r="B36" s="4"/>
      <c r="C36" s="4"/>
      <c r="D36" s="4"/>
      <c r="E36" s="356" t="s">
        <v>93</v>
      </c>
      <c r="F36" s="357"/>
      <c r="G36" s="357"/>
      <c r="H36" s="357"/>
      <c r="I36" s="357"/>
      <c r="J36" s="358"/>
      <c r="K36" s="42">
        <f>'DRE - Contas Abertas'!F56</f>
        <v>-24516</v>
      </c>
      <c r="L36" s="42">
        <f>'DRE - Contas Abertas'!I56</f>
        <v>34204</v>
      </c>
      <c r="M36" s="42">
        <f>'DRE - Contas Abertas'!J56</f>
        <v>30444</v>
      </c>
      <c r="N36" s="42">
        <f>'DRE - Contas Abertas'!I56</f>
        <v>34204</v>
      </c>
      <c r="O36" s="42">
        <f>'DRE - Contas Abertas'!J56</f>
        <v>30444</v>
      </c>
      <c r="P36" s="42">
        <f>'DRE - Contas Abertas'!K56</f>
        <v>-929</v>
      </c>
      <c r="Q36" s="42">
        <f>'DRE - Contas Abertas'!L56</f>
        <v>-141683</v>
      </c>
      <c r="R36" s="42">
        <f>'DRE - Contas Abertas'!M56</f>
        <v>107566</v>
      </c>
      <c r="S36" s="42">
        <f>'DRE - Contas Abertas'!N56</f>
        <v>12526</v>
      </c>
      <c r="T36" s="42">
        <f>'DRE - Contas Abertas'!O56</f>
        <v>-16503</v>
      </c>
      <c r="U36" s="42">
        <f>'DRE - Contas Abertas'!P56</f>
        <v>-6956</v>
      </c>
      <c r="V36" s="46"/>
      <c r="W36" s="46"/>
      <c r="X36" s="46"/>
      <c r="Y36" s="46"/>
      <c r="Z36" s="46"/>
      <c r="AA36" s="212"/>
      <c r="AB36" s="174"/>
      <c r="AC36" s="4"/>
      <c r="AD36" s="4"/>
      <c r="AE36" s="4"/>
      <c r="AF36" s="4"/>
      <c r="AG36" s="4"/>
      <c r="AH36" s="4"/>
      <c r="AI36" s="4"/>
      <c r="AJ36" s="4"/>
      <c r="AK36" s="4"/>
      <c r="AL36" s="4"/>
      <c r="AM36" s="4"/>
      <c r="AN36" s="4"/>
      <c r="AO36" s="4"/>
      <c r="AP36" s="4"/>
      <c r="AQ36" s="4"/>
    </row>
    <row r="37" spans="1:46" ht="30" customHeight="1">
      <c r="A37" s="12"/>
      <c r="B37" s="4"/>
      <c r="C37" s="4"/>
      <c r="D37" s="4"/>
      <c r="E37" s="347" t="s">
        <v>65</v>
      </c>
      <c r="F37" s="348"/>
      <c r="G37" s="348"/>
      <c r="H37" s="348"/>
      <c r="I37" s="348"/>
      <c r="J37" s="349"/>
      <c r="K37" s="46">
        <f t="shared" ref="K37:U37" si="17">SUM(K35-K36)</f>
        <v>484618</v>
      </c>
      <c r="L37" s="46">
        <f t="shared" si="17"/>
        <v>549251</v>
      </c>
      <c r="M37" s="46">
        <f t="shared" si="17"/>
        <v>468339</v>
      </c>
      <c r="N37" s="46">
        <f t="shared" si="17"/>
        <v>670266</v>
      </c>
      <c r="O37" s="46">
        <f t="shared" si="17"/>
        <v>930273</v>
      </c>
      <c r="P37" s="46">
        <f t="shared" si="17"/>
        <v>1200094</v>
      </c>
      <c r="Q37" s="46">
        <f t="shared" si="17"/>
        <v>1171665</v>
      </c>
      <c r="R37" s="46">
        <f t="shared" si="17"/>
        <v>3022985</v>
      </c>
      <c r="S37" s="46">
        <f t="shared" si="17"/>
        <v>5104290</v>
      </c>
      <c r="T37" s="46">
        <f t="shared" ref="T37" si="18">SUM(T35-T36)</f>
        <v>4911174</v>
      </c>
      <c r="U37" s="46">
        <f t="shared" si="17"/>
        <v>1584919</v>
      </c>
      <c r="V37" s="46">
        <f t="shared" ref="V37" si="19">V35</f>
        <v>4983198.6572594885</v>
      </c>
      <c r="W37" s="46"/>
      <c r="X37" s="46"/>
      <c r="Y37" s="46"/>
      <c r="Z37" s="46"/>
      <c r="AA37" s="254"/>
      <c r="AB37" s="219"/>
      <c r="AC37" s="4"/>
      <c r="AD37" s="4"/>
      <c r="AE37" s="4"/>
      <c r="AF37" s="4"/>
      <c r="AG37" s="4"/>
      <c r="AH37" s="4"/>
      <c r="AI37" s="4"/>
      <c r="AJ37" s="4"/>
      <c r="AK37" s="4"/>
      <c r="AL37" s="4"/>
      <c r="AM37" s="4"/>
      <c r="AN37" s="4"/>
      <c r="AO37" s="4"/>
      <c r="AP37" s="4"/>
      <c r="AQ37" s="4"/>
    </row>
    <row r="38" spans="1:46" ht="30" customHeight="1">
      <c r="A38" s="12"/>
      <c r="B38" s="4"/>
      <c r="C38" s="4"/>
      <c r="D38" s="4"/>
      <c r="E38" s="353" t="s">
        <v>50</v>
      </c>
      <c r="F38" s="354"/>
      <c r="G38" s="354"/>
      <c r="H38" s="354"/>
      <c r="I38" s="354"/>
      <c r="J38" s="355"/>
      <c r="K38" s="44">
        <f t="shared" ref="K38:U38" si="20">K37/K16</f>
        <v>8.7488901814957193E-2</v>
      </c>
      <c r="L38" s="44">
        <f t="shared" si="20"/>
        <v>9.1696004882876408E-2</v>
      </c>
      <c r="M38" s="44">
        <f t="shared" si="20"/>
        <v>7.1796822254885553E-2</v>
      </c>
      <c r="N38" s="44">
        <f t="shared" si="20"/>
        <v>9.237653056780476E-2</v>
      </c>
      <c r="O38" s="44">
        <f t="shared" si="20"/>
        <v>0.11519853718501982</v>
      </c>
      <c r="P38" s="44">
        <f t="shared" si="20"/>
        <v>0.12389718206575968</v>
      </c>
      <c r="Q38" s="44">
        <f t="shared" si="20"/>
        <v>0.11947162130290463</v>
      </c>
      <c r="R38" s="44">
        <f t="shared" si="20"/>
        <v>0.21801076414558287</v>
      </c>
      <c r="S38" s="44">
        <f t="shared" si="20"/>
        <v>0.20934844368077801</v>
      </c>
      <c r="T38" s="44">
        <f t="shared" ref="T38" si="21">T37/T16</f>
        <v>0.15422791377347791</v>
      </c>
      <c r="U38" s="44">
        <f t="shared" si="20"/>
        <v>0.17327226695219605</v>
      </c>
      <c r="V38" s="44">
        <f>U38</f>
        <v>0.17327226695219605</v>
      </c>
      <c r="W38" s="44"/>
      <c r="X38" s="44"/>
      <c r="Y38" s="44"/>
      <c r="Z38" s="44"/>
      <c r="AA38" s="255"/>
      <c r="AB38" s="219"/>
      <c r="AC38" s="4"/>
      <c r="AD38" s="4"/>
      <c r="AE38" s="4"/>
      <c r="AF38" s="4"/>
      <c r="AG38" s="4"/>
      <c r="AH38" s="4"/>
      <c r="AI38" s="4"/>
      <c r="AJ38" s="4"/>
      <c r="AK38" s="4"/>
      <c r="AL38" s="4"/>
      <c r="AM38" s="4"/>
      <c r="AN38" s="4"/>
      <c r="AO38" s="4"/>
      <c r="AP38" s="4"/>
      <c r="AQ38" s="4"/>
    </row>
    <row r="39" spans="1:46" ht="30" customHeight="1">
      <c r="A39" s="12"/>
      <c r="B39" s="4"/>
      <c r="C39" s="4"/>
      <c r="D39" s="4"/>
      <c r="E39" s="356" t="s">
        <v>17</v>
      </c>
      <c r="F39" s="357"/>
      <c r="G39" s="357"/>
      <c r="H39" s="357"/>
      <c r="I39" s="357"/>
      <c r="J39" s="358"/>
      <c r="K39" s="42">
        <f t="shared" ref="K39:U39" si="22">SUM(K40:K41)</f>
        <v>-348965</v>
      </c>
      <c r="L39" s="42">
        <f t="shared" si="22"/>
        <v>-516233</v>
      </c>
      <c r="M39" s="42">
        <f t="shared" si="22"/>
        <v>-748253</v>
      </c>
      <c r="N39" s="42">
        <f t="shared" si="22"/>
        <v>-670541</v>
      </c>
      <c r="O39" s="42">
        <f t="shared" si="22"/>
        <v>-681219</v>
      </c>
      <c r="P39" s="42">
        <f t="shared" si="22"/>
        <v>-768039</v>
      </c>
      <c r="Q39" s="42">
        <f t="shared" si="22"/>
        <v>-374776</v>
      </c>
      <c r="R39" s="42">
        <f t="shared" si="22"/>
        <v>-1217593</v>
      </c>
      <c r="S39" s="42">
        <f t="shared" si="22"/>
        <v>-4129431</v>
      </c>
      <c r="T39" s="42">
        <f t="shared" si="22"/>
        <v>-5893726</v>
      </c>
      <c r="U39" s="42">
        <f t="shared" si="22"/>
        <v>-1476938</v>
      </c>
      <c r="V39" s="42"/>
      <c r="W39" s="42"/>
      <c r="X39" s="42"/>
      <c r="Y39" s="42"/>
      <c r="Z39" s="42"/>
      <c r="AA39" s="211"/>
      <c r="AB39" s="219"/>
      <c r="AC39" s="4"/>
      <c r="AD39" s="4"/>
      <c r="AE39" s="4"/>
      <c r="AF39" s="4"/>
      <c r="AG39" s="4"/>
      <c r="AH39" s="4"/>
      <c r="AI39" s="4"/>
      <c r="AJ39" s="4"/>
      <c r="AK39" s="4"/>
      <c r="AL39" s="4"/>
      <c r="AM39" s="4"/>
      <c r="AN39" s="4"/>
      <c r="AO39" s="4"/>
      <c r="AP39" s="4"/>
      <c r="AQ39" s="4"/>
    </row>
    <row r="40" spans="1:46" ht="30" customHeight="1">
      <c r="A40" s="12"/>
      <c r="B40" s="4"/>
      <c r="C40" s="4"/>
      <c r="D40" s="4"/>
      <c r="E40" s="350" t="s">
        <v>45</v>
      </c>
      <c r="F40" s="351"/>
      <c r="G40" s="351"/>
      <c r="H40" s="351"/>
      <c r="I40" s="351"/>
      <c r="J40" s="352"/>
      <c r="K40" s="42">
        <v>109484</v>
      </c>
      <c r="L40" s="42">
        <v>198480</v>
      </c>
      <c r="M40" s="42">
        <v>201723</v>
      </c>
      <c r="N40" s="42">
        <v>209555</v>
      </c>
      <c r="O40" s="42">
        <v>317809</v>
      </c>
      <c r="P40" s="42">
        <v>365336</v>
      </c>
      <c r="Q40" s="42">
        <v>679426</v>
      </c>
      <c r="R40" s="42">
        <v>736362</v>
      </c>
      <c r="S40" s="42">
        <v>1229042</v>
      </c>
      <c r="T40" s="42">
        <v>1137502</v>
      </c>
      <c r="U40" s="42">
        <v>356775</v>
      </c>
      <c r="V40" s="42"/>
      <c r="W40" s="42"/>
      <c r="X40" s="42"/>
      <c r="Y40" s="42"/>
      <c r="Z40" s="42"/>
      <c r="AA40" s="211"/>
      <c r="AB40" s="219"/>
      <c r="AC40" s="4"/>
      <c r="AD40" s="4"/>
      <c r="AE40" s="4"/>
      <c r="AF40" s="4"/>
      <c r="AG40" s="4"/>
      <c r="AH40" s="4"/>
      <c r="AI40" s="4"/>
      <c r="AJ40" s="4"/>
      <c r="AK40" s="4"/>
      <c r="AL40" s="4"/>
      <c r="AM40" s="4"/>
      <c r="AN40" s="4"/>
      <c r="AO40" s="4"/>
      <c r="AP40" s="4"/>
      <c r="AQ40" s="4"/>
    </row>
    <row r="41" spans="1:46" ht="30" customHeight="1">
      <c r="A41" s="12"/>
      <c r="B41" s="4"/>
      <c r="C41" s="4"/>
      <c r="D41" s="4"/>
      <c r="E41" s="350" t="s">
        <v>44</v>
      </c>
      <c r="F41" s="351"/>
      <c r="G41" s="351"/>
      <c r="H41" s="351"/>
      <c r="I41" s="351"/>
      <c r="J41" s="352"/>
      <c r="K41" s="42">
        <v>-458449</v>
      </c>
      <c r="L41" s="42">
        <v>-714713</v>
      </c>
      <c r="M41" s="42">
        <v>-949976</v>
      </c>
      <c r="N41" s="42">
        <v>-880096</v>
      </c>
      <c r="O41" s="42">
        <v>-999028</v>
      </c>
      <c r="P41" s="42">
        <v>-1133375</v>
      </c>
      <c r="Q41" s="42">
        <v>-1054202</v>
      </c>
      <c r="R41" s="42">
        <v>-1953955</v>
      </c>
      <c r="S41" s="42">
        <v>-5358473</v>
      </c>
      <c r="T41" s="42">
        <v>-7031228</v>
      </c>
      <c r="U41" s="42">
        <v>-1833713</v>
      </c>
      <c r="V41" s="42"/>
      <c r="W41" s="42"/>
      <c r="X41" s="42"/>
      <c r="Y41" s="42"/>
      <c r="Z41" s="42"/>
      <c r="AA41" s="45"/>
      <c r="AB41" s="4"/>
      <c r="AC41" s="4"/>
      <c r="AD41" s="4"/>
      <c r="AE41" s="4"/>
      <c r="AF41" s="4"/>
      <c r="AG41" s="4"/>
      <c r="AH41" s="4"/>
      <c r="AI41" s="4"/>
      <c r="AJ41" s="4"/>
      <c r="AK41" s="4"/>
      <c r="AL41" s="4"/>
      <c r="AM41" s="4"/>
      <c r="AN41" s="4"/>
      <c r="AO41" s="4"/>
      <c r="AP41" s="4"/>
      <c r="AQ41" s="4"/>
    </row>
    <row r="42" spans="1:46" ht="30" customHeight="1">
      <c r="A42" s="12"/>
      <c r="B42" s="4"/>
      <c r="C42" s="4"/>
      <c r="D42" s="4"/>
      <c r="E42" s="347" t="s">
        <v>18</v>
      </c>
      <c r="F42" s="348"/>
      <c r="G42" s="348"/>
      <c r="H42" s="348"/>
      <c r="I42" s="348"/>
      <c r="J42" s="349"/>
      <c r="K42" s="46">
        <f t="shared" ref="K42:U42" si="23">K35+K39</f>
        <v>111137</v>
      </c>
      <c r="L42" s="46">
        <f t="shared" si="23"/>
        <v>67222</v>
      </c>
      <c r="M42" s="46">
        <f t="shared" si="23"/>
        <v>-249470</v>
      </c>
      <c r="N42" s="46">
        <f t="shared" si="23"/>
        <v>33929</v>
      </c>
      <c r="O42" s="46">
        <f t="shared" si="23"/>
        <v>279498</v>
      </c>
      <c r="P42" s="46">
        <f t="shared" si="23"/>
        <v>431126</v>
      </c>
      <c r="Q42" s="46">
        <f t="shared" si="23"/>
        <v>655206</v>
      </c>
      <c r="R42" s="46">
        <f t="shared" si="23"/>
        <v>1912958</v>
      </c>
      <c r="S42" s="46">
        <f t="shared" si="23"/>
        <v>987385</v>
      </c>
      <c r="T42" s="46">
        <f t="shared" si="23"/>
        <v>-999055</v>
      </c>
      <c r="U42" s="46">
        <f t="shared" si="23"/>
        <v>101025</v>
      </c>
      <c r="V42" s="46"/>
      <c r="W42" s="42"/>
      <c r="X42" s="42"/>
      <c r="Y42" s="42"/>
      <c r="Z42" s="42"/>
      <c r="AA42" s="45"/>
      <c r="AB42" s="88"/>
      <c r="AC42" s="4"/>
      <c r="AD42" s="4"/>
      <c r="AE42" s="4"/>
      <c r="AF42" s="4"/>
      <c r="AG42" s="4"/>
      <c r="AH42" s="4"/>
      <c r="AI42" s="4"/>
      <c r="AJ42" s="4"/>
      <c r="AK42" s="4"/>
      <c r="AL42" s="4"/>
      <c r="AM42" s="4"/>
      <c r="AN42" s="4"/>
      <c r="AO42" s="4"/>
      <c r="AP42" s="4"/>
      <c r="AQ42" s="4"/>
      <c r="AR42" s="4"/>
      <c r="AS42" s="4"/>
      <c r="AT42" s="4"/>
    </row>
    <row r="43" spans="1:46" ht="30" customHeight="1">
      <c r="A43" s="12"/>
      <c r="B43" s="4"/>
      <c r="C43" s="4"/>
      <c r="D43" s="4"/>
      <c r="E43" s="356" t="s">
        <v>31</v>
      </c>
      <c r="F43" s="357"/>
      <c r="G43" s="357"/>
      <c r="H43" s="357"/>
      <c r="I43" s="357"/>
      <c r="J43" s="358"/>
      <c r="K43" s="42">
        <f t="shared" ref="K43:U43" si="24">K44+K45</f>
        <v>-38697</v>
      </c>
      <c r="L43" s="42">
        <f t="shared" si="24"/>
        <v>-20461</v>
      </c>
      <c r="M43" s="42">
        <f t="shared" si="24"/>
        <v>66296</v>
      </c>
      <c r="N43" s="42">
        <f t="shared" si="24"/>
        <v>-17211</v>
      </c>
      <c r="O43" s="42">
        <f t="shared" si="24"/>
        <v>-90328</v>
      </c>
      <c r="P43" s="42">
        <f t="shared" si="24"/>
        <v>-112501</v>
      </c>
      <c r="Q43" s="42">
        <f t="shared" si="24"/>
        <v>-229167</v>
      </c>
      <c r="R43" s="42">
        <f t="shared" si="24"/>
        <v>-584008</v>
      </c>
      <c r="S43" s="42">
        <f t="shared" si="24"/>
        <v>-46678</v>
      </c>
      <c r="T43" s="42">
        <f t="shared" si="24"/>
        <v>377205</v>
      </c>
      <c r="U43" s="42">
        <f t="shared" si="24"/>
        <v>-10923</v>
      </c>
      <c r="V43" s="42"/>
      <c r="W43" s="42"/>
      <c r="X43" s="42"/>
      <c r="Y43" s="42"/>
      <c r="Z43" s="42"/>
      <c r="AA43" s="45"/>
      <c r="AB43" s="4"/>
      <c r="AC43" s="4"/>
      <c r="AD43" s="4"/>
      <c r="AE43" s="4"/>
      <c r="AF43" s="4"/>
      <c r="AG43" s="4"/>
      <c r="AH43" s="4"/>
      <c r="AI43" s="4"/>
      <c r="AJ43" s="4"/>
      <c r="AK43" s="4"/>
      <c r="AL43" s="4"/>
      <c r="AM43" s="4"/>
      <c r="AN43" s="4"/>
      <c r="AO43" s="4"/>
      <c r="AP43" s="4"/>
      <c r="AQ43" s="4"/>
      <c r="AR43" s="4"/>
      <c r="AS43" s="4"/>
      <c r="AT43" s="4"/>
    </row>
    <row r="44" spans="1:46" ht="30" customHeight="1">
      <c r="A44" s="12"/>
      <c r="B44" s="4"/>
      <c r="C44" s="4"/>
      <c r="D44" s="4"/>
      <c r="E44" s="350" t="s">
        <v>42</v>
      </c>
      <c r="F44" s="351"/>
      <c r="G44" s="351"/>
      <c r="H44" s="351"/>
      <c r="I44" s="351"/>
      <c r="J44" s="352"/>
      <c r="K44" s="42">
        <v>-19885</v>
      </c>
      <c r="L44" s="42">
        <v>-13925</v>
      </c>
      <c r="M44" s="42">
        <v>-21844</v>
      </c>
      <c r="N44" s="42">
        <v>-30178</v>
      </c>
      <c r="O44" s="42">
        <v>-72495</v>
      </c>
      <c r="P44" s="42">
        <v>-68869</v>
      </c>
      <c r="Q44" s="42">
        <v>-177605</v>
      </c>
      <c r="R44" s="42">
        <v>-126774</v>
      </c>
      <c r="S44" s="42">
        <v>-117262</v>
      </c>
      <c r="T44" s="42">
        <v>-85675</v>
      </c>
      <c r="U44" s="42">
        <v>-70729</v>
      </c>
      <c r="V44" s="42"/>
      <c r="W44" s="42"/>
      <c r="X44" s="42"/>
      <c r="Y44" s="42"/>
      <c r="Z44" s="42"/>
      <c r="AA44" s="45"/>
      <c r="AB44" s="4"/>
      <c r="AC44" s="4"/>
      <c r="AD44" s="4"/>
      <c r="AE44" s="4"/>
      <c r="AF44" s="4"/>
      <c r="AG44" s="4"/>
      <c r="AH44" s="4"/>
      <c r="AI44" s="4"/>
      <c r="AJ44" s="4"/>
      <c r="AK44" s="4"/>
      <c r="AL44" s="4"/>
      <c r="AM44" s="4"/>
      <c r="AN44" s="4"/>
      <c r="AO44" s="4"/>
      <c r="AP44" s="4"/>
      <c r="AQ44" s="4"/>
      <c r="AR44" s="4"/>
      <c r="AS44" s="4"/>
      <c r="AT44" s="4"/>
    </row>
    <row r="45" spans="1:46" ht="30" customHeight="1">
      <c r="A45" s="12"/>
      <c r="B45" s="4"/>
      <c r="C45" s="4"/>
      <c r="D45" s="4"/>
      <c r="E45" s="350" t="s">
        <v>43</v>
      </c>
      <c r="F45" s="351"/>
      <c r="G45" s="351"/>
      <c r="H45" s="351"/>
      <c r="I45" s="351"/>
      <c r="J45" s="352"/>
      <c r="K45" s="42">
        <v>-18812</v>
      </c>
      <c r="L45" s="42">
        <v>-6536</v>
      </c>
      <c r="M45" s="42">
        <v>88140</v>
      </c>
      <c r="N45" s="42">
        <v>12967</v>
      </c>
      <c r="O45" s="42">
        <v>-17833</v>
      </c>
      <c r="P45" s="42">
        <v>-43632</v>
      </c>
      <c r="Q45" s="42">
        <v>-51562</v>
      </c>
      <c r="R45" s="42">
        <v>-457234</v>
      </c>
      <c r="S45" s="42">
        <v>70584</v>
      </c>
      <c r="T45" s="42">
        <v>462880</v>
      </c>
      <c r="U45" s="42">
        <v>59806</v>
      </c>
      <c r="V45" s="42"/>
      <c r="W45" s="42"/>
      <c r="X45" s="42"/>
      <c r="Y45" s="42"/>
      <c r="Z45" s="42"/>
      <c r="AA45" s="45"/>
      <c r="AB45" s="4"/>
      <c r="AC45" s="4"/>
      <c r="AD45" s="4"/>
      <c r="AE45" s="4"/>
      <c r="AF45" s="4"/>
      <c r="AG45" s="4"/>
      <c r="AH45" s="4"/>
      <c r="AI45" s="4"/>
      <c r="AJ45" s="4"/>
      <c r="AK45" s="4"/>
      <c r="AL45" s="4"/>
      <c r="AM45" s="4"/>
      <c r="AN45" s="4"/>
      <c r="AO45" s="4"/>
      <c r="AP45" s="4"/>
      <c r="AQ45" s="4"/>
      <c r="AR45" s="4"/>
      <c r="AS45" s="4"/>
      <c r="AT45" s="4"/>
    </row>
    <row r="46" spans="1:46" ht="30" customHeight="1">
      <c r="A46" s="12"/>
      <c r="B46" s="4"/>
      <c r="C46" s="4"/>
      <c r="D46" s="4"/>
      <c r="E46" s="347" t="s">
        <v>162</v>
      </c>
      <c r="F46" s="348"/>
      <c r="G46" s="348"/>
      <c r="H46" s="348"/>
      <c r="I46" s="348"/>
      <c r="J46" s="349"/>
      <c r="K46" s="46">
        <f t="shared" ref="K46:U46" si="25">K42+K43</f>
        <v>72440</v>
      </c>
      <c r="L46" s="46">
        <f t="shared" si="25"/>
        <v>46761</v>
      </c>
      <c r="M46" s="46">
        <f t="shared" si="25"/>
        <v>-183174</v>
      </c>
      <c r="N46" s="46">
        <f t="shared" si="25"/>
        <v>16718</v>
      </c>
      <c r="O46" s="46">
        <f t="shared" si="25"/>
        <v>189170</v>
      </c>
      <c r="P46" s="46">
        <f t="shared" si="25"/>
        <v>318625</v>
      </c>
      <c r="Q46" s="46">
        <f t="shared" si="25"/>
        <v>426039</v>
      </c>
      <c r="R46" s="46">
        <f t="shared" si="25"/>
        <v>1328950</v>
      </c>
      <c r="S46" s="46">
        <f t="shared" si="25"/>
        <v>940707</v>
      </c>
      <c r="T46" s="46">
        <f t="shared" si="25"/>
        <v>-621850</v>
      </c>
      <c r="U46" s="46">
        <f t="shared" si="25"/>
        <v>90102</v>
      </c>
      <c r="V46" s="46"/>
      <c r="W46" s="42"/>
      <c r="X46" s="42"/>
      <c r="Y46" s="42"/>
      <c r="Z46" s="42"/>
      <c r="AA46" s="45"/>
      <c r="AB46" s="4"/>
      <c r="AC46" s="4"/>
      <c r="AD46" s="4"/>
      <c r="AE46" s="4"/>
      <c r="AF46" s="4"/>
      <c r="AG46" s="4"/>
      <c r="AH46" s="4"/>
      <c r="AI46" s="4"/>
      <c r="AJ46" s="4"/>
      <c r="AK46" s="4"/>
      <c r="AL46" s="4"/>
      <c r="AM46" s="4"/>
      <c r="AN46" s="4"/>
      <c r="AO46" s="4"/>
      <c r="AP46" s="4"/>
      <c r="AQ46" s="4"/>
      <c r="AR46" s="4"/>
      <c r="AS46" s="4"/>
      <c r="AT46" s="4"/>
    </row>
    <row r="47" spans="1:46" ht="30" customHeight="1">
      <c r="A47" s="12"/>
      <c r="B47" s="4"/>
      <c r="C47" s="4"/>
      <c r="D47" s="4"/>
      <c r="E47" s="356" t="s">
        <v>161</v>
      </c>
      <c r="F47" s="357" t="s">
        <v>58</v>
      </c>
      <c r="G47" s="357"/>
      <c r="H47" s="357"/>
      <c r="I47" s="357"/>
      <c r="J47" s="358"/>
      <c r="K47" s="42">
        <v>0</v>
      </c>
      <c r="L47" s="42">
        <v>0</v>
      </c>
      <c r="M47" s="42">
        <v>0</v>
      </c>
      <c r="N47" s="42">
        <v>0</v>
      </c>
      <c r="O47" s="42">
        <v>0</v>
      </c>
      <c r="P47" s="42">
        <v>0</v>
      </c>
      <c r="Q47" s="42">
        <v>-28539</v>
      </c>
      <c r="R47" s="42">
        <v>0</v>
      </c>
      <c r="S47" s="42"/>
      <c r="T47" s="42"/>
      <c r="U47" s="42"/>
      <c r="V47" s="42"/>
      <c r="W47" s="42"/>
      <c r="X47" s="42"/>
      <c r="Y47" s="42"/>
      <c r="Z47" s="42"/>
      <c r="AA47" s="45"/>
      <c r="AB47" s="4"/>
      <c r="AC47" s="4"/>
      <c r="AD47" s="4"/>
      <c r="AE47" s="4"/>
      <c r="AF47" s="4"/>
      <c r="AG47" s="4"/>
      <c r="AH47" s="4"/>
      <c r="AI47" s="4"/>
      <c r="AJ47" s="4"/>
      <c r="AK47" s="4"/>
      <c r="AL47" s="4"/>
      <c r="AM47" s="4"/>
      <c r="AN47" s="4"/>
      <c r="AO47" s="4"/>
      <c r="AP47" s="4"/>
      <c r="AQ47" s="4"/>
      <c r="AR47" s="4"/>
      <c r="AS47" s="4"/>
      <c r="AT47" s="4"/>
    </row>
    <row r="48" spans="1:46" ht="30" customHeight="1">
      <c r="A48" s="12"/>
      <c r="B48" s="4"/>
      <c r="C48" s="4"/>
      <c r="D48" s="4"/>
      <c r="E48" s="200" t="s">
        <v>497</v>
      </c>
      <c r="F48" s="201"/>
      <c r="G48" s="201"/>
      <c r="H48" s="201"/>
      <c r="I48" s="201"/>
      <c r="J48" s="202"/>
      <c r="K48" s="42">
        <v>1</v>
      </c>
      <c r="L48" s="42">
        <v>1</v>
      </c>
      <c r="M48" s="42">
        <v>0</v>
      </c>
      <c r="N48" s="42">
        <v>0</v>
      </c>
      <c r="O48" s="42">
        <v>0</v>
      </c>
      <c r="P48" s="42">
        <v>0</v>
      </c>
      <c r="Q48" s="42">
        <v>0</v>
      </c>
      <c r="R48" s="42">
        <v>0</v>
      </c>
      <c r="S48" s="42"/>
      <c r="T48" s="42"/>
      <c r="U48" s="42"/>
      <c r="V48" s="42"/>
      <c r="W48" s="42"/>
      <c r="X48" s="42"/>
      <c r="Y48" s="42"/>
      <c r="Z48" s="42"/>
      <c r="AA48" s="45"/>
      <c r="AB48" s="4"/>
      <c r="AC48" s="4"/>
      <c r="AD48" s="4"/>
      <c r="AE48" s="4"/>
      <c r="AF48" s="4"/>
      <c r="AG48" s="4"/>
      <c r="AH48" s="4"/>
      <c r="AI48" s="4"/>
      <c r="AJ48" s="4"/>
      <c r="AK48" s="4"/>
      <c r="AL48" s="4"/>
      <c r="AM48" s="4"/>
      <c r="AN48" s="4"/>
      <c r="AO48" s="4"/>
      <c r="AP48" s="4"/>
      <c r="AQ48" s="4"/>
      <c r="AR48" s="4"/>
      <c r="AS48" s="4"/>
      <c r="AT48" s="4"/>
    </row>
    <row r="49" spans="1:46" ht="30" customHeight="1">
      <c r="A49" s="12"/>
      <c r="B49" s="4"/>
      <c r="C49" s="4"/>
      <c r="D49" s="4"/>
      <c r="E49" s="347" t="s">
        <v>163</v>
      </c>
      <c r="F49" s="348"/>
      <c r="G49" s="348"/>
      <c r="H49" s="348"/>
      <c r="I49" s="348"/>
      <c r="J49" s="349"/>
      <c r="K49" s="46">
        <f t="shared" ref="K49:U49" si="26">SUM(K46:K48)</f>
        <v>72441</v>
      </c>
      <c r="L49" s="46">
        <f t="shared" si="26"/>
        <v>46762</v>
      </c>
      <c r="M49" s="46">
        <f t="shared" si="26"/>
        <v>-183174</v>
      </c>
      <c r="N49" s="46">
        <f t="shared" si="26"/>
        <v>16718</v>
      </c>
      <c r="O49" s="46">
        <f t="shared" si="26"/>
        <v>189170</v>
      </c>
      <c r="P49" s="46">
        <f t="shared" si="26"/>
        <v>318625</v>
      </c>
      <c r="Q49" s="46">
        <f t="shared" si="26"/>
        <v>397500</v>
      </c>
      <c r="R49" s="46">
        <f t="shared" si="26"/>
        <v>1328950</v>
      </c>
      <c r="S49" s="46">
        <f t="shared" si="26"/>
        <v>940707</v>
      </c>
      <c r="T49" s="46">
        <f t="shared" ref="T49" si="27">SUM(T46:T48)</f>
        <v>-621850</v>
      </c>
      <c r="U49" s="46">
        <f t="shared" si="26"/>
        <v>90102</v>
      </c>
      <c r="V49" s="42"/>
      <c r="W49" s="42"/>
      <c r="X49" s="42"/>
      <c r="Y49" s="42"/>
      <c r="Z49" s="42"/>
      <c r="AA49" s="45"/>
      <c r="AB49" s="4"/>
      <c r="AC49" s="4"/>
      <c r="AD49" s="4"/>
      <c r="AE49" s="4"/>
      <c r="AF49" s="4"/>
      <c r="AG49" s="4"/>
      <c r="AH49" s="4"/>
      <c r="AI49" s="4"/>
      <c r="AJ49" s="4"/>
      <c r="AK49" s="4"/>
      <c r="AL49" s="4"/>
      <c r="AM49" s="4"/>
      <c r="AN49" s="4"/>
      <c r="AO49" s="4"/>
      <c r="AP49" s="4"/>
      <c r="AQ49" s="4"/>
      <c r="AR49" s="4"/>
    </row>
    <row r="50" spans="1:46" ht="30" customHeight="1" thickBot="1">
      <c r="A50" s="12"/>
      <c r="B50" s="4"/>
      <c r="C50" s="4"/>
      <c r="D50" s="4"/>
      <c r="E50" s="370" t="s">
        <v>49</v>
      </c>
      <c r="F50" s="371"/>
      <c r="G50" s="371"/>
      <c r="H50" s="371"/>
      <c r="I50" s="371"/>
      <c r="J50" s="372"/>
      <c r="K50" s="44">
        <f t="shared" ref="K50:U50" si="28">K46/K16</f>
        <v>1.3077714916646718E-2</v>
      </c>
      <c r="L50" s="44">
        <f t="shared" si="28"/>
        <v>7.8066255397408173E-3</v>
      </c>
      <c r="M50" s="44">
        <f t="shared" si="28"/>
        <v>-2.8080751591723956E-2</v>
      </c>
      <c r="N50" s="44">
        <f t="shared" si="28"/>
        <v>2.3040864940673702E-3</v>
      </c>
      <c r="O50" s="44">
        <f t="shared" si="28"/>
        <v>2.3425496901759161E-2</v>
      </c>
      <c r="P50" s="44">
        <f t="shared" si="28"/>
        <v>3.2894706277760477E-2</v>
      </c>
      <c r="Q50" s="44">
        <f t="shared" si="28"/>
        <v>4.3442084613151528E-2</v>
      </c>
      <c r="R50" s="44">
        <f t="shared" si="28"/>
        <v>9.5840834476939959E-2</v>
      </c>
      <c r="S50" s="44">
        <f t="shared" si="28"/>
        <v>3.8582358449385443E-2</v>
      </c>
      <c r="T50" s="44">
        <f t="shared" ref="T50" si="29">T46/T16</f>
        <v>-1.9528248883064869E-2</v>
      </c>
      <c r="U50" s="44">
        <f t="shared" si="28"/>
        <v>9.8504578448026479E-3</v>
      </c>
      <c r="V50" s="187"/>
      <c r="W50" s="176"/>
      <c r="X50" s="176"/>
      <c r="Y50" s="176"/>
      <c r="Z50" s="176"/>
      <c r="AA50" s="188"/>
      <c r="AB50" s="4"/>
      <c r="AC50" s="4"/>
      <c r="AD50" s="4"/>
      <c r="AE50" s="4"/>
      <c r="AF50" s="4"/>
      <c r="AG50" s="4"/>
      <c r="AH50" s="4"/>
      <c r="AI50" s="4"/>
      <c r="AJ50" s="4"/>
      <c r="AK50" s="4"/>
      <c r="AL50" s="4"/>
      <c r="AM50" s="4"/>
      <c r="AN50" s="4"/>
      <c r="AO50" s="4"/>
      <c r="AP50" s="4"/>
      <c r="AQ50" s="4"/>
      <c r="AR50" s="4"/>
    </row>
    <row r="51" spans="1:46" ht="30" customHeight="1">
      <c r="A51" s="12"/>
      <c r="B51" s="4"/>
      <c r="C51" s="4"/>
      <c r="D51" s="4"/>
      <c r="E51" s="189"/>
      <c r="F51" s="189"/>
      <c r="G51" s="189"/>
      <c r="H51" s="189"/>
      <c r="I51" s="189"/>
      <c r="J51" s="189"/>
      <c r="K51" s="189"/>
      <c r="L51" s="189"/>
      <c r="M51" s="189"/>
      <c r="N51" s="189"/>
      <c r="O51" s="189"/>
      <c r="P51" s="189"/>
      <c r="Q51" s="177"/>
      <c r="R51" s="177"/>
      <c r="S51" s="177"/>
      <c r="T51" s="177"/>
      <c r="U51" s="177"/>
      <c r="V51" s="177"/>
      <c r="W51" s="177"/>
      <c r="X51" s="177"/>
      <c r="Y51" s="177"/>
      <c r="Z51" s="177"/>
      <c r="AA51" s="177"/>
      <c r="AB51" s="4"/>
      <c r="AC51" s="4"/>
      <c r="AD51" s="4"/>
      <c r="AE51" s="4"/>
      <c r="AF51" s="4"/>
      <c r="AG51" s="4"/>
      <c r="AH51" s="4"/>
      <c r="AI51" s="4"/>
      <c r="AJ51" s="4"/>
      <c r="AK51" s="4"/>
      <c r="AL51" s="4"/>
      <c r="AM51" s="4"/>
      <c r="AN51" s="4"/>
      <c r="AO51" s="4"/>
      <c r="AP51" s="4"/>
      <c r="AQ51" s="4"/>
      <c r="AR51" s="4"/>
    </row>
    <row r="52" spans="1:46" ht="30" customHeight="1">
      <c r="A52" s="12"/>
      <c r="B52" s="4"/>
      <c r="C52" s="4"/>
      <c r="D52" s="10"/>
      <c r="E52" s="43"/>
      <c r="F52" s="43"/>
      <c r="G52" s="43"/>
      <c r="H52" s="43"/>
      <c r="I52" s="43"/>
      <c r="J52" s="43"/>
      <c r="K52" s="43"/>
      <c r="L52" s="43"/>
      <c r="M52" s="43"/>
      <c r="N52" s="43"/>
      <c r="O52" s="43"/>
      <c r="P52" s="43"/>
      <c r="Q52" s="43"/>
      <c r="R52" s="43"/>
      <c r="S52" s="43"/>
      <c r="T52" s="43"/>
      <c r="U52" s="43"/>
      <c r="V52" s="43"/>
      <c r="W52" s="43"/>
      <c r="X52" s="43"/>
      <c r="Y52" s="43"/>
      <c r="Z52" s="43"/>
      <c r="AA52" s="43"/>
      <c r="AB52" s="43"/>
      <c r="AC52" s="4"/>
      <c r="AD52" s="4"/>
      <c r="AE52" s="4"/>
      <c r="AF52" s="4"/>
      <c r="AG52" s="4"/>
      <c r="AH52" s="4"/>
      <c r="AI52" s="4"/>
      <c r="AJ52" s="4"/>
      <c r="AK52" s="4"/>
      <c r="AL52" s="4"/>
      <c r="AM52" s="4"/>
      <c r="AN52" s="4"/>
      <c r="AO52" s="4"/>
      <c r="AP52" s="4"/>
      <c r="AQ52" s="4"/>
    </row>
    <row r="53" spans="1:46" ht="30" customHeight="1">
      <c r="A53" s="12"/>
      <c r="B53" s="4"/>
      <c r="C53" s="4"/>
      <c r="D53" s="4"/>
      <c r="E53" s="338"/>
      <c r="F53" s="339"/>
      <c r="G53" s="339"/>
      <c r="H53" s="339"/>
      <c r="I53" s="339"/>
      <c r="J53" s="340"/>
      <c r="K53" s="42"/>
      <c r="L53" s="42"/>
      <c r="M53" s="42"/>
      <c r="N53" s="42"/>
      <c r="O53" s="42"/>
      <c r="P53" s="42"/>
      <c r="Q53" s="42"/>
      <c r="R53" s="42"/>
      <c r="S53" s="42"/>
      <c r="T53" s="42"/>
      <c r="U53" s="42"/>
      <c r="V53" s="42"/>
      <c r="W53" s="42"/>
      <c r="X53" s="42"/>
      <c r="Y53" s="42"/>
      <c r="Z53" s="42"/>
      <c r="AA53" s="45"/>
      <c r="AB53" s="43"/>
      <c r="AC53" s="43"/>
      <c r="AD53" s="43"/>
      <c r="AE53" s="43"/>
      <c r="AF53" s="43"/>
      <c r="AG53" s="4"/>
      <c r="AH53" s="4"/>
      <c r="AI53" s="4"/>
      <c r="AJ53" s="4"/>
      <c r="AK53" s="4"/>
      <c r="AL53" s="4"/>
      <c r="AM53" s="4"/>
      <c r="AN53" s="4"/>
      <c r="AO53" s="4"/>
      <c r="AP53" s="4"/>
      <c r="AQ53" s="4"/>
    </row>
    <row r="54" spans="1:46" ht="30" customHeight="1">
      <c r="A54" s="12"/>
      <c r="B54" s="4"/>
      <c r="C54" s="4"/>
      <c r="D54" s="4"/>
      <c r="E54" s="341"/>
      <c r="F54" s="342"/>
      <c r="G54" s="342"/>
      <c r="H54" s="342"/>
      <c r="I54" s="342"/>
      <c r="J54" s="343"/>
      <c r="K54" s="37">
        <v>2014</v>
      </c>
      <c r="L54" s="37">
        <v>2015</v>
      </c>
      <c r="M54" s="37">
        <v>2016</v>
      </c>
      <c r="N54" s="37">
        <v>2017</v>
      </c>
      <c r="O54" s="37">
        <v>2018</v>
      </c>
      <c r="P54" s="37">
        <v>2019</v>
      </c>
      <c r="Q54" s="37">
        <v>2020</v>
      </c>
      <c r="R54" s="37">
        <v>2021</v>
      </c>
      <c r="S54" s="37">
        <v>2022</v>
      </c>
      <c r="T54" s="37">
        <v>2023</v>
      </c>
      <c r="U54" s="37" t="s">
        <v>518</v>
      </c>
      <c r="V54" s="37" t="s">
        <v>522</v>
      </c>
      <c r="W54" s="38">
        <v>2024</v>
      </c>
      <c r="X54" s="38">
        <f>W54+1</f>
        <v>2025</v>
      </c>
      <c r="Y54" s="38">
        <f t="shared" ref="Y54:AA54" si="30">X54+1</f>
        <v>2026</v>
      </c>
      <c r="Z54" s="38">
        <f t="shared" si="30"/>
        <v>2027</v>
      </c>
      <c r="AA54" s="38">
        <f t="shared" si="30"/>
        <v>2028</v>
      </c>
      <c r="AB54" s="219"/>
      <c r="AC54" s="43"/>
      <c r="AD54" s="43"/>
      <c r="AE54" s="43"/>
      <c r="AF54" s="43"/>
      <c r="AG54" s="4"/>
      <c r="AH54" s="4"/>
      <c r="AI54" s="4"/>
      <c r="AJ54" s="4"/>
      <c r="AK54" s="4"/>
      <c r="AL54" s="4"/>
      <c r="AM54" s="4"/>
      <c r="AN54" s="4"/>
      <c r="AO54" s="4"/>
      <c r="AP54" s="4"/>
      <c r="AQ54" s="4"/>
    </row>
    <row r="55" spans="1:46" ht="30" customHeight="1">
      <c r="A55" s="12"/>
      <c r="B55" s="4"/>
      <c r="C55" s="4"/>
      <c r="D55" s="4"/>
      <c r="E55" s="344" t="s">
        <v>291</v>
      </c>
      <c r="F55" s="345">
        <v>3.0034188360677654E-2</v>
      </c>
      <c r="G55" s="345">
        <v>-2.0925409668865167E-2</v>
      </c>
      <c r="H55" s="345">
        <v>-4.3315116285197811E-2</v>
      </c>
      <c r="I55" s="345">
        <v>0.13811997676197324</v>
      </c>
      <c r="J55" s="346">
        <v>-0.59211219068587562</v>
      </c>
      <c r="K55" s="44">
        <f t="shared" ref="K55:T55" si="31">IFERROR(IF(K35&gt;0,-K43/K35,"-"),"-")</f>
        <v>8.4105263615459183E-2</v>
      </c>
      <c r="L55" s="44">
        <f t="shared" si="31"/>
        <v>3.5068685674130823E-2</v>
      </c>
      <c r="M55" s="44">
        <f t="shared" si="31"/>
        <v>-0.13291551636683688</v>
      </c>
      <c r="N55" s="44">
        <f t="shared" si="31"/>
        <v>2.4431132624526241E-2</v>
      </c>
      <c r="O55" s="44">
        <f t="shared" si="31"/>
        <v>9.4021444400380128E-2</v>
      </c>
      <c r="P55" s="44">
        <f t="shared" si="31"/>
        <v>9.3816113712458252E-2</v>
      </c>
      <c r="Q55" s="44">
        <f t="shared" si="31"/>
        <v>0.22249612129144006</v>
      </c>
      <c r="R55" s="44">
        <f t="shared" si="31"/>
        <v>0.18655118539835319</v>
      </c>
      <c r="S55" s="44">
        <f t="shared" si="31"/>
        <v>9.1224699109758878E-3</v>
      </c>
      <c r="T55" s="44">
        <f t="shared" si="31"/>
        <v>-7.7064423737570928E-2</v>
      </c>
      <c r="U55" s="44">
        <f>IFERROR(IF(U35&gt;0,-U43/U35,"-"),"-")</f>
        <v>6.9222155399080963E-3</v>
      </c>
      <c r="V55" s="44">
        <f>IFERROR(IF(V35&gt;0,-V43/V35,"-"),"-")</f>
        <v>0</v>
      </c>
      <c r="W55" s="44">
        <f>AVERAGE($P$55:$S$55)</f>
        <v>0.12799647257830685</v>
      </c>
      <c r="X55" s="44"/>
      <c r="Y55" s="44"/>
      <c r="Z55" s="44"/>
      <c r="AA55" s="44"/>
      <c r="AB55" s="219"/>
      <c r="AC55" s="43"/>
      <c r="AD55" s="43"/>
      <c r="AE55" s="43"/>
      <c r="AF55" s="43"/>
      <c r="AG55" s="4"/>
      <c r="AH55" s="4"/>
      <c r="AI55" s="4"/>
      <c r="AJ55" s="4"/>
      <c r="AK55" s="4"/>
      <c r="AL55" s="4"/>
      <c r="AM55" s="4"/>
      <c r="AN55" s="4"/>
      <c r="AO55" s="4"/>
      <c r="AP55" s="4"/>
      <c r="AQ55" s="4"/>
    </row>
    <row r="56" spans="1:46" ht="30" customHeight="1">
      <c r="A56" s="12"/>
      <c r="B56" s="4"/>
      <c r="C56" s="4"/>
      <c r="D56" s="4"/>
      <c r="E56" s="245" t="s">
        <v>77</v>
      </c>
      <c r="F56" s="239"/>
      <c r="G56" s="239"/>
      <c r="H56" s="239"/>
      <c r="I56" s="239"/>
      <c r="J56" s="240"/>
      <c r="K56" s="46"/>
      <c r="L56" s="46"/>
      <c r="M56" s="46"/>
      <c r="N56" s="46"/>
      <c r="O56" s="46"/>
      <c r="P56" s="42">
        <f>'Projeções - CG + Capex'!P48</f>
        <v>127308</v>
      </c>
      <c r="Q56" s="42">
        <f>'Projeções - CG + Capex'!Q48</f>
        <v>129146</v>
      </c>
      <c r="R56" s="42">
        <f>'Projeções - CG + Capex'!R48</f>
        <v>186383</v>
      </c>
      <c r="S56" s="42">
        <f>'Projeções - CG + Capex'!S48</f>
        <v>199519</v>
      </c>
      <c r="T56" s="42">
        <f>'Projeções - CG + Capex'!T48</f>
        <v>357907</v>
      </c>
      <c r="U56" s="42">
        <f>'Projeções - CG + Capex'!U48</f>
        <v>98340</v>
      </c>
      <c r="V56" s="42">
        <f>'Projeções - CG + Capex'!U48</f>
        <v>98340</v>
      </c>
      <c r="W56" s="42">
        <f>W57*W16</f>
        <v>502302.21580555098</v>
      </c>
      <c r="X56" s="42"/>
      <c r="Y56" s="42"/>
      <c r="Z56" s="42"/>
      <c r="AA56" s="89"/>
      <c r="AB56" s="219"/>
      <c r="AC56" s="43"/>
      <c r="AD56" s="43"/>
      <c r="AE56" s="43"/>
      <c r="AF56" s="43"/>
      <c r="AG56" s="4"/>
      <c r="AH56" s="4"/>
      <c r="AI56" s="4"/>
      <c r="AJ56" s="4"/>
      <c r="AK56" s="4"/>
      <c r="AL56" s="4"/>
      <c r="AM56" s="4"/>
      <c r="AN56" s="4"/>
      <c r="AO56" s="4"/>
      <c r="AP56" s="4"/>
      <c r="AQ56" s="4"/>
    </row>
    <row r="57" spans="1:46" ht="30" customHeight="1">
      <c r="A57" s="12"/>
      <c r="B57" s="4"/>
      <c r="C57" s="4"/>
      <c r="D57" s="4"/>
      <c r="E57" s="53" t="s">
        <v>78</v>
      </c>
      <c r="F57" s="239"/>
      <c r="G57" s="239"/>
      <c r="H57" s="239"/>
      <c r="I57" s="239"/>
      <c r="J57" s="240"/>
      <c r="K57" s="44">
        <f>K56/K16</f>
        <v>0</v>
      </c>
      <c r="L57" s="44">
        <f t="shared" ref="L57:R57" si="32">L56/L16</f>
        <v>0</v>
      </c>
      <c r="M57" s="44">
        <f t="shared" si="32"/>
        <v>0</v>
      </c>
      <c r="N57" s="44">
        <f t="shared" si="32"/>
        <v>0</v>
      </c>
      <c r="O57" s="44">
        <f t="shared" si="32"/>
        <v>0</v>
      </c>
      <c r="P57" s="44">
        <f t="shared" si="32"/>
        <v>1.3143222492927832E-2</v>
      </c>
      <c r="Q57" s="44">
        <f t="shared" si="32"/>
        <v>1.3168680471623648E-2</v>
      </c>
      <c r="R57" s="44">
        <f t="shared" si="32"/>
        <v>1.3441515672008353E-2</v>
      </c>
      <c r="S57" s="44">
        <f t="shared" ref="S57:U57" si="33">S56/S16</f>
        <v>8.183115013987283E-3</v>
      </c>
      <c r="T57" s="44">
        <f t="shared" si="33"/>
        <v>1.1239522349426869E-2</v>
      </c>
      <c r="U57" s="44">
        <f t="shared" si="33"/>
        <v>1.0751082378392183E-2</v>
      </c>
      <c r="V57" s="44">
        <f t="shared" ref="V57" si="34">V56/V16</f>
        <v>3.4194090791977152E-3</v>
      </c>
      <c r="W57" s="44">
        <f>AVERAGE(P57:R57)</f>
        <v>1.3251139545519944E-2</v>
      </c>
      <c r="X57" s="44"/>
      <c r="Y57" s="44"/>
      <c r="Z57" s="44"/>
      <c r="AA57" s="44"/>
      <c r="AB57" s="219"/>
      <c r="AC57" s="43"/>
      <c r="AD57" s="43"/>
      <c r="AE57" s="43"/>
      <c r="AF57" s="43"/>
      <c r="AG57" s="4"/>
      <c r="AH57" s="4"/>
      <c r="AI57" s="4"/>
      <c r="AJ57" s="4"/>
      <c r="AK57" s="4"/>
      <c r="AL57" s="4"/>
      <c r="AM57" s="4"/>
      <c r="AN57" s="4"/>
      <c r="AO57" s="4"/>
      <c r="AP57" s="4"/>
      <c r="AQ57" s="4"/>
    </row>
    <row r="58" spans="1:46" ht="29.25" customHeight="1" thickBot="1">
      <c r="A58" s="12"/>
      <c r="B58" s="4"/>
      <c r="C58" s="4"/>
      <c r="D58" s="4"/>
      <c r="E58" s="347" t="s">
        <v>24</v>
      </c>
      <c r="F58" s="348">
        <v>215718</v>
      </c>
      <c r="G58" s="348">
        <v>230388</v>
      </c>
      <c r="H58" s="348">
        <v>181530</v>
      </c>
      <c r="I58" s="348">
        <v>-272310</v>
      </c>
      <c r="J58" s="349">
        <v>-42610.000000000007</v>
      </c>
      <c r="K58" s="46">
        <f t="shared" ref="K58:R58" si="35">K37+K43+K56</f>
        <v>445921</v>
      </c>
      <c r="L58" s="46">
        <f t="shared" si="35"/>
        <v>528790</v>
      </c>
      <c r="M58" s="46">
        <f t="shared" si="35"/>
        <v>534635</v>
      </c>
      <c r="N58" s="46">
        <f t="shared" si="35"/>
        <v>653055</v>
      </c>
      <c r="O58" s="46">
        <f t="shared" si="35"/>
        <v>839945</v>
      </c>
      <c r="P58" s="46">
        <f t="shared" si="35"/>
        <v>1214901</v>
      </c>
      <c r="Q58" s="46">
        <f t="shared" si="35"/>
        <v>1071644</v>
      </c>
      <c r="R58" s="46">
        <f t="shared" si="35"/>
        <v>2625360</v>
      </c>
      <c r="S58" s="46">
        <f t="shared" ref="S58:U58" si="36">S37+S43+S56</f>
        <v>5257131</v>
      </c>
      <c r="T58" s="46">
        <f t="shared" si="36"/>
        <v>5646286</v>
      </c>
      <c r="U58" s="46">
        <f t="shared" si="36"/>
        <v>1672336</v>
      </c>
      <c r="V58" s="46">
        <f t="shared" ref="V58" si="37">V37+V43+V56</f>
        <v>5081538.6572594885</v>
      </c>
      <c r="W58" s="46"/>
      <c r="X58" s="46"/>
      <c r="Y58" s="46"/>
      <c r="Z58" s="46"/>
      <c r="AA58" s="254"/>
      <c r="AB58" s="219"/>
      <c r="AC58" s="43"/>
      <c r="AD58" s="43"/>
      <c r="AE58" s="43"/>
      <c r="AF58" s="43"/>
      <c r="AG58" s="4"/>
      <c r="AH58" s="4"/>
      <c r="AI58" s="4"/>
      <c r="AJ58" s="4"/>
      <c r="AK58" s="4"/>
      <c r="AL58" s="4"/>
      <c r="AM58" s="4"/>
      <c r="AN58" s="4"/>
      <c r="AO58" s="4"/>
      <c r="AP58" s="4"/>
      <c r="AQ58" s="4"/>
    </row>
    <row r="59" spans="1:46" ht="30" customHeight="1">
      <c r="A59" s="12"/>
      <c r="B59" s="4"/>
      <c r="C59" s="4"/>
      <c r="D59" s="4"/>
      <c r="E59" s="191"/>
      <c r="F59" s="191"/>
      <c r="G59" s="191"/>
      <c r="H59" s="191"/>
      <c r="I59" s="191"/>
      <c r="J59" s="191"/>
      <c r="K59" s="181"/>
      <c r="L59" s="181"/>
      <c r="M59" s="181"/>
      <c r="N59" s="181"/>
      <c r="O59" s="181"/>
      <c r="P59" s="181"/>
      <c r="Q59" s="181"/>
      <c r="R59" s="177"/>
      <c r="S59" s="177"/>
      <c r="T59" s="177"/>
      <c r="U59" s="177"/>
      <c r="V59" s="177"/>
      <c r="W59" s="177"/>
      <c r="X59" s="177"/>
      <c r="Y59" s="177"/>
      <c r="Z59" s="177"/>
      <c r="AA59" s="177"/>
      <c r="AB59" s="43"/>
      <c r="AC59" s="43"/>
      <c r="AD59" s="43"/>
      <c r="AE59" s="43"/>
      <c r="AF59" s="43"/>
      <c r="AG59" s="4"/>
      <c r="AH59" s="4"/>
      <c r="AI59" s="4"/>
      <c r="AJ59" s="4"/>
      <c r="AK59" s="4"/>
      <c r="AL59" s="4"/>
      <c r="AM59" s="4"/>
      <c r="AN59" s="4"/>
      <c r="AO59" s="4"/>
      <c r="AP59" s="4"/>
      <c r="AQ59" s="4"/>
      <c r="AR59" s="4"/>
      <c r="AS59" s="4"/>
      <c r="AT59" s="4"/>
    </row>
    <row r="60" spans="1:46" ht="30" customHeight="1">
      <c r="A60" s="12"/>
      <c r="B60" s="4"/>
      <c r="C60" s="4"/>
      <c r="D60" s="4"/>
      <c r="E60" s="50"/>
      <c r="F60" s="50"/>
      <c r="G60" s="50"/>
      <c r="H60" s="50"/>
      <c r="I60" s="50"/>
      <c r="J60" s="50"/>
      <c r="K60" s="51"/>
      <c r="L60" s="51"/>
      <c r="M60" s="51"/>
      <c r="N60" s="51"/>
      <c r="O60" s="51"/>
      <c r="P60" s="51"/>
      <c r="Q60" s="51"/>
      <c r="R60" s="4"/>
      <c r="S60" s="4"/>
      <c r="T60" s="4"/>
      <c r="U60" s="4"/>
      <c r="V60" s="4"/>
      <c r="W60" s="4"/>
      <c r="X60" s="4"/>
      <c r="Y60" s="4"/>
      <c r="Z60" s="4"/>
      <c r="AA60" s="4"/>
      <c r="AB60" s="43"/>
      <c r="AC60" s="43"/>
      <c r="AD60" s="43"/>
      <c r="AE60" s="43"/>
      <c r="AF60" s="43"/>
      <c r="AG60" s="4"/>
      <c r="AH60" s="4"/>
      <c r="AI60" s="4"/>
      <c r="AJ60" s="4"/>
      <c r="AK60" s="4"/>
      <c r="AL60" s="4"/>
      <c r="AM60" s="4"/>
      <c r="AN60" s="4"/>
      <c r="AO60" s="4"/>
      <c r="AP60" s="4"/>
      <c r="AQ60" s="4"/>
      <c r="AR60" s="4"/>
      <c r="AS60" s="4"/>
      <c r="AT60" s="4"/>
    </row>
    <row r="61" spans="1:46" ht="30" customHeight="1">
      <c r="A61" s="12"/>
      <c r="B61" s="4"/>
      <c r="C61" s="4"/>
      <c r="D61" s="4"/>
      <c r="E61" s="338"/>
      <c r="F61" s="339"/>
      <c r="G61" s="339"/>
      <c r="H61" s="339"/>
      <c r="I61" s="339"/>
      <c r="J61" s="340"/>
      <c r="K61" s="42"/>
      <c r="L61" s="42"/>
      <c r="M61" s="42"/>
      <c r="N61" s="42"/>
      <c r="O61" s="42"/>
      <c r="P61" s="42"/>
      <c r="Q61" s="42"/>
      <c r="R61" s="42"/>
      <c r="S61" s="42"/>
      <c r="T61" s="42"/>
      <c r="U61" s="42"/>
      <c r="V61" s="42"/>
      <c r="W61" s="42"/>
      <c r="X61" s="42"/>
      <c r="Y61" s="42"/>
      <c r="Z61" s="42"/>
      <c r="AA61" s="45"/>
      <c r="AB61" s="43"/>
      <c r="AC61" s="43"/>
      <c r="AD61" s="43"/>
      <c r="AE61" s="43"/>
      <c r="AF61" s="43"/>
      <c r="AG61" s="4"/>
      <c r="AH61" s="4"/>
      <c r="AI61" s="4"/>
      <c r="AJ61" s="4"/>
      <c r="AK61" s="4"/>
      <c r="AL61" s="4"/>
      <c r="AM61" s="4"/>
      <c r="AN61" s="4"/>
      <c r="AO61" s="4"/>
      <c r="AP61" s="4"/>
      <c r="AQ61" s="4"/>
      <c r="AR61" s="4"/>
      <c r="AS61" s="4"/>
      <c r="AT61" s="4"/>
    </row>
    <row r="62" spans="1:46" ht="30" customHeight="1">
      <c r="A62" s="12"/>
      <c r="B62" s="4"/>
      <c r="C62" s="4"/>
      <c r="D62" s="4"/>
      <c r="E62" s="341"/>
      <c r="F62" s="342"/>
      <c r="G62" s="342"/>
      <c r="H62" s="342"/>
      <c r="I62" s="342"/>
      <c r="J62" s="343"/>
      <c r="K62" s="37">
        <v>2014</v>
      </c>
      <c r="L62" s="37">
        <v>2015</v>
      </c>
      <c r="M62" s="37">
        <v>2016</v>
      </c>
      <c r="N62" s="37">
        <v>2017</v>
      </c>
      <c r="O62" s="37">
        <v>2018</v>
      </c>
      <c r="P62" s="37">
        <v>2019</v>
      </c>
      <c r="Q62" s="37">
        <v>2020</v>
      </c>
      <c r="R62" s="37">
        <v>2021</v>
      </c>
      <c r="S62" s="37">
        <v>2022</v>
      </c>
      <c r="T62" s="37">
        <v>2023</v>
      </c>
      <c r="U62" s="37" t="s">
        <v>518</v>
      </c>
      <c r="V62" s="37" t="s">
        <v>522</v>
      </c>
      <c r="W62" s="38">
        <v>2024</v>
      </c>
      <c r="X62" s="38">
        <f>W62+1</f>
        <v>2025</v>
      </c>
      <c r="Y62" s="38">
        <f t="shared" ref="Y62:AA62" si="38">X62+1</f>
        <v>2026</v>
      </c>
      <c r="Z62" s="38">
        <f t="shared" si="38"/>
        <v>2027</v>
      </c>
      <c r="AA62" s="38">
        <f t="shared" si="38"/>
        <v>2028</v>
      </c>
      <c r="AB62" s="43"/>
      <c r="AC62" s="43"/>
      <c r="AD62" s="43"/>
      <c r="AE62" s="43"/>
      <c r="AF62" s="43"/>
      <c r="AG62" s="4"/>
      <c r="AH62" s="4"/>
      <c r="AI62" s="4"/>
      <c r="AJ62" s="4"/>
      <c r="AK62" s="4"/>
      <c r="AL62" s="4"/>
      <c r="AM62" s="4"/>
      <c r="AN62" s="4"/>
      <c r="AO62" s="4"/>
      <c r="AP62" s="4"/>
      <c r="AQ62" s="4"/>
      <c r="AR62" s="4"/>
      <c r="AS62" s="4"/>
      <c r="AT62" s="4"/>
    </row>
    <row r="63" spans="1:46" ht="30" customHeight="1">
      <c r="A63" s="12"/>
      <c r="B63" s="4"/>
      <c r="C63" s="4"/>
      <c r="D63" s="4"/>
      <c r="E63" s="344" t="s">
        <v>266</v>
      </c>
      <c r="F63" s="345">
        <v>3.0034188360677654E-2</v>
      </c>
      <c r="G63" s="345">
        <v>-2.0925409668865167E-2</v>
      </c>
      <c r="H63" s="345">
        <v>-4.3315116285197811E-2</v>
      </c>
      <c r="I63" s="345">
        <v>0.13811997676197324</v>
      </c>
      <c r="J63" s="346">
        <v>-0.59211219068587562</v>
      </c>
      <c r="K63" s="44"/>
      <c r="L63" s="44"/>
      <c r="M63" s="44"/>
      <c r="N63" s="42">
        <v>569446</v>
      </c>
      <c r="O63" s="42">
        <v>479168.73177350027</v>
      </c>
      <c r="P63" s="42">
        <v>171363.2582335003</v>
      </c>
      <c r="Q63" s="42">
        <v>43916.532372999936</v>
      </c>
      <c r="R63" s="42">
        <v>-883487.04265453259</v>
      </c>
      <c r="S63" s="42">
        <v>78146</v>
      </c>
      <c r="T63" s="42">
        <v>-839578</v>
      </c>
      <c r="U63" s="42">
        <v>-199025.6606099761</v>
      </c>
      <c r="V63" s="42">
        <v>-816025.97065932001</v>
      </c>
      <c r="W63" s="42">
        <v>-874796.62304518872</v>
      </c>
      <c r="X63" s="42">
        <v>-424255.69293513364</v>
      </c>
      <c r="Y63" s="42">
        <v>-212381.38423623217</v>
      </c>
      <c r="Z63" s="42">
        <v>366115.00427596655</v>
      </c>
      <c r="AA63" s="321">
        <v>771281.76256402978</v>
      </c>
      <c r="AB63" s="43"/>
      <c r="AC63" s="43"/>
      <c r="AD63" s="43"/>
      <c r="AE63" s="43"/>
      <c r="AF63" s="43"/>
      <c r="AG63" s="4"/>
      <c r="AH63" s="4"/>
      <c r="AI63" s="4"/>
      <c r="AJ63" s="4"/>
      <c r="AK63" s="4"/>
      <c r="AL63" s="4"/>
      <c r="AM63" s="4"/>
      <c r="AN63" s="4"/>
      <c r="AO63" s="4"/>
      <c r="AP63" s="4"/>
      <c r="AQ63" s="4"/>
      <c r="AR63" s="4"/>
      <c r="AS63" s="4"/>
      <c r="AT63" s="4"/>
    </row>
    <row r="64" spans="1:46" ht="30" customHeight="1">
      <c r="A64" s="12"/>
      <c r="B64" s="4"/>
      <c r="C64" s="4"/>
      <c r="D64" s="4"/>
      <c r="E64" s="318" t="s">
        <v>267</v>
      </c>
      <c r="F64" s="239"/>
      <c r="G64" s="239"/>
      <c r="H64" s="239"/>
      <c r="I64" s="239"/>
      <c r="J64" s="240"/>
      <c r="K64" s="46"/>
      <c r="L64" s="46"/>
      <c r="M64" s="46"/>
      <c r="N64" s="42">
        <v>-478120.24999813765</v>
      </c>
      <c r="O64" s="42">
        <v>-575059.39999990223</v>
      </c>
      <c r="P64" s="42">
        <v>-682431.12500392552</v>
      </c>
      <c r="Q64" s="42">
        <v>-773022.00000012212</v>
      </c>
      <c r="R64" s="42">
        <v>-3740225.9999921899</v>
      </c>
      <c r="S64" s="42">
        <v>-3112013.1040001954</v>
      </c>
      <c r="T64" s="42">
        <v>1864502</v>
      </c>
      <c r="U64" s="42">
        <v>1059446</v>
      </c>
      <c r="V64" s="42">
        <v>1477124.6259534752</v>
      </c>
      <c r="W64" s="42">
        <v>-441486.61935647123</v>
      </c>
      <c r="X64" s="42">
        <v>405703.94285046303</v>
      </c>
      <c r="Y64" s="42">
        <v>223302.82451848741</v>
      </c>
      <c r="Z64" s="42">
        <v>-40989.663876284656</v>
      </c>
      <c r="AA64" s="321">
        <v>-2780.2914526546888</v>
      </c>
      <c r="AB64" s="43"/>
      <c r="AC64" s="43"/>
      <c r="AD64" s="43"/>
      <c r="AE64" s="43"/>
      <c r="AF64" s="43"/>
      <c r="AG64" s="4"/>
      <c r="AH64" s="4"/>
      <c r="AI64" s="4"/>
      <c r="AJ64" s="4"/>
      <c r="AK64" s="4"/>
      <c r="AL64" s="4"/>
      <c r="AM64" s="4"/>
      <c r="AN64" s="4"/>
      <c r="AO64" s="4"/>
      <c r="AP64" s="4"/>
      <c r="AQ64" s="4"/>
      <c r="AR64" s="4"/>
      <c r="AS64" s="4"/>
      <c r="AT64" s="4"/>
    </row>
    <row r="65" spans="1:46" ht="30" customHeight="1">
      <c r="A65" s="12"/>
      <c r="B65" s="4"/>
      <c r="C65" s="4"/>
      <c r="D65" s="4"/>
      <c r="E65" s="318" t="s">
        <v>268</v>
      </c>
      <c r="F65" s="239"/>
      <c r="G65" s="239"/>
      <c r="H65" s="239"/>
      <c r="I65" s="239"/>
      <c r="J65" s="240"/>
      <c r="K65" s="44"/>
      <c r="L65" s="44"/>
      <c r="M65" s="44"/>
      <c r="N65" s="42">
        <v>18384.975539992309</v>
      </c>
      <c r="O65" s="42">
        <v>-78986.537949999023</v>
      </c>
      <c r="P65" s="42">
        <v>-280288.1275699999</v>
      </c>
      <c r="Q65" s="42">
        <v>-10630.655329999981</v>
      </c>
      <c r="R65" s="42">
        <v>-2176840.2999999998</v>
      </c>
      <c r="S65" s="42">
        <v>-2191416.1775752981</v>
      </c>
      <c r="T65" s="42">
        <v>-4231740</v>
      </c>
      <c r="U65" s="42">
        <v>-905322.49327526253</v>
      </c>
      <c r="V65" s="42">
        <v>-1367519.2922953458</v>
      </c>
      <c r="W65" s="42">
        <v>-1295653.7519073631</v>
      </c>
      <c r="X65" s="42">
        <v>-223959.71985629384</v>
      </c>
      <c r="Y65" s="42">
        <v>196890.08874838668</v>
      </c>
      <c r="Z65" s="42">
        <v>734271.84642189729</v>
      </c>
      <c r="AA65" s="321">
        <v>1060195.5394708705</v>
      </c>
      <c r="AB65" s="43"/>
      <c r="AC65" s="43"/>
      <c r="AD65" s="43"/>
      <c r="AE65" s="43"/>
      <c r="AF65" s="43"/>
      <c r="AG65" s="4"/>
      <c r="AH65" s="4"/>
      <c r="AI65" s="4"/>
      <c r="AJ65" s="4"/>
      <c r="AK65" s="4"/>
      <c r="AL65" s="4"/>
      <c r="AM65" s="4"/>
      <c r="AN65" s="4"/>
      <c r="AO65" s="4"/>
      <c r="AP65" s="4"/>
      <c r="AQ65" s="4"/>
      <c r="AR65" s="4"/>
      <c r="AS65" s="4"/>
      <c r="AT65" s="4"/>
    </row>
    <row r="66" spans="1:46" ht="30" customHeight="1">
      <c r="A66" s="12"/>
      <c r="B66" s="4"/>
      <c r="C66" s="4"/>
      <c r="D66" s="4"/>
      <c r="E66" s="35" t="s">
        <v>507</v>
      </c>
      <c r="F66" s="239"/>
      <c r="G66" s="239"/>
      <c r="H66" s="239"/>
      <c r="I66" s="239"/>
      <c r="J66" s="240"/>
      <c r="K66" s="44"/>
      <c r="L66" s="44"/>
      <c r="M66" s="44"/>
      <c r="N66" s="42"/>
      <c r="O66" s="42">
        <f>'DRE + DCF'!O36</f>
        <v>-136695.33700359368</v>
      </c>
      <c r="P66" s="42">
        <f>'DRE + DCF'!P36</f>
        <v>-170205.99906349313</v>
      </c>
      <c r="Q66" s="42">
        <f>'DRE + DCF'!Q36</f>
        <v>19586.008466995438</v>
      </c>
      <c r="R66" s="42">
        <f>'DRE + DCF'!R36</f>
        <v>-742156.36743214435</v>
      </c>
      <c r="S66" s="42">
        <f>'DRE + DCF'!S36</f>
        <v>-1997146.0058585254</v>
      </c>
      <c r="T66" s="42">
        <f>'DRE + DCF'!T36</f>
        <v>-5014840.0752477013</v>
      </c>
      <c r="U66" s="42">
        <f>'DRE + DCF'!U36</f>
        <v>-334459.39312928368</v>
      </c>
      <c r="V66" s="42">
        <f>'DRE + DCF'!V36</f>
        <v>-347388.36450039363</v>
      </c>
      <c r="W66" s="42">
        <f>'DRE + DCF'!W36</f>
        <v>-681847.7576296773</v>
      </c>
      <c r="X66" s="42">
        <f>'DRE + DCF'!X36</f>
        <v>836789.31501747423</v>
      </c>
      <c r="Y66" s="42">
        <f>'DRE + DCF'!Y36</f>
        <v>853428.79876872012</v>
      </c>
      <c r="Z66" s="42">
        <f>'DRE + DCF'!Z36</f>
        <v>1122098.1706328348</v>
      </c>
      <c r="AA66" s="42">
        <f>'DRE + DCF'!AA36</f>
        <v>1197536.3163383207</v>
      </c>
      <c r="AB66" s="43"/>
      <c r="AC66" s="43"/>
      <c r="AD66" s="43"/>
      <c r="AE66" s="43"/>
      <c r="AF66" s="43"/>
      <c r="AG66" s="4"/>
      <c r="AH66" s="4"/>
      <c r="AI66" s="4"/>
      <c r="AJ66" s="4"/>
      <c r="AK66" s="4"/>
      <c r="AL66" s="4"/>
      <c r="AM66" s="4"/>
      <c r="AN66" s="4"/>
      <c r="AO66" s="4"/>
      <c r="AP66" s="4"/>
      <c r="AQ66" s="4"/>
      <c r="AR66" s="4"/>
      <c r="AS66" s="4"/>
      <c r="AT66" s="4"/>
    </row>
    <row r="67" spans="1:46" ht="30" customHeight="1">
      <c r="A67" s="12"/>
      <c r="B67" s="4"/>
      <c r="C67" s="4"/>
      <c r="D67" s="4"/>
      <c r="E67" s="347" t="s">
        <v>265</v>
      </c>
      <c r="F67" s="348">
        <v>215718</v>
      </c>
      <c r="G67" s="348">
        <v>230388</v>
      </c>
      <c r="H67" s="348">
        <v>181530</v>
      </c>
      <c r="I67" s="348">
        <v>-272310</v>
      </c>
      <c r="J67" s="349">
        <v>-42610.000000000007</v>
      </c>
      <c r="K67" s="46"/>
      <c r="L67" s="46"/>
      <c r="M67" s="46"/>
      <c r="N67" s="46">
        <f>SUM(N63:N66)</f>
        <v>109710.72554185466</v>
      </c>
      <c r="O67" s="46">
        <f t="shared" ref="O67" si="39">SUM(O63:O66)</f>
        <v>-311572.54317999468</v>
      </c>
      <c r="P67" s="46">
        <f t="shared" ref="P67" si="40">SUM(P63:P66)</f>
        <v>-961561.99340391823</v>
      </c>
      <c r="Q67" s="46">
        <f t="shared" ref="Q67" si="41">SUM(Q63:Q66)</f>
        <v>-720150.11449012673</v>
      </c>
      <c r="R67" s="46">
        <f t="shared" ref="R67" si="42">SUM(R63:R66)</f>
        <v>-7542709.7100788672</v>
      </c>
      <c r="S67" s="46">
        <f t="shared" ref="S67:T67" si="43">SUM(S63:S66)</f>
        <v>-7222429.2874340191</v>
      </c>
      <c r="T67" s="46">
        <f t="shared" si="43"/>
        <v>-8221656.0752477013</v>
      </c>
      <c r="U67" s="46">
        <f t="shared" ref="U67" si="44">SUM(U63:U66)</f>
        <v>-379361.54701452237</v>
      </c>
      <c r="V67" s="46">
        <f t="shared" ref="V67" si="45">SUM(V63:V66)</f>
        <v>-1053809.0015015842</v>
      </c>
      <c r="W67" s="46">
        <f t="shared" ref="W67" si="46">SUM(W63:W66)</f>
        <v>-3293784.7519387002</v>
      </c>
      <c r="X67" s="46">
        <f t="shared" ref="X67" si="47">SUM(X63:X66)</f>
        <v>594277.84507650975</v>
      </c>
      <c r="Y67" s="46">
        <f t="shared" ref="Y67" si="48">SUM(Y63:Y66)</f>
        <v>1061240.3277993621</v>
      </c>
      <c r="Z67" s="46">
        <f t="shared" ref="Z67" si="49">SUM(Z63:Z66)</f>
        <v>2181495.357454414</v>
      </c>
      <c r="AA67" s="46">
        <f t="shared" ref="AA67" si="50">SUM(AA63:AA66)</f>
        <v>3026233.3269205661</v>
      </c>
      <c r="AB67" s="43"/>
      <c r="AC67" s="43"/>
      <c r="AD67" s="43"/>
      <c r="AE67" s="43"/>
      <c r="AF67" s="43"/>
      <c r="AG67" s="4"/>
      <c r="AH67" s="4"/>
      <c r="AI67" s="4"/>
      <c r="AJ67" s="4"/>
      <c r="AK67" s="4"/>
      <c r="AL67" s="4"/>
      <c r="AM67" s="4"/>
      <c r="AN67" s="4"/>
      <c r="AO67" s="4"/>
      <c r="AP67" s="4"/>
      <c r="AQ67" s="4"/>
      <c r="AR67" s="4"/>
      <c r="AS67" s="4"/>
      <c r="AT67" s="4"/>
    </row>
    <row r="68" spans="1:46" ht="30" customHeight="1">
      <c r="A68" s="12"/>
      <c r="B68" s="4"/>
      <c r="C68" s="4"/>
      <c r="D68" s="4"/>
      <c r="E68" s="62"/>
      <c r="F68" s="50"/>
      <c r="G68" s="50"/>
      <c r="H68" s="50"/>
      <c r="I68" s="50"/>
      <c r="J68" s="50"/>
      <c r="K68" s="63"/>
      <c r="L68" s="63"/>
      <c r="M68" s="63"/>
      <c r="N68" s="51"/>
      <c r="O68" s="51"/>
      <c r="P68" s="51"/>
      <c r="Q68" s="4"/>
      <c r="R68" s="4"/>
      <c r="S68" s="4"/>
      <c r="T68" s="4"/>
      <c r="U68" s="4"/>
      <c r="V68" s="4"/>
      <c r="W68" s="4"/>
      <c r="X68" s="4"/>
      <c r="Y68" s="4"/>
      <c r="Z68" s="4"/>
      <c r="AA68" s="4"/>
      <c r="AB68" s="43"/>
      <c r="AC68" s="43"/>
      <c r="AD68" s="43"/>
      <c r="AE68" s="43"/>
      <c r="AF68" s="43"/>
      <c r="AG68" s="4"/>
      <c r="AH68" s="4"/>
      <c r="AI68" s="4"/>
      <c r="AJ68" s="4"/>
      <c r="AK68" s="4"/>
      <c r="AL68" s="4"/>
      <c r="AM68" s="4"/>
      <c r="AN68" s="4"/>
      <c r="AO68" s="4"/>
      <c r="AP68" s="4"/>
      <c r="AQ68" s="4"/>
      <c r="AR68" s="4"/>
      <c r="AS68" s="4"/>
      <c r="AT68" s="4"/>
    </row>
    <row r="69" spans="1:46" ht="30" customHeight="1">
      <c r="A69" s="12"/>
      <c r="B69" s="4"/>
      <c r="C69" s="4"/>
      <c r="D69" s="4"/>
      <c r="E69" s="50"/>
      <c r="F69" s="50"/>
      <c r="G69" s="50"/>
      <c r="H69" s="50"/>
      <c r="I69" s="50"/>
      <c r="J69" s="50"/>
      <c r="K69" s="51"/>
      <c r="L69" s="51"/>
      <c r="M69" s="51"/>
      <c r="N69" s="51"/>
      <c r="O69" s="51"/>
      <c r="P69" s="51"/>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row>
    <row r="70" spans="1:46" ht="30" customHeight="1">
      <c r="A70" s="12"/>
      <c r="B70" s="4"/>
      <c r="C70" s="4"/>
      <c r="D70" s="4"/>
      <c r="E70" s="338"/>
      <c r="F70" s="339"/>
      <c r="G70" s="339"/>
      <c r="H70" s="339"/>
      <c r="I70" s="339"/>
      <c r="J70" s="340"/>
      <c r="K70" s="42"/>
      <c r="L70" s="42"/>
      <c r="M70" s="42"/>
      <c r="N70" s="42"/>
      <c r="O70" s="42"/>
      <c r="P70" s="42"/>
      <c r="Q70" s="42"/>
      <c r="R70" s="42"/>
      <c r="S70" s="42"/>
      <c r="T70" s="42"/>
      <c r="U70" s="42"/>
      <c r="V70" s="42"/>
      <c r="W70" s="42"/>
      <c r="X70" s="42"/>
      <c r="Y70" s="42"/>
      <c r="Z70" s="42"/>
      <c r="AA70" s="45"/>
      <c r="AB70" s="4"/>
      <c r="AC70" s="4"/>
      <c r="AD70" s="4"/>
      <c r="AE70" s="4"/>
      <c r="AF70" s="4"/>
      <c r="AG70" s="4"/>
      <c r="AH70" s="4"/>
      <c r="AI70" s="4"/>
      <c r="AJ70" s="4"/>
      <c r="AK70" s="4"/>
      <c r="AL70" s="4"/>
      <c r="AM70" s="4"/>
      <c r="AN70" s="4"/>
      <c r="AO70" s="4"/>
      <c r="AP70" s="4"/>
      <c r="AQ70" s="4"/>
      <c r="AR70" s="4"/>
    </row>
    <row r="71" spans="1:46" ht="30" customHeight="1">
      <c r="A71" s="12"/>
      <c r="B71" s="4"/>
      <c r="C71" s="4"/>
      <c r="D71" s="4"/>
      <c r="E71" s="341"/>
      <c r="F71" s="342"/>
      <c r="G71" s="342"/>
      <c r="H71" s="342"/>
      <c r="I71" s="342"/>
      <c r="J71" s="343"/>
      <c r="K71" s="37">
        <v>2014</v>
      </c>
      <c r="L71" s="37">
        <v>2015</v>
      </c>
      <c r="M71" s="37">
        <v>2016</v>
      </c>
      <c r="N71" s="37">
        <v>2017</v>
      </c>
      <c r="O71" s="37">
        <v>2018</v>
      </c>
      <c r="P71" s="37">
        <v>2019</v>
      </c>
      <c r="Q71" s="37">
        <v>2020</v>
      </c>
      <c r="R71" s="37">
        <v>2021</v>
      </c>
      <c r="S71" s="37">
        <v>2022</v>
      </c>
      <c r="T71" s="37">
        <v>2023</v>
      </c>
      <c r="U71" s="37" t="s">
        <v>518</v>
      </c>
      <c r="V71" s="37" t="s">
        <v>522</v>
      </c>
      <c r="W71" s="38">
        <v>2024</v>
      </c>
      <c r="X71" s="38">
        <f>W71+1</f>
        <v>2025</v>
      </c>
      <c r="Y71" s="38">
        <f t="shared" ref="Y71:AA71" si="51">X71+1</f>
        <v>2026</v>
      </c>
      <c r="Z71" s="38">
        <f t="shared" si="51"/>
        <v>2027</v>
      </c>
      <c r="AA71" s="38">
        <f t="shared" si="51"/>
        <v>2028</v>
      </c>
      <c r="AB71" s="4"/>
      <c r="AC71" s="4"/>
      <c r="AD71" s="4"/>
      <c r="AE71" s="4"/>
      <c r="AF71" s="4"/>
      <c r="AG71" s="4"/>
      <c r="AH71" s="4"/>
      <c r="AI71" s="4"/>
      <c r="AJ71" s="4"/>
      <c r="AK71" s="4"/>
      <c r="AL71" s="4"/>
      <c r="AM71" s="4"/>
      <c r="AN71" s="4"/>
      <c r="AO71" s="4"/>
      <c r="AP71" s="4"/>
      <c r="AQ71" s="4"/>
      <c r="AR71" s="4"/>
    </row>
    <row r="72" spans="1:46" ht="30" customHeight="1">
      <c r="A72" s="12"/>
      <c r="B72" s="4"/>
      <c r="C72" s="4"/>
      <c r="D72" s="4"/>
      <c r="E72" s="344" t="s">
        <v>266</v>
      </c>
      <c r="F72" s="345">
        <v>3.0034188360677654E-2</v>
      </c>
      <c r="G72" s="345">
        <v>-2.0925409668865167E-2</v>
      </c>
      <c r="H72" s="345">
        <v>-4.3315116285197811E-2</v>
      </c>
      <c r="I72" s="345">
        <v>0.13811997676197324</v>
      </c>
      <c r="J72" s="346">
        <v>-0.59211219068587562</v>
      </c>
      <c r="K72" s="44"/>
      <c r="L72" s="44"/>
      <c r="M72" s="44"/>
      <c r="N72" s="42">
        <v>378729</v>
      </c>
      <c r="O72" s="42">
        <v>406833.82746000029</v>
      </c>
      <c r="P72" s="42">
        <v>512702.29492000025</v>
      </c>
      <c r="Q72" s="42">
        <v>431386</v>
      </c>
      <c r="R72" s="42">
        <v>758072.49471329991</v>
      </c>
      <c r="S72" s="42">
        <v>1079820</v>
      </c>
      <c r="T72" s="42">
        <v>1727990</v>
      </c>
      <c r="U72" s="42">
        <v>396041</v>
      </c>
      <c r="V72" s="42">
        <v>1499530</v>
      </c>
      <c r="W72" s="42">
        <v>1499529.732771527</v>
      </c>
      <c r="X72" s="42">
        <v>1769388.3914238196</v>
      </c>
      <c r="Y72" s="42">
        <v>2042282.6684479313</v>
      </c>
      <c r="Z72" s="42">
        <v>2298436.8004148547</v>
      </c>
      <c r="AA72" s="321">
        <v>2515195.801866042</v>
      </c>
      <c r="AB72" s="4"/>
      <c r="AC72" s="4"/>
      <c r="AD72" s="4"/>
      <c r="AE72" s="4"/>
      <c r="AF72" s="4"/>
      <c r="AG72" s="4"/>
      <c r="AH72" s="4"/>
      <c r="AI72" s="4"/>
      <c r="AJ72" s="4"/>
      <c r="AK72" s="4"/>
      <c r="AL72" s="4"/>
      <c r="AM72" s="4"/>
      <c r="AN72" s="4"/>
      <c r="AO72" s="4"/>
      <c r="AP72" s="4"/>
      <c r="AQ72" s="4"/>
      <c r="AR72" s="4"/>
    </row>
    <row r="73" spans="1:46" ht="30" customHeight="1">
      <c r="A73" s="12"/>
      <c r="B73" s="4"/>
      <c r="C73" s="4"/>
      <c r="D73" s="4"/>
      <c r="E73" s="318" t="s">
        <v>267</v>
      </c>
      <c r="F73" s="239"/>
      <c r="G73" s="239"/>
      <c r="H73" s="239"/>
      <c r="I73" s="239"/>
      <c r="J73" s="240"/>
      <c r="K73" s="46"/>
      <c r="L73" s="46"/>
      <c r="M73" s="46"/>
      <c r="N73" s="42">
        <v>326351.0000019602</v>
      </c>
      <c r="O73" s="42">
        <v>481738</v>
      </c>
      <c r="P73" s="42">
        <v>743192.99999607448</v>
      </c>
      <c r="Q73" s="42">
        <v>717180.99999987788</v>
      </c>
      <c r="R73" s="42">
        <v>2082987.0000078101</v>
      </c>
      <c r="S73" s="42">
        <v>3551973</v>
      </c>
      <c r="T73" s="42">
        <v>3499246</v>
      </c>
      <c r="U73" s="42">
        <v>1059446</v>
      </c>
      <c r="V73" s="42">
        <v>3271231.9045774024</v>
      </c>
      <c r="W73" s="42">
        <v>4154597.3925044588</v>
      </c>
      <c r="X73" s="42">
        <v>4193881.4491959875</v>
      </c>
      <c r="Y73" s="42">
        <v>4147799.6303601023</v>
      </c>
      <c r="Z73" s="42">
        <v>4389413.5481133088</v>
      </c>
      <c r="AA73" s="321">
        <v>4650008.1489364859</v>
      </c>
      <c r="AB73" s="4"/>
      <c r="AC73" s="4"/>
      <c r="AD73" s="4"/>
      <c r="AE73" s="4"/>
      <c r="AF73" s="4"/>
      <c r="AG73" s="4"/>
      <c r="AH73" s="4"/>
      <c r="AI73" s="4"/>
      <c r="AJ73" s="4"/>
      <c r="AK73" s="4"/>
      <c r="AL73" s="4"/>
      <c r="AM73" s="4"/>
      <c r="AN73" s="4"/>
      <c r="AO73" s="4"/>
      <c r="AP73" s="4"/>
      <c r="AQ73" s="4"/>
      <c r="AR73" s="4"/>
    </row>
    <row r="74" spans="1:46" ht="30" customHeight="1">
      <c r="A74" s="12"/>
      <c r="B74" s="4"/>
      <c r="C74" s="4"/>
      <c r="D74" s="4"/>
      <c r="E74" s="318" t="s">
        <v>268</v>
      </c>
      <c r="F74" s="239"/>
      <c r="G74" s="239"/>
      <c r="H74" s="239"/>
      <c r="I74" s="239"/>
      <c r="J74" s="240"/>
      <c r="K74" s="44"/>
      <c r="L74" s="44"/>
      <c r="M74" s="44"/>
      <c r="N74" s="42">
        <v>304993</v>
      </c>
      <c r="O74" s="42">
        <v>426119</v>
      </c>
      <c r="P74" s="42">
        <v>527624</v>
      </c>
      <c r="Q74" s="42">
        <v>638774</v>
      </c>
      <c r="R74" s="42">
        <v>1049744</v>
      </c>
      <c r="S74" s="42">
        <v>1933140</v>
      </c>
      <c r="T74" s="42">
        <v>2668133</v>
      </c>
      <c r="U74" s="42">
        <v>819772</v>
      </c>
      <c r="V74" s="42">
        <v>3455787.7441570507</v>
      </c>
      <c r="W74" s="42">
        <v>3455787.7441570507</v>
      </c>
      <c r="X74" s="42">
        <v>4436069.0916235279</v>
      </c>
      <c r="Y74" s="42">
        <v>5420961.7562393425</v>
      </c>
      <c r="Z74" s="42">
        <v>5946192.3205896197</v>
      </c>
      <c r="AA74" s="321">
        <v>6490058.5629536817</v>
      </c>
      <c r="AB74" s="4"/>
      <c r="AC74" s="4"/>
      <c r="AD74" s="4"/>
      <c r="AE74" s="4"/>
      <c r="AF74" s="4"/>
      <c r="AG74" s="4"/>
      <c r="AH74" s="4"/>
      <c r="AI74" s="4"/>
      <c r="AJ74" s="4"/>
      <c r="AK74" s="4"/>
      <c r="AL74" s="4"/>
      <c r="AM74" s="4"/>
      <c r="AN74" s="4"/>
      <c r="AO74" s="4"/>
      <c r="AP74" s="4"/>
      <c r="AQ74" s="4"/>
      <c r="AR74" s="4"/>
    </row>
    <row r="75" spans="1:46" ht="30" customHeight="1">
      <c r="A75" s="12"/>
      <c r="B75" s="4"/>
      <c r="C75" s="4"/>
      <c r="D75" s="4"/>
      <c r="E75" s="35" t="s">
        <v>507</v>
      </c>
      <c r="F75" s="239"/>
      <c r="G75" s="239"/>
      <c r="H75" s="239"/>
      <c r="I75" s="239"/>
      <c r="J75" s="240"/>
      <c r="K75" s="44"/>
      <c r="L75" s="44"/>
      <c r="M75" s="44"/>
      <c r="N75" s="42"/>
      <c r="O75" s="42">
        <f>'DRE + DCF'!O14</f>
        <v>278146</v>
      </c>
      <c r="P75" s="42">
        <f>'DRE + DCF'!P14</f>
        <v>339526</v>
      </c>
      <c r="Q75" s="42">
        <f>'DRE + DCF'!Q14</f>
        <v>354594</v>
      </c>
      <c r="R75" s="42">
        <f>'DRE + DCF'!R14</f>
        <v>298861</v>
      </c>
      <c r="S75" s="42">
        <f>'DRE + DCF'!S14</f>
        <v>590052</v>
      </c>
      <c r="T75" s="42">
        <f>'DRE + DCF'!T14</f>
        <v>477484.88397000008</v>
      </c>
      <c r="U75" s="42">
        <f>'DRE + DCF'!U14</f>
        <v>99646</v>
      </c>
      <c r="V75" s="42">
        <f>'DRE + DCF'!V14</f>
        <v>1463550.7281749903</v>
      </c>
      <c r="W75" s="42">
        <f>'DRE + DCF'!W14</f>
        <v>1563196.7281749903</v>
      </c>
      <c r="X75" s="42">
        <f>'DRE + DCF'!X14</f>
        <v>1808168.2926813681</v>
      </c>
      <c r="Y75" s="42">
        <f>'DRE + DCF'!Y14</f>
        <v>1919182.7181535629</v>
      </c>
      <c r="Z75" s="42">
        <f>'DRE + DCF'!Z14</f>
        <v>2047092.7726397049</v>
      </c>
      <c r="AA75" s="42">
        <f>'DRE + DCF'!AA14</f>
        <v>2187898.8532548137</v>
      </c>
      <c r="AB75" s="4"/>
      <c r="AC75" s="4"/>
      <c r="AD75" s="4"/>
      <c r="AE75" s="4"/>
      <c r="AF75" s="4"/>
      <c r="AG75" s="4"/>
      <c r="AH75" s="4"/>
      <c r="AI75" s="4"/>
      <c r="AJ75" s="4"/>
      <c r="AK75" s="4"/>
      <c r="AL75" s="4"/>
      <c r="AM75" s="4"/>
      <c r="AN75" s="4"/>
      <c r="AO75" s="4"/>
      <c r="AP75" s="4"/>
      <c r="AQ75" s="4"/>
      <c r="AR75" s="4"/>
    </row>
    <row r="76" spans="1:46" ht="30" customHeight="1">
      <c r="A76" s="12"/>
      <c r="B76" s="4"/>
      <c r="C76" s="4"/>
      <c r="D76" s="4"/>
      <c r="E76" s="347" t="s">
        <v>265</v>
      </c>
      <c r="F76" s="348">
        <v>215718</v>
      </c>
      <c r="G76" s="348">
        <v>230388</v>
      </c>
      <c r="H76" s="348">
        <v>181530</v>
      </c>
      <c r="I76" s="348">
        <v>-272310</v>
      </c>
      <c r="J76" s="349">
        <v>-42610.000000000007</v>
      </c>
      <c r="K76" s="46"/>
      <c r="L76" s="46"/>
      <c r="M76" s="46"/>
      <c r="N76" s="46">
        <f>SUM(N72:N75)</f>
        <v>1010073.0000019602</v>
      </c>
      <c r="O76" s="46">
        <f t="shared" ref="O76:AA76" si="52">SUM(O72:O75)</f>
        <v>1592836.8274600003</v>
      </c>
      <c r="P76" s="46">
        <f t="shared" si="52"/>
        <v>2123045.2949160747</v>
      </c>
      <c r="Q76" s="46">
        <f t="shared" si="52"/>
        <v>2141934.999999878</v>
      </c>
      <c r="R76" s="46">
        <f t="shared" si="52"/>
        <v>4189664.49472111</v>
      </c>
      <c r="S76" s="46">
        <f t="shared" si="52"/>
        <v>7154985</v>
      </c>
      <c r="T76" s="46">
        <f t="shared" si="52"/>
        <v>8372853.8839699998</v>
      </c>
      <c r="U76" s="46">
        <f t="shared" si="52"/>
        <v>2374905</v>
      </c>
      <c r="V76" s="46">
        <f t="shared" si="52"/>
        <v>9690100.3769094441</v>
      </c>
      <c r="W76" s="46">
        <f t="shared" si="52"/>
        <v>10673111.597608028</v>
      </c>
      <c r="X76" s="46">
        <f t="shared" si="52"/>
        <v>12207507.224924704</v>
      </c>
      <c r="Y76" s="46">
        <f t="shared" si="52"/>
        <v>13530226.773200938</v>
      </c>
      <c r="Z76" s="46">
        <f t="shared" si="52"/>
        <v>14681135.441757487</v>
      </c>
      <c r="AA76" s="46">
        <f t="shared" si="52"/>
        <v>15843161.367011022</v>
      </c>
      <c r="AB76" s="4"/>
      <c r="AC76" s="4"/>
      <c r="AD76" s="4"/>
      <c r="AE76" s="4"/>
      <c r="AF76" s="4"/>
      <c r="AG76" s="4"/>
      <c r="AH76" s="4"/>
      <c r="AI76" s="4"/>
      <c r="AJ76" s="4"/>
      <c r="AK76" s="4"/>
      <c r="AL76" s="4"/>
      <c r="AM76" s="4"/>
      <c r="AN76" s="4"/>
      <c r="AO76" s="4"/>
      <c r="AP76" s="4"/>
      <c r="AQ76" s="4"/>
      <c r="AR76" s="4"/>
    </row>
    <row r="77" spans="1:46" ht="30" customHeight="1">
      <c r="A77" s="12"/>
      <c r="B77" s="4"/>
      <c r="C77" s="4"/>
      <c r="D77" s="4"/>
      <c r="E77" s="50"/>
      <c r="F77" s="50"/>
      <c r="G77" s="50"/>
      <c r="H77" s="50"/>
      <c r="I77" s="50"/>
      <c r="J77" s="50"/>
      <c r="K77" s="51"/>
      <c r="L77" s="51"/>
      <c r="M77" s="51"/>
      <c r="N77" s="51"/>
      <c r="O77" s="51"/>
      <c r="P77" s="51"/>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row>
    <row r="78" spans="1:46" ht="30" customHeight="1">
      <c r="A78" s="12"/>
      <c r="B78" s="4"/>
      <c r="C78" s="4"/>
      <c r="D78" s="4"/>
      <c r="E78" s="62" t="s">
        <v>48</v>
      </c>
      <c r="F78" s="50"/>
      <c r="G78" s="50"/>
      <c r="H78" s="50"/>
      <c r="I78" s="50"/>
      <c r="J78" s="50"/>
      <c r="K78" s="51"/>
      <c r="L78" s="51"/>
      <c r="M78" s="51"/>
      <c r="N78" s="51"/>
      <c r="O78" s="51"/>
      <c r="P78" s="51"/>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row>
    <row r="79" spans="1:46" ht="30" customHeight="1">
      <c r="A79" s="12"/>
      <c r="B79" s="4"/>
      <c r="C79" s="4"/>
      <c r="D79" s="4"/>
      <c r="E79" s="50"/>
      <c r="F79" s="50"/>
      <c r="G79" s="50"/>
      <c r="H79" s="50"/>
      <c r="I79" s="50"/>
      <c r="J79" s="50"/>
      <c r="K79" s="51"/>
      <c r="L79" s="51"/>
      <c r="M79" s="51"/>
      <c r="N79" s="51"/>
      <c r="O79" s="51"/>
      <c r="P79" s="51"/>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row>
    <row r="80" spans="1:46" ht="30" customHeight="1">
      <c r="A80" s="12"/>
      <c r="B80" s="4"/>
      <c r="C80" s="4"/>
      <c r="D80" s="4"/>
      <c r="E80" s="50"/>
      <c r="F80" s="50"/>
      <c r="G80" s="50"/>
      <c r="H80" s="50"/>
      <c r="I80" s="50"/>
      <c r="J80" s="50"/>
      <c r="K80" s="51"/>
      <c r="L80" s="51"/>
      <c r="M80" s="51"/>
      <c r="N80" s="51"/>
      <c r="O80" s="51"/>
      <c r="P80" s="51"/>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row>
    <row r="81" spans="1:44" ht="30" customHeight="1">
      <c r="A81" s="12"/>
      <c r="B81" s="4"/>
      <c r="C81" s="4"/>
      <c r="D81" s="4"/>
      <c r="E81" s="50"/>
      <c r="F81" s="50"/>
      <c r="G81" s="50"/>
      <c r="H81" s="50"/>
      <c r="I81" s="50"/>
      <c r="J81" s="50"/>
      <c r="K81" s="51"/>
      <c r="L81" s="51"/>
      <c r="M81" s="51"/>
      <c r="N81" s="51"/>
      <c r="O81" s="51"/>
      <c r="P81" s="51"/>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row>
    <row r="82" spans="1:44" ht="30" customHeight="1">
      <c r="A82" s="12"/>
      <c r="B82" s="4"/>
      <c r="C82" s="4"/>
      <c r="D82" s="4"/>
      <c r="E82" s="50"/>
      <c r="F82" s="50"/>
      <c r="G82" s="50"/>
      <c r="H82" s="50"/>
      <c r="I82" s="50"/>
      <c r="J82" s="50"/>
      <c r="K82" s="51"/>
      <c r="L82" s="51"/>
      <c r="M82" s="51"/>
      <c r="N82" s="51"/>
      <c r="O82" s="51"/>
      <c r="P82" s="51"/>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row>
    <row r="83" spans="1:44" ht="30" customHeight="1">
      <c r="A83" s="12"/>
      <c r="B83" s="4"/>
      <c r="C83" s="4"/>
      <c r="D83" s="4"/>
      <c r="E83" s="50"/>
      <c r="F83" s="50"/>
      <c r="G83" s="50"/>
      <c r="H83" s="50"/>
      <c r="I83" s="50"/>
      <c r="J83" s="50"/>
      <c r="K83" s="51"/>
      <c r="L83" s="51"/>
      <c r="M83" s="51"/>
      <c r="N83" s="51"/>
      <c r="O83" s="51"/>
      <c r="P83" s="51"/>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row>
    <row r="84" spans="1:44" ht="30" customHeight="1">
      <c r="A84" s="12"/>
      <c r="B84" s="4"/>
      <c r="C84" s="4"/>
      <c r="D84" s="4"/>
      <c r="E84" s="50"/>
      <c r="F84" s="50"/>
      <c r="G84" s="50"/>
      <c r="H84" s="50"/>
      <c r="I84" s="50"/>
      <c r="J84" s="50"/>
      <c r="K84" s="51"/>
      <c r="L84" s="51"/>
      <c r="M84" s="51"/>
      <c r="N84" s="51"/>
      <c r="O84" s="51"/>
      <c r="P84" s="51"/>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row>
    <row r="85" spans="1:44" ht="30" customHeight="1">
      <c r="A85" s="12"/>
      <c r="B85" s="4"/>
      <c r="C85" s="4"/>
      <c r="D85" s="4"/>
      <c r="E85" s="50"/>
      <c r="F85" s="50"/>
      <c r="G85" s="50"/>
      <c r="H85" s="50"/>
      <c r="I85" s="50"/>
      <c r="J85" s="50"/>
      <c r="K85" s="51"/>
      <c r="L85" s="51"/>
      <c r="M85" s="51"/>
      <c r="N85" s="51"/>
      <c r="O85" s="51"/>
      <c r="P85" s="51"/>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row>
    <row r="86" spans="1:44" ht="30" customHeight="1">
      <c r="A86" s="12"/>
      <c r="B86" s="4"/>
      <c r="C86" s="4"/>
      <c r="D86" s="4"/>
      <c r="E86" s="50"/>
      <c r="F86" s="50"/>
      <c r="G86" s="50"/>
      <c r="H86" s="50"/>
      <c r="I86" s="50"/>
      <c r="J86" s="50"/>
      <c r="K86" s="51"/>
      <c r="L86" s="51"/>
      <c r="M86" s="51"/>
      <c r="N86" s="51"/>
      <c r="O86" s="51"/>
      <c r="P86" s="51"/>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row>
    <row r="87" spans="1:44" ht="30" customHeight="1">
      <c r="A87" s="12"/>
      <c r="B87" s="4"/>
      <c r="C87" s="4"/>
      <c r="D87" s="4"/>
      <c r="E87" s="50"/>
      <c r="F87" s="50"/>
      <c r="G87" s="50"/>
      <c r="H87" s="50"/>
      <c r="I87" s="50"/>
      <c r="J87" s="50"/>
      <c r="K87" s="51"/>
      <c r="L87" s="51"/>
      <c r="M87" s="51"/>
      <c r="N87" s="51"/>
      <c r="O87" s="51"/>
      <c r="P87" s="51"/>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row>
    <row r="88" spans="1:44" ht="30" customHeight="1">
      <c r="A88" s="12"/>
      <c r="B88" s="4"/>
      <c r="C88" s="4"/>
      <c r="D88" s="4"/>
      <c r="E88" s="50"/>
      <c r="F88" s="50"/>
      <c r="G88" s="50"/>
      <c r="H88" s="50"/>
      <c r="I88" s="50"/>
      <c r="J88" s="50"/>
      <c r="K88" s="51"/>
      <c r="L88" s="51"/>
      <c r="M88" s="51"/>
      <c r="N88" s="51"/>
      <c r="O88" s="51"/>
      <c r="P88" s="51"/>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row>
    <row r="89" spans="1:44" ht="30" customHeight="1">
      <c r="A89" s="12"/>
      <c r="B89" s="4"/>
      <c r="C89" s="4"/>
      <c r="D89" s="4"/>
      <c r="E89" s="50"/>
      <c r="F89" s="50"/>
      <c r="G89" s="50"/>
      <c r="H89" s="50"/>
      <c r="I89" s="50"/>
      <c r="J89" s="50"/>
      <c r="K89" s="51"/>
      <c r="L89" s="51"/>
      <c r="M89" s="51"/>
      <c r="N89" s="51"/>
      <c r="O89" s="51"/>
      <c r="P89" s="51"/>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row>
    <row r="90" spans="1:44" ht="30" customHeight="1">
      <c r="A90" s="12"/>
      <c r="B90" s="4"/>
      <c r="C90" s="4"/>
      <c r="D90" s="4"/>
      <c r="E90" s="50"/>
      <c r="F90" s="50"/>
      <c r="G90" s="50"/>
      <c r="H90" s="50"/>
      <c r="I90" s="50"/>
      <c r="J90" s="50"/>
      <c r="K90" s="51"/>
      <c r="L90" s="51"/>
      <c r="M90" s="51"/>
      <c r="N90" s="51"/>
      <c r="O90" s="51"/>
      <c r="P90" s="51"/>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row>
    <row r="91" spans="1:44" ht="30" customHeight="1">
      <c r="A91" s="12"/>
      <c r="B91" s="4"/>
      <c r="C91" s="4"/>
      <c r="D91" s="4"/>
      <c r="E91" s="50"/>
      <c r="F91" s="50"/>
      <c r="G91" s="50"/>
      <c r="H91" s="50"/>
      <c r="I91" s="50"/>
      <c r="J91" s="50"/>
      <c r="K91" s="51"/>
      <c r="L91" s="51"/>
      <c r="M91" s="51"/>
      <c r="N91" s="51"/>
      <c r="O91" s="51"/>
      <c r="P91" s="51"/>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row>
    <row r="92" spans="1:44" ht="30" customHeight="1">
      <c r="A92" s="12"/>
      <c r="B92" s="4"/>
      <c r="C92" s="4"/>
      <c r="D92" s="4"/>
      <c r="E92" s="50"/>
      <c r="F92" s="50"/>
      <c r="G92" s="50"/>
      <c r="H92" s="50"/>
      <c r="I92" s="50"/>
      <c r="J92" s="50"/>
      <c r="K92" s="51"/>
      <c r="L92" s="51"/>
      <c r="M92" s="51"/>
      <c r="N92" s="51"/>
      <c r="O92" s="51"/>
      <c r="P92" s="51"/>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row>
    <row r="93" spans="1:44" ht="30" customHeight="1">
      <c r="A93" s="12"/>
      <c r="B93" s="4"/>
      <c r="C93" s="4"/>
      <c r="D93" s="4"/>
      <c r="E93" s="50"/>
      <c r="F93" s="50"/>
      <c r="G93" s="50"/>
      <c r="H93" s="50"/>
      <c r="I93" s="50"/>
      <c r="J93" s="50"/>
      <c r="K93" s="51"/>
      <c r="L93" s="51"/>
      <c r="M93" s="51"/>
      <c r="N93" s="51"/>
      <c r="O93" s="51"/>
      <c r="P93" s="51"/>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row>
    <row r="94" spans="1:44" ht="30" customHeight="1">
      <c r="A94" s="12"/>
      <c r="B94" s="4"/>
      <c r="C94" s="4"/>
      <c r="D94" s="4"/>
      <c r="E94" s="50"/>
      <c r="F94" s="50"/>
      <c r="G94" s="50"/>
      <c r="H94" s="50"/>
      <c r="I94" s="50"/>
      <c r="J94" s="50"/>
      <c r="K94" s="51"/>
      <c r="L94" s="51"/>
      <c r="M94" s="51"/>
      <c r="N94" s="51"/>
      <c r="O94" s="51"/>
      <c r="P94" s="51"/>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row>
    <row r="95" spans="1:44" ht="30" customHeight="1">
      <c r="A95" s="12"/>
      <c r="B95" s="4"/>
      <c r="C95" s="4"/>
      <c r="D95" s="4"/>
      <c r="E95" s="50"/>
      <c r="F95" s="50"/>
      <c r="G95" s="50"/>
      <c r="H95" s="50"/>
      <c r="I95" s="50"/>
      <c r="J95" s="50"/>
      <c r="K95" s="51"/>
      <c r="L95" s="51"/>
      <c r="M95" s="51"/>
      <c r="N95" s="51"/>
      <c r="O95" s="51"/>
      <c r="P95" s="51"/>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row>
    <row r="96" spans="1:44" ht="30" customHeight="1">
      <c r="A96" s="12"/>
      <c r="B96" s="4"/>
      <c r="C96" s="4"/>
      <c r="D96" s="4"/>
      <c r="E96" s="50"/>
      <c r="F96" s="50"/>
      <c r="G96" s="50"/>
      <c r="H96" s="50"/>
      <c r="I96" s="50"/>
      <c r="J96" s="50"/>
      <c r="K96" s="51"/>
      <c r="L96" s="51"/>
      <c r="M96" s="51"/>
      <c r="N96" s="51"/>
      <c r="O96" s="51"/>
      <c r="P96" s="51"/>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row>
    <row r="97" spans="1:44" ht="30" customHeight="1">
      <c r="A97" s="12"/>
      <c r="B97" s="4"/>
      <c r="C97" s="4"/>
      <c r="D97" s="4"/>
      <c r="E97" s="50"/>
      <c r="F97" s="50"/>
      <c r="G97" s="50"/>
      <c r="H97" s="50"/>
      <c r="I97" s="50"/>
      <c r="J97" s="50"/>
      <c r="K97" s="51"/>
      <c r="L97" s="51"/>
      <c r="M97" s="51"/>
      <c r="N97" s="51"/>
      <c r="O97" s="51"/>
      <c r="P97" s="51"/>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row>
    <row r="98" spans="1:44" ht="30" customHeight="1">
      <c r="A98" s="12"/>
      <c r="B98" s="4"/>
      <c r="C98" s="4"/>
      <c r="D98" s="4"/>
      <c r="E98" s="50"/>
      <c r="F98" s="50"/>
      <c r="G98" s="50"/>
      <c r="H98" s="50"/>
      <c r="I98" s="50"/>
      <c r="J98" s="50"/>
      <c r="K98" s="51"/>
      <c r="L98" s="51"/>
      <c r="M98" s="51"/>
      <c r="N98" s="51"/>
      <c r="O98" s="51"/>
      <c r="P98" s="51"/>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row>
    <row r="99" spans="1:44" ht="30" customHeight="1">
      <c r="A99" s="12"/>
      <c r="B99" s="4"/>
      <c r="C99" s="4"/>
      <c r="D99" s="4"/>
      <c r="E99" s="50"/>
      <c r="F99" s="50"/>
      <c r="G99" s="50"/>
      <c r="H99" s="50"/>
      <c r="I99" s="50"/>
      <c r="J99" s="50"/>
      <c r="K99" s="51"/>
      <c r="L99" s="51"/>
      <c r="M99" s="51"/>
      <c r="N99" s="51"/>
      <c r="O99" s="51"/>
      <c r="P99" s="51"/>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row>
    <row r="100" spans="1:44" ht="30" customHeight="1">
      <c r="A100" s="12"/>
      <c r="B100" s="4"/>
      <c r="C100" s="4"/>
      <c r="D100" s="4"/>
      <c r="E100" s="50"/>
      <c r="F100" s="50"/>
      <c r="G100" s="50"/>
      <c r="H100" s="50"/>
      <c r="I100" s="50"/>
      <c r="J100" s="50"/>
      <c r="K100" s="51"/>
      <c r="L100" s="51"/>
      <c r="M100" s="51"/>
      <c r="N100" s="51"/>
      <c r="O100" s="51"/>
      <c r="P100" s="51"/>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row>
    <row r="101" spans="1:44" ht="30" customHeight="1">
      <c r="A101" s="12"/>
      <c r="B101" s="4"/>
      <c r="C101" s="4"/>
      <c r="D101" s="4"/>
      <c r="E101" s="50"/>
      <c r="F101" s="50"/>
      <c r="G101" s="50"/>
      <c r="H101" s="50"/>
      <c r="I101" s="50"/>
      <c r="J101" s="50"/>
      <c r="K101" s="51"/>
      <c r="L101" s="51"/>
      <c r="M101" s="51"/>
      <c r="N101" s="51"/>
      <c r="O101" s="51"/>
      <c r="P101" s="51"/>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row>
    <row r="102" spans="1:44" ht="30" customHeight="1">
      <c r="A102" s="12"/>
      <c r="B102" s="4"/>
      <c r="C102" s="4"/>
      <c r="D102" s="4"/>
      <c r="E102" s="50"/>
      <c r="F102" s="50"/>
      <c r="G102" s="50"/>
      <c r="H102" s="50"/>
      <c r="I102" s="50"/>
      <c r="J102" s="50"/>
      <c r="K102" s="51"/>
      <c r="L102" s="51"/>
      <c r="M102" s="51"/>
      <c r="N102" s="51"/>
      <c r="O102" s="51"/>
      <c r="P102" s="51"/>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row>
    <row r="103" spans="1:44" ht="30" customHeight="1">
      <c r="A103" s="12"/>
      <c r="B103" s="4"/>
      <c r="C103" s="4"/>
      <c r="D103" s="4"/>
      <c r="E103" s="50"/>
      <c r="F103" s="50"/>
      <c r="G103" s="50"/>
      <c r="H103" s="50"/>
      <c r="I103" s="50"/>
      <c r="J103" s="50"/>
      <c r="K103" s="51"/>
      <c r="L103" s="51"/>
      <c r="M103" s="51"/>
      <c r="N103" s="51"/>
      <c r="O103" s="51"/>
      <c r="P103" s="51"/>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row>
    <row r="104" spans="1:44" ht="30" customHeight="1">
      <c r="A104" s="12"/>
      <c r="B104" s="4"/>
      <c r="C104" s="4"/>
      <c r="D104" s="4"/>
      <c r="E104" s="50"/>
      <c r="F104" s="50"/>
      <c r="G104" s="50"/>
      <c r="H104" s="50"/>
      <c r="I104" s="50"/>
      <c r="J104" s="50"/>
      <c r="K104" s="51"/>
      <c r="L104" s="51"/>
      <c r="M104" s="51"/>
      <c r="N104" s="51"/>
      <c r="O104" s="51"/>
      <c r="P104" s="51"/>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row>
    <row r="105" spans="1:44" ht="30" customHeight="1">
      <c r="A105" s="12"/>
      <c r="B105" s="4"/>
      <c r="C105" s="4"/>
      <c r="D105" s="4"/>
      <c r="E105" s="50"/>
      <c r="F105" s="50"/>
      <c r="G105" s="50"/>
      <c r="H105" s="50"/>
      <c r="I105" s="50"/>
      <c r="J105" s="50"/>
      <c r="K105" s="51"/>
      <c r="L105" s="51"/>
      <c r="M105" s="51"/>
      <c r="N105" s="51"/>
      <c r="O105" s="51"/>
      <c r="P105" s="51"/>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row>
    <row r="106" spans="1:44" ht="30" customHeight="1">
      <c r="A106" s="12"/>
      <c r="B106" s="4"/>
      <c r="C106" s="4"/>
      <c r="D106" s="4"/>
      <c r="E106" s="50"/>
      <c r="F106" s="50"/>
      <c r="G106" s="50"/>
      <c r="H106" s="50"/>
      <c r="I106" s="50"/>
      <c r="J106" s="50"/>
      <c r="K106" s="51"/>
      <c r="L106" s="51"/>
      <c r="M106" s="51"/>
      <c r="N106" s="51"/>
      <c r="O106" s="51"/>
      <c r="P106" s="51"/>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row>
    <row r="107" spans="1:44" ht="30" customHeight="1">
      <c r="A107" s="12"/>
      <c r="B107" s="4"/>
      <c r="C107" s="4"/>
      <c r="D107" s="4"/>
      <c r="E107" s="50"/>
      <c r="F107" s="50"/>
      <c r="G107" s="50"/>
      <c r="H107" s="50"/>
      <c r="I107" s="50"/>
      <c r="J107" s="50"/>
      <c r="K107" s="51"/>
      <c r="L107" s="51"/>
      <c r="M107" s="51"/>
      <c r="N107" s="51"/>
      <c r="O107" s="51"/>
      <c r="P107" s="51"/>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row>
    <row r="108" spans="1:44" ht="30" customHeight="1">
      <c r="A108" s="12"/>
      <c r="B108" s="4"/>
      <c r="C108" s="4"/>
      <c r="D108" s="4"/>
      <c r="E108" s="50"/>
      <c r="F108" s="50"/>
      <c r="G108" s="50"/>
      <c r="H108" s="50"/>
      <c r="I108" s="50"/>
      <c r="J108" s="50"/>
      <c r="K108" s="51"/>
      <c r="L108" s="51"/>
      <c r="M108" s="51"/>
      <c r="N108" s="51"/>
      <c r="O108" s="51"/>
      <c r="P108" s="51"/>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row>
    <row r="109" spans="1:44" ht="30" customHeight="1">
      <c r="A109" s="12"/>
      <c r="B109" s="4"/>
      <c r="C109" s="4"/>
      <c r="D109" s="4"/>
      <c r="E109" s="50"/>
      <c r="F109" s="50"/>
      <c r="G109" s="50"/>
      <c r="H109" s="50"/>
      <c r="I109" s="50"/>
      <c r="J109" s="50"/>
      <c r="K109" s="51"/>
      <c r="L109" s="51"/>
      <c r="M109" s="51"/>
      <c r="N109" s="51"/>
      <c r="O109" s="51"/>
      <c r="P109" s="51"/>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row>
    <row r="110" spans="1:44" ht="30" customHeight="1">
      <c r="A110" s="12"/>
      <c r="B110" s="4"/>
      <c r="C110" s="4"/>
      <c r="D110" s="4"/>
      <c r="E110" s="50"/>
      <c r="F110" s="50"/>
      <c r="G110" s="50"/>
      <c r="H110" s="50"/>
      <c r="I110" s="50"/>
      <c r="J110" s="50"/>
      <c r="K110" s="51"/>
      <c r="L110" s="51"/>
      <c r="M110" s="51"/>
      <c r="N110" s="51"/>
      <c r="O110" s="51"/>
      <c r="P110" s="51"/>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row>
    <row r="111" spans="1:44" ht="30" customHeight="1">
      <c r="A111" s="12"/>
      <c r="B111" s="4"/>
      <c r="C111" s="4"/>
      <c r="D111" s="4"/>
      <c r="E111" s="50"/>
      <c r="F111" s="50"/>
      <c r="G111" s="50"/>
      <c r="H111" s="50"/>
      <c r="I111" s="50"/>
      <c r="J111" s="50"/>
      <c r="K111" s="51"/>
      <c r="L111" s="51"/>
      <c r="M111" s="51"/>
      <c r="N111" s="51"/>
      <c r="O111" s="51"/>
      <c r="P111" s="51"/>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row>
    <row r="112" spans="1:44" ht="30" customHeight="1">
      <c r="A112" s="12"/>
      <c r="B112" s="4"/>
      <c r="C112" s="4"/>
      <c r="D112" s="4"/>
      <c r="E112" s="50"/>
      <c r="F112" s="50"/>
      <c r="G112" s="50"/>
      <c r="H112" s="50"/>
      <c r="I112" s="50"/>
      <c r="J112" s="50"/>
      <c r="K112" s="51"/>
      <c r="L112" s="51"/>
      <c r="M112" s="51"/>
      <c r="N112" s="51"/>
      <c r="O112" s="51"/>
      <c r="P112" s="51"/>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row>
    <row r="113" spans="1:44" ht="30" customHeight="1">
      <c r="A113" s="12"/>
      <c r="B113" s="4"/>
      <c r="C113" s="4"/>
      <c r="D113" s="4"/>
      <c r="E113" s="50"/>
      <c r="F113" s="50"/>
      <c r="G113" s="50"/>
      <c r="H113" s="50"/>
      <c r="I113" s="50"/>
      <c r="J113" s="50"/>
      <c r="K113" s="51"/>
      <c r="L113" s="51"/>
      <c r="M113" s="51"/>
      <c r="N113" s="51"/>
      <c r="O113" s="51"/>
      <c r="P113" s="51"/>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row>
    <row r="114" spans="1:44" ht="30" customHeight="1">
      <c r="A114" s="12"/>
      <c r="B114" s="4"/>
      <c r="C114" s="4"/>
      <c r="D114" s="4"/>
      <c r="E114" s="50"/>
      <c r="F114" s="50"/>
      <c r="G114" s="50"/>
      <c r="H114" s="50"/>
      <c r="I114" s="50"/>
      <c r="J114" s="50"/>
      <c r="K114" s="51"/>
      <c r="L114" s="51"/>
      <c r="M114" s="51"/>
      <c r="N114" s="51"/>
      <c r="O114" s="51"/>
      <c r="P114" s="51"/>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row>
    <row r="115" spans="1:44" ht="30" customHeight="1">
      <c r="A115" s="12"/>
      <c r="B115" s="4"/>
      <c r="C115" s="4"/>
      <c r="D115" s="4"/>
      <c r="E115" s="50"/>
      <c r="F115" s="50"/>
      <c r="G115" s="50"/>
      <c r="H115" s="50"/>
      <c r="I115" s="50"/>
      <c r="J115" s="50"/>
      <c r="K115" s="51"/>
      <c r="L115" s="51"/>
      <c r="M115" s="51"/>
      <c r="N115" s="51"/>
      <c r="O115" s="51"/>
      <c r="P115" s="51"/>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row>
    <row r="116" spans="1:44" ht="30" customHeight="1">
      <c r="A116" s="12"/>
      <c r="B116" s="4"/>
      <c r="C116" s="4"/>
      <c r="D116" s="4"/>
      <c r="E116" s="50"/>
      <c r="F116" s="50"/>
      <c r="G116" s="50"/>
      <c r="H116" s="50"/>
      <c r="I116" s="50"/>
      <c r="J116" s="50"/>
      <c r="K116" s="51"/>
      <c r="L116" s="51"/>
      <c r="M116" s="51"/>
      <c r="N116" s="51"/>
      <c r="O116" s="51"/>
      <c r="P116" s="51"/>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row>
    <row r="117" spans="1:44" ht="30" customHeight="1">
      <c r="A117" s="12"/>
      <c r="B117" s="4"/>
      <c r="C117" s="4"/>
      <c r="D117" s="4"/>
      <c r="E117" s="50"/>
      <c r="F117" s="50"/>
      <c r="G117" s="50"/>
      <c r="H117" s="50"/>
      <c r="I117" s="50"/>
      <c r="J117" s="50"/>
      <c r="K117" s="51"/>
      <c r="L117" s="51"/>
      <c r="M117" s="51"/>
      <c r="N117" s="51"/>
      <c r="O117" s="51"/>
      <c r="P117" s="51"/>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row>
    <row r="118" spans="1:44" ht="30" customHeight="1">
      <c r="A118" s="12"/>
      <c r="B118" s="4"/>
      <c r="C118" s="4"/>
      <c r="D118" s="4"/>
      <c r="E118" s="50"/>
      <c r="F118" s="50"/>
      <c r="G118" s="50"/>
      <c r="H118" s="50"/>
      <c r="I118" s="50"/>
      <c r="J118" s="50"/>
      <c r="K118" s="51"/>
      <c r="L118" s="51"/>
      <c r="M118" s="51"/>
      <c r="N118" s="51"/>
      <c r="O118" s="51"/>
      <c r="P118" s="51"/>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row>
    <row r="119" spans="1:44" ht="30" customHeight="1">
      <c r="A119" s="12"/>
      <c r="B119" s="4"/>
      <c r="C119" s="4"/>
      <c r="D119" s="4"/>
      <c r="E119" s="50"/>
      <c r="F119" s="50"/>
      <c r="G119" s="50"/>
      <c r="H119" s="50"/>
      <c r="I119" s="50"/>
      <c r="J119" s="50"/>
      <c r="K119" s="51"/>
      <c r="L119" s="51"/>
      <c r="M119" s="51"/>
      <c r="N119" s="51"/>
      <c r="O119" s="51"/>
      <c r="P119" s="51"/>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row>
    <row r="120" spans="1:44" ht="30" customHeight="1">
      <c r="A120" s="12"/>
      <c r="B120" s="4"/>
      <c r="C120" s="4"/>
      <c r="D120" s="4"/>
      <c r="E120" s="50"/>
      <c r="F120" s="50"/>
      <c r="G120" s="50"/>
      <c r="H120" s="50"/>
      <c r="I120" s="50"/>
      <c r="J120" s="50"/>
      <c r="K120" s="51"/>
      <c r="L120" s="51"/>
      <c r="M120" s="51"/>
      <c r="N120" s="51"/>
      <c r="O120" s="51"/>
      <c r="P120" s="51"/>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row>
    <row r="121" spans="1:44" ht="30" customHeight="1">
      <c r="A121" s="12"/>
      <c r="B121" s="4"/>
      <c r="C121" s="4"/>
      <c r="D121" s="4"/>
      <c r="E121" s="50"/>
      <c r="F121" s="50"/>
      <c r="G121" s="50"/>
      <c r="H121" s="50"/>
      <c r="I121" s="50"/>
      <c r="J121" s="50"/>
      <c r="K121" s="51"/>
      <c r="L121" s="51"/>
      <c r="M121" s="51"/>
      <c r="N121" s="51"/>
      <c r="O121" s="51"/>
      <c r="P121" s="51"/>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row>
    <row r="122" spans="1:44" ht="30" customHeight="1">
      <c r="A122" s="12"/>
      <c r="B122" s="4"/>
      <c r="C122" s="4"/>
      <c r="D122" s="4"/>
      <c r="E122" s="50"/>
      <c r="F122" s="50"/>
      <c r="G122" s="50"/>
      <c r="H122" s="50"/>
      <c r="I122" s="50"/>
      <c r="J122" s="50"/>
      <c r="K122" s="51"/>
      <c r="L122" s="51"/>
      <c r="M122" s="51"/>
      <c r="N122" s="51"/>
      <c r="O122" s="51"/>
      <c r="P122" s="51"/>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row>
    <row r="123" spans="1:44" ht="30" customHeight="1">
      <c r="A123" s="12"/>
      <c r="B123" s="4"/>
      <c r="C123" s="4"/>
      <c r="D123" s="4"/>
      <c r="E123" s="50"/>
      <c r="F123" s="50"/>
      <c r="G123" s="50"/>
      <c r="H123" s="50"/>
      <c r="I123" s="50"/>
      <c r="J123" s="50"/>
      <c r="K123" s="51"/>
      <c r="L123" s="51"/>
      <c r="M123" s="51"/>
      <c r="N123" s="51"/>
      <c r="O123" s="51"/>
      <c r="P123" s="51"/>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row>
    <row r="124" spans="1:44" ht="30" customHeight="1">
      <c r="A124" s="12"/>
      <c r="B124" s="4"/>
      <c r="C124" s="4"/>
      <c r="D124" s="4"/>
      <c r="E124" s="50"/>
      <c r="F124" s="50"/>
      <c r="G124" s="50"/>
      <c r="H124" s="50"/>
      <c r="I124" s="50"/>
      <c r="J124" s="50"/>
      <c r="K124" s="51"/>
      <c r="L124" s="51"/>
      <c r="M124" s="51"/>
      <c r="N124" s="51"/>
      <c r="O124" s="51"/>
      <c r="P124" s="51"/>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row>
    <row r="125" spans="1:44" ht="30" customHeight="1">
      <c r="A125" s="12"/>
      <c r="B125" s="4"/>
      <c r="C125" s="4"/>
      <c r="D125" s="4"/>
      <c r="E125" s="50"/>
      <c r="F125" s="50"/>
      <c r="G125" s="50"/>
      <c r="H125" s="50"/>
      <c r="I125" s="50"/>
      <c r="J125" s="50"/>
      <c r="K125" s="51"/>
      <c r="L125" s="51"/>
      <c r="M125" s="51"/>
      <c r="N125" s="51"/>
      <c r="O125" s="51"/>
      <c r="P125" s="51"/>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row>
    <row r="126" spans="1:44" ht="30" customHeight="1">
      <c r="A126" s="12"/>
      <c r="B126" s="4"/>
      <c r="C126" s="4"/>
      <c r="D126" s="4"/>
      <c r="E126" s="50"/>
      <c r="F126" s="50"/>
      <c r="G126" s="50"/>
      <c r="H126" s="50"/>
      <c r="I126" s="50"/>
      <c r="J126" s="50"/>
      <c r="K126" s="51"/>
      <c r="L126" s="51"/>
      <c r="M126" s="51"/>
      <c r="N126" s="51"/>
      <c r="O126" s="51"/>
      <c r="P126" s="51"/>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row>
    <row r="127" spans="1:44" ht="30" customHeight="1">
      <c r="A127" s="12"/>
      <c r="B127" s="4"/>
      <c r="C127" s="4"/>
      <c r="D127" s="4"/>
      <c r="E127" s="50"/>
      <c r="F127" s="50"/>
      <c r="G127" s="50"/>
      <c r="H127" s="50"/>
      <c r="I127" s="50"/>
      <c r="J127" s="50"/>
      <c r="K127" s="51"/>
      <c r="L127" s="51"/>
      <c r="M127" s="51"/>
      <c r="N127" s="51"/>
      <c r="O127" s="51"/>
      <c r="P127" s="51"/>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row>
    <row r="128" spans="1:44" ht="30" customHeight="1">
      <c r="A128" s="12"/>
      <c r="B128" s="4"/>
      <c r="C128" s="4"/>
      <c r="D128" s="4"/>
      <c r="E128" s="50"/>
      <c r="F128" s="50"/>
      <c r="G128" s="50"/>
      <c r="H128" s="50"/>
      <c r="I128" s="50"/>
      <c r="J128" s="50"/>
      <c r="K128" s="51"/>
      <c r="L128" s="51"/>
      <c r="M128" s="51"/>
      <c r="N128" s="51"/>
      <c r="O128" s="51"/>
      <c r="P128" s="51"/>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row>
    <row r="129" spans="1:45" ht="30" customHeight="1">
      <c r="A129" s="12"/>
      <c r="B129" s="4"/>
      <c r="C129" s="4"/>
      <c r="D129" s="4"/>
      <c r="E129" s="50"/>
      <c r="F129" s="50"/>
      <c r="G129" s="50"/>
      <c r="H129" s="50"/>
      <c r="I129" s="50"/>
      <c r="J129" s="50"/>
      <c r="K129" s="51"/>
      <c r="L129" s="51"/>
      <c r="M129" s="51"/>
      <c r="N129" s="51"/>
      <c r="O129" s="51"/>
      <c r="P129" s="51"/>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row>
    <row r="130" spans="1:45" ht="30" customHeight="1">
      <c r="A130" s="12"/>
      <c r="B130" s="4"/>
      <c r="C130" s="4"/>
      <c r="D130" s="4"/>
      <c r="E130" s="50"/>
      <c r="F130" s="50"/>
      <c r="G130" s="50"/>
      <c r="H130" s="50"/>
      <c r="I130" s="50"/>
      <c r="J130" s="50"/>
      <c r="K130" s="51"/>
      <c r="L130" s="51"/>
      <c r="M130" s="51"/>
      <c r="N130" s="51"/>
      <c r="O130" s="51"/>
      <c r="P130" s="51"/>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row>
    <row r="131" spans="1:45" ht="30" customHeight="1">
      <c r="A131" s="12"/>
      <c r="B131" s="4"/>
      <c r="C131" s="4"/>
      <c r="D131" s="4"/>
      <c r="E131" s="50"/>
      <c r="F131" s="50"/>
      <c r="G131" s="50"/>
      <c r="H131" s="50"/>
      <c r="I131" s="50"/>
      <c r="J131" s="50"/>
      <c r="K131" s="51"/>
      <c r="L131" s="51"/>
      <c r="M131" s="51"/>
      <c r="N131" s="51"/>
      <c r="O131" s="51"/>
      <c r="P131" s="51"/>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row>
    <row r="132" spans="1:45" s="3" customFormat="1" ht="30" customHeight="1">
      <c r="A132" s="12"/>
      <c r="B132" s="4"/>
      <c r="C132" s="4"/>
      <c r="D132" s="4"/>
      <c r="E132" s="50"/>
      <c r="F132" s="50"/>
      <c r="G132" s="50"/>
      <c r="H132" s="50"/>
      <c r="I132" s="50"/>
      <c r="J132" s="50"/>
      <c r="K132" s="51"/>
      <c r="L132" s="51"/>
      <c r="M132" s="51"/>
      <c r="N132" s="51"/>
      <c r="O132" s="51"/>
      <c r="P132" s="51"/>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5"/>
    </row>
    <row r="133" spans="1:45" s="3" customFormat="1" ht="30" customHeight="1">
      <c r="A133" s="12"/>
      <c r="B133" s="4"/>
      <c r="C133" s="4"/>
      <c r="D133" s="4"/>
      <c r="E133" s="50"/>
      <c r="F133" s="50"/>
      <c r="G133" s="50"/>
      <c r="H133" s="50"/>
      <c r="I133" s="50"/>
      <c r="J133" s="50"/>
      <c r="K133" s="51"/>
      <c r="L133" s="51"/>
      <c r="M133" s="51"/>
      <c r="N133" s="51"/>
      <c r="O133" s="51"/>
      <c r="P133" s="51"/>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5"/>
    </row>
    <row r="134" spans="1:45" s="3" customFormat="1" ht="30" customHeight="1">
      <c r="A134" s="12"/>
      <c r="B134" s="4"/>
      <c r="C134" s="4"/>
      <c r="D134" s="4"/>
      <c r="E134" s="50"/>
      <c r="F134" s="50"/>
      <c r="G134" s="50"/>
      <c r="H134" s="50"/>
      <c r="I134" s="50"/>
      <c r="J134" s="50"/>
      <c r="K134" s="51"/>
      <c r="L134" s="51"/>
      <c r="M134" s="51"/>
      <c r="N134" s="51"/>
      <c r="O134" s="51"/>
      <c r="P134" s="51"/>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5"/>
    </row>
    <row r="135" spans="1:45" s="3" customFormat="1" ht="30" customHeight="1">
      <c r="B135" s="4"/>
      <c r="C135" s="4"/>
      <c r="D135" s="4"/>
      <c r="E135" s="50"/>
      <c r="F135" s="50"/>
      <c r="G135" s="50"/>
      <c r="H135" s="50"/>
      <c r="I135" s="50"/>
      <c r="J135" s="50"/>
      <c r="K135" s="51"/>
      <c r="L135" s="51"/>
      <c r="M135" s="51"/>
      <c r="N135" s="51"/>
      <c r="O135" s="51"/>
      <c r="P135" s="51"/>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5"/>
    </row>
    <row r="136" spans="1:45" s="3" customFormat="1" ht="30" customHeight="1">
      <c r="B136" s="4"/>
      <c r="C136" s="4"/>
      <c r="D136" s="4"/>
      <c r="E136" s="50"/>
      <c r="F136" s="50"/>
      <c r="G136" s="50"/>
      <c r="H136" s="50"/>
      <c r="I136" s="50"/>
      <c r="J136" s="50"/>
      <c r="K136" s="51"/>
      <c r="L136" s="51"/>
      <c r="M136" s="51"/>
      <c r="N136" s="51"/>
      <c r="O136" s="51"/>
      <c r="P136" s="51"/>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5"/>
    </row>
    <row r="137" spans="1:45" s="3" customFormat="1" ht="30" hidden="1" customHeight="1">
      <c r="B137" s="4"/>
      <c r="C137" s="4"/>
      <c r="D137" s="4"/>
      <c r="E137" s="50"/>
      <c r="F137" s="50"/>
      <c r="G137" s="50"/>
      <c r="H137" s="50"/>
      <c r="I137" s="50"/>
      <c r="J137" s="50"/>
      <c r="K137" s="51"/>
      <c r="L137" s="51"/>
      <c r="M137" s="51"/>
      <c r="N137" s="51"/>
      <c r="O137" s="51"/>
      <c r="P137" s="51"/>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5"/>
    </row>
    <row r="138" spans="1:45" s="3" customFormat="1" ht="30" hidden="1" customHeight="1">
      <c r="B138" s="4"/>
      <c r="C138" s="4"/>
      <c r="D138" s="4"/>
      <c r="E138" s="50"/>
      <c r="F138" s="50"/>
      <c r="G138" s="50"/>
      <c r="H138" s="50"/>
      <c r="I138" s="50"/>
      <c r="J138" s="50"/>
      <c r="K138" s="51"/>
      <c r="L138" s="51"/>
      <c r="M138" s="51"/>
      <c r="N138" s="51"/>
      <c r="O138" s="51"/>
      <c r="P138" s="51"/>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5"/>
    </row>
    <row r="139" spans="1:45" ht="0" hidden="1" customHeight="1">
      <c r="E139" s="50"/>
      <c r="F139" s="50"/>
      <c r="G139" s="50"/>
      <c r="H139" s="50"/>
      <c r="I139" s="50"/>
      <c r="J139" s="50"/>
      <c r="K139" s="51"/>
      <c r="L139" s="51"/>
      <c r="M139" s="51"/>
      <c r="N139" s="51"/>
      <c r="O139" s="51"/>
      <c r="P139" s="51"/>
      <c r="Q139" s="4"/>
      <c r="R139" s="4"/>
      <c r="S139" s="4"/>
      <c r="T139" s="4"/>
      <c r="U139" s="4"/>
      <c r="V139" s="4"/>
      <c r="W139" s="4"/>
      <c r="X139" s="4"/>
      <c r="Y139" s="4"/>
      <c r="Z139" s="4"/>
      <c r="AA139" s="4"/>
      <c r="AB139" s="4"/>
      <c r="AC139" s="4"/>
      <c r="AD139" s="4"/>
      <c r="AE139" s="4"/>
      <c r="AF139" s="4"/>
    </row>
    <row r="140" spans="1:45" ht="0" hidden="1" customHeight="1">
      <c r="E140" s="50"/>
      <c r="F140" s="50"/>
      <c r="G140" s="50"/>
      <c r="H140" s="50"/>
      <c r="I140" s="50"/>
      <c r="J140" s="50"/>
      <c r="K140" s="51"/>
      <c r="L140" s="51"/>
      <c r="M140" s="51"/>
      <c r="N140" s="51"/>
      <c r="O140" s="51"/>
      <c r="P140" s="51"/>
      <c r="Q140" s="4"/>
      <c r="R140" s="4"/>
      <c r="S140" s="4"/>
      <c r="T140" s="4"/>
      <c r="U140" s="4"/>
      <c r="V140" s="4"/>
      <c r="W140" s="4"/>
      <c r="X140" s="4"/>
      <c r="Y140" s="4"/>
      <c r="Z140" s="4"/>
      <c r="AA140" s="4"/>
      <c r="AB140" s="4"/>
      <c r="AD140" s="4"/>
      <c r="AE140" s="4"/>
      <c r="AF140" s="4"/>
    </row>
    <row r="141" spans="1:45" ht="0" hidden="1" customHeight="1">
      <c r="E141" s="50"/>
      <c r="F141" s="50"/>
      <c r="G141" s="50"/>
      <c r="H141" s="50"/>
      <c r="I141" s="50"/>
      <c r="J141" s="50"/>
      <c r="K141" s="51"/>
      <c r="L141" s="51"/>
      <c r="M141" s="51"/>
      <c r="N141" s="51"/>
      <c r="O141" s="51"/>
      <c r="P141" s="51"/>
      <c r="Q141" s="4"/>
      <c r="R141" s="4"/>
      <c r="S141" s="4"/>
      <c r="T141" s="4"/>
      <c r="U141" s="4"/>
      <c r="V141" s="4"/>
      <c r="W141" s="4"/>
      <c r="X141" s="4"/>
      <c r="Y141" s="4"/>
      <c r="Z141" s="4"/>
      <c r="AA141" s="4"/>
      <c r="AE141" s="4"/>
      <c r="AF141" s="4"/>
    </row>
    <row r="142" spans="1:45" ht="0" hidden="1" customHeight="1">
      <c r="E142" s="50"/>
      <c r="F142" s="50"/>
      <c r="G142" s="50"/>
      <c r="H142" s="50"/>
      <c r="I142" s="50"/>
      <c r="J142" s="50"/>
      <c r="K142" s="51"/>
      <c r="L142" s="51"/>
      <c r="M142" s="51"/>
      <c r="N142" s="51"/>
      <c r="O142" s="51"/>
      <c r="P142" s="51"/>
      <c r="Q142" s="4"/>
      <c r="R142" s="4"/>
      <c r="S142" s="4"/>
      <c r="T142" s="4"/>
      <c r="U142" s="4"/>
      <c r="V142" s="4"/>
      <c r="W142" s="4"/>
      <c r="X142" s="4"/>
      <c r="Y142" s="4"/>
      <c r="Z142" s="4"/>
      <c r="AA142" s="4"/>
    </row>
    <row r="143" spans="1:45" ht="0" hidden="1" customHeight="1">
      <c r="E143" s="50"/>
      <c r="F143" s="50"/>
      <c r="G143" s="50"/>
      <c r="H143" s="50"/>
      <c r="I143" s="50"/>
      <c r="J143" s="50"/>
      <c r="K143" s="51"/>
      <c r="L143" s="51"/>
      <c r="M143" s="51"/>
      <c r="N143" s="51"/>
      <c r="O143" s="51"/>
      <c r="P143" s="51"/>
      <c r="Q143" s="4"/>
      <c r="R143" s="4"/>
      <c r="S143" s="4"/>
      <c r="T143" s="4"/>
      <c r="U143" s="4"/>
      <c r="V143" s="4"/>
      <c r="W143" s="4"/>
      <c r="X143" s="4"/>
      <c r="Y143" s="4"/>
      <c r="Z143" s="4"/>
      <c r="AA143" s="4"/>
    </row>
    <row r="144" spans="1:45" ht="0" hidden="1" customHeight="1">
      <c r="E144" s="50"/>
      <c r="F144" s="50"/>
      <c r="G144" s="50"/>
      <c r="H144" s="50"/>
      <c r="I144" s="50"/>
      <c r="J144" s="50"/>
      <c r="K144" s="51"/>
      <c r="L144" s="51"/>
      <c r="M144" s="51"/>
      <c r="N144" s="51"/>
      <c r="O144" s="51"/>
      <c r="P144" s="51"/>
      <c r="Q144" s="4"/>
      <c r="R144" s="4"/>
      <c r="S144" s="4"/>
      <c r="T144" s="4"/>
      <c r="U144" s="4"/>
      <c r="V144" s="4"/>
      <c r="W144" s="4"/>
      <c r="X144" s="4"/>
      <c r="Y144" s="4"/>
      <c r="Z144" s="4"/>
      <c r="AA144" s="4"/>
    </row>
    <row r="145" spans="5:27" ht="0" hidden="1" customHeight="1">
      <c r="E145" s="50"/>
      <c r="F145" s="50"/>
      <c r="G145" s="50"/>
      <c r="H145" s="50"/>
      <c r="I145" s="50"/>
      <c r="J145" s="50"/>
      <c r="K145" s="51"/>
      <c r="L145" s="51"/>
      <c r="M145" s="51"/>
      <c r="N145" s="51"/>
      <c r="O145" s="51"/>
      <c r="P145" s="51"/>
      <c r="Q145" s="4"/>
      <c r="R145" s="4"/>
      <c r="S145" s="4"/>
      <c r="T145" s="4"/>
      <c r="U145" s="4"/>
      <c r="V145" s="4"/>
      <c r="W145" s="4"/>
      <c r="X145" s="4"/>
      <c r="Y145" s="4"/>
      <c r="Z145" s="4"/>
      <c r="AA145" s="4"/>
    </row>
    <row r="146" spans="5:27" ht="0" hidden="1" customHeight="1">
      <c r="E146" s="50"/>
      <c r="F146" s="50"/>
      <c r="G146" s="50"/>
      <c r="H146" s="50"/>
      <c r="I146" s="50"/>
      <c r="J146" s="50"/>
      <c r="K146" s="51"/>
      <c r="L146" s="51"/>
      <c r="M146" s="51"/>
      <c r="N146" s="51"/>
      <c r="O146" s="51"/>
      <c r="P146" s="51"/>
      <c r="Q146" s="4"/>
      <c r="R146" s="4"/>
      <c r="S146" s="4"/>
      <c r="T146" s="4"/>
      <c r="U146" s="4"/>
      <c r="V146" s="4"/>
      <c r="W146" s="4"/>
      <c r="X146" s="4"/>
      <c r="Y146" s="4"/>
      <c r="Z146" s="4"/>
      <c r="AA146" s="4"/>
    </row>
    <row r="147" spans="5:27" ht="0" hidden="1" customHeight="1">
      <c r="E147" s="50"/>
      <c r="F147" s="50"/>
      <c r="G147" s="50"/>
      <c r="H147" s="50"/>
      <c r="I147" s="50"/>
      <c r="J147" s="50"/>
      <c r="K147" s="51"/>
      <c r="L147" s="51"/>
      <c r="M147" s="51"/>
      <c r="N147" s="51"/>
      <c r="O147" s="51"/>
      <c r="P147" s="51"/>
      <c r="Q147" s="4"/>
      <c r="R147" s="4"/>
      <c r="S147" s="4"/>
      <c r="T147" s="4"/>
      <c r="U147" s="4"/>
      <c r="V147" s="4"/>
      <c r="W147" s="4"/>
      <c r="X147" s="4"/>
      <c r="Y147" s="4"/>
      <c r="Z147" s="4"/>
      <c r="AA147" s="4"/>
    </row>
    <row r="148" spans="5:27" ht="0" hidden="1" customHeight="1">
      <c r="K148" s="64"/>
      <c r="L148" s="64"/>
      <c r="M148" s="64"/>
      <c r="N148" s="64"/>
      <c r="O148" s="64"/>
      <c r="P148" s="64"/>
    </row>
  </sheetData>
  <mergeCells count="48">
    <mergeCell ref="E53:J53"/>
    <mergeCell ref="E54:J54"/>
    <mergeCell ref="E55:J55"/>
    <mergeCell ref="E58:J58"/>
    <mergeCell ref="E47:J47"/>
    <mergeCell ref="E49:J49"/>
    <mergeCell ref="E50:J50"/>
    <mergeCell ref="E46:J46"/>
    <mergeCell ref="E24:J24"/>
    <mergeCell ref="E36:J36"/>
    <mergeCell ref="E41:J41"/>
    <mergeCell ref="E42:J42"/>
    <mergeCell ref="E43:J43"/>
    <mergeCell ref="E39:J39"/>
    <mergeCell ref="E40:J40"/>
    <mergeCell ref="E34:J34"/>
    <mergeCell ref="E13:J13"/>
    <mergeCell ref="E14:J14"/>
    <mergeCell ref="E37:J37"/>
    <mergeCell ref="E25:J25"/>
    <mergeCell ref="E26:J26"/>
    <mergeCell ref="E27:J27"/>
    <mergeCell ref="E29:J29"/>
    <mergeCell ref="E30:J30"/>
    <mergeCell ref="E31:J31"/>
    <mergeCell ref="E19:J19"/>
    <mergeCell ref="E33:J33"/>
    <mergeCell ref="E71:J71"/>
    <mergeCell ref="E72:J72"/>
    <mergeCell ref="E76:J76"/>
    <mergeCell ref="K2:W5"/>
    <mergeCell ref="E45:J45"/>
    <mergeCell ref="E32:J32"/>
    <mergeCell ref="E35:J35"/>
    <mergeCell ref="E38:J38"/>
    <mergeCell ref="E16:J16"/>
    <mergeCell ref="E18:J18"/>
    <mergeCell ref="E21:J21"/>
    <mergeCell ref="E22:J22"/>
    <mergeCell ref="I12:J12"/>
    <mergeCell ref="E17:J17"/>
    <mergeCell ref="E44:J44"/>
    <mergeCell ref="E23:J23"/>
    <mergeCell ref="E61:J61"/>
    <mergeCell ref="E62:J62"/>
    <mergeCell ref="E63:J63"/>
    <mergeCell ref="E67:J67"/>
    <mergeCell ref="E70:J70"/>
  </mergeCells>
  <phoneticPr fontId="26" type="noConversion"/>
  <conditionalFormatting sqref="K22:U22">
    <cfRule type="colorScale" priority="43">
      <colorScale>
        <cfvo type="min"/>
        <cfvo type="max"/>
        <color rgb="FFD9FBE2"/>
        <color rgb="FF43AF43"/>
      </colorScale>
    </cfRule>
    <cfRule type="colorScale" priority="44">
      <colorScale>
        <cfvo type="min"/>
        <cfvo type="max"/>
        <color rgb="FFFCFCFF"/>
        <color rgb="FF43AF43"/>
      </colorScale>
    </cfRule>
    <cfRule type="colorScale" priority="45">
      <colorScale>
        <cfvo type="min"/>
        <cfvo type="max"/>
        <color rgb="FFD9FBE2"/>
        <color rgb="FF43AF43"/>
      </colorScale>
    </cfRule>
    <cfRule type="colorScale" priority="46">
      <colorScale>
        <cfvo type="min"/>
        <cfvo type="max"/>
        <color rgb="FFFCFCFF"/>
        <color rgb="FF43AF43"/>
      </colorScale>
    </cfRule>
    <cfRule type="colorScale" priority="47">
      <colorScale>
        <cfvo type="min"/>
        <cfvo type="max"/>
        <color rgb="FFD9FBE2"/>
        <color rgb="FF43AF43"/>
      </colorScale>
    </cfRule>
    <cfRule type="colorScale" priority="48">
      <colorScale>
        <cfvo type="min"/>
        <cfvo type="max"/>
        <color rgb="FFFCFCFF"/>
        <color rgb="FF43AF43"/>
      </colorScale>
    </cfRule>
    <cfRule type="cellIs" dxfId="177" priority="49" operator="equal">
      <formula>0</formula>
    </cfRule>
  </conditionalFormatting>
  <conditionalFormatting sqref="K25:U25">
    <cfRule type="colorScale" priority="36">
      <colorScale>
        <cfvo type="min"/>
        <cfvo type="max"/>
        <color rgb="FFD9FBE2"/>
        <color rgb="FF43AF43"/>
      </colorScale>
    </cfRule>
    <cfRule type="colorScale" priority="37">
      <colorScale>
        <cfvo type="min"/>
        <cfvo type="max"/>
        <color rgb="FFFCFCFF"/>
        <color rgb="FF43AF43"/>
      </colorScale>
    </cfRule>
    <cfRule type="colorScale" priority="38">
      <colorScale>
        <cfvo type="min"/>
        <cfvo type="max"/>
        <color rgb="FFD9FBE2"/>
        <color rgb="FF43AF43"/>
      </colorScale>
    </cfRule>
    <cfRule type="colorScale" priority="39">
      <colorScale>
        <cfvo type="min"/>
        <cfvo type="max"/>
        <color rgb="FFFCFCFF"/>
        <color rgb="FF43AF43"/>
      </colorScale>
    </cfRule>
    <cfRule type="colorScale" priority="40">
      <colorScale>
        <cfvo type="min"/>
        <cfvo type="max"/>
        <color rgb="FFD9FBE2"/>
        <color rgb="FF43AF43"/>
      </colorScale>
    </cfRule>
    <cfRule type="colorScale" priority="41">
      <colorScale>
        <cfvo type="min"/>
        <cfvo type="max"/>
        <color rgb="FFFCFCFF"/>
        <color rgb="FF43AF43"/>
      </colorScale>
    </cfRule>
    <cfRule type="cellIs" dxfId="176" priority="42" operator="equal">
      <formula>0</formula>
    </cfRule>
  </conditionalFormatting>
  <conditionalFormatting sqref="K26:U26 K63:AA67">
    <cfRule type="cellIs" dxfId="175" priority="87" operator="equal">
      <formula>0</formula>
    </cfRule>
  </conditionalFormatting>
  <conditionalFormatting sqref="K27:U27">
    <cfRule type="colorScale" priority="29">
      <colorScale>
        <cfvo type="min"/>
        <cfvo type="max"/>
        <color rgb="FFD9FBE2"/>
        <color rgb="FF43AF43"/>
      </colorScale>
    </cfRule>
    <cfRule type="colorScale" priority="30">
      <colorScale>
        <cfvo type="min"/>
        <cfvo type="max"/>
        <color rgb="FFFCFCFF"/>
        <color rgb="FF43AF43"/>
      </colorScale>
    </cfRule>
    <cfRule type="colorScale" priority="31">
      <colorScale>
        <cfvo type="min"/>
        <cfvo type="max"/>
        <color rgb="FFD9FBE2"/>
        <color rgb="FF43AF43"/>
      </colorScale>
    </cfRule>
    <cfRule type="colorScale" priority="32">
      <colorScale>
        <cfvo type="min"/>
        <cfvo type="max"/>
        <color rgb="FFFCFCFF"/>
        <color rgb="FF43AF43"/>
      </colorScale>
    </cfRule>
    <cfRule type="colorScale" priority="33">
      <colorScale>
        <cfvo type="min"/>
        <cfvo type="max"/>
        <color rgb="FFD9FBE2"/>
        <color rgb="FF43AF43"/>
      </colorScale>
    </cfRule>
    <cfRule type="colorScale" priority="34">
      <colorScale>
        <cfvo type="min"/>
        <cfvo type="max"/>
        <color rgb="FFFCFCFF"/>
        <color rgb="FF43AF43"/>
      </colorScale>
    </cfRule>
    <cfRule type="cellIs" dxfId="174" priority="35" operator="equal">
      <formula>0</formula>
    </cfRule>
  </conditionalFormatting>
  <conditionalFormatting sqref="K28:U33 K35:U37">
    <cfRule type="cellIs" dxfId="173" priority="83" operator="equal">
      <formula>0</formula>
    </cfRule>
  </conditionalFormatting>
  <conditionalFormatting sqref="K39:U49">
    <cfRule type="cellIs" dxfId="172" priority="79" operator="equal">
      <formula>0</formula>
    </cfRule>
  </conditionalFormatting>
  <conditionalFormatting sqref="K50:U50">
    <cfRule type="colorScale" priority="15">
      <colorScale>
        <cfvo type="min"/>
        <cfvo type="max"/>
        <color rgb="FFD9FBE2"/>
        <color rgb="FF43AF43"/>
      </colorScale>
    </cfRule>
    <cfRule type="colorScale" priority="16">
      <colorScale>
        <cfvo type="min"/>
        <cfvo type="max"/>
        <color rgb="FFFCFCFF"/>
        <color rgb="FF43AF43"/>
      </colorScale>
    </cfRule>
    <cfRule type="colorScale" priority="17">
      <colorScale>
        <cfvo type="min"/>
        <cfvo type="max"/>
        <color rgb="FFD9FBE2"/>
        <color rgb="FF43AF43"/>
      </colorScale>
    </cfRule>
    <cfRule type="colorScale" priority="18">
      <colorScale>
        <cfvo type="min"/>
        <cfvo type="max"/>
        <color rgb="FFFCFCFF"/>
        <color rgb="FF43AF43"/>
      </colorScale>
    </cfRule>
    <cfRule type="colorScale" priority="19">
      <colorScale>
        <cfvo type="min"/>
        <cfvo type="max"/>
        <color rgb="FFD9FBE2"/>
        <color rgb="FF43AF43"/>
      </colorScale>
    </cfRule>
    <cfRule type="colorScale" priority="20">
      <colorScale>
        <cfvo type="min"/>
        <cfvo type="max"/>
        <color rgb="FFFCFCFF"/>
        <color rgb="FF43AF43"/>
      </colorScale>
    </cfRule>
    <cfRule type="cellIs" dxfId="171" priority="21" operator="equal">
      <formula>0</formula>
    </cfRule>
  </conditionalFormatting>
  <conditionalFormatting sqref="K38:V38">
    <cfRule type="colorScale" priority="22">
      <colorScale>
        <cfvo type="min"/>
        <cfvo type="max"/>
        <color rgb="FFD9FBE2"/>
        <color rgb="FF43AF43"/>
      </colorScale>
    </cfRule>
    <cfRule type="colorScale" priority="23">
      <colorScale>
        <cfvo type="min"/>
        <cfvo type="max"/>
        <color rgb="FFFCFCFF"/>
        <color rgb="FF43AF43"/>
      </colorScale>
    </cfRule>
    <cfRule type="colorScale" priority="24">
      <colorScale>
        <cfvo type="min"/>
        <cfvo type="max"/>
        <color rgb="FFD9FBE2"/>
        <color rgb="FF43AF43"/>
      </colorScale>
    </cfRule>
    <cfRule type="colorScale" priority="25">
      <colorScale>
        <cfvo type="min"/>
        <cfvo type="max"/>
        <color rgb="FFFCFCFF"/>
        <color rgb="FF43AF43"/>
      </colorScale>
    </cfRule>
    <cfRule type="colorScale" priority="26">
      <colorScale>
        <cfvo type="min"/>
        <cfvo type="max"/>
        <color rgb="FFD9FBE2"/>
        <color rgb="FF43AF43"/>
      </colorScale>
    </cfRule>
    <cfRule type="colorScale" priority="27">
      <colorScale>
        <cfvo type="min"/>
        <cfvo type="max"/>
        <color rgb="FFFCFCFF"/>
        <color rgb="FF43AF43"/>
      </colorScale>
    </cfRule>
    <cfRule type="cellIs" dxfId="170" priority="28" operator="equal">
      <formula>0</formula>
    </cfRule>
  </conditionalFormatting>
  <conditionalFormatting sqref="K13:AA16 K18:AA20 K21:U21 K23:U24 N43:T43 AB56:AB58 V21:AA33 V35:V37 W34:AA50">
    <cfRule type="cellIs" dxfId="169" priority="279" operator="equal">
      <formula>0</formula>
    </cfRule>
  </conditionalFormatting>
  <conditionalFormatting sqref="K17:AA17">
    <cfRule type="colorScale" priority="50">
      <colorScale>
        <cfvo type="min"/>
        <cfvo type="max"/>
        <color rgb="FFD9FBE2"/>
        <color rgb="FF43AF43"/>
      </colorScale>
    </cfRule>
    <cfRule type="colorScale" priority="51">
      <colorScale>
        <cfvo type="min"/>
        <cfvo type="max"/>
        <color rgb="FFFCFCFF"/>
        <color rgb="FF43AF43"/>
      </colorScale>
    </cfRule>
    <cfRule type="colorScale" priority="52">
      <colorScale>
        <cfvo type="min"/>
        <cfvo type="max"/>
        <color rgb="FFD9FBE2"/>
        <color rgb="FF43AF43"/>
      </colorScale>
    </cfRule>
    <cfRule type="colorScale" priority="53">
      <colorScale>
        <cfvo type="min"/>
        <cfvo type="max"/>
        <color rgb="FFFCFCFF"/>
        <color rgb="FF43AF43"/>
      </colorScale>
    </cfRule>
    <cfRule type="colorScale" priority="54">
      <colorScale>
        <cfvo type="min"/>
        <cfvo type="max"/>
        <color rgb="FFD9FBE2"/>
        <color rgb="FF43AF43"/>
      </colorScale>
    </cfRule>
    <cfRule type="colorScale" priority="55">
      <colorScale>
        <cfvo type="min"/>
        <cfvo type="max"/>
        <color rgb="FFFCFCFF"/>
        <color rgb="FF43AF43"/>
      </colorScale>
    </cfRule>
    <cfRule type="cellIs" dxfId="168" priority="56" operator="equal">
      <formula>0</formula>
    </cfRule>
  </conditionalFormatting>
  <conditionalFormatting sqref="K53:AA53">
    <cfRule type="cellIs" dxfId="167" priority="67" operator="equal">
      <formula>0</formula>
    </cfRule>
  </conditionalFormatting>
  <conditionalFormatting sqref="K55:AA58">
    <cfRule type="cellIs" dxfId="166" priority="58" operator="equal">
      <formula>0</formula>
    </cfRule>
  </conditionalFormatting>
  <conditionalFormatting sqref="K61:AA61">
    <cfRule type="cellIs" dxfId="165" priority="12" operator="equal">
      <formula>0</formula>
    </cfRule>
  </conditionalFormatting>
  <conditionalFormatting sqref="K70:AA70">
    <cfRule type="cellIs" dxfId="164" priority="14" operator="equal">
      <formula>0</formula>
    </cfRule>
  </conditionalFormatting>
  <conditionalFormatting sqref="K72:AA76">
    <cfRule type="cellIs" dxfId="163" priority="13" operator="equal">
      <formula>0</formula>
    </cfRule>
  </conditionalFormatting>
  <conditionalFormatting sqref="V22">
    <cfRule type="colorScale" priority="2040">
      <colorScale>
        <cfvo type="min"/>
        <cfvo type="max"/>
        <color rgb="FFD9FBE2"/>
        <color rgb="FF00C556"/>
      </colorScale>
    </cfRule>
    <cfRule type="colorScale" priority="2041">
      <colorScale>
        <cfvo type="min"/>
        <cfvo type="max"/>
        <color rgb="FFFCFCFF"/>
        <color rgb="FF63BE7B"/>
      </colorScale>
    </cfRule>
  </conditionalFormatting>
  <conditionalFormatting sqref="V25">
    <cfRule type="colorScale" priority="2050">
      <colorScale>
        <cfvo type="min"/>
        <cfvo type="max"/>
        <color rgb="FFD9FBE2"/>
        <color rgb="FF00C556"/>
      </colorScale>
    </cfRule>
    <cfRule type="colorScale" priority="2051">
      <colorScale>
        <cfvo type="min"/>
        <cfvo type="max"/>
        <color rgb="FFFCFCFF"/>
        <color rgb="FF63BE7B"/>
      </colorScale>
    </cfRule>
  </conditionalFormatting>
  <conditionalFormatting sqref="V27">
    <cfRule type="colorScale" priority="2044">
      <colorScale>
        <cfvo type="min"/>
        <cfvo type="max"/>
        <color rgb="FFD9FBE2"/>
        <color rgb="FF00C556"/>
      </colorScale>
    </cfRule>
    <cfRule type="colorScale" priority="2045">
      <colorScale>
        <cfvo type="min"/>
        <cfvo type="max"/>
        <color rgb="FFFCFCFF"/>
        <color rgb="FF63BE7B"/>
      </colorScale>
    </cfRule>
  </conditionalFormatting>
  <conditionalFormatting sqref="V39:V50">
    <cfRule type="cellIs" dxfId="162" priority="135" operator="equal">
      <formula>0</formula>
    </cfRule>
  </conditionalFormatting>
  <conditionalFormatting sqref="V50">
    <cfRule type="colorScale" priority="2036">
      <colorScale>
        <cfvo type="min"/>
        <cfvo type="max"/>
        <color rgb="FFD9FBE2"/>
        <color rgb="FF00C556"/>
      </colorScale>
    </cfRule>
    <cfRule type="colorScale" priority="2037">
      <colorScale>
        <cfvo type="min"/>
        <cfvo type="max"/>
        <color rgb="FFFCFCFF"/>
        <color rgb="FF63BE7B"/>
      </colorScale>
    </cfRule>
  </conditionalFormatting>
  <conditionalFormatting sqref="W38:AA38">
    <cfRule type="colorScale" priority="2327">
      <colorScale>
        <cfvo type="min"/>
        <cfvo type="max"/>
        <color rgb="FFD9FBE2"/>
        <color rgb="FF00C556"/>
      </colorScale>
    </cfRule>
    <cfRule type="colorScale" priority="2328">
      <colorScale>
        <cfvo type="min"/>
        <cfvo type="max"/>
        <color rgb="FFFCFCFF"/>
        <color rgb="FF63BE7B"/>
      </colorScale>
    </cfRule>
    <cfRule type="colorScale" priority="2333">
      <colorScale>
        <cfvo type="min"/>
        <cfvo type="max"/>
        <color rgb="FFD9FBE2"/>
        <color rgb="FF00C556"/>
      </colorScale>
    </cfRule>
  </conditionalFormatting>
  <conditionalFormatting sqref="Y21:AA21">
    <cfRule type="cellIs" dxfId="161" priority="181" operator="equal">
      <formula>0</formula>
    </cfRule>
  </conditionalFormatting>
  <conditionalFormatting sqref="Y26:AA26">
    <cfRule type="cellIs" dxfId="160" priority="182" operator="equal">
      <formula>0</formula>
    </cfRule>
  </conditionalFormatting>
  <conditionalFormatting sqref="Y29:AA33">
    <cfRule type="cellIs" dxfId="159" priority="180" operator="equal">
      <formula>0</formula>
    </cfRule>
  </conditionalFormatting>
  <conditionalFormatting sqref="K34:V34">
    <cfRule type="colorScale" priority="1">
      <colorScale>
        <cfvo type="min"/>
        <cfvo type="max"/>
        <color rgb="FFD9FBE2"/>
        <color rgb="FF43AF43"/>
      </colorScale>
    </cfRule>
    <cfRule type="colorScale" priority="2">
      <colorScale>
        <cfvo type="min"/>
        <cfvo type="max"/>
        <color rgb="FFFCFCFF"/>
        <color rgb="FF43AF43"/>
      </colorScale>
    </cfRule>
    <cfRule type="colorScale" priority="3">
      <colorScale>
        <cfvo type="min"/>
        <cfvo type="max"/>
        <color rgb="FFD9FBE2"/>
        <color rgb="FF43AF43"/>
      </colorScale>
    </cfRule>
    <cfRule type="colorScale" priority="4">
      <colorScale>
        <cfvo type="min"/>
        <cfvo type="max"/>
        <color rgb="FFFCFCFF"/>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fRule type="cellIs" dxfId="158" priority="7" operator="equal">
      <formula>0</formula>
    </cfRule>
  </conditionalFormatting>
  <conditionalFormatting sqref="W34:AA34">
    <cfRule type="colorScale" priority="8">
      <colorScale>
        <cfvo type="min"/>
        <cfvo type="max"/>
        <color rgb="FFD9FBE2"/>
        <color rgb="FF00C556"/>
      </colorScale>
    </cfRule>
    <cfRule type="colorScale" priority="9">
      <colorScale>
        <cfvo type="min"/>
        <cfvo type="max"/>
        <color rgb="FFFCFCFF"/>
        <color rgb="FF63BE7B"/>
      </colorScale>
    </cfRule>
    <cfRule type="colorScale" priority="10">
      <colorScale>
        <cfvo type="min"/>
        <cfvo type="max"/>
        <color rgb="FFD9FBE2"/>
        <color rgb="FF00C556"/>
      </colorScale>
    </cfRule>
  </conditionalFormatting>
  <hyperlinks>
    <hyperlink ref="A13" location="'Balanço Patrimonial'!A1" display="Balanço Patrimonial" xr:uid="{1BB797A9-860D-45EA-8F56-3A0E68595483}"/>
    <hyperlink ref="A12" location="'DRE - Contas Abertas'!A1" display="DRE - Contas Abertas" xr:uid="{E6E5655F-9E96-44DE-9AEE-F7F22996F4C1}"/>
    <hyperlink ref="A14" location="'Painel de Índices'!A1" display="Projeções - Receita" xr:uid="{6EC53B17-CE93-4415-B0B1-F16C354CD9E3}"/>
    <hyperlink ref="A16" location="'Projeções - CG + Capex'!A1" display="Projeções - CG + Capex" xr:uid="{85B8B695-42FE-4E55-BDF6-A801E1B2FC2D}"/>
    <hyperlink ref="A20" location="Gráficos!A1" display="Gráficos" xr:uid="{DC71C77E-E15F-46C7-A02D-C499CB9537B7}"/>
    <hyperlink ref="A18" location="Processos!A1" display="Processos" xr:uid="{B0C92894-33FA-438B-88CC-8748EE614F41}"/>
    <hyperlink ref="A8" location="Dashboard!A1" display="Dashboard" xr:uid="{8CDD9DFF-4A5E-4E88-B407-4809B79ED419}"/>
    <hyperlink ref="A9" location="WACC!A1" display="WACC" xr:uid="{64DEB967-7178-4546-89B6-B31CA253BE8D}"/>
    <hyperlink ref="A10" location="'DRE Consolidado'!A1" display="DRE Consolidado" xr:uid="{55430EA8-73C1-457C-9E66-356C3A274A44}"/>
    <hyperlink ref="A15" location="'Projeções - Receita e EBIT'!A1" display="Projeções - Receita" xr:uid="{BD81FA6F-E0A2-43BC-97A2-A3D5334385E4}"/>
    <hyperlink ref="A11" location="'DRE + DCF'!A1" display="DRE + DCF" xr:uid="{7EE60611-FB34-4CC9-9916-F882FABDC8D2}"/>
    <hyperlink ref="A17" location="'Projeções 2023'!A1" display="Projeções 2022" xr:uid="{B41971D3-53CC-4533-8DB4-28D95DE4426A}"/>
  </hyperlinks>
  <pageMargins left="0.511811024" right="0.511811024" top="0.78740157499999996" bottom="0.78740157499999996" header="0.31496062000000002" footer="0.31496062000000002"/>
  <pageSetup paperSize="9" orientation="portrait" r:id="rId1"/>
  <ignoredErrors>
    <ignoredError sqref="K29"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B2226-E07B-42F2-B2F9-33576F26677E}">
  <dimension ref="A1:BV170"/>
  <sheetViews>
    <sheetView showGridLines="0" topLeftCell="C1" zoomScale="85" zoomScaleNormal="85" workbookViewId="0">
      <selection activeCell="W16" sqref="W16"/>
    </sheetView>
  </sheetViews>
  <sheetFormatPr defaultColWidth="0" defaultRowHeight="0" customHeight="1" zeroHeight="1"/>
  <cols>
    <col min="1" max="1" width="39.140625" style="3" customWidth="1"/>
    <col min="2" max="4" width="9.140625" style="5" customWidth="1"/>
    <col min="5" max="9" width="7.28515625" style="5" customWidth="1"/>
    <col min="10" max="10" width="37.140625" style="5" customWidth="1"/>
    <col min="11" max="11" width="15.140625" style="5" bestFit="1" customWidth="1"/>
    <col min="12" max="12" width="15.140625" style="5" customWidth="1"/>
    <col min="13" max="18" width="15.140625" style="5" bestFit="1" customWidth="1"/>
    <col min="19" max="21" width="15.140625" style="5" customWidth="1"/>
    <col min="22" max="22" width="16.42578125" style="5" bestFit="1" customWidth="1"/>
    <col min="23" max="23" width="17.5703125" style="5" bestFit="1" customWidth="1"/>
    <col min="24" max="27" width="16.42578125" style="5" bestFit="1" customWidth="1"/>
    <col min="28" max="28" width="15.42578125" style="5" bestFit="1" customWidth="1"/>
    <col min="29" max="29" width="13.85546875" style="5" customWidth="1"/>
    <col min="30" max="42" width="9.140625" style="5" customWidth="1"/>
    <col min="43" max="47" width="9.140625" style="5" hidden="1" customWidth="1"/>
    <col min="48" max="51" width="0" style="5" hidden="1" customWidth="1"/>
    <col min="52" max="74" width="9.140625" style="5" hidden="1" customWidth="1"/>
    <col min="75" max="16384" width="0" style="5" hidden="1"/>
  </cols>
  <sheetData>
    <row r="1" spans="1:44" ht="15">
      <c r="A1" s="3" t="s">
        <v>59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row>
    <row r="2" spans="1:44" ht="15" customHeight="1">
      <c r="B2" s="4"/>
      <c r="C2" s="4"/>
      <c r="D2" s="4"/>
      <c r="E2" s="4"/>
      <c r="F2" s="4"/>
      <c r="G2" s="4"/>
      <c r="H2" s="4"/>
      <c r="I2" s="4"/>
      <c r="J2" s="4"/>
      <c r="K2" s="336" t="str">
        <f>Dashboard!H3</f>
        <v>SIMPAR (SIMH3)</v>
      </c>
      <c r="L2" s="336"/>
      <c r="M2" s="336"/>
      <c r="N2" s="336"/>
      <c r="O2" s="336"/>
      <c r="P2" s="336"/>
      <c r="Q2" s="336"/>
      <c r="R2" s="336"/>
      <c r="S2" s="336"/>
      <c r="T2" s="336"/>
      <c r="U2" s="336"/>
      <c r="V2" s="336"/>
      <c r="W2" s="336"/>
      <c r="X2" s="4"/>
      <c r="Y2" s="4"/>
      <c r="Z2" s="4"/>
      <c r="AA2" s="4"/>
      <c r="AB2" s="4"/>
      <c r="AC2" s="4"/>
      <c r="AD2" s="4"/>
      <c r="AE2" s="4"/>
      <c r="AF2" s="4"/>
      <c r="AG2" s="4"/>
      <c r="AH2" s="4"/>
      <c r="AI2" s="4"/>
      <c r="AJ2" s="4"/>
      <c r="AK2" s="4"/>
      <c r="AL2" s="4"/>
      <c r="AM2" s="4"/>
      <c r="AN2" s="4"/>
      <c r="AO2" s="4"/>
      <c r="AP2" s="4"/>
      <c r="AQ2" s="4"/>
      <c r="AR2" s="4"/>
    </row>
    <row r="3" spans="1:44" ht="15" customHeight="1">
      <c r="B3" s="4"/>
      <c r="C3" s="4"/>
      <c r="D3" s="4"/>
      <c r="E3" s="4"/>
      <c r="F3" s="4"/>
      <c r="G3" s="4"/>
      <c r="H3" s="4"/>
      <c r="I3" s="4"/>
      <c r="J3" s="4"/>
      <c r="K3" s="336"/>
      <c r="L3" s="336"/>
      <c r="M3" s="336"/>
      <c r="N3" s="336"/>
      <c r="O3" s="336"/>
      <c r="P3" s="336"/>
      <c r="Q3" s="336"/>
      <c r="R3" s="336"/>
      <c r="S3" s="336"/>
      <c r="T3" s="336"/>
      <c r="U3" s="336"/>
      <c r="V3" s="336"/>
      <c r="W3" s="336"/>
      <c r="X3" s="4"/>
      <c r="Y3" s="4"/>
      <c r="Z3" s="4"/>
      <c r="AA3" s="4"/>
      <c r="AB3" s="4"/>
      <c r="AC3" s="4"/>
      <c r="AD3" s="4"/>
      <c r="AE3" s="4"/>
      <c r="AF3" s="4"/>
      <c r="AG3" s="4"/>
      <c r="AH3" s="4"/>
      <c r="AI3" s="4"/>
      <c r="AJ3" s="4"/>
      <c r="AK3" s="4"/>
      <c r="AL3" s="4"/>
      <c r="AM3" s="4"/>
      <c r="AN3" s="4"/>
      <c r="AO3" s="4"/>
      <c r="AP3" s="4"/>
      <c r="AQ3" s="4"/>
      <c r="AR3" s="4"/>
    </row>
    <row r="4" spans="1:44" ht="15" customHeight="1">
      <c r="B4" s="4"/>
      <c r="C4" s="4"/>
      <c r="D4" s="4"/>
      <c r="E4" s="4"/>
      <c r="F4" s="4"/>
      <c r="G4" s="4"/>
      <c r="H4" s="4"/>
      <c r="I4" s="4"/>
      <c r="J4" s="4"/>
      <c r="K4" s="336"/>
      <c r="L4" s="336"/>
      <c r="M4" s="336"/>
      <c r="N4" s="336"/>
      <c r="O4" s="336"/>
      <c r="P4" s="336"/>
      <c r="Q4" s="336"/>
      <c r="R4" s="336"/>
      <c r="S4" s="336"/>
      <c r="T4" s="336"/>
      <c r="U4" s="336"/>
      <c r="V4" s="336"/>
      <c r="W4" s="336"/>
      <c r="X4" s="4"/>
      <c r="Y4" s="4"/>
      <c r="Z4" s="4"/>
      <c r="AA4" s="4"/>
      <c r="AB4" s="4"/>
      <c r="AC4" s="4"/>
      <c r="AD4" s="4"/>
      <c r="AE4" s="4"/>
      <c r="AF4" s="4"/>
      <c r="AG4" s="4"/>
      <c r="AH4" s="4"/>
      <c r="AI4" s="4"/>
      <c r="AJ4" s="4"/>
      <c r="AK4" s="4"/>
      <c r="AL4" s="4"/>
      <c r="AM4" s="4"/>
      <c r="AN4" s="4"/>
      <c r="AO4" s="4"/>
      <c r="AP4" s="4"/>
      <c r="AQ4" s="4"/>
      <c r="AR4" s="4"/>
    </row>
    <row r="5" spans="1:44" ht="15" customHeight="1">
      <c r="B5" s="4"/>
      <c r="C5" s="4"/>
      <c r="D5" s="4"/>
      <c r="E5" s="4"/>
      <c r="F5" s="4"/>
      <c r="G5" s="4"/>
      <c r="H5" s="4"/>
      <c r="I5" s="4"/>
      <c r="J5" s="4"/>
      <c r="K5" s="336"/>
      <c r="L5" s="336"/>
      <c r="M5" s="336"/>
      <c r="N5" s="336"/>
      <c r="O5" s="336"/>
      <c r="P5" s="336"/>
      <c r="Q5" s="336"/>
      <c r="R5" s="336"/>
      <c r="S5" s="336"/>
      <c r="T5" s="336"/>
      <c r="U5" s="336"/>
      <c r="V5" s="336"/>
      <c r="W5" s="336"/>
      <c r="X5" s="4"/>
      <c r="Y5" s="4"/>
      <c r="Z5" s="4"/>
      <c r="AA5" s="4"/>
      <c r="AB5" s="4"/>
      <c r="AC5" s="4"/>
      <c r="AD5" s="4"/>
      <c r="AE5" s="4"/>
      <c r="AF5" s="4"/>
      <c r="AG5" s="4"/>
      <c r="AH5" s="4"/>
      <c r="AI5" s="4"/>
      <c r="AJ5" s="4"/>
      <c r="AK5" s="4"/>
      <c r="AL5" s="4"/>
      <c r="AM5" s="4"/>
      <c r="AN5" s="4"/>
      <c r="AO5" s="4"/>
      <c r="AP5" s="4"/>
      <c r="AQ5" s="4"/>
      <c r="AR5" s="4"/>
    </row>
    <row r="6" spans="1:44" ht="15">
      <c r="B6" s="4"/>
      <c r="C6" s="4"/>
      <c r="D6" s="4"/>
      <c r="E6" s="4"/>
      <c r="F6" s="4"/>
      <c r="G6" s="4"/>
      <c r="H6" s="4"/>
      <c r="I6" s="4"/>
      <c r="J6" s="4"/>
      <c r="K6" s="4"/>
      <c r="L6" s="4"/>
      <c r="M6" s="4"/>
      <c r="N6" s="32"/>
      <c r="O6" s="32"/>
      <c r="P6" s="32"/>
      <c r="Q6" s="32"/>
      <c r="R6" s="32"/>
      <c r="S6" s="32"/>
      <c r="T6" s="32"/>
      <c r="U6" s="32"/>
      <c r="V6" s="4"/>
      <c r="W6" s="4"/>
      <c r="X6" s="4"/>
      <c r="Y6" s="4"/>
      <c r="Z6" s="4"/>
      <c r="AA6" s="4"/>
      <c r="AB6" s="4"/>
      <c r="AC6" s="4"/>
      <c r="AD6" s="4"/>
      <c r="AE6" s="4"/>
      <c r="AF6" s="4"/>
      <c r="AG6" s="4"/>
      <c r="AH6" s="4"/>
      <c r="AI6" s="4"/>
      <c r="AJ6" s="4"/>
      <c r="AK6" s="4"/>
      <c r="AL6" s="4"/>
      <c r="AM6" s="4"/>
      <c r="AN6" s="4"/>
      <c r="AO6" s="4"/>
      <c r="AP6" s="4"/>
      <c r="AQ6" s="4"/>
      <c r="AR6" s="4"/>
    </row>
    <row r="7" spans="1:44" s="11" customFormat="1" ht="24.75" customHeight="1">
      <c r="A7" s="9" t="s">
        <v>33</v>
      </c>
      <c r="B7" s="10"/>
      <c r="C7" s="10"/>
      <c r="D7" s="10"/>
      <c r="E7" s="4"/>
      <c r="F7" s="4"/>
      <c r="G7" s="4"/>
      <c r="H7" s="4"/>
      <c r="I7" s="4"/>
      <c r="J7" s="4"/>
      <c r="K7" s="4"/>
      <c r="L7" s="4"/>
      <c r="M7" s="4"/>
      <c r="N7" s="4"/>
      <c r="O7" s="4"/>
      <c r="P7" s="4"/>
      <c r="Q7" s="4"/>
      <c r="R7" s="4"/>
      <c r="S7" s="4"/>
      <c r="T7" s="4"/>
      <c r="U7" s="4"/>
      <c r="V7" s="4"/>
      <c r="W7" s="4"/>
      <c r="X7" s="4"/>
      <c r="Y7" s="4"/>
      <c r="Z7" s="4"/>
      <c r="AA7" s="4"/>
      <c r="AB7" s="4"/>
      <c r="AC7" s="4"/>
      <c r="AD7" s="4"/>
      <c r="AE7" s="4"/>
      <c r="AF7" s="10"/>
      <c r="AG7" s="10"/>
      <c r="AH7" s="10"/>
      <c r="AI7" s="10"/>
      <c r="AJ7" s="10"/>
      <c r="AK7" s="10"/>
      <c r="AL7" s="10"/>
      <c r="AM7" s="10"/>
      <c r="AN7" s="10"/>
      <c r="AO7" s="10"/>
      <c r="AP7" s="4"/>
      <c r="AQ7" s="10"/>
      <c r="AR7" s="10"/>
    </row>
    <row r="8" spans="1:44" ht="30" customHeight="1">
      <c r="A8" s="12" t="s">
        <v>34</v>
      </c>
      <c r="B8" s="4"/>
      <c r="C8" s="4"/>
      <c r="D8" s="10"/>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4" ht="30" customHeight="1">
      <c r="A9" s="12" t="s">
        <v>23</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spans="1:44" ht="30" customHeight="1">
      <c r="A10" s="12" t="s">
        <v>323</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row>
    <row r="11" spans="1:44" ht="30" customHeight="1">
      <c r="A11" s="33" t="s">
        <v>325</v>
      </c>
      <c r="B11" s="4"/>
      <c r="C11" s="4"/>
      <c r="D11" s="4"/>
      <c r="E11" s="11"/>
      <c r="F11" s="11"/>
      <c r="G11" s="11"/>
      <c r="H11" s="11"/>
      <c r="I11" s="11"/>
      <c r="J11" s="11"/>
      <c r="K11" s="11"/>
      <c r="L11" s="11"/>
      <c r="M11" s="11"/>
      <c r="N11" s="11"/>
      <c r="O11" s="11"/>
      <c r="P11" s="11"/>
      <c r="Q11" s="11"/>
      <c r="R11" s="11"/>
      <c r="S11" s="11"/>
      <c r="T11" s="11"/>
      <c r="U11" s="11"/>
      <c r="V11" s="11"/>
      <c r="W11" s="11"/>
      <c r="X11" s="11"/>
      <c r="Y11" s="11"/>
      <c r="Z11" s="11"/>
      <c r="AA11" s="11"/>
      <c r="AB11" s="10"/>
      <c r="AC11" s="10"/>
      <c r="AD11" s="10"/>
      <c r="AE11" s="10"/>
      <c r="AF11" s="4"/>
      <c r="AG11" s="4"/>
      <c r="AH11" s="4"/>
      <c r="AI11" s="4"/>
      <c r="AJ11" s="4"/>
      <c r="AK11" s="4"/>
      <c r="AL11" s="4"/>
      <c r="AM11" s="4"/>
      <c r="AN11" s="4"/>
      <c r="AO11" s="4"/>
      <c r="AP11" s="4"/>
      <c r="AQ11" s="4"/>
    </row>
    <row r="12" spans="1:44" ht="30" customHeight="1">
      <c r="A12" s="166" t="s">
        <v>127</v>
      </c>
      <c r="B12" s="4"/>
      <c r="C12" s="4"/>
      <c r="D12" s="4"/>
      <c r="E12" s="341"/>
      <c r="F12" s="342"/>
      <c r="G12" s="342"/>
      <c r="H12" s="342"/>
      <c r="I12" s="342"/>
      <c r="J12" s="343"/>
      <c r="K12" s="37">
        <v>2014</v>
      </c>
      <c r="L12" s="37">
        <v>2015</v>
      </c>
      <c r="M12" s="37">
        <v>2016</v>
      </c>
      <c r="N12" s="37">
        <v>2017</v>
      </c>
      <c r="O12" s="37">
        <v>2018</v>
      </c>
      <c r="P12" s="37">
        <v>2019</v>
      </c>
      <c r="Q12" s="37">
        <v>2020</v>
      </c>
      <c r="R12" s="37">
        <v>2021</v>
      </c>
      <c r="S12" s="37">
        <v>2022</v>
      </c>
      <c r="T12" s="37">
        <v>2023</v>
      </c>
      <c r="U12" s="37" t="s">
        <v>518</v>
      </c>
      <c r="V12" s="37" t="s">
        <v>522</v>
      </c>
      <c r="W12" s="38">
        <v>2024</v>
      </c>
      <c r="X12" s="38">
        <f>W12+1</f>
        <v>2025</v>
      </c>
      <c r="Y12" s="38">
        <f t="shared" ref="Y12:AA12" si="0">X12+1</f>
        <v>2026</v>
      </c>
      <c r="Z12" s="38">
        <f t="shared" si="0"/>
        <v>2027</v>
      </c>
      <c r="AA12" s="38">
        <f t="shared" si="0"/>
        <v>2028</v>
      </c>
      <c r="AB12" s="39"/>
      <c r="AC12" s="4"/>
      <c r="AD12" s="4"/>
      <c r="AE12" s="4"/>
      <c r="AF12" s="4"/>
      <c r="AG12" s="4"/>
      <c r="AH12" s="4"/>
      <c r="AI12" s="4"/>
      <c r="AJ12" s="4"/>
      <c r="AK12" s="4"/>
      <c r="AL12" s="4"/>
      <c r="AM12" s="4"/>
      <c r="AN12" s="4"/>
      <c r="AO12" s="4"/>
      <c r="AP12" s="4"/>
      <c r="AQ12" s="4"/>
    </row>
    <row r="13" spans="1:44" ht="30" customHeight="1">
      <c r="A13" s="12" t="s">
        <v>37</v>
      </c>
      <c r="B13" s="4"/>
      <c r="C13" s="4"/>
      <c r="D13" s="4"/>
      <c r="E13" s="347" t="s">
        <v>308</v>
      </c>
      <c r="F13" s="348"/>
      <c r="G13" s="348"/>
      <c r="H13" s="348"/>
      <c r="I13" s="348"/>
      <c r="J13" s="349"/>
      <c r="K13" s="42"/>
      <c r="L13" s="42"/>
      <c r="M13" s="42"/>
      <c r="N13" s="42"/>
      <c r="O13" s="46">
        <f>SUM('Projeções - Receita e EBIT'!J16:J22)</f>
        <v>1415123</v>
      </c>
      <c r="P13" s="46">
        <f>SUM('Projeções - Receita e EBIT'!K16:K22)</f>
        <v>1536679</v>
      </c>
      <c r="Q13" s="46">
        <f>SUM('Projeções - Receita e EBIT'!L16:L22)</f>
        <v>1381814</v>
      </c>
      <c r="R13" s="46">
        <f>SUM('Projeções - Receita e EBIT'!M16:M22)</f>
        <v>1414123</v>
      </c>
      <c r="S13" s="46">
        <f>SUM('Projeções - Receita e EBIT'!N16:N22)</f>
        <v>3845902</v>
      </c>
      <c r="T13" s="46">
        <f>SUM('Projeções - Receita e EBIT'!O16:O22)</f>
        <v>7841471</v>
      </c>
      <c r="U13" s="46">
        <f>SUM('Projeções - Receita e EBIT'!P16:P22)</f>
        <v>2328887</v>
      </c>
      <c r="V13" s="40">
        <f>W13-U13</f>
        <v>7248647.7661270462</v>
      </c>
      <c r="W13" s="46">
        <f>SUM('Projeções - Receita e EBIT'!R16:R22)</f>
        <v>9577534.7661270462</v>
      </c>
      <c r="X13" s="46">
        <f>SUM('Projeções - Receita e EBIT'!S16:S22)</f>
        <v>10339893.332189566</v>
      </c>
      <c r="Y13" s="46">
        <f>SUM('Projeções - Receita e EBIT'!T16:T22)</f>
        <v>10898009.945964977</v>
      </c>
      <c r="Z13" s="46">
        <f>SUM('Projeções - Receita e EBIT'!U16:U22)</f>
        <v>11565348.142257586</v>
      </c>
      <c r="AA13" s="46">
        <f>SUM('Projeções - Receita e EBIT'!V16:V22)</f>
        <v>12301820.811803479</v>
      </c>
      <c r="AB13" s="39"/>
      <c r="AC13" s="4"/>
      <c r="AD13" s="4"/>
      <c r="AE13" s="4"/>
      <c r="AF13" s="4"/>
      <c r="AG13" s="4"/>
      <c r="AH13" s="4"/>
      <c r="AI13" s="4"/>
      <c r="AJ13" s="4"/>
      <c r="AK13" s="4"/>
      <c r="AL13" s="4"/>
      <c r="AM13" s="4"/>
      <c r="AN13" s="4"/>
      <c r="AO13" s="4"/>
      <c r="AP13" s="4"/>
      <c r="AQ13" s="4"/>
    </row>
    <row r="14" spans="1:44" ht="30" customHeight="1">
      <c r="A14" s="12"/>
      <c r="B14" s="4"/>
      <c r="C14" s="4"/>
      <c r="D14" s="4"/>
      <c r="E14" s="273" t="s">
        <v>505</v>
      </c>
      <c r="F14" s="239"/>
      <c r="G14" s="239"/>
      <c r="H14" s="239"/>
      <c r="I14" s="239"/>
      <c r="J14" s="240"/>
      <c r="K14" s="42"/>
      <c r="L14" s="42"/>
      <c r="M14" s="42"/>
      <c r="N14" s="42"/>
      <c r="O14" s="42">
        <f>O15+O24+O32</f>
        <v>278146</v>
      </c>
      <c r="P14" s="42">
        <f t="shared" ref="P14:AA14" si="1">P15+P24+P32</f>
        <v>339526</v>
      </c>
      <c r="Q14" s="42">
        <f t="shared" si="1"/>
        <v>354594</v>
      </c>
      <c r="R14" s="42">
        <f t="shared" si="1"/>
        <v>298861</v>
      </c>
      <c r="S14" s="42">
        <f t="shared" si="1"/>
        <v>590052</v>
      </c>
      <c r="T14" s="42">
        <f t="shared" si="1"/>
        <v>477484.88397000008</v>
      </c>
      <c r="U14" s="42">
        <f t="shared" si="1"/>
        <v>99646</v>
      </c>
      <c r="V14" s="42">
        <f t="shared" si="1"/>
        <v>1463550.7281749903</v>
      </c>
      <c r="W14" s="42">
        <f t="shared" si="1"/>
        <v>1563196.7281749903</v>
      </c>
      <c r="X14" s="42">
        <f t="shared" si="1"/>
        <v>1808168.2926813681</v>
      </c>
      <c r="Y14" s="42">
        <f t="shared" si="1"/>
        <v>1919182.7181535629</v>
      </c>
      <c r="Z14" s="42">
        <f t="shared" si="1"/>
        <v>2047092.7726397049</v>
      </c>
      <c r="AA14" s="42">
        <f t="shared" si="1"/>
        <v>2187898.8532548137</v>
      </c>
      <c r="AB14" s="39"/>
      <c r="AC14" s="4"/>
      <c r="AD14" s="4"/>
      <c r="AE14" s="4"/>
      <c r="AF14" s="4"/>
      <c r="AG14" s="4"/>
      <c r="AH14" s="4"/>
      <c r="AI14" s="4"/>
      <c r="AJ14" s="4"/>
      <c r="AK14" s="4"/>
      <c r="AL14" s="4"/>
      <c r="AM14" s="4"/>
      <c r="AN14" s="4"/>
      <c r="AO14" s="4"/>
      <c r="AP14" s="4"/>
      <c r="AQ14" s="4"/>
    </row>
    <row r="15" spans="1:44" ht="30" customHeight="1">
      <c r="A15" s="166" t="s">
        <v>100</v>
      </c>
      <c r="B15" s="4"/>
      <c r="C15" s="4"/>
      <c r="D15" s="4"/>
      <c r="E15" s="347" t="s">
        <v>305</v>
      </c>
      <c r="F15" s="348"/>
      <c r="G15" s="348"/>
      <c r="H15" s="348"/>
      <c r="I15" s="348"/>
      <c r="J15" s="349"/>
      <c r="K15" s="46"/>
      <c r="L15" s="46"/>
      <c r="M15" s="46"/>
      <c r="N15" s="46"/>
      <c r="O15" s="46">
        <f>SUM('Projeções - Receita e EBIT'!J37+'Projeções - Receita e EBIT'!J56+'Projeções - Receita e EBIT'!J75+'Projeções - Receita e EBIT'!J98+'Projeções - Receita e EBIT'!J133+'Projeções - Receita e EBIT'!J151)</f>
        <v>127598</v>
      </c>
      <c r="P15" s="46">
        <f>SUM('Projeções - Receita e EBIT'!K37+'Projeções - Receita e EBIT'!K56+'Projeções - Receita e EBIT'!K75+'Projeções - Receita e EBIT'!K98+'Projeções - Receita e EBIT'!K133+'Projeções - Receita e EBIT'!K151)</f>
        <v>164843</v>
      </c>
      <c r="Q15" s="46">
        <f>SUM('Projeções - Receita e EBIT'!L37+'Projeções - Receita e EBIT'!L56+'Projeções - Receita e EBIT'!L75+'Projeções - Receita e EBIT'!L98+'Projeções - Receita e EBIT'!L133+'Projeções - Receita e EBIT'!L151)</f>
        <v>160737</v>
      </c>
      <c r="R15" s="46">
        <f>SUM('Projeções - Receita e EBIT'!M37+'Projeções - Receita e EBIT'!M56+'Projeções - Receita e EBIT'!M75+'Projeções - Receita e EBIT'!M98+'Projeções - Receita e EBIT'!M133+'Projeções - Receita e EBIT'!M151)</f>
        <v>186246</v>
      </c>
      <c r="S15" s="46">
        <f>SUM('Projeções - Receita e EBIT'!N37+'Projeções - Receita e EBIT'!N56+'Projeções - Receita e EBIT'!N75+'Projeções - Receita e EBIT'!N98+'Projeções - Receita e EBIT'!N133+'Projeções - Receita e EBIT'!N151)</f>
        <v>320049</v>
      </c>
      <c r="T15" s="46">
        <f>SUM('Projeções - Receita e EBIT'!O37+'Projeções - Receita e EBIT'!O56+'Projeções - Receita e EBIT'!O75+'Projeções - Receita e EBIT'!O98+'Projeções - Receita e EBIT'!O133+'Projeções - Receita e EBIT'!O151)</f>
        <v>237755.88397000008</v>
      </c>
      <c r="U15" s="46">
        <f>SUM('Projeções - Receita e EBIT'!P37+'Projeções - Receita e EBIT'!P56+'Projeções - Receita e EBIT'!P75+'Projeções - Receita e EBIT'!P98+'Projeções - Receita e EBIT'!P133+'Projeções - Receita e EBIT'!P151)</f>
        <v>64614</v>
      </c>
      <c r="V15" s="40">
        <f>W15-U15</f>
        <v>515623.6733889553</v>
      </c>
      <c r="W15" s="46">
        <f>SUM('Projeções - Receita e EBIT'!R37,'Projeções - Receita e EBIT'!R56,'Projeções - Receita e EBIT'!R75,'Projeções - Receita e EBIT'!R98)</f>
        <v>580237.6733889553</v>
      </c>
      <c r="X15" s="46">
        <f>SUM('Projeções - Receita e EBIT'!S37,'Projeções - Receita e EBIT'!S56,'Projeções - Receita e EBIT'!S75,'Projeções - Receita e EBIT'!S98)</f>
        <v>746967.05200892477</v>
      </c>
      <c r="Y15" s="46">
        <f>SUM('Projeções - Receita e EBIT'!T37,'Projeções - Receita e EBIT'!T56,'Projeções - Receita e EBIT'!T75,'Projeções - Receita e EBIT'!T98)</f>
        <v>800700.99847128917</v>
      </c>
      <c r="Z15" s="46">
        <f>SUM('Projeções - Receita e EBIT'!U37,'Projeções - Receita e EBIT'!U56,'Projeções - Receita e EBIT'!U75,'Projeções - Receita e EBIT'!U98)</f>
        <v>860120.97292448138</v>
      </c>
      <c r="AA15" s="46">
        <f>SUM('Projeções - Receita e EBIT'!V37,'Projeções - Receita e EBIT'!V56,'Projeções - Receita e EBIT'!V75,'Projeções - Receita e EBIT'!V98)</f>
        <v>925341.58224557003</v>
      </c>
      <c r="AB15" s="174"/>
      <c r="AC15" s="4"/>
      <c r="AD15" s="4"/>
      <c r="AE15" s="4"/>
      <c r="AF15" s="4"/>
      <c r="AG15" s="4"/>
      <c r="AH15" s="4"/>
      <c r="AI15" s="4"/>
      <c r="AJ15" s="4"/>
      <c r="AK15" s="4"/>
      <c r="AL15" s="4"/>
      <c r="AM15" s="4"/>
      <c r="AN15" s="4"/>
      <c r="AO15" s="4"/>
      <c r="AP15" s="4"/>
      <c r="AQ15" s="4"/>
    </row>
    <row r="16" spans="1:44" ht="30" customHeight="1">
      <c r="A16" s="12" t="s">
        <v>324</v>
      </c>
      <c r="B16" s="4"/>
      <c r="C16" s="4"/>
      <c r="D16" s="4"/>
      <c r="E16" s="353" t="s">
        <v>306</v>
      </c>
      <c r="F16" s="354"/>
      <c r="G16" s="354"/>
      <c r="H16" s="354"/>
      <c r="I16" s="354"/>
      <c r="J16" s="355"/>
      <c r="K16" s="44"/>
      <c r="L16" s="44"/>
      <c r="M16" s="44"/>
      <c r="N16" s="44"/>
      <c r="O16" s="44">
        <f>O15/O13</f>
        <v>9.0167427142375606E-2</v>
      </c>
      <c r="P16" s="44">
        <f t="shared" ref="P16:U16" si="2">P15/P13</f>
        <v>0.10727224098201381</v>
      </c>
      <c r="Q16" s="44">
        <f t="shared" si="2"/>
        <v>0.1163231809780477</v>
      </c>
      <c r="R16" s="44">
        <f t="shared" si="2"/>
        <v>0.13170424354882851</v>
      </c>
      <c r="S16" s="44">
        <f t="shared" si="2"/>
        <v>8.3218189127024042E-2</v>
      </c>
      <c r="T16" s="44">
        <f t="shared" si="2"/>
        <v>3.0320316681653237E-2</v>
      </c>
      <c r="U16" s="44">
        <f t="shared" si="2"/>
        <v>2.7744583571465684E-2</v>
      </c>
      <c r="V16" s="44"/>
      <c r="W16" s="44">
        <f>W15/W13</f>
        <v>6.0583196778474471E-2</v>
      </c>
      <c r="X16" s="44">
        <f t="shared" ref="X16:AA16" si="3">X15/X13</f>
        <v>7.2241272517145766E-2</v>
      </c>
      <c r="Y16" s="44">
        <f t="shared" si="3"/>
        <v>7.3472221299242926E-2</v>
      </c>
      <c r="Z16" s="44">
        <f t="shared" si="3"/>
        <v>7.4370521522111613E-2</v>
      </c>
      <c r="AA16" s="44">
        <f t="shared" si="3"/>
        <v>7.5219887885028675E-2</v>
      </c>
      <c r="AB16" s="174"/>
      <c r="AC16" s="4"/>
      <c r="AD16" s="4"/>
      <c r="AE16" s="4"/>
      <c r="AF16" s="4"/>
      <c r="AG16" s="4"/>
      <c r="AH16" s="4"/>
      <c r="AI16" s="4"/>
      <c r="AJ16" s="4"/>
      <c r="AK16" s="4"/>
      <c r="AL16" s="4"/>
      <c r="AM16" s="4"/>
      <c r="AN16" s="4"/>
      <c r="AO16" s="4"/>
      <c r="AP16" s="4"/>
      <c r="AQ16" s="4"/>
    </row>
    <row r="17" spans="1:43" ht="30" customHeight="1" thickBot="1">
      <c r="A17" s="166" t="s">
        <v>129</v>
      </c>
      <c r="B17" s="4"/>
      <c r="C17" s="4"/>
      <c r="D17" s="10"/>
      <c r="E17" s="382" t="s">
        <v>275</v>
      </c>
      <c r="F17" s="383"/>
      <c r="G17" s="383"/>
      <c r="H17" s="383"/>
      <c r="I17" s="383"/>
      <c r="J17" s="384"/>
      <c r="K17" s="176"/>
      <c r="L17" s="176"/>
      <c r="M17" s="176">
        <f>'DRE Consolidado'!M43-SUM('DRE - Contas Abertas'!H145:H147)</f>
        <v>125739</v>
      </c>
      <c r="N17" s="176">
        <f>'DRE Consolidado'!N43-SUM('DRE - Contas Abertas'!I145:I147)</f>
        <v>-9835</v>
      </c>
      <c r="O17" s="176">
        <f>'DRE Consolidado'!O43-SUM('DRE - Contas Abertas'!J145:J147)</f>
        <v>-8702</v>
      </c>
      <c r="P17" s="176">
        <f>'DRE Consolidado'!P43-SUM('DRE - Contas Abertas'!K145:K147)</f>
        <v>-14799</v>
      </c>
      <c r="Q17" s="176">
        <f>'DRE Consolidado'!Q43-SUM('DRE - Contas Abertas'!L145:L147)</f>
        <v>-151261</v>
      </c>
      <c r="R17" s="176">
        <f>'DRE Consolidado'!R43-SUM('DRE - Contas Abertas'!M145:M147)</f>
        <v>5761</v>
      </c>
      <c r="S17" s="176">
        <f>'DRE Consolidado'!S43-SUM('DRE - Contas Abertas'!N145:N147)</f>
        <v>196898</v>
      </c>
      <c r="T17" s="176">
        <f>'DRE Consolidado'!T43-SUM('DRE - Contas Abertas'!O145:O147)</f>
        <v>139608</v>
      </c>
      <c r="U17" s="176">
        <v>0</v>
      </c>
      <c r="V17" s="176">
        <f>W17-U17</f>
        <v>-197280.80895224481</v>
      </c>
      <c r="W17" s="176">
        <f>-W23*W15</f>
        <v>-197280.80895224481</v>
      </c>
      <c r="X17" s="176">
        <f t="shared" ref="X17:AA17" si="4">-X23*X15</f>
        <v>-253968.79768303444</v>
      </c>
      <c r="Y17" s="176">
        <f t="shared" si="4"/>
        <v>-272238.33948023833</v>
      </c>
      <c r="Z17" s="176">
        <f t="shared" si="4"/>
        <v>-292441.13079432369</v>
      </c>
      <c r="AA17" s="288">
        <f t="shared" si="4"/>
        <v>-314616.13796349382</v>
      </c>
      <c r="AB17" s="174"/>
      <c r="AC17" s="4"/>
      <c r="AD17" s="4"/>
      <c r="AE17" s="4"/>
      <c r="AF17" s="4"/>
      <c r="AG17" s="4"/>
      <c r="AH17" s="4"/>
      <c r="AI17" s="4"/>
      <c r="AJ17" s="4"/>
      <c r="AK17" s="4"/>
      <c r="AL17" s="4"/>
      <c r="AM17" s="4"/>
      <c r="AN17" s="4"/>
      <c r="AO17" s="4"/>
      <c r="AP17" s="4"/>
      <c r="AQ17" s="4"/>
    </row>
    <row r="18" spans="1:43" ht="30" customHeight="1">
      <c r="A18" s="166" t="s">
        <v>479</v>
      </c>
      <c r="B18" s="4"/>
      <c r="C18" s="4"/>
      <c r="D18" s="10"/>
      <c r="E18" s="283"/>
      <c r="F18" s="283"/>
      <c r="G18" s="283"/>
      <c r="H18" s="283"/>
      <c r="I18" s="283"/>
      <c r="J18" s="283"/>
      <c r="K18" s="283"/>
      <c r="L18" s="283"/>
      <c r="M18" s="283"/>
      <c r="N18" s="283"/>
      <c r="O18" s="283"/>
      <c r="P18" s="283"/>
      <c r="Q18" s="283"/>
      <c r="R18" s="283"/>
      <c r="S18" s="283"/>
      <c r="T18" s="283"/>
      <c r="U18" s="283"/>
      <c r="V18" s="283"/>
      <c r="W18" s="283"/>
      <c r="X18" s="283"/>
      <c r="Y18" s="283"/>
      <c r="Z18" s="283"/>
      <c r="AA18" s="283"/>
      <c r="AB18" s="43"/>
      <c r="AC18" s="4"/>
      <c r="AD18" s="4"/>
      <c r="AE18" s="4"/>
      <c r="AF18" s="4"/>
      <c r="AG18" s="4"/>
      <c r="AH18" s="4"/>
      <c r="AI18" s="4"/>
      <c r="AJ18" s="4"/>
      <c r="AK18" s="4"/>
      <c r="AL18" s="4"/>
      <c r="AM18" s="4"/>
      <c r="AN18" s="4"/>
      <c r="AO18" s="4"/>
      <c r="AP18" s="4"/>
      <c r="AQ18" s="4"/>
    </row>
    <row r="19" spans="1:43" ht="30" customHeight="1">
      <c r="A19" s="12" t="s">
        <v>128</v>
      </c>
      <c r="B19" s="4"/>
      <c r="C19" s="4"/>
      <c r="D19" s="10"/>
      <c r="E19" s="43"/>
      <c r="F19" s="43"/>
      <c r="G19" s="43"/>
      <c r="H19" s="43"/>
      <c r="I19" s="43"/>
      <c r="J19" s="43"/>
      <c r="K19" s="43"/>
      <c r="L19" s="43"/>
      <c r="M19" s="43"/>
      <c r="N19" s="43"/>
      <c r="O19" s="43"/>
      <c r="P19" s="43"/>
      <c r="Q19" s="43"/>
      <c r="R19" s="43"/>
      <c r="S19" s="43"/>
      <c r="T19" s="43"/>
      <c r="U19" s="43"/>
      <c r="V19" s="43"/>
      <c r="W19" s="43"/>
      <c r="X19" s="43"/>
      <c r="Y19" s="43"/>
      <c r="Z19" s="43"/>
      <c r="AA19" s="43"/>
      <c r="AB19" s="43"/>
      <c r="AC19" s="4"/>
      <c r="AD19" s="4"/>
      <c r="AE19" s="4"/>
      <c r="AF19" s="4"/>
      <c r="AG19" s="4"/>
      <c r="AH19" s="4"/>
      <c r="AI19" s="4"/>
      <c r="AJ19" s="4"/>
      <c r="AK19" s="4"/>
      <c r="AL19" s="4"/>
      <c r="AM19" s="4"/>
      <c r="AN19" s="4"/>
      <c r="AO19" s="4"/>
      <c r="AP19" s="4"/>
      <c r="AQ19" s="4"/>
    </row>
    <row r="20" spans="1:43" ht="30" customHeight="1">
      <c r="A20" s="12" t="s">
        <v>98</v>
      </c>
      <c r="B20" s="4"/>
      <c r="C20" s="4"/>
      <c r="D20" s="10"/>
      <c r="E20" s="43"/>
      <c r="F20" s="43"/>
      <c r="G20" s="43"/>
      <c r="H20" s="43"/>
      <c r="I20" s="43"/>
      <c r="J20" s="43"/>
      <c r="K20" s="43"/>
      <c r="L20" s="43"/>
      <c r="M20" s="43"/>
      <c r="N20" s="43"/>
      <c r="O20" s="43"/>
      <c r="P20" s="43"/>
      <c r="Q20" s="43"/>
      <c r="R20" s="43"/>
      <c r="S20" s="43"/>
      <c r="T20" s="43"/>
      <c r="U20" s="43"/>
      <c r="V20" s="43"/>
      <c r="W20" s="43"/>
      <c r="X20" s="43"/>
      <c r="Y20" s="43"/>
      <c r="Z20" s="43"/>
      <c r="AA20" s="43"/>
      <c r="AB20" s="43"/>
      <c r="AC20" s="4"/>
      <c r="AD20" s="4"/>
      <c r="AE20" s="4"/>
      <c r="AF20" s="4"/>
      <c r="AG20" s="4"/>
      <c r="AH20" s="4"/>
      <c r="AI20" s="4"/>
      <c r="AJ20" s="4"/>
      <c r="AK20" s="4"/>
      <c r="AL20" s="4"/>
      <c r="AM20" s="4"/>
      <c r="AN20" s="4"/>
      <c r="AO20" s="4"/>
      <c r="AP20" s="4"/>
      <c r="AQ20" s="4"/>
    </row>
    <row r="21" spans="1:43" ht="30" customHeight="1">
      <c r="A21" s="12"/>
      <c r="B21" s="4"/>
      <c r="C21" s="4"/>
      <c r="D21" s="4"/>
      <c r="E21" s="338"/>
      <c r="F21" s="339"/>
      <c r="G21" s="339"/>
      <c r="H21" s="339"/>
      <c r="I21" s="339"/>
      <c r="J21" s="340"/>
      <c r="K21" s="42"/>
      <c r="L21" s="42"/>
      <c r="M21" s="42"/>
      <c r="N21" s="42"/>
      <c r="O21" s="42"/>
      <c r="P21" s="42"/>
      <c r="Q21" s="42"/>
      <c r="R21" s="42"/>
      <c r="S21" s="42"/>
      <c r="T21" s="42"/>
      <c r="U21" s="42"/>
      <c r="V21" s="42"/>
      <c r="W21" s="42"/>
      <c r="X21" s="42"/>
      <c r="Y21" s="42"/>
      <c r="Z21" s="42"/>
      <c r="AA21" s="45"/>
      <c r="AB21" s="43"/>
      <c r="AC21" s="4"/>
      <c r="AD21" s="4"/>
      <c r="AE21" s="4"/>
      <c r="AF21" s="4"/>
      <c r="AG21" s="4"/>
      <c r="AH21" s="4"/>
      <c r="AI21" s="4"/>
      <c r="AJ21" s="4"/>
      <c r="AK21" s="4"/>
      <c r="AL21" s="4"/>
      <c r="AM21" s="4"/>
      <c r="AN21" s="4"/>
      <c r="AO21" s="4"/>
      <c r="AP21" s="4"/>
      <c r="AQ21" s="4"/>
    </row>
    <row r="22" spans="1:43" ht="30" customHeight="1">
      <c r="A22" s="12"/>
      <c r="B22" s="4"/>
      <c r="C22" s="4"/>
      <c r="D22" s="4"/>
      <c r="E22" s="341"/>
      <c r="F22" s="342"/>
      <c r="G22" s="342"/>
      <c r="H22" s="342"/>
      <c r="I22" s="342"/>
      <c r="J22" s="343"/>
      <c r="K22" s="37">
        <v>2014</v>
      </c>
      <c r="L22" s="37">
        <v>2015</v>
      </c>
      <c r="M22" s="37">
        <v>2016</v>
      </c>
      <c r="N22" s="37">
        <v>2017</v>
      </c>
      <c r="O22" s="37">
        <v>2018</v>
      </c>
      <c r="P22" s="37">
        <v>2019</v>
      </c>
      <c r="Q22" s="37">
        <v>2020</v>
      </c>
      <c r="R22" s="37">
        <v>2021</v>
      </c>
      <c r="S22" s="37">
        <v>2022</v>
      </c>
      <c r="T22" s="37">
        <v>2023</v>
      </c>
      <c r="U22" s="37" t="s">
        <v>518</v>
      </c>
      <c r="V22" s="37" t="s">
        <v>522</v>
      </c>
      <c r="W22" s="38">
        <v>2024</v>
      </c>
      <c r="X22" s="38">
        <f>W22+1</f>
        <v>2025</v>
      </c>
      <c r="Y22" s="38">
        <f t="shared" ref="Y22:AA22" si="5">X22+1</f>
        <v>2026</v>
      </c>
      <c r="Z22" s="38">
        <f t="shared" si="5"/>
        <v>2027</v>
      </c>
      <c r="AA22" s="38">
        <f t="shared" si="5"/>
        <v>2028</v>
      </c>
      <c r="AB22" s="37" t="s">
        <v>27</v>
      </c>
      <c r="AC22" s="37" t="s">
        <v>28</v>
      </c>
      <c r="AD22" s="52" t="s">
        <v>29</v>
      </c>
      <c r="AE22" s="4"/>
      <c r="AF22" s="4"/>
      <c r="AG22" s="4"/>
      <c r="AH22" s="4"/>
      <c r="AI22" s="4"/>
      <c r="AJ22" s="4"/>
      <c r="AK22" s="4"/>
      <c r="AL22" s="4"/>
      <c r="AM22" s="4"/>
      <c r="AN22" s="4"/>
      <c r="AO22" s="4"/>
      <c r="AP22" s="4"/>
      <c r="AQ22" s="4"/>
    </row>
    <row r="23" spans="1:43" ht="30" customHeight="1" thickBot="1">
      <c r="A23" s="12"/>
      <c r="B23" s="4"/>
      <c r="C23" s="4"/>
      <c r="D23" s="4"/>
      <c r="E23" s="385" t="s">
        <v>288</v>
      </c>
      <c r="F23" s="386">
        <v>3.0034188360677654E-2</v>
      </c>
      <c r="G23" s="386">
        <v>-2.0925409668865167E-2</v>
      </c>
      <c r="H23" s="386">
        <v>-4.3315116285197811E-2</v>
      </c>
      <c r="I23" s="386">
        <v>0.13811997676197324</v>
      </c>
      <c r="J23" s="387">
        <v>-0.59211219068587562</v>
      </c>
      <c r="K23" s="44" t="str">
        <f>IFERROR(IF(K15&gt;0,-K17/K15,"-"),"-")</f>
        <v>-</v>
      </c>
      <c r="L23" s="44" t="str">
        <f>IFERROR(IF(L15&gt;0,-L17/L15,"-"),"-")</f>
        <v>-</v>
      </c>
      <c r="M23" s="44" t="str">
        <f>IFERROR(IF(M15&gt;0,-M17/M15,"-"),"-")</f>
        <v>-</v>
      </c>
      <c r="N23" s="44" t="str">
        <f>IFERROR(IF(N15&gt;0,-N17/N15,"-"),"-")</f>
        <v>-</v>
      </c>
      <c r="O23" s="44">
        <f>IFERROR(IF('DRE Consolidado'!O37&gt;0,-O17/O15,"-"),"-")</f>
        <v>6.8198561105973443E-2</v>
      </c>
      <c r="P23" s="44">
        <f>IFERROR(IF('DRE Consolidado'!P37&gt;0,-P17/P15,"-"),"-")</f>
        <v>8.9776332631655575E-2</v>
      </c>
      <c r="Q23" s="44">
        <f>IFERROR(IF('DRE Consolidado'!Q37&gt;0,-Q17/Q15,"-"),"-")</f>
        <v>0.94104655430921313</v>
      </c>
      <c r="R23" s="44">
        <f>IFERROR(IF('DRE Consolidado'!R37&gt;0,-R17/R15,"-"),"-")</f>
        <v>-3.0932207940036295E-2</v>
      </c>
      <c r="S23" s="44">
        <f>IFERROR(IF('DRE Consolidado'!S37&gt;0,-S17/S15,"-"),"-")</f>
        <v>-0.61521204565550902</v>
      </c>
      <c r="T23" s="44">
        <f>IFERROR(IF('DRE Consolidado'!T37&gt;0,-T17/T15,"-"),"-")</f>
        <v>-0.58719051519926069</v>
      </c>
      <c r="U23" s="44">
        <f>IFERROR(IF('DRE Consolidado'!U37&gt;0,-U17/U15,"-"),"-")</f>
        <v>0</v>
      </c>
      <c r="V23" s="44" t="str">
        <f>IFERROR(IF(#REF!&gt;0,-#REF!/#REF!,"-"),"-")</f>
        <v>-</v>
      </c>
      <c r="W23" s="44">
        <v>0.34</v>
      </c>
      <c r="X23" s="44">
        <v>0.34</v>
      </c>
      <c r="Y23" s="44">
        <v>0.34</v>
      </c>
      <c r="Z23" s="44">
        <v>0.34</v>
      </c>
      <c r="AA23" s="44">
        <v>0.34</v>
      </c>
      <c r="AB23" s="255"/>
      <c r="AC23" s="293">
        <f>WACC!P20</f>
        <v>0.11033013702554918</v>
      </c>
      <c r="AD23" s="292">
        <f>(1+'Projeções - CG + Capex'!U37)*(1+'Projeções - CG + Capex'!U38)-1</f>
        <v>7.1000000000000174E-2</v>
      </c>
      <c r="AE23" s="4"/>
      <c r="AF23" s="4"/>
      <c r="AG23" s="4"/>
      <c r="AH23" s="4"/>
      <c r="AI23" s="4"/>
      <c r="AJ23" s="4"/>
      <c r="AK23" s="4"/>
      <c r="AL23" s="4"/>
      <c r="AM23" s="4"/>
      <c r="AN23" s="4"/>
      <c r="AO23" s="4"/>
      <c r="AP23" s="4"/>
      <c r="AQ23" s="4"/>
    </row>
    <row r="24" spans="1:43" ht="30" customHeight="1">
      <c r="A24" s="12"/>
      <c r="B24" s="4"/>
      <c r="C24" s="4"/>
      <c r="D24" s="4"/>
      <c r="E24" s="245" t="s">
        <v>274</v>
      </c>
      <c r="F24" s="239"/>
      <c r="G24" s="239"/>
      <c r="H24" s="239"/>
      <c r="I24" s="239"/>
      <c r="J24" s="240"/>
      <c r="K24" s="46"/>
      <c r="L24" s="46"/>
      <c r="M24" s="46"/>
      <c r="N24" s="46"/>
      <c r="O24" s="46"/>
      <c r="P24" s="42">
        <f>'Projeções - CG + Capex'!P48-SUM('Projeções - CG + Capex'!P45:P47)</f>
        <v>17522</v>
      </c>
      <c r="Q24" s="42">
        <f>'Projeções - CG + Capex'!Q48-SUM('Projeções - CG + Capex'!Q45:Q47)</f>
        <v>-29457</v>
      </c>
      <c r="R24" s="42">
        <f>'Projeções - CG + Capex'!R48-SUM('Projeções - CG + Capex'!R45:R47)</f>
        <v>18427</v>
      </c>
      <c r="S24" s="42">
        <f>'Projeções - CG + Capex'!S48-SUM('Projeções - CG + Capex'!S45:S47)</f>
        <v>-87846</v>
      </c>
      <c r="T24" s="42">
        <f>'Projeções - CG + Capex'!T48-SUM('Projeções - CG + Capex'!T45:T47)</f>
        <v>50440</v>
      </c>
      <c r="U24" s="42">
        <v>0</v>
      </c>
      <c r="V24" s="84">
        <f>W24-SUM(U24:U24)</f>
        <v>98539.006576578788</v>
      </c>
      <c r="W24" s="42">
        <f>W25*W13</f>
        <v>98539.006576578788</v>
      </c>
      <c r="X24" s="42">
        <f t="shared" ref="X24:AA24" si="6">X25*X13</f>
        <v>106382.57567753686</v>
      </c>
      <c r="Y24" s="42">
        <f t="shared" si="6"/>
        <v>112124.78993394645</v>
      </c>
      <c r="Z24" s="42">
        <f t="shared" si="6"/>
        <v>118990.73660175178</v>
      </c>
      <c r="AA24" s="42">
        <f t="shared" si="6"/>
        <v>126567.97719653581</v>
      </c>
      <c r="AB24" s="56"/>
      <c r="AC24" s="4"/>
      <c r="AD24" s="4"/>
      <c r="AE24" s="4"/>
      <c r="AF24" s="4"/>
      <c r="AG24" s="4"/>
      <c r="AH24" s="4"/>
      <c r="AI24" s="4"/>
      <c r="AJ24" s="4"/>
      <c r="AK24" s="4"/>
      <c r="AL24" s="4"/>
      <c r="AM24" s="4"/>
      <c r="AN24" s="4"/>
      <c r="AO24" s="4"/>
      <c r="AP24" s="4"/>
      <c r="AQ24" s="4"/>
    </row>
    <row r="25" spans="1:43" ht="30" customHeight="1">
      <c r="A25" s="12"/>
      <c r="B25" s="4"/>
      <c r="C25" s="4"/>
      <c r="D25" s="4"/>
      <c r="E25" s="53" t="s">
        <v>320</v>
      </c>
      <c r="F25" s="239"/>
      <c r="G25" s="239"/>
      <c r="H25" s="239"/>
      <c r="I25" s="239"/>
      <c r="J25" s="240"/>
      <c r="K25" s="46"/>
      <c r="L25" s="46"/>
      <c r="M25" s="46"/>
      <c r="N25" s="46"/>
      <c r="O25" s="46"/>
      <c r="P25" s="44">
        <f t="shared" ref="P25:V25" si="7">P24/P13</f>
        <v>1.1402511519972616E-2</v>
      </c>
      <c r="Q25" s="44">
        <f t="shared" si="7"/>
        <v>-2.1317630303354866E-2</v>
      </c>
      <c r="R25" s="44">
        <f t="shared" si="7"/>
        <v>1.3030691106784911E-2</v>
      </c>
      <c r="S25" s="44">
        <f t="shared" si="7"/>
        <v>-2.2841455658516519E-2</v>
      </c>
      <c r="T25" s="44">
        <f t="shared" si="7"/>
        <v>6.4324665614398117E-3</v>
      </c>
      <c r="U25" s="44">
        <f t="shared" si="7"/>
        <v>0</v>
      </c>
      <c r="V25" s="44">
        <f t="shared" si="7"/>
        <v>1.3594122622022259E-2</v>
      </c>
      <c r="W25" s="44">
        <f>AVERAGE($P$25,$R$25,$T$25)</f>
        <v>1.028855639606578E-2</v>
      </c>
      <c r="X25" s="44">
        <f>AVERAGE($P$25,$R$25,$T$25)</f>
        <v>1.028855639606578E-2</v>
      </c>
      <c r="Y25" s="44">
        <f t="shared" ref="Y25:AA25" si="8">AVERAGE($P$25,$R$25,$T$25)</f>
        <v>1.028855639606578E-2</v>
      </c>
      <c r="Z25" s="44">
        <f t="shared" si="8"/>
        <v>1.028855639606578E-2</v>
      </c>
      <c r="AA25" s="44">
        <f t="shared" si="8"/>
        <v>1.028855639606578E-2</v>
      </c>
      <c r="AB25" s="56"/>
      <c r="AC25" s="4"/>
      <c r="AD25" s="169"/>
      <c r="AE25" s="4"/>
      <c r="AF25" s="4"/>
      <c r="AG25" s="4"/>
      <c r="AH25" s="4"/>
      <c r="AI25" s="4"/>
      <c r="AJ25" s="4"/>
      <c r="AK25" s="4"/>
      <c r="AL25" s="4"/>
      <c r="AM25" s="4"/>
      <c r="AN25" s="4"/>
      <c r="AO25" s="4"/>
      <c r="AP25" s="4"/>
      <c r="AQ25" s="4"/>
    </row>
    <row r="26" spans="1:43" ht="30" customHeight="1">
      <c r="A26" s="12"/>
      <c r="B26" s="4"/>
      <c r="C26" s="4"/>
      <c r="D26" s="4"/>
      <c r="E26" s="347" t="s">
        <v>292</v>
      </c>
      <c r="F26" s="348">
        <v>215718</v>
      </c>
      <c r="G26" s="348">
        <v>230388</v>
      </c>
      <c r="H26" s="348">
        <v>181530</v>
      </c>
      <c r="I26" s="348">
        <v>-272310</v>
      </c>
      <c r="J26" s="349">
        <v>-42610.000000000007</v>
      </c>
      <c r="K26" s="46"/>
      <c r="L26" s="46"/>
      <c r="M26" s="46"/>
      <c r="N26" s="46"/>
      <c r="O26" s="46">
        <f t="shared" ref="O26:U26" si="9">O15+O17+O24</f>
        <v>118896</v>
      </c>
      <c r="P26" s="46">
        <f t="shared" si="9"/>
        <v>167566</v>
      </c>
      <c r="Q26" s="46">
        <f t="shared" si="9"/>
        <v>-19981</v>
      </c>
      <c r="R26" s="46">
        <f t="shared" si="9"/>
        <v>210434</v>
      </c>
      <c r="S26" s="46">
        <f t="shared" si="9"/>
        <v>429101</v>
      </c>
      <c r="T26" s="46">
        <f t="shared" si="9"/>
        <v>427803.88397000008</v>
      </c>
      <c r="U26" s="46">
        <f t="shared" si="9"/>
        <v>64614</v>
      </c>
      <c r="V26" s="40">
        <f>W26-SUM(U26:U26)</f>
        <v>416881.8710132892</v>
      </c>
      <c r="W26" s="46">
        <f t="shared" ref="W26:AA26" si="10">W15*(1-W23)+W24</f>
        <v>481495.8710132892</v>
      </c>
      <c r="X26" s="46">
        <f t="shared" si="10"/>
        <v>599380.83000342711</v>
      </c>
      <c r="Y26" s="46">
        <f t="shared" si="10"/>
        <v>640587.44892499724</v>
      </c>
      <c r="Z26" s="46">
        <f t="shared" si="10"/>
        <v>686670.57873190939</v>
      </c>
      <c r="AA26" s="46">
        <f t="shared" si="10"/>
        <v>737293.42147861188</v>
      </c>
      <c r="AB26" s="54">
        <f>AA26</f>
        <v>737293.42147861188</v>
      </c>
      <c r="AC26" s="4"/>
      <c r="AD26" s="169"/>
      <c r="AE26" s="4"/>
      <c r="AF26" s="4"/>
      <c r="AG26" s="4"/>
      <c r="AH26" s="4"/>
      <c r="AI26" s="4"/>
      <c r="AJ26" s="4"/>
      <c r="AK26" s="4"/>
      <c r="AL26" s="4"/>
      <c r="AM26" s="4"/>
      <c r="AN26" s="4"/>
      <c r="AO26" s="4"/>
      <c r="AP26" s="4"/>
      <c r="AQ26" s="4"/>
    </row>
    <row r="27" spans="1:43" ht="30" customHeight="1">
      <c r="A27" s="12"/>
      <c r="B27" s="4"/>
      <c r="C27" s="4"/>
      <c r="D27" s="4"/>
      <c r="E27" s="347" t="s">
        <v>25</v>
      </c>
      <c r="F27" s="348"/>
      <c r="G27" s="348"/>
      <c r="H27" s="348"/>
      <c r="I27" s="348"/>
      <c r="J27" s="349"/>
      <c r="K27" s="55"/>
      <c r="L27" s="55"/>
      <c r="M27" s="55"/>
      <c r="N27" s="55"/>
      <c r="O27" s="55">
        <f t="shared" ref="O27:AA27" si="11">IFERROR(SUM(O28,O34)/O26,0)</f>
        <v>2.1497050952394838</v>
      </c>
      <c r="P27" s="55">
        <f t="shared" si="11"/>
        <v>2.0157549805061477</v>
      </c>
      <c r="Q27" s="55">
        <f t="shared" si="11"/>
        <v>1.9802316434110123</v>
      </c>
      <c r="R27" s="55">
        <f t="shared" si="11"/>
        <v>4.5267892423854716</v>
      </c>
      <c r="S27" s="55">
        <f t="shared" ref="S27:U27" si="12">IFERROR(SUM(S28,S34)/S26,0)</f>
        <v>5.6542562377121595</v>
      </c>
      <c r="T27" s="55">
        <f t="shared" si="12"/>
        <v>12.722287391853994</v>
      </c>
      <c r="U27" s="55">
        <f t="shared" si="12"/>
        <v>6.176268194652609</v>
      </c>
      <c r="V27" s="55">
        <f t="shared" si="11"/>
        <v>1.8333016824550761</v>
      </c>
      <c r="W27" s="55">
        <f t="shared" si="11"/>
        <v>2.4161030211842842</v>
      </c>
      <c r="X27" s="55">
        <f t="shared" si="11"/>
        <v>-0.39608955296866882</v>
      </c>
      <c r="Y27" s="55">
        <f t="shared" si="11"/>
        <v>-0.3322596316879185</v>
      </c>
      <c r="Z27" s="55">
        <f t="shared" si="11"/>
        <v>-0.63411423961842028</v>
      </c>
      <c r="AA27" s="55">
        <f t="shared" si="11"/>
        <v>-0.62423301422751154</v>
      </c>
      <c r="AB27" s="56">
        <f>(AD23-'Projeções - CG + Capex'!U37)/('DRE + DCF'!AC23-'Projeções - CG + Capex'!U37)</f>
        <v>0.34808473899382808</v>
      </c>
      <c r="AC27" s="4"/>
      <c r="AD27" s="4"/>
      <c r="AE27" s="4"/>
      <c r="AF27" s="4"/>
      <c r="AG27" s="4"/>
      <c r="AH27" s="4"/>
      <c r="AI27" s="4"/>
      <c r="AJ27" s="4"/>
      <c r="AK27" s="4"/>
      <c r="AL27" s="4"/>
      <c r="AM27" s="4"/>
      <c r="AN27" s="4"/>
      <c r="AO27" s="4"/>
      <c r="AP27" s="4"/>
      <c r="AQ27" s="4"/>
    </row>
    <row r="28" spans="1:43" ht="30" customHeight="1">
      <c r="A28" s="12"/>
      <c r="B28" s="4"/>
      <c r="C28" s="4"/>
      <c r="D28" s="4"/>
      <c r="E28" s="376" t="s">
        <v>287</v>
      </c>
      <c r="F28" s="377">
        <v>0</v>
      </c>
      <c r="G28" s="377">
        <v>0</v>
      </c>
      <c r="H28" s="377">
        <v>0</v>
      </c>
      <c r="I28" s="377">
        <v>0</v>
      </c>
      <c r="J28" s="378">
        <v>0</v>
      </c>
      <c r="K28" s="42"/>
      <c r="L28" s="42"/>
      <c r="M28" s="42"/>
      <c r="N28" s="42"/>
      <c r="O28" s="42">
        <f t="shared" ref="O28:U28" si="13">O29-O32</f>
        <v>254518.95768999599</v>
      </c>
      <c r="P28" s="42">
        <f t="shared" si="13"/>
        <v>248153.71074999298</v>
      </c>
      <c r="Q28" s="42">
        <f t="shared" si="13"/>
        <v>208490.234160005</v>
      </c>
      <c r="R28" s="42">
        <f t="shared" si="13"/>
        <v>570893.55479997699</v>
      </c>
      <c r="S28" s="42">
        <f t="shared" si="13"/>
        <v>976579</v>
      </c>
      <c r="T28" s="42">
        <f t="shared" si="13"/>
        <v>453802</v>
      </c>
      <c r="U28" s="42">
        <f t="shared" si="13"/>
        <v>-35032</v>
      </c>
      <c r="V28" s="42">
        <f>W28-SUM(U28:U28)</f>
        <v>-538045.94387416809</v>
      </c>
      <c r="W28" s="42">
        <f t="shared" ref="W28:AA28" si="14">W29-W32</f>
        <v>-573077.94387416809</v>
      </c>
      <c r="X28" s="42">
        <f t="shared" si="14"/>
        <v>-772695.36830968072</v>
      </c>
      <c r="Y28" s="42">
        <f t="shared" si="14"/>
        <v>-875423.74762151297</v>
      </c>
      <c r="Z28" s="42">
        <f t="shared" si="14"/>
        <v>-930641.19224321563</v>
      </c>
      <c r="AA28" s="42">
        <f t="shared" si="14"/>
        <v>-991640.98751002713</v>
      </c>
      <c r="AB28" s="57"/>
      <c r="AC28" s="4"/>
      <c r="AD28" s="4"/>
      <c r="AE28" s="4"/>
      <c r="AF28" s="4"/>
      <c r="AG28" s="4"/>
      <c r="AH28" s="4"/>
      <c r="AI28" s="4"/>
      <c r="AJ28" s="4"/>
      <c r="AK28" s="4"/>
      <c r="AL28" s="4"/>
      <c r="AM28" s="4"/>
      <c r="AN28" s="4"/>
      <c r="AO28" s="4"/>
      <c r="AP28" s="4"/>
      <c r="AQ28" s="4"/>
    </row>
    <row r="29" spans="1:43" ht="30" customHeight="1">
      <c r="A29" s="12"/>
      <c r="B29" s="4"/>
      <c r="C29" s="4"/>
      <c r="D29" s="4"/>
      <c r="E29" s="350" t="s">
        <v>270</v>
      </c>
      <c r="F29" s="351">
        <v>0</v>
      </c>
      <c r="G29" s="351">
        <v>0</v>
      </c>
      <c r="H29" s="351">
        <v>0</v>
      </c>
      <c r="I29" s="351">
        <v>0</v>
      </c>
      <c r="J29" s="352">
        <v>0</v>
      </c>
      <c r="K29" s="42"/>
      <c r="L29" s="42"/>
      <c r="M29" s="42"/>
      <c r="N29" s="42"/>
      <c r="O29" s="42">
        <f>'Projeções - CG + Capex'!O32</f>
        <v>405066.95768999599</v>
      </c>
      <c r="P29" s="42">
        <f>'Projeções - CG + Capex'!P32</f>
        <v>405314.71074999298</v>
      </c>
      <c r="Q29" s="42">
        <f>'Projeções - CG + Capex'!Q32</f>
        <v>431804.234160005</v>
      </c>
      <c r="R29" s="42">
        <f>'Projeções - CG + Capex'!R32</f>
        <v>665081.55479997699</v>
      </c>
      <c r="S29" s="42">
        <f>'Projeções - CG + Capex'!S32</f>
        <v>1334428</v>
      </c>
      <c r="T29" s="42">
        <f>'Projeções - CG + Capex'!T32</f>
        <v>643091</v>
      </c>
      <c r="U29" s="42">
        <v>0</v>
      </c>
      <c r="V29" s="42">
        <f>W29-SUM(U29:U29)</f>
        <v>311342.10433528805</v>
      </c>
      <c r="W29" s="42">
        <f>'Projeções - CG + Capex'!U32</f>
        <v>311342.10433528805</v>
      </c>
      <c r="X29" s="42">
        <f>'Projeções - CG + Capex'!V32</f>
        <v>182123.29668522568</v>
      </c>
      <c r="Y29" s="42">
        <f>'Projeções - CG + Capex'!W32</f>
        <v>130933.18212681421</v>
      </c>
      <c r="Z29" s="42">
        <f>'Projeções - CG + Capex'!X32</f>
        <v>137339.87087025607</v>
      </c>
      <c r="AA29" s="42">
        <f>'Projeções - CG + Capex'!Y32</f>
        <v>144348.30630268093</v>
      </c>
      <c r="AB29" s="57"/>
      <c r="AC29" s="4"/>
      <c r="AD29" s="4"/>
      <c r="AE29" s="4"/>
      <c r="AF29" s="4"/>
      <c r="AG29" s="4"/>
      <c r="AH29" s="4"/>
      <c r="AI29" s="4"/>
      <c r="AJ29" s="4"/>
      <c r="AK29" s="4"/>
      <c r="AL29" s="4"/>
      <c r="AM29" s="4"/>
      <c r="AN29" s="4"/>
      <c r="AO29" s="4"/>
      <c r="AP29" s="4"/>
      <c r="AQ29" s="4"/>
    </row>
    <row r="30" spans="1:43" ht="30" customHeight="1">
      <c r="A30" s="12"/>
      <c r="B30" s="4"/>
      <c r="C30" s="4"/>
      <c r="D30" s="4"/>
      <c r="E30" s="356" t="s">
        <v>96</v>
      </c>
      <c r="F30" s="357"/>
      <c r="G30" s="357"/>
      <c r="H30" s="357"/>
      <c r="I30" s="357"/>
      <c r="J30" s="358"/>
      <c r="K30" s="59"/>
      <c r="L30" s="59"/>
      <c r="M30" s="59"/>
      <c r="N30" s="59"/>
      <c r="O30" s="59">
        <v>0</v>
      </c>
      <c r="P30" s="59">
        <f>(P29-O29)/O29</f>
        <v>6.1163483047313807E-4</v>
      </c>
      <c r="Q30" s="59">
        <f>(Q29-P29)/P29</f>
        <v>6.5355445305688237E-2</v>
      </c>
      <c r="R30" s="59">
        <f>(R29-Q29)/Q29</f>
        <v>0.54023861320806577</v>
      </c>
      <c r="S30" s="59">
        <f>(S29-R29)/R29</f>
        <v>1.0064125825912111</v>
      </c>
      <c r="T30" s="59">
        <f>(T29-S29)/S29</f>
        <v>-0.51807740844766448</v>
      </c>
      <c r="U30" s="59"/>
      <c r="V30" s="59"/>
      <c r="W30" s="59">
        <f>W29/S29-1</f>
        <v>-0.76668497338538455</v>
      </c>
      <c r="X30" s="59">
        <f>X29/W29-1</f>
        <v>-0.41503801076292945</v>
      </c>
      <c r="Y30" s="59">
        <f t="shared" ref="Y30:AA30" si="15">Y29/X29-1</f>
        <v>-0.28107395094481702</v>
      </c>
      <c r="Z30" s="59">
        <f t="shared" si="15"/>
        <v>4.8930978682216075E-2</v>
      </c>
      <c r="AA30" s="59">
        <f t="shared" si="15"/>
        <v>5.1029867641609217E-2</v>
      </c>
      <c r="AB30" s="57"/>
      <c r="AC30" s="4"/>
      <c r="AD30" s="4"/>
      <c r="AE30" s="4"/>
      <c r="AF30" s="4"/>
      <c r="AG30" s="4"/>
      <c r="AH30" s="4"/>
      <c r="AI30" s="4"/>
      <c r="AJ30" s="4"/>
      <c r="AK30" s="4"/>
      <c r="AL30" s="4"/>
      <c r="AM30" s="4"/>
      <c r="AN30" s="4"/>
      <c r="AO30" s="4"/>
      <c r="AP30" s="4"/>
      <c r="AQ30" s="4"/>
    </row>
    <row r="31" spans="1:43" ht="30" customHeight="1">
      <c r="A31" s="12"/>
      <c r="B31" s="4"/>
      <c r="C31" s="4"/>
      <c r="D31" s="4"/>
      <c r="E31" s="364" t="s">
        <v>30</v>
      </c>
      <c r="F31" s="365"/>
      <c r="G31" s="365"/>
      <c r="H31" s="365"/>
      <c r="I31" s="365"/>
      <c r="J31" s="366"/>
      <c r="K31" s="60"/>
      <c r="L31" s="60"/>
      <c r="M31" s="60"/>
      <c r="N31" s="60"/>
      <c r="O31" s="60">
        <f>O29/O13</f>
        <v>0.28624151942269044</v>
      </c>
      <c r="P31" s="60">
        <f t="shared" ref="P31:V31" si="16">P29/P13</f>
        <v>0.26376016770580779</v>
      </c>
      <c r="Q31" s="60">
        <f t="shared" si="16"/>
        <v>0.31249085199600307</v>
      </c>
      <c r="R31" s="60">
        <f t="shared" si="16"/>
        <v>0.47031379505175785</v>
      </c>
      <c r="S31" s="60">
        <f t="shared" si="16"/>
        <v>0.34697399985751065</v>
      </c>
      <c r="T31" s="60">
        <f t="shared" si="16"/>
        <v>8.2011525643594166E-2</v>
      </c>
      <c r="U31" s="60"/>
      <c r="V31" s="60">
        <f t="shared" si="16"/>
        <v>4.2951749675324363E-2</v>
      </c>
      <c r="W31" s="60">
        <f t="shared" ref="W31:AA31" si="17">W29/W13</f>
        <v>3.2507541025736025E-2</v>
      </c>
      <c r="X31" s="60">
        <f t="shared" si="17"/>
        <v>1.761365333607938E-2</v>
      </c>
      <c r="Y31" s="60">
        <f t="shared" si="17"/>
        <v>1.2014412060184679E-2</v>
      </c>
      <c r="Z31" s="60">
        <f t="shared" si="17"/>
        <v>1.1875117737998934E-2</v>
      </c>
      <c r="AA31" s="60">
        <f t="shared" si="17"/>
        <v>1.1733897649052092E-2</v>
      </c>
      <c r="AB31" s="57"/>
      <c r="AC31" s="4"/>
      <c r="AD31" s="4"/>
      <c r="AE31" s="4"/>
      <c r="AF31" s="4"/>
      <c r="AG31" s="4"/>
      <c r="AH31" s="4"/>
      <c r="AI31" s="4"/>
      <c r="AJ31" s="4"/>
      <c r="AK31" s="4"/>
      <c r="AL31" s="4"/>
      <c r="AM31" s="4"/>
      <c r="AN31" s="4"/>
      <c r="AO31" s="4"/>
      <c r="AP31" s="4"/>
      <c r="AQ31" s="4"/>
    </row>
    <row r="32" spans="1:43" ht="30" customHeight="1">
      <c r="A32" s="12"/>
      <c r="B32" s="4"/>
      <c r="C32" s="4"/>
      <c r="D32" s="4"/>
      <c r="E32" s="379" t="s">
        <v>282</v>
      </c>
      <c r="F32" s="380">
        <v>0</v>
      </c>
      <c r="G32" s="380">
        <v>0</v>
      </c>
      <c r="H32" s="380">
        <v>0</v>
      </c>
      <c r="I32" s="380">
        <v>0</v>
      </c>
      <c r="J32" s="381">
        <v>0</v>
      </c>
      <c r="K32" s="60"/>
      <c r="L32" s="60"/>
      <c r="M32" s="60"/>
      <c r="N32" s="60"/>
      <c r="O32" s="42">
        <f>'Projeções - CG + Capex'!O57-SUM('Projeções - CG + Capex'!O54:O56)</f>
        <v>150548</v>
      </c>
      <c r="P32" s="42">
        <f>'Projeções - CG + Capex'!P57-SUM('Projeções - CG + Capex'!P54:P56)</f>
        <v>157161</v>
      </c>
      <c r="Q32" s="42">
        <f>'Projeções - CG + Capex'!Q57-SUM('Projeções - CG + Capex'!Q54:Q56)</f>
        <v>223314</v>
      </c>
      <c r="R32" s="42">
        <f>'Projeções - CG + Capex'!R57-SUM('Projeções - CG + Capex'!R54:R56)</f>
        <v>94188</v>
      </c>
      <c r="S32" s="42">
        <f>'Projeções - CG + Capex'!S57-SUM('Projeções - CG + Capex'!S54:S56)</f>
        <v>357849</v>
      </c>
      <c r="T32" s="42">
        <f>'Projeções - CG + Capex'!T57-SUM('Projeções - CG + Capex'!T54:T56)</f>
        <v>189289</v>
      </c>
      <c r="U32" s="42">
        <f>'Projeções - CG + Capex'!U57-SUM('Projeções - CG + Capex'!U54:U56)</f>
        <v>35032</v>
      </c>
      <c r="V32" s="42">
        <f>W32-U32</f>
        <v>849388.04820945614</v>
      </c>
      <c r="W32" s="42">
        <f>W33*W13</f>
        <v>884420.04820945614</v>
      </c>
      <c r="X32" s="42">
        <f t="shared" ref="X32:AA32" si="18">X33*X13</f>
        <v>954818.6649949064</v>
      </c>
      <c r="Y32" s="42">
        <f t="shared" si="18"/>
        <v>1006356.9297483272</v>
      </c>
      <c r="Z32" s="42">
        <f t="shared" si="18"/>
        <v>1067981.0631134717</v>
      </c>
      <c r="AA32" s="42">
        <f t="shared" si="18"/>
        <v>1135989.293812708</v>
      </c>
      <c r="AB32" s="57"/>
      <c r="AC32" s="4"/>
      <c r="AD32" s="4"/>
      <c r="AE32" s="4"/>
      <c r="AF32" s="4"/>
      <c r="AG32" s="4"/>
      <c r="AH32" s="4"/>
      <c r="AI32" s="4"/>
      <c r="AJ32" s="4"/>
      <c r="AK32" s="4"/>
      <c r="AL32" s="4"/>
      <c r="AM32" s="4"/>
      <c r="AN32" s="4"/>
      <c r="AO32" s="4"/>
      <c r="AP32" s="4"/>
      <c r="AQ32" s="4"/>
    </row>
    <row r="33" spans="1:46" ht="30" customHeight="1">
      <c r="A33" s="12"/>
      <c r="B33" s="4"/>
      <c r="C33" s="4"/>
      <c r="D33" s="4"/>
      <c r="E33" s="364" t="s">
        <v>30</v>
      </c>
      <c r="F33" s="365"/>
      <c r="G33" s="365"/>
      <c r="H33" s="365"/>
      <c r="I33" s="365"/>
      <c r="J33" s="366"/>
      <c r="K33" s="60"/>
      <c r="L33" s="60"/>
      <c r="M33" s="60"/>
      <c r="N33" s="60"/>
      <c r="O33" s="60">
        <f>O32/O13</f>
        <v>0.10638509868046805</v>
      </c>
      <c r="P33" s="60">
        <f t="shared" ref="P33:V33" si="19">P32/P13</f>
        <v>0.10227314878383839</v>
      </c>
      <c r="Q33" s="60">
        <f t="shared" si="19"/>
        <v>0.16160930487026473</v>
      </c>
      <c r="R33" s="60">
        <f t="shared" si="19"/>
        <v>6.6605238723929955E-2</v>
      </c>
      <c r="S33" s="60">
        <f t="shared" si="19"/>
        <v>9.3046832706605631E-2</v>
      </c>
      <c r="T33" s="60">
        <f t="shared" si="19"/>
        <v>2.4139475871300168E-2</v>
      </c>
      <c r="U33" s="60">
        <f t="shared" si="19"/>
        <v>1.5042378612616241E-2</v>
      </c>
      <c r="V33" s="60">
        <f t="shared" si="19"/>
        <v>0.11717882777787178</v>
      </c>
      <c r="W33" s="60">
        <f>AVERAGE(O33:T33)</f>
        <v>9.2343183272734497E-2</v>
      </c>
      <c r="X33" s="60">
        <f>W33</f>
        <v>9.2343183272734497E-2</v>
      </c>
      <c r="Y33" s="60">
        <f t="shared" ref="Y33:AA33" si="20">X33</f>
        <v>9.2343183272734497E-2</v>
      </c>
      <c r="Z33" s="60">
        <f t="shared" si="20"/>
        <v>9.2343183272734497E-2</v>
      </c>
      <c r="AA33" s="60">
        <f t="shared" si="20"/>
        <v>9.2343183272734497E-2</v>
      </c>
      <c r="AB33" s="57"/>
      <c r="AC33" s="4"/>
      <c r="AD33" s="4"/>
      <c r="AE33" s="4"/>
      <c r="AF33" s="4"/>
      <c r="AG33" s="4"/>
      <c r="AH33" s="4"/>
      <c r="AI33" s="4"/>
      <c r="AJ33" s="4"/>
      <c r="AK33" s="4"/>
      <c r="AL33" s="4"/>
      <c r="AM33" s="4"/>
      <c r="AN33" s="4"/>
      <c r="AO33" s="4"/>
      <c r="AP33" s="4"/>
      <c r="AQ33" s="4"/>
    </row>
    <row r="34" spans="1:46" ht="30" customHeight="1">
      <c r="A34" s="12"/>
      <c r="B34" s="4"/>
      <c r="C34" s="4"/>
      <c r="D34" s="4"/>
      <c r="E34" s="356" t="s">
        <v>286</v>
      </c>
      <c r="F34" s="357">
        <v>0</v>
      </c>
      <c r="G34" s="357">
        <v>-122636.71999999997</v>
      </c>
      <c r="H34" s="357">
        <v>147702.64000000001</v>
      </c>
      <c r="I34" s="357">
        <v>-36069.720000000088</v>
      </c>
      <c r="J34" s="358">
        <v>-41836.439999999944</v>
      </c>
      <c r="K34" s="42"/>
      <c r="L34" s="42"/>
      <c r="M34" s="42"/>
      <c r="N34" s="42"/>
      <c r="O34" s="42">
        <f>'Projeções - CG + Capex'!O66-SUM('Projeções - CG + Capex'!O63:O65)</f>
        <v>1072.3793135976885</v>
      </c>
      <c r="P34" s="42">
        <f>'Projeções - CG + Capex'!P66-SUM('Projeções - CG + Capex'!P63:P65)</f>
        <v>89618.288313500118</v>
      </c>
      <c r="Q34" s="42">
        <f>'Projeções - CG + Capex'!Q66-SUM('Projeções - CG + Capex'!Q63:Q65)</f>
        <v>-248057.24262700044</v>
      </c>
      <c r="R34" s="42">
        <f>'Projeções - CG + Capex'!R66-SUM('Projeções - CG + Capex'!R63:R65)</f>
        <v>381696.81263216736</v>
      </c>
      <c r="S34" s="42">
        <f>'Projeções - CG + Capex'!S66-SUM('Projeções - CG + Capex'!S63:S65)</f>
        <v>1449668.0058585252</v>
      </c>
      <c r="T34" s="42">
        <f>'Projeções - CG + Capex'!T66-SUM('Projeções - CG + Capex'!T63:T65)</f>
        <v>4988841.9592177011</v>
      </c>
      <c r="U34" s="42">
        <f>W34/4</f>
        <v>434105.39312928368</v>
      </c>
      <c r="V34" s="42">
        <f>W34-SUM(U34:U34)</f>
        <v>1302316.1793878512</v>
      </c>
      <c r="W34" s="42">
        <f>('Projeções - CG + Capex'!U10-'Projeções - CG + Capex'!S10)*W35</f>
        <v>1736421.5725171347</v>
      </c>
      <c r="X34" s="42">
        <f>('Projeções - CG + Capex'!V10-'Projeções - CG + Capex'!U10)*X35</f>
        <v>535286.8832956336</v>
      </c>
      <c r="Y34" s="42">
        <f>('Projeções - CG + Capex'!W10-'Projeções - CG + Capex'!V10)*Y35</f>
        <v>662582.39777779009</v>
      </c>
      <c r="Z34" s="42">
        <f>('Projeções - CG + Capex'!X10-'Projeções - CG + Capex'!W10)*Z35</f>
        <v>495213.6003422903</v>
      </c>
      <c r="AA34" s="42">
        <f>('Projeções - CG + Capex'!Y10-'Projeções - CG + Capex'!X10)*AA35</f>
        <v>531398.09265031817</v>
      </c>
      <c r="AB34" s="57"/>
      <c r="AC34" s="4"/>
      <c r="AD34" s="4"/>
      <c r="AE34" s="4"/>
      <c r="AF34" s="4"/>
      <c r="AG34" s="4"/>
      <c r="AH34" s="4"/>
      <c r="AI34" s="4"/>
      <c r="AJ34" s="4"/>
      <c r="AK34" s="4"/>
      <c r="AL34" s="4"/>
      <c r="AM34" s="4"/>
      <c r="AN34" s="4"/>
      <c r="AO34" s="4"/>
      <c r="AP34" s="4"/>
      <c r="AQ34" s="4"/>
      <c r="AR34" s="4"/>
      <c r="AS34" s="4"/>
      <c r="AT34" s="4"/>
    </row>
    <row r="35" spans="1:46" ht="30" customHeight="1">
      <c r="A35" s="12"/>
      <c r="B35" s="4"/>
      <c r="C35" s="4"/>
      <c r="D35" s="4"/>
      <c r="E35" s="356" t="s">
        <v>485</v>
      </c>
      <c r="F35" s="357">
        <v>0</v>
      </c>
      <c r="G35" s="357">
        <v>-122636.71999999997</v>
      </c>
      <c r="H35" s="357">
        <v>147702.64000000001</v>
      </c>
      <c r="I35" s="357">
        <v>-36069.720000000088</v>
      </c>
      <c r="J35" s="358">
        <v>-41836.439999999944</v>
      </c>
      <c r="K35" s="42"/>
      <c r="L35" s="42"/>
      <c r="M35" s="42"/>
      <c r="N35" s="42"/>
      <c r="O35" s="60">
        <f>O34/'Projeções - CG + Capex'!O66</f>
        <v>-7.9224605875853702E-3</v>
      </c>
      <c r="P35" s="60">
        <f>P34/'Projeções - CG + Capex'!P66</f>
        <v>0.34770069046210356</v>
      </c>
      <c r="Q35" s="60">
        <f>Q34/'Projeções - CG + Capex'!Q66</f>
        <v>0.34749610155499489</v>
      </c>
      <c r="R35" s="60">
        <f>R34/'Projeções - CG + Capex'!R66</f>
        <v>1.1672790706587952</v>
      </c>
      <c r="S35" s="60">
        <f>S34/'Projeções - CG + Capex'!S66</f>
        <v>1.0587930558079768</v>
      </c>
      <c r="T35" s="60">
        <f>T34/'Projeções - CG + Capex'!T66</f>
        <v>3.0688374591974892</v>
      </c>
      <c r="U35" s="60"/>
      <c r="V35" s="60"/>
      <c r="W35" s="60">
        <f>AVERAGE($O$35:$T$35)</f>
        <v>0.99703065284896242</v>
      </c>
      <c r="X35" s="60">
        <f t="shared" ref="X35:AA35" si="21">AVERAGE($O$35:$T$35)</f>
        <v>0.99703065284896242</v>
      </c>
      <c r="Y35" s="60">
        <f t="shared" si="21"/>
        <v>0.99703065284896242</v>
      </c>
      <c r="Z35" s="60">
        <f t="shared" si="21"/>
        <v>0.99703065284896242</v>
      </c>
      <c r="AA35" s="60">
        <f t="shared" si="21"/>
        <v>0.99703065284896242</v>
      </c>
      <c r="AB35" s="57"/>
      <c r="AC35" s="4"/>
      <c r="AD35" s="4"/>
      <c r="AE35" s="4"/>
      <c r="AF35" s="4"/>
      <c r="AG35" s="4"/>
      <c r="AH35" s="4"/>
      <c r="AI35" s="4"/>
      <c r="AJ35" s="4"/>
      <c r="AK35" s="4"/>
      <c r="AL35" s="4"/>
      <c r="AM35" s="4"/>
      <c r="AN35" s="4"/>
      <c r="AO35" s="4"/>
      <c r="AP35" s="4"/>
      <c r="AQ35" s="4"/>
      <c r="AR35" s="4"/>
      <c r="AS35" s="4"/>
      <c r="AT35" s="4"/>
    </row>
    <row r="36" spans="1:46" ht="30" customHeight="1">
      <c r="A36" s="12"/>
      <c r="B36" s="4"/>
      <c r="C36" s="4"/>
      <c r="D36" s="4"/>
      <c r="E36" s="347" t="s">
        <v>293</v>
      </c>
      <c r="F36" s="348"/>
      <c r="G36" s="348"/>
      <c r="H36" s="348"/>
      <c r="I36" s="348"/>
      <c r="J36" s="349"/>
      <c r="K36" s="46"/>
      <c r="L36" s="46"/>
      <c r="M36" s="46"/>
      <c r="N36" s="46"/>
      <c r="O36" s="46">
        <f>O26*(1-O27)</f>
        <v>-136695.33700359368</v>
      </c>
      <c r="P36" s="46">
        <f t="shared" ref="P36:AA36" si="22">P26*(1-P27)</f>
        <v>-170205.99906349313</v>
      </c>
      <c r="Q36" s="46">
        <f t="shared" si="22"/>
        <v>19586.008466995438</v>
      </c>
      <c r="R36" s="46">
        <f t="shared" si="22"/>
        <v>-742156.36743214435</v>
      </c>
      <c r="S36" s="46">
        <f t="shared" si="22"/>
        <v>-1997146.0058585254</v>
      </c>
      <c r="T36" s="46">
        <f t="shared" si="22"/>
        <v>-5014840.0752477013</v>
      </c>
      <c r="U36" s="46">
        <f t="shared" si="22"/>
        <v>-334459.39312928368</v>
      </c>
      <c r="V36" s="46">
        <f>W36-SUM(U36:U36)</f>
        <v>-347388.36450039363</v>
      </c>
      <c r="W36" s="46">
        <f>W26*(1-W27)</f>
        <v>-681847.7576296773</v>
      </c>
      <c r="X36" s="46">
        <f t="shared" si="22"/>
        <v>836789.31501747423</v>
      </c>
      <c r="Y36" s="46">
        <f t="shared" si="22"/>
        <v>853428.79876872012</v>
      </c>
      <c r="Z36" s="46">
        <f t="shared" si="22"/>
        <v>1122098.1706328348</v>
      </c>
      <c r="AA36" s="46">
        <f t="shared" si="22"/>
        <v>1197536.3163383207</v>
      </c>
      <c r="AB36" s="54">
        <f>AB26*(1-AB27)</f>
        <v>480652.83330136281</v>
      </c>
      <c r="AC36" s="4"/>
      <c r="AD36" s="4"/>
      <c r="AE36" s="4"/>
      <c r="AF36" s="4"/>
      <c r="AG36" s="4"/>
      <c r="AH36" s="4"/>
      <c r="AI36" s="4"/>
      <c r="AJ36" s="4"/>
      <c r="AK36" s="4"/>
      <c r="AL36" s="4"/>
      <c r="AM36" s="4"/>
      <c r="AN36" s="4"/>
      <c r="AO36" s="4"/>
      <c r="AP36" s="4"/>
      <c r="AQ36" s="4"/>
      <c r="AR36" s="4"/>
      <c r="AS36" s="4"/>
      <c r="AT36" s="4"/>
    </row>
    <row r="37" spans="1:46" ht="30" customHeight="1">
      <c r="A37" s="12"/>
      <c r="B37" s="4"/>
      <c r="C37" s="4"/>
      <c r="D37" s="4"/>
      <c r="E37" s="35" t="s">
        <v>130</v>
      </c>
      <c r="F37" s="239"/>
      <c r="G37" s="239"/>
      <c r="H37" s="239"/>
      <c r="I37" s="239"/>
      <c r="J37" s="240"/>
      <c r="K37" s="46"/>
      <c r="L37" s="46"/>
      <c r="M37" s="46"/>
      <c r="N37" s="46"/>
      <c r="O37" s="46"/>
      <c r="P37" s="46"/>
      <c r="Q37" s="46"/>
      <c r="R37" s="46"/>
      <c r="S37" s="46"/>
      <c r="T37" s="46"/>
      <c r="U37" s="46"/>
      <c r="V37" s="117">
        <f>WACC!F21</f>
        <v>1.0746360506808272</v>
      </c>
      <c r="W37" s="117"/>
      <c r="X37" s="117">
        <f>WACC!G21</f>
        <v>1.1844448627533881</v>
      </c>
      <c r="Y37" s="117">
        <f>WACC!H21</f>
        <v>1.3079719306167954</v>
      </c>
      <c r="Z37" s="117">
        <f>WACC!I21</f>
        <v>1.4467296106241221</v>
      </c>
      <c r="AA37" s="117">
        <f>WACC!J21</f>
        <v>1.6018645250143801</v>
      </c>
      <c r="AB37" s="54"/>
      <c r="AC37" s="4"/>
      <c r="AD37" s="4"/>
      <c r="AE37" s="4"/>
      <c r="AF37" s="4"/>
      <c r="AG37" s="4"/>
      <c r="AH37" s="4"/>
      <c r="AI37" s="4"/>
      <c r="AJ37" s="4"/>
      <c r="AK37" s="4"/>
      <c r="AL37" s="4"/>
      <c r="AM37" s="4"/>
      <c r="AN37" s="4"/>
      <c r="AO37" s="4"/>
      <c r="AP37" s="4"/>
      <c r="AQ37" s="4"/>
      <c r="AR37" s="4"/>
      <c r="AS37" s="4"/>
      <c r="AT37" s="4"/>
    </row>
    <row r="38" spans="1:46" ht="30" customHeight="1">
      <c r="A38" s="12"/>
      <c r="B38" s="4"/>
      <c r="C38" s="4"/>
      <c r="D38" s="4"/>
      <c r="E38" s="273" t="s">
        <v>294</v>
      </c>
      <c r="F38" s="239"/>
      <c r="G38" s="239"/>
      <c r="H38" s="239"/>
      <c r="I38" s="239"/>
      <c r="J38" s="240"/>
      <c r="K38" s="46"/>
      <c r="L38" s="46"/>
      <c r="M38" s="46"/>
      <c r="N38" s="46"/>
      <c r="O38" s="46"/>
      <c r="P38" s="46"/>
      <c r="Q38" s="46"/>
      <c r="R38" s="46"/>
      <c r="S38" s="46"/>
      <c r="T38" s="46"/>
      <c r="U38" s="46"/>
      <c r="V38" s="46">
        <f>V36/V37</f>
        <v>-323261.40955378191</v>
      </c>
      <c r="W38" s="46"/>
      <c r="X38" s="46">
        <f>X36/X37</f>
        <v>706482.2866235025</v>
      </c>
      <c r="Y38" s="46">
        <f>Y36/Y37</f>
        <v>652482.50271416141</v>
      </c>
      <c r="Z38" s="46">
        <f>Z36/Z37</f>
        <v>775610.15022617765</v>
      </c>
      <c r="AA38" s="46">
        <f>AA36/AA37</f>
        <v>747589.01120403444</v>
      </c>
      <c r="AB38" s="54">
        <f>(AB36*(1+AD23))/(WACC!P20-AD23)/'DRE + DCF'!AA37</f>
        <v>8170896.9720283318</v>
      </c>
      <c r="AC38" s="4"/>
      <c r="AD38" s="4"/>
      <c r="AE38" s="4"/>
      <c r="AF38" s="4"/>
      <c r="AG38" s="4"/>
      <c r="AH38" s="4"/>
      <c r="AI38" s="4"/>
      <c r="AJ38" s="4"/>
      <c r="AK38" s="4"/>
      <c r="AL38" s="4"/>
      <c r="AM38" s="4"/>
      <c r="AN38" s="4"/>
      <c r="AO38" s="4"/>
      <c r="AP38" s="4"/>
      <c r="AQ38" s="4"/>
      <c r="AR38" s="4"/>
      <c r="AS38" s="4"/>
      <c r="AT38" s="4"/>
    </row>
    <row r="39" spans="1:46" ht="30" customHeight="1" thickBot="1">
      <c r="A39" s="12"/>
      <c r="B39" s="4"/>
      <c r="C39" s="4"/>
      <c r="D39" s="4"/>
      <c r="E39" s="373" t="s">
        <v>321</v>
      </c>
      <c r="F39" s="374">
        <v>0.1981298179323292</v>
      </c>
      <c r="G39" s="374">
        <v>0.19661319544659719</v>
      </c>
      <c r="H39" s="374">
        <v>0.14196038747607992</v>
      </c>
      <c r="I39" s="374">
        <v>-0.20916931415263038</v>
      </c>
      <c r="J39" s="375">
        <v>-4.0922008088363118E-2</v>
      </c>
      <c r="K39" s="44">
        <f>'DRE Consolidado'!K58/(SUM('Balanço Patrimonial'!F54:F59,'Balanço Patrimonial'!F72:F75,'Balanço Patrimonial'!F87,-'Balanço Patrimonial'!F19,-'Balanço Patrimonial'!F36))</f>
        <v>8.749605118837156E-2</v>
      </c>
      <c r="L39" s="44">
        <f>'DRE Consolidado'!L58/(SUM('Balanço Patrimonial'!G54:G59,'Balanço Patrimonial'!G72:G75,'Balanço Patrimonial'!G87,-'Balanço Patrimonial'!G19,-'Balanço Patrimonial'!G36))</f>
        <v>9.2741799701985914E-2</v>
      </c>
      <c r="M39" s="44">
        <f>'DRE Consolidado'!M58/(SUM('Balanço Patrimonial'!H54:H59,'Balanço Patrimonial'!H72:H75,'Balanço Patrimonial'!H87,-'Balanço Patrimonial'!H19,-'Balanço Patrimonial'!H36))</f>
        <v>9.0692944750984772E-2</v>
      </c>
      <c r="N39" s="44">
        <f>'DRE Consolidado'!N58/(SUM('Balanço Patrimonial'!I54:I59,'Balanço Patrimonial'!I72:I75,'Balanço Patrimonial'!I87,-'Balanço Patrimonial'!I19,-'Balanço Patrimonial'!I36))</f>
        <v>9.2089721960406726E-2</v>
      </c>
      <c r="O39" s="44">
        <f>'DRE Consolidado'!O58/(SUM('Balanço Patrimonial'!J54:J59,'Balanço Patrimonial'!J72:J75,'Balanço Patrimonial'!J87,-'Balanço Patrimonial'!J19,-'Balanço Patrimonial'!J36))</f>
        <v>9.8681458889431931E-2</v>
      </c>
      <c r="P39" s="44">
        <f>'DRE Consolidado'!P58/(SUM('Balanço Patrimonial'!K54:K59,'Balanço Patrimonial'!K72:K75,'Balanço Patrimonial'!K87,-'Balanço Patrimonial'!K19,-'Balanço Patrimonial'!K36))</f>
        <v>0.10811251665869327</v>
      </c>
      <c r="Q39" s="44">
        <f>'DRE Consolidado'!Q58/(SUM('Balanço Patrimonial'!L54:L59,'Balanço Patrimonial'!L72:L75,'Balanço Patrimonial'!L87,-'Balanço Patrimonial'!L19,-'Balanço Patrimonial'!L36))</f>
        <v>8.4555268280735951E-2</v>
      </c>
      <c r="R39" s="44">
        <f>'DRE Consolidado'!R58/(SUM('Balanço Patrimonial'!M54:M59,'Balanço Patrimonial'!M72:M75,'Balanço Patrimonial'!M87,-'Balanço Patrimonial'!M19,-'Balanço Patrimonial'!M36))</f>
        <v>0.12089622240749426</v>
      </c>
      <c r="S39" s="44">
        <f>'DRE Consolidado'!S58/(SUM('Balanço Patrimonial'!N54:N59,'Balanço Patrimonial'!N72:N75,'Balanço Patrimonial'!N87,-'Balanço Patrimonial'!N19,-'Balanço Patrimonial'!N36))</f>
        <v>0.15951948478766095</v>
      </c>
      <c r="T39" s="44">
        <f>'DRE Consolidado'!T58/(SUM('Balanço Patrimonial'!O54:O59,'Balanço Patrimonial'!O72:O75,'Balanço Patrimonial'!O87,-'Balanço Patrimonial'!O19,-'Balanço Patrimonial'!O36))</f>
        <v>0.13630930941080474</v>
      </c>
      <c r="U39" s="187"/>
      <c r="V39" s="187"/>
      <c r="W39" s="179"/>
      <c r="X39" s="179"/>
      <c r="Y39" s="179"/>
      <c r="Z39" s="179"/>
      <c r="AA39" s="179"/>
      <c r="AB39" s="190"/>
      <c r="AC39" s="4"/>
      <c r="AD39" s="4"/>
      <c r="AE39" s="4"/>
      <c r="AF39" s="4"/>
      <c r="AG39" s="4"/>
      <c r="AH39" s="4"/>
      <c r="AI39" s="4"/>
      <c r="AJ39" s="4"/>
      <c r="AK39" s="4"/>
      <c r="AL39" s="4"/>
      <c r="AM39" s="4"/>
      <c r="AN39" s="4"/>
      <c r="AO39" s="4"/>
      <c r="AP39" s="4"/>
      <c r="AQ39" s="4"/>
      <c r="AR39" s="4"/>
      <c r="AS39" s="4"/>
      <c r="AT39" s="4"/>
    </row>
    <row r="40" spans="1:46" ht="30" customHeight="1">
      <c r="A40" s="12"/>
      <c r="B40" s="4"/>
      <c r="C40" s="4"/>
      <c r="D40" s="4"/>
      <c r="E40" s="191"/>
      <c r="F40" s="191"/>
      <c r="G40" s="191"/>
      <c r="H40" s="191"/>
      <c r="I40" s="191"/>
      <c r="J40" s="191"/>
      <c r="K40" s="181"/>
      <c r="L40" s="181"/>
      <c r="M40" s="181"/>
      <c r="N40" s="181"/>
      <c r="O40" s="181"/>
      <c r="P40" s="181"/>
      <c r="Q40" s="181"/>
      <c r="R40" s="177"/>
      <c r="S40" s="177"/>
      <c r="T40" s="177"/>
      <c r="U40" s="177"/>
      <c r="V40" s="177"/>
      <c r="W40" s="177"/>
      <c r="X40" s="177"/>
      <c r="Y40" s="177"/>
      <c r="Z40" s="177"/>
      <c r="AA40" s="177"/>
      <c r="AB40" s="177"/>
      <c r="AC40" s="4"/>
      <c r="AD40" s="4"/>
      <c r="AE40" s="4"/>
      <c r="AF40" s="4"/>
      <c r="AG40" s="4"/>
      <c r="AH40" s="4"/>
      <c r="AI40" s="4"/>
      <c r="AJ40" s="4"/>
      <c r="AK40" s="4"/>
      <c r="AL40" s="4"/>
      <c r="AM40" s="4"/>
      <c r="AN40" s="4"/>
      <c r="AO40" s="4"/>
      <c r="AP40" s="4"/>
      <c r="AQ40" s="4"/>
      <c r="AR40" s="4"/>
      <c r="AS40" s="4"/>
      <c r="AT40" s="4"/>
    </row>
    <row r="41" spans="1:46" ht="30" customHeight="1">
      <c r="A41" s="12"/>
      <c r="B41" s="4"/>
      <c r="C41" s="4"/>
      <c r="D41" s="4"/>
      <c r="E41" s="62" t="s">
        <v>48</v>
      </c>
      <c r="F41" s="50"/>
      <c r="G41" s="50"/>
      <c r="H41" s="50"/>
      <c r="I41" s="50"/>
      <c r="J41" s="50"/>
      <c r="K41" s="63"/>
      <c r="L41" s="63"/>
      <c r="M41" s="63"/>
      <c r="N41" s="51"/>
      <c r="O41" s="51"/>
      <c r="P41" s="51"/>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30" customHeight="1">
      <c r="A42" s="12"/>
      <c r="B42" s="4"/>
      <c r="C42" s="4"/>
      <c r="D42" s="4"/>
      <c r="E42" s="50"/>
      <c r="F42" s="50"/>
      <c r="G42" s="50"/>
      <c r="H42" s="50"/>
      <c r="I42" s="50"/>
      <c r="J42" s="50"/>
      <c r="K42" s="51"/>
      <c r="L42" s="51"/>
      <c r="M42" s="51"/>
      <c r="N42" s="51"/>
      <c r="O42" s="51"/>
      <c r="P42" s="51"/>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30" customHeight="1">
      <c r="A43" s="12"/>
      <c r="B43" s="4"/>
      <c r="C43" s="4"/>
      <c r="D43" s="4"/>
      <c r="E43" s="50"/>
      <c r="F43" s="50"/>
      <c r="G43" s="50"/>
      <c r="H43" s="50"/>
      <c r="I43" s="50"/>
      <c r="J43" s="50"/>
      <c r="K43" s="51"/>
      <c r="L43" s="51"/>
      <c r="M43" s="51"/>
      <c r="N43" s="51"/>
      <c r="O43" s="51"/>
      <c r="P43" s="51"/>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30" customHeight="1">
      <c r="A44" s="12"/>
      <c r="B44" s="4"/>
      <c r="C44" s="4"/>
      <c r="D44" s="4"/>
      <c r="E44" s="50"/>
      <c r="F44" s="50"/>
      <c r="G44" s="50"/>
      <c r="H44" s="50"/>
      <c r="I44" s="50"/>
      <c r="J44" s="50"/>
      <c r="K44" s="51"/>
      <c r="L44" s="51"/>
      <c r="M44" s="51"/>
      <c r="N44" s="51"/>
      <c r="O44" s="51"/>
      <c r="P44" s="51"/>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27.75" customHeight="1">
      <c r="A45" s="12"/>
      <c r="B45" s="4"/>
      <c r="C45" s="4"/>
      <c r="D45" s="4"/>
      <c r="E45" s="50"/>
      <c r="F45" s="50"/>
      <c r="G45" s="50"/>
      <c r="H45" s="50"/>
      <c r="I45" s="50"/>
      <c r="J45" s="50"/>
      <c r="K45" s="51"/>
      <c r="L45" s="51"/>
      <c r="M45" s="51"/>
      <c r="N45" s="51"/>
      <c r="O45" s="51"/>
      <c r="P45" s="51"/>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30.75" customHeight="1">
      <c r="A46" s="12"/>
      <c r="B46" s="4"/>
      <c r="C46" s="4"/>
      <c r="D46" s="4"/>
      <c r="E46" s="50"/>
      <c r="F46" s="50"/>
      <c r="G46" s="50"/>
      <c r="H46" s="50"/>
      <c r="I46" s="50"/>
      <c r="J46" s="50"/>
      <c r="K46" s="51"/>
      <c r="L46" s="51"/>
      <c r="M46" s="51"/>
      <c r="N46" s="51"/>
      <c r="O46" s="51"/>
      <c r="P46" s="51"/>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30" customHeight="1">
      <c r="A47" s="12"/>
      <c r="B47" s="4"/>
      <c r="C47" s="4"/>
      <c r="D47" s="4"/>
      <c r="E47" s="50"/>
      <c r="F47" s="50"/>
      <c r="G47" s="50"/>
      <c r="H47" s="50"/>
      <c r="I47" s="50"/>
      <c r="J47" s="50"/>
      <c r="K47" s="51"/>
      <c r="L47" s="51"/>
      <c r="M47" s="51"/>
      <c r="N47" s="51"/>
      <c r="O47" s="51"/>
      <c r="P47" s="51"/>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30" customHeight="1">
      <c r="A48" s="12"/>
      <c r="B48" s="4"/>
      <c r="C48" s="4"/>
      <c r="D48" s="4"/>
      <c r="E48" s="50"/>
      <c r="F48" s="50"/>
      <c r="G48" s="50"/>
      <c r="H48" s="50"/>
      <c r="I48" s="50"/>
      <c r="J48" s="50"/>
      <c r="K48" s="51"/>
      <c r="L48" s="51"/>
      <c r="M48" s="51"/>
      <c r="N48" s="51"/>
      <c r="O48" s="51"/>
      <c r="P48" s="51"/>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30" customHeight="1">
      <c r="A49" s="12"/>
      <c r="B49" s="4"/>
      <c r="C49" s="4"/>
      <c r="D49" s="4"/>
      <c r="E49" s="50"/>
      <c r="F49" s="50"/>
      <c r="G49" s="50"/>
      <c r="H49" s="50"/>
      <c r="I49" s="50"/>
      <c r="J49" s="50"/>
      <c r="K49" s="51"/>
      <c r="L49" s="51"/>
      <c r="M49" s="51"/>
      <c r="N49" s="51"/>
      <c r="O49" s="51"/>
      <c r="P49" s="51"/>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30" customHeight="1">
      <c r="A50" s="12"/>
      <c r="B50" s="4"/>
      <c r="C50" s="4"/>
      <c r="D50" s="4"/>
      <c r="E50" s="50"/>
      <c r="F50" s="50"/>
      <c r="G50" s="50"/>
      <c r="H50" s="50"/>
      <c r="I50" s="50"/>
      <c r="J50" s="50"/>
      <c r="K50" s="51"/>
      <c r="L50" s="51"/>
      <c r="M50" s="51"/>
      <c r="N50" s="51"/>
      <c r="O50" s="51"/>
      <c r="P50" s="51"/>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30" customHeight="1">
      <c r="A51" s="12"/>
      <c r="B51" s="4"/>
      <c r="C51" s="4"/>
      <c r="D51" s="4"/>
      <c r="E51" s="50"/>
      <c r="F51" s="50"/>
      <c r="G51" s="50"/>
      <c r="H51" s="50"/>
      <c r="I51" s="50"/>
      <c r="J51" s="50"/>
      <c r="K51" s="51"/>
      <c r="L51" s="51"/>
      <c r="M51" s="51"/>
      <c r="N51" s="51"/>
      <c r="O51" s="51"/>
      <c r="P51" s="51"/>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30" customHeight="1">
      <c r="A52" s="12"/>
      <c r="B52" s="4"/>
      <c r="C52" s="4"/>
      <c r="D52" s="4"/>
      <c r="E52" s="50"/>
      <c r="F52" s="50"/>
      <c r="G52" s="50"/>
      <c r="H52" s="50"/>
      <c r="I52" s="50"/>
      <c r="J52" s="50"/>
      <c r="K52" s="51"/>
      <c r="L52" s="51"/>
      <c r="M52" s="51"/>
      <c r="N52" s="51"/>
      <c r="O52" s="51"/>
      <c r="P52" s="51"/>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30" customHeight="1">
      <c r="A53" s="12"/>
      <c r="B53" s="4"/>
      <c r="C53" s="4"/>
      <c r="D53" s="4"/>
      <c r="E53" s="50"/>
      <c r="F53" s="50"/>
      <c r="G53" s="50"/>
      <c r="H53" s="50"/>
      <c r="I53" s="50"/>
      <c r="J53" s="50"/>
      <c r="K53" s="51"/>
      <c r="L53" s="51"/>
      <c r="M53" s="51"/>
      <c r="N53" s="51"/>
      <c r="O53" s="51"/>
      <c r="P53" s="51"/>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30" customHeight="1">
      <c r="A54" s="12"/>
      <c r="B54" s="4"/>
      <c r="C54" s="4"/>
      <c r="D54" s="4"/>
      <c r="E54" s="50"/>
      <c r="F54" s="50"/>
      <c r="G54" s="50"/>
      <c r="H54" s="50"/>
      <c r="I54" s="50"/>
      <c r="J54" s="50"/>
      <c r="K54" s="51"/>
      <c r="L54" s="51"/>
      <c r="M54" s="51"/>
      <c r="N54" s="51"/>
      <c r="O54" s="51"/>
      <c r="P54" s="51"/>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s="1" customFormat="1" ht="30" customHeight="1">
      <c r="A55" s="12"/>
      <c r="B55" s="58"/>
      <c r="C55" s="58"/>
      <c r="D55" s="58"/>
      <c r="E55" s="50"/>
      <c r="F55" s="50"/>
      <c r="G55" s="50"/>
      <c r="H55" s="50"/>
      <c r="I55" s="50"/>
      <c r="J55" s="50"/>
      <c r="K55" s="51"/>
      <c r="L55" s="51"/>
      <c r="M55" s="51"/>
      <c r="N55" s="51"/>
      <c r="O55" s="51"/>
      <c r="P55" s="51"/>
      <c r="Q55" s="4"/>
      <c r="R55" s="4"/>
      <c r="S55" s="4"/>
      <c r="T55" s="4"/>
      <c r="U55" s="4"/>
      <c r="V55" s="4"/>
      <c r="W55" s="4"/>
      <c r="X55" s="4"/>
      <c r="Y55" s="4"/>
      <c r="Z55" s="4"/>
      <c r="AA55" s="4"/>
      <c r="AB55" s="4"/>
      <c r="AC55" s="4"/>
      <c r="AD55" s="4"/>
      <c r="AE55" s="4"/>
      <c r="AF55" s="4"/>
      <c r="AG55" s="4"/>
      <c r="AH55" s="4"/>
      <c r="AI55" s="58"/>
      <c r="AJ55" s="58"/>
      <c r="AK55" s="58"/>
      <c r="AL55" s="58"/>
      <c r="AM55" s="58"/>
      <c r="AN55" s="58"/>
      <c r="AO55" s="58"/>
      <c r="AP55" s="58"/>
      <c r="AQ55" s="58"/>
      <c r="AR55" s="58"/>
      <c r="AS55" s="58"/>
      <c r="AT55" s="58"/>
    </row>
    <row r="56" spans="1:46" ht="30" hidden="1" customHeight="1">
      <c r="A56" s="12"/>
      <c r="B56" s="4"/>
      <c r="C56" s="4"/>
      <c r="D56" s="4"/>
      <c r="E56" s="50"/>
      <c r="F56" s="50"/>
      <c r="G56" s="50"/>
      <c r="H56" s="50"/>
      <c r="I56" s="50"/>
      <c r="J56" s="50"/>
      <c r="K56" s="51"/>
      <c r="L56" s="51"/>
      <c r="M56" s="51"/>
      <c r="N56" s="51"/>
      <c r="O56" s="51"/>
      <c r="P56" s="51"/>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30" customHeight="1">
      <c r="A57" s="12"/>
      <c r="B57" s="4"/>
      <c r="C57" s="4"/>
      <c r="D57" s="4"/>
      <c r="E57" s="50"/>
      <c r="F57" s="50"/>
      <c r="G57" s="50"/>
      <c r="H57" s="50"/>
      <c r="I57" s="50"/>
      <c r="J57" s="50"/>
      <c r="K57" s="51"/>
      <c r="L57" s="51"/>
      <c r="M57" s="51"/>
      <c r="N57" s="51"/>
      <c r="O57" s="51"/>
      <c r="P57" s="51"/>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30" customHeight="1">
      <c r="A58" s="12"/>
      <c r="B58" s="4"/>
      <c r="C58" s="4"/>
      <c r="D58" s="4"/>
      <c r="E58" s="50"/>
      <c r="F58" s="50"/>
      <c r="G58" s="50"/>
      <c r="H58" s="50"/>
      <c r="I58" s="50"/>
      <c r="J58" s="50"/>
      <c r="K58" s="51"/>
      <c r="L58" s="51"/>
      <c r="M58" s="51"/>
      <c r="N58" s="51"/>
      <c r="O58" s="51"/>
      <c r="P58" s="51"/>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30" hidden="1" customHeight="1">
      <c r="A59" s="12"/>
      <c r="B59" s="4"/>
      <c r="C59" s="4"/>
      <c r="D59" s="4"/>
      <c r="E59" s="50"/>
      <c r="F59" s="50"/>
      <c r="G59" s="50"/>
      <c r="H59" s="50"/>
      <c r="I59" s="50"/>
      <c r="J59" s="50"/>
      <c r="K59" s="51"/>
      <c r="L59" s="51"/>
      <c r="M59" s="51"/>
      <c r="N59" s="51"/>
      <c r="O59" s="51"/>
      <c r="P59" s="51"/>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30" customHeight="1">
      <c r="A60" s="12"/>
      <c r="B60" s="4"/>
      <c r="C60" s="4"/>
      <c r="D60" s="4"/>
      <c r="E60" s="50"/>
      <c r="F60" s="50"/>
      <c r="G60" s="50"/>
      <c r="H60" s="50"/>
      <c r="I60" s="50"/>
      <c r="J60" s="50"/>
      <c r="K60" s="51"/>
      <c r="L60" s="51"/>
      <c r="M60" s="51"/>
      <c r="N60" s="51"/>
      <c r="O60" s="51"/>
      <c r="P60" s="51"/>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30" customHeight="1">
      <c r="A61" s="12"/>
      <c r="B61" s="4"/>
      <c r="C61" s="4"/>
      <c r="D61" s="4"/>
      <c r="E61" s="50"/>
      <c r="F61" s="50"/>
      <c r="G61" s="50"/>
      <c r="H61" s="50"/>
      <c r="I61" s="50"/>
      <c r="J61" s="50"/>
      <c r="K61" s="51"/>
      <c r="L61" s="51"/>
      <c r="M61" s="51"/>
      <c r="N61" s="51"/>
      <c r="O61" s="51"/>
      <c r="P61" s="51"/>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30" customHeight="1">
      <c r="A62" s="12"/>
      <c r="B62" s="4"/>
      <c r="C62" s="4"/>
      <c r="D62" s="4"/>
      <c r="E62" s="50"/>
      <c r="F62" s="50"/>
      <c r="G62" s="50"/>
      <c r="H62" s="50"/>
      <c r="I62" s="50"/>
      <c r="J62" s="50"/>
      <c r="K62" s="51"/>
      <c r="L62" s="51"/>
      <c r="M62" s="51"/>
      <c r="N62" s="51"/>
      <c r="O62" s="51"/>
      <c r="P62" s="51"/>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30" customHeight="1">
      <c r="A63" s="12"/>
      <c r="B63" s="4"/>
      <c r="C63" s="4"/>
      <c r="D63" s="4"/>
      <c r="E63" s="50"/>
      <c r="F63" s="50"/>
      <c r="G63" s="50"/>
      <c r="H63" s="50"/>
      <c r="I63" s="50"/>
      <c r="J63" s="50"/>
      <c r="K63" s="51"/>
      <c r="L63" s="51"/>
      <c r="M63" s="51"/>
      <c r="N63" s="51"/>
      <c r="O63" s="51"/>
      <c r="P63" s="51"/>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30" customHeight="1">
      <c r="A64" s="12"/>
      <c r="B64" s="4"/>
      <c r="C64" s="4"/>
      <c r="D64" s="4"/>
      <c r="E64" s="50"/>
      <c r="F64" s="50"/>
      <c r="G64" s="50"/>
      <c r="H64" s="50"/>
      <c r="I64" s="50"/>
      <c r="J64" s="50"/>
      <c r="K64" s="51"/>
      <c r="L64" s="51"/>
      <c r="M64" s="51"/>
      <c r="N64" s="51"/>
      <c r="O64" s="51"/>
      <c r="P64" s="51"/>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row>
    <row r="65" spans="1:46" ht="30" customHeight="1">
      <c r="A65" s="12"/>
      <c r="B65" s="4"/>
      <c r="C65" s="4"/>
      <c r="D65" s="4"/>
      <c r="E65" s="50"/>
      <c r="F65" s="50"/>
      <c r="G65" s="50"/>
      <c r="H65" s="50"/>
      <c r="I65" s="50"/>
      <c r="J65" s="50"/>
      <c r="K65" s="51"/>
      <c r="L65" s="51"/>
      <c r="M65" s="51"/>
      <c r="N65" s="51"/>
      <c r="O65" s="51"/>
      <c r="P65" s="51"/>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row>
    <row r="66" spans="1:46" ht="30" customHeight="1">
      <c r="A66" s="12"/>
      <c r="B66" s="4"/>
      <c r="C66" s="4"/>
      <c r="D66" s="4"/>
      <c r="E66" s="50"/>
      <c r="F66" s="50"/>
      <c r="G66" s="50"/>
      <c r="H66" s="50"/>
      <c r="I66" s="50"/>
      <c r="J66" s="50"/>
      <c r="K66" s="51"/>
      <c r="L66" s="51"/>
      <c r="M66" s="51"/>
      <c r="N66" s="51"/>
      <c r="O66" s="51"/>
      <c r="P66" s="51"/>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30" customHeight="1">
      <c r="A67" s="12"/>
      <c r="B67" s="4"/>
      <c r="C67" s="4"/>
      <c r="D67" s="4"/>
      <c r="E67" s="50"/>
      <c r="F67" s="50"/>
      <c r="G67" s="50"/>
      <c r="H67" s="50"/>
      <c r="I67" s="50"/>
      <c r="J67" s="50"/>
      <c r="K67" s="51"/>
      <c r="L67" s="51"/>
      <c r="M67" s="51"/>
      <c r="N67" s="51"/>
      <c r="O67" s="51"/>
      <c r="P67" s="51"/>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ht="30" customHeight="1">
      <c r="A68" s="12"/>
      <c r="B68" s="4"/>
      <c r="C68" s="4"/>
      <c r="D68" s="4"/>
      <c r="E68" s="50"/>
      <c r="F68" s="50"/>
      <c r="G68" s="50"/>
      <c r="H68" s="50"/>
      <c r="I68" s="50"/>
      <c r="J68" s="50"/>
      <c r="K68" s="51"/>
      <c r="L68" s="51"/>
      <c r="M68" s="51"/>
      <c r="N68" s="51"/>
      <c r="O68" s="51"/>
      <c r="P68" s="51"/>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row>
    <row r="69" spans="1:46" ht="30" customHeight="1">
      <c r="A69" s="12"/>
      <c r="B69" s="4"/>
      <c r="C69" s="4"/>
      <c r="D69" s="4"/>
      <c r="E69" s="50"/>
      <c r="F69" s="50"/>
      <c r="G69" s="50"/>
      <c r="H69" s="50"/>
      <c r="I69" s="50"/>
      <c r="J69" s="50"/>
      <c r="K69" s="51"/>
      <c r="L69" s="51"/>
      <c r="M69" s="51"/>
      <c r="N69" s="51"/>
      <c r="O69" s="51"/>
      <c r="P69" s="51"/>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row>
    <row r="70" spans="1:46" ht="30" customHeight="1">
      <c r="A70" s="12"/>
      <c r="B70" s="4"/>
      <c r="C70" s="4"/>
      <c r="D70" s="4"/>
      <c r="E70" s="50"/>
      <c r="F70" s="50"/>
      <c r="G70" s="50"/>
      <c r="H70" s="50"/>
      <c r="I70" s="50"/>
      <c r="J70" s="50"/>
      <c r="K70" s="51"/>
      <c r="L70" s="51"/>
      <c r="M70" s="51"/>
      <c r="N70" s="51"/>
      <c r="O70" s="51"/>
      <c r="P70" s="51"/>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row>
    <row r="71" spans="1:46" ht="30" customHeight="1">
      <c r="A71" s="12"/>
      <c r="B71" s="4"/>
      <c r="C71" s="4"/>
      <c r="D71" s="4"/>
      <c r="E71" s="50"/>
      <c r="F71" s="50"/>
      <c r="G71" s="50"/>
      <c r="H71" s="50"/>
      <c r="I71" s="50"/>
      <c r="J71" s="50"/>
      <c r="K71" s="51"/>
      <c r="L71" s="51"/>
      <c r="M71" s="51"/>
      <c r="N71" s="51"/>
      <c r="O71" s="51"/>
      <c r="P71" s="51"/>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row>
    <row r="72" spans="1:46" ht="30" customHeight="1">
      <c r="A72" s="12"/>
      <c r="B72" s="4"/>
      <c r="C72" s="4"/>
      <c r="D72" s="4"/>
      <c r="E72" s="50"/>
      <c r="F72" s="50"/>
      <c r="G72" s="50"/>
      <c r="H72" s="50"/>
      <c r="I72" s="50"/>
      <c r="J72" s="50"/>
      <c r="K72" s="51"/>
      <c r="L72" s="51"/>
      <c r="M72" s="51"/>
      <c r="N72" s="51"/>
      <c r="O72" s="51"/>
      <c r="P72" s="51"/>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row>
    <row r="73" spans="1:46" ht="30" customHeight="1">
      <c r="A73" s="12"/>
      <c r="B73" s="4"/>
      <c r="C73" s="4"/>
      <c r="D73" s="4"/>
      <c r="E73" s="50"/>
      <c r="F73" s="50"/>
      <c r="G73" s="50"/>
      <c r="H73" s="50"/>
      <c r="I73" s="50"/>
      <c r="J73" s="50"/>
      <c r="K73" s="51"/>
      <c r="L73" s="51"/>
      <c r="M73" s="51"/>
      <c r="N73" s="51"/>
      <c r="O73" s="51"/>
      <c r="P73" s="51"/>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row>
    <row r="74" spans="1:46" ht="30" customHeight="1">
      <c r="A74" s="12"/>
      <c r="B74" s="4"/>
      <c r="C74" s="4"/>
      <c r="D74" s="4"/>
      <c r="E74" s="50"/>
      <c r="F74" s="50"/>
      <c r="G74" s="50"/>
      <c r="H74" s="50"/>
      <c r="I74" s="50"/>
      <c r="J74" s="50"/>
      <c r="K74" s="51"/>
      <c r="L74" s="51"/>
      <c r="M74" s="51"/>
      <c r="N74" s="51"/>
      <c r="O74" s="51"/>
      <c r="P74" s="51"/>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row>
    <row r="75" spans="1:46" ht="30" customHeight="1">
      <c r="A75" s="12"/>
      <c r="B75" s="4"/>
      <c r="C75" s="4"/>
      <c r="D75" s="4"/>
      <c r="E75" s="50"/>
      <c r="F75" s="50"/>
      <c r="G75" s="50"/>
      <c r="H75" s="50"/>
      <c r="I75" s="50"/>
      <c r="J75" s="50"/>
      <c r="K75" s="51"/>
      <c r="L75" s="51"/>
      <c r="M75" s="51"/>
      <c r="N75" s="51"/>
      <c r="O75" s="51"/>
      <c r="P75" s="51"/>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row>
    <row r="76" spans="1:46" ht="30" customHeight="1">
      <c r="A76" s="12"/>
      <c r="B76" s="4"/>
      <c r="C76" s="4"/>
      <c r="D76" s="4"/>
      <c r="E76" s="50"/>
      <c r="F76" s="50"/>
      <c r="G76" s="50"/>
      <c r="H76" s="50"/>
      <c r="I76" s="50"/>
      <c r="J76" s="50"/>
      <c r="K76" s="51"/>
      <c r="L76" s="51"/>
      <c r="M76" s="51"/>
      <c r="N76" s="51"/>
      <c r="O76" s="51"/>
      <c r="P76" s="51"/>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row>
    <row r="77" spans="1:46" ht="30" customHeight="1">
      <c r="A77" s="12"/>
      <c r="B77" s="4"/>
      <c r="C77" s="4"/>
      <c r="D77" s="4"/>
      <c r="E77" s="50"/>
      <c r="F77" s="50"/>
      <c r="G77" s="50"/>
      <c r="H77" s="50"/>
      <c r="I77" s="50"/>
      <c r="J77" s="50"/>
      <c r="K77" s="51"/>
      <c r="L77" s="51"/>
      <c r="M77" s="51"/>
      <c r="N77" s="51"/>
      <c r="O77" s="51"/>
      <c r="P77" s="51"/>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row>
    <row r="78" spans="1:46" ht="30" customHeight="1">
      <c r="A78" s="12"/>
      <c r="B78" s="4"/>
      <c r="C78" s="4"/>
      <c r="D78" s="4"/>
      <c r="E78" s="50"/>
      <c r="F78" s="50"/>
      <c r="G78" s="50"/>
      <c r="H78" s="50"/>
      <c r="I78" s="50"/>
      <c r="J78" s="50"/>
      <c r="K78" s="51"/>
      <c r="L78" s="51"/>
      <c r="M78" s="51"/>
      <c r="N78" s="51"/>
      <c r="O78" s="51"/>
      <c r="P78" s="51"/>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row>
    <row r="79" spans="1:46" ht="30" customHeight="1">
      <c r="A79" s="12"/>
      <c r="B79" s="4"/>
      <c r="C79" s="4"/>
      <c r="D79" s="4"/>
      <c r="E79" s="50"/>
      <c r="F79" s="50"/>
      <c r="G79" s="50"/>
      <c r="H79" s="50"/>
      <c r="I79" s="50"/>
      <c r="J79" s="50"/>
      <c r="K79" s="51"/>
      <c r="L79" s="51"/>
      <c r="M79" s="51"/>
      <c r="N79" s="51"/>
      <c r="O79" s="51"/>
      <c r="P79" s="51"/>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row>
    <row r="80" spans="1:46" ht="30" customHeight="1">
      <c r="A80" s="12"/>
      <c r="B80" s="4"/>
      <c r="C80" s="4"/>
      <c r="D80" s="4"/>
      <c r="E80" s="50"/>
      <c r="F80" s="50"/>
      <c r="G80" s="50"/>
      <c r="H80" s="50"/>
      <c r="I80" s="50"/>
      <c r="J80" s="50"/>
      <c r="K80" s="51"/>
      <c r="L80" s="51"/>
      <c r="M80" s="51"/>
      <c r="N80" s="51"/>
      <c r="O80" s="51"/>
      <c r="P80" s="51"/>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row>
    <row r="81" spans="1:44" ht="30" customHeight="1">
      <c r="A81" s="12"/>
      <c r="B81" s="4"/>
      <c r="C81" s="4"/>
      <c r="D81" s="4"/>
      <c r="E81" s="50"/>
      <c r="F81" s="50"/>
      <c r="G81" s="50"/>
      <c r="H81" s="50"/>
      <c r="I81" s="50"/>
      <c r="J81" s="50"/>
      <c r="K81" s="51"/>
      <c r="L81" s="51"/>
      <c r="M81" s="51"/>
      <c r="N81" s="51"/>
      <c r="O81" s="51"/>
      <c r="P81" s="51"/>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row>
    <row r="82" spans="1:44" ht="30" customHeight="1">
      <c r="A82" s="12"/>
      <c r="B82" s="4"/>
      <c r="C82" s="4"/>
      <c r="D82" s="4"/>
      <c r="E82" s="50"/>
      <c r="F82" s="50"/>
      <c r="G82" s="50"/>
      <c r="H82" s="50"/>
      <c r="I82" s="50"/>
      <c r="J82" s="50"/>
      <c r="K82" s="51"/>
      <c r="L82" s="51"/>
      <c r="M82" s="51"/>
      <c r="N82" s="51"/>
      <c r="O82" s="51"/>
      <c r="P82" s="51"/>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row>
    <row r="83" spans="1:44" ht="30" customHeight="1">
      <c r="A83" s="12"/>
      <c r="B83" s="4"/>
      <c r="C83" s="4"/>
      <c r="D83" s="4"/>
      <c r="E83" s="50"/>
      <c r="F83" s="50"/>
      <c r="G83" s="50"/>
      <c r="H83" s="50"/>
      <c r="I83" s="50"/>
      <c r="J83" s="50"/>
      <c r="K83" s="51"/>
      <c r="L83" s="51"/>
      <c r="M83" s="51"/>
      <c r="N83" s="51"/>
      <c r="O83" s="51"/>
      <c r="P83" s="51"/>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row>
    <row r="84" spans="1:44" ht="30" customHeight="1">
      <c r="A84" s="12"/>
      <c r="B84" s="4"/>
      <c r="C84" s="4"/>
      <c r="D84" s="4"/>
      <c r="E84" s="50"/>
      <c r="F84" s="50"/>
      <c r="G84" s="50"/>
      <c r="H84" s="50"/>
      <c r="I84" s="50"/>
      <c r="J84" s="50"/>
      <c r="K84" s="51"/>
      <c r="L84" s="51"/>
      <c r="M84" s="51"/>
      <c r="N84" s="51"/>
      <c r="O84" s="51"/>
      <c r="P84" s="51"/>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row>
    <row r="85" spans="1:44" ht="30" customHeight="1">
      <c r="A85" s="12"/>
      <c r="B85" s="4"/>
      <c r="C85" s="4"/>
      <c r="D85" s="4"/>
      <c r="E85" s="50"/>
      <c r="F85" s="50"/>
      <c r="G85" s="50"/>
      <c r="H85" s="50"/>
      <c r="I85" s="50"/>
      <c r="J85" s="50"/>
      <c r="K85" s="51"/>
      <c r="L85" s="51"/>
      <c r="M85" s="51"/>
      <c r="N85" s="51"/>
      <c r="O85" s="51"/>
      <c r="P85" s="51"/>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row>
    <row r="86" spans="1:44" ht="30" customHeight="1">
      <c r="A86" s="12"/>
      <c r="B86" s="4"/>
      <c r="C86" s="4"/>
      <c r="D86" s="4"/>
      <c r="E86" s="50"/>
      <c r="F86" s="50"/>
      <c r="G86" s="50"/>
      <c r="H86" s="50"/>
      <c r="I86" s="50"/>
      <c r="J86" s="50"/>
      <c r="K86" s="51"/>
      <c r="L86" s="51"/>
      <c r="M86" s="51"/>
      <c r="N86" s="51"/>
      <c r="O86" s="51"/>
      <c r="P86" s="51"/>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row>
    <row r="87" spans="1:44" ht="30" customHeight="1">
      <c r="A87" s="12"/>
      <c r="B87" s="4"/>
      <c r="C87" s="4"/>
      <c r="D87" s="4"/>
      <c r="E87" s="50"/>
      <c r="F87" s="50"/>
      <c r="G87" s="50"/>
      <c r="H87" s="50"/>
      <c r="I87" s="50"/>
      <c r="J87" s="50"/>
      <c r="K87" s="51"/>
      <c r="L87" s="51"/>
      <c r="M87" s="51"/>
      <c r="N87" s="51"/>
      <c r="O87" s="51"/>
      <c r="P87" s="51"/>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row>
    <row r="88" spans="1:44" ht="30" customHeight="1">
      <c r="A88" s="12"/>
      <c r="B88" s="4"/>
      <c r="C88" s="4"/>
      <c r="D88" s="4"/>
      <c r="E88" s="50"/>
      <c r="F88" s="50"/>
      <c r="G88" s="50"/>
      <c r="H88" s="50"/>
      <c r="I88" s="50"/>
      <c r="J88" s="50"/>
      <c r="K88" s="51"/>
      <c r="L88" s="51"/>
      <c r="M88" s="51"/>
      <c r="N88" s="51"/>
      <c r="O88" s="51"/>
      <c r="P88" s="51"/>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row>
    <row r="89" spans="1:44" ht="30" customHeight="1">
      <c r="A89" s="12"/>
      <c r="B89" s="4"/>
      <c r="C89" s="4"/>
      <c r="D89" s="4"/>
      <c r="E89" s="50"/>
      <c r="F89" s="50"/>
      <c r="G89" s="50"/>
      <c r="H89" s="50"/>
      <c r="I89" s="50"/>
      <c r="J89" s="50"/>
      <c r="K89" s="51"/>
      <c r="L89" s="51"/>
      <c r="M89" s="51"/>
      <c r="N89" s="51"/>
      <c r="O89" s="51"/>
      <c r="P89" s="51"/>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row>
    <row r="90" spans="1:44" ht="30" customHeight="1">
      <c r="A90" s="12"/>
      <c r="B90" s="4"/>
      <c r="C90" s="4"/>
      <c r="D90" s="4"/>
      <c r="E90" s="50"/>
      <c r="F90" s="50"/>
      <c r="G90" s="50"/>
      <c r="H90" s="50"/>
      <c r="I90" s="50"/>
      <c r="J90" s="50"/>
      <c r="K90" s="51"/>
      <c r="L90" s="51"/>
      <c r="M90" s="51"/>
      <c r="N90" s="51"/>
      <c r="O90" s="51"/>
      <c r="P90" s="51"/>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row>
    <row r="91" spans="1:44" ht="30" customHeight="1">
      <c r="A91" s="12"/>
      <c r="B91" s="4"/>
      <c r="C91" s="4"/>
      <c r="D91" s="4"/>
      <c r="E91" s="50"/>
      <c r="F91" s="50"/>
      <c r="G91" s="50"/>
      <c r="H91" s="50"/>
      <c r="I91" s="50"/>
      <c r="J91" s="50"/>
      <c r="K91" s="51"/>
      <c r="L91" s="51"/>
      <c r="M91" s="51"/>
      <c r="N91" s="51"/>
      <c r="O91" s="51"/>
      <c r="P91" s="51"/>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row>
    <row r="92" spans="1:44" ht="30" customHeight="1">
      <c r="A92" s="12"/>
      <c r="B92" s="4"/>
      <c r="C92" s="4"/>
      <c r="D92" s="4"/>
      <c r="E92" s="50"/>
      <c r="F92" s="50"/>
      <c r="G92" s="50"/>
      <c r="H92" s="50"/>
      <c r="I92" s="50"/>
      <c r="J92" s="50"/>
      <c r="K92" s="51"/>
      <c r="L92" s="51"/>
      <c r="M92" s="51"/>
      <c r="N92" s="51"/>
      <c r="O92" s="51"/>
      <c r="P92" s="51"/>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row>
    <row r="93" spans="1:44" ht="30" customHeight="1">
      <c r="A93" s="12"/>
      <c r="B93" s="4"/>
      <c r="C93" s="4"/>
      <c r="D93" s="4"/>
      <c r="E93" s="50"/>
      <c r="F93" s="50"/>
      <c r="G93" s="50"/>
      <c r="H93" s="50"/>
      <c r="I93" s="50"/>
      <c r="J93" s="50"/>
      <c r="K93" s="51"/>
      <c r="L93" s="51"/>
      <c r="M93" s="51"/>
      <c r="N93" s="51"/>
      <c r="O93" s="51"/>
      <c r="P93" s="51"/>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row>
    <row r="94" spans="1:44" ht="30" customHeight="1">
      <c r="A94" s="12"/>
      <c r="B94" s="4"/>
      <c r="C94" s="4"/>
      <c r="D94" s="4"/>
      <c r="E94" s="50"/>
      <c r="F94" s="50"/>
      <c r="G94" s="50"/>
      <c r="H94" s="50"/>
      <c r="I94" s="50"/>
      <c r="J94" s="50"/>
      <c r="K94" s="51"/>
      <c r="L94" s="51"/>
      <c r="M94" s="51"/>
      <c r="N94" s="51"/>
      <c r="O94" s="51"/>
      <c r="P94" s="51"/>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row>
    <row r="95" spans="1:44" ht="30" customHeight="1">
      <c r="A95" s="12"/>
      <c r="B95" s="4"/>
      <c r="C95" s="4"/>
      <c r="D95" s="4"/>
      <c r="E95" s="50"/>
      <c r="F95" s="50"/>
      <c r="G95" s="50"/>
      <c r="H95" s="50"/>
      <c r="I95" s="50"/>
      <c r="J95" s="50"/>
      <c r="K95" s="51"/>
      <c r="L95" s="51"/>
      <c r="M95" s="51"/>
      <c r="N95" s="51"/>
      <c r="O95" s="51"/>
      <c r="P95" s="51"/>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row>
    <row r="96" spans="1:44" ht="30" customHeight="1">
      <c r="A96" s="12"/>
      <c r="B96" s="4"/>
      <c r="C96" s="4"/>
      <c r="D96" s="4"/>
      <c r="E96" s="50"/>
      <c r="F96" s="50"/>
      <c r="G96" s="50"/>
      <c r="H96" s="50"/>
      <c r="I96" s="50"/>
      <c r="J96" s="50"/>
      <c r="K96" s="51"/>
      <c r="L96" s="51"/>
      <c r="M96" s="51"/>
      <c r="N96" s="51"/>
      <c r="O96" s="51"/>
      <c r="P96" s="51"/>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row>
    <row r="97" spans="1:44" ht="30" customHeight="1">
      <c r="A97" s="12"/>
      <c r="B97" s="4"/>
      <c r="C97" s="4"/>
      <c r="D97" s="4"/>
      <c r="E97" s="50"/>
      <c r="F97" s="50"/>
      <c r="G97" s="50"/>
      <c r="H97" s="50"/>
      <c r="I97" s="50"/>
      <c r="J97" s="50"/>
      <c r="K97" s="51"/>
      <c r="L97" s="51"/>
      <c r="M97" s="51"/>
      <c r="N97" s="51"/>
      <c r="O97" s="51"/>
      <c r="P97" s="51"/>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row>
    <row r="98" spans="1:44" ht="30" customHeight="1">
      <c r="A98" s="12"/>
      <c r="B98" s="4"/>
      <c r="C98" s="4"/>
      <c r="D98" s="4"/>
      <c r="E98" s="50"/>
      <c r="F98" s="50"/>
      <c r="G98" s="50"/>
      <c r="H98" s="50"/>
      <c r="I98" s="50"/>
      <c r="J98" s="50"/>
      <c r="K98" s="51"/>
      <c r="L98" s="51"/>
      <c r="M98" s="51"/>
      <c r="N98" s="51"/>
      <c r="O98" s="51"/>
      <c r="P98" s="51"/>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row>
    <row r="99" spans="1:44" ht="30" customHeight="1">
      <c r="A99" s="12"/>
      <c r="B99" s="4"/>
      <c r="C99" s="4"/>
      <c r="D99" s="4"/>
      <c r="E99" s="50"/>
      <c r="F99" s="50"/>
      <c r="G99" s="50"/>
      <c r="H99" s="50"/>
      <c r="I99" s="50"/>
      <c r="J99" s="50"/>
      <c r="K99" s="51"/>
      <c r="L99" s="51"/>
      <c r="M99" s="51"/>
      <c r="N99" s="51"/>
      <c r="O99" s="51"/>
      <c r="P99" s="51"/>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row>
    <row r="100" spans="1:44" ht="30" customHeight="1">
      <c r="A100" s="12"/>
      <c r="B100" s="4"/>
      <c r="C100" s="4"/>
      <c r="D100" s="4"/>
      <c r="E100" s="50"/>
      <c r="F100" s="50"/>
      <c r="G100" s="50"/>
      <c r="H100" s="50"/>
      <c r="I100" s="50"/>
      <c r="J100" s="50"/>
      <c r="K100" s="51"/>
      <c r="L100" s="51"/>
      <c r="M100" s="51"/>
      <c r="N100" s="51"/>
      <c r="O100" s="51"/>
      <c r="P100" s="51"/>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row>
    <row r="101" spans="1:44" ht="30" customHeight="1">
      <c r="A101" s="12"/>
      <c r="B101" s="4"/>
      <c r="C101" s="4"/>
      <c r="D101" s="4"/>
      <c r="E101" s="50"/>
      <c r="F101" s="50"/>
      <c r="G101" s="50"/>
      <c r="H101" s="50"/>
      <c r="I101" s="50"/>
      <c r="J101" s="50"/>
      <c r="K101" s="51"/>
      <c r="L101" s="51"/>
      <c r="M101" s="51"/>
      <c r="N101" s="51"/>
      <c r="O101" s="51"/>
      <c r="P101" s="51"/>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row>
    <row r="102" spans="1:44" ht="30" customHeight="1">
      <c r="A102" s="12"/>
      <c r="B102" s="4"/>
      <c r="C102" s="4"/>
      <c r="D102" s="4"/>
      <c r="E102" s="50"/>
      <c r="F102" s="50"/>
      <c r="G102" s="50"/>
      <c r="H102" s="50"/>
      <c r="I102" s="50"/>
      <c r="J102" s="50"/>
      <c r="K102" s="51"/>
      <c r="L102" s="51"/>
      <c r="M102" s="51"/>
      <c r="N102" s="51"/>
      <c r="O102" s="51"/>
      <c r="P102" s="51"/>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row>
    <row r="103" spans="1:44" ht="30" customHeight="1">
      <c r="A103" s="12"/>
      <c r="B103" s="4"/>
      <c r="C103" s="4"/>
      <c r="D103" s="4"/>
      <c r="E103" s="50"/>
      <c r="F103" s="50"/>
      <c r="G103" s="50"/>
      <c r="H103" s="50"/>
      <c r="I103" s="50"/>
      <c r="J103" s="50"/>
      <c r="K103" s="51"/>
      <c r="L103" s="51"/>
      <c r="M103" s="51"/>
      <c r="N103" s="51"/>
      <c r="O103" s="51"/>
      <c r="P103" s="51"/>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row>
    <row r="104" spans="1:44" ht="30" customHeight="1">
      <c r="A104" s="12"/>
      <c r="B104" s="4"/>
      <c r="C104" s="4"/>
      <c r="D104" s="4"/>
      <c r="E104" s="50"/>
      <c r="F104" s="50"/>
      <c r="G104" s="50"/>
      <c r="H104" s="50"/>
      <c r="I104" s="50"/>
      <c r="J104" s="50"/>
      <c r="K104" s="51"/>
      <c r="L104" s="51"/>
      <c r="M104" s="51"/>
      <c r="N104" s="51"/>
      <c r="O104" s="51"/>
      <c r="P104" s="51"/>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row>
    <row r="105" spans="1:44" ht="30" customHeight="1">
      <c r="A105" s="12"/>
      <c r="B105" s="4"/>
      <c r="C105" s="4"/>
      <c r="D105" s="4"/>
      <c r="E105" s="50"/>
      <c r="F105" s="50"/>
      <c r="G105" s="50"/>
      <c r="H105" s="50"/>
      <c r="I105" s="50"/>
      <c r="J105" s="50"/>
      <c r="K105" s="51"/>
      <c r="L105" s="51"/>
      <c r="M105" s="51"/>
      <c r="N105" s="51"/>
      <c r="O105" s="51"/>
      <c r="P105" s="51"/>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row>
    <row r="106" spans="1:44" ht="30" customHeight="1">
      <c r="A106" s="12"/>
      <c r="B106" s="4"/>
      <c r="C106" s="4"/>
      <c r="D106" s="4"/>
      <c r="E106" s="50"/>
      <c r="F106" s="50"/>
      <c r="G106" s="50"/>
      <c r="H106" s="50"/>
      <c r="I106" s="50"/>
      <c r="J106" s="50"/>
      <c r="K106" s="51"/>
      <c r="L106" s="51"/>
      <c r="M106" s="51"/>
      <c r="N106" s="51"/>
      <c r="O106" s="51"/>
      <c r="P106" s="51"/>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row>
    <row r="107" spans="1:44" ht="30" customHeight="1">
      <c r="A107" s="12"/>
      <c r="B107" s="4"/>
      <c r="C107" s="4"/>
      <c r="D107" s="4"/>
      <c r="E107" s="50"/>
      <c r="F107" s="50"/>
      <c r="G107" s="50"/>
      <c r="H107" s="50"/>
      <c r="I107" s="50"/>
      <c r="J107" s="50"/>
      <c r="K107" s="51"/>
      <c r="L107" s="51"/>
      <c r="M107" s="51"/>
      <c r="N107" s="51"/>
      <c r="O107" s="51"/>
      <c r="P107" s="51"/>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row>
    <row r="108" spans="1:44" ht="30" customHeight="1">
      <c r="A108" s="12"/>
      <c r="B108" s="4"/>
      <c r="C108" s="4"/>
      <c r="D108" s="4"/>
      <c r="E108" s="50"/>
      <c r="F108" s="50"/>
      <c r="G108" s="50"/>
      <c r="H108" s="50"/>
      <c r="I108" s="50"/>
      <c r="J108" s="50"/>
      <c r="K108" s="51"/>
      <c r="L108" s="51"/>
      <c r="M108" s="51"/>
      <c r="N108" s="51"/>
      <c r="O108" s="51"/>
      <c r="P108" s="51"/>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row>
    <row r="109" spans="1:44" ht="30" customHeight="1">
      <c r="A109" s="12"/>
      <c r="B109" s="4"/>
      <c r="C109" s="4"/>
      <c r="D109" s="4"/>
      <c r="E109" s="50"/>
      <c r="F109" s="50"/>
      <c r="G109" s="50"/>
      <c r="H109" s="50"/>
      <c r="I109" s="50"/>
      <c r="J109" s="50"/>
      <c r="K109" s="51"/>
      <c r="L109" s="51"/>
      <c r="M109" s="51"/>
      <c r="N109" s="51"/>
      <c r="O109" s="51"/>
      <c r="P109" s="51"/>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row>
    <row r="110" spans="1:44" ht="30" customHeight="1">
      <c r="A110" s="12"/>
      <c r="B110" s="4"/>
      <c r="C110" s="4"/>
      <c r="D110" s="4"/>
      <c r="E110" s="50"/>
      <c r="F110" s="50"/>
      <c r="G110" s="50"/>
      <c r="H110" s="50"/>
      <c r="I110" s="50"/>
      <c r="J110" s="50"/>
      <c r="K110" s="51"/>
      <c r="L110" s="51"/>
      <c r="M110" s="51"/>
      <c r="N110" s="51"/>
      <c r="O110" s="51"/>
      <c r="P110" s="51"/>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row>
    <row r="111" spans="1:44" ht="30" customHeight="1">
      <c r="A111" s="12"/>
      <c r="B111" s="4"/>
      <c r="C111" s="4"/>
      <c r="D111" s="4"/>
      <c r="E111" s="50"/>
      <c r="F111" s="50"/>
      <c r="G111" s="50"/>
      <c r="H111" s="50"/>
      <c r="I111" s="50"/>
      <c r="J111" s="50"/>
      <c r="K111" s="51"/>
      <c r="L111" s="51"/>
      <c r="M111" s="51"/>
      <c r="N111" s="51"/>
      <c r="O111" s="51"/>
      <c r="P111" s="51"/>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row>
    <row r="112" spans="1:44" ht="30" customHeight="1">
      <c r="A112" s="12"/>
      <c r="B112" s="4"/>
      <c r="C112" s="4"/>
      <c r="D112" s="4"/>
      <c r="E112" s="50"/>
      <c r="F112" s="50"/>
      <c r="G112" s="50"/>
      <c r="H112" s="50"/>
      <c r="I112" s="50"/>
      <c r="J112" s="50"/>
      <c r="K112" s="51"/>
      <c r="L112" s="51"/>
      <c r="M112" s="51"/>
      <c r="N112" s="51"/>
      <c r="O112" s="51"/>
      <c r="P112" s="51"/>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row>
    <row r="113" spans="1:44" ht="30" customHeight="1">
      <c r="A113" s="12"/>
      <c r="B113" s="4"/>
      <c r="C113" s="4"/>
      <c r="D113" s="4"/>
      <c r="E113" s="50"/>
      <c r="F113" s="50"/>
      <c r="G113" s="50"/>
      <c r="H113" s="50"/>
      <c r="I113" s="50"/>
      <c r="J113" s="50"/>
      <c r="K113" s="51"/>
      <c r="L113" s="51"/>
      <c r="M113" s="51"/>
      <c r="N113" s="51"/>
      <c r="O113" s="51"/>
      <c r="P113" s="51"/>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row>
    <row r="114" spans="1:44" ht="30" customHeight="1">
      <c r="A114" s="12"/>
      <c r="B114" s="4"/>
      <c r="C114" s="4"/>
      <c r="D114" s="4"/>
      <c r="E114" s="50"/>
      <c r="F114" s="50"/>
      <c r="G114" s="50"/>
      <c r="H114" s="50"/>
      <c r="I114" s="50"/>
      <c r="J114" s="50"/>
      <c r="K114" s="51"/>
      <c r="L114" s="51"/>
      <c r="M114" s="51"/>
      <c r="N114" s="51"/>
      <c r="O114" s="51"/>
      <c r="P114" s="51"/>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row>
    <row r="115" spans="1:44" ht="30" customHeight="1">
      <c r="A115" s="12"/>
      <c r="B115" s="4"/>
      <c r="C115" s="4"/>
      <c r="D115" s="4"/>
      <c r="E115" s="50"/>
      <c r="F115" s="50"/>
      <c r="G115" s="50"/>
      <c r="H115" s="50"/>
      <c r="I115" s="50"/>
      <c r="J115" s="50"/>
      <c r="K115" s="51"/>
      <c r="L115" s="51"/>
      <c r="M115" s="51"/>
      <c r="N115" s="51"/>
      <c r="O115" s="51"/>
      <c r="P115" s="51"/>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row>
    <row r="116" spans="1:44" ht="30" customHeight="1">
      <c r="A116" s="12"/>
      <c r="B116" s="4"/>
      <c r="C116" s="4"/>
      <c r="D116" s="4"/>
      <c r="E116" s="50"/>
      <c r="F116" s="50"/>
      <c r="G116" s="50"/>
      <c r="H116" s="50"/>
      <c r="I116" s="50"/>
      <c r="J116" s="50"/>
      <c r="K116" s="51"/>
      <c r="L116" s="51"/>
      <c r="M116" s="51"/>
      <c r="N116" s="51"/>
      <c r="O116" s="51"/>
      <c r="P116" s="51"/>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row>
    <row r="117" spans="1:44" ht="30" customHeight="1">
      <c r="A117" s="12"/>
      <c r="B117" s="4"/>
      <c r="C117" s="4"/>
      <c r="D117" s="4"/>
      <c r="E117" s="50"/>
      <c r="F117" s="50"/>
      <c r="G117" s="50"/>
      <c r="H117" s="50"/>
      <c r="I117" s="50"/>
      <c r="J117" s="50"/>
      <c r="K117" s="51"/>
      <c r="L117" s="51"/>
      <c r="M117" s="51"/>
      <c r="N117" s="51"/>
      <c r="O117" s="51"/>
      <c r="P117" s="51"/>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row>
    <row r="118" spans="1:44" ht="30" customHeight="1">
      <c r="A118" s="12"/>
      <c r="B118" s="4"/>
      <c r="C118" s="4"/>
      <c r="D118" s="4"/>
      <c r="E118" s="50"/>
      <c r="F118" s="50"/>
      <c r="G118" s="50"/>
      <c r="H118" s="50"/>
      <c r="I118" s="50"/>
      <c r="J118" s="50"/>
      <c r="K118" s="51"/>
      <c r="L118" s="51"/>
      <c r="M118" s="51"/>
      <c r="N118" s="51"/>
      <c r="O118" s="51"/>
      <c r="P118" s="51"/>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row>
    <row r="119" spans="1:44" ht="30" customHeight="1">
      <c r="A119" s="12"/>
      <c r="B119" s="4"/>
      <c r="C119" s="4"/>
      <c r="D119" s="4"/>
      <c r="E119" s="50"/>
      <c r="F119" s="50"/>
      <c r="G119" s="50"/>
      <c r="H119" s="50"/>
      <c r="I119" s="50"/>
      <c r="J119" s="50"/>
      <c r="K119" s="51"/>
      <c r="L119" s="51"/>
      <c r="M119" s="51"/>
      <c r="N119" s="51"/>
      <c r="O119" s="51"/>
      <c r="P119" s="51"/>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row>
    <row r="120" spans="1:44" ht="30" customHeight="1">
      <c r="A120" s="12"/>
      <c r="B120" s="4"/>
      <c r="C120" s="4"/>
      <c r="D120" s="4"/>
      <c r="E120" s="50"/>
      <c r="F120" s="50"/>
      <c r="G120" s="50"/>
      <c r="H120" s="50"/>
      <c r="I120" s="50"/>
      <c r="J120" s="50"/>
      <c r="K120" s="51"/>
      <c r="L120" s="51"/>
      <c r="M120" s="51"/>
      <c r="N120" s="51"/>
      <c r="O120" s="51"/>
      <c r="P120" s="51"/>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row>
    <row r="121" spans="1:44" ht="30" customHeight="1">
      <c r="A121" s="12"/>
      <c r="B121" s="4"/>
      <c r="C121" s="4"/>
      <c r="D121" s="4"/>
      <c r="E121" s="50"/>
      <c r="F121" s="50"/>
      <c r="G121" s="50"/>
      <c r="H121" s="50"/>
      <c r="I121" s="50"/>
      <c r="J121" s="50"/>
      <c r="K121" s="51"/>
      <c r="L121" s="51"/>
      <c r="M121" s="51"/>
      <c r="N121" s="51"/>
      <c r="O121" s="51"/>
      <c r="P121" s="51"/>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row>
    <row r="122" spans="1:44" ht="30" customHeight="1">
      <c r="A122" s="12"/>
      <c r="B122" s="4"/>
      <c r="C122" s="4"/>
      <c r="D122" s="4"/>
      <c r="E122" s="50"/>
      <c r="F122" s="50"/>
      <c r="G122" s="50"/>
      <c r="H122" s="50"/>
      <c r="I122" s="50"/>
      <c r="J122" s="50"/>
      <c r="K122" s="51"/>
      <c r="L122" s="51"/>
      <c r="M122" s="51"/>
      <c r="N122" s="51"/>
      <c r="O122" s="51"/>
      <c r="P122" s="51"/>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row>
    <row r="123" spans="1:44" ht="30" customHeight="1">
      <c r="A123" s="12"/>
      <c r="B123" s="4"/>
      <c r="C123" s="4"/>
      <c r="D123" s="4"/>
      <c r="E123" s="50"/>
      <c r="F123" s="50"/>
      <c r="G123" s="50"/>
      <c r="H123" s="50"/>
      <c r="I123" s="50"/>
      <c r="J123" s="50"/>
      <c r="K123" s="51"/>
      <c r="L123" s="51"/>
      <c r="M123" s="51"/>
      <c r="N123" s="51"/>
      <c r="O123" s="51"/>
      <c r="P123" s="51"/>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row>
    <row r="124" spans="1:44" ht="30" customHeight="1">
      <c r="A124" s="12"/>
      <c r="B124" s="4"/>
      <c r="C124" s="4"/>
      <c r="D124" s="4"/>
      <c r="E124" s="50"/>
      <c r="F124" s="50"/>
      <c r="G124" s="50"/>
      <c r="H124" s="50"/>
      <c r="I124" s="50"/>
      <c r="J124" s="50"/>
      <c r="K124" s="51"/>
      <c r="L124" s="51"/>
      <c r="M124" s="51"/>
      <c r="N124" s="51"/>
      <c r="O124" s="51"/>
      <c r="P124" s="51"/>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row>
    <row r="125" spans="1:44" ht="30" customHeight="1">
      <c r="A125" s="12"/>
      <c r="B125" s="4"/>
      <c r="C125" s="4"/>
      <c r="D125" s="4"/>
      <c r="E125" s="50"/>
      <c r="F125" s="50"/>
      <c r="G125" s="50"/>
      <c r="H125" s="50"/>
      <c r="I125" s="50"/>
      <c r="J125" s="50"/>
      <c r="K125" s="51"/>
      <c r="L125" s="51"/>
      <c r="M125" s="51"/>
      <c r="N125" s="51"/>
      <c r="O125" s="51"/>
      <c r="P125" s="51"/>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row>
    <row r="126" spans="1:44" ht="30" customHeight="1">
      <c r="A126" s="12"/>
      <c r="B126" s="4"/>
      <c r="C126" s="4"/>
      <c r="D126" s="4"/>
      <c r="E126" s="50"/>
      <c r="F126" s="50"/>
      <c r="G126" s="50"/>
      <c r="H126" s="50"/>
      <c r="I126" s="50"/>
      <c r="J126" s="50"/>
      <c r="K126" s="51"/>
      <c r="L126" s="51"/>
      <c r="M126" s="51"/>
      <c r="N126" s="51"/>
      <c r="O126" s="51"/>
      <c r="P126" s="51"/>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row>
    <row r="127" spans="1:44" ht="30" customHeight="1">
      <c r="A127" s="12"/>
      <c r="B127" s="4"/>
      <c r="C127" s="4"/>
      <c r="D127" s="4"/>
      <c r="E127" s="50"/>
      <c r="F127" s="50"/>
      <c r="G127" s="50"/>
      <c r="H127" s="50"/>
      <c r="I127" s="50"/>
      <c r="J127" s="50"/>
      <c r="K127" s="51"/>
      <c r="L127" s="51"/>
      <c r="M127" s="51"/>
      <c r="N127" s="51"/>
      <c r="O127" s="51"/>
      <c r="P127" s="51"/>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row>
    <row r="128" spans="1:44" ht="30" customHeight="1">
      <c r="A128" s="12"/>
      <c r="B128" s="4"/>
      <c r="C128" s="4"/>
      <c r="D128" s="4"/>
      <c r="E128" s="50"/>
      <c r="F128" s="50"/>
      <c r="G128" s="50"/>
      <c r="H128" s="50"/>
      <c r="I128" s="50"/>
      <c r="J128" s="50"/>
      <c r="K128" s="51"/>
      <c r="L128" s="51"/>
      <c r="M128" s="51"/>
      <c r="N128" s="51"/>
      <c r="O128" s="51"/>
      <c r="P128" s="51"/>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row>
    <row r="129" spans="1:44" ht="30" customHeight="1">
      <c r="A129" s="12"/>
      <c r="B129" s="4"/>
      <c r="C129" s="4"/>
      <c r="D129" s="4"/>
      <c r="E129" s="50"/>
      <c r="F129" s="50"/>
      <c r="G129" s="50"/>
      <c r="H129" s="50"/>
      <c r="I129" s="50"/>
      <c r="J129" s="50"/>
      <c r="K129" s="51"/>
      <c r="L129" s="51"/>
      <c r="M129" s="51"/>
      <c r="N129" s="51"/>
      <c r="O129" s="51"/>
      <c r="P129" s="51"/>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row>
    <row r="130" spans="1:44" ht="30" customHeight="1">
      <c r="A130" s="12"/>
      <c r="B130" s="4"/>
      <c r="C130" s="4"/>
      <c r="D130" s="4"/>
      <c r="E130" s="50"/>
      <c r="F130" s="50"/>
      <c r="G130" s="50"/>
      <c r="H130" s="50"/>
      <c r="I130" s="50"/>
      <c r="J130" s="50"/>
      <c r="K130" s="51"/>
      <c r="L130" s="51"/>
      <c r="M130" s="51"/>
      <c r="N130" s="51"/>
      <c r="O130" s="51"/>
      <c r="P130" s="51"/>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row>
    <row r="131" spans="1:44" ht="30" customHeight="1">
      <c r="A131" s="12"/>
      <c r="B131" s="4"/>
      <c r="C131" s="4"/>
      <c r="D131" s="4"/>
      <c r="E131" s="50"/>
      <c r="F131" s="50"/>
      <c r="G131" s="50"/>
      <c r="H131" s="50"/>
      <c r="I131" s="50"/>
      <c r="J131" s="50"/>
      <c r="K131" s="51"/>
      <c r="L131" s="51"/>
      <c r="M131" s="51"/>
      <c r="N131" s="51"/>
      <c r="O131" s="51"/>
      <c r="P131" s="51"/>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row>
    <row r="132" spans="1:44" ht="30" customHeight="1">
      <c r="A132" s="12"/>
      <c r="B132" s="4"/>
      <c r="C132" s="4"/>
      <c r="D132" s="4"/>
      <c r="E132" s="50"/>
      <c r="F132" s="50"/>
      <c r="G132" s="50"/>
      <c r="H132" s="50"/>
      <c r="I132" s="50"/>
      <c r="J132" s="50"/>
      <c r="K132" s="51"/>
      <c r="L132" s="51"/>
      <c r="M132" s="51"/>
      <c r="N132" s="51"/>
      <c r="O132" s="51"/>
      <c r="P132" s="51"/>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row>
    <row r="133" spans="1:44" ht="30" customHeight="1">
      <c r="A133" s="12"/>
      <c r="B133" s="4"/>
      <c r="C133" s="4"/>
      <c r="D133" s="4"/>
      <c r="E133" s="50"/>
      <c r="F133" s="50"/>
      <c r="G133" s="50"/>
      <c r="H133" s="50"/>
      <c r="I133" s="50"/>
      <c r="J133" s="50"/>
      <c r="K133" s="51"/>
      <c r="L133" s="51"/>
      <c r="M133" s="51"/>
      <c r="N133" s="51"/>
      <c r="O133" s="51"/>
      <c r="P133" s="51"/>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row>
    <row r="134" spans="1:44" ht="30" customHeight="1">
      <c r="A134" s="12"/>
      <c r="B134" s="4"/>
      <c r="C134" s="4"/>
      <c r="D134" s="4"/>
      <c r="E134" s="50"/>
      <c r="F134" s="50"/>
      <c r="G134" s="50"/>
      <c r="H134" s="50"/>
      <c r="I134" s="50"/>
      <c r="J134" s="50"/>
      <c r="K134" s="51"/>
      <c r="L134" s="51"/>
      <c r="M134" s="51"/>
      <c r="N134" s="51"/>
      <c r="O134" s="51"/>
      <c r="P134" s="51"/>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row>
    <row r="135" spans="1:44" ht="30" customHeight="1">
      <c r="A135" s="12"/>
      <c r="B135" s="4"/>
      <c r="C135" s="4"/>
      <c r="D135" s="4"/>
      <c r="E135" s="50"/>
      <c r="F135" s="50"/>
      <c r="G135" s="50"/>
      <c r="H135" s="50"/>
      <c r="I135" s="50"/>
      <c r="J135" s="50"/>
      <c r="K135" s="51"/>
      <c r="L135" s="51"/>
      <c r="M135" s="51"/>
      <c r="N135" s="51"/>
      <c r="O135" s="51"/>
      <c r="P135" s="51"/>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row>
    <row r="136" spans="1:44" ht="30" customHeight="1">
      <c r="A136" s="12"/>
      <c r="B136" s="4"/>
      <c r="C136" s="4"/>
      <c r="D136" s="4"/>
      <c r="E136" s="50"/>
      <c r="F136" s="50"/>
      <c r="G136" s="50"/>
      <c r="H136" s="50"/>
      <c r="I136" s="50"/>
      <c r="J136" s="50"/>
      <c r="K136" s="51"/>
      <c r="L136" s="51"/>
      <c r="M136" s="51"/>
      <c r="N136" s="51"/>
      <c r="O136" s="51"/>
      <c r="P136" s="51"/>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row>
    <row r="137" spans="1:44" ht="30" customHeight="1">
      <c r="A137" s="12"/>
      <c r="B137" s="4"/>
      <c r="C137" s="4"/>
      <c r="D137" s="4"/>
      <c r="E137" s="50"/>
      <c r="F137" s="50"/>
      <c r="G137" s="50"/>
      <c r="H137" s="50"/>
      <c r="I137" s="50"/>
      <c r="J137" s="50"/>
      <c r="K137" s="51"/>
      <c r="L137" s="51"/>
      <c r="M137" s="51"/>
      <c r="N137" s="51"/>
      <c r="O137" s="51"/>
      <c r="P137" s="51"/>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row>
    <row r="138" spans="1:44" ht="30" customHeight="1">
      <c r="A138" s="12"/>
      <c r="B138" s="4"/>
      <c r="C138" s="4"/>
      <c r="D138" s="4"/>
      <c r="E138" s="50"/>
      <c r="F138" s="50"/>
      <c r="G138" s="50"/>
      <c r="H138" s="50"/>
      <c r="I138" s="50"/>
      <c r="J138" s="50"/>
      <c r="K138" s="51"/>
      <c r="L138" s="51"/>
      <c r="M138" s="51"/>
      <c r="N138" s="51"/>
      <c r="O138" s="51"/>
      <c r="P138" s="51"/>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row>
    <row r="139" spans="1:44" ht="30" customHeight="1">
      <c r="A139" s="12"/>
      <c r="B139" s="4"/>
      <c r="C139" s="4"/>
      <c r="D139" s="4"/>
      <c r="E139" s="50"/>
      <c r="F139" s="50"/>
      <c r="G139" s="50"/>
      <c r="H139" s="50"/>
      <c r="I139" s="50"/>
      <c r="J139" s="50"/>
      <c r="K139" s="51"/>
      <c r="L139" s="51"/>
      <c r="M139" s="51"/>
      <c r="N139" s="51"/>
      <c r="O139" s="51"/>
      <c r="P139" s="51"/>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row>
    <row r="140" spans="1:44" ht="30" customHeight="1">
      <c r="A140" s="12"/>
      <c r="B140" s="4"/>
      <c r="C140" s="4"/>
      <c r="D140" s="4"/>
      <c r="E140" s="50"/>
      <c r="F140" s="50"/>
      <c r="G140" s="50"/>
      <c r="H140" s="50"/>
      <c r="I140" s="50"/>
      <c r="J140" s="50"/>
      <c r="K140" s="51"/>
      <c r="L140" s="51"/>
      <c r="M140" s="51"/>
      <c r="N140" s="51"/>
      <c r="O140" s="51"/>
      <c r="P140" s="51"/>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row>
    <row r="141" spans="1:44" ht="30" customHeight="1">
      <c r="A141" s="12"/>
      <c r="B141" s="4"/>
      <c r="C141" s="4"/>
      <c r="D141" s="4"/>
      <c r="E141" s="50"/>
      <c r="F141" s="50"/>
      <c r="G141" s="50"/>
      <c r="H141" s="50"/>
      <c r="I141" s="50"/>
      <c r="J141" s="50"/>
      <c r="K141" s="51"/>
      <c r="L141" s="51"/>
      <c r="M141" s="51"/>
      <c r="N141" s="51"/>
      <c r="O141" s="51"/>
      <c r="P141" s="51"/>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row>
    <row r="142" spans="1:44" ht="30" customHeight="1">
      <c r="A142" s="12"/>
      <c r="B142" s="4"/>
      <c r="C142" s="4"/>
      <c r="D142" s="4"/>
      <c r="E142" s="50"/>
      <c r="F142" s="50"/>
      <c r="G142" s="50"/>
      <c r="H142" s="50"/>
      <c r="I142" s="50"/>
      <c r="J142" s="50"/>
      <c r="K142" s="51"/>
      <c r="L142" s="51"/>
      <c r="M142" s="51"/>
      <c r="N142" s="51"/>
      <c r="O142" s="51"/>
      <c r="P142" s="51"/>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row>
    <row r="143" spans="1:44" ht="30" customHeight="1">
      <c r="A143" s="12"/>
      <c r="B143" s="4"/>
      <c r="C143" s="4"/>
      <c r="D143" s="4"/>
      <c r="E143" s="50"/>
      <c r="F143" s="50"/>
      <c r="G143" s="50"/>
      <c r="H143" s="50"/>
      <c r="I143" s="50"/>
      <c r="J143" s="50"/>
      <c r="K143" s="51"/>
      <c r="L143" s="51"/>
      <c r="M143" s="51"/>
      <c r="N143" s="51"/>
      <c r="O143" s="51"/>
      <c r="P143" s="51"/>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row>
    <row r="144" spans="1:44" ht="30" customHeight="1">
      <c r="A144" s="12"/>
      <c r="B144" s="4"/>
      <c r="C144" s="4"/>
      <c r="D144" s="4"/>
      <c r="K144" s="64"/>
      <c r="L144" s="64"/>
      <c r="M144" s="64"/>
      <c r="N144" s="64"/>
      <c r="O144" s="64"/>
      <c r="P144" s="64"/>
      <c r="AB144" s="4"/>
      <c r="AC144" s="4"/>
      <c r="AD144" s="4"/>
      <c r="AE144" s="4"/>
      <c r="AF144" s="4"/>
      <c r="AG144" s="4"/>
      <c r="AH144" s="4"/>
      <c r="AI144" s="4"/>
      <c r="AJ144" s="4"/>
      <c r="AK144" s="4"/>
      <c r="AL144" s="4"/>
      <c r="AM144" s="4"/>
      <c r="AN144" s="4"/>
      <c r="AO144" s="4"/>
      <c r="AP144" s="4"/>
      <c r="AQ144" s="4"/>
      <c r="AR144" s="4"/>
    </row>
    <row r="145" spans="1:45" ht="30" customHeight="1">
      <c r="A145" s="12"/>
      <c r="B145" s="4"/>
      <c r="C145" s="4"/>
      <c r="D145" s="4"/>
      <c r="AB145" s="4"/>
      <c r="AC145" s="4"/>
      <c r="AD145" s="4"/>
      <c r="AE145" s="4"/>
      <c r="AF145" s="4"/>
      <c r="AG145" s="4"/>
      <c r="AH145" s="4"/>
      <c r="AI145" s="4"/>
      <c r="AJ145" s="4"/>
      <c r="AK145" s="4"/>
      <c r="AL145" s="4"/>
      <c r="AM145" s="4"/>
      <c r="AN145" s="4"/>
      <c r="AO145" s="4"/>
      <c r="AP145" s="4"/>
      <c r="AQ145" s="4"/>
      <c r="AR145" s="4"/>
    </row>
    <row r="146" spans="1:45" ht="30" customHeight="1">
      <c r="A146" s="12"/>
      <c r="B146" s="4"/>
      <c r="C146" s="4"/>
      <c r="D146" s="4"/>
      <c r="AB146" s="4"/>
      <c r="AC146" s="4"/>
      <c r="AD146" s="4"/>
      <c r="AE146" s="4"/>
      <c r="AF146" s="4"/>
      <c r="AG146" s="4"/>
      <c r="AH146" s="4"/>
      <c r="AI146" s="4"/>
      <c r="AJ146" s="4"/>
      <c r="AK146" s="4"/>
      <c r="AL146" s="4"/>
      <c r="AM146" s="4"/>
      <c r="AN146" s="4"/>
      <c r="AO146" s="4"/>
      <c r="AP146" s="4"/>
      <c r="AQ146" s="4"/>
      <c r="AR146" s="4"/>
    </row>
    <row r="147" spans="1:45" ht="30" customHeight="1">
      <c r="A147" s="12"/>
      <c r="B147" s="4"/>
      <c r="C147" s="4"/>
      <c r="D147" s="4"/>
      <c r="AB147" s="4"/>
      <c r="AC147" s="4"/>
      <c r="AD147" s="4"/>
      <c r="AE147" s="4"/>
      <c r="AF147" s="4"/>
      <c r="AG147" s="4"/>
      <c r="AH147" s="4"/>
      <c r="AI147" s="4"/>
      <c r="AJ147" s="4"/>
      <c r="AK147" s="4"/>
      <c r="AL147" s="4"/>
      <c r="AM147" s="4"/>
      <c r="AN147" s="4"/>
      <c r="AO147" s="4"/>
      <c r="AP147" s="4"/>
      <c r="AQ147" s="4"/>
      <c r="AR147" s="4"/>
    </row>
    <row r="148" spans="1:45" ht="30" customHeight="1">
      <c r="A148" s="12"/>
      <c r="B148" s="4"/>
      <c r="C148" s="4"/>
      <c r="D148" s="4"/>
      <c r="AB148" s="4"/>
      <c r="AC148" s="4"/>
      <c r="AD148" s="4"/>
      <c r="AE148" s="4"/>
      <c r="AF148" s="4"/>
      <c r="AG148" s="4"/>
      <c r="AH148" s="4"/>
      <c r="AI148" s="4"/>
      <c r="AJ148" s="4"/>
      <c r="AK148" s="4"/>
      <c r="AL148" s="4"/>
      <c r="AM148" s="4"/>
      <c r="AN148" s="4"/>
      <c r="AO148" s="4"/>
      <c r="AP148" s="4"/>
      <c r="AQ148" s="4"/>
      <c r="AR148" s="4"/>
    </row>
    <row r="149" spans="1:45" ht="30" customHeight="1">
      <c r="A149" s="12"/>
      <c r="B149" s="4"/>
      <c r="C149" s="4"/>
      <c r="D149" s="4"/>
      <c r="AB149" s="4"/>
      <c r="AC149" s="4"/>
      <c r="AD149" s="4"/>
      <c r="AE149" s="4"/>
      <c r="AF149" s="4"/>
      <c r="AG149" s="4"/>
      <c r="AH149" s="4"/>
      <c r="AI149" s="4"/>
      <c r="AJ149" s="4"/>
      <c r="AK149" s="4"/>
      <c r="AL149" s="4"/>
      <c r="AM149" s="4"/>
      <c r="AN149" s="4"/>
      <c r="AO149" s="4"/>
      <c r="AP149" s="4"/>
      <c r="AQ149" s="4"/>
      <c r="AR149" s="4"/>
    </row>
    <row r="150" spans="1:45" ht="30" customHeight="1">
      <c r="A150" s="12"/>
      <c r="B150" s="4"/>
      <c r="C150" s="4"/>
      <c r="D150" s="4"/>
      <c r="AB150" s="4"/>
      <c r="AC150" s="4"/>
      <c r="AD150" s="4"/>
      <c r="AE150" s="4"/>
      <c r="AF150" s="4"/>
      <c r="AG150" s="4"/>
      <c r="AH150" s="4"/>
      <c r="AI150" s="4"/>
      <c r="AJ150" s="4"/>
      <c r="AK150" s="4"/>
      <c r="AL150" s="4"/>
      <c r="AM150" s="4"/>
      <c r="AN150" s="4"/>
      <c r="AO150" s="4"/>
      <c r="AP150" s="4"/>
      <c r="AQ150" s="4"/>
      <c r="AR150" s="4"/>
    </row>
    <row r="151" spans="1:45" ht="30" customHeight="1">
      <c r="A151" s="12"/>
      <c r="B151" s="4"/>
      <c r="C151" s="4"/>
      <c r="D151" s="4"/>
      <c r="AB151" s="4"/>
      <c r="AC151" s="4"/>
      <c r="AD151" s="4"/>
      <c r="AE151" s="4"/>
      <c r="AF151" s="4"/>
      <c r="AG151" s="4"/>
      <c r="AH151" s="4"/>
      <c r="AI151" s="4"/>
      <c r="AJ151" s="4"/>
      <c r="AK151" s="4"/>
      <c r="AL151" s="4"/>
      <c r="AM151" s="4"/>
      <c r="AN151" s="4"/>
      <c r="AO151" s="4"/>
      <c r="AP151" s="4"/>
      <c r="AQ151" s="4"/>
      <c r="AR151" s="4"/>
    </row>
    <row r="152" spans="1:45" ht="30" customHeight="1">
      <c r="A152" s="12"/>
      <c r="B152" s="4"/>
      <c r="C152" s="4"/>
      <c r="D152" s="4"/>
      <c r="AB152" s="4"/>
      <c r="AC152" s="4"/>
      <c r="AD152" s="4"/>
      <c r="AE152" s="4"/>
      <c r="AF152" s="4"/>
      <c r="AG152" s="4"/>
      <c r="AH152" s="4"/>
      <c r="AI152" s="4"/>
      <c r="AJ152" s="4"/>
      <c r="AK152" s="4"/>
      <c r="AL152" s="4"/>
      <c r="AM152" s="4"/>
      <c r="AN152" s="4"/>
      <c r="AO152" s="4"/>
      <c r="AP152" s="4"/>
      <c r="AQ152" s="4"/>
      <c r="AR152" s="4"/>
    </row>
    <row r="153" spans="1:45" ht="30" customHeight="1">
      <c r="A153" s="12"/>
      <c r="B153" s="4"/>
      <c r="C153" s="4"/>
      <c r="D153" s="4"/>
      <c r="AB153" s="4"/>
      <c r="AC153" s="4"/>
      <c r="AD153" s="4"/>
      <c r="AE153" s="4"/>
      <c r="AF153" s="4"/>
      <c r="AG153" s="4"/>
      <c r="AH153" s="4"/>
      <c r="AI153" s="4"/>
      <c r="AJ153" s="4"/>
      <c r="AK153" s="4"/>
      <c r="AL153" s="4"/>
      <c r="AM153" s="4"/>
      <c r="AN153" s="4"/>
      <c r="AO153" s="4"/>
      <c r="AP153" s="4"/>
      <c r="AQ153" s="4"/>
      <c r="AR153" s="4"/>
    </row>
    <row r="154" spans="1:45" ht="30" customHeight="1">
      <c r="A154" s="12"/>
      <c r="B154" s="4"/>
      <c r="C154" s="4"/>
      <c r="D154" s="4"/>
      <c r="AB154" s="4"/>
      <c r="AC154" s="4"/>
      <c r="AD154" s="4"/>
      <c r="AE154" s="4"/>
      <c r="AF154" s="4"/>
      <c r="AG154" s="4"/>
      <c r="AH154" s="4"/>
      <c r="AI154" s="4"/>
      <c r="AJ154" s="4"/>
      <c r="AK154" s="4"/>
      <c r="AL154" s="4"/>
      <c r="AM154" s="4"/>
      <c r="AN154" s="4"/>
      <c r="AO154" s="4"/>
      <c r="AP154" s="4"/>
      <c r="AQ154" s="4"/>
      <c r="AR154" s="4"/>
    </row>
    <row r="155" spans="1:45" ht="30" customHeight="1">
      <c r="A155" s="12"/>
      <c r="B155" s="4"/>
      <c r="C155" s="4"/>
      <c r="D155" s="4"/>
      <c r="AB155" s="4"/>
      <c r="AC155" s="4"/>
      <c r="AD155" s="4"/>
      <c r="AE155" s="4"/>
      <c r="AF155" s="4"/>
      <c r="AG155" s="4"/>
      <c r="AH155" s="4"/>
      <c r="AI155" s="4"/>
      <c r="AJ155" s="4"/>
      <c r="AK155" s="4"/>
      <c r="AL155" s="4"/>
      <c r="AM155" s="4"/>
      <c r="AN155" s="4"/>
      <c r="AO155" s="4"/>
      <c r="AP155" s="4"/>
      <c r="AQ155" s="4"/>
      <c r="AR155" s="4"/>
    </row>
    <row r="156" spans="1:45" ht="30" customHeight="1">
      <c r="A156" s="12"/>
      <c r="B156" s="4"/>
      <c r="C156" s="4"/>
      <c r="D156" s="4"/>
      <c r="AB156" s="4"/>
      <c r="AC156" s="4"/>
      <c r="AD156" s="4"/>
      <c r="AE156" s="4"/>
      <c r="AF156" s="4"/>
      <c r="AG156" s="4"/>
      <c r="AH156" s="4"/>
      <c r="AI156" s="4"/>
      <c r="AJ156" s="4"/>
      <c r="AK156" s="4"/>
      <c r="AL156" s="4"/>
      <c r="AM156" s="4"/>
      <c r="AN156" s="4"/>
      <c r="AO156" s="4"/>
      <c r="AP156" s="4"/>
      <c r="AQ156" s="4"/>
      <c r="AR156" s="4"/>
    </row>
    <row r="157" spans="1:45" s="3" customFormat="1" ht="30" customHeight="1">
      <c r="A157" s="12"/>
      <c r="B157" s="4"/>
      <c r="C157" s="4"/>
      <c r="D157" s="4"/>
      <c r="E157" s="5"/>
      <c r="F157" s="5"/>
      <c r="G157" s="5"/>
      <c r="H157" s="5"/>
      <c r="I157" s="5"/>
      <c r="J157" s="5"/>
      <c r="K157" s="5"/>
      <c r="L157" s="5"/>
      <c r="M157" s="5"/>
      <c r="N157" s="5"/>
      <c r="O157" s="5"/>
      <c r="P157" s="5"/>
      <c r="Q157" s="5"/>
      <c r="R157" s="5"/>
      <c r="S157" s="5"/>
      <c r="T157" s="5"/>
      <c r="U157" s="5"/>
      <c r="V157" s="5"/>
      <c r="W157" s="5"/>
      <c r="X157" s="5"/>
      <c r="Y157" s="5"/>
      <c r="Z157" s="5"/>
      <c r="AA157" s="5"/>
      <c r="AB157" s="4"/>
      <c r="AC157" s="4"/>
      <c r="AD157" s="4"/>
      <c r="AE157" s="4"/>
      <c r="AF157" s="4"/>
      <c r="AG157" s="4"/>
      <c r="AH157" s="4"/>
      <c r="AI157" s="4"/>
      <c r="AJ157" s="4"/>
      <c r="AK157" s="4"/>
      <c r="AL157" s="4"/>
      <c r="AM157" s="4"/>
      <c r="AN157" s="4"/>
      <c r="AO157" s="4"/>
      <c r="AP157" s="4"/>
      <c r="AQ157" s="4"/>
      <c r="AR157" s="4"/>
      <c r="AS157" s="5"/>
    </row>
    <row r="158" spans="1:45" s="3" customFormat="1" ht="30" customHeight="1">
      <c r="A158" s="12"/>
      <c r="B158" s="4"/>
      <c r="C158" s="4"/>
      <c r="D158" s="4"/>
      <c r="E158" s="5"/>
      <c r="F158" s="5"/>
      <c r="G158" s="5"/>
      <c r="H158" s="5"/>
      <c r="I158" s="5"/>
      <c r="J158" s="5"/>
      <c r="K158" s="5"/>
      <c r="L158" s="5"/>
      <c r="M158" s="5"/>
      <c r="N158" s="5"/>
      <c r="O158" s="5"/>
      <c r="P158" s="5"/>
      <c r="Q158" s="5"/>
      <c r="R158" s="5"/>
      <c r="S158" s="5"/>
      <c r="T158" s="5"/>
      <c r="U158" s="5"/>
      <c r="V158" s="5"/>
      <c r="W158" s="5"/>
      <c r="X158" s="5"/>
      <c r="Y158" s="5"/>
      <c r="Z158" s="5"/>
      <c r="AA158" s="5"/>
      <c r="AB158" s="4"/>
      <c r="AC158" s="4"/>
      <c r="AD158" s="4"/>
      <c r="AE158" s="4"/>
      <c r="AF158" s="4"/>
      <c r="AG158" s="4"/>
      <c r="AH158" s="4"/>
      <c r="AI158" s="4"/>
      <c r="AJ158" s="4"/>
      <c r="AK158" s="4"/>
      <c r="AL158" s="4"/>
      <c r="AM158" s="4"/>
      <c r="AN158" s="4"/>
      <c r="AO158" s="4"/>
      <c r="AP158" s="4"/>
      <c r="AQ158" s="4"/>
      <c r="AR158" s="4"/>
      <c r="AS158" s="5"/>
    </row>
    <row r="159" spans="1:45" s="3" customFormat="1" ht="30" customHeight="1">
      <c r="A159" s="12"/>
      <c r="B159" s="4"/>
      <c r="C159" s="4"/>
      <c r="D159" s="4"/>
      <c r="E159" s="5"/>
      <c r="F159" s="5"/>
      <c r="G159" s="5"/>
      <c r="H159" s="5"/>
      <c r="I159" s="5"/>
      <c r="J159" s="5"/>
      <c r="K159" s="5"/>
      <c r="L159" s="5"/>
      <c r="M159" s="5"/>
      <c r="N159" s="5"/>
      <c r="O159" s="5"/>
      <c r="P159" s="5"/>
      <c r="Q159" s="5"/>
      <c r="R159" s="5"/>
      <c r="S159" s="5"/>
      <c r="T159" s="5"/>
      <c r="U159" s="5"/>
      <c r="V159" s="5"/>
      <c r="W159" s="5"/>
      <c r="X159" s="5"/>
      <c r="Y159" s="5"/>
      <c r="Z159" s="5"/>
      <c r="AA159" s="5"/>
      <c r="AB159" s="5"/>
      <c r="AC159" s="4"/>
      <c r="AD159" s="4"/>
      <c r="AE159" s="4"/>
      <c r="AF159" s="4"/>
      <c r="AG159" s="4"/>
      <c r="AH159" s="4"/>
      <c r="AI159" s="4"/>
      <c r="AJ159" s="4"/>
      <c r="AK159" s="4"/>
      <c r="AL159" s="4"/>
      <c r="AM159" s="4"/>
      <c r="AN159" s="4"/>
      <c r="AO159" s="4"/>
      <c r="AP159" s="4"/>
      <c r="AQ159" s="4"/>
      <c r="AR159" s="4"/>
      <c r="AS159" s="5"/>
    </row>
    <row r="160" spans="1:45" s="3" customFormat="1" ht="30" customHeight="1">
      <c r="B160" s="4"/>
      <c r="C160" s="4"/>
      <c r="D160" s="4"/>
      <c r="E160" s="5"/>
      <c r="F160" s="5"/>
      <c r="G160" s="5"/>
      <c r="H160" s="5"/>
      <c r="I160" s="5"/>
      <c r="J160" s="5"/>
      <c r="K160" s="5"/>
      <c r="L160" s="5"/>
      <c r="M160" s="5"/>
      <c r="N160" s="5"/>
      <c r="O160" s="5"/>
      <c r="P160" s="5"/>
      <c r="Q160" s="5"/>
      <c r="R160" s="5"/>
      <c r="S160" s="5"/>
      <c r="T160" s="5"/>
      <c r="U160" s="5"/>
      <c r="V160" s="5"/>
      <c r="W160" s="5"/>
      <c r="X160" s="5"/>
      <c r="Y160" s="5"/>
      <c r="Z160" s="5"/>
      <c r="AA160" s="5"/>
      <c r="AB160" s="5"/>
      <c r="AC160" s="4"/>
      <c r="AD160" s="4"/>
      <c r="AE160" s="4"/>
      <c r="AF160" s="4"/>
      <c r="AG160" s="4"/>
      <c r="AH160" s="4"/>
      <c r="AI160" s="4"/>
      <c r="AJ160" s="4"/>
      <c r="AK160" s="4"/>
      <c r="AL160" s="4"/>
      <c r="AM160" s="4"/>
      <c r="AN160" s="4"/>
      <c r="AO160" s="4"/>
      <c r="AP160" s="4"/>
      <c r="AQ160" s="4"/>
      <c r="AR160" s="4"/>
      <c r="AS160" s="5"/>
    </row>
    <row r="161" spans="2:45" s="3" customFormat="1" ht="30" customHeight="1">
      <c r="B161" s="4"/>
      <c r="C161" s="4"/>
      <c r="D161" s="4"/>
      <c r="E161" s="5"/>
      <c r="F161" s="5"/>
      <c r="G161" s="5"/>
      <c r="H161" s="5"/>
      <c r="I161" s="5"/>
      <c r="J161" s="5"/>
      <c r="K161" s="5"/>
      <c r="L161" s="5"/>
      <c r="M161" s="5"/>
      <c r="N161" s="5"/>
      <c r="O161" s="5"/>
      <c r="P161" s="5"/>
      <c r="Q161" s="5"/>
      <c r="R161" s="5"/>
      <c r="S161" s="5"/>
      <c r="T161" s="5"/>
      <c r="U161" s="5"/>
      <c r="V161" s="5"/>
      <c r="W161" s="5"/>
      <c r="X161" s="5"/>
      <c r="Y161" s="5"/>
      <c r="Z161" s="5"/>
      <c r="AA161" s="5"/>
      <c r="AB161" s="5"/>
      <c r="AC161" s="4"/>
      <c r="AD161" s="4"/>
      <c r="AE161" s="4"/>
      <c r="AF161" s="4"/>
      <c r="AG161" s="4"/>
      <c r="AH161" s="4"/>
      <c r="AI161" s="4"/>
      <c r="AJ161" s="4"/>
      <c r="AK161" s="4"/>
      <c r="AL161" s="4"/>
      <c r="AM161" s="4"/>
      <c r="AN161" s="4"/>
      <c r="AO161" s="4"/>
      <c r="AP161" s="4"/>
      <c r="AQ161" s="4"/>
      <c r="AR161" s="4"/>
      <c r="AS161" s="5"/>
    </row>
    <row r="162" spans="2:45" s="3" customFormat="1" ht="30" hidden="1" customHeight="1">
      <c r="B162" s="4"/>
      <c r="C162" s="4"/>
      <c r="D162" s="4"/>
      <c r="E162" s="5"/>
      <c r="F162" s="5"/>
      <c r="G162" s="5"/>
      <c r="H162" s="5"/>
      <c r="I162" s="5"/>
      <c r="J162" s="5"/>
      <c r="K162" s="5"/>
      <c r="L162" s="5"/>
      <c r="M162" s="5"/>
      <c r="N162" s="5"/>
      <c r="O162" s="5"/>
      <c r="P162" s="5"/>
      <c r="Q162" s="5"/>
      <c r="R162" s="5"/>
      <c r="S162" s="5"/>
      <c r="T162" s="5"/>
      <c r="U162" s="5"/>
      <c r="V162" s="5"/>
      <c r="W162" s="5"/>
      <c r="X162" s="5"/>
      <c r="Y162" s="5"/>
      <c r="Z162" s="5"/>
      <c r="AA162" s="5"/>
      <c r="AB162" s="5"/>
      <c r="AC162" s="4"/>
      <c r="AD162" s="4"/>
      <c r="AE162" s="4"/>
      <c r="AF162" s="4"/>
      <c r="AG162" s="4"/>
      <c r="AH162" s="4"/>
      <c r="AI162" s="4"/>
      <c r="AJ162" s="4"/>
      <c r="AK162" s="4"/>
      <c r="AL162" s="4"/>
      <c r="AM162" s="4"/>
      <c r="AN162" s="4"/>
      <c r="AO162" s="4"/>
      <c r="AP162" s="4"/>
      <c r="AQ162" s="4"/>
      <c r="AR162" s="4"/>
      <c r="AS162" s="5"/>
    </row>
    <row r="163" spans="2:45" s="3" customFormat="1" ht="30" hidden="1" customHeight="1">
      <c r="B163" s="4"/>
      <c r="C163" s="4"/>
      <c r="D163" s="4"/>
      <c r="E163" s="5"/>
      <c r="F163" s="5"/>
      <c r="G163" s="5"/>
      <c r="H163" s="5"/>
      <c r="I163" s="5"/>
      <c r="J163" s="5"/>
      <c r="K163" s="5"/>
      <c r="L163" s="5"/>
      <c r="M163" s="5"/>
      <c r="N163" s="5"/>
      <c r="O163" s="5"/>
      <c r="P163" s="5"/>
      <c r="Q163" s="5"/>
      <c r="R163" s="5"/>
      <c r="S163" s="5"/>
      <c r="T163" s="5"/>
      <c r="U163" s="5"/>
      <c r="V163" s="5"/>
      <c r="W163" s="5"/>
      <c r="X163" s="5"/>
      <c r="Y163" s="5"/>
      <c r="Z163" s="5"/>
      <c r="AA163" s="5"/>
      <c r="AB163" s="5"/>
      <c r="AC163" s="4"/>
      <c r="AD163" s="4"/>
      <c r="AE163" s="4"/>
      <c r="AF163" s="4"/>
      <c r="AG163" s="4"/>
      <c r="AH163" s="4"/>
      <c r="AI163" s="4"/>
      <c r="AJ163" s="4"/>
      <c r="AK163" s="4"/>
      <c r="AL163" s="4"/>
      <c r="AM163" s="4"/>
      <c r="AN163" s="4"/>
      <c r="AO163" s="4"/>
      <c r="AP163" s="4"/>
      <c r="AQ163" s="4"/>
      <c r="AR163" s="4"/>
      <c r="AS163" s="5"/>
    </row>
    <row r="164" spans="2:45" ht="0" hidden="1" customHeight="1">
      <c r="AC164" s="4"/>
      <c r="AD164" s="4"/>
      <c r="AE164" s="4"/>
      <c r="AF164" s="4"/>
      <c r="AG164" s="4"/>
    </row>
    <row r="165" spans="2:45" ht="0" hidden="1" customHeight="1">
      <c r="AC165" s="4"/>
      <c r="AD165" s="4"/>
      <c r="AE165" s="4"/>
      <c r="AF165" s="4"/>
      <c r="AG165" s="4"/>
    </row>
    <row r="166" spans="2:45" ht="0" hidden="1" customHeight="1">
      <c r="AC166" s="4"/>
      <c r="AD166" s="4"/>
      <c r="AE166" s="4"/>
      <c r="AF166" s="4"/>
      <c r="AG166" s="4"/>
    </row>
    <row r="167" spans="2:45" ht="0" hidden="1" customHeight="1">
      <c r="AC167" s="4"/>
      <c r="AD167" s="4"/>
      <c r="AE167" s="4"/>
    </row>
    <row r="168" spans="2:45" ht="0" hidden="1" customHeight="1">
      <c r="AC168" s="4"/>
      <c r="AD168" s="4"/>
      <c r="AE168" s="4"/>
    </row>
    <row r="169" spans="2:45" ht="0" hidden="1" customHeight="1">
      <c r="AD169" s="4"/>
      <c r="AE169" s="4"/>
    </row>
    <row r="170" spans="2:45" ht="0" hidden="1" customHeight="1">
      <c r="AE170" s="4"/>
    </row>
  </sheetData>
  <mergeCells count="21">
    <mergeCell ref="E26:J26"/>
    <mergeCell ref="E27:J27"/>
    <mergeCell ref="E17:J17"/>
    <mergeCell ref="K2:W5"/>
    <mergeCell ref="E36:J36"/>
    <mergeCell ref="E12:J12"/>
    <mergeCell ref="E22:J22"/>
    <mergeCell ref="E15:J15"/>
    <mergeCell ref="E16:J16"/>
    <mergeCell ref="E13:J13"/>
    <mergeCell ref="E21:J21"/>
    <mergeCell ref="E23:J23"/>
    <mergeCell ref="E39:J39"/>
    <mergeCell ref="E28:J28"/>
    <mergeCell ref="E29:J29"/>
    <mergeCell ref="E30:J30"/>
    <mergeCell ref="E31:J31"/>
    <mergeCell ref="E32:J32"/>
    <mergeCell ref="E33:J33"/>
    <mergeCell ref="E34:J34"/>
    <mergeCell ref="E35:J35"/>
  </mergeCells>
  <conditionalFormatting sqref="K16:L16 N16">
    <cfRule type="colorScale" priority="1938">
      <colorScale>
        <cfvo type="min"/>
        <cfvo type="max"/>
        <color rgb="FFD9FBE2"/>
        <color rgb="FF00C556"/>
      </colorScale>
    </cfRule>
    <cfRule type="colorScale" priority="1939">
      <colorScale>
        <cfvo type="min"/>
        <cfvo type="max"/>
        <color rgb="FFFCFCFF"/>
        <color rgb="FF63BE7B"/>
      </colorScale>
    </cfRule>
    <cfRule type="colorScale" priority="1944">
      <colorScale>
        <cfvo type="min"/>
        <cfvo type="max"/>
        <color rgb="FFD9FBE2"/>
        <color rgb="FF00C556"/>
      </colorScale>
    </cfRule>
  </conditionalFormatting>
  <conditionalFormatting sqref="K16:N16 K17:AA17 X23:AB39 U27:W27 K27:T28 U28:V28 W28:W36 K37:W38 U39:W39">
    <cfRule type="cellIs" dxfId="157" priority="84" operator="equal">
      <formula>0</formula>
    </cfRule>
  </conditionalFormatting>
  <conditionalFormatting sqref="K39:T39">
    <cfRule type="colorScale" priority="1">
      <colorScale>
        <cfvo type="min"/>
        <cfvo type="max"/>
        <color rgb="FFD9FBE2"/>
        <color rgb="FF43AF43"/>
      </colorScale>
    </cfRule>
    <cfRule type="colorScale" priority="2">
      <colorScale>
        <cfvo type="min"/>
        <cfvo type="max"/>
        <color rgb="FFFCFCFF"/>
        <color rgb="FF43AF43"/>
      </colorScale>
    </cfRule>
    <cfRule type="colorScale" priority="3">
      <colorScale>
        <cfvo type="min"/>
        <cfvo type="max"/>
        <color rgb="FFD9FBE2"/>
        <color rgb="FF43AF43"/>
      </colorScale>
    </cfRule>
    <cfRule type="colorScale" priority="4">
      <colorScale>
        <cfvo type="min"/>
        <cfvo type="max"/>
        <color rgb="FFFCFCFF"/>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fRule type="cellIs" dxfId="156" priority="7" operator="equal">
      <formula>0</formula>
    </cfRule>
  </conditionalFormatting>
  <conditionalFormatting sqref="K29:V36">
    <cfRule type="cellIs" dxfId="155" priority="15" operator="equal">
      <formula>0</formula>
    </cfRule>
  </conditionalFormatting>
  <conditionalFormatting sqref="K23:W26">
    <cfRule type="cellIs" dxfId="154" priority="38" operator="equal">
      <formula>0</formula>
    </cfRule>
  </conditionalFormatting>
  <conditionalFormatting sqref="K13:AA15">
    <cfRule type="cellIs" dxfId="153" priority="18" operator="equal">
      <formula>0</formula>
    </cfRule>
  </conditionalFormatting>
  <conditionalFormatting sqref="K21:AA21">
    <cfRule type="cellIs" dxfId="152" priority="47" operator="equal">
      <formula>0</formula>
    </cfRule>
  </conditionalFormatting>
  <conditionalFormatting sqref="M16">
    <cfRule type="colorScale" priority="1669">
      <colorScale>
        <cfvo type="min"/>
        <cfvo type="max"/>
        <color rgb="FFD9FBE2"/>
        <color rgb="FF00C556"/>
      </colorScale>
    </cfRule>
    <cfRule type="colorScale" priority="1670">
      <colorScale>
        <cfvo type="min"/>
        <cfvo type="max"/>
        <color rgb="FFFCFCFF"/>
        <color rgb="FF63BE7B"/>
      </colorScale>
    </cfRule>
    <cfRule type="colorScale" priority="1673">
      <colorScale>
        <cfvo type="min"/>
        <cfvo type="max"/>
        <color rgb="FFD9FBE2"/>
        <color rgb="FF00C556"/>
      </colorScale>
    </cfRule>
  </conditionalFormatting>
  <conditionalFormatting sqref="O16:AA16">
    <cfRule type="colorScale" priority="8">
      <colorScale>
        <cfvo type="min"/>
        <cfvo type="max"/>
        <color rgb="FFD9FBE2"/>
        <color rgb="FF43AF43"/>
      </colorScale>
    </cfRule>
    <cfRule type="colorScale" priority="9">
      <colorScale>
        <cfvo type="min"/>
        <cfvo type="max"/>
        <color rgb="FFFCFCFF"/>
        <color rgb="FF43AF43"/>
      </colorScale>
    </cfRule>
    <cfRule type="colorScale" priority="10">
      <colorScale>
        <cfvo type="min"/>
        <cfvo type="max"/>
        <color rgb="FFD9FBE2"/>
        <color rgb="FF43AF43"/>
      </colorScale>
    </cfRule>
    <cfRule type="colorScale" priority="11">
      <colorScale>
        <cfvo type="min"/>
        <cfvo type="max"/>
        <color rgb="FFFCFCFF"/>
        <color rgb="FF43AF43"/>
      </colorScale>
    </cfRule>
    <cfRule type="colorScale" priority="12">
      <colorScale>
        <cfvo type="min"/>
        <cfvo type="max"/>
        <color rgb="FFD9FBE2"/>
        <color rgb="FF43AF43"/>
      </colorScale>
    </cfRule>
    <cfRule type="colorScale" priority="13">
      <colorScale>
        <cfvo type="min"/>
        <cfvo type="max"/>
        <color rgb="FFFCFCFF"/>
        <color rgb="FF43AF43"/>
      </colorScale>
    </cfRule>
    <cfRule type="cellIs" dxfId="151" priority="14" operator="equal">
      <formula>0</formula>
    </cfRule>
  </conditionalFormatting>
  <conditionalFormatting sqref="U39:V39">
    <cfRule type="colorScale" priority="1928">
      <colorScale>
        <cfvo type="min"/>
        <cfvo type="max"/>
        <color rgb="FFD9FBE2"/>
        <color rgb="FF00C556"/>
      </colorScale>
    </cfRule>
    <cfRule type="colorScale" priority="1929">
      <colorScale>
        <cfvo type="min"/>
        <cfvo type="max"/>
        <color rgb="FFFCFCFF"/>
        <color rgb="FF63BE7B"/>
      </colorScale>
    </cfRule>
  </conditionalFormatting>
  <conditionalFormatting sqref="U39:AA39">
    <cfRule type="colorScale" priority="2259">
      <colorScale>
        <cfvo type="min"/>
        <cfvo type="max"/>
        <color rgb="FFD9FBE2"/>
        <color rgb="FF00C556"/>
      </colorScale>
    </cfRule>
    <cfRule type="colorScale" priority="2260">
      <colorScale>
        <cfvo type="min"/>
        <cfvo type="max"/>
        <color rgb="FFFCFCFF"/>
        <color rgb="FF63BE7B"/>
      </colorScale>
    </cfRule>
  </conditionalFormatting>
  <conditionalFormatting sqref="AB27">
    <cfRule type="cellIs" dxfId="150" priority="81" operator="equal">
      <formula>0</formula>
    </cfRule>
  </conditionalFormatting>
  <conditionalFormatting sqref="AC23:AD23">
    <cfRule type="cellIs" dxfId="149" priority="19" operator="equal">
      <formula>0</formula>
    </cfRule>
  </conditionalFormatting>
  <hyperlinks>
    <hyperlink ref="A9" location="WACC!A1" display="WACC" xr:uid="{3E527DD0-39A2-4161-9576-F53A2127831B}"/>
    <hyperlink ref="A8" location="Dashboard!A1" display="Dashboard" xr:uid="{D6BCFD95-C412-4F74-951E-5A68C1661DEA}"/>
    <hyperlink ref="A19" location="Processos!A1" display="Processos" xr:uid="{B48B8D1D-4D49-4084-8552-6B54A4946A54}"/>
    <hyperlink ref="A20" location="Gráficos!A1" display="Gráficos" xr:uid="{8750B0F4-11BE-42A1-A0C3-9FF3274B99DB}"/>
    <hyperlink ref="A17" location="'Projeções - CG + Capex'!A1" display="Projeções - CG + Capex" xr:uid="{320954A4-F8C7-4FA1-91B4-FF4523BC6649}"/>
    <hyperlink ref="A15" location="'Painel de Índices'!A1" display="Projeções - Receita" xr:uid="{163DB9DE-F9F1-4530-93CE-00AFBA662BB7}"/>
    <hyperlink ref="A12" location="'DRE - Contas Abertas'!A1" display="DRE - Contas Abertas" xr:uid="{AD6A8082-8AA3-460C-80F8-55786F9F8C93}"/>
    <hyperlink ref="A13" location="'Balanço Patrimonial'!A1" display="Balanço Patrimonial" xr:uid="{1A9E379F-F061-4C06-8BF1-4AF194018D65}"/>
    <hyperlink ref="A10" location="'DRE Consolidado'!A1" display="DRE Consolidado" xr:uid="{1907F17A-5397-40AA-85D3-7EF8F421BEEE}"/>
    <hyperlink ref="A16" location="'Projeções - Receita e EBIT'!A1" display="Projeções - Receita" xr:uid="{D62E1061-3DE3-4CCC-A286-D28C0F50D39F}"/>
    <hyperlink ref="A18" location="'Projeções 2023'!A1" display="Projeções 2022" xr:uid="{591BA58C-B7A5-4E12-B13F-C7C7B5FF8B8D}"/>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7C05-143B-454B-AB59-EBD5A17EAF7E}">
  <sheetPr codeName="Sheet3"/>
  <dimension ref="A1:AM168"/>
  <sheetViews>
    <sheetView showGridLines="0" topLeftCell="A123" zoomScale="85" zoomScaleNormal="85" workbookViewId="0">
      <selection activeCell="E160" sqref="E160"/>
    </sheetView>
  </sheetViews>
  <sheetFormatPr defaultColWidth="0" defaultRowHeight="15" zeroHeight="1"/>
  <cols>
    <col min="1" max="1" width="34.7109375" style="208" customWidth="1"/>
    <col min="2" max="4" width="9.140625" style="209" customWidth="1"/>
    <col min="5" max="5" width="78.140625" style="209" bestFit="1" customWidth="1"/>
    <col min="6" max="6" width="13.28515625" style="209" bestFit="1" customWidth="1"/>
    <col min="7" max="8" width="13.28515625" style="209" customWidth="1"/>
    <col min="9" max="16" width="13.28515625" style="209" bestFit="1" customWidth="1"/>
    <col min="17" max="19" width="10" style="209" bestFit="1" customWidth="1"/>
    <col min="20" max="36" width="8.85546875" style="209" customWidth="1"/>
    <col min="37" max="39" width="0" style="210" hidden="1" customWidth="1"/>
    <col min="40" max="16384" width="9.140625" style="210" hidden="1"/>
  </cols>
  <sheetData>
    <row r="1" spans="1:36" customFormat="1" ht="15" customHeight="1">
      <c r="A1" s="12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row>
    <row r="2" spans="1:36" customFormat="1" ht="15" customHeight="1">
      <c r="A2" s="122"/>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6" customFormat="1" ht="15" customHeight="1">
      <c r="A3" s="122"/>
      <c r="B3" s="4"/>
      <c r="C3" s="4"/>
      <c r="D3" s="4"/>
      <c r="E3" s="65"/>
      <c r="F3" s="336" t="str">
        <f>Dashboard!$H$3</f>
        <v>SIMPAR (SIMH3)</v>
      </c>
      <c r="G3" s="336"/>
      <c r="H3" s="336"/>
      <c r="I3" s="336"/>
      <c r="J3" s="336"/>
      <c r="K3" s="65"/>
      <c r="L3" s="65"/>
      <c r="M3" s="65"/>
      <c r="N3" s="65"/>
      <c r="O3" s="65"/>
      <c r="P3" s="65"/>
      <c r="Q3" s="65"/>
      <c r="R3" s="65"/>
      <c r="S3" s="65"/>
      <c r="T3" s="65"/>
      <c r="U3" s="65"/>
      <c r="V3" s="65"/>
      <c r="W3" s="65"/>
      <c r="X3" s="65"/>
      <c r="Y3" s="65"/>
      <c r="Z3" s="65"/>
      <c r="AA3" s="65"/>
      <c r="AB3" s="65"/>
      <c r="AC3" s="65"/>
      <c r="AD3" s="65"/>
      <c r="AE3" s="65"/>
      <c r="AF3" s="65"/>
      <c r="AG3" s="65"/>
      <c r="AH3" s="65"/>
      <c r="AI3" s="65"/>
    </row>
    <row r="4" spans="1:36" customFormat="1" ht="15" customHeight="1">
      <c r="A4" s="122"/>
      <c r="B4" s="4"/>
      <c r="C4" s="4"/>
      <c r="D4" s="4"/>
      <c r="E4" s="65"/>
      <c r="F4" s="336"/>
      <c r="G4" s="336"/>
      <c r="H4" s="336"/>
      <c r="I4" s="336"/>
      <c r="J4" s="336"/>
      <c r="K4" s="65"/>
      <c r="L4" s="65"/>
      <c r="M4" s="65"/>
      <c r="N4" s="65"/>
      <c r="O4" s="65"/>
      <c r="P4" s="65"/>
      <c r="Q4" s="65"/>
      <c r="R4" s="65"/>
      <c r="S4" s="65"/>
      <c r="T4" s="65"/>
      <c r="U4" s="65"/>
      <c r="V4" s="65"/>
      <c r="W4" s="65"/>
      <c r="X4" s="65"/>
      <c r="Y4" s="65"/>
      <c r="Z4" s="65"/>
      <c r="AA4" s="65"/>
      <c r="AB4" s="65"/>
      <c r="AC4" s="65"/>
      <c r="AD4" s="65"/>
      <c r="AE4" s="65"/>
      <c r="AF4" s="65"/>
      <c r="AG4" s="65"/>
      <c r="AH4" s="65"/>
      <c r="AI4" s="65"/>
    </row>
    <row r="5" spans="1:36" customFormat="1" ht="15" customHeight="1">
      <c r="A5" s="122"/>
      <c r="B5" s="4"/>
      <c r="C5" s="4"/>
      <c r="D5" s="4"/>
      <c r="E5" s="65"/>
      <c r="F5" s="336"/>
      <c r="G5" s="336"/>
      <c r="H5" s="336"/>
      <c r="I5" s="336"/>
      <c r="J5" s="336"/>
      <c r="K5" s="65"/>
      <c r="L5" s="65"/>
      <c r="M5" s="65"/>
      <c r="N5" s="65"/>
      <c r="O5" s="65"/>
      <c r="P5" s="65"/>
      <c r="Q5" s="65"/>
      <c r="R5" s="65"/>
      <c r="S5" s="65"/>
      <c r="T5" s="65"/>
      <c r="U5" s="65"/>
      <c r="V5" s="65"/>
      <c r="W5" s="65"/>
      <c r="X5" s="65"/>
      <c r="Y5" s="65"/>
      <c r="Z5" s="65"/>
      <c r="AA5" s="65"/>
      <c r="AB5" s="65"/>
      <c r="AC5" s="65"/>
      <c r="AD5" s="65"/>
      <c r="AE5" s="65"/>
      <c r="AF5" s="65"/>
      <c r="AG5" s="65"/>
      <c r="AH5" s="65"/>
      <c r="AI5" s="65"/>
    </row>
    <row r="6" spans="1:36" customFormat="1" ht="15" customHeight="1">
      <c r="A6" s="122"/>
      <c r="B6" s="4"/>
      <c r="C6" s="4"/>
      <c r="D6" s="4"/>
      <c r="E6" s="4"/>
      <c r="F6" s="34"/>
      <c r="G6" s="34"/>
      <c r="H6" s="34"/>
      <c r="I6" s="34"/>
      <c r="J6" s="34"/>
      <c r="K6" s="4"/>
      <c r="L6" s="4"/>
      <c r="M6" s="4"/>
      <c r="N6" s="4"/>
      <c r="O6" s="4"/>
      <c r="P6" s="4"/>
      <c r="Q6" s="4"/>
      <c r="R6" s="4"/>
      <c r="S6" s="4"/>
      <c r="T6" s="4"/>
      <c r="U6" s="4"/>
      <c r="V6" s="4"/>
      <c r="W6" s="4"/>
      <c r="X6" s="4"/>
      <c r="Y6" s="4"/>
      <c r="Z6" s="4"/>
      <c r="AA6" s="4"/>
      <c r="AB6" s="4"/>
      <c r="AC6" s="4"/>
      <c r="AD6" s="4"/>
      <c r="AE6" s="4"/>
      <c r="AF6" s="4"/>
      <c r="AG6" s="4"/>
      <c r="AH6" s="4"/>
      <c r="AI6" s="4"/>
    </row>
    <row r="7" spans="1:36" customFormat="1" ht="30" customHeight="1">
      <c r="A7" s="123" t="s">
        <v>33</v>
      </c>
      <c r="B7" s="10"/>
      <c r="C7" s="4"/>
      <c r="D7" s="4"/>
      <c r="E7" s="10"/>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6" customFormat="1" ht="30" customHeight="1">
      <c r="A8" s="12" t="s">
        <v>34</v>
      </c>
      <c r="B8" s="4"/>
      <c r="C8" s="4"/>
      <c r="D8" s="4"/>
      <c r="E8" s="29"/>
      <c r="F8" s="5"/>
      <c r="G8" s="5"/>
      <c r="H8" s="5"/>
      <c r="I8" s="5"/>
      <c r="J8" s="5"/>
      <c r="K8" s="5"/>
      <c r="L8" s="66"/>
      <c r="M8" s="66"/>
      <c r="N8" s="66"/>
      <c r="O8" s="66"/>
      <c r="P8" s="66"/>
      <c r="Q8" s="4"/>
      <c r="R8" s="4"/>
      <c r="S8" s="4"/>
      <c r="T8" s="4"/>
      <c r="U8" s="4"/>
      <c r="V8" s="4"/>
      <c r="W8" s="4"/>
      <c r="X8" s="4"/>
      <c r="Y8" s="4"/>
      <c r="Z8" s="4"/>
      <c r="AA8" s="4"/>
      <c r="AB8" s="4"/>
      <c r="AC8" s="4"/>
      <c r="AD8" s="4"/>
      <c r="AE8" s="4"/>
      <c r="AF8" s="4"/>
      <c r="AG8" s="4"/>
      <c r="AH8" s="4"/>
      <c r="AI8" s="4"/>
    </row>
    <row r="9" spans="1:36" customFormat="1" ht="30" customHeight="1">
      <c r="A9" s="12" t="s">
        <v>23</v>
      </c>
      <c r="B9" s="4"/>
      <c r="C9" s="4"/>
      <c r="D9" s="4"/>
      <c r="E9" s="124"/>
      <c r="F9" s="37">
        <v>2014</v>
      </c>
      <c r="G9" s="37">
        <v>2015</v>
      </c>
      <c r="H9" s="37">
        <v>2016</v>
      </c>
      <c r="I9" s="37">
        <v>2017</v>
      </c>
      <c r="J9" s="37">
        <v>2018</v>
      </c>
      <c r="K9" s="37">
        <v>2019</v>
      </c>
      <c r="L9" s="119">
        <v>2020</v>
      </c>
      <c r="M9" s="119">
        <v>2021</v>
      </c>
      <c r="N9" s="119">
        <v>2022</v>
      </c>
      <c r="O9" s="119">
        <v>2023</v>
      </c>
      <c r="P9" s="119" t="s">
        <v>525</v>
      </c>
      <c r="Q9" s="88"/>
      <c r="R9" s="4"/>
      <c r="S9" s="4"/>
      <c r="T9" s="4"/>
      <c r="U9" s="4"/>
      <c r="V9" s="4"/>
      <c r="W9" s="4"/>
      <c r="X9" s="4"/>
      <c r="Y9" s="4"/>
      <c r="Z9" s="4"/>
      <c r="AA9" s="4"/>
      <c r="AB9" s="4"/>
      <c r="AC9" s="4"/>
      <c r="AD9" s="4"/>
      <c r="AE9" s="4"/>
      <c r="AF9" s="4"/>
      <c r="AG9" s="4"/>
      <c r="AH9" s="4"/>
      <c r="AI9" s="4"/>
    </row>
    <row r="10" spans="1:36" customFormat="1" ht="30" customHeight="1">
      <c r="A10" s="12" t="s">
        <v>323</v>
      </c>
      <c r="B10" s="4"/>
      <c r="C10" s="4"/>
      <c r="D10" s="4"/>
      <c r="E10" s="124" t="s">
        <v>213</v>
      </c>
      <c r="F10" s="42"/>
      <c r="G10" s="42"/>
      <c r="H10" s="42"/>
      <c r="I10" s="42"/>
      <c r="J10" s="42"/>
      <c r="K10" s="42"/>
      <c r="L10" s="42">
        <v>-1019754</v>
      </c>
      <c r="M10" s="42">
        <v>-1899550</v>
      </c>
      <c r="N10" s="42">
        <v>-4817452</v>
      </c>
      <c r="O10" s="42">
        <v>-7842006</v>
      </c>
      <c r="P10" s="42">
        <v>-2259530</v>
      </c>
      <c r="Q10" s="88"/>
      <c r="R10" s="4"/>
      <c r="S10" s="4"/>
      <c r="T10" s="4"/>
      <c r="U10" s="4"/>
      <c r="V10" s="4"/>
      <c r="W10" s="4"/>
      <c r="X10" s="4"/>
      <c r="Y10" s="4"/>
      <c r="Z10" s="4"/>
      <c r="AA10" s="4"/>
      <c r="AB10" s="4"/>
      <c r="AC10" s="4"/>
      <c r="AD10" s="4"/>
      <c r="AE10" s="4"/>
      <c r="AF10" s="4"/>
      <c r="AG10" s="4"/>
      <c r="AH10" s="4"/>
      <c r="AI10" s="4"/>
    </row>
    <row r="11" spans="1:36" customFormat="1" ht="30" customHeight="1">
      <c r="A11" s="12" t="s">
        <v>36</v>
      </c>
      <c r="B11" s="4"/>
      <c r="C11" s="4"/>
      <c r="D11" s="4"/>
      <c r="E11" s="124" t="s">
        <v>214</v>
      </c>
      <c r="F11" s="42">
        <v>-592675</v>
      </c>
      <c r="G11" s="42">
        <v>-427897</v>
      </c>
      <c r="H11" s="42">
        <v>-281566</v>
      </c>
      <c r="I11" s="42">
        <v>-319150</v>
      </c>
      <c r="J11" s="42">
        <v>-535727</v>
      </c>
      <c r="K11" s="42">
        <v>-586574</v>
      </c>
      <c r="L11" s="42"/>
      <c r="M11" s="42"/>
      <c r="N11" s="42"/>
      <c r="O11" s="42"/>
      <c r="P11" s="42"/>
      <c r="Q11" s="88"/>
      <c r="R11" s="4"/>
      <c r="S11" s="4"/>
      <c r="T11" s="4"/>
      <c r="U11" s="4"/>
      <c r="V11" s="4"/>
      <c r="W11" s="4"/>
      <c r="X11" s="4"/>
      <c r="Y11" s="4"/>
      <c r="Z11" s="4"/>
      <c r="AA11" s="4"/>
      <c r="AB11" s="4"/>
      <c r="AC11" s="4"/>
      <c r="AD11" s="4"/>
      <c r="AE11" s="4"/>
      <c r="AF11" s="4"/>
      <c r="AG11" s="4"/>
      <c r="AH11" s="4"/>
      <c r="AI11" s="4"/>
    </row>
    <row r="12" spans="1:36" customFormat="1" ht="30" customHeight="1">
      <c r="A12" s="167" t="s">
        <v>127</v>
      </c>
      <c r="B12" s="4"/>
      <c r="C12" s="4"/>
      <c r="D12" s="4"/>
      <c r="E12" s="124" t="s">
        <v>215</v>
      </c>
      <c r="F12" s="42">
        <v>-280455</v>
      </c>
      <c r="G12" s="42">
        <v>-285571</v>
      </c>
      <c r="H12" s="42">
        <v>-275399</v>
      </c>
      <c r="I12" s="42">
        <v>-251561</v>
      </c>
      <c r="J12" s="42">
        <v>-254716</v>
      </c>
      <c r="K12" s="42">
        <v>-282749</v>
      </c>
      <c r="L12" s="42"/>
      <c r="M12" s="42"/>
      <c r="N12" s="42"/>
      <c r="O12" s="42"/>
      <c r="P12" s="42"/>
      <c r="Q12" s="88"/>
      <c r="R12" s="4"/>
      <c r="S12" s="4"/>
      <c r="T12" s="4"/>
      <c r="U12" s="4"/>
      <c r="V12" s="4"/>
      <c r="W12" s="4"/>
      <c r="X12" s="4"/>
      <c r="Y12" s="4"/>
      <c r="Z12" s="4"/>
      <c r="AA12" s="4"/>
      <c r="AB12" s="4"/>
      <c r="AC12" s="4"/>
      <c r="AD12" s="4"/>
      <c r="AE12" s="4"/>
      <c r="AF12" s="4"/>
      <c r="AG12" s="4"/>
      <c r="AH12" s="4"/>
      <c r="AI12" s="4"/>
    </row>
    <row r="13" spans="1:36" customFormat="1" ht="30" customHeight="1">
      <c r="A13" s="12" t="s">
        <v>37</v>
      </c>
      <c r="B13" s="4"/>
      <c r="C13" s="4"/>
      <c r="D13" s="4"/>
      <c r="E13" s="124" t="s">
        <v>216</v>
      </c>
      <c r="F13" s="42">
        <v>-110505</v>
      </c>
      <c r="G13" s="42"/>
      <c r="H13" s="42">
        <v>-90706</v>
      </c>
      <c r="I13" s="42">
        <v>-77717</v>
      </c>
      <c r="J13" s="42">
        <v>-111711</v>
      </c>
      <c r="K13" s="42">
        <v>-122657</v>
      </c>
      <c r="L13" s="42"/>
      <c r="M13" s="42"/>
      <c r="N13" s="42"/>
      <c r="O13" s="42"/>
      <c r="P13" s="42"/>
      <c r="Q13" s="88"/>
      <c r="R13" s="4"/>
      <c r="S13" s="4"/>
      <c r="T13" s="4"/>
      <c r="U13" s="4"/>
      <c r="V13" s="4"/>
      <c r="W13" s="4"/>
      <c r="X13" s="4"/>
      <c r="Y13" s="4"/>
      <c r="Z13" s="4"/>
      <c r="AA13" s="4"/>
      <c r="AB13" s="4"/>
      <c r="AC13" s="4"/>
      <c r="AD13" s="4"/>
      <c r="AE13" s="4"/>
      <c r="AF13" s="4"/>
      <c r="AG13" s="4"/>
      <c r="AH13" s="4"/>
      <c r="AI13" s="4"/>
    </row>
    <row r="14" spans="1:36" customFormat="1" ht="30" customHeight="1">
      <c r="A14" s="166" t="s">
        <v>100</v>
      </c>
      <c r="B14" s="4"/>
      <c r="C14" s="4"/>
      <c r="D14" s="4"/>
      <c r="E14" s="124" t="s">
        <v>482</v>
      </c>
      <c r="F14" s="42"/>
      <c r="G14" s="42"/>
      <c r="H14" s="42"/>
      <c r="I14" s="42"/>
      <c r="J14" s="42"/>
      <c r="K14" s="42"/>
      <c r="L14" s="42"/>
      <c r="M14" s="42"/>
      <c r="N14" s="42"/>
      <c r="O14" s="42">
        <v>-175507</v>
      </c>
      <c r="P14" s="42">
        <v>-118308</v>
      </c>
      <c r="Q14" s="88"/>
      <c r="R14" s="4"/>
      <c r="S14" s="4"/>
      <c r="T14" s="4"/>
      <c r="U14" s="4"/>
      <c r="V14" s="4"/>
      <c r="W14" s="4"/>
      <c r="X14" s="4"/>
      <c r="Y14" s="4"/>
      <c r="Z14" s="4"/>
      <c r="AA14" s="4"/>
      <c r="AB14" s="4"/>
      <c r="AC14" s="4"/>
      <c r="AD14" s="4"/>
      <c r="AE14" s="4"/>
      <c r="AF14" s="4"/>
      <c r="AG14" s="4"/>
      <c r="AH14" s="4"/>
      <c r="AI14" s="4"/>
    </row>
    <row r="15" spans="1:36" customFormat="1" ht="30" customHeight="1">
      <c r="A15" s="12" t="s">
        <v>324</v>
      </c>
      <c r="B15" s="4"/>
      <c r="C15" s="4"/>
      <c r="D15" s="4"/>
      <c r="E15" s="124" t="s">
        <v>217</v>
      </c>
      <c r="F15" s="42">
        <v>-148406</v>
      </c>
      <c r="G15" s="42"/>
      <c r="H15" s="42">
        <v>-247034</v>
      </c>
      <c r="I15" s="42">
        <v>-224258</v>
      </c>
      <c r="J15" s="42">
        <v>-177630</v>
      </c>
      <c r="K15" s="42">
        <v>-271440</v>
      </c>
      <c r="L15" s="42">
        <v>-279687</v>
      </c>
      <c r="M15" s="42">
        <v>-405447</v>
      </c>
      <c r="N15" s="42">
        <v>-522589</v>
      </c>
      <c r="O15" s="42">
        <v>-555379</v>
      </c>
      <c r="P15" s="42">
        <v>-175867</v>
      </c>
      <c r="Q15" s="88"/>
      <c r="R15" s="4"/>
      <c r="S15" s="4"/>
      <c r="T15" s="4"/>
      <c r="U15" s="4"/>
      <c r="V15" s="4"/>
      <c r="W15" s="4"/>
      <c r="X15" s="4"/>
      <c r="Y15" s="4"/>
      <c r="Z15" s="4"/>
      <c r="AA15" s="4"/>
      <c r="AB15" s="4"/>
      <c r="AC15" s="4"/>
      <c r="AD15" s="4"/>
      <c r="AE15" s="4"/>
      <c r="AF15" s="4"/>
      <c r="AG15" s="4"/>
      <c r="AH15" s="4"/>
      <c r="AI15" s="4"/>
    </row>
    <row r="16" spans="1:36" customFormat="1" ht="30" customHeight="1">
      <c r="A16" s="166" t="s">
        <v>129</v>
      </c>
      <c r="B16" s="4"/>
      <c r="C16" s="4"/>
      <c r="D16" s="4"/>
      <c r="E16" s="124" t="s">
        <v>218</v>
      </c>
      <c r="F16" s="42">
        <v>-681231</v>
      </c>
      <c r="G16" s="42">
        <v>-877618</v>
      </c>
      <c r="H16" s="42">
        <v>-1289069</v>
      </c>
      <c r="I16" s="42">
        <v>-1584813</v>
      </c>
      <c r="J16" s="42">
        <v>-1609867</v>
      </c>
      <c r="K16" s="42">
        <v>-2524180</v>
      </c>
      <c r="L16" s="42">
        <v>-2618101</v>
      </c>
      <c r="M16" s="42">
        <v>-2077780</v>
      </c>
      <c r="N16" s="42">
        <v>-4166192</v>
      </c>
      <c r="O16" s="42">
        <v>-5366708</v>
      </c>
      <c r="P16" s="42">
        <v>-1616181</v>
      </c>
      <c r="Q16" s="88"/>
      <c r="R16" s="4"/>
      <c r="S16" s="4"/>
      <c r="T16" s="4"/>
      <c r="U16" s="4"/>
      <c r="V16" s="4"/>
      <c r="W16" s="4"/>
      <c r="X16" s="4"/>
      <c r="Y16" s="4"/>
      <c r="Z16" s="4"/>
      <c r="AA16" s="4"/>
      <c r="AB16" s="4"/>
      <c r="AC16" s="4"/>
      <c r="AD16" s="4"/>
      <c r="AE16" s="4"/>
      <c r="AF16" s="4"/>
      <c r="AG16" s="4"/>
      <c r="AH16" s="4"/>
      <c r="AI16" s="4"/>
    </row>
    <row r="17" spans="1:35" customFormat="1" ht="30" customHeight="1">
      <c r="A17" s="166" t="s">
        <v>479</v>
      </c>
      <c r="B17" s="4"/>
      <c r="C17" s="58"/>
      <c r="D17" s="4"/>
      <c r="E17" s="124" t="s">
        <v>60</v>
      </c>
      <c r="F17" s="42">
        <f>-1045800-228365</f>
        <v>-1274165</v>
      </c>
      <c r="G17" s="42">
        <v>-1299564</v>
      </c>
      <c r="H17" s="42">
        <v>-1365077</v>
      </c>
      <c r="I17" s="42">
        <v>-1399487</v>
      </c>
      <c r="J17" s="42">
        <v>-1510200</v>
      </c>
      <c r="K17" s="42">
        <v>-1603040</v>
      </c>
      <c r="L17" s="42">
        <v>-1477812</v>
      </c>
      <c r="M17" s="42">
        <v>-2278160</v>
      </c>
      <c r="N17" s="42">
        <v>-3291385</v>
      </c>
      <c r="O17" s="42">
        <v>-4194475</v>
      </c>
      <c r="P17" s="42">
        <v>-1078384</v>
      </c>
      <c r="Q17" s="88"/>
      <c r="R17" s="58"/>
      <c r="S17" s="58"/>
      <c r="T17" s="58"/>
      <c r="U17" s="58"/>
      <c r="V17" s="58"/>
      <c r="W17" s="58"/>
      <c r="X17" s="58"/>
      <c r="Y17" s="58"/>
      <c r="Z17" s="58"/>
      <c r="AA17" s="58"/>
      <c r="AB17" s="58"/>
      <c r="AC17" s="58"/>
      <c r="AD17" s="58"/>
      <c r="AE17" s="58"/>
      <c r="AF17" s="58"/>
      <c r="AG17" s="58"/>
      <c r="AH17" s="58"/>
      <c r="AI17" s="58"/>
    </row>
    <row r="18" spans="1:35" customFormat="1" ht="30" customHeight="1">
      <c r="A18" s="12" t="s">
        <v>128</v>
      </c>
      <c r="B18" s="4"/>
      <c r="C18" s="58"/>
      <c r="D18" s="58"/>
      <c r="E18" s="124" t="s">
        <v>219</v>
      </c>
      <c r="F18" s="42">
        <v>-656182</v>
      </c>
      <c r="G18" s="42">
        <v>-656004</v>
      </c>
      <c r="H18" s="42">
        <v>-721429</v>
      </c>
      <c r="I18" s="42">
        <v>-900896</v>
      </c>
      <c r="J18" s="42">
        <v>-996936</v>
      </c>
      <c r="K18" s="42">
        <v>-952975</v>
      </c>
      <c r="L18" s="42">
        <v>-854451</v>
      </c>
      <c r="M18" s="42">
        <v>-1149724</v>
      </c>
      <c r="N18" s="42">
        <v>-1382969</v>
      </c>
      <c r="O18" s="42">
        <v>-1676299</v>
      </c>
      <c r="P18" s="42">
        <v>-404182</v>
      </c>
      <c r="Q18" s="88"/>
      <c r="R18" s="58"/>
      <c r="S18" s="58"/>
      <c r="T18" s="58"/>
      <c r="U18" s="58"/>
      <c r="V18" s="58"/>
      <c r="W18" s="58"/>
      <c r="X18" s="58"/>
      <c r="Y18" s="58"/>
      <c r="Z18" s="58"/>
      <c r="AA18" s="58"/>
      <c r="AB18" s="58"/>
      <c r="AC18" s="58"/>
      <c r="AD18" s="58"/>
      <c r="AE18" s="58"/>
      <c r="AF18" s="58"/>
      <c r="AG18" s="58"/>
      <c r="AH18" s="58"/>
      <c r="AI18" s="58"/>
    </row>
    <row r="19" spans="1:35" customFormat="1" ht="30" customHeight="1">
      <c r="A19" s="12"/>
      <c r="B19" s="4"/>
      <c r="C19" s="58"/>
      <c r="D19" s="58"/>
      <c r="E19" s="124" t="s">
        <v>220</v>
      </c>
      <c r="F19" s="42">
        <f>-391194-17671</f>
        <v>-408865</v>
      </c>
      <c r="G19" s="42">
        <v>-508626</v>
      </c>
      <c r="H19" s="42">
        <v>-547187</v>
      </c>
      <c r="I19" s="42">
        <v>-525731</v>
      </c>
      <c r="J19" s="42">
        <v>-636817</v>
      </c>
      <c r="K19" s="42">
        <v>-916744</v>
      </c>
      <c r="L19" s="42">
        <v>-1111953</v>
      </c>
      <c r="M19" s="42">
        <v>-1059114</v>
      </c>
      <c r="N19" s="42">
        <v>-1886277</v>
      </c>
      <c r="O19" s="42">
        <v>-3508285</v>
      </c>
      <c r="P19" s="42">
        <v>-813581</v>
      </c>
      <c r="Q19" s="88"/>
      <c r="R19" s="58"/>
      <c r="S19" s="58"/>
      <c r="T19" s="58"/>
      <c r="U19" s="58"/>
      <c r="V19" s="58"/>
      <c r="W19" s="58"/>
      <c r="X19" s="58"/>
      <c r="Y19" s="58"/>
      <c r="Z19" s="58"/>
      <c r="AA19" s="58"/>
      <c r="AB19" s="58"/>
      <c r="AC19" s="58"/>
      <c r="AD19" s="58"/>
      <c r="AE19" s="58"/>
      <c r="AF19" s="58"/>
      <c r="AG19" s="58"/>
      <c r="AH19" s="58"/>
      <c r="AI19" s="58"/>
    </row>
    <row r="20" spans="1:35" customFormat="1" ht="30" customHeight="1">
      <c r="A20" s="77"/>
      <c r="B20" s="58"/>
      <c r="C20" s="58"/>
      <c r="D20" s="58"/>
      <c r="E20" s="124" t="s">
        <v>167</v>
      </c>
      <c r="F20" s="42">
        <v>-260230</v>
      </c>
      <c r="G20" s="42">
        <v>-394413</v>
      </c>
      <c r="H20" s="42">
        <v>-348746</v>
      </c>
      <c r="I20" s="42">
        <v>-424460</v>
      </c>
      <c r="J20" s="42">
        <v>-438912</v>
      </c>
      <c r="K20" s="42">
        <v>-498789</v>
      </c>
      <c r="L20" s="42">
        <v>-489633</v>
      </c>
      <c r="M20" s="42">
        <v>-701562</v>
      </c>
      <c r="N20" s="42">
        <v>-1015445</v>
      </c>
      <c r="O20" s="42">
        <v>-1345151</v>
      </c>
      <c r="P20" s="42">
        <v>-354143</v>
      </c>
      <c r="Q20" s="88"/>
      <c r="R20" s="58"/>
      <c r="S20" s="58"/>
      <c r="T20" s="58"/>
      <c r="U20" s="58"/>
      <c r="V20" s="58"/>
      <c r="W20" s="58"/>
      <c r="X20" s="58"/>
      <c r="Y20" s="58"/>
      <c r="Z20" s="58"/>
      <c r="AA20" s="58"/>
      <c r="AB20" s="58"/>
      <c r="AC20" s="58"/>
      <c r="AD20" s="58"/>
      <c r="AE20" s="58"/>
      <c r="AF20" s="58"/>
      <c r="AG20" s="58"/>
      <c r="AH20" s="58"/>
      <c r="AI20" s="58"/>
    </row>
    <row r="21" spans="1:35" customFormat="1" ht="30" customHeight="1">
      <c r="A21" s="77"/>
      <c r="B21" s="58"/>
      <c r="C21" s="58"/>
      <c r="D21" s="58"/>
      <c r="E21" s="124" t="s">
        <v>168</v>
      </c>
      <c r="F21" s="42">
        <v>-233123</v>
      </c>
      <c r="G21" s="42">
        <v>-256416</v>
      </c>
      <c r="H21" s="42">
        <v>-271274</v>
      </c>
      <c r="I21" s="42">
        <v>-244744</v>
      </c>
      <c r="J21" s="42">
        <v>-256323</v>
      </c>
      <c r="K21" s="42">
        <v>-236111</v>
      </c>
      <c r="L21" s="42">
        <v>-214393</v>
      </c>
      <c r="M21" s="42">
        <v>-494957</v>
      </c>
      <c r="N21" s="42">
        <v>-899084</v>
      </c>
      <c r="O21" s="42">
        <v>-1005787</v>
      </c>
      <c r="P21" s="42">
        <v>-304152</v>
      </c>
      <c r="Q21" s="88"/>
      <c r="R21" s="58"/>
      <c r="S21" s="58"/>
      <c r="T21" s="58"/>
      <c r="U21" s="58"/>
      <c r="V21" s="58"/>
      <c r="W21" s="58"/>
      <c r="X21" s="58"/>
      <c r="Y21" s="58"/>
      <c r="Z21" s="58"/>
      <c r="AA21" s="58"/>
      <c r="AB21" s="58"/>
      <c r="AC21" s="58"/>
      <c r="AD21" s="58"/>
      <c r="AE21" s="58"/>
      <c r="AF21" s="58"/>
      <c r="AG21" s="58"/>
      <c r="AH21" s="58"/>
      <c r="AI21" s="58"/>
    </row>
    <row r="22" spans="1:35" customFormat="1" ht="30" customHeight="1">
      <c r="A22" s="77"/>
      <c r="B22" s="58"/>
      <c r="C22" s="58"/>
      <c r="D22" s="58"/>
      <c r="E22" s="124" t="s">
        <v>169</v>
      </c>
      <c r="F22" s="42">
        <v>-14836</v>
      </c>
      <c r="G22" s="42"/>
      <c r="H22" s="42">
        <v>-4418</v>
      </c>
      <c r="I22" s="42">
        <v>-5213</v>
      </c>
      <c r="J22" s="42">
        <v>-17297</v>
      </c>
      <c r="K22" s="42">
        <v>-11895</v>
      </c>
      <c r="L22" s="42">
        <v>-43158</v>
      </c>
      <c r="M22" s="42">
        <v>-65288</v>
      </c>
      <c r="N22" s="42">
        <v>-115364</v>
      </c>
      <c r="O22" s="42">
        <v>-150302</v>
      </c>
      <c r="P22" s="42">
        <v>-42554</v>
      </c>
      <c r="Q22" s="88"/>
      <c r="R22" s="58"/>
      <c r="S22" s="58"/>
      <c r="T22" s="58"/>
      <c r="U22" s="58"/>
      <c r="V22" s="58"/>
      <c r="W22" s="58"/>
      <c r="X22" s="58"/>
      <c r="Y22" s="58"/>
      <c r="Z22" s="58"/>
      <c r="AA22" s="58"/>
      <c r="AB22" s="58"/>
      <c r="AC22" s="58"/>
      <c r="AD22" s="58"/>
      <c r="AE22" s="58"/>
      <c r="AF22" s="58"/>
      <c r="AG22" s="58"/>
      <c r="AH22" s="58"/>
      <c r="AI22" s="58"/>
    </row>
    <row r="23" spans="1:35" customFormat="1" ht="30" customHeight="1">
      <c r="A23" s="77"/>
      <c r="B23" s="58"/>
      <c r="C23" s="58"/>
      <c r="D23" s="58"/>
      <c r="E23" s="124" t="s">
        <v>221</v>
      </c>
      <c r="F23" s="42">
        <f>-18944-62100</f>
        <v>-81044</v>
      </c>
      <c r="G23" s="42">
        <v>-93764</v>
      </c>
      <c r="H23" s="42">
        <v>-175477</v>
      </c>
      <c r="I23" s="42">
        <v>-184196</v>
      </c>
      <c r="J23" s="42">
        <v>-241971</v>
      </c>
      <c r="K23" s="42">
        <v>-271413</v>
      </c>
      <c r="L23" s="42">
        <v>-285556</v>
      </c>
      <c r="M23" s="42">
        <v>-444935</v>
      </c>
      <c r="N23" s="42">
        <v>-657511</v>
      </c>
      <c r="O23" s="42">
        <v>-911677</v>
      </c>
      <c r="P23" s="42">
        <v>-265140</v>
      </c>
      <c r="Q23" s="88"/>
      <c r="R23" s="58"/>
      <c r="S23" s="58"/>
      <c r="T23" s="58"/>
      <c r="U23" s="58"/>
      <c r="V23" s="58"/>
      <c r="W23" s="58"/>
      <c r="X23" s="58"/>
      <c r="Y23" s="58"/>
      <c r="Z23" s="58"/>
      <c r="AA23" s="58"/>
      <c r="AB23" s="58"/>
      <c r="AC23" s="58"/>
      <c r="AD23" s="58"/>
      <c r="AE23" s="58"/>
      <c r="AF23" s="58"/>
      <c r="AG23" s="58"/>
      <c r="AH23" s="58"/>
      <c r="AI23" s="58"/>
    </row>
    <row r="24" spans="1:35" customFormat="1" ht="30" customHeight="1">
      <c r="A24" s="77"/>
      <c r="B24" s="58"/>
      <c r="C24" s="58"/>
      <c r="D24" s="58"/>
      <c r="E24" s="124" t="s">
        <v>222</v>
      </c>
      <c r="F24" s="42">
        <v>-3352</v>
      </c>
      <c r="G24" s="42"/>
      <c r="H24" s="42">
        <v>-27025</v>
      </c>
      <c r="I24" s="42">
        <v>2249</v>
      </c>
      <c r="J24" s="42">
        <v>-9146</v>
      </c>
      <c r="K24" s="42">
        <v>-32527</v>
      </c>
      <c r="L24" s="42">
        <v>-78667</v>
      </c>
      <c r="M24" s="42">
        <v>-56164</v>
      </c>
      <c r="N24" s="42">
        <v>-127315</v>
      </c>
      <c r="O24" s="42">
        <v>-184393</v>
      </c>
      <c r="P24" s="42">
        <v>-53232</v>
      </c>
      <c r="Q24" s="88"/>
      <c r="R24" s="58"/>
      <c r="S24" s="58"/>
      <c r="T24" s="58"/>
      <c r="U24" s="58"/>
      <c r="V24" s="58"/>
      <c r="W24" s="58"/>
      <c r="X24" s="58"/>
      <c r="Y24" s="58"/>
      <c r="Z24" s="58"/>
      <c r="AA24" s="58"/>
      <c r="AB24" s="58"/>
      <c r="AC24" s="58"/>
      <c r="AD24" s="58"/>
      <c r="AE24" s="58"/>
      <c r="AF24" s="58"/>
      <c r="AG24" s="58"/>
      <c r="AH24" s="58"/>
      <c r="AI24" s="58"/>
    </row>
    <row r="25" spans="1:35" customFormat="1" ht="30" customHeight="1">
      <c r="A25" s="77"/>
      <c r="B25" s="58"/>
      <c r="C25" s="58"/>
      <c r="D25" s="58"/>
      <c r="E25" s="124" t="s">
        <v>223</v>
      </c>
      <c r="F25" s="42"/>
      <c r="G25" s="42"/>
      <c r="H25" s="42"/>
      <c r="I25" s="42"/>
      <c r="J25" s="42"/>
      <c r="K25" s="42"/>
      <c r="L25" s="42">
        <v>-145249</v>
      </c>
      <c r="M25" s="42" t="s">
        <v>22</v>
      </c>
      <c r="N25" s="42">
        <v>-9498</v>
      </c>
      <c r="O25" s="42">
        <v>0</v>
      </c>
      <c r="P25" s="42"/>
      <c r="Q25" s="88"/>
      <c r="R25" s="58"/>
      <c r="S25" s="58"/>
      <c r="T25" s="58"/>
      <c r="U25" s="58"/>
      <c r="V25" s="58"/>
      <c r="W25" s="58"/>
      <c r="X25" s="58"/>
      <c r="Y25" s="58"/>
      <c r="Z25" s="58"/>
      <c r="AA25" s="58"/>
      <c r="AB25" s="58"/>
      <c r="AC25" s="58"/>
      <c r="AD25" s="58"/>
      <c r="AE25" s="58"/>
      <c r="AF25" s="58"/>
      <c r="AG25" s="58"/>
      <c r="AH25" s="58"/>
      <c r="AI25" s="58"/>
    </row>
    <row r="26" spans="1:35" customFormat="1" ht="30" customHeight="1">
      <c r="A26" s="77"/>
      <c r="B26" s="58"/>
      <c r="C26" s="58"/>
      <c r="D26" s="58"/>
      <c r="E26" s="124" t="s">
        <v>224</v>
      </c>
      <c r="F26" s="42">
        <v>-24516</v>
      </c>
      <c r="G26" s="42">
        <v>-6205</v>
      </c>
      <c r="H26" s="42">
        <v>-34755</v>
      </c>
      <c r="I26" s="42">
        <v>-48724</v>
      </c>
      <c r="J26" s="42">
        <v>-32345</v>
      </c>
      <c r="K26" s="42">
        <v>-48635</v>
      </c>
      <c r="L26" s="42">
        <v>-56253</v>
      </c>
      <c r="M26" s="42">
        <v>-41436</v>
      </c>
      <c r="N26" s="42">
        <v>-49176</v>
      </c>
      <c r="O26" s="42">
        <v>-65748</v>
      </c>
      <c r="P26" s="42">
        <v>-28056</v>
      </c>
      <c r="Q26" s="88"/>
      <c r="R26" s="58"/>
      <c r="S26" s="58"/>
      <c r="T26" s="58"/>
      <c r="U26" s="58"/>
      <c r="V26" s="58"/>
      <c r="W26" s="58"/>
      <c r="X26" s="58"/>
      <c r="Y26" s="58"/>
      <c r="Z26" s="58"/>
      <c r="AA26" s="58"/>
      <c r="AB26" s="58"/>
      <c r="AC26" s="58"/>
      <c r="AD26" s="58"/>
      <c r="AE26" s="58"/>
      <c r="AF26" s="58"/>
      <c r="AG26" s="58"/>
      <c r="AH26" s="58"/>
      <c r="AI26" s="58"/>
    </row>
    <row r="27" spans="1:35" customFormat="1" ht="30" customHeight="1">
      <c r="A27" s="77"/>
      <c r="B27" s="58"/>
      <c r="C27" s="58"/>
      <c r="D27" s="58"/>
      <c r="E27" s="124" t="s">
        <v>170</v>
      </c>
      <c r="F27" s="42"/>
      <c r="G27" s="42"/>
      <c r="H27" s="42">
        <v>-25250</v>
      </c>
      <c r="I27" s="42">
        <v>-23879</v>
      </c>
      <c r="J27" s="42">
        <v>-26243</v>
      </c>
      <c r="K27" s="42">
        <v>-33047</v>
      </c>
      <c r="L27" s="42">
        <v>-29820</v>
      </c>
      <c r="M27" s="42">
        <v>-39861</v>
      </c>
      <c r="N27" s="42">
        <v>-52864</v>
      </c>
      <c r="O27" s="42">
        <v>-58912</v>
      </c>
      <c r="P27" s="42">
        <v>-16973</v>
      </c>
      <c r="Q27" s="88"/>
      <c r="R27" s="58"/>
      <c r="S27" s="58"/>
      <c r="T27" s="58"/>
      <c r="U27" s="58"/>
      <c r="V27" s="58"/>
      <c r="W27" s="58"/>
      <c r="X27" s="58"/>
      <c r="Y27" s="58"/>
      <c r="Z27" s="58"/>
      <c r="AA27" s="58"/>
      <c r="AB27" s="58"/>
      <c r="AC27" s="58"/>
      <c r="AD27" s="58"/>
      <c r="AE27" s="58"/>
      <c r="AF27" s="58"/>
      <c r="AG27" s="58"/>
      <c r="AH27" s="58"/>
      <c r="AI27" s="58"/>
    </row>
    <row r="28" spans="1:35" customFormat="1" ht="30" customHeight="1">
      <c r="A28" s="77"/>
      <c r="B28" s="58"/>
      <c r="C28" s="58"/>
      <c r="D28" s="58"/>
      <c r="E28" s="124" t="s">
        <v>225</v>
      </c>
      <c r="F28" s="42"/>
      <c r="G28" s="42"/>
      <c r="H28" s="42">
        <v>-45447</v>
      </c>
      <c r="I28" s="42">
        <v>-77445</v>
      </c>
      <c r="J28" s="42">
        <v>-80763</v>
      </c>
      <c r="K28" s="42">
        <v>-42601</v>
      </c>
      <c r="L28" s="42">
        <v>-37135</v>
      </c>
      <c r="M28" s="42">
        <v>-58698</v>
      </c>
      <c r="N28" s="42">
        <v>-169869</v>
      </c>
      <c r="O28" s="42">
        <v>-224494</v>
      </c>
      <c r="P28" s="42">
        <v>-47736</v>
      </c>
      <c r="Q28" s="88"/>
      <c r="R28" s="58"/>
      <c r="S28" s="58"/>
      <c r="T28" s="58"/>
      <c r="U28" s="58"/>
      <c r="V28" s="58"/>
      <c r="W28" s="58"/>
      <c r="X28" s="58"/>
      <c r="Y28" s="58"/>
      <c r="Z28" s="58"/>
      <c r="AA28" s="58"/>
      <c r="AB28" s="58"/>
      <c r="AC28" s="58"/>
      <c r="AD28" s="58"/>
      <c r="AE28" s="58"/>
      <c r="AF28" s="58"/>
      <c r="AG28" s="58"/>
      <c r="AH28" s="58"/>
      <c r="AI28" s="58"/>
    </row>
    <row r="29" spans="1:35" customFormat="1" ht="30" customHeight="1">
      <c r="A29" s="77"/>
      <c r="B29" s="58"/>
      <c r="C29" s="58"/>
      <c r="D29" s="58"/>
      <c r="E29" s="124" t="s">
        <v>226</v>
      </c>
      <c r="F29" s="42">
        <f>-65505-46743</f>
        <v>-112248</v>
      </c>
      <c r="G29" s="42">
        <v>-38650</v>
      </c>
      <c r="H29" s="42">
        <v>-161059</v>
      </c>
      <c r="I29" s="42">
        <v>-161048</v>
      </c>
      <c r="J29" s="42">
        <v>-152328</v>
      </c>
      <c r="K29" s="42">
        <v>-45151</v>
      </c>
      <c r="L29" s="42">
        <v>-21769</v>
      </c>
      <c r="M29" s="42">
        <v>-2215</v>
      </c>
      <c r="N29" s="42">
        <v>-30761</v>
      </c>
      <c r="O29" s="42">
        <v>-23455</v>
      </c>
      <c r="P29" s="42">
        <v>-8415</v>
      </c>
      <c r="Q29" s="88"/>
      <c r="R29" s="58"/>
      <c r="S29" s="58"/>
      <c r="T29" s="58"/>
      <c r="U29" s="58"/>
      <c r="V29" s="58"/>
      <c r="W29" s="58"/>
      <c r="X29" s="58"/>
      <c r="Y29" s="58"/>
      <c r="Z29" s="58"/>
      <c r="AA29" s="58"/>
      <c r="AB29" s="58"/>
      <c r="AC29" s="58"/>
      <c r="AD29" s="58"/>
      <c r="AE29" s="58"/>
      <c r="AF29" s="58"/>
      <c r="AG29" s="58"/>
      <c r="AH29" s="58"/>
      <c r="AI29" s="58"/>
    </row>
    <row r="30" spans="1:35" customFormat="1" ht="30" customHeight="1">
      <c r="A30" s="77"/>
      <c r="B30" s="58"/>
      <c r="C30" s="58"/>
      <c r="D30" s="58"/>
      <c r="E30" s="124" t="s">
        <v>227</v>
      </c>
      <c r="F30" s="42"/>
      <c r="G30" s="42">
        <v>-95354</v>
      </c>
      <c r="H30" s="42">
        <v>-86129</v>
      </c>
      <c r="I30" s="42">
        <v>-24727</v>
      </c>
      <c r="J30" s="42">
        <v>-36851</v>
      </c>
      <c r="K30" s="42">
        <v>-27051</v>
      </c>
      <c r="L30" s="42">
        <v>-25913</v>
      </c>
      <c r="M30" s="42">
        <v>-43100</v>
      </c>
      <c r="N30" s="42">
        <v>-88637</v>
      </c>
      <c r="O30" s="42">
        <v>-75486</v>
      </c>
      <c r="P30" s="42">
        <v>-10563</v>
      </c>
      <c r="Q30" s="88"/>
      <c r="R30" s="58"/>
      <c r="S30" s="58"/>
      <c r="T30" s="58"/>
      <c r="U30" s="58"/>
      <c r="V30" s="58"/>
      <c r="W30" s="58"/>
      <c r="X30" s="58"/>
      <c r="Y30" s="58"/>
      <c r="Z30" s="58"/>
      <c r="AA30" s="58"/>
      <c r="AB30" s="58"/>
      <c r="AC30" s="58"/>
      <c r="AD30" s="58"/>
      <c r="AE30" s="58"/>
      <c r="AF30" s="58"/>
      <c r="AG30" s="58"/>
      <c r="AH30" s="58"/>
      <c r="AI30" s="58"/>
    </row>
    <row r="31" spans="1:35" customFormat="1" ht="30" customHeight="1">
      <c r="A31" s="77"/>
      <c r="B31" s="58"/>
      <c r="C31" s="58"/>
      <c r="D31" s="58"/>
      <c r="E31" s="124" t="s">
        <v>235</v>
      </c>
      <c r="F31" s="42"/>
      <c r="G31" s="42"/>
      <c r="H31" s="42">
        <v>216301</v>
      </c>
      <c r="I31" s="42">
        <v>260766</v>
      </c>
      <c r="J31" s="42">
        <v>285022</v>
      </c>
      <c r="K31" s="42">
        <v>366861</v>
      </c>
      <c r="L31" s="42">
        <v>398061</v>
      </c>
      <c r="M31" s="42">
        <v>562762</v>
      </c>
      <c r="N31" s="42">
        <v>1101761</v>
      </c>
      <c r="O31" s="42">
        <v>1221607</v>
      </c>
      <c r="P31" s="42">
        <v>337020</v>
      </c>
      <c r="Q31" s="88"/>
      <c r="R31" s="58"/>
      <c r="S31" s="58"/>
      <c r="T31" s="58"/>
      <c r="U31" s="58"/>
      <c r="V31" s="58"/>
      <c r="W31" s="58"/>
      <c r="X31" s="58"/>
      <c r="Y31" s="58"/>
      <c r="Z31" s="58"/>
      <c r="AA31" s="58"/>
      <c r="AB31" s="58"/>
      <c r="AC31" s="58"/>
      <c r="AD31" s="58"/>
      <c r="AE31" s="58"/>
      <c r="AF31" s="58"/>
      <c r="AG31" s="58"/>
      <c r="AH31" s="58"/>
      <c r="AI31" s="58"/>
    </row>
    <row r="32" spans="1:35" customFormat="1" ht="30" customHeight="1">
      <c r="A32" s="77"/>
      <c r="B32" s="58"/>
      <c r="C32" s="58"/>
      <c r="D32" s="58"/>
      <c r="E32" s="124" t="s">
        <v>228</v>
      </c>
      <c r="F32" s="42"/>
      <c r="G32" s="42"/>
      <c r="H32" s="42" t="s">
        <v>22</v>
      </c>
      <c r="I32" s="42">
        <v>82928</v>
      </c>
      <c r="J32" s="42">
        <v>62789</v>
      </c>
      <c r="K32" s="42">
        <v>47706</v>
      </c>
      <c r="L32" s="42">
        <v>59819</v>
      </c>
      <c r="M32" s="42">
        <v>149002</v>
      </c>
      <c r="N32" s="42">
        <v>71200</v>
      </c>
      <c r="O32" s="42">
        <v>49245</v>
      </c>
      <c r="P32" s="42">
        <v>21100</v>
      </c>
      <c r="Q32" s="88"/>
      <c r="R32" s="58"/>
      <c r="S32" s="58"/>
      <c r="T32" s="58"/>
      <c r="U32" s="58"/>
      <c r="V32" s="58"/>
      <c r="W32" s="58"/>
      <c r="X32" s="58"/>
      <c r="Y32" s="58"/>
      <c r="Z32" s="58"/>
      <c r="AA32" s="58"/>
      <c r="AB32" s="58"/>
      <c r="AC32" s="58"/>
      <c r="AD32" s="58"/>
      <c r="AE32" s="58"/>
      <c r="AF32" s="58"/>
      <c r="AG32" s="58"/>
      <c r="AH32" s="58"/>
      <c r="AI32" s="58"/>
    </row>
    <row r="33" spans="1:35" customFormat="1" ht="30" customHeight="1">
      <c r="A33" s="77"/>
      <c r="B33" s="58"/>
      <c r="C33" s="58"/>
      <c r="D33" s="58"/>
      <c r="E33" s="124" t="s">
        <v>229</v>
      </c>
      <c r="F33" s="42"/>
      <c r="G33" s="42" t="s">
        <v>22</v>
      </c>
      <c r="H33" s="42">
        <v>-27466</v>
      </c>
      <c r="I33" s="42" t="s">
        <v>22</v>
      </c>
      <c r="J33" s="42"/>
      <c r="K33" s="42"/>
      <c r="L33" s="42"/>
      <c r="M33" s="42"/>
      <c r="N33" s="42"/>
      <c r="O33" s="42"/>
      <c r="P33" s="42"/>
      <c r="Q33" s="88"/>
      <c r="R33" s="58"/>
      <c r="S33" s="58"/>
      <c r="T33" s="58"/>
      <c r="U33" s="58"/>
      <c r="V33" s="58"/>
      <c r="W33" s="58"/>
      <c r="X33" s="58"/>
      <c r="Y33" s="58"/>
      <c r="Z33" s="58"/>
      <c r="AA33" s="58"/>
      <c r="AB33" s="58"/>
      <c r="AC33" s="58"/>
      <c r="AD33" s="58"/>
      <c r="AE33" s="58"/>
      <c r="AF33" s="58"/>
      <c r="AG33" s="58"/>
      <c r="AH33" s="58"/>
      <c r="AI33" s="58"/>
    </row>
    <row r="34" spans="1:35" customFormat="1" ht="30" customHeight="1">
      <c r="A34" s="77"/>
      <c r="B34" s="58"/>
      <c r="C34" s="58"/>
      <c r="D34" s="58"/>
      <c r="E34" s="124" t="s">
        <v>230</v>
      </c>
      <c r="F34" s="42">
        <v>-18540</v>
      </c>
      <c r="G34" s="42">
        <v>-32258</v>
      </c>
      <c r="H34" s="42">
        <v>-68409</v>
      </c>
      <c r="I34" s="42">
        <v>-60680</v>
      </c>
      <c r="J34" s="42"/>
      <c r="K34" s="42"/>
      <c r="L34" s="42"/>
      <c r="M34" s="42"/>
      <c r="N34" s="42"/>
      <c r="O34" s="42"/>
      <c r="P34" s="42"/>
      <c r="Q34" s="88"/>
      <c r="R34" s="58"/>
      <c r="S34" s="58"/>
      <c r="T34" s="58"/>
      <c r="U34" s="58"/>
      <c r="V34" s="58"/>
      <c r="W34" s="58"/>
      <c r="X34" s="58"/>
      <c r="Y34" s="58"/>
      <c r="Z34" s="58"/>
      <c r="AA34" s="58"/>
      <c r="AB34" s="58"/>
      <c r="AC34" s="58"/>
      <c r="AD34" s="58"/>
      <c r="AE34" s="58"/>
      <c r="AF34" s="58"/>
      <c r="AG34" s="58"/>
      <c r="AH34" s="58"/>
      <c r="AI34" s="58"/>
    </row>
    <row r="35" spans="1:35" customFormat="1" ht="30" customHeight="1">
      <c r="A35" s="77"/>
      <c r="B35" s="58"/>
      <c r="C35" s="58"/>
      <c r="D35" s="58"/>
      <c r="E35" s="124" t="s">
        <v>231</v>
      </c>
      <c r="F35" s="42"/>
      <c r="G35" s="42"/>
      <c r="H35" s="42">
        <v>-9437</v>
      </c>
      <c r="I35" s="42">
        <v>-9255</v>
      </c>
      <c r="J35" s="42">
        <v>-10804</v>
      </c>
      <c r="K35" s="42">
        <v>-5710</v>
      </c>
      <c r="L35" s="42"/>
      <c r="M35" s="42"/>
      <c r="N35" s="42"/>
      <c r="O35" s="42"/>
      <c r="P35" s="42"/>
      <c r="Q35" s="88"/>
      <c r="R35" s="58"/>
      <c r="S35" s="58"/>
      <c r="T35" s="58"/>
      <c r="U35" s="58"/>
      <c r="V35" s="58"/>
      <c r="W35" s="58"/>
      <c r="X35" s="58"/>
      <c r="Y35" s="58"/>
      <c r="Z35" s="58"/>
      <c r="AA35" s="58"/>
      <c r="AB35" s="58"/>
      <c r="AC35" s="58"/>
      <c r="AD35" s="58"/>
      <c r="AE35" s="58"/>
      <c r="AF35" s="58"/>
      <c r="AG35" s="58"/>
      <c r="AH35" s="58"/>
      <c r="AI35" s="58"/>
    </row>
    <row r="36" spans="1:35" customFormat="1" ht="30" customHeight="1">
      <c r="A36" s="77"/>
      <c r="B36" s="58"/>
      <c r="C36" s="58"/>
      <c r="D36" s="58"/>
      <c r="E36" s="124" t="s">
        <v>171</v>
      </c>
      <c r="F36" s="42">
        <v>-623</v>
      </c>
      <c r="G36" s="42">
        <v>-5277</v>
      </c>
      <c r="H36" s="42">
        <v>-35206</v>
      </c>
      <c r="I36" s="42">
        <v>-35876</v>
      </c>
      <c r="J36" s="42">
        <v>-35528</v>
      </c>
      <c r="K36" s="42">
        <v>-27144</v>
      </c>
      <c r="L36" s="42"/>
      <c r="M36" s="42"/>
      <c r="N36" s="42"/>
      <c r="O36" s="42"/>
      <c r="P36" s="42"/>
      <c r="Q36" s="88"/>
      <c r="R36" s="58"/>
      <c r="S36" s="58"/>
      <c r="T36" s="58"/>
      <c r="U36" s="58"/>
      <c r="V36" s="58"/>
      <c r="W36" s="58"/>
      <c r="X36" s="58"/>
      <c r="Y36" s="58"/>
      <c r="Z36" s="58"/>
      <c r="AA36" s="58"/>
      <c r="AB36" s="58"/>
      <c r="AC36" s="58"/>
      <c r="AD36" s="58"/>
      <c r="AE36" s="58"/>
      <c r="AF36" s="58"/>
      <c r="AG36" s="58"/>
      <c r="AH36" s="58"/>
      <c r="AI36" s="58"/>
    </row>
    <row r="37" spans="1:35" customFormat="1" ht="30" customHeight="1">
      <c r="A37" s="77"/>
      <c r="B37" s="58"/>
      <c r="C37" s="58"/>
      <c r="D37" s="58"/>
      <c r="E37" s="124" t="s">
        <v>236</v>
      </c>
      <c r="F37" s="42">
        <v>-11744</v>
      </c>
      <c r="G37" s="42"/>
      <c r="H37" s="42"/>
      <c r="I37" s="42"/>
      <c r="J37" s="42"/>
      <c r="K37" s="42"/>
      <c r="L37" s="42"/>
      <c r="M37" s="42"/>
      <c r="N37" s="42"/>
      <c r="O37" s="42"/>
      <c r="P37" s="42"/>
      <c r="Q37" s="88"/>
      <c r="R37" s="58"/>
      <c r="S37" s="58"/>
      <c r="T37" s="58"/>
      <c r="U37" s="58"/>
      <c r="V37" s="58"/>
      <c r="W37" s="58"/>
      <c r="X37" s="58"/>
      <c r="Y37" s="58"/>
      <c r="Z37" s="58"/>
      <c r="AA37" s="58"/>
      <c r="AB37" s="58"/>
      <c r="AC37" s="58"/>
      <c r="AD37" s="58"/>
      <c r="AE37" s="58"/>
      <c r="AF37" s="58"/>
      <c r="AG37" s="58"/>
      <c r="AH37" s="58"/>
      <c r="AI37" s="58"/>
    </row>
    <row r="38" spans="1:35" customFormat="1" ht="30" customHeight="1">
      <c r="A38" s="77"/>
      <c r="B38" s="58"/>
      <c r="C38" s="58"/>
      <c r="D38" s="58"/>
      <c r="E38" s="124" t="s">
        <v>172</v>
      </c>
      <c r="F38" s="42">
        <v>-5267</v>
      </c>
      <c r="G38" s="42">
        <v>-4816</v>
      </c>
      <c r="H38" s="42">
        <v>-8732</v>
      </c>
      <c r="I38" s="42">
        <v>-10206</v>
      </c>
      <c r="J38" s="42">
        <v>-13677</v>
      </c>
      <c r="K38" s="42">
        <v>-17160</v>
      </c>
      <c r="L38" s="42"/>
      <c r="M38" s="42"/>
      <c r="N38" s="42"/>
      <c r="O38" s="42"/>
      <c r="P38" s="42"/>
      <c r="Q38" s="88"/>
      <c r="R38" s="58"/>
      <c r="S38" s="58"/>
      <c r="T38" s="58"/>
      <c r="U38" s="58"/>
      <c r="V38" s="58"/>
      <c r="W38" s="58"/>
      <c r="X38" s="58"/>
      <c r="Y38" s="58"/>
      <c r="Z38" s="58"/>
      <c r="AA38" s="58"/>
      <c r="AB38" s="58"/>
      <c r="AC38" s="58"/>
      <c r="AD38" s="58"/>
      <c r="AE38" s="58"/>
      <c r="AF38" s="58"/>
      <c r="AG38" s="58"/>
      <c r="AH38" s="58"/>
      <c r="AI38" s="58"/>
    </row>
    <row r="39" spans="1:35" customFormat="1" ht="30" customHeight="1">
      <c r="A39" s="77"/>
      <c r="B39" s="58"/>
      <c r="C39" s="58"/>
      <c r="D39" s="58"/>
      <c r="E39" s="124" t="s">
        <v>232</v>
      </c>
      <c r="F39" s="42"/>
      <c r="G39" s="42"/>
      <c r="H39" s="42">
        <v>-25653</v>
      </c>
      <c r="I39" s="42">
        <v>-55061</v>
      </c>
      <c r="J39" s="42"/>
      <c r="K39" s="42"/>
      <c r="L39" s="42"/>
      <c r="M39" s="42"/>
      <c r="N39" s="42"/>
      <c r="O39" s="42"/>
      <c r="P39" s="42"/>
      <c r="Q39" s="88"/>
      <c r="R39" s="58"/>
      <c r="S39" s="58"/>
      <c r="T39" s="58"/>
      <c r="U39" s="58"/>
      <c r="V39" s="58"/>
      <c r="W39" s="58"/>
      <c r="X39" s="58"/>
      <c r="Y39" s="58"/>
      <c r="Z39" s="58"/>
      <c r="AA39" s="58"/>
      <c r="AB39" s="58"/>
      <c r="AC39" s="58"/>
      <c r="AD39" s="58"/>
      <c r="AE39" s="58"/>
      <c r="AF39" s="58"/>
      <c r="AG39" s="58"/>
      <c r="AH39" s="58"/>
      <c r="AI39" s="58"/>
    </row>
    <row r="40" spans="1:35" customFormat="1" ht="30" customHeight="1">
      <c r="A40" s="77"/>
      <c r="B40" s="58"/>
      <c r="C40" s="58"/>
      <c r="D40" s="58"/>
      <c r="E40" s="124" t="s">
        <v>173</v>
      </c>
      <c r="F40" s="42"/>
      <c r="G40" s="42"/>
      <c r="H40" s="42">
        <v>-13822</v>
      </c>
      <c r="I40" s="42">
        <v>-13208</v>
      </c>
      <c r="J40" s="42">
        <v>-17120</v>
      </c>
      <c r="K40" s="42">
        <v>-8573</v>
      </c>
      <c r="L40" s="42"/>
      <c r="M40" s="42"/>
      <c r="N40" s="42"/>
      <c r="O40" s="42"/>
      <c r="P40" s="42"/>
      <c r="Q40" s="88"/>
      <c r="R40" s="58"/>
      <c r="S40" s="58"/>
      <c r="T40" s="58"/>
      <c r="U40" s="58"/>
      <c r="V40" s="58"/>
      <c r="W40" s="58"/>
      <c r="X40" s="58"/>
      <c r="Y40" s="58"/>
      <c r="Z40" s="58"/>
      <c r="AA40" s="58"/>
      <c r="AB40" s="58"/>
      <c r="AC40" s="58"/>
      <c r="AD40" s="58"/>
      <c r="AE40" s="58"/>
      <c r="AF40" s="58"/>
      <c r="AG40" s="58"/>
      <c r="AH40" s="58"/>
      <c r="AI40" s="58"/>
    </row>
    <row r="41" spans="1:35" customFormat="1" ht="30" customHeight="1">
      <c r="A41" s="77"/>
      <c r="B41" s="58"/>
      <c r="C41" s="58"/>
      <c r="D41" s="58"/>
      <c r="E41" s="124" t="s">
        <v>237</v>
      </c>
      <c r="F41" s="42">
        <v>-5514</v>
      </c>
      <c r="G41" s="42"/>
      <c r="H41" s="42"/>
      <c r="I41" s="42"/>
      <c r="J41" s="42"/>
      <c r="K41" s="42"/>
      <c r="L41" s="42"/>
      <c r="M41" s="42"/>
      <c r="N41" s="42"/>
      <c r="O41" s="42"/>
      <c r="P41" s="42"/>
      <c r="Q41" s="88"/>
      <c r="R41" s="58"/>
      <c r="S41" s="58"/>
      <c r="T41" s="58"/>
      <c r="U41" s="58"/>
      <c r="V41" s="58"/>
      <c r="W41" s="58"/>
      <c r="X41" s="58"/>
      <c r="Y41" s="58"/>
      <c r="Z41" s="58"/>
      <c r="AA41" s="58"/>
      <c r="AB41" s="58"/>
      <c r="AC41" s="58"/>
      <c r="AD41" s="58"/>
      <c r="AE41" s="58"/>
      <c r="AF41" s="58"/>
      <c r="AG41" s="58"/>
      <c r="AH41" s="58"/>
      <c r="AI41" s="58"/>
    </row>
    <row r="42" spans="1:35" customFormat="1" ht="30" customHeight="1">
      <c r="A42" s="77"/>
      <c r="B42" s="58"/>
      <c r="C42" s="58"/>
      <c r="D42" s="58"/>
      <c r="E42" s="124" t="s">
        <v>238</v>
      </c>
      <c r="F42" s="42">
        <v>-20532</v>
      </c>
      <c r="G42" s="42"/>
      <c r="H42" s="42"/>
      <c r="I42" s="42"/>
      <c r="J42" s="42"/>
      <c r="K42" s="42"/>
      <c r="L42" s="42"/>
      <c r="M42" s="42"/>
      <c r="N42" s="42"/>
      <c r="O42" s="42"/>
      <c r="P42" s="42"/>
      <c r="Q42" s="88"/>
      <c r="R42" s="58"/>
      <c r="S42" s="58"/>
      <c r="T42" s="58"/>
      <c r="U42" s="58"/>
      <c r="V42" s="58"/>
      <c r="W42" s="58"/>
      <c r="X42" s="58"/>
      <c r="Y42" s="58"/>
      <c r="Z42" s="58"/>
      <c r="AA42" s="58"/>
      <c r="AB42" s="58"/>
      <c r="AC42" s="58"/>
      <c r="AD42" s="58"/>
      <c r="AE42" s="58"/>
      <c r="AF42" s="58"/>
      <c r="AG42" s="58"/>
      <c r="AH42" s="58"/>
      <c r="AI42" s="58"/>
    </row>
    <row r="43" spans="1:35" customFormat="1" ht="30" customHeight="1">
      <c r="A43" s="77"/>
      <c r="B43" s="58"/>
      <c r="C43" s="58"/>
      <c r="D43" s="58"/>
      <c r="E43" s="124" t="s">
        <v>156</v>
      </c>
      <c r="F43" s="42">
        <v>-12038</v>
      </c>
      <c r="G43" s="42"/>
      <c r="H43" s="42"/>
      <c r="I43" s="42"/>
      <c r="J43" s="42"/>
      <c r="K43" s="42"/>
      <c r="L43" s="42"/>
      <c r="M43" s="42"/>
      <c r="N43" s="42"/>
      <c r="O43" s="42">
        <v>0</v>
      </c>
      <c r="P43" s="42"/>
      <c r="Q43" s="88"/>
      <c r="R43" s="58"/>
      <c r="S43" s="58"/>
      <c r="T43" s="58"/>
      <c r="U43" s="58"/>
      <c r="V43" s="58"/>
      <c r="W43" s="58"/>
      <c r="X43" s="58"/>
      <c r="Y43" s="58"/>
      <c r="Z43" s="58"/>
      <c r="AA43" s="58"/>
      <c r="AB43" s="58"/>
      <c r="AC43" s="58"/>
      <c r="AD43" s="58"/>
      <c r="AE43" s="58"/>
      <c r="AF43" s="58"/>
      <c r="AG43" s="58"/>
      <c r="AH43" s="58"/>
      <c r="AI43" s="58"/>
    </row>
    <row r="44" spans="1:35" customFormat="1" ht="30" customHeight="1">
      <c r="A44" s="77"/>
      <c r="B44" s="58"/>
      <c r="C44" s="58"/>
      <c r="D44" s="58"/>
      <c r="E44" s="124" t="s">
        <v>233</v>
      </c>
      <c r="F44" s="42"/>
      <c r="G44" s="42">
        <v>-90307</v>
      </c>
      <c r="H44" s="42"/>
      <c r="I44" s="42"/>
      <c r="J44" s="42"/>
      <c r="K44" s="42"/>
      <c r="L44" s="42"/>
      <c r="M44" s="42"/>
      <c r="N44" s="42"/>
      <c r="O44" s="42"/>
      <c r="P44" s="42"/>
      <c r="Q44" s="88"/>
      <c r="R44" s="58"/>
      <c r="S44" s="58"/>
      <c r="T44" s="58"/>
      <c r="U44" s="58"/>
      <c r="V44" s="58"/>
      <c r="W44" s="58"/>
      <c r="X44" s="58"/>
      <c r="Y44" s="58"/>
      <c r="Z44" s="58"/>
      <c r="AA44" s="58"/>
      <c r="AB44" s="58"/>
      <c r="AC44" s="58"/>
      <c r="AD44" s="58"/>
      <c r="AE44" s="58"/>
      <c r="AF44" s="58"/>
      <c r="AG44" s="58"/>
      <c r="AH44" s="58"/>
      <c r="AI44" s="58"/>
    </row>
    <row r="45" spans="1:35" customFormat="1" ht="30" customHeight="1">
      <c r="A45" s="77"/>
      <c r="B45" s="58"/>
      <c r="C45" s="58"/>
      <c r="D45" s="58"/>
      <c r="E45" s="124" t="s">
        <v>234</v>
      </c>
      <c r="F45" s="42">
        <f>-62122-52880</f>
        <v>-115002</v>
      </c>
      <c r="G45" s="42">
        <v>-324204</v>
      </c>
      <c r="H45" s="42">
        <v>-54862</v>
      </c>
      <c r="I45" s="42">
        <v>-234942</v>
      </c>
      <c r="J45" s="42">
        <v>-258611</v>
      </c>
      <c r="K45" s="42">
        <v>-334244</v>
      </c>
      <c r="L45" s="42">
        <v>-445136</v>
      </c>
      <c r="M45" s="42">
        <v>-627907</v>
      </c>
      <c r="N45" s="42">
        <v>-1158358</v>
      </c>
      <c r="O45" s="42">
        <v>-891057</v>
      </c>
      <c r="P45" s="42">
        <v>-329099</v>
      </c>
      <c r="Q45" s="88"/>
      <c r="R45" s="58"/>
      <c r="S45" s="58"/>
      <c r="T45" s="58"/>
      <c r="U45" s="58"/>
      <c r="V45" s="58"/>
      <c r="W45" s="58"/>
      <c r="X45" s="58"/>
      <c r="Y45" s="58"/>
      <c r="Z45" s="58"/>
      <c r="AA45" s="58"/>
      <c r="AB45" s="58"/>
      <c r="AC45" s="58"/>
      <c r="AD45" s="58"/>
      <c r="AE45" s="58"/>
      <c r="AF45" s="58"/>
      <c r="AG45" s="58"/>
      <c r="AH45" s="58"/>
      <c r="AI45" s="58"/>
    </row>
    <row r="46" spans="1:35" customFormat="1" ht="30" customHeight="1">
      <c r="A46" s="77"/>
      <c r="B46" s="4"/>
      <c r="C46" s="4"/>
      <c r="D46" s="4"/>
      <c r="E46" s="294" t="s">
        <v>239</v>
      </c>
      <c r="F46" s="176">
        <f>'DRE Consolidado'!K32</f>
        <v>94</v>
      </c>
      <c r="G46" s="176">
        <f>'DRE Consolidado'!L32</f>
        <v>71</v>
      </c>
      <c r="H46" s="176">
        <f>'DRE Consolidado'!M32</f>
        <v>0</v>
      </c>
      <c r="I46" s="176">
        <f>'DRE Consolidado'!N32</f>
        <v>0</v>
      </c>
      <c r="J46" s="176">
        <f>'DRE Consolidado'!O32</f>
        <v>-960</v>
      </c>
      <c r="K46" s="176">
        <f>'DRE Consolidado'!P32</f>
        <v>-1201</v>
      </c>
      <c r="L46" s="176">
        <f>'DRE Consolidado'!Q32</f>
        <v>-515</v>
      </c>
      <c r="M46" s="176">
        <f>'DRE Consolidado'!R32</f>
        <v>-1534</v>
      </c>
      <c r="N46" s="176">
        <v>0</v>
      </c>
      <c r="O46" s="176">
        <v>0</v>
      </c>
      <c r="P46" s="176">
        <v>0</v>
      </c>
      <c r="Q46" s="88"/>
      <c r="R46" s="4"/>
      <c r="S46" s="4"/>
      <c r="T46" s="4"/>
      <c r="U46" s="4"/>
      <c r="V46" s="4"/>
      <c r="W46" s="4"/>
      <c r="X46" s="4"/>
      <c r="Y46" s="4"/>
      <c r="Z46" s="4"/>
      <c r="AA46" s="4"/>
      <c r="AB46" s="4"/>
      <c r="AC46" s="4"/>
      <c r="AD46" s="4"/>
      <c r="AE46" s="4"/>
      <c r="AF46" s="4"/>
      <c r="AG46" s="4"/>
      <c r="AH46" s="4"/>
      <c r="AI46" s="4"/>
    </row>
    <row r="47" spans="1:35" customFormat="1" ht="30" customHeight="1" thickBot="1">
      <c r="A47" s="77"/>
      <c r="B47" s="4"/>
      <c r="C47" s="4"/>
      <c r="D47" s="4"/>
      <c r="E47" s="125" t="s">
        <v>61</v>
      </c>
      <c r="F47" s="126">
        <f t="shared" ref="F47:P47" si="0">SUM(F10:F46)</f>
        <v>-5070999</v>
      </c>
      <c r="G47" s="126">
        <f t="shared" si="0"/>
        <v>-5396873</v>
      </c>
      <c r="H47" s="126">
        <f t="shared" si="0"/>
        <v>-6024333</v>
      </c>
      <c r="I47" s="126">
        <f t="shared" si="0"/>
        <v>-6551334</v>
      </c>
      <c r="J47" s="126">
        <f t="shared" si="0"/>
        <v>-7114672</v>
      </c>
      <c r="K47" s="126">
        <f t="shared" si="0"/>
        <v>-8487044</v>
      </c>
      <c r="L47" s="126">
        <f t="shared" si="0"/>
        <v>-8777075</v>
      </c>
      <c r="M47" s="126">
        <f t="shared" si="0"/>
        <v>-10735668</v>
      </c>
      <c r="N47" s="126">
        <f t="shared" si="0"/>
        <v>-19267785</v>
      </c>
      <c r="O47" s="126">
        <f t="shared" si="0"/>
        <v>-26984269</v>
      </c>
      <c r="P47" s="126">
        <f t="shared" si="0"/>
        <v>-7567976</v>
      </c>
      <c r="Q47" s="4"/>
      <c r="R47" s="4"/>
      <c r="S47" s="4"/>
      <c r="T47" s="4"/>
      <c r="U47" s="4"/>
      <c r="V47" s="4"/>
      <c r="W47" s="4"/>
      <c r="X47" s="4"/>
      <c r="Y47" s="4"/>
      <c r="Z47" s="4"/>
      <c r="AA47" s="4"/>
      <c r="AB47" s="4"/>
      <c r="AC47" s="4"/>
      <c r="AD47" s="4"/>
      <c r="AE47" s="4"/>
      <c r="AF47" s="4"/>
      <c r="AG47" s="4"/>
      <c r="AH47" s="4"/>
      <c r="AI47" s="4"/>
    </row>
    <row r="48" spans="1:35" customFormat="1" ht="30" customHeight="1">
      <c r="A48" s="77"/>
      <c r="B48" s="4"/>
      <c r="C48" s="4"/>
      <c r="D48" s="4"/>
      <c r="E48" s="4"/>
      <c r="F48" s="127"/>
      <c r="G48" s="127"/>
      <c r="H48" s="127"/>
      <c r="I48" s="127"/>
      <c r="J48" s="127"/>
      <c r="K48" s="127"/>
      <c r="L48" s="127"/>
      <c r="M48" s="127"/>
      <c r="N48" s="127"/>
      <c r="O48" s="127"/>
      <c r="P48" s="127"/>
      <c r="Q48" s="4"/>
      <c r="R48" s="4"/>
      <c r="S48" s="4"/>
      <c r="T48" s="4"/>
      <c r="U48" s="4"/>
      <c r="V48" s="4"/>
      <c r="W48" s="4"/>
      <c r="X48" s="4"/>
      <c r="Y48" s="4"/>
      <c r="Z48" s="4"/>
      <c r="AA48" s="4"/>
      <c r="AB48" s="4"/>
      <c r="AC48" s="4"/>
      <c r="AD48" s="4"/>
      <c r="AE48" s="4"/>
      <c r="AF48" s="4"/>
      <c r="AG48" s="4"/>
      <c r="AH48" s="4"/>
      <c r="AI48" s="4"/>
    </row>
    <row r="49" spans="1:35" customFormat="1" ht="30" customHeight="1">
      <c r="A49" s="77"/>
      <c r="B49" s="4"/>
      <c r="C49" s="4"/>
      <c r="D49" s="4"/>
      <c r="E49" s="10"/>
      <c r="F49" s="127"/>
      <c r="G49" s="127"/>
      <c r="H49" s="127"/>
      <c r="I49" s="127"/>
      <c r="J49" s="127"/>
      <c r="K49" s="127"/>
      <c r="L49" s="127"/>
      <c r="M49" s="127"/>
      <c r="N49" s="127"/>
      <c r="O49" s="127"/>
      <c r="P49" s="127"/>
      <c r="Q49" s="4"/>
      <c r="R49" s="4"/>
      <c r="S49" s="4"/>
      <c r="T49" s="4"/>
      <c r="U49" s="4"/>
      <c r="V49" s="4"/>
      <c r="W49" s="4"/>
      <c r="X49" s="4"/>
      <c r="Y49" s="4"/>
      <c r="Z49" s="4"/>
      <c r="AA49" s="4"/>
      <c r="AB49" s="4"/>
      <c r="AC49" s="4"/>
      <c r="AD49" s="4"/>
      <c r="AE49" s="4"/>
      <c r="AF49" s="4"/>
      <c r="AG49" s="4"/>
      <c r="AH49" s="4"/>
      <c r="AI49" s="4"/>
    </row>
    <row r="50" spans="1:35" customFormat="1" ht="30" customHeight="1">
      <c r="A50" s="77"/>
      <c r="B50" s="4"/>
      <c r="C50" s="4"/>
      <c r="D50" s="4"/>
      <c r="E50" s="29"/>
      <c r="F50" s="5"/>
      <c r="G50" s="5"/>
      <c r="H50" s="5"/>
      <c r="I50" s="5"/>
      <c r="J50" s="5"/>
      <c r="K50" s="5"/>
      <c r="L50" s="66"/>
      <c r="M50" s="66"/>
      <c r="N50" s="66"/>
      <c r="O50" s="66"/>
      <c r="P50" s="66"/>
      <c r="Q50" s="88"/>
      <c r="R50" s="127"/>
      <c r="S50" s="4"/>
      <c r="T50" s="4"/>
      <c r="U50" s="4"/>
      <c r="V50" s="4"/>
      <c r="W50" s="4"/>
      <c r="X50" s="4"/>
      <c r="Y50" s="4"/>
      <c r="Z50" s="4"/>
      <c r="AA50" s="4"/>
      <c r="AB50" s="4"/>
      <c r="AC50" s="4"/>
      <c r="AD50" s="4"/>
      <c r="AE50" s="4"/>
      <c r="AF50" s="4"/>
      <c r="AG50" s="4"/>
      <c r="AH50" s="4"/>
      <c r="AI50" s="4"/>
    </row>
    <row r="51" spans="1:35" customFormat="1" ht="30" customHeight="1">
      <c r="A51" s="77"/>
      <c r="B51" s="4"/>
      <c r="C51" s="4"/>
      <c r="D51" s="4"/>
      <c r="E51" s="124"/>
      <c r="F51" s="37">
        <v>2014</v>
      </c>
      <c r="G51" s="37">
        <v>2015</v>
      </c>
      <c r="H51" s="37">
        <v>2016</v>
      </c>
      <c r="I51" s="37">
        <v>2017</v>
      </c>
      <c r="J51" s="37">
        <v>2018</v>
      </c>
      <c r="K51" s="37">
        <v>2019</v>
      </c>
      <c r="L51" s="37">
        <v>2020</v>
      </c>
      <c r="M51" s="37">
        <v>2021</v>
      </c>
      <c r="N51" s="37">
        <v>2022</v>
      </c>
      <c r="O51" s="37">
        <v>2023</v>
      </c>
      <c r="P51" s="37" t="str">
        <f>P9</f>
        <v>YTD</v>
      </c>
      <c r="Q51" s="88"/>
      <c r="R51" s="4"/>
      <c r="S51" s="4"/>
      <c r="T51" s="4"/>
      <c r="U51" s="4"/>
      <c r="V51" s="4"/>
      <c r="W51" s="4"/>
      <c r="X51" s="4"/>
      <c r="Y51" s="4"/>
      <c r="Z51" s="4"/>
      <c r="AA51" s="4"/>
      <c r="AB51" s="4"/>
      <c r="AC51" s="4"/>
      <c r="AD51" s="4"/>
      <c r="AE51" s="4"/>
      <c r="AF51" s="4"/>
      <c r="AG51" s="4"/>
      <c r="AH51" s="4"/>
      <c r="AI51" s="4"/>
    </row>
    <row r="52" spans="1:35" customFormat="1" ht="30" customHeight="1">
      <c r="A52" s="77"/>
      <c r="B52" s="4"/>
      <c r="C52" s="4"/>
      <c r="D52" s="4"/>
      <c r="E52" s="124" t="s">
        <v>12</v>
      </c>
      <c r="F52" s="42">
        <f>'DRE Consolidado'!K16</f>
        <v>5539194</v>
      </c>
      <c r="G52" s="42">
        <f>'DRE Consolidado'!L16</f>
        <v>5989912</v>
      </c>
      <c r="H52" s="42">
        <f>'DRE Consolidado'!M16</f>
        <v>6523116</v>
      </c>
      <c r="I52" s="42">
        <f>'DRE Consolidado'!N16</f>
        <v>7255804</v>
      </c>
      <c r="J52" s="42">
        <f>'DRE Consolidado'!O16</f>
        <v>8075389</v>
      </c>
      <c r="K52" s="42">
        <f>'DRE Consolidado'!P16</f>
        <v>9686209</v>
      </c>
      <c r="L52" s="42">
        <f>'DRE Consolidado'!Q16</f>
        <v>9807057</v>
      </c>
      <c r="M52" s="42">
        <f>'DRE Consolidado'!R16</f>
        <v>13866219</v>
      </c>
      <c r="N52" s="42">
        <f>'DRE Consolidado'!S16</f>
        <v>24381791</v>
      </c>
      <c r="O52" s="42">
        <f>'DRE Consolidado'!T16</f>
        <v>31843613</v>
      </c>
      <c r="P52" s="42">
        <f>'DRE Consolidado'!U16</f>
        <v>9146986</v>
      </c>
      <c r="Q52" s="88"/>
      <c r="R52" s="4"/>
      <c r="S52" s="4"/>
      <c r="T52" s="4"/>
      <c r="U52" s="4"/>
      <c r="V52" s="4"/>
      <c r="W52" s="4"/>
      <c r="X52" s="4"/>
      <c r="Y52" s="4"/>
      <c r="Z52" s="4"/>
      <c r="AA52" s="4"/>
      <c r="AB52" s="4"/>
      <c r="AC52" s="4"/>
      <c r="AD52" s="4"/>
      <c r="AE52" s="4"/>
      <c r="AF52" s="4"/>
      <c r="AG52" s="4"/>
      <c r="AH52" s="4"/>
      <c r="AI52" s="4"/>
    </row>
    <row r="53" spans="1:35" customFormat="1" ht="30" customHeight="1">
      <c r="A53" s="77"/>
      <c r="B53" s="4"/>
      <c r="C53" s="4"/>
      <c r="D53" s="4"/>
      <c r="E53" s="124" t="s">
        <v>73</v>
      </c>
      <c r="F53" s="42">
        <f>'DRE Consolidado'!K18+'DRE Consolidado'!K20+'DRE Consolidado'!K23</f>
        <v>-5079092</v>
      </c>
      <c r="G53" s="42">
        <f>'DRE Consolidado'!L18+'DRE Consolidado'!L20+'DRE Consolidado'!L23</f>
        <v>-5406457</v>
      </c>
      <c r="H53" s="42">
        <f>'DRE Consolidado'!M18+'DRE Consolidado'!M20+'DRE Consolidado'!M23</f>
        <v>-6024333</v>
      </c>
      <c r="I53" s="42">
        <f>'DRE Consolidado'!N18+'DRE Consolidado'!N20+'DRE Consolidado'!N23</f>
        <v>-6551334</v>
      </c>
      <c r="J53" s="42">
        <f>'DRE Consolidado'!O18+'DRE Consolidado'!O20+'DRE Consolidado'!O23</f>
        <v>-7114672</v>
      </c>
      <c r="K53" s="42">
        <f>'DRE Consolidado'!P18+'DRE Consolidado'!P20+'DRE Consolidado'!P23</f>
        <v>-8487044</v>
      </c>
      <c r="L53" s="42">
        <f>'DRE Consolidado'!Q18+'DRE Consolidado'!Q20+'DRE Consolidado'!Q23</f>
        <v>-8777075</v>
      </c>
      <c r="M53" s="42">
        <f>'DRE Consolidado'!R18+'DRE Consolidado'!R20+'DRE Consolidado'!R23</f>
        <v>-10735668</v>
      </c>
      <c r="N53" s="42">
        <f>'DRE Consolidado'!S18+'DRE Consolidado'!S20+'DRE Consolidado'!S23</f>
        <v>-19264975</v>
      </c>
      <c r="O53" s="42">
        <f>'DRE Consolidado'!T18+'DRE Consolidado'!T20+'DRE Consolidado'!T23</f>
        <v>-26948942</v>
      </c>
      <c r="P53" s="42">
        <f>'DRE Consolidado'!U18+'DRE Consolidado'!U20+'DRE Consolidado'!U23</f>
        <v>-7569023</v>
      </c>
      <c r="Q53" s="88"/>
      <c r="R53" s="4"/>
      <c r="S53" s="4"/>
      <c r="T53" s="4"/>
      <c r="U53" s="4"/>
      <c r="V53" s="4"/>
      <c r="W53" s="4"/>
      <c r="X53" s="4"/>
      <c r="Y53" s="4"/>
      <c r="Z53" s="4"/>
      <c r="AA53" s="4"/>
      <c r="AB53" s="4"/>
      <c r="AC53" s="4"/>
      <c r="AD53" s="4"/>
      <c r="AE53" s="4"/>
      <c r="AF53" s="4"/>
      <c r="AG53" s="4"/>
      <c r="AH53" s="4"/>
      <c r="AI53" s="4"/>
    </row>
    <row r="54" spans="1:35" customFormat="1" ht="30" customHeight="1">
      <c r="A54" s="77"/>
      <c r="B54" s="4"/>
      <c r="C54" s="4"/>
      <c r="D54" s="4"/>
      <c r="E54" s="124" t="s">
        <v>16</v>
      </c>
      <c r="F54" s="42">
        <f>SUM(F52:F53)</f>
        <v>460102</v>
      </c>
      <c r="G54" s="42">
        <f t="shared" ref="G54:H54" si="1">SUM(G52:G53)</f>
        <v>583455</v>
      </c>
      <c r="H54" s="42">
        <f t="shared" si="1"/>
        <v>498783</v>
      </c>
      <c r="I54" s="42">
        <f t="shared" ref="I54:L54" si="2">SUM(I52:I53)</f>
        <v>704470</v>
      </c>
      <c r="J54" s="42">
        <f t="shared" si="2"/>
        <v>960717</v>
      </c>
      <c r="K54" s="42">
        <f t="shared" si="2"/>
        <v>1199165</v>
      </c>
      <c r="L54" s="42">
        <f t="shared" si="2"/>
        <v>1029982</v>
      </c>
      <c r="M54" s="211">
        <f t="shared" ref="M54:P54" si="3">SUM(M52:M53)</f>
        <v>3130551</v>
      </c>
      <c r="N54" s="211">
        <f t="shared" si="3"/>
        <v>5116816</v>
      </c>
      <c r="O54" s="211">
        <f t="shared" si="3"/>
        <v>4894671</v>
      </c>
      <c r="P54" s="211">
        <f t="shared" si="3"/>
        <v>1577963</v>
      </c>
      <c r="Q54" s="88"/>
      <c r="R54" s="4"/>
      <c r="S54" s="4"/>
      <c r="T54" s="4"/>
      <c r="U54" s="4"/>
      <c r="V54" s="4"/>
      <c r="W54" s="4"/>
      <c r="X54" s="4"/>
      <c r="Y54" s="4"/>
      <c r="Z54" s="4"/>
      <c r="AA54" s="4"/>
      <c r="AB54" s="4"/>
      <c r="AC54" s="4"/>
      <c r="AD54" s="4"/>
      <c r="AE54" s="4"/>
      <c r="AF54" s="4"/>
      <c r="AG54" s="4"/>
      <c r="AH54" s="4"/>
      <c r="AI54" s="4"/>
    </row>
    <row r="55" spans="1:35" customFormat="1" ht="30" customHeight="1">
      <c r="A55" s="77"/>
      <c r="B55" s="4"/>
      <c r="C55" s="4"/>
      <c r="D55" s="4"/>
      <c r="E55" s="128" t="s">
        <v>50</v>
      </c>
      <c r="F55" s="44">
        <f>F54/F52</f>
        <v>8.3062987142172667E-2</v>
      </c>
      <c r="G55" s="44">
        <f t="shared" ref="G55:N55" si="4">G54/G52</f>
        <v>9.7406272412683195E-2</v>
      </c>
      <c r="H55" s="44">
        <f t="shared" si="4"/>
        <v>7.6463916937856077E-2</v>
      </c>
      <c r="I55" s="44">
        <f t="shared" si="4"/>
        <v>9.7090549854985053E-2</v>
      </c>
      <c r="J55" s="44">
        <f t="shared" si="4"/>
        <v>0.11896851037145084</v>
      </c>
      <c r="K55" s="44">
        <f t="shared" si="4"/>
        <v>0.12380127251022562</v>
      </c>
      <c r="L55" s="44">
        <f t="shared" si="4"/>
        <v>0.10502457567035656</v>
      </c>
      <c r="M55" s="44">
        <f t="shared" si="4"/>
        <v>0.22576817804478641</v>
      </c>
      <c r="N55" s="44">
        <f t="shared" si="4"/>
        <v>0.2098621877285389</v>
      </c>
      <c r="O55" s="44">
        <f t="shared" ref="O55:P55" si="5">O54/O52</f>
        <v>0.15370966227984242</v>
      </c>
      <c r="P55" s="44">
        <f t="shared" si="5"/>
        <v>0.17251179787527826</v>
      </c>
      <c r="Q55" s="88"/>
      <c r="R55" s="4"/>
      <c r="S55" s="4"/>
      <c r="T55" s="4"/>
      <c r="U55" s="4"/>
      <c r="V55" s="4"/>
      <c r="W55" s="4"/>
      <c r="X55" s="4"/>
      <c r="Y55" s="4"/>
      <c r="Z55" s="4"/>
      <c r="AA55" s="4"/>
      <c r="AB55" s="4"/>
      <c r="AC55" s="4"/>
      <c r="AD55" s="4"/>
      <c r="AE55" s="4"/>
      <c r="AF55" s="4"/>
      <c r="AG55" s="4"/>
      <c r="AH55" s="4"/>
      <c r="AI55" s="4"/>
    </row>
    <row r="56" spans="1:35" customFormat="1" ht="30" customHeight="1">
      <c r="A56" s="77"/>
      <c r="B56" s="4"/>
      <c r="C56" s="4"/>
      <c r="D56" s="4"/>
      <c r="E56" s="124" t="s">
        <v>62</v>
      </c>
      <c r="F56" s="42">
        <f t="shared" ref="F56:P56" si="6">SUM(F25,F26,F32,F33)</f>
        <v>-24516</v>
      </c>
      <c r="G56" s="42">
        <f t="shared" si="6"/>
        <v>-6205</v>
      </c>
      <c r="H56" s="42">
        <f t="shared" si="6"/>
        <v>-62221</v>
      </c>
      <c r="I56" s="42">
        <f t="shared" si="6"/>
        <v>34204</v>
      </c>
      <c r="J56" s="42">
        <f t="shared" si="6"/>
        <v>30444</v>
      </c>
      <c r="K56" s="42">
        <f t="shared" si="6"/>
        <v>-929</v>
      </c>
      <c r="L56" s="42">
        <f t="shared" si="6"/>
        <v>-141683</v>
      </c>
      <c r="M56" s="42">
        <f t="shared" si="6"/>
        <v>107566</v>
      </c>
      <c r="N56" s="42">
        <f t="shared" si="6"/>
        <v>12526</v>
      </c>
      <c r="O56" s="42">
        <f t="shared" si="6"/>
        <v>-16503</v>
      </c>
      <c r="P56" s="42">
        <f t="shared" si="6"/>
        <v>-6956</v>
      </c>
      <c r="Q56" s="88"/>
      <c r="R56" s="4"/>
      <c r="S56" s="4"/>
      <c r="T56" s="4"/>
      <c r="U56" s="4"/>
      <c r="V56" s="4"/>
      <c r="W56" s="4"/>
      <c r="X56" s="4"/>
      <c r="Y56" s="4"/>
      <c r="Z56" s="4"/>
      <c r="AA56" s="4"/>
      <c r="AB56" s="4"/>
      <c r="AC56" s="4"/>
      <c r="AD56" s="4"/>
      <c r="AE56" s="4"/>
      <c r="AF56" s="4"/>
      <c r="AG56" s="4"/>
      <c r="AH56" s="4"/>
      <c r="AI56" s="4"/>
    </row>
    <row r="57" spans="1:35" customFormat="1" ht="30" customHeight="1">
      <c r="A57" s="77"/>
      <c r="B57" s="4"/>
      <c r="C57" s="4"/>
      <c r="D57" s="4"/>
      <c r="E57" s="129" t="s">
        <v>63</v>
      </c>
      <c r="F57" s="46">
        <f>F54-F56</f>
        <v>484618</v>
      </c>
      <c r="G57" s="46">
        <f t="shared" ref="G57:H57" si="7">G54-G56</f>
        <v>589660</v>
      </c>
      <c r="H57" s="46">
        <f t="shared" si="7"/>
        <v>561004</v>
      </c>
      <c r="I57" s="46">
        <f t="shared" ref="I57:L57" si="8">I54-I56</f>
        <v>670266</v>
      </c>
      <c r="J57" s="46">
        <f t="shared" si="8"/>
        <v>930273</v>
      </c>
      <c r="K57" s="46">
        <f t="shared" si="8"/>
        <v>1200094</v>
      </c>
      <c r="L57" s="46">
        <f t="shared" si="8"/>
        <v>1171665</v>
      </c>
      <c r="M57" s="212">
        <f t="shared" ref="M57:N57" si="9">M54-M56</f>
        <v>3022985</v>
      </c>
      <c r="N57" s="212">
        <f t="shared" si="9"/>
        <v>5104290</v>
      </c>
      <c r="O57" s="212">
        <f t="shared" ref="O57:P57" si="10">O54-O56</f>
        <v>4911174</v>
      </c>
      <c r="P57" s="212">
        <f t="shared" si="10"/>
        <v>1584919</v>
      </c>
      <c r="Q57" s="88"/>
      <c r="R57" s="4"/>
      <c r="S57" s="4"/>
      <c r="T57" s="4"/>
      <c r="U57" s="4"/>
      <c r="V57" s="4"/>
      <c r="W57" s="4"/>
      <c r="X57" s="4"/>
      <c r="Y57" s="4"/>
      <c r="Z57" s="4"/>
      <c r="AA57" s="4"/>
      <c r="AB57" s="4"/>
      <c r="AC57" s="4"/>
      <c r="AD57" s="4"/>
      <c r="AE57" s="4"/>
      <c r="AF57" s="4"/>
      <c r="AG57" s="4"/>
      <c r="AH57" s="4"/>
      <c r="AI57" s="4"/>
    </row>
    <row r="58" spans="1:35" customFormat="1" ht="30" customHeight="1">
      <c r="A58" s="77"/>
      <c r="B58" s="4"/>
      <c r="C58" s="4"/>
      <c r="D58" s="4"/>
      <c r="E58" s="128" t="s">
        <v>64</v>
      </c>
      <c r="F58" s="187">
        <f t="shared" ref="F58:O58" si="11">F57/F52</f>
        <v>8.7488901814957193E-2</v>
      </c>
      <c r="G58" s="187">
        <f t="shared" si="11"/>
        <v>9.8442180786629252E-2</v>
      </c>
      <c r="H58" s="187">
        <f t="shared" si="11"/>
        <v>8.6002456494718174E-2</v>
      </c>
      <c r="I58" s="187">
        <f t="shared" si="11"/>
        <v>9.237653056780476E-2</v>
      </c>
      <c r="J58" s="187">
        <f t="shared" si="11"/>
        <v>0.11519853718501982</v>
      </c>
      <c r="K58" s="187">
        <f t="shared" si="11"/>
        <v>0.12389718206575968</v>
      </c>
      <c r="L58" s="187">
        <f t="shared" si="11"/>
        <v>0.11947162130290463</v>
      </c>
      <c r="M58" s="187">
        <f t="shared" si="11"/>
        <v>0.21801076414558287</v>
      </c>
      <c r="N58" s="187">
        <f t="shared" si="11"/>
        <v>0.20934844368077801</v>
      </c>
      <c r="O58" s="187">
        <f t="shared" si="11"/>
        <v>0.15422791377347791</v>
      </c>
      <c r="P58" s="187">
        <f t="shared" ref="P58" si="12">P57/P52</f>
        <v>0.17327226695219605</v>
      </c>
      <c r="Q58" s="88"/>
      <c r="R58" s="4"/>
      <c r="S58" s="4"/>
      <c r="T58" s="4"/>
      <c r="U58" s="4"/>
      <c r="V58" s="4"/>
      <c r="W58" s="4"/>
      <c r="X58" s="4"/>
      <c r="Y58" s="4"/>
      <c r="Z58" s="4"/>
      <c r="AA58" s="4"/>
      <c r="AB58" s="4"/>
      <c r="AC58" s="4"/>
      <c r="AD58" s="4"/>
      <c r="AE58" s="4"/>
      <c r="AF58" s="4"/>
      <c r="AG58" s="4"/>
      <c r="AH58" s="4"/>
      <c r="AI58" s="4"/>
    </row>
    <row r="59" spans="1:35" customFormat="1" ht="30" customHeight="1">
      <c r="A59" s="77"/>
      <c r="B59" s="4"/>
      <c r="C59" s="4"/>
      <c r="D59" s="4"/>
      <c r="E59" s="128" t="s">
        <v>490</v>
      </c>
      <c r="F59" s="42">
        <f t="shared" ref="F59:O59" si="13">F126/34%</f>
        <v>0</v>
      </c>
      <c r="G59" s="42">
        <f t="shared" si="13"/>
        <v>0</v>
      </c>
      <c r="H59" s="42">
        <f t="shared" si="13"/>
        <v>0</v>
      </c>
      <c r="I59" s="42">
        <f t="shared" si="13"/>
        <v>0</v>
      </c>
      <c r="J59" s="42">
        <f t="shared" si="13"/>
        <v>0</v>
      </c>
      <c r="K59" s="42">
        <f t="shared" si="13"/>
        <v>31564.705882352941</v>
      </c>
      <c r="L59" s="42">
        <f t="shared" si="13"/>
        <v>29579.411764705881</v>
      </c>
      <c r="M59" s="42">
        <f t="shared" si="13"/>
        <v>34847.058823529413</v>
      </c>
      <c r="N59" s="42">
        <f t="shared" si="13"/>
        <v>488523.5294117647</v>
      </c>
      <c r="O59" s="42">
        <f t="shared" si="13"/>
        <v>537614.70588235289</v>
      </c>
      <c r="P59" s="42">
        <f t="shared" ref="P59" si="14">P126/34%</f>
        <v>0</v>
      </c>
      <c r="Q59" s="88"/>
      <c r="R59" s="4"/>
      <c r="S59" s="4"/>
      <c r="T59" s="4"/>
      <c r="U59" s="4"/>
      <c r="V59" s="4"/>
      <c r="W59" s="4"/>
      <c r="X59" s="4"/>
      <c r="Y59" s="4"/>
      <c r="Z59" s="4"/>
      <c r="AA59" s="4"/>
      <c r="AB59" s="4"/>
      <c r="AC59" s="4"/>
      <c r="AD59" s="4"/>
      <c r="AE59" s="4"/>
      <c r="AF59" s="4"/>
      <c r="AG59" s="4"/>
      <c r="AH59" s="4"/>
      <c r="AI59" s="4"/>
    </row>
    <row r="60" spans="1:35" customFormat="1" ht="30" customHeight="1">
      <c r="A60" s="77"/>
      <c r="B60" s="4"/>
      <c r="C60" s="4"/>
      <c r="D60" s="4"/>
      <c r="E60" s="128" t="s">
        <v>491</v>
      </c>
      <c r="F60" s="42">
        <f>F57-F59</f>
        <v>484618</v>
      </c>
      <c r="G60" s="42">
        <f t="shared" ref="G60:O60" si="15">G57-G59</f>
        <v>589660</v>
      </c>
      <c r="H60" s="42">
        <f t="shared" si="15"/>
        <v>561004</v>
      </c>
      <c r="I60" s="42">
        <f t="shared" si="15"/>
        <v>670266</v>
      </c>
      <c r="J60" s="42">
        <f t="shared" si="15"/>
        <v>930273</v>
      </c>
      <c r="K60" s="42">
        <f t="shared" si="15"/>
        <v>1168529.294117647</v>
      </c>
      <c r="L60" s="42">
        <f t="shared" si="15"/>
        <v>1142085.5882352942</v>
      </c>
      <c r="M60" s="42">
        <f t="shared" si="15"/>
        <v>2988137.9411764704</v>
      </c>
      <c r="N60" s="42">
        <f t="shared" si="15"/>
        <v>4615766.4705882352</v>
      </c>
      <c r="O60" s="42">
        <f t="shared" si="15"/>
        <v>4373559.2941176472</v>
      </c>
      <c r="P60" s="42">
        <f t="shared" ref="P60" si="16">P57-P59</f>
        <v>1584919</v>
      </c>
      <c r="Q60" s="88"/>
      <c r="R60" s="4"/>
      <c r="S60" s="4"/>
      <c r="T60" s="4"/>
      <c r="U60" s="4"/>
      <c r="V60" s="4"/>
      <c r="W60" s="4"/>
      <c r="X60" s="4"/>
      <c r="Y60" s="4"/>
      <c r="Z60" s="4"/>
      <c r="AA60" s="4"/>
      <c r="AB60" s="4"/>
      <c r="AC60" s="4"/>
      <c r="AD60" s="4"/>
      <c r="AE60" s="4"/>
      <c r="AF60" s="4"/>
      <c r="AG60" s="4"/>
      <c r="AH60" s="4"/>
      <c r="AI60" s="4"/>
    </row>
    <row r="61" spans="1:35" customFormat="1" ht="30" customHeight="1" thickBot="1">
      <c r="A61" s="77"/>
      <c r="B61" s="4"/>
      <c r="C61" s="4"/>
      <c r="D61" s="4"/>
      <c r="E61" s="128" t="s">
        <v>492</v>
      </c>
      <c r="F61" s="187">
        <f>F60/F52</f>
        <v>8.7488901814957193E-2</v>
      </c>
      <c r="G61" s="187">
        <f t="shared" ref="G61:O61" si="17">G60/G52</f>
        <v>9.8442180786629252E-2</v>
      </c>
      <c r="H61" s="187">
        <f t="shared" si="17"/>
        <v>8.6002456494718174E-2</v>
      </c>
      <c r="I61" s="187">
        <f t="shared" si="17"/>
        <v>9.237653056780476E-2</v>
      </c>
      <c r="J61" s="187">
        <f t="shared" si="17"/>
        <v>0.11519853718501982</v>
      </c>
      <c r="K61" s="187">
        <f t="shared" si="17"/>
        <v>0.12063845557303657</v>
      </c>
      <c r="L61" s="187">
        <f t="shared" si="17"/>
        <v>0.11645548590523072</v>
      </c>
      <c r="M61" s="187">
        <f t="shared" si="17"/>
        <v>0.2154976739640756</v>
      </c>
      <c r="N61" s="187">
        <f t="shared" si="17"/>
        <v>0.18931203497676752</v>
      </c>
      <c r="O61" s="187">
        <f t="shared" si="17"/>
        <v>0.13734494556624738</v>
      </c>
      <c r="P61" s="187">
        <f t="shared" ref="P61" si="18">P60/P52</f>
        <v>0.17327226695219605</v>
      </c>
      <c r="Q61" s="88"/>
      <c r="R61" s="4"/>
      <c r="S61" s="4"/>
      <c r="T61" s="4"/>
      <c r="U61" s="4"/>
      <c r="V61" s="4"/>
      <c r="W61" s="4"/>
      <c r="X61" s="4"/>
      <c r="Y61" s="4"/>
      <c r="Z61" s="4"/>
      <c r="AA61" s="4"/>
      <c r="AB61" s="4"/>
      <c r="AC61" s="4"/>
      <c r="AD61" s="4"/>
      <c r="AE61" s="4"/>
      <c r="AF61" s="4"/>
      <c r="AG61" s="4"/>
      <c r="AH61" s="4"/>
      <c r="AI61" s="4"/>
    </row>
    <row r="62" spans="1:35" customFormat="1" ht="30" customHeight="1">
      <c r="A62" s="77"/>
      <c r="B62" s="4"/>
      <c r="C62" s="4"/>
      <c r="D62" s="4"/>
      <c r="E62" s="177"/>
      <c r="F62" s="220"/>
      <c r="G62" s="220"/>
      <c r="H62" s="220"/>
      <c r="I62" s="220"/>
      <c r="J62" s="220"/>
      <c r="K62" s="220"/>
      <c r="L62" s="220"/>
      <c r="M62" s="220"/>
      <c r="N62" s="220"/>
      <c r="O62" s="220"/>
      <c r="P62" s="220"/>
      <c r="Q62" s="4"/>
      <c r="R62" s="4"/>
      <c r="S62" s="4"/>
      <c r="T62" s="4"/>
      <c r="U62" s="4"/>
      <c r="V62" s="4"/>
      <c r="W62" s="4"/>
      <c r="X62" s="4"/>
      <c r="Y62" s="4"/>
      <c r="Z62" s="4"/>
      <c r="AA62" s="4"/>
      <c r="AB62" s="4"/>
      <c r="AC62" s="4"/>
      <c r="AD62" s="4"/>
      <c r="AE62" s="4"/>
      <c r="AF62" s="4"/>
      <c r="AG62" s="4"/>
      <c r="AH62" s="4"/>
      <c r="AI62" s="4"/>
    </row>
    <row r="63" spans="1:35" customFormat="1" ht="30" customHeight="1">
      <c r="A63" s="77"/>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customFormat="1" ht="30" customHeight="1">
      <c r="A64" s="77"/>
      <c r="B64" s="4"/>
      <c r="C64" s="4"/>
      <c r="D64" s="4"/>
      <c r="E64" s="29"/>
      <c r="F64" s="5"/>
      <c r="G64" s="5"/>
      <c r="H64" s="5"/>
      <c r="I64" s="5"/>
      <c r="J64" s="5"/>
      <c r="K64" s="5"/>
      <c r="L64" s="66"/>
      <c r="M64" s="66"/>
      <c r="N64" s="66"/>
      <c r="O64" s="66"/>
      <c r="P64" s="66"/>
      <c r="Q64" s="88"/>
      <c r="R64" s="4"/>
      <c r="S64" s="4"/>
      <c r="T64" s="4"/>
      <c r="U64" s="4"/>
      <c r="V64" s="4"/>
      <c r="W64" s="4"/>
      <c r="X64" s="4"/>
      <c r="Y64" s="4"/>
      <c r="Z64" s="4"/>
      <c r="AA64" s="4"/>
      <c r="AB64" s="4"/>
      <c r="AC64" s="4"/>
      <c r="AD64" s="4"/>
      <c r="AE64" s="4"/>
      <c r="AF64" s="4"/>
      <c r="AG64" s="4"/>
      <c r="AH64" s="4"/>
      <c r="AI64" s="4"/>
    </row>
    <row r="65" spans="1:35" customFormat="1" ht="30" customHeight="1">
      <c r="A65" s="77"/>
      <c r="B65" s="4"/>
      <c r="C65" s="4"/>
      <c r="D65" s="4"/>
      <c r="E65" s="124"/>
      <c r="F65" s="37">
        <v>2014</v>
      </c>
      <c r="G65" s="37">
        <v>2015</v>
      </c>
      <c r="H65" s="37">
        <v>2016</v>
      </c>
      <c r="I65" s="37">
        <v>2017</v>
      </c>
      <c r="J65" s="37">
        <v>2018</v>
      </c>
      <c r="K65" s="37">
        <v>2019</v>
      </c>
      <c r="L65" s="37">
        <v>2020</v>
      </c>
      <c r="M65" s="37">
        <v>2021</v>
      </c>
      <c r="N65" s="37">
        <v>2022</v>
      </c>
      <c r="O65" s="37">
        <v>2023</v>
      </c>
      <c r="P65" s="37" t="str">
        <f>P51</f>
        <v>YTD</v>
      </c>
      <c r="Q65" s="88"/>
      <c r="R65" s="4"/>
      <c r="S65" s="4"/>
      <c r="T65" s="4"/>
      <c r="U65" s="4"/>
      <c r="V65" s="4"/>
      <c r="W65" s="4"/>
      <c r="X65" s="4"/>
      <c r="Y65" s="4"/>
      <c r="Z65" s="4"/>
      <c r="AA65" s="4"/>
      <c r="AB65" s="4"/>
      <c r="AC65" s="4"/>
      <c r="AD65" s="4"/>
      <c r="AE65" s="4"/>
      <c r="AF65" s="4"/>
      <c r="AG65" s="4"/>
      <c r="AH65" s="4"/>
      <c r="AI65" s="4"/>
    </row>
    <row r="66" spans="1:35" customFormat="1" ht="30" customHeight="1">
      <c r="A66" s="77"/>
      <c r="B66" s="4"/>
      <c r="C66" s="4"/>
      <c r="D66" s="4"/>
      <c r="E66" s="124" t="s">
        <v>174</v>
      </c>
      <c r="F66" s="84">
        <v>-380589</v>
      </c>
      <c r="G66" s="84">
        <v>-555934</v>
      </c>
      <c r="H66" s="84">
        <v>-669521</v>
      </c>
      <c r="I66" s="84">
        <v>-699233</v>
      </c>
      <c r="J66" s="84">
        <v>-869284</v>
      </c>
      <c r="K66" s="84">
        <v>-969381</v>
      </c>
      <c r="L66" s="84">
        <v>-1005078</v>
      </c>
      <c r="M66" s="230">
        <v>-2001424</v>
      </c>
      <c r="N66" s="230">
        <v>-3631554</v>
      </c>
      <c r="O66" s="230">
        <v>-4132227</v>
      </c>
      <c r="P66" s="230">
        <v>-1320277</v>
      </c>
      <c r="Q66" s="88"/>
      <c r="R66" s="4"/>
      <c r="S66" s="4"/>
      <c r="T66" s="4"/>
      <c r="U66" s="4"/>
      <c r="V66" s="4"/>
      <c r="W66" s="4"/>
      <c r="X66" s="4"/>
      <c r="Y66" s="4"/>
      <c r="Z66" s="4"/>
      <c r="AA66" s="4"/>
      <c r="AB66" s="4"/>
      <c r="AC66" s="4"/>
      <c r="AD66" s="4"/>
      <c r="AE66" s="4"/>
      <c r="AF66" s="4"/>
      <c r="AG66" s="4"/>
      <c r="AH66" s="4"/>
      <c r="AI66" s="4"/>
    </row>
    <row r="67" spans="1:35" customFormat="1" ht="30" customHeight="1">
      <c r="A67" s="77"/>
      <c r="B67" s="4"/>
      <c r="C67" s="4"/>
      <c r="D67" s="4"/>
      <c r="E67" s="124" t="s">
        <v>247</v>
      </c>
      <c r="F67" s="84"/>
      <c r="G67" s="84">
        <v>-35548</v>
      </c>
      <c r="H67" s="84">
        <v>-48855</v>
      </c>
      <c r="I67" s="84">
        <v>-33007</v>
      </c>
      <c r="J67" s="84">
        <v>-20929</v>
      </c>
      <c r="K67" s="84">
        <v>-23157</v>
      </c>
      <c r="L67" s="84">
        <v>-15836</v>
      </c>
      <c r="M67" s="230">
        <v>-17783</v>
      </c>
      <c r="N67" s="230">
        <v>-29761</v>
      </c>
      <c r="O67" s="230">
        <v>-30745</v>
      </c>
      <c r="P67" s="230">
        <v>-7176</v>
      </c>
      <c r="Q67" s="88"/>
      <c r="R67" s="4"/>
      <c r="S67" s="4"/>
      <c r="T67" s="4"/>
      <c r="U67" s="4"/>
      <c r="V67" s="4"/>
      <c r="W67" s="4"/>
      <c r="X67" s="4"/>
      <c r="Y67" s="4"/>
      <c r="Z67" s="4"/>
      <c r="AA67" s="4"/>
      <c r="AB67" s="4"/>
      <c r="AC67" s="4"/>
      <c r="AD67" s="4"/>
      <c r="AE67" s="4"/>
      <c r="AF67" s="4"/>
      <c r="AG67" s="4"/>
      <c r="AH67" s="4"/>
      <c r="AI67" s="4"/>
    </row>
    <row r="68" spans="1:35" customFormat="1" ht="30" customHeight="1">
      <c r="A68" s="77"/>
      <c r="B68" s="4"/>
      <c r="C68" s="4"/>
      <c r="D68" s="4"/>
      <c r="E68" s="124" t="s">
        <v>248</v>
      </c>
      <c r="F68" s="84"/>
      <c r="G68" s="84"/>
      <c r="H68" s="84">
        <v>-75695</v>
      </c>
      <c r="I68" s="84">
        <v>-84455</v>
      </c>
      <c r="J68" s="84">
        <v>-304207</v>
      </c>
      <c r="K68" s="84">
        <v>-186</v>
      </c>
      <c r="L68" s="84">
        <v>-24253</v>
      </c>
      <c r="M68" s="230">
        <v>-1030</v>
      </c>
      <c r="N68" s="230">
        <v>-3926</v>
      </c>
      <c r="O68" s="230">
        <v>-6417</v>
      </c>
      <c r="P68" s="230">
        <v>-248</v>
      </c>
      <c r="Q68" s="88"/>
      <c r="R68" s="4"/>
      <c r="S68" s="4"/>
      <c r="T68" s="4"/>
      <c r="U68" s="4"/>
      <c r="V68" s="4"/>
      <c r="W68" s="4"/>
      <c r="X68" s="4"/>
      <c r="Y68" s="4"/>
      <c r="Z68" s="4"/>
      <c r="AA68" s="4"/>
      <c r="AB68" s="4"/>
      <c r="AC68" s="4"/>
      <c r="AD68" s="4"/>
      <c r="AE68" s="4"/>
      <c r="AF68" s="4"/>
      <c r="AG68" s="4"/>
      <c r="AH68" s="4"/>
      <c r="AI68" s="4"/>
    </row>
    <row r="69" spans="1:35" customFormat="1" ht="30" customHeight="1">
      <c r="A69" s="77"/>
      <c r="B69" s="4"/>
      <c r="C69" s="4"/>
      <c r="D69" s="4"/>
      <c r="E69" s="124" t="s">
        <v>192</v>
      </c>
      <c r="F69" s="84">
        <v>-9996</v>
      </c>
      <c r="G69" s="84"/>
      <c r="H69" s="84"/>
      <c r="I69" s="84"/>
      <c r="J69" s="84"/>
      <c r="K69" s="84"/>
      <c r="L69" s="84"/>
      <c r="M69" s="230"/>
      <c r="N69" s="230"/>
      <c r="O69" s="230"/>
      <c r="P69" s="230"/>
      <c r="Q69" s="88"/>
      <c r="R69" s="4"/>
      <c r="S69" s="4"/>
      <c r="T69" s="4"/>
      <c r="U69" s="4"/>
      <c r="V69" s="4"/>
      <c r="W69" s="4"/>
      <c r="X69" s="4"/>
      <c r="Y69" s="4"/>
      <c r="Z69" s="4"/>
      <c r="AA69" s="4"/>
      <c r="AB69" s="4"/>
      <c r="AC69" s="4"/>
      <c r="AD69" s="4"/>
      <c r="AE69" s="4"/>
      <c r="AF69" s="4"/>
      <c r="AG69" s="4"/>
      <c r="AH69" s="4"/>
      <c r="AI69" s="4"/>
    </row>
    <row r="70" spans="1:35" customFormat="1" ht="30" customHeight="1">
      <c r="A70" s="77"/>
      <c r="B70" s="4"/>
      <c r="C70" s="4"/>
      <c r="D70" s="4"/>
      <c r="E70" s="124" t="s">
        <v>249</v>
      </c>
      <c r="F70" s="84">
        <v>-7602</v>
      </c>
      <c r="G70" s="84"/>
      <c r="H70" s="84">
        <v>48741</v>
      </c>
      <c r="I70" s="84">
        <v>1171</v>
      </c>
      <c r="J70" s="84">
        <v>293586</v>
      </c>
      <c r="K70" s="84">
        <v>-175092</v>
      </c>
      <c r="L70" s="84">
        <v>-637087</v>
      </c>
      <c r="M70" s="230">
        <v>-95625</v>
      </c>
      <c r="N70" s="230">
        <v>394836</v>
      </c>
      <c r="O70" s="230">
        <v>474138</v>
      </c>
      <c r="P70" s="230">
        <v>-162741</v>
      </c>
      <c r="Q70" s="88"/>
      <c r="R70" s="4"/>
      <c r="S70" s="4"/>
      <c r="T70" s="4"/>
      <c r="U70" s="4"/>
      <c r="V70" s="4"/>
      <c r="W70" s="4"/>
      <c r="X70" s="4"/>
      <c r="Y70" s="4"/>
      <c r="Z70" s="4"/>
      <c r="AA70" s="4"/>
      <c r="AB70" s="4"/>
      <c r="AC70" s="4"/>
      <c r="AD70" s="4"/>
      <c r="AE70" s="4"/>
      <c r="AF70" s="4"/>
      <c r="AG70" s="4"/>
      <c r="AH70" s="4"/>
      <c r="AI70" s="4"/>
    </row>
    <row r="71" spans="1:35" customFormat="1" ht="30" customHeight="1">
      <c r="A71" s="77"/>
      <c r="B71" s="4"/>
      <c r="C71" s="4"/>
      <c r="D71" s="4"/>
      <c r="E71" s="124" t="s">
        <v>250</v>
      </c>
      <c r="F71" s="84"/>
      <c r="G71" s="84"/>
      <c r="H71" s="84">
        <v>-106105</v>
      </c>
      <c r="I71" s="84">
        <v>13379</v>
      </c>
      <c r="J71" s="84"/>
      <c r="K71" s="84">
        <v>172610</v>
      </c>
      <c r="L71" s="84">
        <v>723440</v>
      </c>
      <c r="M71" s="230">
        <v>326352</v>
      </c>
      <c r="N71" s="230">
        <v>-1547875</v>
      </c>
      <c r="O71" s="230">
        <v>-1951027</v>
      </c>
      <c r="P71" s="230">
        <v>-25523</v>
      </c>
      <c r="Q71" s="88"/>
      <c r="R71" s="4"/>
      <c r="S71" s="4"/>
      <c r="T71" s="4"/>
      <c r="U71" s="4"/>
      <c r="V71" s="4"/>
      <c r="W71" s="4"/>
      <c r="X71" s="4"/>
      <c r="Y71" s="4"/>
      <c r="Z71" s="4"/>
      <c r="AA71" s="4"/>
      <c r="AB71" s="4"/>
      <c r="AC71" s="4"/>
      <c r="AD71" s="4"/>
      <c r="AE71" s="4"/>
      <c r="AF71" s="4"/>
      <c r="AG71" s="4"/>
      <c r="AH71" s="4"/>
      <c r="AI71" s="4"/>
    </row>
    <row r="72" spans="1:35" customFormat="1" ht="30" customHeight="1">
      <c r="A72" s="77"/>
      <c r="B72" s="4"/>
      <c r="C72" s="4"/>
      <c r="D72" s="4"/>
      <c r="E72" s="124" t="s">
        <v>176</v>
      </c>
      <c r="F72" s="84">
        <v>-32661</v>
      </c>
      <c r="G72" s="84"/>
      <c r="H72" s="84"/>
      <c r="I72" s="84"/>
      <c r="J72" s="84"/>
      <c r="K72" s="84"/>
      <c r="L72" s="84"/>
      <c r="M72" s="230"/>
      <c r="N72" s="230"/>
      <c r="O72" s="230"/>
      <c r="P72" s="230"/>
      <c r="Q72" s="88"/>
      <c r="R72" s="4"/>
      <c r="S72" s="4"/>
      <c r="T72" s="4"/>
      <c r="U72" s="4"/>
      <c r="V72" s="4"/>
      <c r="W72" s="4"/>
      <c r="X72" s="4"/>
      <c r="Y72" s="4"/>
      <c r="Z72" s="4"/>
      <c r="AA72" s="4"/>
      <c r="AB72" s="4"/>
      <c r="AC72" s="4"/>
      <c r="AD72" s="4"/>
      <c r="AE72" s="4"/>
      <c r="AF72" s="4"/>
      <c r="AG72" s="4"/>
      <c r="AH72" s="4"/>
      <c r="AI72" s="4"/>
    </row>
    <row r="73" spans="1:35" customFormat="1" ht="30" customHeight="1">
      <c r="A73" s="77"/>
      <c r="B73" s="4"/>
      <c r="C73" s="4"/>
      <c r="D73" s="4"/>
      <c r="E73" s="124" t="s">
        <v>251</v>
      </c>
      <c r="F73" s="84"/>
      <c r="G73" s="84">
        <v>-66177</v>
      </c>
      <c r="H73" s="84"/>
      <c r="I73" s="84"/>
      <c r="J73" s="84">
        <v>-17661</v>
      </c>
      <c r="K73" s="84"/>
      <c r="L73" s="84"/>
      <c r="M73" s="230"/>
      <c r="N73" s="230"/>
      <c r="O73" s="230"/>
      <c r="P73" s="230"/>
      <c r="Q73" s="88"/>
      <c r="R73" s="4"/>
      <c r="S73" s="4"/>
      <c r="T73" s="4"/>
      <c r="U73" s="4"/>
      <c r="V73" s="4"/>
      <c r="W73" s="4"/>
      <c r="X73" s="4"/>
      <c r="Y73" s="4"/>
      <c r="Z73" s="4"/>
      <c r="AA73" s="4"/>
      <c r="AB73" s="4"/>
      <c r="AC73" s="4"/>
      <c r="AD73" s="4"/>
      <c r="AE73" s="4"/>
      <c r="AF73" s="4"/>
      <c r="AG73" s="4"/>
      <c r="AH73" s="4"/>
      <c r="AI73" s="4"/>
    </row>
    <row r="74" spans="1:35" customFormat="1" ht="30" customHeight="1">
      <c r="A74" s="77"/>
      <c r="B74" s="4"/>
      <c r="C74" s="4"/>
      <c r="D74" s="4"/>
      <c r="E74" s="124" t="s">
        <v>478</v>
      </c>
      <c r="F74" s="84"/>
      <c r="G74" s="84"/>
      <c r="H74" s="84"/>
      <c r="I74" s="84"/>
      <c r="J74" s="84"/>
      <c r="K74" s="84"/>
      <c r="L74" s="84"/>
      <c r="M74" s="230"/>
      <c r="N74" s="230">
        <v>-108446</v>
      </c>
      <c r="O74" s="230">
        <v>-142773</v>
      </c>
      <c r="P74" s="230">
        <v>-31407</v>
      </c>
      <c r="Q74" s="88"/>
      <c r="R74" s="4"/>
      <c r="S74" s="4"/>
      <c r="T74" s="4"/>
      <c r="U74" s="4"/>
      <c r="V74" s="4"/>
      <c r="W74" s="4"/>
      <c r="X74" s="4"/>
      <c r="Y74" s="4"/>
      <c r="Z74" s="4"/>
      <c r="AA74" s="4"/>
      <c r="AB74" s="4"/>
      <c r="AC74" s="4"/>
      <c r="AD74" s="4"/>
      <c r="AE74" s="4"/>
      <c r="AF74" s="4"/>
      <c r="AG74" s="4"/>
      <c r="AH74" s="4"/>
      <c r="AI74" s="4"/>
    </row>
    <row r="75" spans="1:35" customFormat="1" ht="30" customHeight="1">
      <c r="A75" s="77"/>
      <c r="B75" s="4"/>
      <c r="C75" s="4"/>
      <c r="D75" s="4"/>
      <c r="E75" s="124" t="s">
        <v>177</v>
      </c>
      <c r="F75" s="84">
        <v>-2587</v>
      </c>
      <c r="G75" s="84"/>
      <c r="H75" s="84"/>
      <c r="I75" s="84"/>
      <c r="J75" s="84"/>
      <c r="K75" s="84"/>
      <c r="L75" s="84"/>
      <c r="M75" s="230"/>
      <c r="N75" s="230"/>
      <c r="O75" s="230"/>
      <c r="P75" s="230"/>
      <c r="Q75" s="88"/>
      <c r="R75" s="4"/>
      <c r="S75" s="4"/>
      <c r="T75" s="4"/>
      <c r="U75" s="4"/>
      <c r="V75" s="4"/>
      <c r="W75" s="4"/>
      <c r="X75" s="4"/>
      <c r="Y75" s="4"/>
      <c r="Z75" s="4"/>
      <c r="AA75" s="4"/>
      <c r="AB75" s="4"/>
      <c r="AC75" s="4"/>
      <c r="AD75" s="4"/>
      <c r="AE75" s="4"/>
      <c r="AF75" s="4"/>
      <c r="AG75" s="4"/>
      <c r="AH75" s="4"/>
      <c r="AI75" s="4"/>
    </row>
    <row r="76" spans="1:35" customFormat="1" ht="30" customHeight="1">
      <c r="A76" s="77"/>
      <c r="B76" s="4"/>
      <c r="C76" s="4"/>
      <c r="D76" s="4"/>
      <c r="E76" s="124" t="s">
        <v>255</v>
      </c>
      <c r="F76" s="84">
        <v>-4161</v>
      </c>
      <c r="G76" s="84"/>
      <c r="H76" s="84"/>
      <c r="I76" s="84"/>
      <c r="J76" s="84"/>
      <c r="K76" s="84"/>
      <c r="L76" s="84"/>
      <c r="M76" s="230"/>
      <c r="N76" s="230"/>
      <c r="O76" s="230"/>
      <c r="P76" s="230"/>
      <c r="Q76" s="88"/>
      <c r="R76" s="4"/>
      <c r="S76" s="4"/>
      <c r="T76" s="4"/>
      <c r="U76" s="4"/>
      <c r="V76" s="4"/>
      <c r="W76" s="4"/>
      <c r="X76" s="4"/>
      <c r="Y76" s="4"/>
      <c r="Z76" s="4"/>
      <c r="AA76" s="4"/>
      <c r="AB76" s="4"/>
      <c r="AC76" s="4"/>
      <c r="AD76" s="4"/>
      <c r="AE76" s="4"/>
      <c r="AF76" s="4"/>
      <c r="AG76" s="4"/>
      <c r="AH76" s="4"/>
      <c r="AI76" s="4"/>
    </row>
    <row r="77" spans="1:35" customFormat="1" ht="30" customHeight="1">
      <c r="A77" s="77"/>
      <c r="B77" s="4"/>
      <c r="C77" s="4"/>
      <c r="D77" s="4"/>
      <c r="E77" s="124" t="s">
        <v>254</v>
      </c>
      <c r="F77" s="84">
        <v>-1245</v>
      </c>
      <c r="G77" s="84"/>
      <c r="H77" s="84"/>
      <c r="I77" s="84"/>
      <c r="J77" s="84"/>
      <c r="K77" s="84"/>
      <c r="L77" s="84"/>
      <c r="M77" s="230"/>
      <c r="N77" s="230"/>
      <c r="O77" s="230"/>
      <c r="P77" s="230"/>
      <c r="Q77" s="88"/>
      <c r="R77" s="4"/>
      <c r="S77" s="4"/>
      <c r="T77" s="4"/>
      <c r="U77" s="4"/>
      <c r="V77" s="4"/>
      <c r="W77" s="4"/>
      <c r="X77" s="4"/>
      <c r="Y77" s="4"/>
      <c r="Z77" s="4"/>
      <c r="AA77" s="4"/>
      <c r="AB77" s="4"/>
      <c r="AC77" s="4"/>
      <c r="AD77" s="4"/>
      <c r="AE77" s="4"/>
      <c r="AF77" s="4"/>
      <c r="AG77" s="4"/>
      <c r="AH77" s="4"/>
      <c r="AI77" s="4"/>
    </row>
    <row r="78" spans="1:35" customFormat="1" ht="30" customHeight="1">
      <c r="A78" s="77"/>
      <c r="B78" s="4"/>
      <c r="C78" s="4"/>
      <c r="D78" s="4"/>
      <c r="E78" s="124" t="s">
        <v>178</v>
      </c>
      <c r="F78" s="84"/>
      <c r="G78" s="84">
        <v>-67062</v>
      </c>
      <c r="H78" s="84"/>
      <c r="I78" s="84"/>
      <c r="J78" s="84"/>
      <c r="K78" s="84"/>
      <c r="L78" s="84"/>
      <c r="M78" s="230"/>
      <c r="N78" s="230"/>
      <c r="O78" s="230"/>
      <c r="P78" s="230"/>
      <c r="Q78" s="88"/>
      <c r="R78" s="127"/>
      <c r="S78" s="4"/>
      <c r="T78" s="4"/>
      <c r="U78" s="4"/>
      <c r="V78" s="4"/>
      <c r="W78" s="4"/>
      <c r="X78" s="4"/>
      <c r="Y78" s="4"/>
      <c r="Z78" s="4"/>
      <c r="AA78" s="4"/>
      <c r="AB78" s="4"/>
      <c r="AC78" s="4"/>
      <c r="AD78" s="4"/>
      <c r="AE78" s="4"/>
      <c r="AF78" s="4"/>
      <c r="AG78" s="4"/>
      <c r="AH78" s="4"/>
      <c r="AI78" s="4"/>
    </row>
    <row r="79" spans="1:35" customFormat="1" ht="30" customHeight="1">
      <c r="A79" s="77"/>
      <c r="B79" s="4"/>
      <c r="C79" s="4"/>
      <c r="D79" s="4"/>
      <c r="E79" s="129" t="s">
        <v>175</v>
      </c>
      <c r="F79" s="84">
        <f t="shared" ref="F79:P79" si="19">SUM(F66:F78)</f>
        <v>-438841</v>
      </c>
      <c r="G79" s="84">
        <f t="shared" si="19"/>
        <v>-724721</v>
      </c>
      <c r="H79" s="84">
        <f t="shared" si="19"/>
        <v>-851435</v>
      </c>
      <c r="I79" s="84">
        <f t="shared" si="19"/>
        <v>-802145</v>
      </c>
      <c r="J79" s="84">
        <f t="shared" si="19"/>
        <v>-918495</v>
      </c>
      <c r="K79" s="84">
        <f t="shared" si="19"/>
        <v>-995206</v>
      </c>
      <c r="L79" s="84">
        <f t="shared" si="19"/>
        <v>-958814</v>
      </c>
      <c r="M79" s="84">
        <f t="shared" si="19"/>
        <v>-1789510</v>
      </c>
      <c r="N79" s="84">
        <f t="shared" si="19"/>
        <v>-4926726</v>
      </c>
      <c r="O79" s="84">
        <f t="shared" si="19"/>
        <v>-5789051</v>
      </c>
      <c r="P79" s="84">
        <f t="shared" si="19"/>
        <v>-1547372</v>
      </c>
      <c r="Q79" s="88"/>
      <c r="R79" s="127"/>
      <c r="S79" s="4"/>
      <c r="T79" s="4"/>
      <c r="U79" s="4"/>
      <c r="V79" s="4"/>
      <c r="W79" s="4"/>
      <c r="X79" s="4"/>
      <c r="Y79" s="4"/>
      <c r="Z79" s="4"/>
      <c r="AA79" s="4"/>
      <c r="AB79" s="4"/>
      <c r="AC79" s="4"/>
      <c r="AD79" s="4"/>
      <c r="AE79" s="4"/>
      <c r="AF79" s="4"/>
      <c r="AG79" s="4"/>
      <c r="AH79" s="4"/>
      <c r="AI79" s="4"/>
    </row>
    <row r="80" spans="1:35" customFormat="1" ht="30" customHeight="1">
      <c r="A80" s="77"/>
      <c r="B80" s="4"/>
      <c r="C80" s="4"/>
      <c r="D80" s="4"/>
      <c r="E80" s="124" t="s">
        <v>252</v>
      </c>
      <c r="F80" s="84">
        <v>0</v>
      </c>
      <c r="G80" s="84"/>
      <c r="H80" s="84">
        <v>0</v>
      </c>
      <c r="I80" s="84"/>
      <c r="J80" s="84" t="s">
        <v>22</v>
      </c>
      <c r="K80" s="84">
        <v>-49557</v>
      </c>
      <c r="L80" s="84">
        <v>-52448</v>
      </c>
      <c r="M80" s="230">
        <v>-69956</v>
      </c>
      <c r="N80" s="230">
        <v>-122010</v>
      </c>
      <c r="O80" s="230">
        <v>-163284</v>
      </c>
      <c r="P80" s="230">
        <v>-45764</v>
      </c>
      <c r="Q80" s="88"/>
      <c r="R80" s="127"/>
      <c r="S80" s="4"/>
      <c r="T80" s="4"/>
      <c r="U80" s="4"/>
      <c r="V80" s="4"/>
      <c r="W80" s="4"/>
      <c r="X80" s="4"/>
      <c r="Y80" s="4"/>
      <c r="Z80" s="4"/>
      <c r="AA80" s="4"/>
      <c r="AB80" s="4"/>
      <c r="AC80" s="4"/>
      <c r="AD80" s="4"/>
      <c r="AE80" s="4"/>
      <c r="AF80" s="4"/>
      <c r="AG80" s="4"/>
      <c r="AH80" s="4"/>
      <c r="AI80" s="4"/>
    </row>
    <row r="81" spans="1:35" customFormat="1" ht="30" customHeight="1">
      <c r="A81" s="77"/>
      <c r="B81" s="4"/>
      <c r="C81" s="4"/>
      <c r="D81" s="4"/>
      <c r="E81" s="124" t="s">
        <v>176</v>
      </c>
      <c r="F81" s="84">
        <v>0</v>
      </c>
      <c r="G81" s="84"/>
      <c r="H81" s="84">
        <v>0</v>
      </c>
      <c r="I81" s="84"/>
      <c r="J81" s="84">
        <v>-34062</v>
      </c>
      <c r="K81" s="84">
        <v>-23203</v>
      </c>
      <c r="L81" s="84">
        <v>-21276</v>
      </c>
      <c r="M81" s="230">
        <v>-46006</v>
      </c>
      <c r="N81" s="230">
        <v>-116992</v>
      </c>
      <c r="O81" s="230">
        <v>-713028</v>
      </c>
      <c r="P81" s="230">
        <v>-105054</v>
      </c>
      <c r="Q81" s="88"/>
      <c r="R81" s="127"/>
      <c r="S81" s="4"/>
      <c r="T81" s="4"/>
      <c r="U81" s="4"/>
      <c r="V81" s="4"/>
      <c r="W81" s="4"/>
      <c r="X81" s="4"/>
      <c r="Y81" s="4"/>
      <c r="Z81" s="4"/>
      <c r="AA81" s="4"/>
      <c r="AB81" s="4"/>
      <c r="AC81" s="4"/>
      <c r="AD81" s="4"/>
      <c r="AE81" s="4"/>
      <c r="AF81" s="4"/>
      <c r="AG81" s="4"/>
      <c r="AH81" s="4"/>
      <c r="AI81" s="4"/>
    </row>
    <row r="82" spans="1:35" customFormat="1" ht="30" customHeight="1">
      <c r="A82" s="77"/>
      <c r="B82" s="4"/>
      <c r="C82" s="4"/>
      <c r="D82" s="4"/>
      <c r="E82" s="124" t="s">
        <v>483</v>
      </c>
      <c r="F82" s="84"/>
      <c r="G82" s="84"/>
      <c r="H82" s="84"/>
      <c r="I82" s="84"/>
      <c r="J82" s="84"/>
      <c r="K82" s="84"/>
      <c r="L82" s="84"/>
      <c r="M82" s="230"/>
      <c r="N82" s="230"/>
      <c r="O82" s="230">
        <v>0</v>
      </c>
      <c r="P82" s="230"/>
      <c r="Q82" s="88"/>
      <c r="R82" s="127"/>
      <c r="S82" s="4"/>
      <c r="T82" s="4"/>
      <c r="U82" s="4"/>
      <c r="V82" s="4"/>
      <c r="W82" s="4"/>
      <c r="X82" s="4"/>
      <c r="Y82" s="4"/>
      <c r="Z82" s="4"/>
      <c r="AA82" s="4"/>
      <c r="AB82" s="4"/>
      <c r="AC82" s="4"/>
      <c r="AD82" s="4"/>
      <c r="AE82" s="4"/>
      <c r="AF82" s="4"/>
      <c r="AG82" s="4"/>
      <c r="AH82" s="4"/>
      <c r="AI82" s="4"/>
    </row>
    <row r="83" spans="1:35" customFormat="1" ht="30" customHeight="1">
      <c r="A83" s="77"/>
      <c r="B83" s="4"/>
      <c r="C83" s="4"/>
      <c r="D83" s="4"/>
      <c r="E83" s="124" t="s">
        <v>178</v>
      </c>
      <c r="F83" s="84">
        <v>-4706</v>
      </c>
      <c r="G83" s="84"/>
      <c r="H83" s="84">
        <v>-98541</v>
      </c>
      <c r="I83" s="84">
        <v>-77951</v>
      </c>
      <c r="J83" s="84">
        <v>-46471</v>
      </c>
      <c r="K83" s="84">
        <v>-65409</v>
      </c>
      <c r="L83" s="84">
        <v>-21664</v>
      </c>
      <c r="M83" s="230">
        <v>-48483</v>
      </c>
      <c r="N83" s="230">
        <v>-192745</v>
      </c>
      <c r="O83" s="230">
        <v>-365865</v>
      </c>
      <c r="P83" s="230">
        <v>-135523</v>
      </c>
      <c r="Q83" s="88"/>
      <c r="R83" s="4"/>
      <c r="S83" s="4"/>
      <c r="T83" s="4"/>
      <c r="U83" s="4"/>
      <c r="V83" s="4"/>
      <c r="W83" s="4"/>
      <c r="X83" s="4"/>
      <c r="Y83" s="4"/>
      <c r="Z83" s="4"/>
      <c r="AA83" s="4"/>
      <c r="AB83" s="4"/>
      <c r="AC83" s="4"/>
      <c r="AD83" s="4"/>
      <c r="AE83" s="4"/>
      <c r="AF83" s="4"/>
      <c r="AG83" s="4"/>
      <c r="AH83" s="4"/>
      <c r="AI83" s="4"/>
    </row>
    <row r="84" spans="1:35" customFormat="1" ht="30" customHeight="1" thickBot="1">
      <c r="A84" s="77"/>
      <c r="B84" s="4"/>
      <c r="C84" s="4"/>
      <c r="D84" s="4"/>
      <c r="E84" s="213" t="s">
        <v>61</v>
      </c>
      <c r="F84" s="214">
        <f t="shared" ref="F84:G84" si="20">SUM(F79:F83)</f>
        <v>-443547</v>
      </c>
      <c r="G84" s="214">
        <f t="shared" si="20"/>
        <v>-724721</v>
      </c>
      <c r="H84" s="214">
        <f>SUM(H79:H83)</f>
        <v>-949976</v>
      </c>
      <c r="I84" s="214">
        <f t="shared" ref="I84:N84" si="21">SUM(I79:I83)</f>
        <v>-880096</v>
      </c>
      <c r="J84" s="214">
        <f t="shared" si="21"/>
        <v>-999028</v>
      </c>
      <c r="K84" s="214">
        <f t="shared" si="21"/>
        <v>-1133375</v>
      </c>
      <c r="L84" s="214">
        <f t="shared" si="21"/>
        <v>-1054202</v>
      </c>
      <c r="M84" s="214">
        <f t="shared" si="21"/>
        <v>-1953955</v>
      </c>
      <c r="N84" s="214">
        <f t="shared" si="21"/>
        <v>-5358473</v>
      </c>
      <c r="O84" s="214">
        <f t="shared" ref="O84:P84" si="22">SUM(O79:O83)</f>
        <v>-7031228</v>
      </c>
      <c r="P84" s="214">
        <f t="shared" si="22"/>
        <v>-1833713</v>
      </c>
      <c r="Q84" s="4"/>
      <c r="R84" s="4"/>
      <c r="S84" s="4"/>
      <c r="T84" s="4"/>
      <c r="U84" s="4"/>
      <c r="V84" s="4"/>
      <c r="W84" s="4"/>
      <c r="X84" s="4"/>
      <c r="Y84" s="4"/>
      <c r="Z84" s="4"/>
      <c r="AA84" s="4"/>
      <c r="AB84" s="4"/>
      <c r="AC84" s="4"/>
      <c r="AD84" s="4"/>
      <c r="AE84" s="4"/>
      <c r="AF84" s="4"/>
      <c r="AG84" s="4"/>
      <c r="AH84" s="4"/>
      <c r="AI84" s="4"/>
    </row>
    <row r="85" spans="1:35" customFormat="1" ht="30" customHeight="1">
      <c r="A85" s="77"/>
      <c r="B85" s="4"/>
      <c r="C85" s="4"/>
      <c r="D85" s="4"/>
      <c r="E85" s="177"/>
      <c r="F85" s="220"/>
      <c r="G85" s="220"/>
      <c r="H85" s="220"/>
      <c r="I85" s="220"/>
      <c r="J85" s="220"/>
      <c r="K85" s="220"/>
      <c r="L85" s="220"/>
      <c r="M85" s="220"/>
      <c r="N85" s="220"/>
      <c r="O85" s="220"/>
      <c r="P85" s="220"/>
      <c r="Q85" s="4"/>
      <c r="R85" s="4"/>
      <c r="S85" s="4"/>
      <c r="T85" s="4"/>
      <c r="U85" s="4"/>
      <c r="V85" s="4"/>
      <c r="W85" s="4"/>
      <c r="X85" s="4"/>
      <c r="Y85" s="4"/>
      <c r="Z85" s="4"/>
      <c r="AA85" s="4"/>
      <c r="AB85" s="4"/>
      <c r="AC85" s="4"/>
      <c r="AD85" s="4"/>
      <c r="AE85" s="4"/>
      <c r="AF85" s="4"/>
      <c r="AG85" s="4"/>
      <c r="AH85" s="4"/>
      <c r="AI85" s="4"/>
    </row>
    <row r="86" spans="1:35" customFormat="1" ht="30" customHeight="1">
      <c r="A86" s="77"/>
      <c r="B86" s="4"/>
      <c r="C86" s="4"/>
      <c r="D86" s="4"/>
      <c r="E86" s="10"/>
      <c r="F86" s="127"/>
      <c r="G86" s="127"/>
      <c r="H86" s="127"/>
      <c r="I86" s="127"/>
      <c r="J86" s="127"/>
      <c r="K86" s="127"/>
      <c r="L86" s="127"/>
      <c r="M86" s="127"/>
      <c r="N86" s="127"/>
      <c r="O86" s="127"/>
      <c r="P86" s="127"/>
      <c r="Q86" s="4"/>
      <c r="R86" s="4"/>
      <c r="S86" s="4"/>
      <c r="T86" s="4"/>
      <c r="U86" s="4"/>
      <c r="V86" s="4"/>
      <c r="W86" s="4"/>
      <c r="X86" s="4"/>
      <c r="Y86" s="4"/>
      <c r="Z86" s="4"/>
      <c r="AA86" s="4"/>
      <c r="AB86" s="4"/>
      <c r="AC86" s="4"/>
      <c r="AD86" s="4"/>
      <c r="AE86" s="4"/>
      <c r="AF86" s="4"/>
      <c r="AG86" s="4"/>
      <c r="AH86" s="4"/>
      <c r="AI86" s="4"/>
    </row>
    <row r="87" spans="1:35" customFormat="1" ht="30" customHeight="1">
      <c r="A87" s="77"/>
      <c r="B87" s="4"/>
      <c r="C87" s="4"/>
      <c r="D87" s="4"/>
      <c r="E87" s="29"/>
      <c r="F87" s="5"/>
      <c r="G87" s="5"/>
      <c r="H87" s="5"/>
      <c r="I87" s="5"/>
      <c r="J87" s="5"/>
      <c r="K87" s="5"/>
      <c r="L87" s="66"/>
      <c r="M87" s="4"/>
      <c r="N87" s="4"/>
      <c r="O87" s="4"/>
      <c r="P87" s="4"/>
      <c r="Q87" s="88"/>
      <c r="R87" s="4"/>
      <c r="S87" s="4"/>
      <c r="T87" s="4"/>
      <c r="U87" s="4"/>
      <c r="V87" s="4"/>
      <c r="W87" s="4"/>
      <c r="X87" s="4"/>
      <c r="Y87" s="4"/>
      <c r="Z87" s="4"/>
      <c r="AA87" s="4"/>
      <c r="AB87" s="4"/>
      <c r="AC87" s="4"/>
      <c r="AD87" s="4"/>
      <c r="AE87" s="4"/>
      <c r="AF87" s="4"/>
      <c r="AG87" s="4"/>
      <c r="AH87" s="4"/>
      <c r="AI87" s="4"/>
    </row>
    <row r="88" spans="1:35" customFormat="1" ht="30" customHeight="1">
      <c r="A88" s="77"/>
      <c r="B88" s="4"/>
      <c r="C88" s="4"/>
      <c r="D88" s="4"/>
      <c r="E88" s="124"/>
      <c r="F88" s="37">
        <v>2014</v>
      </c>
      <c r="G88" s="37">
        <v>2015</v>
      </c>
      <c r="H88" s="37">
        <v>2016</v>
      </c>
      <c r="I88" s="37">
        <v>2017</v>
      </c>
      <c r="J88" s="37">
        <v>2018</v>
      </c>
      <c r="K88" s="37">
        <v>2019</v>
      </c>
      <c r="L88" s="37">
        <v>2020</v>
      </c>
      <c r="M88" s="37">
        <v>2021</v>
      </c>
      <c r="N88" s="37">
        <v>2022</v>
      </c>
      <c r="O88" s="37">
        <v>2023</v>
      </c>
      <c r="P88" s="37" t="str">
        <f>P65</f>
        <v>YTD</v>
      </c>
      <c r="Q88" s="88"/>
      <c r="R88" s="4"/>
      <c r="S88" s="4"/>
      <c r="T88" s="4"/>
      <c r="U88" s="4"/>
      <c r="V88" s="4"/>
      <c r="W88" s="4"/>
      <c r="X88" s="4"/>
      <c r="Y88" s="4"/>
      <c r="Z88" s="4"/>
      <c r="AA88" s="4"/>
      <c r="AB88" s="4"/>
      <c r="AC88" s="4"/>
      <c r="AD88" s="4"/>
      <c r="AE88" s="4"/>
      <c r="AF88" s="4"/>
      <c r="AG88" s="4"/>
      <c r="AH88" s="4"/>
      <c r="AI88" s="4"/>
    </row>
    <row r="89" spans="1:35" customFormat="1" ht="30" customHeight="1">
      <c r="A89" s="77"/>
      <c r="B89" s="4"/>
      <c r="C89" s="4"/>
      <c r="D89" s="4"/>
      <c r="E89" s="124" t="s">
        <v>70</v>
      </c>
      <c r="F89" s="42">
        <v>55763</v>
      </c>
      <c r="G89" s="42">
        <v>155709</v>
      </c>
      <c r="H89" s="42">
        <v>161024</v>
      </c>
      <c r="I89" s="42">
        <v>148535</v>
      </c>
      <c r="J89" s="42">
        <v>262955</v>
      </c>
      <c r="K89" s="42">
        <v>295995</v>
      </c>
      <c r="L89" s="42">
        <v>345166</v>
      </c>
      <c r="M89" s="211">
        <v>660349</v>
      </c>
      <c r="N89" s="211">
        <v>1189610</v>
      </c>
      <c r="O89" s="211">
        <v>823655</v>
      </c>
      <c r="P89" s="211">
        <v>261611</v>
      </c>
      <c r="Q89" s="88"/>
      <c r="R89" s="4"/>
      <c r="S89" s="4"/>
      <c r="T89" s="4"/>
      <c r="U89" s="4"/>
      <c r="V89" s="4"/>
      <c r="W89" s="4"/>
      <c r="X89" s="4"/>
      <c r="Y89" s="4"/>
      <c r="Z89" s="4"/>
      <c r="AA89" s="4"/>
      <c r="AB89" s="4"/>
      <c r="AC89" s="4"/>
      <c r="AD89" s="4"/>
      <c r="AE89" s="4"/>
      <c r="AF89" s="4"/>
      <c r="AG89" s="4"/>
      <c r="AH89" s="4"/>
      <c r="AI89" s="4"/>
    </row>
    <row r="90" spans="1:35" customFormat="1" ht="30" customHeight="1">
      <c r="A90" s="77"/>
      <c r="B90" s="4"/>
      <c r="C90" s="4"/>
      <c r="D90" s="4"/>
      <c r="E90" s="124" t="s">
        <v>191</v>
      </c>
      <c r="F90" s="42">
        <v>124</v>
      </c>
      <c r="G90" s="42">
        <v>16613</v>
      </c>
      <c r="H90" s="42">
        <v>9797</v>
      </c>
      <c r="I90" s="42">
        <v>31542</v>
      </c>
      <c r="J90" s="42">
        <v>22565</v>
      </c>
      <c r="K90" s="42">
        <v>24623</v>
      </c>
      <c r="L90" s="42">
        <v>12880</v>
      </c>
      <c r="M90" s="211">
        <v>13557</v>
      </c>
      <c r="N90" s="211">
        <v>4812</v>
      </c>
      <c r="O90" s="211">
        <v>69314</v>
      </c>
      <c r="P90" s="211">
        <v>23451</v>
      </c>
      <c r="Q90" s="88"/>
      <c r="R90" s="4"/>
      <c r="S90" s="4"/>
      <c r="T90" s="4"/>
      <c r="U90" s="4"/>
      <c r="V90" s="4"/>
      <c r="W90" s="4"/>
      <c r="X90" s="4"/>
      <c r="Y90" s="4"/>
      <c r="Z90" s="4"/>
      <c r="AA90" s="4"/>
      <c r="AB90" s="4"/>
      <c r="AC90" s="4"/>
      <c r="AD90" s="4"/>
      <c r="AE90" s="4"/>
      <c r="AF90" s="4"/>
      <c r="AG90" s="4"/>
      <c r="AH90" s="4"/>
      <c r="AI90" s="4"/>
    </row>
    <row r="91" spans="1:35" customFormat="1" ht="30" customHeight="1">
      <c r="A91" s="77"/>
      <c r="B91" s="4"/>
      <c r="C91" s="4"/>
      <c r="D91" s="4"/>
      <c r="E91" s="124" t="s">
        <v>256</v>
      </c>
      <c r="F91" s="42">
        <v>23075</v>
      </c>
      <c r="G91" s="42"/>
      <c r="H91" s="42"/>
      <c r="I91" s="42"/>
      <c r="J91" s="42"/>
      <c r="K91" s="42"/>
      <c r="L91" s="42"/>
      <c r="M91" s="211"/>
      <c r="N91" s="211"/>
      <c r="O91" s="211"/>
      <c r="P91" s="211"/>
      <c r="Q91" s="88"/>
      <c r="R91" s="4"/>
      <c r="S91" s="4"/>
      <c r="T91" s="4"/>
      <c r="U91" s="4"/>
      <c r="V91" s="4"/>
      <c r="W91" s="4"/>
      <c r="X91" s="4"/>
      <c r="Y91" s="4"/>
      <c r="Z91" s="4"/>
      <c r="AA91" s="4"/>
      <c r="AB91" s="4"/>
      <c r="AC91" s="4"/>
      <c r="AD91" s="4"/>
      <c r="AE91" s="4"/>
      <c r="AF91" s="4"/>
      <c r="AG91" s="4"/>
      <c r="AH91" s="4"/>
      <c r="AI91" s="4"/>
    </row>
    <row r="92" spans="1:35" customFormat="1" ht="30" customHeight="1">
      <c r="A92" s="77"/>
      <c r="B92" s="4"/>
      <c r="C92" s="4"/>
      <c r="D92" s="4"/>
      <c r="E92" s="124" t="s">
        <v>71</v>
      </c>
      <c r="F92" s="42">
        <v>6126</v>
      </c>
      <c r="G92" s="42"/>
      <c r="H92" s="42">
        <v>8373</v>
      </c>
      <c r="I92" s="42">
        <v>13920</v>
      </c>
      <c r="J92" s="42">
        <v>11798</v>
      </c>
      <c r="K92" s="42">
        <v>17934</v>
      </c>
      <c r="L92" s="42">
        <v>28408</v>
      </c>
      <c r="M92" s="211">
        <v>33229</v>
      </c>
      <c r="N92" s="211">
        <v>33971</v>
      </c>
      <c r="O92" s="211">
        <v>55839</v>
      </c>
      <c r="P92" s="211">
        <v>16178</v>
      </c>
      <c r="Q92" s="88"/>
      <c r="R92" s="4"/>
      <c r="S92" s="4"/>
      <c r="T92" s="4"/>
      <c r="U92" s="4"/>
      <c r="V92" s="4"/>
      <c r="W92" s="4"/>
      <c r="X92" s="4"/>
      <c r="Y92" s="4"/>
      <c r="Z92" s="4"/>
      <c r="AA92" s="4"/>
      <c r="AB92" s="4"/>
      <c r="AC92" s="4"/>
      <c r="AD92" s="4"/>
      <c r="AE92" s="4"/>
      <c r="AF92" s="4"/>
      <c r="AG92" s="4"/>
      <c r="AH92" s="4"/>
      <c r="AI92" s="4"/>
    </row>
    <row r="93" spans="1:35" customFormat="1" ht="30" customHeight="1">
      <c r="A93" s="77"/>
      <c r="B93" s="4"/>
      <c r="C93" s="4"/>
      <c r="D93" s="4"/>
      <c r="E93" s="124" t="s">
        <v>255</v>
      </c>
      <c r="F93" s="42">
        <v>2367</v>
      </c>
      <c r="G93" s="42"/>
      <c r="H93" s="42"/>
      <c r="I93" s="42"/>
      <c r="J93" s="42"/>
      <c r="K93" s="42"/>
      <c r="L93" s="42"/>
      <c r="M93" s="211"/>
      <c r="N93" s="211"/>
      <c r="O93" s="211"/>
      <c r="P93" s="211"/>
      <c r="Q93" s="88"/>
      <c r="R93" s="127"/>
      <c r="S93" s="4"/>
      <c r="T93" s="4"/>
      <c r="U93" s="4"/>
      <c r="V93" s="4"/>
      <c r="W93" s="4"/>
      <c r="X93" s="4"/>
      <c r="Y93" s="4"/>
      <c r="Z93" s="4"/>
      <c r="AA93" s="4"/>
      <c r="AB93" s="4"/>
      <c r="AC93" s="4"/>
      <c r="AD93" s="4"/>
      <c r="AE93" s="4"/>
      <c r="AF93" s="4"/>
      <c r="AG93" s="4"/>
      <c r="AH93" s="4"/>
      <c r="AI93" s="4"/>
    </row>
    <row r="94" spans="1:35" customFormat="1" ht="30" customHeight="1">
      <c r="A94" s="77"/>
      <c r="B94" s="4"/>
      <c r="C94" s="4"/>
      <c r="D94" s="4"/>
      <c r="E94" s="124" t="s">
        <v>253</v>
      </c>
      <c r="F94" s="42"/>
      <c r="G94" s="42"/>
      <c r="H94" s="42"/>
      <c r="I94" s="42"/>
      <c r="J94" s="42"/>
      <c r="K94" s="42"/>
      <c r="L94" s="42">
        <v>281440</v>
      </c>
      <c r="M94" s="211" t="s">
        <v>22</v>
      </c>
      <c r="N94" s="211"/>
      <c r="O94" s="211"/>
      <c r="P94" s="211"/>
      <c r="Q94" s="88"/>
      <c r="R94" s="4"/>
      <c r="S94" s="4"/>
      <c r="T94" s="4"/>
      <c r="U94" s="4"/>
      <c r="V94" s="4"/>
      <c r="W94" s="4"/>
      <c r="X94" s="4"/>
      <c r="Y94" s="4"/>
      <c r="Z94" s="4"/>
      <c r="AA94" s="4"/>
      <c r="AB94" s="4"/>
      <c r="AC94" s="4"/>
      <c r="AD94" s="4"/>
      <c r="AE94" s="4"/>
      <c r="AF94" s="4"/>
      <c r="AG94" s="4"/>
      <c r="AH94" s="4"/>
      <c r="AI94" s="4"/>
    </row>
    <row r="95" spans="1:35" customFormat="1" ht="30" customHeight="1">
      <c r="A95" s="77"/>
      <c r="B95" s="4"/>
      <c r="C95" s="4"/>
      <c r="D95" s="4"/>
      <c r="E95" s="124" t="s">
        <v>495</v>
      </c>
      <c r="F95" s="42"/>
      <c r="G95" s="42"/>
      <c r="H95" s="42"/>
      <c r="I95" s="42"/>
      <c r="J95" s="42"/>
      <c r="K95" s="42"/>
      <c r="L95" s="42"/>
      <c r="M95" s="211"/>
      <c r="N95" s="211"/>
      <c r="O95" s="211">
        <v>131985</v>
      </c>
      <c r="P95" s="211">
        <v>43050</v>
      </c>
      <c r="Q95" s="88"/>
      <c r="R95" s="4"/>
      <c r="S95" s="4"/>
      <c r="T95" s="4"/>
      <c r="U95" s="4"/>
      <c r="V95" s="4"/>
      <c r="W95" s="4"/>
      <c r="X95" s="4"/>
      <c r="Y95" s="4"/>
      <c r="Z95" s="4"/>
      <c r="AA95" s="4"/>
      <c r="AB95" s="4"/>
      <c r="AC95" s="4"/>
      <c r="AD95" s="4"/>
      <c r="AE95" s="4"/>
      <c r="AF95" s="4"/>
      <c r="AG95" s="4"/>
      <c r="AH95" s="4"/>
      <c r="AI95" s="4"/>
    </row>
    <row r="96" spans="1:35" customFormat="1" ht="30" customHeight="1">
      <c r="A96" s="77"/>
      <c r="B96" s="4"/>
      <c r="C96" s="4"/>
      <c r="D96" s="4"/>
      <c r="E96" s="124" t="s">
        <v>72</v>
      </c>
      <c r="F96" s="42">
        <v>2170</v>
      </c>
      <c r="G96" s="42">
        <v>13733</v>
      </c>
      <c r="H96" s="42">
        <v>22529</v>
      </c>
      <c r="I96" s="42">
        <v>15558</v>
      </c>
      <c r="J96" s="42">
        <v>20491</v>
      </c>
      <c r="K96" s="42">
        <v>26784</v>
      </c>
      <c r="L96" s="42">
        <v>11532</v>
      </c>
      <c r="M96" s="211">
        <v>29227</v>
      </c>
      <c r="N96" s="211">
        <v>649</v>
      </c>
      <c r="O96" s="211">
        <v>56709</v>
      </c>
      <c r="P96" s="211">
        <v>12485</v>
      </c>
      <c r="Q96" s="88"/>
      <c r="R96" s="4"/>
      <c r="S96" s="4"/>
      <c r="T96" s="4"/>
      <c r="U96" s="4"/>
      <c r="V96" s="4"/>
      <c r="W96" s="4"/>
      <c r="X96" s="4"/>
      <c r="Y96" s="4"/>
      <c r="Z96" s="4"/>
      <c r="AA96" s="4"/>
      <c r="AB96" s="4"/>
      <c r="AC96" s="4"/>
      <c r="AD96" s="4"/>
      <c r="AE96" s="4"/>
      <c r="AF96" s="4"/>
      <c r="AG96" s="4"/>
      <c r="AH96" s="4"/>
      <c r="AI96" s="4"/>
    </row>
    <row r="97" spans="1:35" customFormat="1" ht="30" customHeight="1" thickBot="1">
      <c r="A97" s="77"/>
      <c r="B97" s="4"/>
      <c r="C97" s="4"/>
      <c r="D97" s="4"/>
      <c r="E97" s="233" t="s">
        <v>61</v>
      </c>
      <c r="F97" s="214">
        <f t="shared" ref="F97:P97" si="23">SUM(F89:F96)</f>
        <v>89625</v>
      </c>
      <c r="G97" s="214">
        <f t="shared" si="23"/>
        <v>186055</v>
      </c>
      <c r="H97" s="214">
        <f t="shared" si="23"/>
        <v>201723</v>
      </c>
      <c r="I97" s="214">
        <f t="shared" si="23"/>
        <v>209555</v>
      </c>
      <c r="J97" s="214">
        <f t="shared" si="23"/>
        <v>317809</v>
      </c>
      <c r="K97" s="214">
        <f t="shared" si="23"/>
        <v>365336</v>
      </c>
      <c r="L97" s="214">
        <f t="shared" si="23"/>
        <v>679426</v>
      </c>
      <c r="M97" s="214">
        <f t="shared" si="23"/>
        <v>736362</v>
      </c>
      <c r="N97" s="214">
        <f t="shared" si="23"/>
        <v>1229042</v>
      </c>
      <c r="O97" s="214">
        <f t="shared" si="23"/>
        <v>1137502</v>
      </c>
      <c r="P97" s="214">
        <f t="shared" si="23"/>
        <v>356775</v>
      </c>
      <c r="Q97" s="4"/>
      <c r="R97" s="4"/>
      <c r="S97" s="4"/>
      <c r="T97" s="4"/>
      <c r="U97" s="4"/>
      <c r="V97" s="4"/>
      <c r="W97" s="4"/>
      <c r="X97" s="4"/>
      <c r="Y97" s="4"/>
      <c r="Z97" s="4"/>
      <c r="AA97" s="4"/>
      <c r="AB97" s="4"/>
      <c r="AC97" s="4"/>
      <c r="AD97" s="4"/>
      <c r="AE97" s="4"/>
      <c r="AF97" s="4"/>
      <c r="AG97" s="4"/>
      <c r="AH97" s="4"/>
      <c r="AI97" s="4"/>
    </row>
    <row r="98" spans="1:35" customFormat="1" ht="30" customHeight="1">
      <c r="A98" s="77"/>
      <c r="B98" s="4"/>
      <c r="C98" s="4"/>
      <c r="D98" s="4"/>
      <c r="E98" s="177"/>
      <c r="F98" s="220"/>
      <c r="G98" s="220"/>
      <c r="H98" s="220"/>
      <c r="I98" s="220"/>
      <c r="J98" s="220"/>
      <c r="K98" s="220"/>
      <c r="L98" s="220"/>
      <c r="M98" s="220"/>
      <c r="N98" s="220"/>
      <c r="O98" s="220"/>
      <c r="P98" s="220"/>
      <c r="Q98" s="4"/>
      <c r="R98" s="4"/>
      <c r="S98" s="4"/>
      <c r="T98" s="4"/>
      <c r="U98" s="4"/>
      <c r="V98" s="4"/>
      <c r="W98" s="4"/>
      <c r="X98" s="4"/>
      <c r="Y98" s="4"/>
      <c r="Z98" s="4"/>
      <c r="AA98" s="4"/>
      <c r="AB98" s="4"/>
      <c r="AC98" s="4"/>
      <c r="AD98" s="4"/>
      <c r="AE98" s="4"/>
      <c r="AF98" s="4"/>
      <c r="AG98" s="4"/>
      <c r="AH98" s="4"/>
      <c r="AI98" s="4"/>
    </row>
    <row r="99" spans="1:35" customFormat="1" ht="30" customHeight="1">
      <c r="A99" s="77"/>
      <c r="B99" s="4"/>
      <c r="C99" s="4"/>
      <c r="D99" s="4"/>
      <c r="E99" s="10"/>
      <c r="F99" s="127"/>
      <c r="G99" s="127"/>
      <c r="H99" s="127"/>
      <c r="I99" s="127"/>
      <c r="J99" s="127"/>
      <c r="K99" s="127"/>
      <c r="L99" s="127"/>
      <c r="M99" s="127"/>
      <c r="N99" s="127"/>
      <c r="O99" s="127"/>
      <c r="P99" s="127"/>
      <c r="Q99" s="4"/>
      <c r="R99" s="4"/>
      <c r="S99" s="4"/>
      <c r="T99" s="4"/>
      <c r="U99" s="4"/>
      <c r="V99" s="4"/>
      <c r="W99" s="4"/>
      <c r="X99" s="4"/>
      <c r="Y99" s="4"/>
      <c r="Z99" s="4"/>
      <c r="AA99" s="4"/>
      <c r="AB99" s="4"/>
      <c r="AC99" s="4"/>
      <c r="AD99" s="4"/>
      <c r="AE99" s="4"/>
      <c r="AF99" s="4"/>
      <c r="AG99" s="4"/>
      <c r="AH99" s="4"/>
      <c r="AI99" s="4"/>
    </row>
    <row r="100" spans="1:35" customFormat="1" ht="30" customHeight="1">
      <c r="A100" s="77"/>
      <c r="B100" s="4"/>
      <c r="C100" s="4"/>
      <c r="D100" s="4"/>
      <c r="E100" s="29"/>
      <c r="F100" s="5"/>
      <c r="G100" s="5"/>
      <c r="H100" s="5"/>
      <c r="I100" s="5"/>
      <c r="J100" s="5"/>
      <c r="K100" s="5"/>
      <c r="L100" s="66"/>
      <c r="M100" s="66"/>
      <c r="N100" s="66"/>
      <c r="O100" s="66"/>
      <c r="P100" s="66"/>
      <c r="Q100" s="88"/>
      <c r="R100" s="4"/>
      <c r="S100" s="4"/>
      <c r="T100" s="4"/>
      <c r="U100" s="4"/>
      <c r="V100" s="4"/>
      <c r="W100" s="4"/>
      <c r="X100" s="4"/>
      <c r="Y100" s="4"/>
      <c r="Z100" s="4"/>
      <c r="AA100" s="4"/>
      <c r="AB100" s="4"/>
      <c r="AC100" s="4"/>
      <c r="AD100" s="4"/>
      <c r="AE100" s="4"/>
      <c r="AF100" s="4"/>
      <c r="AG100" s="4"/>
      <c r="AH100" s="4"/>
      <c r="AI100" s="4"/>
    </row>
    <row r="101" spans="1:35" customFormat="1" ht="30" customHeight="1">
      <c r="A101" s="77"/>
      <c r="B101" s="4"/>
      <c r="C101" s="4"/>
      <c r="D101" s="4"/>
      <c r="E101" s="124"/>
      <c r="F101" s="37">
        <v>2014</v>
      </c>
      <c r="G101" s="37">
        <v>2015</v>
      </c>
      <c r="H101" s="37">
        <v>2016</v>
      </c>
      <c r="I101" s="37">
        <v>2017</v>
      </c>
      <c r="J101" s="37">
        <v>2018</v>
      </c>
      <c r="K101" s="37">
        <v>2019</v>
      </c>
      <c r="L101" s="37">
        <v>2020</v>
      </c>
      <c r="M101" s="37">
        <v>2021</v>
      </c>
      <c r="N101" s="37">
        <v>2022</v>
      </c>
      <c r="O101" s="37">
        <v>2023</v>
      </c>
      <c r="P101" s="37" t="str">
        <f>P88</f>
        <v>YTD</v>
      </c>
      <c r="Q101" s="88"/>
      <c r="R101" s="4"/>
      <c r="S101" s="4"/>
      <c r="T101" s="4"/>
      <c r="U101" s="4"/>
      <c r="V101" s="4"/>
      <c r="W101" s="4"/>
      <c r="X101" s="4"/>
      <c r="Y101" s="4"/>
      <c r="Z101" s="4"/>
      <c r="AA101" s="4"/>
      <c r="AB101" s="4"/>
      <c r="AC101" s="4"/>
      <c r="AD101" s="4"/>
      <c r="AE101" s="4"/>
      <c r="AF101" s="4"/>
      <c r="AG101" s="4"/>
      <c r="AH101" s="4"/>
      <c r="AI101" s="4"/>
    </row>
    <row r="102" spans="1:35" customFormat="1" ht="30" customHeight="1">
      <c r="A102" s="77"/>
      <c r="B102" s="4"/>
      <c r="C102" s="4"/>
      <c r="D102" s="4"/>
      <c r="E102" s="129" t="s">
        <v>65</v>
      </c>
      <c r="F102" s="46">
        <f t="shared" ref="F102:P102" si="24">F57</f>
        <v>484618</v>
      </c>
      <c r="G102" s="46">
        <f t="shared" si="24"/>
        <v>589660</v>
      </c>
      <c r="H102" s="46">
        <f t="shared" si="24"/>
        <v>561004</v>
      </c>
      <c r="I102" s="46">
        <f t="shared" si="24"/>
        <v>670266</v>
      </c>
      <c r="J102" s="46">
        <f t="shared" si="24"/>
        <v>930273</v>
      </c>
      <c r="K102" s="46">
        <f t="shared" si="24"/>
        <v>1200094</v>
      </c>
      <c r="L102" s="46">
        <f t="shared" si="24"/>
        <v>1171665</v>
      </c>
      <c r="M102" s="46">
        <f t="shared" si="24"/>
        <v>3022985</v>
      </c>
      <c r="N102" s="46">
        <f t="shared" si="24"/>
        <v>5104290</v>
      </c>
      <c r="O102" s="46">
        <f t="shared" si="24"/>
        <v>4911174</v>
      </c>
      <c r="P102" s="46">
        <f t="shared" si="24"/>
        <v>1584919</v>
      </c>
      <c r="Q102" s="88"/>
      <c r="R102" s="4"/>
      <c r="S102" s="4"/>
      <c r="T102" s="4"/>
      <c r="U102" s="4"/>
      <c r="V102" s="4"/>
      <c r="W102" s="4"/>
      <c r="X102" s="4"/>
      <c r="Y102" s="4"/>
      <c r="Z102" s="4"/>
      <c r="AA102" s="4"/>
      <c r="AB102" s="4"/>
      <c r="AC102" s="4"/>
      <c r="AD102" s="4"/>
      <c r="AE102" s="4"/>
      <c r="AF102" s="4"/>
      <c r="AG102" s="4"/>
      <c r="AH102" s="4"/>
      <c r="AI102" s="4"/>
    </row>
    <row r="103" spans="1:35" customFormat="1" ht="30" customHeight="1">
      <c r="A103" s="77"/>
      <c r="B103" s="4"/>
      <c r="C103" s="4"/>
      <c r="D103" s="4"/>
      <c r="E103" s="124" t="s">
        <v>488</v>
      </c>
      <c r="F103" s="42">
        <f t="shared" ref="F103:P103" si="25">F60</f>
        <v>484618</v>
      </c>
      <c r="G103" s="42">
        <f t="shared" si="25"/>
        <v>589660</v>
      </c>
      <c r="H103" s="42">
        <f t="shared" si="25"/>
        <v>561004</v>
      </c>
      <c r="I103" s="42">
        <f t="shared" si="25"/>
        <v>670266</v>
      </c>
      <c r="J103" s="42">
        <f t="shared" si="25"/>
        <v>930273</v>
      </c>
      <c r="K103" s="42">
        <f t="shared" si="25"/>
        <v>1168529.294117647</v>
      </c>
      <c r="L103" s="42">
        <f t="shared" si="25"/>
        <v>1142085.5882352942</v>
      </c>
      <c r="M103" s="42">
        <f t="shared" si="25"/>
        <v>2988137.9411764704</v>
      </c>
      <c r="N103" s="42">
        <f t="shared" si="25"/>
        <v>4615766.4705882352</v>
      </c>
      <c r="O103" s="42">
        <f t="shared" si="25"/>
        <v>4373559.2941176472</v>
      </c>
      <c r="P103" s="42">
        <f t="shared" si="25"/>
        <v>1584919</v>
      </c>
      <c r="Q103" s="88"/>
      <c r="R103" s="4"/>
      <c r="S103" s="4"/>
      <c r="T103" s="4"/>
      <c r="U103" s="4"/>
      <c r="V103" s="4"/>
      <c r="W103" s="4"/>
      <c r="X103" s="4"/>
      <c r="Y103" s="4"/>
      <c r="Z103" s="4"/>
      <c r="AA103" s="4"/>
      <c r="AB103" s="4"/>
      <c r="AC103" s="4"/>
      <c r="AD103" s="4"/>
      <c r="AE103" s="4"/>
      <c r="AF103" s="4"/>
      <c r="AG103" s="4"/>
      <c r="AH103" s="4"/>
      <c r="AI103" s="4"/>
    </row>
    <row r="104" spans="1:35" customFormat="1" ht="30" customHeight="1">
      <c r="A104" s="77"/>
      <c r="B104" s="4"/>
      <c r="C104" s="4"/>
      <c r="D104" s="4"/>
      <c r="E104" s="129" t="s">
        <v>66</v>
      </c>
      <c r="F104" s="46">
        <f>'DRE Consolidado'!K42</f>
        <v>111137</v>
      </c>
      <c r="G104" s="46">
        <f>'DRE Consolidado'!L42</f>
        <v>67222</v>
      </c>
      <c r="H104" s="46">
        <f>'DRE Consolidado'!M42</f>
        <v>-249470</v>
      </c>
      <c r="I104" s="46">
        <f>'DRE Consolidado'!N42</f>
        <v>33929</v>
      </c>
      <c r="J104" s="46">
        <f>'DRE Consolidado'!O42</f>
        <v>279498</v>
      </c>
      <c r="K104" s="46">
        <f>'DRE Consolidado'!P42</f>
        <v>431126</v>
      </c>
      <c r="L104" s="46">
        <f>'DRE Consolidado'!Q42</f>
        <v>655206</v>
      </c>
      <c r="M104" s="46">
        <f>'DRE Consolidado'!R42</f>
        <v>1912958</v>
      </c>
      <c r="N104" s="46">
        <f>'DRE Consolidado'!S42</f>
        <v>987385</v>
      </c>
      <c r="O104" s="46">
        <f>'DRE Consolidado'!T42</f>
        <v>-999055</v>
      </c>
      <c r="P104" s="46">
        <f>'DRE Consolidado'!U42</f>
        <v>101025</v>
      </c>
      <c r="Q104" s="88"/>
      <c r="R104" s="4"/>
      <c r="S104" s="4"/>
      <c r="T104" s="4"/>
      <c r="U104" s="4"/>
      <c r="V104" s="4"/>
      <c r="W104" s="4"/>
      <c r="X104" s="4"/>
      <c r="Y104" s="4"/>
      <c r="Z104" s="4"/>
      <c r="AA104" s="4"/>
      <c r="AB104" s="4"/>
      <c r="AC104" s="4"/>
      <c r="AD104" s="4"/>
      <c r="AE104" s="4"/>
      <c r="AF104" s="4"/>
      <c r="AG104" s="4"/>
      <c r="AH104" s="4"/>
      <c r="AI104" s="4"/>
    </row>
    <row r="105" spans="1:35" customFormat="1" ht="30" customHeight="1">
      <c r="A105" s="77"/>
      <c r="B105" s="4"/>
      <c r="C105" s="4"/>
      <c r="D105" s="4"/>
      <c r="E105" s="124" t="s">
        <v>62</v>
      </c>
      <c r="F105" s="42">
        <f>SUM(F72,F73,F76,F77,F78,F91,F93)</f>
        <v>-12625</v>
      </c>
      <c r="G105" s="42">
        <f t="shared" ref="G105:O105" si="26">SUM(G72,G73,G76,G77,G78,G91,G93)</f>
        <v>-133239</v>
      </c>
      <c r="H105" s="42">
        <f t="shared" si="26"/>
        <v>0</v>
      </c>
      <c r="I105" s="42">
        <f t="shared" si="26"/>
        <v>0</v>
      </c>
      <c r="J105" s="42">
        <f t="shared" si="26"/>
        <v>-17661</v>
      </c>
      <c r="K105" s="42">
        <f t="shared" si="26"/>
        <v>0</v>
      </c>
      <c r="L105" s="42">
        <f t="shared" si="26"/>
        <v>0</v>
      </c>
      <c r="M105" s="42">
        <f t="shared" si="26"/>
        <v>0</v>
      </c>
      <c r="N105" s="42">
        <f t="shared" si="26"/>
        <v>0</v>
      </c>
      <c r="O105" s="42">
        <f t="shared" si="26"/>
        <v>0</v>
      </c>
      <c r="P105" s="42">
        <f t="shared" ref="P105" si="27">SUM(P72,P73,P76,P77,P78,P91,P93)</f>
        <v>0</v>
      </c>
      <c r="Q105" s="88"/>
      <c r="R105" s="4"/>
      <c r="S105" s="4"/>
      <c r="T105" s="4"/>
      <c r="U105" s="4"/>
      <c r="V105" s="4"/>
      <c r="W105" s="4"/>
      <c r="X105" s="4"/>
      <c r="Y105" s="4"/>
      <c r="Z105" s="4"/>
      <c r="AA105" s="4"/>
      <c r="AB105" s="4"/>
      <c r="AC105" s="4"/>
      <c r="AD105" s="4"/>
      <c r="AE105" s="4"/>
      <c r="AF105" s="4"/>
      <c r="AG105" s="4"/>
      <c r="AH105" s="4"/>
      <c r="AI105" s="4"/>
    </row>
    <row r="106" spans="1:35" customFormat="1" ht="30" customHeight="1">
      <c r="A106" s="77"/>
      <c r="B106" s="4"/>
      <c r="C106" s="4"/>
      <c r="D106" s="4"/>
      <c r="E106" s="124" t="s">
        <v>67</v>
      </c>
      <c r="F106" s="176">
        <f>F104-F105</f>
        <v>123762</v>
      </c>
      <c r="G106" s="176">
        <f t="shared" ref="G106:O106" si="28">G104-G105</f>
        <v>200461</v>
      </c>
      <c r="H106" s="176">
        <f t="shared" si="28"/>
        <v>-249470</v>
      </c>
      <c r="I106" s="176">
        <f t="shared" si="28"/>
        <v>33929</v>
      </c>
      <c r="J106" s="176">
        <f t="shared" si="28"/>
        <v>297159</v>
      </c>
      <c r="K106" s="176">
        <f t="shared" si="28"/>
        <v>431126</v>
      </c>
      <c r="L106" s="176">
        <f t="shared" si="28"/>
        <v>655206</v>
      </c>
      <c r="M106" s="176">
        <f t="shared" si="28"/>
        <v>1912958</v>
      </c>
      <c r="N106" s="176">
        <f t="shared" si="28"/>
        <v>987385</v>
      </c>
      <c r="O106" s="176">
        <f t="shared" si="28"/>
        <v>-999055</v>
      </c>
      <c r="P106" s="176">
        <f t="shared" ref="P106" si="29">P104-P105</f>
        <v>101025</v>
      </c>
      <c r="Q106" s="88"/>
      <c r="R106" s="4"/>
      <c r="S106" s="4"/>
      <c r="T106" s="4"/>
      <c r="U106" s="4"/>
      <c r="V106" s="4"/>
      <c r="W106" s="4"/>
      <c r="X106" s="4"/>
      <c r="Y106" s="4"/>
      <c r="Z106" s="4"/>
      <c r="AA106" s="4"/>
      <c r="AB106" s="4"/>
      <c r="AC106" s="4"/>
      <c r="AD106" s="4"/>
      <c r="AE106" s="4"/>
      <c r="AF106" s="4"/>
      <c r="AG106" s="4"/>
      <c r="AH106" s="4"/>
      <c r="AI106" s="4"/>
    </row>
    <row r="107" spans="1:35" customFormat="1" ht="30" customHeight="1" thickBot="1">
      <c r="A107" s="77"/>
      <c r="B107" s="4"/>
      <c r="C107" s="4"/>
      <c r="D107" s="4"/>
      <c r="E107" s="215" t="s">
        <v>489</v>
      </c>
      <c r="F107" s="216">
        <f>F103+F97+F84</f>
        <v>130696</v>
      </c>
      <c r="G107" s="216">
        <f t="shared" ref="G107:O107" si="30">G103+G97+G84</f>
        <v>50994</v>
      </c>
      <c r="H107" s="216">
        <f t="shared" si="30"/>
        <v>-187249</v>
      </c>
      <c r="I107" s="216">
        <f t="shared" si="30"/>
        <v>-275</v>
      </c>
      <c r="J107" s="216">
        <f t="shared" si="30"/>
        <v>249054</v>
      </c>
      <c r="K107" s="216">
        <f t="shared" si="30"/>
        <v>400490.29411764699</v>
      </c>
      <c r="L107" s="216">
        <f t="shared" si="30"/>
        <v>767309.58823529421</v>
      </c>
      <c r="M107" s="216">
        <f t="shared" si="30"/>
        <v>1770544.9411764704</v>
      </c>
      <c r="N107" s="216">
        <f t="shared" si="30"/>
        <v>486335.47058823518</v>
      </c>
      <c r="O107" s="216">
        <f t="shared" si="30"/>
        <v>-1520166.7058823528</v>
      </c>
      <c r="P107" s="216">
        <f t="shared" ref="P107" si="31">P103+P97+P84</f>
        <v>107981</v>
      </c>
      <c r="Q107" s="88"/>
      <c r="R107" s="4"/>
      <c r="S107" s="4"/>
      <c r="T107" s="4"/>
      <c r="U107" s="4"/>
      <c r="V107" s="4"/>
      <c r="W107" s="4"/>
      <c r="X107" s="4"/>
      <c r="Y107" s="4"/>
      <c r="Z107" s="4"/>
      <c r="AA107" s="4"/>
      <c r="AB107" s="4"/>
      <c r="AC107" s="4"/>
      <c r="AD107" s="4"/>
      <c r="AE107" s="4"/>
      <c r="AF107" s="4"/>
      <c r="AG107" s="4"/>
      <c r="AH107" s="4"/>
      <c r="AI107" s="4"/>
    </row>
    <row r="108" spans="1:35" customFormat="1" ht="30" customHeight="1">
      <c r="A108" s="77"/>
      <c r="B108" s="4"/>
      <c r="C108" s="4"/>
      <c r="D108" s="4"/>
      <c r="E108" s="177"/>
      <c r="F108" s="220"/>
      <c r="G108" s="220"/>
      <c r="H108" s="220"/>
      <c r="I108" s="220"/>
      <c r="J108" s="220"/>
      <c r="K108" s="220"/>
      <c r="L108" s="220"/>
      <c r="M108" s="220"/>
      <c r="N108" s="220"/>
      <c r="O108" s="220"/>
      <c r="P108" s="220"/>
      <c r="Q108" s="127"/>
      <c r="R108" s="127"/>
      <c r="S108" s="4"/>
      <c r="T108" s="4"/>
      <c r="U108" s="4"/>
      <c r="V108" s="4"/>
      <c r="W108" s="4"/>
      <c r="X108" s="4"/>
      <c r="Y108" s="4"/>
      <c r="Z108" s="4"/>
      <c r="AA108" s="4"/>
      <c r="AB108" s="4"/>
      <c r="AC108" s="4"/>
      <c r="AD108" s="4"/>
      <c r="AE108" s="4"/>
      <c r="AF108" s="4"/>
      <c r="AG108" s="4"/>
      <c r="AH108" s="4"/>
      <c r="AI108" s="4"/>
    </row>
    <row r="109" spans="1:35" customFormat="1" ht="30" customHeight="1">
      <c r="A109" s="77"/>
      <c r="B109" s="4"/>
      <c r="C109" s="4"/>
      <c r="D109" s="4"/>
      <c r="E109" s="10"/>
      <c r="F109" s="10"/>
      <c r="G109" s="10"/>
      <c r="H109" s="10"/>
      <c r="I109" s="10"/>
      <c r="J109" s="10"/>
      <c r="K109" s="10"/>
      <c r="L109" s="10"/>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customFormat="1" ht="30" customHeight="1">
      <c r="A110" s="77"/>
      <c r="B110" s="4"/>
      <c r="C110" s="4"/>
      <c r="D110" s="4"/>
      <c r="E110" s="29"/>
      <c r="F110" s="30"/>
      <c r="G110" s="30"/>
      <c r="H110" s="30"/>
      <c r="I110" s="30"/>
      <c r="J110" s="30"/>
      <c r="K110" s="30"/>
      <c r="L110" s="31"/>
      <c r="M110" s="31"/>
      <c r="N110" s="31"/>
      <c r="O110" s="31"/>
      <c r="P110" s="31"/>
      <c r="Q110" s="88"/>
      <c r="R110" s="4"/>
      <c r="S110" s="4"/>
      <c r="T110" s="4"/>
      <c r="U110" s="4"/>
      <c r="V110" s="4"/>
      <c r="W110" s="4"/>
      <c r="X110" s="4"/>
      <c r="Y110" s="4"/>
      <c r="Z110" s="4"/>
      <c r="AA110" s="4"/>
      <c r="AB110" s="4"/>
      <c r="AC110" s="4"/>
      <c r="AD110" s="4"/>
      <c r="AE110" s="4"/>
      <c r="AF110" s="4"/>
      <c r="AG110" s="4"/>
      <c r="AH110" s="4"/>
      <c r="AI110" s="4"/>
    </row>
    <row r="111" spans="1:35" customFormat="1" ht="30" customHeight="1">
      <c r="A111" s="77"/>
      <c r="B111" s="4"/>
      <c r="C111" s="4"/>
      <c r="D111" s="4"/>
      <c r="E111" s="78"/>
      <c r="F111" s="37">
        <v>2014</v>
      </c>
      <c r="G111" s="37">
        <v>2015</v>
      </c>
      <c r="H111" s="37">
        <v>2016</v>
      </c>
      <c r="I111" s="37">
        <v>2017</v>
      </c>
      <c r="J111" s="37">
        <v>2018</v>
      </c>
      <c r="K111" s="37">
        <v>2019</v>
      </c>
      <c r="L111" s="37">
        <v>2020</v>
      </c>
      <c r="M111" s="37">
        <v>2021</v>
      </c>
      <c r="N111" s="37">
        <v>2022</v>
      </c>
      <c r="O111" s="37">
        <v>2023</v>
      </c>
      <c r="P111" s="37" t="str">
        <f>P101</f>
        <v>YTD</v>
      </c>
      <c r="Q111" s="88"/>
      <c r="R111" s="4"/>
      <c r="S111" s="4"/>
      <c r="T111" s="4"/>
      <c r="U111" s="4"/>
      <c r="V111" s="4"/>
      <c r="W111" s="4"/>
      <c r="X111" s="4"/>
      <c r="Y111" s="4"/>
      <c r="Z111" s="4"/>
      <c r="AA111" s="4"/>
      <c r="AB111" s="4"/>
      <c r="AC111" s="4"/>
      <c r="AD111" s="4"/>
      <c r="AE111" s="4"/>
      <c r="AF111" s="4"/>
      <c r="AG111" s="4"/>
      <c r="AH111" s="4"/>
      <c r="AI111" s="4"/>
    </row>
    <row r="112" spans="1:35" customFormat="1" ht="30" customHeight="1">
      <c r="A112" s="77"/>
      <c r="B112" s="4"/>
      <c r="C112" s="4"/>
      <c r="D112" s="4"/>
      <c r="E112" s="130" t="s">
        <v>75</v>
      </c>
      <c r="F112" s="46">
        <f>F106</f>
        <v>123762</v>
      </c>
      <c r="G112" s="46">
        <f t="shared" ref="G112:P112" si="32">G106</f>
        <v>200461</v>
      </c>
      <c r="H112" s="46">
        <f t="shared" si="32"/>
        <v>-249470</v>
      </c>
      <c r="I112" s="46">
        <f t="shared" si="32"/>
        <v>33929</v>
      </c>
      <c r="J112" s="46">
        <f t="shared" si="32"/>
        <v>297159</v>
      </c>
      <c r="K112" s="46">
        <f t="shared" si="32"/>
        <v>431126</v>
      </c>
      <c r="L112" s="46">
        <f t="shared" si="32"/>
        <v>655206</v>
      </c>
      <c r="M112" s="46">
        <f t="shared" si="32"/>
        <v>1912958</v>
      </c>
      <c r="N112" s="46">
        <f t="shared" si="32"/>
        <v>987385</v>
      </c>
      <c r="O112" s="46">
        <f t="shared" si="32"/>
        <v>-999055</v>
      </c>
      <c r="P112" s="46">
        <f t="shared" si="32"/>
        <v>101025</v>
      </c>
      <c r="Q112" s="88"/>
      <c r="R112" s="4"/>
      <c r="S112" s="4"/>
      <c r="T112" s="4"/>
      <c r="U112" s="4"/>
      <c r="V112" s="4"/>
      <c r="W112" s="4"/>
      <c r="X112" s="4"/>
      <c r="Y112" s="4"/>
      <c r="Z112" s="4"/>
      <c r="AA112" s="4"/>
      <c r="AB112" s="4"/>
      <c r="AC112" s="4"/>
      <c r="AD112" s="4"/>
      <c r="AE112" s="4"/>
      <c r="AF112" s="4"/>
      <c r="AG112" s="4"/>
      <c r="AH112" s="4"/>
      <c r="AI112" s="4"/>
    </row>
    <row r="113" spans="1:35" customFormat="1" ht="30" customHeight="1">
      <c r="A113" s="77"/>
      <c r="B113" s="4"/>
      <c r="C113" s="4"/>
      <c r="D113" s="4"/>
      <c r="E113" s="73" t="s">
        <v>68</v>
      </c>
      <c r="F113" s="131">
        <v>0.34</v>
      </c>
      <c r="G113" s="131">
        <v>0.34</v>
      </c>
      <c r="H113" s="131">
        <v>0.34</v>
      </c>
      <c r="I113" s="131">
        <v>0.34</v>
      </c>
      <c r="J113" s="131">
        <v>0.34</v>
      </c>
      <c r="K113" s="131">
        <v>0.34</v>
      </c>
      <c r="L113" s="131">
        <v>0.34</v>
      </c>
      <c r="M113" s="131">
        <v>0.34</v>
      </c>
      <c r="N113" s="131">
        <v>0.34</v>
      </c>
      <c r="O113" s="131">
        <v>0.34</v>
      </c>
      <c r="P113" s="131">
        <v>0.34</v>
      </c>
      <c r="Q113" s="88"/>
      <c r="R113" s="4"/>
      <c r="S113" s="4"/>
      <c r="T113" s="4"/>
      <c r="U113" s="4"/>
      <c r="V113" s="4"/>
      <c r="W113" s="4"/>
      <c r="X113" s="4"/>
      <c r="Y113" s="4"/>
      <c r="Z113" s="4"/>
      <c r="AA113" s="4"/>
      <c r="AB113" s="4"/>
      <c r="AC113" s="4"/>
      <c r="AD113" s="4"/>
      <c r="AE113" s="4"/>
      <c r="AF113" s="4"/>
      <c r="AG113" s="4"/>
      <c r="AH113" s="4"/>
      <c r="AI113" s="4"/>
    </row>
    <row r="114" spans="1:35" customFormat="1" ht="30" customHeight="1">
      <c r="A114" s="77"/>
      <c r="B114" s="4"/>
      <c r="C114" s="4"/>
      <c r="D114" s="4"/>
      <c r="E114" s="130" t="s">
        <v>74</v>
      </c>
      <c r="F114" s="46">
        <f t="shared" ref="F114:I114" si="33">-F113*F112</f>
        <v>-42079.08</v>
      </c>
      <c r="G114" s="46">
        <f t="shared" ref="G114:H114" si="34">-G113*G112</f>
        <v>-68156.740000000005</v>
      </c>
      <c r="H114" s="46">
        <f t="shared" si="34"/>
        <v>84819.8</v>
      </c>
      <c r="I114" s="46">
        <f t="shared" si="33"/>
        <v>-11535.86</v>
      </c>
      <c r="J114" s="46">
        <f t="shared" ref="J114:P114" si="35">-J113*J112</f>
        <v>-101034.06000000001</v>
      </c>
      <c r="K114" s="46">
        <f t="shared" si="35"/>
        <v>-146582.84</v>
      </c>
      <c r="L114" s="46">
        <f t="shared" si="35"/>
        <v>-222770.04</v>
      </c>
      <c r="M114" s="234">
        <f t="shared" si="35"/>
        <v>-650405.72000000009</v>
      </c>
      <c r="N114" s="234">
        <f t="shared" si="35"/>
        <v>-335710.9</v>
      </c>
      <c r="O114" s="234">
        <f t="shared" si="35"/>
        <v>339678.7</v>
      </c>
      <c r="P114" s="234">
        <f t="shared" si="35"/>
        <v>-34348.5</v>
      </c>
      <c r="Q114" s="88"/>
      <c r="R114" s="4"/>
      <c r="S114" s="4"/>
      <c r="T114" s="4"/>
      <c r="U114" s="4"/>
      <c r="V114" s="4"/>
      <c r="W114" s="4"/>
      <c r="X114" s="4"/>
      <c r="Y114" s="4"/>
      <c r="Z114" s="4"/>
      <c r="AA114" s="4"/>
      <c r="AB114" s="4"/>
      <c r="AC114" s="4"/>
      <c r="AD114" s="4"/>
      <c r="AE114" s="4"/>
      <c r="AF114" s="4"/>
      <c r="AG114" s="4"/>
      <c r="AH114" s="4"/>
      <c r="AI114" s="4"/>
    </row>
    <row r="115" spans="1:35" customFormat="1" ht="30" customHeight="1">
      <c r="A115" s="77"/>
      <c r="B115" s="4"/>
      <c r="C115" s="4"/>
      <c r="D115" s="4"/>
      <c r="E115" s="130" t="s">
        <v>69</v>
      </c>
      <c r="F115" s="42"/>
      <c r="G115" s="42"/>
      <c r="H115" s="42"/>
      <c r="I115" s="42"/>
      <c r="J115" s="42"/>
      <c r="K115" s="42"/>
      <c r="L115" s="42"/>
      <c r="M115" s="138"/>
      <c r="N115" s="138"/>
      <c r="O115" s="138"/>
      <c r="P115" s="138"/>
      <c r="Q115" s="88"/>
      <c r="R115" s="4"/>
      <c r="S115" s="4"/>
      <c r="T115" s="4"/>
      <c r="U115" s="4"/>
      <c r="V115" s="4"/>
      <c r="W115" s="4"/>
      <c r="X115" s="4"/>
      <c r="Y115" s="4"/>
      <c r="Z115" s="4"/>
      <c r="AA115" s="4"/>
      <c r="AB115" s="4"/>
      <c r="AC115" s="4"/>
      <c r="AD115" s="4"/>
      <c r="AE115" s="4"/>
      <c r="AF115" s="4"/>
      <c r="AG115" s="4"/>
      <c r="AH115" s="4"/>
      <c r="AI115" s="4"/>
    </row>
    <row r="116" spans="1:35" customFormat="1" ht="30" customHeight="1">
      <c r="A116" s="77"/>
      <c r="B116" s="4"/>
      <c r="C116" s="4"/>
      <c r="D116" s="4"/>
      <c r="E116" s="86" t="s">
        <v>239</v>
      </c>
      <c r="F116" s="42">
        <v>32</v>
      </c>
      <c r="G116" s="42">
        <v>24</v>
      </c>
      <c r="H116" s="42">
        <v>0</v>
      </c>
      <c r="I116" s="42">
        <v>0</v>
      </c>
      <c r="J116" s="42">
        <v>-610</v>
      </c>
      <c r="K116" s="42">
        <v>-2759</v>
      </c>
      <c r="L116" s="42">
        <v>-175</v>
      </c>
      <c r="M116" s="138">
        <v>-522</v>
      </c>
      <c r="N116" s="138">
        <v>955</v>
      </c>
      <c r="O116" s="138">
        <v>1811</v>
      </c>
      <c r="P116" s="138">
        <v>-356</v>
      </c>
      <c r="Q116" s="88"/>
      <c r="R116" s="4"/>
      <c r="S116" s="4"/>
      <c r="T116" s="4"/>
      <c r="U116" s="4"/>
      <c r="V116" s="4"/>
      <c r="W116" s="4"/>
      <c r="X116" s="4"/>
      <c r="Y116" s="4"/>
      <c r="Z116" s="4"/>
      <c r="AA116" s="4"/>
      <c r="AB116" s="4"/>
      <c r="AC116" s="4"/>
      <c r="AD116" s="4"/>
      <c r="AE116" s="4"/>
      <c r="AF116" s="4"/>
      <c r="AG116" s="4"/>
      <c r="AH116" s="4"/>
      <c r="AI116" s="4"/>
    </row>
    <row r="117" spans="1:35" customFormat="1" ht="30" customHeight="1">
      <c r="A117" s="77"/>
      <c r="B117" s="4"/>
      <c r="C117" s="4"/>
      <c r="D117" s="4"/>
      <c r="E117" s="86" t="s">
        <v>179</v>
      </c>
      <c r="F117" s="42">
        <v>725</v>
      </c>
      <c r="G117" s="42">
        <v>261</v>
      </c>
      <c r="H117" s="42">
        <v>421</v>
      </c>
      <c r="I117" s="42">
        <v>380</v>
      </c>
      <c r="J117" s="42">
        <v>825</v>
      </c>
      <c r="K117" s="42">
        <v>2074</v>
      </c>
      <c r="L117" s="42">
        <v>2347</v>
      </c>
      <c r="M117" s="138">
        <v>3536</v>
      </c>
      <c r="N117" s="138">
        <v>269</v>
      </c>
      <c r="O117" s="138"/>
      <c r="P117" s="138">
        <v>273</v>
      </c>
      <c r="Q117" s="88"/>
      <c r="R117" s="4"/>
      <c r="S117" s="4"/>
      <c r="T117" s="4"/>
      <c r="U117" s="4"/>
      <c r="V117" s="4"/>
      <c r="W117" s="4"/>
      <c r="X117" s="4"/>
      <c r="Y117" s="4"/>
      <c r="Z117" s="4"/>
      <c r="AA117" s="4"/>
      <c r="AB117" s="4"/>
      <c r="AC117" s="4"/>
      <c r="AD117" s="4"/>
      <c r="AE117" s="4"/>
      <c r="AF117" s="4"/>
      <c r="AG117" s="4"/>
      <c r="AH117" s="4"/>
      <c r="AI117" s="4"/>
    </row>
    <row r="118" spans="1:35" customFormat="1" ht="30" customHeight="1">
      <c r="A118" s="77"/>
      <c r="B118" s="4"/>
      <c r="C118" s="4"/>
      <c r="D118" s="4"/>
      <c r="E118" s="86" t="s">
        <v>180</v>
      </c>
      <c r="F118" s="42">
        <v>5361</v>
      </c>
      <c r="G118" s="42">
        <v>3400</v>
      </c>
      <c r="H118" s="42">
        <v>0</v>
      </c>
      <c r="I118" s="42">
        <v>2144</v>
      </c>
      <c r="J118" s="42">
        <v>18764</v>
      </c>
      <c r="K118" s="42">
        <v>27044</v>
      </c>
      <c r="L118" s="42">
        <v>16045</v>
      </c>
      <c r="M118" s="138">
        <v>51852</v>
      </c>
      <c r="N118" s="138">
        <v>102594</v>
      </c>
      <c r="O118" s="138">
        <v>4266</v>
      </c>
      <c r="P118" s="138">
        <v>12727</v>
      </c>
      <c r="Q118" s="88"/>
      <c r="R118" s="4"/>
      <c r="S118" s="4"/>
      <c r="T118" s="4"/>
      <c r="U118" s="4"/>
      <c r="V118" s="4"/>
      <c r="W118" s="4"/>
      <c r="X118" s="4"/>
      <c r="Y118" s="4"/>
      <c r="Z118" s="4"/>
      <c r="AA118" s="4"/>
      <c r="AB118" s="4"/>
      <c r="AC118" s="4"/>
      <c r="AD118" s="4"/>
      <c r="AE118" s="4"/>
      <c r="AF118" s="4"/>
      <c r="AG118" s="4"/>
      <c r="AH118" s="4"/>
      <c r="AI118" s="4"/>
    </row>
    <row r="119" spans="1:35" customFormat="1" ht="30" customHeight="1">
      <c r="A119" s="77"/>
      <c r="B119" s="4"/>
      <c r="C119" s="4"/>
      <c r="D119" s="4"/>
      <c r="E119" s="86" t="s">
        <v>332</v>
      </c>
      <c r="F119" s="42"/>
      <c r="G119" s="42"/>
      <c r="H119" s="42"/>
      <c r="I119" s="42"/>
      <c r="J119" s="42"/>
      <c r="K119" s="42"/>
      <c r="L119" s="42"/>
      <c r="M119" s="138"/>
      <c r="N119" s="138">
        <v>205</v>
      </c>
      <c r="O119" s="138"/>
      <c r="P119" s="138"/>
      <c r="Q119" s="88"/>
      <c r="R119" s="4"/>
      <c r="S119" s="4"/>
      <c r="T119" s="4"/>
      <c r="U119" s="4"/>
      <c r="V119" s="4"/>
      <c r="W119" s="4"/>
      <c r="X119" s="4"/>
      <c r="Y119" s="4"/>
      <c r="Z119" s="4"/>
      <c r="AA119" s="4"/>
      <c r="AB119" s="4"/>
      <c r="AC119" s="4"/>
      <c r="AD119" s="4"/>
      <c r="AE119" s="4"/>
      <c r="AF119" s="4"/>
      <c r="AG119" s="4"/>
      <c r="AH119" s="4"/>
      <c r="AI119" s="4"/>
    </row>
    <row r="120" spans="1:35" customFormat="1" ht="30" customHeight="1">
      <c r="A120" s="77"/>
      <c r="B120" s="4"/>
      <c r="C120" s="4"/>
      <c r="D120" s="4"/>
      <c r="E120" s="86" t="s">
        <v>76</v>
      </c>
      <c r="F120" s="42">
        <v>-7863</v>
      </c>
      <c r="G120" s="42">
        <v>-1812</v>
      </c>
      <c r="H120" s="42">
        <v>-1963</v>
      </c>
      <c r="I120" s="42">
        <v>-2130</v>
      </c>
      <c r="J120" s="42">
        <v>-6269</v>
      </c>
      <c r="K120" s="42">
        <v>5979</v>
      </c>
      <c r="L120" s="42">
        <v>-192</v>
      </c>
      <c r="M120" s="138">
        <v>28379</v>
      </c>
      <c r="N120" s="138">
        <v>-9198</v>
      </c>
      <c r="O120" s="138">
        <v>-195089</v>
      </c>
      <c r="P120" s="138">
        <v>8240</v>
      </c>
      <c r="Q120" s="88"/>
      <c r="R120" s="4"/>
      <c r="S120" s="4"/>
      <c r="T120" s="4"/>
      <c r="U120" s="4"/>
      <c r="V120" s="4"/>
      <c r="W120" s="4"/>
      <c r="X120" s="4"/>
      <c r="Y120" s="4"/>
      <c r="Z120" s="4"/>
      <c r="AA120" s="4"/>
      <c r="AB120" s="4"/>
      <c r="AC120" s="4"/>
      <c r="AD120" s="4"/>
      <c r="AE120" s="4"/>
      <c r="AF120" s="4"/>
      <c r="AG120" s="4"/>
      <c r="AH120" s="4"/>
      <c r="AI120" s="4"/>
    </row>
    <row r="121" spans="1:35" customFormat="1" ht="30" customHeight="1">
      <c r="A121" s="77"/>
      <c r="B121" s="4"/>
      <c r="C121" s="4"/>
      <c r="D121" s="4"/>
      <c r="E121" s="86" t="s">
        <v>240</v>
      </c>
      <c r="F121" s="42">
        <v>0</v>
      </c>
      <c r="G121" s="42">
        <v>522</v>
      </c>
      <c r="H121" s="42">
        <v>-3295</v>
      </c>
      <c r="I121" s="42">
        <v>-683</v>
      </c>
      <c r="J121" s="42">
        <v>0</v>
      </c>
      <c r="K121" s="42">
        <v>0</v>
      </c>
      <c r="L121" s="42">
        <v>0</v>
      </c>
      <c r="M121" s="42">
        <v>0</v>
      </c>
      <c r="N121" s="42"/>
      <c r="O121" s="42"/>
      <c r="P121" s="42"/>
      <c r="Q121" s="88"/>
      <c r="R121" s="4"/>
      <c r="S121" s="4"/>
      <c r="T121" s="4"/>
      <c r="U121" s="4"/>
      <c r="V121" s="4"/>
      <c r="W121" s="4"/>
      <c r="X121" s="4"/>
      <c r="Y121" s="4"/>
      <c r="Z121" s="4"/>
      <c r="AA121" s="4"/>
      <c r="AB121" s="4"/>
      <c r="AC121" s="4"/>
      <c r="AD121" s="4"/>
      <c r="AE121" s="4"/>
      <c r="AF121" s="4"/>
      <c r="AG121" s="4"/>
      <c r="AH121" s="4"/>
      <c r="AI121" s="4"/>
    </row>
    <row r="122" spans="1:35" customFormat="1" ht="30" customHeight="1">
      <c r="A122" s="77"/>
      <c r="B122" s="4"/>
      <c r="C122" s="4"/>
      <c r="D122" s="4"/>
      <c r="E122" s="86" t="s">
        <v>241</v>
      </c>
      <c r="F122" s="42">
        <v>0</v>
      </c>
      <c r="G122" s="42">
        <v>0</v>
      </c>
      <c r="H122" s="42">
        <v>0</v>
      </c>
      <c r="I122" s="42">
        <v>1057</v>
      </c>
      <c r="J122" s="42">
        <v>-8009</v>
      </c>
      <c r="K122" s="42">
        <v>-8988</v>
      </c>
      <c r="L122" s="42">
        <v>-22806</v>
      </c>
      <c r="M122" s="138">
        <v>-30157</v>
      </c>
      <c r="N122" s="138">
        <v>21820</v>
      </c>
      <c r="O122" s="138"/>
      <c r="P122" s="138">
        <v>20740</v>
      </c>
      <c r="Q122" s="88"/>
      <c r="R122" s="4"/>
      <c r="S122" s="4"/>
      <c r="T122" s="4"/>
      <c r="U122" s="4"/>
      <c r="V122" s="4"/>
      <c r="W122" s="4"/>
      <c r="X122" s="4"/>
      <c r="Y122" s="4"/>
      <c r="Z122" s="4"/>
      <c r="AA122" s="4"/>
      <c r="AB122" s="4"/>
      <c r="AC122" s="4"/>
      <c r="AD122" s="4"/>
      <c r="AE122" s="4"/>
      <c r="AF122" s="4"/>
      <c r="AG122" s="4"/>
      <c r="AH122" s="4"/>
      <c r="AI122" s="4"/>
    </row>
    <row r="123" spans="1:35" customFormat="1" ht="30" customHeight="1">
      <c r="A123" s="77"/>
      <c r="B123" s="4"/>
      <c r="C123" s="4"/>
      <c r="D123" s="4"/>
      <c r="E123" s="86" t="s">
        <v>242</v>
      </c>
      <c r="F123" s="42">
        <v>0</v>
      </c>
      <c r="G123" s="42">
        <v>0</v>
      </c>
      <c r="H123" s="42">
        <v>-489</v>
      </c>
      <c r="I123" s="42">
        <v>-6752</v>
      </c>
      <c r="J123" s="42">
        <v>0</v>
      </c>
      <c r="K123" s="42">
        <v>0</v>
      </c>
      <c r="L123" s="42">
        <v>-11673</v>
      </c>
      <c r="M123" s="138">
        <v>-4213</v>
      </c>
      <c r="N123" s="138">
        <v>-14707</v>
      </c>
      <c r="O123" s="138">
        <v>-4359</v>
      </c>
      <c r="P123" s="138">
        <v>-14668</v>
      </c>
      <c r="Q123" s="88"/>
      <c r="R123" s="4"/>
      <c r="S123" s="4"/>
      <c r="T123" s="4"/>
      <c r="U123" s="4"/>
      <c r="V123" s="4"/>
      <c r="W123" s="4"/>
      <c r="X123" s="4"/>
      <c r="Y123" s="4"/>
      <c r="Z123" s="4"/>
      <c r="AA123" s="4"/>
      <c r="AB123" s="4"/>
      <c r="AC123" s="4"/>
      <c r="AD123" s="4"/>
      <c r="AE123" s="4"/>
      <c r="AF123" s="4"/>
      <c r="AG123" s="4"/>
      <c r="AH123" s="4"/>
      <c r="AI123" s="4"/>
    </row>
    <row r="124" spans="1:35" customFormat="1" ht="30" customHeight="1">
      <c r="A124" s="77"/>
      <c r="B124" s="4"/>
      <c r="C124" s="4"/>
      <c r="D124" s="4"/>
      <c r="E124" s="86" t="s">
        <v>243</v>
      </c>
      <c r="F124" s="42">
        <v>0</v>
      </c>
      <c r="G124" s="42">
        <v>0</v>
      </c>
      <c r="H124" s="42">
        <v>-5651</v>
      </c>
      <c r="I124" s="42">
        <v>0</v>
      </c>
      <c r="J124" s="42">
        <v>0</v>
      </c>
      <c r="K124" s="42">
        <v>0</v>
      </c>
      <c r="L124" s="42">
        <v>0</v>
      </c>
      <c r="M124" s="42">
        <v>0</v>
      </c>
      <c r="N124" s="42">
        <v>0</v>
      </c>
      <c r="O124" s="42"/>
      <c r="P124" s="42"/>
      <c r="Q124" s="88"/>
      <c r="R124" s="4"/>
      <c r="S124" s="4"/>
      <c r="T124" s="4"/>
      <c r="U124" s="4"/>
      <c r="V124" s="4"/>
      <c r="W124" s="4"/>
      <c r="X124" s="4"/>
      <c r="Y124" s="4"/>
      <c r="Z124" s="4"/>
      <c r="AA124" s="4"/>
      <c r="AB124" s="4"/>
      <c r="AC124" s="4"/>
      <c r="AD124" s="4"/>
      <c r="AE124" s="4"/>
      <c r="AF124" s="4"/>
      <c r="AG124" s="4"/>
      <c r="AH124" s="4"/>
      <c r="AI124" s="4"/>
    </row>
    <row r="125" spans="1:35" customFormat="1" ht="30" customHeight="1">
      <c r="A125" s="77"/>
      <c r="B125" s="4"/>
      <c r="C125" s="4"/>
      <c r="D125" s="4"/>
      <c r="E125" s="86" t="s">
        <v>244</v>
      </c>
      <c r="F125" s="42">
        <v>0</v>
      </c>
      <c r="G125" s="42">
        <v>0</v>
      </c>
      <c r="H125" s="42">
        <v>-7152</v>
      </c>
      <c r="I125" s="42">
        <v>0</v>
      </c>
      <c r="J125" s="42">
        <v>0</v>
      </c>
      <c r="K125" s="42">
        <v>0</v>
      </c>
      <c r="L125" s="42">
        <v>0</v>
      </c>
      <c r="M125" s="42">
        <v>0</v>
      </c>
      <c r="N125" s="42">
        <v>0</v>
      </c>
      <c r="O125" s="42"/>
      <c r="P125" s="42"/>
      <c r="Q125" s="88"/>
      <c r="R125" s="4"/>
      <c r="S125" s="4"/>
      <c r="T125" s="4"/>
      <c r="U125" s="4"/>
      <c r="V125" s="4"/>
      <c r="W125" s="4"/>
      <c r="X125" s="4"/>
      <c r="Y125" s="4"/>
      <c r="Z125" s="4"/>
      <c r="AA125" s="4"/>
      <c r="AB125" s="4"/>
      <c r="AC125" s="4"/>
      <c r="AD125" s="4"/>
      <c r="AE125" s="4"/>
      <c r="AF125" s="4"/>
      <c r="AG125" s="4"/>
      <c r="AH125" s="4"/>
      <c r="AI125" s="4"/>
    </row>
    <row r="126" spans="1:35" customFormat="1" ht="30" customHeight="1">
      <c r="A126" s="77"/>
      <c r="B126" s="4"/>
      <c r="C126" s="4"/>
      <c r="D126" s="4"/>
      <c r="E126" s="86" t="s">
        <v>245</v>
      </c>
      <c r="F126" s="42">
        <v>0</v>
      </c>
      <c r="G126" s="42">
        <v>0</v>
      </c>
      <c r="H126" s="42">
        <v>0</v>
      </c>
      <c r="I126" s="42">
        <v>0</v>
      </c>
      <c r="J126" s="42">
        <v>0</v>
      </c>
      <c r="K126" s="42">
        <v>10732</v>
      </c>
      <c r="L126" s="42">
        <v>10057</v>
      </c>
      <c r="M126" s="138">
        <v>11848</v>
      </c>
      <c r="N126" s="138">
        <v>166098</v>
      </c>
      <c r="O126" s="138">
        <v>182789</v>
      </c>
      <c r="P126" s="138"/>
      <c r="Q126" s="88"/>
      <c r="R126" s="4"/>
      <c r="S126" s="4"/>
      <c r="T126" s="4"/>
      <c r="U126" s="4"/>
      <c r="V126" s="4"/>
      <c r="W126" s="4"/>
      <c r="X126" s="4"/>
      <c r="Y126" s="4"/>
      <c r="Z126" s="4"/>
      <c r="AA126" s="4"/>
      <c r="AB126" s="4"/>
      <c r="AC126" s="4"/>
      <c r="AD126" s="4"/>
      <c r="AE126" s="4"/>
      <c r="AF126" s="4"/>
      <c r="AG126" s="4"/>
      <c r="AH126" s="4"/>
      <c r="AI126" s="4"/>
    </row>
    <row r="127" spans="1:35" customFormat="1" ht="30" customHeight="1">
      <c r="A127" s="77"/>
      <c r="B127" s="4"/>
      <c r="C127" s="4"/>
      <c r="D127" s="4"/>
      <c r="E127" s="86" t="s">
        <v>333</v>
      </c>
      <c r="F127" s="42"/>
      <c r="G127" s="42"/>
      <c r="H127" s="42"/>
      <c r="I127" s="42"/>
      <c r="J127" s="42"/>
      <c r="K127" s="42"/>
      <c r="L127" s="42"/>
      <c r="M127" s="138"/>
      <c r="N127" s="138">
        <v>833</v>
      </c>
      <c r="O127" s="138"/>
      <c r="P127" s="138"/>
      <c r="Q127" s="88"/>
      <c r="R127" s="4"/>
      <c r="S127" s="4"/>
      <c r="T127" s="4"/>
      <c r="U127" s="4"/>
      <c r="V127" s="4"/>
      <c r="W127" s="4"/>
      <c r="X127" s="4"/>
      <c r="Y127" s="4"/>
      <c r="Z127" s="4"/>
      <c r="AA127" s="4"/>
      <c r="AB127" s="4"/>
      <c r="AC127" s="4"/>
      <c r="AD127" s="4"/>
      <c r="AE127" s="4"/>
      <c r="AF127" s="4"/>
      <c r="AG127" s="4"/>
      <c r="AH127" s="4"/>
      <c r="AI127" s="4"/>
    </row>
    <row r="128" spans="1:35" customFormat="1" ht="30" customHeight="1">
      <c r="A128" s="77"/>
      <c r="B128" s="4"/>
      <c r="C128" s="4"/>
      <c r="D128" s="4"/>
      <c r="E128" s="86" t="s">
        <v>246</v>
      </c>
      <c r="F128" s="42">
        <v>0</v>
      </c>
      <c r="G128" s="42"/>
      <c r="H128" s="42"/>
      <c r="I128" s="42"/>
      <c r="J128" s="42"/>
      <c r="K128" s="42"/>
      <c r="L128" s="42"/>
      <c r="M128" s="138">
        <v>5675</v>
      </c>
      <c r="N128" s="138">
        <v>7350</v>
      </c>
      <c r="O128" s="138"/>
      <c r="P128" s="138">
        <v>669</v>
      </c>
      <c r="Q128" s="88"/>
      <c r="R128" s="4"/>
      <c r="S128" s="4"/>
      <c r="T128" s="4"/>
      <c r="U128" s="4"/>
      <c r="V128" s="4"/>
      <c r="W128" s="4"/>
      <c r="X128" s="4"/>
      <c r="Y128" s="4"/>
      <c r="Z128" s="4"/>
      <c r="AA128" s="4"/>
      <c r="AB128" s="4"/>
      <c r="AC128" s="4"/>
      <c r="AD128" s="4"/>
      <c r="AE128" s="4"/>
      <c r="AF128" s="4"/>
      <c r="AG128" s="4"/>
      <c r="AH128" s="4"/>
      <c r="AI128" s="4"/>
    </row>
    <row r="129" spans="1:36" customFormat="1" ht="30" customHeight="1">
      <c r="A129" s="77"/>
      <c r="B129" s="4"/>
      <c r="C129" s="4"/>
      <c r="D129" s="4"/>
      <c r="E129" s="86" t="s">
        <v>496</v>
      </c>
      <c r="F129" s="42"/>
      <c r="G129" s="42"/>
      <c r="H129" s="42"/>
      <c r="I129" s="42"/>
      <c r="J129" s="42"/>
      <c r="K129" s="42"/>
      <c r="L129" s="42"/>
      <c r="M129" s="42"/>
      <c r="N129" s="42"/>
      <c r="O129" s="42"/>
      <c r="P129" s="42"/>
      <c r="Q129" s="88"/>
      <c r="R129" s="4"/>
      <c r="S129" s="4"/>
      <c r="T129" s="4"/>
      <c r="U129" s="4"/>
      <c r="V129" s="4"/>
      <c r="W129" s="4"/>
      <c r="X129" s="4"/>
      <c r="Y129" s="4"/>
      <c r="Z129" s="4"/>
      <c r="AA129" s="4"/>
      <c r="AB129" s="4"/>
      <c r="AC129" s="4"/>
      <c r="AD129" s="4"/>
      <c r="AE129" s="4"/>
      <c r="AF129" s="4"/>
      <c r="AG129" s="4"/>
      <c r="AH129" s="4"/>
      <c r="AI129" s="4"/>
    </row>
    <row r="130" spans="1:36" customFormat="1" ht="30" customHeight="1">
      <c r="A130" s="77"/>
      <c r="B130" s="4"/>
      <c r="C130" s="4"/>
      <c r="D130" s="4"/>
      <c r="E130" s="86" t="s">
        <v>526</v>
      </c>
      <c r="F130" s="42"/>
      <c r="G130" s="42"/>
      <c r="H130" s="42"/>
      <c r="I130" s="42"/>
      <c r="J130" s="42"/>
      <c r="K130" s="42"/>
      <c r="L130" s="42"/>
      <c r="M130" s="42"/>
      <c r="N130" s="42"/>
      <c r="O130" s="42"/>
      <c r="P130" s="42">
        <v>285</v>
      </c>
      <c r="Q130" s="88"/>
      <c r="R130" s="4"/>
      <c r="S130" s="4"/>
      <c r="T130" s="4"/>
      <c r="U130" s="4"/>
      <c r="V130" s="4"/>
      <c r="W130" s="4"/>
      <c r="X130" s="4"/>
      <c r="Y130" s="4"/>
      <c r="Z130" s="4"/>
      <c r="AA130" s="4"/>
      <c r="AB130" s="4"/>
      <c r="AC130" s="4"/>
      <c r="AD130" s="4"/>
      <c r="AE130" s="4"/>
      <c r="AF130" s="4"/>
      <c r="AG130" s="4"/>
      <c r="AH130" s="4"/>
      <c r="AI130" s="4"/>
    </row>
    <row r="131" spans="1:36" customFormat="1" ht="30" customHeight="1">
      <c r="A131" s="77"/>
      <c r="B131" s="4"/>
      <c r="C131" s="4"/>
      <c r="D131" s="4"/>
      <c r="E131" s="86" t="s">
        <v>181</v>
      </c>
      <c r="F131" s="42">
        <v>835</v>
      </c>
      <c r="G131" s="42">
        <v>0</v>
      </c>
      <c r="H131" s="42">
        <v>-397</v>
      </c>
      <c r="I131" s="42">
        <v>309</v>
      </c>
      <c r="J131" s="42">
        <v>0</v>
      </c>
      <c r="K131" s="42">
        <v>0</v>
      </c>
      <c r="L131" s="42">
        <v>0</v>
      </c>
      <c r="M131" s="42">
        <v>0</v>
      </c>
      <c r="N131" s="42">
        <v>0</v>
      </c>
      <c r="O131" s="42">
        <v>0</v>
      </c>
      <c r="P131" s="42"/>
      <c r="Q131" s="88"/>
      <c r="R131" s="4"/>
      <c r="S131" s="4"/>
      <c r="T131" s="4"/>
      <c r="U131" s="4"/>
      <c r="V131" s="4"/>
      <c r="W131" s="4"/>
      <c r="X131" s="4"/>
      <c r="Y131" s="4"/>
      <c r="Z131" s="4"/>
      <c r="AA131" s="4"/>
      <c r="AB131" s="4"/>
      <c r="AC131" s="4"/>
      <c r="AD131" s="4"/>
      <c r="AE131" s="4"/>
      <c r="AF131" s="4"/>
      <c r="AG131" s="4"/>
      <c r="AH131" s="4"/>
      <c r="AI131" s="4"/>
    </row>
    <row r="132" spans="1:36" customFormat="1" ht="30" customHeight="1">
      <c r="A132" s="77"/>
      <c r="B132" s="4"/>
      <c r="C132" s="4"/>
      <c r="D132" s="4"/>
      <c r="E132" s="130" t="s">
        <v>126</v>
      </c>
      <c r="F132" s="46">
        <f>F114+(SUM(F116:F131))</f>
        <v>-42989.08</v>
      </c>
      <c r="G132" s="46">
        <f t="shared" ref="G132:N132" si="36">G114+(SUM(G116:G131))</f>
        <v>-65761.740000000005</v>
      </c>
      <c r="H132" s="46">
        <f t="shared" si="36"/>
        <v>66293.8</v>
      </c>
      <c r="I132" s="46">
        <f t="shared" si="36"/>
        <v>-17210.86</v>
      </c>
      <c r="J132" s="46">
        <f t="shared" si="36"/>
        <v>-96333.060000000012</v>
      </c>
      <c r="K132" s="46">
        <f t="shared" si="36"/>
        <v>-112500.84</v>
      </c>
      <c r="L132" s="46">
        <f t="shared" si="36"/>
        <v>-229167.04</v>
      </c>
      <c r="M132" s="46">
        <f t="shared" si="36"/>
        <v>-584007.72000000009</v>
      </c>
      <c r="N132" s="46">
        <f t="shared" si="36"/>
        <v>-59491.900000000023</v>
      </c>
      <c r="O132" s="46">
        <f t="shared" ref="O132:P132" si="37">O114+(SUM(O116:O131))</f>
        <v>329096.7</v>
      </c>
      <c r="P132" s="46">
        <f t="shared" si="37"/>
        <v>-6438.5</v>
      </c>
      <c r="Q132" s="88"/>
      <c r="R132" s="4"/>
      <c r="S132" s="4"/>
      <c r="T132" s="4"/>
      <c r="U132" s="4"/>
      <c r="V132" s="4"/>
      <c r="W132" s="4"/>
      <c r="X132" s="4"/>
      <c r="Y132" s="4"/>
      <c r="Z132" s="4"/>
      <c r="AA132" s="4"/>
      <c r="AB132" s="4"/>
      <c r="AC132" s="4"/>
      <c r="AD132" s="4"/>
      <c r="AE132" s="4"/>
      <c r="AF132" s="4"/>
      <c r="AG132" s="4"/>
      <c r="AH132" s="4"/>
      <c r="AI132" s="4"/>
    </row>
    <row r="133" spans="1:36" customFormat="1" ht="30" customHeight="1">
      <c r="A133" s="77"/>
      <c r="B133" s="4"/>
      <c r="C133" s="4"/>
      <c r="D133" s="4"/>
      <c r="E133" s="132" t="s">
        <v>182</v>
      </c>
      <c r="F133" s="207">
        <f t="shared" ref="F133:N133" si="38">-F132/F102</f>
        <v>8.8707146659843431E-2</v>
      </c>
      <c r="G133" s="207">
        <f t="shared" si="38"/>
        <v>0.11152484482583185</v>
      </c>
      <c r="H133" s="207">
        <f t="shared" si="38"/>
        <v>-0.11816992392211108</v>
      </c>
      <c r="I133" s="207">
        <f t="shared" si="38"/>
        <v>2.5677656333455673E-2</v>
      </c>
      <c r="J133" s="207">
        <f t="shared" si="38"/>
        <v>0.10355353750995677</v>
      </c>
      <c r="K133" s="207">
        <f t="shared" si="38"/>
        <v>9.374335677038631E-2</v>
      </c>
      <c r="L133" s="207">
        <f t="shared" si="38"/>
        <v>0.19559092402691897</v>
      </c>
      <c r="M133" s="235">
        <f t="shared" si="38"/>
        <v>0.19318908959191</v>
      </c>
      <c r="N133" s="235">
        <f t="shared" si="38"/>
        <v>1.1655274288882493E-2</v>
      </c>
      <c r="O133" s="235">
        <f t="shared" ref="O133:P133" si="39">-O132/O102</f>
        <v>-6.7009782182427258E-2</v>
      </c>
      <c r="P133" s="235">
        <f t="shared" si="39"/>
        <v>4.0623527132932344E-3</v>
      </c>
      <c r="Q133" s="88"/>
      <c r="R133" s="4"/>
      <c r="S133" s="4"/>
      <c r="T133" s="4"/>
      <c r="U133" s="4"/>
      <c r="V133" s="4"/>
      <c r="W133" s="4"/>
      <c r="X133" s="4"/>
      <c r="Y133" s="4"/>
      <c r="Z133" s="4"/>
      <c r="AA133" s="4"/>
      <c r="AB133" s="4"/>
      <c r="AC133" s="4"/>
      <c r="AD133" s="4"/>
      <c r="AE133" s="4"/>
      <c r="AF133" s="4"/>
      <c r="AG133" s="4"/>
      <c r="AH133" s="4"/>
      <c r="AI133" s="4"/>
    </row>
    <row r="134" spans="1:36" customFormat="1" ht="30" customHeight="1">
      <c r="A134" s="77"/>
      <c r="B134" s="4"/>
      <c r="C134" s="4"/>
      <c r="D134" s="4"/>
      <c r="E134" s="130" t="s">
        <v>183</v>
      </c>
      <c r="F134" s="46">
        <f>F114+SUM(F116:F120,F126)</f>
        <v>-43824.08</v>
      </c>
      <c r="G134" s="46">
        <f t="shared" ref="G134:N134" si="40">G114+SUM(G116:G120,G126)</f>
        <v>-66283.740000000005</v>
      </c>
      <c r="H134" s="46">
        <f t="shared" si="40"/>
        <v>83277.8</v>
      </c>
      <c r="I134" s="46">
        <f t="shared" si="40"/>
        <v>-11141.86</v>
      </c>
      <c r="J134" s="46">
        <f t="shared" si="40"/>
        <v>-88324.060000000012</v>
      </c>
      <c r="K134" s="46">
        <f t="shared" si="40"/>
        <v>-103512.84</v>
      </c>
      <c r="L134" s="46">
        <f t="shared" si="40"/>
        <v>-194688.04</v>
      </c>
      <c r="M134" s="46">
        <f t="shared" si="40"/>
        <v>-555312.72000000009</v>
      </c>
      <c r="N134" s="46">
        <f t="shared" si="40"/>
        <v>-74787.900000000023</v>
      </c>
      <c r="O134" s="46">
        <f t="shared" ref="O134" si="41">O114+SUM(O116:O120,O126)</f>
        <v>333455.7</v>
      </c>
      <c r="P134" s="46">
        <f>P114+SUM(P116:P120,P126,P130)</f>
        <v>-13179.5</v>
      </c>
      <c r="Q134" s="88"/>
      <c r="R134" s="4"/>
      <c r="S134" s="4"/>
      <c r="T134" s="4"/>
      <c r="U134" s="4"/>
      <c r="V134" s="4"/>
      <c r="W134" s="4"/>
      <c r="X134" s="4"/>
      <c r="Y134" s="4"/>
      <c r="Z134" s="4"/>
      <c r="AA134" s="4"/>
      <c r="AB134" s="4"/>
      <c r="AC134" s="4"/>
      <c r="AD134" s="4"/>
      <c r="AE134" s="4"/>
      <c r="AF134" s="4"/>
      <c r="AG134" s="4"/>
      <c r="AH134" s="4"/>
      <c r="AI134" s="4"/>
    </row>
    <row r="135" spans="1:36" customFormat="1" ht="30" customHeight="1">
      <c r="A135" s="77"/>
      <c r="B135" s="4"/>
      <c r="C135" s="4"/>
      <c r="D135" s="4"/>
      <c r="E135" s="132" t="s">
        <v>182</v>
      </c>
      <c r="F135" s="207">
        <f t="shared" ref="F135:N135" si="42">-F134/F102</f>
        <v>9.043015323409366E-2</v>
      </c>
      <c r="G135" s="207">
        <f t="shared" si="42"/>
        <v>0.11241010073601737</v>
      </c>
      <c r="H135" s="207">
        <f t="shared" si="42"/>
        <v>-0.14844421786653927</v>
      </c>
      <c r="I135" s="207">
        <f t="shared" si="42"/>
        <v>1.6623042195188179E-2</v>
      </c>
      <c r="J135" s="207">
        <f t="shared" si="42"/>
        <v>9.4944236799305165E-2</v>
      </c>
      <c r="K135" s="207">
        <f t="shared" si="42"/>
        <v>8.6253943441097117E-2</v>
      </c>
      <c r="L135" s="207">
        <f t="shared" si="42"/>
        <v>0.16616357064519297</v>
      </c>
      <c r="M135" s="235">
        <f t="shared" si="42"/>
        <v>0.18369681622634584</v>
      </c>
      <c r="N135" s="235">
        <f t="shared" si="42"/>
        <v>1.4651969225886465E-2</v>
      </c>
      <c r="O135" s="235">
        <f t="shared" ref="O135:P135" si="43">-O134/O102</f>
        <v>-6.7897350002260159E-2</v>
      </c>
      <c r="P135" s="235">
        <f t="shared" si="43"/>
        <v>8.3155669154070331E-3</v>
      </c>
      <c r="Q135" s="88"/>
      <c r="R135" s="4"/>
      <c r="S135" s="4"/>
      <c r="T135" s="4"/>
      <c r="U135" s="4"/>
      <c r="V135" s="4"/>
      <c r="W135" s="4"/>
      <c r="X135" s="4"/>
      <c r="Y135" s="4"/>
      <c r="Z135" s="4"/>
      <c r="AA135" s="4"/>
      <c r="AB135" s="4"/>
      <c r="AC135" s="4"/>
      <c r="AD135" s="4"/>
      <c r="AE135" s="4"/>
      <c r="AF135" s="4"/>
      <c r="AG135" s="4"/>
      <c r="AH135" s="4"/>
      <c r="AI135" s="4"/>
    </row>
    <row r="136" spans="1:36" customFormat="1" ht="26.25" customHeight="1">
      <c r="A136" s="77"/>
      <c r="B136" s="4"/>
      <c r="C136" s="4"/>
      <c r="D136" s="4"/>
      <c r="E136" s="130" t="s">
        <v>184</v>
      </c>
      <c r="F136" s="46">
        <f>-F107*F113+SUM(F116,F117,F118,F120)</f>
        <v>-46181.640000000007</v>
      </c>
      <c r="G136" s="46">
        <f t="shared" ref="G136:O136" si="44">-G107*G113+SUM(G116,G117,G118,G120)</f>
        <v>-15464.960000000003</v>
      </c>
      <c r="H136" s="46">
        <f t="shared" si="44"/>
        <v>62122.66</v>
      </c>
      <c r="I136" s="46">
        <f t="shared" si="44"/>
        <v>487.5</v>
      </c>
      <c r="J136" s="46">
        <f t="shared" si="44"/>
        <v>-71968.36</v>
      </c>
      <c r="K136" s="46">
        <f t="shared" si="44"/>
        <v>-103828.69999999998</v>
      </c>
      <c r="L136" s="46">
        <f t="shared" si="44"/>
        <v>-242860.26000000004</v>
      </c>
      <c r="M136" s="46">
        <f t="shared" si="44"/>
        <v>-518740.27999999991</v>
      </c>
      <c r="N136" s="46">
        <f t="shared" si="44"/>
        <v>-70734.059999999969</v>
      </c>
      <c r="O136" s="46">
        <f t="shared" si="44"/>
        <v>327844.68</v>
      </c>
      <c r="P136" s="46">
        <f t="shared" ref="P136" si="45">-P107*P113+SUM(P116,P117,P118,P120)</f>
        <v>-15829.54</v>
      </c>
      <c r="Q136" s="88"/>
      <c r="R136" s="4"/>
      <c r="S136" s="4"/>
      <c r="T136" s="4"/>
      <c r="U136" s="4"/>
      <c r="V136" s="4"/>
      <c r="W136" s="4"/>
      <c r="X136" s="4"/>
      <c r="Y136" s="4"/>
      <c r="Z136" s="4"/>
      <c r="AA136" s="4"/>
      <c r="AB136" s="4"/>
      <c r="AC136" s="4"/>
      <c r="AD136" s="4"/>
      <c r="AE136" s="4"/>
      <c r="AF136" s="4"/>
      <c r="AG136" s="4"/>
      <c r="AH136" s="4"/>
      <c r="AI136" s="4"/>
    </row>
    <row r="137" spans="1:36" customFormat="1" ht="34.5" customHeight="1" thickBot="1">
      <c r="A137" s="77"/>
      <c r="B137" s="4"/>
      <c r="C137" s="4"/>
      <c r="D137" s="4"/>
      <c r="E137" s="228" t="s">
        <v>185</v>
      </c>
      <c r="F137" s="229">
        <f t="shared" ref="F137:N137" si="46">-F136/F102</f>
        <v>9.5294933328931256E-2</v>
      </c>
      <c r="G137" s="229">
        <f t="shared" si="46"/>
        <v>2.6226910422955607E-2</v>
      </c>
      <c r="H137" s="229">
        <f t="shared" si="46"/>
        <v>-0.11073478976976991</v>
      </c>
      <c r="I137" s="229">
        <f t="shared" si="46"/>
        <v>-7.2732318213962813E-4</v>
      </c>
      <c r="J137" s="229">
        <f t="shared" si="46"/>
        <v>7.7362623659936389E-2</v>
      </c>
      <c r="K137" s="229">
        <f t="shared" si="46"/>
        <v>8.6517139490739872E-2</v>
      </c>
      <c r="L137" s="229">
        <f t="shared" si="46"/>
        <v>0.20727789939957245</v>
      </c>
      <c r="M137" s="229">
        <f t="shared" si="46"/>
        <v>0.17159869466768771</v>
      </c>
      <c r="N137" s="229">
        <f t="shared" si="46"/>
        <v>1.3857766702127029E-2</v>
      </c>
      <c r="O137" s="229">
        <f t="shared" ref="O137:P137" si="47">-O136/O102</f>
        <v>-6.6754849247858045E-2</v>
      </c>
      <c r="P137" s="229">
        <f t="shared" si="47"/>
        <v>9.9876018900650447E-3</v>
      </c>
      <c r="Q137" s="4"/>
      <c r="R137" s="4"/>
      <c r="S137" s="4"/>
      <c r="T137" s="4"/>
      <c r="U137" s="4"/>
      <c r="V137" s="4"/>
      <c r="W137" s="4"/>
      <c r="X137" s="4"/>
      <c r="Y137" s="4"/>
      <c r="Z137" s="4"/>
      <c r="AA137" s="4"/>
      <c r="AB137" s="4"/>
      <c r="AC137" s="4"/>
      <c r="AD137" s="4"/>
      <c r="AE137" s="4"/>
      <c r="AF137" s="4"/>
      <c r="AG137" s="4"/>
      <c r="AH137" s="4"/>
      <c r="AI137" s="4"/>
      <c r="AJ137" s="4"/>
    </row>
    <row r="138" spans="1:36" customFormat="1">
      <c r="A138" s="77"/>
      <c r="B138" s="4"/>
      <c r="C138" s="4"/>
      <c r="D138" s="4"/>
      <c r="E138" s="177"/>
      <c r="F138" s="177"/>
      <c r="G138" s="177"/>
      <c r="H138" s="177"/>
      <c r="I138" s="177"/>
      <c r="J138" s="177"/>
      <c r="K138" s="177"/>
      <c r="L138" s="177"/>
      <c r="M138" s="177"/>
      <c r="N138" s="177"/>
      <c r="O138" s="177"/>
      <c r="P138" s="177"/>
      <c r="Q138" s="4"/>
      <c r="R138" s="4"/>
      <c r="S138" s="4"/>
      <c r="T138" s="4"/>
      <c r="U138" s="4"/>
      <c r="V138" s="4"/>
      <c r="W138" s="4"/>
      <c r="X138" s="4"/>
      <c r="Y138" s="4"/>
      <c r="Z138" s="4"/>
      <c r="AA138" s="4"/>
      <c r="AB138" s="4"/>
      <c r="AC138" s="4"/>
      <c r="AD138" s="4"/>
      <c r="AE138" s="4"/>
      <c r="AF138" s="4"/>
      <c r="AG138" s="4"/>
      <c r="AH138" s="4"/>
      <c r="AI138" s="4"/>
      <c r="AJ138" s="4"/>
    </row>
    <row r="139" spans="1:36" customFormat="1">
      <c r="A139" s="77"/>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spans="1:36" customFormat="1">
      <c r="A140" s="77"/>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spans="1:36" customFormat="1">
      <c r="A141" s="77"/>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spans="1:36" customFormat="1">
      <c r="A142" s="77"/>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spans="1:36" customFormat="1" ht="30.75" customHeight="1">
      <c r="A143" s="77"/>
      <c r="B143" s="4"/>
      <c r="C143" s="4"/>
      <c r="D143" s="4"/>
      <c r="E143" s="4"/>
      <c r="F143" s="4"/>
      <c r="G143" s="4"/>
      <c r="H143" s="4"/>
      <c r="I143" s="4"/>
      <c r="J143" s="4"/>
      <c r="K143" s="4"/>
      <c r="L143" s="4"/>
      <c r="M143" s="4"/>
      <c r="N143" s="4"/>
      <c r="O143" s="4"/>
      <c r="P143" s="4"/>
      <c r="Q143" s="88"/>
      <c r="R143" s="4"/>
      <c r="S143" s="4"/>
      <c r="T143" s="4"/>
      <c r="U143" s="4"/>
      <c r="V143" s="4"/>
      <c r="W143" s="4"/>
      <c r="X143" s="4"/>
      <c r="Y143" s="4"/>
      <c r="Z143" s="4"/>
      <c r="AA143" s="4"/>
      <c r="AB143" s="4"/>
      <c r="AC143" s="4"/>
      <c r="AD143" s="4"/>
      <c r="AE143" s="4"/>
      <c r="AF143" s="4"/>
      <c r="AG143" s="4"/>
      <c r="AH143" s="4"/>
      <c r="AI143" s="4"/>
      <c r="AJ143" s="4"/>
    </row>
    <row r="144" spans="1:36" customFormat="1" ht="33" customHeight="1">
      <c r="A144" s="77"/>
      <c r="B144" s="4"/>
      <c r="C144" s="4"/>
      <c r="D144" s="4"/>
      <c r="E144" s="78"/>
      <c r="F144" s="37">
        <v>2014</v>
      </c>
      <c r="G144" s="37">
        <v>2015</v>
      </c>
      <c r="H144" s="37">
        <v>2016</v>
      </c>
      <c r="I144" s="37">
        <v>2017</v>
      </c>
      <c r="J144" s="37">
        <v>2018</v>
      </c>
      <c r="K144" s="37">
        <v>2019</v>
      </c>
      <c r="L144" s="37">
        <v>2020</v>
      </c>
      <c r="M144" s="37">
        <v>2021</v>
      </c>
      <c r="N144" s="37">
        <v>2022</v>
      </c>
      <c r="O144" s="37">
        <v>2023</v>
      </c>
      <c r="P144" s="408" t="s">
        <v>525</v>
      </c>
      <c r="Q144" s="88"/>
      <c r="R144" s="4"/>
      <c r="S144" s="4"/>
      <c r="T144" s="4"/>
      <c r="U144" s="4"/>
      <c r="V144" s="4"/>
      <c r="W144" s="4"/>
      <c r="X144" s="4"/>
      <c r="Y144" s="4"/>
      <c r="Z144" s="4"/>
      <c r="AA144" s="4"/>
      <c r="AB144" s="4"/>
      <c r="AC144" s="4"/>
      <c r="AD144" s="4"/>
      <c r="AE144" s="4"/>
      <c r="AF144" s="4"/>
      <c r="AG144" s="4"/>
      <c r="AH144" s="4"/>
      <c r="AI144" s="4"/>
      <c r="AJ144" s="4"/>
    </row>
    <row r="145" spans="1:36" customFormat="1" ht="34.5" customHeight="1">
      <c r="A145" s="77"/>
      <c r="B145" s="4"/>
      <c r="C145" s="4"/>
      <c r="D145" s="4"/>
      <c r="E145" s="73" t="s">
        <v>277</v>
      </c>
      <c r="F145" s="42"/>
      <c r="G145" s="42"/>
      <c r="H145" s="42"/>
      <c r="I145" s="42">
        <v>60339</v>
      </c>
      <c r="J145" s="42">
        <v>11294</v>
      </c>
      <c r="K145" s="42">
        <v>12724</v>
      </c>
      <c r="L145" s="42">
        <v>30321</v>
      </c>
      <c r="M145" s="42">
        <v>-49978</v>
      </c>
      <c r="N145" s="42">
        <v>27785</v>
      </c>
      <c r="O145" s="42">
        <v>-25967</v>
      </c>
      <c r="P145" s="325">
        <v>-3473</v>
      </c>
      <c r="Q145" s="88"/>
      <c r="R145" s="4"/>
      <c r="S145" s="4"/>
      <c r="T145" s="4"/>
      <c r="U145" s="4"/>
      <c r="V145" s="4"/>
      <c r="W145" s="4"/>
      <c r="X145" s="4"/>
      <c r="Y145" s="4"/>
      <c r="Z145" s="4"/>
      <c r="AA145" s="4"/>
      <c r="AB145" s="4"/>
      <c r="AC145" s="4"/>
      <c r="AD145" s="4"/>
      <c r="AE145" s="4"/>
      <c r="AF145" s="4"/>
      <c r="AG145" s="4"/>
      <c r="AH145" s="4"/>
      <c r="AI145" s="4"/>
      <c r="AJ145" s="4"/>
    </row>
    <row r="146" spans="1:36" customFormat="1" ht="27.75" customHeight="1">
      <c r="A146" s="77"/>
      <c r="B146" s="4"/>
      <c r="C146" s="4"/>
      <c r="D146" s="4"/>
      <c r="E146" s="73" t="s">
        <v>276</v>
      </c>
      <c r="F146" s="42"/>
      <c r="G146" s="42">
        <v>-16800</v>
      </c>
      <c r="H146" s="42">
        <v>-17200</v>
      </c>
      <c r="I146" s="42">
        <v>-24570</v>
      </c>
      <c r="J146" s="42">
        <v>-47188</v>
      </c>
      <c r="K146" s="42">
        <v>-53043</v>
      </c>
      <c r="L146" s="42">
        <v>-29956</v>
      </c>
      <c r="M146" s="42">
        <v>-362331</v>
      </c>
      <c r="N146" s="42">
        <v>-159003</v>
      </c>
      <c r="O146" s="42">
        <v>185958</v>
      </c>
      <c r="P146" s="325">
        <v>-24337</v>
      </c>
      <c r="Q146" s="88"/>
      <c r="R146" s="4"/>
      <c r="S146" s="4"/>
      <c r="T146" s="4"/>
      <c r="U146" s="4"/>
      <c r="V146" s="4"/>
      <c r="W146" s="4"/>
      <c r="X146" s="4"/>
      <c r="Y146" s="4"/>
      <c r="Z146" s="4"/>
      <c r="AA146" s="4"/>
      <c r="AB146" s="4"/>
      <c r="AC146" s="4"/>
      <c r="AD146" s="4"/>
      <c r="AE146" s="4"/>
      <c r="AF146" s="4"/>
      <c r="AG146" s="4"/>
      <c r="AH146" s="4"/>
      <c r="AI146" s="4"/>
      <c r="AJ146" s="4"/>
    </row>
    <row r="147" spans="1:36" customFormat="1" ht="34.5" customHeight="1" thickBot="1">
      <c r="A147" s="122"/>
      <c r="B147" s="4"/>
      <c r="C147" s="4"/>
      <c r="D147" s="4"/>
      <c r="E147" s="73" t="s">
        <v>278</v>
      </c>
      <c r="F147" s="42"/>
      <c r="G147" s="42"/>
      <c r="H147" s="42">
        <v>-42243</v>
      </c>
      <c r="I147" s="42">
        <v>-43145</v>
      </c>
      <c r="J147" s="42">
        <v>-45732</v>
      </c>
      <c r="K147" s="42">
        <v>-57383</v>
      </c>
      <c r="L147" s="42">
        <v>-78271</v>
      </c>
      <c r="M147" s="42">
        <v>-177460</v>
      </c>
      <c r="N147" s="42">
        <v>-112358</v>
      </c>
      <c r="O147" s="42">
        <v>77606</v>
      </c>
      <c r="P147" s="325">
        <v>-62733</v>
      </c>
      <c r="Q147" s="4"/>
      <c r="R147" s="4"/>
      <c r="S147" s="4"/>
      <c r="T147" s="4"/>
      <c r="U147" s="4"/>
      <c r="V147" s="4"/>
      <c r="W147" s="4"/>
      <c r="X147" s="4"/>
      <c r="Y147" s="4"/>
      <c r="Z147" s="4"/>
      <c r="AA147" s="4"/>
      <c r="AB147" s="4"/>
      <c r="AC147" s="4"/>
      <c r="AD147" s="4"/>
      <c r="AE147" s="4"/>
      <c r="AF147" s="4"/>
      <c r="AG147" s="4"/>
      <c r="AH147" s="4"/>
      <c r="AI147" s="4"/>
      <c r="AJ147" s="4"/>
    </row>
    <row r="148" spans="1:36" customFormat="1">
      <c r="A148" s="122"/>
      <c r="B148" s="4"/>
      <c r="C148" s="4"/>
      <c r="D148" s="4"/>
      <c r="E148" s="177"/>
      <c r="F148" s="177"/>
      <c r="G148" s="177"/>
      <c r="H148" s="177"/>
      <c r="I148" s="177"/>
      <c r="J148" s="177"/>
      <c r="K148" s="177"/>
      <c r="L148" s="177"/>
      <c r="M148" s="177"/>
      <c r="N148" s="177"/>
      <c r="O148" s="177"/>
      <c r="P148" s="177"/>
      <c r="Q148" s="4"/>
      <c r="R148" s="4"/>
      <c r="S148" s="4"/>
      <c r="T148" s="4"/>
      <c r="U148" s="4"/>
      <c r="V148" s="4"/>
      <c r="W148" s="4"/>
      <c r="X148" s="4"/>
      <c r="Y148" s="4"/>
      <c r="Z148" s="4"/>
      <c r="AA148" s="4"/>
      <c r="AB148" s="4"/>
      <c r="AC148" s="4"/>
      <c r="AD148" s="4"/>
      <c r="AE148" s="4"/>
      <c r="AF148" s="4"/>
      <c r="AG148" s="4"/>
      <c r="AH148" s="4"/>
      <c r="AI148" s="4"/>
      <c r="AJ148" s="4"/>
    </row>
    <row r="149" spans="1:36" customFormat="1">
      <c r="A149" s="12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spans="1:36" customFormat="1">
      <c r="A150" s="12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spans="1:36" customFormat="1">
      <c r="A151" s="12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spans="1:36">
      <c r="A152" s="12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spans="1:36">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spans="1:36">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36">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spans="1:3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spans="1:36">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spans="1:36">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spans="1:36">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spans="1:36">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spans="2:36">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spans="2:36">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spans="2:36">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spans="2:36">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spans="2:36">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spans="2:36" hidden="1">
      <c r="E166" s="4"/>
      <c r="F166" s="4"/>
      <c r="G166" s="4"/>
      <c r="H166" s="4"/>
      <c r="I166" s="4"/>
      <c r="J166" s="4"/>
      <c r="K166" s="4"/>
      <c r="L166" s="4"/>
      <c r="M166" s="4"/>
      <c r="N166" s="4"/>
      <c r="O166" s="4"/>
      <c r="P166" s="4"/>
    </row>
    <row r="167" spans="2:36"/>
    <row r="168" spans="2:36"/>
  </sheetData>
  <mergeCells count="1">
    <mergeCell ref="F3:J5"/>
  </mergeCells>
  <conditionalFormatting sqref="A1:A7 F10:P48 A20:A1048576 I66:L66 F66:H78 I67:K69 J70:K70 I70:I73 J71:L73 M71:M78 N71:P83 I74:L78 F79:M83 F89:P97">
    <cfRule type="cellIs" dxfId="148" priority="96" operator="equal">
      <formula>0</formula>
    </cfRule>
  </conditionalFormatting>
  <conditionalFormatting sqref="F52:P62">
    <cfRule type="cellIs" dxfId="147" priority="1" operator="equal">
      <formula>0</formula>
    </cfRule>
  </conditionalFormatting>
  <conditionalFormatting sqref="F55:P55">
    <cfRule type="colorScale" priority="1568">
      <colorScale>
        <cfvo type="min"/>
        <cfvo type="max"/>
        <color rgb="FFFCFCFF"/>
        <color rgb="FF63BE7B"/>
      </colorScale>
    </cfRule>
    <cfRule type="colorScale" priority="1569">
      <colorScale>
        <cfvo type="min"/>
        <cfvo type="max"/>
        <color rgb="FFFCFCFF"/>
        <color rgb="FF63BE7B"/>
      </colorScale>
    </cfRule>
  </conditionalFormatting>
  <conditionalFormatting sqref="F61:P61">
    <cfRule type="colorScale" priority="2">
      <colorScale>
        <cfvo type="min"/>
        <cfvo type="max"/>
        <color rgb="FFFCFCFF"/>
        <color rgb="FF63BE7B"/>
      </colorScale>
    </cfRule>
    <cfRule type="colorScale" priority="3">
      <colorScale>
        <cfvo type="min"/>
        <cfvo type="max"/>
        <color rgb="FFFCFCFF"/>
        <color rgb="FF63BE7B"/>
      </colorScale>
    </cfRule>
  </conditionalFormatting>
  <conditionalFormatting sqref="F62:P62 F58:P58">
    <cfRule type="colorScale" priority="1570">
      <colorScale>
        <cfvo type="min"/>
        <cfvo type="max"/>
        <color rgb="FFFCFCFF"/>
        <color rgb="FF63BE7B"/>
      </colorScale>
    </cfRule>
    <cfRule type="colorScale" priority="1571">
      <colorScale>
        <cfvo type="min"/>
        <cfvo type="max"/>
        <color rgb="FFFCFCFF"/>
        <color rgb="FF63BE7B"/>
      </colorScale>
    </cfRule>
  </conditionalFormatting>
  <conditionalFormatting sqref="F102:P108">
    <cfRule type="cellIs" dxfId="146" priority="26" operator="equal">
      <formula>0</formula>
    </cfRule>
  </conditionalFormatting>
  <conditionalFormatting sqref="F117:P131">
    <cfRule type="cellIs" dxfId="145" priority="21" operator="equal">
      <formula>0</formula>
    </cfRule>
  </conditionalFormatting>
  <conditionalFormatting sqref="F145:P147">
    <cfRule type="cellIs" dxfId="144" priority="11" operator="equal">
      <formula>0</formula>
    </cfRule>
  </conditionalFormatting>
  <conditionalFormatting sqref="H116:I116">
    <cfRule type="cellIs" dxfId="143" priority="20" operator="equal">
      <formula>0</formula>
    </cfRule>
  </conditionalFormatting>
  <conditionalFormatting sqref="L67:L70">
    <cfRule type="cellIs" dxfId="142" priority="67" operator="equal">
      <formula>0</formula>
    </cfRule>
  </conditionalFormatting>
  <conditionalFormatting sqref="L105:L106">
    <cfRule type="cellIs" dxfId="141" priority="63" operator="equal">
      <formula>0</formula>
    </cfRule>
  </conditionalFormatting>
  <conditionalFormatting sqref="M62:P62">
    <cfRule type="colorScale" priority="35">
      <colorScale>
        <cfvo type="min"/>
        <cfvo type="max"/>
        <color rgb="FFFCFCFF"/>
        <color rgb="FF63BE7B"/>
      </colorScale>
    </cfRule>
    <cfRule type="colorScale" priority="36">
      <colorScale>
        <cfvo type="min"/>
        <cfvo type="max"/>
        <color rgb="FFFCFCFF"/>
        <color rgb="FF63BE7B"/>
      </colorScale>
    </cfRule>
  </conditionalFormatting>
  <conditionalFormatting sqref="M66:P70">
    <cfRule type="cellIs" dxfId="140" priority="28" operator="equal">
      <formula>0</formula>
    </cfRule>
  </conditionalFormatting>
  <hyperlinks>
    <hyperlink ref="A13" location="'Balanço Patrimonial'!A1" display="Balanço Patrimonial" xr:uid="{1C6B157E-451B-4EC1-8755-CD08830EDDAF}"/>
    <hyperlink ref="A14" location="'Painel de Índices'!A1" display="Projeções - Receita" xr:uid="{85D6D2AB-7D20-40B1-9347-80EBA60A33C3}"/>
    <hyperlink ref="A16" location="'Projeções - CG + Capex'!A1" display="Projeções - CG + Capex" xr:uid="{5E4777F0-BAED-458E-9187-2A408D31EEFB}"/>
    <hyperlink ref="A18" location="Processos!A1" display="Processos" xr:uid="{FE639DFE-9E97-4DCA-9397-2AE1A06D1063}"/>
    <hyperlink ref="A8" location="Dashboard!A1" display="Dashboard" xr:uid="{33B8F097-40ED-4ABE-91A9-ACFD3F2408E2}"/>
    <hyperlink ref="A9" location="WACC!A1" display="WACC" xr:uid="{F7EDBD35-DC63-4C53-8FE0-62D579D96C0D}"/>
    <hyperlink ref="A11" location="'DRE + DCF'!A1" display="DRE + DCF" xr:uid="{0C2CD932-C455-4E06-A886-4E8F7F24042D}"/>
    <hyperlink ref="A10" location="'DRE Consolidado'!A1" display="DRE Consolidado" xr:uid="{857C1C16-056C-4024-AB07-B47097DAB773}"/>
    <hyperlink ref="A15" location="'Projeções - Receita e EBIT'!A1" display="Projeções - Receita" xr:uid="{1ED0F29F-E40D-4567-B874-6300043F07C9}"/>
    <hyperlink ref="A17" location="'Projeções 2023'!A1" display="Projeções 2022" xr:uid="{C60DEA43-89AB-45F0-85C5-E852CC6573B9}"/>
  </hyperlinks>
  <pageMargins left="0.511811024" right="0.511811024" top="0.78740157499999996" bottom="0.78740157499999996" header="0.31496062000000002" footer="0.31496062000000002"/>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18"/>
  <dimension ref="A1:BJ150"/>
  <sheetViews>
    <sheetView showGridLines="0" topLeftCell="B7" zoomScaleNormal="100" workbookViewId="0">
      <pane ySplit="9" topLeftCell="A41" activePane="bottomLeft" state="frozen"/>
      <selection activeCell="A7" sqref="A7"/>
      <selection pane="bottomLeft" activeCell="D19" sqref="D19"/>
    </sheetView>
  </sheetViews>
  <sheetFormatPr defaultColWidth="0" defaultRowHeight="0" customHeight="1" zeroHeight="1"/>
  <cols>
    <col min="1" max="1" width="39.140625" style="3" customWidth="1"/>
    <col min="2" max="4" width="9.140625" style="5" customWidth="1"/>
    <col min="5" max="5" width="56.85546875" style="5" customWidth="1"/>
    <col min="6" max="6" width="12.42578125" style="5" bestFit="1" customWidth="1"/>
    <col min="7" max="8" width="12.42578125" style="5" customWidth="1"/>
    <col min="9" max="12" width="12.42578125" style="5" bestFit="1" customWidth="1"/>
    <col min="13" max="16" width="15.140625" style="5" bestFit="1" customWidth="1"/>
    <col min="17" max="21" width="9.140625" style="5" customWidth="1"/>
    <col min="22" max="62" width="9.140625" style="5" hidden="1" customWidth="1"/>
    <col min="63" max="16384" width="0" style="5" hidden="1"/>
  </cols>
  <sheetData>
    <row r="1" spans="1:21" ht="15" customHeight="1">
      <c r="B1" s="4"/>
      <c r="C1" s="4"/>
      <c r="D1" s="4"/>
      <c r="E1" s="4"/>
      <c r="F1" s="65"/>
      <c r="G1" s="65"/>
      <c r="H1" s="65"/>
      <c r="I1" s="65"/>
      <c r="J1" s="65"/>
      <c r="K1" s="65"/>
      <c r="L1" s="65"/>
      <c r="M1" s="65"/>
      <c r="N1" s="65"/>
      <c r="O1" s="65"/>
      <c r="P1" s="65"/>
      <c r="Q1" s="4"/>
      <c r="R1" s="4"/>
      <c r="S1" s="4"/>
      <c r="T1" s="4"/>
      <c r="U1" s="4"/>
    </row>
    <row r="2" spans="1:21" ht="15" customHeight="1">
      <c r="B2" s="4"/>
      <c r="C2" s="4"/>
      <c r="D2" s="4"/>
      <c r="E2" s="4"/>
      <c r="F2" s="65"/>
      <c r="G2" s="65"/>
      <c r="H2" s="65"/>
      <c r="I2" s="65"/>
      <c r="J2" s="65"/>
      <c r="K2" s="65"/>
      <c r="L2" s="65"/>
      <c r="M2" s="65"/>
      <c r="N2" s="65"/>
      <c r="O2" s="65"/>
      <c r="P2" s="65"/>
      <c r="Q2" s="4"/>
      <c r="R2" s="4"/>
      <c r="S2" s="4"/>
      <c r="T2" s="4"/>
      <c r="U2" s="4"/>
    </row>
    <row r="3" spans="1:21" ht="15" customHeight="1">
      <c r="B3" s="4"/>
      <c r="C3" s="4"/>
      <c r="D3" s="4"/>
      <c r="E3" s="4"/>
      <c r="F3" s="65"/>
      <c r="G3" s="65"/>
      <c r="H3" s="65"/>
      <c r="I3" s="65"/>
      <c r="J3" s="65"/>
      <c r="K3" s="65"/>
      <c r="L3" s="65"/>
      <c r="M3" s="65"/>
      <c r="N3" s="65"/>
      <c r="O3" s="65"/>
      <c r="P3" s="65"/>
      <c r="Q3" s="4"/>
      <c r="R3" s="4"/>
      <c r="S3" s="4"/>
      <c r="T3" s="4"/>
      <c r="U3" s="4"/>
    </row>
    <row r="4" spans="1:21" ht="15" customHeight="1">
      <c r="B4" s="4"/>
      <c r="C4" s="4"/>
      <c r="D4" s="4"/>
      <c r="E4" s="4"/>
      <c r="F4" s="65"/>
      <c r="G4" s="65"/>
      <c r="H4" s="65"/>
      <c r="I4" s="65"/>
      <c r="J4" s="65"/>
      <c r="K4" s="65"/>
      <c r="L4" s="65"/>
      <c r="M4" s="65"/>
      <c r="N4" s="65"/>
      <c r="O4" s="65"/>
      <c r="P4" s="65"/>
      <c r="Q4" s="4"/>
      <c r="R4" s="4"/>
      <c r="S4" s="4"/>
      <c r="T4" s="4"/>
      <c r="U4" s="4"/>
    </row>
    <row r="5" spans="1:21" ht="15" customHeight="1">
      <c r="B5" s="4"/>
      <c r="C5" s="4"/>
      <c r="D5" s="4"/>
      <c r="E5" s="4"/>
      <c r="F5" s="65"/>
      <c r="G5" s="65"/>
      <c r="H5" s="65"/>
      <c r="I5" s="65"/>
      <c r="J5" s="65"/>
      <c r="K5" s="65"/>
      <c r="L5" s="65"/>
      <c r="M5" s="65"/>
      <c r="N5" s="65"/>
      <c r="O5" s="65"/>
      <c r="P5" s="65"/>
      <c r="Q5" s="4"/>
      <c r="R5" s="4"/>
      <c r="S5" s="4"/>
      <c r="T5" s="4"/>
      <c r="U5" s="4"/>
    </row>
    <row r="6" spans="1:21" ht="15" customHeight="1">
      <c r="B6" s="4"/>
      <c r="C6" s="4"/>
      <c r="D6" s="4"/>
      <c r="E6" s="4"/>
      <c r="F6" s="4"/>
      <c r="G6" s="4"/>
      <c r="H6" s="4"/>
      <c r="I6" s="4"/>
      <c r="J6" s="4"/>
      <c r="K6" s="4"/>
      <c r="L6" s="4"/>
      <c r="M6" s="4"/>
      <c r="N6" s="4"/>
      <c r="O6" s="4"/>
      <c r="P6" s="4"/>
      <c r="Q6" s="4"/>
      <c r="R6" s="4"/>
      <c r="S6" s="4"/>
      <c r="T6" s="4"/>
      <c r="U6" s="4"/>
    </row>
    <row r="7" spans="1:21" ht="15" customHeight="1">
      <c r="B7" s="4"/>
      <c r="C7" s="4"/>
      <c r="D7" s="4"/>
      <c r="E7" s="4"/>
      <c r="F7" s="4"/>
      <c r="G7" s="4"/>
      <c r="H7" s="4"/>
      <c r="I7" s="4"/>
      <c r="J7" s="4"/>
      <c r="K7" s="4"/>
      <c r="L7" s="4"/>
      <c r="M7" s="4"/>
      <c r="N7" s="4"/>
      <c r="O7" s="4"/>
      <c r="P7" s="4"/>
      <c r="Q7" s="4"/>
      <c r="R7" s="4"/>
      <c r="S7" s="4"/>
      <c r="T7" s="4"/>
      <c r="U7" s="4"/>
    </row>
    <row r="8" spans="1:21" ht="15" customHeight="1">
      <c r="B8" s="4"/>
      <c r="C8" s="4"/>
      <c r="D8" s="4"/>
      <c r="E8" s="4"/>
      <c r="F8" s="4"/>
      <c r="G8" s="4"/>
      <c r="H8" s="4"/>
      <c r="I8" s="4"/>
      <c r="J8" s="4"/>
      <c r="K8" s="4"/>
      <c r="L8" s="4"/>
      <c r="M8" s="4"/>
      <c r="N8" s="4"/>
      <c r="O8" s="4"/>
      <c r="P8" s="4"/>
      <c r="Q8" s="4"/>
      <c r="R8" s="4"/>
      <c r="S8" s="4"/>
      <c r="T8" s="4"/>
      <c r="U8" s="4"/>
    </row>
    <row r="9" spans="1:21" ht="22.5" customHeight="1">
      <c r="B9" s="4"/>
      <c r="C9" s="4"/>
      <c r="D9" s="4"/>
      <c r="E9" s="4"/>
      <c r="F9" s="388" t="str">
        <f>Dashboard!H3</f>
        <v>SIMPAR (SIMH3)</v>
      </c>
      <c r="G9" s="388"/>
      <c r="H9" s="388"/>
      <c r="I9" s="388"/>
      <c r="J9" s="388"/>
      <c r="K9" s="388"/>
      <c r="L9" s="4"/>
      <c r="M9" s="4"/>
      <c r="N9" s="4"/>
      <c r="O9" s="4"/>
      <c r="P9" s="4"/>
      <c r="Q9" s="4"/>
      <c r="R9" s="4"/>
      <c r="S9" s="4"/>
      <c r="T9" s="4"/>
      <c r="U9" s="4"/>
    </row>
    <row r="10" spans="1:21" ht="15" customHeight="1">
      <c r="B10" s="4"/>
      <c r="C10" s="4"/>
      <c r="D10" s="4"/>
      <c r="E10" s="4"/>
      <c r="F10" s="388"/>
      <c r="G10" s="388"/>
      <c r="H10" s="388"/>
      <c r="I10" s="388"/>
      <c r="J10" s="388"/>
      <c r="K10" s="388"/>
      <c r="L10" s="4"/>
      <c r="M10" s="4"/>
      <c r="N10" s="4"/>
      <c r="O10" s="4"/>
      <c r="P10" s="4"/>
      <c r="Q10" s="4"/>
      <c r="R10" s="4"/>
      <c r="S10" s="4"/>
      <c r="T10" s="4"/>
      <c r="U10" s="4"/>
    </row>
    <row r="11" spans="1:21" ht="15" customHeight="1">
      <c r="B11" s="4"/>
      <c r="C11" s="4"/>
      <c r="D11" s="4"/>
      <c r="E11" s="4"/>
      <c r="F11" s="388"/>
      <c r="G11" s="388"/>
      <c r="H11" s="388"/>
      <c r="I11" s="388"/>
      <c r="J11" s="388"/>
      <c r="K11" s="388"/>
      <c r="L11" s="4"/>
      <c r="M11" s="4"/>
      <c r="N11" s="4"/>
      <c r="O11" s="4"/>
      <c r="P11" s="4"/>
      <c r="Q11" s="4"/>
      <c r="R11" s="4"/>
      <c r="S11" s="4"/>
      <c r="T11" s="4"/>
      <c r="U11" s="4"/>
    </row>
    <row r="12" spans="1:21" ht="15" customHeight="1">
      <c r="B12" s="4"/>
      <c r="C12" s="4"/>
      <c r="D12" s="4"/>
      <c r="E12" s="4"/>
      <c r="F12" s="4"/>
      <c r="G12" s="4"/>
      <c r="H12" s="4"/>
      <c r="I12" s="4"/>
      <c r="J12" s="4"/>
      <c r="K12" s="4"/>
      <c r="L12" s="4"/>
      <c r="M12" s="4"/>
      <c r="N12" s="4"/>
      <c r="O12" s="4"/>
      <c r="P12" s="4"/>
      <c r="Q12" s="4"/>
      <c r="R12" s="4"/>
      <c r="S12" s="4"/>
      <c r="T12" s="4"/>
      <c r="U12" s="4"/>
    </row>
    <row r="13" spans="1:21" s="11" customFormat="1" ht="24.75" customHeight="1">
      <c r="A13" s="123" t="s">
        <v>33</v>
      </c>
      <c r="B13" s="10"/>
      <c r="C13" s="10"/>
      <c r="D13" s="10"/>
      <c r="E13" s="10"/>
      <c r="F13" s="10"/>
      <c r="G13" s="10"/>
      <c r="H13" s="10"/>
      <c r="I13" s="10"/>
      <c r="J13" s="10"/>
      <c r="K13" s="10"/>
      <c r="L13" s="10"/>
      <c r="M13" s="10"/>
      <c r="N13" s="10"/>
      <c r="O13" s="10"/>
      <c r="P13" s="10"/>
      <c r="Q13" s="10"/>
      <c r="R13" s="10"/>
      <c r="S13" s="10"/>
      <c r="T13" s="10"/>
      <c r="U13" s="10"/>
    </row>
    <row r="14" spans="1:21" ht="30" customHeight="1">
      <c r="A14" s="12" t="s">
        <v>34</v>
      </c>
      <c r="B14" s="4"/>
      <c r="C14" s="4"/>
      <c r="D14" s="10"/>
      <c r="E14" s="10"/>
      <c r="F14" s="10"/>
      <c r="G14" s="10"/>
      <c r="H14" s="10"/>
      <c r="I14" s="10"/>
      <c r="J14" s="10"/>
      <c r="K14" s="10"/>
      <c r="L14" s="10"/>
      <c r="M14" s="10"/>
      <c r="N14" s="10"/>
      <c r="O14" s="10"/>
      <c r="P14" s="10"/>
      <c r="Q14" s="10"/>
      <c r="R14" s="4"/>
      <c r="S14" s="4"/>
      <c r="T14" s="4"/>
      <c r="U14" s="4"/>
    </row>
    <row r="15" spans="1:21" ht="30" customHeight="1">
      <c r="A15" s="12" t="s">
        <v>23</v>
      </c>
      <c r="B15" s="4"/>
      <c r="C15" s="4"/>
      <c r="D15" s="4"/>
      <c r="E15" s="67" t="s">
        <v>46</v>
      </c>
      <c r="F15" s="37">
        <v>2014</v>
      </c>
      <c r="G15" s="37">
        <v>2015</v>
      </c>
      <c r="H15" s="37">
        <v>2016</v>
      </c>
      <c r="I15" s="37">
        <v>2017</v>
      </c>
      <c r="J15" s="37">
        <v>2018</v>
      </c>
      <c r="K15" s="37">
        <v>2019</v>
      </c>
      <c r="L15" s="37">
        <v>2020</v>
      </c>
      <c r="M15" s="37">
        <v>2021</v>
      </c>
      <c r="N15" s="37">
        <v>2022</v>
      </c>
      <c r="O15" s="37">
        <v>2023</v>
      </c>
      <c r="P15" s="37" t="s">
        <v>525</v>
      </c>
      <c r="Q15" s="88"/>
      <c r="R15" s="4"/>
      <c r="S15" s="4"/>
      <c r="T15" s="4"/>
      <c r="U15" s="4"/>
    </row>
    <row r="16" spans="1:21" ht="30" customHeight="1">
      <c r="A16" s="12" t="s">
        <v>323</v>
      </c>
      <c r="B16" s="4"/>
      <c r="C16" s="4"/>
      <c r="D16" s="4"/>
      <c r="E16" s="68" t="s">
        <v>32</v>
      </c>
      <c r="F16" s="203">
        <f t="shared" ref="F16:P16" si="0">SUM(F20,F25:F30,F32:F34)-SUM(F53,F61:F62,F64,F66,F68,F69)</f>
        <v>1071719.8500000001</v>
      </c>
      <c r="G16" s="203">
        <f t="shared" si="0"/>
        <v>914914.8</v>
      </c>
      <c r="H16" s="203">
        <f t="shared" si="0"/>
        <v>419015.89999999991</v>
      </c>
      <c r="I16" s="203">
        <f t="shared" si="0"/>
        <v>842599.10000000009</v>
      </c>
      <c r="J16" s="203">
        <f t="shared" si="0"/>
        <v>707239.72500000009</v>
      </c>
      <c r="K16" s="203">
        <f t="shared" si="0"/>
        <v>964985.22500000009</v>
      </c>
      <c r="L16" s="203">
        <f t="shared" si="0"/>
        <v>251143.42499999981</v>
      </c>
      <c r="M16" s="203">
        <f t="shared" si="0"/>
        <v>578140.47499999963</v>
      </c>
      <c r="N16" s="203">
        <f t="shared" si="0"/>
        <v>1947310.7750000004</v>
      </c>
      <c r="O16" s="203">
        <f t="shared" si="0"/>
        <v>3572956.3249999993</v>
      </c>
      <c r="P16" s="203">
        <f t="shared" si="0"/>
        <v>4847984.5279327426</v>
      </c>
      <c r="Q16" s="88"/>
      <c r="R16" s="4"/>
      <c r="S16" s="4"/>
      <c r="T16" s="4"/>
      <c r="U16" s="4"/>
    </row>
    <row r="17" spans="1:21" ht="30" customHeight="1">
      <c r="A17" s="12" t="s">
        <v>36</v>
      </c>
      <c r="B17" s="4"/>
      <c r="C17" s="4"/>
      <c r="D17" s="4"/>
      <c r="E17" s="69" t="s">
        <v>0</v>
      </c>
      <c r="F17" s="40">
        <f t="shared" ref="F17:O17" si="1">SUM(F18,F35)</f>
        <v>7465231</v>
      </c>
      <c r="G17" s="40">
        <f t="shared" si="1"/>
        <v>8742595</v>
      </c>
      <c r="H17" s="40">
        <f t="shared" si="1"/>
        <v>8868383</v>
      </c>
      <c r="I17" s="40">
        <f t="shared" si="1"/>
        <v>11500924</v>
      </c>
      <c r="J17" s="40">
        <f t="shared" si="1"/>
        <v>15873954</v>
      </c>
      <c r="K17" s="40">
        <f t="shared" si="1"/>
        <v>20248234</v>
      </c>
      <c r="L17" s="40">
        <f t="shared" si="1"/>
        <v>25562248</v>
      </c>
      <c r="M17" s="40">
        <f t="shared" si="1"/>
        <v>47968194</v>
      </c>
      <c r="N17" s="40">
        <f t="shared" si="1"/>
        <v>61659514</v>
      </c>
      <c r="O17" s="40">
        <f t="shared" si="1"/>
        <v>70140840</v>
      </c>
      <c r="P17" s="40">
        <f t="shared" ref="P17" si="2">SUM(P18,P35)</f>
        <v>75030622</v>
      </c>
      <c r="Q17" s="88"/>
      <c r="R17" s="4"/>
      <c r="S17" s="4"/>
      <c r="T17" s="4"/>
      <c r="U17" s="4"/>
    </row>
    <row r="18" spans="1:21" ht="30" customHeight="1">
      <c r="A18" s="166" t="s">
        <v>127</v>
      </c>
      <c r="B18" s="4"/>
      <c r="C18" s="4"/>
      <c r="D18" s="4"/>
      <c r="E18" s="70" t="s">
        <v>4</v>
      </c>
      <c r="F18" s="203">
        <f t="shared" ref="F18:O18" si="3">SUM(F19,F24:F34)</f>
        <v>2854393</v>
      </c>
      <c r="G18" s="203">
        <f t="shared" si="3"/>
        <v>3371043</v>
      </c>
      <c r="H18" s="203">
        <f t="shared" si="3"/>
        <v>2716700</v>
      </c>
      <c r="I18" s="203">
        <f t="shared" si="3"/>
        <v>4488461</v>
      </c>
      <c r="J18" s="203">
        <f t="shared" si="3"/>
        <v>7191320</v>
      </c>
      <c r="K18" s="203">
        <f t="shared" si="3"/>
        <v>8890832</v>
      </c>
      <c r="L18" s="203">
        <f t="shared" si="3"/>
        <v>11495872</v>
      </c>
      <c r="M18" s="203">
        <f t="shared" si="3"/>
        <v>23561250</v>
      </c>
      <c r="N18" s="203">
        <f t="shared" si="3"/>
        <v>21632846</v>
      </c>
      <c r="O18" s="203">
        <f t="shared" si="3"/>
        <v>22160575</v>
      </c>
      <c r="P18" s="203">
        <f t="shared" ref="P18" si="4">SUM(P19,P24:P34)</f>
        <v>24859822</v>
      </c>
      <c r="Q18" s="88"/>
      <c r="R18" s="4"/>
      <c r="S18" s="4"/>
      <c r="T18" s="4"/>
      <c r="U18" s="4"/>
    </row>
    <row r="19" spans="1:21" ht="30" customHeight="1">
      <c r="A19" s="33" t="s">
        <v>37</v>
      </c>
      <c r="B19" s="4"/>
      <c r="C19" s="4"/>
      <c r="D19" s="4"/>
      <c r="E19" s="71" t="s">
        <v>138</v>
      </c>
      <c r="F19" s="84">
        <f>SUM(F22:F23)</f>
        <v>1205846</v>
      </c>
      <c r="G19" s="84">
        <f t="shared" ref="G19:O19" si="5">SUM(G22:G23)</f>
        <v>1676261</v>
      </c>
      <c r="H19" s="84">
        <f t="shared" si="5"/>
        <v>1043220</v>
      </c>
      <c r="I19" s="84">
        <f t="shared" si="5"/>
        <v>2433254</v>
      </c>
      <c r="J19" s="84">
        <f t="shared" si="5"/>
        <v>4827233</v>
      </c>
      <c r="K19" s="84">
        <f t="shared" si="5"/>
        <v>5773825</v>
      </c>
      <c r="L19" s="84">
        <f t="shared" si="5"/>
        <v>8328381</v>
      </c>
      <c r="M19" s="84">
        <f t="shared" si="5"/>
        <v>18652225</v>
      </c>
      <c r="N19" s="84">
        <f t="shared" si="5"/>
        <v>12742153</v>
      </c>
      <c r="O19" s="84">
        <f t="shared" si="5"/>
        <v>10946310</v>
      </c>
      <c r="P19" s="84">
        <f t="shared" ref="P19" si="6">SUM(P22:P23)</f>
        <v>12470555</v>
      </c>
      <c r="Q19" s="88"/>
      <c r="R19" s="4"/>
      <c r="S19" s="4"/>
      <c r="T19" s="4"/>
      <c r="U19" s="4"/>
    </row>
    <row r="20" spans="1:21" ht="30" customHeight="1">
      <c r="A20" s="166" t="s">
        <v>100</v>
      </c>
      <c r="B20" s="4"/>
      <c r="C20" s="4"/>
      <c r="D20" s="4"/>
      <c r="E20" s="72" t="s">
        <v>165</v>
      </c>
      <c r="F20" s="84">
        <f>IF(F19&gt;2.5%*'DRE Consolidado'!K16,2.5%*'DRE Consolidado'!K16,'Balanço Patrimonial'!F19)</f>
        <v>138479.85</v>
      </c>
      <c r="G20" s="84">
        <f>IF(G19&gt;2.5%*'DRE Consolidado'!L16,2.5%*'DRE Consolidado'!L16,'Balanço Patrimonial'!G19)</f>
        <v>149747.80000000002</v>
      </c>
      <c r="H20" s="84">
        <f>IF(H19&gt;2.5%*'DRE Consolidado'!M16,2.5%*'DRE Consolidado'!M16,'Balanço Patrimonial'!H19)</f>
        <v>163077.90000000002</v>
      </c>
      <c r="I20" s="84">
        <f>IF(I19&gt;2.5%*'DRE Consolidado'!N16,2.5%*'DRE Consolidado'!N16,'Balanço Patrimonial'!I19)</f>
        <v>181395.1</v>
      </c>
      <c r="J20" s="84">
        <f>IF(J19&gt;2.5%*'DRE Consolidado'!O16,2.5%*'DRE Consolidado'!O16,'Balanço Patrimonial'!J19)</f>
        <v>201884.72500000001</v>
      </c>
      <c r="K20" s="84">
        <f>IF(K19&gt;2.5%*'DRE Consolidado'!P16,2.5%*'DRE Consolidado'!P16,'Balanço Patrimonial'!K19)</f>
        <v>242155.22500000001</v>
      </c>
      <c r="L20" s="84">
        <f>IF(L19&gt;2.5%*'DRE Consolidado'!Q16,2.5%*'DRE Consolidado'!Q16,'Balanço Patrimonial'!L19)</f>
        <v>245176.42500000002</v>
      </c>
      <c r="M20" s="84">
        <f>IF(M19&gt;2.5%*'DRE Consolidado'!R16,2.5%*'DRE Consolidado'!R16,'Balanço Patrimonial'!M19)</f>
        <v>346655.47500000003</v>
      </c>
      <c r="N20" s="84">
        <f>IF(N19&gt;2.5%*'DRE Consolidado'!S16,2.5%*'DRE Consolidado'!S16,'Balanço Patrimonial'!N19)</f>
        <v>609544.77500000002</v>
      </c>
      <c r="O20" s="84">
        <f>IF(O19&gt;2.5%*'DRE Consolidado'!T16,2.5%*'DRE Consolidado'!T16,'Balanço Patrimonial'!O19)</f>
        <v>796090.32500000007</v>
      </c>
      <c r="P20" s="84">
        <f>IF(P19&gt;2.5%*'DRE Consolidado'!W16,2.5%*'DRE Consolidado'!W16,'Balanço Patrimonial'!P19)</f>
        <v>947658.52793274214</v>
      </c>
      <c r="Q20" s="88"/>
      <c r="R20" s="4"/>
      <c r="S20" s="4"/>
      <c r="T20" s="4"/>
      <c r="U20" s="4"/>
    </row>
    <row r="21" spans="1:21" ht="30" customHeight="1">
      <c r="A21" s="12" t="s">
        <v>324</v>
      </c>
      <c r="B21" s="4"/>
      <c r="C21" s="4"/>
      <c r="D21" s="4"/>
      <c r="E21" s="72" t="s">
        <v>166</v>
      </c>
      <c r="F21" s="84">
        <f>F19-F20</f>
        <v>1067366.1499999999</v>
      </c>
      <c r="G21" s="84">
        <f t="shared" ref="G21:N21" si="7">G19-G20</f>
        <v>1526513.2</v>
      </c>
      <c r="H21" s="84">
        <f t="shared" si="7"/>
        <v>880142.1</v>
      </c>
      <c r="I21" s="84">
        <f t="shared" si="7"/>
        <v>2251858.9</v>
      </c>
      <c r="J21" s="84">
        <f t="shared" si="7"/>
        <v>4625348.2750000004</v>
      </c>
      <c r="K21" s="84">
        <f t="shared" si="7"/>
        <v>5531669.7750000004</v>
      </c>
      <c r="L21" s="84">
        <f t="shared" si="7"/>
        <v>8083204.5750000002</v>
      </c>
      <c r="M21" s="84">
        <f t="shared" si="7"/>
        <v>18305569.524999999</v>
      </c>
      <c r="N21" s="84">
        <f t="shared" si="7"/>
        <v>12132608.225</v>
      </c>
      <c r="O21" s="84">
        <f t="shared" ref="O21:P21" si="8">O19-O20</f>
        <v>10150219.675000001</v>
      </c>
      <c r="P21" s="84">
        <f t="shared" si="8"/>
        <v>11522896.472067257</v>
      </c>
      <c r="Q21" s="88"/>
      <c r="R21" s="4"/>
      <c r="S21" s="4"/>
      <c r="T21" s="4"/>
      <c r="U21" s="4"/>
    </row>
    <row r="22" spans="1:21" ht="30" customHeight="1">
      <c r="A22" s="166" t="s">
        <v>129</v>
      </c>
      <c r="B22" s="4"/>
      <c r="C22" s="4"/>
      <c r="D22" s="4"/>
      <c r="E22" s="72" t="s">
        <v>487</v>
      </c>
      <c r="F22" s="84">
        <v>372047</v>
      </c>
      <c r="G22" s="84">
        <v>951166</v>
      </c>
      <c r="H22" s="84">
        <v>585920</v>
      </c>
      <c r="I22" s="84">
        <v>714734</v>
      </c>
      <c r="J22" s="84">
        <v>690324</v>
      </c>
      <c r="K22" s="84">
        <v>591815</v>
      </c>
      <c r="L22" s="84">
        <v>409601</v>
      </c>
      <c r="M22" s="84">
        <v>1029383</v>
      </c>
      <c r="N22" s="84">
        <v>1718025</v>
      </c>
      <c r="O22" s="84">
        <v>1345475</v>
      </c>
      <c r="P22" s="84">
        <v>1644981</v>
      </c>
      <c r="Q22" s="88"/>
      <c r="R22" s="4"/>
      <c r="S22" s="4"/>
      <c r="T22" s="4"/>
      <c r="U22" s="4"/>
    </row>
    <row r="23" spans="1:21" ht="30" customHeight="1">
      <c r="A23" s="166" t="s">
        <v>479</v>
      </c>
      <c r="B23" s="4"/>
      <c r="C23" s="4"/>
      <c r="D23" s="4"/>
      <c r="E23" s="72" t="s">
        <v>194</v>
      </c>
      <c r="F23" s="84">
        <v>833799</v>
      </c>
      <c r="G23" s="84">
        <v>725095</v>
      </c>
      <c r="H23" s="84">
        <v>457300</v>
      </c>
      <c r="I23" s="84">
        <v>1718520</v>
      </c>
      <c r="J23" s="84">
        <v>4136909</v>
      </c>
      <c r="K23" s="84">
        <v>5182010</v>
      </c>
      <c r="L23" s="84">
        <v>7918780</v>
      </c>
      <c r="M23" s="84">
        <v>17622842</v>
      </c>
      <c r="N23" s="84">
        <v>11024128</v>
      </c>
      <c r="O23" s="84">
        <v>9600835</v>
      </c>
      <c r="P23" s="84">
        <v>10825574</v>
      </c>
      <c r="Q23" s="88"/>
      <c r="R23" s="4"/>
      <c r="S23" s="4"/>
      <c r="T23" s="4"/>
      <c r="U23" s="4"/>
    </row>
    <row r="24" spans="1:21" ht="30" customHeight="1">
      <c r="A24" s="12" t="s">
        <v>128</v>
      </c>
      <c r="B24" s="4"/>
      <c r="C24" s="4"/>
      <c r="D24" s="4"/>
      <c r="E24" s="71" t="s">
        <v>195</v>
      </c>
      <c r="F24" s="84">
        <v>0</v>
      </c>
      <c r="G24" s="84">
        <v>0</v>
      </c>
      <c r="H24" s="84">
        <v>0</v>
      </c>
      <c r="I24" s="84">
        <v>0</v>
      </c>
      <c r="J24" s="84">
        <v>22013</v>
      </c>
      <c r="K24" s="84">
        <v>32233</v>
      </c>
      <c r="L24" s="84">
        <v>80380</v>
      </c>
      <c r="M24" s="84">
        <v>147</v>
      </c>
      <c r="N24" s="84">
        <v>86</v>
      </c>
      <c r="O24" s="84">
        <v>29181</v>
      </c>
      <c r="P24" s="84">
        <v>31840</v>
      </c>
      <c r="Q24" s="88"/>
      <c r="R24" s="4"/>
      <c r="S24" s="4"/>
      <c r="T24" s="4"/>
      <c r="U24" s="4"/>
    </row>
    <row r="25" spans="1:21" ht="30" customHeight="1">
      <c r="A25" s="12"/>
      <c r="B25" s="4"/>
      <c r="C25" s="4"/>
      <c r="D25" s="4"/>
      <c r="E25" s="71" t="s">
        <v>139</v>
      </c>
      <c r="F25" s="84">
        <v>930511</v>
      </c>
      <c r="G25" s="84">
        <v>1007831</v>
      </c>
      <c r="H25" s="84">
        <v>1021422</v>
      </c>
      <c r="I25" s="84">
        <v>1211836</v>
      </c>
      <c r="J25" s="84">
        <v>1334813</v>
      </c>
      <c r="K25" s="84">
        <v>1755137</v>
      </c>
      <c r="L25" s="84">
        <v>1934446</v>
      </c>
      <c r="M25" s="84">
        <v>3260329</v>
      </c>
      <c r="N25" s="84">
        <v>4433345</v>
      </c>
      <c r="O25" s="84">
        <v>5106680</v>
      </c>
      <c r="P25" s="84">
        <v>5565636</v>
      </c>
      <c r="Q25" s="88"/>
      <c r="R25" s="4"/>
      <c r="S25" s="4"/>
      <c r="T25" s="4"/>
      <c r="U25" s="4"/>
    </row>
    <row r="26" spans="1:21" ht="30" customHeight="1">
      <c r="A26" s="12"/>
      <c r="B26" s="4"/>
      <c r="C26" s="4"/>
      <c r="D26" s="4"/>
      <c r="E26" s="71" t="s">
        <v>5</v>
      </c>
      <c r="F26" s="84">
        <v>293987</v>
      </c>
      <c r="G26" s="84">
        <v>199270</v>
      </c>
      <c r="H26" s="84">
        <v>164626</v>
      </c>
      <c r="I26" s="84">
        <v>246147</v>
      </c>
      <c r="J26" s="84">
        <v>261987</v>
      </c>
      <c r="K26" s="84">
        <v>306037</v>
      </c>
      <c r="L26" s="84">
        <v>213017</v>
      </c>
      <c r="M26" s="84">
        <v>525950</v>
      </c>
      <c r="N26" s="84">
        <v>1694320</v>
      </c>
      <c r="O26" s="84">
        <v>2890509</v>
      </c>
      <c r="P26" s="84">
        <v>2893514</v>
      </c>
      <c r="Q26" s="88"/>
      <c r="R26" s="4"/>
      <c r="S26" s="4"/>
      <c r="T26" s="4"/>
      <c r="U26" s="4"/>
    </row>
    <row r="27" spans="1:21" ht="30" customHeight="1">
      <c r="A27" s="12"/>
      <c r="B27" s="4"/>
      <c r="C27" s="4"/>
      <c r="D27" s="4"/>
      <c r="E27" s="71" t="s">
        <v>142</v>
      </c>
      <c r="F27" s="84">
        <v>172786</v>
      </c>
      <c r="G27" s="84">
        <v>226336</v>
      </c>
      <c r="H27" s="84">
        <v>331249</v>
      </c>
      <c r="I27" s="84">
        <v>313390</v>
      </c>
      <c r="J27" s="84">
        <v>397784</v>
      </c>
      <c r="K27" s="84">
        <v>541188</v>
      </c>
      <c r="L27" s="84">
        <v>320879</v>
      </c>
      <c r="M27" s="84">
        <v>431962</v>
      </c>
      <c r="N27" s="84">
        <v>1527738</v>
      </c>
      <c r="O27" s="84">
        <v>1262241</v>
      </c>
      <c r="P27" s="84">
        <v>1642618</v>
      </c>
      <c r="Q27" s="88"/>
      <c r="R27" s="4"/>
      <c r="S27" s="4"/>
      <c r="T27" s="4"/>
      <c r="U27" s="4"/>
    </row>
    <row r="28" spans="1:21" ht="30" customHeight="1">
      <c r="A28" s="12"/>
      <c r="B28" s="4"/>
      <c r="C28" s="4"/>
      <c r="D28" s="4"/>
      <c r="E28" s="71" t="s">
        <v>140</v>
      </c>
      <c r="F28" s="84">
        <v>156041</v>
      </c>
      <c r="G28" s="84">
        <v>178817</v>
      </c>
      <c r="H28" s="84">
        <v>45573</v>
      </c>
      <c r="I28" s="84">
        <v>125015</v>
      </c>
      <c r="J28" s="84">
        <v>117507</v>
      </c>
      <c r="K28" s="84">
        <v>155284</v>
      </c>
      <c r="L28" s="84">
        <v>160490</v>
      </c>
      <c r="M28" s="84">
        <v>325496</v>
      </c>
      <c r="N28" s="84">
        <v>361125</v>
      </c>
      <c r="O28" s="84">
        <v>499765</v>
      </c>
      <c r="P28" s="84">
        <v>526697</v>
      </c>
      <c r="Q28" s="88"/>
      <c r="R28" s="4"/>
      <c r="S28" s="4"/>
      <c r="T28" s="4"/>
      <c r="U28" s="4"/>
    </row>
    <row r="29" spans="1:21" ht="30" customHeight="1">
      <c r="A29" s="12"/>
      <c r="B29" s="4"/>
      <c r="C29" s="4"/>
      <c r="D29" s="4"/>
      <c r="E29" s="71" t="s">
        <v>141</v>
      </c>
      <c r="F29" s="84">
        <v>0</v>
      </c>
      <c r="G29" s="84">
        <v>0</v>
      </c>
      <c r="H29" s="84">
        <v>50027</v>
      </c>
      <c r="I29" s="84">
        <v>97196</v>
      </c>
      <c r="J29" s="84">
        <v>110149</v>
      </c>
      <c r="K29" s="84">
        <v>147266</v>
      </c>
      <c r="L29" s="84">
        <v>298451</v>
      </c>
      <c r="M29" s="84">
        <v>227643</v>
      </c>
      <c r="N29" s="84">
        <v>577912</v>
      </c>
      <c r="O29" s="84">
        <v>855076</v>
      </c>
      <c r="P29" s="84">
        <v>842978</v>
      </c>
      <c r="Q29" s="88"/>
      <c r="R29" s="4"/>
      <c r="S29" s="4"/>
      <c r="T29" s="4"/>
      <c r="U29" s="4"/>
    </row>
    <row r="30" spans="1:21" ht="30" customHeight="1">
      <c r="A30" s="12"/>
      <c r="B30" s="4"/>
      <c r="C30" s="4"/>
      <c r="D30" s="4"/>
      <c r="E30" s="71" t="s">
        <v>143</v>
      </c>
      <c r="F30" s="84">
        <v>36070</v>
      </c>
      <c r="G30" s="84">
        <v>28290</v>
      </c>
      <c r="H30" s="84">
        <v>12891</v>
      </c>
      <c r="I30" s="84">
        <v>18673</v>
      </c>
      <c r="J30" s="84">
        <v>25583</v>
      </c>
      <c r="K30" s="84">
        <v>42874</v>
      </c>
      <c r="L30" s="84">
        <v>58314</v>
      </c>
      <c r="M30" s="84">
        <v>67977</v>
      </c>
      <c r="N30" s="84">
        <v>98457</v>
      </c>
      <c r="O30" s="84">
        <v>127725</v>
      </c>
      <c r="P30" s="84">
        <v>393757</v>
      </c>
      <c r="Q30" s="88"/>
      <c r="R30" s="4"/>
      <c r="S30" s="4"/>
      <c r="T30" s="4"/>
      <c r="U30" s="4"/>
    </row>
    <row r="31" spans="1:21" ht="30" customHeight="1">
      <c r="A31" s="12"/>
      <c r="B31" s="4"/>
      <c r="C31" s="4"/>
      <c r="D31" s="4"/>
      <c r="E31" s="71" t="s">
        <v>196</v>
      </c>
      <c r="F31" s="84">
        <v>0</v>
      </c>
      <c r="G31" s="84">
        <v>0</v>
      </c>
      <c r="H31" s="84">
        <v>0</v>
      </c>
      <c r="I31" s="84">
        <v>0</v>
      </c>
      <c r="J31" s="84">
        <v>0</v>
      </c>
      <c r="K31" s="84">
        <v>0</v>
      </c>
      <c r="L31" s="84">
        <v>0</v>
      </c>
      <c r="M31" s="84">
        <v>0</v>
      </c>
      <c r="N31" s="84">
        <v>0</v>
      </c>
      <c r="O31" s="84">
        <v>0</v>
      </c>
      <c r="P31" s="84">
        <v>0</v>
      </c>
      <c r="Q31" s="88"/>
      <c r="R31" s="4"/>
      <c r="S31" s="4"/>
      <c r="T31" s="4"/>
      <c r="U31" s="4"/>
    </row>
    <row r="32" spans="1:21" ht="30" customHeight="1">
      <c r="A32" s="12"/>
      <c r="B32" s="4"/>
      <c r="C32" s="4"/>
      <c r="D32" s="4"/>
      <c r="E32" s="71" t="s">
        <v>150</v>
      </c>
      <c r="F32" s="84">
        <v>0</v>
      </c>
      <c r="G32" s="84">
        <v>0</v>
      </c>
      <c r="H32" s="84">
        <v>0</v>
      </c>
      <c r="I32" s="84">
        <v>0</v>
      </c>
      <c r="J32" s="84">
        <v>0</v>
      </c>
      <c r="K32" s="84">
        <v>0</v>
      </c>
      <c r="L32" s="84">
        <v>0</v>
      </c>
      <c r="M32" s="84">
        <v>0</v>
      </c>
      <c r="N32" s="84">
        <v>253</v>
      </c>
      <c r="O32" s="84">
        <v>180</v>
      </c>
      <c r="P32" s="84">
        <v>5943</v>
      </c>
      <c r="Q32" s="88"/>
      <c r="R32" s="4"/>
      <c r="S32" s="4"/>
      <c r="T32" s="4"/>
      <c r="U32" s="4"/>
    </row>
    <row r="33" spans="1:21" ht="30" customHeight="1">
      <c r="A33" s="12"/>
      <c r="B33" s="4"/>
      <c r="C33" s="4"/>
      <c r="D33" s="4"/>
      <c r="E33" s="71" t="s">
        <v>144</v>
      </c>
      <c r="F33" s="84">
        <v>0</v>
      </c>
      <c r="G33" s="84">
        <v>0</v>
      </c>
      <c r="H33" s="84">
        <v>29420</v>
      </c>
      <c r="I33" s="84">
        <v>27687</v>
      </c>
      <c r="J33" s="84">
        <v>58763</v>
      </c>
      <c r="K33" s="84">
        <v>82420</v>
      </c>
      <c r="L33" s="84">
        <v>43689</v>
      </c>
      <c r="M33" s="84">
        <v>69140</v>
      </c>
      <c r="N33" s="84">
        <v>111317</v>
      </c>
      <c r="O33" s="84">
        <v>380240</v>
      </c>
      <c r="P33" s="84">
        <v>388419</v>
      </c>
      <c r="Q33" s="88"/>
      <c r="R33" s="4"/>
      <c r="S33" s="4"/>
      <c r="T33" s="4"/>
      <c r="U33" s="4"/>
    </row>
    <row r="34" spans="1:21" ht="30" customHeight="1">
      <c r="A34" s="12"/>
      <c r="B34" s="4"/>
      <c r="C34" s="4"/>
      <c r="D34" s="4"/>
      <c r="E34" s="71" t="s">
        <v>145</v>
      </c>
      <c r="F34" s="84">
        <v>59152</v>
      </c>
      <c r="G34" s="84">
        <v>54238</v>
      </c>
      <c r="H34" s="84">
        <v>18272</v>
      </c>
      <c r="I34" s="84">
        <v>15263</v>
      </c>
      <c r="J34" s="84">
        <v>35488</v>
      </c>
      <c r="K34" s="84">
        <v>54568</v>
      </c>
      <c r="L34" s="84">
        <v>57825</v>
      </c>
      <c r="M34" s="84">
        <v>381</v>
      </c>
      <c r="N34" s="84">
        <v>86140</v>
      </c>
      <c r="O34" s="84">
        <v>62668</v>
      </c>
      <c r="P34" s="84">
        <v>97865</v>
      </c>
      <c r="Q34" s="88"/>
      <c r="R34" s="4"/>
      <c r="S34" s="4"/>
      <c r="T34" s="4"/>
      <c r="U34" s="4"/>
    </row>
    <row r="35" spans="1:21" ht="30" customHeight="1">
      <c r="A35" s="12"/>
      <c r="B35" s="4"/>
      <c r="C35" s="4"/>
      <c r="D35" s="4"/>
      <c r="E35" s="70" t="s">
        <v>6</v>
      </c>
      <c r="F35" s="203">
        <f>SUM(F36:F50)</f>
        <v>4610838</v>
      </c>
      <c r="G35" s="203">
        <f t="shared" ref="G35:N35" si="9">SUM(G36:G50)</f>
        <v>5371552</v>
      </c>
      <c r="H35" s="203">
        <f t="shared" si="9"/>
        <v>6151683</v>
      </c>
      <c r="I35" s="203">
        <f t="shared" si="9"/>
        <v>7012463</v>
      </c>
      <c r="J35" s="203">
        <f t="shared" si="9"/>
        <v>8682634</v>
      </c>
      <c r="K35" s="203">
        <f t="shared" si="9"/>
        <v>11357402</v>
      </c>
      <c r="L35" s="203">
        <f t="shared" si="9"/>
        <v>14066376</v>
      </c>
      <c r="M35" s="203">
        <f t="shared" si="9"/>
        <v>24406944</v>
      </c>
      <c r="N35" s="203">
        <f t="shared" si="9"/>
        <v>40026668</v>
      </c>
      <c r="O35" s="203">
        <f t="shared" ref="O35:P35" si="10">SUM(O36:O50)</f>
        <v>47980265</v>
      </c>
      <c r="P35" s="203">
        <f t="shared" si="10"/>
        <v>50170800</v>
      </c>
      <c r="Q35" s="88"/>
      <c r="R35" s="4"/>
      <c r="S35" s="4"/>
      <c r="T35" s="4"/>
      <c r="U35" s="4"/>
    </row>
    <row r="36" spans="1:21" ht="30" customHeight="1">
      <c r="A36" s="12"/>
      <c r="B36" s="4"/>
      <c r="C36" s="4"/>
      <c r="D36" s="4"/>
      <c r="E36" s="71" t="s">
        <v>197</v>
      </c>
      <c r="F36" s="84">
        <v>19746</v>
      </c>
      <c r="G36" s="84">
        <v>10376</v>
      </c>
      <c r="H36" s="84">
        <v>0</v>
      </c>
      <c r="I36" s="84">
        <v>5584</v>
      </c>
      <c r="J36" s="84">
        <v>4532</v>
      </c>
      <c r="K36" s="84">
        <v>655</v>
      </c>
      <c r="L36" s="84">
        <v>149483</v>
      </c>
      <c r="M36" s="84">
        <v>9264</v>
      </c>
      <c r="N36" s="84">
        <v>160116</v>
      </c>
      <c r="O36" s="84">
        <v>178226</v>
      </c>
      <c r="P36" s="84">
        <v>174202</v>
      </c>
      <c r="Q36" s="88"/>
      <c r="R36" s="4"/>
      <c r="S36" s="4"/>
      <c r="T36" s="4"/>
      <c r="U36" s="4"/>
    </row>
    <row r="37" spans="1:21" ht="30" customHeight="1">
      <c r="A37" s="12"/>
      <c r="B37" s="4"/>
      <c r="C37" s="4"/>
      <c r="D37" s="4"/>
      <c r="E37" s="71" t="s">
        <v>195</v>
      </c>
      <c r="F37" s="84">
        <v>9906</v>
      </c>
      <c r="G37" s="84">
        <v>71462</v>
      </c>
      <c r="H37" s="84">
        <v>36037</v>
      </c>
      <c r="I37" s="84">
        <v>108252</v>
      </c>
      <c r="J37" s="84">
        <v>438160</v>
      </c>
      <c r="K37" s="84">
        <v>638400</v>
      </c>
      <c r="L37" s="84">
        <v>334642</v>
      </c>
      <c r="M37" s="84">
        <v>58733</v>
      </c>
      <c r="N37" s="84">
        <v>184154</v>
      </c>
      <c r="O37" s="84">
        <v>873062</v>
      </c>
      <c r="P37" s="84">
        <v>792896</v>
      </c>
      <c r="Q37" s="88"/>
      <c r="R37" s="4"/>
      <c r="S37" s="4"/>
      <c r="T37" s="4"/>
      <c r="U37" s="4"/>
    </row>
    <row r="38" spans="1:21" ht="30" customHeight="1">
      <c r="A38" s="12"/>
      <c r="B38" s="4"/>
      <c r="C38" s="4"/>
      <c r="D38" s="4"/>
      <c r="E38" s="71" t="s">
        <v>139</v>
      </c>
      <c r="F38" s="84">
        <v>74085</v>
      </c>
      <c r="G38" s="84">
        <v>15792</v>
      </c>
      <c r="H38" s="84">
        <v>108356</v>
      </c>
      <c r="I38" s="84">
        <v>120603</v>
      </c>
      <c r="J38" s="84">
        <v>111868</v>
      </c>
      <c r="K38" s="84">
        <v>88321</v>
      </c>
      <c r="L38" s="84">
        <v>104684</v>
      </c>
      <c r="M38" s="84">
        <v>134627</v>
      </c>
      <c r="N38" s="84">
        <v>190197</v>
      </c>
      <c r="O38" s="84">
        <v>494197</v>
      </c>
      <c r="P38" s="84">
        <v>525982</v>
      </c>
      <c r="Q38" s="88"/>
      <c r="R38" s="4"/>
      <c r="S38" s="4"/>
      <c r="T38" s="4"/>
      <c r="U38" s="4"/>
    </row>
    <row r="39" spans="1:21" ht="30" customHeight="1">
      <c r="A39" s="12"/>
      <c r="B39" s="4"/>
      <c r="C39" s="4"/>
      <c r="D39" s="4"/>
      <c r="E39" s="71" t="s">
        <v>140</v>
      </c>
      <c r="F39" s="84">
        <v>32440</v>
      </c>
      <c r="G39" s="84">
        <v>23518</v>
      </c>
      <c r="H39" s="84">
        <v>42604</v>
      </c>
      <c r="I39" s="84">
        <v>61930</v>
      </c>
      <c r="J39" s="84">
        <v>114222</v>
      </c>
      <c r="K39" s="84">
        <v>138466</v>
      </c>
      <c r="L39" s="84">
        <v>151909</v>
      </c>
      <c r="M39" s="84">
        <v>231145</v>
      </c>
      <c r="N39" s="84">
        <v>448366</v>
      </c>
      <c r="O39" s="84">
        <v>384773</v>
      </c>
      <c r="P39" s="84">
        <v>410331</v>
      </c>
      <c r="Q39" s="88"/>
      <c r="R39" s="4"/>
      <c r="S39" s="4"/>
      <c r="T39" s="4"/>
      <c r="U39" s="4"/>
    </row>
    <row r="40" spans="1:21" ht="30" customHeight="1">
      <c r="A40" s="12"/>
      <c r="B40" s="4"/>
      <c r="C40" s="4"/>
      <c r="D40" s="4"/>
      <c r="E40" s="71" t="s">
        <v>141</v>
      </c>
      <c r="F40" s="84">
        <v>0</v>
      </c>
      <c r="G40" s="84">
        <v>0</v>
      </c>
      <c r="H40" s="84">
        <v>19864</v>
      </c>
      <c r="I40" s="84">
        <v>20307</v>
      </c>
      <c r="J40" s="84">
        <v>24312</v>
      </c>
      <c r="K40" s="84">
        <v>34929</v>
      </c>
      <c r="L40" s="84">
        <v>66664</v>
      </c>
      <c r="M40" s="84">
        <v>127733</v>
      </c>
      <c r="N40" s="84">
        <v>155806</v>
      </c>
      <c r="O40" s="84">
        <v>114026</v>
      </c>
      <c r="P40" s="84">
        <v>111898</v>
      </c>
      <c r="Q40" s="88"/>
      <c r="R40" s="4"/>
      <c r="S40" s="4"/>
      <c r="T40" s="4"/>
      <c r="U40" s="4"/>
    </row>
    <row r="41" spans="1:21" ht="30" customHeight="1">
      <c r="A41" s="12"/>
      <c r="B41" s="4"/>
      <c r="C41" s="4"/>
      <c r="D41" s="4"/>
      <c r="E41" s="71" t="s">
        <v>146</v>
      </c>
      <c r="F41" s="84">
        <v>44175</v>
      </c>
      <c r="G41" s="84">
        <v>42309</v>
      </c>
      <c r="H41" s="84">
        <v>120704</v>
      </c>
      <c r="I41" s="84">
        <v>62335</v>
      </c>
      <c r="J41" s="84">
        <v>73400</v>
      </c>
      <c r="K41" s="84">
        <v>76353</v>
      </c>
      <c r="L41" s="84">
        <v>75532</v>
      </c>
      <c r="M41" s="84">
        <v>103303</v>
      </c>
      <c r="N41" s="84">
        <v>105475</v>
      </c>
      <c r="O41" s="84">
        <v>118518</v>
      </c>
      <c r="P41" s="84">
        <v>139599</v>
      </c>
      <c r="Q41" s="88"/>
      <c r="R41" s="4"/>
      <c r="S41" s="4"/>
      <c r="T41" s="4"/>
      <c r="U41" s="4"/>
    </row>
    <row r="42" spans="1:21" ht="30" customHeight="1">
      <c r="A42" s="12"/>
      <c r="B42" s="4"/>
      <c r="C42" s="4"/>
      <c r="D42" s="4"/>
      <c r="E42" s="71" t="s">
        <v>303</v>
      </c>
      <c r="F42" s="84">
        <v>0</v>
      </c>
      <c r="G42" s="84">
        <v>0</v>
      </c>
      <c r="H42" s="84">
        <v>52642</v>
      </c>
      <c r="I42" s="84">
        <v>39692</v>
      </c>
      <c r="J42" s="84">
        <v>0</v>
      </c>
      <c r="K42" s="84">
        <v>0</v>
      </c>
      <c r="L42" s="84">
        <v>0</v>
      </c>
      <c r="M42" s="84">
        <v>0</v>
      </c>
      <c r="N42" s="84">
        <v>0</v>
      </c>
      <c r="O42" s="84">
        <v>0</v>
      </c>
      <c r="P42" s="84">
        <v>0</v>
      </c>
      <c r="Q42" s="88"/>
      <c r="R42" s="4"/>
      <c r="S42" s="4"/>
      <c r="T42" s="4"/>
      <c r="U42" s="4"/>
    </row>
    <row r="43" spans="1:21" ht="30" customHeight="1">
      <c r="A43" s="12"/>
      <c r="B43" s="4"/>
      <c r="C43" s="4"/>
      <c r="D43" s="4"/>
      <c r="E43" s="71" t="s">
        <v>11</v>
      </c>
      <c r="F43" s="84">
        <v>13727</v>
      </c>
      <c r="G43" s="84">
        <v>15635</v>
      </c>
      <c r="H43" s="84">
        <v>31438</v>
      </c>
      <c r="I43" s="84">
        <v>60626</v>
      </c>
      <c r="J43" s="84">
        <v>83620</v>
      </c>
      <c r="K43" s="84">
        <v>138431</v>
      </c>
      <c r="L43" s="84">
        <v>161215</v>
      </c>
      <c r="M43" s="84">
        <v>407120</v>
      </c>
      <c r="N43" s="84">
        <v>1177823</v>
      </c>
      <c r="O43" s="84">
        <v>1591413</v>
      </c>
      <c r="P43" s="84">
        <v>1807660</v>
      </c>
      <c r="Q43" s="88"/>
      <c r="R43" s="4"/>
      <c r="S43" s="4"/>
      <c r="T43" s="4"/>
      <c r="U43" s="4"/>
    </row>
    <row r="44" spans="1:21" ht="30" customHeight="1">
      <c r="A44" s="12"/>
      <c r="B44" s="4"/>
      <c r="C44" s="4"/>
      <c r="D44" s="4"/>
      <c r="E44" s="71" t="s">
        <v>143</v>
      </c>
      <c r="F44" s="256">
        <v>7400</v>
      </c>
      <c r="G44" s="84">
        <v>0</v>
      </c>
      <c r="H44" s="84">
        <v>0</v>
      </c>
      <c r="I44" s="84">
        <v>0</v>
      </c>
      <c r="J44" s="84">
        <v>0</v>
      </c>
      <c r="K44" s="84">
        <v>0</v>
      </c>
      <c r="L44" s="84">
        <v>0</v>
      </c>
      <c r="M44" s="84">
        <v>0</v>
      </c>
      <c r="N44" s="84">
        <v>0</v>
      </c>
      <c r="O44" s="84">
        <v>0</v>
      </c>
      <c r="P44" s="84">
        <v>0</v>
      </c>
      <c r="Q44" s="88"/>
      <c r="R44" s="4"/>
      <c r="S44" s="4"/>
      <c r="T44" s="4"/>
      <c r="U44" s="4"/>
    </row>
    <row r="45" spans="1:21" ht="30" customHeight="1">
      <c r="A45" s="12"/>
      <c r="B45" s="4"/>
      <c r="C45" s="4"/>
      <c r="D45" s="4"/>
      <c r="E45" s="71" t="s">
        <v>150</v>
      </c>
      <c r="F45" s="84">
        <v>67</v>
      </c>
      <c r="G45" s="84">
        <v>410</v>
      </c>
      <c r="H45" s="84">
        <v>76</v>
      </c>
      <c r="I45" s="84">
        <v>188</v>
      </c>
      <c r="J45" s="84">
        <v>346</v>
      </c>
      <c r="K45" s="84">
        <v>0</v>
      </c>
      <c r="L45" s="84">
        <v>0</v>
      </c>
      <c r="M45" s="84">
        <v>0</v>
      </c>
      <c r="N45" s="84">
        <v>791</v>
      </c>
      <c r="O45" s="84">
        <v>942</v>
      </c>
      <c r="P45" s="84">
        <v>942</v>
      </c>
      <c r="Q45" s="88"/>
      <c r="R45" s="4"/>
      <c r="S45" s="4"/>
      <c r="T45" s="4"/>
      <c r="U45" s="4"/>
    </row>
    <row r="46" spans="1:21" ht="30" customHeight="1">
      <c r="A46" s="12"/>
      <c r="B46" s="4"/>
      <c r="C46" s="4"/>
      <c r="D46" s="4"/>
      <c r="E46" s="257" t="s">
        <v>198</v>
      </c>
      <c r="F46" s="84">
        <v>0</v>
      </c>
      <c r="G46" s="84">
        <v>0</v>
      </c>
      <c r="H46" s="84">
        <v>0</v>
      </c>
      <c r="I46" s="84">
        <v>0</v>
      </c>
      <c r="J46" s="84">
        <v>0</v>
      </c>
      <c r="K46" s="84">
        <v>0</v>
      </c>
      <c r="L46" s="258">
        <v>103783</v>
      </c>
      <c r="M46" s="258">
        <v>281432</v>
      </c>
      <c r="N46" s="258">
        <v>299342</v>
      </c>
      <c r="O46" s="258">
        <v>604600</v>
      </c>
      <c r="P46" s="258">
        <v>597902</v>
      </c>
      <c r="Q46" s="88"/>
      <c r="R46" s="4"/>
      <c r="S46" s="4"/>
      <c r="T46" s="4"/>
      <c r="U46" s="4"/>
    </row>
    <row r="47" spans="1:21" ht="30" customHeight="1">
      <c r="A47" s="12"/>
      <c r="B47" s="4"/>
      <c r="C47" s="4"/>
      <c r="D47" s="4"/>
      <c r="E47" s="71" t="s">
        <v>145</v>
      </c>
      <c r="F47" s="84">
        <v>72381</v>
      </c>
      <c r="G47" s="84">
        <v>64463</v>
      </c>
      <c r="H47" s="84">
        <v>6035</v>
      </c>
      <c r="I47" s="84">
        <v>3634</v>
      </c>
      <c r="J47" s="84">
        <v>64437</v>
      </c>
      <c r="K47" s="84">
        <v>82391</v>
      </c>
      <c r="L47" s="84">
        <v>82984</v>
      </c>
      <c r="M47" s="84">
        <v>108782</v>
      </c>
      <c r="N47" s="84">
        <v>112804</v>
      </c>
      <c r="O47" s="84">
        <v>239468</v>
      </c>
      <c r="P47" s="84">
        <v>200190</v>
      </c>
      <c r="Q47" s="88"/>
      <c r="R47" s="4"/>
      <c r="S47" s="4"/>
      <c r="T47" s="4"/>
      <c r="U47" s="4"/>
    </row>
    <row r="48" spans="1:21" ht="30" customHeight="1">
      <c r="A48" s="12"/>
      <c r="B48" s="4"/>
      <c r="C48" s="4"/>
      <c r="D48" s="4"/>
      <c r="E48" s="71" t="s">
        <v>199</v>
      </c>
      <c r="F48" s="84">
        <v>1430</v>
      </c>
      <c r="G48" s="84">
        <v>1535</v>
      </c>
      <c r="H48" s="84">
        <v>1179</v>
      </c>
      <c r="I48" s="84">
        <v>979</v>
      </c>
      <c r="J48" s="84">
        <v>3754</v>
      </c>
      <c r="K48" s="84">
        <v>6716</v>
      </c>
      <c r="L48" s="84">
        <v>16584</v>
      </c>
      <c r="M48" s="84">
        <v>30248</v>
      </c>
      <c r="N48" s="84">
        <v>34024</v>
      </c>
      <c r="O48" s="84">
        <v>38223</v>
      </c>
      <c r="P48" s="84">
        <v>36645</v>
      </c>
      <c r="Q48" s="88"/>
      <c r="R48" s="4"/>
      <c r="S48" s="4"/>
      <c r="T48" s="4"/>
      <c r="U48" s="4"/>
    </row>
    <row r="49" spans="1:21" ht="30" customHeight="1">
      <c r="A49" s="12"/>
      <c r="B49" s="4"/>
      <c r="C49" s="4"/>
      <c r="D49" s="4"/>
      <c r="E49" s="71" t="s">
        <v>7</v>
      </c>
      <c r="F49" s="84">
        <v>4005012</v>
      </c>
      <c r="G49" s="84">
        <v>4764262</v>
      </c>
      <c r="H49" s="84">
        <v>5386719</v>
      </c>
      <c r="I49" s="84">
        <v>6056614</v>
      </c>
      <c r="J49" s="84">
        <v>7279407</v>
      </c>
      <c r="K49" s="84">
        <v>9615005</v>
      </c>
      <c r="L49" s="84">
        <v>11747476</v>
      </c>
      <c r="M49" s="84">
        <v>21567720</v>
      </c>
      <c r="N49" s="84">
        <v>34130983</v>
      </c>
      <c r="O49" s="84">
        <v>39826162</v>
      </c>
      <c r="P49" s="84">
        <v>41692243</v>
      </c>
      <c r="Q49" s="88"/>
      <c r="R49" s="4"/>
      <c r="S49" s="4"/>
      <c r="T49" s="4"/>
      <c r="U49" s="4"/>
    </row>
    <row r="50" spans="1:21" ht="30" customHeight="1">
      <c r="A50" s="12"/>
      <c r="B50" s="4"/>
      <c r="C50" s="4"/>
      <c r="D50" s="4"/>
      <c r="E50" s="71" t="s">
        <v>8</v>
      </c>
      <c r="F50" s="84">
        <v>330469</v>
      </c>
      <c r="G50" s="84">
        <v>361790</v>
      </c>
      <c r="H50" s="84">
        <v>346029</v>
      </c>
      <c r="I50" s="84">
        <v>471719</v>
      </c>
      <c r="J50" s="84">
        <v>484576</v>
      </c>
      <c r="K50" s="84">
        <v>537735</v>
      </c>
      <c r="L50" s="84">
        <v>1071420</v>
      </c>
      <c r="M50" s="84">
        <v>1346837</v>
      </c>
      <c r="N50" s="84">
        <v>3026787</v>
      </c>
      <c r="O50" s="84">
        <v>3516655</v>
      </c>
      <c r="P50" s="84">
        <v>3680310</v>
      </c>
      <c r="Q50" s="88"/>
      <c r="R50" s="4"/>
      <c r="S50" s="4"/>
      <c r="T50" s="4"/>
      <c r="U50" s="4"/>
    </row>
    <row r="51" spans="1:21" ht="30" customHeight="1">
      <c r="A51" s="12"/>
      <c r="B51" s="4"/>
      <c r="C51" s="4"/>
      <c r="D51" s="4"/>
      <c r="E51" s="69" t="s">
        <v>1</v>
      </c>
      <c r="F51" s="40">
        <f t="shared" ref="F51:P51" si="11">SUM(F52,F71)</f>
        <v>6420352</v>
      </c>
      <c r="G51" s="40">
        <f t="shared" si="11"/>
        <v>7722722</v>
      </c>
      <c r="H51" s="40">
        <f t="shared" si="11"/>
        <v>8259394</v>
      </c>
      <c r="I51" s="40">
        <f t="shared" si="11"/>
        <v>10311604</v>
      </c>
      <c r="J51" s="40">
        <f t="shared" si="11"/>
        <v>14625455</v>
      </c>
      <c r="K51" s="40">
        <f t="shared" si="11"/>
        <v>17888271</v>
      </c>
      <c r="L51" s="40">
        <f t="shared" si="11"/>
        <v>22338398</v>
      </c>
      <c r="M51" s="40">
        <f t="shared" si="11"/>
        <v>42143934</v>
      </c>
      <c r="N51" s="40">
        <f t="shared" si="11"/>
        <v>56077761</v>
      </c>
      <c r="O51" s="40">
        <f t="shared" si="11"/>
        <v>63389108</v>
      </c>
      <c r="P51" s="40">
        <f t="shared" si="11"/>
        <v>68308179</v>
      </c>
      <c r="Q51" s="88"/>
      <c r="R51" s="4"/>
      <c r="S51" s="4"/>
      <c r="T51" s="4"/>
      <c r="U51" s="4"/>
    </row>
    <row r="52" spans="1:21" ht="30" customHeight="1">
      <c r="A52" s="12"/>
      <c r="B52" s="4"/>
      <c r="C52" s="4"/>
      <c r="D52" s="4"/>
      <c r="E52" s="70" t="s">
        <v>9</v>
      </c>
      <c r="F52" s="203">
        <f t="shared" ref="F52:P52" si="12">SUM(F53:F70)</f>
        <v>1871356</v>
      </c>
      <c r="G52" s="203">
        <f t="shared" si="12"/>
        <v>2414240</v>
      </c>
      <c r="H52" s="203">
        <f t="shared" si="12"/>
        <v>3194162</v>
      </c>
      <c r="I52" s="203">
        <f t="shared" si="12"/>
        <v>3129688</v>
      </c>
      <c r="J52" s="203">
        <f t="shared" si="12"/>
        <v>4035478</v>
      </c>
      <c r="K52" s="203">
        <f t="shared" si="12"/>
        <v>4678968</v>
      </c>
      <c r="L52" s="203">
        <f t="shared" si="12"/>
        <v>5524858</v>
      </c>
      <c r="M52" s="203">
        <f t="shared" si="12"/>
        <v>7137334</v>
      </c>
      <c r="N52" s="203">
        <f t="shared" si="12"/>
        <v>13959865</v>
      </c>
      <c r="O52" s="203">
        <f t="shared" si="12"/>
        <v>15328767</v>
      </c>
      <c r="P52" s="203">
        <f t="shared" si="12"/>
        <v>16866873</v>
      </c>
      <c r="Q52" s="88"/>
      <c r="R52" s="4"/>
      <c r="S52" s="4"/>
      <c r="T52" s="4"/>
      <c r="U52" s="4"/>
    </row>
    <row r="53" spans="1:21" ht="30" customHeight="1">
      <c r="A53" s="12"/>
      <c r="B53" s="4"/>
      <c r="C53" s="4"/>
      <c r="D53" s="4"/>
      <c r="E53" s="71" t="s">
        <v>10</v>
      </c>
      <c r="F53" s="84">
        <v>316952</v>
      </c>
      <c r="G53" s="84">
        <v>505199</v>
      </c>
      <c r="H53" s="84">
        <v>992368</v>
      </c>
      <c r="I53" s="84">
        <v>878274</v>
      </c>
      <c r="J53" s="84">
        <v>1195407</v>
      </c>
      <c r="K53" s="84">
        <v>1691713</v>
      </c>
      <c r="L53" s="84">
        <v>2135298</v>
      </c>
      <c r="M53" s="84">
        <v>3374264</v>
      </c>
      <c r="N53" s="84">
        <v>5724420</v>
      </c>
      <c r="O53" s="84">
        <v>6391443</v>
      </c>
      <c r="P53" s="84">
        <v>6211036</v>
      </c>
      <c r="Q53" s="88"/>
      <c r="R53" s="4"/>
      <c r="S53" s="4"/>
      <c r="T53" s="4"/>
      <c r="U53" s="4"/>
    </row>
    <row r="54" spans="1:21" ht="30" customHeight="1">
      <c r="A54" s="12"/>
      <c r="B54" s="4"/>
      <c r="C54" s="4"/>
      <c r="D54" s="4"/>
      <c r="E54" s="71" t="s">
        <v>147</v>
      </c>
      <c r="F54" s="84">
        <v>56313</v>
      </c>
      <c r="G54" s="84">
        <v>33982</v>
      </c>
      <c r="H54" s="84">
        <v>28387</v>
      </c>
      <c r="I54" s="84">
        <v>72051</v>
      </c>
      <c r="J54" s="84">
        <v>93588</v>
      </c>
      <c r="K54" s="84">
        <v>106735</v>
      </c>
      <c r="L54" s="84">
        <v>71844</v>
      </c>
      <c r="M54" s="84">
        <v>175536</v>
      </c>
      <c r="N54" s="84">
        <v>378753</v>
      </c>
      <c r="O54" s="84">
        <v>377000</v>
      </c>
      <c r="P54" s="84">
        <v>468912</v>
      </c>
      <c r="Q54" s="88"/>
      <c r="R54" s="4"/>
      <c r="S54" s="4"/>
      <c r="T54" s="4"/>
      <c r="U54" s="4"/>
    </row>
    <row r="55" spans="1:21" ht="30" customHeight="1">
      <c r="A55" s="12"/>
      <c r="B55" s="4"/>
      <c r="C55" s="4"/>
      <c r="D55" s="4"/>
      <c r="E55" s="71" t="s">
        <v>148</v>
      </c>
      <c r="F55" s="84">
        <v>378610</v>
      </c>
      <c r="G55" s="84">
        <v>625195</v>
      </c>
      <c r="H55" s="84">
        <v>551359</v>
      </c>
      <c r="I55" s="84">
        <v>248148</v>
      </c>
      <c r="J55" s="84">
        <v>0</v>
      </c>
      <c r="K55" s="84">
        <v>12051</v>
      </c>
      <c r="L55" s="84">
        <v>157923</v>
      </c>
      <c r="M55" s="84">
        <v>0</v>
      </c>
      <c r="N55" s="84">
        <v>72920</v>
      </c>
      <c r="O55" s="84">
        <v>115582</v>
      </c>
      <c r="P55" s="84">
        <v>55196</v>
      </c>
      <c r="Q55" s="88"/>
      <c r="R55" s="4"/>
      <c r="S55" s="4"/>
      <c r="T55" s="4"/>
      <c r="U55" s="4"/>
    </row>
    <row r="56" spans="1:21" ht="30" customHeight="1">
      <c r="A56" s="12"/>
      <c r="B56" s="4"/>
      <c r="C56" s="4"/>
      <c r="D56" s="4"/>
      <c r="E56" s="71" t="s">
        <v>149</v>
      </c>
      <c r="F56" s="84">
        <v>405601</v>
      </c>
      <c r="G56" s="84">
        <v>526829</v>
      </c>
      <c r="H56" s="84">
        <v>888916</v>
      </c>
      <c r="I56" s="84">
        <v>982697</v>
      </c>
      <c r="J56" s="84">
        <v>1495151</v>
      </c>
      <c r="K56" s="84">
        <v>1171988</v>
      </c>
      <c r="L56" s="84">
        <v>1284761</v>
      </c>
      <c r="M56" s="84">
        <v>765352</v>
      </c>
      <c r="N56" s="84">
        <v>1427853</v>
      </c>
      <c r="O56" s="84">
        <v>2372351</v>
      </c>
      <c r="P56" s="84">
        <v>3004563</v>
      </c>
      <c r="Q56" s="88"/>
      <c r="R56" s="4"/>
      <c r="S56" s="4"/>
      <c r="T56" s="4"/>
      <c r="U56" s="4"/>
    </row>
    <row r="57" spans="1:21" ht="30" customHeight="1">
      <c r="A57" s="12"/>
      <c r="B57" s="4"/>
      <c r="C57" s="4"/>
      <c r="D57" s="4"/>
      <c r="E57" s="71" t="s">
        <v>200</v>
      </c>
      <c r="F57" s="84">
        <v>164041</v>
      </c>
      <c r="G57" s="84">
        <v>126794</v>
      </c>
      <c r="H57" s="84">
        <v>142242</v>
      </c>
      <c r="I57" s="84">
        <v>284417</v>
      </c>
      <c r="J57" s="84">
        <v>483667</v>
      </c>
      <c r="K57" s="84">
        <v>694901</v>
      </c>
      <c r="L57" s="84">
        <v>592595</v>
      </c>
      <c r="M57" s="84">
        <v>661877</v>
      </c>
      <c r="N57" s="84">
        <v>2361078</v>
      </c>
      <c r="O57" s="84">
        <v>1320557</v>
      </c>
      <c r="P57" s="84">
        <v>1356772</v>
      </c>
      <c r="Q57" s="88"/>
      <c r="R57" s="4"/>
      <c r="S57" s="4"/>
      <c r="T57" s="4"/>
      <c r="U57" s="4"/>
    </row>
    <row r="58" spans="1:21" ht="30" customHeight="1">
      <c r="A58" s="12"/>
      <c r="B58" s="4"/>
      <c r="C58" s="4"/>
      <c r="D58" s="4"/>
      <c r="E58" s="71" t="s">
        <v>201</v>
      </c>
      <c r="F58" s="84">
        <v>134279</v>
      </c>
      <c r="G58" s="84">
        <v>160719</v>
      </c>
      <c r="H58" s="84">
        <v>165716</v>
      </c>
      <c r="I58" s="84">
        <v>142329</v>
      </c>
      <c r="J58" s="84">
        <v>91402</v>
      </c>
      <c r="K58" s="84">
        <v>140850</v>
      </c>
      <c r="L58" s="84">
        <v>131092</v>
      </c>
      <c r="M58" s="84">
        <v>118833</v>
      </c>
      <c r="N58" s="84">
        <v>71637</v>
      </c>
      <c r="O58" s="84">
        <v>124609</v>
      </c>
      <c r="P58" s="84">
        <v>132263</v>
      </c>
      <c r="Q58" s="88"/>
      <c r="R58" s="4"/>
      <c r="S58" s="4"/>
      <c r="T58" s="4"/>
      <c r="U58" s="4"/>
    </row>
    <row r="59" spans="1:21" ht="30" customHeight="1">
      <c r="A59" s="12"/>
      <c r="B59" s="4"/>
      <c r="C59" s="4"/>
      <c r="D59" s="4"/>
      <c r="E59" s="71" t="s">
        <v>202</v>
      </c>
      <c r="F59" s="84">
        <v>0</v>
      </c>
      <c r="G59" s="84">
        <v>0</v>
      </c>
      <c r="H59" s="84">
        <v>0</v>
      </c>
      <c r="I59" s="84">
        <v>0</v>
      </c>
      <c r="J59" s="84">
        <v>0</v>
      </c>
      <c r="K59" s="84">
        <v>113869</v>
      </c>
      <c r="L59" s="84">
        <v>101600</v>
      </c>
      <c r="M59" s="84">
        <v>197769</v>
      </c>
      <c r="N59" s="84">
        <v>291430</v>
      </c>
      <c r="O59" s="84">
        <v>364875</v>
      </c>
      <c r="P59" s="84">
        <v>355156</v>
      </c>
      <c r="Q59" s="88"/>
      <c r="R59" s="4"/>
      <c r="S59" s="4"/>
      <c r="T59" s="4"/>
      <c r="U59" s="4"/>
    </row>
    <row r="60" spans="1:21" ht="30" customHeight="1">
      <c r="A60" s="12"/>
      <c r="B60" s="4"/>
      <c r="C60" s="4"/>
      <c r="D60" s="4"/>
      <c r="E60" s="71" t="s">
        <v>151</v>
      </c>
      <c r="F60" s="84">
        <v>0</v>
      </c>
      <c r="G60" s="84">
        <v>0</v>
      </c>
      <c r="H60" s="84">
        <v>0</v>
      </c>
      <c r="I60" s="84">
        <v>6043</v>
      </c>
      <c r="J60" s="84">
        <v>7410</v>
      </c>
      <c r="K60" s="84">
        <v>6043</v>
      </c>
      <c r="L60" s="84">
        <v>6043</v>
      </c>
      <c r="M60" s="84">
        <v>6043</v>
      </c>
      <c r="N60" s="84">
        <v>698404</v>
      </c>
      <c r="O60" s="84">
        <v>1129946</v>
      </c>
      <c r="P60" s="84">
        <v>1707822</v>
      </c>
      <c r="Q60" s="88"/>
      <c r="R60" s="4"/>
      <c r="S60" s="4"/>
      <c r="T60" s="4"/>
      <c r="U60" s="4"/>
    </row>
    <row r="61" spans="1:21" ht="30" customHeight="1">
      <c r="A61" s="12"/>
      <c r="B61" s="4"/>
      <c r="C61" s="4"/>
      <c r="D61" s="4"/>
      <c r="E61" s="71" t="s">
        <v>164</v>
      </c>
      <c r="F61" s="84">
        <v>163623</v>
      </c>
      <c r="G61" s="84">
        <v>163687</v>
      </c>
      <c r="H61" s="84">
        <v>179418</v>
      </c>
      <c r="I61" s="84">
        <v>211652</v>
      </c>
      <c r="J61" s="84">
        <v>238034</v>
      </c>
      <c r="K61" s="84">
        <v>231374</v>
      </c>
      <c r="L61" s="84">
        <v>270006</v>
      </c>
      <c r="M61" s="84">
        <v>408154</v>
      </c>
      <c r="N61" s="84">
        <v>625156</v>
      </c>
      <c r="O61" s="84">
        <v>727767</v>
      </c>
      <c r="P61" s="84">
        <v>762333</v>
      </c>
      <c r="Q61" s="88"/>
      <c r="R61" s="4"/>
      <c r="S61" s="4"/>
      <c r="T61" s="4"/>
      <c r="U61" s="4"/>
    </row>
    <row r="62" spans="1:21" ht="30" customHeight="1">
      <c r="A62" s="12"/>
      <c r="B62" s="4"/>
      <c r="C62" s="4"/>
      <c r="D62" s="4"/>
      <c r="E62" s="71" t="s">
        <v>152</v>
      </c>
      <c r="F62" s="84">
        <v>3851</v>
      </c>
      <c r="G62" s="84">
        <v>3625</v>
      </c>
      <c r="H62" s="84">
        <v>11528</v>
      </c>
      <c r="I62" s="84">
        <v>8907</v>
      </c>
      <c r="J62" s="84">
        <v>12356</v>
      </c>
      <c r="K62" s="84">
        <v>3094</v>
      </c>
      <c r="L62" s="236">
        <v>18679</v>
      </c>
      <c r="M62" s="237">
        <v>45865</v>
      </c>
      <c r="N62" s="237">
        <v>99818</v>
      </c>
      <c r="O62" s="237">
        <v>45215</v>
      </c>
      <c r="P62" s="237">
        <v>53614</v>
      </c>
      <c r="Q62" s="88"/>
      <c r="R62" s="4"/>
      <c r="S62" s="4"/>
      <c r="T62" s="4"/>
      <c r="U62" s="4"/>
    </row>
    <row r="63" spans="1:21" ht="30" customHeight="1">
      <c r="A63" s="12"/>
      <c r="B63" s="4"/>
      <c r="C63" s="4"/>
      <c r="D63" s="4"/>
      <c r="E63" s="71" t="s">
        <v>195</v>
      </c>
      <c r="F63" s="84">
        <v>0</v>
      </c>
      <c r="G63" s="84">
        <v>0</v>
      </c>
      <c r="H63" s="84">
        <v>0</v>
      </c>
      <c r="I63" s="84">
        <v>0</v>
      </c>
      <c r="J63" s="84">
        <v>0</v>
      </c>
      <c r="K63" s="84">
        <v>0</v>
      </c>
      <c r="L63" s="84">
        <v>0</v>
      </c>
      <c r="M63" s="84">
        <v>271251</v>
      </c>
      <c r="N63" s="84">
        <v>561290</v>
      </c>
      <c r="O63" s="84">
        <v>723681</v>
      </c>
      <c r="P63" s="84">
        <v>750587</v>
      </c>
      <c r="Q63" s="88"/>
      <c r="R63" s="4"/>
      <c r="S63" s="4"/>
      <c r="T63" s="4"/>
      <c r="U63" s="4"/>
    </row>
    <row r="64" spans="1:21" ht="30" customHeight="1">
      <c r="A64" s="12"/>
      <c r="B64" s="4"/>
      <c r="C64" s="4"/>
      <c r="D64" s="4"/>
      <c r="E64" s="71" t="s">
        <v>153</v>
      </c>
      <c r="F64" s="84">
        <f>44840-F62</f>
        <v>40989</v>
      </c>
      <c r="G64" s="84">
        <f>56608-3625</f>
        <v>52983</v>
      </c>
      <c r="H64" s="84">
        <v>51968</v>
      </c>
      <c r="I64" s="84">
        <v>76093</v>
      </c>
      <c r="J64" s="84">
        <v>75856</v>
      </c>
      <c r="K64" s="84">
        <v>83162</v>
      </c>
      <c r="L64" s="236">
        <v>103291</v>
      </c>
      <c r="M64" s="237">
        <v>220213</v>
      </c>
      <c r="N64" s="237">
        <v>385329</v>
      </c>
      <c r="O64" s="237">
        <v>455584</v>
      </c>
      <c r="P64" s="237">
        <v>473734</v>
      </c>
      <c r="Q64" s="88"/>
      <c r="R64" s="4"/>
      <c r="S64" s="4"/>
      <c r="T64" s="4"/>
      <c r="U64" s="4"/>
    </row>
    <row r="65" spans="1:21" ht="30" customHeight="1">
      <c r="A65" s="12"/>
      <c r="B65" s="4"/>
      <c r="C65" s="4"/>
      <c r="D65" s="4"/>
      <c r="E65" s="71" t="s">
        <v>203</v>
      </c>
      <c r="F65" s="84">
        <v>17205</v>
      </c>
      <c r="G65" s="84">
        <v>11106</v>
      </c>
      <c r="H65" s="84">
        <v>0</v>
      </c>
      <c r="I65" s="84">
        <v>0</v>
      </c>
      <c r="J65" s="84">
        <v>27541</v>
      </c>
      <c r="K65" s="84">
        <v>70587</v>
      </c>
      <c r="L65" s="84">
        <v>97856</v>
      </c>
      <c r="M65" s="237">
        <v>263280</v>
      </c>
      <c r="N65" s="237">
        <v>259201</v>
      </c>
      <c r="O65" s="237">
        <v>123657</v>
      </c>
      <c r="P65" s="237">
        <v>133710</v>
      </c>
      <c r="Q65" s="88"/>
      <c r="R65" s="4"/>
      <c r="S65" s="4"/>
      <c r="T65" s="4"/>
      <c r="U65" s="4"/>
    </row>
    <row r="66" spans="1:21" ht="30" customHeight="1">
      <c r="A66" s="12"/>
      <c r="B66" s="4"/>
      <c r="C66" s="4"/>
      <c r="D66" s="4"/>
      <c r="E66" s="71" t="s">
        <v>154</v>
      </c>
      <c r="F66" s="84">
        <v>105144</v>
      </c>
      <c r="G66" s="84">
        <v>83747</v>
      </c>
      <c r="H66" s="84">
        <v>29101</v>
      </c>
      <c r="I66" s="84">
        <v>50844</v>
      </c>
      <c r="J66" s="84">
        <v>139345</v>
      </c>
      <c r="K66" s="84">
        <v>175700</v>
      </c>
      <c r="L66" s="84">
        <v>177170</v>
      </c>
      <c r="M66" s="84">
        <v>207720</v>
      </c>
      <c r="N66" s="84">
        <v>428469</v>
      </c>
      <c r="O66" s="84">
        <v>657601</v>
      </c>
      <c r="P66" s="84">
        <v>776501</v>
      </c>
      <c r="Q66" s="88"/>
      <c r="R66" s="4"/>
      <c r="S66" s="4"/>
      <c r="T66" s="4"/>
      <c r="U66" s="4"/>
    </row>
    <row r="67" spans="1:21" ht="30" customHeight="1">
      <c r="A67" s="12"/>
      <c r="B67" s="4"/>
      <c r="C67" s="4"/>
      <c r="D67" s="4"/>
      <c r="E67" s="71" t="s">
        <v>204</v>
      </c>
      <c r="F67" s="84">
        <v>0</v>
      </c>
      <c r="G67" s="84">
        <v>0</v>
      </c>
      <c r="H67" s="84">
        <v>0</v>
      </c>
      <c r="I67" s="84">
        <v>0</v>
      </c>
      <c r="J67" s="84">
        <v>0</v>
      </c>
      <c r="K67" s="84">
        <v>0</v>
      </c>
      <c r="L67" s="84">
        <v>0</v>
      </c>
      <c r="M67" s="84">
        <v>0</v>
      </c>
      <c r="N67" s="84">
        <v>130606</v>
      </c>
      <c r="O67" s="84">
        <v>0</v>
      </c>
      <c r="P67" s="84">
        <v>132660</v>
      </c>
      <c r="Q67" s="88"/>
      <c r="R67" s="4"/>
      <c r="S67" s="4"/>
      <c r="T67" s="4"/>
      <c r="U67" s="4"/>
    </row>
    <row r="68" spans="1:21" ht="30" customHeight="1">
      <c r="A68" s="12"/>
      <c r="B68" s="4"/>
      <c r="C68" s="4"/>
      <c r="D68" s="4"/>
      <c r="E68" s="71" t="s">
        <v>150</v>
      </c>
      <c r="F68" s="84">
        <v>0</v>
      </c>
      <c r="G68" s="84">
        <v>0</v>
      </c>
      <c r="H68" s="84">
        <v>1782</v>
      </c>
      <c r="I68" s="84">
        <v>553</v>
      </c>
      <c r="J68" s="84">
        <v>246</v>
      </c>
      <c r="K68" s="84">
        <v>3056</v>
      </c>
      <c r="L68" s="236">
        <v>550</v>
      </c>
      <c r="M68" s="237">
        <v>453</v>
      </c>
      <c r="N68" s="237">
        <v>499</v>
      </c>
      <c r="O68" s="237">
        <v>511</v>
      </c>
      <c r="P68" s="237">
        <v>125</v>
      </c>
      <c r="Q68" s="88"/>
      <c r="R68" s="4"/>
      <c r="S68" s="4"/>
      <c r="T68" s="4"/>
      <c r="U68" s="4"/>
    </row>
    <row r="69" spans="1:21" ht="30" customHeight="1">
      <c r="A69" s="12"/>
      <c r="B69" s="4"/>
      <c r="C69" s="4"/>
      <c r="D69" s="4"/>
      <c r="E69" s="71" t="s">
        <v>155</v>
      </c>
      <c r="F69" s="84">
        <v>84748</v>
      </c>
      <c r="G69" s="84">
        <v>120374</v>
      </c>
      <c r="H69" s="84">
        <v>151377</v>
      </c>
      <c r="I69" s="84">
        <v>167680</v>
      </c>
      <c r="J69" s="84">
        <v>175475</v>
      </c>
      <c r="K69" s="84">
        <v>173845</v>
      </c>
      <c r="L69" s="236">
        <v>376150</v>
      </c>
      <c r="M69" s="237">
        <v>420724</v>
      </c>
      <c r="N69" s="237">
        <v>289150</v>
      </c>
      <c r="O69" s="237">
        <v>130097</v>
      </c>
      <c r="P69" s="237">
        <v>179758</v>
      </c>
      <c r="Q69" s="88"/>
      <c r="R69" s="4"/>
      <c r="S69" s="4"/>
      <c r="T69" s="4"/>
      <c r="U69" s="4"/>
    </row>
    <row r="70" spans="1:21" ht="30" customHeight="1">
      <c r="A70" s="12"/>
      <c r="B70" s="4"/>
      <c r="C70" s="4"/>
      <c r="D70" s="4"/>
      <c r="E70" s="71" t="s">
        <v>334</v>
      </c>
      <c r="F70" s="84"/>
      <c r="G70" s="84"/>
      <c r="H70" s="84"/>
      <c r="I70" s="84"/>
      <c r="J70" s="84"/>
      <c r="K70" s="84"/>
      <c r="L70" s="84"/>
      <c r="M70" s="84"/>
      <c r="N70" s="84">
        <v>153852</v>
      </c>
      <c r="O70" s="84">
        <v>268291</v>
      </c>
      <c r="P70" s="84">
        <v>312131</v>
      </c>
      <c r="Q70" s="88"/>
      <c r="R70" s="4"/>
      <c r="S70" s="4"/>
      <c r="T70" s="4"/>
      <c r="U70" s="4"/>
    </row>
    <row r="71" spans="1:21" ht="30" customHeight="1">
      <c r="A71" s="12"/>
      <c r="B71" s="4"/>
      <c r="C71" s="4"/>
      <c r="D71" s="4"/>
      <c r="E71" s="70" t="s">
        <v>2</v>
      </c>
      <c r="F71" s="203">
        <f t="shared" ref="F71:N71" si="13">SUM(F72:F86)</f>
        <v>4548996</v>
      </c>
      <c r="G71" s="203">
        <f t="shared" si="13"/>
        <v>5308482</v>
      </c>
      <c r="H71" s="203">
        <f t="shared" si="13"/>
        <v>5065232</v>
      </c>
      <c r="I71" s="203">
        <f t="shared" si="13"/>
        <v>7181916</v>
      </c>
      <c r="J71" s="203">
        <f t="shared" si="13"/>
        <v>10589977</v>
      </c>
      <c r="K71" s="203">
        <f t="shared" si="13"/>
        <v>13209303</v>
      </c>
      <c r="L71" s="203">
        <f t="shared" si="13"/>
        <v>16813540</v>
      </c>
      <c r="M71" s="203">
        <f t="shared" si="13"/>
        <v>35006600</v>
      </c>
      <c r="N71" s="203">
        <f t="shared" si="13"/>
        <v>42117896</v>
      </c>
      <c r="O71" s="203">
        <f t="shared" ref="O71:P71" si="14">SUM(O72:O86)</f>
        <v>48060341</v>
      </c>
      <c r="P71" s="203">
        <f t="shared" si="14"/>
        <v>51441306</v>
      </c>
      <c r="Q71" s="88"/>
      <c r="R71" s="4"/>
      <c r="S71" s="4"/>
      <c r="T71" s="4"/>
      <c r="U71" s="4"/>
    </row>
    <row r="72" spans="1:21" ht="30" customHeight="1">
      <c r="A72" s="12"/>
      <c r="B72" s="4"/>
      <c r="C72" s="4"/>
      <c r="D72" s="4"/>
      <c r="E72" s="71" t="s">
        <v>149</v>
      </c>
      <c r="F72" s="84">
        <v>2734029</v>
      </c>
      <c r="G72" s="84">
        <v>3213632</v>
      </c>
      <c r="H72" s="84">
        <v>2957220</v>
      </c>
      <c r="I72" s="84">
        <v>4809871</v>
      </c>
      <c r="J72" s="84">
        <v>7092551</v>
      </c>
      <c r="K72" s="84">
        <v>7050051</v>
      </c>
      <c r="L72" s="238">
        <v>9046647</v>
      </c>
      <c r="M72" s="84">
        <v>17962499</v>
      </c>
      <c r="N72" s="84">
        <v>15397022</v>
      </c>
      <c r="O72" s="84">
        <v>18686784</v>
      </c>
      <c r="P72" s="84">
        <v>20436000</v>
      </c>
      <c r="Q72" s="88"/>
      <c r="R72" s="4"/>
      <c r="S72" s="4"/>
      <c r="T72" s="4"/>
      <c r="U72" s="4"/>
    </row>
    <row r="73" spans="1:21" ht="30" customHeight="1">
      <c r="A73" s="12"/>
      <c r="B73" s="4"/>
      <c r="C73" s="4"/>
      <c r="D73" s="4"/>
      <c r="E73" s="71" t="s">
        <v>200</v>
      </c>
      <c r="F73" s="84">
        <v>1264377</v>
      </c>
      <c r="G73" s="84">
        <v>1487751</v>
      </c>
      <c r="H73" s="84">
        <v>1406375</v>
      </c>
      <c r="I73" s="84">
        <v>1731065</v>
      </c>
      <c r="J73" s="84">
        <v>2687075</v>
      </c>
      <c r="K73" s="84">
        <v>4676855</v>
      </c>
      <c r="L73" s="84">
        <v>5968161</v>
      </c>
      <c r="M73" s="238">
        <v>13874041</v>
      </c>
      <c r="N73" s="238">
        <v>18714687</v>
      </c>
      <c r="O73" s="238">
        <v>20786421</v>
      </c>
      <c r="P73" s="238">
        <v>22291780</v>
      </c>
      <c r="Q73" s="88"/>
      <c r="R73" s="4"/>
      <c r="S73" s="4"/>
      <c r="T73" s="4"/>
      <c r="U73" s="4"/>
    </row>
    <row r="74" spans="1:21" ht="30" customHeight="1">
      <c r="A74" s="12"/>
      <c r="B74" s="4"/>
      <c r="C74" s="4"/>
      <c r="D74" s="4"/>
      <c r="E74" s="71" t="s">
        <v>201</v>
      </c>
      <c r="F74" s="84">
        <v>139933</v>
      </c>
      <c r="G74" s="84">
        <v>193606</v>
      </c>
      <c r="H74" s="84">
        <v>189017</v>
      </c>
      <c r="I74" s="84">
        <v>70448</v>
      </c>
      <c r="J74" s="84">
        <v>151512</v>
      </c>
      <c r="K74" s="84">
        <v>260762</v>
      </c>
      <c r="L74" s="84">
        <v>182314</v>
      </c>
      <c r="M74" s="84">
        <v>137126</v>
      </c>
      <c r="N74" s="84">
        <v>161623</v>
      </c>
      <c r="O74" s="84">
        <v>147481</v>
      </c>
      <c r="P74" s="84">
        <v>127488</v>
      </c>
      <c r="Q74" s="88"/>
      <c r="R74" s="4"/>
      <c r="S74" s="4"/>
      <c r="T74" s="4"/>
      <c r="U74" s="4"/>
    </row>
    <row r="75" spans="1:21" ht="30" customHeight="1">
      <c r="A75" s="12"/>
      <c r="B75" s="4"/>
      <c r="C75" s="4"/>
      <c r="D75" s="4"/>
      <c r="E75" s="71" t="s">
        <v>202</v>
      </c>
      <c r="F75" s="84">
        <v>0</v>
      </c>
      <c r="G75" s="84">
        <v>0</v>
      </c>
      <c r="H75" s="84">
        <v>0</v>
      </c>
      <c r="I75" s="84">
        <v>0</v>
      </c>
      <c r="J75" s="84">
        <v>0</v>
      </c>
      <c r="K75" s="84">
        <v>403831</v>
      </c>
      <c r="L75" s="84">
        <v>390965</v>
      </c>
      <c r="M75" s="84">
        <v>660011</v>
      </c>
      <c r="N75" s="84">
        <v>1399556</v>
      </c>
      <c r="O75" s="84">
        <v>1499744</v>
      </c>
      <c r="P75" s="84">
        <v>1558808</v>
      </c>
      <c r="Q75" s="88"/>
      <c r="R75" s="4"/>
      <c r="S75" s="4"/>
      <c r="T75" s="4"/>
      <c r="U75" s="4"/>
    </row>
    <row r="76" spans="1:21" ht="30" customHeight="1">
      <c r="A76" s="12"/>
      <c r="B76" s="4"/>
      <c r="C76" s="4"/>
      <c r="D76" s="4"/>
      <c r="E76" s="71" t="s">
        <v>195</v>
      </c>
      <c r="F76" s="84">
        <v>3188</v>
      </c>
      <c r="G76" s="84">
        <v>0</v>
      </c>
      <c r="H76" s="84">
        <v>12223</v>
      </c>
      <c r="I76" s="84">
        <v>0</v>
      </c>
      <c r="J76" s="84">
        <v>0</v>
      </c>
      <c r="K76" s="84">
        <v>0</v>
      </c>
      <c r="L76" s="84">
        <v>0</v>
      </c>
      <c r="M76" s="84">
        <v>409000</v>
      </c>
      <c r="N76" s="84">
        <v>2670500</v>
      </c>
      <c r="O76" s="84">
        <v>1163486</v>
      </c>
      <c r="P76" s="84">
        <v>998229</v>
      </c>
      <c r="Q76" s="88"/>
      <c r="R76" s="4"/>
      <c r="S76" s="4"/>
      <c r="T76" s="4"/>
      <c r="U76" s="4"/>
    </row>
    <row r="77" spans="1:21" ht="30" customHeight="1">
      <c r="A77" s="12"/>
      <c r="B77" s="4"/>
      <c r="C77" s="4"/>
      <c r="D77" s="4"/>
      <c r="E77" s="71" t="s">
        <v>150</v>
      </c>
      <c r="F77" s="84">
        <v>525</v>
      </c>
      <c r="G77" s="84">
        <v>1017</v>
      </c>
      <c r="H77" s="84">
        <v>0</v>
      </c>
      <c r="I77" s="84">
        <v>0</v>
      </c>
      <c r="J77" s="84">
        <v>0</v>
      </c>
      <c r="K77" s="84">
        <v>0</v>
      </c>
      <c r="L77" s="84">
        <v>528</v>
      </c>
      <c r="M77" s="84">
        <v>528</v>
      </c>
      <c r="N77" s="84">
        <v>28047</v>
      </c>
      <c r="O77" s="84">
        <v>528</v>
      </c>
      <c r="P77" s="84">
        <v>528</v>
      </c>
      <c r="Q77" s="88"/>
      <c r="R77" s="4"/>
      <c r="S77" s="4"/>
      <c r="T77" s="4"/>
      <c r="U77" s="4"/>
    </row>
    <row r="78" spans="1:21" ht="30" customHeight="1">
      <c r="A78" s="12"/>
      <c r="B78" s="4"/>
      <c r="C78" s="4"/>
      <c r="D78" s="4"/>
      <c r="E78" s="71" t="s">
        <v>151</v>
      </c>
      <c r="F78" s="84">
        <v>0</v>
      </c>
      <c r="G78" s="84">
        <v>0</v>
      </c>
      <c r="H78" s="84">
        <v>0</v>
      </c>
      <c r="I78" s="84">
        <v>24171</v>
      </c>
      <c r="J78" s="84">
        <v>16761</v>
      </c>
      <c r="K78" s="84">
        <v>12085</v>
      </c>
      <c r="L78" s="84">
        <v>6043</v>
      </c>
      <c r="M78" s="84">
        <v>0</v>
      </c>
      <c r="N78" s="84">
        <v>1318613</v>
      </c>
      <c r="O78" s="84">
        <v>1191701</v>
      </c>
      <c r="P78" s="84">
        <v>1196067</v>
      </c>
      <c r="Q78" s="88"/>
      <c r="R78" s="4"/>
      <c r="S78" s="4"/>
      <c r="T78" s="4"/>
      <c r="U78" s="4"/>
    </row>
    <row r="79" spans="1:21" ht="30" customHeight="1">
      <c r="A79" s="12"/>
      <c r="B79" s="4"/>
      <c r="C79" s="4"/>
      <c r="D79" s="4"/>
      <c r="E79" s="71" t="s">
        <v>153</v>
      </c>
      <c r="F79" s="84">
        <v>2021</v>
      </c>
      <c r="G79" s="84">
        <v>1805</v>
      </c>
      <c r="H79" s="84">
        <v>2701</v>
      </c>
      <c r="I79" s="84">
        <v>1705</v>
      </c>
      <c r="J79" s="84">
        <v>1103</v>
      </c>
      <c r="K79" s="84">
        <v>1095</v>
      </c>
      <c r="L79" s="84">
        <v>15992</v>
      </c>
      <c r="M79" s="84">
        <v>26995</v>
      </c>
      <c r="N79" s="84">
        <v>32945</v>
      </c>
      <c r="O79" s="84">
        <v>31356</v>
      </c>
      <c r="P79" s="84">
        <v>31257</v>
      </c>
      <c r="Q79" s="88"/>
      <c r="R79" s="4"/>
      <c r="S79" s="4"/>
      <c r="T79" s="4"/>
      <c r="U79" s="4"/>
    </row>
    <row r="80" spans="1:21" ht="30" customHeight="1">
      <c r="A80" s="12"/>
      <c r="B80" s="4"/>
      <c r="C80" s="4"/>
      <c r="D80" s="4"/>
      <c r="E80" s="71" t="s">
        <v>156</v>
      </c>
      <c r="F80" s="84">
        <v>45131</v>
      </c>
      <c r="G80" s="84">
        <v>43354</v>
      </c>
      <c r="H80" s="84">
        <v>73712</v>
      </c>
      <c r="I80" s="84">
        <v>71463</v>
      </c>
      <c r="J80" s="84">
        <v>75563</v>
      </c>
      <c r="K80" s="84">
        <v>67829</v>
      </c>
      <c r="L80" s="84">
        <v>181865</v>
      </c>
      <c r="M80" s="84">
        <v>356544</v>
      </c>
      <c r="N80" s="84">
        <v>415333</v>
      </c>
      <c r="O80" s="84">
        <v>766066</v>
      </c>
      <c r="P80" s="84">
        <v>770927</v>
      </c>
      <c r="Q80" s="88"/>
      <c r="R80" s="4"/>
      <c r="S80" s="4"/>
      <c r="T80" s="4"/>
      <c r="U80" s="4"/>
    </row>
    <row r="81" spans="1:21" ht="30" customHeight="1">
      <c r="A81" s="12"/>
      <c r="B81" s="4"/>
      <c r="C81" s="4"/>
      <c r="D81" s="4"/>
      <c r="E81" s="71" t="s">
        <v>11</v>
      </c>
      <c r="F81" s="84">
        <v>254860</v>
      </c>
      <c r="G81" s="84">
        <v>269451</v>
      </c>
      <c r="H81" s="84">
        <v>197088</v>
      </c>
      <c r="I81" s="84">
        <v>288893</v>
      </c>
      <c r="J81" s="84">
        <v>361234</v>
      </c>
      <c r="K81" s="84">
        <v>574120</v>
      </c>
      <c r="L81" s="84">
        <v>621467</v>
      </c>
      <c r="M81" s="84">
        <v>1038582</v>
      </c>
      <c r="N81" s="84">
        <v>1205986</v>
      </c>
      <c r="O81" s="84">
        <v>1494779</v>
      </c>
      <c r="P81" s="84">
        <v>1614904</v>
      </c>
      <c r="Q81" s="88"/>
      <c r="R81" s="4"/>
      <c r="S81" s="4"/>
      <c r="T81" s="4"/>
      <c r="U81" s="4"/>
    </row>
    <row r="82" spans="1:21" ht="30" customHeight="1">
      <c r="A82" s="12"/>
      <c r="B82" s="4"/>
      <c r="C82" s="4"/>
      <c r="D82" s="4"/>
      <c r="E82" s="71" t="s">
        <v>205</v>
      </c>
      <c r="F82" s="84">
        <v>0</v>
      </c>
      <c r="G82" s="84">
        <v>0</v>
      </c>
      <c r="H82" s="84">
        <v>0</v>
      </c>
      <c r="I82" s="84">
        <v>0</v>
      </c>
      <c r="J82" s="84">
        <v>0</v>
      </c>
      <c r="K82" s="84">
        <v>93077</v>
      </c>
      <c r="L82" s="84">
        <v>0</v>
      </c>
      <c r="M82" s="84">
        <v>0</v>
      </c>
      <c r="N82" s="84">
        <v>641975</v>
      </c>
      <c r="O82" s="84">
        <v>971666</v>
      </c>
      <c r="P82" s="84">
        <v>1084022</v>
      </c>
      <c r="Q82" s="88"/>
      <c r="R82" s="4"/>
      <c r="S82" s="4"/>
      <c r="T82" s="4"/>
      <c r="U82" s="4"/>
    </row>
    <row r="83" spans="1:21" ht="30" customHeight="1">
      <c r="A83" s="12"/>
      <c r="B83" s="4"/>
      <c r="C83" s="4"/>
      <c r="D83" s="4"/>
      <c r="E83" s="257" t="s">
        <v>206</v>
      </c>
      <c r="F83" s="84">
        <v>0</v>
      </c>
      <c r="G83" s="84">
        <v>0</v>
      </c>
      <c r="H83" s="84">
        <v>0</v>
      </c>
      <c r="I83" s="84">
        <v>0</v>
      </c>
      <c r="J83" s="84">
        <v>0</v>
      </c>
      <c r="K83" s="84">
        <v>0</v>
      </c>
      <c r="L83" s="258" t="s">
        <v>22</v>
      </c>
      <c r="M83" s="258">
        <v>105024</v>
      </c>
      <c r="N83" s="258">
        <v>9693</v>
      </c>
      <c r="O83" s="258">
        <v>12321</v>
      </c>
      <c r="P83" s="258">
        <v>11592</v>
      </c>
      <c r="Q83" s="88"/>
      <c r="R83" s="4"/>
      <c r="S83" s="4"/>
      <c r="T83" s="4"/>
      <c r="U83" s="4"/>
    </row>
    <row r="84" spans="1:21" ht="30" customHeight="1">
      <c r="A84" s="12"/>
      <c r="B84" s="4"/>
      <c r="C84" s="4"/>
      <c r="D84" s="4"/>
      <c r="E84" s="257" t="s">
        <v>164</v>
      </c>
      <c r="F84" s="84"/>
      <c r="G84" s="84"/>
      <c r="H84" s="84"/>
      <c r="I84" s="84"/>
      <c r="J84" s="84"/>
      <c r="K84" s="84"/>
      <c r="L84" s="258"/>
      <c r="M84" s="258"/>
      <c r="N84" s="258"/>
      <c r="O84" s="258">
        <v>183941</v>
      </c>
      <c r="P84" s="258">
        <v>184584</v>
      </c>
      <c r="Q84" s="88"/>
      <c r="R84" s="4"/>
      <c r="S84" s="4"/>
      <c r="T84" s="4"/>
      <c r="U84" s="4"/>
    </row>
    <row r="85" spans="1:21" ht="30" customHeight="1">
      <c r="A85" s="12"/>
      <c r="B85" s="4"/>
      <c r="C85" s="4"/>
      <c r="D85" s="4"/>
      <c r="E85" s="71" t="s">
        <v>517</v>
      </c>
      <c r="F85" s="84">
        <v>0</v>
      </c>
      <c r="G85" s="84">
        <v>0</v>
      </c>
      <c r="H85" s="84">
        <v>0</v>
      </c>
      <c r="I85" s="84">
        <v>0</v>
      </c>
      <c r="J85" s="84">
        <v>0</v>
      </c>
      <c r="K85" s="84">
        <v>0</v>
      </c>
      <c r="L85" s="84">
        <v>0</v>
      </c>
      <c r="M85" s="84">
        <v>0</v>
      </c>
      <c r="N85" s="84">
        <v>0</v>
      </c>
      <c r="O85" s="84">
        <v>1058486</v>
      </c>
      <c r="P85" s="84">
        <v>1058486</v>
      </c>
      <c r="Q85" s="88"/>
      <c r="R85" s="4"/>
      <c r="S85" s="4"/>
      <c r="T85" s="4"/>
      <c r="U85" s="4"/>
    </row>
    <row r="86" spans="1:21" ht="30" customHeight="1">
      <c r="A86" s="12"/>
      <c r="B86" s="4"/>
      <c r="C86" s="4"/>
      <c r="D86" s="4"/>
      <c r="E86" s="71" t="s">
        <v>155</v>
      </c>
      <c r="F86" s="84">
        <v>104932</v>
      </c>
      <c r="G86" s="84">
        <v>97866</v>
      </c>
      <c r="H86" s="84">
        <v>226896</v>
      </c>
      <c r="I86" s="84">
        <v>184300</v>
      </c>
      <c r="J86" s="84">
        <v>204178</v>
      </c>
      <c r="K86" s="84">
        <v>69598</v>
      </c>
      <c r="L86" s="84">
        <v>399558</v>
      </c>
      <c r="M86" s="84">
        <v>436250</v>
      </c>
      <c r="N86" s="84">
        <v>121916</v>
      </c>
      <c r="O86" s="84">
        <v>65581</v>
      </c>
      <c r="P86" s="84">
        <v>76634</v>
      </c>
      <c r="Q86" s="88"/>
      <c r="R86" s="4"/>
      <c r="S86" s="4"/>
      <c r="T86" s="4"/>
      <c r="U86" s="4"/>
    </row>
    <row r="87" spans="1:21" ht="30" customHeight="1">
      <c r="A87" s="12"/>
      <c r="B87" s="4"/>
      <c r="C87" s="4"/>
      <c r="D87" s="4"/>
      <c r="E87" s="69" t="s">
        <v>3</v>
      </c>
      <c r="F87" s="40">
        <f t="shared" ref="F87:N87" si="15">SUM(F88:F96)</f>
        <v>1044879</v>
      </c>
      <c r="G87" s="40">
        <f t="shared" si="15"/>
        <v>1019873</v>
      </c>
      <c r="H87" s="40">
        <f t="shared" si="15"/>
        <v>608989</v>
      </c>
      <c r="I87" s="40">
        <f t="shared" si="15"/>
        <v>1189320</v>
      </c>
      <c r="J87" s="40">
        <f t="shared" si="15"/>
        <v>1248499</v>
      </c>
      <c r="K87" s="40">
        <f t="shared" si="15"/>
        <v>2379963</v>
      </c>
      <c r="L87" s="40">
        <f t="shared" si="15"/>
        <v>3223850</v>
      </c>
      <c r="M87" s="40">
        <f t="shared" si="15"/>
        <v>5824260</v>
      </c>
      <c r="N87" s="40">
        <f t="shared" si="15"/>
        <v>5581753</v>
      </c>
      <c r="O87" s="40">
        <f t="shared" ref="O87:P87" si="16">SUM(O88:O96)</f>
        <v>6751732</v>
      </c>
      <c r="P87" s="40">
        <f t="shared" si="16"/>
        <v>6722743</v>
      </c>
      <c r="Q87" s="88"/>
      <c r="R87" s="4"/>
      <c r="S87" s="4"/>
      <c r="T87" s="4"/>
      <c r="U87" s="4"/>
    </row>
    <row r="88" spans="1:21" ht="30" customHeight="1">
      <c r="A88" s="12"/>
      <c r="B88" s="4"/>
      <c r="C88" s="4"/>
      <c r="D88" s="4"/>
      <c r="E88" s="71" t="s">
        <v>158</v>
      </c>
      <c r="F88" s="84">
        <v>660495</v>
      </c>
      <c r="G88" s="84">
        <v>660395</v>
      </c>
      <c r="H88" s="84">
        <v>660395</v>
      </c>
      <c r="I88" s="84">
        <v>660395</v>
      </c>
      <c r="J88" s="84">
        <v>681202</v>
      </c>
      <c r="K88" s="84">
        <v>695069</v>
      </c>
      <c r="L88" s="84">
        <v>713975</v>
      </c>
      <c r="M88" s="84">
        <v>1164330</v>
      </c>
      <c r="N88" s="84">
        <v>1174362</v>
      </c>
      <c r="O88" s="84">
        <v>1174362</v>
      </c>
      <c r="P88" s="84">
        <v>1174362</v>
      </c>
      <c r="Q88" s="88"/>
      <c r="R88" s="4"/>
      <c r="S88" s="4"/>
      <c r="T88" s="4"/>
      <c r="U88" s="4"/>
    </row>
    <row r="89" spans="1:21" ht="30" customHeight="1">
      <c r="A89" s="12"/>
      <c r="B89" s="4"/>
      <c r="C89" s="4"/>
      <c r="D89" s="4"/>
      <c r="E89" s="71" t="s">
        <v>207</v>
      </c>
      <c r="F89" s="84">
        <v>6196</v>
      </c>
      <c r="G89" s="84">
        <v>8789</v>
      </c>
      <c r="H89" s="84">
        <v>14060</v>
      </c>
      <c r="I89" s="84">
        <v>21961</v>
      </c>
      <c r="J89" s="84">
        <v>33731</v>
      </c>
      <c r="K89" s="84">
        <v>50951</v>
      </c>
      <c r="L89" s="84">
        <v>575114</v>
      </c>
      <c r="M89" s="84">
        <v>1633343</v>
      </c>
      <c r="N89" s="84">
        <v>1903189</v>
      </c>
      <c r="O89" s="84">
        <v>2252268</v>
      </c>
      <c r="P89" s="84">
        <v>2252268</v>
      </c>
      <c r="Q89" s="88"/>
      <c r="R89" s="4"/>
      <c r="S89" s="4"/>
      <c r="T89" s="4"/>
      <c r="U89" s="4"/>
    </row>
    <row r="90" spans="1:21" ht="30" customHeight="1">
      <c r="A90" s="12"/>
      <c r="B90" s="4"/>
      <c r="C90" s="4"/>
      <c r="D90" s="4"/>
      <c r="E90" s="71" t="s">
        <v>208</v>
      </c>
      <c r="F90" s="84">
        <v>-53509</v>
      </c>
      <c r="G90" s="84">
        <v>-54133</v>
      </c>
      <c r="H90" s="84">
        <v>-3741</v>
      </c>
      <c r="I90" s="84">
        <v>-460</v>
      </c>
      <c r="J90" s="84">
        <v>-103925</v>
      </c>
      <c r="K90" s="84">
        <v>-460</v>
      </c>
      <c r="L90" s="84">
        <v>-10503</v>
      </c>
      <c r="M90" s="84">
        <v>-151633</v>
      </c>
      <c r="N90" s="84">
        <v>-148114</v>
      </c>
      <c r="O90" s="84">
        <v>-151047</v>
      </c>
      <c r="P90" s="84">
        <v>-151047</v>
      </c>
      <c r="Q90" s="88"/>
      <c r="R90" s="4"/>
      <c r="S90" s="4"/>
      <c r="T90" s="4"/>
      <c r="U90" s="4"/>
    </row>
    <row r="91" spans="1:21" ht="30" customHeight="1">
      <c r="A91" s="12"/>
      <c r="B91" s="4"/>
      <c r="C91" s="4"/>
      <c r="D91" s="4"/>
      <c r="E91" s="71" t="s">
        <v>157</v>
      </c>
      <c r="F91" s="84">
        <v>424344</v>
      </c>
      <c r="G91" s="84">
        <v>400167</v>
      </c>
      <c r="H91" s="84">
        <v>0</v>
      </c>
      <c r="I91" s="84">
        <v>0</v>
      </c>
      <c r="J91" s="84">
        <v>17841</v>
      </c>
      <c r="K91" s="84">
        <v>159121</v>
      </c>
      <c r="L91" s="84">
        <v>262336</v>
      </c>
      <c r="M91" s="84">
        <v>877940</v>
      </c>
      <c r="N91" s="84">
        <v>925757</v>
      </c>
      <c r="O91" s="84">
        <v>430539</v>
      </c>
      <c r="P91" s="84">
        <v>417483</v>
      </c>
      <c r="Q91" s="88"/>
      <c r="R91" s="4"/>
      <c r="S91" s="4"/>
      <c r="T91" s="4"/>
      <c r="U91" s="4"/>
    </row>
    <row r="92" spans="1:21" ht="30" customHeight="1">
      <c r="A92" s="12"/>
      <c r="B92" s="4"/>
      <c r="C92" s="4"/>
      <c r="D92" s="4"/>
      <c r="E92" s="71" t="s">
        <v>212</v>
      </c>
      <c r="F92" s="84">
        <v>0</v>
      </c>
      <c r="G92" s="84">
        <v>0</v>
      </c>
      <c r="H92" s="84">
        <v>-66359</v>
      </c>
      <c r="I92" s="84">
        <v>-72329</v>
      </c>
      <c r="J92" s="84">
        <v>0</v>
      </c>
      <c r="K92" s="84">
        <v>0</v>
      </c>
      <c r="L92" s="84">
        <v>0</v>
      </c>
      <c r="M92" s="84">
        <v>0</v>
      </c>
      <c r="N92" s="84">
        <v>0</v>
      </c>
      <c r="O92" s="84">
        <v>0</v>
      </c>
      <c r="P92" s="84"/>
      <c r="Q92" s="88"/>
      <c r="R92" s="4"/>
      <c r="S92" s="4"/>
      <c r="T92" s="4"/>
      <c r="U92" s="4"/>
    </row>
    <row r="93" spans="1:21" ht="30" customHeight="1">
      <c r="A93" s="12"/>
      <c r="B93" s="4"/>
      <c r="C93" s="4"/>
      <c r="D93" s="4"/>
      <c r="E93" s="71" t="s">
        <v>160</v>
      </c>
      <c r="F93" s="84">
        <v>0</v>
      </c>
      <c r="G93" s="84">
        <v>0</v>
      </c>
      <c r="H93" s="84">
        <v>0</v>
      </c>
      <c r="I93" s="84">
        <v>-5400</v>
      </c>
      <c r="J93" s="84">
        <v>-8273</v>
      </c>
      <c r="K93" s="84">
        <v>158635</v>
      </c>
      <c r="L93" s="84">
        <v>2103</v>
      </c>
      <c r="M93" s="84">
        <v>-255956</v>
      </c>
      <c r="N93" s="84">
        <v>-769101</v>
      </c>
      <c r="O93" s="84">
        <v>-537800</v>
      </c>
      <c r="P93" s="84">
        <v>-578046</v>
      </c>
      <c r="Q93" s="88"/>
      <c r="R93" s="4"/>
      <c r="S93" s="4"/>
      <c r="T93" s="4"/>
      <c r="U93" s="4"/>
    </row>
    <row r="94" spans="1:21" ht="30" customHeight="1">
      <c r="A94" s="12"/>
      <c r="B94" s="4"/>
      <c r="C94" s="4"/>
      <c r="D94" s="4"/>
      <c r="E94" s="71" t="s">
        <v>209</v>
      </c>
      <c r="F94" s="84">
        <v>7327</v>
      </c>
      <c r="G94" s="84">
        <v>4634</v>
      </c>
      <c r="H94" s="84">
        <v>4634</v>
      </c>
      <c r="I94" s="84">
        <v>82621</v>
      </c>
      <c r="J94" s="84">
        <v>132569</v>
      </c>
      <c r="K94" s="84">
        <v>286760</v>
      </c>
      <c r="L94" s="84">
        <v>470044</v>
      </c>
      <c r="M94" s="84">
        <v>517257</v>
      </c>
      <c r="N94" s="84">
        <v>517257</v>
      </c>
      <c r="O94" s="84">
        <v>132296</v>
      </c>
      <c r="P94" s="84">
        <v>132296</v>
      </c>
      <c r="Q94" s="88"/>
      <c r="R94" s="4"/>
      <c r="S94" s="4"/>
      <c r="T94" s="4"/>
      <c r="U94" s="4"/>
    </row>
    <row r="95" spans="1:21" ht="30" customHeight="1">
      <c r="A95" s="12"/>
      <c r="B95" s="4"/>
      <c r="C95" s="4"/>
      <c r="D95" s="4"/>
      <c r="E95" s="71" t="s">
        <v>210</v>
      </c>
      <c r="F95" s="84">
        <v>0</v>
      </c>
      <c r="G95" s="84">
        <v>0</v>
      </c>
      <c r="H95" s="84">
        <v>0</v>
      </c>
      <c r="I95" s="84">
        <v>0</v>
      </c>
      <c r="J95" s="84">
        <v>0</v>
      </c>
      <c r="K95" s="84">
        <v>-3031</v>
      </c>
      <c r="L95" s="84">
        <v>-120471</v>
      </c>
      <c r="M95" s="84">
        <v>-269203</v>
      </c>
      <c r="N95" s="84">
        <v>-721574</v>
      </c>
      <c r="O95" s="84">
        <v>25628</v>
      </c>
      <c r="P95" s="84">
        <v>-30431</v>
      </c>
      <c r="Q95" s="88"/>
      <c r="R95" s="4"/>
      <c r="S95" s="4"/>
      <c r="T95" s="4"/>
      <c r="U95" s="4"/>
    </row>
    <row r="96" spans="1:21" ht="30" customHeight="1" thickBot="1">
      <c r="A96" s="12"/>
      <c r="B96" s="4"/>
      <c r="C96" s="4"/>
      <c r="D96" s="4"/>
      <c r="E96" s="71" t="s">
        <v>211</v>
      </c>
      <c r="F96" s="84">
        <v>26</v>
      </c>
      <c r="G96" s="84">
        <v>21</v>
      </c>
      <c r="H96" s="84">
        <v>0</v>
      </c>
      <c r="I96" s="84">
        <v>502532</v>
      </c>
      <c r="J96" s="84">
        <v>495354</v>
      </c>
      <c r="K96" s="84">
        <v>1032918</v>
      </c>
      <c r="L96" s="84">
        <v>1331252</v>
      </c>
      <c r="M96" s="84">
        <v>2308182</v>
      </c>
      <c r="N96" s="84">
        <v>2699977</v>
      </c>
      <c r="O96" s="84">
        <v>3425486</v>
      </c>
      <c r="P96" s="84">
        <v>3505858</v>
      </c>
      <c r="Q96" s="4"/>
      <c r="R96" s="4"/>
      <c r="S96" s="4"/>
      <c r="T96" s="4"/>
      <c r="U96" s="4"/>
    </row>
    <row r="97" spans="1:21" ht="30" customHeight="1">
      <c r="A97" s="12"/>
      <c r="B97" s="4"/>
      <c r="C97" s="4"/>
      <c r="D97" s="4"/>
      <c r="E97" s="177"/>
      <c r="F97" s="177"/>
      <c r="G97" s="177"/>
      <c r="H97" s="177"/>
      <c r="I97" s="177"/>
      <c r="J97" s="177"/>
      <c r="K97" s="177"/>
      <c r="L97" s="177"/>
      <c r="M97" s="177"/>
      <c r="N97" s="177"/>
      <c r="O97" s="177"/>
      <c r="P97" s="177"/>
      <c r="Q97" s="4"/>
      <c r="R97" s="4"/>
      <c r="S97" s="4"/>
      <c r="T97" s="4"/>
      <c r="U97" s="4"/>
    </row>
    <row r="98" spans="1:21" ht="30" customHeight="1">
      <c r="A98" s="12"/>
      <c r="B98" s="4"/>
      <c r="C98" s="4"/>
      <c r="D98" s="4"/>
      <c r="E98" s="4"/>
      <c r="F98" s="4"/>
      <c r="G98" s="4"/>
      <c r="H98" s="4"/>
      <c r="I98" s="4"/>
      <c r="J98" s="4"/>
      <c r="K98" s="4"/>
      <c r="L98" s="4"/>
      <c r="M98" s="4"/>
      <c r="N98" s="4"/>
      <c r="O98" s="4"/>
      <c r="P98" s="4"/>
      <c r="Q98" s="4"/>
      <c r="R98" s="4"/>
      <c r="S98" s="4"/>
      <c r="T98" s="4"/>
      <c r="U98" s="4"/>
    </row>
    <row r="99" spans="1:21" ht="30" customHeight="1">
      <c r="A99" s="12"/>
      <c r="B99" s="4"/>
      <c r="C99" s="4"/>
      <c r="D99" s="4"/>
      <c r="E99" s="4"/>
      <c r="F99" s="4"/>
      <c r="G99" s="4"/>
      <c r="H99" s="4"/>
      <c r="I99" s="4"/>
      <c r="J99" s="4"/>
      <c r="K99" s="4"/>
      <c r="L99" s="4"/>
      <c r="M99" s="4"/>
      <c r="N99" s="4"/>
      <c r="O99" s="4"/>
      <c r="P99" s="4"/>
      <c r="Q99" s="4"/>
      <c r="R99" s="4"/>
      <c r="S99" s="4"/>
      <c r="T99" s="4"/>
      <c r="U99" s="4"/>
    </row>
    <row r="100" spans="1:21" ht="30" customHeight="1">
      <c r="A100" s="12"/>
      <c r="B100" s="4"/>
      <c r="C100" s="4"/>
      <c r="D100" s="4"/>
      <c r="E100" s="4"/>
      <c r="F100" s="4"/>
      <c r="G100" s="4"/>
      <c r="H100" s="4"/>
      <c r="I100" s="4"/>
      <c r="J100" s="4"/>
      <c r="K100" s="4"/>
      <c r="L100" s="4"/>
      <c r="M100" s="4"/>
      <c r="N100" s="4"/>
      <c r="O100" s="4"/>
      <c r="P100" s="4"/>
      <c r="Q100" s="4"/>
      <c r="R100" s="4"/>
      <c r="S100" s="4"/>
      <c r="T100" s="4"/>
      <c r="U100" s="4"/>
    </row>
    <row r="101" spans="1:21" ht="30" customHeight="1">
      <c r="A101" s="12"/>
      <c r="B101" s="4"/>
      <c r="C101" s="4"/>
      <c r="D101" s="4"/>
      <c r="E101" s="4"/>
      <c r="F101" s="4"/>
      <c r="G101" s="4"/>
      <c r="H101" s="4"/>
      <c r="I101" s="4"/>
      <c r="J101" s="4"/>
      <c r="K101" s="4"/>
      <c r="L101" s="4"/>
      <c r="M101" s="4"/>
      <c r="N101" s="4"/>
      <c r="O101" s="4"/>
      <c r="P101" s="4"/>
      <c r="Q101" s="4"/>
      <c r="R101" s="4"/>
      <c r="S101" s="4"/>
      <c r="T101" s="4"/>
      <c r="U101" s="4"/>
    </row>
    <row r="102" spans="1:21" ht="30" customHeight="1">
      <c r="A102" s="12"/>
      <c r="B102" s="4"/>
      <c r="C102" s="4"/>
      <c r="D102" s="4"/>
      <c r="E102" s="4"/>
      <c r="F102" s="4"/>
      <c r="G102" s="4"/>
      <c r="H102" s="4"/>
      <c r="I102" s="4"/>
      <c r="J102" s="4"/>
      <c r="K102" s="4"/>
      <c r="L102" s="4"/>
      <c r="M102" s="4"/>
      <c r="N102" s="4"/>
      <c r="O102" s="4"/>
      <c r="P102" s="4"/>
      <c r="Q102" s="4"/>
      <c r="R102" s="4"/>
      <c r="S102" s="4"/>
      <c r="T102" s="4"/>
      <c r="U102" s="4"/>
    </row>
    <row r="103" spans="1:21" ht="30" customHeight="1">
      <c r="A103" s="12"/>
      <c r="B103" s="4"/>
      <c r="C103" s="4"/>
      <c r="D103" s="4"/>
      <c r="E103" s="4"/>
      <c r="F103" s="4"/>
      <c r="G103" s="4"/>
      <c r="H103" s="4"/>
      <c r="I103" s="4"/>
      <c r="J103" s="4"/>
      <c r="K103" s="4"/>
      <c r="L103" s="4"/>
      <c r="M103" s="4"/>
      <c r="N103" s="4"/>
      <c r="O103" s="4"/>
      <c r="P103" s="4"/>
      <c r="Q103" s="4"/>
      <c r="R103" s="4"/>
      <c r="S103" s="4"/>
      <c r="T103" s="4"/>
      <c r="U103" s="4"/>
    </row>
    <row r="104" spans="1:21" ht="30" customHeight="1">
      <c r="A104" s="12"/>
      <c r="B104" s="4"/>
      <c r="C104" s="4"/>
      <c r="D104" s="4"/>
      <c r="E104" s="4"/>
      <c r="F104" s="4"/>
      <c r="G104" s="4"/>
      <c r="H104" s="4"/>
      <c r="I104" s="4"/>
      <c r="J104" s="4"/>
      <c r="K104" s="4"/>
      <c r="L104" s="4"/>
      <c r="M104" s="4"/>
      <c r="N104" s="4"/>
      <c r="O104" s="4"/>
      <c r="P104" s="4"/>
      <c r="Q104" s="4"/>
      <c r="R104" s="4"/>
      <c r="S104" s="4"/>
      <c r="T104" s="4"/>
      <c r="U104" s="4"/>
    </row>
    <row r="105" spans="1:21" ht="30" customHeight="1">
      <c r="A105" s="12"/>
      <c r="B105" s="4"/>
      <c r="C105" s="4"/>
      <c r="D105" s="4"/>
      <c r="E105" s="4"/>
      <c r="F105" s="4"/>
      <c r="G105" s="4"/>
      <c r="H105" s="4"/>
      <c r="I105" s="4"/>
      <c r="J105" s="4"/>
      <c r="K105" s="4"/>
      <c r="L105" s="4"/>
      <c r="M105" s="4"/>
      <c r="N105" s="4"/>
      <c r="O105" s="4"/>
      <c r="P105" s="4"/>
      <c r="Q105" s="4"/>
      <c r="R105" s="4"/>
      <c r="S105" s="4"/>
      <c r="T105" s="4"/>
      <c r="U105" s="4"/>
    </row>
    <row r="106" spans="1:21" ht="30" customHeight="1">
      <c r="A106" s="12"/>
      <c r="B106" s="4"/>
      <c r="C106" s="4"/>
      <c r="D106" s="4"/>
      <c r="E106" s="4"/>
      <c r="F106" s="4"/>
      <c r="G106" s="4"/>
      <c r="H106" s="4"/>
      <c r="I106" s="4"/>
      <c r="J106" s="4"/>
      <c r="K106" s="4"/>
      <c r="L106" s="4"/>
      <c r="M106" s="4"/>
      <c r="N106" s="4"/>
      <c r="O106" s="4"/>
      <c r="P106" s="4"/>
      <c r="Q106" s="4"/>
      <c r="R106" s="4"/>
      <c r="S106" s="4"/>
      <c r="T106" s="4"/>
      <c r="U106" s="4"/>
    </row>
    <row r="107" spans="1:21" ht="30" customHeight="1">
      <c r="A107" s="12"/>
      <c r="B107" s="4"/>
      <c r="C107" s="4"/>
      <c r="D107" s="4"/>
      <c r="E107" s="4"/>
      <c r="F107" s="4"/>
      <c r="G107" s="4"/>
      <c r="H107" s="4"/>
      <c r="I107" s="4"/>
      <c r="J107" s="4"/>
      <c r="K107" s="4"/>
      <c r="L107" s="4"/>
      <c r="M107" s="4"/>
      <c r="N107" s="4"/>
      <c r="O107" s="4"/>
      <c r="P107" s="4"/>
      <c r="Q107" s="4"/>
      <c r="R107" s="4"/>
      <c r="S107" s="4"/>
      <c r="T107" s="4"/>
      <c r="U107" s="4"/>
    </row>
    <row r="108" spans="1:21" ht="30" customHeight="1">
      <c r="A108" s="12"/>
      <c r="B108" s="4"/>
      <c r="C108" s="4"/>
      <c r="D108" s="4"/>
      <c r="E108" s="4"/>
      <c r="F108" s="4"/>
      <c r="G108" s="4"/>
      <c r="H108" s="4"/>
      <c r="I108" s="4"/>
      <c r="J108" s="4"/>
      <c r="K108" s="4"/>
      <c r="L108" s="4"/>
      <c r="M108" s="4"/>
      <c r="N108" s="4"/>
      <c r="O108" s="4"/>
      <c r="P108" s="4"/>
      <c r="Q108" s="4"/>
      <c r="R108" s="4"/>
      <c r="S108" s="4"/>
      <c r="T108" s="4"/>
      <c r="U108" s="4"/>
    </row>
    <row r="109" spans="1:21" ht="30" customHeight="1">
      <c r="A109" s="12"/>
      <c r="B109" s="4"/>
      <c r="C109" s="4"/>
      <c r="D109" s="4"/>
      <c r="E109" s="4"/>
      <c r="F109" s="4"/>
      <c r="G109" s="4"/>
      <c r="H109" s="4"/>
      <c r="I109" s="4"/>
      <c r="J109" s="4"/>
      <c r="K109" s="4"/>
      <c r="L109" s="4"/>
      <c r="M109" s="4"/>
      <c r="N109" s="4"/>
      <c r="O109" s="4"/>
      <c r="P109" s="4"/>
      <c r="Q109" s="4"/>
      <c r="R109" s="4"/>
      <c r="S109" s="4"/>
      <c r="T109" s="4"/>
      <c r="U109" s="4"/>
    </row>
    <row r="110" spans="1:21" ht="30" customHeight="1">
      <c r="A110" s="12"/>
      <c r="B110" s="4"/>
      <c r="C110" s="4"/>
      <c r="D110" s="4"/>
      <c r="E110" s="4"/>
      <c r="F110" s="4"/>
      <c r="G110" s="4"/>
      <c r="H110" s="4"/>
      <c r="I110" s="4"/>
      <c r="J110" s="4"/>
      <c r="K110" s="4"/>
      <c r="L110" s="4"/>
      <c r="M110" s="4"/>
      <c r="N110" s="4"/>
      <c r="O110" s="4"/>
      <c r="P110" s="4"/>
      <c r="Q110" s="4"/>
      <c r="R110" s="4"/>
      <c r="S110" s="4"/>
      <c r="T110" s="4"/>
      <c r="U110" s="4"/>
    </row>
    <row r="111" spans="1:21" ht="30" customHeight="1">
      <c r="A111" s="12"/>
      <c r="B111" s="4"/>
      <c r="C111" s="4"/>
      <c r="D111" s="4"/>
      <c r="E111" s="4"/>
      <c r="F111" s="4"/>
      <c r="G111" s="4"/>
      <c r="H111" s="4"/>
      <c r="I111" s="4"/>
      <c r="J111" s="4"/>
      <c r="K111" s="4"/>
      <c r="L111" s="4"/>
      <c r="M111" s="4"/>
      <c r="N111" s="4"/>
      <c r="O111" s="4"/>
      <c r="P111" s="4"/>
      <c r="Q111" s="4"/>
      <c r="R111" s="4"/>
      <c r="S111" s="4"/>
      <c r="T111" s="4"/>
      <c r="U111" s="4"/>
    </row>
    <row r="112" spans="1:21" ht="30" customHeight="1">
      <c r="A112" s="12"/>
      <c r="B112" s="4"/>
      <c r="C112" s="4"/>
      <c r="D112" s="4"/>
      <c r="E112" s="4"/>
      <c r="F112" s="4"/>
      <c r="G112" s="4"/>
      <c r="H112" s="4"/>
      <c r="I112" s="4"/>
      <c r="J112" s="4"/>
      <c r="K112" s="4"/>
      <c r="L112" s="4"/>
      <c r="M112" s="4"/>
      <c r="N112" s="4"/>
      <c r="O112" s="4"/>
      <c r="P112" s="4"/>
      <c r="Q112" s="4"/>
      <c r="R112" s="4"/>
      <c r="S112" s="4"/>
      <c r="T112" s="4"/>
      <c r="U112" s="4"/>
    </row>
    <row r="113" spans="1:21" ht="30" customHeight="1">
      <c r="A113" s="12"/>
      <c r="B113" s="4"/>
      <c r="C113" s="4"/>
      <c r="D113" s="4"/>
      <c r="E113" s="4"/>
      <c r="F113" s="4"/>
      <c r="G113" s="4"/>
      <c r="H113" s="4"/>
      <c r="I113" s="4"/>
      <c r="J113" s="4"/>
      <c r="K113" s="4"/>
      <c r="L113" s="4"/>
      <c r="M113" s="4"/>
      <c r="N113" s="4"/>
      <c r="O113" s="4"/>
      <c r="P113" s="4"/>
      <c r="Q113" s="4"/>
      <c r="R113" s="4"/>
      <c r="S113" s="4"/>
      <c r="T113" s="4"/>
      <c r="U113" s="4"/>
    </row>
    <row r="114" spans="1:21" ht="30" customHeight="1">
      <c r="A114" s="12"/>
      <c r="B114" s="4"/>
      <c r="C114" s="4"/>
      <c r="D114" s="4"/>
      <c r="E114" s="4"/>
      <c r="F114" s="4"/>
      <c r="G114" s="4"/>
      <c r="H114" s="4"/>
      <c r="I114" s="4"/>
      <c r="J114" s="4"/>
      <c r="K114" s="4"/>
      <c r="L114" s="4"/>
      <c r="M114" s="4"/>
      <c r="N114" s="4"/>
      <c r="O114" s="4"/>
      <c r="P114" s="4"/>
      <c r="Q114" s="4"/>
      <c r="R114" s="4"/>
      <c r="S114" s="4"/>
      <c r="T114" s="4"/>
      <c r="U114" s="4"/>
    </row>
    <row r="115" spans="1:21" ht="30" customHeight="1">
      <c r="A115" s="12"/>
      <c r="B115" s="4"/>
      <c r="C115" s="4"/>
      <c r="D115" s="4"/>
      <c r="E115" s="4"/>
      <c r="F115" s="4"/>
      <c r="G115" s="4"/>
      <c r="H115" s="4"/>
      <c r="I115" s="4"/>
      <c r="J115" s="4"/>
      <c r="K115" s="4"/>
      <c r="L115" s="4"/>
      <c r="M115" s="4"/>
      <c r="N115" s="4"/>
      <c r="O115" s="4"/>
      <c r="P115" s="4"/>
      <c r="Q115" s="4"/>
      <c r="R115" s="4"/>
      <c r="S115" s="4"/>
      <c r="T115" s="4"/>
      <c r="U115" s="4"/>
    </row>
    <row r="116" spans="1:21" ht="30" customHeight="1">
      <c r="A116" s="12"/>
      <c r="B116" s="4"/>
      <c r="C116" s="4"/>
      <c r="D116" s="4"/>
      <c r="E116" s="4"/>
      <c r="F116" s="4"/>
      <c r="G116" s="4"/>
      <c r="H116" s="4"/>
      <c r="I116" s="4"/>
      <c r="J116" s="4"/>
      <c r="K116" s="4"/>
      <c r="L116" s="4"/>
      <c r="M116" s="4"/>
      <c r="N116" s="4"/>
      <c r="O116" s="4"/>
      <c r="P116" s="4"/>
      <c r="Q116" s="4"/>
      <c r="R116" s="4"/>
      <c r="S116" s="4"/>
      <c r="T116" s="4"/>
      <c r="U116" s="4"/>
    </row>
    <row r="117" spans="1:21" ht="30" customHeight="1">
      <c r="A117" s="12"/>
      <c r="B117" s="4"/>
      <c r="C117" s="4"/>
      <c r="D117" s="4"/>
      <c r="E117" s="4"/>
      <c r="F117" s="4"/>
      <c r="G117" s="4"/>
      <c r="H117" s="4"/>
      <c r="I117" s="4"/>
      <c r="J117" s="4"/>
      <c r="K117" s="4"/>
      <c r="L117" s="4"/>
      <c r="M117" s="4"/>
      <c r="N117" s="4"/>
      <c r="O117" s="4"/>
      <c r="P117" s="4"/>
      <c r="Q117" s="4"/>
      <c r="R117" s="4"/>
      <c r="S117" s="4"/>
      <c r="T117" s="4"/>
      <c r="U117" s="4"/>
    </row>
    <row r="118" spans="1:21" ht="30" customHeight="1">
      <c r="A118" s="12"/>
      <c r="B118" s="4"/>
      <c r="C118" s="4"/>
      <c r="D118" s="4"/>
      <c r="E118" s="4"/>
      <c r="F118" s="4"/>
      <c r="G118" s="4"/>
      <c r="H118" s="4"/>
      <c r="I118" s="4"/>
      <c r="J118" s="4"/>
      <c r="K118" s="4"/>
      <c r="L118" s="4"/>
      <c r="M118" s="4"/>
      <c r="N118" s="4"/>
      <c r="O118" s="4"/>
      <c r="P118" s="4"/>
      <c r="Q118" s="4"/>
      <c r="R118" s="4"/>
      <c r="S118" s="4"/>
      <c r="T118" s="4"/>
      <c r="U118" s="4"/>
    </row>
    <row r="119" spans="1:21" ht="30" customHeight="1">
      <c r="A119" s="12"/>
      <c r="B119" s="4"/>
      <c r="C119" s="4"/>
      <c r="D119" s="4"/>
      <c r="E119" s="4"/>
      <c r="F119" s="4"/>
      <c r="G119" s="4"/>
      <c r="H119" s="4"/>
      <c r="I119" s="4"/>
      <c r="J119" s="4"/>
      <c r="K119" s="4"/>
      <c r="L119" s="4"/>
      <c r="M119" s="4"/>
      <c r="N119" s="4"/>
      <c r="O119" s="4"/>
      <c r="P119" s="4"/>
      <c r="Q119" s="4"/>
      <c r="R119" s="4"/>
      <c r="S119" s="4"/>
      <c r="T119" s="4"/>
      <c r="U119" s="4"/>
    </row>
    <row r="120" spans="1:21" ht="30" customHeight="1">
      <c r="A120" s="12"/>
      <c r="B120" s="4"/>
      <c r="C120" s="4"/>
      <c r="D120" s="4"/>
      <c r="E120" s="4"/>
      <c r="F120" s="4"/>
      <c r="G120" s="4"/>
      <c r="H120" s="4"/>
      <c r="I120" s="4"/>
      <c r="J120" s="4"/>
      <c r="K120" s="4"/>
      <c r="L120" s="4"/>
      <c r="M120" s="4"/>
      <c r="N120" s="4"/>
      <c r="O120" s="4"/>
      <c r="P120" s="4"/>
      <c r="Q120" s="4"/>
      <c r="R120" s="4"/>
      <c r="S120" s="4"/>
      <c r="T120" s="4"/>
      <c r="U120" s="4"/>
    </row>
    <row r="121" spans="1:21" ht="30" customHeight="1">
      <c r="A121" s="12"/>
      <c r="B121" s="4"/>
      <c r="C121" s="4"/>
      <c r="D121" s="4"/>
      <c r="E121" s="4"/>
      <c r="F121" s="4"/>
      <c r="G121" s="4"/>
      <c r="H121" s="4"/>
      <c r="I121" s="4"/>
      <c r="J121" s="4"/>
      <c r="K121" s="4"/>
      <c r="L121" s="4"/>
      <c r="M121" s="4"/>
      <c r="N121" s="4"/>
      <c r="O121" s="4"/>
      <c r="P121" s="4"/>
      <c r="Q121" s="4"/>
      <c r="R121" s="4"/>
      <c r="S121" s="4"/>
      <c r="T121" s="4"/>
      <c r="U121" s="4"/>
    </row>
    <row r="122" spans="1:21" ht="30" customHeight="1">
      <c r="A122" s="12"/>
      <c r="B122" s="4"/>
      <c r="C122" s="4"/>
      <c r="D122" s="4"/>
      <c r="E122" s="4"/>
      <c r="F122" s="4"/>
      <c r="G122" s="4"/>
      <c r="H122" s="4"/>
      <c r="I122" s="4"/>
      <c r="J122" s="4"/>
      <c r="K122" s="4"/>
      <c r="L122" s="4"/>
      <c r="M122" s="4"/>
      <c r="N122" s="4"/>
      <c r="O122" s="4"/>
      <c r="P122" s="4"/>
      <c r="Q122" s="4"/>
      <c r="R122" s="4"/>
      <c r="S122" s="4"/>
      <c r="T122" s="4"/>
      <c r="U122" s="4"/>
    </row>
    <row r="123" spans="1:21" ht="30" customHeight="1">
      <c r="A123" s="12"/>
      <c r="B123" s="4"/>
      <c r="C123" s="4"/>
      <c r="D123" s="4"/>
      <c r="E123" s="4"/>
      <c r="F123" s="4"/>
      <c r="G123" s="4"/>
      <c r="H123" s="4"/>
      <c r="I123" s="4"/>
      <c r="J123" s="4"/>
      <c r="K123" s="4"/>
      <c r="L123" s="4"/>
      <c r="M123" s="4"/>
      <c r="N123" s="4"/>
      <c r="O123" s="4"/>
      <c r="P123" s="4"/>
      <c r="Q123" s="4"/>
      <c r="R123" s="4"/>
      <c r="S123" s="4"/>
      <c r="T123" s="4"/>
      <c r="U123" s="4"/>
    </row>
    <row r="124" spans="1:21" ht="30" customHeight="1">
      <c r="A124" s="12"/>
      <c r="B124" s="4"/>
      <c r="C124" s="4"/>
      <c r="D124" s="4"/>
      <c r="E124" s="4"/>
      <c r="F124" s="4"/>
      <c r="G124" s="4"/>
      <c r="H124" s="4"/>
      <c r="I124" s="4"/>
      <c r="J124" s="4"/>
      <c r="K124" s="4"/>
      <c r="L124" s="4"/>
      <c r="M124" s="4"/>
      <c r="N124" s="4"/>
      <c r="O124" s="4"/>
      <c r="P124" s="4"/>
      <c r="Q124" s="4"/>
      <c r="R124" s="4"/>
      <c r="S124" s="4"/>
      <c r="T124" s="4"/>
      <c r="U124" s="4"/>
    </row>
    <row r="125" spans="1:21" ht="30" customHeight="1">
      <c r="A125" s="12"/>
      <c r="B125" s="4"/>
      <c r="C125" s="4"/>
      <c r="D125" s="4"/>
      <c r="E125" s="4"/>
      <c r="F125" s="4"/>
      <c r="G125" s="4"/>
      <c r="H125" s="4"/>
      <c r="I125" s="4"/>
      <c r="J125" s="4"/>
      <c r="K125" s="4"/>
      <c r="L125" s="4"/>
      <c r="M125" s="4"/>
      <c r="N125" s="4"/>
      <c r="O125" s="4"/>
      <c r="P125" s="4"/>
      <c r="Q125" s="4"/>
      <c r="R125" s="4"/>
      <c r="S125" s="4"/>
      <c r="T125" s="4"/>
      <c r="U125" s="4"/>
    </row>
    <row r="126" spans="1:21" ht="30" customHeight="1">
      <c r="A126" s="12"/>
      <c r="B126" s="4"/>
      <c r="C126" s="4"/>
      <c r="D126" s="4"/>
      <c r="E126" s="4"/>
      <c r="F126" s="4"/>
      <c r="G126" s="4"/>
      <c r="H126" s="4"/>
      <c r="I126" s="4"/>
      <c r="J126" s="4"/>
      <c r="K126" s="4"/>
      <c r="L126" s="4"/>
      <c r="M126" s="4"/>
      <c r="N126" s="4"/>
      <c r="O126" s="4"/>
      <c r="P126" s="4"/>
      <c r="Q126" s="4"/>
      <c r="R126" s="4"/>
      <c r="S126" s="4"/>
      <c r="T126" s="4"/>
      <c r="U126" s="4"/>
    </row>
    <row r="127" spans="1:21" ht="30" customHeight="1">
      <c r="A127" s="12"/>
      <c r="B127" s="4"/>
      <c r="C127" s="4"/>
      <c r="D127" s="4"/>
      <c r="E127" s="4"/>
      <c r="F127" s="4"/>
      <c r="G127" s="4"/>
      <c r="H127" s="4"/>
      <c r="I127" s="4"/>
      <c r="J127" s="4"/>
      <c r="K127" s="4"/>
      <c r="L127" s="4"/>
      <c r="M127" s="4"/>
      <c r="N127" s="4"/>
      <c r="O127" s="4"/>
      <c r="P127" s="4"/>
      <c r="Q127" s="4"/>
      <c r="R127" s="4"/>
      <c r="S127" s="4"/>
      <c r="T127" s="4"/>
      <c r="U127" s="4"/>
    </row>
    <row r="128" spans="1:21" ht="30" customHeight="1">
      <c r="A128" s="12"/>
      <c r="B128" s="4"/>
      <c r="C128" s="4"/>
      <c r="D128" s="4"/>
      <c r="E128" s="4"/>
      <c r="F128" s="4"/>
      <c r="G128" s="4"/>
      <c r="H128" s="4"/>
      <c r="I128" s="4"/>
      <c r="J128" s="4"/>
      <c r="K128" s="4"/>
      <c r="L128" s="4"/>
      <c r="M128" s="4"/>
      <c r="N128" s="4"/>
      <c r="O128" s="4"/>
      <c r="P128" s="4"/>
      <c r="Q128" s="4"/>
      <c r="R128" s="4"/>
      <c r="S128" s="4"/>
      <c r="T128" s="4"/>
      <c r="U128" s="4"/>
    </row>
    <row r="129" spans="1:22" ht="30" customHeight="1">
      <c r="A129" s="12"/>
      <c r="B129" s="4"/>
      <c r="C129" s="4"/>
      <c r="D129" s="4"/>
      <c r="E129" s="4"/>
      <c r="F129" s="4"/>
      <c r="G129" s="4"/>
      <c r="H129" s="4"/>
      <c r="I129" s="4"/>
      <c r="J129" s="4"/>
      <c r="K129" s="4"/>
      <c r="L129" s="4"/>
      <c r="M129" s="4"/>
      <c r="N129" s="4"/>
      <c r="O129" s="4"/>
      <c r="P129" s="4"/>
      <c r="Q129" s="4"/>
      <c r="R129" s="4"/>
      <c r="S129" s="4"/>
      <c r="T129" s="4"/>
      <c r="U129" s="4"/>
    </row>
    <row r="130" spans="1:22" ht="30" customHeight="1">
      <c r="A130" s="12"/>
      <c r="B130" s="4"/>
      <c r="C130" s="4"/>
      <c r="D130" s="4"/>
      <c r="E130" s="4"/>
      <c r="F130" s="4"/>
      <c r="G130" s="4"/>
      <c r="H130" s="4"/>
      <c r="I130" s="4"/>
      <c r="J130" s="4"/>
      <c r="K130" s="4"/>
      <c r="L130" s="4"/>
      <c r="M130" s="4"/>
      <c r="N130" s="4"/>
      <c r="O130" s="4"/>
      <c r="P130" s="4"/>
      <c r="Q130" s="4"/>
      <c r="R130" s="4"/>
      <c r="S130" s="4"/>
      <c r="T130" s="4"/>
      <c r="U130" s="4"/>
    </row>
    <row r="131" spans="1:22" ht="30" customHeight="1">
      <c r="A131" s="12"/>
      <c r="B131" s="4"/>
      <c r="C131" s="4"/>
      <c r="D131" s="4"/>
      <c r="E131" s="4"/>
      <c r="F131" s="4"/>
      <c r="G131" s="4"/>
      <c r="H131" s="4"/>
      <c r="I131" s="4"/>
      <c r="J131" s="4"/>
      <c r="K131" s="4"/>
      <c r="L131" s="4"/>
      <c r="M131" s="4"/>
      <c r="N131" s="4"/>
      <c r="O131" s="4"/>
      <c r="P131" s="4"/>
      <c r="Q131" s="4"/>
      <c r="R131" s="4"/>
      <c r="S131" s="4"/>
      <c r="T131" s="4"/>
      <c r="U131" s="4"/>
    </row>
    <row r="132" spans="1:22" ht="30" customHeight="1">
      <c r="A132" s="12"/>
      <c r="B132" s="4"/>
      <c r="C132" s="4"/>
      <c r="D132" s="4"/>
      <c r="E132" s="4"/>
      <c r="F132" s="4"/>
      <c r="G132" s="4"/>
      <c r="H132" s="4"/>
      <c r="I132" s="4"/>
      <c r="J132" s="4"/>
      <c r="K132" s="4"/>
      <c r="L132" s="4"/>
      <c r="M132" s="4"/>
      <c r="N132" s="4"/>
      <c r="O132" s="4"/>
      <c r="P132" s="4"/>
      <c r="Q132" s="4"/>
      <c r="R132" s="4"/>
      <c r="S132" s="4"/>
      <c r="T132" s="4"/>
      <c r="U132" s="4"/>
    </row>
    <row r="133" spans="1:22" ht="30" customHeight="1">
      <c r="A133" s="12"/>
      <c r="B133" s="4"/>
      <c r="C133" s="4"/>
      <c r="D133" s="4"/>
      <c r="E133" s="4"/>
      <c r="F133" s="4"/>
      <c r="G133" s="4"/>
      <c r="H133" s="4"/>
      <c r="I133" s="4"/>
      <c r="J133" s="4"/>
      <c r="K133" s="4"/>
      <c r="L133" s="4"/>
      <c r="M133" s="4"/>
      <c r="N133" s="4"/>
      <c r="O133" s="4"/>
      <c r="P133" s="4"/>
      <c r="Q133" s="4"/>
      <c r="R133" s="4"/>
      <c r="S133" s="4"/>
      <c r="T133" s="4"/>
      <c r="U133" s="4"/>
    </row>
    <row r="134" spans="1:22" ht="30" customHeight="1">
      <c r="A134" s="12"/>
      <c r="B134" s="4"/>
      <c r="C134" s="4"/>
      <c r="D134" s="4"/>
      <c r="E134" s="4"/>
      <c r="F134" s="4"/>
      <c r="G134" s="4"/>
      <c r="H134" s="4"/>
      <c r="I134" s="4"/>
      <c r="J134" s="4"/>
      <c r="K134" s="4"/>
      <c r="L134" s="4"/>
      <c r="M134" s="4"/>
      <c r="N134" s="4"/>
      <c r="O134" s="4"/>
      <c r="P134" s="4"/>
      <c r="Q134" s="4"/>
      <c r="R134" s="4"/>
      <c r="S134" s="4"/>
      <c r="T134" s="4"/>
      <c r="U134" s="4"/>
    </row>
    <row r="135" spans="1:22" ht="30" customHeight="1">
      <c r="A135" s="12"/>
      <c r="B135" s="4"/>
      <c r="C135" s="4"/>
      <c r="D135" s="4"/>
      <c r="E135" s="4"/>
      <c r="F135" s="4"/>
      <c r="G135" s="4"/>
      <c r="H135" s="4"/>
      <c r="I135" s="4"/>
      <c r="J135" s="4"/>
      <c r="K135" s="4"/>
      <c r="L135" s="4"/>
      <c r="M135" s="4"/>
      <c r="N135" s="4"/>
      <c r="O135" s="4"/>
      <c r="P135" s="4"/>
      <c r="Q135" s="4"/>
      <c r="R135" s="4"/>
      <c r="S135" s="4"/>
      <c r="T135" s="4"/>
      <c r="U135" s="4"/>
    </row>
    <row r="136" spans="1:22" s="3" customFormat="1" ht="30" customHeight="1">
      <c r="A136" s="12"/>
      <c r="B136" s="4"/>
      <c r="C136" s="4"/>
      <c r="D136" s="4"/>
      <c r="E136" s="4"/>
      <c r="F136" s="4"/>
      <c r="G136" s="4"/>
      <c r="H136" s="4"/>
      <c r="I136" s="4"/>
      <c r="J136" s="4"/>
      <c r="K136" s="4"/>
      <c r="L136" s="4"/>
      <c r="M136" s="4"/>
      <c r="N136" s="4"/>
      <c r="O136" s="4"/>
      <c r="P136" s="4"/>
      <c r="Q136" s="4"/>
      <c r="R136" s="4"/>
      <c r="S136" s="4"/>
      <c r="T136" s="4"/>
      <c r="U136" s="4"/>
      <c r="V136" s="5"/>
    </row>
    <row r="137" spans="1:22" s="3" customFormat="1" ht="30" customHeight="1">
      <c r="A137" s="12"/>
      <c r="B137" s="4"/>
      <c r="C137" s="4"/>
      <c r="D137" s="4"/>
      <c r="E137" s="4"/>
      <c r="F137" s="4"/>
      <c r="G137" s="4"/>
      <c r="H137" s="4"/>
      <c r="I137" s="4"/>
      <c r="J137" s="4"/>
      <c r="K137" s="4"/>
      <c r="L137" s="4"/>
      <c r="M137" s="4"/>
      <c r="N137" s="4"/>
      <c r="O137" s="4"/>
      <c r="P137" s="4"/>
      <c r="Q137" s="4"/>
      <c r="R137" s="4"/>
      <c r="S137" s="4"/>
      <c r="T137" s="4"/>
      <c r="U137" s="4"/>
      <c r="V137" s="5"/>
    </row>
    <row r="138" spans="1:22" s="3" customFormat="1" ht="30" customHeight="1">
      <c r="A138" s="12"/>
      <c r="B138" s="4"/>
      <c r="C138" s="4"/>
      <c r="D138" s="4"/>
      <c r="E138" s="4"/>
      <c r="F138" s="4"/>
      <c r="G138" s="4"/>
      <c r="H138" s="4"/>
      <c r="I138" s="4"/>
      <c r="J138" s="4"/>
      <c r="K138" s="4"/>
      <c r="L138" s="4"/>
      <c r="M138" s="4"/>
      <c r="N138" s="4"/>
      <c r="O138" s="4"/>
      <c r="P138" s="4"/>
      <c r="Q138" s="4"/>
      <c r="R138" s="4"/>
      <c r="S138" s="4"/>
      <c r="T138" s="4"/>
      <c r="U138" s="4"/>
      <c r="V138" s="5"/>
    </row>
    <row r="139" spans="1:22" s="3" customFormat="1" ht="30" customHeight="1">
      <c r="B139" s="4"/>
      <c r="C139" s="4"/>
      <c r="D139" s="4"/>
      <c r="E139" s="4"/>
      <c r="F139" s="4"/>
      <c r="G139" s="4"/>
      <c r="H139" s="4"/>
      <c r="I139" s="4"/>
      <c r="J139" s="4"/>
      <c r="K139" s="4"/>
      <c r="L139" s="4"/>
      <c r="M139" s="4"/>
      <c r="N139" s="4"/>
      <c r="O139" s="4"/>
      <c r="P139" s="4"/>
      <c r="Q139" s="4"/>
      <c r="R139" s="4"/>
      <c r="S139" s="4"/>
      <c r="T139" s="4"/>
      <c r="U139" s="4"/>
      <c r="V139" s="5"/>
    </row>
    <row r="140" spans="1:22" s="3" customFormat="1" ht="30" customHeight="1">
      <c r="B140" s="4"/>
      <c r="C140" s="4"/>
      <c r="D140" s="4"/>
      <c r="E140" s="4"/>
      <c r="F140" s="4"/>
      <c r="G140" s="4"/>
      <c r="H140" s="4"/>
      <c r="I140" s="4"/>
      <c r="J140" s="4"/>
      <c r="K140" s="4"/>
      <c r="L140" s="4"/>
      <c r="M140" s="4"/>
      <c r="N140" s="4"/>
      <c r="O140" s="4"/>
      <c r="P140" s="4"/>
      <c r="Q140" s="4"/>
      <c r="R140" s="4"/>
      <c r="S140" s="4"/>
      <c r="T140" s="4"/>
      <c r="U140" s="4"/>
      <c r="V140" s="5"/>
    </row>
    <row r="141" spans="1:22" s="3" customFormat="1" ht="30" customHeight="1">
      <c r="B141" s="4"/>
      <c r="C141" s="4"/>
      <c r="D141" s="4"/>
      <c r="E141" s="4"/>
      <c r="F141" s="4"/>
      <c r="G141" s="4"/>
      <c r="H141" s="4"/>
      <c r="I141" s="4"/>
      <c r="J141" s="4"/>
      <c r="K141" s="4"/>
      <c r="L141" s="4"/>
      <c r="M141" s="4"/>
      <c r="N141" s="4"/>
      <c r="O141" s="4"/>
      <c r="P141" s="4"/>
      <c r="Q141" s="4"/>
      <c r="R141" s="4"/>
      <c r="S141" s="4"/>
      <c r="T141" s="4"/>
      <c r="U141" s="4"/>
      <c r="V141" s="5"/>
    </row>
    <row r="142" spans="1:22" s="3" customFormat="1" ht="30" customHeight="1">
      <c r="B142" s="4"/>
      <c r="C142" s="4"/>
      <c r="D142" s="4"/>
      <c r="E142" s="4"/>
      <c r="F142" s="4"/>
      <c r="G142" s="4"/>
      <c r="H142" s="4"/>
      <c r="I142" s="4"/>
      <c r="J142" s="4"/>
      <c r="K142" s="4"/>
      <c r="L142" s="4"/>
      <c r="M142" s="4"/>
      <c r="N142" s="4"/>
      <c r="O142" s="4"/>
      <c r="P142" s="4"/>
      <c r="Q142" s="4"/>
      <c r="R142" s="4"/>
      <c r="S142" s="4"/>
      <c r="T142" s="4"/>
      <c r="U142" s="4"/>
      <c r="V142" s="5"/>
    </row>
    <row r="143" spans="1:22" ht="0" hidden="1" customHeight="1">
      <c r="E143" s="4"/>
      <c r="F143" s="4"/>
      <c r="G143" s="4"/>
      <c r="H143" s="4"/>
      <c r="I143" s="4"/>
      <c r="J143" s="4"/>
      <c r="K143" s="4"/>
      <c r="L143" s="4"/>
      <c r="M143" s="4"/>
      <c r="N143" s="4"/>
      <c r="O143" s="4"/>
      <c r="P143" s="4"/>
    </row>
    <row r="144" spans="1:22" ht="0" hidden="1" customHeight="1">
      <c r="E144" s="4"/>
      <c r="F144" s="4"/>
      <c r="G144" s="4"/>
      <c r="H144" s="4"/>
      <c r="I144" s="4"/>
      <c r="J144" s="4"/>
      <c r="K144" s="4"/>
      <c r="L144" s="4"/>
      <c r="M144" s="4"/>
      <c r="N144" s="4"/>
      <c r="O144" s="4"/>
      <c r="P144" s="4"/>
    </row>
    <row r="145" spans="5:16" ht="0" hidden="1" customHeight="1">
      <c r="E145" s="4"/>
      <c r="F145" s="4"/>
      <c r="G145" s="4"/>
      <c r="H145" s="4"/>
      <c r="I145" s="4"/>
      <c r="J145" s="4"/>
      <c r="K145" s="4"/>
      <c r="L145" s="4"/>
      <c r="M145" s="4"/>
      <c r="N145" s="4"/>
      <c r="O145" s="4"/>
      <c r="P145" s="4"/>
    </row>
    <row r="146" spans="5:16" ht="0" hidden="1" customHeight="1">
      <c r="E146" s="4"/>
      <c r="F146" s="4"/>
      <c r="G146" s="4"/>
      <c r="H146" s="4"/>
      <c r="I146" s="4"/>
      <c r="J146" s="4"/>
      <c r="K146" s="4"/>
      <c r="L146" s="4"/>
      <c r="M146" s="4"/>
      <c r="N146" s="4"/>
      <c r="O146" s="4"/>
      <c r="P146" s="4"/>
    </row>
    <row r="147" spans="5:16" ht="0" hidden="1" customHeight="1">
      <c r="E147" s="4"/>
      <c r="F147" s="4"/>
      <c r="G147" s="4"/>
      <c r="H147" s="4"/>
      <c r="I147" s="4"/>
      <c r="J147" s="4"/>
      <c r="K147" s="4"/>
      <c r="L147" s="4"/>
      <c r="M147" s="4"/>
      <c r="N147" s="4"/>
      <c r="O147" s="4"/>
      <c r="P147" s="4"/>
    </row>
    <row r="148" spans="5:16" ht="0" hidden="1" customHeight="1">
      <c r="E148" s="4"/>
      <c r="F148" s="4"/>
      <c r="G148" s="4"/>
      <c r="H148" s="4"/>
      <c r="I148" s="4"/>
      <c r="J148" s="4"/>
      <c r="K148" s="4"/>
      <c r="L148" s="4"/>
      <c r="M148" s="4"/>
      <c r="N148" s="4"/>
      <c r="O148" s="4"/>
      <c r="P148" s="4"/>
    </row>
    <row r="149" spans="5:16" ht="0" hidden="1" customHeight="1">
      <c r="E149" s="4"/>
      <c r="F149" s="4"/>
      <c r="G149" s="4"/>
      <c r="H149" s="4"/>
      <c r="I149" s="4"/>
      <c r="J149" s="4"/>
      <c r="K149" s="4"/>
      <c r="L149" s="4"/>
      <c r="M149" s="4"/>
      <c r="N149" s="4"/>
      <c r="O149" s="4"/>
      <c r="P149" s="4"/>
    </row>
    <row r="150" spans="5:16" ht="0" hidden="1" customHeight="1">
      <c r="F150" s="64"/>
      <c r="G150" s="64"/>
      <c r="H150" s="64"/>
      <c r="I150" s="64"/>
      <c r="J150" s="64"/>
      <c r="K150" s="64"/>
    </row>
  </sheetData>
  <mergeCells count="1">
    <mergeCell ref="F9:K11"/>
  </mergeCells>
  <conditionalFormatting sqref="A13 F16:P63 F67:M71 N67:P72">
    <cfRule type="cellIs" dxfId="139" priority="20" operator="equal">
      <formula>0</formula>
    </cfRule>
  </conditionalFormatting>
  <conditionalFormatting sqref="F64:F66 G72:M72 F72:F74 G73:K74 F75:K75 F76:P96">
    <cfRule type="cellIs" dxfId="138" priority="64" operator="equal">
      <formula>0</formula>
    </cfRule>
  </conditionalFormatting>
  <conditionalFormatting sqref="G64:L65 G66:P66">
    <cfRule type="cellIs" dxfId="137" priority="8" operator="equal">
      <formula>0</formula>
    </cfRule>
  </conditionalFormatting>
  <conditionalFormatting sqref="J38">
    <cfRule type="cellIs" dxfId="136" priority="11" operator="equal">
      <formula>0</formula>
    </cfRule>
  </conditionalFormatting>
  <conditionalFormatting sqref="L73:P75">
    <cfRule type="cellIs" dxfId="135" priority="15" operator="equal">
      <formula>0</formula>
    </cfRule>
  </conditionalFormatting>
  <conditionalFormatting sqref="M64:P66 L68:P68">
    <cfRule type="cellIs" dxfId="134" priority="7" operator="equal">
      <formula>0</formula>
    </cfRule>
  </conditionalFormatting>
  <hyperlinks>
    <hyperlink ref="A20" location="'Painel de Índices'!A1" display="Projeções - Receita" xr:uid="{FEF18CC4-F47D-4400-8F09-9ACD41AF22C4}"/>
    <hyperlink ref="A22" location="'Projeções - CG + Capex'!A1" display="Projeções - CG + Capex" xr:uid="{A845CEFE-5A31-4CC7-9B36-90AB2886C81C}"/>
    <hyperlink ref="A24" location="Processos!A1" display="Processos" xr:uid="{7AF59120-21AC-4902-BEC8-C2596A61449F}"/>
    <hyperlink ref="A14" location="Dashboard!A1" display="Dashboard" xr:uid="{FD74EC79-9B59-4643-8842-B01B297CADB9}"/>
    <hyperlink ref="A15" location="WACC!A1" display="WACC" xr:uid="{050B29BA-531D-479A-843E-CF68E4D9D8BE}"/>
    <hyperlink ref="A17" location="'DRE + DCF'!A1" display="DRE + DCF" xr:uid="{5B39ECC7-279F-4F1E-A7D1-984188146EC5}"/>
    <hyperlink ref="A18" location="'DRE - Contas Abertas'!A1" display="DRE - Contas Abertas" xr:uid="{CFA7FD12-5F38-4582-AA5E-62860BD3E047}"/>
    <hyperlink ref="A16" location="'DRE Consolidado'!A1" display="DRE Consolidado" xr:uid="{00A6219D-5A8D-40FC-A5EB-956CBD007F45}"/>
    <hyperlink ref="A21" location="'Projeções - Receita e EBIT'!A1" display="Projeções - Receita" xr:uid="{42E5D4C3-481C-4A7B-A723-CF3BEF59CC2B}"/>
    <hyperlink ref="A23" location="'Projeções 2023'!A1" display="Projeções 2022" xr:uid="{C50C519A-AA14-44A4-84CA-F50F5E7DACCF}"/>
  </hyperlinks>
  <pageMargins left="0.511811024" right="0.511811024" top="0.78740157499999996" bottom="0.78740157499999996" header="0.31496062000000002" footer="0.31496062000000002"/>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622F-88A9-48E2-BAC3-C5D38F64BE2F}">
  <sheetPr codeName="Sheet4"/>
  <dimension ref="A1:CN84"/>
  <sheetViews>
    <sheetView showGridLines="0" zoomScale="80" zoomScaleNormal="80" workbookViewId="0">
      <selection activeCell="R39" sqref="R39"/>
    </sheetView>
  </sheetViews>
  <sheetFormatPr defaultColWidth="0" defaultRowHeight="15" zeroHeight="1"/>
  <cols>
    <col min="1" max="1" width="34.42578125" style="115" customWidth="1"/>
    <col min="2" max="2" width="9.140625" style="114" customWidth="1"/>
    <col min="3" max="4" width="9.140625" style="5" customWidth="1"/>
    <col min="5" max="5" width="47.7109375" style="5" bestFit="1" customWidth="1"/>
    <col min="6" max="9" width="13.42578125" style="5" customWidth="1"/>
    <col min="10" max="10" width="14.85546875" style="5" bestFit="1" customWidth="1"/>
    <col min="11" max="11" width="12.7109375" style="5" bestFit="1" customWidth="1"/>
    <col min="12" max="14" width="13" style="5" bestFit="1" customWidth="1"/>
    <col min="15" max="15" width="12.5703125" style="5" customWidth="1"/>
    <col min="16" max="25" width="9.140625" style="5" customWidth="1"/>
    <col min="26" max="26" width="9.140625" style="5" hidden="1" customWidth="1"/>
    <col min="27" max="30" width="0" style="5" hidden="1" customWidth="1"/>
    <col min="31" max="32" width="9.140625" style="5" hidden="1" customWidth="1"/>
    <col min="33" max="36" width="0" style="5" hidden="1" customWidth="1"/>
    <col min="37" max="38" width="9.140625" style="5" hidden="1" customWidth="1"/>
    <col min="39" max="55" width="0" style="5" hidden="1" customWidth="1"/>
    <col min="56" max="56" width="9.140625" style="5" hidden="1" customWidth="1"/>
    <col min="57" max="60" width="0" style="5" hidden="1" customWidth="1"/>
    <col min="61" max="62" width="9.140625" style="5" hidden="1" customWidth="1"/>
    <col min="63" max="66" width="0" style="5" hidden="1" customWidth="1"/>
    <col min="67" max="68" width="9.140625" style="5" hidden="1" customWidth="1"/>
    <col min="69" max="71" width="0" style="5" hidden="1" customWidth="1"/>
    <col min="72" max="73" width="9.140625" style="5" hidden="1" customWidth="1"/>
    <col min="74" max="77" width="0" style="5" hidden="1" customWidth="1"/>
    <col min="78" max="81" width="9.140625" style="5" hidden="1" customWidth="1"/>
    <col min="82" max="85" width="0" style="5" hidden="1" customWidth="1"/>
    <col min="86" max="92" width="9.140625" style="5" hidden="1" customWidth="1"/>
    <col min="93" max="16384" width="0" style="5" hidden="1"/>
  </cols>
  <sheetData>
    <row r="1" spans="1:30" ht="15" customHeight="1">
      <c r="A1" s="141"/>
      <c r="B1" s="4"/>
      <c r="C1" s="4"/>
      <c r="D1" s="4"/>
      <c r="E1" s="4"/>
      <c r="F1" s="4"/>
      <c r="G1" s="4"/>
      <c r="H1" s="4"/>
      <c r="I1" s="4"/>
      <c r="J1" s="4"/>
      <c r="K1" s="4"/>
      <c r="L1" s="4"/>
      <c r="M1" s="4"/>
      <c r="N1" s="4"/>
      <c r="O1" s="4"/>
      <c r="P1" s="4"/>
      <c r="Q1" s="4"/>
      <c r="R1" s="4"/>
      <c r="S1" s="4"/>
      <c r="T1" s="4"/>
      <c r="U1" s="4"/>
      <c r="V1" s="4"/>
      <c r="W1" s="4"/>
      <c r="X1" s="4"/>
      <c r="Y1" s="4"/>
    </row>
    <row r="2" spans="1:30" ht="15" customHeight="1">
      <c r="A2" s="141"/>
      <c r="B2" s="4"/>
      <c r="C2" s="4"/>
      <c r="D2" s="4"/>
      <c r="E2" s="4"/>
      <c r="F2" s="65"/>
      <c r="G2" s="65"/>
      <c r="H2" s="65"/>
      <c r="I2" s="65"/>
      <c r="J2" s="65"/>
      <c r="K2" s="65"/>
      <c r="L2" s="65"/>
      <c r="M2" s="65"/>
      <c r="N2" s="65"/>
      <c r="O2" s="4"/>
      <c r="P2" s="4"/>
      <c r="Q2" s="4"/>
      <c r="R2" s="4"/>
      <c r="S2" s="4"/>
      <c r="T2" s="4"/>
      <c r="U2" s="4"/>
      <c r="V2" s="4"/>
      <c r="W2" s="4"/>
      <c r="X2" s="4"/>
      <c r="Y2" s="4"/>
    </row>
    <row r="3" spans="1:30" ht="15" customHeight="1">
      <c r="A3" s="141"/>
      <c r="B3" s="4"/>
      <c r="C3" s="4"/>
      <c r="D3" s="4"/>
      <c r="E3" s="336" t="str">
        <f>Dashboard!H3</f>
        <v>SIMPAR (SIMH3)</v>
      </c>
      <c r="F3" s="336"/>
      <c r="G3" s="336"/>
      <c r="H3" s="336"/>
      <c r="I3" s="336"/>
      <c r="J3" s="336"/>
      <c r="K3" s="336"/>
      <c r="L3" s="336"/>
      <c r="M3" s="336"/>
      <c r="N3" s="336"/>
      <c r="O3" s="4"/>
      <c r="P3" s="4"/>
      <c r="Q3" s="4"/>
      <c r="R3" s="4"/>
      <c r="S3" s="4"/>
      <c r="T3" s="4"/>
      <c r="U3" s="4"/>
      <c r="V3" s="4"/>
      <c r="W3" s="4"/>
      <c r="X3" s="4"/>
      <c r="Y3" s="4"/>
    </row>
    <row r="4" spans="1:30" ht="15" customHeight="1">
      <c r="A4" s="141"/>
      <c r="B4" s="4"/>
      <c r="C4" s="4"/>
      <c r="D4" s="4"/>
      <c r="E4" s="336"/>
      <c r="F4" s="336"/>
      <c r="G4" s="336"/>
      <c r="H4" s="336"/>
      <c r="I4" s="336"/>
      <c r="J4" s="336"/>
      <c r="K4" s="336"/>
      <c r="L4" s="336"/>
      <c r="M4" s="336"/>
      <c r="N4" s="336"/>
      <c r="O4" s="4"/>
      <c r="P4" s="4"/>
      <c r="Q4" s="4"/>
      <c r="R4" s="4"/>
      <c r="S4" s="4"/>
      <c r="T4" s="4"/>
      <c r="U4" s="4"/>
      <c r="V4" s="4"/>
      <c r="W4" s="4"/>
      <c r="X4" s="4"/>
      <c r="Y4" s="4"/>
    </row>
    <row r="5" spans="1:30" ht="15" customHeight="1">
      <c r="A5" s="141"/>
      <c r="B5" s="4"/>
      <c r="C5" s="4"/>
      <c r="D5" s="4"/>
      <c r="E5" s="389"/>
      <c r="F5" s="389"/>
      <c r="G5" s="389"/>
      <c r="H5" s="389"/>
      <c r="I5" s="389"/>
      <c r="J5" s="389"/>
      <c r="K5" s="389"/>
      <c r="L5" s="389"/>
      <c r="M5" s="389"/>
      <c r="N5" s="389"/>
      <c r="O5" s="4"/>
      <c r="P5" s="4"/>
      <c r="Q5" s="4"/>
      <c r="R5" s="4"/>
      <c r="S5" s="4"/>
      <c r="T5" s="4"/>
      <c r="U5" s="4"/>
      <c r="V5" s="4"/>
      <c r="W5" s="4"/>
      <c r="X5" s="4"/>
      <c r="Y5" s="4"/>
    </row>
    <row r="6" spans="1:30">
      <c r="A6" s="141"/>
      <c r="B6" s="4"/>
      <c r="C6" s="4"/>
      <c r="D6" s="4"/>
      <c r="E6" s="34"/>
      <c r="F6" s="4"/>
      <c r="G6" s="4"/>
      <c r="H6" s="4"/>
      <c r="I6" s="4"/>
      <c r="J6" s="4"/>
      <c r="K6" s="4"/>
      <c r="L6" s="4"/>
      <c r="M6" s="4"/>
      <c r="N6" s="4"/>
      <c r="O6" s="4"/>
      <c r="P6" s="4"/>
      <c r="Q6" s="4"/>
      <c r="R6" s="4"/>
      <c r="S6" s="4"/>
      <c r="T6" s="4"/>
      <c r="U6" s="4"/>
      <c r="V6" s="4"/>
      <c r="W6" s="4"/>
      <c r="X6" s="4"/>
      <c r="Y6" s="4"/>
    </row>
    <row r="7" spans="1:30" s="11" customFormat="1" ht="24.75" customHeight="1">
      <c r="A7" s="142" t="s">
        <v>33</v>
      </c>
      <c r="B7" s="10"/>
      <c r="C7" s="4"/>
      <c r="D7" s="10"/>
      <c r="E7" s="10"/>
      <c r="F7" s="10"/>
      <c r="G7" s="10"/>
      <c r="H7" s="10"/>
      <c r="I7" s="10"/>
      <c r="J7" s="10"/>
      <c r="K7" s="10"/>
      <c r="L7" s="10"/>
      <c r="M7" s="10"/>
      <c r="N7" s="10"/>
      <c r="O7" s="4"/>
      <c r="P7" s="4"/>
      <c r="Q7" s="4"/>
      <c r="R7" s="4"/>
      <c r="S7" s="4"/>
      <c r="T7" s="4"/>
      <c r="U7" s="4"/>
      <c r="V7" s="4"/>
      <c r="W7" s="4"/>
      <c r="X7" s="10"/>
      <c r="Y7" s="10"/>
    </row>
    <row r="8" spans="1:30" ht="30" customHeight="1">
      <c r="A8" s="12" t="s">
        <v>34</v>
      </c>
      <c r="B8" s="4"/>
      <c r="C8" s="4"/>
      <c r="D8" s="10"/>
      <c r="E8" s="10"/>
      <c r="F8" s="10"/>
      <c r="G8" s="10"/>
      <c r="H8" s="10"/>
      <c r="I8" s="10"/>
      <c r="J8" s="10"/>
      <c r="K8" s="10"/>
      <c r="L8" s="10"/>
      <c r="M8" s="10"/>
      <c r="N8" s="10"/>
      <c r="O8" s="4"/>
      <c r="P8" s="4"/>
      <c r="Q8" s="4"/>
      <c r="R8" s="4"/>
      <c r="S8" s="4"/>
      <c r="T8" s="4"/>
      <c r="U8" s="4"/>
      <c r="V8" s="4"/>
      <c r="W8" s="4"/>
      <c r="X8" s="4"/>
      <c r="Y8" s="4"/>
    </row>
    <row r="9" spans="1:30" ht="30" customHeight="1">
      <c r="A9" s="12" t="s">
        <v>23</v>
      </c>
      <c r="B9" s="4"/>
      <c r="C9" s="4"/>
      <c r="D9" s="102"/>
      <c r="E9" s="103"/>
      <c r="F9" s="37">
        <v>2014</v>
      </c>
      <c r="G9" s="37">
        <v>2015</v>
      </c>
      <c r="H9" s="37">
        <v>2016</v>
      </c>
      <c r="I9" s="37">
        <v>2017</v>
      </c>
      <c r="J9" s="37">
        <v>2018</v>
      </c>
      <c r="K9" s="37">
        <v>2019</v>
      </c>
      <c r="L9" s="37">
        <v>2020</v>
      </c>
      <c r="M9" s="37">
        <v>2021</v>
      </c>
      <c r="N9" s="37">
        <v>2022</v>
      </c>
      <c r="O9" s="227">
        <v>2023</v>
      </c>
      <c r="P9" s="88"/>
      <c r="Q9" s="4"/>
      <c r="R9" s="4"/>
      <c r="S9" s="4"/>
      <c r="T9" s="4"/>
      <c r="U9" s="4"/>
      <c r="V9" s="4"/>
      <c r="W9" s="4"/>
      <c r="X9" s="4"/>
      <c r="Y9" s="4"/>
      <c r="Z9" s="4"/>
      <c r="AA9" s="4"/>
      <c r="AB9" s="4"/>
      <c r="AC9" s="4"/>
      <c r="AD9" s="4"/>
    </row>
    <row r="10" spans="1:30" ht="30" customHeight="1">
      <c r="A10" s="12" t="s">
        <v>323</v>
      </c>
      <c r="B10" s="4"/>
      <c r="C10" s="4"/>
      <c r="D10" s="106"/>
      <c r="E10" s="116" t="s">
        <v>123</v>
      </c>
      <c r="F10" s="117">
        <f>'Balanço Patrimonial'!F17/'Balanço Patrimonial'!F51</f>
        <v>1.1627448152375446</v>
      </c>
      <c r="G10" s="117">
        <f>'Balanço Patrimonial'!G17/'Balanço Patrimonial'!G51</f>
        <v>1.1320613379583002</v>
      </c>
      <c r="H10" s="117">
        <f>'Balanço Patrimonial'!H17/'Balanço Patrimonial'!H51</f>
        <v>1.0737328912992889</v>
      </c>
      <c r="I10" s="117">
        <f>'Balanço Patrimonial'!I17/'Balanço Patrimonial'!I51</f>
        <v>1.1153380211264901</v>
      </c>
      <c r="J10" s="117">
        <f>'Balanço Patrimonial'!J17/'Balanço Patrimonial'!J51</f>
        <v>1.0853647971977625</v>
      </c>
      <c r="K10" s="117">
        <f>'Balanço Patrimonial'!K17/'Balanço Patrimonial'!K51</f>
        <v>1.1319279543562371</v>
      </c>
      <c r="L10" s="117">
        <f>'Balanço Patrimonial'!L17/'Balanço Patrimonial'!L51</f>
        <v>1.1443187644879458</v>
      </c>
      <c r="M10" s="117">
        <f>'Balanço Patrimonial'!M17/'Balanço Patrimonial'!M51</f>
        <v>1.1381992483188683</v>
      </c>
      <c r="N10" s="117">
        <f>'Balanço Patrimonial'!N17/'Balanço Patrimonial'!N51</f>
        <v>1.0995359461658962</v>
      </c>
      <c r="O10" s="117">
        <f>'Balanço Patrimonial'!O17/'Balanço Patrimonial'!O51</f>
        <v>1.1065124942285038</v>
      </c>
      <c r="P10" s="88"/>
      <c r="Q10" s="4"/>
      <c r="R10" s="4"/>
      <c r="S10" s="4"/>
      <c r="T10" s="4"/>
      <c r="U10" s="4"/>
      <c r="V10" s="4"/>
      <c r="W10" s="4"/>
      <c r="X10" s="4"/>
      <c r="Y10" s="4"/>
      <c r="Z10" s="4"/>
      <c r="AA10" s="4"/>
      <c r="AB10" s="4"/>
      <c r="AC10" s="4"/>
      <c r="AD10" s="4"/>
    </row>
    <row r="11" spans="1:30" ht="30" customHeight="1">
      <c r="A11" s="12" t="s">
        <v>36</v>
      </c>
      <c r="B11" s="4"/>
      <c r="C11" s="4"/>
      <c r="D11" s="106"/>
      <c r="E11" s="116" t="s">
        <v>122</v>
      </c>
      <c r="F11" s="117">
        <f>'Balanço Patrimonial'!F18/'Balanço Patrimonial'!F52</f>
        <v>1.5253073172608527</v>
      </c>
      <c r="G11" s="117">
        <f>'Balanço Patrimonial'!G18/'Balanço Patrimonial'!G52</f>
        <v>1.3963164391278415</v>
      </c>
      <c r="H11" s="117">
        <f>'Balanço Patrimonial'!H18/'Balanço Patrimonial'!H52</f>
        <v>0.85052041818793156</v>
      </c>
      <c r="I11" s="117">
        <f>'Balanço Patrimonial'!I18/'Balanço Patrimonial'!I52</f>
        <v>1.4341560564503555</v>
      </c>
      <c r="J11" s="117">
        <f>'Balanço Patrimonial'!J18/'Balanço Patrimonial'!J52</f>
        <v>1.7820243351593046</v>
      </c>
      <c r="K11" s="117">
        <f>'Balanço Patrimonial'!K18/'Balanço Patrimonial'!K52</f>
        <v>1.9001694390728896</v>
      </c>
      <c r="L11" s="117">
        <f>'Balanço Patrimonial'!L18/'Balanço Patrimonial'!L52</f>
        <v>2.0807542926895133</v>
      </c>
      <c r="M11" s="117">
        <f>'Balanço Patrimonial'!M18/'Balanço Patrimonial'!M52</f>
        <v>3.3011275638774928</v>
      </c>
      <c r="N11" s="117">
        <f>'Balanço Patrimonial'!N18/'Balanço Patrimonial'!N52</f>
        <v>1.5496457881218766</v>
      </c>
      <c r="O11" s="117">
        <f>'Balanço Patrimonial'!O18/'Balanço Patrimonial'!O52</f>
        <v>1.4456854227088194</v>
      </c>
      <c r="P11" s="88"/>
      <c r="Q11" s="4"/>
      <c r="R11" s="4"/>
      <c r="S11" s="4"/>
      <c r="T11" s="4"/>
      <c r="U11" s="4"/>
      <c r="V11" s="4"/>
      <c r="W11" s="4"/>
      <c r="X11" s="4"/>
      <c r="Y11" s="4"/>
      <c r="Z11" s="4"/>
      <c r="AA11" s="4"/>
      <c r="AB11" s="4"/>
      <c r="AC11" s="4"/>
      <c r="AD11" s="4"/>
    </row>
    <row r="12" spans="1:30" ht="30" customHeight="1">
      <c r="A12" s="166" t="s">
        <v>127</v>
      </c>
      <c r="B12" s="4"/>
      <c r="C12" s="4"/>
      <c r="D12" s="106"/>
      <c r="E12" s="116" t="s">
        <v>121</v>
      </c>
      <c r="F12" s="117">
        <f>('Balanço Patrimonial'!F18-'Balanço Patrimonial'!F26)/'Balanço Patrimonial'!F52</f>
        <v>1.3682089351251179</v>
      </c>
      <c r="G12" s="117">
        <f>('Balanço Patrimonial'!G18-'Balanço Patrimonial'!G26)/'Balanço Patrimonial'!G52</f>
        <v>1.3137770064285241</v>
      </c>
      <c r="H12" s="117">
        <f>('Balanço Patrimonial'!H18-'Balanço Patrimonial'!H26)/'Balanço Patrimonial'!H52</f>
        <v>0.79898076553412134</v>
      </c>
      <c r="I12" s="117">
        <f>('Balanço Patrimonial'!I18-'Balanço Patrimonial'!I26)/'Balanço Patrimonial'!I52</f>
        <v>1.3555070026149572</v>
      </c>
      <c r="J12" s="117">
        <f>('Balanço Patrimonial'!J18-'Balanço Patrimonial'!J26)/'Balanço Patrimonial'!J52</f>
        <v>1.7171034013814472</v>
      </c>
      <c r="K12" s="117">
        <f>('Balanço Patrimonial'!K18-'Balanço Patrimonial'!K26)/'Balanço Patrimonial'!K52</f>
        <v>1.8347624946355692</v>
      </c>
      <c r="L12" s="117">
        <f>('Balanço Patrimonial'!L18-'Balanço Patrimonial'!L26)/'Balanço Patrimonial'!L52</f>
        <v>2.0421981886231286</v>
      </c>
      <c r="M12" s="117">
        <f>('Balanço Patrimonial'!M18-'Balanço Patrimonial'!M26)/'Balanço Patrimonial'!M52</f>
        <v>3.2274375838373266</v>
      </c>
      <c r="N12" s="117">
        <f>('Balanço Patrimonial'!L18-'Balanço Patrimonial'!N26)/'Balanço Patrimonial'!N52</f>
        <v>0.70212369532226848</v>
      </c>
      <c r="O12" s="117">
        <f>('Balanço Patrimonial'!M18-'Balanço Patrimonial'!O26)/'Balanço Patrimonial'!O52</f>
        <v>1.3484933915428423</v>
      </c>
      <c r="P12" s="88"/>
      <c r="Q12" s="4"/>
      <c r="R12" s="4"/>
      <c r="S12" s="4"/>
      <c r="T12" s="4"/>
      <c r="U12" s="4"/>
      <c r="V12" s="4"/>
      <c r="W12" s="4"/>
      <c r="X12" s="4"/>
      <c r="Y12" s="4"/>
      <c r="Z12" s="4"/>
      <c r="AA12" s="4"/>
      <c r="AB12" s="4"/>
      <c r="AC12" s="4"/>
      <c r="AD12" s="4"/>
    </row>
    <row r="13" spans="1:30" ht="30" customHeight="1" thickBot="1">
      <c r="A13" s="12" t="s">
        <v>37</v>
      </c>
      <c r="B13" s="4"/>
      <c r="C13" s="4"/>
      <c r="D13" s="106"/>
      <c r="E13" s="185" t="s">
        <v>120</v>
      </c>
      <c r="F13" s="185">
        <f>('Balanço Patrimonial'!F19+'Balanço Patrimonial'!F23)/'Balanço Patrimonial'!F52</f>
        <v>1.0899289071667817</v>
      </c>
      <c r="G13" s="185">
        <f>('Balanço Patrimonial'!G19+'Balanço Patrimonial'!G23)/'Balanço Patrimonial'!G52</f>
        <v>0.99466333090330705</v>
      </c>
      <c r="H13" s="185">
        <f>('Balanço Patrimonial'!H19+'Balanço Patrimonial'!H23)/'Balanço Patrimonial'!H52</f>
        <v>0.46976953579686942</v>
      </c>
      <c r="I13" s="185">
        <f>('Balanço Patrimonial'!I19+'Balanço Patrimonial'!I23)/'Balanço Patrimonial'!I52</f>
        <v>1.3265776013455655</v>
      </c>
      <c r="J13" s="185">
        <f>('Balanço Patrimonial'!J19+'Balanço Patrimonial'!J23)/'Balanço Patrimonial'!J52</f>
        <v>2.2213333835545628</v>
      </c>
      <c r="K13" s="185">
        <f>('Balanço Patrimonial'!K19+'Balanço Patrimonial'!K23)/'Balanço Patrimonial'!K52</f>
        <v>2.3415067168657706</v>
      </c>
      <c r="L13" s="185">
        <f>('Balanço Patrimonial'!L19+'Balanço Patrimonial'!L23)/'Balanço Patrimonial'!L52</f>
        <v>2.9407382053982203</v>
      </c>
      <c r="M13" s="185">
        <f>('Balanço Patrimonial'!M19+'Balanço Patrimonial'!M23)/'Balanço Patrimonial'!M52</f>
        <v>5.0824393253839597</v>
      </c>
      <c r="N13" s="185">
        <f>('Balanço Patrimonial'!N19+'Balanço Patrimonial'!N23)/'Balanço Patrimonial'!N52</f>
        <v>1.7024721227604995</v>
      </c>
      <c r="O13" s="185">
        <f>('Balanço Patrimonial'!O19+'Balanço Patrimonial'!O23)/'Balanço Patrimonial'!O52</f>
        <v>1.3404303816477867</v>
      </c>
      <c r="P13" s="88"/>
      <c r="Q13" s="4"/>
      <c r="R13" s="4"/>
      <c r="S13" s="4"/>
      <c r="T13" s="4"/>
      <c r="U13" s="4"/>
      <c r="V13" s="4"/>
      <c r="W13" s="4"/>
      <c r="X13" s="4"/>
      <c r="Y13" s="4"/>
      <c r="Z13" s="4"/>
      <c r="AA13" s="4"/>
      <c r="AB13" s="4"/>
      <c r="AC13" s="4"/>
      <c r="AD13" s="4"/>
    </row>
    <row r="14" spans="1:30" ht="30" customHeight="1">
      <c r="A14" s="167" t="s">
        <v>100</v>
      </c>
      <c r="B14" s="4"/>
      <c r="C14" s="4"/>
      <c r="D14" s="4"/>
      <c r="E14" s="177"/>
      <c r="F14" s="177"/>
      <c r="G14" s="177"/>
      <c r="H14" s="177"/>
      <c r="I14" s="177"/>
      <c r="J14" s="177"/>
      <c r="K14" s="177"/>
      <c r="L14" s="177"/>
      <c r="M14" s="177"/>
      <c r="N14" s="177"/>
      <c r="O14" s="177"/>
      <c r="P14" s="4"/>
      <c r="Q14" s="4"/>
      <c r="R14" s="4"/>
      <c r="S14" s="4"/>
      <c r="T14" s="4"/>
      <c r="U14" s="4"/>
      <c r="V14" s="4"/>
      <c r="W14" s="4"/>
      <c r="X14" s="4"/>
      <c r="Y14" s="4"/>
      <c r="Z14" s="4"/>
      <c r="AA14" s="4"/>
      <c r="AB14" s="4"/>
      <c r="AC14" s="4"/>
      <c r="AD14" s="4"/>
    </row>
    <row r="15" spans="1:30" ht="30" customHeight="1">
      <c r="A15" s="12" t="s">
        <v>324</v>
      </c>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ht="30" customHeight="1">
      <c r="A16" s="166" t="s">
        <v>129</v>
      </c>
      <c r="B16" s="4"/>
      <c r="C16" s="4"/>
      <c r="D16" s="4"/>
      <c r="E16" s="10"/>
      <c r="F16" s="51"/>
      <c r="G16" s="51"/>
      <c r="H16" s="51"/>
      <c r="I16" s="51"/>
      <c r="J16" s="51"/>
      <c r="K16" s="51"/>
      <c r="L16" s="51"/>
      <c r="M16" s="51"/>
      <c r="N16" s="51"/>
      <c r="O16" s="51"/>
      <c r="P16" s="4"/>
      <c r="Q16" s="4"/>
      <c r="R16" s="4"/>
      <c r="S16" s="4"/>
      <c r="T16" s="4"/>
      <c r="U16" s="4"/>
      <c r="V16" s="4"/>
      <c r="W16" s="4"/>
      <c r="X16" s="4"/>
      <c r="Y16" s="4"/>
      <c r="Z16" s="4"/>
      <c r="AA16" s="4"/>
      <c r="AB16" s="4"/>
      <c r="AC16" s="4"/>
      <c r="AD16" s="4"/>
    </row>
    <row r="17" spans="1:30" ht="30" customHeight="1">
      <c r="A17" s="166" t="s">
        <v>479</v>
      </c>
      <c r="B17" s="4"/>
      <c r="C17" s="4"/>
      <c r="D17" s="90"/>
      <c r="E17" s="103"/>
      <c r="F17" s="37">
        <v>2014</v>
      </c>
      <c r="G17" s="37">
        <v>2015</v>
      </c>
      <c r="H17" s="37">
        <v>2016</v>
      </c>
      <c r="I17" s="37">
        <v>2017</v>
      </c>
      <c r="J17" s="37">
        <v>2018</v>
      </c>
      <c r="K17" s="37">
        <v>2019</v>
      </c>
      <c r="L17" s="37">
        <v>2020</v>
      </c>
      <c r="M17" s="37">
        <v>2021</v>
      </c>
      <c r="N17" s="37">
        <v>2022</v>
      </c>
      <c r="O17" s="37">
        <v>2023</v>
      </c>
      <c r="P17" s="4"/>
      <c r="Q17" s="4"/>
      <c r="R17" s="4"/>
      <c r="S17" s="4"/>
      <c r="T17" s="4"/>
      <c r="U17" s="4"/>
      <c r="V17" s="4"/>
      <c r="W17" s="4"/>
      <c r="X17" s="4"/>
      <c r="Y17" s="4"/>
      <c r="Z17" s="4"/>
      <c r="AA17" s="4"/>
      <c r="AB17" s="4"/>
      <c r="AC17" s="4"/>
      <c r="AD17" s="4"/>
    </row>
    <row r="18" spans="1:30" ht="30" customHeight="1">
      <c r="A18" s="12" t="s">
        <v>128</v>
      </c>
      <c r="B18" s="4"/>
      <c r="C18" s="4"/>
      <c r="D18" s="90"/>
      <c r="E18" s="116" t="s">
        <v>119</v>
      </c>
      <c r="F18" s="60">
        <f>'DRE Consolidado'!K46/'Balanço Patrimonial'!F87</f>
        <v>6.9328601684979799E-2</v>
      </c>
      <c r="G18" s="60">
        <f>'DRE Consolidado'!L46/'Balanço Patrimonial'!G87</f>
        <v>4.5849826399953719E-2</v>
      </c>
      <c r="H18" s="60">
        <f>'DRE Consolidado'!M46/'Balanço Patrimonial'!H87</f>
        <v>-0.30078375799891294</v>
      </c>
      <c r="I18" s="60">
        <f>'DRE Consolidado'!N46/'Balanço Patrimonial'!I87</f>
        <v>1.4056771936905122E-2</v>
      </c>
      <c r="J18" s="60">
        <f>'DRE Consolidado'!O46/'Balanço Patrimonial'!J87</f>
        <v>0.15151794274564898</v>
      </c>
      <c r="K18" s="60">
        <f>'DRE Consolidado'!P46/'Balanço Patrimonial'!K87</f>
        <v>0.13387813171885446</v>
      </c>
      <c r="L18" s="60">
        <f>'DRE Consolidado'!Q46/'Balanço Patrimonial'!L87</f>
        <v>0.13215224033376244</v>
      </c>
      <c r="M18" s="60">
        <f>'DRE Consolidado'!R46/'Balanço Patrimonial'!M87</f>
        <v>0.22817490977394553</v>
      </c>
      <c r="N18" s="60">
        <f>'DRE Consolidado'!S46/'Balanço Patrimonial'!N87</f>
        <v>0.16853253807540391</v>
      </c>
      <c r="O18" s="60">
        <f>'DRE Consolidado'!T46/'Balanço Patrimonial'!O87</f>
        <v>-9.2102293159740348E-2</v>
      </c>
      <c r="P18" s="4"/>
      <c r="Q18" s="4"/>
      <c r="R18" s="4"/>
      <c r="S18" s="4"/>
      <c r="T18" s="4"/>
      <c r="U18" s="4"/>
      <c r="V18" s="4"/>
      <c r="W18" s="4"/>
      <c r="X18" s="4"/>
      <c r="Y18" s="4"/>
      <c r="Z18" s="4"/>
      <c r="AA18" s="4"/>
      <c r="AB18" s="4"/>
      <c r="AC18" s="4"/>
      <c r="AD18" s="4"/>
    </row>
    <row r="19" spans="1:30" ht="30" customHeight="1">
      <c r="A19" s="12"/>
      <c r="B19" s="4"/>
      <c r="C19" s="4"/>
      <c r="D19" s="90"/>
      <c r="E19" s="116" t="s">
        <v>118</v>
      </c>
      <c r="F19" s="60">
        <f>'DRE Consolidado'!K46/'Balanço Patrimonial'!F17</f>
        <v>9.7036515012060582E-3</v>
      </c>
      <c r="G19" s="60">
        <f>'DRE Consolidado'!L46/'Balanço Patrimonial'!G17</f>
        <v>5.3486407639836914E-3</v>
      </c>
      <c r="H19" s="60">
        <f>'DRE Consolidado'!M46/'Balanço Patrimonial'!H17</f>
        <v>-2.0654723640149506E-2</v>
      </c>
      <c r="I19" s="60">
        <f>'DRE Consolidado'!N46/'Balanço Patrimonial'!I17</f>
        <v>1.4536223350402108E-3</v>
      </c>
      <c r="J19" s="60">
        <f>'DRE Consolidado'!O46/'Balanço Patrimonial'!J17</f>
        <v>1.1917005681130233E-2</v>
      </c>
      <c r="K19" s="60">
        <f>'DRE Consolidado'!P46/'Balanço Patrimonial'!K17</f>
        <v>1.5735940230639373E-2</v>
      </c>
      <c r="L19" s="60">
        <f>'DRE Consolidado'!Q46/'Balanço Patrimonial'!L17</f>
        <v>1.6666726650958086E-2</v>
      </c>
      <c r="M19" s="60">
        <f>'DRE Consolidado'!R46/'Balanço Patrimonial'!M17</f>
        <v>2.7704816237192502E-2</v>
      </c>
      <c r="N19" s="60">
        <f>'DRE Consolidado'!S46/'Balanço Patrimonial'!N17</f>
        <v>1.5256477694585786E-2</v>
      </c>
      <c r="O19" s="60">
        <f>'DRE Consolidado'!T46/'Balanço Patrimonial'!O17</f>
        <v>-8.8657335726233105E-3</v>
      </c>
      <c r="P19" s="4"/>
      <c r="Q19" s="4"/>
      <c r="R19" s="4"/>
      <c r="S19" s="4"/>
      <c r="T19" s="4"/>
      <c r="U19" s="4"/>
      <c r="V19" s="4"/>
      <c r="W19" s="4"/>
      <c r="X19" s="4"/>
      <c r="Y19" s="4"/>
      <c r="Z19" s="4"/>
      <c r="AA19" s="4"/>
      <c r="AB19" s="4"/>
      <c r="AC19" s="4"/>
      <c r="AD19" s="4"/>
    </row>
    <row r="20" spans="1:30" ht="30" customHeight="1" thickBot="1">
      <c r="A20" s="143"/>
      <c r="B20" s="4"/>
      <c r="C20" s="4"/>
      <c r="D20" s="90"/>
      <c r="E20" s="185" t="s">
        <v>26</v>
      </c>
      <c r="F20" s="186">
        <f>'DRE + DCF'!K39</f>
        <v>8.749605118837156E-2</v>
      </c>
      <c r="G20" s="186">
        <f>'DRE + DCF'!L39</f>
        <v>9.2741799701985914E-2</v>
      </c>
      <c r="H20" s="186">
        <f>'DRE + DCF'!M39</f>
        <v>9.0692944750984772E-2</v>
      </c>
      <c r="I20" s="186">
        <f>'DRE + DCF'!N39</f>
        <v>9.2089721960406726E-2</v>
      </c>
      <c r="J20" s="186">
        <f>'DRE + DCF'!O39</f>
        <v>9.8681458889431931E-2</v>
      </c>
      <c r="K20" s="186">
        <f>'DRE + DCF'!P39</f>
        <v>0.10811251665869327</v>
      </c>
      <c r="L20" s="186">
        <f>'DRE + DCF'!Q39</f>
        <v>8.4555268280735951E-2</v>
      </c>
      <c r="M20" s="186">
        <f>'DRE + DCF'!R39</f>
        <v>0.12089622240749426</v>
      </c>
      <c r="N20" s="186">
        <f>'DRE + DCF'!S39</f>
        <v>0.15951948478766095</v>
      </c>
      <c r="O20" s="186">
        <f>'DRE + DCF'!T39</f>
        <v>0.13630930941080474</v>
      </c>
      <c r="P20" s="4"/>
      <c r="Q20" s="4"/>
      <c r="R20" s="4"/>
      <c r="S20" s="4"/>
      <c r="T20" s="4"/>
      <c r="U20" s="4"/>
      <c r="V20" s="4"/>
      <c r="W20" s="4"/>
      <c r="X20" s="4"/>
      <c r="Y20" s="4"/>
      <c r="Z20" s="4"/>
      <c r="AA20" s="4"/>
      <c r="AB20" s="4"/>
      <c r="AC20" s="4"/>
      <c r="AD20" s="4"/>
    </row>
    <row r="21" spans="1:30" ht="30" customHeight="1">
      <c r="A21" s="143"/>
      <c r="B21" s="4"/>
      <c r="C21" s="4"/>
      <c r="D21" s="4"/>
      <c r="E21" s="177"/>
      <c r="F21" s="177"/>
      <c r="G21" s="177"/>
      <c r="H21" s="177"/>
      <c r="I21" s="177"/>
      <c r="J21" s="177"/>
      <c r="K21" s="177"/>
      <c r="L21" s="177"/>
      <c r="M21" s="177"/>
      <c r="N21" s="177"/>
      <c r="O21" s="177"/>
      <c r="P21" s="4"/>
      <c r="Q21" s="4"/>
      <c r="R21" s="4"/>
      <c r="S21" s="4"/>
      <c r="T21" s="4"/>
      <c r="U21" s="4"/>
      <c r="V21" s="4"/>
      <c r="W21" s="4"/>
      <c r="X21" s="4"/>
      <c r="Y21" s="4"/>
      <c r="Z21" s="4"/>
      <c r="AA21" s="4"/>
      <c r="AB21" s="4"/>
      <c r="AC21" s="4"/>
      <c r="AD21" s="4"/>
    </row>
    <row r="22" spans="1:30" ht="30" customHeight="1">
      <c r="A22" s="14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ht="30" customHeight="1">
      <c r="A23" s="143"/>
      <c r="B23" s="4"/>
      <c r="C23" s="4"/>
      <c r="D23" s="4"/>
      <c r="E23" s="4"/>
      <c r="F23" s="4"/>
      <c r="G23" s="4"/>
      <c r="H23" s="4"/>
      <c r="I23" s="4"/>
      <c r="J23" s="4">
        <v>-624650</v>
      </c>
      <c r="K23" s="4"/>
      <c r="L23" s="4"/>
      <c r="M23" s="4"/>
      <c r="N23" s="4"/>
      <c r="O23" s="4"/>
      <c r="P23" s="4"/>
      <c r="Q23" s="4"/>
      <c r="R23" s="4"/>
      <c r="S23" s="4"/>
      <c r="T23" s="4"/>
      <c r="U23" s="4"/>
      <c r="V23" s="4"/>
      <c r="W23" s="4"/>
      <c r="X23" s="4"/>
      <c r="Y23" s="4"/>
      <c r="Z23" s="4"/>
      <c r="AA23" s="4"/>
      <c r="AB23" s="4"/>
      <c r="AC23" s="4"/>
      <c r="AD23" s="4"/>
    </row>
    <row r="24" spans="1:30" ht="30" customHeight="1">
      <c r="A24" s="143"/>
      <c r="B24" s="4"/>
      <c r="C24" s="4"/>
      <c r="D24" s="4"/>
      <c r="E24" s="118"/>
      <c r="F24" s="37">
        <v>2014</v>
      </c>
      <c r="G24" s="37">
        <v>2015</v>
      </c>
      <c r="H24" s="37">
        <v>2016</v>
      </c>
      <c r="I24" s="37">
        <v>2017</v>
      </c>
      <c r="J24" s="37">
        <v>2018</v>
      </c>
      <c r="K24" s="37">
        <v>2019</v>
      </c>
      <c r="L24" s="37">
        <v>2020</v>
      </c>
      <c r="M24" s="37">
        <v>2021</v>
      </c>
      <c r="N24" s="37">
        <v>2022</v>
      </c>
      <c r="O24" s="37">
        <v>2023</v>
      </c>
      <c r="P24" s="4"/>
      <c r="Q24" s="4"/>
      <c r="R24" s="4"/>
      <c r="S24" s="4"/>
      <c r="T24" s="4"/>
      <c r="U24" s="4"/>
      <c r="V24" s="4"/>
      <c r="W24" s="4"/>
      <c r="X24" s="4"/>
      <c r="Y24" s="4"/>
      <c r="Z24" s="4"/>
      <c r="AA24" s="4"/>
      <c r="AB24" s="4"/>
      <c r="AC24" s="4"/>
      <c r="AD24" s="4"/>
    </row>
    <row r="25" spans="1:30" ht="30" customHeight="1">
      <c r="A25" s="143"/>
      <c r="B25" s="4"/>
      <c r="C25" s="4"/>
      <c r="D25" s="90"/>
      <c r="E25" s="116" t="s">
        <v>117</v>
      </c>
      <c r="F25" s="120">
        <f>SUM('Balanço Patrimonial'!F54:F59,'Balanço Patrimonial'!F72:F75,-'Balanço Patrimonial'!F19,-'Balanço Patrimonial'!F23,-'Balanço Patrimonial'!F36)/('DRE Consolidado'!K35+'Projeções - CG + Capex'!K57+'DRE Consolidado'!K56)</f>
        <v>3.7030082845493557</v>
      </c>
      <c r="G25" s="120">
        <f>SUM('Balanço Patrimonial'!G54:G59,'Balanço Patrimonial'!G72:G75,-'Balanço Patrimonial'!G19,-'Balanço Patrimonial'!G23,-'Balanço Patrimonial'!G36)/('DRE Consolidado'!L35+'Projeções - CG + Capex'!L57+'DRE Consolidado'!L56)</f>
        <v>3.623152495098807</v>
      </c>
      <c r="H25" s="120">
        <f>SUM('Balanço Patrimonial'!H54:H59,'Balanço Patrimonial'!H72:H75,-'Balanço Patrimonial'!H19,-'Balanço Patrimonial'!H23,-'Balanço Patrimonial'!H36)/('DRE Consolidado'!M35+'Projeções - CG + Capex'!M57+'DRE Consolidado'!M56)</f>
        <v>4.6164918687916483</v>
      </c>
      <c r="I25" s="120">
        <f>SUM('Balanço Patrimonial'!I54:I59,'Balanço Patrimonial'!I72:I75,-'Balanço Patrimonial'!I19,-'Balanço Patrimonial'!I23,-'Balanço Patrimonial'!I36)/('DRE Consolidado'!N35+'Projeções - CG + Capex'!N57+'DRE Consolidado'!N56)</f>
        <v>3.4008003570148291</v>
      </c>
      <c r="J25" s="120">
        <f>SUM('Balanço Patrimonial'!J54:J59,'Balanço Patrimonial'!J72:J75,-'Balanço Patrimonial'!J19,-'Balanço Patrimonial'!J23,-'Balanço Patrimonial'!J36)/('DRE Consolidado'!O35+'Projeções - CG + Capex'!O57+'DRE Consolidado'!O56)</f>
        <v>1.9569361278069826</v>
      </c>
      <c r="K25" s="120">
        <f>SUM('Balanço Patrimonial'!K54:K59,'Balanço Patrimonial'!K72:K75,-'Balanço Patrimonial'!K19,-'Balanço Patrimonial'!K23,-'Balanço Patrimonial'!K36)/('DRE Consolidado'!P35+'Projeções - CG + Capex'!P57+'DRE Consolidado'!P56)</f>
        <v>1.7370326417629491</v>
      </c>
      <c r="L25" s="120">
        <f>SUM('Balanço Patrimonial'!L54:L59,'Balanço Patrimonial'!L72:L75,-'Balanço Patrimonial'!L19,-'Balanço Patrimonial'!L23,-'Balanço Patrimonial'!L36)/('DRE Consolidado'!Q35+'Projeções - CG + Capex'!Q57+'DRE Consolidado'!Q56)</f>
        <v>0.71489470969006996</v>
      </c>
      <c r="M25" s="120">
        <f>SUM('Balanço Patrimonial'!M54:M59,'Balanço Patrimonial'!M72:M75,-'Balanço Patrimonial'!M19,-'Balanço Patrimonial'!M23,-'Balanço Patrimonial'!M36)/('DRE Consolidado'!R35+'Projeções - CG + Capex'!R57+'DRE Consolidado'!R56)</f>
        <v>-0.41322802658446439</v>
      </c>
      <c r="N25" s="120">
        <f>SUM('Balanço Patrimonial'!N54:N59,'Balanço Patrimonial'!N72:N75,-'Balanço Patrimonial'!N19,-'Balanço Patrimonial'!N23,-'Balanço Patrimonial'!N36)/('DRE Consolidado'!S35+'Projeções - CG + Capex'!S57+'DRE Consolidado'!S56)</f>
        <v>2.3347058221274515</v>
      </c>
      <c r="O25" s="120">
        <f>SUM('Balanço Patrimonial'!O54:O59,'Balanço Patrimonial'!O72:O75,-'Balanço Patrimonial'!O19,-'Balanço Patrimonial'!O23,-'Balanço Patrimonial'!O36)/('DRE Consolidado'!T35+'Projeções - CG + Capex'!T57+'DRE Consolidado'!T56)</f>
        <v>2.9834778380369955</v>
      </c>
      <c r="P25" s="4"/>
      <c r="Q25" s="4"/>
      <c r="R25" s="4"/>
      <c r="S25" s="4"/>
      <c r="T25" s="4"/>
      <c r="U25" s="4"/>
      <c r="V25" s="4"/>
      <c r="W25" s="4"/>
      <c r="X25" s="4"/>
      <c r="Y25" s="4"/>
      <c r="Z25" s="4"/>
      <c r="AA25" s="4"/>
      <c r="AB25" s="4"/>
      <c r="AC25" s="4"/>
      <c r="AD25" s="4"/>
    </row>
    <row r="26" spans="1:30" ht="30" customHeight="1">
      <c r="A26" s="143"/>
      <c r="B26" s="4"/>
      <c r="C26" s="4"/>
      <c r="D26" s="90"/>
      <c r="E26" s="116" t="s">
        <v>116</v>
      </c>
      <c r="F26" s="120">
        <f>-'DRE Consolidado'!K35/'DRE Consolidado'!K41</f>
        <v>1.0036056355232534</v>
      </c>
      <c r="G26" s="120">
        <f>-'DRE Consolidado'!L35/'DRE Consolidado'!L41</f>
        <v>0.81634866023144959</v>
      </c>
      <c r="H26" s="120">
        <f>-'DRE Consolidado'!M35/'DRE Consolidado'!M41</f>
        <v>0.52504800121266226</v>
      </c>
      <c r="I26" s="120">
        <f>-'DRE Consolidado'!N35/'DRE Consolidado'!N41</f>
        <v>0.80044676944333348</v>
      </c>
      <c r="J26" s="120">
        <f>-'DRE Consolidado'!O35/'DRE Consolidado'!O41</f>
        <v>0.96165172547716382</v>
      </c>
      <c r="K26" s="120">
        <f>-'DRE Consolidado'!P35/'DRE Consolidado'!P41</f>
        <v>1.0580478658872836</v>
      </c>
      <c r="L26" s="120">
        <f>-'DRE Consolidado'!Q35/'DRE Consolidado'!Q41</f>
        <v>0.9770252759907494</v>
      </c>
      <c r="M26" s="120">
        <f>-'DRE Consolidado'!R35/'DRE Consolidado'!R41</f>
        <v>1.6021612575519908</v>
      </c>
      <c r="N26" s="120">
        <f>-'DRE Consolidado'!S35/'DRE Consolidado'!S41</f>
        <v>0.95490189089317046</v>
      </c>
      <c r="O26" s="120">
        <f>-'DRE Consolidado'!T35/'DRE Consolidado'!T41</f>
        <v>0.69613316478999121</v>
      </c>
      <c r="P26" s="4"/>
      <c r="Q26" s="4"/>
      <c r="R26" s="4"/>
      <c r="S26" s="4"/>
      <c r="T26" s="4"/>
      <c r="U26" s="4"/>
      <c r="V26" s="4"/>
      <c r="W26" s="4"/>
      <c r="X26" s="4"/>
      <c r="Y26" s="4"/>
      <c r="Z26" s="4"/>
      <c r="AA26" s="4"/>
      <c r="AB26" s="4"/>
      <c r="AC26" s="4"/>
      <c r="AD26" s="4"/>
    </row>
    <row r="27" spans="1:30" ht="30" customHeight="1">
      <c r="A27" s="143"/>
      <c r="B27" s="4"/>
      <c r="C27" s="4"/>
      <c r="D27" s="90"/>
      <c r="E27" s="116" t="s">
        <v>115</v>
      </c>
      <c r="F27" s="120">
        <f>SUM('Balanço Patrimonial'!F54:F59,'Balanço Patrimonial'!F72:F75)/'Balanço Patrimonial'!F17</f>
        <v>0.70690150110559202</v>
      </c>
      <c r="G27" s="120">
        <f>SUM('Balanço Patrimonial'!G54:G59,'Balanço Patrimonial'!G72:G75)/'Balanço Patrimonial'!G17</f>
        <v>0.72844595912312071</v>
      </c>
      <c r="H27" s="120">
        <f>SUM('Balanço Patrimonial'!H54:H59,'Balanço Patrimonial'!H72:H75)/'Balanço Patrimonial'!H17</f>
        <v>0.71368500886802022</v>
      </c>
      <c r="I27" s="120">
        <f>SUM('Balanço Patrimonial'!I54:I59,'Balanço Patrimonial'!I72:I75)/'Balanço Patrimonial'!I17</f>
        <v>0.72524833656843568</v>
      </c>
      <c r="J27" s="120">
        <f>SUM('Balanço Patrimonial'!J54:J59,'Balanço Patrimonial'!J72:J75)/'Balanço Patrimonial'!J17</f>
        <v>0.76193656602507476</v>
      </c>
      <c r="K27" s="120">
        <f>SUM('Balanço Patrimonial'!K54:K59,'Balanço Patrimonial'!K72:K75)/'Balanço Patrimonial'!K17</f>
        <v>0.72262563737657315</v>
      </c>
      <c r="L27" s="120">
        <f>SUM('Balanço Patrimonial'!L54:L59,'Balanço Patrimonial'!L72:L75)/'Balanço Patrimonial'!L17</f>
        <v>0.70134293353229338</v>
      </c>
      <c r="M27" s="120">
        <f>SUM('Balanço Patrimonial'!M54:M59,'Balanço Patrimonial'!M72:M75)/'Balanço Patrimonial'!M17</f>
        <v>0.72033239358563306</v>
      </c>
      <c r="N27" s="120">
        <f>SUM('Balanço Patrimonial'!N54:N59,'Balanço Patrimonial'!N72:N75)/'Balanço Patrimonial'!N17</f>
        <v>0.65320915438937777</v>
      </c>
      <c r="O27" s="120">
        <f>SUM('Balanço Patrimonial'!O54:O59,'Balanço Patrimonial'!O72:O75)/'Balanço Patrimonial'!O17</f>
        <v>0.6529064094470497</v>
      </c>
      <c r="P27" s="4"/>
      <c r="Q27" s="4"/>
      <c r="R27" s="4"/>
      <c r="S27" s="4"/>
      <c r="T27" s="4"/>
      <c r="U27" s="4"/>
      <c r="V27" s="4"/>
      <c r="W27" s="4"/>
      <c r="X27" s="4"/>
      <c r="Y27" s="4"/>
      <c r="Z27" s="4"/>
      <c r="AA27" s="4"/>
      <c r="AB27" s="4"/>
      <c r="AC27" s="4"/>
      <c r="AD27" s="4"/>
    </row>
    <row r="28" spans="1:30" ht="30" customHeight="1">
      <c r="A28" s="143"/>
      <c r="B28" s="4"/>
      <c r="C28" s="4"/>
      <c r="D28" s="90"/>
      <c r="E28" s="116" t="s">
        <v>114</v>
      </c>
      <c r="F28" s="120">
        <f>SUM('Balanço Patrimonial'!F54:F59,'Balanço Patrimonial'!F72:F75)/'Balanço Patrimonial'!F87</f>
        <v>5.0505206822990987</v>
      </c>
      <c r="G28" s="120">
        <f>SUM('Balanço Patrimonial'!G54:G59,'Balanço Patrimonial'!G72:G75)/'Balanço Patrimonial'!G87</f>
        <v>6.2444127847290787</v>
      </c>
      <c r="H28" s="120">
        <f>SUM('Balanço Patrimonial'!H54:H59,'Balanço Patrimonial'!H72:H75)/'Balanço Patrimonial'!H87</f>
        <v>10.393015308979308</v>
      </c>
      <c r="I28" s="120">
        <f>SUM('Balanço Patrimonial'!I54:I59,'Balanço Patrimonial'!I72:I75)/'Balanço Patrimonial'!I87</f>
        <v>7.0132731308646958</v>
      </c>
      <c r="J28" s="120">
        <f>SUM('Balanço Patrimonial'!J54:J59,'Balanço Patrimonial'!J72:J75)/'Balanço Patrimonial'!J87</f>
        <v>9.6875896576609186</v>
      </c>
      <c r="K28" s="120">
        <f>SUM('Balanço Patrimonial'!K54:K59,'Balanço Patrimonial'!K72:K75)/'Balanço Patrimonial'!K87</f>
        <v>6.1479497790511868</v>
      </c>
      <c r="L28" s="120">
        <f>SUM('Balanço Patrimonial'!L54:L59,'Balanço Patrimonial'!L72:L75)/'Balanço Patrimonial'!L87</f>
        <v>5.5610223800735143</v>
      </c>
      <c r="M28" s="120">
        <f>SUM('Balanço Patrimonial'!M54:M59,'Balanço Patrimonial'!M72:M75)/'Balanço Patrimonial'!M87</f>
        <v>5.9326067174198958</v>
      </c>
      <c r="N28" s="120">
        <f>SUM('Balanço Patrimonial'!N54:N59,'Balanço Patrimonial'!N72:N75)/'Balanço Patrimonial'!N87</f>
        <v>7.2157544413018631</v>
      </c>
      <c r="O28" s="120">
        <f>SUM('Balanço Patrimonial'!O54:O59,'Balanço Patrimonial'!O72:O75)/'Balanço Patrimonial'!O87</f>
        <v>6.7827638893249906</v>
      </c>
      <c r="P28" s="4"/>
      <c r="Q28" s="4"/>
      <c r="R28" s="4"/>
      <c r="S28" s="4"/>
      <c r="T28" s="4"/>
      <c r="U28" s="4"/>
      <c r="V28" s="4"/>
      <c r="W28" s="4"/>
      <c r="X28" s="4"/>
      <c r="Y28" s="4"/>
      <c r="Z28" s="4"/>
      <c r="AA28" s="4"/>
      <c r="AB28" s="4"/>
      <c r="AC28" s="4"/>
      <c r="AD28" s="4"/>
    </row>
    <row r="29" spans="1:30" ht="30" customHeight="1" thickBot="1">
      <c r="A29" s="143"/>
      <c r="B29" s="4"/>
      <c r="C29" s="4"/>
      <c r="D29" s="90"/>
      <c r="E29" s="184" t="s">
        <v>113</v>
      </c>
      <c r="F29" s="196">
        <f>SUM('Balanço Patrimonial'!F54:F59,'Balanço Patrimonial'!F72:F75)/(SUM('Balanço Patrimonial'!F54:F59,'Balanço Patrimonial'!F72:F75)+'Balanço Patrimonial'!F87)</f>
        <v>0.834724967898132</v>
      </c>
      <c r="G29" s="196">
        <f>SUM('Balanço Patrimonial'!G54:G59,'Balanço Patrimonial'!G72:G75)/(SUM('Balanço Patrimonial'!G54:G59,'Balanço Patrimonial'!G72:G75)+'Balanço Patrimonial'!G87)</f>
        <v>0.86196258693210326</v>
      </c>
      <c r="H29" s="196">
        <f>SUM('Balanço Patrimonial'!H54:H59,'Balanço Patrimonial'!H72:H75)/(SUM('Balanço Patrimonial'!H54:H59,'Balanço Patrimonial'!H72:H75)+'Balanço Patrimonial'!H87)</f>
        <v>0.91222692387573123</v>
      </c>
      <c r="I29" s="196">
        <f>SUM('Balanço Patrimonial'!I54:I59,'Balanço Patrimonial'!I72:I75)/(SUM('Balanço Patrimonial'!I54:I59,'Balanço Patrimonial'!I72:I75)+'Balanço Patrimonial'!I87)</f>
        <v>0.8752070491459597</v>
      </c>
      <c r="J29" s="196">
        <f>SUM('Balanço Patrimonial'!J54:J59,'Balanço Patrimonial'!J72:J75)/(SUM('Balanço Patrimonial'!J54:J59,'Balanço Patrimonial'!J72:J75)+'Balanço Patrimonial'!J87)</f>
        <v>0.90643353346905542</v>
      </c>
      <c r="K29" s="196">
        <f>SUM('Balanço Patrimonial'!K54:K59,'Balanço Patrimonial'!K72:K75)/(SUM('Balanço Patrimonial'!K54:K59,'Balanço Patrimonial'!K72:K75)+'Balanço Patrimonial'!K87)</f>
        <v>0.86009974455462124</v>
      </c>
      <c r="L29" s="196">
        <f>SUM('Balanço Patrimonial'!L54:L59,'Balanço Patrimonial'!L72:L75)/(SUM('Balanço Patrimonial'!L54:L59,'Balanço Patrimonial'!L72:L75)+'Balanço Patrimonial'!L87)</f>
        <v>0.84758472962428832</v>
      </c>
      <c r="M29" s="196">
        <f>SUM('Balanço Patrimonial'!M54:M59,'Balanço Patrimonial'!M72:M75)/(SUM('Balanço Patrimonial'!M54:M59,'Balanço Patrimonial'!M72:M75)+'Balanço Patrimonial'!M87)</f>
        <v>0.8557541137466731</v>
      </c>
      <c r="N29" s="196">
        <f>SUM('Balanço Patrimonial'!N54:N59,'Balanço Patrimonial'!N72:N75)/(SUM('Balanço Patrimonial'!N54:N59,'Balanço Patrimonial'!N72:N75)+'Balanço Patrimonial'!N87)</f>
        <v>0.8782826328191059</v>
      </c>
      <c r="O29" s="196">
        <f>SUM('Balanço Patrimonial'!O54:O59,'Balanço Patrimonial'!O72:O75)/(SUM('Balanço Patrimonial'!O54:O59,'Balanço Patrimonial'!O72:O75)+'Balanço Patrimonial'!O87)</f>
        <v>0.87151094209967983</v>
      </c>
      <c r="P29" s="4"/>
      <c r="Q29" s="4"/>
      <c r="R29" s="4"/>
      <c r="S29" s="4"/>
      <c r="T29" s="4"/>
      <c r="U29" s="4"/>
      <c r="V29" s="4"/>
      <c r="W29" s="4"/>
      <c r="X29" s="4"/>
      <c r="Y29" s="4"/>
    </row>
    <row r="30" spans="1:30" ht="30" customHeight="1">
      <c r="A30" s="143"/>
      <c r="B30" s="4"/>
      <c r="C30" s="4"/>
      <c r="D30" s="4"/>
      <c r="E30" s="180"/>
      <c r="F30" s="181"/>
      <c r="G30" s="181"/>
      <c r="H30" s="181"/>
      <c r="I30" s="181"/>
      <c r="J30" s="181"/>
      <c r="K30" s="181"/>
      <c r="L30" s="181"/>
      <c r="M30" s="181"/>
      <c r="N30" s="181"/>
      <c r="O30" s="181"/>
      <c r="P30" s="4"/>
      <c r="Q30" s="4"/>
      <c r="R30" s="4"/>
      <c r="S30" s="4"/>
      <c r="T30" s="4"/>
      <c r="U30" s="4"/>
      <c r="V30" s="4"/>
      <c r="W30" s="4"/>
      <c r="X30" s="4"/>
      <c r="Y30" s="4"/>
    </row>
    <row r="31" spans="1:30" ht="30" customHeight="1">
      <c r="A31" s="143"/>
      <c r="B31" s="4"/>
      <c r="C31" s="4"/>
      <c r="D31" s="4"/>
      <c r="E31" s="10"/>
      <c r="F31" s="51"/>
      <c r="G31" s="51"/>
      <c r="H31" s="51"/>
      <c r="I31" s="51"/>
      <c r="J31" s="51"/>
      <c r="K31" s="51"/>
      <c r="L31" s="51"/>
      <c r="M31" s="51"/>
      <c r="N31" s="51"/>
      <c r="O31" s="4"/>
      <c r="P31" s="4"/>
      <c r="Q31" s="4"/>
      <c r="R31" s="4"/>
      <c r="S31" s="4"/>
      <c r="T31" s="4"/>
      <c r="U31" s="4"/>
      <c r="V31" s="4"/>
      <c r="W31" s="4"/>
      <c r="X31" s="4"/>
      <c r="Y31" s="4"/>
    </row>
    <row r="32" spans="1:30" ht="30" customHeight="1">
      <c r="A32" s="143"/>
      <c r="B32" s="4"/>
      <c r="C32" s="4"/>
      <c r="D32" s="4"/>
      <c r="E32" s="10"/>
      <c r="F32" s="51"/>
      <c r="G32" s="51"/>
      <c r="H32" s="51"/>
      <c r="I32" s="51"/>
      <c r="J32" s="51"/>
      <c r="K32" s="51">
        <v>-67020</v>
      </c>
      <c r="L32" s="51"/>
      <c r="M32" s="51"/>
      <c r="N32" s="51"/>
      <c r="O32" s="51"/>
      <c r="P32" s="4"/>
      <c r="Q32" s="4"/>
      <c r="R32" s="4"/>
      <c r="S32" s="4"/>
      <c r="T32" s="4"/>
      <c r="U32" s="4"/>
      <c r="V32" s="4"/>
      <c r="W32" s="4"/>
      <c r="X32" s="4"/>
      <c r="Y32" s="4"/>
    </row>
    <row r="33" spans="1:30" ht="30" customHeight="1">
      <c r="A33" s="143"/>
      <c r="B33" s="4"/>
      <c r="C33" s="4"/>
      <c r="D33" s="90"/>
      <c r="E33" s="103"/>
      <c r="F33" s="37">
        <v>2014</v>
      </c>
      <c r="G33" s="37">
        <v>2015</v>
      </c>
      <c r="H33" s="37">
        <v>2016</v>
      </c>
      <c r="I33" s="37">
        <v>2017</v>
      </c>
      <c r="J33" s="37">
        <v>2018</v>
      </c>
      <c r="K33" s="37">
        <v>2019</v>
      </c>
      <c r="L33" s="37">
        <v>2020</v>
      </c>
      <c r="M33" s="37">
        <v>2021</v>
      </c>
      <c r="N33" s="37">
        <v>2022</v>
      </c>
      <c r="O33" s="37">
        <v>2023</v>
      </c>
      <c r="P33" s="4"/>
      <c r="Q33" s="4"/>
      <c r="R33" s="4"/>
      <c r="S33" s="4"/>
      <c r="T33" s="4"/>
      <c r="U33" s="4"/>
      <c r="V33" s="4"/>
      <c r="W33" s="4"/>
      <c r="X33" s="4"/>
      <c r="Y33" s="4"/>
    </row>
    <row r="34" spans="1:30" ht="30" customHeight="1">
      <c r="A34" s="143"/>
      <c r="B34" s="4"/>
      <c r="C34" s="4"/>
      <c r="D34" s="90"/>
      <c r="E34" s="116" t="s">
        <v>112</v>
      </c>
      <c r="F34" s="120">
        <f>'Balanço Patrimonial'!F25*365/'DRE Consolidado'!K13</f>
        <v>55.869667044630141</v>
      </c>
      <c r="G34" s="120">
        <f>'Balanço Patrimonial'!G25*365/'DRE Consolidado'!L13</f>
        <v>56.063257159295155</v>
      </c>
      <c r="H34" s="120">
        <f>'Balanço Patrimonial'!H25*365/'DRE Consolidado'!M13</f>
        <v>50.353847381875404</v>
      </c>
      <c r="I34" s="120">
        <f>'Balanço Patrimonial'!I25*365/'DRE Consolidado'!N13</f>
        <v>53.942605388478221</v>
      </c>
      <c r="J34" s="120">
        <f>'Balanço Patrimonial'!J25*365/'DRE Consolidado'!O13</f>
        <v>52.937311334664571</v>
      </c>
      <c r="K34" s="120">
        <f>'Balanço Patrimonial'!K25*365/'DRE Consolidado'!P13</f>
        <v>59.679875990018004</v>
      </c>
      <c r="L34" s="120">
        <f>'Balanço Patrimonial'!L25*365/'DRE Consolidado'!Q13</f>
        <v>64.927069405950974</v>
      </c>
      <c r="M34" s="120">
        <f>'Balanço Patrimonial'!M25*365/'DRE Consolidado'!R13</f>
        <v>77.007106859470227</v>
      </c>
      <c r="N34" s="120">
        <f>'Balanço Patrimonial'!N25*365/'DRE Consolidado'!S13</f>
        <v>60.280517751525807</v>
      </c>
      <c r="O34" s="120">
        <f>'Balanço Patrimonial'!O25*365/'DRE Consolidado'!T13</f>
        <v>52.485464859661349</v>
      </c>
      <c r="P34" s="4"/>
      <c r="Q34" s="4"/>
      <c r="R34" s="4"/>
      <c r="S34" s="4"/>
      <c r="T34" s="4"/>
      <c r="U34" s="4"/>
      <c r="V34" s="4"/>
      <c r="W34" s="4"/>
      <c r="X34" s="4"/>
      <c r="Y34" s="4"/>
      <c r="Z34" s="4"/>
      <c r="AA34" s="4"/>
      <c r="AB34" s="4"/>
      <c r="AC34" s="4"/>
      <c r="AD34" s="4"/>
    </row>
    <row r="35" spans="1:30" ht="30" customHeight="1">
      <c r="A35" s="143"/>
      <c r="B35" s="4"/>
      <c r="C35" s="4"/>
      <c r="D35" s="90"/>
      <c r="E35" s="116" t="s">
        <v>111</v>
      </c>
      <c r="F35" s="120">
        <f>'Balanço Patrimonial'!F26*365/-'DRE Consolidado'!K18</f>
        <v>27.762313198923401</v>
      </c>
      <c r="G35" s="120">
        <f>'Balanço Patrimonial'!G26*365/-'DRE Consolidado'!L18</f>
        <v>18.298043037674066</v>
      </c>
      <c r="H35" s="120">
        <f>'Balanço Patrimonial'!H26*365/-'DRE Consolidado'!M18</f>
        <v>15.263720483746866</v>
      </c>
      <c r="I35" s="120">
        <f>'Balanço Patrimonial'!I26*365/-'DRE Consolidado'!N18</f>
        <v>22.282365157989034</v>
      </c>
      <c r="J35" s="120">
        <f>'Balanço Patrimonial'!J26*365/-'DRE Consolidado'!O18</f>
        <v>20.349176033469384</v>
      </c>
      <c r="K35" s="120">
        <f>'Balanço Patrimonial'!K26*365/-'DRE Consolidado'!P18</f>
        <v>21.891290322707082</v>
      </c>
      <c r="L35" s="120">
        <f>'Balanço Patrimonial'!L26*365/-'DRE Consolidado'!Q18</f>
        <v>15.042167717860899</v>
      </c>
      <c r="M35" s="120">
        <f>'Balanço Patrimonial'!M26*365/-'DRE Consolidado'!R18</f>
        <v>26.281176869051468</v>
      </c>
      <c r="N35" s="120">
        <f>'Balanço Patrimonial'!N26*365/-'DRE Consolidado'!S18</f>
        <v>48.986520418984526</v>
      </c>
      <c r="O35" s="120">
        <f>'Balanço Patrimonial'!O26*365/-'DRE Consolidado'!T18</f>
        <v>44.573150931821871</v>
      </c>
      <c r="P35" s="4"/>
      <c r="Q35" s="4"/>
      <c r="R35" s="4"/>
      <c r="S35" s="4"/>
      <c r="T35" s="4"/>
      <c r="U35" s="4"/>
      <c r="V35" s="4"/>
      <c r="W35" s="4"/>
      <c r="X35" s="4"/>
      <c r="Y35" s="4"/>
    </row>
    <row r="36" spans="1:30" ht="30" customHeight="1">
      <c r="A36" s="143"/>
      <c r="B36" s="4"/>
      <c r="C36" s="4"/>
      <c r="D36" s="90"/>
      <c r="E36" s="116" t="s">
        <v>110</v>
      </c>
      <c r="F36" s="120">
        <f>-('Balanço Patrimonial'!F53+'Balanço Patrimonial'!F61)*365/('DRE Consolidado'!K18+'DRE Consolidado'!K23+'DRE Consolidado'!K56+'Projeções - CG + Capex'!K57)</f>
        <v>43.973439682566742</v>
      </c>
      <c r="G36" s="120">
        <f>-('Balanço Patrimonial'!G53+'Balanço Patrimonial'!G61)*365/('DRE Consolidado'!L18+'DRE Consolidado'!L23+'DRE Consolidado'!L56+'Projeções - CG + Capex'!L57)</f>
        <v>60.728968838218272</v>
      </c>
      <c r="H36" s="120">
        <f>-('Balanço Patrimonial'!H53+'Balanço Patrimonial'!H61)*365/('DRE Consolidado'!M18+'DRE Consolidado'!M23+'DRE Consolidado'!M56+'Projeções - CG + Capex'!M57)</f>
        <v>102.12369304575823</v>
      </c>
      <c r="I36" s="120">
        <f>-('Balanço Patrimonial'!I53+'Balanço Patrimonial'!I61)*365/('DRE Consolidado'!N18+'DRE Consolidado'!N23+'DRE Consolidado'!N56+'Projeções - CG + Capex'!N57)</f>
        <v>92.776619497449374</v>
      </c>
      <c r="J36" s="120">
        <f>-('Balanço Patrimonial'!J53+'Balanço Patrimonial'!J61)*365/('DRE Consolidado'!O18+'DRE Consolidado'!O23+'DRE Consolidado'!O56+'Projeções - CG + Capex'!O57)</f>
        <v>107.47889374419165</v>
      </c>
      <c r="K36" s="120">
        <f>-('Balanço Patrimonial'!K53+'Balanço Patrimonial'!K61)*365/('DRE Consolidado'!P18+'DRE Consolidado'!P23+'DRE Consolidado'!P56+'Projeções - CG + Capex'!P57)</f>
        <v>139.1022716463342</v>
      </c>
      <c r="L36" s="120">
        <f>-('Balanço Patrimonial'!L53+'Balanço Patrimonial'!L61)*365/('DRE Consolidado'!Q18+'DRE Consolidado'!Q23+'DRE Consolidado'!Q56+'Projeções - CG + Capex'!Q57)</f>
        <v>173.9513190058056</v>
      </c>
      <c r="M36" s="120">
        <f>-('Balanço Patrimonial'!M53+'Balanço Patrimonial'!M61)*365/('DRE Consolidado'!R18+'DRE Consolidado'!R23+'DRE Consolidado'!R56+'Projeções - CG + Capex'!R57)</f>
        <v>181.68490996047521</v>
      </c>
      <c r="N36" s="120">
        <f>-('Balanço Patrimonial'!N53+'Balanço Patrimonial'!N61)*365/('DRE Consolidado'!S18+'DRE Consolidado'!S23+'DRE Consolidado'!S56+'Projeções - CG + Capex'!S57)</f>
        <v>175.4092100317684</v>
      </c>
      <c r="O36" s="120">
        <f>-('Balanço Patrimonial'!O53+'Balanço Patrimonial'!O61)*365/('DRE Consolidado'!T18+'DRE Consolidado'!T23+'DRE Consolidado'!T56+'Projeções - CG + Capex'!T57)</f>
        <v>110.85489839299299</v>
      </c>
      <c r="P36" s="4"/>
      <c r="Q36" s="4"/>
      <c r="R36" s="4"/>
      <c r="S36" s="4"/>
      <c r="T36" s="4"/>
      <c r="U36" s="4"/>
      <c r="V36" s="4"/>
      <c r="W36" s="4"/>
      <c r="X36" s="4"/>
      <c r="Y36" s="4"/>
    </row>
    <row r="37" spans="1:30" ht="30" customHeight="1" thickBot="1">
      <c r="A37" s="143"/>
      <c r="B37" s="4"/>
      <c r="C37" s="4"/>
      <c r="D37" s="90"/>
      <c r="E37" s="182" t="s">
        <v>99</v>
      </c>
      <c r="F37" s="183">
        <f t="shared" ref="F37:M37" si="0">F34+F35-F36</f>
        <v>39.6585405609868</v>
      </c>
      <c r="G37" s="183">
        <f t="shared" si="0"/>
        <v>13.632331358750953</v>
      </c>
      <c r="H37" s="183">
        <f t="shared" si="0"/>
        <v>-36.506125180135953</v>
      </c>
      <c r="I37" s="183">
        <f t="shared" si="0"/>
        <v>-16.551648950982113</v>
      </c>
      <c r="J37" s="183">
        <f t="shared" si="0"/>
        <v>-34.192406376057704</v>
      </c>
      <c r="K37" s="183">
        <f t="shared" si="0"/>
        <v>-57.531105333609119</v>
      </c>
      <c r="L37" s="183">
        <f t="shared" si="0"/>
        <v>-93.982081881993736</v>
      </c>
      <c r="M37" s="183">
        <f t="shared" si="0"/>
        <v>-78.396626231953519</v>
      </c>
      <c r="N37" s="183">
        <f t="shared" ref="N37:O37" si="1">N34+N35-N36</f>
        <v>-66.142171861258063</v>
      </c>
      <c r="O37" s="183">
        <f t="shared" si="1"/>
        <v>-13.796282601509773</v>
      </c>
      <c r="P37" s="4"/>
      <c r="Q37" s="4"/>
      <c r="R37" s="4"/>
      <c r="S37" s="4"/>
      <c r="T37" s="4"/>
      <c r="U37" s="4"/>
      <c r="V37" s="4"/>
      <c r="W37" s="4"/>
      <c r="X37" s="4"/>
      <c r="Y37" s="4"/>
    </row>
    <row r="38" spans="1:30" ht="30" customHeight="1">
      <c r="A38" s="143"/>
      <c r="B38" s="4"/>
      <c r="C38" s="4"/>
      <c r="D38" s="4"/>
      <c r="E38" s="177"/>
      <c r="F38" s="177"/>
      <c r="G38" s="177"/>
      <c r="H38" s="177"/>
      <c r="I38" s="181"/>
      <c r="J38" s="177"/>
      <c r="K38" s="177"/>
      <c r="L38" s="177"/>
      <c r="M38" s="177"/>
      <c r="N38" s="177"/>
      <c r="O38" s="177"/>
      <c r="P38" s="4"/>
      <c r="Q38" s="4"/>
      <c r="R38" s="4"/>
      <c r="S38" s="4"/>
      <c r="T38" s="4"/>
      <c r="U38" s="4"/>
      <c r="V38" s="4"/>
      <c r="W38" s="4"/>
      <c r="X38" s="4"/>
      <c r="Y38" s="4"/>
    </row>
    <row r="39" spans="1:30" ht="30" customHeight="1">
      <c r="A39" s="143"/>
      <c r="B39" s="4"/>
      <c r="C39" s="4"/>
      <c r="D39" s="4"/>
      <c r="E39" s="10"/>
      <c r="F39" s="51"/>
      <c r="G39" s="51"/>
      <c r="H39" s="51"/>
      <c r="I39" s="51"/>
      <c r="J39" s="51"/>
      <c r="K39" s="51"/>
      <c r="L39" s="51"/>
      <c r="M39" s="51"/>
      <c r="N39" s="51"/>
      <c r="O39" s="4"/>
      <c r="P39" s="4"/>
      <c r="Q39" s="4"/>
      <c r="R39" s="4"/>
      <c r="S39" s="4"/>
      <c r="T39" s="4"/>
      <c r="U39" s="4"/>
      <c r="V39" s="4"/>
      <c r="W39" s="4"/>
      <c r="X39" s="4"/>
      <c r="Y39" s="4"/>
    </row>
    <row r="40" spans="1:30" ht="30" customHeight="1">
      <c r="A40" s="143"/>
      <c r="B40" s="4"/>
      <c r="C40" s="4"/>
      <c r="D40" s="4"/>
      <c r="E40" s="10"/>
      <c r="F40" s="51"/>
      <c r="G40" s="51"/>
      <c r="H40" s="51"/>
      <c r="I40" s="51"/>
      <c r="J40" s="51"/>
      <c r="K40" s="51"/>
      <c r="L40" s="51"/>
      <c r="M40" s="51"/>
      <c r="N40" s="51"/>
      <c r="O40" s="51"/>
      <c r="P40" s="4"/>
      <c r="Q40" s="4"/>
      <c r="R40" s="4"/>
      <c r="S40" s="4"/>
      <c r="T40" s="4"/>
      <c r="U40" s="4"/>
      <c r="V40" s="4"/>
      <c r="W40" s="4"/>
      <c r="X40" s="4"/>
      <c r="Y40" s="4"/>
    </row>
    <row r="41" spans="1:30" ht="30" customHeight="1">
      <c r="A41" s="143"/>
      <c r="B41" s="4"/>
      <c r="C41" s="4"/>
      <c r="D41" s="90"/>
      <c r="E41" s="121"/>
      <c r="F41" s="37">
        <v>2014</v>
      </c>
      <c r="G41" s="37">
        <v>2015</v>
      </c>
      <c r="H41" s="37">
        <v>2016</v>
      </c>
      <c r="I41" s="37">
        <v>2017</v>
      </c>
      <c r="J41" s="37">
        <v>2018</v>
      </c>
      <c r="K41" s="37">
        <v>2019</v>
      </c>
      <c r="L41" s="37">
        <v>2020</v>
      </c>
      <c r="M41" s="37">
        <v>2021</v>
      </c>
      <c r="N41" s="37">
        <v>2022</v>
      </c>
      <c r="O41" s="37">
        <v>2023</v>
      </c>
      <c r="P41" s="51"/>
      <c r="Q41" s="51"/>
      <c r="R41" s="4"/>
      <c r="S41" s="4"/>
      <c r="T41" s="4"/>
      <c r="U41" s="4"/>
      <c r="V41" s="4"/>
      <c r="W41" s="4"/>
      <c r="X41" s="4"/>
      <c r="Y41" s="4"/>
      <c r="Z41" s="4"/>
      <c r="AA41" s="4"/>
      <c r="AB41" s="4"/>
    </row>
    <row r="42" spans="1:30" ht="30" customHeight="1">
      <c r="A42" s="143"/>
      <c r="B42" s="4"/>
      <c r="C42" s="4"/>
      <c r="D42" s="90"/>
      <c r="E42" s="121" t="s">
        <v>109</v>
      </c>
      <c r="F42" s="120">
        <v>0</v>
      </c>
      <c r="G42" s="120"/>
      <c r="H42" s="120"/>
      <c r="I42" s="120">
        <v>0</v>
      </c>
      <c r="J42" s="120">
        <v>0</v>
      </c>
      <c r="K42" s="120">
        <v>0</v>
      </c>
      <c r="L42" s="120">
        <v>0</v>
      </c>
      <c r="M42" s="120">
        <v>0.52083223700000003</v>
      </c>
      <c r="N42" s="120">
        <v>0</v>
      </c>
      <c r="O42" s="120">
        <v>0</v>
      </c>
      <c r="P42" s="51"/>
      <c r="Q42" s="51"/>
      <c r="R42" s="4"/>
      <c r="S42" s="4"/>
      <c r="T42" s="4"/>
      <c r="U42" s="4"/>
      <c r="V42" s="4"/>
      <c r="W42" s="4"/>
      <c r="X42" s="4"/>
      <c r="Y42" s="4"/>
      <c r="Z42" s="4"/>
      <c r="AA42" s="4"/>
      <c r="AB42" s="4"/>
    </row>
    <row r="43" spans="1:30" ht="30" customHeight="1">
      <c r="A43" s="143"/>
      <c r="B43" s="4"/>
      <c r="C43" s="4"/>
      <c r="D43" s="90"/>
      <c r="E43" s="121" t="s">
        <v>108</v>
      </c>
      <c r="F43" s="120">
        <v>0</v>
      </c>
      <c r="G43" s="120"/>
      <c r="H43" s="120"/>
      <c r="I43" s="120">
        <v>0</v>
      </c>
      <c r="J43" s="120">
        <v>0</v>
      </c>
      <c r="K43" s="120">
        <v>0</v>
      </c>
      <c r="L43" s="120">
        <v>0</v>
      </c>
      <c r="M43" s="61">
        <v>3.4152933573799997E-2</v>
      </c>
      <c r="N43" s="61">
        <v>0</v>
      </c>
      <c r="O43" s="61">
        <v>0</v>
      </c>
      <c r="P43" s="51"/>
      <c r="Q43" s="51"/>
      <c r="R43" s="4"/>
      <c r="S43" s="4"/>
      <c r="T43" s="4"/>
      <c r="U43" s="4"/>
      <c r="V43" s="4"/>
      <c r="W43" s="4"/>
      <c r="X43" s="4"/>
      <c r="Y43" s="4"/>
      <c r="Z43" s="4"/>
      <c r="AA43" s="4"/>
      <c r="AB43" s="4"/>
    </row>
    <row r="44" spans="1:30" ht="30" customHeight="1" thickBot="1">
      <c r="A44" s="143"/>
      <c r="B44" s="4"/>
      <c r="C44" s="4"/>
      <c r="D44" s="90"/>
      <c r="E44" s="178" t="s">
        <v>107</v>
      </c>
      <c r="F44" s="120">
        <v>0</v>
      </c>
      <c r="G44" s="120"/>
      <c r="H44" s="120"/>
      <c r="I44" s="120">
        <v>0</v>
      </c>
      <c r="J44" s="120">
        <v>0</v>
      </c>
      <c r="K44" s="120">
        <v>0</v>
      </c>
      <c r="L44" s="120">
        <v>0</v>
      </c>
      <c r="M44" s="179">
        <v>0.22965083902200001</v>
      </c>
      <c r="N44" s="179">
        <v>0</v>
      </c>
      <c r="O44" s="179">
        <v>0</v>
      </c>
      <c r="P44" s="51"/>
      <c r="Q44" s="51"/>
      <c r="R44" s="4"/>
      <c r="S44" s="4"/>
      <c r="T44" s="4"/>
      <c r="U44" s="4"/>
      <c r="V44" s="4"/>
      <c r="W44" s="4"/>
      <c r="X44" s="4"/>
      <c r="Y44" s="4"/>
      <c r="Z44" s="4"/>
      <c r="AA44" s="4"/>
      <c r="AB44" s="4"/>
    </row>
    <row r="45" spans="1:30" ht="30" customHeight="1">
      <c r="A45" s="143"/>
      <c r="B45" s="4"/>
      <c r="C45" s="4"/>
      <c r="D45" s="4"/>
      <c r="E45" s="180"/>
      <c r="F45" s="181"/>
      <c r="G45" s="181"/>
      <c r="H45" s="181"/>
      <c r="I45" s="181"/>
      <c r="J45" s="181"/>
      <c r="K45" s="181"/>
      <c r="L45" s="181"/>
      <c r="M45" s="181"/>
      <c r="N45" s="177"/>
      <c r="O45" s="177"/>
      <c r="P45" s="4"/>
      <c r="Q45" s="4"/>
      <c r="R45" s="4"/>
      <c r="S45" s="4"/>
      <c r="T45" s="4"/>
      <c r="U45" s="4"/>
      <c r="V45" s="4"/>
      <c r="W45" s="4"/>
      <c r="X45" s="4"/>
      <c r="Y45" s="4"/>
    </row>
    <row r="46" spans="1:30" ht="30" customHeight="1">
      <c r="A46" s="143"/>
      <c r="B46" s="4"/>
      <c r="C46" s="4"/>
      <c r="D46" s="4"/>
      <c r="E46" s="10"/>
      <c r="F46" s="51"/>
      <c r="G46" s="51"/>
      <c r="H46" s="51"/>
      <c r="I46" s="51"/>
      <c r="J46" s="51"/>
      <c r="K46" s="51"/>
      <c r="L46" s="51"/>
      <c r="M46" s="51"/>
      <c r="N46" s="51"/>
      <c r="O46" s="4"/>
      <c r="P46" s="4"/>
      <c r="Q46" s="4"/>
      <c r="R46" s="4"/>
      <c r="S46" s="4"/>
      <c r="T46" s="4"/>
      <c r="U46" s="4"/>
      <c r="V46" s="4"/>
      <c r="W46" s="4"/>
      <c r="X46" s="4"/>
      <c r="Y46" s="4"/>
    </row>
    <row r="47" spans="1:30" ht="30" customHeight="1">
      <c r="A47" s="143"/>
      <c r="B47" s="4"/>
      <c r="C47" s="4"/>
      <c r="D47" s="4"/>
      <c r="E47" s="10"/>
      <c r="F47" s="51"/>
      <c r="G47" s="51"/>
      <c r="H47" s="51"/>
      <c r="I47" s="51"/>
      <c r="J47" s="51"/>
      <c r="K47" s="51"/>
      <c r="L47" s="51"/>
      <c r="M47" s="51"/>
      <c r="N47" s="51"/>
      <c r="O47" s="4"/>
      <c r="P47" s="4"/>
      <c r="Q47" s="4"/>
      <c r="R47" s="4"/>
      <c r="S47" s="4"/>
      <c r="T47" s="4"/>
      <c r="U47" s="4"/>
      <c r="V47" s="4"/>
      <c r="W47" s="4"/>
      <c r="X47" s="4"/>
      <c r="Y47" s="4"/>
    </row>
    <row r="48" spans="1:30" ht="30" customHeight="1">
      <c r="A48" s="143"/>
      <c r="B48" s="4"/>
      <c r="C48" s="4"/>
      <c r="D48" s="4"/>
      <c r="E48" s="4"/>
      <c r="F48" s="4"/>
      <c r="G48" s="4"/>
      <c r="H48" s="4">
        <v>-624650</v>
      </c>
      <c r="I48" s="4"/>
      <c r="J48" s="4"/>
      <c r="K48" s="51"/>
      <c r="L48" s="51"/>
      <c r="M48" s="51"/>
      <c r="N48" s="51"/>
      <c r="O48" s="4"/>
      <c r="P48" s="4"/>
      <c r="Q48" s="4"/>
      <c r="R48" s="4"/>
      <c r="S48" s="4"/>
      <c r="T48" s="4"/>
      <c r="U48" s="4"/>
      <c r="V48" s="4"/>
      <c r="W48" s="4"/>
      <c r="X48" s="4"/>
      <c r="Y48" s="4"/>
    </row>
    <row r="49" spans="1:25" ht="30" customHeight="1">
      <c r="A49" s="143"/>
      <c r="B49" s="4"/>
      <c r="C49" s="4"/>
      <c r="D49" s="4"/>
      <c r="E49" s="118"/>
      <c r="F49" s="37">
        <v>2024</v>
      </c>
      <c r="G49" s="37">
        <f>F49+1</f>
        <v>2025</v>
      </c>
      <c r="H49" s="37">
        <f t="shared" ref="H49:J49" si="2">G49+1</f>
        <v>2026</v>
      </c>
      <c r="I49" s="37">
        <f t="shared" si="2"/>
        <v>2027</v>
      </c>
      <c r="J49" s="37">
        <f t="shared" si="2"/>
        <v>2028</v>
      </c>
      <c r="K49" s="51"/>
      <c r="L49" s="51"/>
      <c r="M49" s="51"/>
      <c r="N49" s="51"/>
      <c r="O49" s="4"/>
      <c r="P49" s="4"/>
      <c r="Q49" s="4"/>
      <c r="R49" s="4"/>
      <c r="S49" s="4"/>
      <c r="T49" s="4"/>
      <c r="U49" s="4"/>
      <c r="V49" s="4"/>
      <c r="W49" s="4"/>
      <c r="X49" s="4"/>
      <c r="Y49" s="4"/>
    </row>
    <row r="50" spans="1:25" ht="30" customHeight="1">
      <c r="A50" s="143"/>
      <c r="B50" s="4"/>
      <c r="C50" s="4"/>
      <c r="D50" s="4"/>
      <c r="E50" s="319" t="s">
        <v>499</v>
      </c>
      <c r="F50" s="46">
        <f>'DRE Consolidado'!W76</f>
        <v>10673111.597608028</v>
      </c>
      <c r="G50" s="46">
        <f>'DRE Consolidado'!X76</f>
        <v>12207507.224924704</v>
      </c>
      <c r="H50" s="46">
        <f>'DRE Consolidado'!Y76</f>
        <v>13530226.773200938</v>
      </c>
      <c r="I50" s="46">
        <f>'DRE Consolidado'!Z76</f>
        <v>14681135.441757487</v>
      </c>
      <c r="J50" s="46">
        <f>'DRE Consolidado'!AA76</f>
        <v>15843161.367011022</v>
      </c>
      <c r="K50" s="51"/>
      <c r="L50" s="51"/>
      <c r="M50" s="51"/>
      <c r="N50" s="51"/>
      <c r="O50" s="4"/>
      <c r="P50" s="4"/>
      <c r="Q50" s="4"/>
      <c r="R50" s="4"/>
      <c r="S50" s="4"/>
      <c r="T50" s="4"/>
      <c r="U50" s="4"/>
      <c r="V50" s="4"/>
      <c r="W50" s="4"/>
      <c r="X50" s="4"/>
      <c r="Y50" s="4"/>
    </row>
    <row r="51" spans="1:25" ht="30" customHeight="1">
      <c r="A51" s="143"/>
      <c r="B51" s="4"/>
      <c r="C51" s="4"/>
      <c r="D51" s="4"/>
      <c r="E51" s="319" t="s">
        <v>506</v>
      </c>
      <c r="F51" s="46">
        <v>13683300</v>
      </c>
      <c r="G51" s="46"/>
      <c r="H51" s="46"/>
      <c r="I51" s="46"/>
      <c r="J51" s="46"/>
      <c r="K51" s="51"/>
      <c r="L51" s="51"/>
      <c r="M51" s="51"/>
      <c r="N51" s="51"/>
      <c r="O51" s="4"/>
      <c r="P51" s="4"/>
      <c r="Q51" s="4"/>
      <c r="R51" s="4"/>
      <c r="S51" s="4"/>
      <c r="T51" s="4"/>
      <c r="U51" s="4"/>
      <c r="V51" s="4"/>
      <c r="W51" s="4"/>
      <c r="X51" s="4"/>
      <c r="Y51" s="4"/>
    </row>
    <row r="52" spans="1:25" ht="30" customHeight="1">
      <c r="A52" s="143"/>
      <c r="B52" s="4"/>
      <c r="C52" s="4"/>
      <c r="D52" s="4"/>
      <c r="E52" s="319" t="s">
        <v>508</v>
      </c>
      <c r="F52" s="46">
        <f>30916700-F56-F57</f>
        <v>32111824.788602944</v>
      </c>
      <c r="G52" s="46"/>
      <c r="H52" s="46"/>
      <c r="I52" s="46"/>
      <c r="J52" s="46"/>
      <c r="K52" s="51"/>
      <c r="L52" s="51"/>
      <c r="M52" s="51"/>
      <c r="N52" s="51"/>
      <c r="O52" s="4"/>
      <c r="P52" s="4"/>
      <c r="Q52" s="4"/>
      <c r="R52" s="4"/>
      <c r="S52" s="4"/>
      <c r="T52" s="4"/>
      <c r="U52" s="4"/>
      <c r="V52" s="4"/>
      <c r="W52" s="4"/>
      <c r="X52" s="4"/>
      <c r="Y52" s="4"/>
    </row>
    <row r="53" spans="1:25" ht="30" customHeight="1">
      <c r="A53" s="143"/>
      <c r="B53" s="4"/>
      <c r="C53" s="4"/>
      <c r="D53" s="4"/>
      <c r="E53" s="319" t="s">
        <v>509</v>
      </c>
      <c r="F53" s="46">
        <v>31605200</v>
      </c>
      <c r="G53" s="46">
        <f>F53-SUM(G54,G56)</f>
        <v>35243913.029070549</v>
      </c>
      <c r="H53" s="46">
        <f t="shared" ref="H53:J53" si="3">G53-SUM(H54,H56)</f>
        <v>38963119.47854396</v>
      </c>
      <c r="I53" s="46">
        <f t="shared" si="3"/>
        <v>42034040.045581132</v>
      </c>
      <c r="J53" s="46">
        <f t="shared" si="3"/>
        <v>44656917.287656993</v>
      </c>
      <c r="K53" s="51"/>
      <c r="L53" s="51"/>
      <c r="M53" s="51"/>
      <c r="N53" s="51"/>
      <c r="O53" s="4"/>
      <c r="P53" s="4"/>
      <c r="Q53" s="4"/>
      <c r="R53" s="4"/>
      <c r="S53" s="4"/>
      <c r="T53" s="4"/>
      <c r="U53" s="4"/>
      <c r="V53" s="4"/>
      <c r="W53" s="4"/>
      <c r="X53" s="4"/>
      <c r="Y53" s="4"/>
    </row>
    <row r="54" spans="1:25" ht="30" customHeight="1">
      <c r="A54" s="143"/>
      <c r="B54" s="4"/>
      <c r="C54" s="4"/>
      <c r="D54" s="4"/>
      <c r="E54" s="319" t="s">
        <v>500</v>
      </c>
      <c r="F54" s="46">
        <f>F55+F57</f>
        <v>-4379573.1071013631</v>
      </c>
      <c r="G54" s="46">
        <f t="shared" ref="G54:J54" si="4">SUM(G55,G57)</f>
        <v>-4232990.8741470575</v>
      </c>
      <c r="H54" s="46">
        <f t="shared" si="4"/>
        <v>-4780446.7772727758</v>
      </c>
      <c r="I54" s="46">
        <f t="shared" si="4"/>
        <v>-5252415.9244915862</v>
      </c>
      <c r="J54" s="46">
        <f t="shared" si="4"/>
        <v>-5649110.5689964229</v>
      </c>
      <c r="K54" s="51"/>
      <c r="L54" s="51"/>
      <c r="M54" s="51"/>
      <c r="N54" s="51"/>
      <c r="O54" s="4"/>
      <c r="P54" s="4"/>
      <c r="Q54" s="4"/>
      <c r="R54" s="4"/>
      <c r="S54" s="4"/>
      <c r="T54" s="4"/>
      <c r="U54" s="4"/>
      <c r="V54" s="4"/>
      <c r="W54" s="4"/>
      <c r="X54" s="4"/>
      <c r="Y54" s="4"/>
    </row>
    <row r="55" spans="1:25" ht="30" customHeight="1">
      <c r="A55" s="143"/>
      <c r="B55" s="4"/>
      <c r="C55" s="4"/>
      <c r="D55" s="4"/>
      <c r="E55" s="118" t="s">
        <v>501</v>
      </c>
      <c r="F55" s="42">
        <f>-F53*WACC!F18</f>
        <v>-4238257.32</v>
      </c>
      <c r="G55" s="42">
        <f>-F53*WACC!G18</f>
        <v>-4314109.8000000007</v>
      </c>
      <c r="H55" s="42">
        <f>-G53*WACC!H18</f>
        <v>-4928861.2371155163</v>
      </c>
      <c r="I55" s="42">
        <f>-H53*WACC!I18</f>
        <v>-5563933.4615360769</v>
      </c>
      <c r="J55" s="42">
        <f>-I53*WACC!J18</f>
        <v>-6087369.6794010596</v>
      </c>
      <c r="K55" s="51"/>
      <c r="L55" s="51"/>
      <c r="M55" s="51"/>
      <c r="N55" s="51"/>
      <c r="O55" s="4"/>
      <c r="P55" s="4"/>
      <c r="Q55" s="4"/>
      <c r="R55" s="4"/>
      <c r="S55" s="4"/>
      <c r="T55" s="4"/>
      <c r="U55" s="4"/>
      <c r="V55" s="4"/>
      <c r="W55" s="4"/>
      <c r="X55" s="4"/>
      <c r="Y55" s="4"/>
    </row>
    <row r="56" spans="1:25" ht="30" customHeight="1">
      <c r="A56" s="143"/>
      <c r="B56" s="4"/>
      <c r="C56" s="4"/>
      <c r="D56" s="4"/>
      <c r="E56" s="118" t="s">
        <v>502</v>
      </c>
      <c r="F56" s="42">
        <f>'DRE Consolidado'!V67</f>
        <v>-1053809.0015015842</v>
      </c>
      <c r="G56" s="42">
        <f>'DRE Consolidado'!X67</f>
        <v>594277.84507650975</v>
      </c>
      <c r="H56" s="42">
        <f>'DRE Consolidado'!Y67</f>
        <v>1061240.3277993621</v>
      </c>
      <c r="I56" s="42">
        <f>'DRE Consolidado'!Z67</f>
        <v>2181495.357454414</v>
      </c>
      <c r="J56" s="42">
        <f>'DRE Consolidado'!AA67</f>
        <v>3026233.3269205661</v>
      </c>
      <c r="K56" s="51"/>
      <c r="L56" s="51"/>
      <c r="M56" s="51"/>
      <c r="N56" s="51"/>
      <c r="O56" s="4"/>
      <c r="P56" s="4"/>
      <c r="Q56" s="4"/>
      <c r="R56" s="4"/>
      <c r="S56" s="4"/>
      <c r="T56" s="4"/>
      <c r="U56" s="4"/>
      <c r="V56" s="4"/>
      <c r="W56" s="4"/>
      <c r="X56" s="4"/>
      <c r="Y56" s="4"/>
    </row>
    <row r="57" spans="1:25" ht="30" customHeight="1">
      <c r="A57" s="143"/>
      <c r="B57" s="4"/>
      <c r="C57" s="4"/>
      <c r="D57" s="4"/>
      <c r="E57" s="118" t="s">
        <v>503</v>
      </c>
      <c r="F57" s="42">
        <f>F56*WACC!F18</f>
        <v>-141315.78710136242</v>
      </c>
      <c r="G57" s="42">
        <f>G56*WACC!G18</f>
        <v>81118.92585294359</v>
      </c>
      <c r="H57" s="42">
        <f>H56*WACC!H18</f>
        <v>148414.45984274079</v>
      </c>
      <c r="I57" s="42">
        <f>I56*WACC!I18</f>
        <v>311517.53704449028</v>
      </c>
      <c r="J57" s="42">
        <f>J56*WACC!J18</f>
        <v>438259.11040463642</v>
      </c>
      <c r="K57" s="51"/>
      <c r="L57" s="51"/>
      <c r="M57" s="51"/>
      <c r="N57" s="51"/>
      <c r="O57" s="4"/>
      <c r="P57" s="4"/>
      <c r="Q57" s="4"/>
      <c r="R57" s="4"/>
      <c r="S57" s="4"/>
      <c r="T57" s="4"/>
      <c r="U57" s="4"/>
      <c r="V57" s="4"/>
      <c r="W57" s="4"/>
      <c r="X57" s="4"/>
      <c r="Y57" s="4"/>
    </row>
    <row r="58" spans="1:25" ht="35.25" customHeight="1">
      <c r="A58" s="143"/>
      <c r="B58" s="4"/>
      <c r="C58" s="4"/>
      <c r="D58" s="4"/>
      <c r="E58" s="319" t="s">
        <v>510</v>
      </c>
      <c r="F58" s="46">
        <f>F50*4</f>
        <v>42692446.390432112</v>
      </c>
      <c r="G58" s="46">
        <f t="shared" ref="G58:J58" si="5">G50*4</f>
        <v>48830028.899698816</v>
      </c>
      <c r="H58" s="46">
        <f t="shared" si="5"/>
        <v>54120907.092803754</v>
      </c>
      <c r="I58" s="46">
        <f t="shared" si="5"/>
        <v>58724541.767029949</v>
      </c>
      <c r="J58" s="46">
        <f t="shared" si="5"/>
        <v>63372645.468044087</v>
      </c>
      <c r="K58" s="51"/>
      <c r="L58" s="51"/>
      <c r="M58" s="51"/>
      <c r="N58" s="51"/>
      <c r="O58" s="4"/>
      <c r="P58" s="4"/>
      <c r="Q58" s="4"/>
      <c r="R58" s="4"/>
      <c r="S58" s="4"/>
      <c r="T58" s="4"/>
      <c r="U58" s="4"/>
      <c r="V58" s="4"/>
      <c r="W58" s="4"/>
      <c r="X58" s="4"/>
      <c r="Y58" s="4"/>
    </row>
    <row r="59" spans="1:25" ht="35.25" customHeight="1">
      <c r="A59" s="143"/>
      <c r="B59" s="4"/>
      <c r="C59" s="4"/>
      <c r="D59" s="4"/>
      <c r="E59" s="319" t="s">
        <v>511</v>
      </c>
      <c r="F59" s="46">
        <f>F51*3.5</f>
        <v>47891550</v>
      </c>
      <c r="G59" s="46">
        <f t="shared" ref="G59:J59" si="6">G51*3.5</f>
        <v>0</v>
      </c>
      <c r="H59" s="46">
        <f t="shared" si="6"/>
        <v>0</v>
      </c>
      <c r="I59" s="46">
        <f t="shared" si="6"/>
        <v>0</v>
      </c>
      <c r="J59" s="46">
        <f t="shared" si="6"/>
        <v>0</v>
      </c>
      <c r="K59" s="51"/>
      <c r="L59" s="51"/>
      <c r="M59" s="51"/>
      <c r="N59" s="51"/>
      <c r="O59" s="4"/>
      <c r="P59" s="4"/>
      <c r="Q59" s="4"/>
      <c r="R59" s="4"/>
      <c r="S59" s="4"/>
      <c r="T59" s="4"/>
      <c r="U59" s="4"/>
      <c r="V59" s="4"/>
      <c r="W59" s="4"/>
      <c r="X59" s="4"/>
      <c r="Y59" s="4"/>
    </row>
    <row r="60" spans="1:25" ht="31.5" customHeight="1">
      <c r="A60" s="143"/>
      <c r="B60" s="4"/>
      <c r="C60" s="4"/>
      <c r="D60" s="4"/>
      <c r="E60" s="319" t="s">
        <v>504</v>
      </c>
      <c r="F60" s="46">
        <f>-F51/2</f>
        <v>-6841650</v>
      </c>
      <c r="G60" s="46">
        <f t="shared" ref="G60:J60" si="7">-G51*2</f>
        <v>0</v>
      </c>
      <c r="H60" s="46">
        <f t="shared" si="7"/>
        <v>0</v>
      </c>
      <c r="I60" s="46">
        <f t="shared" si="7"/>
        <v>0</v>
      </c>
      <c r="J60" s="46">
        <f t="shared" si="7"/>
        <v>0</v>
      </c>
      <c r="K60" s="51"/>
      <c r="L60" s="51"/>
      <c r="M60" s="51"/>
      <c r="N60" s="51"/>
      <c r="O60" s="4"/>
      <c r="P60" s="4"/>
      <c r="Q60" s="4"/>
      <c r="R60" s="4"/>
      <c r="S60" s="4"/>
      <c r="T60" s="4"/>
      <c r="U60" s="4"/>
      <c r="V60" s="4"/>
      <c r="W60" s="4"/>
      <c r="X60" s="4"/>
      <c r="Y60" s="4"/>
    </row>
    <row r="61" spans="1:25" ht="30" customHeight="1">
      <c r="A61" s="143"/>
      <c r="B61" s="4"/>
      <c r="C61" s="4"/>
      <c r="D61" s="4"/>
      <c r="E61" s="319" t="s">
        <v>513</v>
      </c>
      <c r="F61" s="320">
        <f>F52/F50</f>
        <v>3.0086657011812363</v>
      </c>
      <c r="G61" s="320">
        <f>G53/G50</f>
        <v>2.8870687831428201</v>
      </c>
      <c r="H61" s="320">
        <f>H53/H50</f>
        <v>2.8797092710757419</v>
      </c>
      <c r="I61" s="320">
        <f>I53/I50</f>
        <v>2.8631327741874721</v>
      </c>
      <c r="J61" s="320">
        <f>J53/J50</f>
        <v>2.8186872716352309</v>
      </c>
      <c r="K61" s="51"/>
      <c r="L61" s="51"/>
      <c r="M61" s="51"/>
      <c r="N61" s="51"/>
      <c r="O61" s="4"/>
      <c r="P61" s="4"/>
      <c r="Q61" s="4"/>
      <c r="R61" s="4"/>
      <c r="S61" s="4"/>
      <c r="T61" s="4"/>
      <c r="U61" s="4"/>
      <c r="V61" s="4"/>
      <c r="W61" s="4"/>
      <c r="X61" s="4"/>
      <c r="Y61" s="4"/>
    </row>
    <row r="62" spans="1:25" ht="30" customHeight="1">
      <c r="A62" s="143"/>
      <c r="B62" s="4"/>
      <c r="C62" s="4"/>
      <c r="D62" s="4"/>
      <c r="E62" s="319" t="s">
        <v>512</v>
      </c>
      <c r="F62" s="320">
        <f>F53/F51</f>
        <v>2.309764457404281</v>
      </c>
      <c r="G62" s="320"/>
      <c r="H62" s="320"/>
      <c r="I62" s="320"/>
      <c r="J62" s="320"/>
      <c r="K62" s="51"/>
      <c r="L62" s="51"/>
      <c r="M62" s="51"/>
      <c r="N62" s="51"/>
      <c r="O62" s="4"/>
      <c r="P62" s="4"/>
      <c r="Q62" s="4"/>
      <c r="R62" s="4"/>
      <c r="S62" s="4"/>
      <c r="T62" s="4"/>
      <c r="U62" s="4"/>
      <c r="V62" s="4"/>
      <c r="W62" s="4"/>
      <c r="X62" s="4"/>
      <c r="Y62" s="4"/>
    </row>
    <row r="63" spans="1:25" ht="30" customHeight="1">
      <c r="A63" s="143"/>
      <c r="B63" s="4"/>
      <c r="C63" s="4"/>
      <c r="D63" s="4"/>
      <c r="E63" s="319" t="s">
        <v>116</v>
      </c>
      <c r="F63" s="320">
        <f>-F51/F54</f>
        <v>3.1243456075234564</v>
      </c>
      <c r="G63" s="320">
        <f>-G50/G54</f>
        <v>2.8838964193100232</v>
      </c>
      <c r="H63" s="320">
        <f>-H50/H54</f>
        <v>2.8303268300206605</v>
      </c>
      <c r="I63" s="320">
        <f>-I50/I54</f>
        <v>2.7951205031765576</v>
      </c>
      <c r="J63" s="320">
        <f>-J50/J54</f>
        <v>2.8045408517867965</v>
      </c>
      <c r="K63" s="51"/>
      <c r="L63" s="51"/>
      <c r="M63" s="51"/>
      <c r="N63" s="51"/>
      <c r="O63" s="4"/>
      <c r="P63" s="4"/>
      <c r="Q63" s="4"/>
      <c r="R63" s="4"/>
      <c r="S63" s="4"/>
      <c r="T63" s="4"/>
      <c r="U63" s="4"/>
      <c r="V63" s="4"/>
      <c r="W63" s="4"/>
      <c r="X63" s="4"/>
      <c r="Y63" s="4"/>
    </row>
    <row r="64" spans="1:25" ht="30" customHeight="1">
      <c r="A64" s="143"/>
      <c r="B64" s="4"/>
      <c r="C64" s="4"/>
      <c r="D64" s="4"/>
      <c r="E64" s="10"/>
      <c r="F64" s="51"/>
      <c r="G64" s="51"/>
      <c r="H64" s="51"/>
      <c r="I64" s="51"/>
      <c r="J64" s="51"/>
      <c r="K64" s="51"/>
      <c r="L64" s="51"/>
      <c r="M64" s="51"/>
      <c r="N64" s="51"/>
      <c r="O64" s="4"/>
      <c r="P64" s="4"/>
      <c r="Q64" s="4"/>
      <c r="R64" s="4"/>
      <c r="S64" s="4"/>
      <c r="T64" s="4"/>
      <c r="U64" s="4"/>
      <c r="V64" s="4"/>
      <c r="W64" s="4"/>
      <c r="X64" s="4"/>
      <c r="Y64" s="4"/>
    </row>
    <row r="65" spans="1:25" ht="30" customHeight="1">
      <c r="A65" s="143"/>
      <c r="B65" s="4"/>
      <c r="C65" s="4"/>
      <c r="D65" s="4"/>
      <c r="E65" s="10"/>
      <c r="F65" s="51"/>
      <c r="G65" s="51"/>
      <c r="H65" s="51"/>
      <c r="I65" s="51"/>
      <c r="J65" s="51"/>
      <c r="K65" s="51"/>
      <c r="L65" s="51"/>
      <c r="M65" s="51"/>
      <c r="N65" s="51"/>
      <c r="O65" s="4"/>
      <c r="P65" s="4"/>
      <c r="Q65" s="4"/>
      <c r="R65" s="4"/>
      <c r="S65" s="4"/>
      <c r="T65" s="4"/>
      <c r="U65" s="4"/>
      <c r="V65" s="4"/>
      <c r="W65" s="4"/>
      <c r="X65" s="4"/>
      <c r="Y65" s="4"/>
    </row>
    <row r="66" spans="1:25" ht="30" customHeight="1">
      <c r="A66" s="143"/>
      <c r="B66" s="4"/>
      <c r="C66" s="4"/>
      <c r="D66" s="4"/>
      <c r="E66" s="10"/>
      <c r="F66" s="51"/>
      <c r="G66" s="51"/>
      <c r="H66" s="51"/>
      <c r="I66" s="51"/>
      <c r="J66" s="51"/>
      <c r="K66" s="51"/>
      <c r="L66" s="51"/>
      <c r="M66" s="51"/>
      <c r="N66" s="51"/>
      <c r="O66" s="4"/>
      <c r="P66" s="4"/>
      <c r="Q66" s="4"/>
      <c r="R66" s="4"/>
      <c r="S66" s="4"/>
      <c r="T66" s="4"/>
      <c r="U66" s="4"/>
      <c r="V66" s="4"/>
      <c r="W66" s="4"/>
      <c r="X66" s="4"/>
      <c r="Y66" s="4"/>
    </row>
    <row r="67" spans="1:25" ht="30" customHeight="1">
      <c r="A67" s="143"/>
      <c r="B67" s="4"/>
      <c r="C67" s="4"/>
      <c r="D67" s="4"/>
      <c r="E67" s="10"/>
      <c r="F67" s="51"/>
      <c r="G67" s="51"/>
      <c r="H67" s="51"/>
      <c r="I67" s="51"/>
      <c r="J67" s="51"/>
      <c r="K67" s="51"/>
      <c r="L67" s="51"/>
      <c r="M67" s="51"/>
      <c r="N67" s="51"/>
      <c r="O67" s="4"/>
      <c r="P67" s="4"/>
      <c r="Q67" s="4"/>
      <c r="R67" s="4"/>
      <c r="S67" s="4"/>
      <c r="T67" s="4"/>
      <c r="U67" s="4"/>
      <c r="V67" s="4"/>
      <c r="W67" s="4"/>
      <c r="X67" s="4"/>
      <c r="Y67" s="4"/>
    </row>
    <row r="68" spans="1:25" ht="30" customHeight="1">
      <c r="A68" s="143"/>
      <c r="B68" s="4"/>
      <c r="C68" s="4"/>
      <c r="D68" s="4"/>
      <c r="E68" s="10"/>
      <c r="F68" s="51"/>
      <c r="G68" s="51"/>
      <c r="H68" s="51"/>
      <c r="I68" s="51"/>
      <c r="J68" s="51"/>
      <c r="K68" s="51"/>
      <c r="L68" s="51"/>
      <c r="M68" s="51"/>
      <c r="N68" s="51"/>
      <c r="O68" s="4"/>
      <c r="P68" s="4"/>
      <c r="Q68" s="4"/>
      <c r="R68" s="4"/>
      <c r="S68" s="4"/>
      <c r="T68" s="4"/>
      <c r="U68" s="4"/>
      <c r="V68" s="4"/>
      <c r="W68" s="4"/>
      <c r="X68" s="4"/>
      <c r="Y68" s="4"/>
    </row>
    <row r="69" spans="1:25" ht="30" customHeight="1">
      <c r="A69" s="143"/>
      <c r="B69" s="4"/>
      <c r="C69" s="4"/>
      <c r="D69" s="4"/>
      <c r="E69" s="10"/>
      <c r="F69" s="51"/>
      <c r="G69" s="51"/>
      <c r="H69" s="51"/>
      <c r="I69" s="51"/>
      <c r="J69" s="51"/>
      <c r="K69" s="51"/>
      <c r="L69" s="51"/>
      <c r="M69" s="51"/>
      <c r="N69" s="51"/>
      <c r="O69" s="4"/>
      <c r="P69" s="4"/>
      <c r="Q69" s="4"/>
      <c r="R69" s="4"/>
      <c r="S69" s="4"/>
      <c r="T69" s="4"/>
      <c r="U69" s="4"/>
      <c r="V69" s="4"/>
      <c r="W69" s="4"/>
      <c r="X69" s="4"/>
      <c r="Y69" s="4"/>
    </row>
    <row r="70" spans="1:25" ht="30" customHeight="1">
      <c r="A70" s="143"/>
      <c r="B70" s="4"/>
      <c r="C70" s="4"/>
      <c r="D70" s="4"/>
      <c r="E70" s="10"/>
      <c r="F70" s="51"/>
      <c r="G70" s="51"/>
      <c r="H70" s="51"/>
      <c r="I70" s="51"/>
      <c r="J70" s="51"/>
      <c r="K70" s="51"/>
      <c r="L70" s="51"/>
      <c r="M70" s="51"/>
      <c r="N70" s="51"/>
      <c r="O70" s="4"/>
      <c r="P70" s="4"/>
      <c r="Q70" s="4"/>
      <c r="R70" s="4"/>
      <c r="S70" s="4"/>
      <c r="T70" s="4"/>
      <c r="U70" s="4"/>
      <c r="V70" s="4"/>
      <c r="W70" s="4"/>
      <c r="X70" s="4"/>
      <c r="Y70" s="4"/>
    </row>
    <row r="71" spans="1:25" ht="30" customHeight="1">
      <c r="A71" s="143"/>
      <c r="B71" s="4"/>
      <c r="C71" s="4"/>
      <c r="D71" s="4"/>
      <c r="E71" s="10"/>
      <c r="F71" s="51"/>
      <c r="G71" s="51"/>
      <c r="H71" s="51"/>
      <c r="I71" s="51"/>
      <c r="J71" s="51"/>
      <c r="K71" s="51"/>
      <c r="L71" s="51"/>
      <c r="M71" s="51"/>
      <c r="N71" s="51"/>
      <c r="O71" s="4"/>
      <c r="P71" s="4"/>
      <c r="Q71" s="4"/>
      <c r="R71" s="4"/>
      <c r="S71" s="4"/>
      <c r="T71" s="4"/>
      <c r="U71" s="4"/>
      <c r="V71" s="4"/>
      <c r="W71" s="4"/>
      <c r="X71" s="4"/>
      <c r="Y71" s="4"/>
    </row>
    <row r="72" spans="1:25" ht="30" customHeight="1">
      <c r="A72" s="143"/>
      <c r="B72" s="4"/>
      <c r="C72" s="4"/>
      <c r="D72" s="4"/>
      <c r="E72" s="10"/>
      <c r="F72" s="51"/>
      <c r="G72" s="51"/>
      <c r="H72" s="51"/>
      <c r="I72" s="51"/>
      <c r="J72" s="51"/>
      <c r="K72" s="51"/>
      <c r="L72" s="51"/>
      <c r="M72" s="51"/>
      <c r="N72" s="51"/>
      <c r="O72" s="4"/>
      <c r="P72" s="4"/>
      <c r="Q72" s="4"/>
      <c r="R72" s="4"/>
      <c r="S72" s="4"/>
      <c r="T72" s="4"/>
      <c r="U72" s="4"/>
      <c r="V72" s="4"/>
      <c r="W72" s="4"/>
      <c r="X72" s="4"/>
      <c r="Y72" s="4"/>
    </row>
    <row r="73" spans="1:25" ht="30" customHeight="1">
      <c r="A73" s="143"/>
      <c r="B73" s="4"/>
      <c r="C73" s="4"/>
      <c r="D73" s="4"/>
      <c r="E73" s="10"/>
      <c r="F73" s="51"/>
      <c r="G73" s="51"/>
      <c r="H73" s="51"/>
      <c r="I73" s="51"/>
      <c r="J73" s="51"/>
      <c r="K73" s="51"/>
      <c r="L73" s="51"/>
      <c r="M73" s="51"/>
      <c r="N73" s="51"/>
      <c r="O73" s="4"/>
      <c r="P73" s="4"/>
      <c r="Q73" s="4"/>
      <c r="R73" s="4"/>
      <c r="S73" s="4"/>
      <c r="T73" s="4"/>
      <c r="U73" s="4"/>
      <c r="V73" s="4"/>
      <c r="W73" s="4"/>
      <c r="X73" s="4"/>
      <c r="Y73" s="4"/>
    </row>
    <row r="74" spans="1:25" ht="30" customHeight="1">
      <c r="A74" s="143"/>
      <c r="B74" s="4"/>
      <c r="C74" s="4"/>
      <c r="D74" s="4"/>
      <c r="E74" s="10"/>
      <c r="F74" s="51"/>
      <c r="G74" s="51"/>
      <c r="H74" s="51"/>
      <c r="I74" s="51"/>
      <c r="J74" s="51"/>
      <c r="K74" s="51"/>
      <c r="L74" s="51"/>
      <c r="M74" s="51"/>
      <c r="N74" s="51"/>
      <c r="O74" s="4"/>
      <c r="P74" s="4"/>
      <c r="Q74" s="4"/>
      <c r="R74" s="4"/>
      <c r="S74" s="4"/>
      <c r="T74" s="4"/>
      <c r="U74" s="4"/>
      <c r="V74" s="4"/>
      <c r="W74" s="4"/>
      <c r="X74" s="4"/>
      <c r="Y74" s="4"/>
    </row>
    <row r="75" spans="1:25" ht="30" customHeight="1">
      <c r="A75" s="143"/>
      <c r="B75" s="4"/>
      <c r="C75" s="4"/>
      <c r="D75" s="4"/>
      <c r="E75" s="10"/>
      <c r="F75" s="51"/>
      <c r="G75" s="51"/>
      <c r="H75" s="51"/>
      <c r="I75" s="51"/>
      <c r="J75" s="51"/>
      <c r="K75" s="51"/>
      <c r="L75" s="51"/>
      <c r="M75" s="51"/>
      <c r="N75" s="51"/>
      <c r="O75" s="4"/>
      <c r="P75" s="4"/>
      <c r="Q75" s="4"/>
      <c r="R75" s="4"/>
      <c r="S75" s="4"/>
      <c r="T75" s="4"/>
      <c r="U75" s="4"/>
      <c r="V75" s="4"/>
      <c r="W75" s="4"/>
      <c r="X75" s="4"/>
      <c r="Y75" s="4"/>
    </row>
    <row r="76" spans="1:25" ht="30" customHeight="1">
      <c r="A76" s="143"/>
      <c r="B76" s="4"/>
      <c r="C76" s="4"/>
      <c r="D76" s="4"/>
      <c r="E76" s="10"/>
      <c r="F76" s="51"/>
      <c r="G76" s="51"/>
      <c r="H76" s="51"/>
      <c r="I76" s="51"/>
      <c r="J76" s="51"/>
      <c r="K76" s="51"/>
      <c r="L76" s="51"/>
      <c r="M76" s="51"/>
      <c r="N76" s="51"/>
      <c r="O76" s="4"/>
      <c r="P76" s="4"/>
      <c r="Q76" s="4"/>
      <c r="R76" s="4"/>
      <c r="S76" s="4"/>
      <c r="T76" s="4"/>
      <c r="U76" s="4"/>
      <c r="V76" s="4"/>
      <c r="W76" s="4"/>
      <c r="X76" s="4"/>
      <c r="Y76" s="4"/>
    </row>
    <row r="77" spans="1:25" ht="30" customHeight="1">
      <c r="A77" s="143"/>
      <c r="B77" s="4"/>
      <c r="C77" s="4"/>
      <c r="D77" s="4"/>
      <c r="E77" s="10"/>
      <c r="F77" s="51"/>
      <c r="G77" s="51"/>
      <c r="H77" s="51"/>
      <c r="I77" s="51"/>
      <c r="J77" s="51"/>
      <c r="K77" s="51"/>
      <c r="L77" s="51"/>
      <c r="M77" s="51"/>
      <c r="N77" s="51"/>
      <c r="O77" s="4"/>
      <c r="P77" s="4"/>
      <c r="Q77" s="4"/>
      <c r="R77" s="4"/>
      <c r="S77" s="4"/>
      <c r="T77" s="4"/>
      <c r="U77" s="4"/>
      <c r="V77" s="4"/>
      <c r="W77" s="4"/>
      <c r="X77" s="4"/>
      <c r="Y77" s="4"/>
    </row>
    <row r="78" spans="1:25" ht="30" customHeight="1">
      <c r="A78" s="143"/>
      <c r="B78" s="4"/>
      <c r="C78" s="4"/>
      <c r="D78" s="4"/>
      <c r="E78" s="10"/>
      <c r="F78" s="51"/>
      <c r="G78" s="51"/>
      <c r="H78" s="51"/>
      <c r="I78" s="51"/>
      <c r="J78" s="51"/>
      <c r="K78" s="51"/>
      <c r="L78" s="51"/>
      <c r="M78" s="51"/>
      <c r="N78" s="51"/>
      <c r="O78" s="4"/>
      <c r="P78" s="4"/>
      <c r="Q78" s="4"/>
      <c r="R78" s="4"/>
      <c r="S78" s="4"/>
      <c r="T78" s="4"/>
      <c r="U78" s="4"/>
      <c r="V78" s="4"/>
      <c r="W78" s="4"/>
      <c r="X78" s="4"/>
      <c r="Y78" s="4"/>
    </row>
    <row r="79" spans="1:25" ht="30" customHeight="1">
      <c r="A79" s="143"/>
      <c r="B79" s="4"/>
      <c r="C79" s="4"/>
      <c r="D79" s="4"/>
      <c r="E79" s="10"/>
      <c r="F79" s="51"/>
      <c r="G79" s="51"/>
      <c r="H79" s="51"/>
      <c r="I79" s="51"/>
      <c r="J79" s="51"/>
      <c r="K79" s="51"/>
      <c r="L79" s="51"/>
      <c r="M79" s="51"/>
      <c r="N79" s="51"/>
      <c r="O79" s="4"/>
      <c r="P79" s="4"/>
      <c r="Q79" s="4"/>
      <c r="R79" s="4"/>
      <c r="S79" s="4"/>
      <c r="T79" s="4"/>
      <c r="U79" s="4"/>
      <c r="V79" s="4"/>
      <c r="W79" s="4"/>
      <c r="X79" s="4"/>
      <c r="Y79" s="4"/>
    </row>
    <row r="80" spans="1:25" ht="30" customHeight="1">
      <c r="A80" s="143"/>
      <c r="B80" s="4"/>
      <c r="C80" s="4"/>
      <c r="D80" s="4"/>
      <c r="E80" s="10"/>
      <c r="F80" s="51"/>
      <c r="G80" s="51"/>
      <c r="H80" s="51"/>
      <c r="I80" s="51"/>
      <c r="J80" s="51"/>
      <c r="K80" s="51"/>
      <c r="L80" s="51"/>
      <c r="M80" s="51"/>
      <c r="N80" s="51"/>
      <c r="O80" s="4"/>
      <c r="P80" s="4"/>
      <c r="Q80" s="4"/>
      <c r="R80" s="4"/>
      <c r="S80" s="4"/>
      <c r="T80" s="4"/>
      <c r="U80" s="4"/>
      <c r="V80" s="4"/>
      <c r="W80" s="4"/>
      <c r="X80" s="4"/>
      <c r="Y80" s="4"/>
    </row>
    <row r="81" spans="1:25" ht="30" customHeight="1">
      <c r="A81" s="143"/>
      <c r="B81" s="4"/>
      <c r="C81" s="4"/>
      <c r="D81" s="4"/>
      <c r="E81" s="10"/>
      <c r="F81" s="51"/>
      <c r="G81" s="51"/>
      <c r="H81" s="51"/>
      <c r="I81" s="51"/>
      <c r="J81" s="51"/>
      <c r="K81" s="51"/>
      <c r="L81" s="51"/>
      <c r="M81" s="51"/>
      <c r="N81" s="51"/>
      <c r="O81" s="4"/>
      <c r="P81" s="4"/>
      <c r="Q81" s="4"/>
      <c r="R81" s="4"/>
      <c r="S81" s="4"/>
      <c r="T81" s="4"/>
      <c r="U81" s="4"/>
      <c r="V81" s="4"/>
      <c r="W81" s="4"/>
      <c r="X81" s="4"/>
      <c r="Y81" s="4"/>
    </row>
    <row r="82" spans="1:25" ht="30" customHeight="1">
      <c r="A82" s="143"/>
      <c r="B82" s="4"/>
      <c r="C82" s="4"/>
      <c r="D82" s="4"/>
      <c r="E82" s="10"/>
      <c r="F82" s="51"/>
      <c r="G82" s="51"/>
      <c r="H82" s="51"/>
      <c r="I82" s="51"/>
      <c r="J82" s="51"/>
      <c r="K82" s="51"/>
      <c r="L82" s="51"/>
      <c r="M82" s="51"/>
      <c r="N82" s="51"/>
      <c r="O82" s="4"/>
      <c r="P82" s="4"/>
      <c r="Q82" s="4"/>
      <c r="R82" s="4"/>
      <c r="S82" s="4"/>
      <c r="T82" s="4"/>
      <c r="U82" s="4"/>
      <c r="V82" s="4"/>
      <c r="W82" s="4"/>
      <c r="X82" s="4"/>
      <c r="Y82" s="4"/>
    </row>
    <row r="83" spans="1:25" ht="30" customHeight="1">
      <c r="A83" s="143"/>
      <c r="B83" s="4"/>
      <c r="C83" s="4"/>
      <c r="D83" s="4"/>
      <c r="E83" s="10"/>
      <c r="F83" s="51"/>
      <c r="G83" s="51"/>
      <c r="H83" s="51"/>
      <c r="I83" s="51"/>
      <c r="J83" s="51"/>
      <c r="K83" s="51"/>
      <c r="L83" s="51"/>
      <c r="M83" s="51"/>
      <c r="N83" s="51"/>
      <c r="O83" s="4"/>
      <c r="P83" s="4"/>
      <c r="Q83" s="4"/>
      <c r="R83" s="4"/>
      <c r="S83" s="4"/>
      <c r="T83" s="4"/>
      <c r="U83" s="4"/>
      <c r="V83" s="4"/>
      <c r="W83" s="4"/>
      <c r="X83" s="4"/>
      <c r="Y83" s="4"/>
    </row>
    <row r="84" spans="1:25" hidden="1">
      <c r="A84" s="143"/>
    </row>
  </sheetData>
  <mergeCells count="1">
    <mergeCell ref="E3:N5"/>
  </mergeCells>
  <conditionalFormatting sqref="A1:A7">
    <cfRule type="cellIs" dxfId="133" priority="81" operator="equal">
      <formula>0</formula>
    </cfRule>
  </conditionalFormatting>
  <conditionalFormatting sqref="B1:B23 C3:E3 C4:D5 C6:L8 C17:D23 E18:M19 F20:M20 A20:A1048576 E21:L23 M39:N40 B39:D1048576 O40 M41:O41 F42:O44 E45:XFD47 K48:XFD63 E64:XFD1048576">
    <cfRule type="cellIs" dxfId="132" priority="97" operator="equal">
      <formula>0</formula>
    </cfRule>
  </conditionalFormatting>
  <conditionalFormatting sqref="B38:O38">
    <cfRule type="cellIs" dxfId="131" priority="49" operator="equal">
      <formula>0</formula>
    </cfRule>
  </conditionalFormatting>
  <conditionalFormatting sqref="C9:E16">
    <cfRule type="cellIs" dxfId="130" priority="51" operator="equal">
      <formula>0</formula>
    </cfRule>
  </conditionalFormatting>
  <conditionalFormatting sqref="C1:N2 F14:M17">
    <cfRule type="cellIs" dxfId="129" priority="74" operator="equal">
      <formula>0</formula>
    </cfRule>
  </conditionalFormatting>
  <conditionalFormatting sqref="E17">
    <cfRule type="cellIs" dxfId="128" priority="90" operator="equal">
      <formula>0</formula>
    </cfRule>
  </conditionalFormatting>
  <conditionalFormatting sqref="E20:E37">
    <cfRule type="cellIs" dxfId="127" priority="50" operator="equal">
      <formula>0</formula>
    </cfRule>
  </conditionalFormatting>
  <conditionalFormatting sqref="E48:E63">
    <cfRule type="cellIs" dxfId="126" priority="8" operator="equal">
      <formula>0</formula>
    </cfRule>
  </conditionalFormatting>
  <conditionalFormatting sqref="E48:J48">
    <cfRule type="cellIs" dxfId="125" priority="6" operator="equal">
      <formula>0</formula>
    </cfRule>
  </conditionalFormatting>
  <conditionalFormatting sqref="E39:L44">
    <cfRule type="cellIs" dxfId="124" priority="75" operator="equal">
      <formula>0</formula>
    </cfRule>
  </conditionalFormatting>
  <conditionalFormatting sqref="F49:J49 F61:J63">
    <cfRule type="cellIs" dxfId="123" priority="7" operator="equal">
      <formula>0</formula>
    </cfRule>
  </conditionalFormatting>
  <conditionalFormatting sqref="F50:J60">
    <cfRule type="cellIs" dxfId="122" priority="5" operator="equal">
      <formula>0</formula>
    </cfRule>
  </conditionalFormatting>
  <conditionalFormatting sqref="F24:L24">
    <cfRule type="cellIs" dxfId="121" priority="18" operator="equal">
      <formula>0</formula>
    </cfRule>
  </conditionalFormatting>
  <conditionalFormatting sqref="F25:N37 O32:O37">
    <cfRule type="cellIs" dxfId="120" priority="11" operator="equal">
      <formula>0</formula>
    </cfRule>
  </conditionalFormatting>
  <conditionalFormatting sqref="M21:M24">
    <cfRule type="cellIs" dxfId="119" priority="40" operator="equal">
      <formula>0</formula>
    </cfRule>
  </conditionalFormatting>
  <conditionalFormatting sqref="M6:N9 F9:O13">
    <cfRule type="cellIs" dxfId="118" priority="47" operator="equal">
      <formula>0</formula>
    </cfRule>
  </conditionalFormatting>
  <conditionalFormatting sqref="N14:N24">
    <cfRule type="cellIs" dxfId="117" priority="3" operator="equal">
      <formula>0</formula>
    </cfRule>
  </conditionalFormatting>
  <conditionalFormatting sqref="O14">
    <cfRule type="cellIs" dxfId="116" priority="13" operator="equal">
      <formula>0</formula>
    </cfRule>
  </conditionalFormatting>
  <conditionalFormatting sqref="O1:XFD8 P9:XFD14 B24:D37 P32:XFD38 O39:XFD39 P40:XFD44">
    <cfRule type="cellIs" dxfId="115" priority="84" operator="equal">
      <formula>0</formula>
    </cfRule>
  </conditionalFormatting>
  <conditionalFormatting sqref="O15:XFD31">
    <cfRule type="cellIs" dxfId="114" priority="1" operator="equal">
      <formula>0</formula>
    </cfRule>
  </conditionalFormatting>
  <hyperlinks>
    <hyperlink ref="A16" location="'Projeções - CG + Capex'!A1" display="Projeções - CG + Capex" xr:uid="{5F63C521-559D-497A-92BD-1907AC44467E}"/>
    <hyperlink ref="A18" location="Processos!A1" display="Processos" xr:uid="{E701E80C-9B3C-4088-A749-22F00090B077}"/>
    <hyperlink ref="A8" location="Dashboard!A1" display="Dashboard" xr:uid="{DBEB2B75-3CCE-41A4-83E0-21A156A4A4AB}"/>
    <hyperlink ref="A9" location="WACC!A1" display="WACC" xr:uid="{BE15187A-60F3-4348-9902-7C7B395C15F1}"/>
    <hyperlink ref="A11" location="'DRE + DCF'!A1" display="DRE + DCF" xr:uid="{2615B2D0-8485-44E2-A4FF-A144AB90171E}"/>
    <hyperlink ref="A12" location="'DRE - Contas Abertas'!A1" display="DRE - Contas Abertas" xr:uid="{2E26800E-8AF7-4556-8E73-9711A6851878}"/>
    <hyperlink ref="A13" location="'Balanço Patrimonial'!A1" display="Balanço Patrimonial" xr:uid="{E62E4256-9B25-4C8F-95F9-B9249C8638C7}"/>
    <hyperlink ref="A10" location="'DRE Consolidado'!A1" display="DRE Consolidado" xr:uid="{1C4AA2FD-9849-41A2-8F92-52B77B29CA28}"/>
    <hyperlink ref="A15" location="'Projeções - Receita e EBIT'!A1" display="Projeções - Receita" xr:uid="{23612054-B14A-4C6A-84E6-568453B729D3}"/>
    <hyperlink ref="A17" location="'Projeções 2023'!A1" display="Projeções 2022" xr:uid="{89287F86-AFE5-4B67-A580-9A2E0BDB8882}"/>
  </hyperlink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19"/>
  <dimension ref="A1:AU202"/>
  <sheetViews>
    <sheetView showGridLines="0" topLeftCell="C21" zoomScale="85" zoomScaleNormal="85" workbookViewId="0">
      <pane xSplit="3" topLeftCell="F1" activePane="topRight" state="frozen"/>
      <selection activeCell="C1" sqref="C1"/>
      <selection pane="topRight" activeCell="R129" sqref="R129:V129"/>
    </sheetView>
  </sheetViews>
  <sheetFormatPr defaultColWidth="0" defaultRowHeight="15" zeroHeight="1"/>
  <cols>
    <col min="1" max="1" width="39.140625" style="3" customWidth="1"/>
    <col min="2" max="4" width="9.140625" style="5" customWidth="1"/>
    <col min="5" max="5" width="74.85546875" style="5" bestFit="1" customWidth="1"/>
    <col min="6" max="8" width="11.85546875" style="5" customWidth="1"/>
    <col min="9" max="9" width="13.28515625" style="5" bestFit="1" customWidth="1"/>
    <col min="10" max="10" width="15.85546875" style="5" bestFit="1" customWidth="1"/>
    <col min="11" max="12" width="14.5703125" style="5" customWidth="1"/>
    <col min="13" max="13" width="15.5703125" style="5" bestFit="1" customWidth="1"/>
    <col min="14" max="17" width="15.5703125" style="5" customWidth="1"/>
    <col min="18" max="18" width="14.7109375" style="5" bestFit="1" customWidth="1"/>
    <col min="19" max="19" width="13.28515625" style="5" bestFit="1" customWidth="1"/>
    <col min="20" max="22" width="14.5703125" style="5" bestFit="1" customWidth="1"/>
    <col min="23" max="23" width="71.5703125" style="5" customWidth="1"/>
    <col min="24" max="24" width="26.85546875" style="5" bestFit="1" customWidth="1"/>
    <col min="25" max="25" width="22.85546875" style="5" bestFit="1" customWidth="1"/>
    <col min="26" max="26" width="23.140625" style="5" bestFit="1" customWidth="1"/>
    <col min="27" max="38" width="9.140625" style="5" customWidth="1"/>
    <col min="39" max="39" width="9.140625" style="5" hidden="1" customWidth="1"/>
    <col min="40" max="47" width="0" style="5" hidden="1" customWidth="1"/>
    <col min="48" max="16384" width="9.140625" style="5" hidden="1"/>
  </cols>
  <sheetData>
    <row r="1" spans="1:39" ht="15" customHeight="1">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spans="1:39" ht="15" customHeight="1">
      <c r="B2" s="4"/>
      <c r="C2" s="4"/>
      <c r="D2" s="4"/>
      <c r="E2" s="4"/>
      <c r="F2" s="4"/>
      <c r="G2" s="4"/>
      <c r="H2" s="4"/>
      <c r="I2" s="4"/>
      <c r="J2" s="4"/>
      <c r="K2" s="4"/>
      <c r="L2" s="4"/>
      <c r="M2" s="74"/>
      <c r="N2" s="74"/>
      <c r="O2" s="74"/>
      <c r="P2" s="74"/>
      <c r="Q2" s="74"/>
      <c r="R2" s="74"/>
      <c r="S2" s="74"/>
      <c r="T2" s="74"/>
      <c r="U2" s="65"/>
      <c r="V2" s="65"/>
      <c r="W2" s="65"/>
      <c r="X2" s="65"/>
      <c r="Y2" s="4"/>
      <c r="Z2" s="4"/>
      <c r="AA2" s="4"/>
      <c r="AB2" s="4"/>
      <c r="AC2" s="4"/>
      <c r="AD2" s="4"/>
      <c r="AE2" s="4"/>
      <c r="AF2" s="4"/>
      <c r="AG2" s="4"/>
      <c r="AH2" s="4"/>
      <c r="AI2" s="4"/>
      <c r="AJ2" s="4"/>
      <c r="AK2" s="4"/>
      <c r="AL2" s="4"/>
    </row>
    <row r="3" spans="1:39" ht="15" customHeight="1">
      <c r="B3" s="4"/>
      <c r="C3" s="4"/>
      <c r="D3" s="4"/>
      <c r="E3" s="4"/>
      <c r="F3" s="4"/>
      <c r="G3" s="4"/>
      <c r="H3" s="4"/>
      <c r="I3" s="4"/>
      <c r="J3" s="4"/>
      <c r="K3" s="4"/>
      <c r="L3" s="4"/>
      <c r="M3" s="6"/>
      <c r="N3" s="6"/>
      <c r="O3" s="6"/>
      <c r="P3" s="6"/>
      <c r="Q3" s="6"/>
      <c r="R3" s="336" t="str">
        <f>Dashboard!H3</f>
        <v>SIMPAR (SIMH3)</v>
      </c>
      <c r="S3" s="336"/>
      <c r="T3" s="336"/>
      <c r="U3" s="75"/>
      <c r="V3" s="75"/>
      <c r="W3" s="75"/>
      <c r="X3" s="75"/>
      <c r="Y3" s="336"/>
      <c r="Z3" s="336"/>
      <c r="AA3" s="4"/>
      <c r="AB3" s="4"/>
      <c r="AC3" s="4"/>
      <c r="AD3" s="4"/>
      <c r="AE3" s="4"/>
      <c r="AF3" s="4"/>
      <c r="AG3" s="4"/>
      <c r="AH3" s="4"/>
      <c r="AI3" s="4"/>
      <c r="AJ3" s="4"/>
      <c r="AK3" s="4"/>
      <c r="AL3" s="4"/>
    </row>
    <row r="4" spans="1:39" ht="15" customHeight="1">
      <c r="B4" s="4"/>
      <c r="C4" s="4"/>
      <c r="D4" s="4"/>
      <c r="E4" s="4"/>
      <c r="F4" s="4"/>
      <c r="G4" s="4"/>
      <c r="H4" s="4"/>
      <c r="I4" s="4"/>
      <c r="J4" s="4"/>
      <c r="K4" s="4"/>
      <c r="L4" s="4"/>
      <c r="M4" s="6"/>
      <c r="N4" s="6"/>
      <c r="O4" s="6"/>
      <c r="P4" s="6"/>
      <c r="Q4" s="6"/>
      <c r="R4" s="336"/>
      <c r="S4" s="336"/>
      <c r="T4" s="336"/>
      <c r="U4" s="75"/>
      <c r="V4" s="75"/>
      <c r="W4" s="75"/>
      <c r="X4" s="75"/>
      <c r="Y4" s="336"/>
      <c r="Z4" s="336"/>
      <c r="AA4" s="4"/>
      <c r="AB4" s="4"/>
      <c r="AC4" s="4"/>
      <c r="AD4" s="4"/>
      <c r="AE4" s="4"/>
      <c r="AF4" s="4"/>
      <c r="AG4" s="4"/>
      <c r="AH4" s="4"/>
      <c r="AI4" s="4"/>
      <c r="AJ4" s="4"/>
      <c r="AK4" s="4"/>
      <c r="AL4" s="4"/>
    </row>
    <row r="5" spans="1:39" ht="15" customHeight="1">
      <c r="B5" s="4"/>
      <c r="C5" s="4"/>
      <c r="D5" s="4"/>
      <c r="E5" s="4"/>
      <c r="F5" s="4"/>
      <c r="G5" s="4"/>
      <c r="H5" s="4"/>
      <c r="I5" s="4"/>
      <c r="J5" s="4"/>
      <c r="K5" s="4"/>
      <c r="L5" s="4"/>
      <c r="M5" s="76"/>
      <c r="N5" s="76"/>
      <c r="O5" s="76"/>
      <c r="P5" s="76"/>
      <c r="Q5" s="76"/>
      <c r="R5" s="388"/>
      <c r="S5" s="388"/>
      <c r="T5" s="388"/>
      <c r="U5" s="75"/>
      <c r="V5" s="75"/>
      <c r="W5" s="75"/>
      <c r="X5" s="75"/>
      <c r="Y5" s="4"/>
      <c r="Z5" s="4"/>
      <c r="AA5" s="4"/>
      <c r="AB5" s="4"/>
      <c r="AC5" s="4"/>
      <c r="AD5" s="4"/>
      <c r="AE5" s="4"/>
      <c r="AF5" s="4"/>
      <c r="AG5" s="4"/>
      <c r="AH5" s="4"/>
      <c r="AI5" s="4"/>
      <c r="AJ5" s="4"/>
      <c r="AK5" s="4"/>
      <c r="AL5" s="4"/>
    </row>
    <row r="6" spans="1:39" hidden="1">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row>
    <row r="7" spans="1:39" s="11" customFormat="1" ht="24.75" customHeight="1">
      <c r="A7" s="142" t="s">
        <v>33</v>
      </c>
      <c r="B7" s="10"/>
      <c r="C7" s="10"/>
      <c r="D7" s="10"/>
      <c r="E7" s="10"/>
      <c r="F7" s="221"/>
      <c r="G7" s="221"/>
      <c r="H7" s="221"/>
      <c r="I7" s="221"/>
      <c r="J7" s="221"/>
      <c r="K7" s="221"/>
      <c r="L7" s="221"/>
      <c r="M7" s="221"/>
      <c r="N7" s="221"/>
      <c r="O7" s="221"/>
      <c r="P7" s="221"/>
      <c r="Q7" s="221"/>
      <c r="R7" s="51"/>
      <c r="S7" s="51"/>
      <c r="T7" s="51"/>
      <c r="U7" s="51"/>
      <c r="V7" s="51"/>
      <c r="W7" s="10"/>
      <c r="X7" s="10"/>
      <c r="Y7" s="10"/>
      <c r="Z7" s="10"/>
      <c r="AA7" s="10"/>
      <c r="AB7" s="10"/>
      <c r="AC7" s="10"/>
      <c r="AD7" s="10"/>
      <c r="AE7" s="10"/>
      <c r="AF7" s="10"/>
      <c r="AG7" s="10"/>
      <c r="AH7" s="10"/>
      <c r="AI7" s="10"/>
      <c r="AJ7" s="10"/>
      <c r="AK7" s="10"/>
      <c r="AL7" s="10"/>
    </row>
    <row r="8" spans="1:39" ht="30" customHeight="1">
      <c r="A8" s="12" t="s">
        <v>34</v>
      </c>
      <c r="B8" s="4"/>
      <c r="C8" s="4"/>
      <c r="D8" s="10"/>
      <c r="E8" s="29"/>
      <c r="F8" s="30"/>
      <c r="G8" s="30"/>
      <c r="H8" s="30"/>
      <c r="I8" s="30"/>
      <c r="J8" s="30"/>
      <c r="K8" s="30"/>
      <c r="L8" s="30"/>
      <c r="M8" s="30"/>
      <c r="N8" s="30"/>
      <c r="O8" s="30"/>
      <c r="P8" s="30"/>
      <c r="Q8" s="30"/>
      <c r="R8" s="30"/>
      <c r="AA8" s="4"/>
      <c r="AB8" s="4"/>
      <c r="AC8" s="4"/>
      <c r="AD8" s="4"/>
      <c r="AE8" s="4"/>
      <c r="AF8" s="4"/>
      <c r="AG8" s="4"/>
      <c r="AH8" s="4"/>
      <c r="AI8" s="4"/>
      <c r="AJ8" s="4"/>
      <c r="AK8" s="4"/>
      <c r="AL8" s="4"/>
    </row>
    <row r="9" spans="1:39" ht="30" customHeight="1">
      <c r="A9" s="12" t="s">
        <v>23</v>
      </c>
      <c r="B9" s="4"/>
      <c r="C9" s="4"/>
      <c r="D9" s="4"/>
      <c r="E9" s="78"/>
      <c r="F9" s="37">
        <v>2014</v>
      </c>
      <c r="G9" s="37">
        <v>2015</v>
      </c>
      <c r="H9" s="37">
        <v>2016</v>
      </c>
      <c r="I9" s="37">
        <v>2017</v>
      </c>
      <c r="J9" s="37">
        <v>2018</v>
      </c>
      <c r="K9" s="37">
        <v>2019</v>
      </c>
      <c r="L9" s="37">
        <v>2020</v>
      </c>
      <c r="M9" s="37">
        <v>2021</v>
      </c>
      <c r="N9" s="37">
        <v>2022</v>
      </c>
      <c r="O9" s="37">
        <v>2023</v>
      </c>
      <c r="P9" s="37" t="s">
        <v>518</v>
      </c>
      <c r="Q9" s="37" t="s">
        <v>519</v>
      </c>
      <c r="R9" s="38">
        <v>2024</v>
      </c>
      <c r="S9" s="38">
        <f>R9+1</f>
        <v>2025</v>
      </c>
      <c r="T9" s="38">
        <f t="shared" ref="T9:V9" si="0">S9+1</f>
        <v>2026</v>
      </c>
      <c r="U9" s="38">
        <f t="shared" si="0"/>
        <v>2027</v>
      </c>
      <c r="V9" s="38">
        <f t="shared" si="0"/>
        <v>2028</v>
      </c>
      <c r="W9" s="38" t="s">
        <v>94</v>
      </c>
      <c r="X9" s="38" t="s">
        <v>95</v>
      </c>
      <c r="Y9" s="38" t="s">
        <v>328</v>
      </c>
      <c r="Z9" s="91" t="s">
        <v>314</v>
      </c>
      <c r="AA9" s="4"/>
      <c r="AB9" s="4"/>
      <c r="AC9" s="4"/>
      <c r="AD9" s="4"/>
      <c r="AE9" s="4"/>
      <c r="AF9" s="4"/>
      <c r="AG9" s="4"/>
      <c r="AH9" s="4"/>
      <c r="AI9" s="4"/>
      <c r="AJ9" s="4"/>
      <c r="AK9" s="4"/>
      <c r="AL9" s="4"/>
      <c r="AM9" s="4"/>
    </row>
    <row r="10" spans="1:39" ht="30" customHeight="1">
      <c r="A10" s="12" t="s">
        <v>323</v>
      </c>
      <c r="B10" s="4"/>
      <c r="C10" s="4"/>
      <c r="D10" s="4"/>
      <c r="E10" s="79" t="s">
        <v>12</v>
      </c>
      <c r="F10" s="80"/>
      <c r="G10" s="80"/>
      <c r="H10" s="80"/>
      <c r="I10" s="80"/>
      <c r="J10" s="80">
        <f t="shared" ref="J10:P10" si="1">SUM(J13:J22)</f>
        <v>8031044.8274600003</v>
      </c>
      <c r="K10" s="80">
        <f t="shared" si="1"/>
        <v>9686209.2949200012</v>
      </c>
      <c r="L10" s="80">
        <f t="shared" si="1"/>
        <v>9807057.0000039097</v>
      </c>
      <c r="M10" s="80">
        <f t="shared" si="1"/>
        <v>13866219.494721111</v>
      </c>
      <c r="N10" s="80">
        <f t="shared" si="1"/>
        <v>24381790</v>
      </c>
      <c r="O10" s="80">
        <f t="shared" si="1"/>
        <v>31843612</v>
      </c>
      <c r="P10" s="80">
        <f t="shared" si="1"/>
        <v>9146985</v>
      </c>
      <c r="Q10" s="80">
        <f>R10-P10</f>
        <v>28759356.117309682</v>
      </c>
      <c r="R10" s="80">
        <f>SUM(R13:R22)</f>
        <v>37906341.117309682</v>
      </c>
      <c r="S10" s="80">
        <f>SUM(S13:S22)</f>
        <v>43423209.647348762</v>
      </c>
      <c r="T10" s="80">
        <f>SUM(T13:T22)</f>
        <v>50252033.765647396</v>
      </c>
      <c r="U10" s="80">
        <f>SUM(U13:U22)</f>
        <v>55355891.925883435</v>
      </c>
      <c r="V10" s="80">
        <f>SUM(V13:V22)</f>
        <v>60832681.112675846</v>
      </c>
      <c r="W10" s="80"/>
      <c r="X10" s="81"/>
      <c r="Y10" s="82">
        <f>(N10/J10)^(1/4)-1</f>
        <v>0.31999833706762848</v>
      </c>
      <c r="Z10" s="92">
        <f>(V10/R10)^(1/4)-1</f>
        <v>0.12552792048614925</v>
      </c>
      <c r="AA10" s="4"/>
      <c r="AB10" s="4"/>
      <c r="AC10" s="4"/>
      <c r="AD10" s="4"/>
      <c r="AE10" s="4"/>
      <c r="AF10" s="4"/>
      <c r="AG10" s="4"/>
      <c r="AH10" s="4"/>
      <c r="AI10" s="4"/>
      <c r="AJ10" s="4"/>
      <c r="AK10" s="4"/>
      <c r="AL10" s="4"/>
    </row>
    <row r="11" spans="1:39" ht="30" customHeight="1">
      <c r="A11" s="12" t="s">
        <v>36</v>
      </c>
      <c r="B11" s="4"/>
      <c r="C11" s="4"/>
      <c r="D11" s="4"/>
      <c r="E11" s="71" t="s">
        <v>47</v>
      </c>
      <c r="F11" s="44"/>
      <c r="G11" s="44"/>
      <c r="H11" s="44"/>
      <c r="I11" s="44"/>
      <c r="J11" s="44"/>
      <c r="K11" s="44">
        <f t="shared" ref="K11:V11" si="2">K10/J10-1</f>
        <v>0.20609578243177151</v>
      </c>
      <c r="L11" s="44">
        <f t="shared" ref="L11" si="3">L10/K10-1</f>
        <v>1.2476264078589372E-2</v>
      </c>
      <c r="M11" s="44">
        <f t="shared" ref="M11:O11" si="4">M10/L10-1</f>
        <v>0.41390220274192169</v>
      </c>
      <c r="N11" s="44">
        <f t="shared" si="4"/>
        <v>0.75835886697756227</v>
      </c>
      <c r="O11" s="44">
        <f t="shared" si="4"/>
        <v>0.306040778794338</v>
      </c>
      <c r="P11" s="44"/>
      <c r="Q11" s="44"/>
      <c r="R11" s="44">
        <f>R10/O10-1</f>
        <v>0.19039074830172154</v>
      </c>
      <c r="S11" s="44">
        <f t="shared" si="2"/>
        <v>0.14553946298762765</v>
      </c>
      <c r="T11" s="44">
        <f t="shared" si="2"/>
        <v>0.15726207651984514</v>
      </c>
      <c r="U11" s="44">
        <f t="shared" si="2"/>
        <v>0.10156520597829144</v>
      </c>
      <c r="V11" s="44">
        <f t="shared" si="2"/>
        <v>9.8937782343482716E-2</v>
      </c>
      <c r="W11" s="44"/>
      <c r="X11" s="81"/>
      <c r="Y11" s="82"/>
      <c r="Z11" s="92"/>
      <c r="AA11" s="4"/>
      <c r="AB11" s="4"/>
      <c r="AC11" s="4"/>
      <c r="AD11" s="4"/>
      <c r="AE11" s="4"/>
      <c r="AF11" s="4"/>
      <c r="AG11" s="4"/>
      <c r="AH11" s="4"/>
      <c r="AI11" s="4"/>
      <c r="AJ11" s="4"/>
      <c r="AK11" s="4"/>
      <c r="AL11" s="4"/>
    </row>
    <row r="12" spans="1:39" ht="30" customHeight="1">
      <c r="A12" s="12"/>
      <c r="B12" s="4"/>
      <c r="C12" s="4"/>
      <c r="D12" s="4"/>
      <c r="E12" s="71" t="s">
        <v>335</v>
      </c>
      <c r="F12" s="44"/>
      <c r="G12" s="44"/>
      <c r="H12" s="44"/>
      <c r="I12" s="44"/>
      <c r="J12" s="276">
        <f>SUM(J13:J19)</f>
        <v>8178993.8274600003</v>
      </c>
      <c r="K12" s="276">
        <f t="shared" ref="K12:M12" si="5">SUM(K13:K19)</f>
        <v>9861984.2949200012</v>
      </c>
      <c r="L12" s="276">
        <f t="shared" si="5"/>
        <v>9934256.0000039097</v>
      </c>
      <c r="M12" s="276">
        <f t="shared" si="5"/>
        <v>14060748.494721111</v>
      </c>
      <c r="N12" s="276">
        <f t="shared" ref="N12:P12" si="6">SUM(N13:N19)</f>
        <v>24921822</v>
      </c>
      <c r="O12" s="276">
        <f t="shared" ref="O12" si="7">SUM(O13:O19)</f>
        <v>32426159</v>
      </c>
      <c r="P12" s="276">
        <f t="shared" si="6"/>
        <v>9150154</v>
      </c>
      <c r="Q12" s="276">
        <f t="shared" ref="Q12" si="8">SUM(Q13:Q19)</f>
        <v>14504533.287642283</v>
      </c>
      <c r="R12" s="276">
        <f>SUM(R13:R19)</f>
        <v>38640171.705620639</v>
      </c>
      <c r="S12" s="276">
        <f t="shared" ref="S12" si="9">SUM(S13:S19)</f>
        <v>44263841.545406386</v>
      </c>
      <c r="T12" s="276">
        <f t="shared" ref="T12" si="10">SUM(T13:T19)</f>
        <v>51224865.181582384</v>
      </c>
      <c r="U12" s="276">
        <f t="shared" ref="U12" si="11">SUM(U13:U19)</f>
        <v>56427529.164960012</v>
      </c>
      <c r="V12" s="276">
        <f t="shared" ref="V12" si="12">SUM(V13:V19)</f>
        <v>62010343.763663352</v>
      </c>
      <c r="W12" s="44"/>
      <c r="X12" s="81"/>
      <c r="Y12" s="82"/>
      <c r="Z12" s="92"/>
      <c r="AA12" s="4"/>
      <c r="AB12" s="4"/>
      <c r="AC12" s="4"/>
      <c r="AD12" s="4"/>
      <c r="AE12" s="4"/>
      <c r="AF12" s="4"/>
      <c r="AG12" s="4"/>
      <c r="AH12" s="4"/>
      <c r="AI12" s="4"/>
      <c r="AJ12" s="4"/>
      <c r="AK12" s="4"/>
      <c r="AL12" s="4"/>
    </row>
    <row r="13" spans="1:39" ht="30" customHeight="1">
      <c r="A13" s="166" t="s">
        <v>127</v>
      </c>
      <c r="B13" s="4"/>
      <c r="C13" s="4"/>
      <c r="D13" s="4"/>
      <c r="E13" s="71" t="s">
        <v>266</v>
      </c>
      <c r="F13" s="42"/>
      <c r="G13" s="42"/>
      <c r="H13" s="42"/>
      <c r="I13" s="42"/>
      <c r="J13" s="325">
        <v>3138376.8274600003</v>
      </c>
      <c r="K13" s="325">
        <v>3101978.2949200002</v>
      </c>
      <c r="L13" s="325">
        <v>2826797</v>
      </c>
      <c r="M13" s="325">
        <v>4295978.4947132999</v>
      </c>
      <c r="N13" s="325">
        <v>6022405</v>
      </c>
      <c r="O13" s="325">
        <v>7574644</v>
      </c>
      <c r="P13" s="325">
        <v>2070341</v>
      </c>
      <c r="Q13" s="325">
        <f>'[5]DRE + DCF'!R12</f>
        <v>2168878.9517161688</v>
      </c>
      <c r="R13" s="325">
        <v>8958232.1779650487</v>
      </c>
      <c r="S13" s="325">
        <v>10570375.282972611</v>
      </c>
      <c r="T13" s="325">
        <v>12200653.256255306</v>
      </c>
      <c r="U13" s="325">
        <v>13730925.139069935</v>
      </c>
      <c r="V13" s="325">
        <v>15025849.420480933</v>
      </c>
      <c r="W13" s="44"/>
      <c r="X13" s="81"/>
      <c r="Y13" s="82"/>
      <c r="Z13" s="92"/>
      <c r="AA13" s="4"/>
      <c r="AB13" s="4"/>
      <c r="AC13" s="4"/>
      <c r="AD13" s="4"/>
      <c r="AE13" s="4"/>
      <c r="AF13" s="4"/>
      <c r="AG13" s="4"/>
      <c r="AH13" s="4"/>
      <c r="AI13" s="4"/>
      <c r="AJ13" s="4"/>
      <c r="AK13" s="4"/>
      <c r="AL13" s="4"/>
    </row>
    <row r="14" spans="1:39" ht="30" customHeight="1">
      <c r="A14" s="12" t="s">
        <v>37</v>
      </c>
      <c r="B14" s="4"/>
      <c r="C14" s="4"/>
      <c r="D14" s="4"/>
      <c r="E14" s="71" t="s">
        <v>267</v>
      </c>
      <c r="F14" s="42"/>
      <c r="G14" s="42"/>
      <c r="H14" s="42"/>
      <c r="I14" s="42"/>
      <c r="J14" s="325">
        <v>2538599</v>
      </c>
      <c r="K14" s="325">
        <v>3836044</v>
      </c>
      <c r="L14" s="325">
        <v>4085259.0000039102</v>
      </c>
      <c r="M14" s="325">
        <v>5332623.0000078101</v>
      </c>
      <c r="N14" s="325">
        <v>9600029</v>
      </c>
      <c r="O14" s="325">
        <v>10342015</v>
      </c>
      <c r="P14" s="325">
        <v>3021646</v>
      </c>
      <c r="Q14" s="325">
        <f>'[4]DRE + DCF'!T12</f>
        <v>2569024.8584517129</v>
      </c>
      <c r="R14" s="325">
        <v>11774455.202005483</v>
      </c>
      <c r="S14" s="325">
        <v>13141610.813873984</v>
      </c>
      <c r="T14" s="325">
        <v>16238957.581746869</v>
      </c>
      <c r="U14" s="325">
        <v>18004158.868279785</v>
      </c>
      <c r="V14" s="325">
        <v>19919172.005771607</v>
      </c>
      <c r="W14" s="44"/>
      <c r="X14" s="81"/>
      <c r="Y14" s="82"/>
      <c r="Z14" s="92"/>
      <c r="AA14" s="4"/>
      <c r="AB14" s="4"/>
      <c r="AC14" s="4"/>
      <c r="AD14" s="4"/>
      <c r="AE14" s="4"/>
      <c r="AF14" s="4"/>
      <c r="AG14" s="4"/>
      <c r="AH14" s="4"/>
      <c r="AI14" s="4"/>
      <c r="AJ14" s="4"/>
      <c r="AK14" s="4"/>
      <c r="AL14" s="4"/>
    </row>
    <row r="15" spans="1:39" ht="30" customHeight="1">
      <c r="A15" s="12" t="s">
        <v>100</v>
      </c>
      <c r="B15" s="4"/>
      <c r="C15" s="4"/>
      <c r="D15" s="4"/>
      <c r="E15" s="71" t="s">
        <v>268</v>
      </c>
      <c r="F15" s="42"/>
      <c r="G15" s="42"/>
      <c r="H15" s="42"/>
      <c r="I15" s="42"/>
      <c r="J15" s="325">
        <v>938946</v>
      </c>
      <c r="K15" s="325">
        <v>1211508</v>
      </c>
      <c r="L15" s="325">
        <v>1513187</v>
      </c>
      <c r="M15" s="325">
        <v>2823495</v>
      </c>
      <c r="N15" s="325">
        <v>4913454</v>
      </c>
      <c r="O15" s="325">
        <v>6085482</v>
      </c>
      <c r="P15" s="325">
        <v>1726111</v>
      </c>
      <c r="Q15" s="325">
        <f>'[6]DRE + DCF'!S12</f>
        <v>1787320.1230364023</v>
      </c>
      <c r="R15" s="325">
        <v>7596118.9712121086</v>
      </c>
      <c r="S15" s="325">
        <v>9371330.2183126006</v>
      </c>
      <c r="T15" s="325">
        <v>10914412.98168025</v>
      </c>
      <c r="U15" s="325">
        <v>12055459.776276127</v>
      </c>
      <c r="V15" s="325">
        <v>13585838.874619827</v>
      </c>
      <c r="W15" s="44"/>
      <c r="X15" s="81"/>
      <c r="Y15" s="82"/>
      <c r="Z15" s="92"/>
      <c r="AA15" s="4"/>
      <c r="AB15" s="4"/>
      <c r="AC15" s="4"/>
      <c r="AD15" s="4"/>
      <c r="AE15" s="4"/>
      <c r="AF15" s="4"/>
      <c r="AG15" s="4"/>
      <c r="AH15" s="4"/>
      <c r="AI15" s="4"/>
      <c r="AJ15" s="4"/>
      <c r="AK15" s="4"/>
      <c r="AL15" s="4"/>
    </row>
    <row r="16" spans="1:39" ht="27" customHeight="1">
      <c r="A16" s="167" t="s">
        <v>324</v>
      </c>
      <c r="B16" s="4"/>
      <c r="C16" s="4"/>
      <c r="D16" s="4"/>
      <c r="E16" s="71" t="s">
        <v>269</v>
      </c>
      <c r="F16" s="42"/>
      <c r="G16" s="42"/>
      <c r="H16" s="42"/>
      <c r="I16" s="42"/>
      <c r="J16" s="42">
        <f t="shared" ref="J16:M16" si="13">J26</f>
        <v>31855</v>
      </c>
      <c r="K16" s="42">
        <f t="shared" si="13"/>
        <v>40031</v>
      </c>
      <c r="L16" s="42">
        <f t="shared" si="13"/>
        <v>45426</v>
      </c>
      <c r="M16" s="42">
        <f t="shared" si="13"/>
        <v>43267</v>
      </c>
      <c r="N16" s="42">
        <f t="shared" ref="N16:O16" si="14">N26</f>
        <v>78351</v>
      </c>
      <c r="O16" s="42">
        <f t="shared" si="14"/>
        <v>14041</v>
      </c>
      <c r="P16" s="42">
        <f>P26</f>
        <v>1904</v>
      </c>
      <c r="Q16" s="276">
        <f t="shared" ref="Q16:Q22" si="15">R16-P16</f>
        <v>5712</v>
      </c>
      <c r="R16" s="42">
        <f>R26</f>
        <v>7616</v>
      </c>
      <c r="S16" s="42">
        <f>S26</f>
        <v>9537.7002416950399</v>
      </c>
      <c r="T16" s="42">
        <f>T26</f>
        <v>11944.291741127839</v>
      </c>
      <c r="U16" s="42">
        <f>U26</f>
        <v>14958.124241889584</v>
      </c>
      <c r="V16" s="42">
        <f>V26</f>
        <v>18732.419274839118</v>
      </c>
      <c r="W16" s="83"/>
      <c r="X16" s="81"/>
      <c r="Y16" s="82"/>
      <c r="Z16" s="92"/>
      <c r="AA16" s="4"/>
      <c r="AB16" s="4"/>
      <c r="AC16" s="4"/>
      <c r="AD16" s="4"/>
      <c r="AE16" s="4"/>
      <c r="AF16" s="4"/>
      <c r="AG16" s="4"/>
      <c r="AH16" s="4"/>
      <c r="AI16" s="4"/>
      <c r="AJ16" s="4"/>
      <c r="AK16" s="4"/>
      <c r="AL16" s="4"/>
    </row>
    <row r="17" spans="1:38" ht="30.75" customHeight="1">
      <c r="A17" s="166" t="s">
        <v>129</v>
      </c>
      <c r="B17" s="4"/>
      <c r="C17" s="4"/>
      <c r="D17" s="4"/>
      <c r="E17" s="71" t="s">
        <v>259</v>
      </c>
      <c r="F17" s="42"/>
      <c r="G17" s="42"/>
      <c r="H17" s="42"/>
      <c r="I17" s="42"/>
      <c r="J17" s="42">
        <f t="shared" ref="J17:M17" si="16">J43</f>
        <v>702486</v>
      </c>
      <c r="K17" s="42">
        <f t="shared" si="16"/>
        <v>821472</v>
      </c>
      <c r="L17" s="42">
        <f t="shared" si="16"/>
        <v>617777</v>
      </c>
      <c r="M17" s="42">
        <f t="shared" si="16"/>
        <v>731758</v>
      </c>
      <c r="N17" s="42">
        <f t="shared" ref="N17:O17" si="17">N43</f>
        <v>3189039</v>
      </c>
      <c r="O17" s="42">
        <f t="shared" si="17"/>
        <v>6970812</v>
      </c>
      <c r="P17" s="42">
        <f>P43</f>
        <v>2039783</v>
      </c>
      <c r="Q17" s="276">
        <f t="shared" si="15"/>
        <v>6960217</v>
      </c>
      <c r="R17" s="42">
        <f>R43</f>
        <v>9000000</v>
      </c>
      <c r="S17" s="42">
        <f t="shared" ref="S17:V17" si="18">S43</f>
        <v>9477927.8999999985</v>
      </c>
      <c r="T17" s="42">
        <f t="shared" si="18"/>
        <v>10078161.282735839</v>
      </c>
      <c r="U17" s="42">
        <f t="shared" si="18"/>
        <v>10744059.664434558</v>
      </c>
      <c r="V17" s="42">
        <f t="shared" si="18"/>
        <v>11476202.866207786</v>
      </c>
      <c r="W17" s="84"/>
      <c r="X17" s="81"/>
      <c r="Y17" s="82"/>
      <c r="Z17" s="92"/>
      <c r="AA17" s="4"/>
      <c r="AB17" s="4"/>
      <c r="AC17" s="4"/>
      <c r="AD17" s="4"/>
      <c r="AE17" s="4"/>
      <c r="AF17" s="4"/>
      <c r="AG17" s="4"/>
      <c r="AH17" s="4"/>
      <c r="AI17" s="4"/>
      <c r="AJ17" s="4"/>
      <c r="AK17" s="4"/>
      <c r="AL17" s="4"/>
    </row>
    <row r="18" spans="1:38" ht="30" customHeight="1">
      <c r="A18" s="166" t="s">
        <v>479</v>
      </c>
      <c r="B18" s="4"/>
      <c r="C18" s="4"/>
      <c r="D18" s="4"/>
      <c r="E18" s="71" t="s">
        <v>260</v>
      </c>
      <c r="F18" s="42"/>
      <c r="G18" s="42"/>
      <c r="H18" s="42"/>
      <c r="I18" s="42"/>
      <c r="J18" s="42">
        <f t="shared" ref="J18:M18" si="19">J62</f>
        <v>828731</v>
      </c>
      <c r="K18" s="42">
        <f t="shared" si="19"/>
        <v>850951</v>
      </c>
      <c r="L18" s="42">
        <f t="shared" si="19"/>
        <v>845810</v>
      </c>
      <c r="M18" s="42">
        <f t="shared" si="19"/>
        <v>833627</v>
      </c>
      <c r="N18" s="42">
        <f t="shared" ref="N18:O18" si="20">N62</f>
        <v>717399</v>
      </c>
      <c r="O18" s="42">
        <f t="shared" si="20"/>
        <v>681550</v>
      </c>
      <c r="P18" s="42">
        <f t="shared" ref="P18" si="21">P62</f>
        <v>143818</v>
      </c>
      <c r="Q18" s="276">
        <f t="shared" si="15"/>
        <v>573727.35443800001</v>
      </c>
      <c r="R18" s="42">
        <f t="shared" ref="R18:V18" si="22">R62</f>
        <v>717545.35443800001</v>
      </c>
      <c r="S18" s="42">
        <f t="shared" si="22"/>
        <v>755649.2371492564</v>
      </c>
      <c r="T18" s="42">
        <f t="shared" si="22"/>
        <v>803504.201078224</v>
      </c>
      <c r="U18" s="42">
        <f t="shared" si="22"/>
        <v>856594.455557746</v>
      </c>
      <c r="V18" s="42">
        <f t="shared" si="22"/>
        <v>914966.22813727299</v>
      </c>
      <c r="W18" s="85"/>
      <c r="X18" s="81"/>
      <c r="Y18" s="82"/>
      <c r="Z18" s="92"/>
      <c r="AA18" s="4"/>
      <c r="AB18" s="4"/>
      <c r="AC18" s="4"/>
      <c r="AD18" s="4"/>
      <c r="AE18" s="4"/>
      <c r="AF18" s="4"/>
      <c r="AG18" s="4"/>
      <c r="AH18" s="4"/>
      <c r="AI18" s="4"/>
      <c r="AJ18" s="4"/>
      <c r="AK18" s="4"/>
      <c r="AL18" s="4"/>
    </row>
    <row r="19" spans="1:38" ht="30" customHeight="1">
      <c r="A19" s="12" t="s">
        <v>128</v>
      </c>
      <c r="B19" s="4"/>
      <c r="C19" s="4"/>
      <c r="D19" s="4"/>
      <c r="E19" s="71" t="s">
        <v>261</v>
      </c>
      <c r="F19" s="42"/>
      <c r="G19" s="42"/>
      <c r="H19" s="42"/>
      <c r="I19" s="42"/>
      <c r="J19" s="42">
        <f t="shared" ref="J19:N21" si="23">J81</f>
        <v>0</v>
      </c>
      <c r="K19" s="42">
        <f t="shared" si="23"/>
        <v>0</v>
      </c>
      <c r="L19" s="42">
        <f t="shared" si="23"/>
        <v>0</v>
      </c>
      <c r="M19" s="42">
        <f t="shared" si="23"/>
        <v>0</v>
      </c>
      <c r="N19" s="42">
        <f t="shared" ref="N19:O19" si="24">N81</f>
        <v>401145</v>
      </c>
      <c r="O19" s="42">
        <f t="shared" si="24"/>
        <v>757615</v>
      </c>
      <c r="P19" s="42">
        <f t="shared" ref="P19" si="25">P81</f>
        <v>146551</v>
      </c>
      <c r="Q19" s="276">
        <f t="shared" si="15"/>
        <v>439653</v>
      </c>
      <c r="R19" s="42">
        <f t="shared" ref="R19:V19" si="26">R81</f>
        <v>586204</v>
      </c>
      <c r="S19" s="42">
        <f t="shared" si="26"/>
        <v>937410.39285624004</v>
      </c>
      <c r="T19" s="42">
        <f t="shared" si="26"/>
        <v>977231.58634477318</v>
      </c>
      <c r="U19" s="42">
        <f t="shared" si="26"/>
        <v>1021373.1370999665</v>
      </c>
      <c r="V19" s="42">
        <f t="shared" si="26"/>
        <v>1069581.9491710849</v>
      </c>
      <c r="W19" s="85"/>
      <c r="X19" s="81"/>
      <c r="Y19" s="82"/>
      <c r="Z19" s="92"/>
      <c r="AA19" s="4"/>
      <c r="AB19" s="4"/>
      <c r="AC19" s="4"/>
      <c r="AD19" s="4"/>
      <c r="AE19" s="4"/>
      <c r="AF19" s="4"/>
      <c r="AG19" s="4"/>
      <c r="AH19" s="4"/>
      <c r="AI19" s="4"/>
      <c r="AJ19" s="4"/>
      <c r="AK19" s="4"/>
      <c r="AL19" s="4"/>
    </row>
    <row r="20" spans="1:38" ht="30" customHeight="1">
      <c r="A20" s="12"/>
      <c r="B20" s="4"/>
      <c r="C20" s="4"/>
      <c r="D20" s="4"/>
      <c r="E20" s="71" t="s">
        <v>529</v>
      </c>
      <c r="F20" s="176"/>
      <c r="G20" s="176"/>
      <c r="H20" s="176"/>
      <c r="I20" s="176"/>
      <c r="J20" s="42">
        <f t="shared" si="23"/>
        <v>0</v>
      </c>
      <c r="K20" s="42">
        <f t="shared" si="23"/>
        <v>0</v>
      </c>
      <c r="L20" s="42">
        <f t="shared" si="23"/>
        <v>0</v>
      </c>
      <c r="M20" s="42">
        <f t="shared" si="23"/>
        <v>0</v>
      </c>
      <c r="N20" s="42">
        <f t="shared" si="23"/>
        <v>0</v>
      </c>
      <c r="O20" s="42">
        <v>0</v>
      </c>
      <c r="P20" s="176">
        <f>P104</f>
        <v>111157</v>
      </c>
      <c r="Q20" s="276"/>
      <c r="R20" s="176"/>
      <c r="S20" s="176"/>
      <c r="T20" s="176"/>
      <c r="U20" s="176"/>
      <c r="V20" s="176"/>
      <c r="W20" s="296"/>
      <c r="X20" s="259"/>
      <c r="Y20" s="260"/>
      <c r="Z20" s="261"/>
      <c r="AA20" s="4"/>
      <c r="AB20" s="4"/>
      <c r="AC20" s="4"/>
      <c r="AD20" s="4"/>
      <c r="AE20" s="4"/>
      <c r="AF20" s="4"/>
      <c r="AG20" s="4"/>
      <c r="AH20" s="4"/>
      <c r="AI20" s="4"/>
      <c r="AJ20" s="4"/>
      <c r="AK20" s="4"/>
      <c r="AL20" s="4"/>
    </row>
    <row r="21" spans="1:38" ht="30" customHeight="1">
      <c r="A21" s="33"/>
      <c r="B21" s="4"/>
      <c r="C21" s="4"/>
      <c r="D21" s="4"/>
      <c r="E21" s="71" t="s">
        <v>493</v>
      </c>
      <c r="F21" s="176"/>
      <c r="G21" s="176"/>
      <c r="H21" s="176"/>
      <c r="I21" s="176"/>
      <c r="J21" s="42">
        <f t="shared" si="23"/>
        <v>0</v>
      </c>
      <c r="K21" s="42">
        <f t="shared" si="23"/>
        <v>0</v>
      </c>
      <c r="L21" s="42">
        <f t="shared" si="23"/>
        <v>0</v>
      </c>
      <c r="M21" s="42">
        <f t="shared" si="23"/>
        <v>0</v>
      </c>
      <c r="N21" s="176">
        <f>N122</f>
        <v>63286</v>
      </c>
      <c r="O21" s="176">
        <f>O122</f>
        <v>123814</v>
      </c>
      <c r="P21" s="176">
        <f>P122</f>
        <v>10596</v>
      </c>
      <c r="Q21" s="276">
        <f t="shared" si="15"/>
        <v>-10596</v>
      </c>
      <c r="R21" s="176">
        <f t="shared" ref="R21:V21" si="27">R122</f>
        <v>0</v>
      </c>
      <c r="S21" s="176">
        <f t="shared" si="27"/>
        <v>0</v>
      </c>
      <c r="T21" s="176">
        <f t="shared" si="27"/>
        <v>0</v>
      </c>
      <c r="U21" s="176">
        <f t="shared" si="27"/>
        <v>0</v>
      </c>
      <c r="V21" s="176">
        <f t="shared" si="27"/>
        <v>0</v>
      </c>
      <c r="W21" s="296"/>
      <c r="X21" s="259"/>
      <c r="Y21" s="260"/>
      <c r="Z21" s="261"/>
      <c r="AA21" s="4"/>
      <c r="AB21" s="4"/>
      <c r="AC21" s="4"/>
      <c r="AD21" s="4"/>
      <c r="AE21" s="4"/>
      <c r="AF21" s="4"/>
      <c r="AG21" s="4"/>
      <c r="AH21" s="4"/>
      <c r="AI21" s="4"/>
      <c r="AJ21" s="4"/>
      <c r="AK21" s="4"/>
      <c r="AL21" s="4"/>
    </row>
    <row r="22" spans="1:38" ht="30" customHeight="1" thickBot="1">
      <c r="A22" s="33"/>
      <c r="B22" s="4"/>
      <c r="C22" s="4"/>
      <c r="D22" s="4"/>
      <c r="E22" s="295" t="s">
        <v>309</v>
      </c>
      <c r="F22" s="176"/>
      <c r="G22" s="176"/>
      <c r="H22" s="176"/>
      <c r="I22" s="176"/>
      <c r="J22" s="176">
        <v>-147949</v>
      </c>
      <c r="K22" s="176">
        <v>-175775</v>
      </c>
      <c r="L22" s="176">
        <f t="shared" ref="L22:P22" si="28">L138</f>
        <v>-127199</v>
      </c>
      <c r="M22" s="176">
        <f t="shared" si="28"/>
        <v>-194529</v>
      </c>
      <c r="N22" s="176">
        <f t="shared" ref="N22:O22" si="29">N138</f>
        <v>-603318</v>
      </c>
      <c r="O22" s="176">
        <f t="shared" si="29"/>
        <v>-706361</v>
      </c>
      <c r="P22" s="176">
        <f t="shared" si="28"/>
        <v>-124922</v>
      </c>
      <c r="Q22" s="276">
        <f t="shared" si="15"/>
        <v>-608908.58831095416</v>
      </c>
      <c r="R22" s="176">
        <f>R138</f>
        <v>-733830.58831095416</v>
      </c>
      <c r="S22" s="176">
        <f t="shared" ref="S22:V22" si="30">S138</f>
        <v>-840631.89805762516</v>
      </c>
      <c r="T22" s="176">
        <f t="shared" si="30"/>
        <v>-972831.41593498609</v>
      </c>
      <c r="U22" s="176">
        <f t="shared" si="30"/>
        <v>-1071637.239076576</v>
      </c>
      <c r="V22" s="176">
        <f t="shared" si="30"/>
        <v>-1177662.650987505</v>
      </c>
      <c r="W22" s="296"/>
      <c r="X22" s="259"/>
      <c r="Y22" s="260"/>
      <c r="Z22" s="261"/>
      <c r="AA22" s="4"/>
      <c r="AB22" s="4"/>
      <c r="AC22" s="4"/>
      <c r="AD22" s="4"/>
      <c r="AE22" s="4"/>
      <c r="AF22" s="4"/>
      <c r="AG22" s="4"/>
      <c r="AH22" s="4"/>
      <c r="AI22" s="4"/>
      <c r="AJ22" s="4"/>
      <c r="AK22" s="4"/>
      <c r="AL22" s="4"/>
    </row>
    <row r="23" spans="1:38" ht="30" customHeight="1">
      <c r="A23" s="33"/>
      <c r="B23" s="4"/>
      <c r="C23" s="4"/>
      <c r="D23" s="4"/>
      <c r="E23" s="177"/>
      <c r="F23" s="177"/>
      <c r="G23" s="177"/>
      <c r="H23" s="177"/>
      <c r="I23" s="177"/>
      <c r="J23" s="177"/>
      <c r="K23" s="177"/>
      <c r="L23" s="177"/>
      <c r="M23" s="177"/>
      <c r="N23" s="177"/>
      <c r="O23" s="177"/>
      <c r="P23" s="177"/>
      <c r="Q23" s="177"/>
      <c r="R23" s="177"/>
      <c r="S23" s="177"/>
      <c r="T23" s="177"/>
      <c r="U23" s="177"/>
      <c r="V23" s="177"/>
      <c r="W23" s="177"/>
      <c r="X23" s="177"/>
      <c r="Y23" s="177"/>
      <c r="Z23" s="177"/>
      <c r="AA23" s="4"/>
      <c r="AB23" s="4"/>
      <c r="AC23" s="4"/>
      <c r="AD23" s="4"/>
      <c r="AE23" s="4"/>
      <c r="AF23" s="4"/>
      <c r="AG23" s="4"/>
      <c r="AH23" s="4"/>
      <c r="AI23" s="4"/>
      <c r="AJ23" s="4"/>
      <c r="AK23" s="4"/>
      <c r="AL23" s="4"/>
    </row>
    <row r="24" spans="1:38" ht="44.25" customHeight="1">
      <c r="A24" s="12"/>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8" ht="30" customHeight="1">
      <c r="A25" s="12"/>
      <c r="B25" s="4"/>
      <c r="C25" s="4"/>
      <c r="D25" s="4"/>
      <c r="E25" s="78"/>
      <c r="F25" s="37">
        <v>2014</v>
      </c>
      <c r="G25" s="37">
        <v>2015</v>
      </c>
      <c r="H25" s="37">
        <v>2016</v>
      </c>
      <c r="I25" s="37">
        <v>2017</v>
      </c>
      <c r="J25" s="37">
        <v>2018</v>
      </c>
      <c r="K25" s="37">
        <v>2019</v>
      </c>
      <c r="L25" s="37">
        <v>2020</v>
      </c>
      <c r="M25" s="37">
        <v>2021</v>
      </c>
      <c r="N25" s="37">
        <v>2022</v>
      </c>
      <c r="O25" s="37">
        <v>2023</v>
      </c>
      <c r="P25" s="37" t="s">
        <v>518</v>
      </c>
      <c r="Q25" s="37" t="s">
        <v>519</v>
      </c>
      <c r="R25" s="38">
        <v>2024</v>
      </c>
      <c r="S25" s="38">
        <f>R25+1</f>
        <v>2025</v>
      </c>
      <c r="T25" s="38">
        <f t="shared" ref="T25:V25" si="31">S25+1</f>
        <v>2026</v>
      </c>
      <c r="U25" s="38">
        <f t="shared" si="31"/>
        <v>2027</v>
      </c>
      <c r="V25" s="38">
        <f t="shared" si="31"/>
        <v>2028</v>
      </c>
      <c r="W25" s="38" t="s">
        <v>94</v>
      </c>
      <c r="X25" s="38" t="s">
        <v>95</v>
      </c>
      <c r="Y25" s="38" t="s">
        <v>480</v>
      </c>
      <c r="Z25" s="91" t="s">
        <v>328</v>
      </c>
      <c r="AA25" s="4"/>
      <c r="AB25" s="4"/>
      <c r="AC25" s="4"/>
      <c r="AD25" s="4"/>
      <c r="AE25" s="4"/>
      <c r="AF25" s="4"/>
      <c r="AG25" s="4"/>
      <c r="AH25" s="4"/>
      <c r="AI25" s="4"/>
    </row>
    <row r="26" spans="1:38" ht="30" customHeight="1">
      <c r="A26" s="12"/>
      <c r="B26" s="4"/>
      <c r="C26" s="4"/>
      <c r="D26" s="4"/>
      <c r="E26" s="79" t="s">
        <v>12</v>
      </c>
      <c r="F26" s="80">
        <v>184.59</v>
      </c>
      <c r="G26" s="80">
        <v>5389</v>
      </c>
      <c r="H26" s="80">
        <v>28166</v>
      </c>
      <c r="I26" s="80">
        <v>23983</v>
      </c>
      <c r="J26" s="80">
        <v>31855</v>
      </c>
      <c r="K26" s="80">
        <v>40031</v>
      </c>
      <c r="L26" s="80">
        <v>45426</v>
      </c>
      <c r="M26" s="80">
        <v>43267</v>
      </c>
      <c r="N26" s="80">
        <v>78351</v>
      </c>
      <c r="O26" s="80">
        <v>14041</v>
      </c>
      <c r="P26" s="80">
        <v>1904</v>
      </c>
      <c r="Q26" s="80">
        <f>R26-P26</f>
        <v>5712</v>
      </c>
      <c r="R26" s="80">
        <f>P26*4</f>
        <v>7616</v>
      </c>
      <c r="S26" s="80">
        <f>R26*(1+$Z$26)</f>
        <v>9537.7002416950399</v>
      </c>
      <c r="T26" s="80">
        <f>S26*(1+$Z$26)</f>
        <v>11944.291741127839</v>
      </c>
      <c r="U26" s="80">
        <f>T26*(1+$Z$26)</f>
        <v>14958.124241889584</v>
      </c>
      <c r="V26" s="80">
        <f>U26*(1+$Z$26)</f>
        <v>18732.419274839118</v>
      </c>
      <c r="W26" s="277" t="s">
        <v>329</v>
      </c>
      <c r="X26" s="81">
        <v>3</v>
      </c>
      <c r="Y26" s="82">
        <f>(N26/G26)^(1/7)-1</f>
        <v>0.46580643140924005</v>
      </c>
      <c r="Z26" s="92">
        <f>(N26/J26)^(1/4)-1</f>
        <v>0.25232408635701686</v>
      </c>
      <c r="AA26" s="4"/>
      <c r="AB26" s="4"/>
      <c r="AC26" s="4"/>
      <c r="AD26" s="4"/>
      <c r="AE26" s="4"/>
      <c r="AF26" s="4"/>
      <c r="AG26" s="4"/>
      <c r="AH26" s="4"/>
      <c r="AI26" s="4"/>
    </row>
    <row r="27" spans="1:38" ht="30" customHeight="1">
      <c r="A27" s="12"/>
      <c r="B27" s="4"/>
      <c r="C27" s="4"/>
      <c r="D27" s="4"/>
      <c r="E27" s="86" t="s">
        <v>47</v>
      </c>
      <c r="F27" s="44">
        <v>0</v>
      </c>
      <c r="G27" s="44">
        <f t="shared" ref="G27" si="32">G26/F26-1</f>
        <v>28.194430900915542</v>
      </c>
      <c r="H27" s="44">
        <f t="shared" ref="H27" si="33">H26/G26-1</f>
        <v>4.2265726479866395</v>
      </c>
      <c r="I27" s="44">
        <f t="shared" ref="I27" si="34">I26/H26-1</f>
        <v>-0.14851239082581835</v>
      </c>
      <c r="J27" s="44">
        <f t="shared" ref="J27" si="35">J26/I26-1</f>
        <v>0.32823249801943044</v>
      </c>
      <c r="K27" s="44">
        <f t="shared" ref="K27" si="36">K26/J26-1</f>
        <v>0.25666300423795319</v>
      </c>
      <c r="L27" s="44">
        <f t="shared" ref="L27" si="37">L26/K26-1</f>
        <v>0.13477055282156325</v>
      </c>
      <c r="M27" s="44">
        <f t="shared" ref="M27:O27" si="38">M26/L26-1</f>
        <v>-4.7527847488222585E-2</v>
      </c>
      <c r="N27" s="44">
        <f t="shared" si="38"/>
        <v>0.81087202718006801</v>
      </c>
      <c r="O27" s="44">
        <f t="shared" si="38"/>
        <v>-0.82079360825005421</v>
      </c>
      <c r="P27" s="44"/>
      <c r="Q27" s="44"/>
      <c r="R27" s="44">
        <f>$Z$26</f>
        <v>0.25232408635701686</v>
      </c>
      <c r="S27" s="44">
        <f>$Z$26</f>
        <v>0.25232408635701686</v>
      </c>
      <c r="T27" s="44">
        <f>$Z$26</f>
        <v>0.25232408635701686</v>
      </c>
      <c r="U27" s="44">
        <f>$Z$26</f>
        <v>0.25232408635701686</v>
      </c>
      <c r="V27" s="44">
        <f>$Z$26</f>
        <v>0.25232408635701686</v>
      </c>
      <c r="W27" s="38"/>
      <c r="X27" s="38"/>
      <c r="Y27" s="82"/>
      <c r="Z27" s="91"/>
      <c r="AA27" s="4"/>
      <c r="AB27" s="4"/>
      <c r="AC27" s="4"/>
      <c r="AD27" s="4"/>
      <c r="AE27" s="4"/>
      <c r="AF27" s="4"/>
      <c r="AG27" s="4"/>
      <c r="AH27" s="4"/>
      <c r="AI27" s="4"/>
    </row>
    <row r="28" spans="1:38" ht="36" customHeight="1">
      <c r="A28" s="12"/>
      <c r="B28" s="4"/>
      <c r="C28" s="4"/>
      <c r="D28" s="4"/>
      <c r="E28" s="86" t="s">
        <v>13</v>
      </c>
      <c r="F28" s="42">
        <v>-417.34500000000003</v>
      </c>
      <c r="G28" s="42">
        <v>-4656</v>
      </c>
      <c r="H28" s="42">
        <v>-21161</v>
      </c>
      <c r="I28" s="42">
        <v>-9488</v>
      </c>
      <c r="J28" s="42">
        <v>-10409</v>
      </c>
      <c r="K28" s="42">
        <v>-11295</v>
      </c>
      <c r="L28" s="42">
        <v>-10872</v>
      </c>
      <c r="M28" s="42">
        <v>-8190</v>
      </c>
      <c r="N28" s="42">
        <v>-17107</v>
      </c>
      <c r="O28" s="42">
        <v>-6356</v>
      </c>
      <c r="P28" s="42">
        <v>-1830</v>
      </c>
      <c r="Q28" s="42"/>
      <c r="R28" s="42"/>
      <c r="S28" s="42"/>
      <c r="T28" s="42"/>
      <c r="U28" s="42"/>
      <c r="V28" s="42"/>
      <c r="W28" s="80"/>
      <c r="X28" s="81"/>
      <c r="Y28" s="82"/>
      <c r="Z28" s="92"/>
      <c r="AA28" s="4"/>
      <c r="AB28" s="4"/>
      <c r="AC28" s="4"/>
      <c r="AD28" s="4"/>
      <c r="AE28" s="4"/>
      <c r="AF28" s="4"/>
      <c r="AG28" s="4"/>
      <c r="AH28" s="4"/>
      <c r="AI28" s="4"/>
    </row>
    <row r="29" spans="1:38" ht="30" customHeight="1">
      <c r="A29" s="12"/>
      <c r="B29" s="4"/>
      <c r="C29" s="4"/>
      <c r="D29" s="4"/>
      <c r="E29" s="79" t="s">
        <v>14</v>
      </c>
      <c r="F29" s="46">
        <f t="shared" ref="F29:P29" si="39">SUM(F26,F28:F28)</f>
        <v>-232.75500000000002</v>
      </c>
      <c r="G29" s="46">
        <f t="shared" si="39"/>
        <v>733</v>
      </c>
      <c r="H29" s="46">
        <f t="shared" si="39"/>
        <v>7005</v>
      </c>
      <c r="I29" s="46">
        <f t="shared" si="39"/>
        <v>14495</v>
      </c>
      <c r="J29" s="46">
        <f t="shared" si="39"/>
        <v>21446</v>
      </c>
      <c r="K29" s="46">
        <f t="shared" si="39"/>
        <v>28736</v>
      </c>
      <c r="L29" s="46">
        <f t="shared" si="39"/>
        <v>34554</v>
      </c>
      <c r="M29" s="46">
        <f t="shared" si="39"/>
        <v>35077</v>
      </c>
      <c r="N29" s="46">
        <f t="shared" si="39"/>
        <v>61244</v>
      </c>
      <c r="O29" s="46">
        <f t="shared" si="39"/>
        <v>7685</v>
      </c>
      <c r="P29" s="46">
        <f t="shared" si="39"/>
        <v>74</v>
      </c>
      <c r="Q29" s="42"/>
      <c r="R29" s="42"/>
      <c r="S29" s="42"/>
      <c r="T29" s="42"/>
      <c r="U29" s="42"/>
      <c r="V29" s="42"/>
      <c r="W29" s="83"/>
      <c r="X29" s="81"/>
      <c r="Y29" s="82"/>
      <c r="Z29" s="92"/>
      <c r="AA29" s="4"/>
      <c r="AB29" s="4"/>
      <c r="AC29" s="4"/>
      <c r="AD29" s="4"/>
      <c r="AE29" s="4"/>
      <c r="AF29" s="4"/>
      <c r="AG29" s="4"/>
      <c r="AH29" s="4"/>
      <c r="AI29" s="4"/>
    </row>
    <row r="30" spans="1:38" ht="42" customHeight="1">
      <c r="A30" s="12"/>
      <c r="B30" s="4"/>
      <c r="C30" s="4"/>
      <c r="D30" s="4"/>
      <c r="E30" s="241" t="s">
        <v>51</v>
      </c>
      <c r="F30" s="242">
        <f t="shared" ref="F30:O30" si="40">F29/F26</f>
        <v>-1.2609296278238258</v>
      </c>
      <c r="G30" s="242">
        <f t="shared" si="40"/>
        <v>0.13601781406568936</v>
      </c>
      <c r="H30" s="242">
        <f t="shared" si="40"/>
        <v>0.24870411133991338</v>
      </c>
      <c r="I30" s="242">
        <f t="shared" si="40"/>
        <v>0.60438644039528</v>
      </c>
      <c r="J30" s="242">
        <f t="shared" si="40"/>
        <v>0.67323811018678381</v>
      </c>
      <c r="K30" s="242">
        <f t="shared" si="40"/>
        <v>0.71784367115485503</v>
      </c>
      <c r="L30" s="242">
        <f t="shared" si="40"/>
        <v>0.76066569805838069</v>
      </c>
      <c r="M30" s="242">
        <f t="shared" si="40"/>
        <v>0.81071024106131695</v>
      </c>
      <c r="N30" s="242">
        <f t="shared" si="40"/>
        <v>0.78166200814284437</v>
      </c>
      <c r="O30" s="242">
        <f t="shared" si="40"/>
        <v>0.54732568905348622</v>
      </c>
      <c r="P30" s="242"/>
      <c r="Q30" s="44"/>
      <c r="R30" s="242"/>
      <c r="S30" s="242"/>
      <c r="T30" s="242"/>
      <c r="U30" s="242"/>
      <c r="V30" s="242"/>
      <c r="W30" s="83"/>
      <c r="X30" s="81"/>
      <c r="Y30" s="82"/>
      <c r="Z30" s="92"/>
      <c r="AA30" s="4"/>
      <c r="AB30" s="4"/>
      <c r="AC30" s="4"/>
      <c r="AD30" s="4"/>
      <c r="AE30" s="4"/>
      <c r="AF30" s="4"/>
      <c r="AG30" s="4"/>
      <c r="AH30" s="4"/>
      <c r="AI30" s="4"/>
    </row>
    <row r="31" spans="1:38" ht="30" customHeight="1">
      <c r="A31" s="12"/>
      <c r="B31" s="4"/>
      <c r="C31" s="4"/>
      <c r="D31" s="4"/>
      <c r="E31" s="86" t="s">
        <v>15</v>
      </c>
      <c r="F31" s="84">
        <f t="shared" ref="F31:I31" si="41">SUM(F33:F36)</f>
        <v>-5951</v>
      </c>
      <c r="G31" s="84">
        <f t="shared" si="41"/>
        <v>-7780</v>
      </c>
      <c r="H31" s="84">
        <f t="shared" si="41"/>
        <v>-8684</v>
      </c>
      <c r="I31" s="84">
        <f t="shared" si="41"/>
        <v>-10297</v>
      </c>
      <c r="J31" s="84">
        <f t="shared" ref="J31:P31" si="42">SUM(J33:J36)</f>
        <v>-12390</v>
      </c>
      <c r="K31" s="84">
        <f t="shared" si="42"/>
        <v>-15687</v>
      </c>
      <c r="L31" s="84">
        <f t="shared" si="42"/>
        <v>-18706</v>
      </c>
      <c r="M31" s="84">
        <f t="shared" si="42"/>
        <v>-18295</v>
      </c>
      <c r="N31" s="84">
        <f t="shared" si="42"/>
        <v>-53403</v>
      </c>
      <c r="O31" s="84">
        <f t="shared" ref="O31" si="43">SUM(O33:O36)</f>
        <v>-64261</v>
      </c>
      <c r="P31" s="84">
        <f t="shared" si="42"/>
        <v>-16094</v>
      </c>
      <c r="Q31" s="84"/>
      <c r="R31" s="84"/>
      <c r="S31" s="84"/>
      <c r="T31" s="84"/>
      <c r="U31" s="84"/>
      <c r="V31" s="84"/>
      <c r="W31" s="83"/>
      <c r="X31" s="81"/>
      <c r="Y31" s="82"/>
      <c r="Z31" s="92"/>
      <c r="AA31" s="4"/>
      <c r="AB31" s="4"/>
      <c r="AC31" s="4"/>
      <c r="AD31" s="4"/>
      <c r="AE31" s="4"/>
      <c r="AF31" s="4"/>
      <c r="AG31" s="4"/>
      <c r="AH31" s="4"/>
      <c r="AI31" s="4"/>
    </row>
    <row r="32" spans="1:38" ht="30" customHeight="1">
      <c r="A32" s="12"/>
      <c r="B32" s="4"/>
      <c r="C32" s="4"/>
      <c r="D32" s="4"/>
      <c r="E32" s="86" t="s">
        <v>30</v>
      </c>
      <c r="F32" s="44">
        <f t="shared" ref="F32:O32" si="44">-F31/F26</f>
        <v>32.239016198060568</v>
      </c>
      <c r="G32" s="44">
        <f t="shared" si="44"/>
        <v>1.4436815735758026</v>
      </c>
      <c r="H32" s="44">
        <f t="shared" si="44"/>
        <v>0.30831498970389831</v>
      </c>
      <c r="I32" s="44">
        <f t="shared" si="44"/>
        <v>0.42934578659884087</v>
      </c>
      <c r="J32" s="44">
        <f t="shared" si="44"/>
        <v>0.38894992936744627</v>
      </c>
      <c r="K32" s="44">
        <f t="shared" si="44"/>
        <v>0.39187129974269941</v>
      </c>
      <c r="L32" s="44">
        <f t="shared" si="44"/>
        <v>0.41179060449962579</v>
      </c>
      <c r="M32" s="44">
        <f t="shared" si="44"/>
        <v>0.42283957750710705</v>
      </c>
      <c r="N32" s="44">
        <f t="shared" si="44"/>
        <v>0.68158670597694992</v>
      </c>
      <c r="O32" s="44">
        <f t="shared" si="44"/>
        <v>4.5766683284666332</v>
      </c>
      <c r="P32" s="44">
        <f>P31/P26</f>
        <v>-8.4527310924369754</v>
      </c>
      <c r="Q32" s="44"/>
      <c r="R32" s="44"/>
      <c r="S32" s="44"/>
      <c r="T32" s="44"/>
      <c r="U32" s="44"/>
      <c r="V32" s="44"/>
      <c r="W32" s="83"/>
      <c r="X32" s="83"/>
      <c r="Y32" s="83"/>
      <c r="Z32" s="92"/>
      <c r="AA32" s="4"/>
      <c r="AB32" s="4"/>
      <c r="AC32" s="4"/>
      <c r="AD32" s="4"/>
      <c r="AE32" s="4"/>
      <c r="AF32" s="4"/>
      <c r="AG32" s="4"/>
      <c r="AH32" s="4"/>
      <c r="AI32" s="4"/>
    </row>
    <row r="33" spans="1:38" ht="30" customHeight="1">
      <c r="A33" s="12"/>
      <c r="B33" s="4"/>
      <c r="C33" s="4"/>
      <c r="D33" s="4"/>
      <c r="E33" s="86" t="s">
        <v>258</v>
      </c>
      <c r="F33" s="42">
        <f>-5919-9</f>
        <v>-5928</v>
      </c>
      <c r="G33" s="42">
        <f>-7707-26</f>
        <v>-7733</v>
      </c>
      <c r="H33" s="42">
        <f>-8588-75</f>
        <v>-8663</v>
      </c>
      <c r="I33" s="42">
        <v>-10232</v>
      </c>
      <c r="J33" s="42">
        <v>-10585</v>
      </c>
      <c r="K33" s="42">
        <f>-340-11697</f>
        <v>-12037</v>
      </c>
      <c r="L33" s="42">
        <f>-231-11019</f>
        <v>-11250</v>
      </c>
      <c r="M33" s="42">
        <f>-8-12736</f>
        <v>-12744</v>
      </c>
      <c r="N33" s="42">
        <f>-5352-38878</f>
        <v>-44230</v>
      </c>
      <c r="O33" s="42">
        <f>-4344-45731</f>
        <v>-50075</v>
      </c>
      <c r="P33" s="42">
        <f>-163-10142</f>
        <v>-10305</v>
      </c>
      <c r="Q33" s="42"/>
      <c r="R33" s="42"/>
      <c r="S33" s="42"/>
      <c r="T33" s="42"/>
      <c r="U33" s="42"/>
      <c r="V33" s="42"/>
      <c r="W33" s="38"/>
      <c r="X33" s="38"/>
      <c r="Y33" s="38"/>
      <c r="Z33" s="91"/>
      <c r="AA33" s="4"/>
      <c r="AB33" s="4"/>
      <c r="AC33" s="4"/>
      <c r="AD33" s="4"/>
      <c r="AE33" s="4"/>
      <c r="AF33" s="4"/>
      <c r="AG33" s="4"/>
      <c r="AH33" s="4"/>
      <c r="AI33" s="4"/>
    </row>
    <row r="34" spans="1:38" ht="30" customHeight="1">
      <c r="A34" s="12"/>
      <c r="B34" s="4"/>
      <c r="C34" s="4"/>
      <c r="D34" s="4"/>
      <c r="E34" s="86" t="s">
        <v>97</v>
      </c>
      <c r="F34" s="42"/>
      <c r="G34" s="42"/>
      <c r="H34" s="42"/>
      <c r="I34" s="42"/>
      <c r="J34" s="42">
        <v>-1833</v>
      </c>
      <c r="K34" s="42">
        <v>-3921</v>
      </c>
      <c r="L34" s="42">
        <v>-9140</v>
      </c>
      <c r="M34" s="42">
        <v>-6664</v>
      </c>
      <c r="N34" s="42">
        <v>-13080</v>
      </c>
      <c r="O34" s="42">
        <v>-2507</v>
      </c>
      <c r="P34" s="42">
        <v>-7125</v>
      </c>
      <c r="Q34" s="42"/>
      <c r="R34" s="42"/>
      <c r="S34" s="42"/>
      <c r="T34" s="42"/>
      <c r="U34" s="42"/>
      <c r="V34" s="42"/>
      <c r="W34" s="44"/>
      <c r="X34" s="81"/>
      <c r="Y34" s="82"/>
      <c r="Z34" s="92"/>
      <c r="AA34" s="4"/>
      <c r="AB34" s="4"/>
      <c r="AC34" s="4"/>
      <c r="AD34" s="4"/>
      <c r="AE34" s="4"/>
      <c r="AF34" s="4"/>
      <c r="AG34" s="4"/>
      <c r="AH34" s="4"/>
      <c r="AI34" s="4"/>
    </row>
    <row r="35" spans="1:38" ht="30" customHeight="1">
      <c r="A35" s="12"/>
      <c r="B35" s="4"/>
      <c r="C35" s="4"/>
      <c r="D35" s="4"/>
      <c r="E35" s="86" t="s">
        <v>19</v>
      </c>
      <c r="F35" s="42">
        <v>-23</v>
      </c>
      <c r="G35" s="42">
        <v>-47</v>
      </c>
      <c r="H35" s="42">
        <v>-21</v>
      </c>
      <c r="I35" s="42">
        <v>-65</v>
      </c>
      <c r="J35" s="42">
        <v>28</v>
      </c>
      <c r="K35" s="42">
        <v>271</v>
      </c>
      <c r="L35" s="42">
        <v>1684</v>
      </c>
      <c r="M35" s="42">
        <v>1109</v>
      </c>
      <c r="N35" s="42">
        <v>3907</v>
      </c>
      <c r="O35" s="42">
        <v>-11679</v>
      </c>
      <c r="P35" s="42">
        <v>1336</v>
      </c>
      <c r="Q35" s="42"/>
      <c r="R35" s="42"/>
      <c r="S35" s="42"/>
      <c r="T35" s="42"/>
      <c r="U35" s="42"/>
      <c r="V35" s="42"/>
      <c r="W35" s="83"/>
      <c r="X35" s="81"/>
      <c r="Y35" s="82"/>
      <c r="Z35" s="92"/>
      <c r="AA35" s="4"/>
      <c r="AB35" s="4"/>
      <c r="AC35" s="4"/>
      <c r="AD35" s="4"/>
      <c r="AE35" s="4"/>
      <c r="AF35" s="4"/>
      <c r="AG35" s="4"/>
      <c r="AH35" s="4"/>
      <c r="AI35" s="4"/>
    </row>
    <row r="36" spans="1:38" ht="30" customHeight="1">
      <c r="A36" s="12"/>
      <c r="B36" s="4"/>
      <c r="C36" s="4"/>
      <c r="D36" s="4"/>
      <c r="E36" s="86" t="s">
        <v>41</v>
      </c>
      <c r="F36" s="42"/>
      <c r="G36" s="42"/>
      <c r="H36" s="42"/>
      <c r="I36" s="42"/>
      <c r="J36" s="42"/>
      <c r="K36" s="42"/>
      <c r="L36" s="42"/>
      <c r="M36" s="42">
        <v>4</v>
      </c>
      <c r="N36" s="42">
        <v>0</v>
      </c>
      <c r="O36" s="42"/>
      <c r="P36" s="42">
        <v>0</v>
      </c>
      <c r="Q36" s="42"/>
      <c r="R36" s="42"/>
      <c r="S36" s="42"/>
      <c r="T36" s="42"/>
      <c r="U36" s="42"/>
      <c r="V36" s="42"/>
      <c r="W36" s="83"/>
      <c r="X36" s="81"/>
      <c r="Y36" s="82"/>
      <c r="Z36" s="92"/>
      <c r="AA36" s="4"/>
      <c r="AB36" s="4"/>
      <c r="AC36" s="4"/>
      <c r="AD36" s="4"/>
      <c r="AE36" s="4"/>
      <c r="AF36" s="4"/>
      <c r="AG36" s="4"/>
      <c r="AH36" s="4"/>
      <c r="AI36" s="4"/>
    </row>
    <row r="37" spans="1:38" ht="30" customHeight="1">
      <c r="A37" s="12"/>
      <c r="B37" s="4"/>
      <c r="C37" s="4"/>
      <c r="D37" s="4"/>
      <c r="E37" s="79" t="s">
        <v>16</v>
      </c>
      <c r="F37" s="40">
        <f t="shared" ref="F37:I37" si="45">SUM(F29,F31)</f>
        <v>-6183.7550000000001</v>
      </c>
      <c r="G37" s="40">
        <f t="shared" si="45"/>
        <v>-7047</v>
      </c>
      <c r="H37" s="40">
        <f t="shared" si="45"/>
        <v>-1679</v>
      </c>
      <c r="I37" s="40">
        <f t="shared" si="45"/>
        <v>4198</v>
      </c>
      <c r="J37" s="40">
        <f t="shared" ref="J37:N37" si="46">SUM(J29,J31)</f>
        <v>9056</v>
      </c>
      <c r="K37" s="40">
        <f t="shared" si="46"/>
        <v>13049</v>
      </c>
      <c r="L37" s="40">
        <f t="shared" si="46"/>
        <v>15848</v>
      </c>
      <c r="M37" s="40">
        <f t="shared" si="46"/>
        <v>16782</v>
      </c>
      <c r="N37" s="40">
        <f t="shared" si="46"/>
        <v>7841</v>
      </c>
      <c r="O37" s="40">
        <f t="shared" ref="O37" si="47">SUM(O29,O31)</f>
        <v>-56576</v>
      </c>
      <c r="P37" s="40">
        <f t="shared" ref="P37" si="48">SUM(P29,P31)</f>
        <v>-16020</v>
      </c>
      <c r="Q37" s="40">
        <f>R37-P37</f>
        <v>16020</v>
      </c>
      <c r="R37" s="40">
        <f>R26*R38</f>
        <v>0</v>
      </c>
      <c r="S37" s="40">
        <f>S38*S26</f>
        <v>0</v>
      </c>
      <c r="T37" s="40">
        <f>T38*T26</f>
        <v>0</v>
      </c>
      <c r="U37" s="40">
        <f>U38*U26</f>
        <v>0</v>
      </c>
      <c r="V37" s="40">
        <f>V38*V26</f>
        <v>0</v>
      </c>
      <c r="W37" s="205"/>
      <c r="X37" s="205"/>
      <c r="Y37" s="205"/>
      <c r="Z37" s="92"/>
      <c r="AA37" s="4"/>
      <c r="AB37" s="4"/>
      <c r="AC37" s="4"/>
      <c r="AD37" s="4"/>
      <c r="AE37" s="4"/>
      <c r="AF37" s="4"/>
      <c r="AG37" s="4"/>
      <c r="AH37" s="4"/>
      <c r="AI37" s="4"/>
    </row>
    <row r="38" spans="1:38" ht="30" customHeight="1" thickBot="1">
      <c r="A38" s="12"/>
      <c r="B38" s="4"/>
      <c r="C38" s="4"/>
      <c r="D38" s="4"/>
      <c r="E38" s="263" t="s">
        <v>50</v>
      </c>
      <c r="F38" s="264">
        <f t="shared" ref="F38:P38" si="49">F37/F26</f>
        <v>-33.499945825884396</v>
      </c>
      <c r="G38" s="264">
        <f t="shared" si="49"/>
        <v>-1.3076637595101133</v>
      </c>
      <c r="H38" s="264">
        <f t="shared" si="49"/>
        <v>-5.9610878363984945E-2</v>
      </c>
      <c r="I38" s="264">
        <f t="shared" si="49"/>
        <v>0.17504065379643916</v>
      </c>
      <c r="J38" s="264">
        <f t="shared" si="49"/>
        <v>0.2842881808193376</v>
      </c>
      <c r="K38" s="264">
        <f t="shared" si="49"/>
        <v>0.32597237141215557</v>
      </c>
      <c r="L38" s="264">
        <f t="shared" si="49"/>
        <v>0.3488750935587549</v>
      </c>
      <c r="M38" s="264">
        <f t="shared" si="49"/>
        <v>0.3878706635542099</v>
      </c>
      <c r="N38" s="264">
        <f t="shared" si="49"/>
        <v>0.1000753021658945</v>
      </c>
      <c r="O38" s="264">
        <f t="shared" si="49"/>
        <v>-4.0293426394131471</v>
      </c>
      <c r="P38" s="264">
        <f t="shared" si="49"/>
        <v>-8.4138655462184868</v>
      </c>
      <c r="Q38" s="264"/>
      <c r="R38" s="264">
        <v>0</v>
      </c>
      <c r="S38" s="264">
        <v>0</v>
      </c>
      <c r="T38" s="264">
        <v>0</v>
      </c>
      <c r="U38" s="264">
        <v>0</v>
      </c>
      <c r="V38" s="264">
        <v>0</v>
      </c>
      <c r="W38" s="265"/>
      <c r="X38" s="259"/>
      <c r="Y38" s="260"/>
      <c r="Z38" s="261"/>
      <c r="AA38" s="4"/>
      <c r="AB38" s="4"/>
      <c r="AC38" s="4"/>
      <c r="AD38" s="4"/>
      <c r="AE38" s="4"/>
      <c r="AF38" s="4"/>
      <c r="AG38" s="4"/>
      <c r="AH38" s="4"/>
      <c r="AI38" s="4"/>
      <c r="AJ38" s="4"/>
      <c r="AK38" s="4"/>
      <c r="AL38" s="4"/>
    </row>
    <row r="39" spans="1:38" ht="30" customHeight="1">
      <c r="A39" s="12"/>
      <c r="B39" s="4"/>
      <c r="C39" s="4"/>
      <c r="D39" s="4"/>
      <c r="E39" s="266"/>
      <c r="F39" s="180"/>
      <c r="G39" s="180"/>
      <c r="H39" s="180"/>
      <c r="I39" s="180"/>
      <c r="J39" s="180"/>
      <c r="K39" s="180"/>
      <c r="L39" s="180"/>
      <c r="M39" s="180"/>
      <c r="N39" s="180"/>
      <c r="O39" s="180"/>
      <c r="P39" s="180"/>
      <c r="Q39" s="180"/>
      <c r="R39" s="180"/>
      <c r="S39" s="180"/>
      <c r="T39" s="180"/>
      <c r="U39" s="180"/>
      <c r="V39" s="180"/>
      <c r="W39" s="180"/>
      <c r="X39" s="181"/>
      <c r="Y39" s="177"/>
      <c r="Z39" s="177"/>
      <c r="AA39" s="4"/>
      <c r="AB39" s="4"/>
      <c r="AC39" s="4"/>
      <c r="AD39" s="4"/>
      <c r="AE39" s="4"/>
      <c r="AF39" s="4"/>
      <c r="AG39" s="4"/>
      <c r="AH39" s="4"/>
      <c r="AI39" s="4"/>
      <c r="AJ39" s="4"/>
      <c r="AK39" s="4"/>
      <c r="AL39" s="4"/>
    </row>
    <row r="40" spans="1:38" ht="30" customHeight="1">
      <c r="A40" s="12"/>
      <c r="B40" s="4"/>
      <c r="C40" s="4"/>
      <c r="D40" s="4"/>
      <c r="E40" s="232"/>
      <c r="F40" s="10"/>
      <c r="G40" s="10"/>
      <c r="H40" s="10"/>
      <c r="I40" s="10"/>
      <c r="J40" s="10"/>
      <c r="K40" s="10"/>
      <c r="L40" s="10"/>
      <c r="M40" s="10"/>
      <c r="N40" s="10"/>
      <c r="O40" s="10"/>
      <c r="P40" s="10"/>
      <c r="Q40" s="10"/>
      <c r="R40" s="10"/>
      <c r="S40" s="10"/>
      <c r="T40" s="10"/>
      <c r="U40" s="10"/>
      <c r="V40" s="10"/>
      <c r="W40" s="10"/>
      <c r="X40" s="51"/>
      <c r="Y40" s="4"/>
      <c r="Z40" s="4"/>
      <c r="AA40" s="4"/>
      <c r="AB40" s="4"/>
      <c r="AC40" s="4"/>
      <c r="AD40" s="4"/>
      <c r="AE40" s="4"/>
      <c r="AF40" s="4"/>
      <c r="AG40" s="4"/>
      <c r="AH40" s="4"/>
      <c r="AI40" s="4"/>
      <c r="AJ40" s="4"/>
      <c r="AK40" s="4"/>
      <c r="AL40" s="4"/>
    </row>
    <row r="41" spans="1:38" ht="30" customHeight="1">
      <c r="A41" s="12"/>
      <c r="B41" s="4"/>
      <c r="C41" s="4"/>
      <c r="D41" s="4"/>
      <c r="E41" s="232"/>
      <c r="F41" s="10"/>
      <c r="G41" s="10"/>
      <c r="H41" s="10"/>
      <c r="I41" s="10"/>
      <c r="J41" s="10"/>
      <c r="K41" s="10"/>
      <c r="L41" s="10"/>
      <c r="M41" s="10"/>
      <c r="N41" s="10"/>
      <c r="O41" s="10"/>
      <c r="P41" s="10"/>
      <c r="Q41" s="10"/>
      <c r="R41" s="10"/>
      <c r="S41" s="10"/>
      <c r="T41" s="10"/>
      <c r="U41" s="10"/>
      <c r="V41" s="10"/>
      <c r="W41" s="10"/>
      <c r="X41" s="51"/>
      <c r="Y41" s="4"/>
      <c r="Z41" s="4"/>
      <c r="AA41" s="4"/>
      <c r="AB41" s="4"/>
      <c r="AC41" s="4"/>
      <c r="AD41" s="4"/>
      <c r="AE41" s="4"/>
      <c r="AF41" s="4"/>
      <c r="AG41" s="4"/>
      <c r="AH41" s="4"/>
      <c r="AI41" s="4"/>
      <c r="AJ41" s="4"/>
      <c r="AK41" s="4"/>
      <c r="AL41" s="4"/>
    </row>
    <row r="42" spans="1:38" ht="30" customHeight="1">
      <c r="A42" s="12"/>
      <c r="B42" s="4"/>
      <c r="C42" s="4"/>
      <c r="D42" s="4"/>
      <c r="E42" s="78"/>
      <c r="F42" s="37">
        <v>2014</v>
      </c>
      <c r="G42" s="37">
        <v>2015</v>
      </c>
      <c r="H42" s="37">
        <v>2016</v>
      </c>
      <c r="I42" s="37">
        <v>2017</v>
      </c>
      <c r="J42" s="37">
        <v>2018</v>
      </c>
      <c r="K42" s="37">
        <v>2019</v>
      </c>
      <c r="L42" s="37">
        <v>2020</v>
      </c>
      <c r="M42" s="37">
        <v>2021</v>
      </c>
      <c r="N42" s="37">
        <v>2022</v>
      </c>
      <c r="O42" s="37">
        <v>2023</v>
      </c>
      <c r="P42" s="37" t="s">
        <v>518</v>
      </c>
      <c r="Q42" s="37" t="s">
        <v>519</v>
      </c>
      <c r="R42" s="38">
        <v>2024</v>
      </c>
      <c r="S42" s="38">
        <f>R42+1</f>
        <v>2025</v>
      </c>
      <c r="T42" s="38">
        <f t="shared" ref="T42:V42" si="50">S42+1</f>
        <v>2026</v>
      </c>
      <c r="U42" s="38">
        <f t="shared" si="50"/>
        <v>2027</v>
      </c>
      <c r="V42" s="38">
        <f t="shared" si="50"/>
        <v>2028</v>
      </c>
      <c r="W42" s="38" t="s">
        <v>94</v>
      </c>
      <c r="X42" s="38" t="s">
        <v>95</v>
      </c>
      <c r="Y42" s="38" t="s">
        <v>313</v>
      </c>
      <c r="Z42" s="91" t="s">
        <v>314</v>
      </c>
      <c r="AA42" s="4"/>
      <c r="AB42" s="4"/>
      <c r="AC42" s="4"/>
      <c r="AD42" s="4"/>
      <c r="AE42" s="4"/>
      <c r="AF42" s="4"/>
      <c r="AG42" s="4"/>
      <c r="AH42" s="4"/>
      <c r="AI42" s="4"/>
      <c r="AJ42" s="4"/>
      <c r="AK42" s="4"/>
      <c r="AL42" s="4"/>
    </row>
    <row r="43" spans="1:38" ht="30" customHeight="1">
      <c r="A43" s="12"/>
      <c r="B43" s="4"/>
      <c r="C43" s="4"/>
      <c r="D43" s="4"/>
      <c r="E43" s="79" t="s">
        <v>12</v>
      </c>
      <c r="F43" s="80"/>
      <c r="G43" s="80"/>
      <c r="H43" s="80"/>
      <c r="I43" s="80">
        <v>597682.38326999999</v>
      </c>
      <c r="J43" s="80">
        <v>702486</v>
      </c>
      <c r="K43" s="80">
        <v>821472</v>
      </c>
      <c r="L43" s="80">
        <v>617777</v>
      </c>
      <c r="M43" s="80">
        <v>731758</v>
      </c>
      <c r="N43" s="80">
        <v>3189039</v>
      </c>
      <c r="O43" s="80">
        <v>6970812</v>
      </c>
      <c r="P43" s="80">
        <v>2039783</v>
      </c>
      <c r="Q43" s="80">
        <f>R43-P43</f>
        <v>6960217</v>
      </c>
      <c r="R43" s="80">
        <v>9000000</v>
      </c>
      <c r="S43" s="80">
        <f>R43*(1+S44)</f>
        <v>9477927.8999999985</v>
      </c>
      <c r="T43" s="80">
        <f t="shared" ref="T43:V43" si="51">S43*(1+T44)</f>
        <v>10078161.282735839</v>
      </c>
      <c r="U43" s="80">
        <f t="shared" si="51"/>
        <v>10744059.664434558</v>
      </c>
      <c r="V43" s="80">
        <f t="shared" si="51"/>
        <v>11476202.866207786</v>
      </c>
      <c r="W43" s="277" t="s">
        <v>330</v>
      </c>
      <c r="X43" s="81">
        <v>2</v>
      </c>
      <c r="Y43" s="92">
        <f>(N43/I43)^(1/5)-1</f>
        <v>0.39777695185886786</v>
      </c>
      <c r="Z43" s="92" t="e">
        <f>(V43/#REF!)^(1/4)-1</f>
        <v>#REF!</v>
      </c>
      <c r="AA43" s="4"/>
      <c r="AB43" s="4"/>
      <c r="AC43" s="4"/>
      <c r="AD43" s="4"/>
      <c r="AE43" s="4"/>
      <c r="AF43" s="4"/>
      <c r="AG43" s="4"/>
      <c r="AH43" s="4"/>
      <c r="AI43" s="4"/>
      <c r="AJ43" s="4"/>
      <c r="AK43" s="4"/>
      <c r="AL43" s="4"/>
    </row>
    <row r="44" spans="1:38" ht="30" customHeight="1">
      <c r="A44" s="12"/>
      <c r="B44" s="4"/>
      <c r="C44" s="4"/>
      <c r="D44" s="4"/>
      <c r="E44" s="86" t="s">
        <v>47</v>
      </c>
      <c r="F44" s="44"/>
      <c r="G44" s="44"/>
      <c r="H44" s="44"/>
      <c r="I44" s="44">
        <v>0</v>
      </c>
      <c r="J44" s="44">
        <f t="shared" ref="J44" si="52">J43/I43-1</f>
        <v>0.17535001810929329</v>
      </c>
      <c r="K44" s="44">
        <f t="shared" ref="K44" si="53">K43/J43-1</f>
        <v>0.16937846448185434</v>
      </c>
      <c r="L44" s="44">
        <f t="shared" ref="L44" si="54">L43/K43-1</f>
        <v>-0.24796341202134708</v>
      </c>
      <c r="M44" s="44">
        <f t="shared" ref="M44:O44" si="55">M43/L43-1</f>
        <v>0.18450185099153904</v>
      </c>
      <c r="N44" s="44">
        <f t="shared" si="55"/>
        <v>3.3580514323041228</v>
      </c>
      <c r="O44" s="44">
        <f t="shared" si="55"/>
        <v>1.1858660242160726</v>
      </c>
      <c r="P44" s="44"/>
      <c r="Q44" s="44"/>
      <c r="R44" s="44">
        <f>R43/O43-1</f>
        <v>0.29109779463282037</v>
      </c>
      <c r="S44" s="44">
        <f>'Projeções - CG + Capex'!L39</f>
        <v>5.3103099999999737E-2</v>
      </c>
      <c r="T44" s="44">
        <f>'Projeções - CG + Capex'!M39</f>
        <v>6.3329600000000097E-2</v>
      </c>
      <c r="U44" s="44">
        <f>'Projeções - CG + Capex'!N39</f>
        <v>6.607340000000006E-2</v>
      </c>
      <c r="V44" s="44">
        <f>'Projeções - CG + Capex'!O39</f>
        <v>6.8143999999999982E-2</v>
      </c>
      <c r="W44" s="38"/>
      <c r="X44" s="38"/>
      <c r="Y44" s="38"/>
      <c r="Z44" s="91"/>
      <c r="AA44" s="4"/>
      <c r="AB44" s="4"/>
      <c r="AC44" s="4"/>
      <c r="AD44" s="4"/>
      <c r="AE44" s="4"/>
      <c r="AF44" s="4"/>
      <c r="AG44" s="4"/>
      <c r="AH44" s="4"/>
      <c r="AI44" s="4"/>
      <c r="AJ44" s="4"/>
      <c r="AK44" s="4"/>
      <c r="AL44" s="4"/>
    </row>
    <row r="45" spans="1:38" ht="30" customHeight="1">
      <c r="A45" s="12"/>
      <c r="B45" s="4"/>
      <c r="C45" s="4"/>
      <c r="D45" s="4"/>
      <c r="E45" s="86" t="s">
        <v>13</v>
      </c>
      <c r="F45" s="42"/>
      <c r="G45" s="42"/>
      <c r="H45" s="42"/>
      <c r="I45" s="42">
        <v>-485163</v>
      </c>
      <c r="J45" s="42">
        <v>-589249</v>
      </c>
      <c r="K45" s="42">
        <v>-688206</v>
      </c>
      <c r="L45" s="42">
        <v>-505964</v>
      </c>
      <c r="M45" s="42">
        <v>-589455</v>
      </c>
      <c r="N45" s="42">
        <v>-2647230</v>
      </c>
      <c r="O45" s="42">
        <v>-5928845</v>
      </c>
      <c r="P45" s="42">
        <v>-1723307</v>
      </c>
      <c r="Q45" s="42"/>
      <c r="R45" s="42"/>
      <c r="S45" s="42"/>
      <c r="T45" s="42"/>
      <c r="U45" s="42"/>
      <c r="V45" s="42"/>
      <c r="W45" s="80"/>
      <c r="X45" s="81"/>
      <c r="Y45" s="82"/>
      <c r="Z45" s="92"/>
      <c r="AA45" s="4"/>
      <c r="AB45" s="4"/>
      <c r="AC45" s="4"/>
      <c r="AD45" s="4"/>
      <c r="AE45" s="4"/>
      <c r="AF45" s="4"/>
      <c r="AG45" s="4"/>
      <c r="AH45" s="4"/>
      <c r="AI45" s="4"/>
      <c r="AJ45" s="4"/>
      <c r="AK45" s="4"/>
      <c r="AL45" s="4"/>
    </row>
    <row r="46" spans="1:38" ht="30" customHeight="1">
      <c r="A46" s="12"/>
      <c r="B46" s="4"/>
      <c r="C46" s="4"/>
      <c r="D46" s="4"/>
      <c r="E46" s="86" t="s">
        <v>159</v>
      </c>
      <c r="F46" s="42"/>
      <c r="G46" s="42"/>
      <c r="H46" s="42"/>
      <c r="I46" s="42">
        <v>-13455</v>
      </c>
      <c r="J46" s="42">
        <v>-5157</v>
      </c>
      <c r="K46" s="42">
        <v>-6611</v>
      </c>
      <c r="L46" s="42">
        <v>-4517</v>
      </c>
      <c r="M46" s="42">
        <v>-1155</v>
      </c>
      <c r="N46" s="42">
        <v>-11457</v>
      </c>
      <c r="O46" s="42">
        <v>0</v>
      </c>
      <c r="P46" s="42"/>
      <c r="Q46" s="42"/>
      <c r="R46" s="42">
        <f>-R47*R43</f>
        <v>-64778.767295556216</v>
      </c>
      <c r="S46" s="42">
        <f t="shared" ref="S46:V46" si="56">-S47*S43</f>
        <v>-68218.720653128854</v>
      </c>
      <c r="T46" s="42">
        <f t="shared" si="56"/>
        <v>-72538.984944603246</v>
      </c>
      <c r="U46" s="42">
        <f t="shared" si="56"/>
        <v>-77331.882312442001</v>
      </c>
      <c r="V46" s="42">
        <f t="shared" si="56"/>
        <v>-82601.586100741042</v>
      </c>
      <c r="W46" s="44"/>
      <c r="X46" s="81"/>
      <c r="Y46" s="82"/>
      <c r="Z46" s="92"/>
      <c r="AA46" s="4"/>
      <c r="AB46" s="4"/>
      <c r="AC46" s="4"/>
      <c r="AD46" s="4"/>
      <c r="AE46" s="4"/>
      <c r="AF46" s="4"/>
      <c r="AG46" s="4"/>
      <c r="AH46" s="4"/>
      <c r="AI46" s="4"/>
      <c r="AJ46" s="4"/>
      <c r="AK46" s="4"/>
      <c r="AL46" s="4"/>
    </row>
    <row r="47" spans="1:38" ht="30" customHeight="1">
      <c r="A47" s="12"/>
      <c r="B47" s="4"/>
      <c r="C47" s="4"/>
      <c r="D47" s="4"/>
      <c r="E47" s="86" t="s">
        <v>310</v>
      </c>
      <c r="F47" s="42"/>
      <c r="G47" s="42"/>
      <c r="H47" s="42"/>
      <c r="I47" s="60">
        <f>-I46/I43</f>
        <v>2.251195681289099E-2</v>
      </c>
      <c r="J47" s="60">
        <f t="shared" ref="J47:P47" si="57">-J46/J43</f>
        <v>7.3410715658390347E-3</v>
      </c>
      <c r="K47" s="60">
        <f t="shared" si="57"/>
        <v>8.0477484320828959E-3</v>
      </c>
      <c r="L47" s="60">
        <f t="shared" si="57"/>
        <v>7.3116998528595266E-3</v>
      </c>
      <c r="M47" s="60">
        <f t="shared" si="57"/>
        <v>1.5783906701395817E-3</v>
      </c>
      <c r="N47" s="60">
        <f t="shared" si="57"/>
        <v>3.5926183405094762E-3</v>
      </c>
      <c r="O47" s="60">
        <f t="shared" si="57"/>
        <v>0</v>
      </c>
      <c r="P47" s="60">
        <f t="shared" si="57"/>
        <v>0</v>
      </c>
      <c r="Q47" s="42"/>
      <c r="R47" s="60">
        <f>AVERAGE($I$47:$O$47)</f>
        <v>7.197640810617357E-3</v>
      </c>
      <c r="S47" s="60">
        <f t="shared" ref="S47:V47" si="58">AVERAGE($I$47:$O$47)</f>
        <v>7.197640810617357E-3</v>
      </c>
      <c r="T47" s="60">
        <f t="shared" si="58"/>
        <v>7.197640810617357E-3</v>
      </c>
      <c r="U47" s="60">
        <f t="shared" si="58"/>
        <v>7.197640810617357E-3</v>
      </c>
      <c r="V47" s="60">
        <f t="shared" si="58"/>
        <v>7.197640810617357E-3</v>
      </c>
      <c r="W47" s="44"/>
      <c r="X47" s="81"/>
      <c r="Y47" s="82"/>
      <c r="Z47" s="92"/>
      <c r="AA47" s="4"/>
      <c r="AB47" s="4"/>
      <c r="AC47" s="4"/>
      <c r="AD47" s="4"/>
      <c r="AE47" s="4"/>
      <c r="AF47" s="4"/>
      <c r="AG47" s="4"/>
      <c r="AH47" s="4"/>
      <c r="AI47" s="4"/>
      <c r="AJ47" s="4"/>
      <c r="AK47" s="4"/>
      <c r="AL47" s="4"/>
    </row>
    <row r="48" spans="1:38" ht="30" customHeight="1">
      <c r="A48" s="12"/>
      <c r="B48" s="4"/>
      <c r="C48" s="4"/>
      <c r="D48" s="4"/>
      <c r="E48" s="79" t="s">
        <v>14</v>
      </c>
      <c r="F48" s="42"/>
      <c r="G48" s="42"/>
      <c r="H48" s="42"/>
      <c r="I48" s="46">
        <f>SUM(I43,I45:I46)</f>
        <v>99064.383269999991</v>
      </c>
      <c r="J48" s="46">
        <f>SUM(J43,J45:J46)</f>
        <v>108080</v>
      </c>
      <c r="K48" s="46">
        <f t="shared" ref="K48" si="59">SUM(K43,K45:K46)</f>
        <v>126655</v>
      </c>
      <c r="L48" s="46">
        <f t="shared" ref="L48" si="60">SUM(L43,L45:L46)</f>
        <v>107296</v>
      </c>
      <c r="M48" s="46">
        <f t="shared" ref="M48:P48" si="61">SUM(M43,M45:M46)</f>
        <v>141148</v>
      </c>
      <c r="N48" s="46">
        <f t="shared" si="61"/>
        <v>530352</v>
      </c>
      <c r="O48" s="46">
        <f t="shared" si="61"/>
        <v>1041967</v>
      </c>
      <c r="P48" s="46">
        <f t="shared" si="61"/>
        <v>316476</v>
      </c>
      <c r="Q48" s="42"/>
      <c r="R48" s="42"/>
      <c r="S48" s="42"/>
      <c r="T48" s="42"/>
      <c r="U48" s="42"/>
      <c r="V48" s="42"/>
      <c r="W48" s="83"/>
      <c r="X48" s="81"/>
      <c r="Y48" s="82"/>
      <c r="Z48" s="92"/>
      <c r="AA48" s="4"/>
      <c r="AB48" s="4"/>
      <c r="AC48" s="4"/>
      <c r="AD48" s="4"/>
      <c r="AE48" s="4"/>
      <c r="AF48" s="4"/>
      <c r="AG48" s="4"/>
      <c r="AH48" s="4"/>
      <c r="AI48" s="4"/>
      <c r="AJ48" s="4"/>
      <c r="AK48" s="4"/>
      <c r="AL48" s="4"/>
    </row>
    <row r="49" spans="1:38" ht="30" customHeight="1">
      <c r="A49" s="12"/>
      <c r="B49" s="4"/>
      <c r="C49" s="4"/>
      <c r="D49" s="4"/>
      <c r="E49" s="241" t="s">
        <v>51</v>
      </c>
      <c r="F49" s="44"/>
      <c r="G49" s="44"/>
      <c r="H49" s="44"/>
      <c r="I49" s="242">
        <f t="shared" ref="I49:P49" si="62">I48/I43</f>
        <v>0.16574753756000896</v>
      </c>
      <c r="J49" s="242">
        <f t="shared" si="62"/>
        <v>0.1538535999293936</v>
      </c>
      <c r="K49" s="242">
        <f t="shared" si="62"/>
        <v>0.15418054419383739</v>
      </c>
      <c r="L49" s="242">
        <f t="shared" si="62"/>
        <v>0.17368079420243873</v>
      </c>
      <c r="M49" s="242">
        <f t="shared" si="62"/>
        <v>0.19288890589511834</v>
      </c>
      <c r="N49" s="242">
        <f t="shared" si="62"/>
        <v>0.16630464538063033</v>
      </c>
      <c r="O49" s="242">
        <f t="shared" ref="O49" si="63">O48/O43</f>
        <v>0.14947569953113066</v>
      </c>
      <c r="P49" s="242">
        <f t="shared" si="62"/>
        <v>0.15515179800988635</v>
      </c>
      <c r="Q49" s="44"/>
      <c r="R49" s="44"/>
      <c r="S49" s="44"/>
      <c r="T49" s="44"/>
      <c r="U49" s="44"/>
      <c r="V49" s="44"/>
      <c r="W49" s="83"/>
      <c r="X49" s="81"/>
      <c r="Y49" s="82"/>
      <c r="Z49" s="92"/>
      <c r="AA49" s="4"/>
      <c r="AB49" s="4"/>
      <c r="AC49" s="4"/>
      <c r="AD49" s="4"/>
      <c r="AE49" s="4"/>
      <c r="AF49" s="4"/>
      <c r="AG49" s="4"/>
      <c r="AH49" s="4"/>
      <c r="AI49" s="4"/>
      <c r="AJ49" s="4"/>
      <c r="AK49" s="4"/>
      <c r="AL49" s="4"/>
    </row>
    <row r="50" spans="1:38" ht="30" customHeight="1">
      <c r="A50" s="12"/>
      <c r="B50" s="4"/>
      <c r="C50" s="4"/>
      <c r="D50" s="4"/>
      <c r="E50" s="86" t="s">
        <v>15</v>
      </c>
      <c r="F50" s="204"/>
      <c r="G50" s="204"/>
      <c r="H50" s="204"/>
      <c r="I50" s="84">
        <f t="shared" ref="I50:P50" si="64">SUM(I52:I55)</f>
        <v>-81992</v>
      </c>
      <c r="J50" s="84">
        <f t="shared" si="64"/>
        <v>-94262</v>
      </c>
      <c r="K50" s="84">
        <f t="shared" si="64"/>
        <v>-104013</v>
      </c>
      <c r="L50" s="84">
        <f t="shared" si="64"/>
        <v>-87199</v>
      </c>
      <c r="M50" s="84">
        <f t="shared" si="64"/>
        <v>-90691</v>
      </c>
      <c r="N50" s="84">
        <f t="shared" si="64"/>
        <v>-387044</v>
      </c>
      <c r="O50" s="84">
        <f t="shared" ref="O50" si="65">SUM(O52:O55)</f>
        <v>-796366</v>
      </c>
      <c r="P50" s="84">
        <f t="shared" si="64"/>
        <v>-247602</v>
      </c>
      <c r="Q50" s="84"/>
      <c r="R50" s="84"/>
      <c r="S50" s="84"/>
      <c r="T50" s="84"/>
      <c r="U50" s="84"/>
      <c r="V50" s="84"/>
      <c r="W50" s="83"/>
      <c r="X50" s="81"/>
      <c r="Y50" s="82"/>
      <c r="Z50" s="92"/>
      <c r="AA50" s="4"/>
      <c r="AB50" s="4"/>
      <c r="AC50" s="4"/>
      <c r="AD50" s="4"/>
      <c r="AE50" s="4"/>
      <c r="AF50" s="4"/>
      <c r="AG50" s="4"/>
      <c r="AH50" s="4"/>
      <c r="AI50" s="4"/>
      <c r="AJ50" s="4"/>
      <c r="AK50" s="4"/>
      <c r="AL50" s="4"/>
    </row>
    <row r="51" spans="1:38" ht="30" customHeight="1">
      <c r="A51" s="12"/>
      <c r="B51" s="4"/>
      <c r="C51" s="4"/>
      <c r="D51" s="4"/>
      <c r="E51" s="86" t="s">
        <v>30</v>
      </c>
      <c r="F51" s="44"/>
      <c r="G51" s="44"/>
      <c r="H51" s="44"/>
      <c r="I51" s="44">
        <f>-I50/I43</f>
        <v>0.1371832302491682</v>
      </c>
      <c r="J51" s="44">
        <f t="shared" ref="J51:P51" si="66">-J50/J43</f>
        <v>0.13418345703686621</v>
      </c>
      <c r="K51" s="44">
        <f t="shared" si="66"/>
        <v>0.12661782750964123</v>
      </c>
      <c r="L51" s="44">
        <f t="shared" si="66"/>
        <v>0.14114963813803363</v>
      </c>
      <c r="M51" s="44">
        <f t="shared" si="66"/>
        <v>0.12393578204816347</v>
      </c>
      <c r="N51" s="44">
        <f t="shared" si="66"/>
        <v>0.12136696979873875</v>
      </c>
      <c r="O51" s="44">
        <f t="shared" si="66"/>
        <v>0.11424293181339562</v>
      </c>
      <c r="P51" s="44">
        <f t="shared" si="66"/>
        <v>0.1213864415969738</v>
      </c>
      <c r="Q51" s="44"/>
      <c r="R51" s="44"/>
      <c r="S51" s="44"/>
      <c r="T51" s="44"/>
      <c r="U51" s="44"/>
      <c r="V51" s="44"/>
      <c r="W51" s="83"/>
      <c r="X51" s="83"/>
      <c r="Y51" s="83"/>
      <c r="Z51" s="92"/>
      <c r="AA51" s="4"/>
      <c r="AB51" s="4"/>
      <c r="AC51" s="4"/>
      <c r="AD51" s="4"/>
      <c r="AE51" s="4"/>
      <c r="AF51" s="4"/>
      <c r="AG51" s="4"/>
      <c r="AH51" s="4"/>
      <c r="AI51" s="4"/>
      <c r="AJ51" s="4"/>
      <c r="AK51" s="4"/>
      <c r="AL51" s="4"/>
    </row>
    <row r="52" spans="1:38" ht="30" customHeight="1">
      <c r="A52" s="12"/>
      <c r="B52" s="4"/>
      <c r="C52" s="4"/>
      <c r="D52" s="4"/>
      <c r="E52" s="86" t="s">
        <v>258</v>
      </c>
      <c r="F52" s="42"/>
      <c r="G52" s="42"/>
      <c r="H52" s="42"/>
      <c r="I52" s="42">
        <f>-87439-7926</f>
        <v>-95365</v>
      </c>
      <c r="J52" s="42">
        <f>-7776-89544</f>
        <v>-97320</v>
      </c>
      <c r="K52" s="42">
        <f>-16460-89599</f>
        <v>-106059</v>
      </c>
      <c r="L52" s="42">
        <f>-32038-57039</f>
        <v>-89077</v>
      </c>
      <c r="M52" s="42">
        <f>-43502-66412</f>
        <v>-109914</v>
      </c>
      <c r="N52" s="42">
        <f>-184076-195167</f>
        <v>-379243</v>
      </c>
      <c r="O52" s="42">
        <f>-387777-403091</f>
        <v>-790868</v>
      </c>
      <c r="P52" s="42">
        <f>-135558-108707</f>
        <v>-244265</v>
      </c>
      <c r="Q52" s="42"/>
      <c r="R52" s="42"/>
      <c r="S52" s="42"/>
      <c r="T52" s="42"/>
      <c r="U52" s="42"/>
      <c r="V52" s="42"/>
      <c r="W52" s="38"/>
      <c r="X52" s="38"/>
      <c r="Y52" s="38"/>
      <c r="Z52" s="91"/>
      <c r="AA52" s="4"/>
      <c r="AB52" s="4"/>
      <c r="AC52" s="4"/>
      <c r="AD52" s="4"/>
      <c r="AE52" s="4"/>
      <c r="AF52" s="4"/>
      <c r="AG52" s="4"/>
      <c r="AH52" s="4"/>
      <c r="AI52" s="4"/>
      <c r="AJ52" s="4"/>
      <c r="AK52" s="4"/>
      <c r="AL52" s="4"/>
    </row>
    <row r="53" spans="1:38" ht="30" customHeight="1">
      <c r="A53" s="12"/>
      <c r="B53" s="4"/>
      <c r="C53" s="4"/>
      <c r="D53" s="4"/>
      <c r="E53" s="86" t="s">
        <v>97</v>
      </c>
      <c r="F53" s="42"/>
      <c r="G53" s="42"/>
      <c r="H53" s="42"/>
      <c r="I53" s="42">
        <v>-97</v>
      </c>
      <c r="J53" s="42">
        <v>-98</v>
      </c>
      <c r="K53" s="42">
        <v>-944</v>
      </c>
      <c r="L53" s="42">
        <v>581</v>
      </c>
      <c r="M53" s="42">
        <v>97</v>
      </c>
      <c r="N53" s="42">
        <v>-3076</v>
      </c>
      <c r="O53" s="42">
        <v>-7324</v>
      </c>
      <c r="P53" s="42">
        <v>-2046</v>
      </c>
      <c r="Q53" s="42"/>
      <c r="R53" s="42"/>
      <c r="S53" s="42"/>
      <c r="T53" s="42"/>
      <c r="U53" s="42"/>
      <c r="V53" s="42"/>
      <c r="W53" s="44"/>
      <c r="X53" s="81"/>
      <c r="Y53" s="82"/>
      <c r="Z53" s="92"/>
      <c r="AA53" s="4"/>
      <c r="AB53" s="4"/>
      <c r="AC53" s="4"/>
      <c r="AD53" s="4"/>
      <c r="AE53" s="4"/>
      <c r="AF53" s="4"/>
      <c r="AG53" s="4"/>
      <c r="AH53" s="4"/>
      <c r="AI53" s="4"/>
      <c r="AJ53" s="4"/>
      <c r="AK53" s="4"/>
      <c r="AL53" s="4"/>
    </row>
    <row r="54" spans="1:38" ht="30" customHeight="1">
      <c r="A54" s="12"/>
      <c r="B54" s="4"/>
      <c r="C54" s="4"/>
      <c r="D54" s="4"/>
      <c r="E54" s="86" t="s">
        <v>19</v>
      </c>
      <c r="F54" s="42"/>
      <c r="G54" s="42"/>
      <c r="H54" s="42"/>
      <c r="I54" s="42">
        <v>13470</v>
      </c>
      <c r="J54" s="42">
        <v>3156</v>
      </c>
      <c r="K54" s="42">
        <v>2990</v>
      </c>
      <c r="L54" s="42">
        <v>1297</v>
      </c>
      <c r="M54" s="42">
        <v>19126</v>
      </c>
      <c r="N54" s="42">
        <v>-4747</v>
      </c>
      <c r="O54" s="42">
        <v>1762</v>
      </c>
      <c r="P54" s="42">
        <v>-1291</v>
      </c>
      <c r="Q54" s="42"/>
      <c r="R54" s="42"/>
      <c r="S54" s="42"/>
      <c r="T54" s="42"/>
      <c r="U54" s="42"/>
      <c r="V54" s="42"/>
      <c r="W54" s="83"/>
      <c r="X54" s="81"/>
      <c r="Y54" s="82"/>
      <c r="Z54" s="92"/>
      <c r="AA54" s="4"/>
      <c r="AB54" s="4"/>
      <c r="AC54" s="4"/>
      <c r="AD54" s="4"/>
      <c r="AE54" s="4"/>
      <c r="AF54" s="4"/>
      <c r="AG54" s="4"/>
      <c r="AH54" s="4"/>
      <c r="AI54" s="4"/>
      <c r="AJ54" s="4"/>
      <c r="AK54" s="4"/>
      <c r="AL54" s="4"/>
    </row>
    <row r="55" spans="1:38" ht="30" customHeight="1">
      <c r="A55" s="12"/>
      <c r="B55" s="4"/>
      <c r="C55" s="4"/>
      <c r="D55" s="4"/>
      <c r="E55" s="86" t="s">
        <v>41</v>
      </c>
      <c r="F55" s="42"/>
      <c r="G55" s="42"/>
      <c r="H55" s="42"/>
      <c r="I55" s="42"/>
      <c r="J55" s="42"/>
      <c r="K55" s="42"/>
      <c r="L55" s="42"/>
      <c r="M55" s="42"/>
      <c r="N55" s="42">
        <v>22</v>
      </c>
      <c r="O55" s="42">
        <v>64</v>
      </c>
      <c r="P55" s="42"/>
      <c r="Q55" s="42"/>
      <c r="R55" s="42"/>
      <c r="S55" s="42"/>
      <c r="T55" s="42"/>
      <c r="U55" s="42"/>
      <c r="V55" s="42"/>
      <c r="W55" s="83"/>
      <c r="X55" s="81"/>
      <c r="Y55" s="82"/>
      <c r="Z55" s="92"/>
      <c r="AA55" s="4"/>
      <c r="AB55" s="4"/>
      <c r="AC55" s="4"/>
      <c r="AD55" s="4"/>
      <c r="AE55" s="4"/>
      <c r="AF55" s="4"/>
      <c r="AG55" s="4"/>
      <c r="AH55" s="4"/>
      <c r="AI55" s="4"/>
      <c r="AJ55" s="4"/>
      <c r="AK55" s="4"/>
      <c r="AL55" s="4"/>
    </row>
    <row r="56" spans="1:38" ht="30" customHeight="1">
      <c r="A56" s="12"/>
      <c r="B56" s="4"/>
      <c r="C56" s="4"/>
      <c r="D56" s="4"/>
      <c r="E56" s="79" t="s">
        <v>16</v>
      </c>
      <c r="F56" s="42"/>
      <c r="G56" s="42"/>
      <c r="H56" s="42"/>
      <c r="I56" s="40">
        <f t="shared" ref="I56:P56" si="67">SUM(I48,I50)</f>
        <v>17072.383269999991</v>
      </c>
      <c r="J56" s="40">
        <f t="shared" si="67"/>
        <v>13818</v>
      </c>
      <c r="K56" s="40">
        <f t="shared" si="67"/>
        <v>22642</v>
      </c>
      <c r="L56" s="40">
        <f t="shared" si="67"/>
        <v>20097</v>
      </c>
      <c r="M56" s="40">
        <f t="shared" si="67"/>
        <v>50457</v>
      </c>
      <c r="N56" s="40">
        <f t="shared" si="67"/>
        <v>143308</v>
      </c>
      <c r="O56" s="40">
        <f t="shared" si="67"/>
        <v>245601</v>
      </c>
      <c r="P56" s="40">
        <f t="shared" si="67"/>
        <v>68874</v>
      </c>
      <c r="Q56" s="40">
        <f>R56-P56</f>
        <v>339849.12722471991</v>
      </c>
      <c r="R56" s="40">
        <f>R58*R43</f>
        <v>408723.12722471991</v>
      </c>
      <c r="S56" s="40">
        <f>S58*S43</f>
        <v>430427.59232204687</v>
      </c>
      <c r="T56" s="40">
        <f t="shared" ref="T56:V56" si="68">T58*T43</f>
        <v>457686.39957276522</v>
      </c>
      <c r="U56" s="40">
        <f t="shared" si="68"/>
        <v>487927.29612629639</v>
      </c>
      <c r="V56" s="40">
        <f t="shared" si="68"/>
        <v>521176.61379352672</v>
      </c>
      <c r="W56" s="205"/>
      <c r="X56" s="205"/>
      <c r="Y56" s="205"/>
      <c r="Z56" s="92"/>
      <c r="AA56" s="4"/>
      <c r="AB56" s="4"/>
      <c r="AC56" s="4"/>
      <c r="AD56" s="4"/>
      <c r="AE56" s="4"/>
      <c r="AF56" s="4"/>
      <c r="AG56" s="4"/>
      <c r="AH56" s="4"/>
      <c r="AI56" s="4"/>
      <c r="AJ56" s="4"/>
      <c r="AK56" s="4"/>
      <c r="AL56" s="4"/>
    </row>
    <row r="57" spans="1:38" ht="30" customHeight="1">
      <c r="A57" s="12"/>
      <c r="B57" s="4"/>
      <c r="C57" s="4"/>
      <c r="D57" s="4"/>
      <c r="E57" s="79" t="s">
        <v>326</v>
      </c>
      <c r="F57" s="176"/>
      <c r="G57" s="176"/>
      <c r="H57" s="176"/>
      <c r="I57" s="186"/>
      <c r="J57" s="186">
        <f>J56/'DRE + DCF'!O15</f>
        <v>0.10829323343626075</v>
      </c>
      <c r="K57" s="186">
        <f>K56/'DRE + DCF'!P15</f>
        <v>0.13735493772862664</v>
      </c>
      <c r="L57" s="186">
        <f>L56/'DRE + DCF'!Q15</f>
        <v>0.12503032904682804</v>
      </c>
      <c r="M57" s="186">
        <f>M56/'DRE + DCF'!R15</f>
        <v>0.27091588544183498</v>
      </c>
      <c r="N57" s="186">
        <f>N56/'DRE + DCF'!S15</f>
        <v>0.44776893538176965</v>
      </c>
      <c r="O57" s="186">
        <f>O56/'DRE + DCF'!T15</f>
        <v>1.0329965168432584</v>
      </c>
      <c r="P57" s="186">
        <f>P56/'DRE + DCF'!U15</f>
        <v>1.0659299842139474</v>
      </c>
      <c r="Q57" s="186">
        <f>Q56/'DRE + DCF'!V15</f>
        <v>0.659103033402344</v>
      </c>
      <c r="R57" s="186">
        <f>R56/'DRE + DCF'!W15</f>
        <v>0.70440639408592365</v>
      </c>
      <c r="S57" s="186">
        <f>S56/'DRE + DCF'!X15</f>
        <v>0.57623370557568332</v>
      </c>
      <c r="T57" s="186">
        <f>T56/'DRE + DCF'!Y15</f>
        <v>0.57160712981073736</v>
      </c>
      <c r="U57" s="186">
        <f>U56/'DRE + DCF'!Z15</f>
        <v>0.56727752430835843</v>
      </c>
      <c r="V57" s="186">
        <f>V56/'DRE + DCF'!AA15</f>
        <v>0.56322618997490947</v>
      </c>
      <c r="W57" s="300"/>
      <c r="X57" s="300"/>
      <c r="Y57" s="300"/>
      <c r="Z57" s="261"/>
      <c r="AA57" s="4"/>
      <c r="AB57" s="4"/>
      <c r="AC57" s="4"/>
      <c r="AD57" s="4"/>
      <c r="AE57" s="4"/>
      <c r="AF57" s="4"/>
      <c r="AG57" s="4"/>
      <c r="AH57" s="4"/>
      <c r="AI57" s="4"/>
      <c r="AJ57" s="4"/>
      <c r="AK57" s="4"/>
      <c r="AL57" s="4"/>
    </row>
    <row r="58" spans="1:38" ht="30" customHeight="1" thickBot="1">
      <c r="A58" s="12"/>
      <c r="B58" s="4"/>
      <c r="C58" s="4"/>
      <c r="D58" s="4"/>
      <c r="E58" s="263" t="s">
        <v>50</v>
      </c>
      <c r="F58" s="176"/>
      <c r="G58" s="176"/>
      <c r="H58" s="176"/>
      <c r="I58" s="264">
        <f t="shared" ref="I58:P58" si="69">I56/I43</f>
        <v>2.8564307310840763E-2</v>
      </c>
      <c r="J58" s="264">
        <f t="shared" si="69"/>
        <v>1.9670142892527394E-2</v>
      </c>
      <c r="K58" s="264">
        <f t="shared" si="69"/>
        <v>2.7562716684196176E-2</v>
      </c>
      <c r="L58" s="264">
        <f t="shared" si="69"/>
        <v>3.2531156064405119E-2</v>
      </c>
      <c r="M58" s="264">
        <f t="shared" si="69"/>
        <v>6.8953123846954872E-2</v>
      </c>
      <c r="N58" s="264">
        <f t="shared" si="69"/>
        <v>4.4937675581891601E-2</v>
      </c>
      <c r="O58" s="264">
        <f t="shared" ref="O58" si="70">O56/O43</f>
        <v>3.5232767717735036E-2</v>
      </c>
      <c r="P58" s="264">
        <f t="shared" si="69"/>
        <v>3.3765356412912548E-2</v>
      </c>
      <c r="Q58" s="264">
        <f t="shared" ref="Q58" si="71">Q56/Q43</f>
        <v>4.8827375241996034E-2</v>
      </c>
      <c r="R58" s="264">
        <f>AVERAGE($L$58:$O$58)</f>
        <v>4.5413680802746659E-2</v>
      </c>
      <c r="S58" s="264">
        <f t="shared" ref="S58:V58" si="72">AVERAGE($L$58:$O$58)</f>
        <v>4.5413680802746659E-2</v>
      </c>
      <c r="T58" s="264">
        <f t="shared" si="72"/>
        <v>4.5413680802746659E-2</v>
      </c>
      <c r="U58" s="264">
        <f t="shared" si="72"/>
        <v>4.5413680802746659E-2</v>
      </c>
      <c r="V58" s="264">
        <f t="shared" si="72"/>
        <v>4.5413680802746659E-2</v>
      </c>
      <c r="W58" s="265"/>
      <c r="X58" s="259"/>
      <c r="Y58" s="260"/>
      <c r="Z58" s="261"/>
      <c r="AA58" s="4"/>
      <c r="AB58" s="4"/>
      <c r="AC58" s="4"/>
      <c r="AD58" s="4"/>
      <c r="AE58" s="4"/>
      <c r="AF58" s="4"/>
      <c r="AG58" s="4"/>
      <c r="AH58" s="4"/>
      <c r="AI58" s="4"/>
      <c r="AJ58" s="4"/>
      <c r="AK58" s="4"/>
      <c r="AL58" s="4"/>
    </row>
    <row r="59" spans="1:38" ht="30" customHeight="1">
      <c r="A59" s="12"/>
      <c r="B59" s="4"/>
      <c r="C59" s="4"/>
      <c r="D59" s="4"/>
      <c r="E59" s="266"/>
      <c r="F59" s="180"/>
      <c r="G59" s="180"/>
      <c r="H59" s="180"/>
      <c r="I59" s="180"/>
      <c r="J59" s="180"/>
      <c r="K59" s="180"/>
      <c r="L59" s="180"/>
      <c r="M59" s="180"/>
      <c r="N59" s="180"/>
      <c r="O59" s="180"/>
      <c r="P59" s="180"/>
      <c r="Q59" s="180"/>
      <c r="R59" s="180"/>
      <c r="S59" s="180"/>
      <c r="T59" s="180"/>
      <c r="U59" s="180"/>
      <c r="V59" s="180"/>
      <c r="W59" s="180"/>
      <c r="X59" s="181"/>
      <c r="Y59" s="177"/>
      <c r="Z59" s="177"/>
      <c r="AA59" s="4"/>
      <c r="AB59" s="4"/>
      <c r="AC59" s="4"/>
      <c r="AD59" s="4"/>
      <c r="AE59" s="4"/>
      <c r="AF59" s="4"/>
      <c r="AG59" s="4"/>
      <c r="AH59" s="4"/>
      <c r="AI59" s="4"/>
      <c r="AJ59" s="4"/>
      <c r="AK59" s="4"/>
      <c r="AL59" s="4"/>
    </row>
    <row r="60" spans="1:38" ht="30" customHeight="1">
      <c r="A60" s="12"/>
      <c r="B60" s="4"/>
      <c r="C60" s="4"/>
      <c r="D60" s="4"/>
      <c r="E60" s="232"/>
      <c r="F60" s="10"/>
      <c r="G60" s="10"/>
      <c r="H60" s="10"/>
      <c r="I60" s="10"/>
      <c r="J60" s="10"/>
      <c r="K60" s="10"/>
      <c r="L60" s="10"/>
      <c r="M60" s="10"/>
      <c r="N60" s="10"/>
      <c r="O60" s="10"/>
      <c r="P60" s="10"/>
      <c r="Q60" s="10"/>
      <c r="R60" s="10"/>
      <c r="S60" s="10"/>
      <c r="T60" s="10"/>
      <c r="U60" s="10"/>
      <c r="V60" s="10"/>
      <c r="W60" s="10"/>
      <c r="X60" s="51"/>
      <c r="Y60" s="4"/>
      <c r="Z60" s="4"/>
      <c r="AA60" s="4"/>
      <c r="AB60" s="4"/>
      <c r="AC60" s="4"/>
      <c r="AD60" s="4"/>
      <c r="AE60" s="4"/>
      <c r="AF60" s="4"/>
      <c r="AG60" s="4"/>
      <c r="AH60" s="4"/>
      <c r="AI60" s="4"/>
      <c r="AJ60" s="4"/>
      <c r="AK60" s="4"/>
      <c r="AL60" s="4"/>
    </row>
    <row r="61" spans="1:38" ht="42.75" customHeight="1">
      <c r="A61" s="12"/>
      <c r="B61" s="4"/>
      <c r="C61" s="4"/>
      <c r="D61" s="4"/>
      <c r="E61" s="78"/>
      <c r="F61" s="37">
        <v>2014</v>
      </c>
      <c r="G61" s="37">
        <v>2015</v>
      </c>
      <c r="H61" s="37">
        <v>2016</v>
      </c>
      <c r="I61" s="37">
        <v>2017</v>
      </c>
      <c r="J61" s="37">
        <v>2018</v>
      </c>
      <c r="K61" s="37">
        <v>2019</v>
      </c>
      <c r="L61" s="37">
        <v>2020</v>
      </c>
      <c r="M61" s="37">
        <v>2021</v>
      </c>
      <c r="N61" s="37">
        <v>2022</v>
      </c>
      <c r="O61" s="37">
        <v>2023</v>
      </c>
      <c r="P61" s="37" t="s">
        <v>518</v>
      </c>
      <c r="Q61" s="37" t="s">
        <v>519</v>
      </c>
      <c r="R61" s="38">
        <v>2024</v>
      </c>
      <c r="S61" s="38">
        <f>R61+1</f>
        <v>2025</v>
      </c>
      <c r="T61" s="38">
        <f t="shared" ref="T61:V61" si="73">S61+1</f>
        <v>2026</v>
      </c>
      <c r="U61" s="38">
        <f t="shared" si="73"/>
        <v>2027</v>
      </c>
      <c r="V61" s="38">
        <f t="shared" si="73"/>
        <v>2028</v>
      </c>
      <c r="W61" s="38" t="s">
        <v>94</v>
      </c>
      <c r="X61" s="38" t="s">
        <v>95</v>
      </c>
      <c r="Y61" s="38" t="s">
        <v>328</v>
      </c>
      <c r="Z61" s="91" t="s">
        <v>314</v>
      </c>
      <c r="AA61" s="4"/>
      <c r="AB61" s="4"/>
      <c r="AC61" s="4"/>
      <c r="AD61" s="4"/>
      <c r="AE61" s="4"/>
      <c r="AF61" s="4"/>
      <c r="AG61" s="4"/>
      <c r="AH61" s="4"/>
      <c r="AI61" s="4"/>
      <c r="AJ61" s="4"/>
      <c r="AK61" s="4"/>
      <c r="AL61" s="4"/>
    </row>
    <row r="62" spans="1:38" ht="30" customHeight="1">
      <c r="A62" s="12"/>
      <c r="B62" s="4"/>
      <c r="C62" s="4"/>
      <c r="D62" s="4"/>
      <c r="E62" s="79" t="s">
        <v>12</v>
      </c>
      <c r="F62" s="80"/>
      <c r="G62" s="80"/>
      <c r="H62" s="80"/>
      <c r="I62" s="80"/>
      <c r="J62" s="80">
        <v>828731</v>
      </c>
      <c r="K62" s="80">
        <v>850951</v>
      </c>
      <c r="L62" s="80">
        <v>845810</v>
      </c>
      <c r="M62" s="80">
        <v>833627</v>
      </c>
      <c r="N62" s="80">
        <v>717399</v>
      </c>
      <c r="O62" s="80">
        <v>681550</v>
      </c>
      <c r="P62" s="80">
        <v>143818</v>
      </c>
      <c r="Q62" s="80">
        <f>R62-P62</f>
        <v>573727.35443800001</v>
      </c>
      <c r="R62" s="80">
        <f>O62*(1+R63)</f>
        <v>717545.35443800001</v>
      </c>
      <c r="S62" s="80">
        <f>R62*(1+S63)</f>
        <v>755649.2371492564</v>
      </c>
      <c r="T62" s="80">
        <f t="shared" ref="T62:V62" si="74">S62*(1+T63)</f>
        <v>803504.201078224</v>
      </c>
      <c r="U62" s="80">
        <f t="shared" si="74"/>
        <v>856594.455557746</v>
      </c>
      <c r="V62" s="80">
        <f t="shared" si="74"/>
        <v>914966.22813727299</v>
      </c>
      <c r="W62" s="277" t="s">
        <v>331</v>
      </c>
      <c r="X62" s="81">
        <v>4</v>
      </c>
      <c r="Y62" s="82">
        <f>(N62/J62)^(1/4)-1</f>
        <v>-3.5423236591679452E-2</v>
      </c>
      <c r="Z62" s="92">
        <f>(V62/R62)^(1/4)-1</f>
        <v>6.2646770815649511E-2</v>
      </c>
      <c r="AA62" s="4"/>
      <c r="AB62" s="4"/>
      <c r="AC62" s="4"/>
      <c r="AD62" s="4"/>
      <c r="AE62" s="4"/>
      <c r="AF62" s="4"/>
      <c r="AG62" s="4"/>
      <c r="AH62" s="4"/>
      <c r="AI62" s="4"/>
      <c r="AJ62" s="4"/>
      <c r="AK62" s="4"/>
      <c r="AL62" s="4"/>
    </row>
    <row r="63" spans="1:38" ht="30" customHeight="1">
      <c r="A63" s="12"/>
      <c r="B63" s="4"/>
      <c r="C63" s="4"/>
      <c r="D63" s="4"/>
      <c r="E63" s="86" t="s">
        <v>47</v>
      </c>
      <c r="F63" s="44"/>
      <c r="G63" s="44"/>
      <c r="H63" s="44"/>
      <c r="I63" s="44"/>
      <c r="J63" s="44">
        <v>0</v>
      </c>
      <c r="K63" s="44">
        <f t="shared" ref="K63" si="75">K62/J62-1</f>
        <v>2.6812077742958795E-2</v>
      </c>
      <c r="L63" s="44">
        <f t="shared" ref="L63" si="76">L62/K62-1</f>
        <v>-6.04147594867388E-3</v>
      </c>
      <c r="M63" s="44">
        <f t="shared" ref="M63:O63" si="77">M62/L62-1</f>
        <v>-1.4403944148212999E-2</v>
      </c>
      <c r="N63" s="44">
        <f t="shared" si="77"/>
        <v>-0.13942446681789333</v>
      </c>
      <c r="O63" s="44">
        <f t="shared" si="77"/>
        <v>-4.9970797282962498E-2</v>
      </c>
      <c r="P63" s="44"/>
      <c r="Q63" s="44"/>
      <c r="R63" s="44">
        <f>'Projeções - CG + Capex'!K39</f>
        <v>5.2813959999999938E-2</v>
      </c>
      <c r="S63" s="44">
        <f>'Projeções - CG + Capex'!L39</f>
        <v>5.3103099999999737E-2</v>
      </c>
      <c r="T63" s="44">
        <f>'Projeções - CG + Capex'!M39</f>
        <v>6.3329600000000097E-2</v>
      </c>
      <c r="U63" s="44">
        <f>'Projeções - CG + Capex'!N39</f>
        <v>6.607340000000006E-2</v>
      </c>
      <c r="V63" s="44">
        <f>'Projeções - CG + Capex'!O39</f>
        <v>6.8143999999999982E-2</v>
      </c>
      <c r="W63" s="38"/>
      <c r="X63" s="38"/>
      <c r="Y63" s="38"/>
      <c r="Z63" s="91"/>
      <c r="AA63" s="4"/>
      <c r="AB63" s="4"/>
      <c r="AC63" s="4"/>
      <c r="AD63" s="4"/>
      <c r="AE63" s="4"/>
      <c r="AF63" s="4"/>
      <c r="AG63" s="4"/>
      <c r="AH63" s="4"/>
      <c r="AI63" s="4"/>
      <c r="AJ63" s="4"/>
      <c r="AK63" s="4"/>
      <c r="AL63" s="4"/>
    </row>
    <row r="64" spans="1:38" ht="30" customHeight="1">
      <c r="A64" s="12"/>
      <c r="B64" s="4"/>
      <c r="C64" s="4"/>
      <c r="D64" s="4"/>
      <c r="E64" s="86" t="s">
        <v>13</v>
      </c>
      <c r="F64" s="42"/>
      <c r="G64" s="42"/>
      <c r="H64" s="42"/>
      <c r="I64" s="42"/>
      <c r="J64" s="42">
        <v>-580962</v>
      </c>
      <c r="K64" s="42">
        <v>-558867</v>
      </c>
      <c r="L64" s="42">
        <v>-469196</v>
      </c>
      <c r="M64" s="42">
        <v>-444164</v>
      </c>
      <c r="N64" s="42">
        <v>-530566</v>
      </c>
      <c r="O64" s="42">
        <v>-401412.29713999998</v>
      </c>
      <c r="P64" s="42">
        <v>-120857</v>
      </c>
      <c r="Q64" s="42"/>
      <c r="R64" s="42"/>
      <c r="S64" s="42"/>
      <c r="T64" s="42"/>
      <c r="U64" s="42"/>
      <c r="V64" s="42"/>
      <c r="W64" s="80"/>
      <c r="X64" s="81"/>
      <c r="Y64" s="82"/>
      <c r="Z64" s="92"/>
      <c r="AA64" s="4"/>
      <c r="AB64" s="4"/>
      <c r="AC64" s="4"/>
      <c r="AD64" s="4"/>
      <c r="AE64" s="4"/>
      <c r="AF64" s="4"/>
      <c r="AG64" s="4"/>
      <c r="AH64" s="4"/>
      <c r="AI64" s="4"/>
      <c r="AJ64" s="4"/>
      <c r="AK64" s="4"/>
      <c r="AL64" s="4"/>
    </row>
    <row r="65" spans="1:38" ht="30" customHeight="1">
      <c r="A65" s="12"/>
      <c r="B65" s="4"/>
      <c r="C65" s="4"/>
      <c r="D65" s="4"/>
      <c r="E65" s="86" t="s">
        <v>159</v>
      </c>
      <c r="F65" s="42"/>
      <c r="G65" s="42"/>
      <c r="H65" s="42"/>
      <c r="I65" s="42"/>
      <c r="J65" s="42">
        <v>-131843</v>
      </c>
      <c r="K65" s="42">
        <v>-139194</v>
      </c>
      <c r="L65" s="42">
        <v>-171242</v>
      </c>
      <c r="M65" s="42">
        <v>-158843</v>
      </c>
      <c r="N65" s="42">
        <v>-43083</v>
      </c>
      <c r="O65" s="42">
        <v>-134590</v>
      </c>
      <c r="P65" s="42">
        <v>0</v>
      </c>
      <c r="Q65" s="42"/>
      <c r="R65" s="42">
        <f>-R66*R62</f>
        <v>-116385.77039054022</v>
      </c>
      <c r="S65" s="42">
        <f t="shared" ref="S65:V65" si="78">-S66*S62</f>
        <v>-122566.21559416607</v>
      </c>
      <c r="T65" s="42">
        <f t="shared" si="78"/>
        <v>-130328.28500125839</v>
      </c>
      <c r="U65" s="42">
        <f t="shared" si="78"/>
        <v>-138939.51790746054</v>
      </c>
      <c r="V65" s="42">
        <f t="shared" si="78"/>
        <v>-148407.41241574654</v>
      </c>
      <c r="W65" s="44"/>
      <c r="X65" s="81"/>
      <c r="Y65" s="82"/>
      <c r="Z65" s="92"/>
      <c r="AA65" s="4"/>
      <c r="AB65" s="4"/>
      <c r="AC65" s="4"/>
      <c r="AD65" s="4"/>
      <c r="AE65" s="4"/>
      <c r="AF65" s="4"/>
      <c r="AG65" s="4"/>
      <c r="AH65" s="4"/>
      <c r="AI65" s="4"/>
      <c r="AJ65" s="4"/>
      <c r="AK65" s="4"/>
      <c r="AL65" s="4"/>
    </row>
    <row r="66" spans="1:38" ht="30" customHeight="1">
      <c r="A66" s="12"/>
      <c r="B66" s="4"/>
      <c r="C66" s="4"/>
      <c r="D66" s="4"/>
      <c r="E66" s="86" t="s">
        <v>310</v>
      </c>
      <c r="F66" s="42"/>
      <c r="G66" s="42"/>
      <c r="H66" s="42"/>
      <c r="I66" s="42"/>
      <c r="J66" s="60">
        <f>-J65/J62</f>
        <v>0.15909022348626997</v>
      </c>
      <c r="K66" s="60">
        <f t="shared" ref="K66:O66" si="79">-K65/K62</f>
        <v>0.16357463590735541</v>
      </c>
      <c r="L66" s="60">
        <f t="shared" si="79"/>
        <v>0.20245918113997233</v>
      </c>
      <c r="M66" s="60">
        <f t="shared" si="79"/>
        <v>0.1905444521350676</v>
      </c>
      <c r="N66" s="60">
        <f t="shared" si="79"/>
        <v>6.0054446688662791E-2</v>
      </c>
      <c r="O66" s="60">
        <f t="shared" si="79"/>
        <v>0.1974763406940063</v>
      </c>
      <c r="P66" s="60">
        <f t="shared" ref="P66" si="80">-P65/P62</f>
        <v>0</v>
      </c>
      <c r="Q66" s="42"/>
      <c r="R66" s="60">
        <f>AVERAGE($J$66:$O$66)</f>
        <v>0.16219988000855576</v>
      </c>
      <c r="S66" s="60">
        <f t="shared" ref="S66:V66" si="81">AVERAGE($J$66:$O$66)</f>
        <v>0.16219988000855576</v>
      </c>
      <c r="T66" s="60">
        <f t="shared" si="81"/>
        <v>0.16219988000855576</v>
      </c>
      <c r="U66" s="60">
        <f t="shared" si="81"/>
        <v>0.16219988000855576</v>
      </c>
      <c r="V66" s="60">
        <f t="shared" si="81"/>
        <v>0.16219988000855576</v>
      </c>
      <c r="W66" s="44"/>
      <c r="X66" s="81"/>
      <c r="Y66" s="82"/>
      <c r="Z66" s="92"/>
      <c r="AA66" s="4"/>
      <c r="AB66" s="4"/>
      <c r="AC66" s="4"/>
      <c r="AD66" s="4"/>
      <c r="AE66" s="4"/>
      <c r="AF66" s="4"/>
      <c r="AG66" s="4"/>
      <c r="AH66" s="4"/>
      <c r="AI66" s="4"/>
      <c r="AJ66" s="4"/>
      <c r="AK66" s="4"/>
      <c r="AL66" s="4"/>
    </row>
    <row r="67" spans="1:38" ht="30" customHeight="1">
      <c r="A67" s="12"/>
      <c r="B67" s="4"/>
      <c r="C67" s="4"/>
      <c r="D67" s="4"/>
      <c r="E67" s="79" t="s">
        <v>14</v>
      </c>
      <c r="F67" s="42"/>
      <c r="G67" s="42"/>
      <c r="H67" s="42"/>
      <c r="I67" s="42"/>
      <c r="J67" s="46">
        <f>SUM(J62,J64:J65)</f>
        <v>115926</v>
      </c>
      <c r="K67" s="46">
        <f t="shared" ref="K67" si="82">SUM(K62,K64:K65)</f>
        <v>152890</v>
      </c>
      <c r="L67" s="46">
        <f t="shared" ref="L67" si="83">SUM(L62,L64:L65)</f>
        <v>205372</v>
      </c>
      <c r="M67" s="46">
        <f t="shared" ref="M67:N67" si="84">SUM(M62,M64:M65)</f>
        <v>230620</v>
      </c>
      <c r="N67" s="46">
        <f t="shared" si="84"/>
        <v>143750</v>
      </c>
      <c r="O67" s="46">
        <f t="shared" ref="O67" si="85">SUM(O62,O64:O65)</f>
        <v>145547.70286000002</v>
      </c>
      <c r="P67" s="46">
        <f t="shared" ref="P67" si="86">SUM(P62,P64:P65)</f>
        <v>22961</v>
      </c>
      <c r="Q67" s="42"/>
      <c r="R67" s="42"/>
      <c r="S67" s="42"/>
      <c r="T67" s="42"/>
      <c r="U67" s="42"/>
      <c r="V67" s="42"/>
      <c r="W67" s="83"/>
      <c r="X67" s="81"/>
      <c r="Y67" s="82"/>
      <c r="Z67" s="92"/>
      <c r="AA67" s="4"/>
      <c r="AB67" s="4"/>
      <c r="AC67" s="4"/>
      <c r="AD67" s="4"/>
      <c r="AE67" s="4"/>
      <c r="AF67" s="4"/>
      <c r="AG67" s="4"/>
      <c r="AH67" s="4"/>
      <c r="AI67" s="4"/>
      <c r="AJ67" s="4"/>
      <c r="AK67" s="4"/>
      <c r="AL67" s="4"/>
    </row>
    <row r="68" spans="1:38" ht="30" customHeight="1">
      <c r="A68" s="12"/>
      <c r="B68" s="4"/>
      <c r="C68" s="4"/>
      <c r="D68" s="4"/>
      <c r="E68" s="241" t="s">
        <v>51</v>
      </c>
      <c r="F68" s="44"/>
      <c r="G68" s="44"/>
      <c r="H68" s="44"/>
      <c r="I68" s="44"/>
      <c r="J68" s="242">
        <f t="shared" ref="J68:M68" si="87">J67/J62</f>
        <v>0.13988374997435837</v>
      </c>
      <c r="K68" s="242">
        <f t="shared" si="87"/>
        <v>0.17966956969320208</v>
      </c>
      <c r="L68" s="242">
        <f t="shared" si="87"/>
        <v>0.24281103321076838</v>
      </c>
      <c r="M68" s="242">
        <f t="shared" si="87"/>
        <v>0.27664650976995708</v>
      </c>
      <c r="N68" s="242">
        <f t="shared" ref="N68:P68" si="88">N67/N62</f>
        <v>0.20037663838393976</v>
      </c>
      <c r="O68" s="242">
        <f t="shared" ref="O68" si="89">O67/O62</f>
        <v>0.21355396208642069</v>
      </c>
      <c r="P68" s="242">
        <f t="shared" si="88"/>
        <v>0.15965317276001614</v>
      </c>
      <c r="Q68" s="44"/>
      <c r="R68" s="44"/>
      <c r="S68" s="44"/>
      <c r="T68" s="44"/>
      <c r="U68" s="44"/>
      <c r="V68" s="44"/>
      <c r="W68" s="83"/>
      <c r="X68" s="81"/>
      <c r="Y68" s="82"/>
      <c r="Z68" s="92"/>
      <c r="AA68" s="4"/>
      <c r="AB68" s="4"/>
      <c r="AC68" s="4"/>
      <c r="AD68" s="4"/>
      <c r="AE68" s="4"/>
      <c r="AF68" s="4"/>
      <c r="AG68" s="4"/>
      <c r="AH68" s="4"/>
      <c r="AI68" s="4"/>
      <c r="AJ68" s="4"/>
      <c r="AK68" s="4"/>
      <c r="AL68" s="4"/>
    </row>
    <row r="69" spans="1:38" ht="30" customHeight="1">
      <c r="A69" s="12"/>
      <c r="B69" s="4"/>
      <c r="C69" s="4"/>
      <c r="D69" s="4"/>
      <c r="E69" s="86" t="s">
        <v>15</v>
      </c>
      <c r="F69" s="204"/>
      <c r="G69" s="204"/>
      <c r="H69" s="204"/>
      <c r="I69" s="204"/>
      <c r="J69" s="84">
        <f t="shared" ref="J69:P69" si="90">SUM(J71:J74)</f>
        <v>-32939</v>
      </c>
      <c r="K69" s="84">
        <f t="shared" si="90"/>
        <v>-15212</v>
      </c>
      <c r="L69" s="84">
        <f t="shared" si="90"/>
        <v>-39199</v>
      </c>
      <c r="M69" s="84">
        <f t="shared" si="90"/>
        <v>-48879</v>
      </c>
      <c r="N69" s="84">
        <f t="shared" si="90"/>
        <v>-10417</v>
      </c>
      <c r="O69" s="84">
        <f t="shared" ref="O69" si="91">SUM(O71:O74)</f>
        <v>8743</v>
      </c>
      <c r="P69" s="84">
        <f t="shared" si="90"/>
        <v>4491</v>
      </c>
      <c r="Q69" s="84"/>
      <c r="R69" s="84"/>
      <c r="S69" s="84"/>
      <c r="T69" s="84"/>
      <c r="U69" s="84"/>
      <c r="V69" s="84"/>
      <c r="W69" s="83"/>
      <c r="X69" s="81"/>
      <c r="Y69" s="82"/>
      <c r="Z69" s="92"/>
      <c r="AA69" s="4"/>
      <c r="AB69" s="4"/>
      <c r="AC69" s="4"/>
      <c r="AD69" s="4"/>
      <c r="AE69" s="4"/>
      <c r="AF69" s="4"/>
      <c r="AG69" s="4"/>
      <c r="AH69" s="4"/>
      <c r="AI69" s="4"/>
      <c r="AJ69" s="4"/>
      <c r="AK69" s="4"/>
      <c r="AL69" s="4"/>
    </row>
    <row r="70" spans="1:38" ht="30" customHeight="1">
      <c r="A70" s="12"/>
      <c r="B70" s="4"/>
      <c r="C70" s="4"/>
      <c r="D70" s="4"/>
      <c r="E70" s="86" t="s">
        <v>30</v>
      </c>
      <c r="F70" s="44"/>
      <c r="G70" s="44"/>
      <c r="H70" s="44"/>
      <c r="I70" s="44"/>
      <c r="J70" s="44">
        <f t="shared" ref="J70" si="92">J69/J62</f>
        <v>-3.9746310925982013E-2</v>
      </c>
      <c r="K70" s="44">
        <f t="shared" ref="K70" si="93">K69/K62</f>
        <v>-1.7876469973006671E-2</v>
      </c>
      <c r="L70" s="44">
        <f t="shared" ref="L70" si="94">L69/L62</f>
        <v>-4.6344923800853623E-2</v>
      </c>
      <c r="M70" s="44">
        <f t="shared" ref="M70:P70" si="95">M69/M62</f>
        <v>-5.8634137330004908E-2</v>
      </c>
      <c r="N70" s="44">
        <f t="shared" si="95"/>
        <v>-1.452051090118609E-2</v>
      </c>
      <c r="O70" s="44">
        <f t="shared" ref="O70" si="96">O69/O62</f>
        <v>1.2828112390873744E-2</v>
      </c>
      <c r="P70" s="44">
        <f t="shared" si="95"/>
        <v>3.1226967417152234E-2</v>
      </c>
      <c r="Q70" s="44"/>
      <c r="R70" s="44"/>
      <c r="S70" s="44"/>
      <c r="T70" s="44"/>
      <c r="U70" s="44"/>
      <c r="V70" s="44"/>
      <c r="W70" s="83"/>
      <c r="X70" s="81"/>
      <c r="Y70" s="82"/>
      <c r="Z70" s="92"/>
      <c r="AA70" s="4"/>
      <c r="AB70" s="4"/>
      <c r="AC70" s="4"/>
      <c r="AD70" s="4"/>
      <c r="AE70" s="4"/>
      <c r="AF70" s="4"/>
      <c r="AG70" s="4"/>
      <c r="AH70" s="4"/>
      <c r="AI70" s="4"/>
      <c r="AJ70" s="4"/>
      <c r="AK70" s="4"/>
      <c r="AL70" s="4"/>
    </row>
    <row r="71" spans="1:38" ht="30" customHeight="1">
      <c r="A71" s="12"/>
      <c r="B71" s="4"/>
      <c r="C71" s="4"/>
      <c r="D71" s="4"/>
      <c r="E71" s="86" t="s">
        <v>258</v>
      </c>
      <c r="F71" s="42"/>
      <c r="G71" s="42"/>
      <c r="H71" s="42"/>
      <c r="I71" s="42"/>
      <c r="J71" s="42">
        <f>-2517-40311</f>
        <v>-42828</v>
      </c>
      <c r="K71" s="42">
        <f>-3658-31369</f>
        <v>-35027</v>
      </c>
      <c r="L71" s="42">
        <f>-2557-36106</f>
        <v>-38663</v>
      </c>
      <c r="M71" s="42">
        <f>-4290-41322</f>
        <v>-45612</v>
      </c>
      <c r="N71" s="42">
        <f>-2391-45440</f>
        <v>-47831</v>
      </c>
      <c r="O71" s="42">
        <f>-1690-34587</f>
        <v>-36277</v>
      </c>
      <c r="P71" s="42">
        <f>-181-9072</f>
        <v>-9253</v>
      </c>
      <c r="Q71" s="42"/>
      <c r="R71" s="42"/>
      <c r="S71" s="42"/>
      <c r="T71" s="42"/>
      <c r="U71" s="42"/>
      <c r="V71" s="42"/>
      <c r="W71" s="83"/>
      <c r="X71" s="81"/>
      <c r="Y71" s="82"/>
      <c r="Z71" s="92"/>
      <c r="AA71" s="4"/>
      <c r="AB71" s="4"/>
      <c r="AC71" s="4"/>
      <c r="AD71" s="4"/>
      <c r="AE71" s="4"/>
      <c r="AF71" s="4"/>
      <c r="AG71" s="4"/>
      <c r="AH71" s="4"/>
      <c r="AI71" s="4"/>
      <c r="AJ71" s="4"/>
      <c r="AK71" s="4"/>
      <c r="AL71" s="4"/>
    </row>
    <row r="72" spans="1:38" ht="30" customHeight="1">
      <c r="A72" s="12"/>
      <c r="B72" s="4"/>
      <c r="C72" s="4"/>
      <c r="D72" s="4"/>
      <c r="E72" s="86" t="s">
        <v>97</v>
      </c>
      <c r="F72" s="42"/>
      <c r="G72" s="42"/>
      <c r="H72" s="42"/>
      <c r="I72" s="42"/>
      <c r="J72" s="42">
        <v>2636</v>
      </c>
      <c r="K72" s="42">
        <v>-1246</v>
      </c>
      <c r="L72" s="42">
        <v>-2122</v>
      </c>
      <c r="M72" s="42">
        <v>160</v>
      </c>
      <c r="N72" s="42">
        <v>-2965</v>
      </c>
      <c r="O72" s="42">
        <v>-4394</v>
      </c>
      <c r="P72" s="42">
        <v>55</v>
      </c>
      <c r="Q72" s="42"/>
      <c r="R72" s="42"/>
      <c r="S72" s="42"/>
      <c r="T72" s="42"/>
      <c r="U72" s="42"/>
      <c r="V72" s="42"/>
      <c r="W72" s="83"/>
      <c r="X72" s="81"/>
      <c r="Y72" s="82"/>
      <c r="Z72" s="92"/>
      <c r="AA72" s="4"/>
      <c r="AB72" s="4"/>
      <c r="AC72" s="4"/>
      <c r="AD72" s="4"/>
      <c r="AE72" s="4"/>
      <c r="AF72" s="4"/>
      <c r="AG72" s="4"/>
      <c r="AH72" s="4"/>
      <c r="AI72" s="4"/>
      <c r="AJ72" s="4"/>
      <c r="AK72" s="4"/>
      <c r="AL72" s="4"/>
    </row>
    <row r="73" spans="1:38" ht="30" customHeight="1">
      <c r="A73" s="12"/>
      <c r="B73" s="4"/>
      <c r="C73" s="4"/>
      <c r="D73" s="4"/>
      <c r="E73" s="86" t="s">
        <v>19</v>
      </c>
      <c r="F73" s="42"/>
      <c r="G73" s="42"/>
      <c r="H73" s="42"/>
      <c r="I73" s="42"/>
      <c r="J73" s="42">
        <v>8225</v>
      </c>
      <c r="K73" s="42">
        <v>22262</v>
      </c>
      <c r="L73" s="42">
        <v>2101</v>
      </c>
      <c r="M73" s="42">
        <v>-1936</v>
      </c>
      <c r="N73" s="42">
        <v>37598</v>
      </c>
      <c r="O73" s="42">
        <v>44151</v>
      </c>
      <c r="P73" s="42">
        <v>-1627</v>
      </c>
      <c r="Q73" s="42"/>
      <c r="R73" s="42"/>
      <c r="S73" s="42"/>
      <c r="T73" s="42"/>
      <c r="U73" s="42"/>
      <c r="V73" s="42"/>
      <c r="W73" s="83"/>
      <c r="X73" s="81"/>
      <c r="Y73" s="82"/>
      <c r="Z73" s="92"/>
      <c r="AA73" s="4"/>
      <c r="AB73" s="4"/>
      <c r="AC73" s="4"/>
      <c r="AD73" s="4"/>
      <c r="AE73" s="4"/>
      <c r="AF73" s="4"/>
      <c r="AG73" s="4"/>
      <c r="AH73" s="4"/>
      <c r="AI73" s="4"/>
      <c r="AJ73" s="4"/>
      <c r="AK73" s="4"/>
      <c r="AL73" s="4"/>
    </row>
    <row r="74" spans="1:38" ht="30" customHeight="1">
      <c r="A74" s="12"/>
      <c r="B74" s="4"/>
      <c r="C74" s="4"/>
      <c r="D74" s="4"/>
      <c r="E74" s="86" t="s">
        <v>41</v>
      </c>
      <c r="F74" s="42"/>
      <c r="G74" s="42"/>
      <c r="H74" s="42"/>
      <c r="I74" s="42"/>
      <c r="J74" s="42">
        <v>-972</v>
      </c>
      <c r="K74" s="42">
        <v>-1201</v>
      </c>
      <c r="L74" s="42">
        <v>-515</v>
      </c>
      <c r="M74" s="42">
        <v>-1491</v>
      </c>
      <c r="N74" s="42">
        <v>2781</v>
      </c>
      <c r="O74" s="42">
        <v>5263</v>
      </c>
      <c r="P74" s="42">
        <v>15316</v>
      </c>
      <c r="Q74" s="42"/>
      <c r="R74" s="42"/>
      <c r="S74" s="42"/>
      <c r="T74" s="42"/>
      <c r="U74" s="42"/>
      <c r="V74" s="42"/>
      <c r="W74" s="83"/>
      <c r="X74" s="81"/>
      <c r="Y74" s="82"/>
      <c r="Z74" s="92"/>
      <c r="AA74" s="4"/>
      <c r="AB74" s="4"/>
      <c r="AC74" s="4"/>
      <c r="AD74" s="4"/>
      <c r="AE74" s="4"/>
      <c r="AF74" s="4"/>
      <c r="AG74" s="4"/>
      <c r="AH74" s="4"/>
      <c r="AI74" s="4"/>
      <c r="AJ74" s="4"/>
      <c r="AK74" s="4"/>
      <c r="AL74" s="4"/>
    </row>
    <row r="75" spans="1:38" ht="30" customHeight="1">
      <c r="A75" s="12"/>
      <c r="B75" s="4"/>
      <c r="C75" s="4"/>
      <c r="D75" s="4"/>
      <c r="E75" s="79" t="s">
        <v>16</v>
      </c>
      <c r="F75" s="42"/>
      <c r="G75" s="42"/>
      <c r="H75" s="42"/>
      <c r="I75" s="42"/>
      <c r="J75" s="40">
        <f t="shared" ref="J75:M75" si="97">SUM(J67,J69)</f>
        <v>82987</v>
      </c>
      <c r="K75" s="40">
        <f t="shared" si="97"/>
        <v>137678</v>
      </c>
      <c r="L75" s="40">
        <f t="shared" si="97"/>
        <v>166173</v>
      </c>
      <c r="M75" s="40">
        <f t="shared" si="97"/>
        <v>181741</v>
      </c>
      <c r="N75" s="40">
        <f t="shared" ref="N75:P75" si="98">SUM(N67,N69)</f>
        <v>133333</v>
      </c>
      <c r="O75" s="40">
        <f t="shared" ref="O75" si="99">SUM(O67,O69)</f>
        <v>154290.70286000002</v>
      </c>
      <c r="P75" s="40">
        <f t="shared" si="98"/>
        <v>27452</v>
      </c>
      <c r="Q75" s="40">
        <f>R75-P75</f>
        <v>120849.67897604837</v>
      </c>
      <c r="R75" s="40">
        <f>R62*R76</f>
        <v>148301.67897604837</v>
      </c>
      <c r="S75" s="40">
        <f t="shared" ref="S75:V75" si="100">S62*S76</f>
        <v>156176.95786488132</v>
      </c>
      <c r="T75" s="40">
        <f t="shared" si="100"/>
        <v>166067.58213568112</v>
      </c>
      <c r="U75" s="40">
        <f t="shared" si="100"/>
        <v>177040.23191716484</v>
      </c>
      <c r="V75" s="40">
        <f t="shared" si="100"/>
        <v>189104.46148092812</v>
      </c>
      <c r="W75" s="205"/>
      <c r="X75" s="205"/>
      <c r="Y75" s="205"/>
      <c r="Z75" s="92"/>
      <c r="AA75" s="4"/>
      <c r="AB75" s="4"/>
      <c r="AC75" s="4"/>
      <c r="AD75" s="4"/>
      <c r="AE75" s="4"/>
      <c r="AF75" s="4"/>
      <c r="AG75" s="4"/>
      <c r="AH75" s="4"/>
      <c r="AI75" s="4"/>
      <c r="AJ75" s="4"/>
      <c r="AK75" s="4"/>
      <c r="AL75" s="4"/>
    </row>
    <row r="76" spans="1:38" ht="30" customHeight="1" thickBot="1">
      <c r="A76" s="12"/>
      <c r="B76" s="4"/>
      <c r="C76" s="4"/>
      <c r="D76" s="4"/>
      <c r="E76" s="263" t="s">
        <v>50</v>
      </c>
      <c r="F76" s="187"/>
      <c r="G76" s="187"/>
      <c r="H76" s="187"/>
      <c r="I76" s="187"/>
      <c r="J76" s="264">
        <f t="shared" ref="J76:Q76" si="101">J75/J62</f>
        <v>0.10013743904837637</v>
      </c>
      <c r="K76" s="264">
        <f t="shared" si="101"/>
        <v>0.1617930997201954</v>
      </c>
      <c r="L76" s="264">
        <f t="shared" si="101"/>
        <v>0.19646610940991477</v>
      </c>
      <c r="M76" s="264">
        <f t="shared" si="101"/>
        <v>0.21801237243995217</v>
      </c>
      <c r="N76" s="264">
        <f t="shared" ref="N76:P76" si="102">N75/N62</f>
        <v>0.18585612748275368</v>
      </c>
      <c r="O76" s="264">
        <f t="shared" ref="O76" si="103">O75/O62</f>
        <v>0.22638207447729444</v>
      </c>
      <c r="P76" s="264">
        <f t="shared" si="102"/>
        <v>0.19088014017716837</v>
      </c>
      <c r="Q76" s="264">
        <f t="shared" si="101"/>
        <v>0.21063956257485369</v>
      </c>
      <c r="R76" s="264">
        <f>AVERAGE($L$76:$O$76)</f>
        <v>0.20667917095247876</v>
      </c>
      <c r="S76" s="264">
        <f t="shared" ref="S76:V76" si="104">AVERAGE($L$76:$O$76)</f>
        <v>0.20667917095247876</v>
      </c>
      <c r="T76" s="264">
        <f t="shared" si="104"/>
        <v>0.20667917095247876</v>
      </c>
      <c r="U76" s="264">
        <f t="shared" si="104"/>
        <v>0.20667917095247876</v>
      </c>
      <c r="V76" s="264">
        <f t="shared" si="104"/>
        <v>0.20667917095247876</v>
      </c>
      <c r="W76" s="265"/>
      <c r="X76" s="259"/>
      <c r="Y76" s="260"/>
      <c r="Z76" s="261"/>
      <c r="AA76" s="4"/>
      <c r="AB76" s="4"/>
      <c r="AC76" s="4"/>
      <c r="AD76" s="4"/>
      <c r="AE76" s="4"/>
      <c r="AF76" s="4"/>
      <c r="AG76" s="4"/>
      <c r="AH76" s="4"/>
      <c r="AI76" s="4"/>
      <c r="AJ76" s="4"/>
      <c r="AK76" s="4"/>
      <c r="AL76" s="4"/>
    </row>
    <row r="77" spans="1:38" ht="30" customHeight="1">
      <c r="A77" s="12"/>
      <c r="B77" s="4"/>
      <c r="C77" s="4"/>
      <c r="D77" s="4"/>
      <c r="E77" s="266"/>
      <c r="F77" s="180"/>
      <c r="G77" s="180"/>
      <c r="H77" s="180"/>
      <c r="I77" s="180"/>
      <c r="J77" s="180"/>
      <c r="K77" s="180"/>
      <c r="L77" s="180"/>
      <c r="M77" s="180"/>
      <c r="N77" s="180"/>
      <c r="O77" s="180"/>
      <c r="P77" s="180"/>
      <c r="Q77" s="180"/>
      <c r="R77" s="180"/>
      <c r="S77" s="180"/>
      <c r="T77" s="180"/>
      <c r="U77" s="180"/>
      <c r="V77" s="180"/>
      <c r="W77" s="180"/>
      <c r="X77" s="181"/>
      <c r="Y77" s="177"/>
      <c r="Z77" s="177"/>
      <c r="AA77" s="4"/>
      <c r="AB77" s="4"/>
      <c r="AC77" s="4"/>
      <c r="AD77" s="4"/>
      <c r="AE77" s="4"/>
      <c r="AF77" s="4"/>
      <c r="AG77" s="4"/>
      <c r="AH77" s="4"/>
      <c r="AI77" s="4"/>
      <c r="AJ77" s="4"/>
      <c r="AK77" s="4"/>
      <c r="AL77" s="4"/>
    </row>
    <row r="78" spans="1:38" ht="30" customHeight="1">
      <c r="A78" s="12"/>
      <c r="B78" s="4"/>
      <c r="C78" s="4"/>
      <c r="D78" s="4"/>
      <c r="E78" s="232"/>
      <c r="F78" s="10"/>
      <c r="G78" s="10"/>
      <c r="H78" s="10"/>
      <c r="I78" s="10"/>
      <c r="J78" s="10"/>
      <c r="K78" s="10"/>
      <c r="L78" s="10"/>
      <c r="M78" s="10"/>
      <c r="N78" s="10"/>
      <c r="O78" s="10"/>
      <c r="P78" s="10"/>
      <c r="Q78" s="10"/>
      <c r="R78" s="10"/>
      <c r="S78" s="10"/>
      <c r="T78" s="10"/>
      <c r="U78" s="10"/>
      <c r="V78" s="10"/>
      <c r="W78" s="10"/>
      <c r="X78" s="51"/>
      <c r="Y78" s="4"/>
      <c r="Z78" s="4"/>
      <c r="AA78" s="4"/>
      <c r="AB78" s="4"/>
      <c r="AC78" s="4"/>
      <c r="AD78" s="4"/>
      <c r="AE78" s="4"/>
      <c r="AF78" s="4"/>
      <c r="AG78" s="4"/>
      <c r="AH78" s="4"/>
      <c r="AI78" s="4"/>
      <c r="AJ78" s="4"/>
      <c r="AK78" s="4"/>
      <c r="AL78" s="4"/>
    </row>
    <row r="79" spans="1:38" ht="30" customHeight="1">
      <c r="A79" s="12"/>
      <c r="B79" s="4"/>
      <c r="C79" s="4"/>
      <c r="D79" s="4"/>
      <c r="E79" s="232"/>
      <c r="F79" s="10"/>
      <c r="G79" s="10"/>
      <c r="H79" s="10"/>
      <c r="I79" s="10"/>
      <c r="J79" s="10"/>
      <c r="K79" s="10"/>
      <c r="L79" s="10"/>
      <c r="M79" s="10"/>
      <c r="N79" s="10"/>
      <c r="O79" s="10"/>
      <c r="P79" s="10"/>
      <c r="Q79" s="10"/>
      <c r="R79" s="10"/>
      <c r="S79" s="10"/>
      <c r="T79" s="10"/>
      <c r="U79" s="10"/>
      <c r="V79" s="10"/>
      <c r="W79" s="10"/>
      <c r="X79" s="51"/>
      <c r="Y79" s="4"/>
      <c r="Z79" s="4"/>
      <c r="AA79" s="4"/>
      <c r="AB79" s="4"/>
      <c r="AC79" s="4"/>
      <c r="AD79" s="4"/>
      <c r="AE79" s="4"/>
      <c r="AF79" s="4"/>
      <c r="AG79" s="4"/>
      <c r="AH79" s="4"/>
      <c r="AI79" s="4"/>
      <c r="AJ79" s="4"/>
      <c r="AK79" s="4"/>
      <c r="AL79" s="4"/>
    </row>
    <row r="80" spans="1:38" ht="54.75" customHeight="1">
      <c r="A80" s="12"/>
      <c r="B80" s="4"/>
      <c r="C80" s="4"/>
      <c r="D80" s="4"/>
      <c r="E80" s="78"/>
      <c r="F80" s="37">
        <v>2014</v>
      </c>
      <c r="G80" s="37">
        <v>2015</v>
      </c>
      <c r="H80" s="37">
        <v>2016</v>
      </c>
      <c r="I80" s="37">
        <v>2017</v>
      </c>
      <c r="J80" s="37">
        <v>2018</v>
      </c>
      <c r="K80" s="37">
        <v>2019</v>
      </c>
      <c r="L80" s="37">
        <v>2020</v>
      </c>
      <c r="M80" s="37">
        <v>2021</v>
      </c>
      <c r="N80" s="37">
        <v>2022</v>
      </c>
      <c r="O80" s="37">
        <v>2023</v>
      </c>
      <c r="P80" s="37" t="s">
        <v>518</v>
      </c>
      <c r="Q80" s="37" t="s">
        <v>519</v>
      </c>
      <c r="R80" s="38">
        <v>2024</v>
      </c>
      <c r="S80" s="38">
        <f>R80+1</f>
        <v>2025</v>
      </c>
      <c r="T80" s="38">
        <f t="shared" ref="T80:V80" si="105">S80+1</f>
        <v>2026</v>
      </c>
      <c r="U80" s="38">
        <f t="shared" si="105"/>
        <v>2027</v>
      </c>
      <c r="V80" s="38">
        <f t="shared" si="105"/>
        <v>2028</v>
      </c>
      <c r="W80" s="38" t="s">
        <v>94</v>
      </c>
      <c r="X80" s="38" t="s">
        <v>95</v>
      </c>
      <c r="Y80" s="38"/>
      <c r="Z80" s="91" t="s">
        <v>314</v>
      </c>
      <c r="AA80" s="4"/>
      <c r="AB80" s="4"/>
      <c r="AC80" s="4"/>
      <c r="AD80" s="4"/>
      <c r="AE80" s="4"/>
      <c r="AF80" s="4"/>
      <c r="AG80" s="4"/>
      <c r="AH80" s="4"/>
      <c r="AI80" s="4"/>
      <c r="AJ80" s="4"/>
      <c r="AK80" s="4"/>
      <c r="AL80" s="4"/>
    </row>
    <row r="81" spans="1:39" ht="30" customHeight="1">
      <c r="A81" s="12"/>
      <c r="B81" s="4"/>
      <c r="C81" s="4"/>
      <c r="D81" s="4"/>
      <c r="E81" s="79" t="s">
        <v>12</v>
      </c>
      <c r="F81" s="80"/>
      <c r="G81" s="80"/>
      <c r="H81" s="80"/>
      <c r="I81" s="80"/>
      <c r="J81" s="80"/>
      <c r="K81" s="80"/>
      <c r="L81" s="80"/>
      <c r="M81" s="80"/>
      <c r="N81" s="80">
        <v>401145</v>
      </c>
      <c r="O81" s="80">
        <v>757615</v>
      </c>
      <c r="P81" s="80">
        <v>146551</v>
      </c>
      <c r="Q81" s="80">
        <f>R81-P81</f>
        <v>439653</v>
      </c>
      <c r="R81" s="80">
        <f>P81*4</f>
        <v>586204</v>
      </c>
      <c r="S81" s="80">
        <f>SUM(S82:S85)</f>
        <v>937410.39285624004</v>
      </c>
      <c r="T81" s="80">
        <f>S81*(1+'Projeções - CG + Capex'!M37)</f>
        <v>977231.58634477318</v>
      </c>
      <c r="U81" s="80">
        <f>T81*(1+'Projeções - CG + Capex'!N37)</f>
        <v>1021373.1370999665</v>
      </c>
      <c r="V81" s="80">
        <f>U81*(1+'Projeções - CG + Capex'!O37)</f>
        <v>1069581.9491710849</v>
      </c>
      <c r="W81" s="277" t="s">
        <v>322</v>
      </c>
      <c r="X81" s="81">
        <v>3</v>
      </c>
      <c r="Y81" s="82"/>
      <c r="Z81" s="92">
        <f>(V81/R81)^(1/4)-1</f>
        <v>0.1622279671989153</v>
      </c>
      <c r="AA81" s="4"/>
      <c r="AB81" s="4"/>
      <c r="AC81" s="4"/>
      <c r="AD81" s="4"/>
      <c r="AE81" s="4"/>
      <c r="AF81" s="4"/>
      <c r="AG81" s="4"/>
      <c r="AH81" s="4"/>
      <c r="AI81" s="4"/>
      <c r="AJ81" s="4"/>
      <c r="AK81" s="4"/>
      <c r="AL81" s="4"/>
    </row>
    <row r="82" spans="1:39" ht="30" customHeight="1">
      <c r="A82" s="12"/>
      <c r="B82" s="4"/>
      <c r="C82" s="4"/>
      <c r="D82" s="4"/>
      <c r="E82" s="297" t="s">
        <v>477</v>
      </c>
      <c r="F82" s="276"/>
      <c r="G82" s="276"/>
      <c r="H82" s="276"/>
      <c r="I82" s="276"/>
      <c r="J82" s="276"/>
      <c r="K82" s="276"/>
      <c r="L82" s="276"/>
      <c r="M82" s="276"/>
      <c r="N82" s="276"/>
      <c r="O82" s="276">
        <v>151300</v>
      </c>
      <c r="P82" s="276"/>
      <c r="Q82" s="276"/>
      <c r="R82" s="276">
        <f>S82*3/4</f>
        <v>234750</v>
      </c>
      <c r="S82" s="276">
        <v>313000</v>
      </c>
      <c r="T82" s="80"/>
      <c r="U82" s="80"/>
      <c r="V82" s="80"/>
      <c r="W82" s="80"/>
      <c r="X82" s="81"/>
      <c r="Y82" s="82"/>
      <c r="Z82" s="92"/>
      <c r="AA82" s="4"/>
      <c r="AB82" s="4"/>
      <c r="AC82" s="4"/>
      <c r="AD82" s="4"/>
      <c r="AE82" s="4"/>
      <c r="AF82" s="4"/>
      <c r="AG82" s="4"/>
      <c r="AH82" s="4"/>
      <c r="AI82" s="4"/>
      <c r="AJ82" s="4"/>
      <c r="AK82" s="4"/>
      <c r="AL82" s="4"/>
    </row>
    <row r="83" spans="1:39" ht="30" customHeight="1">
      <c r="A83" s="12"/>
      <c r="B83" s="4"/>
      <c r="C83" s="4"/>
      <c r="D83" s="4"/>
      <c r="E83" s="297" t="s">
        <v>263</v>
      </c>
      <c r="F83" s="276"/>
      <c r="G83" s="276"/>
      <c r="H83" s="276"/>
      <c r="I83" s="276"/>
      <c r="J83" s="276"/>
      <c r="K83" s="276"/>
      <c r="L83" s="276"/>
      <c r="M83" s="276"/>
      <c r="N83" s="276"/>
      <c r="O83" s="276">
        <v>13700</v>
      </c>
      <c r="P83" s="276"/>
      <c r="Q83" s="276"/>
      <c r="R83" s="276">
        <f>S83*2/3</f>
        <v>48666.666666666664</v>
      </c>
      <c r="S83" s="276">
        <v>73000</v>
      </c>
      <c r="T83" s="80"/>
      <c r="U83" s="80"/>
      <c r="V83" s="80"/>
      <c r="W83" s="80"/>
      <c r="X83" s="81"/>
      <c r="Y83" s="82"/>
      <c r="Z83" s="92"/>
      <c r="AA83" s="4"/>
      <c r="AB83" s="4"/>
      <c r="AC83" s="4"/>
      <c r="AD83" s="4"/>
      <c r="AE83" s="4"/>
      <c r="AF83" s="4"/>
      <c r="AG83" s="4"/>
      <c r="AH83" s="4"/>
      <c r="AI83" s="4"/>
      <c r="AJ83" s="4"/>
      <c r="AK83" s="4"/>
      <c r="AL83" s="4"/>
    </row>
    <row r="84" spans="1:39" ht="30" customHeight="1">
      <c r="A84" s="12"/>
      <c r="B84" s="4"/>
      <c r="C84" s="4"/>
      <c r="D84" s="4"/>
      <c r="E84" s="297" t="s">
        <v>520</v>
      </c>
      <c r="F84" s="276"/>
      <c r="G84" s="276"/>
      <c r="H84" s="276"/>
      <c r="I84" s="276"/>
      <c r="J84" s="276"/>
      <c r="K84" s="276"/>
      <c r="L84" s="276"/>
      <c r="M84" s="276"/>
      <c r="N84" s="276"/>
      <c r="O84" s="276">
        <v>0</v>
      </c>
      <c r="P84" s="276"/>
      <c r="Q84" s="276"/>
      <c r="R84" s="276">
        <v>88688.82</v>
      </c>
      <c r="S84" s="276">
        <f>R84*(1+'Projeções - CG + Capex'!M37)</f>
        <v>92456.321073600018</v>
      </c>
      <c r="T84" s="276"/>
      <c r="U84" s="80"/>
      <c r="V84" s="80"/>
      <c r="W84" s="80"/>
      <c r="X84" s="81"/>
      <c r="Y84" s="82"/>
      <c r="Z84" s="92"/>
      <c r="AA84" s="4"/>
      <c r="AB84" s="4"/>
      <c r="AC84" s="4"/>
      <c r="AD84" s="4"/>
      <c r="AE84" s="4"/>
      <c r="AF84" s="4"/>
      <c r="AG84" s="4"/>
      <c r="AH84" s="4"/>
      <c r="AI84" s="4"/>
      <c r="AJ84" s="4"/>
      <c r="AK84" s="4"/>
      <c r="AL84" s="4"/>
    </row>
    <row r="85" spans="1:39" ht="30" customHeight="1">
      <c r="A85" s="12"/>
      <c r="B85" s="4"/>
      <c r="C85" s="4"/>
      <c r="D85" s="4"/>
      <c r="E85" s="297" t="s">
        <v>262</v>
      </c>
      <c r="F85" s="276"/>
      <c r="G85" s="276"/>
      <c r="H85" s="276"/>
      <c r="I85" s="276"/>
      <c r="J85" s="276"/>
      <c r="K85" s="276"/>
      <c r="L85" s="276"/>
      <c r="M85" s="276"/>
      <c r="N85" s="276"/>
      <c r="O85" s="276">
        <v>425200</v>
      </c>
      <c r="P85" s="276"/>
      <c r="Q85" s="276"/>
      <c r="R85" s="276">
        <f>O85*(1+'Projeções - CG + Capex'!K37)</f>
        <v>442348.31599999999</v>
      </c>
      <c r="S85" s="276">
        <f>R85*(1+'Projeções - CG + Capex'!L37)</f>
        <v>458954.07178263995</v>
      </c>
      <c r="T85" s="276"/>
      <c r="U85" s="80"/>
      <c r="V85" s="80"/>
      <c r="W85" s="80"/>
      <c r="X85" s="81"/>
      <c r="Y85" s="82"/>
      <c r="Z85" s="92"/>
      <c r="AA85" s="4"/>
      <c r="AB85" s="4"/>
      <c r="AC85" s="4"/>
      <c r="AD85" s="4"/>
      <c r="AE85" s="4"/>
      <c r="AF85" s="4"/>
      <c r="AG85" s="4"/>
      <c r="AH85" s="4"/>
      <c r="AI85" s="4"/>
      <c r="AJ85" s="4"/>
      <c r="AK85" s="4"/>
      <c r="AL85" s="4"/>
    </row>
    <row r="86" spans="1:39" ht="30" customHeight="1">
      <c r="A86" s="12"/>
      <c r="B86" s="4"/>
      <c r="C86" s="4"/>
      <c r="D86" s="4"/>
      <c r="E86" s="86" t="s">
        <v>47</v>
      </c>
      <c r="F86" s="44"/>
      <c r="G86" s="44"/>
      <c r="H86" s="44"/>
      <c r="I86" s="44"/>
      <c r="J86" s="44"/>
      <c r="K86" s="44"/>
      <c r="L86" s="44"/>
      <c r="M86" s="44"/>
      <c r="N86" s="44"/>
      <c r="O86" s="44"/>
      <c r="P86" s="44"/>
      <c r="Q86" s="44"/>
      <c r="R86" s="44">
        <f>R81/O81-1</f>
        <v>-0.22625080020854915</v>
      </c>
      <c r="S86" s="44">
        <f>S81/R81-1</f>
        <v>0.59911974816998859</v>
      </c>
      <c r="T86" s="44">
        <f>T81/S81-1</f>
        <v>4.2480000000000073E-2</v>
      </c>
      <c r="U86" s="44">
        <f>U81/T81-1</f>
        <v>4.5169999999999932E-2</v>
      </c>
      <c r="V86" s="44">
        <f>V81/U81-1</f>
        <v>4.7199999999999909E-2</v>
      </c>
      <c r="W86" s="80"/>
      <c r="X86" s="81"/>
      <c r="Y86" s="82"/>
      <c r="Z86" s="92"/>
      <c r="AA86" s="4"/>
      <c r="AB86" s="4"/>
      <c r="AC86" s="4"/>
      <c r="AD86" s="4"/>
      <c r="AE86" s="4"/>
      <c r="AF86" s="4"/>
      <c r="AG86" s="4"/>
      <c r="AH86" s="4"/>
      <c r="AI86" s="4"/>
      <c r="AJ86" s="4"/>
      <c r="AK86" s="4"/>
      <c r="AL86" s="4"/>
    </row>
    <row r="87" spans="1:39" ht="30" customHeight="1">
      <c r="A87" s="12"/>
      <c r="B87" s="4"/>
      <c r="C87" s="4"/>
      <c r="D87" s="4"/>
      <c r="E87" s="86" t="s">
        <v>13</v>
      </c>
      <c r="F87" s="42"/>
      <c r="G87" s="42"/>
      <c r="H87" s="42"/>
      <c r="I87" s="42"/>
      <c r="J87" s="42"/>
      <c r="K87" s="42"/>
      <c r="L87" s="42"/>
      <c r="M87" s="42"/>
      <c r="N87" s="42">
        <v>-279667</v>
      </c>
      <c r="O87" s="42">
        <v>-432535.93199999997</v>
      </c>
      <c r="P87" s="42">
        <v>-143688</v>
      </c>
      <c r="Q87" s="42"/>
      <c r="R87" s="42"/>
      <c r="S87" s="42"/>
      <c r="T87" s="42"/>
      <c r="U87" s="42"/>
      <c r="V87" s="42"/>
      <c r="W87" s="80"/>
      <c r="X87" s="81"/>
      <c r="Y87" s="82"/>
      <c r="Z87" s="92"/>
      <c r="AA87" s="4"/>
      <c r="AB87" s="4"/>
      <c r="AC87" s="4"/>
      <c r="AD87" s="4"/>
      <c r="AE87" s="4"/>
      <c r="AF87" s="4"/>
      <c r="AG87" s="4"/>
      <c r="AH87" s="4"/>
      <c r="AI87" s="4"/>
      <c r="AJ87" s="4"/>
      <c r="AK87" s="4"/>
      <c r="AL87" s="4"/>
    </row>
    <row r="88" spans="1:39" ht="30" customHeight="1">
      <c r="A88" s="12"/>
      <c r="B88" s="4"/>
      <c r="C88" s="4"/>
      <c r="D88" s="4"/>
      <c r="E88" s="86" t="s">
        <v>482</v>
      </c>
      <c r="F88" s="42"/>
      <c r="G88" s="42"/>
      <c r="H88" s="42"/>
      <c r="I88" s="42"/>
      <c r="J88" s="42"/>
      <c r="K88" s="42"/>
      <c r="L88" s="42"/>
      <c r="M88" s="42"/>
      <c r="N88" s="42">
        <v>0</v>
      </c>
      <c r="O88" s="42">
        <v>-175506.88688999999</v>
      </c>
      <c r="P88" s="42">
        <v>0</v>
      </c>
      <c r="Q88" s="42"/>
      <c r="R88" s="42"/>
      <c r="S88" s="42"/>
      <c r="T88" s="42"/>
      <c r="U88" s="42"/>
      <c r="V88" s="42"/>
      <c r="W88" s="80"/>
      <c r="X88" s="81"/>
      <c r="Y88" s="82"/>
      <c r="Z88" s="92"/>
      <c r="AA88" s="4"/>
      <c r="AB88" s="4"/>
      <c r="AC88" s="4"/>
      <c r="AD88" s="4"/>
      <c r="AE88" s="4"/>
      <c r="AF88" s="4"/>
      <c r="AG88" s="4"/>
      <c r="AH88" s="4"/>
      <c r="AI88" s="4"/>
      <c r="AJ88" s="4"/>
      <c r="AK88" s="4"/>
      <c r="AL88" s="4"/>
    </row>
    <row r="89" spans="1:39" ht="30" customHeight="1">
      <c r="A89" s="12"/>
      <c r="B89" s="4"/>
      <c r="C89" s="4"/>
      <c r="D89" s="4"/>
      <c r="E89" s="86" t="s">
        <v>159</v>
      </c>
      <c r="F89" s="42"/>
      <c r="G89" s="42"/>
      <c r="H89" s="42"/>
      <c r="I89" s="42"/>
      <c r="J89" s="42"/>
      <c r="K89" s="42"/>
      <c r="L89" s="42"/>
      <c r="M89" s="42"/>
      <c r="N89" s="42">
        <v>0</v>
      </c>
      <c r="O89" s="42"/>
      <c r="P89" s="42">
        <v>0</v>
      </c>
      <c r="Q89" s="42"/>
      <c r="R89" s="42"/>
      <c r="S89" s="42"/>
      <c r="T89" s="42"/>
      <c r="U89" s="42"/>
      <c r="V89" s="42"/>
      <c r="W89" s="44"/>
      <c r="X89" s="81"/>
      <c r="Y89" s="82"/>
      <c r="Z89" s="92"/>
      <c r="AA89" s="4"/>
      <c r="AB89" s="4"/>
      <c r="AC89" s="4"/>
      <c r="AD89" s="4"/>
      <c r="AE89" s="4"/>
      <c r="AF89" s="4"/>
      <c r="AG89" s="4"/>
      <c r="AH89" s="4"/>
      <c r="AI89" s="4"/>
      <c r="AJ89" s="4"/>
      <c r="AK89" s="4"/>
      <c r="AL89" s="4"/>
    </row>
    <row r="90" spans="1:39" ht="30" customHeight="1">
      <c r="A90" s="12"/>
      <c r="B90" s="4"/>
      <c r="C90" s="4"/>
      <c r="D90" s="4"/>
      <c r="E90" s="79" t="s">
        <v>14</v>
      </c>
      <c r="F90" s="42"/>
      <c r="G90" s="42"/>
      <c r="H90" s="42"/>
      <c r="I90" s="42"/>
      <c r="J90" s="42"/>
      <c r="K90" s="42"/>
      <c r="L90" s="42"/>
      <c r="M90" s="42"/>
      <c r="N90" s="46">
        <f>SUM(N81,N87:N89)</f>
        <v>121478</v>
      </c>
      <c r="O90" s="46">
        <f>SUM(O81,O87:O88)</f>
        <v>149572.18111000003</v>
      </c>
      <c r="P90" s="46">
        <f>SUM(P81,P87:P89)</f>
        <v>2863</v>
      </c>
      <c r="Q90" s="42"/>
      <c r="R90" s="42"/>
      <c r="S90" s="42"/>
      <c r="T90" s="42"/>
      <c r="U90" s="42"/>
      <c r="V90" s="42"/>
      <c r="W90" s="83"/>
      <c r="X90" s="81"/>
      <c r="Y90" s="82"/>
      <c r="Z90" s="92"/>
      <c r="AA90" s="4"/>
      <c r="AB90" s="4"/>
      <c r="AC90" s="4"/>
      <c r="AD90" s="4"/>
      <c r="AE90" s="4"/>
      <c r="AF90" s="4"/>
      <c r="AG90" s="4"/>
      <c r="AH90" s="4"/>
      <c r="AI90" s="4"/>
      <c r="AJ90" s="4"/>
      <c r="AK90" s="4"/>
      <c r="AL90" s="4"/>
    </row>
    <row r="91" spans="1:39" ht="30" customHeight="1">
      <c r="A91" s="12"/>
      <c r="B91" s="4"/>
      <c r="C91" s="4"/>
      <c r="D91" s="4"/>
      <c r="E91" s="241" t="s">
        <v>51</v>
      </c>
      <c r="F91" s="44"/>
      <c r="G91" s="44"/>
      <c r="H91" s="44"/>
      <c r="I91" s="44"/>
      <c r="J91" s="44"/>
      <c r="K91" s="44"/>
      <c r="L91" s="44"/>
      <c r="M91" s="44"/>
      <c r="N91" s="264">
        <f>N90/N81</f>
        <v>0.30282815440800709</v>
      </c>
      <c r="O91" s="264">
        <f>O90/O81</f>
        <v>0.19742505244748326</v>
      </c>
      <c r="P91" s="264">
        <f>P90/P81</f>
        <v>1.9535861236020226E-2</v>
      </c>
      <c r="Q91" s="44"/>
      <c r="R91" s="44"/>
      <c r="S91" s="44"/>
      <c r="T91" s="44"/>
      <c r="U91" s="44"/>
      <c r="V91" s="44"/>
      <c r="W91" s="83"/>
      <c r="X91" s="81"/>
      <c r="Y91" s="82"/>
      <c r="Z91" s="92"/>
      <c r="AA91" s="4"/>
      <c r="AB91" s="4"/>
      <c r="AC91" s="4"/>
      <c r="AD91" s="4"/>
      <c r="AE91" s="4"/>
      <c r="AF91" s="4"/>
      <c r="AG91" s="4"/>
      <c r="AH91" s="4"/>
      <c r="AI91" s="4"/>
      <c r="AJ91" s="4"/>
      <c r="AK91" s="4"/>
      <c r="AL91" s="4"/>
    </row>
    <row r="92" spans="1:39" ht="30" customHeight="1">
      <c r="A92" s="12"/>
      <c r="B92" s="4"/>
      <c r="C92" s="4"/>
      <c r="D92" s="4"/>
      <c r="E92" s="86" t="s">
        <v>15</v>
      </c>
      <c r="F92" s="204"/>
      <c r="G92" s="204"/>
      <c r="H92" s="204"/>
      <c r="I92" s="204"/>
      <c r="J92" s="84"/>
      <c r="K92" s="84"/>
      <c r="L92" s="84"/>
      <c r="M92" s="84"/>
      <c r="N92" s="42">
        <f>SUM(N94:N97)</f>
        <v>-20828</v>
      </c>
      <c r="O92" s="42">
        <f>SUM(O94:O97)</f>
        <v>-80453</v>
      </c>
      <c r="P92" s="42">
        <f>SUM(P94:P97)</f>
        <v>-16327</v>
      </c>
      <c r="Q92" s="84"/>
      <c r="R92" s="84"/>
      <c r="S92" s="84"/>
      <c r="T92" s="84"/>
      <c r="U92" s="84"/>
      <c r="V92" s="84"/>
      <c r="W92" s="83"/>
      <c r="X92" s="81"/>
      <c r="Y92" s="82"/>
      <c r="Z92" s="92"/>
      <c r="AA92" s="4"/>
      <c r="AB92" s="4"/>
      <c r="AC92" s="4"/>
      <c r="AD92" s="4"/>
      <c r="AE92" s="4"/>
      <c r="AF92" s="4"/>
      <c r="AG92" s="4"/>
      <c r="AH92" s="4"/>
      <c r="AI92" s="4"/>
      <c r="AJ92" s="4"/>
      <c r="AK92" s="4"/>
      <c r="AL92" s="4"/>
    </row>
    <row r="93" spans="1:39" s="3" customFormat="1" ht="30" customHeight="1">
      <c r="A93" s="12"/>
      <c r="B93" s="4"/>
      <c r="C93" s="4"/>
      <c r="D93" s="4"/>
      <c r="E93" s="86" t="s">
        <v>30</v>
      </c>
      <c r="F93" s="44"/>
      <c r="G93" s="44"/>
      <c r="H93" s="44"/>
      <c r="I93" s="44"/>
      <c r="J93" s="44"/>
      <c r="K93" s="44"/>
      <c r="L93" s="44"/>
      <c r="M93" s="44"/>
      <c r="N93" s="44">
        <f>N92/N81</f>
        <v>-5.1921375063879643E-2</v>
      </c>
      <c r="O93" s="44">
        <f>O92/O81</f>
        <v>-0.10619245923061185</v>
      </c>
      <c r="P93" s="44">
        <f>P92/P81</f>
        <v>-0.11140831519402802</v>
      </c>
      <c r="Q93" s="44"/>
      <c r="R93" s="44"/>
      <c r="S93" s="44"/>
      <c r="T93" s="44"/>
      <c r="U93" s="44"/>
      <c r="V93" s="44"/>
      <c r="W93" s="83"/>
      <c r="X93" s="81"/>
      <c r="Y93" s="82"/>
      <c r="Z93" s="92"/>
      <c r="AA93" s="4"/>
      <c r="AB93" s="4"/>
      <c r="AC93" s="4"/>
      <c r="AD93" s="4"/>
      <c r="AE93" s="4"/>
      <c r="AF93" s="4"/>
      <c r="AG93" s="4"/>
      <c r="AH93" s="4"/>
      <c r="AI93" s="4"/>
      <c r="AJ93" s="4"/>
      <c r="AK93" s="4"/>
      <c r="AL93" s="4"/>
      <c r="AM93" s="5"/>
    </row>
    <row r="94" spans="1:39" s="3" customFormat="1" ht="30" customHeight="1">
      <c r="B94" s="4"/>
      <c r="C94" s="4"/>
      <c r="D94" s="4"/>
      <c r="E94" s="86" t="s">
        <v>258</v>
      </c>
      <c r="F94" s="42"/>
      <c r="G94" s="42"/>
      <c r="H94" s="42"/>
      <c r="I94" s="42"/>
      <c r="J94" s="42"/>
      <c r="K94" s="42"/>
      <c r="L94" s="42"/>
      <c r="M94" s="42"/>
      <c r="N94" s="42">
        <f>-44-24016</f>
        <v>-24060</v>
      </c>
      <c r="O94" s="42">
        <f>-826-80433</f>
        <v>-81259</v>
      </c>
      <c r="P94" s="42">
        <f>-1-14365</f>
        <v>-14366</v>
      </c>
      <c r="Q94" s="42"/>
      <c r="R94" s="42"/>
      <c r="S94" s="42"/>
      <c r="T94" s="42"/>
      <c r="U94" s="42"/>
      <c r="V94" s="42"/>
      <c r="W94" s="83"/>
      <c r="X94" s="81"/>
      <c r="Y94" s="82"/>
      <c r="Z94" s="92"/>
      <c r="AA94" s="4"/>
      <c r="AB94" s="4"/>
      <c r="AC94" s="4"/>
      <c r="AD94" s="4"/>
      <c r="AE94" s="4"/>
      <c r="AF94" s="4"/>
      <c r="AG94" s="4"/>
      <c r="AH94" s="4"/>
      <c r="AI94" s="4"/>
      <c r="AJ94" s="4"/>
      <c r="AK94" s="4"/>
      <c r="AL94" s="4"/>
      <c r="AM94" s="5"/>
    </row>
    <row r="95" spans="1:39" ht="30" customHeight="1">
      <c r="B95" s="4"/>
      <c r="C95" s="4"/>
      <c r="D95" s="4"/>
      <c r="E95" s="86" t="s">
        <v>97</v>
      </c>
      <c r="F95" s="42"/>
      <c r="G95" s="42"/>
      <c r="H95" s="42"/>
      <c r="I95" s="42"/>
      <c r="J95" s="42"/>
      <c r="K95" s="42"/>
      <c r="L95" s="42"/>
      <c r="M95" s="42"/>
      <c r="N95" s="42">
        <v>0</v>
      </c>
      <c r="O95" s="42">
        <v>49</v>
      </c>
      <c r="P95" s="42">
        <v>0</v>
      </c>
      <c r="Q95" s="42"/>
      <c r="R95" s="42"/>
      <c r="S95" s="42"/>
      <c r="T95" s="42"/>
      <c r="U95" s="42"/>
      <c r="V95" s="42"/>
      <c r="W95" s="83"/>
      <c r="X95" s="81"/>
      <c r="Y95" s="82"/>
      <c r="Z95" s="92"/>
      <c r="AA95" s="4"/>
      <c r="AB95" s="4"/>
      <c r="AC95" s="4"/>
      <c r="AD95" s="4"/>
      <c r="AE95" s="4"/>
      <c r="AF95" s="4"/>
      <c r="AG95" s="4"/>
      <c r="AH95" s="4"/>
      <c r="AI95" s="4"/>
      <c r="AJ95" s="4"/>
      <c r="AK95" s="4"/>
      <c r="AL95" s="4"/>
    </row>
    <row r="96" spans="1:39" s="3" customFormat="1" ht="30" customHeight="1">
      <c r="A96" s="12"/>
      <c r="B96" s="4"/>
      <c r="C96" s="4"/>
      <c r="D96" s="4"/>
      <c r="E96" s="86" t="s">
        <v>19</v>
      </c>
      <c r="F96" s="42"/>
      <c r="G96" s="42"/>
      <c r="H96" s="42"/>
      <c r="I96" s="42"/>
      <c r="J96" s="42"/>
      <c r="K96" s="42"/>
      <c r="L96" s="42"/>
      <c r="M96" s="42"/>
      <c r="N96" s="42">
        <v>3232</v>
      </c>
      <c r="O96" s="42">
        <v>757</v>
      </c>
      <c r="P96" s="42">
        <v>7</v>
      </c>
      <c r="Q96" s="42"/>
      <c r="R96" s="42"/>
      <c r="S96" s="42"/>
      <c r="T96" s="42"/>
      <c r="U96" s="42"/>
      <c r="V96" s="42"/>
      <c r="W96" s="83"/>
      <c r="X96" s="81"/>
      <c r="Y96" s="82"/>
      <c r="Z96" s="92"/>
      <c r="AA96" s="4"/>
      <c r="AB96" s="4"/>
      <c r="AC96" s="4"/>
      <c r="AD96" s="4"/>
      <c r="AE96" s="4"/>
      <c r="AF96" s="4"/>
      <c r="AG96" s="4"/>
      <c r="AH96" s="4"/>
      <c r="AI96" s="4"/>
      <c r="AJ96" s="4"/>
      <c r="AK96" s="4"/>
      <c r="AL96" s="4"/>
      <c r="AM96" s="5"/>
    </row>
    <row r="97" spans="2:39" s="3" customFormat="1" ht="30" customHeight="1">
      <c r="B97" s="4"/>
      <c r="C97" s="4"/>
      <c r="D97" s="4"/>
      <c r="E97" s="86" t="s">
        <v>41</v>
      </c>
      <c r="F97" s="42"/>
      <c r="G97" s="42"/>
      <c r="H97" s="42"/>
      <c r="I97" s="42"/>
      <c r="J97" s="42"/>
      <c r="K97" s="42"/>
      <c r="L97" s="42"/>
      <c r="M97" s="42"/>
      <c r="N97" s="42">
        <v>0</v>
      </c>
      <c r="O97" s="42"/>
      <c r="P97" s="42">
        <v>-1968</v>
      </c>
      <c r="Q97" s="42"/>
      <c r="R97" s="42"/>
      <c r="S97" s="42"/>
      <c r="T97" s="42"/>
      <c r="U97" s="42"/>
      <c r="V97" s="42"/>
      <c r="W97" s="83"/>
      <c r="X97" s="81"/>
      <c r="Y97" s="82"/>
      <c r="Z97" s="92"/>
      <c r="AA97" s="4"/>
      <c r="AB97" s="4"/>
      <c r="AC97" s="4"/>
      <c r="AD97" s="4"/>
      <c r="AE97" s="4"/>
      <c r="AF97" s="4"/>
      <c r="AG97" s="4"/>
      <c r="AH97" s="4"/>
      <c r="AI97" s="4"/>
      <c r="AJ97" s="4"/>
      <c r="AK97" s="4"/>
      <c r="AL97" s="4"/>
      <c r="AM97" s="5"/>
    </row>
    <row r="98" spans="2:39" ht="30" customHeight="1">
      <c r="B98" s="4"/>
      <c r="C98" s="4"/>
      <c r="D98" s="4"/>
      <c r="E98" s="79" t="s">
        <v>16</v>
      </c>
      <c r="F98" s="42"/>
      <c r="G98" s="42"/>
      <c r="H98" s="42"/>
      <c r="I98" s="42"/>
      <c r="J98" s="42"/>
      <c r="K98" s="42"/>
      <c r="L98" s="42"/>
      <c r="M98" s="42"/>
      <c r="N98" s="40">
        <f>SUM(N90,N92)</f>
        <v>100650</v>
      </c>
      <c r="O98" s="40">
        <f>SUM(O90,O92)</f>
        <v>69119.181110000034</v>
      </c>
      <c r="P98" s="40">
        <f>SUM(P90,P92)</f>
        <v>-13464</v>
      </c>
      <c r="Q98" s="40">
        <f>R98-P98</f>
        <v>36676.867188186938</v>
      </c>
      <c r="R98" s="40">
        <f t="shared" ref="R98:V98" si="106">R99*R81</f>
        <v>23212.867188186934</v>
      </c>
      <c r="S98" s="40">
        <f t="shared" si="106"/>
        <v>160362.50182199667</v>
      </c>
      <c r="T98" s="40">
        <f t="shared" si="106"/>
        <v>176947.01676284286</v>
      </c>
      <c r="U98" s="40">
        <f t="shared" si="106"/>
        <v>195153.44488102011</v>
      </c>
      <c r="V98" s="40">
        <f t="shared" si="106"/>
        <v>215060.50697111513</v>
      </c>
      <c r="W98" s="205"/>
      <c r="X98" s="205"/>
      <c r="Y98" s="205"/>
      <c r="Z98" s="92"/>
      <c r="AA98" s="4"/>
      <c r="AB98" s="4"/>
      <c r="AC98" s="4"/>
      <c r="AD98" s="4"/>
      <c r="AE98" s="4"/>
      <c r="AF98" s="4"/>
      <c r="AG98" s="4"/>
      <c r="AH98" s="4"/>
      <c r="AI98" s="4"/>
      <c r="AJ98" s="4"/>
      <c r="AK98" s="4"/>
      <c r="AL98" s="4"/>
    </row>
    <row r="99" spans="2:39" ht="30" customHeight="1" thickBot="1">
      <c r="B99" s="4"/>
      <c r="C99" s="4"/>
      <c r="D99" s="4"/>
      <c r="E99" s="263" t="s">
        <v>50</v>
      </c>
      <c r="F99" s="187"/>
      <c r="G99" s="187"/>
      <c r="H99" s="187"/>
      <c r="I99" s="187"/>
      <c r="J99" s="187"/>
      <c r="K99" s="187"/>
      <c r="L99" s="187"/>
      <c r="M99" s="187"/>
      <c r="N99" s="264">
        <f>N98/N81</f>
        <v>0.25090677934412742</v>
      </c>
      <c r="O99" s="264">
        <f>O98/O81</f>
        <v>9.123259321687141E-2</v>
      </c>
      <c r="P99" s="264">
        <f>P98/P81</f>
        <v>-9.1872453958007791E-2</v>
      </c>
      <c r="Q99" s="264">
        <f>Q98/Q81</f>
        <v>8.3422306200997012E-2</v>
      </c>
      <c r="R99" s="264">
        <f>AVERAGE(S99,P99)</f>
        <v>3.9598616161245805E-2</v>
      </c>
      <c r="S99" s="264">
        <f>AVERAGE(N99:O99)</f>
        <v>0.1710696862804994</v>
      </c>
      <c r="T99" s="264">
        <f>S99+1%</f>
        <v>0.18106968628049941</v>
      </c>
      <c r="U99" s="264">
        <f t="shared" ref="U99:V99" si="107">T99+1%</f>
        <v>0.19106968628049942</v>
      </c>
      <c r="V99" s="264">
        <f t="shared" si="107"/>
        <v>0.20106968628049943</v>
      </c>
      <c r="W99" s="265" t="s">
        <v>527</v>
      </c>
      <c r="X99" s="259"/>
      <c r="Y99" s="260"/>
      <c r="Z99" s="261"/>
      <c r="AA99" s="4"/>
      <c r="AB99" s="4"/>
      <c r="AC99" s="4"/>
      <c r="AD99" s="4"/>
      <c r="AE99" s="4"/>
      <c r="AF99" s="4"/>
      <c r="AG99" s="4"/>
      <c r="AH99" s="4"/>
      <c r="AI99" s="4"/>
      <c r="AJ99" s="4"/>
      <c r="AK99" s="4"/>
      <c r="AL99" s="4"/>
    </row>
    <row r="100" spans="2:39" ht="30" customHeight="1">
      <c r="B100" s="4"/>
      <c r="C100" s="4"/>
      <c r="D100" s="4"/>
      <c r="E100" s="191"/>
      <c r="F100" s="181"/>
      <c r="G100" s="181"/>
      <c r="H100" s="181"/>
      <c r="I100" s="181"/>
      <c r="J100" s="181"/>
      <c r="K100" s="181"/>
      <c r="L100" s="181"/>
      <c r="M100" s="181"/>
      <c r="N100" s="181"/>
      <c r="O100" s="181"/>
      <c r="P100" s="181"/>
      <c r="Q100" s="181"/>
      <c r="R100" s="181"/>
      <c r="S100" s="181"/>
      <c r="T100" s="181"/>
      <c r="U100" s="181"/>
      <c r="V100" s="181"/>
      <c r="W100" s="181"/>
      <c r="X100" s="181"/>
      <c r="Y100" s="177"/>
      <c r="Z100" s="177"/>
      <c r="AA100" s="4"/>
      <c r="AB100" s="4"/>
      <c r="AC100" s="4"/>
      <c r="AD100" s="4"/>
      <c r="AE100" s="4"/>
      <c r="AF100" s="4"/>
      <c r="AG100" s="4"/>
      <c r="AH100" s="4"/>
      <c r="AI100" s="4"/>
      <c r="AJ100" s="4"/>
      <c r="AK100" s="4"/>
      <c r="AL100" s="4"/>
    </row>
    <row r="101" spans="2:39" ht="30" customHeight="1">
      <c r="B101" s="4"/>
      <c r="C101" s="4"/>
      <c r="D101" s="4"/>
      <c r="E101" s="50"/>
      <c r="F101" s="51"/>
      <c r="G101" s="51"/>
      <c r="H101" s="51"/>
      <c r="I101" s="51"/>
      <c r="J101" s="51"/>
      <c r="K101" s="51"/>
      <c r="L101" s="51"/>
      <c r="M101" s="51"/>
      <c r="N101" s="51"/>
      <c r="O101" s="51"/>
      <c r="P101" s="51"/>
      <c r="Q101" s="51"/>
      <c r="R101" s="51"/>
      <c r="S101" s="51"/>
      <c r="T101" s="51"/>
      <c r="U101" s="51"/>
      <c r="V101" s="51"/>
      <c r="W101" s="51"/>
      <c r="X101" s="51"/>
      <c r="Y101" s="4"/>
      <c r="Z101" s="4"/>
      <c r="AA101" s="4"/>
      <c r="AB101" s="4"/>
      <c r="AC101" s="4"/>
      <c r="AD101" s="4"/>
      <c r="AE101" s="4"/>
      <c r="AF101" s="4"/>
      <c r="AG101" s="4"/>
      <c r="AH101" s="4"/>
      <c r="AI101" s="4"/>
      <c r="AJ101" s="4"/>
      <c r="AK101" s="4"/>
      <c r="AL101" s="4"/>
    </row>
    <row r="102" spans="2:39" ht="30" customHeight="1">
      <c r="B102" s="4"/>
      <c r="C102" s="4"/>
      <c r="D102" s="4"/>
      <c r="E102" s="232"/>
      <c r="F102" s="10"/>
      <c r="G102" s="10"/>
      <c r="H102" s="10"/>
      <c r="I102" s="10"/>
      <c r="J102" s="10"/>
      <c r="K102" s="10"/>
      <c r="L102" s="10"/>
      <c r="M102" s="10"/>
      <c r="N102" s="10"/>
      <c r="O102" s="10"/>
      <c r="P102" s="10"/>
      <c r="Q102" s="10"/>
      <c r="R102" s="10"/>
      <c r="S102" s="10"/>
      <c r="T102" s="10"/>
      <c r="U102" s="10"/>
      <c r="V102" s="10"/>
      <c r="W102" s="10"/>
      <c r="X102" s="51"/>
      <c r="Y102" s="4"/>
      <c r="Z102" s="4"/>
      <c r="AA102" s="4"/>
      <c r="AB102" s="4"/>
      <c r="AC102" s="4"/>
      <c r="AD102" s="4"/>
      <c r="AE102" s="4"/>
      <c r="AF102" s="4"/>
      <c r="AG102" s="4"/>
      <c r="AH102" s="4"/>
      <c r="AI102" s="4"/>
      <c r="AJ102" s="4"/>
      <c r="AK102" s="4"/>
      <c r="AL102" s="4"/>
    </row>
    <row r="103" spans="2:39" ht="30" customHeight="1">
      <c r="B103" s="4"/>
      <c r="C103" s="4"/>
      <c r="D103" s="4"/>
      <c r="E103" s="78"/>
      <c r="F103" s="37">
        <v>2014</v>
      </c>
      <c r="G103" s="37">
        <v>2015</v>
      </c>
      <c r="H103" s="37">
        <v>2016</v>
      </c>
      <c r="I103" s="37">
        <v>2017</v>
      </c>
      <c r="J103" s="37">
        <v>2018</v>
      </c>
      <c r="K103" s="37">
        <v>2019</v>
      </c>
      <c r="L103" s="37">
        <v>2020</v>
      </c>
      <c r="M103" s="37">
        <v>2021</v>
      </c>
      <c r="N103" s="37">
        <v>2022</v>
      </c>
      <c r="O103" s="37">
        <v>2023</v>
      </c>
      <c r="P103" s="37" t="s">
        <v>518</v>
      </c>
      <c r="Q103" s="37" t="s">
        <v>519</v>
      </c>
      <c r="R103" s="38">
        <v>2024</v>
      </c>
      <c r="S103" s="38">
        <f>R103+1</f>
        <v>2025</v>
      </c>
      <c r="T103" s="38">
        <f t="shared" ref="T103" si="108">S103+1</f>
        <v>2026</v>
      </c>
      <c r="U103" s="38">
        <f t="shared" ref="U103" si="109">T103+1</f>
        <v>2027</v>
      </c>
      <c r="V103" s="38">
        <f t="shared" ref="V103" si="110">U103+1</f>
        <v>2028</v>
      </c>
      <c r="W103" s="38" t="s">
        <v>94</v>
      </c>
      <c r="X103" s="38" t="s">
        <v>95</v>
      </c>
      <c r="Y103" s="38" t="s">
        <v>313</v>
      </c>
      <c r="Z103" s="91" t="s">
        <v>314</v>
      </c>
      <c r="AA103" s="4"/>
      <c r="AB103" s="4"/>
      <c r="AC103" s="4"/>
      <c r="AD103" s="4"/>
      <c r="AE103" s="4"/>
      <c r="AF103" s="4"/>
      <c r="AG103" s="4"/>
      <c r="AH103" s="4"/>
      <c r="AI103" s="4"/>
      <c r="AJ103" s="4"/>
      <c r="AK103" s="4"/>
      <c r="AL103" s="4"/>
    </row>
    <row r="104" spans="2:39" ht="30" customHeight="1">
      <c r="B104" s="4"/>
      <c r="C104" s="4"/>
      <c r="D104" s="4"/>
      <c r="E104" s="79" t="s">
        <v>12</v>
      </c>
      <c r="F104" s="80"/>
      <c r="G104" s="80"/>
      <c r="H104" s="80"/>
      <c r="I104" s="80"/>
      <c r="J104" s="80"/>
      <c r="K104" s="80"/>
      <c r="L104" s="80"/>
      <c r="M104" s="80"/>
      <c r="N104" s="80"/>
      <c r="O104" s="80"/>
      <c r="P104" s="80">
        <v>111157</v>
      </c>
      <c r="Q104" s="80">
        <f>R104-P104</f>
        <v>333471</v>
      </c>
      <c r="R104" s="80">
        <f>P104*4</f>
        <v>444628</v>
      </c>
      <c r="S104" s="80">
        <f>R104*(1+S105)</f>
        <v>444628</v>
      </c>
      <c r="T104" s="80">
        <f t="shared" ref="T104" si="111">S104*(1+T105)</f>
        <v>444628</v>
      </c>
      <c r="U104" s="80">
        <f t="shared" ref="U104" si="112">T104*(1+U105)</f>
        <v>444628</v>
      </c>
      <c r="V104" s="80">
        <f t="shared" ref="V104" si="113">U104*(1+V105)</f>
        <v>444628</v>
      </c>
      <c r="W104" s="277" t="s">
        <v>528</v>
      </c>
      <c r="X104" s="81">
        <v>2</v>
      </c>
      <c r="Y104" s="92" t="e">
        <f>(N104/I104)^(1/5)-1</f>
        <v>#DIV/0!</v>
      </c>
      <c r="Z104" s="92" t="e">
        <f>(V104/#REF!)^(1/4)-1</f>
        <v>#REF!</v>
      </c>
      <c r="AA104" s="4"/>
      <c r="AB104" s="4"/>
      <c r="AC104" s="4"/>
      <c r="AD104" s="4"/>
      <c r="AE104" s="4"/>
      <c r="AF104" s="4"/>
      <c r="AG104" s="4"/>
      <c r="AH104" s="4"/>
      <c r="AI104" s="4"/>
      <c r="AJ104" s="4"/>
      <c r="AK104" s="4"/>
      <c r="AL104" s="4"/>
    </row>
    <row r="105" spans="2:39" ht="30" customHeight="1">
      <c r="B105" s="4"/>
      <c r="C105" s="4"/>
      <c r="D105" s="4"/>
      <c r="E105" s="86" t="s">
        <v>47</v>
      </c>
      <c r="F105" s="44"/>
      <c r="G105" s="44"/>
      <c r="H105" s="44"/>
      <c r="I105" s="44"/>
      <c r="J105" s="44"/>
      <c r="K105" s="44"/>
      <c r="L105" s="44"/>
      <c r="M105" s="44"/>
      <c r="N105" s="44"/>
      <c r="O105" s="44"/>
      <c r="P105" s="44"/>
      <c r="Q105" s="44"/>
      <c r="R105" s="44"/>
      <c r="S105" s="44">
        <f>'Projeções - CG + Capex'!L100</f>
        <v>0</v>
      </c>
      <c r="T105" s="44">
        <f>'Projeções - CG + Capex'!M100</f>
        <v>0</v>
      </c>
      <c r="U105" s="44">
        <f>'Projeções - CG + Capex'!N100</f>
        <v>0</v>
      </c>
      <c r="V105" s="44">
        <f>'Projeções - CG + Capex'!O100</f>
        <v>0</v>
      </c>
      <c r="W105" s="38"/>
      <c r="X105" s="38"/>
      <c r="Y105" s="38"/>
      <c r="Z105" s="91"/>
      <c r="AA105" s="4"/>
      <c r="AB105" s="4"/>
      <c r="AC105" s="4"/>
      <c r="AD105" s="4"/>
      <c r="AE105" s="4"/>
      <c r="AF105" s="4"/>
      <c r="AG105" s="4"/>
      <c r="AH105" s="4"/>
      <c r="AI105" s="4"/>
      <c r="AJ105" s="4"/>
      <c r="AK105" s="4"/>
      <c r="AL105" s="4"/>
    </row>
    <row r="106" spans="2:39" ht="30" customHeight="1">
      <c r="B106" s="4"/>
      <c r="C106" s="4"/>
      <c r="D106" s="4"/>
      <c r="E106" s="86" t="s">
        <v>13</v>
      </c>
      <c r="F106" s="42"/>
      <c r="G106" s="42"/>
      <c r="H106" s="42"/>
      <c r="I106" s="42"/>
      <c r="J106" s="42"/>
      <c r="K106" s="42"/>
      <c r="L106" s="42"/>
      <c r="M106" s="42"/>
      <c r="N106" s="42"/>
      <c r="O106" s="42"/>
      <c r="P106" s="42">
        <v>-84699</v>
      </c>
      <c r="Q106" s="42"/>
      <c r="R106" s="42"/>
      <c r="S106" s="42"/>
      <c r="T106" s="42"/>
      <c r="U106" s="42"/>
      <c r="V106" s="42"/>
      <c r="W106" s="80"/>
      <c r="X106" s="81"/>
      <c r="Y106" s="82"/>
      <c r="Z106" s="92"/>
      <c r="AA106" s="4"/>
      <c r="AB106" s="4"/>
      <c r="AC106" s="4"/>
      <c r="AD106" s="4"/>
      <c r="AE106" s="4"/>
      <c r="AF106" s="4"/>
      <c r="AG106" s="4"/>
      <c r="AH106" s="4"/>
      <c r="AI106" s="4"/>
      <c r="AJ106" s="4"/>
      <c r="AK106" s="4"/>
      <c r="AL106" s="4"/>
    </row>
    <row r="107" spans="2:39" ht="30" customHeight="1">
      <c r="B107" s="4"/>
      <c r="C107" s="4"/>
      <c r="D107" s="4"/>
      <c r="E107" s="86" t="s">
        <v>310</v>
      </c>
      <c r="F107" s="42"/>
      <c r="G107" s="42"/>
      <c r="H107" s="42"/>
      <c r="I107" s="60"/>
      <c r="J107" s="60"/>
      <c r="K107" s="60"/>
      <c r="L107" s="60"/>
      <c r="M107" s="60"/>
      <c r="N107" s="60"/>
      <c r="O107" s="60"/>
      <c r="P107" s="60">
        <f>-P106/P104</f>
        <v>0.76197630378653614</v>
      </c>
      <c r="Q107" s="42"/>
      <c r="R107" s="60">
        <f>AVERAGE($I$47:$O$47)</f>
        <v>7.197640810617357E-3</v>
      </c>
      <c r="S107" s="60">
        <f t="shared" ref="S107:V107" si="114">AVERAGE($I$47:$O$47)</f>
        <v>7.197640810617357E-3</v>
      </c>
      <c r="T107" s="60">
        <f t="shared" si="114"/>
        <v>7.197640810617357E-3</v>
      </c>
      <c r="U107" s="60">
        <f t="shared" si="114"/>
        <v>7.197640810617357E-3</v>
      </c>
      <c r="V107" s="60">
        <f t="shared" si="114"/>
        <v>7.197640810617357E-3</v>
      </c>
      <c r="W107" s="44"/>
      <c r="X107" s="81"/>
      <c r="Y107" s="82"/>
      <c r="Z107" s="92"/>
      <c r="AA107" s="4"/>
      <c r="AB107" s="4"/>
      <c r="AC107" s="4"/>
      <c r="AD107" s="4"/>
      <c r="AE107" s="4"/>
      <c r="AF107" s="4"/>
      <c r="AG107" s="4"/>
      <c r="AH107" s="4"/>
      <c r="AI107" s="4"/>
      <c r="AJ107" s="4"/>
      <c r="AK107" s="4"/>
      <c r="AL107" s="4"/>
    </row>
    <row r="108" spans="2:39" ht="30" customHeight="1">
      <c r="B108" s="4"/>
      <c r="C108" s="4"/>
      <c r="D108" s="4"/>
      <c r="E108" s="79" t="s">
        <v>14</v>
      </c>
      <c r="F108" s="42"/>
      <c r="G108" s="42"/>
      <c r="H108" s="42"/>
      <c r="I108" s="46"/>
      <c r="J108" s="46"/>
      <c r="K108" s="46"/>
      <c r="L108" s="46"/>
      <c r="M108" s="46"/>
      <c r="N108" s="46"/>
      <c r="O108" s="46"/>
      <c r="P108" s="46">
        <f>SUM(P104,P106:P106)</f>
        <v>26458</v>
      </c>
      <c r="Q108" s="42"/>
      <c r="R108" s="42"/>
      <c r="S108" s="42"/>
      <c r="T108" s="42"/>
      <c r="U108" s="42"/>
      <c r="V108" s="42"/>
      <c r="W108" s="83"/>
      <c r="X108" s="81"/>
      <c r="Y108" s="82"/>
      <c r="Z108" s="92"/>
      <c r="AA108" s="4"/>
      <c r="AB108" s="4"/>
      <c r="AC108" s="4"/>
      <c r="AD108" s="4"/>
      <c r="AE108" s="4"/>
      <c r="AF108" s="4"/>
      <c r="AG108" s="4"/>
      <c r="AH108" s="4"/>
      <c r="AI108" s="4"/>
      <c r="AJ108" s="4"/>
      <c r="AK108" s="4"/>
      <c r="AL108" s="4"/>
    </row>
    <row r="109" spans="2:39" ht="30" customHeight="1">
      <c r="B109" s="4"/>
      <c r="C109" s="4"/>
      <c r="D109" s="4"/>
      <c r="E109" s="241" t="s">
        <v>51</v>
      </c>
      <c r="F109" s="44"/>
      <c r="G109" s="44"/>
      <c r="H109" s="44"/>
      <c r="I109" s="242"/>
      <c r="J109" s="242"/>
      <c r="K109" s="242"/>
      <c r="L109" s="242"/>
      <c r="M109" s="242"/>
      <c r="N109" s="242"/>
      <c r="O109" s="242"/>
      <c r="P109" s="242">
        <f>P108/P104</f>
        <v>0.23802369621346384</v>
      </c>
      <c r="Q109" s="44"/>
      <c r="R109" s="44"/>
      <c r="S109" s="44"/>
      <c r="T109" s="44"/>
      <c r="U109" s="44"/>
      <c r="V109" s="44"/>
      <c r="W109" s="83"/>
      <c r="X109" s="81"/>
      <c r="Y109" s="82"/>
      <c r="Z109" s="92"/>
      <c r="AA109" s="4"/>
      <c r="AB109" s="4"/>
      <c r="AC109" s="4"/>
      <c r="AD109" s="4"/>
      <c r="AE109" s="4"/>
      <c r="AF109" s="4"/>
      <c r="AG109" s="4"/>
      <c r="AH109" s="4"/>
      <c r="AI109" s="4"/>
      <c r="AJ109" s="4"/>
      <c r="AK109" s="4"/>
      <c r="AL109" s="4"/>
    </row>
    <row r="110" spans="2:39" ht="30" customHeight="1">
      <c r="B110" s="4"/>
      <c r="C110" s="4"/>
      <c r="D110" s="4"/>
      <c r="E110" s="86" t="s">
        <v>15</v>
      </c>
      <c r="F110" s="204"/>
      <c r="G110" s="204"/>
      <c r="H110" s="204"/>
      <c r="I110" s="84"/>
      <c r="J110" s="84"/>
      <c r="K110" s="84"/>
      <c r="L110" s="84"/>
      <c r="M110" s="84"/>
      <c r="N110" s="84"/>
      <c r="O110" s="84"/>
      <c r="P110" s="84">
        <f t="shared" ref="P110" si="115">SUM(P112:P115)</f>
        <v>-5842</v>
      </c>
      <c r="Q110" s="84"/>
      <c r="R110" s="84"/>
      <c r="S110" s="84"/>
      <c r="T110" s="84"/>
      <c r="U110" s="84"/>
      <c r="V110" s="84"/>
      <c r="W110" s="83"/>
      <c r="X110" s="81"/>
      <c r="Y110" s="82"/>
      <c r="Z110" s="92"/>
      <c r="AA110" s="4"/>
      <c r="AB110" s="4"/>
      <c r="AC110" s="4"/>
      <c r="AD110" s="4"/>
      <c r="AE110" s="4"/>
      <c r="AF110" s="4"/>
      <c r="AG110" s="4"/>
      <c r="AH110" s="4"/>
      <c r="AI110" s="4"/>
      <c r="AJ110" s="4"/>
      <c r="AK110" s="4"/>
      <c r="AL110" s="4"/>
    </row>
    <row r="111" spans="2:39" ht="30" customHeight="1">
      <c r="B111" s="4"/>
      <c r="C111" s="4"/>
      <c r="D111" s="4"/>
      <c r="E111" s="86" t="s">
        <v>30</v>
      </c>
      <c r="F111" s="44"/>
      <c r="G111" s="44"/>
      <c r="H111" s="44"/>
      <c r="I111" s="44"/>
      <c r="J111" s="44"/>
      <c r="K111" s="44"/>
      <c r="L111" s="44"/>
      <c r="M111" s="44"/>
      <c r="N111" s="44"/>
      <c r="O111" s="44"/>
      <c r="P111" s="44">
        <f>-P110/P104</f>
        <v>5.2556294250474554E-2</v>
      </c>
      <c r="Q111" s="44"/>
      <c r="R111" s="44"/>
      <c r="S111" s="44"/>
      <c r="T111" s="44"/>
      <c r="U111" s="44"/>
      <c r="V111" s="44"/>
      <c r="W111" s="83"/>
      <c r="X111" s="83"/>
      <c r="Y111" s="83"/>
      <c r="Z111" s="92"/>
      <c r="AA111" s="4"/>
      <c r="AB111" s="4"/>
      <c r="AC111" s="4"/>
      <c r="AD111" s="4"/>
      <c r="AE111" s="4"/>
      <c r="AF111" s="4"/>
      <c r="AG111" s="4"/>
      <c r="AH111" s="4"/>
      <c r="AI111" s="4"/>
      <c r="AJ111" s="4"/>
      <c r="AK111" s="4"/>
      <c r="AL111" s="4"/>
    </row>
    <row r="112" spans="2:39" ht="30" customHeight="1">
      <c r="B112" s="4"/>
      <c r="C112" s="4"/>
      <c r="D112" s="4"/>
      <c r="E112" s="86" t="s">
        <v>258</v>
      </c>
      <c r="F112" s="42"/>
      <c r="G112" s="42"/>
      <c r="H112" s="42"/>
      <c r="I112" s="42"/>
      <c r="J112" s="42"/>
      <c r="K112" s="42"/>
      <c r="L112" s="42"/>
      <c r="M112" s="42"/>
      <c r="N112" s="42"/>
      <c r="O112" s="42"/>
      <c r="P112" s="42">
        <f>-560-5247</f>
        <v>-5807</v>
      </c>
      <c r="Q112" s="42"/>
      <c r="R112" s="42"/>
      <c r="S112" s="42"/>
      <c r="T112" s="42"/>
      <c r="U112" s="42"/>
      <c r="V112" s="42"/>
      <c r="W112" s="38"/>
      <c r="X112" s="38"/>
      <c r="Y112" s="38"/>
      <c r="Z112" s="91"/>
      <c r="AA112" s="4"/>
      <c r="AB112" s="4"/>
      <c r="AC112" s="4"/>
      <c r="AD112" s="4"/>
      <c r="AE112" s="4"/>
      <c r="AF112" s="4"/>
      <c r="AG112" s="4"/>
      <c r="AH112" s="4"/>
      <c r="AI112" s="4"/>
      <c r="AJ112" s="4"/>
      <c r="AK112" s="4"/>
      <c r="AL112" s="4"/>
    </row>
    <row r="113" spans="2:38" ht="30" customHeight="1">
      <c r="B113" s="4"/>
      <c r="C113" s="4"/>
      <c r="D113" s="4"/>
      <c r="E113" s="86" t="s">
        <v>97</v>
      </c>
      <c r="F113" s="42"/>
      <c r="G113" s="42"/>
      <c r="H113" s="42"/>
      <c r="I113" s="42"/>
      <c r="J113" s="42"/>
      <c r="K113" s="42"/>
      <c r="L113" s="42"/>
      <c r="M113" s="42"/>
      <c r="N113" s="42"/>
      <c r="O113" s="42"/>
      <c r="P113" s="42"/>
      <c r="Q113" s="42"/>
      <c r="R113" s="42"/>
      <c r="S113" s="42"/>
      <c r="T113" s="42"/>
      <c r="U113" s="42"/>
      <c r="V113" s="42"/>
      <c r="W113" s="44"/>
      <c r="X113" s="81"/>
      <c r="Y113" s="82"/>
      <c r="Z113" s="92"/>
      <c r="AA113" s="4"/>
      <c r="AB113" s="4"/>
      <c r="AC113" s="4"/>
      <c r="AD113" s="4"/>
      <c r="AE113" s="4"/>
      <c r="AF113" s="4"/>
      <c r="AG113" s="4"/>
      <c r="AH113" s="4"/>
      <c r="AI113" s="4"/>
      <c r="AJ113" s="4"/>
      <c r="AK113" s="4"/>
      <c r="AL113" s="4"/>
    </row>
    <row r="114" spans="2:38" ht="30" customHeight="1">
      <c r="B114" s="4"/>
      <c r="C114" s="4"/>
      <c r="D114" s="4"/>
      <c r="E114" s="86" t="s">
        <v>19</v>
      </c>
      <c r="F114" s="42"/>
      <c r="G114" s="42"/>
      <c r="H114" s="42"/>
      <c r="I114" s="42"/>
      <c r="J114" s="42"/>
      <c r="K114" s="42"/>
      <c r="L114" s="42"/>
      <c r="M114" s="42"/>
      <c r="N114" s="42"/>
      <c r="O114" s="42"/>
      <c r="P114" s="42">
        <v>-35</v>
      </c>
      <c r="Q114" s="42"/>
      <c r="R114" s="42"/>
      <c r="S114" s="42"/>
      <c r="T114" s="42"/>
      <c r="U114" s="42"/>
      <c r="V114" s="42"/>
      <c r="W114" s="83"/>
      <c r="X114" s="81"/>
      <c r="Y114" s="82"/>
      <c r="Z114" s="92"/>
      <c r="AA114" s="4"/>
      <c r="AB114" s="4"/>
      <c r="AC114" s="4"/>
      <c r="AD114" s="4"/>
      <c r="AE114" s="4"/>
      <c r="AF114" s="4"/>
      <c r="AG114" s="4"/>
      <c r="AH114" s="4"/>
      <c r="AI114" s="4"/>
      <c r="AJ114" s="4"/>
      <c r="AK114" s="4"/>
      <c r="AL114" s="4"/>
    </row>
    <row r="115" spans="2:38" ht="30" customHeight="1">
      <c r="B115" s="4"/>
      <c r="C115" s="4"/>
      <c r="D115" s="4"/>
      <c r="E115" s="86" t="s">
        <v>41</v>
      </c>
      <c r="F115" s="42"/>
      <c r="G115" s="42"/>
      <c r="H115" s="42"/>
      <c r="I115" s="42"/>
      <c r="J115" s="42"/>
      <c r="K115" s="42"/>
      <c r="L115" s="42"/>
      <c r="M115" s="42"/>
      <c r="N115" s="42"/>
      <c r="O115" s="42"/>
      <c r="P115" s="42"/>
      <c r="Q115" s="42"/>
      <c r="R115" s="42"/>
      <c r="S115" s="42"/>
      <c r="T115" s="42"/>
      <c r="U115" s="42"/>
      <c r="V115" s="42"/>
      <c r="W115" s="83"/>
      <c r="X115" s="81"/>
      <c r="Y115" s="82"/>
      <c r="Z115" s="92"/>
      <c r="AA115" s="4"/>
      <c r="AB115" s="4"/>
      <c r="AC115" s="4"/>
      <c r="AD115" s="4"/>
      <c r="AE115" s="4"/>
      <c r="AF115" s="4"/>
      <c r="AG115" s="4"/>
      <c r="AH115" s="4"/>
      <c r="AI115" s="4"/>
      <c r="AJ115" s="4"/>
      <c r="AK115" s="4"/>
      <c r="AL115" s="4"/>
    </row>
    <row r="116" spans="2:38" ht="30" customHeight="1">
      <c r="B116" s="4"/>
      <c r="C116" s="4"/>
      <c r="D116" s="4"/>
      <c r="E116" s="79" t="s">
        <v>16</v>
      </c>
      <c r="F116" s="42"/>
      <c r="G116" s="42"/>
      <c r="H116" s="42"/>
      <c r="I116" s="40"/>
      <c r="J116" s="40"/>
      <c r="K116" s="40"/>
      <c r="L116" s="40"/>
      <c r="M116" s="40"/>
      <c r="N116" s="40"/>
      <c r="O116" s="40"/>
      <c r="P116" s="40">
        <f t="shared" ref="P116" si="116">SUM(P108,P110)</f>
        <v>20616</v>
      </c>
      <c r="Q116" s="40">
        <f>R116-P116</f>
        <v>61848</v>
      </c>
      <c r="R116" s="40">
        <f>R117*R104</f>
        <v>82464</v>
      </c>
      <c r="S116" s="40">
        <f>S117*S104</f>
        <v>82464</v>
      </c>
      <c r="T116" s="40">
        <f>T117*T104</f>
        <v>82464</v>
      </c>
      <c r="U116" s="40">
        <f>U117*U104</f>
        <v>82464</v>
      </c>
      <c r="V116" s="40">
        <f>V117*V104</f>
        <v>82464</v>
      </c>
      <c r="W116" s="205"/>
      <c r="X116" s="205"/>
      <c r="Y116" s="205"/>
      <c r="Z116" s="92"/>
      <c r="AA116" s="4"/>
      <c r="AB116" s="4"/>
      <c r="AC116" s="4"/>
      <c r="AD116" s="4"/>
      <c r="AE116" s="4"/>
      <c r="AF116" s="4"/>
      <c r="AG116" s="4"/>
      <c r="AH116" s="4"/>
      <c r="AI116" s="4"/>
      <c r="AJ116" s="4"/>
      <c r="AK116" s="4"/>
      <c r="AL116" s="4"/>
    </row>
    <row r="117" spans="2:38" ht="30" customHeight="1" thickBot="1">
      <c r="B117" s="4"/>
      <c r="C117" s="4"/>
      <c r="D117" s="4"/>
      <c r="E117" s="263" t="s">
        <v>50</v>
      </c>
      <c r="F117" s="187"/>
      <c r="G117" s="187"/>
      <c r="H117" s="187"/>
      <c r="I117" s="187"/>
      <c r="J117" s="187"/>
      <c r="K117" s="187"/>
      <c r="L117" s="187"/>
      <c r="M117" s="187"/>
      <c r="N117" s="264"/>
      <c r="O117" s="264"/>
      <c r="P117" s="264">
        <f>P116/P104</f>
        <v>0.18546740196298928</v>
      </c>
      <c r="Q117" s="264">
        <f>Q116/Q104</f>
        <v>0.18546740196298928</v>
      </c>
      <c r="R117" s="264">
        <f>P117</f>
        <v>0.18546740196298928</v>
      </c>
      <c r="S117" s="264">
        <f>R117</f>
        <v>0.18546740196298928</v>
      </c>
      <c r="T117" s="264">
        <f t="shared" ref="T117:V117" si="117">S117</f>
        <v>0.18546740196298928</v>
      </c>
      <c r="U117" s="264">
        <f t="shared" si="117"/>
        <v>0.18546740196298928</v>
      </c>
      <c r="V117" s="264">
        <f t="shared" si="117"/>
        <v>0.18546740196298928</v>
      </c>
      <c r="W117" s="265"/>
      <c r="X117" s="259"/>
      <c r="Y117" s="260"/>
      <c r="Z117" s="261"/>
      <c r="AA117" s="4"/>
      <c r="AB117" s="4"/>
      <c r="AC117" s="4"/>
      <c r="AD117" s="4"/>
      <c r="AE117" s="4"/>
      <c r="AF117" s="4"/>
      <c r="AG117" s="4"/>
      <c r="AH117" s="4"/>
      <c r="AI117" s="4"/>
      <c r="AJ117" s="4"/>
      <c r="AK117" s="4"/>
      <c r="AL117" s="4"/>
    </row>
    <row r="118" spans="2:38" ht="30" customHeight="1">
      <c r="B118" s="4"/>
      <c r="C118" s="4"/>
      <c r="D118" s="4"/>
      <c r="E118" s="191"/>
      <c r="F118" s="181"/>
      <c r="G118" s="181"/>
      <c r="H118" s="181"/>
      <c r="I118" s="181"/>
      <c r="J118" s="181"/>
      <c r="K118" s="181"/>
      <c r="L118" s="181"/>
      <c r="M118" s="181"/>
      <c r="N118" s="181"/>
      <c r="O118" s="181"/>
      <c r="P118" s="181"/>
      <c r="Q118" s="181"/>
      <c r="R118" s="181"/>
      <c r="S118" s="181"/>
      <c r="T118" s="181"/>
      <c r="U118" s="181"/>
      <c r="V118" s="181"/>
      <c r="W118" s="181"/>
      <c r="X118" s="181"/>
      <c r="Y118" s="177"/>
      <c r="Z118" s="177"/>
      <c r="AA118" s="4"/>
      <c r="AB118" s="4"/>
      <c r="AC118" s="4"/>
      <c r="AD118" s="4"/>
      <c r="AE118" s="4"/>
      <c r="AF118" s="4"/>
      <c r="AG118" s="4"/>
      <c r="AH118" s="4"/>
      <c r="AI118" s="4"/>
      <c r="AJ118" s="4"/>
      <c r="AK118" s="4"/>
      <c r="AL118" s="4"/>
    </row>
    <row r="119" spans="2:38" ht="30" customHeight="1">
      <c r="B119" s="4"/>
      <c r="C119" s="4"/>
      <c r="D119" s="4"/>
      <c r="E119" s="50"/>
      <c r="F119" s="51"/>
      <c r="G119" s="51"/>
      <c r="H119" s="51"/>
      <c r="I119" s="51"/>
      <c r="J119" s="51"/>
      <c r="K119" s="51"/>
      <c r="L119" s="51"/>
      <c r="M119" s="51"/>
      <c r="N119" s="51"/>
      <c r="O119" s="51"/>
      <c r="P119" s="51"/>
      <c r="Q119" s="51"/>
      <c r="R119" s="51"/>
      <c r="S119" s="51"/>
      <c r="T119" s="51"/>
      <c r="U119" s="51"/>
      <c r="V119" s="51"/>
      <c r="W119" s="51"/>
      <c r="X119" s="51"/>
      <c r="Y119" s="4"/>
      <c r="Z119" s="4"/>
      <c r="AA119" s="4"/>
      <c r="AB119" s="4"/>
      <c r="AC119" s="4"/>
      <c r="AD119" s="4"/>
      <c r="AE119" s="4"/>
      <c r="AF119" s="4"/>
      <c r="AG119" s="4"/>
      <c r="AH119" s="4"/>
      <c r="AI119" s="4"/>
      <c r="AJ119" s="4"/>
      <c r="AK119" s="4"/>
      <c r="AL119" s="4"/>
    </row>
    <row r="120" spans="2:38" ht="30" customHeight="1">
      <c r="B120" s="4"/>
      <c r="C120" s="4"/>
      <c r="D120" s="4"/>
      <c r="E120" s="50"/>
      <c r="F120" s="51"/>
      <c r="G120" s="51"/>
      <c r="H120" s="51"/>
      <c r="I120" s="51"/>
      <c r="J120" s="51"/>
      <c r="K120" s="51"/>
      <c r="L120" s="51"/>
      <c r="M120" s="51"/>
      <c r="N120" s="51"/>
      <c r="O120" s="51"/>
      <c r="P120" s="51"/>
      <c r="Q120" s="51"/>
      <c r="R120" s="51"/>
      <c r="S120" s="51"/>
      <c r="T120" s="51"/>
      <c r="U120" s="51"/>
      <c r="V120" s="51"/>
      <c r="W120" s="51"/>
      <c r="X120" s="51"/>
      <c r="Y120" s="4"/>
      <c r="Z120" s="4"/>
      <c r="AA120" s="4"/>
      <c r="AB120" s="4"/>
      <c r="AC120" s="4"/>
      <c r="AD120" s="4"/>
      <c r="AE120" s="4"/>
      <c r="AF120" s="4"/>
      <c r="AG120" s="4"/>
      <c r="AH120" s="4"/>
      <c r="AI120" s="4"/>
      <c r="AJ120" s="4"/>
      <c r="AK120" s="4"/>
      <c r="AL120" s="4"/>
    </row>
    <row r="121" spans="2:38" ht="30" customHeight="1">
      <c r="B121" s="4"/>
      <c r="C121" s="4"/>
      <c r="D121" s="4"/>
      <c r="E121" s="78"/>
      <c r="F121" s="37">
        <v>2014</v>
      </c>
      <c r="G121" s="37">
        <v>2015</v>
      </c>
      <c r="H121" s="37">
        <v>2016</v>
      </c>
      <c r="I121" s="37">
        <v>2017</v>
      </c>
      <c r="J121" s="37">
        <v>2018</v>
      </c>
      <c r="K121" s="37">
        <v>2019</v>
      </c>
      <c r="L121" s="37">
        <v>2020</v>
      </c>
      <c r="M121" s="37">
        <v>2021</v>
      </c>
      <c r="N121" s="37">
        <v>2022</v>
      </c>
      <c r="O121" s="37">
        <v>2023</v>
      </c>
      <c r="P121" s="37" t="s">
        <v>518</v>
      </c>
      <c r="Q121" s="37" t="s">
        <v>519</v>
      </c>
      <c r="R121" s="38">
        <v>2024</v>
      </c>
      <c r="S121" s="38">
        <f>R121+1</f>
        <v>2025</v>
      </c>
      <c r="T121" s="38">
        <f t="shared" ref="T121:V121" si="118">S121+1</f>
        <v>2026</v>
      </c>
      <c r="U121" s="38">
        <f t="shared" si="118"/>
        <v>2027</v>
      </c>
      <c r="V121" s="38">
        <f t="shared" si="118"/>
        <v>2028</v>
      </c>
      <c r="W121" s="38" t="s">
        <v>94</v>
      </c>
      <c r="X121" s="38" t="s">
        <v>95</v>
      </c>
      <c r="Y121" s="38" t="s">
        <v>328</v>
      </c>
      <c r="Z121" s="91" t="s">
        <v>314</v>
      </c>
      <c r="AA121" s="4"/>
      <c r="AB121" s="4"/>
      <c r="AC121" s="4"/>
      <c r="AD121" s="4"/>
      <c r="AE121" s="4"/>
      <c r="AF121" s="4"/>
      <c r="AG121" s="4"/>
      <c r="AH121" s="4"/>
      <c r="AI121" s="4"/>
      <c r="AJ121" s="4"/>
      <c r="AK121" s="4"/>
      <c r="AL121" s="4"/>
    </row>
    <row r="122" spans="2:38" ht="30" customHeight="1">
      <c r="B122" s="4"/>
      <c r="C122" s="4"/>
      <c r="D122" s="4"/>
      <c r="E122" s="79" t="s">
        <v>12</v>
      </c>
      <c r="F122" s="80"/>
      <c r="G122" s="80"/>
      <c r="H122" s="80"/>
      <c r="I122" s="80"/>
      <c r="J122" s="80">
        <v>0</v>
      </c>
      <c r="K122" s="80">
        <v>0</v>
      </c>
      <c r="L122" s="80">
        <v>0</v>
      </c>
      <c r="M122" s="80">
        <v>0</v>
      </c>
      <c r="N122" s="80">
        <v>63286</v>
      </c>
      <c r="O122" s="80">
        <v>123814</v>
      </c>
      <c r="P122" s="80">
        <v>10596</v>
      </c>
      <c r="Q122" s="80"/>
      <c r="R122" s="80"/>
      <c r="S122" s="80"/>
      <c r="T122" s="80"/>
      <c r="U122" s="80"/>
      <c r="V122" s="80"/>
      <c r="W122" s="80"/>
      <c r="X122" s="81"/>
      <c r="Y122" s="82"/>
      <c r="Z122" s="92"/>
      <c r="AA122" s="4"/>
      <c r="AB122" s="4"/>
      <c r="AC122" s="4"/>
      <c r="AD122" s="4"/>
      <c r="AE122" s="4"/>
      <c r="AF122" s="4"/>
      <c r="AG122" s="4"/>
      <c r="AH122" s="4"/>
      <c r="AI122" s="4"/>
      <c r="AJ122" s="4"/>
      <c r="AK122" s="4"/>
      <c r="AL122" s="4"/>
    </row>
    <row r="123" spans="2:38" ht="30" customHeight="1">
      <c r="B123" s="4"/>
      <c r="C123" s="4"/>
      <c r="D123" s="4"/>
      <c r="E123" s="86" t="s">
        <v>13</v>
      </c>
      <c r="F123" s="42"/>
      <c r="G123" s="42"/>
      <c r="H123" s="42"/>
      <c r="I123" s="42"/>
      <c r="J123" s="42">
        <v>0</v>
      </c>
      <c r="K123" s="42">
        <v>0</v>
      </c>
      <c r="L123" s="42">
        <v>0</v>
      </c>
      <c r="M123" s="42">
        <v>0</v>
      </c>
      <c r="N123" s="42">
        <v>-9026</v>
      </c>
      <c r="O123" s="42">
        <v>-114243</v>
      </c>
      <c r="P123" s="42">
        <v>-7809</v>
      </c>
      <c r="Q123" s="42"/>
      <c r="R123" s="42"/>
      <c r="S123" s="42"/>
      <c r="T123" s="42"/>
      <c r="U123" s="42"/>
      <c r="V123" s="42"/>
      <c r="W123" s="80"/>
      <c r="X123" s="81"/>
      <c r="Y123" s="82"/>
      <c r="Z123" s="92"/>
      <c r="AA123" s="4"/>
      <c r="AB123" s="4"/>
      <c r="AC123" s="4"/>
      <c r="AD123" s="4"/>
      <c r="AE123" s="4"/>
      <c r="AF123" s="4"/>
      <c r="AG123" s="4"/>
      <c r="AH123" s="4"/>
      <c r="AI123" s="4"/>
      <c r="AJ123" s="4"/>
      <c r="AK123" s="4"/>
      <c r="AL123" s="4"/>
    </row>
    <row r="124" spans="2:38" ht="30" customHeight="1">
      <c r="B124" s="4"/>
      <c r="C124" s="4"/>
      <c r="D124" s="4"/>
      <c r="E124" s="86" t="s">
        <v>159</v>
      </c>
      <c r="F124" s="42"/>
      <c r="G124" s="42"/>
      <c r="H124" s="42"/>
      <c r="I124" s="42"/>
      <c r="J124" s="42">
        <v>0</v>
      </c>
      <c r="K124" s="42">
        <v>0</v>
      </c>
      <c r="L124" s="42">
        <v>0</v>
      </c>
      <c r="M124" s="42">
        <v>0</v>
      </c>
      <c r="N124" s="42">
        <v>-28484</v>
      </c>
      <c r="O124" s="42">
        <v>0</v>
      </c>
      <c r="P124" s="42">
        <v>0</v>
      </c>
      <c r="Q124" s="42"/>
      <c r="R124" s="42"/>
      <c r="S124" s="42"/>
      <c r="T124" s="42"/>
      <c r="U124" s="42"/>
      <c r="V124" s="42"/>
      <c r="W124" s="44"/>
      <c r="X124" s="81"/>
      <c r="Y124" s="82"/>
      <c r="Z124" s="92"/>
      <c r="AA124" s="4"/>
      <c r="AB124" s="4"/>
      <c r="AC124" s="4"/>
      <c r="AD124" s="4"/>
      <c r="AE124" s="4"/>
      <c r="AF124" s="4"/>
      <c r="AG124" s="4"/>
      <c r="AH124" s="4"/>
      <c r="AI124" s="4"/>
      <c r="AJ124" s="4"/>
      <c r="AK124" s="4"/>
      <c r="AL124" s="4"/>
    </row>
    <row r="125" spans="2:38" ht="30" customHeight="1">
      <c r="B125" s="4"/>
      <c r="C125" s="4"/>
      <c r="D125" s="4"/>
      <c r="E125" s="79" t="s">
        <v>14</v>
      </c>
      <c r="F125" s="42"/>
      <c r="G125" s="42"/>
      <c r="H125" s="42"/>
      <c r="I125" s="42"/>
      <c r="J125" s="46">
        <f t="shared" ref="J125:N125" si="119">SUM(J122,J123:J124)</f>
        <v>0</v>
      </c>
      <c r="K125" s="46">
        <f t="shared" si="119"/>
        <v>0</v>
      </c>
      <c r="L125" s="46">
        <f t="shared" si="119"/>
        <v>0</v>
      </c>
      <c r="M125" s="46">
        <f t="shared" si="119"/>
        <v>0</v>
      </c>
      <c r="N125" s="46">
        <f t="shared" si="119"/>
        <v>25776</v>
      </c>
      <c r="O125" s="46">
        <f t="shared" ref="O125" si="120">SUM(O122,O123:O124)</f>
        <v>9571</v>
      </c>
      <c r="P125" s="46">
        <f t="shared" ref="P125" si="121">SUM(P122,P123:P124)</f>
        <v>2787</v>
      </c>
      <c r="Q125" s="42"/>
      <c r="R125" s="42"/>
      <c r="S125" s="42"/>
      <c r="T125" s="42"/>
      <c r="U125" s="42"/>
      <c r="V125" s="42"/>
      <c r="W125" s="83"/>
      <c r="X125" s="81"/>
      <c r="Y125" s="82"/>
      <c r="Z125" s="92"/>
      <c r="AA125" s="4"/>
      <c r="AB125" s="4"/>
      <c r="AC125" s="4"/>
      <c r="AD125" s="4"/>
      <c r="AE125" s="4"/>
      <c r="AF125" s="4"/>
      <c r="AG125" s="4"/>
      <c r="AH125" s="4"/>
      <c r="AI125" s="4"/>
      <c r="AJ125" s="4"/>
      <c r="AK125" s="4"/>
      <c r="AL125" s="4"/>
    </row>
    <row r="126" spans="2:38" ht="30" customHeight="1">
      <c r="B126" s="4"/>
      <c r="C126" s="4"/>
      <c r="D126" s="4"/>
      <c r="E126" s="241" t="s">
        <v>51</v>
      </c>
      <c r="F126" s="44"/>
      <c r="G126" s="44"/>
      <c r="H126" s="44"/>
      <c r="I126" s="44"/>
      <c r="J126" s="242">
        <v>0</v>
      </c>
      <c r="K126" s="242">
        <v>0</v>
      </c>
      <c r="L126" s="242">
        <v>0</v>
      </c>
      <c r="M126" s="242">
        <v>0</v>
      </c>
      <c r="N126" s="242">
        <f>N125/N122</f>
        <v>0.40729387226242769</v>
      </c>
      <c r="O126" s="242">
        <f>O125/O122</f>
        <v>7.7301436025005249E-2</v>
      </c>
      <c r="P126" s="242">
        <f>P125/P122</f>
        <v>0.26302378255945641</v>
      </c>
      <c r="Q126" s="44"/>
      <c r="R126" s="44"/>
      <c r="S126" s="44"/>
      <c r="T126" s="44"/>
      <c r="U126" s="44"/>
      <c r="V126" s="44"/>
      <c r="W126" s="83"/>
      <c r="X126" s="81"/>
      <c r="Y126" s="82"/>
      <c r="Z126" s="92"/>
      <c r="AA126" s="4"/>
      <c r="AB126" s="4"/>
      <c r="AC126" s="4"/>
      <c r="AD126" s="4"/>
      <c r="AE126" s="4"/>
      <c r="AF126" s="4"/>
      <c r="AG126" s="4"/>
      <c r="AH126" s="4"/>
      <c r="AI126" s="4"/>
      <c r="AJ126" s="4"/>
      <c r="AK126" s="4"/>
      <c r="AL126" s="4"/>
    </row>
    <row r="127" spans="2:38" ht="30" customHeight="1">
      <c r="B127" s="4"/>
      <c r="C127" s="4"/>
      <c r="D127" s="4"/>
      <c r="E127" s="274" t="s">
        <v>15</v>
      </c>
      <c r="F127" s="275"/>
      <c r="G127" s="275"/>
      <c r="H127" s="275"/>
      <c r="I127" s="275"/>
      <c r="J127" s="40">
        <f t="shared" ref="J127:M127" si="122">SUM(J128,J130:J132)</f>
        <v>21737</v>
      </c>
      <c r="K127" s="40">
        <f t="shared" si="122"/>
        <v>-8508</v>
      </c>
      <c r="L127" s="40">
        <f t="shared" si="122"/>
        <v>-51066</v>
      </c>
      <c r="M127" s="40">
        <f t="shared" si="122"/>
        <v>-57183</v>
      </c>
      <c r="N127" s="40">
        <f>SUM(N128,N130:N132)</f>
        <v>-88803</v>
      </c>
      <c r="O127" s="40">
        <f>SUM(O128,O130:O132)</f>
        <v>-85177</v>
      </c>
      <c r="P127" s="40">
        <f>SUM(P128,P130:P132)</f>
        <v>-6086</v>
      </c>
      <c r="Q127" s="84"/>
      <c r="R127" s="84"/>
      <c r="S127" s="84"/>
      <c r="T127" s="84"/>
      <c r="U127" s="84"/>
      <c r="V127" s="84"/>
      <c r="W127" s="83"/>
      <c r="X127" s="81"/>
      <c r="Y127" s="82"/>
      <c r="Z127" s="92"/>
      <c r="AA127" s="4"/>
      <c r="AB127" s="4"/>
      <c r="AC127" s="4"/>
      <c r="AD127" s="4"/>
      <c r="AE127" s="4"/>
      <c r="AF127" s="4"/>
      <c r="AG127" s="4"/>
      <c r="AH127" s="4"/>
      <c r="AI127" s="4"/>
      <c r="AJ127" s="4"/>
      <c r="AK127" s="4"/>
      <c r="AL127" s="4"/>
    </row>
    <row r="128" spans="2:38" ht="30" customHeight="1">
      <c r="B128" s="4"/>
      <c r="C128" s="4"/>
      <c r="D128" s="4"/>
      <c r="E128" s="86" t="s">
        <v>258</v>
      </c>
      <c r="F128" s="42"/>
      <c r="G128" s="42"/>
      <c r="H128" s="42"/>
      <c r="I128" s="42"/>
      <c r="J128" s="42">
        <v>-4138</v>
      </c>
      <c r="K128" s="42">
        <f>-27-4863</f>
        <v>-4890</v>
      </c>
      <c r="L128" s="42">
        <v>-47407</v>
      </c>
      <c r="M128" s="42">
        <v>-78506</v>
      </c>
      <c r="N128" s="42">
        <v>-98210</v>
      </c>
      <c r="O128" s="42">
        <f>-1686-90588</f>
        <v>-92274</v>
      </c>
      <c r="P128" s="42">
        <f>-1692-6947</f>
        <v>-8639</v>
      </c>
      <c r="Q128" s="42"/>
      <c r="R128" s="42">
        <f>R129*'DRE Consolidado'!W16</f>
        <v>-116490.18998723089</v>
      </c>
      <c r="S128" s="42">
        <f>S129*'DRE Consolidado'!X16</f>
        <v>-133444.10968129919</v>
      </c>
      <c r="T128" s="42">
        <f>T129*'DRE Consolidado'!Y16</f>
        <v>-154429.80746912226</v>
      </c>
      <c r="U128" s="42">
        <f>U129*'DRE Consolidado'!Z16</f>
        <v>-170114.50267391157</v>
      </c>
      <c r="V128" s="42">
        <f>V129*'DRE Consolidado'!AA16</f>
        <v>-186945.25431293284</v>
      </c>
      <c r="W128" s="83" t="s">
        <v>311</v>
      </c>
      <c r="X128" s="81">
        <v>5</v>
      </c>
      <c r="Y128" s="92">
        <f>(N128/J128)^(1/3)-1</f>
        <v>1.8737903022895805</v>
      </c>
      <c r="Z128" s="92">
        <f>(V128/R128)^(1/4)-1</f>
        <v>0.12552792048614925</v>
      </c>
      <c r="AA128" s="4"/>
      <c r="AB128" s="4"/>
      <c r="AC128" s="4"/>
      <c r="AD128" s="4"/>
      <c r="AE128" s="4"/>
      <c r="AF128" s="4"/>
      <c r="AG128" s="4"/>
      <c r="AH128" s="4"/>
      <c r="AI128" s="4"/>
      <c r="AJ128" s="4"/>
      <c r="AK128" s="4"/>
      <c r="AL128" s="4"/>
    </row>
    <row r="129" spans="2:38" ht="30" customHeight="1">
      <c r="B129" s="4"/>
      <c r="C129" s="4"/>
      <c r="D129" s="4"/>
      <c r="E129" s="86" t="s">
        <v>310</v>
      </c>
      <c r="F129" s="44"/>
      <c r="G129" s="44"/>
      <c r="H129" s="44"/>
      <c r="I129" s="44"/>
      <c r="J129" s="44">
        <f>J128/'DRE Consolidado'!O16</f>
        <v>-5.1242113537812233E-4</v>
      </c>
      <c r="K129" s="44">
        <f>K128/'DRE Consolidado'!P16</f>
        <v>-5.0484147100274214E-4</v>
      </c>
      <c r="L129" s="44">
        <f>L128/'DRE Consolidado'!Q16</f>
        <v>-4.8339680293486616E-3</v>
      </c>
      <c r="M129" s="44">
        <f>M128/'DRE Consolidado'!R16</f>
        <v>-5.6616731641120051E-3</v>
      </c>
      <c r="N129" s="44">
        <f>N128/'DRE Consolidado'!S16</f>
        <v>-4.0280059820051771E-3</v>
      </c>
      <c r="O129" s="44">
        <f>O128/'DRE Consolidado'!T16</f>
        <v>-2.8977239485984208E-3</v>
      </c>
      <c r="P129" s="44">
        <f>P128/'DRE Consolidado'!U16</f>
        <v>-9.4446411091041356E-4</v>
      </c>
      <c r="Q129" s="44"/>
      <c r="R129" s="44">
        <f>AVERAGE($J$129:$O$129)</f>
        <v>-3.0731056217408546E-3</v>
      </c>
      <c r="S129" s="44">
        <f t="shared" ref="S129:V129" si="123">AVERAGE($J$129:$O$129)</f>
        <v>-3.0731056217408546E-3</v>
      </c>
      <c r="T129" s="44">
        <f t="shared" si="123"/>
        <v>-3.0731056217408546E-3</v>
      </c>
      <c r="U129" s="44">
        <f t="shared" si="123"/>
        <v>-3.0731056217408546E-3</v>
      </c>
      <c r="V129" s="44">
        <f t="shared" si="123"/>
        <v>-3.0731056217408546E-3</v>
      </c>
      <c r="W129" s="38"/>
      <c r="X129" s="81"/>
      <c r="Y129" s="82"/>
      <c r="Z129" s="92"/>
      <c r="AA129" s="4"/>
      <c r="AB129" s="4"/>
      <c r="AC129" s="4"/>
      <c r="AD129" s="4"/>
      <c r="AE129" s="4"/>
      <c r="AF129" s="4"/>
      <c r="AG129" s="4"/>
      <c r="AH129" s="4"/>
      <c r="AI129" s="4"/>
      <c r="AJ129" s="4"/>
      <c r="AK129" s="4"/>
      <c r="AL129" s="4"/>
    </row>
    <row r="130" spans="2:38" ht="30" customHeight="1">
      <c r="B130" s="4"/>
      <c r="C130" s="4"/>
      <c r="D130" s="4"/>
      <c r="E130" s="86" t="s">
        <v>97</v>
      </c>
      <c r="F130" s="42"/>
      <c r="G130" s="42"/>
      <c r="H130" s="42"/>
      <c r="I130" s="42"/>
      <c r="J130" s="42">
        <v>0</v>
      </c>
      <c r="K130" s="42">
        <v>0</v>
      </c>
      <c r="L130" s="42">
        <v>0</v>
      </c>
      <c r="M130" s="42">
        <v>0</v>
      </c>
      <c r="N130" s="42">
        <v>0</v>
      </c>
      <c r="O130" s="42">
        <v>0</v>
      </c>
      <c r="P130" s="42">
        <v>0</v>
      </c>
      <c r="Q130" s="42"/>
      <c r="R130" s="42"/>
      <c r="S130" s="42"/>
      <c r="T130" s="42"/>
      <c r="U130" s="42"/>
      <c r="V130" s="42"/>
      <c r="W130" s="44"/>
      <c r="X130" s="81"/>
      <c r="Y130" s="82"/>
      <c r="Z130" s="92"/>
      <c r="AA130" s="4"/>
      <c r="AB130" s="4"/>
      <c r="AC130" s="4"/>
      <c r="AD130" s="4"/>
      <c r="AE130" s="4"/>
      <c r="AF130" s="4"/>
      <c r="AG130" s="4"/>
      <c r="AH130" s="4"/>
      <c r="AI130" s="4"/>
      <c r="AJ130" s="4"/>
      <c r="AK130" s="4"/>
      <c r="AL130" s="4"/>
    </row>
    <row r="131" spans="2:38" ht="30" customHeight="1">
      <c r="B131" s="4"/>
      <c r="C131" s="4"/>
      <c r="D131" s="4"/>
      <c r="E131" s="86" t="s">
        <v>19</v>
      </c>
      <c r="F131" s="42"/>
      <c r="G131" s="42"/>
      <c r="H131" s="42"/>
      <c r="I131" s="42"/>
      <c r="J131" s="42">
        <v>25875</v>
      </c>
      <c r="K131" s="42">
        <v>-3618</v>
      </c>
      <c r="L131" s="42">
        <v>-3659</v>
      </c>
      <c r="M131" s="42">
        <v>21323</v>
      </c>
      <c r="N131" s="42">
        <v>9407</v>
      </c>
      <c r="O131" s="42">
        <v>7097</v>
      </c>
      <c r="P131" s="42">
        <v>2553</v>
      </c>
      <c r="Q131" s="42"/>
      <c r="R131" s="42"/>
      <c r="S131" s="42"/>
      <c r="T131" s="42"/>
      <c r="U131" s="42"/>
      <c r="V131" s="42"/>
      <c r="W131" s="83"/>
      <c r="X131" s="81"/>
      <c r="Y131" s="82"/>
      <c r="Z131" s="92"/>
      <c r="AA131" s="4"/>
      <c r="AB131" s="4"/>
      <c r="AC131" s="4"/>
      <c r="AD131" s="4"/>
      <c r="AE131" s="4"/>
      <c r="AF131" s="4"/>
      <c r="AG131" s="4"/>
      <c r="AH131" s="4"/>
      <c r="AI131" s="4"/>
      <c r="AJ131" s="4"/>
      <c r="AK131" s="4"/>
      <c r="AL131" s="4"/>
    </row>
    <row r="132" spans="2:38" ht="30" customHeight="1">
      <c r="B132" s="4"/>
      <c r="C132" s="4"/>
      <c r="D132" s="4"/>
      <c r="E132" s="86" t="s">
        <v>41</v>
      </c>
      <c r="F132" s="42"/>
      <c r="G132" s="42"/>
      <c r="H132" s="42"/>
      <c r="I132" s="42"/>
      <c r="J132" s="42">
        <v>0</v>
      </c>
      <c r="K132" s="42">
        <v>0</v>
      </c>
      <c r="L132" s="42">
        <v>0</v>
      </c>
      <c r="M132" s="42">
        <v>0</v>
      </c>
      <c r="N132" s="42">
        <v>0</v>
      </c>
      <c r="O132" s="42">
        <v>0</v>
      </c>
      <c r="P132" s="42">
        <v>0</v>
      </c>
      <c r="Q132" s="42"/>
      <c r="R132" s="42"/>
      <c r="S132" s="42"/>
      <c r="T132" s="42"/>
      <c r="U132" s="42"/>
      <c r="V132" s="42"/>
      <c r="W132" s="83"/>
      <c r="X132" s="81"/>
      <c r="Y132" s="82"/>
      <c r="Z132" s="92"/>
      <c r="AA132" s="4"/>
      <c r="AB132" s="4"/>
      <c r="AC132" s="4"/>
      <c r="AD132" s="4"/>
      <c r="AE132" s="4"/>
      <c r="AF132" s="4"/>
      <c r="AG132" s="4"/>
      <c r="AH132" s="4"/>
      <c r="AI132" s="4"/>
      <c r="AJ132" s="4"/>
      <c r="AK132" s="4"/>
      <c r="AL132" s="4"/>
    </row>
    <row r="133" spans="2:38" ht="30" customHeight="1" thickBot="1">
      <c r="B133" s="4"/>
      <c r="C133" s="4"/>
      <c r="D133" s="4"/>
      <c r="E133" s="79" t="s">
        <v>16</v>
      </c>
      <c r="F133" s="42"/>
      <c r="G133" s="42"/>
      <c r="H133" s="42"/>
      <c r="I133" s="42"/>
      <c r="J133" s="40">
        <f t="shared" ref="J133:P133" si="124">SUM(J125,J127)</f>
        <v>21737</v>
      </c>
      <c r="K133" s="40">
        <f t="shared" si="124"/>
        <v>-8508</v>
      </c>
      <c r="L133" s="40">
        <f t="shared" si="124"/>
        <v>-51066</v>
      </c>
      <c r="M133" s="40">
        <f t="shared" si="124"/>
        <v>-57183</v>
      </c>
      <c r="N133" s="40">
        <f t="shared" si="124"/>
        <v>-63027</v>
      </c>
      <c r="O133" s="40">
        <f t="shared" si="124"/>
        <v>-75606</v>
      </c>
      <c r="P133" s="40">
        <f t="shared" si="124"/>
        <v>-3299</v>
      </c>
      <c r="Q133" s="40"/>
      <c r="R133" s="40">
        <f>R128</f>
        <v>-116490.18998723089</v>
      </c>
      <c r="S133" s="40">
        <f t="shared" ref="S133:V133" si="125">S128</f>
        <v>-133444.10968129919</v>
      </c>
      <c r="T133" s="40">
        <f t="shared" si="125"/>
        <v>-154429.80746912226</v>
      </c>
      <c r="U133" s="40">
        <f t="shared" si="125"/>
        <v>-170114.50267391157</v>
      </c>
      <c r="V133" s="40">
        <f t="shared" si="125"/>
        <v>-186945.25431293284</v>
      </c>
      <c r="W133" s="278" t="s">
        <v>521</v>
      </c>
      <c r="X133" s="205"/>
      <c r="Y133" s="205"/>
      <c r="Z133" s="92"/>
      <c r="AA133" s="4"/>
      <c r="AB133" s="4"/>
      <c r="AC133" s="4"/>
      <c r="AD133" s="4"/>
      <c r="AE133" s="4"/>
      <c r="AF133" s="4"/>
      <c r="AG133" s="4"/>
      <c r="AH133" s="4"/>
      <c r="AI133" s="4"/>
      <c r="AJ133" s="4"/>
      <c r="AK133" s="4"/>
      <c r="AL133" s="4"/>
    </row>
    <row r="134" spans="2:38" ht="30" customHeight="1">
      <c r="B134" s="4"/>
      <c r="C134" s="4"/>
      <c r="D134" s="4"/>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c r="AA134" s="4"/>
      <c r="AB134" s="4"/>
      <c r="AC134" s="4"/>
      <c r="AD134" s="4"/>
      <c r="AE134" s="4"/>
      <c r="AF134" s="4"/>
      <c r="AG134" s="4"/>
      <c r="AH134" s="4"/>
      <c r="AI134" s="4"/>
      <c r="AJ134" s="4"/>
      <c r="AK134" s="4"/>
      <c r="AL134" s="4"/>
    </row>
    <row r="135" spans="2:38" ht="30" customHeight="1">
      <c r="B135" s="4"/>
      <c r="C135" s="4"/>
      <c r="D135" s="4"/>
      <c r="E135" s="50"/>
      <c r="F135" s="51"/>
      <c r="G135" s="51"/>
      <c r="H135" s="51"/>
      <c r="I135" s="51"/>
      <c r="J135" s="51"/>
      <c r="K135" s="51"/>
      <c r="L135" s="51"/>
      <c r="M135" s="51"/>
      <c r="N135" s="51"/>
      <c r="O135" s="51"/>
      <c r="P135" s="51"/>
      <c r="Q135" s="51"/>
      <c r="R135" s="51"/>
      <c r="S135" s="51"/>
      <c r="T135" s="51"/>
      <c r="U135" s="51"/>
      <c r="V135" s="51"/>
      <c r="W135" s="51"/>
      <c r="X135" s="51"/>
      <c r="Y135" s="4"/>
      <c r="Z135" s="4"/>
      <c r="AA135" s="4"/>
      <c r="AB135" s="4"/>
      <c r="AC135" s="4"/>
      <c r="AD135" s="4"/>
      <c r="AE135" s="4"/>
      <c r="AF135" s="4"/>
      <c r="AG135" s="4"/>
      <c r="AH135" s="4"/>
      <c r="AI135" s="4"/>
      <c r="AJ135" s="4"/>
      <c r="AK135" s="4"/>
      <c r="AL135" s="4"/>
    </row>
    <row r="136" spans="2:38" ht="30" customHeight="1">
      <c r="B136" s="4"/>
      <c r="C136" s="4"/>
      <c r="D136" s="4"/>
      <c r="E136" s="50"/>
      <c r="F136" s="51"/>
      <c r="G136" s="51"/>
      <c r="H136" s="51"/>
      <c r="I136" s="51"/>
      <c r="J136" s="51"/>
      <c r="K136" s="51"/>
      <c r="L136" s="51"/>
      <c r="M136" s="51"/>
      <c r="N136" s="51"/>
      <c r="O136" s="51"/>
      <c r="P136" s="51"/>
      <c r="Q136" s="51"/>
      <c r="R136" s="51"/>
      <c r="S136" s="51"/>
      <c r="T136" s="51"/>
      <c r="U136" s="51"/>
      <c r="V136" s="51"/>
      <c r="W136" s="51"/>
      <c r="X136" s="51"/>
      <c r="Y136" s="4"/>
      <c r="Z136" s="4"/>
      <c r="AA136" s="4"/>
      <c r="AB136" s="4"/>
      <c r="AC136" s="4"/>
      <c r="AD136" s="4"/>
      <c r="AE136" s="4"/>
      <c r="AF136" s="4"/>
      <c r="AG136" s="4"/>
      <c r="AH136" s="4"/>
      <c r="AI136" s="4"/>
      <c r="AJ136" s="4"/>
      <c r="AK136" s="4"/>
      <c r="AL136" s="4"/>
    </row>
    <row r="137" spans="2:38" ht="30" customHeight="1">
      <c r="B137" s="4"/>
      <c r="C137" s="4"/>
      <c r="D137" s="4"/>
      <c r="E137" s="78"/>
      <c r="F137" s="37">
        <v>2014</v>
      </c>
      <c r="G137" s="37">
        <v>2015</v>
      </c>
      <c r="H137" s="37">
        <v>2016</v>
      </c>
      <c r="I137" s="37">
        <v>2017</v>
      </c>
      <c r="J137" s="37">
        <v>2018</v>
      </c>
      <c r="K137" s="37">
        <v>2019</v>
      </c>
      <c r="L137" s="37">
        <v>2020</v>
      </c>
      <c r="M137" s="37">
        <v>2021</v>
      </c>
      <c r="N137" s="37">
        <v>2022</v>
      </c>
      <c r="O137" s="37">
        <v>2023</v>
      </c>
      <c r="P137" s="37" t="s">
        <v>518</v>
      </c>
      <c r="Q137" s="37" t="s">
        <v>519</v>
      </c>
      <c r="R137" s="38">
        <v>2024</v>
      </c>
      <c r="S137" s="38">
        <f>R137+1</f>
        <v>2025</v>
      </c>
      <c r="T137" s="38">
        <f t="shared" ref="T137:V137" si="126">S137+1</f>
        <v>2026</v>
      </c>
      <c r="U137" s="38">
        <f t="shared" si="126"/>
        <v>2027</v>
      </c>
      <c r="V137" s="38">
        <f t="shared" si="126"/>
        <v>2028</v>
      </c>
      <c r="W137" s="38" t="s">
        <v>94</v>
      </c>
      <c r="X137" s="38" t="s">
        <v>95</v>
      </c>
      <c r="Y137" s="38" t="s">
        <v>328</v>
      </c>
      <c r="Z137" s="91" t="s">
        <v>314</v>
      </c>
      <c r="AA137" s="4"/>
      <c r="AB137" s="4"/>
      <c r="AC137" s="4"/>
      <c r="AD137" s="4"/>
      <c r="AE137" s="4"/>
      <c r="AF137" s="4"/>
      <c r="AG137" s="4"/>
      <c r="AH137" s="4"/>
      <c r="AI137" s="4"/>
      <c r="AJ137" s="4"/>
      <c r="AK137" s="4"/>
      <c r="AL137" s="4"/>
    </row>
    <row r="138" spans="2:38" ht="30" customHeight="1">
      <c r="B138" s="4"/>
      <c r="C138" s="4"/>
      <c r="D138" s="4"/>
      <c r="E138" s="79" t="s">
        <v>12</v>
      </c>
      <c r="F138" s="80">
        <v>-115197</v>
      </c>
      <c r="G138" s="80">
        <v>-203939</v>
      </c>
      <c r="H138" s="80">
        <v>-197163</v>
      </c>
      <c r="I138" s="80">
        <v>-198350</v>
      </c>
      <c r="J138" s="80">
        <v>-152176</v>
      </c>
      <c r="K138" s="80">
        <v>-223981</v>
      </c>
      <c r="L138" s="80">
        <v>-127199</v>
      </c>
      <c r="M138" s="80">
        <v>-194529</v>
      </c>
      <c r="N138" s="80">
        <v>-603318</v>
      </c>
      <c r="O138" s="80">
        <v>-706361</v>
      </c>
      <c r="P138" s="80">
        <v>-124922</v>
      </c>
      <c r="Q138" s="80">
        <f>R138-P138</f>
        <v>-608908.58831095416</v>
      </c>
      <c r="R138" s="80">
        <f>-R140*R12</f>
        <v>-733830.58831095416</v>
      </c>
      <c r="S138" s="80">
        <f>-S140*S12</f>
        <v>-840631.89805762516</v>
      </c>
      <c r="T138" s="80">
        <f>-T140*T12</f>
        <v>-972831.41593498609</v>
      </c>
      <c r="U138" s="80">
        <f>-U140*U12</f>
        <v>-1071637.239076576</v>
      </c>
      <c r="V138" s="80">
        <f>-V140*V12</f>
        <v>-1177662.650987505</v>
      </c>
      <c r="W138" s="276" t="s">
        <v>312</v>
      </c>
      <c r="X138" s="81">
        <v>5</v>
      </c>
      <c r="Y138" s="82">
        <f>(N138/F138)^(1/8)-1</f>
        <v>0.22995193247367673</v>
      </c>
      <c r="Z138" s="92">
        <f>(V138/R138)^(1/4)-1</f>
        <v>0.12552792048614925</v>
      </c>
      <c r="AA138" s="4"/>
      <c r="AB138" s="4"/>
      <c r="AC138" s="4"/>
      <c r="AD138" s="4"/>
      <c r="AE138" s="4"/>
      <c r="AF138" s="4"/>
      <c r="AG138" s="4"/>
      <c r="AH138" s="4"/>
      <c r="AI138" s="4"/>
      <c r="AJ138" s="4"/>
      <c r="AK138" s="4"/>
      <c r="AL138" s="4"/>
    </row>
    <row r="139" spans="2:38" ht="30" customHeight="1">
      <c r="B139" s="4"/>
      <c r="C139" s="4"/>
      <c r="D139" s="4"/>
      <c r="E139" s="86" t="s">
        <v>47</v>
      </c>
      <c r="F139" s="44">
        <v>0</v>
      </c>
      <c r="G139" s="44">
        <f t="shared" ref="G139:O139" si="127">G138/F138-1</f>
        <v>0.7703499223070045</v>
      </c>
      <c r="H139" s="44">
        <f t="shared" si="127"/>
        <v>-3.3225621386787196E-2</v>
      </c>
      <c r="I139" s="44">
        <f t="shared" si="127"/>
        <v>6.0203993649923238E-3</v>
      </c>
      <c r="J139" s="44">
        <f t="shared" si="127"/>
        <v>-0.23279052180489035</v>
      </c>
      <c r="K139" s="44">
        <f t="shared" si="127"/>
        <v>0.47185495741772687</v>
      </c>
      <c r="L139" s="44">
        <f t="shared" si="127"/>
        <v>-0.43209915126729503</v>
      </c>
      <c r="M139" s="44">
        <f t="shared" si="127"/>
        <v>0.52932806075519467</v>
      </c>
      <c r="N139" s="44">
        <f t="shared" si="127"/>
        <v>2.1014296068966583</v>
      </c>
      <c r="O139" s="44">
        <f t="shared" si="127"/>
        <v>0.17079384337944492</v>
      </c>
      <c r="P139" s="44"/>
      <c r="Q139" s="44"/>
      <c r="R139" s="44">
        <f>R138/O138-1</f>
        <v>3.8888880205665499E-2</v>
      </c>
      <c r="S139" s="44">
        <f t="shared" ref="S139:V139" si="128">S138/R138-1</f>
        <v>0.14553946298762743</v>
      </c>
      <c r="T139" s="44">
        <f t="shared" si="128"/>
        <v>0.15726207651984514</v>
      </c>
      <c r="U139" s="44">
        <f t="shared" si="128"/>
        <v>0.10156520597829144</v>
      </c>
      <c r="V139" s="44">
        <f t="shared" si="128"/>
        <v>9.8937782343482716E-2</v>
      </c>
      <c r="W139" s="80"/>
      <c r="X139" s="81"/>
      <c r="Y139" s="82"/>
      <c r="Z139" s="92"/>
      <c r="AA139" s="4"/>
      <c r="AB139" s="4"/>
      <c r="AC139" s="4"/>
      <c r="AD139" s="4"/>
      <c r="AE139" s="4"/>
      <c r="AF139" s="4"/>
      <c r="AG139" s="4"/>
      <c r="AH139" s="4"/>
      <c r="AI139" s="4"/>
      <c r="AJ139" s="4"/>
      <c r="AK139" s="4"/>
      <c r="AL139" s="4"/>
    </row>
    <row r="140" spans="2:38" ht="30" customHeight="1">
      <c r="B140" s="4"/>
      <c r="C140" s="4"/>
      <c r="D140" s="4"/>
      <c r="E140" s="86" t="s">
        <v>336</v>
      </c>
      <c r="F140" s="44"/>
      <c r="G140" s="44"/>
      <c r="H140" s="44"/>
      <c r="I140" s="44"/>
      <c r="J140" s="44">
        <f t="shared" ref="J140:Q140" si="129">-J138/J12</f>
        <v>1.8605711559420323E-2</v>
      </c>
      <c r="K140" s="44">
        <f t="shared" si="129"/>
        <v>2.2711555129465648E-2</v>
      </c>
      <c r="L140" s="44">
        <f t="shared" si="129"/>
        <v>1.2804079137879065E-2</v>
      </c>
      <c r="M140" s="44">
        <f t="shared" si="129"/>
        <v>1.3834896490256751E-2</v>
      </c>
      <c r="N140" s="44">
        <f t="shared" si="129"/>
        <v>2.420842264261417E-2</v>
      </c>
      <c r="O140" s="44">
        <f t="shared" si="129"/>
        <v>2.1783677801616899E-2</v>
      </c>
      <c r="P140" s="44">
        <f t="shared" si="129"/>
        <v>1.3652447816725271E-2</v>
      </c>
      <c r="Q140" s="44">
        <f t="shared" si="129"/>
        <v>4.1980570917765289E-2</v>
      </c>
      <c r="R140" s="44">
        <f>AVERAGE($J$140:$O$140)</f>
        <v>1.8991390460208809E-2</v>
      </c>
      <c r="S140" s="44">
        <f t="shared" ref="S140:V140" si="130">AVERAGE($J$140:$O$140)</f>
        <v>1.8991390460208809E-2</v>
      </c>
      <c r="T140" s="44">
        <f t="shared" si="130"/>
        <v>1.8991390460208809E-2</v>
      </c>
      <c r="U140" s="44">
        <f t="shared" si="130"/>
        <v>1.8991390460208809E-2</v>
      </c>
      <c r="V140" s="44">
        <f t="shared" si="130"/>
        <v>1.8991390460208809E-2</v>
      </c>
      <c r="W140" s="80"/>
      <c r="X140" s="81"/>
      <c r="Y140" s="82"/>
      <c r="Z140" s="92"/>
      <c r="AA140" s="4"/>
      <c r="AB140" s="4"/>
      <c r="AC140" s="4"/>
      <c r="AD140" s="4"/>
      <c r="AE140" s="4"/>
      <c r="AF140" s="4"/>
      <c r="AG140" s="4"/>
      <c r="AH140" s="4"/>
      <c r="AI140" s="4"/>
      <c r="AJ140" s="4"/>
      <c r="AK140" s="4"/>
      <c r="AL140" s="4"/>
    </row>
    <row r="141" spans="2:38" ht="30" customHeight="1">
      <c r="B141" s="4"/>
      <c r="C141" s="4"/>
      <c r="D141" s="4"/>
      <c r="E141" s="86" t="s">
        <v>13</v>
      </c>
      <c r="F141" s="42">
        <v>115197</v>
      </c>
      <c r="G141" s="42">
        <v>186698</v>
      </c>
      <c r="H141" s="42">
        <v>197167</v>
      </c>
      <c r="I141" s="42">
        <v>182288</v>
      </c>
      <c r="J141" s="42">
        <v>63460</v>
      </c>
      <c r="K141" s="42">
        <v>47293</v>
      </c>
      <c r="L141" s="42">
        <v>8321</v>
      </c>
      <c r="M141" s="42">
        <v>28049</v>
      </c>
      <c r="N141" s="42">
        <v>164141</v>
      </c>
      <c r="O141" s="42">
        <v>578695</v>
      </c>
      <c r="P141" s="42">
        <v>114044</v>
      </c>
      <c r="Q141" s="42"/>
      <c r="R141" s="42"/>
      <c r="S141" s="42"/>
      <c r="T141" s="42"/>
      <c r="U141" s="42"/>
      <c r="V141" s="42"/>
      <c r="W141" s="80"/>
      <c r="X141" s="81"/>
      <c r="Y141" s="82"/>
      <c r="Z141" s="92"/>
      <c r="AA141" s="4"/>
      <c r="AB141" s="4"/>
      <c r="AC141" s="4"/>
      <c r="AD141" s="4"/>
      <c r="AE141" s="4"/>
      <c r="AF141" s="4"/>
      <c r="AG141" s="4"/>
      <c r="AH141" s="4"/>
      <c r="AI141" s="4"/>
      <c r="AJ141" s="4"/>
      <c r="AK141" s="4"/>
      <c r="AL141" s="4"/>
    </row>
    <row r="142" spans="2:38" ht="30" customHeight="1">
      <c r="B142" s="4"/>
      <c r="C142" s="4"/>
      <c r="D142" s="4"/>
      <c r="E142" s="86" t="s">
        <v>159</v>
      </c>
      <c r="F142" s="42"/>
      <c r="G142" s="42">
        <v>17241</v>
      </c>
      <c r="H142" s="42">
        <v>-4</v>
      </c>
      <c r="I142" s="42">
        <v>16062</v>
      </c>
      <c r="J142" s="42">
        <v>82485</v>
      </c>
      <c r="K142" s="42">
        <v>172815</v>
      </c>
      <c r="L142" s="42">
        <v>106877</v>
      </c>
      <c r="M142" s="42">
        <v>163076</v>
      </c>
      <c r="N142" s="42">
        <v>408748</v>
      </c>
      <c r="O142" s="42">
        <v>0</v>
      </c>
      <c r="P142" s="42">
        <v>0</v>
      </c>
      <c r="Q142" s="42"/>
      <c r="R142" s="42"/>
      <c r="S142" s="42"/>
      <c r="T142" s="42"/>
      <c r="U142" s="42"/>
      <c r="V142" s="42"/>
      <c r="W142" s="80"/>
      <c r="X142" s="81"/>
      <c r="Y142" s="82"/>
      <c r="Z142" s="92"/>
      <c r="AA142" s="4"/>
      <c r="AB142" s="4"/>
      <c r="AC142" s="4"/>
      <c r="AD142" s="4"/>
      <c r="AE142" s="4"/>
      <c r="AF142" s="4"/>
      <c r="AG142" s="4"/>
      <c r="AH142" s="4"/>
      <c r="AI142" s="4"/>
      <c r="AJ142" s="4"/>
      <c r="AK142" s="4"/>
      <c r="AL142" s="4"/>
    </row>
    <row r="143" spans="2:38" ht="30" customHeight="1">
      <c r="B143" s="4"/>
      <c r="C143" s="4"/>
      <c r="D143" s="4"/>
      <c r="E143" s="79" t="s">
        <v>14</v>
      </c>
      <c r="F143" s="42"/>
      <c r="G143" s="42"/>
      <c r="H143" s="42"/>
      <c r="I143" s="42"/>
      <c r="J143" s="42"/>
      <c r="K143" s="46">
        <f t="shared" ref="K143:P143" si="131">SUM(K138,K141:K142)</f>
        <v>-3873</v>
      </c>
      <c r="L143" s="46">
        <f t="shared" si="131"/>
        <v>-12001</v>
      </c>
      <c r="M143" s="46">
        <f t="shared" si="131"/>
        <v>-3404</v>
      </c>
      <c r="N143" s="46">
        <f t="shared" si="131"/>
        <v>-30429</v>
      </c>
      <c r="O143" s="46">
        <f t="shared" si="131"/>
        <v>-127666</v>
      </c>
      <c r="P143" s="46">
        <f t="shared" si="131"/>
        <v>-10878</v>
      </c>
      <c r="Q143" s="42"/>
      <c r="R143" s="42"/>
      <c r="S143" s="42"/>
      <c r="T143" s="42"/>
      <c r="U143" s="42"/>
      <c r="V143" s="42"/>
      <c r="W143" s="83"/>
      <c r="X143" s="81"/>
      <c r="Y143" s="82"/>
      <c r="Z143" s="92"/>
      <c r="AA143" s="4"/>
      <c r="AB143" s="4"/>
      <c r="AC143" s="4"/>
      <c r="AD143" s="4"/>
      <c r="AE143" s="4"/>
      <c r="AF143" s="4"/>
      <c r="AG143" s="4"/>
      <c r="AH143" s="4"/>
      <c r="AI143" s="4"/>
      <c r="AJ143" s="4"/>
      <c r="AK143" s="4"/>
      <c r="AL143" s="4"/>
    </row>
    <row r="144" spans="2:38" ht="30" customHeight="1">
      <c r="B144" s="4"/>
      <c r="C144" s="4"/>
      <c r="D144" s="4"/>
      <c r="E144" s="241" t="s">
        <v>51</v>
      </c>
      <c r="F144" s="44"/>
      <c r="G144" s="44"/>
      <c r="H144" s="44"/>
      <c r="I144" s="44"/>
      <c r="J144" s="242"/>
      <c r="K144" s="242">
        <f>K143/K138</f>
        <v>1.7291645273483019E-2</v>
      </c>
      <c r="L144" s="242">
        <f t="shared" ref="L144:M144" si="132">L143/L138</f>
        <v>9.4348226008066097E-2</v>
      </c>
      <c r="M144" s="242">
        <f t="shared" si="132"/>
        <v>1.7498676289910503E-2</v>
      </c>
      <c r="N144" s="242">
        <f t="shared" ref="N144:P144" si="133">N143/N138</f>
        <v>5.0436088430976696E-2</v>
      </c>
      <c r="O144" s="242">
        <f t="shared" ref="O144" si="134">O143/O138</f>
        <v>0.18073761150459891</v>
      </c>
      <c r="P144" s="242">
        <f t="shared" si="133"/>
        <v>8.7078336882214502E-2</v>
      </c>
      <c r="Q144" s="44"/>
      <c r="R144" s="44"/>
      <c r="S144" s="44"/>
      <c r="T144" s="44"/>
      <c r="U144" s="44"/>
      <c r="V144" s="44"/>
      <c r="W144" s="83"/>
      <c r="X144" s="81"/>
      <c r="Y144" s="82"/>
      <c r="Z144" s="92"/>
      <c r="AA144" s="4"/>
      <c r="AB144" s="4"/>
      <c r="AC144" s="4"/>
      <c r="AD144" s="4"/>
      <c r="AE144" s="4"/>
      <c r="AF144" s="4"/>
      <c r="AG144" s="4"/>
      <c r="AH144" s="4"/>
      <c r="AI144" s="4"/>
      <c r="AJ144" s="4"/>
      <c r="AK144" s="4"/>
      <c r="AL144" s="4"/>
    </row>
    <row r="145" spans="2:38" ht="30" customHeight="1">
      <c r="B145" s="4"/>
      <c r="C145" s="4"/>
      <c r="D145" s="4"/>
      <c r="E145" s="86" t="s">
        <v>15</v>
      </c>
      <c r="F145" s="204"/>
      <c r="G145" s="204"/>
      <c r="H145" s="204"/>
      <c r="I145" s="204"/>
      <c r="J145" s="84"/>
      <c r="K145" s="84">
        <f t="shared" ref="K145:P145" si="135">SUM(K147:K150)</f>
        <v>3855</v>
      </c>
      <c r="L145" s="84">
        <f t="shared" si="135"/>
        <v>21686</v>
      </c>
      <c r="M145" s="84">
        <f t="shared" si="135"/>
        <v>-2147</v>
      </c>
      <c r="N145" s="84">
        <f t="shared" si="135"/>
        <v>28373</v>
      </c>
      <c r="O145" s="84">
        <f t="shared" si="135"/>
        <v>28593</v>
      </c>
      <c r="P145" s="84">
        <f t="shared" si="135"/>
        <v>11949</v>
      </c>
      <c r="Q145" s="84"/>
      <c r="R145" s="84"/>
      <c r="S145" s="84"/>
      <c r="T145" s="84"/>
      <c r="U145" s="84"/>
      <c r="V145" s="84"/>
      <c r="W145" s="83"/>
      <c r="X145" s="81"/>
      <c r="Y145" s="82"/>
      <c r="Z145" s="92"/>
      <c r="AA145" s="4"/>
      <c r="AB145" s="4"/>
      <c r="AC145" s="4"/>
      <c r="AD145" s="4"/>
      <c r="AE145" s="4"/>
      <c r="AF145" s="4"/>
      <c r="AG145" s="4"/>
      <c r="AH145" s="4"/>
      <c r="AI145" s="4"/>
      <c r="AJ145" s="4"/>
      <c r="AK145" s="4"/>
      <c r="AL145" s="4"/>
    </row>
    <row r="146" spans="2:38" ht="30" customHeight="1">
      <c r="B146" s="4"/>
      <c r="C146" s="4"/>
      <c r="D146" s="4"/>
      <c r="E146" s="86" t="s">
        <v>30</v>
      </c>
      <c r="F146" s="44"/>
      <c r="G146" s="44"/>
      <c r="H146" s="44"/>
      <c r="I146" s="44"/>
      <c r="J146" s="44"/>
      <c r="K146" s="44">
        <f t="shared" ref="K146:P146" si="136">K145/K138</f>
        <v>-1.7211281314040029E-2</v>
      </c>
      <c r="L146" s="44">
        <f t="shared" si="136"/>
        <v>-0.17048876170410146</v>
      </c>
      <c r="M146" s="44">
        <f t="shared" si="136"/>
        <v>1.1036914804476453E-2</v>
      </c>
      <c r="N146" s="44">
        <f t="shared" si="136"/>
        <v>-4.702826701673081E-2</v>
      </c>
      <c r="O146" s="44">
        <f t="shared" si="136"/>
        <v>-4.0479301660199245E-2</v>
      </c>
      <c r="P146" s="44">
        <f t="shared" si="136"/>
        <v>-9.5651686652471146E-2</v>
      </c>
      <c r="Q146" s="44"/>
      <c r="R146" s="44"/>
      <c r="S146" s="44"/>
      <c r="T146" s="44"/>
      <c r="U146" s="44"/>
      <c r="V146" s="44"/>
      <c r="W146" s="83"/>
      <c r="X146" s="81"/>
      <c r="Y146" s="82"/>
      <c r="Z146" s="92"/>
      <c r="AA146" s="4"/>
      <c r="AB146" s="4"/>
      <c r="AC146" s="4"/>
      <c r="AD146" s="4"/>
      <c r="AE146" s="4"/>
      <c r="AF146" s="4"/>
      <c r="AG146" s="4"/>
      <c r="AH146" s="4"/>
      <c r="AI146" s="4"/>
      <c r="AJ146" s="4"/>
      <c r="AK146" s="4"/>
      <c r="AL146" s="4"/>
    </row>
    <row r="147" spans="2:38" ht="30" customHeight="1">
      <c r="B147" s="4"/>
      <c r="C147" s="4"/>
      <c r="D147" s="4"/>
      <c r="E147" s="86" t="s">
        <v>258</v>
      </c>
      <c r="F147" s="42"/>
      <c r="G147" s="42"/>
      <c r="H147" s="42"/>
      <c r="I147" s="42"/>
      <c r="J147" s="42"/>
      <c r="K147" s="42">
        <v>3846</v>
      </c>
      <c r="L147" s="42">
        <f>6584+16552</f>
        <v>23136</v>
      </c>
      <c r="M147" s="42">
        <f>4640+7211</f>
        <v>11851</v>
      </c>
      <c r="N147" s="42">
        <f>34453+62</f>
        <v>34515</v>
      </c>
      <c r="O147" s="42">
        <f>35480+809</f>
        <v>36289</v>
      </c>
      <c r="P147" s="42">
        <f>13093-1144</f>
        <v>11949</v>
      </c>
      <c r="Q147" s="42"/>
      <c r="R147" s="42"/>
      <c r="S147" s="42"/>
      <c r="T147" s="42"/>
      <c r="U147" s="42"/>
      <c r="V147" s="42"/>
      <c r="W147" s="83"/>
      <c r="X147" s="81"/>
      <c r="Y147" s="82"/>
      <c r="Z147" s="92"/>
      <c r="AA147" s="4"/>
      <c r="AB147" s="4"/>
      <c r="AC147" s="4"/>
      <c r="AD147" s="4"/>
      <c r="AE147" s="4"/>
      <c r="AF147" s="4"/>
      <c r="AG147" s="4"/>
      <c r="AH147" s="4"/>
      <c r="AI147" s="4"/>
      <c r="AJ147" s="4"/>
      <c r="AK147" s="4"/>
      <c r="AL147" s="4"/>
    </row>
    <row r="148" spans="2:38" ht="30" customHeight="1">
      <c r="B148" s="4"/>
      <c r="C148" s="4"/>
      <c r="D148" s="4"/>
      <c r="E148" s="86" t="s">
        <v>97</v>
      </c>
      <c r="F148" s="42"/>
      <c r="G148" s="42"/>
      <c r="H148" s="42"/>
      <c r="I148" s="42"/>
      <c r="J148" s="42"/>
      <c r="K148" s="42">
        <v>-7777</v>
      </c>
      <c r="L148" s="42">
        <v>-1</v>
      </c>
      <c r="M148" s="42">
        <v>0</v>
      </c>
      <c r="N148" s="42">
        <v>0</v>
      </c>
      <c r="O148" s="42">
        <v>0</v>
      </c>
      <c r="P148" s="42">
        <v>0</v>
      </c>
      <c r="Q148" s="42"/>
      <c r="R148" s="42"/>
      <c r="S148" s="42"/>
      <c r="T148" s="42"/>
      <c r="U148" s="42"/>
      <c r="V148" s="42"/>
      <c r="W148" s="83"/>
      <c r="X148" s="81"/>
      <c r="Y148" s="82"/>
      <c r="Z148" s="92"/>
      <c r="AA148" s="4"/>
      <c r="AB148" s="4"/>
      <c r="AC148" s="4"/>
      <c r="AD148" s="4"/>
      <c r="AE148" s="4"/>
      <c r="AF148" s="4"/>
      <c r="AG148" s="4"/>
      <c r="AH148" s="4"/>
      <c r="AI148" s="4"/>
      <c r="AJ148" s="4"/>
      <c r="AK148" s="4"/>
      <c r="AL148" s="4"/>
    </row>
    <row r="149" spans="2:38" ht="30" customHeight="1">
      <c r="B149" s="4"/>
      <c r="C149" s="4"/>
      <c r="D149" s="4"/>
      <c r="E149" s="86" t="s">
        <v>19</v>
      </c>
      <c r="F149" s="42"/>
      <c r="G149" s="42"/>
      <c r="H149" s="42"/>
      <c r="I149" s="42"/>
      <c r="J149" s="42"/>
      <c r="K149" s="42">
        <v>7786</v>
      </c>
      <c r="L149" s="42">
        <v>-1449</v>
      </c>
      <c r="M149" s="42">
        <v>-13951</v>
      </c>
      <c r="N149" s="42">
        <v>-6137</v>
      </c>
      <c r="O149" s="42">
        <v>-7696</v>
      </c>
      <c r="P149" s="42">
        <v>0</v>
      </c>
      <c r="Q149" s="42"/>
      <c r="R149" s="42"/>
      <c r="S149" s="42"/>
      <c r="T149" s="42"/>
      <c r="U149" s="42"/>
      <c r="V149" s="42"/>
      <c r="W149" s="83"/>
      <c r="X149" s="81"/>
      <c r="Y149" s="82"/>
      <c r="Z149" s="92"/>
      <c r="AA149" s="4"/>
      <c r="AB149" s="4"/>
      <c r="AC149" s="4"/>
      <c r="AD149" s="4"/>
      <c r="AE149" s="4"/>
      <c r="AF149" s="4"/>
      <c r="AG149" s="4"/>
      <c r="AH149" s="4"/>
      <c r="AI149" s="4"/>
      <c r="AJ149" s="4"/>
      <c r="AK149" s="4"/>
      <c r="AL149" s="4"/>
    </row>
    <row r="150" spans="2:38" ht="30" customHeight="1">
      <c r="B150" s="4"/>
      <c r="C150" s="4"/>
      <c r="D150" s="4"/>
      <c r="E150" s="86" t="s">
        <v>41</v>
      </c>
      <c r="F150" s="42"/>
      <c r="G150" s="42"/>
      <c r="H150" s="42"/>
      <c r="I150" s="42"/>
      <c r="J150" s="42"/>
      <c r="K150" s="42">
        <v>0</v>
      </c>
      <c r="L150" s="42">
        <v>0</v>
      </c>
      <c r="M150" s="42">
        <v>-47</v>
      </c>
      <c r="N150" s="42">
        <v>-5</v>
      </c>
      <c r="O150" s="42">
        <v>0</v>
      </c>
      <c r="P150" s="42">
        <v>0</v>
      </c>
      <c r="Q150" s="42"/>
      <c r="R150" s="42"/>
      <c r="S150" s="42"/>
      <c r="T150" s="42"/>
      <c r="U150" s="42"/>
      <c r="V150" s="42"/>
      <c r="W150" s="83"/>
      <c r="X150" s="81"/>
      <c r="Y150" s="82"/>
      <c r="Z150" s="92"/>
      <c r="AA150" s="4"/>
      <c r="AB150" s="4"/>
      <c r="AC150" s="4"/>
      <c r="AD150" s="4"/>
      <c r="AE150" s="4"/>
      <c r="AF150" s="4"/>
      <c r="AG150" s="4"/>
      <c r="AH150" s="4"/>
      <c r="AI150" s="4"/>
      <c r="AJ150" s="4"/>
      <c r="AK150" s="4"/>
      <c r="AL150" s="4"/>
    </row>
    <row r="151" spans="2:38" ht="30" customHeight="1">
      <c r="B151" s="4"/>
      <c r="C151" s="4"/>
      <c r="D151" s="4"/>
      <c r="E151" s="79" t="s">
        <v>16</v>
      </c>
      <c r="F151" s="42"/>
      <c r="G151" s="42"/>
      <c r="H151" s="42"/>
      <c r="I151" s="42"/>
      <c r="J151" s="40"/>
      <c r="K151" s="40">
        <f t="shared" ref="K151:P151" si="137">SUM(K143,K145)</f>
        <v>-18</v>
      </c>
      <c r="L151" s="40">
        <f t="shared" si="137"/>
        <v>9685</v>
      </c>
      <c r="M151" s="40">
        <f t="shared" si="137"/>
        <v>-5551</v>
      </c>
      <c r="N151" s="40">
        <f t="shared" si="137"/>
        <v>-2056</v>
      </c>
      <c r="O151" s="40">
        <f t="shared" si="137"/>
        <v>-99073</v>
      </c>
      <c r="P151" s="40">
        <f t="shared" si="137"/>
        <v>1071</v>
      </c>
      <c r="Q151" s="40">
        <f>R151-P151</f>
        <v>-32677.466188530623</v>
      </c>
      <c r="R151" s="40">
        <f>R138*R152</f>
        <v>-31606.466188530623</v>
      </c>
      <c r="S151" s="40">
        <f t="shared" ref="S151:V151" si="138">S138*S152</f>
        <v>-36206.454304545972</v>
      </c>
      <c r="T151" s="40">
        <f t="shared" si="138"/>
        <v>-41900.356491899758</v>
      </c>
      <c r="U151" s="40">
        <f t="shared" si="138"/>
        <v>-46155.974829563405</v>
      </c>
      <c r="V151" s="40">
        <f t="shared" si="138"/>
        <v>-50722.544621102017</v>
      </c>
      <c r="W151" s="205"/>
      <c r="X151" s="205"/>
      <c r="Y151" s="205"/>
      <c r="Z151" s="92"/>
      <c r="AA151" s="4"/>
      <c r="AB151" s="4"/>
      <c r="AC151" s="4"/>
      <c r="AD151" s="4"/>
      <c r="AE151" s="4"/>
      <c r="AF151" s="4"/>
      <c r="AG151" s="4"/>
      <c r="AH151" s="4"/>
      <c r="AI151" s="4"/>
      <c r="AJ151" s="4"/>
      <c r="AK151" s="4"/>
      <c r="AL151" s="4"/>
    </row>
    <row r="152" spans="2:38" ht="30" customHeight="1" thickBot="1">
      <c r="B152" s="4"/>
      <c r="C152" s="4"/>
      <c r="D152" s="4"/>
      <c r="E152" s="263" t="s">
        <v>50</v>
      </c>
      <c r="F152" s="187"/>
      <c r="G152" s="187"/>
      <c r="H152" s="187"/>
      <c r="I152" s="187"/>
      <c r="J152" s="264"/>
      <c r="K152" s="264">
        <f t="shared" ref="K152:Q152" si="139">K151/K138</f>
        <v>8.0363959442988466E-5</v>
      </c>
      <c r="L152" s="264">
        <f t="shared" si="139"/>
        <v>-7.614053569603535E-2</v>
      </c>
      <c r="M152" s="264">
        <f t="shared" si="139"/>
        <v>2.8535591094386956E-2</v>
      </c>
      <c r="N152" s="264">
        <f t="shared" si="139"/>
        <v>3.4078214142458868E-3</v>
      </c>
      <c r="O152" s="264">
        <f t="shared" si="139"/>
        <v>0.14025830984439969</v>
      </c>
      <c r="P152" s="264">
        <f t="shared" ref="P152" si="140">P151/P138</f>
        <v>-8.5733497702566407E-3</v>
      </c>
      <c r="Q152" s="264">
        <f t="shared" si="139"/>
        <v>5.3665635229705563E-2</v>
      </c>
      <c r="R152" s="264">
        <f>AVERAGE(K152,M152,N152,O152)</f>
        <v>4.307052157811888E-2</v>
      </c>
      <c r="S152" s="264">
        <f>R152</f>
        <v>4.307052157811888E-2</v>
      </c>
      <c r="T152" s="264">
        <f t="shared" ref="T152:V152" si="141">S152</f>
        <v>4.307052157811888E-2</v>
      </c>
      <c r="U152" s="264">
        <f t="shared" si="141"/>
        <v>4.307052157811888E-2</v>
      </c>
      <c r="V152" s="264">
        <f t="shared" si="141"/>
        <v>4.307052157811888E-2</v>
      </c>
      <c r="W152" s="265"/>
      <c r="X152" s="259"/>
      <c r="Y152" s="260"/>
      <c r="Z152" s="261"/>
      <c r="AA152" s="4"/>
      <c r="AB152" s="4"/>
      <c r="AC152" s="4"/>
      <c r="AD152" s="4"/>
      <c r="AE152" s="4"/>
      <c r="AF152" s="4"/>
      <c r="AG152" s="4"/>
      <c r="AH152" s="4"/>
      <c r="AI152" s="4"/>
      <c r="AJ152" s="4"/>
      <c r="AK152" s="4"/>
      <c r="AL152" s="4"/>
    </row>
    <row r="153" spans="2:38" ht="30" customHeight="1">
      <c r="B153" s="4"/>
      <c r="C153" s="4"/>
      <c r="D153" s="4"/>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4"/>
      <c r="AB153" s="4"/>
      <c r="AC153" s="4"/>
      <c r="AD153" s="4"/>
      <c r="AE153" s="4"/>
      <c r="AF153" s="4"/>
      <c r="AG153" s="4"/>
      <c r="AH153" s="4"/>
      <c r="AI153" s="4"/>
      <c r="AJ153" s="4"/>
      <c r="AK153" s="4"/>
      <c r="AL153" s="4"/>
    </row>
    <row r="154" spans="2:38" ht="30" customHeight="1">
      <c r="B154" s="4"/>
      <c r="C154" s="4"/>
      <c r="D154" s="4"/>
      <c r="E154" s="50"/>
      <c r="F154" s="51"/>
      <c r="G154" s="51"/>
      <c r="H154" s="51"/>
      <c r="I154" s="51"/>
      <c r="J154" s="51"/>
      <c r="K154" s="51"/>
      <c r="L154" s="51"/>
      <c r="M154" s="51"/>
      <c r="N154" s="51"/>
      <c r="O154" s="51"/>
      <c r="P154" s="51"/>
      <c r="Q154" s="51"/>
      <c r="R154" s="51"/>
      <c r="S154" s="51"/>
      <c r="T154" s="51"/>
      <c r="U154" s="51"/>
      <c r="V154" s="51"/>
      <c r="W154" s="51"/>
      <c r="X154" s="51"/>
      <c r="Y154" s="4"/>
      <c r="Z154" s="4"/>
      <c r="AA154" s="4"/>
      <c r="AB154" s="4"/>
      <c r="AC154" s="4"/>
      <c r="AD154" s="4"/>
      <c r="AE154" s="4"/>
      <c r="AF154" s="4"/>
      <c r="AG154" s="4"/>
      <c r="AH154" s="4"/>
      <c r="AI154" s="4"/>
      <c r="AJ154" s="4"/>
      <c r="AK154" s="4"/>
      <c r="AL154" s="4"/>
    </row>
    <row r="155" spans="2:38" ht="30" customHeight="1">
      <c r="B155" s="4"/>
      <c r="C155" s="4"/>
      <c r="D155" s="4"/>
      <c r="E155" s="50"/>
      <c r="F155" s="51"/>
      <c r="G155" s="51"/>
      <c r="H155" s="51"/>
      <c r="I155" s="51"/>
      <c r="J155" s="51"/>
      <c r="K155" s="51"/>
      <c r="L155" s="51"/>
      <c r="M155" s="51"/>
      <c r="N155" s="51"/>
      <c r="O155" s="51"/>
      <c r="P155" s="51"/>
      <c r="Q155" s="51"/>
      <c r="R155" s="51"/>
      <c r="S155" s="51"/>
      <c r="T155" s="51"/>
      <c r="U155" s="51"/>
      <c r="V155" s="51"/>
      <c r="W155" s="51"/>
      <c r="X155" s="51"/>
      <c r="Y155" s="4"/>
      <c r="Z155" s="4"/>
      <c r="AA155" s="4"/>
      <c r="AB155" s="4"/>
      <c r="AC155" s="4"/>
      <c r="AD155" s="4"/>
      <c r="AE155" s="4"/>
      <c r="AF155" s="4"/>
      <c r="AG155" s="4"/>
      <c r="AH155" s="4"/>
      <c r="AI155" s="4"/>
      <c r="AJ155" s="4"/>
      <c r="AK155" s="4"/>
      <c r="AL155" s="4"/>
    </row>
    <row r="156" spans="2:38" ht="30" customHeight="1">
      <c r="B156" s="4"/>
      <c r="C156" s="4"/>
      <c r="D156" s="4"/>
      <c r="E156" s="50"/>
      <c r="F156" s="51"/>
      <c r="G156" s="51"/>
      <c r="H156" s="51"/>
      <c r="I156" s="51"/>
      <c r="J156" s="51"/>
      <c r="K156" s="51"/>
      <c r="L156" s="51"/>
      <c r="M156" s="51"/>
      <c r="N156" s="51"/>
      <c r="O156" s="51"/>
      <c r="P156" s="51"/>
      <c r="Q156" s="51"/>
      <c r="R156" s="51"/>
      <c r="S156" s="51"/>
      <c r="T156" s="51"/>
      <c r="U156" s="51"/>
      <c r="V156" s="51"/>
      <c r="W156" s="51"/>
      <c r="X156" s="51"/>
      <c r="Y156" s="4"/>
      <c r="Z156" s="4"/>
      <c r="AA156" s="4"/>
      <c r="AB156" s="4"/>
      <c r="AC156" s="4"/>
      <c r="AD156" s="4"/>
      <c r="AE156" s="4"/>
      <c r="AF156" s="4"/>
      <c r="AG156" s="4"/>
      <c r="AH156" s="4"/>
      <c r="AI156" s="4"/>
      <c r="AJ156" s="4"/>
      <c r="AK156" s="4"/>
      <c r="AL156" s="4"/>
    </row>
    <row r="157" spans="2:38" ht="30" customHeight="1">
      <c r="B157" s="4"/>
      <c r="C157" s="4"/>
      <c r="D157" s="4"/>
      <c r="E157" s="50"/>
      <c r="F157" s="51"/>
      <c r="G157" s="51"/>
      <c r="H157" s="51"/>
      <c r="I157" s="51"/>
      <c r="J157" s="51"/>
      <c r="K157" s="51"/>
      <c r="L157" s="51"/>
      <c r="M157" s="51"/>
      <c r="N157" s="51"/>
      <c r="O157" s="51"/>
      <c r="P157" s="51"/>
      <c r="Q157" s="51"/>
      <c r="R157" s="51"/>
      <c r="S157" s="51"/>
      <c r="T157" s="51"/>
      <c r="U157" s="51"/>
      <c r="V157" s="51"/>
      <c r="W157" s="51"/>
      <c r="X157" s="51"/>
      <c r="Y157" s="4"/>
      <c r="Z157" s="4"/>
      <c r="AA157" s="4"/>
      <c r="AB157" s="4"/>
      <c r="AC157" s="4"/>
      <c r="AD157" s="4"/>
      <c r="AE157" s="4"/>
      <c r="AF157" s="4"/>
      <c r="AG157" s="4"/>
      <c r="AH157" s="4"/>
      <c r="AI157" s="4"/>
      <c r="AJ157" s="4"/>
      <c r="AK157" s="4"/>
      <c r="AL157" s="4"/>
    </row>
    <row r="158" spans="2:38" ht="30" customHeight="1">
      <c r="B158" s="4"/>
      <c r="C158" s="4"/>
      <c r="D158" s="4"/>
      <c r="E158" s="50"/>
      <c r="F158" s="51"/>
      <c r="G158" s="51"/>
      <c r="H158" s="51"/>
      <c r="I158" s="51"/>
      <c r="J158" s="51"/>
      <c r="K158" s="51"/>
      <c r="L158" s="51"/>
      <c r="M158" s="51"/>
      <c r="N158" s="51"/>
      <c r="O158" s="51"/>
      <c r="P158" s="51"/>
      <c r="Q158" s="51"/>
      <c r="R158" s="51"/>
      <c r="S158" s="51"/>
      <c r="T158" s="51"/>
      <c r="U158" s="51"/>
      <c r="V158" s="51"/>
      <c r="W158" s="51"/>
      <c r="X158" s="51"/>
      <c r="Y158" s="4"/>
      <c r="Z158" s="4"/>
      <c r="AA158" s="4"/>
      <c r="AB158" s="4"/>
      <c r="AC158" s="4"/>
      <c r="AD158" s="4"/>
      <c r="AE158" s="4"/>
      <c r="AF158" s="4"/>
      <c r="AG158" s="4"/>
      <c r="AH158" s="4"/>
      <c r="AI158" s="4"/>
      <c r="AJ158" s="4"/>
      <c r="AK158" s="4"/>
      <c r="AL158" s="4"/>
    </row>
    <row r="159" spans="2:38" ht="30" customHeight="1">
      <c r="B159" s="4"/>
      <c r="C159" s="4"/>
      <c r="D159" s="4"/>
      <c r="E159" s="50"/>
      <c r="F159" s="51"/>
      <c r="G159" s="51"/>
      <c r="H159" s="51"/>
      <c r="I159" s="51"/>
      <c r="J159" s="51"/>
      <c r="K159" s="51"/>
      <c r="L159" s="51"/>
      <c r="M159" s="51"/>
      <c r="N159" s="51"/>
      <c r="O159" s="51"/>
      <c r="P159" s="51"/>
      <c r="Q159" s="51"/>
      <c r="R159" s="51"/>
      <c r="S159" s="51"/>
      <c r="T159" s="51"/>
      <c r="U159" s="51"/>
      <c r="V159" s="51"/>
      <c r="W159" s="51"/>
      <c r="X159" s="51"/>
      <c r="Y159" s="4"/>
      <c r="Z159" s="4"/>
      <c r="AA159" s="4"/>
      <c r="AB159" s="4"/>
      <c r="AC159" s="4"/>
      <c r="AD159" s="4"/>
      <c r="AE159" s="4"/>
      <c r="AF159" s="4"/>
      <c r="AG159" s="4"/>
      <c r="AH159" s="4"/>
      <c r="AI159" s="4"/>
      <c r="AJ159" s="4"/>
      <c r="AK159" s="4"/>
      <c r="AL159" s="4"/>
    </row>
    <row r="160" spans="2:38" ht="30" customHeight="1">
      <c r="B160" s="4"/>
      <c r="C160" s="4"/>
      <c r="D160" s="4"/>
      <c r="E160" s="50"/>
      <c r="F160" s="51"/>
      <c r="G160" s="51"/>
      <c r="H160" s="51"/>
      <c r="I160" s="51"/>
      <c r="J160" s="51"/>
      <c r="K160" s="51"/>
      <c r="L160" s="51"/>
      <c r="M160" s="51"/>
      <c r="N160" s="51"/>
      <c r="O160" s="51"/>
      <c r="P160" s="51"/>
      <c r="Q160" s="51"/>
      <c r="R160" s="51"/>
      <c r="S160" s="51"/>
      <c r="T160" s="51"/>
      <c r="U160" s="51"/>
      <c r="V160" s="51"/>
      <c r="W160" s="51"/>
      <c r="X160" s="51"/>
      <c r="Y160" s="4"/>
      <c r="Z160" s="4"/>
      <c r="AA160" s="4"/>
      <c r="AB160" s="4"/>
      <c r="AC160" s="4"/>
      <c r="AD160" s="4"/>
      <c r="AE160" s="4"/>
      <c r="AF160" s="4"/>
      <c r="AG160" s="4"/>
      <c r="AH160" s="4"/>
      <c r="AI160" s="4"/>
      <c r="AJ160" s="4"/>
      <c r="AK160" s="4"/>
      <c r="AL160" s="4"/>
    </row>
    <row r="161" spans="1:38" ht="30" customHeight="1">
      <c r="B161" s="4"/>
      <c r="C161" s="4"/>
      <c r="D161" s="4"/>
      <c r="E161" s="50"/>
      <c r="F161" s="51"/>
      <c r="G161" s="51"/>
      <c r="H161" s="51"/>
      <c r="I161" s="51"/>
      <c r="J161" s="51"/>
      <c r="K161" s="51"/>
      <c r="L161" s="51"/>
      <c r="M161" s="51"/>
      <c r="N161" s="51"/>
      <c r="O161" s="51"/>
      <c r="P161" s="51"/>
      <c r="Q161" s="51"/>
      <c r="R161" s="51"/>
      <c r="S161" s="51"/>
      <c r="T161" s="51"/>
      <c r="U161" s="51"/>
      <c r="V161" s="51"/>
      <c r="W161" s="51"/>
      <c r="X161" s="51"/>
      <c r="Y161" s="4"/>
      <c r="Z161" s="4"/>
      <c r="AA161" s="4"/>
      <c r="AB161" s="4"/>
      <c r="AC161" s="4"/>
      <c r="AD161" s="4"/>
      <c r="AE161" s="4"/>
      <c r="AF161" s="4"/>
      <c r="AG161" s="4"/>
      <c r="AH161" s="4"/>
      <c r="AI161" s="4"/>
      <c r="AJ161" s="4"/>
      <c r="AK161" s="4"/>
      <c r="AL161" s="4"/>
    </row>
    <row r="162" spans="1:38" ht="30" customHeight="1">
      <c r="B162" s="4"/>
      <c r="C162" s="4"/>
      <c r="D162" s="4"/>
      <c r="E162" s="50"/>
      <c r="F162" s="51"/>
      <c r="G162" s="51"/>
      <c r="H162" s="51"/>
      <c r="I162" s="51"/>
      <c r="J162" s="51"/>
      <c r="K162" s="51"/>
      <c r="L162" s="51"/>
      <c r="M162" s="51"/>
      <c r="N162" s="51"/>
      <c r="O162" s="51"/>
      <c r="P162" s="51"/>
      <c r="Q162" s="51"/>
      <c r="R162" s="51"/>
      <c r="S162" s="51"/>
      <c r="T162" s="51"/>
      <c r="U162" s="51"/>
      <c r="V162" s="51"/>
      <c r="W162" s="51"/>
      <c r="X162" s="51"/>
      <c r="Y162" s="4"/>
      <c r="Z162" s="4"/>
      <c r="AA162" s="4"/>
      <c r="AB162" s="4"/>
      <c r="AC162" s="4"/>
      <c r="AD162" s="4"/>
      <c r="AE162" s="4"/>
      <c r="AF162" s="4"/>
      <c r="AG162" s="4"/>
      <c r="AH162" s="4"/>
      <c r="AI162" s="4"/>
      <c r="AJ162" s="4"/>
      <c r="AK162" s="4"/>
      <c r="AL162" s="4"/>
    </row>
    <row r="163" spans="1:38" ht="30" customHeight="1">
      <c r="B163" s="4"/>
      <c r="C163" s="4"/>
      <c r="D163" s="4"/>
      <c r="E163" s="50"/>
      <c r="F163" s="51"/>
      <c r="G163" s="51"/>
      <c r="H163" s="51"/>
      <c r="I163" s="51"/>
      <c r="J163" s="51"/>
      <c r="K163" s="51"/>
      <c r="L163" s="51"/>
      <c r="M163" s="51"/>
      <c r="N163" s="51"/>
      <c r="O163" s="51"/>
      <c r="P163" s="51"/>
      <c r="Q163" s="51"/>
      <c r="R163" s="51"/>
      <c r="S163" s="51"/>
      <c r="T163" s="51"/>
      <c r="U163" s="51"/>
      <c r="V163" s="51"/>
      <c r="W163" s="51"/>
      <c r="X163" s="51"/>
      <c r="Y163" s="4"/>
      <c r="Z163" s="4"/>
      <c r="AA163" s="4"/>
      <c r="AB163" s="4"/>
      <c r="AC163" s="4"/>
      <c r="AD163" s="4"/>
      <c r="AE163" s="4"/>
      <c r="AF163" s="4"/>
      <c r="AG163" s="4"/>
      <c r="AH163" s="4"/>
      <c r="AI163" s="4"/>
      <c r="AJ163" s="4"/>
      <c r="AK163" s="4"/>
      <c r="AL163" s="4"/>
    </row>
    <row r="164" spans="1:38" hidden="1">
      <c r="E164" s="50"/>
      <c r="F164" s="51"/>
      <c r="G164" s="51"/>
      <c r="H164" s="51"/>
      <c r="I164" s="51"/>
      <c r="J164" s="51"/>
      <c r="K164" s="51"/>
      <c r="L164" s="51"/>
      <c r="M164" s="51"/>
      <c r="N164" s="51"/>
      <c r="O164" s="51"/>
      <c r="P164" s="51"/>
      <c r="Q164" s="51"/>
      <c r="R164" s="51"/>
      <c r="S164" s="51"/>
      <c r="T164" s="51"/>
      <c r="U164" s="51"/>
      <c r="V164" s="51"/>
      <c r="W164" s="51"/>
      <c r="X164" s="51"/>
      <c r="Y164" s="4"/>
      <c r="Z164" s="4"/>
    </row>
    <row r="165" spans="1:38" hidden="1">
      <c r="E165" s="262"/>
      <c r="F165" s="64"/>
      <c r="G165" s="64"/>
      <c r="H165" s="64"/>
      <c r="I165" s="64"/>
      <c r="J165" s="64"/>
      <c r="K165" s="64"/>
      <c r="L165" s="64"/>
      <c r="M165" s="64"/>
      <c r="N165" s="64"/>
      <c r="O165" s="64"/>
      <c r="P165" s="64"/>
      <c r="Q165" s="64"/>
      <c r="R165" s="64"/>
      <c r="S165" s="64"/>
      <c r="T165" s="64"/>
      <c r="U165" s="64"/>
      <c r="V165" s="64"/>
      <c r="W165" s="64"/>
      <c r="X165" s="64"/>
    </row>
    <row r="166" spans="1:38" hidden="1">
      <c r="E166" s="262"/>
      <c r="F166" s="64"/>
      <c r="G166" s="64"/>
      <c r="H166" s="64"/>
      <c r="I166" s="64"/>
      <c r="J166" s="64"/>
      <c r="K166" s="64"/>
      <c r="L166" s="64"/>
      <c r="M166" s="64"/>
      <c r="N166" s="64"/>
      <c r="O166" s="64"/>
      <c r="P166" s="64"/>
      <c r="Q166" s="64"/>
      <c r="R166" s="64"/>
      <c r="S166" s="64"/>
      <c r="T166" s="64"/>
      <c r="U166" s="64"/>
      <c r="V166" s="64"/>
      <c r="W166" s="64"/>
      <c r="X166" s="64"/>
    </row>
    <row r="167" spans="1:38" hidden="1">
      <c r="E167" s="262"/>
      <c r="F167" s="64"/>
      <c r="G167" s="64"/>
      <c r="H167" s="64"/>
      <c r="I167" s="64"/>
      <c r="J167" s="64"/>
      <c r="K167" s="64"/>
      <c r="L167" s="64"/>
      <c r="M167" s="64"/>
      <c r="N167" s="64"/>
      <c r="O167" s="64"/>
      <c r="P167" s="64"/>
      <c r="Q167" s="64"/>
      <c r="R167" s="64"/>
      <c r="S167" s="64"/>
      <c r="T167" s="64"/>
      <c r="U167" s="64"/>
      <c r="V167" s="64"/>
      <c r="W167" s="64"/>
      <c r="X167" s="64"/>
    </row>
    <row r="168" spans="1:38" hidden="1">
      <c r="A168" s="5"/>
      <c r="E168" s="262"/>
      <c r="F168" s="64"/>
      <c r="G168" s="64"/>
      <c r="H168" s="64"/>
      <c r="I168" s="64"/>
      <c r="J168" s="64"/>
      <c r="K168" s="64"/>
      <c r="L168" s="64"/>
      <c r="M168" s="64"/>
      <c r="N168" s="64"/>
      <c r="O168" s="64"/>
      <c r="P168" s="64"/>
      <c r="Q168" s="64"/>
      <c r="R168" s="64"/>
      <c r="S168" s="64"/>
      <c r="T168" s="64"/>
      <c r="U168" s="64"/>
      <c r="V168" s="64"/>
      <c r="W168" s="64"/>
      <c r="X168" s="64"/>
    </row>
    <row r="169" spans="1:38" hidden="1">
      <c r="A169" s="5"/>
      <c r="E169" s="262"/>
      <c r="F169" s="64"/>
      <c r="G169" s="64"/>
      <c r="H169" s="64"/>
      <c r="I169" s="64"/>
      <c r="J169" s="64"/>
      <c r="K169" s="64"/>
      <c r="L169" s="64"/>
      <c r="M169" s="64"/>
      <c r="N169" s="64"/>
      <c r="O169" s="64"/>
      <c r="P169" s="64"/>
      <c r="Q169" s="64"/>
      <c r="R169" s="64"/>
      <c r="S169" s="64"/>
      <c r="T169" s="64"/>
      <c r="U169" s="64"/>
      <c r="V169" s="64"/>
      <c r="W169" s="64"/>
      <c r="X169" s="64"/>
    </row>
    <row r="170" spans="1:38" hidden="1">
      <c r="A170" s="5"/>
      <c r="E170" s="262"/>
      <c r="F170" s="64"/>
      <c r="G170" s="64"/>
      <c r="H170" s="64"/>
      <c r="I170" s="64"/>
      <c r="J170" s="64"/>
      <c r="K170" s="64"/>
      <c r="L170" s="64"/>
      <c r="M170" s="64"/>
      <c r="N170" s="64"/>
      <c r="O170" s="64"/>
      <c r="P170" s="64"/>
      <c r="Q170" s="64"/>
      <c r="R170" s="64"/>
      <c r="S170" s="64"/>
      <c r="T170" s="64"/>
      <c r="U170" s="64"/>
      <c r="V170" s="64"/>
      <c r="W170" s="64"/>
      <c r="X170" s="64"/>
    </row>
    <row r="171" spans="1:38" hidden="1">
      <c r="A171" s="5"/>
      <c r="E171" s="262"/>
      <c r="F171" s="64"/>
      <c r="G171" s="64"/>
      <c r="H171" s="64"/>
      <c r="I171" s="64"/>
      <c r="J171" s="64"/>
      <c r="K171" s="64"/>
      <c r="L171" s="64"/>
      <c r="M171" s="64"/>
      <c r="N171" s="64"/>
      <c r="O171" s="64"/>
      <c r="P171" s="64"/>
      <c r="Q171" s="64"/>
      <c r="R171" s="64"/>
      <c r="S171" s="64"/>
      <c r="T171" s="64"/>
      <c r="U171" s="64"/>
      <c r="V171" s="64"/>
      <c r="W171" s="64"/>
      <c r="X171" s="64"/>
    </row>
    <row r="172" spans="1:38" hidden="1">
      <c r="A172" s="5"/>
      <c r="E172" s="262"/>
      <c r="F172" s="64"/>
      <c r="G172" s="64"/>
      <c r="H172" s="64"/>
      <c r="I172" s="64"/>
      <c r="J172" s="64"/>
      <c r="K172" s="64"/>
      <c r="L172" s="64"/>
      <c r="M172" s="64"/>
      <c r="N172" s="64"/>
      <c r="O172" s="64"/>
      <c r="P172" s="64"/>
      <c r="Q172" s="64"/>
      <c r="R172" s="64"/>
      <c r="S172" s="64"/>
      <c r="T172" s="64"/>
      <c r="U172" s="64"/>
      <c r="V172" s="64"/>
      <c r="W172" s="64"/>
      <c r="X172" s="64"/>
    </row>
    <row r="173" spans="1:38" hidden="1">
      <c r="A173" s="5"/>
      <c r="E173" s="262"/>
      <c r="F173" s="64"/>
      <c r="G173" s="64"/>
      <c r="H173" s="64"/>
      <c r="I173" s="64"/>
      <c r="J173" s="64"/>
      <c r="K173" s="64"/>
      <c r="L173" s="64"/>
      <c r="M173" s="64"/>
      <c r="N173" s="64"/>
      <c r="O173" s="64"/>
      <c r="P173" s="64"/>
      <c r="Q173" s="64"/>
      <c r="R173" s="64"/>
      <c r="S173" s="64"/>
      <c r="T173" s="64"/>
      <c r="U173" s="64"/>
      <c r="V173" s="64"/>
      <c r="W173" s="64"/>
      <c r="X173" s="64"/>
    </row>
    <row r="174" spans="1:38" hidden="1">
      <c r="A174" s="5"/>
      <c r="E174" s="262"/>
      <c r="F174" s="64"/>
      <c r="G174" s="64"/>
      <c r="H174" s="64"/>
      <c r="I174" s="64"/>
      <c r="J174" s="64"/>
      <c r="K174" s="64"/>
      <c r="L174" s="64"/>
      <c r="M174" s="64"/>
      <c r="N174" s="64"/>
      <c r="O174" s="64"/>
      <c r="P174" s="64"/>
      <c r="Q174" s="64"/>
      <c r="R174" s="64"/>
      <c r="S174" s="64"/>
      <c r="T174" s="64"/>
      <c r="U174" s="64"/>
      <c r="V174" s="64"/>
      <c r="W174" s="64"/>
      <c r="X174" s="64"/>
    </row>
    <row r="175" spans="1:38" hidden="1">
      <c r="A175" s="5"/>
      <c r="E175" s="262"/>
      <c r="F175" s="64"/>
      <c r="G175" s="64"/>
      <c r="H175" s="64"/>
      <c r="I175" s="64"/>
      <c r="J175" s="64"/>
      <c r="K175" s="64"/>
      <c r="L175" s="64"/>
      <c r="M175" s="64"/>
      <c r="N175" s="64"/>
      <c r="O175" s="64"/>
      <c r="P175" s="64"/>
      <c r="Q175" s="64"/>
      <c r="R175" s="64"/>
      <c r="S175" s="64"/>
      <c r="T175" s="64"/>
      <c r="U175" s="64"/>
      <c r="V175" s="64"/>
      <c r="W175" s="64"/>
      <c r="X175" s="64"/>
    </row>
    <row r="176" spans="1:38" hidden="1">
      <c r="A176" s="5"/>
      <c r="E176" s="262"/>
      <c r="F176" s="64"/>
      <c r="G176" s="64"/>
      <c r="H176" s="64"/>
      <c r="I176" s="64"/>
      <c r="J176" s="64"/>
      <c r="K176" s="64"/>
      <c r="L176" s="64"/>
      <c r="M176" s="64"/>
      <c r="N176" s="64"/>
      <c r="O176" s="64"/>
      <c r="P176" s="64"/>
      <c r="Q176" s="64"/>
      <c r="R176" s="64"/>
      <c r="S176" s="64"/>
      <c r="T176" s="64"/>
      <c r="U176" s="64"/>
      <c r="V176" s="64"/>
      <c r="W176" s="64"/>
      <c r="X176" s="64"/>
    </row>
    <row r="177" spans="1:24" hidden="1">
      <c r="A177" s="5"/>
      <c r="E177" s="262"/>
      <c r="F177" s="64"/>
      <c r="G177" s="64"/>
      <c r="H177" s="64"/>
      <c r="I177" s="64"/>
      <c r="J177" s="64"/>
      <c r="K177" s="64"/>
      <c r="L177" s="64"/>
      <c r="M177" s="64"/>
      <c r="N177" s="64"/>
      <c r="O177" s="64"/>
      <c r="P177" s="64"/>
      <c r="Q177" s="64"/>
      <c r="R177" s="64"/>
      <c r="S177" s="64"/>
      <c r="T177" s="64"/>
      <c r="U177" s="64"/>
      <c r="V177" s="64"/>
      <c r="W177" s="64"/>
      <c r="X177" s="64"/>
    </row>
    <row r="178" spans="1:24" hidden="1">
      <c r="A178" s="5"/>
      <c r="E178" s="262"/>
      <c r="F178" s="64"/>
      <c r="G178" s="64"/>
      <c r="H178" s="64"/>
      <c r="I178" s="64"/>
      <c r="J178" s="64"/>
      <c r="K178" s="64"/>
      <c r="L178" s="64"/>
      <c r="M178" s="64"/>
      <c r="N178" s="64"/>
      <c r="O178" s="64"/>
      <c r="P178" s="64"/>
      <c r="Q178" s="64"/>
      <c r="R178" s="64"/>
      <c r="S178" s="64"/>
      <c r="T178" s="64"/>
      <c r="U178" s="64"/>
      <c r="V178" s="64"/>
      <c r="W178" s="64"/>
      <c r="X178" s="64"/>
    </row>
    <row r="179" spans="1:24" hidden="1">
      <c r="A179" s="5"/>
      <c r="E179" s="262"/>
      <c r="F179" s="64"/>
      <c r="G179" s="64"/>
      <c r="H179" s="64"/>
      <c r="I179" s="64"/>
      <c r="J179" s="64"/>
      <c r="K179" s="64"/>
      <c r="L179" s="64"/>
      <c r="M179" s="64"/>
      <c r="N179" s="64"/>
      <c r="O179" s="64"/>
      <c r="P179" s="64"/>
      <c r="Q179" s="64"/>
      <c r="R179" s="64"/>
      <c r="S179" s="64"/>
      <c r="T179" s="64"/>
      <c r="U179" s="64"/>
      <c r="V179" s="64"/>
      <c r="W179" s="64"/>
      <c r="X179" s="64"/>
    </row>
    <row r="180" spans="1:24" hidden="1">
      <c r="A180" s="5"/>
      <c r="E180" s="262"/>
      <c r="F180" s="64"/>
      <c r="G180" s="64"/>
      <c r="H180" s="64"/>
      <c r="I180" s="64"/>
      <c r="J180" s="64"/>
      <c r="K180" s="64"/>
      <c r="L180" s="64"/>
      <c r="M180" s="64"/>
      <c r="N180" s="64"/>
      <c r="O180" s="64"/>
      <c r="P180" s="64"/>
      <c r="Q180" s="64"/>
      <c r="R180" s="64"/>
      <c r="S180" s="64"/>
      <c r="T180" s="64"/>
      <c r="U180" s="64"/>
      <c r="V180" s="64"/>
      <c r="W180" s="64"/>
      <c r="X180" s="64"/>
    </row>
    <row r="181" spans="1:24" hidden="1">
      <c r="A181" s="5"/>
      <c r="E181" s="262"/>
      <c r="F181" s="64"/>
      <c r="G181" s="64"/>
      <c r="H181" s="64"/>
      <c r="I181" s="64"/>
      <c r="J181" s="64"/>
      <c r="K181" s="64"/>
      <c r="L181" s="64"/>
      <c r="M181" s="64"/>
      <c r="N181" s="64"/>
      <c r="O181" s="64"/>
      <c r="P181" s="64"/>
      <c r="Q181" s="64"/>
      <c r="R181" s="64"/>
      <c r="S181" s="64"/>
      <c r="T181" s="64"/>
      <c r="U181" s="64"/>
      <c r="V181" s="64"/>
      <c r="W181" s="64"/>
      <c r="X181" s="64"/>
    </row>
    <row r="182" spans="1:24" hidden="1">
      <c r="A182" s="5"/>
      <c r="E182" s="262"/>
      <c r="F182" s="64"/>
      <c r="G182" s="64"/>
      <c r="H182" s="64"/>
      <c r="I182" s="64"/>
      <c r="J182" s="64"/>
      <c r="K182" s="64"/>
      <c r="L182" s="64"/>
      <c r="M182" s="64"/>
      <c r="N182" s="64"/>
      <c r="O182" s="64"/>
      <c r="P182" s="64"/>
      <c r="Q182" s="64"/>
      <c r="R182" s="64"/>
      <c r="S182" s="64"/>
      <c r="T182" s="64"/>
      <c r="U182" s="64"/>
      <c r="V182" s="64"/>
      <c r="W182" s="64"/>
      <c r="X182" s="64"/>
    </row>
    <row r="183" spans="1:24" hidden="1">
      <c r="A183" s="5"/>
      <c r="E183" s="262"/>
      <c r="F183" s="64"/>
      <c r="G183" s="64"/>
      <c r="H183" s="64"/>
      <c r="I183" s="64"/>
      <c r="J183" s="64"/>
      <c r="K183" s="64"/>
      <c r="L183" s="64"/>
      <c r="M183" s="64"/>
      <c r="N183" s="64"/>
      <c r="O183" s="64"/>
      <c r="P183" s="64"/>
      <c r="Q183" s="64"/>
      <c r="R183" s="64"/>
      <c r="S183" s="64"/>
      <c r="T183" s="64"/>
      <c r="U183" s="64"/>
      <c r="V183" s="64"/>
      <c r="W183" s="64"/>
      <c r="X183" s="64"/>
    </row>
    <row r="184" spans="1:24" hidden="1">
      <c r="A184" s="5"/>
      <c r="E184" s="262"/>
      <c r="F184" s="64"/>
      <c r="G184" s="64"/>
      <c r="H184" s="64"/>
      <c r="I184" s="64"/>
      <c r="J184" s="64"/>
      <c r="K184" s="64"/>
      <c r="L184" s="64"/>
      <c r="M184" s="64"/>
      <c r="N184" s="64"/>
      <c r="O184" s="64"/>
      <c r="P184" s="64"/>
      <c r="Q184" s="64"/>
      <c r="R184" s="64"/>
      <c r="S184" s="64"/>
      <c r="T184" s="64"/>
      <c r="U184" s="64"/>
      <c r="V184" s="64"/>
      <c r="W184" s="64"/>
      <c r="X184" s="64"/>
    </row>
    <row r="185" spans="1:24" hidden="1">
      <c r="A185" s="5"/>
      <c r="E185" s="262"/>
      <c r="F185" s="64"/>
      <c r="G185" s="64"/>
      <c r="H185" s="64"/>
      <c r="I185" s="64"/>
      <c r="J185" s="64"/>
      <c r="K185" s="64"/>
      <c r="L185" s="64"/>
      <c r="M185" s="64"/>
      <c r="N185" s="64"/>
      <c r="O185" s="64"/>
      <c r="P185" s="64"/>
      <c r="Q185" s="64"/>
      <c r="R185" s="64"/>
      <c r="S185" s="64"/>
      <c r="T185" s="64"/>
      <c r="U185" s="64"/>
      <c r="V185" s="64"/>
      <c r="W185" s="64"/>
      <c r="X185" s="64"/>
    </row>
    <row r="186" spans="1:24" hidden="1">
      <c r="A186" s="5"/>
      <c r="E186" s="262"/>
      <c r="F186" s="64"/>
      <c r="G186" s="64"/>
      <c r="H186" s="64"/>
      <c r="I186" s="64"/>
      <c r="J186" s="64"/>
      <c r="K186" s="64"/>
      <c r="L186" s="64"/>
      <c r="M186" s="64"/>
      <c r="N186" s="64"/>
      <c r="O186" s="64"/>
      <c r="P186" s="64"/>
      <c r="Q186" s="64"/>
      <c r="R186" s="64"/>
      <c r="S186" s="64"/>
      <c r="T186" s="64"/>
      <c r="U186" s="64"/>
      <c r="V186" s="64"/>
      <c r="W186" s="64"/>
      <c r="X186" s="64"/>
    </row>
    <row r="187" spans="1:24" hidden="1">
      <c r="A187" s="5"/>
      <c r="E187" s="262"/>
      <c r="F187" s="64"/>
      <c r="G187" s="64"/>
      <c r="H187" s="64"/>
      <c r="I187" s="64"/>
      <c r="J187" s="64"/>
      <c r="K187" s="64"/>
      <c r="L187" s="64"/>
      <c r="M187" s="64"/>
      <c r="N187" s="64"/>
      <c r="O187" s="64"/>
      <c r="P187" s="64"/>
      <c r="Q187" s="64"/>
      <c r="R187" s="64"/>
      <c r="S187" s="64"/>
      <c r="T187" s="64"/>
      <c r="U187" s="64"/>
      <c r="V187" s="64"/>
      <c r="W187" s="64"/>
      <c r="X187" s="64"/>
    </row>
    <row r="188" spans="1:24" hidden="1">
      <c r="A188" s="5"/>
      <c r="F188" s="64"/>
      <c r="G188" s="64"/>
      <c r="H188" s="64"/>
      <c r="I188" s="64"/>
      <c r="J188" s="64"/>
      <c r="K188" s="64"/>
      <c r="L188" s="64"/>
      <c r="M188" s="64"/>
      <c r="N188" s="64"/>
      <c r="O188" s="64"/>
      <c r="P188" s="64"/>
      <c r="Q188" s="64"/>
      <c r="R188" s="64"/>
      <c r="S188" s="64"/>
      <c r="T188" s="64"/>
      <c r="U188" s="64"/>
      <c r="V188" s="64"/>
      <c r="W188" s="64"/>
      <c r="X188" s="64"/>
    </row>
    <row r="189" spans="1:24" hidden="1">
      <c r="A189" s="5"/>
    </row>
    <row r="190" spans="1:24" hidden="1">
      <c r="A190" s="5"/>
    </row>
    <row r="191" spans="1:24" hidden="1">
      <c r="A191" s="5"/>
    </row>
    <row r="192" spans="1:24" hidden="1">
      <c r="A192" s="5"/>
    </row>
    <row r="193" spans="1:1" hidden="1">
      <c r="A193" s="5"/>
    </row>
    <row r="194" spans="1:1" hidden="1">
      <c r="A194" s="5"/>
    </row>
    <row r="195" spans="1:1" hidden="1">
      <c r="A195" s="5"/>
    </row>
    <row r="196" spans="1:1" hidden="1">
      <c r="A196" s="5"/>
    </row>
    <row r="197" spans="1:1" hidden="1">
      <c r="A197" s="5"/>
    </row>
    <row r="198" spans="1:1" hidden="1">
      <c r="A198" s="5"/>
    </row>
    <row r="199" spans="1:1"/>
    <row r="200" spans="1:1"/>
    <row r="201" spans="1:1"/>
    <row r="202" spans="1:1"/>
  </sheetData>
  <mergeCells count="3">
    <mergeCell ref="Y3:Y4"/>
    <mergeCell ref="R3:T5"/>
    <mergeCell ref="Z3:Z4"/>
  </mergeCells>
  <phoneticPr fontId="26" type="noConversion"/>
  <conditionalFormatting sqref="B7:E21 F16:Q20 R19:Z20 F21:N21 O21:XFD22 A21:A24 B22:N22 E23:XFD23 AB24:XFD27 AA24:AA28 E25:E32 X25:Z38 A25:D1048576 R28:W30 F28:O32 AA29:XFD1048576 F81:Q97 E103:E111 R106:V108 W106:W109 X106:Z110 F106:P111 Q106:Q116 E129:I129">
    <cfRule type="cellIs" dxfId="113" priority="486" operator="equal">
      <formula>0</formula>
    </cfRule>
  </conditionalFormatting>
  <conditionalFormatting sqref="E42:E51">
    <cfRule type="cellIs" dxfId="112" priority="155" operator="equal">
      <formula>0</formula>
    </cfRule>
  </conditionalFormatting>
  <conditionalFormatting sqref="E61:E70">
    <cfRule type="cellIs" dxfId="111" priority="154" operator="equal">
      <formula>0</formula>
    </cfRule>
  </conditionalFormatting>
  <conditionalFormatting sqref="E80:E99">
    <cfRule type="cellIs" dxfId="110" priority="537" operator="equal">
      <formula>0</formula>
    </cfRule>
  </conditionalFormatting>
  <conditionalFormatting sqref="E121:E126">
    <cfRule type="cellIs" dxfId="109" priority="267" operator="equal">
      <formula>0</formula>
    </cfRule>
  </conditionalFormatting>
  <conditionalFormatting sqref="E137:E146">
    <cfRule type="cellIs" dxfId="108" priority="380" operator="equal">
      <formula>0</formula>
    </cfRule>
  </conditionalFormatting>
  <conditionalFormatting sqref="E56:H58">
    <cfRule type="cellIs" dxfId="107" priority="531" operator="equal">
      <formula>0</formula>
    </cfRule>
  </conditionalFormatting>
  <conditionalFormatting sqref="E151:I152">
    <cfRule type="cellIs" dxfId="106" priority="376" operator="equal">
      <formula>0</formula>
    </cfRule>
  </conditionalFormatting>
  <conditionalFormatting sqref="E33:O38">
    <cfRule type="cellIs" dxfId="105" priority="528" operator="equal">
      <formula>0</formula>
    </cfRule>
  </conditionalFormatting>
  <conditionalFormatting sqref="E52:P55">
    <cfRule type="cellIs" dxfId="104" priority="224" operator="equal">
      <formula>0</formula>
    </cfRule>
  </conditionalFormatting>
  <conditionalFormatting sqref="E71:P76">
    <cfRule type="cellIs" dxfId="103" priority="205" operator="equal">
      <formula>0</formula>
    </cfRule>
  </conditionalFormatting>
  <conditionalFormatting sqref="E112:P116">
    <cfRule type="cellIs" dxfId="102" priority="23" operator="equal">
      <formula>0</formula>
    </cfRule>
  </conditionalFormatting>
  <conditionalFormatting sqref="E147:Q150">
    <cfRule type="cellIs" dxfId="101" priority="393" operator="equal">
      <formula>0</formula>
    </cfRule>
  </conditionalFormatting>
  <conditionalFormatting sqref="E127:V128 E130:V132">
    <cfRule type="cellIs" dxfId="100" priority="286" operator="equal">
      <formula>0</formula>
    </cfRule>
  </conditionalFormatting>
  <conditionalFormatting sqref="E117:Z120">
    <cfRule type="cellIs" dxfId="99" priority="1" operator="equal">
      <formula>0</formula>
    </cfRule>
  </conditionalFormatting>
  <conditionalFormatting sqref="E133:Z136">
    <cfRule type="cellIs" dxfId="98" priority="258" operator="equal">
      <formula>0</formula>
    </cfRule>
  </conditionalFormatting>
  <conditionalFormatting sqref="F14:F15">
    <cfRule type="cellIs" dxfId="97" priority="418" operator="equal">
      <formula>0</formula>
    </cfRule>
  </conditionalFormatting>
  <conditionalFormatting sqref="F13:H13">
    <cfRule type="cellIs" dxfId="96" priority="419" operator="equal">
      <formula>0</formula>
    </cfRule>
  </conditionalFormatting>
  <conditionalFormatting sqref="F44:H44">
    <cfRule type="colorScale" priority="2257">
      <colorScale>
        <cfvo type="min"/>
        <cfvo type="max"/>
        <color rgb="FFD9FBE2"/>
        <color rgb="FF00C556"/>
      </colorScale>
    </cfRule>
    <cfRule type="colorScale" priority="2258">
      <colorScale>
        <cfvo type="min"/>
        <cfvo type="max"/>
        <color rgb="FFFCFCFF"/>
        <color rgb="FF63BE7B"/>
      </colorScale>
    </cfRule>
  </conditionalFormatting>
  <conditionalFormatting sqref="F105:H105">
    <cfRule type="colorScale" priority="32">
      <colorScale>
        <cfvo type="min"/>
        <cfvo type="max"/>
        <color rgb="FFD9FBE2"/>
        <color rgb="FF00C556"/>
      </colorScale>
    </cfRule>
    <cfRule type="colorScale" priority="33">
      <colorScale>
        <cfvo type="min"/>
        <cfvo type="max"/>
        <color rgb="FFFCFCFF"/>
        <color rgb="FF63BE7B"/>
      </colorScale>
    </cfRule>
  </conditionalFormatting>
  <conditionalFormatting sqref="F12:I12 F11:J11 W11:W15">
    <cfRule type="colorScale" priority="1959">
      <colorScale>
        <cfvo type="min"/>
        <cfvo type="max"/>
        <color rgb="FFD9FBE2"/>
        <color rgb="FF00C556"/>
      </colorScale>
    </cfRule>
    <cfRule type="colorScale" priority="1960">
      <colorScale>
        <cfvo type="min"/>
        <cfvo type="max"/>
        <color rgb="FFFCFCFF"/>
        <color rgb="FF63BE7B"/>
      </colorScale>
    </cfRule>
  </conditionalFormatting>
  <conditionalFormatting sqref="F63:I63">
    <cfRule type="colorScale" priority="1997">
      <colorScale>
        <cfvo type="min"/>
        <cfvo type="max"/>
        <color rgb="FFD9FBE2"/>
        <color rgb="FF00C556"/>
      </colorScale>
    </cfRule>
    <cfRule type="colorScale" priority="1998">
      <colorScale>
        <cfvo type="min"/>
        <cfvo type="max"/>
        <color rgb="FFFCFCFF"/>
        <color rgb="FF63BE7B"/>
      </colorScale>
    </cfRule>
    <cfRule type="colorScale" priority="2232">
      <colorScale>
        <cfvo type="min"/>
        <cfvo type="max"/>
        <color rgb="FFD9FBE2"/>
        <color rgb="FF00C556"/>
      </colorScale>
    </cfRule>
    <cfRule type="colorScale" priority="2233">
      <colorScale>
        <cfvo type="min"/>
        <cfvo type="max"/>
        <color rgb="FFFCFCFF"/>
        <color rgb="FF63BE7B"/>
      </colorScale>
    </cfRule>
  </conditionalFormatting>
  <conditionalFormatting sqref="F67:I70">
    <cfRule type="cellIs" dxfId="95" priority="663" operator="equal">
      <formula>0</formula>
    </cfRule>
  </conditionalFormatting>
  <conditionalFormatting sqref="F129:I129">
    <cfRule type="colorScale" priority="265">
      <colorScale>
        <cfvo type="min"/>
        <cfvo type="max"/>
        <color rgb="FFD9FBE2"/>
        <color rgb="FF00C556"/>
      </colorScale>
    </cfRule>
    <cfRule type="colorScale" priority="266">
      <colorScale>
        <cfvo type="min"/>
        <cfvo type="max"/>
        <color rgb="FFFCFCFF"/>
        <color rgb="FF63BE7B"/>
      </colorScale>
    </cfRule>
    <cfRule type="colorScale" priority="275">
      <colorScale>
        <cfvo type="min"/>
        <cfvo type="max"/>
        <color rgb="FFD9FBE2"/>
        <color rgb="FF00C556"/>
      </colorScale>
    </cfRule>
    <cfRule type="colorScale" priority="276">
      <colorScale>
        <cfvo type="min"/>
        <cfvo type="max"/>
        <color rgb="FFFCFCFF"/>
        <color rgb="FF63BE7B"/>
      </colorScale>
    </cfRule>
  </conditionalFormatting>
  <conditionalFormatting sqref="F86:O86">
    <cfRule type="colorScale" priority="553">
      <colorScale>
        <cfvo type="min"/>
        <cfvo type="max"/>
        <color rgb="FFD9FBE2"/>
        <color rgb="FF00C556"/>
      </colorScale>
    </cfRule>
    <cfRule type="colorScale" priority="554">
      <colorScale>
        <cfvo type="min"/>
        <cfvo type="max"/>
        <color rgb="FFFCFCFF"/>
        <color rgb="FF63BE7B"/>
      </colorScale>
    </cfRule>
    <cfRule type="colorScale" priority="2294">
      <colorScale>
        <cfvo type="min"/>
        <cfvo type="max"/>
        <color rgb="FFD9FBE2"/>
        <color rgb="FF00C556"/>
      </colorScale>
    </cfRule>
    <cfRule type="colorScale" priority="2295">
      <colorScale>
        <cfvo type="min"/>
        <cfvo type="max"/>
        <color rgb="FFFCFCFF"/>
        <color rgb="FF63BE7B"/>
      </colorScale>
    </cfRule>
  </conditionalFormatting>
  <conditionalFormatting sqref="F32:P32">
    <cfRule type="colorScale" priority="109">
      <colorScale>
        <cfvo type="min"/>
        <cfvo type="max"/>
        <color rgb="FFD9FBE2"/>
        <color rgb="FF43AF43"/>
      </colorScale>
    </cfRule>
    <cfRule type="colorScale" priority="110">
      <colorScale>
        <cfvo type="min"/>
        <cfvo type="max"/>
        <color rgb="FFFCFCFF"/>
        <color rgb="FF43AF43"/>
      </colorScale>
    </cfRule>
    <cfRule type="colorScale" priority="111">
      <colorScale>
        <cfvo type="min"/>
        <cfvo type="max"/>
        <color rgb="FFD9FBE2"/>
        <color rgb="FF43AF43"/>
      </colorScale>
    </cfRule>
    <cfRule type="colorScale" priority="112">
      <colorScale>
        <cfvo type="min"/>
        <cfvo type="max"/>
        <color rgb="FFFCFCFF"/>
        <color rgb="FF43AF43"/>
      </colorScale>
    </cfRule>
    <cfRule type="colorScale" priority="113">
      <colorScale>
        <cfvo type="min"/>
        <cfvo type="max"/>
        <color rgb="FFD9FBE2"/>
        <color rgb="FF43AF43"/>
      </colorScale>
    </cfRule>
    <cfRule type="colorScale" priority="114">
      <colorScale>
        <cfvo type="min"/>
        <cfvo type="max"/>
        <color rgb="FFFCFCFF"/>
        <color rgb="FF43AF43"/>
      </colorScale>
    </cfRule>
  </conditionalFormatting>
  <conditionalFormatting sqref="F45:P51">
    <cfRule type="cellIs" dxfId="94" priority="101" operator="equal">
      <formula>0</formula>
    </cfRule>
  </conditionalFormatting>
  <conditionalFormatting sqref="F64:P65 F66:O66 P66:P68 J67:O68">
    <cfRule type="cellIs" dxfId="93" priority="211" operator="equal">
      <formula>0</formula>
    </cfRule>
  </conditionalFormatting>
  <conditionalFormatting sqref="F122:Q126">
    <cfRule type="cellIs" dxfId="92" priority="256" operator="equal">
      <formula>0</formula>
    </cfRule>
  </conditionalFormatting>
  <conditionalFormatting sqref="F141:Q146">
    <cfRule type="cellIs" dxfId="91" priority="59" operator="equal">
      <formula>0</formula>
    </cfRule>
  </conditionalFormatting>
  <conditionalFormatting sqref="F10:V11">
    <cfRule type="cellIs" dxfId="90" priority="129" operator="equal">
      <formula>0</formula>
    </cfRule>
  </conditionalFormatting>
  <conditionalFormatting sqref="F27:V27">
    <cfRule type="colorScale" priority="2382">
      <colorScale>
        <cfvo type="min"/>
        <cfvo type="max"/>
        <color rgb="FFD9FBE2"/>
        <color rgb="FF43AF43"/>
      </colorScale>
    </cfRule>
    <cfRule type="colorScale" priority="2383">
      <colorScale>
        <cfvo type="min"/>
        <cfvo type="max"/>
        <color rgb="FFFCFCFF"/>
        <color rgb="FF43AF43"/>
      </colorScale>
    </cfRule>
    <cfRule type="colorScale" priority="2384">
      <colorScale>
        <cfvo type="min"/>
        <cfvo type="max"/>
        <color rgb="FFD9FBE2"/>
        <color rgb="FF43AF43"/>
      </colorScale>
    </cfRule>
    <cfRule type="colorScale" priority="2385">
      <colorScale>
        <cfvo type="min"/>
        <cfvo type="max"/>
        <color rgb="FFFCFCFF"/>
        <color rgb="FF43AF43"/>
      </colorScale>
    </cfRule>
    <cfRule type="colorScale" priority="2386">
      <colorScale>
        <cfvo type="min"/>
        <cfvo type="max"/>
        <color rgb="FFD9FBE2"/>
        <color rgb="FF43AF43"/>
      </colorScale>
    </cfRule>
    <cfRule type="colorScale" priority="2387">
      <colorScale>
        <cfvo type="min"/>
        <cfvo type="max"/>
        <color rgb="FFFCFCFF"/>
        <color rgb="FF43AF43"/>
      </colorScale>
    </cfRule>
  </conditionalFormatting>
  <conditionalFormatting sqref="F80:V80">
    <cfRule type="cellIs" dxfId="89" priority="39" operator="equal">
      <formula>0</formula>
    </cfRule>
  </conditionalFormatting>
  <conditionalFormatting sqref="F121:V121">
    <cfRule type="cellIs" dxfId="88" priority="38" operator="equal">
      <formula>0</formula>
    </cfRule>
  </conditionalFormatting>
  <conditionalFormatting sqref="F137:V139">
    <cfRule type="cellIs" dxfId="87" priority="37" operator="equal">
      <formula>0</formula>
    </cfRule>
  </conditionalFormatting>
  <conditionalFormatting sqref="F139:V139">
    <cfRule type="colorScale" priority="60">
      <colorScale>
        <cfvo type="min"/>
        <cfvo type="max"/>
        <color rgb="FFD9FBE2"/>
        <color rgb="FF43AF43"/>
      </colorScale>
    </cfRule>
    <cfRule type="colorScale" priority="61">
      <colorScale>
        <cfvo type="min"/>
        <cfvo type="max"/>
        <color rgb="FFFCFCFF"/>
        <color rgb="FF43AF43"/>
      </colorScale>
    </cfRule>
    <cfRule type="colorScale" priority="62">
      <colorScale>
        <cfvo type="min"/>
        <cfvo type="max"/>
        <color rgb="FFD9FBE2"/>
        <color rgb="FF43AF43"/>
      </colorScale>
    </cfRule>
    <cfRule type="colorScale" priority="63">
      <colorScale>
        <cfvo type="min"/>
        <cfvo type="max"/>
        <color rgb="FFFCFCFF"/>
        <color rgb="FF43AF43"/>
      </colorScale>
    </cfRule>
    <cfRule type="colorScale" priority="64">
      <colorScale>
        <cfvo type="min"/>
        <cfvo type="max"/>
        <color rgb="FFD9FBE2"/>
        <color rgb="FF43AF43"/>
      </colorScale>
    </cfRule>
    <cfRule type="colorScale" priority="65">
      <colorScale>
        <cfvo type="min"/>
        <cfvo type="max"/>
        <color rgb="FFFCFCFF"/>
        <color rgb="FF43AF43"/>
      </colorScale>
    </cfRule>
  </conditionalFormatting>
  <conditionalFormatting sqref="F1:X2 A1:E6 F3:R3 F4:Q5 F6:X9 W10:Z15 F12:I12 R16:V16 X16:Z18 R17:W18 B23:D24 E24:Z24 R31:V37 E39:Z41 R45:V48 R50:V56 X53:Z55 I57:V57 E59:Z60 R64:V67 R69:V76 E77:Z79 S87:V90 S92:V97 E100:Z102 R110:V116 X113:Z115 R122:V125 R141:V143 R145:V151 E153:Z1048576">
    <cfRule type="cellIs" dxfId="86" priority="1288" operator="equal">
      <formula>0</formula>
    </cfRule>
  </conditionalFormatting>
  <conditionalFormatting sqref="F42:Z44">
    <cfRule type="cellIs" dxfId="85" priority="41" operator="equal">
      <formula>0</formula>
    </cfRule>
  </conditionalFormatting>
  <conditionalFormatting sqref="F61:Z63">
    <cfRule type="cellIs" dxfId="84" priority="40" operator="equal">
      <formula>0</formula>
    </cfRule>
  </conditionalFormatting>
  <conditionalFormatting sqref="F98:Z99">
    <cfRule type="cellIs" dxfId="83" priority="160" operator="equal">
      <formula>0</formula>
    </cfRule>
  </conditionalFormatting>
  <conditionalFormatting sqref="F103:Z105">
    <cfRule type="cellIs" dxfId="82" priority="4" operator="equal">
      <formula>0</formula>
    </cfRule>
  </conditionalFormatting>
  <conditionalFormatting sqref="G15">
    <cfRule type="cellIs" dxfId="81" priority="417" operator="equal">
      <formula>0</formula>
    </cfRule>
  </conditionalFormatting>
  <conditionalFormatting sqref="I51:P51">
    <cfRule type="colorScale" priority="95">
      <colorScale>
        <cfvo type="min"/>
        <cfvo type="max"/>
        <color rgb="FFD9FBE2"/>
        <color rgb="FF43AF43"/>
      </colorScale>
    </cfRule>
    <cfRule type="colorScale" priority="96">
      <colorScale>
        <cfvo type="min"/>
        <cfvo type="max"/>
        <color rgb="FFFCFCFF"/>
        <color rgb="FF43AF43"/>
      </colorScale>
    </cfRule>
    <cfRule type="colorScale" priority="97">
      <colorScale>
        <cfvo type="min"/>
        <cfvo type="max"/>
        <color rgb="FFD9FBE2"/>
        <color rgb="FF43AF43"/>
      </colorScale>
    </cfRule>
    <cfRule type="colorScale" priority="98">
      <colorScale>
        <cfvo type="min"/>
        <cfvo type="max"/>
        <color rgb="FFFCFCFF"/>
        <color rgb="FF43AF43"/>
      </colorScale>
    </cfRule>
    <cfRule type="colorScale" priority="99">
      <colorScale>
        <cfvo type="min"/>
        <cfvo type="max"/>
        <color rgb="FFD9FBE2"/>
        <color rgb="FF43AF43"/>
      </colorScale>
    </cfRule>
    <cfRule type="colorScale" priority="100">
      <colorScale>
        <cfvo type="min"/>
        <cfvo type="max"/>
        <color rgb="FFFCFCFF"/>
        <color rgb="FF43AF43"/>
      </colorScale>
    </cfRule>
  </conditionalFormatting>
  <conditionalFormatting sqref="I56:P56">
    <cfRule type="cellIs" dxfId="80" priority="515" operator="equal">
      <formula>0</formula>
    </cfRule>
  </conditionalFormatting>
  <conditionalFormatting sqref="I111:P111">
    <cfRule type="colorScale" priority="5">
      <colorScale>
        <cfvo type="min"/>
        <cfvo type="max"/>
        <color rgb="FFD9FBE2"/>
        <color rgb="FF43AF43"/>
      </colorScale>
    </cfRule>
    <cfRule type="colorScale" priority="6">
      <colorScale>
        <cfvo type="min"/>
        <cfvo type="max"/>
        <color rgb="FFFCFCFF"/>
        <color rgb="FF43AF43"/>
      </colorScale>
    </cfRule>
    <cfRule type="colorScale" priority="7">
      <colorScale>
        <cfvo type="min"/>
        <cfvo type="max"/>
        <color rgb="FFD9FBE2"/>
        <color rgb="FF43AF43"/>
      </colorScale>
    </cfRule>
    <cfRule type="colorScale" priority="8">
      <colorScale>
        <cfvo type="min"/>
        <cfvo type="max"/>
        <color rgb="FFFCFCFF"/>
        <color rgb="FF43AF43"/>
      </colorScale>
    </cfRule>
    <cfRule type="colorScale" priority="9">
      <colorScale>
        <cfvo type="min"/>
        <cfvo type="max"/>
        <color rgb="FFD9FBE2"/>
        <color rgb="FF43AF43"/>
      </colorScale>
    </cfRule>
    <cfRule type="colorScale" priority="10">
      <colorScale>
        <cfvo type="min"/>
        <cfvo type="max"/>
        <color rgb="FFFCFCFF"/>
        <color rgb="FF43AF43"/>
      </colorScale>
    </cfRule>
  </conditionalFormatting>
  <conditionalFormatting sqref="I44:V44">
    <cfRule type="colorScale" priority="102">
      <colorScale>
        <cfvo type="min"/>
        <cfvo type="max"/>
        <color rgb="FFD9FBE2"/>
        <color rgb="FF43AF43"/>
      </colorScale>
    </cfRule>
    <cfRule type="colorScale" priority="103">
      <colorScale>
        <cfvo type="min"/>
        <cfvo type="max"/>
        <color rgb="FFFCFCFF"/>
        <color rgb="FF43AF43"/>
      </colorScale>
    </cfRule>
    <cfRule type="colorScale" priority="104">
      <colorScale>
        <cfvo type="min"/>
        <cfvo type="max"/>
        <color rgb="FFD9FBE2"/>
        <color rgb="FF43AF43"/>
      </colorScale>
    </cfRule>
    <cfRule type="colorScale" priority="105">
      <colorScale>
        <cfvo type="min"/>
        <cfvo type="max"/>
        <color rgb="FFFCFCFF"/>
        <color rgb="FF43AF43"/>
      </colorScale>
    </cfRule>
    <cfRule type="colorScale" priority="106">
      <colorScale>
        <cfvo type="min"/>
        <cfvo type="max"/>
        <color rgb="FFD9FBE2"/>
        <color rgb="FF43AF43"/>
      </colorScale>
    </cfRule>
    <cfRule type="colorScale" priority="107">
      <colorScale>
        <cfvo type="min"/>
        <cfvo type="max"/>
        <color rgb="FFFCFCFF"/>
        <color rgb="FF43AF43"/>
      </colorScale>
    </cfRule>
  </conditionalFormatting>
  <conditionalFormatting sqref="I105:V105">
    <cfRule type="colorScale" priority="12">
      <colorScale>
        <cfvo type="min"/>
        <cfvo type="max"/>
        <color rgb="FFD9FBE2"/>
        <color rgb="FF43AF43"/>
      </colorScale>
    </cfRule>
    <cfRule type="colorScale" priority="13">
      <colorScale>
        <cfvo type="min"/>
        <cfvo type="max"/>
        <color rgb="FFFCFCFF"/>
        <color rgb="FF43AF43"/>
      </colorScale>
    </cfRule>
    <cfRule type="colorScale" priority="14">
      <colorScale>
        <cfvo type="min"/>
        <cfvo type="max"/>
        <color rgb="FFD9FBE2"/>
        <color rgb="FF43AF43"/>
      </colorScale>
    </cfRule>
    <cfRule type="colorScale" priority="15">
      <colorScale>
        <cfvo type="min"/>
        <cfvo type="max"/>
        <color rgb="FFFCFCFF"/>
        <color rgb="FF43AF43"/>
      </colorScale>
    </cfRule>
    <cfRule type="colorScale" priority="16">
      <colorScale>
        <cfvo type="min"/>
        <cfvo type="max"/>
        <color rgb="FFD9FBE2"/>
        <color rgb="FF43AF43"/>
      </colorScale>
    </cfRule>
    <cfRule type="colorScale" priority="17">
      <colorScale>
        <cfvo type="min"/>
        <cfvo type="max"/>
        <color rgb="FFFCFCFF"/>
        <color rgb="FF43AF43"/>
      </colorScale>
    </cfRule>
  </conditionalFormatting>
  <conditionalFormatting sqref="I58:Z58">
    <cfRule type="cellIs" dxfId="79" priority="513" operator="equal">
      <formula>0</formula>
    </cfRule>
  </conditionalFormatting>
  <conditionalFormatting sqref="J69:P70">
    <cfRule type="cellIs" dxfId="78" priority="87" operator="equal">
      <formula>0</formula>
    </cfRule>
  </conditionalFormatting>
  <conditionalFormatting sqref="J70:P70">
    <cfRule type="colorScale" priority="81">
      <colorScale>
        <cfvo type="min"/>
        <cfvo type="max"/>
        <color rgb="FFD9FBE2"/>
        <color rgb="FF43AF43"/>
      </colorScale>
    </cfRule>
    <cfRule type="colorScale" priority="82">
      <colorScale>
        <cfvo type="min"/>
        <cfvo type="max"/>
        <color rgb="FFFCFCFF"/>
        <color rgb="FF43AF43"/>
      </colorScale>
    </cfRule>
    <cfRule type="colorScale" priority="83">
      <colorScale>
        <cfvo type="min"/>
        <cfvo type="max"/>
        <color rgb="FFD9FBE2"/>
        <color rgb="FF43AF43"/>
      </colorScale>
    </cfRule>
    <cfRule type="colorScale" priority="84">
      <colorScale>
        <cfvo type="min"/>
        <cfvo type="max"/>
        <color rgb="FFFCFCFF"/>
        <color rgb="FF43AF43"/>
      </colorScale>
    </cfRule>
    <cfRule type="colorScale" priority="85">
      <colorScale>
        <cfvo type="min"/>
        <cfvo type="max"/>
        <color rgb="FFD9FBE2"/>
        <color rgb="FF43AF43"/>
      </colorScale>
    </cfRule>
    <cfRule type="colorScale" priority="86">
      <colorScale>
        <cfvo type="min"/>
        <cfvo type="max"/>
        <color rgb="FFFCFCFF"/>
        <color rgb="FF43AF43"/>
      </colorScale>
    </cfRule>
  </conditionalFormatting>
  <conditionalFormatting sqref="J151:Q151">
    <cfRule type="cellIs" dxfId="77" priority="158" operator="equal">
      <formula>0</formula>
    </cfRule>
  </conditionalFormatting>
  <conditionalFormatting sqref="J63:V63">
    <cfRule type="colorScale" priority="88">
      <colorScale>
        <cfvo type="min"/>
        <cfvo type="max"/>
        <color rgb="FFD9FBE2"/>
        <color rgb="FF43AF43"/>
      </colorScale>
    </cfRule>
    <cfRule type="colorScale" priority="89">
      <colorScale>
        <cfvo type="min"/>
        <cfvo type="max"/>
        <color rgb="FFFCFCFF"/>
        <color rgb="FF43AF43"/>
      </colorScale>
    </cfRule>
    <cfRule type="colorScale" priority="90">
      <colorScale>
        <cfvo type="min"/>
        <cfvo type="max"/>
        <color rgb="FFD9FBE2"/>
        <color rgb="FF43AF43"/>
      </colorScale>
    </cfRule>
    <cfRule type="colorScale" priority="91">
      <colorScale>
        <cfvo type="min"/>
        <cfvo type="max"/>
        <color rgb="FFFCFCFF"/>
        <color rgb="FF43AF43"/>
      </colorScale>
    </cfRule>
    <cfRule type="colorScale" priority="92">
      <colorScale>
        <cfvo type="min"/>
        <cfvo type="max"/>
        <color rgb="FFD9FBE2"/>
        <color rgb="FF43AF43"/>
      </colorScale>
    </cfRule>
    <cfRule type="colorScale" priority="93">
      <colorScale>
        <cfvo type="min"/>
        <cfvo type="max"/>
        <color rgb="FFFCFCFF"/>
        <color rgb="FF43AF43"/>
      </colorScale>
    </cfRule>
  </conditionalFormatting>
  <conditionalFormatting sqref="J152:Z152">
    <cfRule type="cellIs" dxfId="76" priority="377" operator="equal">
      <formula>0</formula>
    </cfRule>
  </conditionalFormatting>
  <conditionalFormatting sqref="K146:P146">
    <cfRule type="colorScale" priority="53">
      <colorScale>
        <cfvo type="min"/>
        <cfvo type="max"/>
        <color rgb="FFD9FBE2"/>
        <color rgb="FF43AF43"/>
      </colorScale>
    </cfRule>
    <cfRule type="colorScale" priority="54">
      <colorScale>
        <cfvo type="min"/>
        <cfvo type="max"/>
        <color rgb="FFFCFCFF"/>
        <color rgb="FF43AF43"/>
      </colorScale>
    </cfRule>
    <cfRule type="colorScale" priority="55">
      <colorScale>
        <cfvo type="min"/>
        <cfvo type="max"/>
        <color rgb="FFD9FBE2"/>
        <color rgb="FF43AF43"/>
      </colorScale>
    </cfRule>
    <cfRule type="colorScale" priority="56">
      <colorScale>
        <cfvo type="min"/>
        <cfvo type="max"/>
        <color rgb="FFFCFCFF"/>
        <color rgb="FF43AF43"/>
      </colorScale>
    </cfRule>
    <cfRule type="colorScale" priority="57">
      <colorScale>
        <cfvo type="min"/>
        <cfvo type="max"/>
        <color rgb="FFD9FBE2"/>
        <color rgb="FF43AF43"/>
      </colorScale>
    </cfRule>
    <cfRule type="colorScale" priority="58">
      <colorScale>
        <cfvo type="min"/>
        <cfvo type="max"/>
        <color rgb="FFFCFCFF"/>
        <color rgb="FF43AF43"/>
      </colorScale>
    </cfRule>
  </conditionalFormatting>
  <conditionalFormatting sqref="K11:V11">
    <cfRule type="colorScale" priority="123">
      <colorScale>
        <cfvo type="min"/>
        <cfvo type="max"/>
        <color rgb="FFD9FBE2"/>
        <color rgb="FF43AF43"/>
      </colorScale>
    </cfRule>
    <cfRule type="colorScale" priority="124">
      <colorScale>
        <cfvo type="min"/>
        <cfvo type="max"/>
        <color rgb="FFFCFCFF"/>
        <color rgb="FF43AF43"/>
      </colorScale>
    </cfRule>
    <cfRule type="colorScale" priority="125">
      <colorScale>
        <cfvo type="min"/>
        <cfvo type="max"/>
        <color rgb="FFD9FBE2"/>
        <color rgb="FF43AF43"/>
      </colorScale>
    </cfRule>
    <cfRule type="colorScale" priority="126">
      <colorScale>
        <cfvo type="min"/>
        <cfvo type="max"/>
        <color rgb="FFFCFCFF"/>
        <color rgb="FF43AF43"/>
      </colorScale>
    </cfRule>
    <cfRule type="colorScale" priority="127">
      <colorScale>
        <cfvo type="min"/>
        <cfvo type="max"/>
        <color rgb="FFD9FBE2"/>
        <color rgb="FF43AF43"/>
      </colorScale>
    </cfRule>
    <cfRule type="colorScale" priority="128">
      <colorScale>
        <cfvo type="min"/>
        <cfvo type="max"/>
        <color rgb="FFFCFCFF"/>
        <color rgb="FF43AF43"/>
      </colorScale>
    </cfRule>
  </conditionalFormatting>
  <conditionalFormatting sqref="N93:P93">
    <cfRule type="colorScale" priority="67">
      <colorScale>
        <cfvo type="min"/>
        <cfvo type="max"/>
        <color rgb="FFD9FBE2"/>
        <color rgb="FF43AF43"/>
      </colorScale>
    </cfRule>
    <cfRule type="colorScale" priority="68">
      <colorScale>
        <cfvo type="min"/>
        <cfvo type="max"/>
        <color rgb="FFFCFCFF"/>
        <color rgb="FF43AF43"/>
      </colorScale>
    </cfRule>
    <cfRule type="colorScale" priority="69">
      <colorScale>
        <cfvo type="min"/>
        <cfvo type="max"/>
        <color rgb="FFD9FBE2"/>
        <color rgb="FF43AF43"/>
      </colorScale>
    </cfRule>
    <cfRule type="colorScale" priority="70">
      <colorScale>
        <cfvo type="min"/>
        <cfvo type="max"/>
        <color rgb="FFFCFCFF"/>
        <color rgb="FF43AF43"/>
      </colorScale>
    </cfRule>
    <cfRule type="colorScale" priority="71">
      <colorScale>
        <cfvo type="min"/>
        <cfvo type="max"/>
        <color rgb="FFD9FBE2"/>
        <color rgb="FF43AF43"/>
      </colorScale>
    </cfRule>
    <cfRule type="colorScale" priority="72">
      <colorScale>
        <cfvo type="min"/>
        <cfvo type="max"/>
        <color rgb="FFFCFCFF"/>
        <color rgb="FF43AF43"/>
      </colorScale>
    </cfRule>
  </conditionalFormatting>
  <conditionalFormatting sqref="O29:Q29 P31:Q32">
    <cfRule type="cellIs" dxfId="75" priority="115" operator="equal">
      <formula>0</formula>
    </cfRule>
  </conditionalFormatting>
  <conditionalFormatting sqref="O25:V25">
    <cfRule type="cellIs" dxfId="74" priority="42" operator="equal">
      <formula>0</formula>
    </cfRule>
  </conditionalFormatting>
  <conditionalFormatting sqref="P86:Q86">
    <cfRule type="colorScale" priority="2054">
      <colorScale>
        <cfvo type="min"/>
        <cfvo type="max"/>
        <color rgb="FFD9FBE2"/>
        <color rgb="FF00C556"/>
      </colorScale>
    </cfRule>
    <cfRule type="colorScale" priority="2055">
      <colorScale>
        <cfvo type="min"/>
        <cfvo type="max"/>
        <color rgb="FFFCFCFF"/>
        <color rgb="FF63BE7B"/>
      </colorScale>
    </cfRule>
  </conditionalFormatting>
  <conditionalFormatting sqref="P93:Q93">
    <cfRule type="colorScale" priority="2056">
      <colorScale>
        <cfvo type="min"/>
        <cfvo type="max"/>
        <color rgb="FFD9FBE2"/>
        <color rgb="FF00C556"/>
      </colorScale>
    </cfRule>
    <cfRule type="colorScale" priority="2057">
      <colorScale>
        <cfvo type="min"/>
        <cfvo type="max"/>
        <color rgb="FFFCFCFF"/>
        <color rgb="FF63BE7B"/>
      </colorScale>
    </cfRule>
  </conditionalFormatting>
  <conditionalFormatting sqref="P38:Z38">
    <cfRule type="cellIs" dxfId="73" priority="172" operator="equal">
      <formula>0</formula>
    </cfRule>
  </conditionalFormatting>
  <conditionalFormatting sqref="Q26">
    <cfRule type="cellIs" dxfId="72" priority="44" operator="equal">
      <formula>0</formula>
    </cfRule>
  </conditionalFormatting>
  <conditionalFormatting sqref="Q32">
    <cfRule type="colorScale" priority="180">
      <colorScale>
        <cfvo type="min"/>
        <cfvo type="max"/>
        <color rgb="FFD9FBE2"/>
        <color rgb="FF00C556"/>
      </colorScale>
    </cfRule>
    <cfRule type="colorScale" priority="181">
      <colorScale>
        <cfvo type="min"/>
        <cfvo type="max"/>
        <color rgb="FFFCFCFF"/>
        <color rgb="FF63BE7B"/>
      </colorScale>
    </cfRule>
  </conditionalFormatting>
  <conditionalFormatting sqref="Q45:Q56">
    <cfRule type="cellIs" dxfId="71" priority="189" operator="equal">
      <formula>0</formula>
    </cfRule>
  </conditionalFormatting>
  <conditionalFormatting sqref="Q51">
    <cfRule type="colorScale" priority="196">
      <colorScale>
        <cfvo type="min"/>
        <cfvo type="max"/>
        <color rgb="FFD9FBE2"/>
        <color rgb="FF00C556"/>
      </colorScale>
    </cfRule>
    <cfRule type="colorScale" priority="197">
      <colorScale>
        <cfvo type="min"/>
        <cfvo type="max"/>
        <color rgb="FFFCFCFF"/>
        <color rgb="FF63BE7B"/>
      </colorScale>
    </cfRule>
  </conditionalFormatting>
  <conditionalFormatting sqref="Q64:Q76">
    <cfRule type="cellIs" dxfId="70" priority="216" operator="equal">
      <formula>0</formula>
    </cfRule>
  </conditionalFormatting>
  <conditionalFormatting sqref="Q70">
    <cfRule type="colorScale" priority="443">
      <colorScale>
        <cfvo type="min"/>
        <cfvo type="max"/>
        <color rgb="FFD9FBE2"/>
        <color rgb="FF00C556"/>
      </colorScale>
    </cfRule>
    <cfRule type="colorScale" priority="444">
      <colorScale>
        <cfvo type="min"/>
        <cfvo type="max"/>
        <color rgb="FFFCFCFF"/>
        <color rgb="FF63BE7B"/>
      </colorScale>
    </cfRule>
  </conditionalFormatting>
  <conditionalFormatting sqref="Q111">
    <cfRule type="colorScale" priority="21">
      <colorScale>
        <cfvo type="min"/>
        <cfvo type="max"/>
        <color rgb="FFD9FBE2"/>
        <color rgb="FF00C556"/>
      </colorScale>
    </cfRule>
    <cfRule type="colorScale" priority="22">
      <colorScale>
        <cfvo type="min"/>
        <cfvo type="max"/>
        <color rgb="FFFCFCFF"/>
        <color rgb="FF63BE7B"/>
      </colorScale>
    </cfRule>
  </conditionalFormatting>
  <conditionalFormatting sqref="Q146">
    <cfRule type="colorScale" priority="2083">
      <colorScale>
        <cfvo type="min"/>
        <cfvo type="max"/>
        <color rgb="FFD9FBE2"/>
        <color rgb="FF00C556"/>
      </colorScale>
    </cfRule>
    <cfRule type="colorScale" priority="2084">
      <colorScale>
        <cfvo type="min"/>
        <cfvo type="max"/>
        <color rgb="FFFCFCFF"/>
        <color rgb="FF63BE7B"/>
      </colorScale>
    </cfRule>
  </conditionalFormatting>
  <conditionalFormatting sqref="R87:R97">
    <cfRule type="cellIs" dxfId="69" priority="495" operator="equal">
      <formula>0</formula>
    </cfRule>
  </conditionalFormatting>
  <conditionalFormatting sqref="R93">
    <cfRule type="colorScale" priority="501">
      <colorScale>
        <cfvo type="min"/>
        <cfvo type="max"/>
        <color rgb="FFD9FBE2"/>
        <color rgb="FF00C556"/>
      </colorScale>
    </cfRule>
    <cfRule type="colorScale" priority="502">
      <colorScale>
        <cfvo type="min"/>
        <cfvo type="max"/>
        <color rgb="FFFCFCFF"/>
        <color rgb="FF63BE7B"/>
      </colorScale>
    </cfRule>
  </conditionalFormatting>
  <conditionalFormatting sqref="R32:V32">
    <cfRule type="colorScale" priority="2288">
      <colorScale>
        <cfvo type="min"/>
        <cfvo type="max"/>
        <color rgb="FFD9FBE2"/>
        <color rgb="FF00C556"/>
      </colorScale>
    </cfRule>
    <cfRule type="colorScale" priority="2289">
      <colorScale>
        <cfvo type="min"/>
        <cfvo type="max"/>
        <color rgb="FFFCFCFF"/>
        <color rgb="FF63BE7B"/>
      </colorScale>
    </cfRule>
  </conditionalFormatting>
  <conditionalFormatting sqref="R51:V51 F51:H51">
    <cfRule type="colorScale" priority="2263">
      <colorScale>
        <cfvo type="min"/>
        <cfvo type="max"/>
        <color rgb="FFD9FBE2"/>
        <color rgb="FF00C556"/>
      </colorScale>
    </cfRule>
    <cfRule type="colorScale" priority="2264">
      <colorScale>
        <cfvo type="min"/>
        <cfvo type="max"/>
        <color rgb="FFFCFCFF"/>
        <color rgb="FF63BE7B"/>
      </colorScale>
    </cfRule>
  </conditionalFormatting>
  <conditionalFormatting sqref="R70:V70 F70:I70">
    <cfRule type="colorScale" priority="2238">
      <colorScale>
        <cfvo type="min"/>
        <cfvo type="max"/>
        <color rgb="FFD9FBE2"/>
        <color rgb="FF00C556"/>
      </colorScale>
    </cfRule>
    <cfRule type="colorScale" priority="2239">
      <colorScale>
        <cfvo type="min"/>
        <cfvo type="max"/>
        <color rgb="FFFCFCFF"/>
        <color rgb="FF63BE7B"/>
      </colorScale>
    </cfRule>
  </conditionalFormatting>
  <conditionalFormatting sqref="R81:V86">
    <cfRule type="cellIs" dxfId="68" priority="36" operator="equal">
      <formula>0</formula>
    </cfRule>
  </conditionalFormatting>
  <conditionalFormatting sqref="R86:V86">
    <cfRule type="colorScale" priority="74">
      <colorScale>
        <cfvo type="min"/>
        <cfvo type="max"/>
        <color rgb="FFD9FBE2"/>
        <color rgb="FF43AF43"/>
      </colorScale>
    </cfRule>
    <cfRule type="colorScale" priority="75">
      <colorScale>
        <cfvo type="min"/>
        <cfvo type="max"/>
        <color rgb="FFFCFCFF"/>
        <color rgb="FF43AF43"/>
      </colorScale>
    </cfRule>
    <cfRule type="colorScale" priority="76">
      <colorScale>
        <cfvo type="min"/>
        <cfvo type="max"/>
        <color rgb="FFD9FBE2"/>
        <color rgb="FF43AF43"/>
      </colorScale>
    </cfRule>
    <cfRule type="colorScale" priority="77">
      <colorScale>
        <cfvo type="min"/>
        <cfvo type="max"/>
        <color rgb="FFFCFCFF"/>
        <color rgb="FF43AF43"/>
      </colorScale>
    </cfRule>
    <cfRule type="colorScale" priority="78">
      <colorScale>
        <cfvo type="min"/>
        <cfvo type="max"/>
        <color rgb="FFD9FBE2"/>
        <color rgb="FF43AF43"/>
      </colorScale>
    </cfRule>
    <cfRule type="colorScale" priority="79">
      <colorScale>
        <cfvo type="min"/>
        <cfvo type="max"/>
        <color rgb="FFFCFCFF"/>
        <color rgb="FF43AF43"/>
      </colorScale>
    </cfRule>
  </conditionalFormatting>
  <conditionalFormatting sqref="R111:V111 F111:H111">
    <cfRule type="colorScale" priority="34">
      <colorScale>
        <cfvo type="min"/>
        <cfvo type="max"/>
        <color rgb="FFD9FBE2"/>
        <color rgb="FF00C556"/>
      </colorScale>
    </cfRule>
    <cfRule type="colorScale" priority="35">
      <colorScale>
        <cfvo type="min"/>
        <cfvo type="max"/>
        <color rgb="FFFCFCFF"/>
        <color rgb="FF63BE7B"/>
      </colorScale>
    </cfRule>
  </conditionalFormatting>
  <conditionalFormatting sqref="R146:V146 F146:J146 P146">
    <cfRule type="colorScale" priority="2355">
      <colorScale>
        <cfvo type="min"/>
        <cfvo type="max"/>
        <color rgb="FFD9FBE2"/>
        <color rgb="FF00C556"/>
      </colorScale>
    </cfRule>
    <cfRule type="colorScale" priority="2356">
      <colorScale>
        <cfvo type="min"/>
        <cfvo type="max"/>
        <color rgb="FFFCFCFF"/>
        <color rgb="FF63BE7B"/>
      </colorScale>
    </cfRule>
  </conditionalFormatting>
  <conditionalFormatting sqref="S93:V93 F93:M93">
    <cfRule type="colorScale" priority="2298">
      <colorScale>
        <cfvo type="min"/>
        <cfvo type="max"/>
        <color rgb="FFD9FBE2"/>
        <color rgb="FF00C556"/>
      </colorScale>
    </cfRule>
    <cfRule type="colorScale" priority="2299">
      <colorScale>
        <cfvo type="min"/>
        <cfvo type="max"/>
        <color rgb="FFFCFCFF"/>
        <color rgb="FF63BE7B"/>
      </colorScale>
    </cfRule>
  </conditionalFormatting>
  <conditionalFormatting sqref="W34">
    <cfRule type="colorScale" priority="624">
      <colorScale>
        <cfvo type="min"/>
        <cfvo type="max"/>
        <color rgb="FFD9FBE2"/>
        <color rgb="FF00C556"/>
      </colorScale>
    </cfRule>
    <cfRule type="colorScale" priority="625">
      <colorScale>
        <cfvo type="min"/>
        <cfvo type="max"/>
        <color rgb="FFFCFCFF"/>
        <color rgb="FF63BE7B"/>
      </colorScale>
    </cfRule>
  </conditionalFormatting>
  <conditionalFormatting sqref="W34:W35">
    <cfRule type="cellIs" dxfId="67" priority="620" operator="equal">
      <formula>0</formula>
    </cfRule>
  </conditionalFormatting>
  <conditionalFormatting sqref="W45:W49 W53:W54">
    <cfRule type="cellIs" dxfId="66" priority="594" operator="equal">
      <formula>0</formula>
    </cfRule>
  </conditionalFormatting>
  <conditionalFormatting sqref="W46:W47 W53">
    <cfRule type="colorScale" priority="598">
      <colorScale>
        <cfvo type="min"/>
        <cfvo type="max"/>
        <color rgb="FFD9FBE2"/>
        <color rgb="FF00C556"/>
      </colorScale>
    </cfRule>
    <cfRule type="colorScale" priority="599">
      <colorScale>
        <cfvo type="min"/>
        <cfvo type="max"/>
        <color rgb="FFFCFCFF"/>
        <color rgb="FF63BE7B"/>
      </colorScale>
    </cfRule>
  </conditionalFormatting>
  <conditionalFormatting sqref="W64:W73">
    <cfRule type="cellIs" dxfId="65" priority="672" operator="equal">
      <formula>0</formula>
    </cfRule>
  </conditionalFormatting>
  <conditionalFormatting sqref="W65:W66">
    <cfRule type="colorScale" priority="676">
      <colorScale>
        <cfvo type="min"/>
        <cfvo type="max"/>
        <color rgb="FFD9FBE2"/>
        <color rgb="FF00C556"/>
      </colorScale>
    </cfRule>
    <cfRule type="colorScale" priority="677">
      <colorScale>
        <cfvo type="min"/>
        <cfvo type="max"/>
        <color rgb="FFFCFCFF"/>
        <color rgb="FF63BE7B"/>
      </colorScale>
    </cfRule>
  </conditionalFormatting>
  <conditionalFormatting sqref="W87:W91">
    <cfRule type="cellIs" dxfId="64" priority="568" operator="equal">
      <formula>0</formula>
    </cfRule>
  </conditionalFormatting>
  <conditionalFormatting sqref="W89">
    <cfRule type="colorScale" priority="572">
      <colorScale>
        <cfvo type="min"/>
        <cfvo type="max"/>
        <color rgb="FFD9FBE2"/>
        <color rgb="FF00C556"/>
      </colorScale>
    </cfRule>
    <cfRule type="colorScale" priority="573">
      <colorScale>
        <cfvo type="min"/>
        <cfvo type="max"/>
        <color rgb="FFFCFCFF"/>
        <color rgb="FF63BE7B"/>
      </colorScale>
    </cfRule>
  </conditionalFormatting>
  <conditionalFormatting sqref="W113 W107">
    <cfRule type="colorScale" priority="30">
      <colorScale>
        <cfvo type="min"/>
        <cfvo type="max"/>
        <color rgb="FFD9FBE2"/>
        <color rgb="FF00C556"/>
      </colorScale>
    </cfRule>
    <cfRule type="colorScale" priority="31">
      <colorScale>
        <cfvo type="min"/>
        <cfvo type="max"/>
        <color rgb="FFFCFCFF"/>
        <color rgb="FF63BE7B"/>
      </colorScale>
    </cfRule>
  </conditionalFormatting>
  <conditionalFormatting sqref="W113:W114">
    <cfRule type="cellIs" dxfId="63" priority="28" operator="equal">
      <formula>0</formula>
    </cfRule>
  </conditionalFormatting>
  <conditionalFormatting sqref="W123:W126 W129:W131">
    <cfRule type="cellIs" dxfId="62" priority="279" operator="equal">
      <formula>0</formula>
    </cfRule>
  </conditionalFormatting>
  <conditionalFormatting sqref="W130 W124">
    <cfRule type="colorScale" priority="283">
      <colorScale>
        <cfvo type="min"/>
        <cfvo type="max"/>
        <color rgb="FFD9FBE2"/>
        <color rgb="FF00C556"/>
      </colorScale>
    </cfRule>
    <cfRule type="colorScale" priority="284">
      <colorScale>
        <cfvo type="min"/>
        <cfvo type="max"/>
        <color rgb="FFFCFCFF"/>
        <color rgb="FF63BE7B"/>
      </colorScale>
    </cfRule>
  </conditionalFormatting>
  <conditionalFormatting sqref="W143:W144 W149">
    <cfRule type="cellIs" dxfId="61" priority="388" operator="equal">
      <formula>0</formula>
    </cfRule>
  </conditionalFormatting>
  <conditionalFormatting sqref="W25:Z25 R26:Z26 F27:Z27 A7 F25:N25 F26:P26 P28:Q28 P30:Q30 P33:Q37">
    <cfRule type="cellIs" dxfId="60" priority="922" operator="equal">
      <formula>0</formula>
    </cfRule>
  </conditionalFormatting>
  <conditionalFormatting sqref="W33:Z33">
    <cfRule type="cellIs" dxfId="59" priority="623" operator="equal">
      <formula>0</formula>
    </cfRule>
  </conditionalFormatting>
  <conditionalFormatting sqref="W37:Z37">
    <cfRule type="cellIs" dxfId="58" priority="601" operator="equal">
      <formula>0</formula>
    </cfRule>
  </conditionalFormatting>
  <conditionalFormatting sqref="W56:Z57">
    <cfRule type="cellIs" dxfId="57" priority="575" operator="equal">
      <formula>0</formula>
    </cfRule>
  </conditionalFormatting>
  <conditionalFormatting sqref="W75:Z76">
    <cfRule type="cellIs" dxfId="56" priority="535" operator="equal">
      <formula>0</formula>
    </cfRule>
  </conditionalFormatting>
  <conditionalFormatting sqref="W80:Z86">
    <cfRule type="cellIs" dxfId="55" priority="47" operator="equal">
      <formula>0</formula>
    </cfRule>
  </conditionalFormatting>
  <conditionalFormatting sqref="W112:Z112">
    <cfRule type="cellIs" dxfId="54" priority="29" operator="equal">
      <formula>0</formula>
    </cfRule>
  </conditionalFormatting>
  <conditionalFormatting sqref="W116:Z116">
    <cfRule type="cellIs" dxfId="53" priority="27" operator="equal">
      <formula>0</formula>
    </cfRule>
  </conditionalFormatting>
  <conditionalFormatting sqref="W121:Z122">
    <cfRule type="cellIs" dxfId="52" priority="46" operator="equal">
      <formula>0</formula>
    </cfRule>
  </conditionalFormatting>
  <conditionalFormatting sqref="W137:Z142">
    <cfRule type="cellIs" dxfId="51" priority="130" operator="equal">
      <formula>0</formula>
    </cfRule>
  </conditionalFormatting>
  <conditionalFormatting sqref="W151:Z151">
    <cfRule type="cellIs" dxfId="50" priority="378" operator="equal">
      <formula>0</formula>
    </cfRule>
  </conditionalFormatting>
  <conditionalFormatting sqref="X45:Z50 W52:Z52">
    <cfRule type="cellIs" dxfId="49" priority="597" operator="equal">
      <formula>0</formula>
    </cfRule>
  </conditionalFormatting>
  <conditionalFormatting sqref="X64:Z74">
    <cfRule type="cellIs" dxfId="48" priority="675" operator="equal">
      <formula>0</formula>
    </cfRule>
  </conditionalFormatting>
  <conditionalFormatting sqref="X87:Z97">
    <cfRule type="cellIs" dxfId="47" priority="571" operator="equal">
      <formula>0</formula>
    </cfRule>
  </conditionalFormatting>
  <conditionalFormatting sqref="X123:Z132">
    <cfRule type="cellIs" dxfId="46" priority="164" operator="equal">
      <formula>0</formula>
    </cfRule>
  </conditionalFormatting>
  <conditionalFormatting sqref="X143:Z150">
    <cfRule type="cellIs" dxfId="45" priority="389" operator="equal">
      <formula>0</formula>
    </cfRule>
  </conditionalFormatting>
  <conditionalFormatting sqref="Y1:Z3">
    <cfRule type="cellIs" dxfId="44" priority="1102" operator="equal">
      <formula>0</formula>
    </cfRule>
  </conditionalFormatting>
  <conditionalFormatting sqref="Y5:Z9">
    <cfRule type="cellIs" dxfId="43" priority="1103" operator="equal">
      <formula>0</formula>
    </cfRule>
  </conditionalFormatting>
  <conditionalFormatting sqref="Z32">
    <cfRule type="cellIs" dxfId="42" priority="171" operator="equal">
      <formula>0</formula>
    </cfRule>
  </conditionalFormatting>
  <conditionalFormatting sqref="Z51">
    <cfRule type="cellIs" dxfId="41" priority="170" operator="equal">
      <formula>0</formula>
    </cfRule>
  </conditionalFormatting>
  <conditionalFormatting sqref="Z111">
    <cfRule type="cellIs" dxfId="40" priority="19" operator="equal">
      <formula>0</formula>
    </cfRule>
  </conditionalFormatting>
  <conditionalFormatting sqref="AA1:XFD20">
    <cfRule type="cellIs" dxfId="39" priority="1136" operator="equal">
      <formula>0</formula>
    </cfRule>
  </conditionalFormatting>
  <conditionalFormatting sqref="AB28:AI28">
    <cfRule type="cellIs" dxfId="38" priority="929" operator="equal">
      <formula>0</formula>
    </cfRule>
  </conditionalFormatting>
  <hyperlinks>
    <hyperlink ref="A17" location="'Projeções - CG + Capex'!A1" display="Projeções - CG + Capex" xr:uid="{B7D58239-838B-4D5B-ADDD-C8507D172491}"/>
    <hyperlink ref="A19" location="Processos!A1" display="Processos" xr:uid="{CB557FA8-3ADD-4A07-8148-544DB57F2236}"/>
    <hyperlink ref="A8" location="Dashboard!A1" display="Dashboard" xr:uid="{F661D361-2E47-41F2-A32D-10CD199347E6}"/>
    <hyperlink ref="A9" location="WACC!A1" display="WACC" xr:uid="{268719B5-DBFD-4245-8B0A-AB24C57D18C4}"/>
    <hyperlink ref="A11" location="'DRE + DCF'!A1" display="DRE + DCF" xr:uid="{1C1E6BB6-DFA3-41D4-8625-083A680AC72A}"/>
    <hyperlink ref="A13" location="'DRE - Contas Abertas'!A1" display="DRE - Contas Abertas" xr:uid="{D911378E-7127-40EC-9C2F-823C16691954}"/>
    <hyperlink ref="A14" location="'Balanço Patrimonial'!A1" display="Balanço Patrimonial" xr:uid="{623754E1-0876-4E5D-BB26-A82BC4E40545}"/>
    <hyperlink ref="A10" location="'DRE Consolidado'!A1" display="DRE Consolidado" xr:uid="{294C7B39-3F71-4FC2-BA7D-027158815CF2}"/>
    <hyperlink ref="A16" location="'Projeções - Receita'!A1" display="Projeções - Receita" xr:uid="{D2771472-0BF8-4D63-BAEE-61093DB25049}"/>
    <hyperlink ref="A15" location="'Painel de Índices'!A1" display="Painel de Índices" xr:uid="{BED41E75-9076-44A7-99E6-7B911E6B90BD}"/>
    <hyperlink ref="A18" location="'Projeções 2023'!A1" display="Projeções 2022" xr:uid="{F4DC3DDE-1E4A-4C2F-80BC-E6E5718DCE94}"/>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17"/>
  <dimension ref="A1:BN185"/>
  <sheetViews>
    <sheetView showGridLines="0" topLeftCell="D39" zoomScale="85" zoomScaleNormal="85" workbookViewId="0">
      <selection activeCell="U66" sqref="U66"/>
    </sheetView>
  </sheetViews>
  <sheetFormatPr defaultColWidth="0" defaultRowHeight="0" customHeight="1" zeroHeight="1"/>
  <cols>
    <col min="1" max="1" width="39.140625" style="3" customWidth="1"/>
    <col min="2" max="4" width="9.140625" style="5" customWidth="1"/>
    <col min="5" max="9" width="7.28515625" style="5" customWidth="1"/>
    <col min="10" max="10" width="20.28515625" style="5" customWidth="1"/>
    <col min="11" max="11" width="13.7109375" style="5" bestFit="1" customWidth="1"/>
    <col min="12" max="13" width="13.28515625" style="5" bestFit="1" customWidth="1"/>
    <col min="14" max="14" width="11.42578125" style="5" bestFit="1" customWidth="1"/>
    <col min="15" max="15" width="13.28515625" style="5" bestFit="1" customWidth="1"/>
    <col min="16" max="16" width="15.42578125" style="5" bestFit="1" customWidth="1"/>
    <col min="17" max="20" width="15.42578125" style="5" customWidth="1"/>
    <col min="21" max="22" width="18" style="5" bestFit="1" customWidth="1"/>
    <col min="23" max="24" width="15.42578125" style="5" bestFit="1" customWidth="1"/>
    <col min="25" max="26" width="16.7109375" style="5" bestFit="1" customWidth="1"/>
    <col min="27" max="38" width="9.140625" style="5" customWidth="1"/>
    <col min="39" max="44" width="9.140625" style="5" hidden="1" customWidth="1"/>
    <col min="45" max="47" width="0" style="5" hidden="1" customWidth="1"/>
    <col min="48" max="66" width="9.140625" style="5" hidden="1" customWidth="1"/>
    <col min="67" max="16384" width="0" style="5" hidden="1"/>
  </cols>
  <sheetData>
    <row r="1" spans="1:41" ht="15" customHeight="1">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spans="1:41" ht="15" customHeight="1">
      <c r="B2" s="4"/>
      <c r="C2" s="4"/>
      <c r="D2" s="4"/>
      <c r="E2" s="4"/>
      <c r="F2" s="4"/>
      <c r="G2" s="4"/>
      <c r="H2" s="4"/>
      <c r="I2" s="4"/>
      <c r="J2" s="4"/>
      <c r="K2" s="65"/>
      <c r="L2" s="65"/>
      <c r="M2" s="65"/>
      <c r="N2" s="65"/>
      <c r="O2" s="65"/>
      <c r="P2" s="65"/>
      <c r="Q2" s="65"/>
      <c r="R2" s="65"/>
      <c r="S2" s="65"/>
      <c r="T2" s="65"/>
      <c r="U2" s="65"/>
      <c r="V2" s="65"/>
      <c r="W2" s="65"/>
      <c r="X2" s="4"/>
      <c r="Y2" s="4"/>
      <c r="Z2" s="4"/>
      <c r="AA2" s="4"/>
      <c r="AB2" s="4"/>
      <c r="AC2" s="4"/>
      <c r="AD2" s="4"/>
      <c r="AE2" s="4"/>
      <c r="AF2" s="4"/>
      <c r="AG2" s="4"/>
      <c r="AH2" s="4"/>
      <c r="AI2" s="4"/>
      <c r="AJ2" s="4"/>
      <c r="AK2" s="4"/>
      <c r="AL2" s="4"/>
    </row>
    <row r="3" spans="1:41" ht="15" customHeight="1">
      <c r="B3" s="4"/>
      <c r="C3" s="4"/>
      <c r="D3" s="4"/>
      <c r="E3" s="4"/>
      <c r="F3" s="4"/>
      <c r="G3" s="4"/>
      <c r="H3" s="4"/>
      <c r="I3" s="4"/>
      <c r="J3" s="4"/>
      <c r="K3" s="65"/>
      <c r="L3" s="336" t="str">
        <f>Dashboard!H3</f>
        <v>SIMPAR (SIMH3)</v>
      </c>
      <c r="M3" s="336"/>
      <c r="N3" s="336"/>
      <c r="O3" s="336"/>
      <c r="P3" s="336"/>
      <c r="Q3" s="336"/>
      <c r="R3" s="336"/>
      <c r="S3" s="336"/>
      <c r="T3" s="336"/>
      <c r="U3" s="336"/>
      <c r="V3" s="336"/>
      <c r="W3" s="65"/>
      <c r="X3" s="4"/>
      <c r="Y3" s="4"/>
      <c r="Z3" s="4"/>
      <c r="AA3" s="4"/>
      <c r="AB3" s="4"/>
      <c r="AC3" s="4"/>
      <c r="AD3" s="4"/>
      <c r="AE3" s="4"/>
      <c r="AF3" s="4"/>
      <c r="AG3" s="4"/>
      <c r="AH3" s="4"/>
      <c r="AI3" s="4"/>
      <c r="AJ3" s="4"/>
      <c r="AK3" s="4"/>
      <c r="AL3" s="4"/>
    </row>
    <row r="4" spans="1:41" ht="15" customHeight="1">
      <c r="B4" s="4"/>
      <c r="C4" s="4"/>
      <c r="D4" s="4"/>
      <c r="E4" s="4"/>
      <c r="F4" s="4"/>
      <c r="G4" s="4"/>
      <c r="H4" s="4"/>
      <c r="I4" s="4"/>
      <c r="J4" s="4"/>
      <c r="K4" s="65"/>
      <c r="L4" s="336"/>
      <c r="M4" s="336"/>
      <c r="N4" s="336"/>
      <c r="O4" s="336"/>
      <c r="P4" s="336"/>
      <c r="Q4" s="336"/>
      <c r="R4" s="336"/>
      <c r="S4" s="336"/>
      <c r="T4" s="336"/>
      <c r="U4" s="336"/>
      <c r="V4" s="336"/>
      <c r="W4" s="65"/>
      <c r="X4" s="4"/>
      <c r="Y4" s="4"/>
      <c r="Z4" s="4"/>
      <c r="AA4" s="4"/>
      <c r="AB4" s="4"/>
      <c r="AC4" s="4"/>
      <c r="AD4" s="4"/>
      <c r="AE4" s="4"/>
      <c r="AF4" s="4"/>
      <c r="AG4" s="4"/>
      <c r="AH4" s="4"/>
      <c r="AI4" s="4"/>
      <c r="AJ4" s="4"/>
      <c r="AK4" s="4"/>
      <c r="AL4" s="4"/>
    </row>
    <row r="5" spans="1:41" ht="15" customHeight="1">
      <c r="B5" s="4"/>
      <c r="C5" s="4"/>
      <c r="D5" s="4"/>
      <c r="E5" s="4"/>
      <c r="F5" s="4"/>
      <c r="G5" s="4"/>
      <c r="H5" s="4"/>
      <c r="I5" s="4"/>
      <c r="J5" s="4"/>
      <c r="K5" s="65"/>
      <c r="L5" s="388"/>
      <c r="M5" s="388"/>
      <c r="N5" s="388"/>
      <c r="O5" s="388"/>
      <c r="P5" s="388"/>
      <c r="Q5" s="388"/>
      <c r="R5" s="388"/>
      <c r="S5" s="388"/>
      <c r="T5" s="388"/>
      <c r="U5" s="388"/>
      <c r="V5" s="388"/>
      <c r="W5" s="65"/>
      <c r="X5" s="4"/>
      <c r="Y5" s="4"/>
      <c r="Z5" s="4"/>
      <c r="AA5" s="4"/>
      <c r="AB5" s="4"/>
      <c r="AC5" s="4"/>
      <c r="AD5" s="4"/>
      <c r="AE5" s="4"/>
      <c r="AF5" s="4"/>
      <c r="AG5" s="4"/>
      <c r="AH5" s="4"/>
      <c r="AI5" s="4"/>
      <c r="AJ5" s="4"/>
      <c r="AK5" s="4"/>
      <c r="AL5" s="4"/>
    </row>
    <row r="6" spans="1:41" ht="15">
      <c r="B6" s="4"/>
      <c r="C6" s="4"/>
      <c r="D6" s="4"/>
      <c r="E6" s="4"/>
      <c r="F6" s="4"/>
      <c r="G6" s="4"/>
      <c r="H6" s="4"/>
      <c r="I6" s="4"/>
      <c r="J6" s="4"/>
      <c r="K6" s="4"/>
      <c r="L6" s="4"/>
      <c r="M6" s="4"/>
      <c r="N6" s="4"/>
      <c r="O6" s="4"/>
      <c r="P6" s="4"/>
      <c r="Q6" s="4"/>
      <c r="R6" s="4"/>
      <c r="S6" s="4"/>
      <c r="T6" s="4"/>
      <c r="U6" s="4"/>
      <c r="V6" s="4"/>
      <c r="W6" s="4"/>
      <c r="X6" s="4"/>
      <c r="Y6" s="4"/>
      <c r="Z6" s="4"/>
      <c r="AA6" s="95"/>
      <c r="AB6" s="4"/>
      <c r="AC6" s="4"/>
      <c r="AD6" s="4"/>
      <c r="AE6" s="4"/>
      <c r="AF6" s="4"/>
      <c r="AG6" s="4"/>
      <c r="AH6" s="4"/>
      <c r="AI6" s="4"/>
      <c r="AJ6" s="4"/>
      <c r="AK6" s="4"/>
      <c r="AL6" s="4"/>
    </row>
    <row r="7" spans="1:41" s="11" customFormat="1" ht="24.75" customHeight="1">
      <c r="A7" s="142" t="s">
        <v>33</v>
      </c>
      <c r="B7" s="10"/>
      <c r="C7" s="10"/>
      <c r="D7" s="10"/>
      <c r="E7" s="10"/>
      <c r="F7" s="10"/>
      <c r="G7" s="10"/>
      <c r="H7" s="10"/>
      <c r="I7" s="10"/>
      <c r="J7" s="10"/>
      <c r="K7" s="10"/>
      <c r="L7" s="10"/>
      <c r="M7" s="10"/>
      <c r="N7" s="10"/>
      <c r="O7" s="10"/>
      <c r="P7" s="10"/>
      <c r="Q7" s="10"/>
      <c r="R7" s="10"/>
      <c r="S7" s="10"/>
      <c r="T7" s="10"/>
      <c r="U7" s="10"/>
      <c r="V7" s="10"/>
      <c r="W7" s="10"/>
      <c r="X7" s="10"/>
      <c r="Y7" s="10"/>
      <c r="Z7" s="10"/>
      <c r="AA7" s="95"/>
      <c r="AB7" s="10"/>
      <c r="AC7" s="10"/>
      <c r="AD7" s="10"/>
      <c r="AE7" s="10"/>
      <c r="AF7" s="10"/>
      <c r="AG7" s="10"/>
      <c r="AH7" s="10"/>
      <c r="AI7" s="10"/>
      <c r="AJ7" s="10"/>
      <c r="AK7" s="10"/>
      <c r="AL7" s="10"/>
    </row>
    <row r="8" spans="1:41" ht="30" customHeight="1">
      <c r="A8" s="12" t="s">
        <v>34</v>
      </c>
      <c r="B8" s="4"/>
      <c r="C8" s="4"/>
      <c r="D8" s="10"/>
      <c r="E8" s="29"/>
      <c r="F8" s="30"/>
      <c r="G8" s="30"/>
      <c r="H8" s="30"/>
      <c r="I8" s="30"/>
      <c r="J8" s="30"/>
      <c r="Z8" s="95"/>
      <c r="AA8" s="95"/>
      <c r="AB8" s="10"/>
      <c r="AC8" s="95"/>
      <c r="AD8" s="4"/>
      <c r="AE8" s="4"/>
      <c r="AF8" s="4"/>
      <c r="AG8" s="4"/>
      <c r="AH8" s="4"/>
      <c r="AI8" s="4"/>
      <c r="AJ8" s="4"/>
      <c r="AK8" s="4"/>
      <c r="AL8" s="4"/>
      <c r="AM8" s="4"/>
      <c r="AN8" s="4"/>
      <c r="AO8" s="4"/>
    </row>
    <row r="9" spans="1:41" ht="30" customHeight="1">
      <c r="A9" s="12" t="s">
        <v>23</v>
      </c>
      <c r="B9" s="4"/>
      <c r="C9" s="4"/>
      <c r="D9" s="4"/>
      <c r="E9" s="35" t="s">
        <v>46</v>
      </c>
      <c r="F9" s="36"/>
      <c r="G9" s="36"/>
      <c r="H9" s="36"/>
      <c r="I9" s="359"/>
      <c r="J9" s="360"/>
      <c r="K9" s="37">
        <v>2014</v>
      </c>
      <c r="L9" s="37">
        <v>2015</v>
      </c>
      <c r="M9" s="37">
        <v>2016</v>
      </c>
      <c r="N9" s="37">
        <v>2017</v>
      </c>
      <c r="O9" s="37">
        <v>2018</v>
      </c>
      <c r="P9" s="37">
        <v>2019</v>
      </c>
      <c r="Q9" s="37">
        <v>2020</v>
      </c>
      <c r="R9" s="37">
        <v>2021</v>
      </c>
      <c r="S9" s="37">
        <v>2022</v>
      </c>
      <c r="T9" s="37">
        <v>2023</v>
      </c>
      <c r="U9" s="38">
        <v>2024</v>
      </c>
      <c r="V9" s="38">
        <f>U9+1</f>
        <v>2025</v>
      </c>
      <c r="W9" s="38">
        <f t="shared" ref="W9:Y9" si="0">V9+1</f>
        <v>2026</v>
      </c>
      <c r="X9" s="38">
        <f t="shared" si="0"/>
        <v>2027</v>
      </c>
      <c r="Y9" s="38">
        <f t="shared" si="0"/>
        <v>2028</v>
      </c>
      <c r="Z9" s="95"/>
      <c r="AA9" s="95"/>
      <c r="AB9" s="4"/>
      <c r="AC9" s="4"/>
      <c r="AD9" s="4"/>
      <c r="AE9" s="4"/>
      <c r="AF9" s="4"/>
      <c r="AG9" s="4"/>
      <c r="AH9" s="4"/>
      <c r="AI9" s="4"/>
      <c r="AJ9" s="4"/>
      <c r="AK9" s="4"/>
    </row>
    <row r="10" spans="1:41" ht="30" customHeight="1">
      <c r="A10" s="12" t="s">
        <v>323</v>
      </c>
      <c r="B10" s="4"/>
      <c r="C10" s="4"/>
      <c r="D10" s="4"/>
      <c r="E10" s="344" t="s">
        <v>32</v>
      </c>
      <c r="F10" s="345"/>
      <c r="G10" s="345"/>
      <c r="H10" s="345"/>
      <c r="I10" s="345"/>
      <c r="J10" s="346"/>
      <c r="K10" s="84">
        <f>'Balanço Patrimonial'!F16</f>
        <v>1071719.8500000001</v>
      </c>
      <c r="L10" s="84">
        <f>'Balanço Patrimonial'!G16</f>
        <v>914914.8</v>
      </c>
      <c r="M10" s="84">
        <f>'Balanço Patrimonial'!H16</f>
        <v>419015.89999999991</v>
      </c>
      <c r="N10" s="84">
        <f>'Balanço Patrimonial'!I16</f>
        <v>842599.10000000009</v>
      </c>
      <c r="O10" s="84">
        <f>'Balanço Patrimonial'!J16</f>
        <v>707239.72500000009</v>
      </c>
      <c r="P10" s="84">
        <f>'Balanço Patrimonial'!K16</f>
        <v>964985.22500000009</v>
      </c>
      <c r="Q10" s="84">
        <f>'Balanço Patrimonial'!L16</f>
        <v>251143.42499999981</v>
      </c>
      <c r="R10" s="84">
        <f>'Balanço Patrimonial'!M16</f>
        <v>578140.47499999963</v>
      </c>
      <c r="S10" s="84">
        <f>'Balanço Patrimonial'!N16</f>
        <v>1947310.7750000004</v>
      </c>
      <c r="T10" s="84">
        <f>'Balanço Patrimonial'!O16</f>
        <v>3572956.3249999993</v>
      </c>
      <c r="U10" s="84">
        <f>U11*'DRE Consolidado'!W16</f>
        <v>3688903.7416308676</v>
      </c>
      <c r="V10" s="84">
        <f>V11*'DRE Consolidado'!X16</f>
        <v>4225784.8112008749</v>
      </c>
      <c r="W10" s="84">
        <f>W11*'DRE Consolidado'!Y16</f>
        <v>4890340.5055363458</v>
      </c>
      <c r="X10" s="84">
        <f>X11*'DRE Consolidado'!Z16</f>
        <v>5387028.9462851267</v>
      </c>
      <c r="Y10" s="108">
        <f>Y11*'DRE Consolidado'!AA16</f>
        <v>5920009.6436507255</v>
      </c>
      <c r="Z10" s="95"/>
      <c r="AA10" s="95"/>
      <c r="AB10" s="4"/>
      <c r="AC10" s="4"/>
      <c r="AD10" s="4"/>
      <c r="AE10" s="4"/>
      <c r="AF10" s="4"/>
      <c r="AG10" s="4"/>
      <c r="AH10" s="4"/>
      <c r="AI10" s="4"/>
      <c r="AJ10" s="4"/>
      <c r="AK10" s="4"/>
    </row>
    <row r="11" spans="1:41" ht="30" customHeight="1" thickBot="1">
      <c r="A11" s="12" t="s">
        <v>36</v>
      </c>
      <c r="B11" s="4"/>
      <c r="C11" s="4"/>
      <c r="D11" s="4"/>
      <c r="E11" s="402" t="s">
        <v>30</v>
      </c>
      <c r="F11" s="403"/>
      <c r="G11" s="403"/>
      <c r="H11" s="403"/>
      <c r="I11" s="403"/>
      <c r="J11" s="404"/>
      <c r="K11" s="187">
        <f>K10/'DRE Consolidado'!K16</f>
        <v>0.19347938526796499</v>
      </c>
      <c r="L11" s="187">
        <f>L10/'DRE Consolidado'!L16</f>
        <v>0.15274261124370442</v>
      </c>
      <c r="M11" s="187">
        <f>M10/'DRE Consolidado'!M16</f>
        <v>6.4235543258773856E-2</v>
      </c>
      <c r="N11" s="187">
        <f>N10/'DRE Consolidado'!N16</f>
        <v>0.11612759936734786</v>
      </c>
      <c r="O11" s="187">
        <f>O10/'DRE Consolidado'!O16</f>
        <v>8.7579647865879906E-2</v>
      </c>
      <c r="P11" s="187">
        <f>P10/'DRE Consolidado'!P16</f>
        <v>9.9624654495892057E-2</v>
      </c>
      <c r="Q11" s="187">
        <f>Q10/'DRE Consolidado'!Q16</f>
        <v>2.5608439412557693E-2</v>
      </c>
      <c r="R11" s="187">
        <f>R10/'DRE Consolidado'!R16</f>
        <v>4.1694168756457664E-2</v>
      </c>
      <c r="S11" s="187">
        <f>S10/'DRE Consolidado'!S16</f>
        <v>7.9867421347348949E-2</v>
      </c>
      <c r="T11" s="187">
        <f>T10/'DRE Consolidado'!T16</f>
        <v>0.11220323287436006</v>
      </c>
      <c r="U11" s="187">
        <f>AVERAGE($K$11:$T$11)</f>
        <v>9.7316270389028764E-2</v>
      </c>
      <c r="V11" s="187">
        <f t="shared" ref="V11:Y11" si="1">AVERAGE($K$11:$T$11)</f>
        <v>9.7316270389028764E-2</v>
      </c>
      <c r="W11" s="187">
        <f t="shared" si="1"/>
        <v>9.7316270389028764E-2</v>
      </c>
      <c r="X11" s="187">
        <f t="shared" si="1"/>
        <v>9.7316270389028764E-2</v>
      </c>
      <c r="Y11" s="187">
        <f t="shared" si="1"/>
        <v>9.7316270389028764E-2</v>
      </c>
      <c r="Z11" s="88"/>
      <c r="AA11" s="95"/>
      <c r="AB11" s="4"/>
      <c r="AC11" s="4"/>
      <c r="AD11" s="4"/>
      <c r="AE11" s="4"/>
      <c r="AF11" s="4"/>
      <c r="AG11" s="4"/>
      <c r="AH11" s="4"/>
      <c r="AI11" s="4"/>
      <c r="AJ11" s="4"/>
      <c r="AK11" s="4"/>
    </row>
    <row r="12" spans="1:41" ht="30" customHeight="1">
      <c r="A12" s="166" t="s">
        <v>127</v>
      </c>
      <c r="B12" s="4"/>
      <c r="C12" s="4"/>
      <c r="D12" s="4"/>
      <c r="E12" s="177"/>
      <c r="F12" s="177"/>
      <c r="G12" s="177"/>
      <c r="H12" s="177"/>
      <c r="I12" s="177"/>
      <c r="J12" s="177"/>
      <c r="K12" s="177"/>
      <c r="L12" s="177"/>
      <c r="M12" s="177"/>
      <c r="N12" s="177"/>
      <c r="O12" s="177"/>
      <c r="P12" s="177"/>
      <c r="Q12" s="177"/>
      <c r="R12" s="177"/>
      <c r="S12" s="177"/>
      <c r="T12" s="177"/>
      <c r="U12" s="177"/>
      <c r="V12" s="177"/>
      <c r="W12" s="177"/>
      <c r="X12" s="177"/>
      <c r="Y12" s="177"/>
      <c r="Z12" s="95"/>
      <c r="AA12" s="95"/>
      <c r="AB12" s="4"/>
      <c r="AC12" s="4"/>
      <c r="AD12" s="4"/>
      <c r="AE12" s="4"/>
      <c r="AF12" s="4"/>
      <c r="AG12" s="4"/>
      <c r="AH12" s="4"/>
      <c r="AI12" s="4"/>
      <c r="AJ12" s="4"/>
      <c r="AK12" s="4"/>
      <c r="AL12" s="4"/>
      <c r="AM12" s="4"/>
      <c r="AN12" s="4"/>
    </row>
    <row r="13" spans="1:41" ht="30" customHeight="1">
      <c r="A13" s="12" t="s">
        <v>37</v>
      </c>
      <c r="B13" s="4"/>
      <c r="C13" s="4"/>
      <c r="D13" s="4"/>
      <c r="E13" s="4"/>
      <c r="F13" s="4"/>
      <c r="G13" s="4"/>
      <c r="H13" s="4"/>
      <c r="I13" s="4"/>
      <c r="J13" s="4"/>
      <c r="K13" s="50"/>
      <c r="L13" s="50"/>
      <c r="M13" s="50"/>
      <c r="N13" s="93"/>
      <c r="O13" s="50"/>
      <c r="P13" s="50"/>
      <c r="Q13" s="50"/>
      <c r="R13" s="94"/>
      <c r="S13" s="94"/>
      <c r="T13" s="94"/>
      <c r="U13" s="94"/>
      <c r="V13" s="94"/>
      <c r="W13" s="95"/>
      <c r="X13" s="95"/>
      <c r="Y13" s="95"/>
      <c r="Z13" s="95"/>
      <c r="AA13" s="95"/>
      <c r="AB13" s="95"/>
      <c r="AC13" s="4"/>
      <c r="AD13" s="4"/>
      <c r="AE13" s="4"/>
      <c r="AF13" s="4"/>
      <c r="AG13" s="4"/>
      <c r="AH13" s="4"/>
      <c r="AI13" s="4"/>
      <c r="AJ13" s="4"/>
      <c r="AK13" s="4"/>
      <c r="AL13" s="4"/>
      <c r="AM13" s="4"/>
      <c r="AN13" s="4"/>
    </row>
    <row r="14" spans="1:41" ht="30" customHeight="1">
      <c r="A14" s="166" t="s">
        <v>100</v>
      </c>
      <c r="B14" s="4"/>
      <c r="C14" s="4"/>
      <c r="D14" s="4"/>
      <c r="E14" s="96"/>
      <c r="F14" s="4"/>
      <c r="G14" s="4"/>
      <c r="H14" s="4"/>
      <c r="I14" s="4"/>
      <c r="J14" s="4"/>
      <c r="K14" s="50"/>
      <c r="L14" s="50"/>
      <c r="M14" s="50"/>
      <c r="N14" s="50"/>
      <c r="O14" s="50"/>
      <c r="P14" s="50"/>
      <c r="Q14" s="50"/>
      <c r="R14" s="50"/>
      <c r="S14" s="50"/>
      <c r="T14" s="50"/>
      <c r="U14" s="50"/>
      <c r="V14" s="50"/>
      <c r="W14" s="50"/>
      <c r="X14" s="50"/>
      <c r="Y14" s="50"/>
      <c r="Z14" s="50"/>
      <c r="AA14" s="50"/>
      <c r="AB14" s="4"/>
      <c r="AC14" s="4"/>
      <c r="AD14" s="4"/>
      <c r="AE14" s="4"/>
      <c r="AF14" s="4"/>
      <c r="AG14" s="4"/>
      <c r="AH14" s="4"/>
      <c r="AI14" s="4"/>
      <c r="AJ14" s="4"/>
      <c r="AK14" s="4"/>
      <c r="AL14" s="4"/>
      <c r="AM14" s="4"/>
    </row>
    <row r="15" spans="1:41" ht="30" customHeight="1">
      <c r="A15" s="12" t="s">
        <v>324</v>
      </c>
      <c r="B15" s="4"/>
      <c r="C15" s="4"/>
      <c r="D15" s="4"/>
      <c r="E15" s="396" t="s">
        <v>264</v>
      </c>
      <c r="F15" s="397"/>
      <c r="G15" s="397"/>
      <c r="H15" s="397"/>
      <c r="I15" s="397"/>
      <c r="J15" s="398"/>
      <c r="K15" s="37">
        <v>2014</v>
      </c>
      <c r="L15" s="37">
        <v>2015</v>
      </c>
      <c r="M15" s="37">
        <v>2016</v>
      </c>
      <c r="N15" s="37">
        <v>2017</v>
      </c>
      <c r="O15" s="37">
        <v>2018</v>
      </c>
      <c r="P15" s="37">
        <v>2019</v>
      </c>
      <c r="Q15" s="37">
        <v>2020</v>
      </c>
      <c r="R15" s="37">
        <v>2021</v>
      </c>
      <c r="S15" s="37">
        <v>2022</v>
      </c>
      <c r="T15" s="37">
        <v>2023</v>
      </c>
      <c r="U15" s="38">
        <v>2024</v>
      </c>
      <c r="V15" s="38">
        <f>U15+1</f>
        <v>2025</v>
      </c>
      <c r="W15" s="38">
        <f t="shared" ref="W15:Y15" si="2">V15+1</f>
        <v>2026</v>
      </c>
      <c r="X15" s="38">
        <f t="shared" si="2"/>
        <v>2027</v>
      </c>
      <c r="Y15" s="38">
        <f t="shared" si="2"/>
        <v>2028</v>
      </c>
      <c r="Z15" s="88"/>
      <c r="AA15" s="4"/>
      <c r="AB15" s="4"/>
      <c r="AC15" s="4"/>
      <c r="AD15" s="4"/>
      <c r="AE15" s="4"/>
      <c r="AF15" s="4"/>
      <c r="AG15" s="4"/>
      <c r="AH15" s="4"/>
      <c r="AI15" s="4"/>
      <c r="AJ15" s="4"/>
      <c r="AK15" s="4"/>
    </row>
    <row r="16" spans="1:41" ht="30" customHeight="1">
      <c r="A16" s="167" t="s">
        <v>137</v>
      </c>
      <c r="B16" s="4"/>
      <c r="C16" s="4"/>
      <c r="D16" s="4"/>
      <c r="E16" s="399" t="s">
        <v>269</v>
      </c>
      <c r="F16" s="400"/>
      <c r="G16" s="400"/>
      <c r="H16" s="400"/>
      <c r="I16" s="400"/>
      <c r="J16" s="401"/>
      <c r="K16" s="42"/>
      <c r="L16" s="42"/>
      <c r="M16" s="42"/>
      <c r="N16" s="42"/>
      <c r="O16" s="42"/>
      <c r="P16" s="204"/>
      <c r="Q16" s="204"/>
      <c r="R16" s="204"/>
      <c r="S16" s="204"/>
      <c r="T16" s="204"/>
      <c r="U16" s="84"/>
      <c r="V16" s="84"/>
      <c r="W16" s="84"/>
      <c r="X16" s="84"/>
      <c r="Y16" s="217"/>
      <c r="Z16" s="88"/>
      <c r="AA16" s="4"/>
      <c r="AB16" s="4"/>
      <c r="AC16" s="4"/>
      <c r="AD16" s="4"/>
      <c r="AE16" s="4"/>
      <c r="AF16" s="4"/>
      <c r="AG16" s="4"/>
      <c r="AH16" s="4"/>
      <c r="AI16" s="4"/>
      <c r="AJ16" s="4"/>
      <c r="AK16" s="4"/>
    </row>
    <row r="17" spans="1:37" ht="30" customHeight="1">
      <c r="A17" s="166" t="s">
        <v>479</v>
      </c>
      <c r="B17" s="4"/>
      <c r="C17" s="4"/>
      <c r="D17" s="10"/>
      <c r="E17" s="399" t="s">
        <v>342</v>
      </c>
      <c r="F17" s="400"/>
      <c r="G17" s="400"/>
      <c r="H17" s="400"/>
      <c r="I17" s="400"/>
      <c r="J17" s="401"/>
      <c r="K17" s="46"/>
      <c r="L17" s="46"/>
      <c r="M17" s="46"/>
      <c r="N17" s="46"/>
      <c r="O17" s="46">
        <v>7811.0773099999997</v>
      </c>
      <c r="P17" s="46">
        <v>11615.357690000001</v>
      </c>
      <c r="Q17" s="46">
        <v>5230.2641800000001</v>
      </c>
      <c r="R17" s="46">
        <v>13485.060509999999</v>
      </c>
      <c r="S17" s="46">
        <v>1254968</v>
      </c>
      <c r="T17" s="46">
        <f>SUM(T19:T26)</f>
        <v>354681</v>
      </c>
      <c r="U17" s="40">
        <f t="shared" ref="U17:Y17" si="3">SUM(U19:U26)</f>
        <v>132949.8368453845</v>
      </c>
      <c r="V17" s="40">
        <f t="shared" si="3"/>
        <v>180545.26834557898</v>
      </c>
      <c r="W17" s="40">
        <f t="shared" si="3"/>
        <v>131402.72668362904</v>
      </c>
      <c r="X17" s="40">
        <f t="shared" si="3"/>
        <v>140084.95160488714</v>
      </c>
      <c r="Y17" s="40">
        <f t="shared" si="3"/>
        <v>149630.90054705058</v>
      </c>
      <c r="Z17" s="88"/>
      <c r="AA17" s="4"/>
      <c r="AB17" s="4"/>
      <c r="AC17" s="4"/>
      <c r="AD17" s="4"/>
      <c r="AE17" s="4"/>
      <c r="AF17" s="4"/>
      <c r="AG17" s="4"/>
      <c r="AH17" s="4"/>
      <c r="AI17" s="4"/>
      <c r="AJ17" s="4"/>
      <c r="AK17" s="4"/>
    </row>
    <row r="18" spans="1:37" ht="30" customHeight="1">
      <c r="A18" s="12" t="s">
        <v>128</v>
      </c>
      <c r="B18" s="4"/>
      <c r="C18" s="4"/>
      <c r="D18" s="10"/>
      <c r="E18" s="402" t="s">
        <v>30</v>
      </c>
      <c r="F18" s="403"/>
      <c r="G18" s="403"/>
      <c r="H18" s="403"/>
      <c r="I18" s="403"/>
      <c r="J18" s="404"/>
      <c r="K18" s="42"/>
      <c r="L18" s="42"/>
      <c r="M18" s="42"/>
      <c r="N18" s="42"/>
      <c r="O18" s="60">
        <f>O17/'Projeções - Receita e EBIT'!J43</f>
        <v>1.1119192852241895E-2</v>
      </c>
      <c r="P18" s="60">
        <f>P17/'Projeções - Receita e EBIT'!K43</f>
        <v>1.4139687889544623E-2</v>
      </c>
      <c r="Q18" s="60">
        <f>Q17/'Projeções - Receita e EBIT'!L43</f>
        <v>8.4662656265934149E-3</v>
      </c>
      <c r="R18" s="60">
        <f>R17/'Projeções - Receita e EBIT'!M43</f>
        <v>1.8428306229655158E-2</v>
      </c>
      <c r="S18" s="60">
        <f>S17/'Projeções - Receita e EBIT'!N43</f>
        <v>0.39352544763485175</v>
      </c>
      <c r="T18" s="60">
        <f>T17/'Projeções - Receita e EBIT'!O43</f>
        <v>5.0880872988684822E-2</v>
      </c>
      <c r="U18" s="60">
        <f>AVERAGE($O$18:$R$18)</f>
        <v>1.3038363149508774E-2</v>
      </c>
      <c r="V18" s="60">
        <f>AVERAGE($O$18:$R$18)</f>
        <v>1.3038363149508774E-2</v>
      </c>
      <c r="W18" s="60">
        <f t="shared" ref="W18:Y18" si="4">AVERAGE($O$18:$R$18)</f>
        <v>1.3038363149508774E-2</v>
      </c>
      <c r="X18" s="60">
        <f>AVERAGE($O$18:$R$18)</f>
        <v>1.3038363149508774E-2</v>
      </c>
      <c r="Y18" s="60">
        <f t="shared" si="4"/>
        <v>1.3038363149508774E-2</v>
      </c>
      <c r="Z18" s="88"/>
      <c r="AA18" s="4"/>
      <c r="AB18" s="4"/>
      <c r="AC18" s="4"/>
      <c r="AD18" s="4"/>
      <c r="AE18" s="4"/>
      <c r="AF18" s="4"/>
      <c r="AG18" s="4"/>
      <c r="AH18" s="4"/>
      <c r="AI18" s="4"/>
      <c r="AJ18" s="4"/>
      <c r="AK18" s="4"/>
    </row>
    <row r="19" spans="1:37" ht="30" customHeight="1">
      <c r="A19" s="12"/>
      <c r="B19" s="4"/>
      <c r="C19" s="4"/>
      <c r="D19" s="10"/>
      <c r="E19" s="301"/>
      <c r="F19" s="302" t="s">
        <v>341</v>
      </c>
      <c r="G19" s="302"/>
      <c r="H19" s="302"/>
      <c r="I19" s="302"/>
      <c r="J19" s="303"/>
      <c r="K19" s="42"/>
      <c r="L19" s="42"/>
      <c r="M19" s="42"/>
      <c r="N19" s="42"/>
      <c r="O19" s="60"/>
      <c r="P19" s="60"/>
      <c r="Q19" s="60"/>
      <c r="R19" s="60"/>
      <c r="S19" s="84">
        <v>28055</v>
      </c>
      <c r="T19" s="84">
        <v>131900</v>
      </c>
      <c r="U19" s="84">
        <f>U18*'Projeções - Receita e EBIT'!Q43</f>
        <v>90749.836845384518</v>
      </c>
      <c r="V19" s="84">
        <f>V18*'Projeções - Receita e EBIT'!R43</f>
        <v>117345.26834557897</v>
      </c>
      <c r="W19" s="84">
        <f>W18*'Projeções - Receita e EBIT'!T43</f>
        <v>131402.72668362904</v>
      </c>
      <c r="X19" s="84">
        <f>X18*'Projeções - Receita e EBIT'!U43</f>
        <v>140084.95160488714</v>
      </c>
      <c r="Y19" s="84">
        <f>Y18*'Projeções - Receita e EBIT'!V43</f>
        <v>149630.90054705058</v>
      </c>
      <c r="Z19" s="88"/>
      <c r="AA19" s="4"/>
      <c r="AB19" s="4"/>
      <c r="AC19" s="4"/>
      <c r="AD19" s="4"/>
      <c r="AE19" s="4"/>
      <c r="AF19" s="4"/>
      <c r="AG19" s="4"/>
      <c r="AH19" s="4"/>
      <c r="AI19" s="4"/>
      <c r="AJ19" s="4"/>
      <c r="AK19" s="4"/>
    </row>
    <row r="20" spans="1:37" ht="30" customHeight="1">
      <c r="A20" s="12"/>
      <c r="B20" s="4"/>
      <c r="C20" s="4"/>
      <c r="D20" s="10"/>
      <c r="E20" s="301"/>
      <c r="F20" s="302" t="s">
        <v>337</v>
      </c>
      <c r="G20" s="302"/>
      <c r="H20" s="302"/>
      <c r="I20" s="302"/>
      <c r="J20" s="303"/>
      <c r="K20" s="42"/>
      <c r="L20" s="42"/>
      <c r="M20" s="42"/>
      <c r="N20" s="42"/>
      <c r="O20" s="60"/>
      <c r="P20" s="60"/>
      <c r="Q20" s="60"/>
      <c r="R20" s="60"/>
      <c r="S20" s="84">
        <v>262588</v>
      </c>
      <c r="T20" s="84"/>
      <c r="U20" s="42"/>
      <c r="V20" s="42"/>
      <c r="W20" s="42"/>
      <c r="X20" s="42"/>
      <c r="Y20" s="42"/>
      <c r="Z20" s="88"/>
      <c r="AA20" s="4"/>
      <c r="AB20" s="4"/>
      <c r="AC20" s="4"/>
      <c r="AD20" s="4"/>
      <c r="AE20" s="4"/>
      <c r="AF20" s="4"/>
      <c r="AG20" s="4"/>
      <c r="AH20" s="4"/>
      <c r="AI20" s="4"/>
      <c r="AJ20" s="4"/>
      <c r="AK20" s="4"/>
    </row>
    <row r="21" spans="1:37" ht="30" customHeight="1">
      <c r="A21" s="12"/>
      <c r="B21" s="4"/>
      <c r="C21" s="4"/>
      <c r="D21" s="10"/>
      <c r="E21" s="301"/>
      <c r="F21" s="302" t="s">
        <v>338</v>
      </c>
      <c r="G21" s="302"/>
      <c r="H21" s="302"/>
      <c r="I21" s="302"/>
      <c r="J21" s="303"/>
      <c r="K21" s="42"/>
      <c r="L21" s="42"/>
      <c r="M21" s="42"/>
      <c r="N21" s="42"/>
      <c r="O21" s="60"/>
      <c r="P21" s="60"/>
      <c r="Q21" s="60"/>
      <c r="R21" s="60"/>
      <c r="S21" s="84">
        <v>372189</v>
      </c>
      <c r="T21" s="84"/>
      <c r="U21" s="42"/>
      <c r="V21" s="42"/>
      <c r="W21" s="42"/>
      <c r="X21" s="42"/>
      <c r="Y21" s="42"/>
      <c r="Z21" s="88"/>
      <c r="AA21" s="4"/>
      <c r="AB21" s="4"/>
      <c r="AC21" s="4"/>
      <c r="AD21" s="4"/>
      <c r="AE21" s="4"/>
      <c r="AF21" s="4"/>
      <c r="AG21" s="4"/>
      <c r="AH21" s="4"/>
      <c r="AI21" s="4"/>
      <c r="AJ21" s="4"/>
      <c r="AK21" s="4"/>
    </row>
    <row r="22" spans="1:37" ht="30" customHeight="1">
      <c r="A22" s="12"/>
      <c r="B22" s="4"/>
      <c r="C22" s="4"/>
      <c r="D22" s="10"/>
      <c r="E22" s="301"/>
      <c r="F22" s="302" t="s">
        <v>339</v>
      </c>
      <c r="G22" s="302"/>
      <c r="H22" s="302"/>
      <c r="I22" s="302"/>
      <c r="J22" s="303"/>
      <c r="K22" s="42"/>
      <c r="L22" s="42"/>
      <c r="M22" s="42"/>
      <c r="N22" s="42"/>
      <c r="O22" s="60"/>
      <c r="P22" s="60"/>
      <c r="Q22" s="60"/>
      <c r="R22" s="60"/>
      <c r="S22" s="84">
        <v>60686</v>
      </c>
      <c r="T22" s="42">
        <v>39481</v>
      </c>
      <c r="U22" s="42"/>
      <c r="V22" s="42"/>
      <c r="W22" s="42"/>
      <c r="X22" s="42"/>
      <c r="Y22" s="42"/>
      <c r="Z22" s="88"/>
      <c r="AA22" s="4"/>
      <c r="AB22" s="4"/>
      <c r="AC22" s="4"/>
      <c r="AD22" s="4"/>
      <c r="AE22" s="4"/>
      <c r="AF22" s="4"/>
      <c r="AG22" s="4"/>
      <c r="AH22" s="4"/>
      <c r="AI22" s="4"/>
      <c r="AJ22" s="4"/>
      <c r="AK22" s="4"/>
    </row>
    <row r="23" spans="1:37" ht="30" customHeight="1">
      <c r="A23" s="12"/>
      <c r="B23" s="4"/>
      <c r="C23" s="4"/>
      <c r="D23" s="10"/>
      <c r="E23" s="301"/>
      <c r="F23" s="302" t="s">
        <v>340</v>
      </c>
      <c r="G23" s="302"/>
      <c r="H23" s="302"/>
      <c r="I23" s="302"/>
      <c r="J23" s="303"/>
      <c r="K23" s="42"/>
      <c r="L23" s="42"/>
      <c r="M23" s="42"/>
      <c r="N23" s="42"/>
      <c r="O23" s="60"/>
      <c r="P23" s="60"/>
      <c r="Q23" s="60"/>
      <c r="R23" s="60"/>
      <c r="S23" s="84">
        <v>531450</v>
      </c>
      <c r="T23" s="42"/>
      <c r="U23" s="42"/>
      <c r="V23" s="42"/>
      <c r="W23" s="42"/>
      <c r="X23" s="42"/>
      <c r="Y23" s="42"/>
      <c r="Z23" s="88"/>
      <c r="AA23" s="4"/>
      <c r="AB23" s="4"/>
      <c r="AC23" s="4"/>
      <c r="AD23" s="4"/>
      <c r="AE23" s="4"/>
      <c r="AF23" s="4"/>
      <c r="AG23" s="4"/>
      <c r="AH23" s="4"/>
      <c r="AI23" s="4"/>
      <c r="AJ23" s="4"/>
      <c r="AK23" s="4"/>
    </row>
    <row r="24" spans="1:37" ht="30" customHeight="1">
      <c r="A24" s="12"/>
      <c r="B24" s="4"/>
      <c r="C24" s="4"/>
      <c r="D24" s="10"/>
      <c r="E24" s="301"/>
      <c r="F24" s="302" t="s">
        <v>514</v>
      </c>
      <c r="G24" s="302"/>
      <c r="H24" s="302"/>
      <c r="I24" s="302"/>
      <c r="J24" s="303"/>
      <c r="K24" s="42"/>
      <c r="L24" s="42"/>
      <c r="M24" s="42"/>
      <c r="N24" s="42"/>
      <c r="O24" s="60"/>
      <c r="P24" s="60"/>
      <c r="Q24" s="60"/>
      <c r="R24" s="60"/>
      <c r="S24" s="84"/>
      <c r="T24" s="42">
        <v>60200</v>
      </c>
      <c r="U24" s="42">
        <v>18900</v>
      </c>
      <c r="V24" s="42">
        <v>28300</v>
      </c>
      <c r="W24" s="42"/>
      <c r="X24" s="42"/>
      <c r="Y24" s="42"/>
      <c r="Z24" s="88"/>
      <c r="AA24" s="4"/>
      <c r="AB24" s="4"/>
      <c r="AC24" s="4"/>
      <c r="AD24" s="4"/>
      <c r="AE24" s="4"/>
      <c r="AF24" s="4"/>
      <c r="AG24" s="4"/>
      <c r="AH24" s="4"/>
      <c r="AI24" s="4"/>
      <c r="AJ24" s="4"/>
      <c r="AK24" s="4"/>
    </row>
    <row r="25" spans="1:37" ht="30" customHeight="1">
      <c r="A25" s="12"/>
      <c r="B25" s="4"/>
      <c r="C25" s="4"/>
      <c r="D25" s="10"/>
      <c r="E25" s="301"/>
      <c r="F25" s="302" t="s">
        <v>515</v>
      </c>
      <c r="G25" s="302"/>
      <c r="H25" s="302"/>
      <c r="I25" s="302"/>
      <c r="J25" s="303"/>
      <c r="K25" s="42"/>
      <c r="L25" s="42"/>
      <c r="M25" s="42"/>
      <c r="N25" s="42"/>
      <c r="O25" s="60"/>
      <c r="P25" s="60"/>
      <c r="Q25" s="60"/>
      <c r="R25" s="60"/>
      <c r="S25" s="84"/>
      <c r="T25" s="42">
        <v>59200</v>
      </c>
      <c r="U25" s="42">
        <v>23300</v>
      </c>
      <c r="V25" s="42">
        <v>34900</v>
      </c>
      <c r="W25" s="42"/>
      <c r="X25" s="42"/>
      <c r="Y25" s="42"/>
      <c r="Z25" s="88"/>
      <c r="AA25" s="4"/>
      <c r="AB25" s="4"/>
      <c r="AC25" s="4"/>
      <c r="AD25" s="4"/>
      <c r="AE25" s="4"/>
      <c r="AF25" s="4"/>
      <c r="AG25" s="4"/>
      <c r="AH25" s="4"/>
      <c r="AI25" s="4"/>
      <c r="AJ25" s="4"/>
      <c r="AK25" s="4"/>
    </row>
    <row r="26" spans="1:37" ht="30" customHeight="1">
      <c r="A26" s="12"/>
      <c r="B26" s="4"/>
      <c r="C26" s="4"/>
      <c r="D26" s="10"/>
      <c r="E26" s="301"/>
      <c r="F26" s="302" t="s">
        <v>516</v>
      </c>
      <c r="G26" s="302"/>
      <c r="H26" s="302"/>
      <c r="I26" s="302"/>
      <c r="J26" s="303"/>
      <c r="K26" s="42"/>
      <c r="L26" s="42"/>
      <c r="M26" s="42"/>
      <c r="N26" s="42"/>
      <c r="O26" s="60"/>
      <c r="P26" s="60"/>
      <c r="Q26" s="60"/>
      <c r="R26" s="60"/>
      <c r="S26" s="84"/>
      <c r="T26" s="42">
        <v>63900</v>
      </c>
      <c r="U26" s="42"/>
      <c r="V26" s="42"/>
      <c r="W26" s="42"/>
      <c r="X26" s="42"/>
      <c r="Y26" s="42"/>
      <c r="Z26" s="88"/>
      <c r="AA26" s="4"/>
      <c r="AB26" s="4"/>
      <c r="AC26" s="4"/>
      <c r="AD26" s="4"/>
      <c r="AE26" s="4"/>
      <c r="AF26" s="4"/>
      <c r="AG26" s="4"/>
      <c r="AH26" s="4"/>
      <c r="AI26" s="4"/>
      <c r="AJ26" s="4"/>
      <c r="AK26" s="4"/>
    </row>
    <row r="27" spans="1:37" ht="30" customHeight="1">
      <c r="A27" s="12"/>
      <c r="B27" s="4"/>
      <c r="C27" s="4"/>
      <c r="D27" s="10"/>
      <c r="E27" s="399" t="s">
        <v>260</v>
      </c>
      <c r="F27" s="400"/>
      <c r="G27" s="400"/>
      <c r="H27" s="400"/>
      <c r="I27" s="400"/>
      <c r="J27" s="401"/>
      <c r="K27" s="46"/>
      <c r="L27" s="46"/>
      <c r="M27" s="46"/>
      <c r="N27" s="46"/>
      <c r="O27" s="46">
        <v>534255.88037999603</v>
      </c>
      <c r="P27" s="46">
        <v>539504.35305999301</v>
      </c>
      <c r="Q27" s="46">
        <v>602332.96998000494</v>
      </c>
      <c r="R27" s="46">
        <v>811594.49428997701</v>
      </c>
      <c r="S27" s="46">
        <v>0</v>
      </c>
      <c r="T27" s="46">
        <v>80600</v>
      </c>
      <c r="U27" s="46">
        <f>U28*'Projeções - Receita e EBIT'!R62</f>
        <v>84856.805175999994</v>
      </c>
      <c r="V27" s="46">
        <f>V28*'Projeções - Receita e EBIT'!S62</f>
        <v>89362.964586941627</v>
      </c>
      <c r="W27" s="46">
        <f>W28*'Projeções - Receita e EBIT'!T62</f>
        <v>95022.28538904681</v>
      </c>
      <c r="X27" s="46">
        <f>X28*'Projeções - Receita e EBIT'!U62</f>
        <v>101300.73086047146</v>
      </c>
      <c r="Y27" s="46">
        <f>Y28*'Projeções - Receita e EBIT'!V62</f>
        <v>108203.76786422743</v>
      </c>
      <c r="Z27" s="199"/>
      <c r="AA27" s="97"/>
      <c r="AB27" s="97"/>
      <c r="AC27" s="4"/>
      <c r="AD27" s="4"/>
      <c r="AE27" s="4"/>
      <c r="AF27" s="4"/>
      <c r="AG27" s="4"/>
      <c r="AH27" s="4"/>
      <c r="AI27" s="4"/>
      <c r="AJ27" s="4"/>
      <c r="AK27" s="4"/>
    </row>
    <row r="28" spans="1:37" ht="30" customHeight="1">
      <c r="A28" s="12"/>
      <c r="B28" s="4"/>
      <c r="C28" s="4"/>
      <c r="D28" s="4"/>
      <c r="E28" s="402" t="s">
        <v>30</v>
      </c>
      <c r="F28" s="403"/>
      <c r="G28" s="403"/>
      <c r="H28" s="403"/>
      <c r="I28" s="403"/>
      <c r="J28" s="404"/>
      <c r="K28" s="46"/>
      <c r="L28" s="46"/>
      <c r="M28" s="46"/>
      <c r="N28" s="46"/>
      <c r="O28" s="60">
        <f>O27/'Projeções - Receita e EBIT'!J62</f>
        <v>0.64466742571473257</v>
      </c>
      <c r="P28" s="60">
        <f>P27/'Projeções - Receita e EBIT'!K62</f>
        <v>0.63400166761657606</v>
      </c>
      <c r="Q28" s="60">
        <f>Q27/'Projeções - Receita e EBIT'!L62</f>
        <v>0.71213744219151454</v>
      </c>
      <c r="R28" s="60">
        <f>R27/'Projeções - Receita e EBIT'!M62</f>
        <v>0.97357030697179558</v>
      </c>
      <c r="S28" s="60">
        <f>S27/'Projeções - Receita e EBIT'!N62</f>
        <v>0</v>
      </c>
      <c r="T28" s="60">
        <f>T27/'Projeções - Receita e EBIT'!O62</f>
        <v>0.11825984887389039</v>
      </c>
      <c r="U28" s="60">
        <f>T28</f>
        <v>0.11825984887389039</v>
      </c>
      <c r="V28" s="60">
        <f t="shared" ref="V28:Y28" si="5">U28</f>
        <v>0.11825984887389039</v>
      </c>
      <c r="W28" s="60">
        <f t="shared" si="5"/>
        <v>0.11825984887389039</v>
      </c>
      <c r="X28" s="60">
        <f t="shared" si="5"/>
        <v>0.11825984887389039</v>
      </c>
      <c r="Y28" s="304">
        <f t="shared" si="5"/>
        <v>0.11825984887389039</v>
      </c>
      <c r="Z28" s="88"/>
      <c r="AA28" s="4"/>
      <c r="AB28" s="4"/>
      <c r="AC28" s="4"/>
      <c r="AD28" s="4"/>
      <c r="AE28" s="4"/>
      <c r="AF28" s="4"/>
      <c r="AG28" s="4"/>
      <c r="AH28" s="4"/>
      <c r="AI28" s="4"/>
      <c r="AJ28" s="4"/>
    </row>
    <row r="29" spans="1:37" ht="30" customHeight="1">
      <c r="A29" s="12"/>
      <c r="B29" s="4"/>
      <c r="C29" s="4"/>
      <c r="D29" s="4"/>
      <c r="E29" s="399" t="s">
        <v>261</v>
      </c>
      <c r="F29" s="400"/>
      <c r="G29" s="400"/>
      <c r="H29" s="400"/>
      <c r="I29" s="400"/>
      <c r="J29" s="401"/>
      <c r="K29" s="46"/>
      <c r="L29" s="46"/>
      <c r="M29" s="46"/>
      <c r="N29" s="46"/>
      <c r="O29" s="46">
        <v>0</v>
      </c>
      <c r="P29" s="46">
        <v>0</v>
      </c>
      <c r="Q29" s="46">
        <v>0</v>
      </c>
      <c r="R29" s="46">
        <v>0</v>
      </c>
      <c r="S29" s="46">
        <v>134000</v>
      </c>
      <c r="T29" s="46">
        <v>342400</v>
      </c>
      <c r="U29" s="46">
        <v>274700</v>
      </c>
      <c r="V29" s="46">
        <v>103000</v>
      </c>
      <c r="W29" s="40">
        <f>W30*'Projeções - Receita e EBIT'!T81</f>
        <v>107375.44</v>
      </c>
      <c r="X29" s="40">
        <f>X30*'Projeções - Receita e EBIT'!U81</f>
        <v>112225.5886248</v>
      </c>
      <c r="Y29" s="305">
        <f>Y30*'Projeções - Receita e EBIT'!V81</f>
        <v>117522.63640789056</v>
      </c>
      <c r="Z29" s="88"/>
      <c r="AA29" s="4"/>
      <c r="AB29" s="4"/>
      <c r="AC29" s="4"/>
      <c r="AD29" s="4"/>
      <c r="AE29" s="4"/>
      <c r="AF29" s="4"/>
      <c r="AG29" s="4"/>
      <c r="AH29" s="4"/>
      <c r="AI29" s="4"/>
      <c r="AJ29" s="4"/>
    </row>
    <row r="30" spans="1:37" ht="30" customHeight="1">
      <c r="A30" s="12"/>
      <c r="B30" s="4"/>
      <c r="C30" s="4"/>
      <c r="D30" s="4"/>
      <c r="E30" s="402" t="s">
        <v>30</v>
      </c>
      <c r="F30" s="403"/>
      <c r="G30" s="403"/>
      <c r="H30" s="403"/>
      <c r="I30" s="403"/>
      <c r="J30" s="404"/>
      <c r="K30" s="42"/>
      <c r="L30" s="42"/>
      <c r="M30" s="42"/>
      <c r="N30" s="42"/>
      <c r="O30" s="60">
        <f>O29/'DRE Consolidado'!O16</f>
        <v>0</v>
      </c>
      <c r="P30" s="60">
        <f>P29/'DRE Consolidado'!P16</f>
        <v>0</v>
      </c>
      <c r="Q30" s="60">
        <f>Q29/'DRE Consolidado'!Q16</f>
        <v>0</v>
      </c>
      <c r="R30" s="60">
        <f>R29/'DRE Consolidado'!R16</f>
        <v>0</v>
      </c>
      <c r="S30" s="60">
        <f>S29/'DRE Consolidado'!S16</f>
        <v>5.4959047101995088E-3</v>
      </c>
      <c r="T30" s="60">
        <f>T29/'DRE Consolidado'!T16</f>
        <v>1.0752548713614878E-2</v>
      </c>
      <c r="U30" s="328">
        <f>U29/'Projeções - Receita e EBIT'!R81</f>
        <v>0.46860819782874219</v>
      </c>
      <c r="V30" s="328">
        <f>V29/'Projeções - Receita e EBIT'!S81</f>
        <v>0.10987716883121429</v>
      </c>
      <c r="W30" s="328">
        <f>V30</f>
        <v>0.10987716883121429</v>
      </c>
      <c r="X30" s="328">
        <f>W30</f>
        <v>0.10987716883121429</v>
      </c>
      <c r="Y30" s="329">
        <f>X30</f>
        <v>0.10987716883121429</v>
      </c>
      <c r="Z30" s="88"/>
      <c r="AA30" s="4"/>
      <c r="AB30" s="4"/>
      <c r="AC30" s="4"/>
      <c r="AD30" s="4"/>
      <c r="AE30" s="4"/>
      <c r="AF30" s="4"/>
      <c r="AG30" s="4"/>
      <c r="AH30" s="4"/>
      <c r="AI30" s="4"/>
      <c r="AJ30" s="4"/>
    </row>
    <row r="31" spans="1:37" ht="30" customHeight="1">
      <c r="A31" s="12"/>
      <c r="B31" s="4"/>
      <c r="C31" s="4"/>
      <c r="D31" s="4"/>
      <c r="E31" s="301" t="s">
        <v>343</v>
      </c>
      <c r="F31" s="302"/>
      <c r="G31" s="302"/>
      <c r="H31" s="302"/>
      <c r="I31" s="302"/>
      <c r="J31" s="303"/>
      <c r="K31" s="42"/>
      <c r="L31" s="42"/>
      <c r="M31" s="42"/>
      <c r="N31" s="42"/>
      <c r="O31" s="42">
        <f>SUM('Projeções - Receita e EBIT'!J46,'Projeções - Receita e EBIT'!J65,'Projeções - Receita e EBIT'!J89)</f>
        <v>-137000</v>
      </c>
      <c r="P31" s="42">
        <f>SUM('Projeções - Receita e EBIT'!K46,'Projeções - Receita e EBIT'!K65,'Projeções - Receita e EBIT'!K89)</f>
        <v>-145805</v>
      </c>
      <c r="Q31" s="42">
        <f>SUM('Projeções - Receita e EBIT'!L46,'Projeções - Receita e EBIT'!L65,'Projeções - Receita e EBIT'!L89)</f>
        <v>-175759</v>
      </c>
      <c r="R31" s="42">
        <f>SUM('Projeções - Receita e EBIT'!M46,'Projeções - Receita e EBIT'!M65,'Projeções - Receita e EBIT'!M89)</f>
        <v>-159998</v>
      </c>
      <c r="S31" s="42">
        <f>SUM('Projeções - Receita e EBIT'!N46,'Projeções - Receita e EBIT'!N65,'Projeções - Receita e EBIT'!N89)</f>
        <v>-54540</v>
      </c>
      <c r="T31" s="42">
        <f>SUM('Projeções - Receita e EBIT'!O46,'Projeções - Receita e EBIT'!O65,'Projeções - Receita e EBIT'!O89)</f>
        <v>-134590</v>
      </c>
      <c r="U31" s="42">
        <f>SUM('Projeções - Receita e EBIT'!R46,'Projeções - Receita e EBIT'!R65)</f>
        <v>-181164.53768609645</v>
      </c>
      <c r="V31" s="42">
        <f>SUM('Projeções - Receita e EBIT'!S46,'Projeções - Receita e EBIT'!S65)</f>
        <v>-190784.93624729494</v>
      </c>
      <c r="W31" s="42">
        <f>SUM('Projeções - Receita e EBIT'!T46,'Projeções - Receita e EBIT'!T65)</f>
        <v>-202867.26994586166</v>
      </c>
      <c r="X31" s="42">
        <f>SUM('Projeções - Receita e EBIT'!U46,'Projeções - Receita e EBIT'!U65)</f>
        <v>-216271.40021990254</v>
      </c>
      <c r="Y31" s="89">
        <f>SUM('Projeções - Receita e EBIT'!V46,'Projeções - Receita e EBIT'!V65)</f>
        <v>-231008.9985164876</v>
      </c>
      <c r="Z31" s="88"/>
      <c r="AA31" s="4"/>
      <c r="AB31" s="4"/>
      <c r="AC31" s="4"/>
      <c r="AD31" s="4"/>
      <c r="AE31" s="4"/>
      <c r="AF31" s="4"/>
      <c r="AG31" s="4"/>
      <c r="AH31" s="4"/>
      <c r="AI31" s="4"/>
      <c r="AJ31" s="4"/>
    </row>
    <row r="32" spans="1:37" ht="30" customHeight="1" thickBot="1">
      <c r="A32" s="12"/>
      <c r="B32" s="4"/>
      <c r="C32" s="4"/>
      <c r="D32" s="10"/>
      <c r="E32" s="396" t="s">
        <v>344</v>
      </c>
      <c r="F32" s="397"/>
      <c r="G32" s="397"/>
      <c r="H32" s="397"/>
      <c r="I32" s="397"/>
      <c r="J32" s="398"/>
      <c r="K32" s="42"/>
      <c r="L32" s="42"/>
      <c r="M32" s="42"/>
      <c r="N32" s="42"/>
      <c r="O32" s="46">
        <f t="shared" ref="O32:Y32" si="6">SUM(O16,O17,O27,O29,O31)</f>
        <v>405066.95768999599</v>
      </c>
      <c r="P32" s="46">
        <f t="shared" si="6"/>
        <v>405314.71074999298</v>
      </c>
      <c r="Q32" s="46">
        <f t="shared" si="6"/>
        <v>431804.234160005</v>
      </c>
      <c r="R32" s="46">
        <f t="shared" si="6"/>
        <v>665081.55479997699</v>
      </c>
      <c r="S32" s="46">
        <f t="shared" si="6"/>
        <v>1334428</v>
      </c>
      <c r="T32" s="46">
        <f t="shared" si="6"/>
        <v>643091</v>
      </c>
      <c r="U32" s="46">
        <f t="shared" si="6"/>
        <v>311342.10433528805</v>
      </c>
      <c r="V32" s="46">
        <f t="shared" si="6"/>
        <v>182123.29668522568</v>
      </c>
      <c r="W32" s="46">
        <f t="shared" si="6"/>
        <v>130933.18212681421</v>
      </c>
      <c r="X32" s="46">
        <f t="shared" si="6"/>
        <v>137339.87087025607</v>
      </c>
      <c r="Y32" s="287">
        <f t="shared" si="6"/>
        <v>144348.30630268093</v>
      </c>
      <c r="Z32" s="88"/>
      <c r="AA32" s="4"/>
      <c r="AB32" s="4"/>
      <c r="AC32" s="4"/>
      <c r="AD32" s="4"/>
      <c r="AE32" s="4"/>
      <c r="AF32" s="4"/>
      <c r="AG32" s="4"/>
      <c r="AH32" s="4"/>
      <c r="AI32" s="4"/>
      <c r="AJ32" s="4"/>
    </row>
    <row r="33" spans="1:36" ht="30" customHeight="1">
      <c r="A33" s="12"/>
      <c r="B33" s="4"/>
      <c r="C33" s="4"/>
      <c r="D33" s="10"/>
      <c r="E33" s="177"/>
      <c r="F33" s="177"/>
      <c r="G33" s="177"/>
      <c r="H33" s="177"/>
      <c r="I33" s="177"/>
      <c r="J33" s="177"/>
      <c r="K33" s="177"/>
      <c r="L33" s="177"/>
      <c r="M33" s="177"/>
      <c r="N33" s="177"/>
      <c r="O33" s="177"/>
      <c r="P33" s="177"/>
      <c r="Q33" s="177"/>
      <c r="R33" s="177"/>
      <c r="S33" s="177"/>
      <c r="T33" s="177"/>
      <c r="U33" s="177"/>
      <c r="V33" s="177"/>
      <c r="W33" s="267"/>
      <c r="X33" s="267"/>
      <c r="Y33" s="267"/>
      <c r="Z33" s="4"/>
      <c r="AA33" s="4"/>
      <c r="AB33" s="4"/>
      <c r="AC33" s="4"/>
      <c r="AD33" s="4"/>
      <c r="AE33" s="4"/>
      <c r="AF33" s="4"/>
      <c r="AG33" s="4"/>
      <c r="AH33" s="4"/>
      <c r="AI33" s="4"/>
      <c r="AJ33" s="4"/>
    </row>
    <row r="34" spans="1:36" ht="30" customHeight="1">
      <c r="A34" s="12"/>
      <c r="B34" s="4"/>
      <c r="C34" s="4"/>
      <c r="D34" s="10"/>
      <c r="E34" s="4"/>
      <c r="F34" s="4"/>
      <c r="G34" s="4"/>
      <c r="H34" s="4"/>
      <c r="I34" s="4"/>
      <c r="J34" s="4"/>
      <c r="K34" s="4"/>
      <c r="L34" s="4"/>
      <c r="M34" s="4"/>
      <c r="N34" s="4"/>
      <c r="O34" s="4"/>
      <c r="P34" s="4"/>
      <c r="Q34" s="4"/>
      <c r="R34" s="4"/>
      <c r="S34" s="4"/>
      <c r="T34" s="4"/>
      <c r="U34" s="4"/>
      <c r="V34" s="4"/>
      <c r="W34" s="97"/>
      <c r="X34" s="97"/>
      <c r="Y34" s="97"/>
      <c r="Z34" s="4"/>
      <c r="AA34" s="4"/>
      <c r="AB34" s="4"/>
      <c r="AC34" s="4"/>
      <c r="AD34" s="4"/>
      <c r="AE34" s="4"/>
      <c r="AF34" s="4"/>
      <c r="AG34" s="4"/>
      <c r="AH34" s="4"/>
      <c r="AI34" s="4"/>
      <c r="AJ34" s="4"/>
    </row>
    <row r="35" spans="1:36" ht="30" customHeight="1">
      <c r="A35" s="12"/>
      <c r="B35" s="4"/>
      <c r="C35" s="4"/>
      <c r="D35" s="10"/>
      <c r="E35" s="4"/>
      <c r="F35" s="50"/>
      <c r="G35" s="50"/>
      <c r="H35" s="50"/>
      <c r="I35" s="50"/>
      <c r="J35" s="50"/>
      <c r="K35" s="50"/>
      <c r="L35" s="50"/>
      <c r="M35" s="50"/>
      <c r="N35" s="50"/>
      <c r="O35" s="50"/>
      <c r="P35" s="97"/>
      <c r="Q35" s="97"/>
      <c r="R35" s="97"/>
      <c r="S35" s="97"/>
      <c r="T35" s="97"/>
      <c r="U35" s="97"/>
      <c r="V35" s="97"/>
      <c r="W35" s="97"/>
      <c r="X35" s="97"/>
      <c r="Y35" s="97"/>
      <c r="Z35" s="4"/>
      <c r="AA35" s="4"/>
      <c r="AB35" s="4"/>
      <c r="AC35" s="4"/>
      <c r="AD35" s="4"/>
      <c r="AE35" s="4"/>
      <c r="AF35" s="4"/>
      <c r="AG35" s="4"/>
      <c r="AH35" s="4"/>
      <c r="AI35" s="4"/>
      <c r="AJ35" s="4"/>
    </row>
    <row r="36" spans="1:36" ht="30" customHeight="1">
      <c r="A36" s="12"/>
      <c r="B36" s="4"/>
      <c r="C36" s="4"/>
      <c r="D36" s="10"/>
      <c r="E36" s="338" t="s">
        <v>131</v>
      </c>
      <c r="F36" s="339"/>
      <c r="G36" s="339"/>
      <c r="H36" s="339"/>
      <c r="I36" s="339"/>
      <c r="J36" s="340"/>
      <c r="K36" s="38">
        <v>2024</v>
      </c>
      <c r="L36" s="38">
        <f>K36+1</f>
        <v>2025</v>
      </c>
      <c r="M36" s="38">
        <f t="shared" ref="M36:U36" si="7">L36+1</f>
        <v>2026</v>
      </c>
      <c r="N36" s="38">
        <f t="shared" si="7"/>
        <v>2027</v>
      </c>
      <c r="O36" s="38">
        <f t="shared" si="7"/>
        <v>2028</v>
      </c>
      <c r="P36" s="38">
        <f t="shared" si="7"/>
        <v>2029</v>
      </c>
      <c r="Q36" s="38">
        <f t="shared" si="7"/>
        <v>2030</v>
      </c>
      <c r="R36" s="38">
        <f t="shared" si="7"/>
        <v>2031</v>
      </c>
      <c r="S36" s="38">
        <f t="shared" si="7"/>
        <v>2032</v>
      </c>
      <c r="T36" s="38">
        <f t="shared" si="7"/>
        <v>2033</v>
      </c>
      <c r="U36" s="38">
        <f t="shared" si="7"/>
        <v>2034</v>
      </c>
      <c r="V36" s="199"/>
      <c r="W36" s="97"/>
      <c r="X36" s="97"/>
      <c r="Y36" s="97"/>
      <c r="Z36" s="4"/>
      <c r="AA36" s="4"/>
      <c r="AB36" s="4"/>
      <c r="AC36" s="4"/>
      <c r="AD36" s="4"/>
      <c r="AE36" s="4"/>
      <c r="AF36" s="4"/>
      <c r="AG36" s="4"/>
      <c r="AH36" s="4"/>
      <c r="AI36" s="4"/>
      <c r="AJ36" s="4"/>
    </row>
    <row r="37" spans="1:36" ht="30" customHeight="1">
      <c r="A37" s="12"/>
      <c r="B37" s="4"/>
      <c r="C37" s="4"/>
      <c r="D37" s="10"/>
      <c r="E37" s="402" t="s">
        <v>132</v>
      </c>
      <c r="F37" s="403"/>
      <c r="G37" s="403"/>
      <c r="H37" s="403"/>
      <c r="I37" s="403"/>
      <c r="J37" s="404"/>
      <c r="K37" s="206">
        <f>WACC!F12</f>
        <v>4.0329999999999998E-2</v>
      </c>
      <c r="L37" s="206">
        <f>WACC!G12</f>
        <v>3.7539999999999997E-2</v>
      </c>
      <c r="M37" s="206">
        <f>WACC!H12</f>
        <v>4.2479999999999997E-2</v>
      </c>
      <c r="N37" s="206">
        <f>WACC!I12</f>
        <v>4.5170000000000002E-2</v>
      </c>
      <c r="O37" s="206">
        <f>WACC!J12</f>
        <v>4.7199999999999999E-2</v>
      </c>
      <c r="P37" s="206">
        <f>WACC!K12</f>
        <v>4.8489999999999998E-2</v>
      </c>
      <c r="Q37" s="206">
        <f>WACC!L12</f>
        <v>5.0110000000000002E-2</v>
      </c>
      <c r="R37" s="206">
        <f>WACC!M12</f>
        <v>5.0770000000000003E-2</v>
      </c>
      <c r="S37" s="206">
        <f>WACC!N12</f>
        <v>5.0970000000000001E-2</v>
      </c>
      <c r="T37" s="206">
        <f>WACC!O12</f>
        <v>5.1209999999999999E-2</v>
      </c>
      <c r="U37" s="206">
        <f>WACC!P12</f>
        <v>0.05</v>
      </c>
      <c r="V37" s="199"/>
      <c r="W37" s="97"/>
      <c r="X37" s="97"/>
      <c r="Y37" s="97"/>
      <c r="Z37" s="97"/>
      <c r="AA37" s="97"/>
      <c r="AB37" s="97"/>
      <c r="AC37" s="4"/>
      <c r="AD37" s="4"/>
      <c r="AE37" s="4"/>
      <c r="AF37" s="4"/>
      <c r="AG37" s="4"/>
      <c r="AH37" s="4"/>
      <c r="AI37" s="4"/>
      <c r="AJ37" s="4"/>
    </row>
    <row r="38" spans="1:36" ht="30" customHeight="1">
      <c r="A38" s="12"/>
      <c r="B38" s="4"/>
      <c r="C38" s="4"/>
      <c r="D38" s="10"/>
      <c r="E38" s="402" t="s">
        <v>470</v>
      </c>
      <c r="F38" s="403"/>
      <c r="G38" s="403"/>
      <c r="H38" s="403"/>
      <c r="I38" s="403"/>
      <c r="J38" s="404"/>
      <c r="K38" s="206">
        <v>1.2E-2</v>
      </c>
      <c r="L38" s="186">
        <v>1.4999999999999999E-2</v>
      </c>
      <c r="M38" s="186">
        <v>0.02</v>
      </c>
      <c r="N38" s="186">
        <v>0.02</v>
      </c>
      <c r="O38" s="186">
        <v>0.02</v>
      </c>
      <c r="P38" s="186">
        <v>0.02</v>
      </c>
      <c r="Q38" s="186">
        <v>0.02</v>
      </c>
      <c r="R38" s="186">
        <v>0.02</v>
      </c>
      <c r="S38" s="186">
        <v>0.02</v>
      </c>
      <c r="T38" s="186">
        <v>0.02</v>
      </c>
      <c r="U38" s="186">
        <v>0.02</v>
      </c>
      <c r="V38" s="199"/>
      <c r="W38" s="97"/>
      <c r="X38" s="97"/>
      <c r="Y38" s="97"/>
      <c r="Z38" s="97"/>
      <c r="AA38" s="97"/>
      <c r="AB38" s="97"/>
      <c r="AC38" s="4"/>
      <c r="AD38" s="4"/>
      <c r="AE38" s="4"/>
      <c r="AF38" s="4"/>
      <c r="AG38" s="4"/>
      <c r="AH38" s="4"/>
      <c r="AI38" s="4"/>
    </row>
    <row r="39" spans="1:36" ht="30" customHeight="1" thickBot="1">
      <c r="A39" s="12"/>
      <c r="B39" s="4"/>
      <c r="C39" s="4"/>
      <c r="D39" s="10"/>
      <c r="E39" s="402" t="s">
        <v>471</v>
      </c>
      <c r="F39" s="403"/>
      <c r="G39" s="403"/>
      <c r="H39" s="403"/>
      <c r="I39" s="403"/>
      <c r="J39" s="404"/>
      <c r="K39" s="186">
        <f xml:space="preserve"> (1+K37)*(1+K38)-1</f>
        <v>5.2813959999999938E-2</v>
      </c>
      <c r="L39" s="186">
        <f t="shared" ref="L39:U39" si="8" xml:space="preserve"> (1+L37)*(1+L38)-1</f>
        <v>5.3103099999999737E-2</v>
      </c>
      <c r="M39" s="186">
        <f t="shared" si="8"/>
        <v>6.3329600000000097E-2</v>
      </c>
      <c r="N39" s="186">
        <f t="shared" si="8"/>
        <v>6.607340000000006E-2</v>
      </c>
      <c r="O39" s="186">
        <f t="shared" si="8"/>
        <v>6.8143999999999982E-2</v>
      </c>
      <c r="P39" s="186">
        <f t="shared" si="8"/>
        <v>6.945979999999996E-2</v>
      </c>
      <c r="Q39" s="186">
        <f t="shared" si="8"/>
        <v>7.1112200000000181E-2</v>
      </c>
      <c r="R39" s="186">
        <f t="shared" si="8"/>
        <v>7.1785399999999999E-2</v>
      </c>
      <c r="S39" s="186">
        <f t="shared" si="8"/>
        <v>7.198939999999987E-2</v>
      </c>
      <c r="T39" s="186">
        <f t="shared" si="8"/>
        <v>7.2234200000000026E-2</v>
      </c>
      <c r="U39" s="186">
        <f t="shared" si="8"/>
        <v>7.1000000000000174E-2</v>
      </c>
      <c r="V39" s="199"/>
      <c r="W39" s="50"/>
      <c r="X39" s="50"/>
      <c r="Y39" s="50"/>
      <c r="Z39" s="50"/>
      <c r="AA39" s="50"/>
      <c r="AB39" s="4"/>
      <c r="AC39" s="4"/>
      <c r="AD39" s="4"/>
      <c r="AE39" s="4"/>
      <c r="AF39" s="4"/>
      <c r="AG39" s="4"/>
      <c r="AH39" s="4"/>
      <c r="AI39" s="4"/>
    </row>
    <row r="40" spans="1:36" ht="30" customHeight="1">
      <c r="A40" s="12"/>
      <c r="B40" s="4"/>
      <c r="C40" s="4"/>
      <c r="D40" s="10"/>
      <c r="E40" s="191"/>
      <c r="F40" s="191"/>
      <c r="G40" s="191"/>
      <c r="H40" s="191"/>
      <c r="I40" s="191"/>
      <c r="J40" s="191"/>
      <c r="K40" s="191"/>
      <c r="L40" s="191"/>
      <c r="M40" s="191"/>
      <c r="N40" s="191"/>
      <c r="O40" s="191"/>
      <c r="P40" s="191"/>
      <c r="Q40" s="191"/>
      <c r="R40" s="191"/>
      <c r="S40" s="191"/>
      <c r="T40" s="191"/>
      <c r="U40" s="191"/>
      <c r="V40" s="50"/>
      <c r="W40" s="50"/>
      <c r="X40" s="50"/>
      <c r="Y40" s="4"/>
      <c r="Z40" s="50"/>
      <c r="AA40" s="50"/>
      <c r="AB40" s="4"/>
      <c r="AC40" s="4"/>
      <c r="AD40" s="4"/>
      <c r="AE40" s="4"/>
      <c r="AF40" s="4"/>
      <c r="AG40" s="4"/>
      <c r="AH40" s="4"/>
      <c r="AI40" s="4"/>
    </row>
    <row r="41" spans="1:36" ht="30" customHeight="1">
      <c r="A41" s="12"/>
      <c r="B41" s="4"/>
      <c r="C41" s="4"/>
      <c r="D41" s="10"/>
      <c r="E41" s="50"/>
      <c r="F41" s="50"/>
      <c r="G41" s="50"/>
      <c r="H41" s="50"/>
      <c r="I41" s="50"/>
      <c r="J41" s="50"/>
      <c r="K41" s="50"/>
      <c r="L41" s="50"/>
      <c r="M41" s="50"/>
      <c r="N41" s="50"/>
      <c r="O41" s="50"/>
      <c r="P41" s="50"/>
      <c r="Q41" s="50"/>
      <c r="R41" s="50"/>
      <c r="S41" s="50"/>
      <c r="T41" s="50"/>
      <c r="U41" s="50"/>
      <c r="V41" s="50"/>
      <c r="W41" s="50"/>
      <c r="X41" s="50"/>
      <c r="Y41" s="97"/>
      <c r="Z41" s="50"/>
      <c r="AA41" s="50"/>
      <c r="AB41" s="4"/>
      <c r="AC41" s="4"/>
      <c r="AD41" s="4"/>
      <c r="AE41" s="4"/>
      <c r="AF41" s="4"/>
      <c r="AG41" s="4"/>
      <c r="AH41" s="4"/>
      <c r="AI41" s="4"/>
    </row>
    <row r="42" spans="1:36" ht="30" customHeight="1">
      <c r="A42" s="12"/>
      <c r="B42" s="4"/>
      <c r="C42" s="4"/>
      <c r="D42" s="4"/>
      <c r="E42" s="50"/>
      <c r="F42" s="50"/>
      <c r="G42" s="50"/>
      <c r="H42" s="50"/>
      <c r="I42" s="50"/>
      <c r="J42" s="50"/>
      <c r="K42" s="51"/>
      <c r="L42" s="51"/>
      <c r="M42" s="51"/>
      <c r="N42" s="51"/>
      <c r="O42" s="4"/>
      <c r="P42" s="50"/>
      <c r="Q42" s="50"/>
      <c r="R42" s="50"/>
      <c r="S42" s="50"/>
      <c r="T42" s="50"/>
      <c r="U42" s="50"/>
      <c r="V42" s="50"/>
      <c r="W42" s="50"/>
      <c r="X42" s="97"/>
      <c r="Y42" s="97"/>
      <c r="Z42" s="50"/>
      <c r="AA42" s="50"/>
      <c r="AB42" s="4"/>
      <c r="AC42" s="4"/>
      <c r="AD42" s="4"/>
      <c r="AE42" s="4"/>
      <c r="AF42" s="4"/>
      <c r="AG42" s="4"/>
      <c r="AH42" s="4"/>
      <c r="AI42" s="4"/>
    </row>
    <row r="43" spans="1:36" ht="30" customHeight="1">
      <c r="A43" s="12"/>
      <c r="B43" s="4"/>
      <c r="C43" s="4"/>
      <c r="D43" s="4"/>
      <c r="E43" s="50"/>
      <c r="F43" s="50"/>
      <c r="G43" s="50"/>
      <c r="H43" s="50"/>
      <c r="I43" s="50"/>
      <c r="J43" s="50"/>
      <c r="K43" s="51"/>
      <c r="L43" s="51"/>
      <c r="M43" s="51"/>
      <c r="N43" s="51"/>
      <c r="O43" s="4"/>
      <c r="P43" s="4"/>
      <c r="Q43" s="4"/>
      <c r="R43" s="4"/>
      <c r="S43" s="4"/>
      <c r="T43" s="4"/>
      <c r="U43" s="4"/>
      <c r="V43" s="4"/>
      <c r="W43" s="4"/>
      <c r="X43" s="4"/>
      <c r="Y43" s="50"/>
      <c r="Z43" s="50"/>
      <c r="AA43" s="4"/>
      <c r="AB43" s="4"/>
      <c r="AC43" s="4"/>
      <c r="AD43" s="4"/>
      <c r="AE43" s="4"/>
      <c r="AF43" s="4"/>
      <c r="AG43" s="4"/>
      <c r="AH43" s="4"/>
      <c r="AI43" s="4"/>
      <c r="AJ43" s="4"/>
    </row>
    <row r="44" spans="1:36" ht="30" customHeight="1">
      <c r="A44" s="12"/>
      <c r="B44" s="4"/>
      <c r="C44" s="4"/>
      <c r="D44" s="4"/>
      <c r="E44" s="338" t="s">
        <v>131</v>
      </c>
      <c r="F44" s="339"/>
      <c r="G44" s="339"/>
      <c r="H44" s="339"/>
      <c r="I44" s="339"/>
      <c r="J44" s="340"/>
      <c r="K44" s="37">
        <v>2014</v>
      </c>
      <c r="L44" s="37">
        <v>2015</v>
      </c>
      <c r="M44" s="37">
        <v>2016</v>
      </c>
      <c r="N44" s="37">
        <v>2017</v>
      </c>
      <c r="O44" s="37">
        <v>2018</v>
      </c>
      <c r="P44" s="37">
        <v>2019</v>
      </c>
      <c r="Q44" s="37">
        <v>2020</v>
      </c>
      <c r="R44" s="37">
        <v>2021</v>
      </c>
      <c r="S44" s="37">
        <v>2022</v>
      </c>
      <c r="T44" s="37">
        <v>2023</v>
      </c>
      <c r="U44" s="37" t="s">
        <v>525</v>
      </c>
      <c r="V44" s="4"/>
      <c r="W44" s="4"/>
      <c r="X44" s="4"/>
      <c r="Y44" s="50"/>
      <c r="Z44" s="50"/>
      <c r="AA44" s="4"/>
      <c r="AB44" s="4"/>
      <c r="AC44" s="4"/>
      <c r="AD44" s="4"/>
      <c r="AE44" s="4"/>
      <c r="AF44" s="4"/>
      <c r="AG44" s="4"/>
      <c r="AH44" s="4"/>
      <c r="AI44" s="4"/>
      <c r="AJ44" s="4"/>
    </row>
    <row r="45" spans="1:36" ht="30" customHeight="1">
      <c r="A45" s="12"/>
      <c r="B45" s="4"/>
      <c r="C45" s="4"/>
      <c r="D45" s="4"/>
      <c r="E45" s="53" t="s">
        <v>272</v>
      </c>
      <c r="F45" s="239"/>
      <c r="G45" s="239"/>
      <c r="H45" s="239"/>
      <c r="I45" s="239"/>
      <c r="J45" s="240"/>
      <c r="K45" s="46"/>
      <c r="L45" s="46"/>
      <c r="M45" s="46"/>
      <c r="N45" s="46"/>
      <c r="O45" s="46"/>
      <c r="P45" s="42">
        <v>44835</v>
      </c>
      <c r="Q45" s="42">
        <v>91139</v>
      </c>
      <c r="R45" s="42">
        <v>56466</v>
      </c>
      <c r="S45" s="42">
        <v>87450</v>
      </c>
      <c r="T45" s="325">
        <v>112687</v>
      </c>
      <c r="U45" s="325">
        <v>37497</v>
      </c>
      <c r="V45" s="4"/>
      <c r="W45" s="4"/>
      <c r="X45" s="4"/>
      <c r="Y45" s="50"/>
      <c r="Z45" s="50"/>
      <c r="AA45" s="4"/>
      <c r="AB45" s="4"/>
      <c r="AC45" s="4"/>
      <c r="AD45" s="4"/>
      <c r="AE45" s="4"/>
      <c r="AF45" s="4"/>
      <c r="AG45" s="4"/>
      <c r="AH45" s="4"/>
      <c r="AI45" s="4"/>
      <c r="AJ45" s="4"/>
    </row>
    <row r="46" spans="1:36" ht="30" customHeight="1">
      <c r="A46" s="12"/>
      <c r="B46" s="4"/>
      <c r="C46" s="4"/>
      <c r="D46" s="4"/>
      <c r="E46" s="53" t="s">
        <v>271</v>
      </c>
      <c r="F46" s="239"/>
      <c r="G46" s="239"/>
      <c r="H46" s="239"/>
      <c r="I46" s="239"/>
      <c r="J46" s="240"/>
      <c r="K46" s="46"/>
      <c r="L46" s="46"/>
      <c r="M46" s="46"/>
      <c r="N46" s="46"/>
      <c r="O46" s="46"/>
      <c r="P46" s="42">
        <v>55977</v>
      </c>
      <c r="Q46" s="42">
        <v>58450</v>
      </c>
      <c r="R46" s="42">
        <v>101267</v>
      </c>
      <c r="S46" s="42">
        <v>183795</v>
      </c>
      <c r="T46" s="325">
        <v>167130</v>
      </c>
      <c r="U46" s="325">
        <v>38023</v>
      </c>
      <c r="V46" s="4"/>
      <c r="W46" s="4"/>
      <c r="X46" s="4"/>
      <c r="Y46" s="50"/>
      <c r="Z46" s="50"/>
      <c r="AA46" s="4"/>
      <c r="AB46" s="4"/>
      <c r="AC46" s="4"/>
      <c r="AD46" s="4"/>
      <c r="AE46" s="4"/>
      <c r="AF46" s="4"/>
      <c r="AG46" s="4"/>
      <c r="AH46" s="4"/>
      <c r="AI46" s="4"/>
      <c r="AJ46" s="4"/>
    </row>
    <row r="47" spans="1:36" ht="30" customHeight="1">
      <c r="A47" s="12"/>
      <c r="B47" s="4"/>
      <c r="C47" s="4"/>
      <c r="D47" s="4"/>
      <c r="E47" s="282" t="s">
        <v>273</v>
      </c>
      <c r="F47" s="280"/>
      <c r="G47" s="280"/>
      <c r="H47" s="280"/>
      <c r="I47" s="280"/>
      <c r="J47" s="281"/>
      <c r="K47" s="216"/>
      <c r="L47" s="216"/>
      <c r="M47" s="216"/>
      <c r="N47" s="216"/>
      <c r="O47" s="216"/>
      <c r="P47" s="176">
        <v>8974</v>
      </c>
      <c r="Q47" s="176">
        <v>9014</v>
      </c>
      <c r="R47" s="176">
        <v>10223</v>
      </c>
      <c r="S47" s="176">
        <v>16120</v>
      </c>
      <c r="T47" s="326">
        <v>27650</v>
      </c>
      <c r="U47" s="326">
        <v>9637</v>
      </c>
      <c r="V47" s="4"/>
      <c r="W47" s="4"/>
      <c r="X47" s="4"/>
      <c r="Y47" s="4"/>
      <c r="Z47" s="4"/>
      <c r="AA47" s="4"/>
      <c r="AB47" s="4"/>
      <c r="AC47" s="4"/>
      <c r="AD47" s="4"/>
      <c r="AE47" s="4"/>
      <c r="AF47" s="4"/>
      <c r="AG47" s="4"/>
      <c r="AH47" s="4"/>
      <c r="AI47" s="4"/>
      <c r="AJ47" s="4"/>
    </row>
    <row r="48" spans="1:36" ht="30" customHeight="1" thickBot="1">
      <c r="A48" s="12"/>
      <c r="B48" s="4"/>
      <c r="C48" s="4"/>
      <c r="D48" s="4"/>
      <c r="E48" s="284" t="s">
        <v>317</v>
      </c>
      <c r="F48" s="285"/>
      <c r="G48" s="285"/>
      <c r="H48" s="285"/>
      <c r="I48" s="285"/>
      <c r="J48" s="286"/>
      <c r="K48" s="216">
        <v>0</v>
      </c>
      <c r="L48" s="216">
        <v>0</v>
      </c>
      <c r="M48" s="216">
        <v>0</v>
      </c>
      <c r="N48" s="216">
        <v>0</v>
      </c>
      <c r="O48" s="216">
        <v>0</v>
      </c>
      <c r="P48" s="216">
        <v>127308</v>
      </c>
      <c r="Q48" s="216">
        <v>129146</v>
      </c>
      <c r="R48" s="216">
        <v>186383</v>
      </c>
      <c r="S48" s="216">
        <v>199519</v>
      </c>
      <c r="T48" s="327">
        <v>357907</v>
      </c>
      <c r="U48" s="327">
        <v>98340</v>
      </c>
      <c r="V48" s="4"/>
      <c r="W48" s="4"/>
      <c r="X48" s="4"/>
      <c r="Y48" s="4"/>
      <c r="Z48" s="4"/>
      <c r="AA48" s="4"/>
      <c r="AB48" s="4"/>
      <c r="AC48" s="4"/>
      <c r="AD48" s="4"/>
      <c r="AE48" s="4"/>
      <c r="AF48" s="4"/>
      <c r="AG48" s="4"/>
      <c r="AH48" s="4"/>
      <c r="AI48" s="4"/>
      <c r="AJ48" s="4"/>
    </row>
    <row r="49" spans="1:38" ht="30" customHeight="1">
      <c r="A49" s="12"/>
      <c r="B49" s="4"/>
      <c r="C49" s="4"/>
      <c r="D49" s="4"/>
      <c r="E49" s="191"/>
      <c r="F49" s="191"/>
      <c r="G49" s="191"/>
      <c r="H49" s="191"/>
      <c r="I49" s="191"/>
      <c r="J49" s="191"/>
      <c r="K49" s="181"/>
      <c r="L49" s="181"/>
      <c r="M49" s="181"/>
      <c r="N49" s="181"/>
      <c r="O49" s="177"/>
      <c r="P49" s="177"/>
      <c r="Q49" s="177"/>
      <c r="R49" s="177"/>
      <c r="S49" s="177"/>
      <c r="T49" s="177"/>
      <c r="U49" s="177"/>
      <c r="V49" s="4"/>
      <c r="W49" s="4"/>
      <c r="X49" s="4"/>
      <c r="Y49" s="4"/>
      <c r="Z49" s="4"/>
      <c r="AA49" s="4"/>
      <c r="AB49" s="4"/>
      <c r="AC49" s="4"/>
      <c r="AD49" s="4"/>
      <c r="AE49" s="4"/>
      <c r="AF49" s="4"/>
      <c r="AG49" s="4"/>
      <c r="AH49" s="4"/>
      <c r="AI49" s="4"/>
    </row>
    <row r="50" spans="1:38" ht="30" customHeight="1">
      <c r="A50" s="12"/>
      <c r="B50" s="4"/>
      <c r="C50" s="4"/>
      <c r="D50" s="4"/>
      <c r="E50" s="50"/>
      <c r="F50" s="50"/>
      <c r="G50" s="50"/>
      <c r="H50" s="50"/>
      <c r="I50" s="50"/>
      <c r="J50" s="50"/>
      <c r="K50" s="51"/>
      <c r="L50" s="51"/>
      <c r="M50" s="51"/>
      <c r="N50" s="51"/>
      <c r="O50" s="4"/>
      <c r="P50" s="4"/>
      <c r="Q50" s="4"/>
      <c r="R50" s="4"/>
      <c r="S50" s="4"/>
      <c r="T50" s="4"/>
      <c r="U50" s="4"/>
      <c r="V50" s="4"/>
      <c r="W50" s="4"/>
      <c r="X50" s="4"/>
      <c r="Y50" s="4"/>
      <c r="Z50" s="4"/>
      <c r="AA50" s="4"/>
      <c r="AB50" s="4"/>
      <c r="AC50" s="4"/>
      <c r="AD50" s="4"/>
      <c r="AE50" s="4"/>
      <c r="AF50" s="4"/>
      <c r="AG50" s="4"/>
      <c r="AH50" s="4"/>
      <c r="AI50" s="4"/>
    </row>
    <row r="51" spans="1:38" ht="30" customHeight="1">
      <c r="A51" s="12"/>
      <c r="B51" s="4"/>
      <c r="C51" s="4"/>
      <c r="D51" s="4"/>
      <c r="E51" s="50"/>
      <c r="F51" s="50"/>
      <c r="G51" s="50"/>
      <c r="H51" s="50"/>
      <c r="I51" s="50"/>
      <c r="J51" s="50"/>
      <c r="K51" s="51"/>
      <c r="L51" s="51"/>
      <c r="M51" s="51"/>
      <c r="N51" s="51"/>
      <c r="O51" s="4"/>
      <c r="P51" s="4"/>
      <c r="Q51" s="4"/>
      <c r="R51" s="4"/>
      <c r="S51" s="4"/>
      <c r="T51" s="4"/>
      <c r="U51" s="4"/>
      <c r="V51" s="4"/>
      <c r="W51" s="4"/>
      <c r="X51" s="4"/>
      <c r="Y51" s="4"/>
      <c r="Z51" s="4"/>
      <c r="AA51" s="4"/>
      <c r="AB51" s="4"/>
      <c r="AC51" s="4"/>
      <c r="AD51" s="4"/>
      <c r="AE51" s="4"/>
      <c r="AF51" s="4"/>
      <c r="AG51" s="4"/>
      <c r="AH51" s="4"/>
      <c r="AI51" s="4"/>
    </row>
    <row r="52" spans="1:38" ht="30" customHeight="1">
      <c r="A52" s="12"/>
      <c r="B52" s="4"/>
      <c r="C52" s="4"/>
      <c r="D52" s="4"/>
      <c r="E52" s="50"/>
      <c r="F52" s="50"/>
      <c r="G52" s="50"/>
      <c r="H52" s="50"/>
      <c r="I52" s="50"/>
      <c r="J52" s="50"/>
      <c r="K52" s="51"/>
      <c r="L52" s="51"/>
      <c r="M52" s="51"/>
      <c r="N52" s="51"/>
      <c r="O52" s="4"/>
      <c r="P52" s="4"/>
      <c r="Q52" s="4"/>
      <c r="R52" s="4"/>
      <c r="S52" s="4"/>
      <c r="T52" s="4"/>
      <c r="U52" s="4"/>
      <c r="V52" s="4"/>
      <c r="W52" s="4"/>
      <c r="X52" s="4"/>
      <c r="Y52" s="4"/>
      <c r="Z52" s="4"/>
      <c r="AA52" s="4"/>
      <c r="AB52" s="4"/>
      <c r="AC52" s="4"/>
      <c r="AD52" s="4"/>
      <c r="AE52" s="4"/>
      <c r="AF52" s="4"/>
      <c r="AG52" s="4"/>
      <c r="AH52" s="4"/>
      <c r="AI52" s="4"/>
      <c r="AJ52" s="4"/>
    </row>
    <row r="53" spans="1:38" ht="30" customHeight="1">
      <c r="A53" s="12"/>
      <c r="B53" s="4"/>
      <c r="C53" s="4"/>
      <c r="D53" s="4"/>
      <c r="E53" s="338" t="s">
        <v>131</v>
      </c>
      <c r="F53" s="339"/>
      <c r="G53" s="339"/>
      <c r="H53" s="339"/>
      <c r="I53" s="339"/>
      <c r="J53" s="340"/>
      <c r="K53" s="37">
        <v>2014</v>
      </c>
      <c r="L53" s="37">
        <v>2015</v>
      </c>
      <c r="M53" s="37">
        <v>2016</v>
      </c>
      <c r="N53" s="37">
        <v>2017</v>
      </c>
      <c r="O53" s="37">
        <v>2018</v>
      </c>
      <c r="P53" s="37">
        <v>2019</v>
      </c>
      <c r="Q53" s="37">
        <v>2020</v>
      </c>
      <c r="R53" s="37">
        <v>2021</v>
      </c>
      <c r="S53" s="37">
        <v>2022</v>
      </c>
      <c r="T53" s="37">
        <v>2023</v>
      </c>
      <c r="U53" s="37" t="str">
        <f>U44</f>
        <v>YTD</v>
      </c>
      <c r="V53" s="4"/>
      <c r="W53" s="4"/>
      <c r="X53" s="4"/>
      <c r="Y53" s="4"/>
      <c r="Z53" s="4"/>
      <c r="AA53" s="4"/>
      <c r="AB53" s="4"/>
      <c r="AC53" s="4"/>
      <c r="AD53" s="4"/>
      <c r="AE53" s="4"/>
      <c r="AF53" s="4"/>
      <c r="AG53" s="4"/>
      <c r="AH53" s="4"/>
      <c r="AI53" s="4"/>
      <c r="AJ53" s="4"/>
    </row>
    <row r="54" spans="1:38" ht="30" customHeight="1">
      <c r="A54" s="12"/>
      <c r="B54" s="4"/>
      <c r="C54" s="4"/>
      <c r="D54" s="4"/>
      <c r="E54" s="390" t="s">
        <v>279</v>
      </c>
      <c r="F54" s="391">
        <v>0</v>
      </c>
      <c r="G54" s="391">
        <v>0</v>
      </c>
      <c r="H54" s="391">
        <v>0</v>
      </c>
      <c r="I54" s="391">
        <v>0</v>
      </c>
      <c r="J54" s="392">
        <v>0</v>
      </c>
      <c r="K54" s="42"/>
      <c r="L54" s="42"/>
      <c r="M54" s="42"/>
      <c r="N54" s="42"/>
      <c r="O54" s="42">
        <v>176783</v>
      </c>
      <c r="P54" s="42">
        <v>183884</v>
      </c>
      <c r="Q54" s="42">
        <v>144858</v>
      </c>
      <c r="R54" s="42">
        <v>177673</v>
      </c>
      <c r="S54" s="42">
        <v>71645</v>
      </c>
      <c r="T54" s="325">
        <v>333899</v>
      </c>
      <c r="U54" s="325">
        <v>101164</v>
      </c>
      <c r="V54" s="4"/>
      <c r="W54" s="4"/>
      <c r="X54" s="4"/>
      <c r="Y54" s="4"/>
      <c r="Z54" s="4"/>
      <c r="AA54" s="4"/>
      <c r="AB54" s="4"/>
      <c r="AC54" s="4"/>
      <c r="AD54" s="4"/>
      <c r="AE54" s="4"/>
      <c r="AF54" s="4"/>
      <c r="AG54" s="4"/>
      <c r="AH54" s="4"/>
      <c r="AI54" s="4"/>
      <c r="AJ54" s="4"/>
    </row>
    <row r="55" spans="1:38" ht="30" customHeight="1">
      <c r="A55" s="12"/>
      <c r="B55" s="4"/>
      <c r="C55" s="4"/>
      <c r="D55" s="4"/>
      <c r="E55" s="390" t="s">
        <v>280</v>
      </c>
      <c r="F55" s="391">
        <v>0</v>
      </c>
      <c r="G55" s="391">
        <v>0</v>
      </c>
      <c r="H55" s="391">
        <v>0</v>
      </c>
      <c r="I55" s="391">
        <v>0</v>
      </c>
      <c r="J55" s="392">
        <v>0</v>
      </c>
      <c r="K55" s="42"/>
      <c r="L55" s="42">
        <v>101445</v>
      </c>
      <c r="M55" s="42">
        <v>77845</v>
      </c>
      <c r="N55" s="42">
        <v>74739</v>
      </c>
      <c r="O55" s="42">
        <v>102011</v>
      </c>
      <c r="P55" s="42">
        <v>222394</v>
      </c>
      <c r="Q55" s="42">
        <v>354430</v>
      </c>
      <c r="R55" s="42">
        <v>314984</v>
      </c>
      <c r="S55" s="42">
        <v>951429</v>
      </c>
      <c r="T55" s="325">
        <v>2070649</v>
      </c>
      <c r="U55" s="325">
        <v>409776</v>
      </c>
      <c r="V55" s="4"/>
      <c r="W55" s="4"/>
      <c r="X55" s="4"/>
      <c r="Y55" s="4"/>
      <c r="Z55" s="4"/>
      <c r="AA55" s="4"/>
      <c r="AB55" s="4"/>
      <c r="AC55" s="4"/>
      <c r="AD55" s="4"/>
      <c r="AE55" s="4"/>
      <c r="AF55" s="4"/>
      <c r="AG55" s="4"/>
      <c r="AH55" s="4"/>
      <c r="AI55" s="4"/>
      <c r="AJ55" s="4"/>
    </row>
    <row r="56" spans="1:38" ht="30" customHeight="1">
      <c r="A56" s="12"/>
      <c r="B56" s="4"/>
      <c r="C56" s="4"/>
      <c r="D56" s="4"/>
      <c r="E56" s="393" t="s">
        <v>281</v>
      </c>
      <c r="F56" s="394">
        <v>0</v>
      </c>
      <c r="G56" s="394">
        <v>0</v>
      </c>
      <c r="H56" s="394">
        <v>0</v>
      </c>
      <c r="I56" s="394">
        <v>0</v>
      </c>
      <c r="J56" s="395">
        <v>0</v>
      </c>
      <c r="K56" s="176"/>
      <c r="L56" s="176"/>
      <c r="M56" s="176">
        <v>116439</v>
      </c>
      <c r="N56" s="176">
        <v>124043</v>
      </c>
      <c r="O56" s="176">
        <v>207475</v>
      </c>
      <c r="P56" s="176">
        <v>225997</v>
      </c>
      <c r="Q56" s="176">
        <v>260205</v>
      </c>
      <c r="R56" s="176">
        <v>285886</v>
      </c>
      <c r="S56" s="176">
        <v>305835</v>
      </c>
      <c r="T56" s="326">
        <v>556541</v>
      </c>
      <c r="U56" s="326">
        <v>169269</v>
      </c>
      <c r="V56" s="4"/>
      <c r="W56" s="4"/>
      <c r="X56" s="4"/>
      <c r="Y56" s="4"/>
      <c r="Z56" s="4"/>
      <c r="AA56" s="4"/>
      <c r="AB56" s="4"/>
      <c r="AC56" s="4"/>
      <c r="AD56" s="4"/>
      <c r="AE56" s="4"/>
      <c r="AF56" s="4"/>
      <c r="AG56" s="4"/>
      <c r="AH56" s="4"/>
      <c r="AI56" s="4"/>
      <c r="AJ56" s="4"/>
    </row>
    <row r="57" spans="1:38" ht="30" customHeight="1" thickBot="1">
      <c r="A57" s="12"/>
      <c r="B57" s="4"/>
      <c r="C57" s="4"/>
      <c r="D57" s="4"/>
      <c r="E57" s="289" t="s">
        <v>318</v>
      </c>
      <c r="F57" s="290"/>
      <c r="G57" s="290"/>
      <c r="H57" s="290"/>
      <c r="I57" s="290"/>
      <c r="J57" s="291"/>
      <c r="K57" s="216">
        <f>-'DRE - Contas Abertas'!F19</f>
        <v>408865</v>
      </c>
      <c r="L57" s="216">
        <f>-'DRE - Contas Abertas'!G19</f>
        <v>508626</v>
      </c>
      <c r="M57" s="216">
        <f>-'DRE - Contas Abertas'!H19</f>
        <v>547187</v>
      </c>
      <c r="N57" s="216">
        <f>-'DRE - Contas Abertas'!I19</f>
        <v>525731</v>
      </c>
      <c r="O57" s="216">
        <f>-'DRE - Contas Abertas'!J19</f>
        <v>636817</v>
      </c>
      <c r="P57" s="216">
        <f>-'DRE - Contas Abertas'!K19-P48</f>
        <v>789436</v>
      </c>
      <c r="Q57" s="216">
        <f>-'DRE - Contas Abertas'!L19-Q48</f>
        <v>982807</v>
      </c>
      <c r="R57" s="216">
        <f>-'DRE - Contas Abertas'!M19-R48</f>
        <v>872731</v>
      </c>
      <c r="S57" s="216">
        <f>-'DRE - Contas Abertas'!N19-S48</f>
        <v>1686758</v>
      </c>
      <c r="T57" s="327">
        <f>-'DRE - Contas Abertas'!O19-T48</f>
        <v>3150378</v>
      </c>
      <c r="U57" s="327">
        <f>-'DRE - Contas Abertas'!P19-U48</f>
        <v>715241</v>
      </c>
      <c r="V57" s="4"/>
      <c r="W57" s="4"/>
      <c r="X57" s="4"/>
      <c r="Y57" s="4"/>
      <c r="Z57" s="4"/>
      <c r="AA57" s="4"/>
      <c r="AB57" s="4"/>
      <c r="AC57" s="4"/>
      <c r="AD57" s="4"/>
      <c r="AE57" s="4"/>
      <c r="AF57" s="4"/>
      <c r="AG57" s="4"/>
      <c r="AH57" s="4"/>
      <c r="AI57" s="4"/>
      <c r="AJ57" s="4"/>
    </row>
    <row r="58" spans="1:38" ht="30" customHeight="1">
      <c r="A58" s="12"/>
      <c r="B58" s="4"/>
      <c r="C58" s="4"/>
      <c r="D58" s="4"/>
      <c r="E58" s="191"/>
      <c r="F58" s="191"/>
      <c r="G58" s="191"/>
      <c r="H58" s="191"/>
      <c r="I58" s="191"/>
      <c r="J58" s="191"/>
      <c r="K58" s="181"/>
      <c r="L58" s="181"/>
      <c r="M58" s="181"/>
      <c r="N58" s="181"/>
      <c r="O58" s="177"/>
      <c r="P58" s="177"/>
      <c r="Q58" s="177"/>
      <c r="R58" s="177"/>
      <c r="S58" s="177"/>
      <c r="T58" s="177"/>
      <c r="U58" s="4"/>
      <c r="V58" s="4"/>
      <c r="W58" s="4"/>
      <c r="X58" s="4"/>
      <c r="Y58" s="4"/>
      <c r="Z58" s="4"/>
      <c r="AA58" s="4"/>
      <c r="AB58" s="4"/>
      <c r="AC58" s="4"/>
      <c r="AD58" s="4"/>
      <c r="AE58" s="4"/>
      <c r="AF58" s="4"/>
      <c r="AG58" s="4"/>
      <c r="AH58" s="4"/>
      <c r="AI58" s="4"/>
    </row>
    <row r="59" spans="1:38" ht="30" customHeight="1">
      <c r="A59" s="12"/>
      <c r="B59" s="4"/>
      <c r="C59" s="4"/>
      <c r="D59" s="4"/>
      <c r="E59" s="50"/>
      <c r="F59" s="50"/>
      <c r="G59" s="50"/>
      <c r="H59" s="50"/>
      <c r="I59" s="50"/>
      <c r="J59" s="50"/>
      <c r="K59" s="51"/>
      <c r="L59" s="51"/>
      <c r="M59" s="51"/>
      <c r="N59" s="51"/>
      <c r="O59" s="4"/>
      <c r="P59" s="4"/>
      <c r="Q59" s="4"/>
      <c r="R59" s="4"/>
      <c r="S59" s="4"/>
      <c r="T59" s="4"/>
      <c r="U59" s="4"/>
      <c r="V59" s="4"/>
      <c r="W59" s="4"/>
      <c r="X59" s="4"/>
      <c r="Y59" s="4"/>
      <c r="Z59" s="4"/>
      <c r="AA59" s="4"/>
      <c r="AB59" s="4"/>
      <c r="AC59" s="4"/>
      <c r="AD59" s="4"/>
      <c r="AE59" s="4"/>
      <c r="AF59" s="4"/>
      <c r="AG59" s="4"/>
      <c r="AH59" s="4"/>
      <c r="AI59" s="4"/>
    </row>
    <row r="60" spans="1:38" ht="30" customHeight="1">
      <c r="A60" s="12"/>
      <c r="B60" s="4"/>
      <c r="C60" s="4"/>
      <c r="D60" s="4"/>
      <c r="E60" s="50"/>
      <c r="F60" s="50"/>
      <c r="G60" s="50"/>
      <c r="H60" s="50"/>
      <c r="I60" s="50"/>
      <c r="J60" s="50"/>
      <c r="K60" s="51"/>
      <c r="L60" s="51"/>
      <c r="M60" s="51"/>
      <c r="N60" s="51"/>
      <c r="O60" s="4"/>
      <c r="P60" s="4"/>
      <c r="Q60" s="4"/>
      <c r="R60" s="4"/>
      <c r="S60" s="4"/>
      <c r="T60" s="4"/>
      <c r="U60" s="4"/>
      <c r="V60" s="4"/>
      <c r="W60" s="4"/>
      <c r="X60" s="4"/>
      <c r="Y60" s="4"/>
      <c r="Z60" s="4"/>
      <c r="AA60" s="4"/>
      <c r="AB60" s="4"/>
      <c r="AC60" s="4"/>
      <c r="AD60" s="4"/>
      <c r="AE60" s="4"/>
      <c r="AF60" s="4"/>
      <c r="AG60" s="4"/>
      <c r="AH60" s="4"/>
      <c r="AI60" s="4"/>
    </row>
    <row r="61" spans="1:38" ht="30" customHeight="1">
      <c r="A61" s="12"/>
      <c r="B61" s="4"/>
      <c r="C61" s="4"/>
      <c r="D61" s="4"/>
      <c r="E61" s="50"/>
      <c r="F61" s="50"/>
      <c r="G61" s="50"/>
      <c r="H61" s="50"/>
      <c r="I61" s="50"/>
      <c r="J61" s="50"/>
      <c r="K61" s="51"/>
      <c r="L61" s="51"/>
      <c r="M61" s="51"/>
      <c r="N61" s="51"/>
      <c r="O61" s="4"/>
      <c r="P61" s="4"/>
      <c r="Q61" s="4"/>
      <c r="R61" s="4"/>
      <c r="S61" s="4"/>
      <c r="T61" s="4"/>
      <c r="U61" s="4"/>
      <c r="V61" s="4"/>
      <c r="W61" s="4"/>
      <c r="X61" s="4"/>
      <c r="Y61" s="4"/>
      <c r="Z61" s="4"/>
      <c r="AA61" s="4"/>
      <c r="AB61" s="4"/>
      <c r="AC61" s="4"/>
      <c r="AD61" s="4"/>
      <c r="AE61" s="4"/>
      <c r="AF61" s="4"/>
      <c r="AG61" s="4"/>
      <c r="AH61" s="4"/>
      <c r="AI61" s="4"/>
      <c r="AJ61" s="4"/>
      <c r="AK61" s="4"/>
      <c r="AL61" s="4"/>
    </row>
    <row r="62" spans="1:38" ht="30" customHeight="1">
      <c r="A62" s="12"/>
      <c r="B62" s="4"/>
      <c r="C62" s="4"/>
      <c r="D62" s="4"/>
      <c r="E62" s="338" t="s">
        <v>131</v>
      </c>
      <c r="F62" s="339"/>
      <c r="G62" s="339"/>
      <c r="H62" s="339"/>
      <c r="I62" s="339"/>
      <c r="J62" s="340"/>
      <c r="K62" s="37">
        <v>2014</v>
      </c>
      <c r="L62" s="37">
        <v>2015</v>
      </c>
      <c r="M62" s="37">
        <v>2016</v>
      </c>
      <c r="N62" s="37">
        <v>2017</v>
      </c>
      <c r="O62" s="37">
        <v>2018</v>
      </c>
      <c r="P62" s="37">
        <v>2019</v>
      </c>
      <c r="Q62" s="37">
        <v>2020</v>
      </c>
      <c r="R62" s="37">
        <v>2021</v>
      </c>
      <c r="S62" s="37">
        <v>2022</v>
      </c>
      <c r="T62" s="37">
        <v>2023</v>
      </c>
      <c r="U62" s="37" t="str">
        <f>U53</f>
        <v>YTD</v>
      </c>
      <c r="V62" s="4"/>
      <c r="W62" s="4"/>
      <c r="X62" s="4"/>
      <c r="Y62" s="4"/>
      <c r="Z62" s="4"/>
      <c r="AA62" s="4"/>
      <c r="AB62" s="4"/>
      <c r="AC62" s="4"/>
      <c r="AD62" s="4"/>
      <c r="AE62" s="4"/>
      <c r="AF62" s="4"/>
      <c r="AG62" s="4"/>
      <c r="AH62" s="4"/>
      <c r="AI62" s="4"/>
      <c r="AJ62" s="4"/>
    </row>
    <row r="63" spans="1:38" ht="30" customHeight="1">
      <c r="A63" s="12"/>
      <c r="B63" s="4"/>
      <c r="C63" s="4"/>
      <c r="D63" s="4"/>
      <c r="E63" s="390" t="s">
        <v>283</v>
      </c>
      <c r="F63" s="391">
        <v>0</v>
      </c>
      <c r="G63" s="391">
        <v>-122636.71999999997</v>
      </c>
      <c r="H63" s="391">
        <v>147702.64000000001</v>
      </c>
      <c r="I63" s="391">
        <v>-36069.720000000088</v>
      </c>
      <c r="J63" s="392">
        <v>-41836.439999999944</v>
      </c>
      <c r="K63" s="42"/>
      <c r="L63" s="42"/>
      <c r="M63" s="42"/>
      <c r="N63" s="42"/>
      <c r="O63" s="42">
        <v>-106924.90431349992</v>
      </c>
      <c r="P63" s="42">
        <v>165562.03668649995</v>
      </c>
      <c r="Q63" s="42">
        <v>-37475.532372999936</v>
      </c>
      <c r="R63" s="42">
        <v>151983.53736783238</v>
      </c>
      <c r="S63" s="42">
        <v>-563688.63736783247</v>
      </c>
      <c r="T63" s="325">
        <v>172467.59078229719</v>
      </c>
      <c r="U63" s="325"/>
      <c r="V63" s="4"/>
      <c r="W63" s="4"/>
      <c r="X63" s="4"/>
      <c r="Y63" s="4"/>
      <c r="Z63" s="4"/>
      <c r="AA63" s="4"/>
      <c r="AB63" s="4"/>
      <c r="AC63" s="4"/>
      <c r="AD63" s="4"/>
      <c r="AE63" s="4"/>
      <c r="AF63" s="4"/>
      <c r="AG63" s="4"/>
      <c r="AH63" s="4"/>
      <c r="AI63" s="4"/>
      <c r="AJ63" s="4"/>
      <c r="AK63" s="4"/>
      <c r="AL63" s="4"/>
    </row>
    <row r="64" spans="1:38" ht="30" customHeight="1">
      <c r="A64" s="12"/>
      <c r="B64" s="4"/>
      <c r="C64" s="4"/>
      <c r="D64" s="4"/>
      <c r="E64" s="390" t="s">
        <v>284</v>
      </c>
      <c r="F64" s="391">
        <v>0</v>
      </c>
      <c r="G64" s="391">
        <v>-122636.71999999997</v>
      </c>
      <c r="H64" s="391">
        <v>147702.64000000001</v>
      </c>
      <c r="I64" s="391">
        <v>-36069.720000000088</v>
      </c>
      <c r="J64" s="392">
        <v>-41836.439999999944</v>
      </c>
      <c r="K64" s="42"/>
      <c r="L64" s="42"/>
      <c r="M64" s="42">
        <v>-331764.22499999998</v>
      </c>
      <c r="N64" s="42">
        <v>67357.250000097731</v>
      </c>
      <c r="O64" s="42">
        <v>-78593.600000097766</v>
      </c>
      <c r="P64" s="42">
        <v>-119673.875</v>
      </c>
      <c r="Q64" s="42">
        <v>7026</v>
      </c>
      <c r="R64" s="42">
        <v>-595796.99999999988</v>
      </c>
      <c r="S64" s="42">
        <v>1212017.4750001952</v>
      </c>
      <c r="T64" s="325">
        <v>-2619758</v>
      </c>
      <c r="U64" s="325"/>
      <c r="V64" s="4"/>
      <c r="W64" s="4"/>
      <c r="X64" s="4"/>
      <c r="Y64" s="4"/>
      <c r="Z64" s="4"/>
      <c r="AA64" s="4"/>
      <c r="AB64" s="4"/>
      <c r="AC64" s="4"/>
      <c r="AD64" s="4"/>
      <c r="AE64" s="4"/>
      <c r="AF64" s="4"/>
      <c r="AG64" s="4"/>
      <c r="AH64" s="4"/>
      <c r="AI64" s="4"/>
      <c r="AJ64" s="4"/>
      <c r="AK64" s="4"/>
    </row>
    <row r="65" spans="1:39" ht="30" customHeight="1">
      <c r="A65" s="12"/>
      <c r="B65" s="4"/>
      <c r="C65" s="4"/>
      <c r="D65" s="4"/>
      <c r="E65" s="393" t="s">
        <v>285</v>
      </c>
      <c r="F65" s="394">
        <v>0</v>
      </c>
      <c r="G65" s="394">
        <v>-122636.71999999997</v>
      </c>
      <c r="H65" s="394">
        <v>147702.64000000001</v>
      </c>
      <c r="I65" s="394">
        <v>-36069.720000000088</v>
      </c>
      <c r="J65" s="395">
        <v>-41836.439999999944</v>
      </c>
      <c r="K65" s="176"/>
      <c r="L65" s="176"/>
      <c r="M65" s="176">
        <v>85296.5</v>
      </c>
      <c r="N65" s="176">
        <v>109623.40000000002</v>
      </c>
      <c r="O65" s="176">
        <v>49086.75</v>
      </c>
      <c r="P65" s="176">
        <v>122239.04999999993</v>
      </c>
      <c r="Q65" s="176">
        <v>-435335.02499999991</v>
      </c>
      <c r="R65" s="176">
        <v>389113.69999999995</v>
      </c>
      <c r="S65" s="176">
        <v>-728826.54349088715</v>
      </c>
      <c r="T65" s="326">
        <v>-915906</v>
      </c>
      <c r="U65" s="326"/>
      <c r="V65" s="4"/>
      <c r="W65" s="4"/>
      <c r="X65" s="4"/>
      <c r="Y65" s="4"/>
      <c r="Z65" s="4"/>
      <c r="AA65" s="4"/>
      <c r="AB65" s="4"/>
      <c r="AC65" s="4"/>
      <c r="AD65" s="4"/>
      <c r="AE65" s="4"/>
      <c r="AF65" s="4"/>
      <c r="AG65" s="4"/>
      <c r="AH65" s="4"/>
      <c r="AI65" s="4"/>
      <c r="AJ65" s="4"/>
    </row>
    <row r="66" spans="1:39" ht="30" customHeight="1" thickBot="1">
      <c r="A66" s="12"/>
      <c r="B66" s="4"/>
      <c r="C66" s="4"/>
      <c r="D66" s="4"/>
      <c r="E66" s="289" t="s">
        <v>319</v>
      </c>
      <c r="F66" s="290"/>
      <c r="G66" s="290"/>
      <c r="H66" s="290"/>
      <c r="I66" s="290"/>
      <c r="J66" s="291"/>
      <c r="K66" s="216"/>
      <c r="L66" s="216">
        <f>'Projeções - CG + Capex'!L10-'Projeções - CG + Capex'!K10</f>
        <v>-156805.05000000005</v>
      </c>
      <c r="M66" s="216">
        <f>'Projeções - CG + Capex'!M10-'Projeções - CG + Capex'!L10</f>
        <v>-495898.90000000014</v>
      </c>
      <c r="N66" s="216">
        <f>'Projeções - CG + Capex'!N10-'Projeções - CG + Capex'!M10</f>
        <v>423583.20000000019</v>
      </c>
      <c r="O66" s="216">
        <f>'Projeções - CG + Capex'!O10-'Projeções - CG + Capex'!N10</f>
        <v>-135359.375</v>
      </c>
      <c r="P66" s="216">
        <f>'Projeções - CG + Capex'!P10-'Projeções - CG + Capex'!O10</f>
        <v>257745.5</v>
      </c>
      <c r="Q66" s="216">
        <f>'Projeções - CG + Capex'!Q10-'Projeções - CG + Capex'!P10</f>
        <v>-713841.80000000028</v>
      </c>
      <c r="R66" s="216">
        <f>'Projeções - CG + Capex'!R10-'Projeções - CG + Capex'!Q10</f>
        <v>326997.04999999981</v>
      </c>
      <c r="S66" s="216">
        <f>'Projeções - CG + Capex'!S10-'Projeções - CG + Capex'!R10</f>
        <v>1369170.3000000007</v>
      </c>
      <c r="T66" s="327">
        <f>'Balanço Patrimonial'!O16-'Balanço Patrimonial'!N16</f>
        <v>1625645.5499999989</v>
      </c>
      <c r="U66" s="327"/>
      <c r="V66" s="4"/>
      <c r="W66" s="4"/>
      <c r="X66" s="4"/>
      <c r="Y66" s="4"/>
      <c r="Z66" s="4"/>
      <c r="AA66" s="4"/>
      <c r="AB66" s="4"/>
      <c r="AC66" s="4"/>
      <c r="AD66" s="4"/>
      <c r="AE66" s="4"/>
      <c r="AF66" s="4"/>
      <c r="AG66" s="4"/>
      <c r="AH66" s="4"/>
      <c r="AI66" s="4"/>
      <c r="AJ66" s="4"/>
      <c r="AK66" s="4"/>
      <c r="AL66" s="4"/>
      <c r="AM66" s="4"/>
    </row>
    <row r="67" spans="1:39" ht="30" customHeight="1">
      <c r="A67" s="12"/>
      <c r="B67" s="4"/>
      <c r="C67" s="4"/>
      <c r="D67" s="4"/>
      <c r="E67" s="191"/>
      <c r="F67" s="191"/>
      <c r="G67" s="191"/>
      <c r="H67" s="191"/>
      <c r="I67" s="191"/>
      <c r="J67" s="191"/>
      <c r="K67" s="181"/>
      <c r="L67" s="181"/>
      <c r="M67" s="181"/>
      <c r="N67" s="181"/>
      <c r="O67" s="177"/>
      <c r="P67" s="177"/>
      <c r="Q67" s="177"/>
      <c r="R67" s="177"/>
      <c r="S67" s="177"/>
      <c r="T67" s="177"/>
      <c r="U67" s="4"/>
      <c r="V67" s="4"/>
      <c r="W67" s="4"/>
      <c r="X67" s="4"/>
      <c r="Y67" s="4"/>
      <c r="Z67" s="4"/>
      <c r="AA67" s="4"/>
      <c r="AB67" s="4"/>
      <c r="AC67" s="4"/>
      <c r="AD67" s="4"/>
      <c r="AE67" s="4"/>
      <c r="AF67" s="4"/>
      <c r="AG67" s="4"/>
      <c r="AH67" s="4"/>
      <c r="AI67" s="4"/>
      <c r="AJ67" s="4"/>
      <c r="AK67" s="4"/>
      <c r="AL67" s="4"/>
    </row>
    <row r="68" spans="1:39" ht="30" customHeight="1">
      <c r="A68" s="12"/>
      <c r="B68" s="4"/>
      <c r="C68" s="4"/>
      <c r="D68" s="4"/>
      <c r="E68" s="50"/>
      <c r="F68" s="50"/>
      <c r="G68" s="50"/>
      <c r="H68" s="50"/>
      <c r="I68" s="50"/>
      <c r="J68" s="50"/>
      <c r="K68" s="51"/>
      <c r="L68" s="51"/>
      <c r="M68" s="51"/>
      <c r="N68" s="51"/>
      <c r="O68" s="4"/>
      <c r="P68" s="4"/>
      <c r="Q68" s="4"/>
      <c r="R68" s="4"/>
      <c r="S68" s="4"/>
      <c r="T68" s="4"/>
      <c r="U68" s="4"/>
      <c r="V68" s="4"/>
      <c r="W68" s="4"/>
      <c r="X68" s="4"/>
      <c r="Y68" s="4"/>
      <c r="Z68" s="4"/>
      <c r="AA68" s="4"/>
      <c r="AB68" s="4"/>
      <c r="AC68" s="4"/>
      <c r="AD68" s="4"/>
      <c r="AE68" s="4"/>
      <c r="AF68" s="4"/>
      <c r="AG68" s="4"/>
      <c r="AH68" s="4"/>
      <c r="AI68" s="4"/>
      <c r="AJ68" s="4"/>
      <c r="AK68" s="4"/>
      <c r="AL68" s="4"/>
    </row>
    <row r="69" spans="1:39" ht="30" customHeight="1">
      <c r="A69" s="12"/>
      <c r="B69" s="4"/>
      <c r="C69" s="4"/>
      <c r="D69" s="4"/>
      <c r="E69" s="50"/>
      <c r="F69" s="50"/>
      <c r="G69" s="50"/>
      <c r="H69" s="50"/>
      <c r="I69" s="50"/>
      <c r="J69" s="50"/>
      <c r="K69" s="51"/>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row>
    <row r="70" spans="1:39" ht="30" customHeight="1">
      <c r="A70" s="12"/>
      <c r="B70" s="4"/>
      <c r="C70" s="4"/>
      <c r="D70" s="4"/>
      <c r="E70" s="50"/>
      <c r="F70" s="50"/>
      <c r="G70" s="50"/>
      <c r="H70" s="50"/>
      <c r="I70" s="50"/>
      <c r="J70" s="50"/>
      <c r="K70" s="51"/>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row>
    <row r="71" spans="1:39" ht="30" customHeight="1">
      <c r="A71" s="12"/>
      <c r="B71" s="4"/>
      <c r="C71" s="4"/>
      <c r="D71" s="4"/>
      <c r="E71" s="50"/>
      <c r="F71" s="50"/>
      <c r="G71" s="50"/>
      <c r="H71" s="50"/>
      <c r="I71" s="50"/>
      <c r="J71" s="50"/>
      <c r="K71" s="51"/>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row>
    <row r="72" spans="1:39" ht="30" customHeight="1">
      <c r="A72" s="12"/>
      <c r="B72" s="4"/>
      <c r="C72" s="4"/>
      <c r="D72" s="4"/>
      <c r="E72" s="50"/>
      <c r="F72" s="50"/>
      <c r="G72" s="50"/>
      <c r="H72" s="50"/>
      <c r="I72" s="50"/>
      <c r="J72" s="50"/>
      <c r="K72" s="51"/>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row>
    <row r="73" spans="1:39" ht="30" customHeight="1">
      <c r="A73" s="12"/>
      <c r="B73" s="4"/>
      <c r="C73" s="4"/>
      <c r="D73" s="4"/>
      <c r="E73" s="50"/>
      <c r="F73" s="50"/>
      <c r="G73" s="50"/>
      <c r="H73" s="50"/>
      <c r="I73" s="50"/>
      <c r="J73" s="50"/>
      <c r="K73" s="5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row>
    <row r="74" spans="1:39" ht="30" customHeight="1">
      <c r="A74" s="12"/>
      <c r="B74" s="4"/>
      <c r="C74" s="4"/>
      <c r="D74" s="4"/>
      <c r="E74" s="50"/>
      <c r="F74" s="50"/>
      <c r="G74" s="50"/>
      <c r="H74" s="50"/>
      <c r="I74" s="50"/>
      <c r="J74" s="50"/>
      <c r="K74" s="5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row>
    <row r="75" spans="1:39" ht="30" customHeight="1">
      <c r="A75" s="12"/>
      <c r="B75" s="4"/>
      <c r="C75" s="4"/>
      <c r="D75" s="4"/>
      <c r="E75" s="50"/>
      <c r="F75" s="50"/>
      <c r="G75" s="50"/>
      <c r="H75" s="50"/>
      <c r="I75" s="50"/>
      <c r="J75" s="50"/>
      <c r="K75" s="5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row>
    <row r="76" spans="1:39" ht="30" customHeight="1">
      <c r="A76" s="12"/>
      <c r="B76" s="4"/>
      <c r="C76" s="4"/>
      <c r="D76" s="4"/>
      <c r="E76" s="50"/>
      <c r="F76" s="50"/>
      <c r="G76" s="50"/>
      <c r="H76" s="50"/>
      <c r="I76" s="50"/>
      <c r="J76" s="50"/>
      <c r="K76" s="51"/>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row>
    <row r="77" spans="1:39" ht="30" customHeight="1">
      <c r="A77" s="12"/>
      <c r="B77" s="4"/>
      <c r="C77" s="4"/>
      <c r="D77" s="4"/>
      <c r="E77" s="50"/>
      <c r="F77" s="50"/>
      <c r="G77" s="50"/>
      <c r="H77" s="50"/>
      <c r="I77" s="50"/>
      <c r="J77" s="50"/>
      <c r="K77" s="5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row>
    <row r="78" spans="1:39" ht="30" customHeight="1">
      <c r="A78" s="12"/>
      <c r="B78" s="4"/>
      <c r="C78" s="4"/>
      <c r="D78" s="4"/>
      <c r="E78" s="50"/>
      <c r="F78" s="50"/>
      <c r="G78" s="50"/>
      <c r="H78" s="50"/>
      <c r="I78" s="50"/>
      <c r="J78" s="50"/>
      <c r="K78" s="51"/>
      <c r="L78" s="51"/>
      <c r="M78" s="51"/>
      <c r="N78" s="51"/>
      <c r="O78" s="4"/>
      <c r="P78" s="4"/>
      <c r="Q78" s="4"/>
      <c r="R78" s="4"/>
      <c r="S78" s="4"/>
      <c r="T78" s="4"/>
      <c r="U78" s="4"/>
      <c r="V78" s="4"/>
      <c r="W78" s="4"/>
      <c r="X78" s="4"/>
      <c r="Y78" s="4"/>
      <c r="Z78" s="4"/>
      <c r="AA78" s="4"/>
      <c r="AB78" s="4"/>
      <c r="AC78" s="4"/>
      <c r="AD78" s="4"/>
      <c r="AE78" s="4"/>
      <c r="AF78" s="4"/>
      <c r="AG78" s="4"/>
      <c r="AH78" s="4"/>
      <c r="AI78" s="4"/>
      <c r="AJ78" s="4"/>
      <c r="AK78" s="4"/>
      <c r="AL78" s="4"/>
    </row>
    <row r="79" spans="1:39" ht="30" customHeight="1">
      <c r="A79" s="12"/>
      <c r="B79" s="4"/>
      <c r="C79" s="4"/>
      <c r="D79" s="4"/>
      <c r="E79" s="50"/>
      <c r="F79" s="50"/>
      <c r="G79" s="50"/>
      <c r="H79" s="50"/>
      <c r="I79" s="50"/>
      <c r="J79" s="50"/>
      <c r="K79" s="51"/>
      <c r="L79" s="51"/>
      <c r="M79" s="51"/>
      <c r="N79" s="51"/>
      <c r="O79" s="4"/>
      <c r="P79" s="4"/>
      <c r="Q79" s="4"/>
      <c r="R79" s="4"/>
      <c r="S79" s="4"/>
      <c r="T79" s="4"/>
      <c r="U79" s="4"/>
      <c r="V79" s="4"/>
      <c r="W79" s="4"/>
      <c r="X79" s="4"/>
      <c r="Y79" s="4"/>
      <c r="Z79" s="4"/>
      <c r="AA79" s="4"/>
      <c r="AB79" s="4"/>
      <c r="AC79" s="4"/>
      <c r="AD79" s="4"/>
      <c r="AE79" s="4"/>
      <c r="AF79" s="4"/>
      <c r="AG79" s="4"/>
      <c r="AH79" s="4"/>
      <c r="AI79" s="4"/>
      <c r="AJ79" s="4"/>
      <c r="AK79" s="4"/>
      <c r="AL79" s="4"/>
    </row>
    <row r="80" spans="1:39" ht="30" customHeight="1">
      <c r="A80" s="12"/>
      <c r="B80" s="4"/>
      <c r="C80" s="4"/>
      <c r="D80" s="4"/>
      <c r="E80" s="50"/>
      <c r="F80" s="50"/>
      <c r="G80" s="50"/>
      <c r="H80" s="50"/>
      <c r="I80" s="50"/>
      <c r="J80" s="50"/>
      <c r="K80" s="51"/>
      <c r="L80" s="51"/>
      <c r="M80" s="51"/>
      <c r="N80" s="51"/>
      <c r="O80" s="4"/>
      <c r="P80" s="4"/>
      <c r="Q80" s="4"/>
      <c r="R80" s="4"/>
      <c r="S80" s="4"/>
      <c r="T80" s="4"/>
      <c r="U80" s="4"/>
      <c r="V80" s="4"/>
      <c r="W80" s="4"/>
      <c r="X80" s="4"/>
      <c r="Y80" s="4"/>
      <c r="Z80" s="4"/>
      <c r="AA80" s="4"/>
      <c r="AB80" s="4"/>
      <c r="AC80" s="4"/>
      <c r="AD80" s="4"/>
      <c r="AE80" s="4"/>
      <c r="AF80" s="4"/>
      <c r="AG80" s="4"/>
      <c r="AH80" s="4"/>
      <c r="AI80" s="4"/>
      <c r="AJ80" s="4"/>
      <c r="AK80" s="4"/>
      <c r="AL80" s="4"/>
    </row>
    <row r="81" spans="1:38" ht="30" customHeight="1">
      <c r="A81" s="12"/>
      <c r="B81" s="4"/>
      <c r="C81" s="4"/>
      <c r="D81" s="4"/>
      <c r="E81" s="50"/>
      <c r="F81" s="50"/>
      <c r="G81" s="50"/>
      <c r="H81" s="50"/>
      <c r="I81" s="50"/>
      <c r="J81" s="50"/>
      <c r="K81" s="51"/>
      <c r="L81" s="51"/>
      <c r="M81" s="51"/>
      <c r="N81" s="51"/>
      <c r="O81" s="4"/>
      <c r="P81" s="4"/>
      <c r="Q81" s="4"/>
      <c r="R81" s="4"/>
      <c r="S81" s="4"/>
      <c r="T81" s="4"/>
      <c r="U81" s="4"/>
      <c r="V81" s="4"/>
      <c r="W81" s="4"/>
      <c r="X81" s="4"/>
      <c r="Y81" s="4"/>
      <c r="Z81" s="4"/>
      <c r="AA81" s="4"/>
      <c r="AB81" s="4"/>
      <c r="AC81" s="4"/>
      <c r="AD81" s="4"/>
      <c r="AE81" s="4"/>
      <c r="AF81" s="4"/>
      <c r="AG81" s="4"/>
      <c r="AH81" s="4"/>
      <c r="AI81" s="4"/>
      <c r="AJ81" s="4"/>
      <c r="AK81" s="4"/>
      <c r="AL81" s="4"/>
    </row>
    <row r="82" spans="1:38" ht="30" customHeight="1">
      <c r="A82" s="12"/>
      <c r="B82" s="4"/>
      <c r="C82" s="4"/>
      <c r="D82" s="4"/>
      <c r="E82" s="50"/>
      <c r="F82" s="50"/>
      <c r="G82" s="50"/>
      <c r="H82" s="50"/>
      <c r="I82" s="50"/>
      <c r="J82" s="50"/>
      <c r="K82" s="51"/>
      <c r="L82" s="51"/>
      <c r="M82" s="51"/>
      <c r="N82" s="51"/>
      <c r="O82" s="4"/>
      <c r="P82" s="4"/>
      <c r="Q82" s="4"/>
      <c r="R82" s="4"/>
      <c r="S82" s="4"/>
      <c r="T82" s="4"/>
      <c r="U82" s="4"/>
      <c r="V82" s="4"/>
      <c r="W82" s="4"/>
      <c r="X82" s="4"/>
      <c r="Y82" s="4"/>
      <c r="Z82" s="4"/>
      <c r="AA82" s="4"/>
      <c r="AB82" s="4"/>
      <c r="AC82" s="4"/>
      <c r="AD82" s="4"/>
      <c r="AE82" s="4"/>
      <c r="AF82" s="4"/>
      <c r="AG82" s="4"/>
      <c r="AH82" s="4"/>
      <c r="AI82" s="4"/>
      <c r="AJ82" s="4"/>
      <c r="AK82" s="4"/>
      <c r="AL82" s="4"/>
    </row>
    <row r="83" spans="1:38" ht="30" customHeight="1">
      <c r="A83" s="12"/>
      <c r="B83" s="4"/>
      <c r="C83" s="4"/>
      <c r="D83" s="4"/>
      <c r="E83" s="50"/>
      <c r="F83" s="50"/>
      <c r="G83" s="50"/>
      <c r="H83" s="50"/>
      <c r="I83" s="50"/>
      <c r="J83" s="50"/>
      <c r="K83" s="51"/>
      <c r="L83" s="51"/>
      <c r="M83" s="51"/>
      <c r="N83" s="51"/>
      <c r="O83" s="4"/>
      <c r="P83" s="4"/>
      <c r="Q83" s="4"/>
      <c r="R83" s="4"/>
      <c r="S83" s="4"/>
      <c r="T83" s="4"/>
      <c r="U83" s="4"/>
      <c r="V83" s="4"/>
      <c r="W83" s="4"/>
      <c r="X83" s="4"/>
      <c r="Y83" s="4"/>
      <c r="Z83" s="4"/>
      <c r="AA83" s="4"/>
      <c r="AB83" s="4"/>
      <c r="AC83" s="4"/>
      <c r="AD83" s="4"/>
      <c r="AE83" s="4"/>
      <c r="AF83" s="4"/>
      <c r="AG83" s="4"/>
      <c r="AH83" s="4"/>
      <c r="AI83" s="4"/>
      <c r="AJ83" s="4"/>
      <c r="AK83" s="4"/>
      <c r="AL83" s="4"/>
    </row>
    <row r="84" spans="1:38" ht="30" customHeight="1">
      <c r="A84" s="12"/>
      <c r="B84" s="4"/>
      <c r="C84" s="4"/>
      <c r="D84" s="4"/>
      <c r="E84" s="50"/>
      <c r="F84" s="50"/>
      <c r="G84" s="50"/>
      <c r="H84" s="50"/>
      <c r="I84" s="50"/>
      <c r="J84" s="50"/>
      <c r="K84" s="51"/>
      <c r="L84" s="51"/>
      <c r="M84" s="51"/>
      <c r="N84" s="51"/>
      <c r="O84" s="4"/>
      <c r="P84" s="4"/>
      <c r="Q84" s="4"/>
      <c r="R84" s="4"/>
      <c r="S84" s="4"/>
      <c r="T84" s="4"/>
      <c r="U84" s="4"/>
      <c r="V84" s="4"/>
      <c r="W84" s="4"/>
      <c r="X84" s="4"/>
      <c r="Y84" s="4"/>
      <c r="Z84" s="4"/>
      <c r="AA84" s="4"/>
      <c r="AB84" s="4"/>
      <c r="AC84" s="4"/>
      <c r="AD84" s="4"/>
      <c r="AE84" s="4"/>
      <c r="AF84" s="4"/>
      <c r="AG84" s="4"/>
      <c r="AH84" s="4"/>
      <c r="AI84" s="4"/>
      <c r="AJ84" s="4"/>
      <c r="AK84" s="4"/>
      <c r="AL84" s="4"/>
    </row>
    <row r="85" spans="1:38" ht="30" customHeight="1">
      <c r="A85" s="12"/>
      <c r="B85" s="4"/>
      <c r="C85" s="4"/>
      <c r="D85" s="4"/>
      <c r="E85" s="50"/>
      <c r="F85" s="50"/>
      <c r="G85" s="50"/>
      <c r="H85" s="50"/>
      <c r="I85" s="50"/>
      <c r="J85" s="50"/>
      <c r="K85" s="51"/>
      <c r="L85" s="51"/>
      <c r="M85" s="51"/>
      <c r="N85" s="51"/>
      <c r="O85" s="4"/>
      <c r="P85" s="4"/>
      <c r="Q85" s="4"/>
      <c r="R85" s="4"/>
      <c r="S85" s="4"/>
      <c r="T85" s="4"/>
      <c r="U85" s="4"/>
      <c r="V85" s="4"/>
      <c r="W85" s="4"/>
      <c r="X85" s="4"/>
      <c r="Y85" s="4"/>
      <c r="Z85" s="4"/>
      <c r="AA85" s="4"/>
      <c r="AB85" s="4"/>
      <c r="AC85" s="4"/>
      <c r="AD85" s="4"/>
      <c r="AE85" s="4"/>
      <c r="AF85" s="4"/>
      <c r="AG85" s="4"/>
      <c r="AH85" s="4"/>
      <c r="AI85" s="4"/>
      <c r="AJ85" s="4"/>
      <c r="AK85" s="4"/>
      <c r="AL85" s="4"/>
    </row>
    <row r="86" spans="1:38" ht="30" customHeight="1">
      <c r="A86" s="12"/>
      <c r="B86" s="4"/>
      <c r="C86" s="4"/>
      <c r="D86" s="4"/>
      <c r="E86" s="50"/>
      <c r="F86" s="50"/>
      <c r="G86" s="50"/>
      <c r="H86" s="50"/>
      <c r="I86" s="50"/>
      <c r="J86" s="50"/>
      <c r="K86" s="51"/>
      <c r="L86" s="51"/>
      <c r="M86" s="51"/>
      <c r="N86" s="51"/>
      <c r="O86" s="4"/>
      <c r="P86" s="4"/>
      <c r="Q86" s="4"/>
      <c r="R86" s="4"/>
      <c r="S86" s="4"/>
      <c r="T86" s="4"/>
      <c r="U86" s="4"/>
      <c r="V86" s="4"/>
      <c r="W86" s="4"/>
      <c r="X86" s="4"/>
      <c r="Y86" s="4"/>
      <c r="Z86" s="4"/>
      <c r="AA86" s="4"/>
      <c r="AB86" s="4"/>
      <c r="AC86" s="4"/>
      <c r="AD86" s="4"/>
      <c r="AE86" s="4"/>
      <c r="AF86" s="4"/>
      <c r="AG86" s="4"/>
      <c r="AH86" s="4"/>
      <c r="AI86" s="4"/>
      <c r="AJ86" s="4"/>
      <c r="AK86" s="4"/>
      <c r="AL86" s="4"/>
    </row>
    <row r="87" spans="1:38" ht="30" customHeight="1">
      <c r="A87" s="12"/>
      <c r="B87" s="4"/>
      <c r="C87" s="4"/>
      <c r="D87" s="4"/>
      <c r="E87" s="50"/>
      <c r="F87" s="50"/>
      <c r="G87" s="50"/>
      <c r="H87" s="50"/>
      <c r="I87" s="50"/>
      <c r="J87" s="50"/>
      <c r="K87" s="51"/>
      <c r="L87" s="51"/>
      <c r="M87" s="51"/>
      <c r="N87" s="51"/>
      <c r="O87" s="4"/>
      <c r="P87" s="4"/>
      <c r="Q87" s="4"/>
      <c r="R87" s="4"/>
      <c r="S87" s="4"/>
      <c r="T87" s="4"/>
      <c r="U87" s="4"/>
      <c r="V87" s="4"/>
      <c r="W87" s="4"/>
      <c r="X87" s="4"/>
      <c r="Y87" s="4"/>
      <c r="Z87" s="4"/>
      <c r="AA87" s="4"/>
      <c r="AB87" s="4"/>
      <c r="AC87" s="4"/>
      <c r="AD87" s="4"/>
      <c r="AE87" s="4"/>
      <c r="AF87" s="4"/>
      <c r="AG87" s="4"/>
      <c r="AH87" s="4"/>
      <c r="AI87" s="4"/>
      <c r="AJ87" s="4"/>
      <c r="AK87" s="4"/>
      <c r="AL87" s="4"/>
    </row>
    <row r="88" spans="1:38" ht="30" customHeight="1">
      <c r="A88" s="12"/>
      <c r="B88" s="4"/>
      <c r="C88" s="4"/>
      <c r="D88" s="4"/>
      <c r="E88" s="50"/>
      <c r="F88" s="50"/>
      <c r="G88" s="50"/>
      <c r="H88" s="50"/>
      <c r="I88" s="50"/>
      <c r="J88" s="50"/>
      <c r="K88" s="51"/>
      <c r="L88" s="51"/>
      <c r="M88" s="51"/>
      <c r="N88" s="51"/>
      <c r="O88" s="4"/>
      <c r="P88" s="4"/>
      <c r="Q88" s="4"/>
      <c r="R88" s="4"/>
      <c r="S88" s="4"/>
      <c r="T88" s="4"/>
      <c r="U88" s="4"/>
      <c r="V88" s="4"/>
      <c r="W88" s="4"/>
      <c r="X88" s="4"/>
      <c r="Y88" s="4"/>
      <c r="Z88" s="4"/>
      <c r="AA88" s="4"/>
      <c r="AB88" s="4"/>
      <c r="AC88" s="4"/>
      <c r="AD88" s="4"/>
      <c r="AE88" s="4"/>
      <c r="AF88" s="4"/>
      <c r="AG88" s="4"/>
      <c r="AH88" s="4"/>
      <c r="AI88" s="4"/>
      <c r="AJ88" s="4"/>
      <c r="AK88" s="4"/>
      <c r="AL88" s="4"/>
    </row>
    <row r="89" spans="1:38" ht="30" customHeight="1">
      <c r="A89" s="12"/>
      <c r="B89" s="4"/>
      <c r="C89" s="4"/>
      <c r="D89" s="4"/>
      <c r="E89" s="50"/>
      <c r="F89" s="50"/>
      <c r="G89" s="50"/>
      <c r="H89" s="50"/>
      <c r="I89" s="50"/>
      <c r="J89" s="50"/>
      <c r="K89" s="51"/>
      <c r="L89" s="51"/>
      <c r="M89" s="51"/>
      <c r="N89" s="51"/>
      <c r="O89" s="4"/>
      <c r="P89" s="4"/>
      <c r="Q89" s="4"/>
      <c r="R89" s="4"/>
      <c r="S89" s="4"/>
      <c r="T89" s="4"/>
      <c r="U89" s="4"/>
      <c r="V89" s="4"/>
      <c r="W89" s="4"/>
      <c r="X89" s="4"/>
      <c r="Y89" s="4"/>
      <c r="Z89" s="4"/>
      <c r="AA89" s="4"/>
      <c r="AB89" s="4"/>
      <c r="AC89" s="4"/>
      <c r="AD89" s="4"/>
      <c r="AE89" s="4"/>
      <c r="AF89" s="4"/>
      <c r="AG89" s="4"/>
      <c r="AH89" s="4"/>
      <c r="AI89" s="4"/>
      <c r="AJ89" s="4"/>
      <c r="AK89" s="4"/>
      <c r="AL89" s="4"/>
    </row>
    <row r="90" spans="1:38" ht="30" customHeight="1">
      <c r="A90" s="12"/>
      <c r="B90" s="4"/>
      <c r="C90" s="4"/>
      <c r="D90" s="4"/>
      <c r="E90" s="50"/>
      <c r="F90" s="50"/>
      <c r="G90" s="50"/>
      <c r="H90" s="50"/>
      <c r="I90" s="50"/>
      <c r="J90" s="50"/>
      <c r="K90" s="51"/>
      <c r="L90" s="51"/>
      <c r="M90" s="51"/>
      <c r="N90" s="51"/>
      <c r="O90" s="4"/>
      <c r="P90" s="4"/>
      <c r="Q90" s="4"/>
      <c r="R90" s="4"/>
      <c r="S90" s="4"/>
      <c r="T90" s="4"/>
      <c r="U90" s="4"/>
      <c r="V90" s="4"/>
      <c r="W90" s="4"/>
      <c r="X90" s="4"/>
      <c r="Y90" s="4"/>
      <c r="Z90" s="4"/>
      <c r="AA90" s="4"/>
      <c r="AB90" s="4"/>
      <c r="AC90" s="4"/>
      <c r="AD90" s="4"/>
      <c r="AE90" s="4"/>
      <c r="AF90" s="4"/>
      <c r="AG90" s="4"/>
      <c r="AH90" s="4"/>
      <c r="AI90" s="4"/>
      <c r="AJ90" s="4"/>
      <c r="AK90" s="4"/>
      <c r="AL90" s="4"/>
    </row>
    <row r="91" spans="1:38" ht="30" customHeight="1">
      <c r="A91" s="12"/>
      <c r="B91" s="4"/>
      <c r="C91" s="4"/>
      <c r="D91" s="4"/>
      <c r="E91" s="50"/>
      <c r="F91" s="50"/>
      <c r="G91" s="50"/>
      <c r="H91" s="50"/>
      <c r="I91" s="50"/>
      <c r="J91" s="50"/>
      <c r="K91" s="51"/>
      <c r="L91" s="51"/>
      <c r="M91" s="51"/>
      <c r="N91" s="51"/>
      <c r="O91" s="4"/>
      <c r="P91" s="4"/>
      <c r="Q91" s="4"/>
      <c r="R91" s="4"/>
      <c r="S91" s="4"/>
      <c r="T91" s="4"/>
      <c r="U91" s="4"/>
      <c r="V91" s="4"/>
      <c r="W91" s="4"/>
      <c r="X91" s="4"/>
      <c r="Y91" s="4"/>
      <c r="Z91" s="4"/>
      <c r="AA91" s="4"/>
      <c r="AB91" s="4"/>
      <c r="AC91" s="4"/>
      <c r="AD91" s="4"/>
      <c r="AE91" s="4"/>
      <c r="AF91" s="4"/>
      <c r="AG91" s="4"/>
      <c r="AH91" s="4"/>
      <c r="AI91" s="4"/>
      <c r="AJ91" s="4"/>
      <c r="AK91" s="4"/>
      <c r="AL91" s="4"/>
    </row>
    <row r="92" spans="1:38" ht="30" customHeight="1">
      <c r="A92" s="12"/>
      <c r="B92" s="4"/>
      <c r="C92" s="4"/>
      <c r="D92" s="4"/>
      <c r="E92" s="50"/>
      <c r="F92" s="50"/>
      <c r="G92" s="50"/>
      <c r="H92" s="50"/>
      <c r="I92" s="50"/>
      <c r="J92" s="50"/>
      <c r="K92" s="51"/>
      <c r="L92" s="51"/>
      <c r="M92" s="51"/>
      <c r="N92" s="51"/>
      <c r="O92" s="4"/>
      <c r="P92" s="4"/>
      <c r="Q92" s="4"/>
      <c r="R92" s="4"/>
      <c r="S92" s="4"/>
      <c r="T92" s="4"/>
      <c r="U92" s="4"/>
      <c r="V92" s="4"/>
      <c r="W92" s="4"/>
      <c r="X92" s="4"/>
      <c r="Y92" s="4"/>
      <c r="Z92" s="4"/>
      <c r="AA92" s="4"/>
      <c r="AB92" s="4"/>
      <c r="AC92" s="4"/>
      <c r="AD92" s="4"/>
      <c r="AE92" s="4"/>
      <c r="AF92" s="4"/>
      <c r="AG92" s="4"/>
      <c r="AH92" s="4"/>
      <c r="AI92" s="4"/>
      <c r="AJ92" s="4"/>
      <c r="AK92" s="4"/>
      <c r="AL92" s="4"/>
    </row>
    <row r="93" spans="1:38" ht="30" customHeight="1">
      <c r="A93" s="12"/>
      <c r="B93" s="4"/>
      <c r="C93" s="4"/>
      <c r="D93" s="4"/>
      <c r="E93" s="50"/>
      <c r="F93" s="50"/>
      <c r="G93" s="50"/>
      <c r="H93" s="50"/>
      <c r="I93" s="50"/>
      <c r="J93" s="50"/>
      <c r="K93" s="51"/>
      <c r="L93" s="51"/>
      <c r="M93" s="51"/>
      <c r="N93" s="51"/>
      <c r="O93" s="4"/>
      <c r="P93" s="4"/>
      <c r="Q93" s="4"/>
      <c r="R93" s="4"/>
      <c r="S93" s="4"/>
      <c r="T93" s="4"/>
      <c r="U93" s="4"/>
      <c r="V93" s="4"/>
      <c r="W93" s="4"/>
      <c r="X93" s="4"/>
      <c r="Y93" s="4"/>
      <c r="Z93" s="4"/>
      <c r="AA93" s="4"/>
      <c r="AB93" s="4"/>
      <c r="AC93" s="4"/>
      <c r="AD93" s="4"/>
      <c r="AE93" s="4"/>
      <c r="AF93" s="4"/>
      <c r="AG93" s="4"/>
      <c r="AH93" s="4"/>
      <c r="AI93" s="4"/>
      <c r="AJ93" s="4"/>
      <c r="AK93" s="4"/>
      <c r="AL93" s="4"/>
    </row>
    <row r="94" spans="1:38" ht="30" customHeight="1">
      <c r="A94" s="12"/>
      <c r="B94" s="4"/>
      <c r="C94" s="4"/>
      <c r="D94" s="4"/>
      <c r="E94" s="50"/>
      <c r="F94" s="50"/>
      <c r="G94" s="50"/>
      <c r="H94" s="50"/>
      <c r="I94" s="50"/>
      <c r="J94" s="50"/>
      <c r="K94" s="51"/>
      <c r="L94" s="51"/>
      <c r="M94" s="51"/>
      <c r="N94" s="51"/>
      <c r="O94" s="4"/>
      <c r="P94" s="4"/>
      <c r="Q94" s="4"/>
      <c r="R94" s="4"/>
      <c r="S94" s="4"/>
      <c r="T94" s="4"/>
      <c r="U94" s="4"/>
      <c r="V94" s="4"/>
      <c r="W94" s="4"/>
      <c r="X94" s="4"/>
      <c r="Y94" s="4"/>
      <c r="Z94" s="4"/>
      <c r="AA94" s="4"/>
      <c r="AB94" s="4"/>
      <c r="AC94" s="4"/>
      <c r="AD94" s="4"/>
      <c r="AE94" s="4"/>
      <c r="AF94" s="4"/>
      <c r="AG94" s="4"/>
      <c r="AH94" s="4"/>
      <c r="AI94" s="4"/>
      <c r="AJ94" s="4"/>
      <c r="AK94" s="4"/>
      <c r="AL94" s="4"/>
    </row>
    <row r="95" spans="1:38" ht="30" customHeight="1">
      <c r="A95" s="12"/>
      <c r="B95" s="4"/>
      <c r="C95" s="4"/>
      <c r="D95" s="4"/>
      <c r="E95" s="50"/>
      <c r="F95" s="50"/>
      <c r="G95" s="50"/>
      <c r="H95" s="50"/>
      <c r="I95" s="50"/>
      <c r="J95" s="50"/>
      <c r="K95" s="51"/>
      <c r="L95" s="51"/>
      <c r="M95" s="51"/>
      <c r="N95" s="51"/>
      <c r="O95" s="4"/>
      <c r="P95" s="4"/>
      <c r="Q95" s="4"/>
      <c r="R95" s="4"/>
      <c r="S95" s="4"/>
      <c r="T95" s="4"/>
      <c r="U95" s="4"/>
      <c r="V95" s="4"/>
      <c r="W95" s="4"/>
      <c r="X95" s="4"/>
      <c r="Y95" s="4"/>
      <c r="Z95" s="4"/>
      <c r="AA95" s="4"/>
      <c r="AB95" s="4"/>
      <c r="AC95" s="4"/>
      <c r="AD95" s="4"/>
      <c r="AE95" s="4"/>
      <c r="AF95" s="4"/>
      <c r="AG95" s="4"/>
      <c r="AH95" s="4"/>
      <c r="AI95" s="4"/>
      <c r="AJ95" s="4"/>
      <c r="AK95" s="4"/>
      <c r="AL95" s="4"/>
    </row>
    <row r="96" spans="1:38" ht="30" customHeight="1">
      <c r="A96" s="12"/>
      <c r="B96" s="4"/>
      <c r="C96" s="4"/>
      <c r="D96" s="4"/>
      <c r="E96" s="50"/>
      <c r="F96" s="50"/>
      <c r="G96" s="50"/>
      <c r="H96" s="50"/>
      <c r="I96" s="50"/>
      <c r="J96" s="50"/>
      <c r="K96" s="51"/>
      <c r="L96" s="51"/>
      <c r="M96" s="51"/>
      <c r="N96" s="51"/>
      <c r="O96" s="4"/>
      <c r="P96" s="4"/>
      <c r="Q96" s="4"/>
      <c r="R96" s="4"/>
      <c r="S96" s="4"/>
      <c r="T96" s="4"/>
      <c r="U96" s="4"/>
      <c r="V96" s="4"/>
      <c r="W96" s="4"/>
      <c r="X96" s="4"/>
      <c r="Y96" s="4"/>
      <c r="Z96" s="4"/>
      <c r="AA96" s="4"/>
      <c r="AB96" s="4"/>
      <c r="AC96" s="4"/>
      <c r="AD96" s="4"/>
      <c r="AE96" s="4"/>
      <c r="AF96" s="4"/>
      <c r="AG96" s="4"/>
      <c r="AH96" s="4"/>
      <c r="AI96" s="4"/>
      <c r="AJ96" s="4"/>
      <c r="AK96" s="4"/>
      <c r="AL96" s="4"/>
    </row>
    <row r="97" spans="1:38" ht="30" customHeight="1">
      <c r="A97" s="12"/>
      <c r="B97" s="4"/>
      <c r="C97" s="4"/>
      <c r="D97" s="4"/>
      <c r="E97" s="50"/>
      <c r="F97" s="50"/>
      <c r="G97" s="50"/>
      <c r="H97" s="50"/>
      <c r="I97" s="50"/>
      <c r="J97" s="50"/>
      <c r="K97" s="51"/>
      <c r="L97" s="51"/>
      <c r="M97" s="51"/>
      <c r="N97" s="51"/>
      <c r="O97" s="4"/>
      <c r="P97" s="4"/>
      <c r="Q97" s="4"/>
      <c r="R97" s="4"/>
      <c r="S97" s="4"/>
      <c r="T97" s="4"/>
      <c r="U97" s="4"/>
      <c r="V97" s="4"/>
      <c r="W97" s="4"/>
      <c r="X97" s="4"/>
      <c r="Y97" s="4"/>
      <c r="Z97" s="4"/>
      <c r="AA97" s="4"/>
      <c r="AB97" s="4"/>
      <c r="AC97" s="4"/>
      <c r="AD97" s="4"/>
      <c r="AE97" s="4"/>
      <c r="AF97" s="4"/>
      <c r="AG97" s="4"/>
      <c r="AH97" s="4"/>
      <c r="AI97" s="4"/>
      <c r="AJ97" s="4"/>
      <c r="AK97" s="4"/>
      <c r="AL97" s="4"/>
    </row>
    <row r="98" spans="1:38" ht="30" customHeight="1">
      <c r="A98" s="12"/>
      <c r="B98" s="4"/>
      <c r="C98" s="4"/>
      <c r="D98" s="4"/>
      <c r="E98" s="50"/>
      <c r="F98" s="50"/>
      <c r="G98" s="50"/>
      <c r="H98" s="50"/>
      <c r="I98" s="50"/>
      <c r="J98" s="50"/>
      <c r="K98" s="51"/>
      <c r="L98" s="51"/>
      <c r="M98" s="51"/>
      <c r="N98" s="51"/>
      <c r="O98" s="4"/>
      <c r="P98" s="4"/>
      <c r="Q98" s="4"/>
      <c r="R98" s="4"/>
      <c r="S98" s="4"/>
      <c r="T98" s="4"/>
      <c r="U98" s="4"/>
      <c r="V98" s="4"/>
      <c r="W98" s="4"/>
      <c r="X98" s="4"/>
      <c r="Y98" s="4"/>
      <c r="Z98" s="4"/>
      <c r="AA98" s="4"/>
      <c r="AB98" s="4"/>
      <c r="AC98" s="4"/>
      <c r="AD98" s="4"/>
      <c r="AE98" s="4"/>
      <c r="AF98" s="4"/>
      <c r="AG98" s="4"/>
      <c r="AH98" s="4"/>
      <c r="AI98" s="4"/>
      <c r="AJ98" s="4"/>
      <c r="AK98" s="4"/>
      <c r="AL98" s="4"/>
    </row>
    <row r="99" spans="1:38" ht="30" customHeight="1">
      <c r="A99" s="12"/>
      <c r="B99" s="4"/>
      <c r="C99" s="4"/>
      <c r="D99" s="4"/>
      <c r="E99" s="50"/>
      <c r="F99" s="50"/>
      <c r="G99" s="50"/>
      <c r="H99" s="50"/>
      <c r="I99" s="50"/>
      <c r="J99" s="50"/>
      <c r="K99" s="51"/>
      <c r="L99" s="51"/>
      <c r="M99" s="51"/>
      <c r="N99" s="51"/>
      <c r="O99" s="4"/>
      <c r="P99" s="4"/>
      <c r="Q99" s="4"/>
      <c r="R99" s="4"/>
      <c r="S99" s="4"/>
      <c r="T99" s="4"/>
      <c r="U99" s="4"/>
      <c r="V99" s="4"/>
      <c r="W99" s="4"/>
      <c r="X99" s="4"/>
      <c r="Y99" s="4"/>
      <c r="Z99" s="4"/>
      <c r="AA99" s="4"/>
      <c r="AB99" s="4"/>
      <c r="AC99" s="4"/>
      <c r="AD99" s="4"/>
      <c r="AE99" s="4"/>
      <c r="AF99" s="4"/>
      <c r="AG99" s="4"/>
      <c r="AH99" s="4"/>
      <c r="AI99" s="4"/>
      <c r="AJ99" s="4"/>
      <c r="AK99" s="4"/>
      <c r="AL99" s="4"/>
    </row>
    <row r="100" spans="1:38" ht="30" customHeight="1">
      <c r="A100" s="12"/>
      <c r="B100" s="4"/>
      <c r="C100" s="4"/>
      <c r="D100" s="4"/>
      <c r="E100" s="50"/>
      <c r="F100" s="50"/>
      <c r="G100" s="50"/>
      <c r="H100" s="50"/>
      <c r="I100" s="50"/>
      <c r="J100" s="50"/>
      <c r="K100" s="51"/>
      <c r="L100" s="51"/>
      <c r="M100" s="51"/>
      <c r="N100" s="51"/>
      <c r="O100" s="4"/>
      <c r="P100" s="4"/>
      <c r="Q100" s="4"/>
      <c r="R100" s="4"/>
      <c r="S100" s="4"/>
      <c r="T100" s="4"/>
      <c r="U100" s="4"/>
      <c r="V100" s="4"/>
      <c r="W100" s="4"/>
      <c r="X100" s="4"/>
      <c r="Y100" s="4"/>
      <c r="Z100" s="4"/>
      <c r="AA100" s="4"/>
      <c r="AB100" s="4"/>
      <c r="AC100" s="4"/>
      <c r="AD100" s="4"/>
      <c r="AE100" s="4"/>
      <c r="AF100" s="4"/>
      <c r="AG100" s="4"/>
      <c r="AH100" s="4"/>
      <c r="AI100" s="4"/>
      <c r="AJ100" s="4"/>
      <c r="AK100" s="4"/>
      <c r="AL100" s="4"/>
    </row>
    <row r="101" spans="1:38" ht="30" customHeight="1">
      <c r="A101" s="12"/>
      <c r="B101" s="4"/>
      <c r="C101" s="4"/>
      <c r="D101" s="4"/>
      <c r="E101" s="50"/>
      <c r="F101" s="50"/>
      <c r="G101" s="50"/>
      <c r="H101" s="50"/>
      <c r="I101" s="50"/>
      <c r="J101" s="50"/>
      <c r="K101" s="51"/>
      <c r="L101" s="51"/>
      <c r="M101" s="51"/>
      <c r="N101" s="51"/>
      <c r="O101" s="4"/>
      <c r="P101" s="4"/>
      <c r="Q101" s="4"/>
      <c r="R101" s="4"/>
      <c r="S101" s="4"/>
      <c r="T101" s="4"/>
      <c r="U101" s="4"/>
      <c r="V101" s="4"/>
      <c r="W101" s="4"/>
      <c r="X101" s="4"/>
      <c r="Y101" s="4"/>
      <c r="Z101" s="4"/>
      <c r="AA101" s="4"/>
      <c r="AB101" s="4"/>
      <c r="AC101" s="4"/>
      <c r="AD101" s="4"/>
      <c r="AE101" s="4"/>
      <c r="AF101" s="4"/>
      <c r="AG101" s="4"/>
      <c r="AH101" s="4"/>
      <c r="AI101" s="4"/>
      <c r="AJ101" s="4"/>
      <c r="AK101" s="4"/>
      <c r="AL101" s="4"/>
    </row>
    <row r="102" spans="1:38" ht="30" customHeight="1">
      <c r="A102" s="12"/>
      <c r="B102" s="4"/>
      <c r="C102" s="4"/>
      <c r="D102" s="4"/>
      <c r="E102" s="50"/>
      <c r="F102" s="50"/>
      <c r="G102" s="50"/>
      <c r="H102" s="50"/>
      <c r="I102" s="50"/>
      <c r="J102" s="50"/>
      <c r="K102" s="51"/>
      <c r="L102" s="51"/>
      <c r="M102" s="51"/>
      <c r="N102" s="51"/>
      <c r="O102" s="4"/>
      <c r="P102" s="4"/>
      <c r="Q102" s="4"/>
      <c r="R102" s="4"/>
      <c r="S102" s="4"/>
      <c r="T102" s="4"/>
      <c r="U102" s="4"/>
      <c r="V102" s="4"/>
      <c r="W102" s="4"/>
      <c r="X102" s="4"/>
      <c r="Y102" s="4"/>
      <c r="Z102" s="4"/>
      <c r="AA102" s="4"/>
      <c r="AB102" s="4"/>
      <c r="AC102" s="4"/>
      <c r="AD102" s="4"/>
      <c r="AE102" s="4"/>
      <c r="AF102" s="4"/>
      <c r="AG102" s="4"/>
      <c r="AH102" s="4"/>
      <c r="AI102" s="4"/>
      <c r="AJ102" s="4"/>
      <c r="AK102" s="4"/>
      <c r="AL102" s="4"/>
    </row>
    <row r="103" spans="1:38" ht="30" customHeight="1">
      <c r="A103" s="12"/>
      <c r="B103" s="4"/>
      <c r="C103" s="4"/>
      <c r="D103" s="4"/>
      <c r="E103" s="50"/>
      <c r="F103" s="50"/>
      <c r="G103" s="50"/>
      <c r="H103" s="50"/>
      <c r="I103" s="50"/>
      <c r="J103" s="50"/>
      <c r="K103" s="51"/>
      <c r="L103" s="51"/>
      <c r="M103" s="51"/>
      <c r="N103" s="51"/>
      <c r="O103" s="4"/>
      <c r="P103" s="4"/>
      <c r="Q103" s="4"/>
      <c r="R103" s="4"/>
      <c r="S103" s="4"/>
      <c r="T103" s="4"/>
      <c r="U103" s="4"/>
      <c r="V103" s="4"/>
      <c r="W103" s="4"/>
      <c r="X103" s="4"/>
      <c r="Y103" s="4"/>
      <c r="Z103" s="4"/>
      <c r="AA103" s="4"/>
      <c r="AB103" s="4"/>
      <c r="AC103" s="4"/>
      <c r="AD103" s="4"/>
      <c r="AE103" s="4"/>
      <c r="AF103" s="4"/>
      <c r="AG103" s="4"/>
      <c r="AH103" s="4"/>
      <c r="AI103" s="4"/>
      <c r="AJ103" s="4"/>
      <c r="AK103" s="4"/>
      <c r="AL103" s="4"/>
    </row>
    <row r="104" spans="1:38" ht="30" customHeight="1">
      <c r="A104" s="12"/>
      <c r="B104" s="4"/>
      <c r="C104" s="4"/>
      <c r="D104" s="4"/>
      <c r="E104" s="50"/>
      <c r="F104" s="50"/>
      <c r="G104" s="50"/>
      <c r="H104" s="50"/>
      <c r="I104" s="50"/>
      <c r="J104" s="50"/>
      <c r="K104" s="51"/>
      <c r="L104" s="51"/>
      <c r="M104" s="51"/>
      <c r="N104" s="51"/>
      <c r="O104" s="4"/>
      <c r="P104" s="4"/>
      <c r="Q104" s="4"/>
      <c r="R104" s="4"/>
      <c r="S104" s="4"/>
      <c r="T104" s="4"/>
      <c r="U104" s="4"/>
      <c r="V104" s="4"/>
      <c r="W104" s="4"/>
      <c r="X104" s="4"/>
      <c r="Y104" s="4"/>
      <c r="Z104" s="4"/>
      <c r="AA104" s="4"/>
      <c r="AB104" s="4"/>
      <c r="AC104" s="4"/>
      <c r="AD104" s="4"/>
      <c r="AE104" s="4"/>
      <c r="AF104" s="4"/>
      <c r="AG104" s="4"/>
      <c r="AH104" s="4"/>
      <c r="AI104" s="4"/>
      <c r="AJ104" s="4"/>
      <c r="AK104" s="4"/>
      <c r="AL104" s="4"/>
    </row>
    <row r="105" spans="1:38" ht="30" customHeight="1">
      <c r="A105" s="12"/>
      <c r="B105" s="4"/>
      <c r="C105" s="4"/>
      <c r="D105" s="4"/>
      <c r="E105" s="50"/>
      <c r="F105" s="50"/>
      <c r="G105" s="50"/>
      <c r="H105" s="50"/>
      <c r="I105" s="50"/>
      <c r="J105" s="50"/>
      <c r="K105" s="51"/>
      <c r="L105" s="51"/>
      <c r="M105" s="51"/>
      <c r="N105" s="51"/>
      <c r="O105" s="4"/>
      <c r="P105" s="4"/>
      <c r="Q105" s="4"/>
      <c r="R105" s="4"/>
      <c r="S105" s="4"/>
      <c r="T105" s="4"/>
      <c r="U105" s="4"/>
      <c r="V105" s="4"/>
      <c r="W105" s="4"/>
      <c r="X105" s="4"/>
      <c r="Y105" s="4"/>
      <c r="Z105" s="4"/>
      <c r="AA105" s="4"/>
      <c r="AB105" s="4"/>
      <c r="AC105" s="4"/>
      <c r="AD105" s="4"/>
      <c r="AE105" s="4"/>
      <c r="AF105" s="4"/>
      <c r="AG105" s="4"/>
      <c r="AH105" s="4"/>
      <c r="AI105" s="4"/>
      <c r="AJ105" s="4"/>
      <c r="AK105" s="4"/>
      <c r="AL105" s="4"/>
    </row>
    <row r="106" spans="1:38" ht="30" customHeight="1">
      <c r="A106" s="12"/>
      <c r="B106" s="4"/>
      <c r="C106" s="4"/>
      <c r="D106" s="4"/>
      <c r="E106" s="50"/>
      <c r="F106" s="50"/>
      <c r="G106" s="50"/>
      <c r="H106" s="50"/>
      <c r="I106" s="50"/>
      <c r="J106" s="50"/>
      <c r="K106" s="51"/>
      <c r="L106" s="51"/>
      <c r="M106" s="51"/>
      <c r="N106" s="51"/>
      <c r="O106" s="4"/>
      <c r="P106" s="4"/>
      <c r="Q106" s="4"/>
      <c r="R106" s="4"/>
      <c r="S106" s="4"/>
      <c r="T106" s="4"/>
      <c r="U106" s="4"/>
      <c r="V106" s="4"/>
      <c r="W106" s="4"/>
      <c r="X106" s="4"/>
      <c r="Y106" s="4"/>
      <c r="Z106" s="4"/>
      <c r="AA106" s="4"/>
      <c r="AB106" s="4"/>
      <c r="AC106" s="4"/>
      <c r="AD106" s="4"/>
      <c r="AE106" s="4"/>
      <c r="AF106" s="4"/>
      <c r="AG106" s="4"/>
      <c r="AH106" s="4"/>
      <c r="AI106" s="4"/>
      <c r="AJ106" s="4"/>
      <c r="AK106" s="4"/>
      <c r="AL106" s="4"/>
    </row>
    <row r="107" spans="1:38" ht="30" customHeight="1">
      <c r="A107" s="12"/>
      <c r="B107" s="4"/>
      <c r="C107" s="4"/>
      <c r="D107" s="4"/>
      <c r="E107" s="50"/>
      <c r="F107" s="50"/>
      <c r="G107" s="50"/>
      <c r="H107" s="50"/>
      <c r="I107" s="50"/>
      <c r="J107" s="50"/>
      <c r="K107" s="51"/>
      <c r="L107" s="51"/>
      <c r="M107" s="51"/>
      <c r="N107" s="51"/>
      <c r="O107" s="4"/>
      <c r="P107" s="4"/>
      <c r="Q107" s="4"/>
      <c r="R107" s="4"/>
      <c r="S107" s="4"/>
      <c r="T107" s="4"/>
      <c r="U107" s="4"/>
      <c r="V107" s="4"/>
      <c r="W107" s="4"/>
      <c r="X107" s="4"/>
      <c r="Y107" s="4"/>
      <c r="Z107" s="4"/>
      <c r="AA107" s="4"/>
      <c r="AB107" s="4"/>
      <c r="AC107" s="4"/>
      <c r="AD107" s="4"/>
      <c r="AE107" s="4"/>
      <c r="AF107" s="4"/>
      <c r="AG107" s="4"/>
      <c r="AH107" s="4"/>
      <c r="AI107" s="4"/>
      <c r="AJ107" s="4"/>
      <c r="AK107" s="4"/>
      <c r="AL107" s="4"/>
    </row>
    <row r="108" spans="1:38" ht="30" customHeight="1">
      <c r="A108" s="12"/>
      <c r="B108" s="4"/>
      <c r="C108" s="4"/>
      <c r="D108" s="4"/>
      <c r="E108" s="50"/>
      <c r="F108" s="50"/>
      <c r="G108" s="50"/>
      <c r="H108" s="50"/>
      <c r="I108" s="50"/>
      <c r="J108" s="50"/>
      <c r="K108" s="51"/>
      <c r="L108" s="51"/>
      <c r="M108" s="51"/>
      <c r="N108" s="51"/>
      <c r="O108" s="4"/>
      <c r="P108" s="4"/>
      <c r="Q108" s="4"/>
      <c r="R108" s="4"/>
      <c r="S108" s="4"/>
      <c r="T108" s="4"/>
      <c r="U108" s="4"/>
      <c r="V108" s="4"/>
      <c r="W108" s="4"/>
      <c r="X108" s="4"/>
      <c r="Y108" s="4"/>
      <c r="Z108" s="4"/>
      <c r="AA108" s="4"/>
      <c r="AB108" s="4"/>
      <c r="AC108" s="4"/>
      <c r="AD108" s="4"/>
      <c r="AE108" s="4"/>
      <c r="AF108" s="4"/>
      <c r="AG108" s="4"/>
      <c r="AH108" s="4"/>
      <c r="AI108" s="4"/>
      <c r="AJ108" s="4"/>
      <c r="AK108" s="4"/>
      <c r="AL108" s="4"/>
    </row>
    <row r="109" spans="1:38" ht="30" customHeight="1">
      <c r="A109" s="12"/>
      <c r="B109" s="4"/>
      <c r="C109" s="4"/>
      <c r="D109" s="4"/>
      <c r="E109" s="50"/>
      <c r="F109" s="50"/>
      <c r="G109" s="50"/>
      <c r="H109" s="50"/>
      <c r="I109" s="50"/>
      <c r="J109" s="50"/>
      <c r="K109" s="51"/>
      <c r="L109" s="51"/>
      <c r="M109" s="51"/>
      <c r="N109" s="51"/>
      <c r="O109" s="4"/>
      <c r="P109" s="4"/>
      <c r="Q109" s="4"/>
      <c r="R109" s="4"/>
      <c r="S109" s="4"/>
      <c r="T109" s="4"/>
      <c r="U109" s="4"/>
      <c r="V109" s="4"/>
      <c r="W109" s="4"/>
      <c r="X109" s="4"/>
      <c r="Y109" s="4"/>
      <c r="Z109" s="4"/>
      <c r="AA109" s="4"/>
      <c r="AB109" s="4"/>
      <c r="AC109" s="4"/>
      <c r="AD109" s="4"/>
      <c r="AE109" s="4"/>
      <c r="AF109" s="4"/>
      <c r="AG109" s="4"/>
      <c r="AH109" s="4"/>
      <c r="AI109" s="4"/>
      <c r="AJ109" s="4"/>
      <c r="AK109" s="4"/>
      <c r="AL109" s="4"/>
    </row>
    <row r="110" spans="1:38" ht="30" customHeight="1">
      <c r="A110" s="12"/>
      <c r="B110" s="4"/>
      <c r="C110" s="4"/>
      <c r="D110" s="4"/>
      <c r="E110" s="50"/>
      <c r="F110" s="50"/>
      <c r="G110" s="50"/>
      <c r="H110" s="50"/>
      <c r="I110" s="50"/>
      <c r="J110" s="50"/>
      <c r="K110" s="51"/>
      <c r="L110" s="51"/>
      <c r="M110" s="51"/>
      <c r="N110" s="51"/>
      <c r="O110" s="4"/>
      <c r="P110" s="4"/>
      <c r="Q110" s="4"/>
      <c r="R110" s="4"/>
      <c r="S110" s="4"/>
      <c r="T110" s="4"/>
      <c r="U110" s="4"/>
      <c r="V110" s="4"/>
      <c r="W110" s="4"/>
      <c r="X110" s="4"/>
      <c r="Y110" s="4"/>
      <c r="Z110" s="4"/>
      <c r="AA110" s="4"/>
      <c r="AB110" s="4"/>
      <c r="AC110" s="4"/>
      <c r="AD110" s="4"/>
      <c r="AE110" s="4"/>
      <c r="AF110" s="4"/>
      <c r="AG110" s="4"/>
      <c r="AH110" s="4"/>
      <c r="AI110" s="4"/>
      <c r="AJ110" s="4"/>
      <c r="AK110" s="4"/>
      <c r="AL110" s="4"/>
    </row>
    <row r="111" spans="1:38" ht="30" customHeight="1">
      <c r="A111" s="12"/>
      <c r="B111" s="4"/>
      <c r="C111" s="4"/>
      <c r="D111" s="4"/>
      <c r="E111" s="50"/>
      <c r="F111" s="50"/>
      <c r="G111" s="50"/>
      <c r="H111" s="50"/>
      <c r="I111" s="50"/>
      <c r="J111" s="50"/>
      <c r="K111" s="51"/>
      <c r="L111" s="51"/>
      <c r="M111" s="51"/>
      <c r="N111" s="51"/>
      <c r="O111" s="4"/>
      <c r="P111" s="4"/>
      <c r="Q111" s="4"/>
      <c r="R111" s="4"/>
      <c r="S111" s="4"/>
      <c r="T111" s="4"/>
      <c r="U111" s="4"/>
      <c r="V111" s="4"/>
      <c r="W111" s="4"/>
      <c r="X111" s="4"/>
      <c r="Y111" s="4"/>
      <c r="Z111" s="4"/>
      <c r="AA111" s="4"/>
      <c r="AB111" s="4"/>
      <c r="AC111" s="4"/>
      <c r="AD111" s="4"/>
      <c r="AE111" s="4"/>
      <c r="AF111" s="4"/>
      <c r="AG111" s="4"/>
      <c r="AH111" s="4"/>
      <c r="AI111" s="4"/>
      <c r="AJ111" s="4"/>
      <c r="AK111" s="4"/>
      <c r="AL111" s="4"/>
    </row>
    <row r="112" spans="1:38" ht="30" customHeight="1">
      <c r="A112" s="12"/>
      <c r="B112" s="4"/>
      <c r="C112" s="4"/>
      <c r="D112" s="4"/>
      <c r="E112" s="50"/>
      <c r="F112" s="50"/>
      <c r="G112" s="50"/>
      <c r="H112" s="50"/>
      <c r="I112" s="50"/>
      <c r="J112" s="50"/>
      <c r="K112" s="51"/>
      <c r="L112" s="51"/>
      <c r="M112" s="51"/>
      <c r="N112" s="51"/>
      <c r="O112" s="4"/>
      <c r="P112" s="4"/>
      <c r="Q112" s="4"/>
      <c r="R112" s="4"/>
      <c r="S112" s="4"/>
      <c r="T112" s="4"/>
      <c r="U112" s="4"/>
      <c r="V112" s="4"/>
      <c r="W112" s="4"/>
      <c r="X112" s="4"/>
      <c r="Y112" s="4"/>
      <c r="Z112" s="4"/>
      <c r="AA112" s="4"/>
      <c r="AB112" s="4"/>
      <c r="AC112" s="4"/>
      <c r="AD112" s="4"/>
      <c r="AE112" s="4"/>
      <c r="AF112" s="4"/>
      <c r="AG112" s="4"/>
      <c r="AH112" s="4"/>
      <c r="AI112" s="4"/>
      <c r="AJ112" s="4"/>
      <c r="AK112" s="4"/>
      <c r="AL112" s="4"/>
    </row>
    <row r="113" spans="1:38" ht="30" customHeight="1">
      <c r="A113" s="12"/>
      <c r="B113" s="4"/>
      <c r="C113" s="4"/>
      <c r="D113" s="4"/>
      <c r="E113" s="50"/>
      <c r="F113" s="50"/>
      <c r="G113" s="50"/>
      <c r="H113" s="50"/>
      <c r="I113" s="50"/>
      <c r="J113" s="50"/>
      <c r="K113" s="51"/>
      <c r="L113" s="51"/>
      <c r="M113" s="51"/>
      <c r="N113" s="51"/>
      <c r="O113" s="4"/>
      <c r="P113" s="4"/>
      <c r="Q113" s="4"/>
      <c r="R113" s="4"/>
      <c r="S113" s="4"/>
      <c r="T113" s="4"/>
      <c r="U113" s="4"/>
      <c r="V113" s="4"/>
      <c r="W113" s="4"/>
      <c r="X113" s="4"/>
      <c r="Y113" s="4"/>
      <c r="Z113" s="4"/>
      <c r="AA113" s="4"/>
      <c r="AB113" s="4"/>
      <c r="AC113" s="4"/>
      <c r="AD113" s="4"/>
      <c r="AE113" s="4"/>
      <c r="AF113" s="4"/>
      <c r="AG113" s="4"/>
      <c r="AH113" s="4"/>
      <c r="AI113" s="4"/>
      <c r="AJ113" s="4"/>
      <c r="AK113" s="4"/>
      <c r="AL113" s="4"/>
    </row>
    <row r="114" spans="1:38" ht="30" customHeight="1">
      <c r="A114" s="12"/>
      <c r="B114" s="4"/>
      <c r="C114" s="4"/>
      <c r="D114" s="4"/>
      <c r="E114" s="50"/>
      <c r="F114" s="50"/>
      <c r="G114" s="50"/>
      <c r="H114" s="50"/>
      <c r="I114" s="50"/>
      <c r="J114" s="50"/>
      <c r="K114" s="51"/>
      <c r="L114" s="51"/>
      <c r="M114" s="51"/>
      <c r="N114" s="51"/>
      <c r="O114" s="4"/>
      <c r="P114" s="4"/>
      <c r="Q114" s="4"/>
      <c r="R114" s="4"/>
      <c r="S114" s="4"/>
      <c r="T114" s="4"/>
      <c r="U114" s="4"/>
      <c r="V114" s="4"/>
      <c r="W114" s="4"/>
      <c r="X114" s="4"/>
      <c r="Y114" s="4"/>
      <c r="Z114" s="4"/>
      <c r="AA114" s="4"/>
      <c r="AB114" s="4"/>
      <c r="AC114" s="4"/>
      <c r="AD114" s="4"/>
      <c r="AE114" s="4"/>
      <c r="AF114" s="4"/>
      <c r="AG114" s="4"/>
      <c r="AH114" s="4"/>
      <c r="AI114" s="4"/>
      <c r="AJ114" s="4"/>
      <c r="AK114" s="4"/>
      <c r="AL114" s="4"/>
    </row>
    <row r="115" spans="1:38" ht="30" customHeight="1">
      <c r="A115" s="12"/>
      <c r="B115" s="4"/>
      <c r="C115" s="4"/>
      <c r="D115" s="4"/>
      <c r="E115" s="50"/>
      <c r="F115" s="50"/>
      <c r="G115" s="50"/>
      <c r="H115" s="50"/>
      <c r="I115" s="50"/>
      <c r="J115" s="50"/>
      <c r="K115" s="51"/>
      <c r="L115" s="51"/>
      <c r="M115" s="51"/>
      <c r="N115" s="51"/>
      <c r="O115" s="4"/>
      <c r="P115" s="4"/>
      <c r="Q115" s="4"/>
      <c r="R115" s="4"/>
      <c r="S115" s="4"/>
      <c r="T115" s="4"/>
      <c r="U115" s="4"/>
      <c r="V115" s="4"/>
      <c r="W115" s="4"/>
      <c r="X115" s="4"/>
      <c r="Y115" s="4"/>
      <c r="Z115" s="4"/>
      <c r="AA115" s="4"/>
      <c r="AB115" s="4"/>
      <c r="AC115" s="4"/>
      <c r="AD115" s="4"/>
      <c r="AE115" s="4"/>
      <c r="AF115" s="4"/>
      <c r="AG115" s="4"/>
      <c r="AH115" s="4"/>
      <c r="AI115" s="4"/>
      <c r="AJ115" s="4"/>
      <c r="AK115" s="4"/>
      <c r="AL115" s="4"/>
    </row>
    <row r="116" spans="1:38" ht="30" customHeight="1">
      <c r="A116" s="12"/>
      <c r="B116" s="4"/>
      <c r="C116" s="4"/>
      <c r="D116" s="4"/>
      <c r="E116" s="50"/>
      <c r="F116" s="50"/>
      <c r="G116" s="50"/>
      <c r="H116" s="50"/>
      <c r="I116" s="50"/>
      <c r="J116" s="50"/>
      <c r="K116" s="51"/>
      <c r="L116" s="51"/>
      <c r="M116" s="51"/>
      <c r="N116" s="51"/>
      <c r="O116" s="4"/>
      <c r="P116" s="4"/>
      <c r="Q116" s="4"/>
      <c r="R116" s="4"/>
      <c r="S116" s="4"/>
      <c r="T116" s="4"/>
      <c r="U116" s="4"/>
      <c r="V116" s="4"/>
      <c r="W116" s="4"/>
      <c r="X116" s="4"/>
      <c r="Y116" s="4"/>
      <c r="Z116" s="4"/>
      <c r="AA116" s="4"/>
      <c r="AB116" s="4"/>
      <c r="AC116" s="4"/>
      <c r="AD116" s="4"/>
      <c r="AE116" s="4"/>
      <c r="AF116" s="4"/>
      <c r="AG116" s="4"/>
      <c r="AH116" s="4"/>
      <c r="AI116" s="4"/>
      <c r="AJ116" s="4"/>
      <c r="AK116" s="4"/>
      <c r="AL116" s="4"/>
    </row>
    <row r="117" spans="1:38" ht="30" customHeight="1">
      <c r="A117" s="12"/>
      <c r="B117" s="4"/>
      <c r="C117" s="4"/>
      <c r="D117" s="4"/>
      <c r="E117" s="50"/>
      <c r="F117" s="50"/>
      <c r="G117" s="50"/>
      <c r="H117" s="50"/>
      <c r="I117" s="50"/>
      <c r="J117" s="50"/>
      <c r="K117" s="51"/>
      <c r="L117" s="51"/>
      <c r="M117" s="51"/>
      <c r="N117" s="51"/>
      <c r="O117" s="4"/>
      <c r="P117" s="4"/>
      <c r="Q117" s="4"/>
      <c r="R117" s="4"/>
      <c r="S117" s="4"/>
      <c r="T117" s="4"/>
      <c r="U117" s="4"/>
      <c r="V117" s="4"/>
      <c r="W117" s="4"/>
      <c r="X117" s="4"/>
      <c r="Y117" s="4"/>
      <c r="Z117" s="4"/>
      <c r="AA117" s="4"/>
      <c r="AB117" s="4"/>
      <c r="AC117" s="4"/>
      <c r="AD117" s="4"/>
      <c r="AE117" s="4"/>
      <c r="AF117" s="4"/>
      <c r="AG117" s="4"/>
      <c r="AH117" s="4"/>
      <c r="AI117" s="4"/>
      <c r="AJ117" s="4"/>
      <c r="AK117" s="4"/>
      <c r="AL117" s="4"/>
    </row>
    <row r="118" spans="1:38" ht="30" customHeight="1">
      <c r="A118" s="12"/>
      <c r="B118" s="4"/>
      <c r="C118" s="4"/>
      <c r="D118" s="4"/>
      <c r="E118" s="50"/>
      <c r="F118" s="50"/>
      <c r="G118" s="50"/>
      <c r="H118" s="50"/>
      <c r="I118" s="50"/>
      <c r="J118" s="50"/>
      <c r="K118" s="51"/>
      <c r="L118" s="51"/>
      <c r="M118" s="51"/>
      <c r="N118" s="51"/>
      <c r="O118" s="4"/>
      <c r="P118" s="4"/>
      <c r="Q118" s="4"/>
      <c r="R118" s="4"/>
      <c r="S118" s="4"/>
      <c r="T118" s="4"/>
      <c r="U118" s="4"/>
      <c r="V118" s="4"/>
      <c r="W118" s="4"/>
      <c r="X118" s="4"/>
      <c r="Y118" s="4"/>
      <c r="Z118" s="4"/>
      <c r="AA118" s="4"/>
      <c r="AB118" s="4"/>
      <c r="AC118" s="4"/>
      <c r="AD118" s="4"/>
      <c r="AE118" s="4"/>
      <c r="AF118" s="4"/>
      <c r="AG118" s="4"/>
      <c r="AH118" s="4"/>
      <c r="AI118" s="4"/>
      <c r="AJ118" s="4"/>
      <c r="AK118" s="4"/>
      <c r="AL118" s="4"/>
    </row>
    <row r="119" spans="1:38" ht="30" customHeight="1">
      <c r="A119" s="12"/>
      <c r="B119" s="4"/>
      <c r="C119" s="4"/>
      <c r="D119" s="4"/>
      <c r="E119" s="50"/>
      <c r="F119" s="50"/>
      <c r="G119" s="50"/>
      <c r="H119" s="50"/>
      <c r="I119" s="50"/>
      <c r="J119" s="50"/>
      <c r="K119" s="51"/>
      <c r="L119" s="51"/>
      <c r="M119" s="51"/>
      <c r="N119" s="51"/>
      <c r="O119" s="4"/>
      <c r="P119" s="4"/>
      <c r="Q119" s="4"/>
      <c r="R119" s="4"/>
      <c r="S119" s="4"/>
      <c r="T119" s="4"/>
      <c r="U119" s="4"/>
      <c r="V119" s="4"/>
      <c r="W119" s="4"/>
      <c r="X119" s="4"/>
      <c r="Y119" s="4"/>
      <c r="Z119" s="4"/>
      <c r="AA119" s="4"/>
      <c r="AB119" s="4"/>
      <c r="AC119" s="4"/>
      <c r="AD119" s="4"/>
      <c r="AE119" s="4"/>
      <c r="AF119" s="4"/>
      <c r="AG119" s="4"/>
      <c r="AH119" s="4"/>
      <c r="AI119" s="4"/>
      <c r="AJ119" s="4"/>
      <c r="AK119" s="4"/>
      <c r="AL119" s="4"/>
    </row>
    <row r="120" spans="1:38" ht="30" customHeight="1">
      <c r="A120" s="12"/>
      <c r="B120" s="4"/>
      <c r="C120" s="4"/>
      <c r="D120" s="4"/>
      <c r="E120" s="50"/>
      <c r="F120" s="50"/>
      <c r="G120" s="50"/>
      <c r="H120" s="50"/>
      <c r="I120" s="50"/>
      <c r="J120" s="50"/>
      <c r="K120" s="51"/>
      <c r="L120" s="51"/>
      <c r="M120" s="51"/>
      <c r="N120" s="51"/>
      <c r="O120" s="4"/>
      <c r="P120" s="4"/>
      <c r="Q120" s="4"/>
      <c r="R120" s="4"/>
      <c r="S120" s="4"/>
      <c r="T120" s="4"/>
      <c r="U120" s="4"/>
      <c r="V120" s="4"/>
      <c r="W120" s="4"/>
      <c r="X120" s="4"/>
      <c r="Y120" s="4"/>
      <c r="Z120" s="4"/>
      <c r="AA120" s="4"/>
      <c r="AB120" s="4"/>
      <c r="AC120" s="4"/>
      <c r="AD120" s="4"/>
      <c r="AE120" s="4"/>
      <c r="AF120" s="4"/>
      <c r="AG120" s="4"/>
      <c r="AH120" s="4"/>
      <c r="AI120" s="4"/>
      <c r="AJ120" s="4"/>
      <c r="AK120" s="4"/>
      <c r="AL120" s="4"/>
    </row>
    <row r="121" spans="1:38" ht="30" customHeight="1">
      <c r="A121" s="12"/>
      <c r="B121" s="4"/>
      <c r="C121" s="4"/>
      <c r="D121" s="4"/>
      <c r="E121" s="50"/>
      <c r="F121" s="50"/>
      <c r="G121" s="50"/>
      <c r="H121" s="50"/>
      <c r="I121" s="50"/>
      <c r="J121" s="50"/>
      <c r="K121" s="51"/>
      <c r="L121" s="51"/>
      <c r="M121" s="51"/>
      <c r="N121" s="51"/>
      <c r="O121" s="4"/>
      <c r="P121" s="4"/>
      <c r="Q121" s="4"/>
      <c r="R121" s="4"/>
      <c r="S121" s="4"/>
      <c r="T121" s="4"/>
      <c r="U121" s="4"/>
      <c r="V121" s="4"/>
      <c r="W121" s="4"/>
      <c r="X121" s="4"/>
      <c r="Y121" s="4"/>
      <c r="Z121" s="4"/>
      <c r="AA121" s="4"/>
      <c r="AB121" s="4"/>
      <c r="AC121" s="4"/>
      <c r="AD121" s="4"/>
      <c r="AE121" s="4"/>
      <c r="AF121" s="4"/>
      <c r="AG121" s="4"/>
      <c r="AH121" s="4"/>
      <c r="AI121" s="4"/>
      <c r="AJ121" s="4"/>
      <c r="AK121" s="4"/>
      <c r="AL121" s="4"/>
    </row>
    <row r="122" spans="1:38" ht="30" customHeight="1">
      <c r="A122" s="12"/>
      <c r="B122" s="4"/>
      <c r="C122" s="4"/>
      <c r="D122" s="4"/>
      <c r="E122" s="50"/>
      <c r="F122" s="50"/>
      <c r="G122" s="50"/>
      <c r="H122" s="50"/>
      <c r="I122" s="50"/>
      <c r="J122" s="50"/>
      <c r="K122" s="51"/>
      <c r="L122" s="51"/>
      <c r="M122" s="51"/>
      <c r="N122" s="51"/>
      <c r="O122" s="4"/>
      <c r="P122" s="4"/>
      <c r="Q122" s="4"/>
      <c r="R122" s="4"/>
      <c r="S122" s="4"/>
      <c r="T122" s="4"/>
      <c r="U122" s="4"/>
      <c r="V122" s="4"/>
      <c r="W122" s="4"/>
      <c r="X122" s="4"/>
      <c r="Y122" s="4"/>
      <c r="Z122" s="4"/>
      <c r="AA122" s="4"/>
      <c r="AB122" s="4"/>
      <c r="AC122" s="4"/>
      <c r="AD122" s="4"/>
      <c r="AE122" s="4"/>
      <c r="AF122" s="4"/>
      <c r="AG122" s="4"/>
      <c r="AH122" s="4"/>
      <c r="AI122" s="4"/>
      <c r="AJ122" s="4"/>
      <c r="AK122" s="4"/>
      <c r="AL122" s="4"/>
    </row>
    <row r="123" spans="1:38" ht="30" customHeight="1">
      <c r="A123" s="12"/>
      <c r="B123" s="4"/>
      <c r="C123" s="4"/>
      <c r="D123" s="4"/>
      <c r="E123" s="50"/>
      <c r="F123" s="50"/>
      <c r="G123" s="50"/>
      <c r="H123" s="50"/>
      <c r="I123" s="50"/>
      <c r="J123" s="50"/>
      <c r="K123" s="51"/>
      <c r="L123" s="51"/>
      <c r="M123" s="51"/>
      <c r="N123" s="51"/>
      <c r="O123" s="4"/>
      <c r="P123" s="4"/>
      <c r="Q123" s="4"/>
      <c r="R123" s="4"/>
      <c r="S123" s="4"/>
      <c r="T123" s="4"/>
      <c r="U123" s="4"/>
      <c r="V123" s="4"/>
      <c r="W123" s="4"/>
      <c r="X123" s="4"/>
      <c r="Y123" s="4"/>
      <c r="Z123" s="4"/>
      <c r="AA123" s="4"/>
      <c r="AB123" s="4"/>
      <c r="AC123" s="4"/>
      <c r="AD123" s="4"/>
      <c r="AE123" s="4"/>
      <c r="AF123" s="4"/>
      <c r="AG123" s="4"/>
      <c r="AH123" s="4"/>
      <c r="AI123" s="4"/>
      <c r="AJ123" s="4"/>
      <c r="AK123" s="4"/>
      <c r="AL123" s="4"/>
    </row>
    <row r="124" spans="1:38" ht="30" customHeight="1">
      <c r="A124" s="12"/>
      <c r="B124" s="4"/>
      <c r="C124" s="4"/>
      <c r="D124" s="4"/>
      <c r="E124" s="50"/>
      <c r="F124" s="50"/>
      <c r="G124" s="50"/>
      <c r="H124" s="50"/>
      <c r="I124" s="50"/>
      <c r="J124" s="50"/>
      <c r="K124" s="51"/>
      <c r="L124" s="51"/>
      <c r="M124" s="51"/>
      <c r="N124" s="51"/>
      <c r="O124" s="4"/>
      <c r="P124" s="4"/>
      <c r="Q124" s="4"/>
      <c r="R124" s="4"/>
      <c r="S124" s="4"/>
      <c r="T124" s="4"/>
      <c r="U124" s="4"/>
      <c r="V124" s="4"/>
      <c r="W124" s="4"/>
      <c r="X124" s="4"/>
      <c r="Y124" s="4"/>
      <c r="Z124" s="4"/>
      <c r="AA124" s="4"/>
      <c r="AB124" s="4"/>
      <c r="AC124" s="4"/>
      <c r="AD124" s="4"/>
      <c r="AE124" s="4"/>
      <c r="AF124" s="4"/>
      <c r="AG124" s="4"/>
      <c r="AH124" s="4"/>
      <c r="AI124" s="4"/>
      <c r="AJ124" s="4"/>
      <c r="AK124" s="4"/>
      <c r="AL124" s="4"/>
    </row>
    <row r="125" spans="1:38" ht="30" customHeight="1">
      <c r="A125" s="12"/>
      <c r="B125" s="4"/>
      <c r="C125" s="4"/>
      <c r="D125" s="4"/>
      <c r="E125" s="50"/>
      <c r="F125" s="50"/>
      <c r="G125" s="50"/>
      <c r="H125" s="50"/>
      <c r="I125" s="50"/>
      <c r="J125" s="50"/>
      <c r="K125" s="51"/>
      <c r="L125" s="51"/>
      <c r="M125" s="51"/>
      <c r="N125" s="51"/>
      <c r="O125" s="4"/>
      <c r="P125" s="4"/>
      <c r="Q125" s="4"/>
      <c r="R125" s="4"/>
      <c r="S125" s="4"/>
      <c r="T125" s="4"/>
      <c r="U125" s="4"/>
      <c r="V125" s="4"/>
      <c r="W125" s="4"/>
      <c r="X125" s="4"/>
      <c r="Y125" s="4"/>
      <c r="Z125" s="4"/>
      <c r="AA125" s="4"/>
      <c r="AB125" s="4"/>
      <c r="AC125" s="4"/>
      <c r="AD125" s="4"/>
      <c r="AE125" s="4"/>
      <c r="AF125" s="4"/>
      <c r="AG125" s="4"/>
      <c r="AH125" s="4"/>
      <c r="AI125" s="4"/>
      <c r="AJ125" s="4"/>
      <c r="AK125" s="4"/>
      <c r="AL125" s="4"/>
    </row>
    <row r="126" spans="1:38" ht="30" customHeight="1">
      <c r="A126" s="12"/>
      <c r="B126" s="4"/>
      <c r="C126" s="4"/>
      <c r="D126" s="4"/>
      <c r="E126" s="50"/>
      <c r="F126" s="50"/>
      <c r="G126" s="50"/>
      <c r="H126" s="50"/>
      <c r="I126" s="50"/>
      <c r="J126" s="50"/>
      <c r="K126" s="51"/>
      <c r="L126" s="51"/>
      <c r="M126" s="51"/>
      <c r="N126" s="51"/>
      <c r="O126" s="4"/>
      <c r="P126" s="4"/>
      <c r="Q126" s="4"/>
      <c r="R126" s="4"/>
      <c r="S126" s="4"/>
      <c r="T126" s="4"/>
      <c r="U126" s="4"/>
      <c r="V126" s="4"/>
      <c r="W126" s="4"/>
      <c r="X126" s="4"/>
      <c r="Y126" s="4"/>
      <c r="Z126" s="4"/>
      <c r="AA126" s="4"/>
      <c r="AB126" s="4"/>
      <c r="AC126" s="4"/>
      <c r="AD126" s="4"/>
      <c r="AE126" s="4"/>
      <c r="AF126" s="4"/>
      <c r="AG126" s="4"/>
      <c r="AH126" s="4"/>
      <c r="AI126" s="4"/>
      <c r="AJ126" s="4"/>
      <c r="AK126" s="4"/>
      <c r="AL126" s="4"/>
    </row>
    <row r="127" spans="1:38" ht="30" customHeight="1">
      <c r="A127" s="12"/>
      <c r="B127" s="4"/>
      <c r="C127" s="4"/>
      <c r="D127" s="4"/>
      <c r="E127" s="50"/>
      <c r="F127" s="50"/>
      <c r="G127" s="50"/>
      <c r="H127" s="50"/>
      <c r="I127" s="50"/>
      <c r="J127" s="50"/>
      <c r="K127" s="51"/>
      <c r="L127" s="51"/>
      <c r="M127" s="51"/>
      <c r="N127" s="51"/>
      <c r="O127" s="4"/>
      <c r="P127" s="4"/>
      <c r="Q127" s="4"/>
      <c r="R127" s="4"/>
      <c r="S127" s="4"/>
      <c r="T127" s="4"/>
      <c r="U127" s="4"/>
      <c r="V127" s="4"/>
      <c r="W127" s="4"/>
      <c r="X127" s="4"/>
      <c r="Y127" s="4"/>
      <c r="Z127" s="4"/>
      <c r="AA127" s="4"/>
      <c r="AB127" s="4"/>
      <c r="AC127" s="4"/>
      <c r="AD127" s="4"/>
      <c r="AE127" s="4"/>
      <c r="AF127" s="4"/>
      <c r="AG127" s="4"/>
      <c r="AH127" s="4"/>
      <c r="AI127" s="4"/>
      <c r="AJ127" s="4"/>
      <c r="AK127" s="4"/>
      <c r="AL127" s="4"/>
    </row>
    <row r="128" spans="1:38" ht="30" customHeight="1">
      <c r="A128" s="12"/>
      <c r="B128" s="4"/>
      <c r="C128" s="4"/>
      <c r="D128" s="4"/>
      <c r="E128" s="50"/>
      <c r="F128" s="50"/>
      <c r="G128" s="50"/>
      <c r="H128" s="50"/>
      <c r="I128" s="50"/>
      <c r="J128" s="50"/>
      <c r="K128" s="51"/>
      <c r="L128" s="51"/>
      <c r="M128" s="51"/>
      <c r="N128" s="51"/>
      <c r="O128" s="4"/>
      <c r="P128" s="4"/>
      <c r="Q128" s="4"/>
      <c r="R128" s="4"/>
      <c r="S128" s="4"/>
      <c r="T128" s="4"/>
      <c r="U128" s="4"/>
      <c r="V128" s="4"/>
      <c r="W128" s="4"/>
      <c r="X128" s="4"/>
      <c r="Y128" s="4"/>
      <c r="Z128" s="4"/>
      <c r="AA128" s="4"/>
      <c r="AB128" s="4"/>
      <c r="AC128" s="4"/>
      <c r="AD128" s="4"/>
      <c r="AE128" s="4"/>
      <c r="AF128" s="4"/>
      <c r="AG128" s="4"/>
      <c r="AH128" s="4"/>
      <c r="AI128" s="4"/>
      <c r="AJ128" s="4"/>
      <c r="AK128" s="4"/>
      <c r="AL128" s="4"/>
    </row>
    <row r="129" spans="1:38" ht="30" customHeight="1">
      <c r="A129" s="12"/>
      <c r="B129" s="4"/>
      <c r="C129" s="4"/>
      <c r="D129" s="4"/>
      <c r="E129" s="50"/>
      <c r="F129" s="50"/>
      <c r="G129" s="50"/>
      <c r="H129" s="50"/>
      <c r="I129" s="50"/>
      <c r="J129" s="50"/>
      <c r="K129" s="51"/>
      <c r="L129" s="51"/>
      <c r="M129" s="51"/>
      <c r="N129" s="51"/>
      <c r="O129" s="4"/>
      <c r="P129" s="4"/>
      <c r="Q129" s="4"/>
      <c r="R129" s="4"/>
      <c r="S129" s="4"/>
      <c r="T129" s="4"/>
      <c r="U129" s="4"/>
      <c r="V129" s="4"/>
      <c r="W129" s="4"/>
      <c r="X129" s="4"/>
      <c r="Y129" s="4"/>
      <c r="Z129" s="4"/>
      <c r="AA129" s="4"/>
      <c r="AB129" s="4"/>
      <c r="AC129" s="4"/>
      <c r="AD129" s="4"/>
      <c r="AE129" s="4"/>
      <c r="AF129" s="4"/>
      <c r="AG129" s="4"/>
      <c r="AH129" s="4"/>
      <c r="AI129" s="4"/>
      <c r="AJ129" s="4"/>
      <c r="AK129" s="4"/>
      <c r="AL129" s="4"/>
    </row>
    <row r="130" spans="1:38" ht="30" customHeight="1">
      <c r="A130" s="12"/>
      <c r="B130" s="4"/>
      <c r="C130" s="4"/>
      <c r="D130" s="4"/>
      <c r="E130" s="50"/>
      <c r="F130" s="50"/>
      <c r="G130" s="50"/>
      <c r="H130" s="50"/>
      <c r="I130" s="50"/>
      <c r="J130" s="50"/>
      <c r="K130" s="51"/>
      <c r="L130" s="51"/>
      <c r="M130" s="51"/>
      <c r="N130" s="51"/>
      <c r="O130" s="4"/>
      <c r="P130" s="4"/>
      <c r="Q130" s="4"/>
      <c r="R130" s="4"/>
      <c r="S130" s="4"/>
      <c r="T130" s="4"/>
      <c r="U130" s="4"/>
      <c r="V130" s="4"/>
      <c r="W130" s="4"/>
      <c r="X130" s="4"/>
      <c r="Y130" s="4"/>
      <c r="Z130" s="4"/>
      <c r="AA130" s="4"/>
      <c r="AB130" s="4"/>
      <c r="AC130" s="4"/>
      <c r="AD130" s="4"/>
      <c r="AE130" s="4"/>
      <c r="AF130" s="4"/>
      <c r="AG130" s="4"/>
      <c r="AH130" s="4"/>
      <c r="AI130" s="4"/>
      <c r="AJ130" s="4"/>
      <c r="AK130" s="4"/>
      <c r="AL130" s="4"/>
    </row>
    <row r="131" spans="1:38" ht="30" customHeight="1">
      <c r="A131" s="12"/>
      <c r="B131" s="4"/>
      <c r="C131" s="4"/>
      <c r="D131" s="4"/>
      <c r="E131" s="50"/>
      <c r="F131" s="50"/>
      <c r="G131" s="50"/>
      <c r="H131" s="50"/>
      <c r="I131" s="50"/>
      <c r="J131" s="50"/>
      <c r="K131" s="51"/>
      <c r="L131" s="51"/>
      <c r="M131" s="51"/>
      <c r="N131" s="51"/>
      <c r="O131" s="4"/>
      <c r="P131" s="4"/>
      <c r="Q131" s="4"/>
      <c r="R131" s="4"/>
      <c r="S131" s="4"/>
      <c r="T131" s="4"/>
      <c r="U131" s="4"/>
      <c r="V131" s="4"/>
      <c r="W131" s="4"/>
      <c r="X131" s="4"/>
      <c r="Y131" s="4"/>
      <c r="Z131" s="4"/>
      <c r="AA131" s="4"/>
      <c r="AB131" s="4"/>
      <c r="AC131" s="4"/>
      <c r="AD131" s="4"/>
      <c r="AE131" s="4"/>
      <c r="AF131" s="4"/>
      <c r="AG131" s="4"/>
      <c r="AH131" s="4"/>
      <c r="AI131" s="4"/>
      <c r="AJ131" s="4"/>
      <c r="AK131" s="4"/>
      <c r="AL131" s="4"/>
    </row>
    <row r="132" spans="1:38" ht="30" customHeight="1">
      <c r="A132" s="12"/>
      <c r="B132" s="4"/>
      <c r="C132" s="4"/>
      <c r="D132" s="4"/>
      <c r="E132" s="50"/>
      <c r="F132" s="50"/>
      <c r="G132" s="50"/>
      <c r="H132" s="50"/>
      <c r="I132" s="50"/>
      <c r="J132" s="50"/>
      <c r="K132" s="51"/>
      <c r="L132" s="51"/>
      <c r="M132" s="51"/>
      <c r="N132" s="51"/>
      <c r="O132" s="4"/>
      <c r="P132" s="4"/>
      <c r="Q132" s="4"/>
      <c r="R132" s="4"/>
      <c r="S132" s="4"/>
      <c r="T132" s="4"/>
      <c r="U132" s="4"/>
      <c r="V132" s="4"/>
      <c r="W132" s="4"/>
      <c r="X132" s="4"/>
      <c r="Y132" s="4"/>
      <c r="Z132" s="4"/>
      <c r="AA132" s="4"/>
      <c r="AB132" s="4"/>
      <c r="AC132" s="4"/>
      <c r="AD132" s="4"/>
      <c r="AE132" s="4"/>
      <c r="AF132" s="4"/>
      <c r="AG132" s="4"/>
      <c r="AH132" s="4"/>
      <c r="AI132" s="4"/>
      <c r="AJ132" s="4"/>
      <c r="AK132" s="4"/>
      <c r="AL132" s="4"/>
    </row>
    <row r="133" spans="1:38" ht="30" customHeight="1">
      <c r="A133" s="12"/>
      <c r="B133" s="4"/>
      <c r="C133" s="4"/>
      <c r="D133" s="4"/>
      <c r="E133" s="50"/>
      <c r="F133" s="50"/>
      <c r="G133" s="50"/>
      <c r="H133" s="50"/>
      <c r="I133" s="50"/>
      <c r="J133" s="50"/>
      <c r="K133" s="51"/>
      <c r="L133" s="51"/>
      <c r="M133" s="51"/>
      <c r="N133" s="51"/>
      <c r="O133" s="4"/>
      <c r="P133" s="4"/>
      <c r="Q133" s="4"/>
      <c r="R133" s="4"/>
      <c r="S133" s="4"/>
      <c r="T133" s="4"/>
      <c r="U133" s="4"/>
      <c r="V133" s="4"/>
      <c r="W133" s="4"/>
      <c r="X133" s="4"/>
      <c r="Y133" s="4"/>
      <c r="Z133" s="4"/>
      <c r="AA133" s="4"/>
      <c r="AB133" s="4"/>
      <c r="AC133" s="4"/>
      <c r="AD133" s="4"/>
      <c r="AE133" s="4"/>
      <c r="AF133" s="4"/>
      <c r="AG133" s="4"/>
      <c r="AH133" s="4"/>
      <c r="AI133" s="4"/>
      <c r="AJ133" s="4"/>
      <c r="AK133" s="4"/>
      <c r="AL133" s="4"/>
    </row>
    <row r="134" spans="1:38" ht="30" customHeight="1">
      <c r="A134" s="12"/>
      <c r="B134" s="4"/>
      <c r="C134" s="4"/>
      <c r="D134" s="4"/>
      <c r="E134" s="50"/>
      <c r="F134" s="50"/>
      <c r="G134" s="50"/>
      <c r="H134" s="50"/>
      <c r="I134" s="50"/>
      <c r="J134" s="50"/>
      <c r="K134" s="51"/>
      <c r="L134" s="51"/>
      <c r="M134" s="51"/>
      <c r="N134" s="51"/>
      <c r="O134" s="4"/>
      <c r="P134" s="4"/>
      <c r="Q134" s="4"/>
      <c r="R134" s="4"/>
      <c r="S134" s="4"/>
      <c r="T134" s="4"/>
      <c r="U134" s="4"/>
      <c r="V134" s="4"/>
      <c r="W134" s="4"/>
      <c r="X134" s="4"/>
      <c r="Y134" s="4"/>
      <c r="Z134" s="4"/>
      <c r="AA134" s="4"/>
      <c r="AB134" s="4"/>
      <c r="AC134" s="4"/>
      <c r="AD134" s="4"/>
      <c r="AE134" s="4"/>
      <c r="AF134" s="4"/>
      <c r="AG134" s="4"/>
      <c r="AH134" s="4"/>
      <c r="AI134" s="4"/>
      <c r="AJ134" s="4"/>
      <c r="AK134" s="4"/>
      <c r="AL134" s="4"/>
    </row>
    <row r="135" spans="1:38" ht="30" customHeight="1">
      <c r="A135" s="12"/>
      <c r="B135" s="4"/>
      <c r="C135" s="4"/>
      <c r="D135" s="4"/>
      <c r="E135" s="50"/>
      <c r="F135" s="50"/>
      <c r="G135" s="50"/>
      <c r="H135" s="50"/>
      <c r="I135" s="50"/>
      <c r="J135" s="50"/>
      <c r="K135" s="51"/>
      <c r="L135" s="51"/>
      <c r="M135" s="51"/>
      <c r="N135" s="51"/>
      <c r="O135" s="4"/>
      <c r="P135" s="4"/>
      <c r="Q135" s="4"/>
      <c r="R135" s="4"/>
      <c r="S135" s="4"/>
      <c r="T135" s="4"/>
      <c r="U135" s="4"/>
      <c r="V135" s="4"/>
      <c r="W135" s="4"/>
      <c r="X135" s="4"/>
      <c r="Y135" s="4"/>
      <c r="Z135" s="4"/>
      <c r="AA135" s="4"/>
      <c r="AB135" s="4"/>
      <c r="AC135" s="4"/>
      <c r="AD135" s="4"/>
      <c r="AE135" s="4"/>
      <c r="AF135" s="4"/>
      <c r="AG135" s="4"/>
      <c r="AH135" s="4"/>
      <c r="AI135" s="4"/>
      <c r="AJ135" s="4"/>
      <c r="AK135" s="4"/>
      <c r="AL135" s="4"/>
    </row>
    <row r="136" spans="1:38" ht="30" customHeight="1">
      <c r="A136" s="12"/>
      <c r="B136" s="4"/>
      <c r="C136" s="4"/>
      <c r="D136" s="4"/>
      <c r="E136" s="50"/>
      <c r="F136" s="50"/>
      <c r="G136" s="50"/>
      <c r="H136" s="50"/>
      <c r="I136" s="50"/>
      <c r="J136" s="50"/>
      <c r="K136" s="51"/>
      <c r="L136" s="51"/>
      <c r="M136" s="51"/>
      <c r="N136" s="51"/>
      <c r="O136" s="4"/>
      <c r="P136" s="4"/>
      <c r="Q136" s="4"/>
      <c r="R136" s="4"/>
      <c r="S136" s="4"/>
      <c r="T136" s="4"/>
      <c r="U136" s="4"/>
      <c r="V136" s="4"/>
      <c r="W136" s="4"/>
      <c r="X136" s="4"/>
      <c r="Y136" s="4"/>
      <c r="Z136" s="4"/>
      <c r="AA136" s="4"/>
      <c r="AB136" s="4"/>
      <c r="AC136" s="4"/>
      <c r="AD136" s="4"/>
      <c r="AE136" s="4"/>
      <c r="AF136" s="4"/>
      <c r="AG136" s="4"/>
      <c r="AH136" s="4"/>
      <c r="AI136" s="4"/>
      <c r="AJ136" s="4"/>
      <c r="AK136" s="4"/>
      <c r="AL136" s="4"/>
    </row>
    <row r="137" spans="1:38" ht="30" customHeight="1">
      <c r="A137" s="12"/>
      <c r="B137" s="4"/>
      <c r="C137" s="4"/>
      <c r="D137" s="4"/>
      <c r="E137" s="50"/>
      <c r="F137" s="50"/>
      <c r="G137" s="50"/>
      <c r="H137" s="50"/>
      <c r="I137" s="50"/>
      <c r="J137" s="50"/>
      <c r="K137" s="51"/>
      <c r="L137" s="51"/>
      <c r="M137" s="51"/>
      <c r="N137" s="51"/>
      <c r="O137" s="4"/>
      <c r="P137" s="4"/>
      <c r="Q137" s="4"/>
      <c r="R137" s="4"/>
      <c r="S137" s="4"/>
      <c r="T137" s="4"/>
      <c r="U137" s="4"/>
      <c r="V137" s="4"/>
      <c r="W137" s="4"/>
      <c r="X137" s="4"/>
      <c r="Y137" s="4"/>
      <c r="Z137" s="4"/>
      <c r="AA137" s="4"/>
      <c r="AB137" s="4"/>
      <c r="AC137" s="4"/>
      <c r="AD137" s="4"/>
      <c r="AE137" s="4"/>
      <c r="AF137" s="4"/>
      <c r="AG137" s="4"/>
      <c r="AH137" s="4"/>
      <c r="AI137" s="4"/>
      <c r="AJ137" s="4"/>
      <c r="AK137" s="4"/>
      <c r="AL137" s="4"/>
    </row>
    <row r="138" spans="1:38" ht="30" customHeight="1">
      <c r="A138" s="12"/>
      <c r="B138" s="4"/>
      <c r="C138" s="4"/>
      <c r="D138" s="4"/>
      <c r="E138" s="50"/>
      <c r="F138" s="50"/>
      <c r="G138" s="50"/>
      <c r="H138" s="50"/>
      <c r="I138" s="50"/>
      <c r="J138" s="50"/>
      <c r="K138" s="51"/>
      <c r="L138" s="51"/>
      <c r="M138" s="51"/>
      <c r="N138" s="51"/>
      <c r="O138" s="4"/>
      <c r="P138" s="4"/>
      <c r="Q138" s="4"/>
      <c r="R138" s="4"/>
      <c r="S138" s="4"/>
      <c r="T138" s="4"/>
      <c r="U138" s="4"/>
      <c r="V138" s="4"/>
      <c r="W138" s="4"/>
      <c r="X138" s="4"/>
      <c r="Y138" s="4"/>
      <c r="Z138" s="4"/>
      <c r="AA138" s="4"/>
      <c r="AB138" s="4"/>
      <c r="AC138" s="4"/>
      <c r="AD138" s="4"/>
      <c r="AE138" s="4"/>
      <c r="AF138" s="4"/>
      <c r="AG138" s="4"/>
      <c r="AH138" s="4"/>
      <c r="AI138" s="4"/>
      <c r="AJ138" s="4"/>
      <c r="AK138" s="4"/>
      <c r="AL138" s="4"/>
    </row>
    <row r="139" spans="1:38" ht="30" customHeight="1">
      <c r="A139" s="12"/>
      <c r="B139" s="4"/>
      <c r="C139" s="4"/>
      <c r="D139" s="4"/>
      <c r="E139" s="50"/>
      <c r="F139" s="50"/>
      <c r="G139" s="50"/>
      <c r="H139" s="50"/>
      <c r="I139" s="50"/>
      <c r="J139" s="50"/>
      <c r="K139" s="51"/>
      <c r="L139" s="51"/>
      <c r="M139" s="51"/>
      <c r="N139" s="51"/>
      <c r="O139" s="4"/>
      <c r="P139" s="4"/>
      <c r="Q139" s="4"/>
      <c r="R139" s="4"/>
      <c r="S139" s="4"/>
      <c r="T139" s="4"/>
      <c r="U139" s="4"/>
      <c r="V139" s="4"/>
      <c r="W139" s="4"/>
      <c r="X139" s="4"/>
      <c r="Y139" s="4"/>
      <c r="Z139" s="4"/>
      <c r="AA139" s="4"/>
      <c r="AB139" s="4"/>
      <c r="AC139" s="4"/>
      <c r="AD139" s="4"/>
      <c r="AE139" s="4"/>
      <c r="AF139" s="4"/>
      <c r="AG139" s="4"/>
      <c r="AH139" s="4"/>
      <c r="AI139" s="4"/>
      <c r="AJ139" s="4"/>
      <c r="AK139" s="4"/>
      <c r="AL139" s="4"/>
    </row>
    <row r="140" spans="1:38" ht="30" customHeight="1">
      <c r="A140" s="12"/>
      <c r="B140" s="4"/>
      <c r="C140" s="4"/>
      <c r="D140" s="4"/>
      <c r="E140" s="50"/>
      <c r="F140" s="50"/>
      <c r="G140" s="50"/>
      <c r="H140" s="50"/>
      <c r="I140" s="50"/>
      <c r="J140" s="50"/>
      <c r="K140" s="51"/>
      <c r="L140" s="51"/>
      <c r="M140" s="51"/>
      <c r="N140" s="51"/>
      <c r="O140" s="4"/>
      <c r="P140" s="4"/>
      <c r="Q140" s="4"/>
      <c r="R140" s="4"/>
      <c r="S140" s="4"/>
      <c r="T140" s="4"/>
      <c r="U140" s="4"/>
      <c r="V140" s="4"/>
      <c r="W140" s="4"/>
      <c r="X140" s="4"/>
      <c r="Y140" s="4"/>
      <c r="Z140" s="4"/>
      <c r="AA140" s="4"/>
      <c r="AB140" s="4"/>
      <c r="AC140" s="4"/>
      <c r="AD140" s="4"/>
      <c r="AE140" s="4"/>
      <c r="AF140" s="4"/>
      <c r="AG140" s="4"/>
      <c r="AH140" s="4"/>
      <c r="AI140" s="4"/>
      <c r="AJ140" s="4"/>
      <c r="AK140" s="4"/>
      <c r="AL140" s="4"/>
    </row>
    <row r="141" spans="1:38" ht="30" customHeight="1">
      <c r="A141" s="12"/>
      <c r="B141" s="4"/>
      <c r="C141" s="4"/>
      <c r="D141" s="4"/>
      <c r="E141" s="50"/>
      <c r="F141" s="50"/>
      <c r="G141" s="50"/>
      <c r="H141" s="50"/>
      <c r="I141" s="50"/>
      <c r="J141" s="50"/>
      <c r="K141" s="51"/>
      <c r="L141" s="51"/>
      <c r="M141" s="51"/>
      <c r="N141" s="51"/>
      <c r="O141" s="4"/>
      <c r="P141" s="4"/>
      <c r="Q141" s="4"/>
      <c r="R141" s="4"/>
      <c r="S141" s="4"/>
      <c r="T141" s="4"/>
      <c r="U141" s="4"/>
      <c r="V141" s="4"/>
      <c r="W141" s="4"/>
      <c r="X141" s="4"/>
      <c r="Y141" s="4"/>
      <c r="Z141" s="4"/>
      <c r="AA141" s="4"/>
      <c r="AB141" s="4"/>
      <c r="AC141" s="4"/>
      <c r="AD141" s="4"/>
      <c r="AE141" s="4"/>
      <c r="AF141" s="4"/>
      <c r="AG141" s="4"/>
      <c r="AH141" s="4"/>
      <c r="AI141" s="4"/>
      <c r="AJ141" s="4"/>
      <c r="AK141" s="4"/>
      <c r="AL141" s="4"/>
    </row>
    <row r="142" spans="1:38" ht="30" customHeight="1">
      <c r="A142" s="12"/>
      <c r="B142" s="4"/>
      <c r="C142" s="4"/>
      <c r="D142" s="4"/>
      <c r="E142" s="50"/>
      <c r="F142" s="50"/>
      <c r="G142" s="50"/>
      <c r="H142" s="50"/>
      <c r="I142" s="50"/>
      <c r="J142" s="50"/>
      <c r="K142" s="51"/>
      <c r="L142" s="51"/>
      <c r="M142" s="51"/>
      <c r="N142" s="51"/>
      <c r="O142" s="4"/>
      <c r="P142" s="4"/>
      <c r="Q142" s="4"/>
      <c r="R142" s="4"/>
      <c r="S142" s="4"/>
      <c r="T142" s="4"/>
      <c r="U142" s="4"/>
      <c r="V142" s="4"/>
      <c r="W142" s="4"/>
      <c r="X142" s="4"/>
      <c r="Y142" s="4"/>
      <c r="Z142" s="4"/>
      <c r="AA142" s="4"/>
      <c r="AB142" s="4"/>
      <c r="AC142" s="4"/>
      <c r="AD142" s="4"/>
      <c r="AE142" s="4"/>
      <c r="AF142" s="4"/>
      <c r="AG142" s="4"/>
      <c r="AH142" s="4"/>
      <c r="AI142" s="4"/>
      <c r="AJ142" s="4"/>
      <c r="AK142" s="4"/>
      <c r="AL142" s="4"/>
    </row>
    <row r="143" spans="1:38" ht="30" customHeight="1">
      <c r="A143" s="12"/>
      <c r="B143" s="4"/>
      <c r="C143" s="4"/>
      <c r="D143" s="4"/>
      <c r="E143" s="50"/>
      <c r="F143" s="50"/>
      <c r="G143" s="50"/>
      <c r="H143" s="50"/>
      <c r="I143" s="50"/>
      <c r="J143" s="50"/>
      <c r="K143" s="51"/>
      <c r="L143" s="51"/>
      <c r="M143" s="51"/>
      <c r="N143" s="51"/>
      <c r="O143" s="4"/>
      <c r="P143" s="4"/>
      <c r="Q143" s="4"/>
      <c r="R143" s="4"/>
      <c r="S143" s="4"/>
      <c r="T143" s="4"/>
      <c r="U143" s="4"/>
      <c r="V143" s="4"/>
      <c r="W143" s="4"/>
      <c r="X143" s="4"/>
      <c r="Y143" s="4"/>
      <c r="Z143" s="4"/>
      <c r="AA143" s="4"/>
      <c r="AB143" s="4"/>
      <c r="AC143" s="4"/>
      <c r="AD143" s="4"/>
      <c r="AE143" s="4"/>
      <c r="AF143" s="4"/>
      <c r="AG143" s="4"/>
      <c r="AH143" s="4"/>
      <c r="AI143" s="4"/>
      <c r="AJ143" s="4"/>
      <c r="AK143" s="4"/>
      <c r="AL143" s="4"/>
    </row>
    <row r="144" spans="1:38" ht="30" customHeight="1">
      <c r="A144" s="12"/>
      <c r="B144" s="4"/>
      <c r="C144" s="4"/>
      <c r="D144" s="4"/>
      <c r="E144" s="50"/>
      <c r="F144" s="50"/>
      <c r="G144" s="50"/>
      <c r="H144" s="50"/>
      <c r="I144" s="50"/>
      <c r="J144" s="50"/>
      <c r="K144" s="51"/>
      <c r="L144" s="51"/>
      <c r="M144" s="51"/>
      <c r="N144" s="51"/>
      <c r="O144" s="4"/>
      <c r="P144" s="4"/>
      <c r="Q144" s="4"/>
      <c r="R144" s="4"/>
      <c r="S144" s="4"/>
      <c r="T144" s="4"/>
      <c r="U144" s="4"/>
      <c r="V144" s="4"/>
      <c r="W144" s="4"/>
      <c r="X144" s="4"/>
      <c r="Y144" s="4"/>
      <c r="Z144" s="4"/>
      <c r="AA144" s="4"/>
      <c r="AB144" s="4"/>
      <c r="AC144" s="4"/>
      <c r="AD144" s="4"/>
      <c r="AE144" s="4"/>
      <c r="AF144" s="4"/>
      <c r="AG144" s="4"/>
      <c r="AH144" s="4"/>
      <c r="AI144" s="4"/>
      <c r="AJ144" s="4"/>
      <c r="AK144" s="4"/>
      <c r="AL144" s="4"/>
    </row>
    <row r="145" spans="1:38" ht="30" customHeight="1">
      <c r="A145" s="12"/>
      <c r="B145" s="4"/>
      <c r="C145" s="4"/>
      <c r="D145" s="4"/>
      <c r="E145" s="50"/>
      <c r="F145" s="50"/>
      <c r="G145" s="50"/>
      <c r="H145" s="50"/>
      <c r="I145" s="50"/>
      <c r="J145" s="50"/>
      <c r="K145" s="51"/>
      <c r="L145" s="51"/>
      <c r="M145" s="51"/>
      <c r="N145" s="51"/>
      <c r="O145" s="4"/>
      <c r="P145" s="4"/>
      <c r="Q145" s="4"/>
      <c r="R145" s="4"/>
      <c r="S145" s="4"/>
      <c r="T145" s="4"/>
      <c r="U145" s="4"/>
      <c r="V145" s="4"/>
      <c r="W145" s="4"/>
      <c r="X145" s="4"/>
      <c r="Y145" s="4"/>
      <c r="Z145" s="4"/>
      <c r="AA145" s="4"/>
      <c r="AB145" s="4"/>
      <c r="AC145" s="4"/>
      <c r="AD145" s="4"/>
      <c r="AE145" s="4"/>
      <c r="AF145" s="4"/>
      <c r="AG145" s="4"/>
      <c r="AH145" s="4"/>
      <c r="AI145" s="4"/>
      <c r="AJ145" s="4"/>
      <c r="AK145" s="4"/>
      <c r="AL145" s="4"/>
    </row>
    <row r="146" spans="1:38" ht="30" customHeight="1">
      <c r="A146" s="12"/>
      <c r="B146" s="4"/>
      <c r="C146" s="4"/>
      <c r="D146" s="4"/>
      <c r="E146" s="50"/>
      <c r="F146" s="50"/>
      <c r="G146" s="50"/>
      <c r="H146" s="50"/>
      <c r="I146" s="50"/>
      <c r="J146" s="50"/>
      <c r="K146" s="51"/>
      <c r="L146" s="51"/>
      <c r="M146" s="51"/>
      <c r="N146" s="51"/>
      <c r="O146" s="4"/>
      <c r="P146" s="4"/>
      <c r="Q146" s="4"/>
      <c r="R146" s="4"/>
      <c r="S146" s="4"/>
      <c r="T146" s="4"/>
      <c r="U146" s="4"/>
      <c r="V146" s="4"/>
      <c r="W146" s="4"/>
      <c r="X146" s="4"/>
      <c r="Y146" s="4"/>
      <c r="Z146" s="4"/>
      <c r="AA146" s="4"/>
      <c r="AB146" s="4"/>
      <c r="AC146" s="4"/>
      <c r="AD146" s="4"/>
      <c r="AE146" s="4"/>
      <c r="AF146" s="4"/>
      <c r="AG146" s="4"/>
      <c r="AH146" s="4"/>
      <c r="AI146" s="4"/>
      <c r="AJ146" s="4"/>
      <c r="AK146" s="4"/>
      <c r="AL146" s="4"/>
    </row>
    <row r="147" spans="1:38" ht="30" customHeight="1">
      <c r="A147" s="12"/>
      <c r="B147" s="4"/>
      <c r="C147" s="4"/>
      <c r="D147" s="4"/>
      <c r="E147" s="50"/>
      <c r="F147" s="50"/>
      <c r="G147" s="50"/>
      <c r="H147" s="50"/>
      <c r="I147" s="50"/>
      <c r="J147" s="50"/>
      <c r="K147" s="51"/>
      <c r="L147" s="51"/>
      <c r="M147" s="51"/>
      <c r="N147" s="51"/>
      <c r="O147" s="4"/>
      <c r="P147" s="4"/>
      <c r="Q147" s="4"/>
      <c r="R147" s="4"/>
      <c r="S147" s="4"/>
      <c r="T147" s="4"/>
      <c r="U147" s="4"/>
      <c r="V147" s="4"/>
      <c r="W147" s="4"/>
      <c r="X147" s="4"/>
      <c r="Y147" s="4"/>
      <c r="Z147" s="4"/>
      <c r="AA147" s="4"/>
      <c r="AB147" s="4"/>
      <c r="AC147" s="4"/>
      <c r="AD147" s="4"/>
      <c r="AE147" s="4"/>
      <c r="AF147" s="4"/>
      <c r="AG147" s="4"/>
      <c r="AH147" s="4"/>
      <c r="AI147" s="4"/>
      <c r="AJ147" s="4"/>
      <c r="AK147" s="4"/>
      <c r="AL147" s="4"/>
    </row>
    <row r="148" spans="1:38" ht="30" customHeight="1">
      <c r="A148" s="12"/>
      <c r="B148" s="4"/>
      <c r="C148" s="4"/>
      <c r="D148" s="4"/>
      <c r="E148" s="50"/>
      <c r="F148" s="50"/>
      <c r="G148" s="50"/>
      <c r="H148" s="50"/>
      <c r="I148" s="50"/>
      <c r="J148" s="50"/>
      <c r="K148" s="51"/>
      <c r="L148" s="51"/>
      <c r="M148" s="51"/>
      <c r="N148" s="51"/>
      <c r="O148" s="4"/>
      <c r="P148" s="4"/>
      <c r="Q148" s="4"/>
      <c r="R148" s="4"/>
      <c r="S148" s="4"/>
      <c r="T148" s="4"/>
      <c r="U148" s="4"/>
      <c r="V148" s="4"/>
      <c r="W148" s="4"/>
      <c r="X148" s="4"/>
      <c r="Y148" s="4"/>
      <c r="Z148" s="4"/>
      <c r="AA148" s="4"/>
      <c r="AB148" s="4"/>
      <c r="AC148" s="4"/>
      <c r="AD148" s="4"/>
      <c r="AE148" s="4"/>
      <c r="AF148" s="4"/>
      <c r="AG148" s="4"/>
      <c r="AH148" s="4"/>
      <c r="AI148" s="4"/>
      <c r="AJ148" s="4"/>
      <c r="AK148" s="4"/>
      <c r="AL148" s="4"/>
    </row>
    <row r="149" spans="1:38" ht="30" customHeight="1">
      <c r="A149" s="12"/>
      <c r="B149" s="4"/>
      <c r="C149" s="4"/>
      <c r="D149" s="4"/>
      <c r="E149" s="50"/>
      <c r="F149" s="50"/>
      <c r="G149" s="50"/>
      <c r="H149" s="50"/>
      <c r="I149" s="50"/>
      <c r="J149" s="50"/>
      <c r="K149" s="50"/>
      <c r="L149" s="50"/>
      <c r="M149" s="50"/>
      <c r="N149" s="50"/>
      <c r="O149" s="50"/>
      <c r="P149" s="4"/>
      <c r="Q149" s="4"/>
      <c r="R149" s="4"/>
      <c r="S149" s="4"/>
      <c r="T149" s="4"/>
      <c r="U149" s="4"/>
      <c r="V149" s="4"/>
      <c r="W149" s="4"/>
      <c r="X149" s="4"/>
      <c r="Y149" s="4"/>
      <c r="Z149" s="4"/>
      <c r="AA149" s="4"/>
      <c r="AB149" s="4"/>
      <c r="AC149" s="4"/>
      <c r="AD149" s="4"/>
      <c r="AE149" s="4"/>
      <c r="AF149" s="4"/>
      <c r="AG149" s="4"/>
      <c r="AH149" s="4"/>
      <c r="AI149" s="4"/>
      <c r="AJ149" s="4"/>
      <c r="AK149" s="4"/>
      <c r="AL149" s="4"/>
    </row>
    <row r="150" spans="1:38" ht="30" customHeight="1">
      <c r="A150" s="12"/>
      <c r="B150" s="4"/>
      <c r="C150" s="4"/>
      <c r="D150" s="4"/>
      <c r="E150" s="50"/>
      <c r="F150" s="50"/>
      <c r="G150" s="50"/>
      <c r="H150" s="50"/>
      <c r="I150" s="50"/>
      <c r="J150" s="50"/>
      <c r="K150" s="50"/>
      <c r="L150" s="50"/>
      <c r="M150" s="50"/>
      <c r="N150" s="50"/>
      <c r="O150" s="50"/>
      <c r="P150" s="50"/>
      <c r="Q150" s="50"/>
      <c r="R150" s="50"/>
      <c r="S150" s="50"/>
      <c r="T150" s="50"/>
      <c r="U150" s="50"/>
      <c r="V150" s="50"/>
      <c r="W150" s="50"/>
      <c r="X150" s="50"/>
      <c r="Y150" s="4"/>
      <c r="Z150" s="4"/>
      <c r="AA150" s="4"/>
      <c r="AB150" s="4"/>
      <c r="AC150" s="4"/>
      <c r="AD150" s="4"/>
      <c r="AE150" s="4"/>
      <c r="AF150" s="4"/>
      <c r="AG150" s="4"/>
      <c r="AH150" s="4"/>
      <c r="AI150" s="4"/>
      <c r="AJ150" s="4"/>
      <c r="AK150" s="4"/>
      <c r="AL150" s="4"/>
    </row>
    <row r="151" spans="1:38" ht="30" customHeight="1">
      <c r="A151" s="12"/>
      <c r="B151" s="4"/>
      <c r="C151" s="4"/>
      <c r="D151" s="4"/>
      <c r="E151" s="50"/>
      <c r="F151" s="50"/>
      <c r="G151" s="50"/>
      <c r="H151" s="50"/>
      <c r="I151" s="50"/>
      <c r="J151" s="50"/>
      <c r="K151" s="50"/>
      <c r="L151" s="50"/>
      <c r="M151" s="50"/>
      <c r="N151" s="50"/>
      <c r="O151" s="50"/>
      <c r="P151" s="50"/>
      <c r="Q151" s="50"/>
      <c r="R151" s="50"/>
      <c r="S151" s="50"/>
      <c r="T151" s="50"/>
      <c r="U151" s="50"/>
      <c r="V151" s="50"/>
      <c r="W151" s="50"/>
      <c r="X151" s="50"/>
      <c r="Y151" s="4"/>
      <c r="Z151" s="4"/>
      <c r="AA151" s="4"/>
      <c r="AB151" s="4"/>
      <c r="AC151" s="4"/>
      <c r="AD151" s="4"/>
      <c r="AE151" s="4"/>
      <c r="AF151" s="4"/>
      <c r="AG151" s="4"/>
      <c r="AH151" s="4"/>
      <c r="AI151" s="4"/>
      <c r="AJ151" s="4"/>
      <c r="AK151" s="4"/>
      <c r="AL151" s="4"/>
    </row>
    <row r="152" spans="1:38" ht="30" customHeight="1">
      <c r="A152" s="12"/>
      <c r="B152" s="4"/>
      <c r="C152" s="4"/>
      <c r="D152" s="4"/>
      <c r="E152" s="50"/>
      <c r="F152" s="50"/>
      <c r="G152" s="50"/>
      <c r="H152" s="50"/>
      <c r="I152" s="50"/>
      <c r="J152" s="50"/>
      <c r="K152" s="50"/>
      <c r="L152" s="50"/>
      <c r="M152" s="50"/>
      <c r="N152" s="50"/>
      <c r="O152" s="50"/>
      <c r="P152" s="50"/>
      <c r="Q152" s="50"/>
      <c r="R152" s="50"/>
      <c r="S152" s="50"/>
      <c r="T152" s="50"/>
      <c r="U152" s="50"/>
      <c r="V152" s="50"/>
      <c r="W152" s="50"/>
      <c r="X152" s="50"/>
      <c r="Y152" s="4"/>
      <c r="Z152" s="4"/>
      <c r="AA152" s="4"/>
      <c r="AB152" s="4"/>
      <c r="AC152" s="4"/>
      <c r="AD152" s="4"/>
      <c r="AE152" s="4"/>
      <c r="AF152" s="4"/>
      <c r="AG152" s="4"/>
      <c r="AH152" s="4"/>
      <c r="AI152" s="4"/>
      <c r="AJ152" s="4"/>
      <c r="AK152" s="4"/>
      <c r="AL152" s="4"/>
    </row>
    <row r="153" spans="1:38" ht="30" customHeight="1">
      <c r="A153" s="12"/>
      <c r="B153" s="4"/>
      <c r="C153" s="4"/>
      <c r="D153" s="4"/>
      <c r="E153" s="50"/>
      <c r="F153" s="50"/>
      <c r="G153" s="50"/>
      <c r="H153" s="50"/>
      <c r="I153" s="50"/>
      <c r="J153" s="50"/>
      <c r="K153" s="50"/>
      <c r="L153" s="50"/>
      <c r="M153" s="50"/>
      <c r="N153" s="50"/>
      <c r="O153" s="50"/>
      <c r="P153" s="50"/>
      <c r="Q153" s="50"/>
      <c r="R153" s="50"/>
      <c r="S153" s="50"/>
      <c r="T153" s="50"/>
      <c r="U153" s="50"/>
      <c r="V153" s="50"/>
      <c r="W153" s="50"/>
      <c r="X153" s="50"/>
      <c r="Y153" s="4"/>
      <c r="Z153" s="4"/>
      <c r="AA153" s="4"/>
      <c r="AB153" s="4"/>
      <c r="AC153" s="4"/>
      <c r="AD153" s="4"/>
      <c r="AE153" s="4"/>
      <c r="AF153" s="4"/>
      <c r="AG153" s="4"/>
      <c r="AH153" s="4"/>
      <c r="AI153" s="4"/>
      <c r="AJ153" s="4"/>
      <c r="AK153" s="4"/>
      <c r="AL153" s="4"/>
    </row>
    <row r="154" spans="1:38" ht="30" customHeight="1">
      <c r="A154" s="12"/>
      <c r="B154" s="4"/>
      <c r="C154" s="4"/>
      <c r="D154" s="4"/>
      <c r="E154" s="50"/>
      <c r="F154" s="50"/>
      <c r="G154" s="50"/>
      <c r="H154" s="50"/>
      <c r="I154" s="50"/>
      <c r="J154" s="50"/>
      <c r="K154" s="50"/>
      <c r="L154" s="50"/>
      <c r="M154" s="50"/>
      <c r="N154" s="50"/>
      <c r="O154" s="50"/>
      <c r="P154" s="50"/>
      <c r="Q154" s="50"/>
      <c r="R154" s="50"/>
      <c r="S154" s="50"/>
      <c r="T154" s="50"/>
      <c r="U154" s="50"/>
      <c r="V154" s="50"/>
      <c r="W154" s="50"/>
      <c r="X154" s="50"/>
      <c r="Y154" s="4"/>
      <c r="Z154" s="4"/>
      <c r="AA154" s="4"/>
      <c r="AB154" s="4"/>
      <c r="AC154" s="4"/>
      <c r="AD154" s="4"/>
      <c r="AE154" s="4"/>
      <c r="AF154" s="4"/>
      <c r="AG154" s="4"/>
      <c r="AH154" s="4"/>
      <c r="AI154" s="4"/>
      <c r="AJ154" s="4"/>
      <c r="AK154" s="4"/>
      <c r="AL154" s="4"/>
    </row>
    <row r="155" spans="1:38" ht="30" customHeight="1">
      <c r="A155" s="12"/>
      <c r="B155" s="4"/>
      <c r="C155" s="4"/>
      <c r="D155" s="4"/>
      <c r="E155" s="50"/>
      <c r="F155" s="50"/>
      <c r="G155" s="50"/>
      <c r="H155" s="50"/>
      <c r="I155" s="50"/>
      <c r="J155" s="50"/>
      <c r="K155" s="50"/>
      <c r="L155" s="50"/>
      <c r="M155" s="50"/>
      <c r="N155" s="50"/>
      <c r="O155" s="50"/>
      <c r="P155" s="50"/>
      <c r="Q155" s="50"/>
      <c r="R155" s="50"/>
      <c r="S155" s="50"/>
      <c r="T155" s="50"/>
      <c r="U155" s="50"/>
      <c r="V155" s="50"/>
      <c r="W155" s="50"/>
      <c r="X155" s="50"/>
      <c r="Y155" s="4"/>
      <c r="Z155" s="4"/>
      <c r="AA155" s="4"/>
      <c r="AB155" s="4"/>
      <c r="AC155" s="4"/>
      <c r="AD155" s="4"/>
      <c r="AE155" s="4"/>
      <c r="AF155" s="4"/>
      <c r="AG155" s="4"/>
      <c r="AH155" s="4"/>
      <c r="AI155" s="4"/>
      <c r="AJ155" s="4"/>
      <c r="AK155" s="4"/>
      <c r="AL155" s="4"/>
    </row>
    <row r="156" spans="1:38" ht="30" customHeight="1">
      <c r="A156" s="12"/>
      <c r="B156" s="4"/>
      <c r="C156" s="4"/>
      <c r="D156" s="4"/>
      <c r="E156" s="50"/>
      <c r="F156" s="50"/>
      <c r="G156" s="50"/>
      <c r="H156" s="50"/>
      <c r="I156" s="50"/>
      <c r="J156" s="50"/>
      <c r="K156" s="50"/>
      <c r="L156" s="50"/>
      <c r="M156" s="50"/>
      <c r="N156" s="50"/>
      <c r="O156" s="50"/>
      <c r="P156" s="50"/>
      <c r="Q156" s="50"/>
      <c r="R156" s="50"/>
      <c r="S156" s="50"/>
      <c r="T156" s="50"/>
      <c r="U156" s="50"/>
      <c r="V156" s="50"/>
      <c r="W156" s="50"/>
      <c r="X156" s="50"/>
      <c r="Y156" s="4"/>
      <c r="Z156" s="4"/>
      <c r="AA156" s="4"/>
      <c r="AB156" s="4"/>
      <c r="AC156" s="4"/>
      <c r="AD156" s="4"/>
      <c r="AE156" s="4"/>
      <c r="AF156" s="4"/>
      <c r="AG156" s="4"/>
      <c r="AH156" s="4"/>
      <c r="AI156" s="4"/>
      <c r="AJ156" s="4"/>
      <c r="AK156" s="4"/>
      <c r="AL156" s="4"/>
    </row>
    <row r="157" spans="1:38" ht="30" customHeight="1">
      <c r="A157" s="12"/>
      <c r="B157" s="4"/>
      <c r="C157" s="4"/>
      <c r="D157" s="4"/>
      <c r="E157" s="50"/>
      <c r="F157" s="50"/>
      <c r="G157" s="50"/>
      <c r="H157" s="50"/>
      <c r="I157" s="50"/>
      <c r="J157" s="50"/>
      <c r="K157" s="50"/>
      <c r="L157" s="50"/>
      <c r="M157" s="50"/>
      <c r="N157" s="50"/>
      <c r="O157" s="50"/>
      <c r="P157" s="50"/>
      <c r="Q157" s="50"/>
      <c r="R157" s="50"/>
      <c r="S157" s="50"/>
      <c r="T157" s="50"/>
      <c r="U157" s="50"/>
      <c r="V157" s="50"/>
      <c r="W157" s="50"/>
      <c r="X157" s="50"/>
      <c r="Y157" s="4"/>
      <c r="Z157" s="4"/>
      <c r="AA157" s="4"/>
      <c r="AB157" s="4"/>
      <c r="AC157" s="4"/>
      <c r="AD157" s="4"/>
      <c r="AE157" s="4"/>
      <c r="AF157" s="4"/>
      <c r="AG157" s="4"/>
      <c r="AH157" s="4"/>
      <c r="AI157" s="4"/>
      <c r="AJ157" s="4"/>
      <c r="AK157" s="4"/>
      <c r="AL157" s="4"/>
    </row>
    <row r="158" spans="1:38" ht="30" customHeight="1">
      <c r="A158" s="12"/>
      <c r="B158" s="4"/>
      <c r="C158" s="4"/>
      <c r="D158" s="4"/>
      <c r="E158" s="50"/>
      <c r="F158" s="50"/>
      <c r="G158" s="50"/>
      <c r="H158" s="50"/>
      <c r="I158" s="50"/>
      <c r="J158" s="50"/>
      <c r="K158" s="50"/>
      <c r="L158" s="50"/>
      <c r="M158" s="50"/>
      <c r="N158" s="50"/>
      <c r="O158" s="50"/>
      <c r="P158" s="50"/>
      <c r="Q158" s="50"/>
      <c r="R158" s="50"/>
      <c r="S158" s="50"/>
      <c r="T158" s="50"/>
      <c r="U158" s="50"/>
      <c r="V158" s="50"/>
      <c r="W158" s="50"/>
      <c r="X158" s="50"/>
      <c r="Y158" s="4"/>
      <c r="Z158" s="4"/>
      <c r="AA158" s="4"/>
      <c r="AB158" s="4"/>
      <c r="AC158" s="4"/>
      <c r="AD158" s="4"/>
      <c r="AE158" s="4"/>
      <c r="AF158" s="4"/>
      <c r="AG158" s="4"/>
      <c r="AH158" s="4"/>
      <c r="AI158" s="4"/>
      <c r="AJ158" s="4"/>
      <c r="AK158" s="4"/>
      <c r="AL158" s="4"/>
    </row>
    <row r="159" spans="1:38" ht="30" customHeight="1">
      <c r="A159" s="12"/>
      <c r="B159" s="4"/>
      <c r="C159" s="4"/>
      <c r="D159" s="4"/>
      <c r="E159" s="50"/>
      <c r="F159" s="50"/>
      <c r="G159" s="50"/>
      <c r="H159" s="50"/>
      <c r="I159" s="50"/>
      <c r="J159" s="50"/>
      <c r="K159" s="50"/>
      <c r="L159" s="50"/>
      <c r="M159" s="50"/>
      <c r="N159" s="50"/>
      <c r="O159" s="50"/>
      <c r="P159" s="50"/>
      <c r="Q159" s="50"/>
      <c r="R159" s="50"/>
      <c r="S159" s="50"/>
      <c r="T159" s="50"/>
      <c r="U159" s="50"/>
      <c r="V159" s="50"/>
      <c r="W159" s="50"/>
      <c r="X159" s="50"/>
      <c r="Y159" s="4"/>
      <c r="Z159" s="4"/>
      <c r="AA159" s="4"/>
      <c r="AB159" s="4"/>
      <c r="AC159" s="4"/>
      <c r="AD159" s="4"/>
      <c r="AE159" s="4"/>
      <c r="AF159" s="4"/>
      <c r="AG159" s="4"/>
      <c r="AH159" s="4"/>
      <c r="AI159" s="4"/>
      <c r="AJ159" s="4"/>
      <c r="AK159" s="4"/>
      <c r="AL159" s="4"/>
    </row>
    <row r="160" spans="1:38" ht="30" customHeight="1">
      <c r="A160" s="12"/>
      <c r="B160" s="4"/>
      <c r="C160" s="4"/>
      <c r="D160" s="4"/>
      <c r="E160" s="50"/>
      <c r="F160" s="50"/>
      <c r="G160" s="50"/>
      <c r="H160" s="50"/>
      <c r="I160" s="50"/>
      <c r="J160" s="50"/>
      <c r="K160" s="50"/>
      <c r="L160" s="50"/>
      <c r="M160" s="50"/>
      <c r="N160" s="50"/>
      <c r="O160" s="50"/>
      <c r="P160" s="50"/>
      <c r="Q160" s="50"/>
      <c r="R160" s="50"/>
      <c r="S160" s="50"/>
      <c r="T160" s="50"/>
      <c r="U160" s="50"/>
      <c r="V160" s="50"/>
      <c r="W160" s="50"/>
      <c r="X160" s="50"/>
      <c r="Y160" s="4"/>
      <c r="Z160" s="4"/>
      <c r="AA160" s="4"/>
      <c r="AB160" s="4"/>
      <c r="AC160" s="4"/>
      <c r="AD160" s="4"/>
      <c r="AE160" s="4"/>
      <c r="AF160" s="4"/>
      <c r="AG160" s="4"/>
      <c r="AH160" s="4"/>
      <c r="AI160" s="4"/>
      <c r="AJ160" s="4"/>
      <c r="AK160" s="4"/>
      <c r="AL160" s="4"/>
    </row>
    <row r="161" spans="1:39" ht="30" customHeight="1">
      <c r="A161" s="12"/>
      <c r="B161" s="4"/>
      <c r="C161" s="4"/>
      <c r="D161" s="4"/>
      <c r="E161" s="50"/>
      <c r="F161" s="50"/>
      <c r="G161" s="50"/>
      <c r="H161" s="50"/>
      <c r="I161" s="50"/>
      <c r="J161" s="50"/>
      <c r="K161" s="50"/>
      <c r="L161" s="50"/>
      <c r="M161" s="50"/>
      <c r="N161" s="50"/>
      <c r="O161" s="50"/>
      <c r="P161" s="50"/>
      <c r="Q161" s="50"/>
      <c r="R161" s="50"/>
      <c r="S161" s="50"/>
      <c r="T161" s="50"/>
      <c r="U161" s="50"/>
      <c r="V161" s="50"/>
      <c r="W161" s="50"/>
      <c r="X161" s="50"/>
      <c r="Y161" s="4"/>
      <c r="Z161" s="4"/>
      <c r="AA161" s="4"/>
      <c r="AB161" s="4"/>
      <c r="AC161" s="4"/>
      <c r="AD161" s="4"/>
      <c r="AE161" s="4"/>
      <c r="AF161" s="4"/>
      <c r="AG161" s="4"/>
      <c r="AH161" s="4"/>
      <c r="AI161" s="4"/>
      <c r="AJ161" s="4"/>
      <c r="AK161" s="4"/>
      <c r="AL161" s="4"/>
    </row>
    <row r="162" spans="1:39" ht="30" customHeight="1">
      <c r="A162" s="12"/>
      <c r="B162" s="4"/>
      <c r="C162" s="4"/>
      <c r="D162" s="4"/>
      <c r="E162" s="50"/>
      <c r="F162" s="50"/>
      <c r="G162" s="50"/>
      <c r="H162" s="50"/>
      <c r="I162" s="50"/>
      <c r="J162" s="50"/>
      <c r="K162" s="50"/>
      <c r="L162" s="50"/>
      <c r="M162" s="50"/>
      <c r="N162" s="50"/>
      <c r="O162" s="50"/>
      <c r="P162" s="50"/>
      <c r="Q162" s="50"/>
      <c r="R162" s="50"/>
      <c r="S162" s="50"/>
      <c r="T162" s="50"/>
      <c r="U162" s="50"/>
      <c r="V162" s="50"/>
      <c r="W162" s="50"/>
      <c r="X162" s="50"/>
      <c r="Y162" s="4"/>
      <c r="Z162" s="4"/>
      <c r="AA162" s="4"/>
      <c r="AB162" s="4"/>
      <c r="AC162" s="4"/>
      <c r="AD162" s="4"/>
      <c r="AE162" s="4"/>
      <c r="AF162" s="4"/>
      <c r="AG162" s="4"/>
      <c r="AH162" s="4"/>
      <c r="AI162" s="4"/>
      <c r="AJ162" s="4"/>
      <c r="AK162" s="4"/>
      <c r="AL162" s="4"/>
    </row>
    <row r="163" spans="1:39" ht="30" customHeight="1">
      <c r="A163" s="12"/>
      <c r="B163" s="4"/>
      <c r="C163" s="4"/>
      <c r="D163" s="4"/>
      <c r="P163" s="50"/>
      <c r="Q163" s="50"/>
      <c r="R163" s="50"/>
      <c r="S163" s="50"/>
      <c r="T163" s="50"/>
      <c r="U163" s="50"/>
      <c r="V163" s="50"/>
      <c r="W163" s="50"/>
      <c r="X163" s="50"/>
      <c r="Y163" s="4"/>
      <c r="Z163" s="4"/>
      <c r="AA163" s="4"/>
      <c r="AB163" s="4"/>
      <c r="AC163" s="4"/>
      <c r="AD163" s="4"/>
      <c r="AE163" s="4"/>
      <c r="AF163" s="4"/>
      <c r="AG163" s="4"/>
      <c r="AH163" s="4"/>
      <c r="AI163" s="4"/>
      <c r="AJ163" s="4"/>
      <c r="AK163" s="4"/>
      <c r="AL163" s="4"/>
    </row>
    <row r="164" spans="1:39" ht="30" customHeight="1">
      <c r="A164" s="12"/>
      <c r="B164" s="4"/>
      <c r="C164" s="4"/>
      <c r="D164" s="4"/>
      <c r="Y164" s="4"/>
      <c r="Z164" s="4"/>
      <c r="AA164" s="4"/>
      <c r="AB164" s="4"/>
      <c r="AC164" s="4"/>
      <c r="AD164" s="4"/>
      <c r="AE164" s="4"/>
      <c r="AF164" s="4"/>
      <c r="AG164" s="4"/>
      <c r="AH164" s="4"/>
      <c r="AI164" s="4"/>
      <c r="AJ164" s="4"/>
      <c r="AK164" s="4"/>
      <c r="AL164" s="4"/>
    </row>
    <row r="165" spans="1:39" ht="30" customHeight="1">
      <c r="A165" s="12"/>
      <c r="B165" s="4"/>
      <c r="C165" s="4"/>
      <c r="D165" s="4"/>
      <c r="Y165" s="4"/>
      <c r="Z165" s="4"/>
      <c r="AA165" s="4"/>
      <c r="AB165" s="4"/>
      <c r="AC165" s="4"/>
      <c r="AD165" s="4"/>
      <c r="AE165" s="4"/>
      <c r="AF165" s="4"/>
      <c r="AG165" s="4"/>
      <c r="AH165" s="4"/>
      <c r="AI165" s="4"/>
      <c r="AJ165" s="4"/>
      <c r="AK165" s="4"/>
      <c r="AL165" s="4"/>
    </row>
    <row r="166" spans="1:39" ht="30" customHeight="1">
      <c r="A166" s="12"/>
      <c r="B166" s="4"/>
      <c r="C166" s="4"/>
      <c r="D166" s="4"/>
      <c r="Y166" s="4"/>
      <c r="Z166" s="4"/>
      <c r="AA166" s="50"/>
      <c r="AB166" s="50"/>
      <c r="AC166" s="50"/>
      <c r="AD166" s="50"/>
      <c r="AE166" s="50"/>
      <c r="AF166" s="50"/>
      <c r="AG166" s="50"/>
      <c r="AH166" s="50"/>
      <c r="AI166" s="50"/>
      <c r="AJ166" s="50"/>
      <c r="AK166" s="50"/>
      <c r="AL166" s="50"/>
    </row>
    <row r="167" spans="1:39" ht="30" customHeight="1">
      <c r="A167" s="12"/>
      <c r="B167" s="4"/>
      <c r="C167" s="4"/>
      <c r="D167" s="4"/>
      <c r="Y167" s="4"/>
      <c r="Z167" s="4"/>
      <c r="AA167" s="50"/>
      <c r="AB167" s="50"/>
      <c r="AC167" s="50"/>
      <c r="AD167" s="50"/>
      <c r="AE167" s="50"/>
      <c r="AF167" s="50"/>
      <c r="AG167" s="50"/>
      <c r="AH167" s="50"/>
      <c r="AI167" s="50"/>
      <c r="AJ167" s="50"/>
      <c r="AK167" s="50"/>
      <c r="AL167" s="50"/>
    </row>
    <row r="168" spans="1:39" ht="30" customHeight="1">
      <c r="A168" s="12"/>
      <c r="B168" s="4"/>
      <c r="C168" s="4"/>
      <c r="D168" s="4"/>
      <c r="Y168" s="4"/>
      <c r="Z168" s="50"/>
      <c r="AA168" s="50"/>
      <c r="AB168" s="50"/>
      <c r="AC168" s="50"/>
      <c r="AD168" s="50"/>
      <c r="AE168" s="50"/>
      <c r="AF168" s="50"/>
      <c r="AG168" s="50"/>
      <c r="AH168" s="50"/>
      <c r="AI168" s="50"/>
      <c r="AJ168" s="50"/>
      <c r="AK168" s="50"/>
      <c r="AL168" s="50"/>
    </row>
    <row r="169" spans="1:39" ht="30" customHeight="1">
      <c r="A169" s="12"/>
      <c r="B169" s="4"/>
      <c r="C169" s="4"/>
      <c r="D169" s="4"/>
      <c r="Y169" s="4"/>
      <c r="Z169" s="50"/>
      <c r="AA169" s="50"/>
      <c r="AB169" s="50"/>
      <c r="AC169" s="50"/>
      <c r="AD169" s="50"/>
      <c r="AE169" s="50"/>
      <c r="AF169" s="50"/>
      <c r="AG169" s="50"/>
      <c r="AH169" s="50"/>
      <c r="AI169" s="50"/>
      <c r="AJ169" s="50"/>
      <c r="AK169" s="50"/>
      <c r="AL169" s="50"/>
    </row>
    <row r="170" spans="1:39" ht="30" customHeight="1">
      <c r="A170" s="12"/>
      <c r="B170" s="4"/>
      <c r="C170" s="4"/>
      <c r="D170" s="4"/>
      <c r="Y170" s="4"/>
      <c r="Z170" s="50"/>
      <c r="AA170" s="50"/>
      <c r="AB170" s="50"/>
      <c r="AC170" s="50"/>
      <c r="AD170" s="50"/>
      <c r="AE170" s="50"/>
      <c r="AF170" s="50"/>
      <c r="AG170" s="50"/>
      <c r="AH170" s="50"/>
      <c r="AI170" s="50"/>
      <c r="AJ170" s="50"/>
      <c r="AK170" s="50"/>
      <c r="AL170" s="50"/>
    </row>
    <row r="171" spans="1:39" ht="30" customHeight="1">
      <c r="A171" s="12"/>
      <c r="B171" s="4"/>
      <c r="C171" s="4"/>
      <c r="D171" s="4"/>
      <c r="Y171" s="4"/>
      <c r="Z171" s="50"/>
      <c r="AA171" s="50"/>
      <c r="AB171" s="50"/>
      <c r="AC171" s="50"/>
      <c r="AD171" s="50"/>
      <c r="AE171" s="50"/>
      <c r="AF171" s="50"/>
      <c r="AG171" s="50"/>
      <c r="AH171" s="50"/>
      <c r="AI171" s="50"/>
      <c r="AJ171" s="50"/>
      <c r="AK171" s="50"/>
      <c r="AL171" s="50"/>
    </row>
    <row r="172" spans="1:39" ht="30" customHeight="1">
      <c r="A172" s="12"/>
      <c r="B172" s="4"/>
      <c r="C172" s="4"/>
      <c r="D172" s="4"/>
      <c r="Y172" s="50"/>
      <c r="Z172" s="50"/>
      <c r="AA172" s="50"/>
      <c r="AB172" s="50"/>
      <c r="AC172" s="50"/>
      <c r="AD172" s="50"/>
      <c r="AE172" s="50"/>
      <c r="AF172" s="50"/>
      <c r="AG172" s="50"/>
      <c r="AH172" s="50"/>
      <c r="AI172" s="50"/>
      <c r="AJ172" s="50"/>
      <c r="AK172" s="50"/>
      <c r="AL172" s="50"/>
    </row>
    <row r="173" spans="1:39" s="3" customFormat="1" ht="30" customHeight="1">
      <c r="A173" s="12"/>
      <c r="B173" s="4"/>
      <c r="C173" s="4"/>
      <c r="D173" s="4"/>
      <c r="E173" s="5"/>
      <c r="F173" s="5"/>
      <c r="G173" s="5"/>
      <c r="H173" s="5"/>
      <c r="I173" s="5"/>
      <c r="J173" s="5"/>
      <c r="K173" s="5"/>
      <c r="L173" s="5"/>
      <c r="M173" s="5"/>
      <c r="N173" s="5"/>
      <c r="O173" s="5"/>
      <c r="P173" s="5"/>
      <c r="Q173" s="5"/>
      <c r="R173" s="5"/>
      <c r="S173" s="5"/>
      <c r="T173" s="5"/>
      <c r="U173" s="5"/>
      <c r="V173" s="5"/>
      <c r="W173" s="5"/>
      <c r="X173" s="5"/>
      <c r="Y173" s="50"/>
      <c r="Z173" s="50"/>
      <c r="AA173" s="50"/>
      <c r="AB173" s="50"/>
      <c r="AC173" s="50"/>
      <c r="AD173" s="50"/>
      <c r="AE173" s="50"/>
      <c r="AF173" s="50"/>
      <c r="AG173" s="50"/>
      <c r="AH173" s="50"/>
      <c r="AI173" s="50"/>
      <c r="AJ173" s="50"/>
      <c r="AK173" s="50"/>
      <c r="AL173" s="50"/>
      <c r="AM173" s="5"/>
    </row>
    <row r="174" spans="1:39" s="3" customFormat="1" ht="30" customHeight="1">
      <c r="A174" s="12"/>
      <c r="B174" s="4"/>
      <c r="C174" s="4"/>
      <c r="D174" s="4"/>
      <c r="E174" s="5"/>
      <c r="F174" s="5"/>
      <c r="G174" s="5"/>
      <c r="H174" s="5"/>
      <c r="I174" s="5"/>
      <c r="J174" s="5"/>
      <c r="K174" s="5"/>
      <c r="L174" s="5"/>
      <c r="M174" s="5"/>
      <c r="N174" s="5"/>
      <c r="O174" s="5"/>
      <c r="P174" s="5"/>
      <c r="Q174" s="5"/>
      <c r="R174" s="5"/>
      <c r="S174" s="5"/>
      <c r="T174" s="5"/>
      <c r="U174" s="5"/>
      <c r="V174" s="5"/>
      <c r="W174" s="5"/>
      <c r="X174" s="5"/>
      <c r="Y174" s="50"/>
      <c r="Z174" s="50"/>
      <c r="AA174" s="50"/>
      <c r="AB174" s="50"/>
      <c r="AC174" s="50"/>
      <c r="AD174" s="50"/>
      <c r="AE174" s="50"/>
      <c r="AF174" s="50"/>
      <c r="AG174" s="50"/>
      <c r="AH174" s="50"/>
      <c r="AI174" s="50"/>
      <c r="AJ174" s="50"/>
      <c r="AK174" s="50"/>
      <c r="AL174" s="50"/>
      <c r="AM174" s="5"/>
    </row>
    <row r="175" spans="1:39" s="3" customFormat="1" ht="30" customHeight="1">
      <c r="A175" s="12"/>
      <c r="B175" s="4"/>
      <c r="C175" s="4"/>
      <c r="D175" s="4"/>
      <c r="E175" s="5"/>
      <c r="F175" s="5"/>
      <c r="G175" s="5"/>
      <c r="H175" s="5"/>
      <c r="I175" s="5"/>
      <c r="J175" s="5"/>
      <c r="K175" s="5"/>
      <c r="L175" s="5"/>
      <c r="M175" s="5"/>
      <c r="N175" s="5"/>
      <c r="O175" s="5"/>
      <c r="P175" s="5"/>
      <c r="Q175" s="5"/>
      <c r="R175" s="5"/>
      <c r="S175" s="5"/>
      <c r="T175" s="5"/>
      <c r="U175" s="5"/>
      <c r="V175" s="5"/>
      <c r="W175" s="5"/>
      <c r="X175" s="5"/>
      <c r="Y175" s="50"/>
      <c r="Z175" s="50"/>
      <c r="AA175" s="50"/>
      <c r="AB175" s="50"/>
      <c r="AC175" s="50"/>
      <c r="AD175" s="50"/>
      <c r="AE175" s="50"/>
      <c r="AF175" s="50"/>
      <c r="AG175" s="50"/>
      <c r="AH175" s="50"/>
      <c r="AI175" s="50"/>
      <c r="AJ175" s="50"/>
      <c r="AK175" s="50"/>
      <c r="AL175" s="50"/>
      <c r="AM175" s="5"/>
    </row>
    <row r="176" spans="1:39" s="3" customFormat="1" ht="30" customHeight="1">
      <c r="B176" s="4"/>
      <c r="C176" s="4"/>
      <c r="D176" s="4"/>
      <c r="E176" s="5"/>
      <c r="F176" s="5"/>
      <c r="G176" s="5"/>
      <c r="H176" s="5"/>
      <c r="I176" s="5"/>
      <c r="J176" s="5"/>
      <c r="K176" s="5"/>
      <c r="L176" s="5"/>
      <c r="M176" s="5"/>
      <c r="N176" s="5"/>
      <c r="O176" s="5"/>
      <c r="P176" s="5"/>
      <c r="Q176" s="5"/>
      <c r="R176" s="5"/>
      <c r="S176" s="5"/>
      <c r="T176" s="5"/>
      <c r="U176" s="5"/>
      <c r="V176" s="5"/>
      <c r="W176" s="5"/>
      <c r="X176" s="5"/>
      <c r="Y176" s="50"/>
      <c r="Z176" s="50"/>
      <c r="AA176" s="50"/>
      <c r="AB176" s="50"/>
      <c r="AC176" s="50"/>
      <c r="AD176" s="50"/>
      <c r="AE176" s="50"/>
      <c r="AF176" s="50"/>
      <c r="AG176" s="50"/>
      <c r="AH176" s="50"/>
      <c r="AI176" s="50"/>
      <c r="AJ176" s="50"/>
      <c r="AK176" s="50"/>
      <c r="AL176" s="50"/>
      <c r="AM176" s="5"/>
    </row>
    <row r="177" spans="2:39" s="3" customFormat="1" ht="30" customHeight="1">
      <c r="B177" s="4"/>
      <c r="C177" s="4"/>
      <c r="D177" s="4"/>
      <c r="E177" s="5"/>
      <c r="F177" s="5"/>
      <c r="G177" s="5"/>
      <c r="H177" s="5"/>
      <c r="I177" s="5"/>
      <c r="J177" s="5"/>
      <c r="K177" s="5"/>
      <c r="L177" s="5"/>
      <c r="M177" s="5"/>
      <c r="N177" s="5"/>
      <c r="O177" s="5"/>
      <c r="P177" s="5"/>
      <c r="Q177" s="5"/>
      <c r="R177" s="5"/>
      <c r="S177" s="5"/>
      <c r="T177" s="5"/>
      <c r="U177" s="5"/>
      <c r="V177" s="5"/>
      <c r="W177" s="5"/>
      <c r="X177" s="5"/>
      <c r="Y177" s="50"/>
      <c r="Z177" s="50"/>
      <c r="AA177" s="50"/>
      <c r="AB177" s="50"/>
      <c r="AC177" s="50"/>
      <c r="AD177" s="50"/>
      <c r="AE177" s="50"/>
      <c r="AF177" s="50"/>
      <c r="AG177" s="50"/>
      <c r="AH177" s="50"/>
      <c r="AI177" s="50"/>
      <c r="AJ177" s="50"/>
      <c r="AK177" s="50"/>
      <c r="AL177" s="50"/>
      <c r="AM177" s="5"/>
    </row>
    <row r="178" spans="2:39" s="3" customFormat="1" ht="30" customHeight="1">
      <c r="B178" s="4"/>
      <c r="C178" s="4"/>
      <c r="D178" s="4"/>
      <c r="E178" s="5"/>
      <c r="F178" s="5"/>
      <c r="G178" s="5"/>
      <c r="H178" s="5"/>
      <c r="I178" s="5"/>
      <c r="J178" s="5"/>
      <c r="K178" s="5"/>
      <c r="L178" s="5"/>
      <c r="M178" s="5"/>
      <c r="N178" s="5"/>
      <c r="O178" s="5"/>
      <c r="P178" s="5"/>
      <c r="Q178" s="5"/>
      <c r="R178" s="5"/>
      <c r="S178" s="5"/>
      <c r="T178" s="5"/>
      <c r="U178" s="5"/>
      <c r="V178" s="5"/>
      <c r="W178" s="5"/>
      <c r="X178" s="5"/>
      <c r="Y178" s="50"/>
      <c r="Z178" s="50"/>
      <c r="AA178" s="50"/>
      <c r="AB178" s="50"/>
      <c r="AC178" s="50"/>
      <c r="AD178" s="50"/>
      <c r="AE178" s="50"/>
      <c r="AF178" s="50"/>
      <c r="AG178" s="50"/>
      <c r="AH178" s="50"/>
      <c r="AI178" s="50"/>
      <c r="AJ178" s="50"/>
      <c r="AK178" s="50"/>
      <c r="AL178" s="50"/>
      <c r="AM178" s="5"/>
    </row>
    <row r="179" spans="2:39" s="3" customFormat="1" ht="30" customHeight="1">
      <c r="B179" s="4"/>
      <c r="C179" s="4"/>
      <c r="D179" s="4"/>
      <c r="E179" s="5"/>
      <c r="F179" s="5"/>
      <c r="G179" s="5"/>
      <c r="H179" s="5"/>
      <c r="I179" s="5"/>
      <c r="J179" s="5"/>
      <c r="K179" s="5"/>
      <c r="L179" s="5"/>
      <c r="M179" s="5"/>
      <c r="N179" s="5"/>
      <c r="O179" s="5"/>
      <c r="P179" s="5"/>
      <c r="Q179" s="5"/>
      <c r="R179" s="5"/>
      <c r="S179" s="5"/>
      <c r="T179" s="5"/>
      <c r="U179" s="5"/>
      <c r="V179" s="5"/>
      <c r="W179" s="5"/>
      <c r="X179" s="5"/>
      <c r="Y179" s="50"/>
      <c r="Z179" s="50"/>
      <c r="AA179" s="50"/>
      <c r="AB179" s="50"/>
      <c r="AC179" s="50"/>
      <c r="AD179" s="50"/>
      <c r="AE179" s="50"/>
      <c r="AF179" s="50"/>
      <c r="AG179" s="50"/>
      <c r="AH179" s="50"/>
      <c r="AI179" s="50"/>
      <c r="AJ179" s="50"/>
      <c r="AK179" s="50"/>
      <c r="AL179" s="50"/>
      <c r="AM179" s="5"/>
    </row>
    <row r="180" spans="2:39" ht="0" hidden="1" customHeight="1">
      <c r="Y180" s="50"/>
      <c r="Z180" s="50"/>
    </row>
    <row r="181" spans="2:39" ht="0" hidden="1" customHeight="1">
      <c r="Y181" s="50"/>
      <c r="Z181" s="50"/>
    </row>
    <row r="182" spans="2:39" ht="0" hidden="1" customHeight="1">
      <c r="Y182" s="50"/>
    </row>
    <row r="183" spans="2:39" ht="0" hidden="1" customHeight="1">
      <c r="Y183" s="50"/>
    </row>
    <row r="184" spans="2:39" ht="0" hidden="1" customHeight="1">
      <c r="Y184" s="50"/>
    </row>
    <row r="185" spans="2:39" ht="0" hidden="1" customHeight="1">
      <c r="Y185" s="50"/>
    </row>
  </sheetData>
  <mergeCells count="26">
    <mergeCell ref="E28:J28"/>
    <mergeCell ref="E30:J30"/>
    <mergeCell ref="L3:V5"/>
    <mergeCell ref="I9:J9"/>
    <mergeCell ref="E10:J10"/>
    <mergeCell ref="E11:J11"/>
    <mergeCell ref="E27:J27"/>
    <mergeCell ref="E16:J16"/>
    <mergeCell ref="E17:J17"/>
    <mergeCell ref="E18:J18"/>
    <mergeCell ref="E15:J15"/>
    <mergeCell ref="E64:J64"/>
    <mergeCell ref="E65:J65"/>
    <mergeCell ref="E63:J63"/>
    <mergeCell ref="E32:J32"/>
    <mergeCell ref="E29:J29"/>
    <mergeCell ref="E36:J36"/>
    <mergeCell ref="E37:J37"/>
    <mergeCell ref="E44:J44"/>
    <mergeCell ref="E53:J53"/>
    <mergeCell ref="E62:J62"/>
    <mergeCell ref="E55:J55"/>
    <mergeCell ref="E56:J56"/>
    <mergeCell ref="E54:J54"/>
    <mergeCell ref="E38:J38"/>
    <mergeCell ref="E39:J39"/>
  </mergeCells>
  <conditionalFormatting sqref="A1:W1 X1:XFD5 V2:W2 A2:J5 W3:W5 B8:XFD8 B9:Y11 Z9:XFD12 D12:Y12 B12:J15 K13:XFD14 K15:Y15 Z15:XFD42 B16:D1048576 A29:A34 S42:Y42 A42:A1048576 V43:XFD57 K45:T48 S49:T51 S52:S56 K54:R56 K57:U57 E58:Y58 Z58:XFD60 S59:Y60 S61:U61 V61:XFD66 S62:S66 K63:R65 K66:S66 E67:XFD1048576">
    <cfRule type="cellIs" dxfId="37" priority="55" operator="equal">
      <formula>0</formula>
    </cfRule>
  </conditionalFormatting>
  <conditionalFormatting sqref="A6:XFD7">
    <cfRule type="cellIs" dxfId="36" priority="38" operator="equal">
      <formula>0</formula>
    </cfRule>
  </conditionalFormatting>
  <conditionalFormatting sqref="E13">
    <cfRule type="cellIs" dxfId="35" priority="51" operator="equal">
      <formula>0</formula>
    </cfRule>
  </conditionalFormatting>
  <conditionalFormatting sqref="E16:E19">
    <cfRule type="cellIs" dxfId="34" priority="33" operator="equal">
      <formula>0</formula>
    </cfRule>
  </conditionalFormatting>
  <conditionalFormatting sqref="E27:E31">
    <cfRule type="cellIs" dxfId="33" priority="30" operator="equal">
      <formula>0</formula>
    </cfRule>
  </conditionalFormatting>
  <conditionalFormatting sqref="E42:R44">
    <cfRule type="cellIs" dxfId="32" priority="15" operator="equal">
      <formula>0</formula>
    </cfRule>
  </conditionalFormatting>
  <conditionalFormatting sqref="E49:R53">
    <cfRule type="cellIs" dxfId="31" priority="14" operator="equal">
      <formula>0</formula>
    </cfRule>
  </conditionalFormatting>
  <conditionalFormatting sqref="E59:R62">
    <cfRule type="cellIs" dxfId="30" priority="13" operator="equal">
      <formula>0</formula>
    </cfRule>
  </conditionalFormatting>
  <conditionalFormatting sqref="E16:Y41">
    <cfRule type="cellIs" dxfId="29" priority="1" operator="equal">
      <formula>0</formula>
    </cfRule>
  </conditionalFormatting>
  <conditionalFormatting sqref="S43:U44">
    <cfRule type="cellIs" dxfId="28" priority="6" operator="equal">
      <formula>0</formula>
    </cfRule>
  </conditionalFormatting>
  <conditionalFormatting sqref="U45:U57 T52:T58">
    <cfRule type="cellIs" dxfId="27" priority="3" operator="equal">
      <formula>0</formula>
    </cfRule>
  </conditionalFormatting>
  <conditionalFormatting sqref="U62:U66 T62:T67">
    <cfRule type="cellIs" dxfId="26" priority="2" operator="equal">
      <formula>0</formula>
    </cfRule>
  </conditionalFormatting>
  <hyperlinks>
    <hyperlink ref="A18" location="Processos!A1" display="Processos" xr:uid="{98A316BD-0CA6-4494-AE02-C015CEFEFA1B}"/>
    <hyperlink ref="A8" location="Dashboard!A1" display="Dashboard" xr:uid="{774167C4-2C08-4429-BAEC-2611E48BA2DC}"/>
    <hyperlink ref="A9" location="WACC!A1" display="WACC" xr:uid="{2B5FB2A3-1361-4D73-ABE5-4DBE9B2123E7}"/>
    <hyperlink ref="A11" location="'DRE + DCF'!A1" display="DRE + DCF" xr:uid="{80353A14-B9F3-40C1-B449-A236C4EE801A}"/>
    <hyperlink ref="A12" location="'DRE - Contas Abertas'!A1" display="DRE - Contas Abertas" xr:uid="{6C84A133-88B5-4192-B0EA-3816BAF1BD7B}"/>
    <hyperlink ref="A13" location="'Balanço Patrimonial'!A1" display="Balanço Patrimonial" xr:uid="{170EB93D-6EA6-41DA-A6AC-435F8D9A8298}"/>
    <hyperlink ref="A14" location="'Painel de Índices'!A1" display="Projeções - Receita" xr:uid="{3D4256BC-D7D4-4E40-B43A-5C2EF79191A3}"/>
    <hyperlink ref="A10" location="'DRE Consolidado'!A1" display="DRE Consolidado" xr:uid="{EE86DEC9-BF4A-440A-B7C1-FFFAC167709E}"/>
    <hyperlink ref="A15" location="'Projeções - Receita e EBIT'!A1" display="Projeções - Receita" xr:uid="{3A74F240-177A-493C-AC68-5335DEEE4714}"/>
    <hyperlink ref="A17" location="'Projeções 2023'!A1" display="Projeções 2022" xr:uid="{1DD601D9-9BF5-4098-8CDB-829AA854CFAC}"/>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84B4-0645-482A-9265-7AB44439AD1E}">
  <sheetPr codeName="Sheet5"/>
  <dimension ref="A1:CC161"/>
  <sheetViews>
    <sheetView showGridLines="0" tabSelected="1" zoomScale="80" zoomScaleNormal="80" workbookViewId="0">
      <selection activeCell="J21" sqref="J21"/>
    </sheetView>
  </sheetViews>
  <sheetFormatPr defaultColWidth="0" defaultRowHeight="15" zeroHeight="1"/>
  <cols>
    <col min="1" max="1" width="35.28515625" style="99" customWidth="1"/>
    <col min="2" max="2" width="9.140625" style="114" customWidth="1"/>
    <col min="3" max="4" width="9.140625" style="5" customWidth="1"/>
    <col min="5" max="5" width="39.42578125" style="5" bestFit="1" customWidth="1"/>
    <col min="6" max="9" width="15.42578125" style="5" bestFit="1" customWidth="1"/>
    <col min="10" max="10" width="15.5703125" style="5" bestFit="1" customWidth="1"/>
    <col min="11" max="11" width="11.28515625" style="5" bestFit="1" customWidth="1"/>
    <col min="12" max="12" width="35.5703125" style="5" bestFit="1" customWidth="1"/>
    <col min="13" max="13" width="15.42578125" style="5" bestFit="1" customWidth="1"/>
    <col min="14" max="17" width="15.42578125" style="5" customWidth="1"/>
    <col min="18" max="21" width="9.140625" style="5" customWidth="1"/>
    <col min="22" max="22" width="9.140625" style="5" hidden="1" customWidth="1"/>
    <col min="23" max="26" width="0" style="5" hidden="1" customWidth="1"/>
    <col min="27" max="28" width="9.140625" style="5" hidden="1" customWidth="1"/>
    <col min="29" max="32" width="0" style="5" hidden="1" customWidth="1"/>
    <col min="33" max="34" width="9.140625" style="5" hidden="1" customWidth="1"/>
    <col min="35" max="51" width="0" style="5" hidden="1" customWidth="1"/>
    <col min="52" max="52" width="9.140625" style="5" hidden="1" customWidth="1"/>
    <col min="53" max="56" width="0" style="5" hidden="1" customWidth="1"/>
    <col min="57" max="58" width="9.140625" style="5" hidden="1" customWidth="1"/>
    <col min="59" max="62" width="0" style="5" hidden="1" customWidth="1"/>
    <col min="63" max="64" width="9.140625" style="5" hidden="1" customWidth="1"/>
    <col min="65" max="68" width="0" style="5" hidden="1" customWidth="1"/>
    <col min="69" max="69" width="9.140625" style="5" hidden="1" customWidth="1"/>
    <col min="70" max="73" width="0" style="5" hidden="1" customWidth="1"/>
    <col min="74" max="75" width="9.140625" style="5" hidden="1" customWidth="1"/>
    <col min="76" max="79" width="0" style="5" hidden="1" customWidth="1"/>
    <col min="80" max="81" width="9.140625" style="5" hidden="1" customWidth="1"/>
    <col min="82" max="16384" width="0" style="5" hidden="1"/>
  </cols>
  <sheetData>
    <row r="1" spans="1:26">
      <c r="A1" s="145"/>
      <c r="B1" s="4"/>
      <c r="C1" s="4"/>
      <c r="D1" s="4"/>
      <c r="E1" s="4"/>
      <c r="F1" s="4"/>
      <c r="G1" s="4"/>
      <c r="H1" s="4"/>
      <c r="I1" s="4"/>
      <c r="J1" s="4"/>
      <c r="K1" s="4"/>
      <c r="L1" s="4"/>
      <c r="M1" s="4"/>
      <c r="N1" s="4"/>
      <c r="O1" s="4"/>
      <c r="P1" s="4"/>
      <c r="Q1" s="4"/>
      <c r="R1" s="4"/>
      <c r="S1" s="4"/>
      <c r="T1" s="4"/>
      <c r="U1" s="4"/>
    </row>
    <row r="2" spans="1:26" ht="28.5">
      <c r="A2" s="146"/>
      <c r="B2" s="4"/>
      <c r="C2" s="4"/>
      <c r="D2" s="4"/>
      <c r="E2" s="4"/>
      <c r="F2" s="4"/>
      <c r="G2" s="4"/>
      <c r="H2" s="4"/>
      <c r="I2" s="4"/>
      <c r="J2" s="6"/>
      <c r="K2" s="4"/>
      <c r="L2" s="4"/>
      <c r="M2" s="4"/>
      <c r="N2" s="4"/>
      <c r="O2" s="4"/>
      <c r="P2" s="4"/>
      <c r="Q2" s="4"/>
      <c r="R2" s="4"/>
      <c r="S2" s="4"/>
      <c r="T2" s="4"/>
      <c r="U2" s="4"/>
    </row>
    <row r="3" spans="1:26" s="98" customFormat="1" ht="15" customHeight="1">
      <c r="A3" s="147"/>
      <c r="B3" s="144"/>
      <c r="C3" s="100"/>
      <c r="D3" s="100"/>
      <c r="E3" s="101"/>
      <c r="F3" s="405" t="str">
        <f>Dashboard!H3</f>
        <v>SIMPAR (SIMH3)</v>
      </c>
      <c r="G3" s="405"/>
      <c r="H3" s="405"/>
      <c r="I3" s="405"/>
      <c r="J3" s="405"/>
      <c r="K3" s="405"/>
      <c r="L3" s="405"/>
      <c r="M3" s="101"/>
      <c r="N3" s="101"/>
      <c r="O3" s="101"/>
      <c r="P3" s="100"/>
      <c r="Q3" s="100"/>
      <c r="R3" s="100"/>
      <c r="S3" s="100"/>
      <c r="T3" s="100"/>
      <c r="U3" s="100"/>
    </row>
    <row r="4" spans="1:26" s="98" customFormat="1" ht="15" customHeight="1">
      <c r="A4" s="147"/>
      <c r="B4" s="144"/>
      <c r="C4" s="100"/>
      <c r="D4" s="100"/>
      <c r="E4" s="101"/>
      <c r="F4" s="405"/>
      <c r="G4" s="405"/>
      <c r="H4" s="405"/>
      <c r="I4" s="405"/>
      <c r="J4" s="405"/>
      <c r="K4" s="405"/>
      <c r="L4" s="405"/>
      <c r="M4" s="101"/>
      <c r="N4" s="101"/>
      <c r="O4" s="101"/>
      <c r="P4" s="100"/>
      <c r="Q4" s="100"/>
      <c r="R4" s="100"/>
      <c r="S4" s="100"/>
      <c r="T4" s="100"/>
      <c r="U4" s="100"/>
    </row>
    <row r="5" spans="1:26" s="98" customFormat="1" ht="15" customHeight="1">
      <c r="A5" s="147"/>
      <c r="B5" s="144"/>
      <c r="C5" s="100"/>
      <c r="D5" s="100"/>
      <c r="E5" s="101"/>
      <c r="F5" s="406"/>
      <c r="G5" s="406"/>
      <c r="H5" s="406"/>
      <c r="I5" s="406"/>
      <c r="J5" s="406"/>
      <c r="K5" s="406"/>
      <c r="L5" s="406"/>
      <c r="M5" s="101"/>
      <c r="N5" s="101"/>
      <c r="O5" s="101"/>
      <c r="P5" s="100"/>
      <c r="Q5" s="100"/>
      <c r="R5" s="100"/>
      <c r="S5" s="100"/>
      <c r="T5" s="100"/>
      <c r="U5" s="100"/>
    </row>
    <row r="6" spans="1:26">
      <c r="A6" s="146"/>
      <c r="B6" s="4"/>
      <c r="C6" s="4"/>
      <c r="D6" s="4"/>
      <c r="E6" s="4"/>
      <c r="F6" s="4"/>
      <c r="G6" s="4"/>
      <c r="H6" s="4"/>
      <c r="I6" s="4"/>
      <c r="J6" s="4"/>
      <c r="K6" s="4"/>
      <c r="L6" s="4"/>
      <c r="M6" s="4"/>
      <c r="N6" s="4"/>
      <c r="O6" s="4"/>
      <c r="P6" s="4"/>
      <c r="Q6" s="4"/>
      <c r="R6" s="4"/>
      <c r="S6" s="4"/>
      <c r="T6" s="4"/>
      <c r="U6" s="4"/>
    </row>
    <row r="7" spans="1:26" s="11" customFormat="1" ht="30" customHeight="1">
      <c r="A7" s="142" t="s">
        <v>33</v>
      </c>
      <c r="B7" s="10"/>
      <c r="C7" s="4"/>
      <c r="D7" s="10"/>
      <c r="E7" s="10"/>
      <c r="F7" s="10"/>
      <c r="G7" s="10"/>
      <c r="H7" s="10"/>
      <c r="I7" s="10"/>
      <c r="J7" s="10"/>
      <c r="K7" s="4"/>
      <c r="L7" s="4"/>
      <c r="M7" s="4"/>
      <c r="N7" s="4"/>
      <c r="O7" s="4"/>
      <c r="P7" s="4"/>
      <c r="Q7" s="4"/>
      <c r="R7" s="4"/>
      <c r="S7" s="4"/>
      <c r="T7" s="4"/>
      <c r="U7" s="10"/>
      <c r="V7" s="10"/>
    </row>
    <row r="8" spans="1:26" ht="30" customHeight="1">
      <c r="A8" s="12" t="s">
        <v>34</v>
      </c>
      <c r="B8" s="4"/>
      <c r="C8" s="4"/>
      <c r="D8" s="10"/>
      <c r="E8" s="10"/>
      <c r="F8" s="10"/>
      <c r="G8" s="10"/>
      <c r="H8" s="10"/>
      <c r="I8" s="10"/>
      <c r="J8" s="10"/>
      <c r="K8" s="4"/>
      <c r="L8" s="4"/>
      <c r="M8" s="4"/>
      <c r="N8" s="4"/>
      <c r="O8" s="4"/>
      <c r="P8" s="4"/>
      <c r="Q8" s="4"/>
      <c r="R8" s="4"/>
      <c r="S8" s="4"/>
      <c r="T8" s="4"/>
      <c r="U8" s="4"/>
      <c r="V8" s="4"/>
    </row>
    <row r="9" spans="1:26" ht="30" customHeight="1">
      <c r="A9" s="12" t="s">
        <v>23</v>
      </c>
      <c r="B9" s="4"/>
      <c r="C9" s="4"/>
      <c r="D9" s="102"/>
      <c r="E9" s="103"/>
      <c r="F9" s="37" t="s">
        <v>536</v>
      </c>
      <c r="G9" s="37" t="s">
        <v>537</v>
      </c>
      <c r="H9" s="37" t="s">
        <v>538</v>
      </c>
      <c r="I9" s="37" t="s">
        <v>539</v>
      </c>
      <c r="J9" s="37" t="s">
        <v>540</v>
      </c>
      <c r="K9" s="4"/>
      <c r="L9" s="105"/>
      <c r="M9" s="37" t="s">
        <v>532</v>
      </c>
      <c r="N9" s="37" t="s">
        <v>533</v>
      </c>
      <c r="O9" s="37" t="s">
        <v>534</v>
      </c>
      <c r="P9" s="37" t="s">
        <v>535</v>
      </c>
      <c r="Q9" s="37">
        <v>2024</v>
      </c>
      <c r="R9" s="4"/>
      <c r="S9" s="4"/>
      <c r="T9" s="4"/>
      <c r="U9" s="4"/>
      <c r="V9" s="4"/>
      <c r="W9" s="4"/>
      <c r="X9" s="4"/>
      <c r="Y9" s="4"/>
      <c r="Z9" s="4"/>
    </row>
    <row r="10" spans="1:26" ht="30" customHeight="1">
      <c r="A10" s="12" t="s">
        <v>323</v>
      </c>
      <c r="B10" s="4"/>
      <c r="C10" s="4"/>
      <c r="D10" s="106"/>
      <c r="E10" s="105" t="s">
        <v>12</v>
      </c>
      <c r="F10" s="40">
        <f>AVERAGE(M$21:M$22,M$24:M$26)*$J$10</f>
        <v>8180583.851350449</v>
      </c>
      <c r="G10" s="40">
        <f t="shared" ref="G10:I10" si="0">AVERAGE(N$21:N$22,N$24:N$26)*$J$10</f>
        <v>8910649.4272498116</v>
      </c>
      <c r="H10" s="40">
        <f t="shared" si="0"/>
        <v>10153471.713847842</v>
      </c>
      <c r="I10" s="40">
        <f t="shared" si="0"/>
        <v>10661636.124861579</v>
      </c>
      <c r="J10" s="41">
        <f>'DRE Consolidado'!W16</f>
        <v>37906341.117309682</v>
      </c>
      <c r="K10" s="4"/>
      <c r="L10" s="105" t="s">
        <v>12</v>
      </c>
      <c r="M10" s="40">
        <v>9146986</v>
      </c>
      <c r="N10" s="40"/>
      <c r="O10" s="40"/>
      <c r="P10" s="40"/>
      <c r="Q10" s="41"/>
      <c r="R10" s="113"/>
      <c r="S10" s="4"/>
      <c r="T10" s="4"/>
      <c r="U10" s="4"/>
      <c r="V10" s="4"/>
      <c r="W10" s="4"/>
      <c r="X10" s="4"/>
      <c r="Y10" s="4"/>
      <c r="Z10" s="4"/>
    </row>
    <row r="11" spans="1:26" ht="30" customHeight="1">
      <c r="A11" s="12" t="s">
        <v>36</v>
      </c>
      <c r="B11" s="4"/>
      <c r="C11" s="4"/>
      <c r="D11" s="106"/>
      <c r="E11" s="107" t="s">
        <v>106</v>
      </c>
      <c r="F11" s="84">
        <f>F12-F10</f>
        <v>-6532697.0343294926</v>
      </c>
      <c r="G11" s="84">
        <f>G12-G10</f>
        <v>-6935916.3396121794</v>
      </c>
      <c r="H11" s="84">
        <f>H12-H10</f>
        <v>-8044041.5318388101</v>
      </c>
      <c r="I11" s="84">
        <f>I12-I10</f>
        <v>-8458052.6929877363</v>
      </c>
      <c r="J11" s="108">
        <f>J12-J10</f>
        <v>-29970707.598768216</v>
      </c>
      <c r="K11" s="4"/>
      <c r="L11" s="107" t="s">
        <v>106</v>
      </c>
      <c r="M11" s="84">
        <v>-7569023</v>
      </c>
      <c r="N11" s="84"/>
      <c r="O11" s="84"/>
      <c r="P11" s="84"/>
      <c r="Q11" s="41"/>
      <c r="R11" s="113"/>
      <c r="S11" s="4"/>
      <c r="T11" s="4"/>
      <c r="U11" s="4"/>
      <c r="V11" s="4"/>
      <c r="W11" s="4"/>
      <c r="X11" s="4"/>
      <c r="Y11" s="4"/>
      <c r="Z11" s="4"/>
    </row>
    <row r="12" spans="1:26" ht="30" customHeight="1">
      <c r="A12" s="166" t="s">
        <v>127</v>
      </c>
      <c r="B12" s="4"/>
      <c r="C12" s="4"/>
      <c r="D12" s="106"/>
      <c r="E12" s="105" t="s">
        <v>16</v>
      </c>
      <c r="F12" s="40">
        <f>AVERAGE(M$31:M$32,M$34:M$35)*$J$12</f>
        <v>1647886.8170209564</v>
      </c>
      <c r="G12" s="40">
        <f t="shared" ref="G12:I12" si="1">AVERAGE(N$31:N$32,N$34:N$35)*$J$12</f>
        <v>1974733.0876376322</v>
      </c>
      <c r="H12" s="40">
        <f t="shared" si="1"/>
        <v>2109430.1820090325</v>
      </c>
      <c r="I12" s="40">
        <f t="shared" si="1"/>
        <v>2203583.431873844</v>
      </c>
      <c r="J12" s="41">
        <f>'DRE Consolidado'!S38*J10</f>
        <v>7935633.5185414655</v>
      </c>
      <c r="K12" s="4"/>
      <c r="L12" s="105" t="s">
        <v>16</v>
      </c>
      <c r="M12" s="40">
        <f>SUM(M10:M11)</f>
        <v>1577963</v>
      </c>
      <c r="N12" s="40">
        <f>SUM(N10:N11)</f>
        <v>0</v>
      </c>
      <c r="O12" s="40">
        <f>SUM(O10:O11)</f>
        <v>0</v>
      </c>
      <c r="P12" s="40">
        <f>SUM(P10:P11)</f>
        <v>0</v>
      </c>
      <c r="Q12" s="41">
        <f t="shared" ref="Q11:Q12" si="2">SUM(M12:P12)</f>
        <v>1577963</v>
      </c>
      <c r="R12" s="4"/>
      <c r="S12" s="4"/>
      <c r="T12" s="4"/>
      <c r="U12" s="4"/>
      <c r="V12" s="4"/>
      <c r="W12" s="4"/>
      <c r="X12" s="4"/>
      <c r="Y12" s="4"/>
      <c r="Z12" s="4"/>
    </row>
    <row r="13" spans="1:26" ht="30" customHeight="1">
      <c r="A13" s="12" t="s">
        <v>37</v>
      </c>
      <c r="B13" s="4"/>
      <c r="C13" s="4"/>
      <c r="D13" s="106"/>
      <c r="E13" s="109" t="s">
        <v>50</v>
      </c>
      <c r="F13" s="44">
        <f>F12/F10</f>
        <v>0.20143877832740797</v>
      </c>
      <c r="G13" s="44">
        <f>G12/G10</f>
        <v>0.22161494555028352</v>
      </c>
      <c r="H13" s="44">
        <f>H12/H10</f>
        <v>0.20775457316063431</v>
      </c>
      <c r="I13" s="44">
        <f>I12/I10</f>
        <v>0.20668342138739548</v>
      </c>
      <c r="J13" s="44">
        <f>J12/J10</f>
        <v>0.20934844368077801</v>
      </c>
      <c r="K13" s="4"/>
      <c r="L13" s="109" t="s">
        <v>50</v>
      </c>
      <c r="M13" s="44">
        <f>M12/M10</f>
        <v>0.17251179787527826</v>
      </c>
      <c r="N13" s="44" t="e">
        <f>N12/N10</f>
        <v>#DIV/0!</v>
      </c>
      <c r="O13" s="44" t="e">
        <f>O12/O10</f>
        <v>#DIV/0!</v>
      </c>
      <c r="P13" s="44" t="e">
        <f>P12/P10</f>
        <v>#DIV/0!</v>
      </c>
      <c r="Q13" s="44" t="e">
        <f>Q12/Q10</f>
        <v>#DIV/0!</v>
      </c>
      <c r="R13" s="4"/>
      <c r="S13" s="4"/>
      <c r="T13" s="4"/>
      <c r="U13" s="4"/>
      <c r="V13" s="4"/>
      <c r="W13" s="4"/>
      <c r="X13" s="4"/>
      <c r="Y13" s="4"/>
      <c r="Z13" s="4"/>
    </row>
    <row r="14" spans="1:26" ht="30" customHeight="1">
      <c r="A14" s="166" t="s">
        <v>100</v>
      </c>
      <c r="B14" s="4"/>
      <c r="C14" s="4"/>
      <c r="D14" s="4"/>
      <c r="E14" s="107" t="s">
        <v>31</v>
      </c>
      <c r="F14" s="84">
        <f>-'DRE Consolidado'!$W$55*'Projeções 2023'!F12</f>
        <v>-210923.69978697621</v>
      </c>
      <c r="G14" s="84">
        <f>-'DRE Consolidado'!$W$55*'Projeções 2023'!G12</f>
        <v>-252758.8695012854</v>
      </c>
      <c r="H14" s="84">
        <f>-'DRE Consolidado'!$W$55*'Projeções 2023'!H12</f>
        <v>-269999.62244737195</v>
      </c>
      <c r="I14" s="84">
        <f>-'DRE Consolidado'!$W$55*'Projeções 2023'!I12</f>
        <v>-282050.90631185175</v>
      </c>
      <c r="J14" s="230">
        <f>SUM(F14:I14)</f>
        <v>-1015733.0980474853</v>
      </c>
      <c r="K14" s="299"/>
      <c r="L14" s="107" t="s">
        <v>31</v>
      </c>
      <c r="M14" s="84">
        <v>10923</v>
      </c>
      <c r="N14" s="84"/>
      <c r="O14" s="84"/>
      <c r="P14" s="40">
        <v>0</v>
      </c>
      <c r="Q14" s="41">
        <v>0</v>
      </c>
      <c r="R14" s="113"/>
      <c r="S14" s="4"/>
      <c r="T14" s="4"/>
      <c r="U14" s="4"/>
      <c r="V14" s="4"/>
      <c r="W14" s="4"/>
      <c r="X14" s="4"/>
      <c r="Y14" s="4"/>
      <c r="Z14" s="4"/>
    </row>
    <row r="15" spans="1:26" ht="30" customHeight="1">
      <c r="A15" s="12" t="s">
        <v>324</v>
      </c>
      <c r="B15" s="4"/>
      <c r="C15" s="4"/>
      <c r="D15" s="4"/>
      <c r="E15" s="107" t="s">
        <v>105</v>
      </c>
      <c r="F15" s="84">
        <f>'DRE Consolidado'!$W$57*'Projeções 2023'!F10</f>
        <v>108402.05817807178</v>
      </c>
      <c r="G15" s="84">
        <f>'DRE Consolidado'!$W$57*'Projeções 2023'!G10</f>
        <v>118076.25900169462</v>
      </c>
      <c r="H15" s="84">
        <f>'DRE Consolidado'!$W$57*'Projeções 2023'!H10</f>
        <v>134545.0705516873</v>
      </c>
      <c r="I15" s="84">
        <f>'DRE Consolidado'!$W$57*'Projeções 2023'!I10</f>
        <v>141278.82807409728</v>
      </c>
      <c r="J15" s="231">
        <f>'DRE Consolidado'!$W$57*'Projeções 2023'!J10</f>
        <v>502302.21580555098</v>
      </c>
      <c r="K15" s="299"/>
      <c r="L15" s="107" t="s">
        <v>105</v>
      </c>
      <c r="M15" s="84">
        <v>98340</v>
      </c>
      <c r="N15" s="84"/>
      <c r="O15" s="84"/>
      <c r="P15" s="40">
        <v>0</v>
      </c>
      <c r="Q15" s="41">
        <v>0</v>
      </c>
      <c r="R15" s="4"/>
      <c r="S15" s="4"/>
      <c r="T15" s="4"/>
      <c r="U15" s="4"/>
      <c r="V15" s="4"/>
      <c r="W15" s="4"/>
      <c r="X15" s="4"/>
      <c r="Y15" s="4"/>
      <c r="Z15" s="4"/>
    </row>
    <row r="16" spans="1:26" ht="30" customHeight="1" thickBot="1">
      <c r="A16" s="166" t="s">
        <v>129</v>
      </c>
      <c r="B16" s="4"/>
      <c r="C16" s="4"/>
      <c r="D16" s="4"/>
      <c r="E16" s="192" t="s">
        <v>24</v>
      </c>
      <c r="F16" s="193">
        <f>F12+F14+F15</f>
        <v>1545365.1754120521</v>
      </c>
      <c r="G16" s="193">
        <f>G12+G14+G15</f>
        <v>1840050.4771380413</v>
      </c>
      <c r="H16" s="193">
        <f>H12+H14+H15</f>
        <v>1973975.6301133479</v>
      </c>
      <c r="I16" s="193">
        <f>I12+I14+I15</f>
        <v>2062811.3536360897</v>
      </c>
      <c r="J16" s="298">
        <f>J12+J14+J15</f>
        <v>7422202.636299531</v>
      </c>
      <c r="K16" s="299"/>
      <c r="L16" s="192" t="s">
        <v>24</v>
      </c>
      <c r="M16" s="193">
        <f>SUM(M12,M14:M15)</f>
        <v>1687226</v>
      </c>
      <c r="N16" s="193">
        <f>SUM(N12,N14:N15)</f>
        <v>0</v>
      </c>
      <c r="O16" s="193">
        <f>SUM(O12,O14:O15)</f>
        <v>0</v>
      </c>
      <c r="P16" s="193">
        <v>0</v>
      </c>
      <c r="Q16" s="194">
        <v>0</v>
      </c>
      <c r="R16" s="4"/>
      <c r="S16" s="4"/>
      <c r="T16" s="4"/>
      <c r="U16" s="4"/>
      <c r="V16" s="4"/>
      <c r="W16" s="4"/>
      <c r="X16" s="4"/>
      <c r="Y16" s="4"/>
      <c r="Z16" s="4"/>
    </row>
    <row r="17" spans="1:26" ht="30" customHeight="1">
      <c r="A17" s="167" t="s">
        <v>479</v>
      </c>
      <c r="B17" s="4"/>
      <c r="C17" s="4"/>
      <c r="D17" s="4"/>
      <c r="E17" s="177"/>
      <c r="F17" s="177"/>
      <c r="G17" s="177"/>
      <c r="H17" s="177"/>
      <c r="I17" s="177"/>
      <c r="J17" s="177"/>
      <c r="K17" s="4"/>
      <c r="L17" s="177"/>
      <c r="M17" s="177"/>
      <c r="N17" s="177"/>
      <c r="O17" s="177"/>
      <c r="P17" s="177"/>
      <c r="Q17" s="177"/>
      <c r="R17" s="4"/>
      <c r="S17" s="4"/>
      <c r="T17" s="4"/>
      <c r="U17" s="4"/>
      <c r="V17" s="4"/>
      <c r="W17" s="4"/>
      <c r="X17" s="4"/>
      <c r="Y17" s="4"/>
      <c r="Z17" s="4"/>
    </row>
    <row r="18" spans="1:26" ht="30" customHeight="1">
      <c r="A18" s="12" t="s">
        <v>128</v>
      </c>
      <c r="B18" s="4"/>
      <c r="C18" s="4"/>
      <c r="D18" s="4"/>
      <c r="E18" s="4"/>
      <c r="F18" s="4"/>
      <c r="G18" s="4"/>
      <c r="H18" s="4"/>
      <c r="I18" s="4"/>
      <c r="J18" s="4"/>
      <c r="K18" s="4"/>
      <c r="L18" s="4"/>
      <c r="M18" s="4"/>
      <c r="N18" s="4"/>
      <c r="O18" s="4"/>
      <c r="P18" s="4"/>
      <c r="Q18" s="4"/>
      <c r="R18" s="4"/>
      <c r="S18" s="4"/>
      <c r="T18" s="4"/>
      <c r="U18" s="4"/>
      <c r="V18" s="4"/>
      <c r="W18" s="4"/>
      <c r="X18" s="4"/>
      <c r="Y18" s="4"/>
      <c r="Z18" s="4"/>
    </row>
    <row r="19" spans="1:26" ht="30" customHeight="1">
      <c r="A19" s="12"/>
      <c r="B19" s="4"/>
      <c r="C19" s="4"/>
      <c r="D19" s="4"/>
      <c r="E19" s="4"/>
      <c r="F19" s="4"/>
      <c r="G19" s="4"/>
      <c r="H19" s="4"/>
      <c r="I19" s="4"/>
      <c r="J19" s="4"/>
      <c r="K19" s="4"/>
      <c r="L19" s="4"/>
      <c r="M19" s="4"/>
      <c r="N19" s="4"/>
      <c r="O19" s="4"/>
      <c r="P19" s="4"/>
      <c r="Q19" s="4"/>
      <c r="R19" s="4"/>
      <c r="S19" s="4"/>
      <c r="T19" s="4"/>
      <c r="U19" s="4"/>
      <c r="V19" s="4"/>
      <c r="W19" s="4"/>
      <c r="X19" s="4"/>
      <c r="Y19" s="4"/>
      <c r="Z19" s="4"/>
    </row>
    <row r="20" spans="1:26" ht="30" customHeight="1">
      <c r="A20" s="148"/>
      <c r="B20" s="4"/>
      <c r="C20" s="4"/>
      <c r="D20" s="90"/>
      <c r="E20" s="105"/>
      <c r="F20" s="40" t="s">
        <v>104</v>
      </c>
      <c r="G20" s="40" t="s">
        <v>103</v>
      </c>
      <c r="H20" s="40" t="s">
        <v>102</v>
      </c>
      <c r="I20" s="41" t="s">
        <v>101</v>
      </c>
      <c r="J20" s="4"/>
      <c r="K20" s="4"/>
      <c r="L20" s="105"/>
      <c r="M20" s="40" t="s">
        <v>104</v>
      </c>
      <c r="N20" s="40" t="s">
        <v>103</v>
      </c>
      <c r="O20" s="40" t="s">
        <v>102</v>
      </c>
      <c r="P20" s="41" t="s">
        <v>101</v>
      </c>
      <c r="Q20" s="4"/>
      <c r="R20" s="4"/>
      <c r="S20" s="4"/>
      <c r="T20" s="4"/>
      <c r="U20" s="4"/>
      <c r="V20" s="4"/>
      <c r="W20" s="4"/>
      <c r="X20" s="4"/>
      <c r="Y20" s="4"/>
      <c r="Z20" s="4"/>
    </row>
    <row r="21" spans="1:26" ht="30" customHeight="1">
      <c r="A21" s="148"/>
      <c r="B21" s="4"/>
      <c r="C21" s="4"/>
      <c r="D21" s="4"/>
      <c r="E21" s="105">
        <v>2018</v>
      </c>
      <c r="F21" s="84">
        <v>1936817.3360252001</v>
      </c>
      <c r="G21" s="84">
        <v>1938188.59171093</v>
      </c>
      <c r="H21" s="84">
        <v>2068909.8588538701</v>
      </c>
      <c r="I21" s="139">
        <v>2131477.8912999998</v>
      </c>
      <c r="J21" s="272"/>
      <c r="K21" s="4"/>
      <c r="L21" s="105">
        <v>2018</v>
      </c>
      <c r="M21" s="110">
        <f t="shared" ref="M21:P24" si="3">F21/SUM($F21:$I21)</f>
        <v>0.2398418471322461</v>
      </c>
      <c r="N21" s="110">
        <f t="shared" si="3"/>
        <v>0.24001165379931724</v>
      </c>
      <c r="O21" s="110">
        <f t="shared" si="3"/>
        <v>0.25619925682613287</v>
      </c>
      <c r="P21" s="111">
        <f t="shared" si="3"/>
        <v>0.2639472422423037</v>
      </c>
      <c r="Q21" s="175"/>
      <c r="R21" s="4"/>
      <c r="S21" s="4"/>
      <c r="T21" s="4"/>
      <c r="U21" s="4"/>
    </row>
    <row r="22" spans="1:26" ht="30" customHeight="1">
      <c r="A22" s="148"/>
      <c r="B22" s="4"/>
      <c r="C22" s="4"/>
      <c r="D22" s="4"/>
      <c r="E22" s="105">
        <v>2019</v>
      </c>
      <c r="F22" s="84">
        <v>2211784.7672756999</v>
      </c>
      <c r="G22" s="84">
        <v>2388942.8912800001</v>
      </c>
      <c r="H22" s="84">
        <v>2453591.5448942999</v>
      </c>
      <c r="I22" s="108">
        <v>2631890.1307399999</v>
      </c>
      <c r="J22" s="272"/>
      <c r="K22" s="4"/>
      <c r="L22" s="105">
        <v>2019</v>
      </c>
      <c r="M22" s="110">
        <f t="shared" si="3"/>
        <v>0.22834368853341103</v>
      </c>
      <c r="N22" s="110">
        <f t="shared" si="3"/>
        <v>0.24663341549388199</v>
      </c>
      <c r="O22" s="110">
        <f t="shared" si="3"/>
        <v>0.25330771411616193</v>
      </c>
      <c r="P22" s="111">
        <f t="shared" si="3"/>
        <v>0.27171518185654503</v>
      </c>
      <c r="Q22" s="175"/>
      <c r="R22" s="4"/>
      <c r="S22" s="4"/>
      <c r="T22" s="4"/>
      <c r="U22" s="4"/>
    </row>
    <row r="23" spans="1:26" ht="30" customHeight="1">
      <c r="A23" s="148"/>
      <c r="B23" s="4"/>
      <c r="C23" s="4"/>
      <c r="D23" s="4"/>
      <c r="E23" s="105">
        <v>2020</v>
      </c>
      <c r="F23" s="84">
        <v>2356892.28214755</v>
      </c>
      <c r="G23" s="84">
        <v>2197224.7700399999</v>
      </c>
      <c r="H23" s="84">
        <v>2603044.9478124501</v>
      </c>
      <c r="I23" s="139">
        <v>2649895</v>
      </c>
      <c r="J23" s="272"/>
      <c r="K23" s="4"/>
      <c r="L23" s="105">
        <v>2020</v>
      </c>
      <c r="M23" s="110">
        <f t="shared" si="3"/>
        <v>0.24032615311071914</v>
      </c>
      <c r="N23" s="110">
        <f t="shared" si="3"/>
        <v>0.22404527372890765</v>
      </c>
      <c r="O23" s="110">
        <f t="shared" si="3"/>
        <v>0.26542569782274644</v>
      </c>
      <c r="P23" s="111">
        <f t="shared" si="3"/>
        <v>0.27020287533762677</v>
      </c>
      <c r="Q23" s="175"/>
      <c r="R23" s="4"/>
      <c r="S23" s="4"/>
      <c r="T23" s="4"/>
      <c r="U23" s="4"/>
    </row>
    <row r="24" spans="1:26" ht="30" customHeight="1">
      <c r="A24" s="148"/>
      <c r="B24" s="4"/>
      <c r="C24" s="4"/>
      <c r="D24" s="4"/>
      <c r="E24" s="105">
        <v>2021</v>
      </c>
      <c r="F24" s="84">
        <v>2620105.6559162498</v>
      </c>
      <c r="G24" s="84">
        <v>3149066.3440837502</v>
      </c>
      <c r="H24" s="84">
        <v>3958280</v>
      </c>
      <c r="I24" s="139">
        <v>4138767</v>
      </c>
      <c r="J24" s="272"/>
      <c r="K24" s="4"/>
      <c r="L24" s="105">
        <v>2021</v>
      </c>
      <c r="M24" s="110">
        <f t="shared" si="3"/>
        <v>0.18895602730032246</v>
      </c>
      <c r="N24" s="110">
        <f t="shared" si="3"/>
        <v>0.22710346231252732</v>
      </c>
      <c r="O24" s="110">
        <f t="shared" si="3"/>
        <v>0.28546210037501935</v>
      </c>
      <c r="P24" s="111">
        <f t="shared" si="3"/>
        <v>0.29847841001213093</v>
      </c>
      <c r="Q24" s="175"/>
      <c r="R24" s="4"/>
      <c r="S24" s="4"/>
      <c r="T24" s="4"/>
      <c r="U24" s="4"/>
    </row>
    <row r="25" spans="1:26" ht="30" customHeight="1">
      <c r="A25" s="148"/>
      <c r="B25" s="4"/>
      <c r="C25" s="4"/>
      <c r="D25" s="4"/>
      <c r="E25" s="105">
        <v>2022</v>
      </c>
      <c r="F25" s="84">
        <f>4590.296*1000</f>
        <v>4590296</v>
      </c>
      <c r="G25" s="84">
        <f>5463.4182*1000</f>
        <v>5463418.2000000002</v>
      </c>
      <c r="H25" s="84">
        <f>6902.4238*1000</f>
        <v>6902423.7999999998</v>
      </c>
      <c r="I25" s="139">
        <f>7425.65273798362*1000</f>
        <v>7425652.7379836198</v>
      </c>
      <c r="J25" s="272"/>
      <c r="K25" s="4"/>
      <c r="L25" s="105">
        <v>2022</v>
      </c>
      <c r="M25" s="110">
        <f t="shared" ref="M25" si="4">F25/SUM($F25:$I25)</f>
        <v>0.18826738566207621</v>
      </c>
      <c r="N25" s="110">
        <f t="shared" ref="N25" si="5">G25/SUM($F25:$I25)</f>
        <v>0.22407780702869842</v>
      </c>
      <c r="O25" s="110">
        <f t="shared" ref="O25" si="6">H25/SUM($F25:$I25)</f>
        <v>0.283097491655809</v>
      </c>
      <c r="P25" s="111">
        <f t="shared" ref="P25" si="7">I25/SUM($F25:$I25)</f>
        <v>0.30455731565341632</v>
      </c>
      <c r="Q25" s="175"/>
      <c r="R25" s="4"/>
      <c r="S25" s="4"/>
      <c r="T25" s="4"/>
      <c r="U25" s="4"/>
    </row>
    <row r="26" spans="1:26" ht="30" customHeight="1" thickBot="1">
      <c r="A26" s="148"/>
      <c r="B26" s="4"/>
      <c r="C26" s="4"/>
      <c r="D26" s="4"/>
      <c r="E26" s="268">
        <v>2023</v>
      </c>
      <c r="F26" s="269">
        <v>7440044</v>
      </c>
      <c r="G26" s="269">
        <v>7563636</v>
      </c>
      <c r="H26" s="271">
        <v>8318109</v>
      </c>
      <c r="I26" s="270">
        <v>8521824</v>
      </c>
      <c r="J26" s="272"/>
      <c r="K26" s="4"/>
      <c r="L26" s="268">
        <v>2023</v>
      </c>
      <c r="M26" s="110">
        <f t="shared" ref="M26" si="8">F26/SUM($F26:$I26)</f>
        <v>0.23364321127756452</v>
      </c>
      <c r="N26" s="110">
        <f t="shared" ref="N26" si="9">G26/SUM($F26:$I26)</f>
        <v>0.23752442915318686</v>
      </c>
      <c r="O26" s="110">
        <f t="shared" ref="O26" si="10">H26/SUM($F26:$I26)</f>
        <v>0.26121750066489002</v>
      </c>
      <c r="P26" s="111">
        <f t="shared" ref="P26" si="11">I26/SUM($F26:$I26)</f>
        <v>0.2676148589043586</v>
      </c>
      <c r="Q26" s="175"/>
      <c r="R26" s="4"/>
      <c r="S26" s="4"/>
      <c r="T26" s="4"/>
      <c r="U26" s="4"/>
    </row>
    <row r="27" spans="1:26" ht="30" customHeight="1">
      <c r="A27" s="148"/>
      <c r="B27" s="4"/>
      <c r="C27" s="4"/>
      <c r="D27" s="4"/>
      <c r="E27" s="50"/>
      <c r="F27" s="50"/>
      <c r="G27" s="50"/>
      <c r="H27" s="50"/>
      <c r="I27" s="50"/>
      <c r="J27" s="4"/>
      <c r="K27" s="4"/>
      <c r="L27" s="4"/>
      <c r="M27" s="4"/>
      <c r="N27" s="4"/>
      <c r="O27" s="4"/>
      <c r="P27" s="4"/>
      <c r="Q27" s="4"/>
      <c r="R27" s="4"/>
      <c r="S27" s="4"/>
      <c r="T27" s="4"/>
      <c r="U27" s="4"/>
    </row>
    <row r="28" spans="1:26" ht="30" customHeight="1">
      <c r="A28" s="148"/>
      <c r="B28" s="4"/>
      <c r="C28" s="4"/>
      <c r="D28" s="4"/>
      <c r="E28" s="50"/>
      <c r="F28" s="50"/>
      <c r="G28" s="50"/>
      <c r="H28" s="50"/>
      <c r="I28" s="50"/>
      <c r="J28" s="4"/>
      <c r="K28" s="4"/>
      <c r="L28" s="4"/>
      <c r="M28" s="4"/>
      <c r="N28" s="4"/>
      <c r="O28" s="4"/>
      <c r="P28" s="4"/>
      <c r="Q28" s="4"/>
      <c r="R28" s="4"/>
      <c r="S28" s="4"/>
      <c r="T28" s="4"/>
      <c r="U28" s="4"/>
    </row>
    <row r="29" spans="1:26" ht="30" customHeight="1">
      <c r="A29" s="148"/>
      <c r="B29" s="4"/>
      <c r="C29" s="4"/>
      <c r="D29" s="4"/>
      <c r="E29" s="50"/>
      <c r="F29" s="51"/>
      <c r="G29" s="51"/>
      <c r="H29" s="51"/>
      <c r="I29" s="51"/>
      <c r="J29" s="4"/>
      <c r="K29" s="4"/>
      <c r="L29" s="4"/>
      <c r="M29" s="4"/>
      <c r="N29" s="4"/>
      <c r="O29" s="4"/>
      <c r="P29" s="4"/>
      <c r="Q29" s="4"/>
      <c r="R29" s="4"/>
      <c r="S29" s="4"/>
      <c r="T29" s="4"/>
      <c r="U29" s="4"/>
    </row>
    <row r="30" spans="1:26" ht="30" customHeight="1">
      <c r="A30" s="148"/>
      <c r="B30" s="4"/>
      <c r="C30" s="4"/>
      <c r="D30" s="4"/>
      <c r="E30" s="105"/>
      <c r="F30" s="40" t="s">
        <v>104</v>
      </c>
      <c r="G30" s="40" t="s">
        <v>103</v>
      </c>
      <c r="H30" s="40" t="s">
        <v>102</v>
      </c>
      <c r="I30" s="41" t="s">
        <v>101</v>
      </c>
      <c r="J30" s="4"/>
      <c r="K30" s="4"/>
      <c r="L30" s="105"/>
      <c r="M30" s="40" t="s">
        <v>104</v>
      </c>
      <c r="N30" s="40" t="s">
        <v>103</v>
      </c>
      <c r="O30" s="40" t="s">
        <v>102</v>
      </c>
      <c r="P30" s="41" t="s">
        <v>101</v>
      </c>
      <c r="Q30" s="4"/>
      <c r="R30" s="4"/>
      <c r="S30" s="4"/>
      <c r="T30" s="4"/>
      <c r="U30" s="4"/>
    </row>
    <row r="31" spans="1:26" ht="30" customHeight="1">
      <c r="A31" s="148"/>
      <c r="B31" s="4"/>
      <c r="C31" s="4"/>
      <c r="D31" s="4"/>
      <c r="E31" s="105">
        <v>2018</v>
      </c>
      <c r="F31" s="84">
        <v>211738.26255898399</v>
      </c>
      <c r="G31" s="84">
        <v>245084.87355839901</v>
      </c>
      <c r="H31" s="84">
        <v>251980.40893160101</v>
      </c>
      <c r="I31" s="108">
        <v>251919.86694026101</v>
      </c>
      <c r="J31" s="140"/>
      <c r="K31" s="4"/>
      <c r="L31" s="105">
        <v>2018</v>
      </c>
      <c r="M31" s="110">
        <f t="shared" ref="M31:P34" si="12">F31/SUM($F31:$I31)</f>
        <v>0.22039461089072984</v>
      </c>
      <c r="N31" s="110">
        <f t="shared" si="12"/>
        <v>0.25510450822774644</v>
      </c>
      <c r="O31" s="110">
        <f t="shared" si="12"/>
        <v>0.262281948984524</v>
      </c>
      <c r="P31" s="112">
        <f t="shared" si="12"/>
        <v>0.26221893189699969</v>
      </c>
      <c r="Q31" s="113"/>
      <c r="R31" s="4"/>
      <c r="S31" s="4"/>
      <c r="T31" s="4"/>
      <c r="U31" s="4"/>
    </row>
    <row r="32" spans="1:26" ht="30" customHeight="1">
      <c r="A32" s="148"/>
      <c r="B32" s="4"/>
      <c r="C32" s="4"/>
      <c r="D32" s="4"/>
      <c r="E32" s="105">
        <v>2019</v>
      </c>
      <c r="F32" s="84">
        <v>267737.72173569998</v>
      </c>
      <c r="G32" s="84">
        <v>308979.79927000002</v>
      </c>
      <c r="H32" s="84">
        <v>285057.99309429899</v>
      </c>
      <c r="I32" s="108">
        <v>337389.34498499997</v>
      </c>
      <c r="J32" s="140"/>
      <c r="K32" s="4"/>
      <c r="L32" s="105">
        <v>2019</v>
      </c>
      <c r="M32" s="110">
        <f t="shared" si="12"/>
        <v>0.22327015314640924</v>
      </c>
      <c r="N32" s="110">
        <f t="shared" si="12"/>
        <v>0.25766248646225465</v>
      </c>
      <c r="O32" s="110">
        <f t="shared" si="12"/>
        <v>0.23771376465435065</v>
      </c>
      <c r="P32" s="112">
        <f t="shared" si="12"/>
        <v>0.28135359573698548</v>
      </c>
      <c r="Q32" s="113"/>
      <c r="R32" s="4"/>
      <c r="S32" s="4"/>
      <c r="T32" s="4"/>
      <c r="U32" s="4"/>
    </row>
    <row r="33" spans="1:21" ht="30" customHeight="1">
      <c r="A33" s="148"/>
      <c r="B33" s="4"/>
      <c r="C33" s="4"/>
      <c r="D33" s="4"/>
      <c r="E33" s="105">
        <v>2020</v>
      </c>
      <c r="F33" s="84">
        <v>286003.67738954898</v>
      </c>
      <c r="G33" s="84">
        <v>187163</v>
      </c>
      <c r="H33" s="84">
        <v>297260.558362449</v>
      </c>
      <c r="I33" s="108">
        <v>425874.95265948499</v>
      </c>
      <c r="J33" s="113"/>
      <c r="K33" s="113"/>
      <c r="L33" s="105">
        <v>2020</v>
      </c>
      <c r="M33" s="110">
        <f t="shared" si="12"/>
        <v>0.23907310390305372</v>
      </c>
      <c r="N33" s="110">
        <f t="shared" si="12"/>
        <v>0.15645127277458676</v>
      </c>
      <c r="O33" s="110">
        <f t="shared" si="12"/>
        <v>0.24848283422198553</v>
      </c>
      <c r="P33" s="112">
        <f t="shared" si="12"/>
        <v>0.35599278910037407</v>
      </c>
      <c r="Q33" s="113"/>
      <c r="R33" s="4"/>
      <c r="S33" s="4"/>
      <c r="T33" s="4"/>
      <c r="U33" s="4"/>
    </row>
    <row r="34" spans="1:21" ht="30" customHeight="1">
      <c r="A34" s="148"/>
      <c r="B34" s="4"/>
      <c r="C34" s="4"/>
      <c r="D34" s="4"/>
      <c r="E34" s="105">
        <v>2021</v>
      </c>
      <c r="F34" s="195">
        <v>516655.01820325799</v>
      </c>
      <c r="G34" s="195">
        <v>723575.59292375005</v>
      </c>
      <c r="H34" s="195">
        <v>889681.744184223</v>
      </c>
      <c r="I34" s="197">
        <v>1000638.6446887699</v>
      </c>
      <c r="J34" s="140"/>
      <c r="K34" s="4"/>
      <c r="L34" s="105">
        <v>2021</v>
      </c>
      <c r="M34" s="196">
        <f t="shared" si="12"/>
        <v>0.1650364482812316</v>
      </c>
      <c r="N34" s="196">
        <f t="shared" si="12"/>
        <v>0.23113362245935296</v>
      </c>
      <c r="O34" s="196">
        <f t="shared" si="12"/>
        <v>0.28419333982555234</v>
      </c>
      <c r="P34" s="198">
        <f t="shared" si="12"/>
        <v>0.31963658943386314</v>
      </c>
      <c r="Q34" s="113"/>
      <c r="R34" s="4"/>
      <c r="S34" s="4"/>
      <c r="T34" s="4"/>
      <c r="U34" s="4"/>
    </row>
    <row r="35" spans="1:21" ht="30" customHeight="1">
      <c r="A35" s="148"/>
      <c r="B35" s="4"/>
      <c r="C35" s="4"/>
      <c r="D35" s="4"/>
      <c r="E35" s="105">
        <v>2022</v>
      </c>
      <c r="F35" s="84">
        <f>1135.551*1000</f>
        <v>1135551</v>
      </c>
      <c r="G35" s="84">
        <f>1286.7492*1000</f>
        <v>1286749.2</v>
      </c>
      <c r="H35" s="84">
        <f>1428.00600045888*1000</f>
        <v>1428006.0004588799</v>
      </c>
      <c r="I35" s="139">
        <f>1266.51107638132*1000</f>
        <v>1266511.0763813199</v>
      </c>
      <c r="J35" s="272"/>
      <c r="K35" s="4"/>
      <c r="L35" s="105">
        <v>2022</v>
      </c>
      <c r="M35" s="110">
        <f t="shared" ref="M35" si="13">F35/SUM($F35:$I35)</f>
        <v>0.22192525911365737</v>
      </c>
      <c r="N35" s="110">
        <f t="shared" ref="N35" si="14">G35/SUM($F35:$I35)</f>
        <v>0.25147452613250426</v>
      </c>
      <c r="O35" s="110">
        <f t="shared" ref="O35" si="15">H35/SUM($F35:$I35)</f>
        <v>0.27908090580493033</v>
      </c>
      <c r="P35" s="111">
        <f t="shared" ref="P35" si="16">I35/SUM($F35:$I35)</f>
        <v>0.24751930894890808</v>
      </c>
      <c r="Q35" s="175"/>
      <c r="R35" s="4"/>
      <c r="S35" s="4"/>
      <c r="T35" s="4"/>
      <c r="U35" s="4"/>
    </row>
    <row r="36" spans="1:21" ht="30" customHeight="1" thickBot="1">
      <c r="A36" s="148"/>
      <c r="B36" s="4"/>
      <c r="C36" s="4"/>
      <c r="D36" s="4"/>
      <c r="E36" s="268">
        <v>2023</v>
      </c>
      <c r="F36" s="195">
        <v>1317104</v>
      </c>
      <c r="G36" s="195">
        <v>1588108</v>
      </c>
      <c r="H36" s="195">
        <v>1395733</v>
      </c>
      <c r="I36" s="197">
        <v>591595.53673841991</v>
      </c>
      <c r="J36" s="140"/>
      <c r="K36" s="4"/>
      <c r="L36" s="268">
        <v>2023</v>
      </c>
      <c r="M36" s="110">
        <f t="shared" ref="M36" si="17">F36/SUM($F36:$I36)</f>
        <v>0.2692065584556278</v>
      </c>
      <c r="N36" s="110">
        <f t="shared" ref="N36" si="18">G36/SUM($F36:$I36)</f>
        <v>0.32459782153561917</v>
      </c>
      <c r="O36" s="110">
        <f t="shared" ref="O36" si="19">H36/SUM($F36:$I36)</f>
        <v>0.28527775897191776</v>
      </c>
      <c r="P36" s="111">
        <f t="shared" ref="P36" si="20">I36/SUM($F36:$I36)</f>
        <v>0.12091786103683531</v>
      </c>
      <c r="Q36" s="113"/>
      <c r="R36" s="4"/>
      <c r="S36" s="4"/>
      <c r="T36" s="4"/>
      <c r="U36" s="4"/>
    </row>
    <row r="37" spans="1:21" ht="32.25" customHeight="1">
      <c r="A37" s="148"/>
      <c r="B37" s="4"/>
      <c r="C37" s="4"/>
      <c r="D37" s="4"/>
      <c r="E37" s="50"/>
      <c r="F37" s="50"/>
      <c r="G37" s="50"/>
      <c r="H37" s="50"/>
      <c r="I37" s="50"/>
      <c r="J37" s="51"/>
      <c r="K37" s="4"/>
      <c r="L37" s="4"/>
      <c r="M37" s="4"/>
      <c r="N37" s="4"/>
      <c r="O37" s="4"/>
      <c r="P37" s="4"/>
      <c r="Q37" s="4"/>
      <c r="R37" s="4"/>
      <c r="S37" s="4"/>
      <c r="T37" s="4"/>
      <c r="U37" s="4"/>
    </row>
    <row r="38" spans="1:21">
      <c r="A38" s="148"/>
      <c r="B38" s="4"/>
      <c r="C38" s="4"/>
      <c r="D38" s="4"/>
      <c r="E38" s="50"/>
      <c r="F38" s="50"/>
      <c r="G38" s="50"/>
      <c r="H38" s="50"/>
      <c r="I38" s="50"/>
      <c r="J38" s="51"/>
      <c r="K38" s="4"/>
      <c r="L38" s="4"/>
      <c r="M38" s="4"/>
      <c r="N38" s="4"/>
      <c r="O38" s="4"/>
      <c r="P38" s="4"/>
      <c r="Q38" s="4"/>
      <c r="R38" s="4"/>
      <c r="S38" s="4"/>
      <c r="T38" s="4"/>
      <c r="U38" s="4"/>
    </row>
    <row r="39" spans="1:21">
      <c r="A39" s="148"/>
      <c r="B39" s="4"/>
      <c r="C39" s="4"/>
      <c r="D39" s="4"/>
      <c r="E39" s="50"/>
      <c r="F39" s="51"/>
      <c r="G39" s="51"/>
      <c r="H39" s="51"/>
      <c r="I39" s="51"/>
      <c r="J39" s="51"/>
      <c r="K39" s="4"/>
      <c r="L39" s="4"/>
      <c r="M39" s="4"/>
      <c r="N39" s="4"/>
      <c r="O39" s="4"/>
      <c r="P39" s="4"/>
      <c r="Q39" s="4"/>
      <c r="R39" s="4"/>
      <c r="S39" s="4"/>
      <c r="T39" s="4"/>
      <c r="U39" s="4"/>
    </row>
    <row r="40" spans="1:21">
      <c r="A40" s="148"/>
      <c r="B40" s="4"/>
      <c r="C40" s="4"/>
      <c r="D40" s="4"/>
      <c r="E40" s="50"/>
      <c r="F40" s="51"/>
      <c r="G40" s="51"/>
      <c r="H40" s="51"/>
      <c r="I40" s="51"/>
      <c r="J40" s="51"/>
      <c r="K40" s="4"/>
      <c r="L40" s="4"/>
      <c r="M40" s="4"/>
      <c r="N40" s="4"/>
      <c r="O40" s="4"/>
      <c r="P40" s="4"/>
      <c r="Q40" s="4"/>
      <c r="R40" s="4"/>
      <c r="S40" s="4"/>
      <c r="T40" s="4"/>
      <c r="U40" s="4"/>
    </row>
    <row r="41" spans="1:21">
      <c r="A41" s="148"/>
      <c r="B41" s="4"/>
      <c r="C41" s="4"/>
      <c r="D41" s="4"/>
      <c r="E41" s="50"/>
      <c r="F41" s="51"/>
      <c r="G41" s="51"/>
      <c r="H41" s="51"/>
      <c r="I41" s="51"/>
      <c r="J41" s="51"/>
      <c r="K41" s="4"/>
      <c r="L41" s="4"/>
      <c r="M41" s="4"/>
      <c r="N41" s="4"/>
      <c r="O41" s="4"/>
      <c r="P41" s="4"/>
      <c r="Q41" s="4"/>
      <c r="R41" s="4"/>
      <c r="S41" s="4"/>
      <c r="T41" s="4"/>
      <c r="U41" s="4"/>
    </row>
    <row r="42" spans="1:21">
      <c r="A42" s="148"/>
      <c r="B42" s="4"/>
      <c r="C42" s="4"/>
      <c r="D42" s="4"/>
      <c r="E42" s="50"/>
      <c r="F42" s="51"/>
      <c r="G42" s="51"/>
      <c r="H42" s="51"/>
      <c r="I42" s="51"/>
      <c r="J42" s="51"/>
      <c r="K42" s="4"/>
      <c r="L42" s="4"/>
      <c r="M42" s="4"/>
      <c r="N42" s="4"/>
      <c r="O42" s="4"/>
      <c r="P42" s="4"/>
      <c r="Q42" s="4"/>
      <c r="R42" s="4"/>
      <c r="S42" s="4"/>
      <c r="T42" s="4"/>
      <c r="U42" s="4"/>
    </row>
    <row r="43" spans="1:21">
      <c r="A43" s="148"/>
      <c r="B43" s="4"/>
      <c r="C43" s="4"/>
      <c r="D43" s="4"/>
      <c r="E43" s="50"/>
      <c r="F43" s="51"/>
      <c r="G43" s="51"/>
      <c r="H43" s="51"/>
      <c r="I43" s="51"/>
      <c r="J43" s="51"/>
      <c r="K43" s="4"/>
      <c r="L43" s="4"/>
      <c r="M43" s="4"/>
      <c r="N43" s="4"/>
      <c r="O43" s="4"/>
      <c r="P43" s="4"/>
      <c r="Q43" s="4"/>
      <c r="R43" s="4"/>
      <c r="S43" s="4"/>
      <c r="T43" s="4"/>
      <c r="U43" s="4"/>
    </row>
    <row r="44" spans="1:21">
      <c r="A44" s="148"/>
      <c r="B44" s="4"/>
      <c r="C44" s="4"/>
      <c r="D44" s="4"/>
      <c r="E44" s="50"/>
      <c r="F44" s="51"/>
      <c r="G44" s="51"/>
      <c r="H44" s="51"/>
      <c r="I44" s="51"/>
      <c r="J44" s="51"/>
      <c r="K44" s="4"/>
      <c r="L44" s="4"/>
      <c r="M44" s="4"/>
      <c r="N44" s="4"/>
      <c r="O44" s="4"/>
      <c r="P44" s="4"/>
      <c r="Q44" s="4"/>
      <c r="R44" s="4"/>
      <c r="S44" s="4"/>
      <c r="T44" s="4"/>
      <c r="U44" s="4"/>
    </row>
    <row r="45" spans="1:21">
      <c r="A45" s="148"/>
      <c r="B45" s="4"/>
      <c r="C45" s="4"/>
      <c r="D45" s="4"/>
      <c r="E45" s="50"/>
      <c r="F45" s="51"/>
      <c r="G45" s="51"/>
      <c r="H45" s="51"/>
      <c r="I45" s="51"/>
      <c r="J45" s="51"/>
      <c r="K45" s="4"/>
      <c r="L45" s="4"/>
      <c r="M45" s="4"/>
      <c r="N45" s="4"/>
      <c r="O45" s="4"/>
      <c r="P45" s="4"/>
      <c r="Q45" s="4"/>
      <c r="R45" s="4"/>
      <c r="S45" s="4"/>
      <c r="T45" s="4"/>
      <c r="U45" s="4"/>
    </row>
    <row r="46" spans="1:21">
      <c r="A46" s="148"/>
      <c r="B46" s="4"/>
      <c r="C46" s="4"/>
      <c r="D46" s="4"/>
      <c r="E46" s="50"/>
      <c r="F46" s="51"/>
      <c r="G46" s="51"/>
      <c r="H46" s="51"/>
      <c r="I46" s="51"/>
      <c r="J46" s="51"/>
      <c r="K46" s="4"/>
      <c r="L46" s="4"/>
      <c r="M46" s="4"/>
      <c r="N46" s="4"/>
      <c r="O46" s="4"/>
      <c r="P46" s="4"/>
      <c r="Q46" s="4"/>
      <c r="R46" s="4"/>
      <c r="S46" s="4"/>
      <c r="T46" s="4"/>
      <c r="U46" s="4"/>
    </row>
    <row r="47" spans="1:21">
      <c r="A47" s="148"/>
      <c r="B47" s="4"/>
      <c r="C47" s="4"/>
      <c r="D47" s="4"/>
      <c r="E47" s="50"/>
      <c r="F47" s="51"/>
      <c r="G47" s="51"/>
      <c r="H47" s="51"/>
      <c r="I47" s="51"/>
      <c r="J47" s="51"/>
      <c r="K47" s="4"/>
      <c r="L47" s="4"/>
      <c r="M47" s="4"/>
      <c r="N47" s="4"/>
      <c r="O47" s="4"/>
      <c r="P47" s="4"/>
      <c r="Q47" s="4"/>
      <c r="R47" s="4"/>
      <c r="S47" s="4"/>
      <c r="T47" s="4"/>
      <c r="U47" s="4"/>
    </row>
    <row r="48" spans="1:21">
      <c r="A48" s="148"/>
      <c r="B48" s="4"/>
      <c r="C48" s="4"/>
      <c r="D48" s="4"/>
      <c r="E48" s="50"/>
      <c r="F48" s="51"/>
      <c r="G48" s="51"/>
      <c r="H48" s="51"/>
      <c r="I48" s="51"/>
      <c r="J48" s="51"/>
      <c r="K48" s="4"/>
      <c r="L48" s="4"/>
      <c r="M48" s="4"/>
      <c r="N48" s="4"/>
      <c r="O48" s="4"/>
      <c r="P48" s="4"/>
      <c r="Q48" s="4"/>
      <c r="R48" s="4"/>
      <c r="S48" s="4"/>
      <c r="T48" s="4"/>
      <c r="U48" s="4"/>
    </row>
    <row r="49" spans="1:21">
      <c r="A49" s="148"/>
      <c r="B49" s="4"/>
      <c r="C49" s="4"/>
      <c r="D49" s="4"/>
      <c r="E49" s="50"/>
      <c r="F49" s="51"/>
      <c r="G49" s="51"/>
      <c r="H49" s="51"/>
      <c r="I49" s="51"/>
      <c r="J49" s="51"/>
      <c r="K49" s="4"/>
      <c r="L49" s="4"/>
      <c r="M49" s="4"/>
      <c r="N49" s="4"/>
      <c r="O49" s="4"/>
      <c r="P49" s="4"/>
      <c r="Q49" s="4"/>
      <c r="R49" s="4"/>
      <c r="S49" s="4"/>
      <c r="T49" s="4"/>
      <c r="U49" s="4"/>
    </row>
    <row r="50" spans="1:21">
      <c r="A50" s="148"/>
      <c r="B50" s="4"/>
      <c r="C50" s="4"/>
      <c r="D50" s="4"/>
      <c r="E50" s="50"/>
      <c r="F50" s="51"/>
      <c r="G50" s="51"/>
      <c r="H50" s="51"/>
      <c r="I50" s="51"/>
      <c r="J50" s="51"/>
      <c r="K50" s="4"/>
      <c r="L50" s="4"/>
      <c r="M50" s="4"/>
      <c r="N50" s="4"/>
      <c r="O50" s="4"/>
      <c r="P50" s="4"/>
      <c r="Q50" s="4"/>
      <c r="R50" s="4"/>
      <c r="S50" s="4"/>
      <c r="T50" s="4"/>
      <c r="U50" s="4"/>
    </row>
    <row r="51" spans="1:21">
      <c r="A51" s="148"/>
      <c r="B51" s="4"/>
      <c r="C51" s="4"/>
      <c r="D51" s="4"/>
      <c r="E51" s="50"/>
      <c r="F51" s="51"/>
      <c r="G51" s="51"/>
      <c r="H51" s="51"/>
      <c r="I51" s="51"/>
      <c r="J51" s="51"/>
      <c r="K51" s="4"/>
      <c r="L51" s="4"/>
      <c r="M51" s="4"/>
      <c r="N51" s="4"/>
      <c r="O51" s="4"/>
      <c r="P51" s="4"/>
      <c r="Q51" s="4"/>
      <c r="R51" s="4"/>
      <c r="S51" s="4"/>
      <c r="T51" s="4"/>
      <c r="U51" s="4"/>
    </row>
    <row r="52" spans="1:21">
      <c r="A52" s="148"/>
      <c r="B52" s="4"/>
      <c r="C52" s="4"/>
      <c r="D52" s="4"/>
      <c r="E52" s="50"/>
      <c r="F52" s="51"/>
      <c r="G52" s="51"/>
      <c r="H52" s="51"/>
      <c r="I52" s="51"/>
      <c r="J52" s="51"/>
      <c r="K52" s="4"/>
      <c r="L52" s="4"/>
      <c r="M52" s="4"/>
      <c r="N52" s="4"/>
      <c r="O52" s="4"/>
      <c r="P52" s="4"/>
      <c r="Q52" s="4"/>
      <c r="R52" s="4"/>
      <c r="S52" s="4"/>
      <c r="T52" s="4"/>
      <c r="U52" s="4"/>
    </row>
    <row r="53" spans="1:21">
      <c r="A53" s="148"/>
      <c r="B53" s="4"/>
      <c r="C53" s="4"/>
      <c r="D53" s="4"/>
      <c r="E53" s="50"/>
      <c r="F53" s="51"/>
      <c r="G53" s="51"/>
      <c r="H53" s="51"/>
      <c r="I53" s="51"/>
      <c r="J53" s="51"/>
      <c r="K53" s="4"/>
      <c r="L53" s="4"/>
      <c r="M53" s="4"/>
      <c r="N53" s="4"/>
      <c r="O53" s="4"/>
      <c r="P53" s="4"/>
      <c r="Q53" s="4"/>
      <c r="R53" s="4"/>
      <c r="S53" s="4"/>
      <c r="T53" s="4"/>
      <c r="U53" s="4"/>
    </row>
    <row r="54" spans="1:21">
      <c r="A54" s="148"/>
      <c r="B54" s="4"/>
      <c r="C54" s="4"/>
      <c r="D54" s="4"/>
      <c r="E54" s="50"/>
      <c r="F54" s="51"/>
      <c r="G54" s="51"/>
      <c r="H54" s="51"/>
      <c r="I54" s="51"/>
      <c r="J54" s="51"/>
      <c r="K54" s="4"/>
      <c r="L54" s="4"/>
      <c r="M54" s="4"/>
      <c r="N54" s="4"/>
      <c r="O54" s="4"/>
      <c r="P54" s="4"/>
      <c r="Q54" s="4"/>
      <c r="R54" s="4"/>
      <c r="S54" s="4"/>
      <c r="T54" s="4"/>
      <c r="U54" s="4"/>
    </row>
    <row r="55" spans="1:21">
      <c r="A55" s="148"/>
      <c r="B55" s="4"/>
      <c r="C55" s="4"/>
      <c r="D55" s="4"/>
      <c r="E55" s="50"/>
      <c r="F55" s="51"/>
      <c r="G55" s="51"/>
      <c r="H55" s="51"/>
      <c r="I55" s="51"/>
      <c r="J55" s="51"/>
      <c r="K55" s="4"/>
      <c r="L55" s="4"/>
      <c r="M55" s="4"/>
      <c r="N55" s="4"/>
      <c r="O55" s="4"/>
      <c r="P55" s="4"/>
      <c r="Q55" s="4"/>
      <c r="R55" s="4"/>
      <c r="S55" s="4"/>
      <c r="T55" s="4"/>
      <c r="U55" s="4"/>
    </row>
    <row r="56" spans="1:21">
      <c r="A56" s="148"/>
      <c r="B56" s="4"/>
      <c r="C56" s="4"/>
      <c r="D56" s="4"/>
      <c r="E56" s="50"/>
      <c r="F56" s="51"/>
      <c r="G56" s="51"/>
      <c r="H56" s="51"/>
      <c r="I56" s="51"/>
      <c r="J56" s="51"/>
      <c r="K56" s="4"/>
      <c r="L56" s="4"/>
      <c r="M56" s="4"/>
      <c r="N56" s="4"/>
      <c r="O56" s="4"/>
      <c r="P56" s="4"/>
      <c r="Q56" s="4"/>
      <c r="R56" s="4"/>
      <c r="S56" s="4"/>
      <c r="T56" s="4"/>
      <c r="U56" s="4"/>
    </row>
    <row r="57" spans="1:21">
      <c r="A57" s="148"/>
      <c r="B57" s="4"/>
      <c r="C57" s="4"/>
      <c r="D57" s="4"/>
      <c r="E57" s="50"/>
      <c r="F57" s="51"/>
      <c r="G57" s="51"/>
      <c r="H57" s="51"/>
      <c r="I57" s="51"/>
      <c r="J57" s="51"/>
      <c r="K57" s="4"/>
      <c r="L57" s="4"/>
      <c r="M57" s="4"/>
      <c r="N57" s="4"/>
      <c r="O57" s="4"/>
      <c r="P57" s="4"/>
      <c r="Q57" s="4"/>
      <c r="R57" s="4"/>
      <c r="S57" s="4"/>
      <c r="T57" s="4"/>
      <c r="U57" s="4"/>
    </row>
    <row r="58" spans="1:21">
      <c r="A58" s="148"/>
      <c r="B58" s="4"/>
      <c r="C58" s="4"/>
      <c r="D58" s="4"/>
      <c r="E58" s="50"/>
      <c r="F58" s="51"/>
      <c r="G58" s="51"/>
      <c r="H58" s="51"/>
      <c r="I58" s="51"/>
      <c r="J58" s="51"/>
      <c r="K58" s="4"/>
      <c r="L58" s="4"/>
      <c r="M58" s="4"/>
      <c r="N58" s="4"/>
      <c r="O58" s="4"/>
      <c r="P58" s="4"/>
      <c r="Q58" s="4"/>
      <c r="R58" s="4"/>
      <c r="S58" s="4"/>
      <c r="T58" s="4"/>
      <c r="U58" s="4"/>
    </row>
    <row r="59" spans="1:21">
      <c r="A59" s="148"/>
      <c r="B59" s="4"/>
      <c r="C59" s="4"/>
      <c r="D59" s="4"/>
      <c r="E59" s="50"/>
      <c r="F59" s="51"/>
      <c r="G59" s="51"/>
      <c r="H59" s="51"/>
      <c r="I59" s="51"/>
      <c r="J59" s="51"/>
      <c r="K59" s="4"/>
      <c r="L59" s="4"/>
      <c r="M59" s="4"/>
      <c r="N59" s="4"/>
      <c r="O59" s="4"/>
      <c r="P59" s="4"/>
      <c r="Q59" s="4"/>
      <c r="R59" s="4"/>
      <c r="S59" s="4"/>
      <c r="T59" s="4"/>
      <c r="U59" s="4"/>
    </row>
    <row r="60" spans="1:21">
      <c r="A60" s="148"/>
      <c r="B60" s="4"/>
      <c r="C60" s="4"/>
      <c r="D60" s="4"/>
      <c r="E60" s="50"/>
      <c r="F60" s="51"/>
      <c r="G60" s="51"/>
      <c r="H60" s="51"/>
      <c r="I60" s="51"/>
      <c r="J60" s="51"/>
      <c r="K60" s="4"/>
      <c r="L60" s="4"/>
      <c r="M60" s="4"/>
      <c r="N60" s="4"/>
      <c r="O60" s="4"/>
      <c r="P60" s="4"/>
      <c r="Q60" s="4"/>
      <c r="R60" s="4"/>
      <c r="S60" s="4"/>
      <c r="T60" s="4"/>
      <c r="U60" s="4"/>
    </row>
    <row r="61" spans="1:21">
      <c r="A61" s="148"/>
      <c r="B61" s="4"/>
      <c r="C61" s="4"/>
      <c r="D61" s="4"/>
      <c r="E61" s="50"/>
      <c r="F61" s="51"/>
      <c r="G61" s="51"/>
      <c r="H61" s="51"/>
      <c r="I61" s="51"/>
      <c r="J61" s="51"/>
      <c r="K61" s="4"/>
      <c r="L61" s="4"/>
      <c r="M61" s="4"/>
      <c r="N61" s="4"/>
      <c r="O61" s="4"/>
      <c r="P61" s="4"/>
      <c r="Q61" s="4"/>
      <c r="R61" s="4"/>
      <c r="S61" s="4"/>
      <c r="T61" s="4"/>
      <c r="U61" s="4"/>
    </row>
    <row r="62" spans="1:21">
      <c r="A62" s="148"/>
      <c r="B62" s="4"/>
      <c r="C62" s="4"/>
      <c r="D62" s="4"/>
      <c r="E62" s="50"/>
      <c r="F62" s="51"/>
      <c r="G62" s="51"/>
      <c r="H62" s="51"/>
      <c r="I62" s="51"/>
      <c r="J62" s="51"/>
      <c r="K62" s="4"/>
      <c r="L62" s="4"/>
      <c r="M62" s="4"/>
      <c r="N62" s="4"/>
      <c r="O62" s="4"/>
      <c r="P62" s="4"/>
      <c r="Q62" s="4"/>
      <c r="R62" s="4"/>
      <c r="S62" s="4"/>
      <c r="T62" s="4"/>
      <c r="U62" s="4"/>
    </row>
    <row r="63" spans="1:21">
      <c r="A63" s="148"/>
      <c r="B63" s="4"/>
      <c r="C63" s="4"/>
      <c r="D63" s="4"/>
      <c r="E63" s="50"/>
      <c r="F63" s="51"/>
      <c r="G63" s="51"/>
      <c r="H63" s="51"/>
      <c r="I63" s="51"/>
      <c r="J63" s="51"/>
      <c r="K63" s="4"/>
      <c r="L63" s="4"/>
      <c r="M63" s="4"/>
      <c r="N63" s="4"/>
      <c r="O63" s="4"/>
      <c r="P63" s="4"/>
      <c r="Q63" s="4"/>
      <c r="R63" s="4"/>
      <c r="S63" s="4"/>
      <c r="T63" s="4"/>
      <c r="U63" s="4"/>
    </row>
    <row r="64" spans="1:21">
      <c r="A64" s="148"/>
      <c r="B64" s="4"/>
      <c r="C64" s="4"/>
      <c r="D64" s="4"/>
      <c r="E64" s="50"/>
      <c r="F64" s="51"/>
      <c r="G64" s="51"/>
      <c r="H64" s="51"/>
      <c r="I64" s="51"/>
      <c r="J64" s="51"/>
      <c r="K64" s="4"/>
      <c r="L64" s="4"/>
      <c r="M64" s="4"/>
      <c r="N64" s="4"/>
      <c r="O64" s="4"/>
      <c r="P64" s="4"/>
      <c r="Q64" s="4"/>
      <c r="R64" s="4"/>
      <c r="S64" s="4"/>
      <c r="T64" s="4"/>
      <c r="U64" s="4"/>
    </row>
    <row r="65" spans="1:21">
      <c r="A65" s="148"/>
      <c r="B65" s="4"/>
      <c r="C65" s="4"/>
      <c r="D65" s="4"/>
      <c r="E65" s="50"/>
      <c r="F65" s="51"/>
      <c r="G65" s="51"/>
      <c r="H65" s="51"/>
      <c r="I65" s="51"/>
      <c r="J65" s="51"/>
      <c r="K65" s="4"/>
      <c r="L65" s="4"/>
      <c r="M65" s="4"/>
      <c r="N65" s="4"/>
      <c r="O65" s="4"/>
      <c r="P65" s="4"/>
      <c r="Q65" s="4"/>
      <c r="R65" s="4"/>
      <c r="S65" s="4"/>
      <c r="T65" s="4"/>
      <c r="U65" s="4"/>
    </row>
    <row r="66" spans="1:21">
      <c r="A66" s="148"/>
      <c r="B66" s="4"/>
      <c r="C66" s="4"/>
      <c r="D66" s="4"/>
      <c r="E66" s="50"/>
      <c r="F66" s="51"/>
      <c r="G66" s="51"/>
      <c r="H66" s="51"/>
      <c r="I66" s="51"/>
      <c r="J66" s="51"/>
      <c r="K66" s="4"/>
      <c r="L66" s="4"/>
      <c r="M66" s="4"/>
      <c r="N66" s="4"/>
      <c r="O66" s="4"/>
      <c r="P66" s="4"/>
      <c r="Q66" s="4"/>
      <c r="R66" s="4"/>
      <c r="S66" s="4"/>
      <c r="T66" s="4"/>
      <c r="U66" s="4"/>
    </row>
    <row r="67" spans="1:21">
      <c r="A67" s="148"/>
      <c r="B67" s="4"/>
      <c r="C67" s="4"/>
      <c r="D67" s="4"/>
      <c r="E67" s="50"/>
      <c r="F67" s="51"/>
      <c r="G67" s="51"/>
      <c r="H67" s="51"/>
      <c r="I67" s="51"/>
      <c r="J67" s="51"/>
      <c r="K67" s="4"/>
      <c r="L67" s="4"/>
      <c r="M67" s="4"/>
      <c r="N67" s="4"/>
      <c r="O67" s="4"/>
      <c r="P67" s="4"/>
      <c r="Q67" s="4"/>
      <c r="R67" s="4"/>
      <c r="S67" s="4"/>
      <c r="T67" s="4"/>
      <c r="U67" s="4"/>
    </row>
    <row r="68" spans="1:21">
      <c r="A68" s="148"/>
      <c r="B68" s="4"/>
      <c r="C68" s="4"/>
      <c r="D68" s="4"/>
      <c r="E68" s="50"/>
      <c r="F68" s="51"/>
      <c r="G68" s="51"/>
      <c r="H68" s="51"/>
      <c r="I68" s="51"/>
      <c r="J68" s="51"/>
      <c r="K68" s="4"/>
      <c r="L68" s="4"/>
      <c r="M68" s="4"/>
      <c r="N68" s="4"/>
      <c r="O68" s="4"/>
      <c r="P68" s="4"/>
      <c r="Q68" s="4"/>
      <c r="R68" s="4"/>
      <c r="S68" s="4"/>
      <c r="T68" s="4"/>
      <c r="U68" s="4"/>
    </row>
    <row r="69" spans="1:21">
      <c r="A69" s="148"/>
      <c r="B69" s="4"/>
      <c r="C69" s="4"/>
      <c r="D69" s="4"/>
      <c r="E69" s="50"/>
      <c r="F69" s="51"/>
      <c r="G69" s="51"/>
      <c r="H69" s="51"/>
      <c r="I69" s="51"/>
      <c r="J69" s="51"/>
      <c r="K69" s="4"/>
      <c r="L69" s="4"/>
      <c r="M69" s="4"/>
      <c r="N69" s="4"/>
      <c r="O69" s="4"/>
      <c r="P69" s="4"/>
      <c r="Q69" s="4"/>
      <c r="R69" s="4"/>
      <c r="S69" s="4"/>
      <c r="T69" s="4"/>
      <c r="U69" s="4"/>
    </row>
    <row r="70" spans="1:21">
      <c r="A70" s="148"/>
      <c r="B70" s="4"/>
      <c r="C70" s="4"/>
      <c r="D70" s="4"/>
      <c r="E70" s="50"/>
      <c r="F70" s="51"/>
      <c r="G70" s="51"/>
      <c r="H70" s="51"/>
      <c r="I70" s="51"/>
      <c r="J70" s="51"/>
      <c r="K70" s="4"/>
      <c r="L70" s="4"/>
      <c r="M70" s="4"/>
      <c r="N70" s="4"/>
      <c r="O70" s="4"/>
      <c r="P70" s="4"/>
      <c r="Q70" s="4"/>
      <c r="R70" s="4"/>
      <c r="S70" s="4"/>
      <c r="T70" s="4"/>
      <c r="U70" s="4"/>
    </row>
    <row r="71" spans="1:21">
      <c r="A71" s="148"/>
      <c r="B71" s="4"/>
      <c r="C71" s="4"/>
      <c r="D71" s="4"/>
      <c r="E71" s="50"/>
      <c r="F71" s="51"/>
      <c r="G71" s="51"/>
      <c r="H71" s="51"/>
      <c r="I71" s="51"/>
      <c r="J71" s="51"/>
      <c r="K71" s="4"/>
      <c r="L71" s="4"/>
      <c r="M71" s="4"/>
      <c r="N71" s="4"/>
      <c r="O71" s="4"/>
      <c r="P71" s="4"/>
      <c r="Q71" s="4"/>
      <c r="R71" s="4"/>
      <c r="S71" s="4"/>
      <c r="T71" s="4"/>
      <c r="U71" s="4"/>
    </row>
    <row r="72" spans="1:21">
      <c r="A72" s="148"/>
      <c r="B72" s="4"/>
      <c r="C72" s="4"/>
      <c r="D72" s="4"/>
      <c r="E72" s="50"/>
      <c r="F72" s="51"/>
      <c r="G72" s="51"/>
      <c r="H72" s="51"/>
      <c r="I72" s="51"/>
      <c r="J72" s="51"/>
      <c r="K72" s="4"/>
      <c r="L72" s="4"/>
      <c r="M72" s="4"/>
      <c r="N72" s="4"/>
      <c r="O72" s="4"/>
      <c r="P72" s="4"/>
      <c r="Q72" s="4"/>
      <c r="R72" s="4"/>
      <c r="S72" s="4"/>
      <c r="T72" s="4"/>
      <c r="U72" s="4"/>
    </row>
    <row r="73" spans="1:21">
      <c r="A73" s="148"/>
      <c r="B73" s="4"/>
      <c r="C73" s="4"/>
      <c r="D73" s="4"/>
      <c r="E73" s="50"/>
      <c r="F73" s="51"/>
      <c r="G73" s="51"/>
      <c r="H73" s="51"/>
      <c r="I73" s="51"/>
      <c r="J73" s="51"/>
      <c r="K73" s="4"/>
      <c r="L73" s="4"/>
      <c r="M73" s="4"/>
      <c r="N73" s="4"/>
      <c r="O73" s="4"/>
      <c r="P73" s="4"/>
      <c r="Q73" s="4"/>
      <c r="R73" s="4"/>
      <c r="S73" s="4"/>
      <c r="T73" s="4"/>
      <c r="U73" s="4"/>
    </row>
    <row r="74" spans="1:21">
      <c r="A74" s="148"/>
      <c r="B74" s="4"/>
      <c r="C74" s="4"/>
      <c r="D74" s="4"/>
      <c r="E74" s="50"/>
      <c r="F74" s="51"/>
      <c r="G74" s="51"/>
      <c r="H74" s="51"/>
      <c r="I74" s="51"/>
      <c r="J74" s="51"/>
      <c r="K74" s="4"/>
      <c r="L74" s="4"/>
      <c r="M74" s="4"/>
      <c r="N74" s="4"/>
      <c r="O74" s="4"/>
      <c r="P74" s="4"/>
      <c r="Q74" s="4"/>
      <c r="R74" s="4"/>
      <c r="S74" s="4"/>
      <c r="T74" s="4"/>
      <c r="U74" s="4"/>
    </row>
    <row r="75" spans="1:21">
      <c r="A75" s="148"/>
      <c r="B75" s="4"/>
      <c r="C75" s="4"/>
      <c r="D75" s="4"/>
      <c r="E75" s="50"/>
      <c r="F75" s="51"/>
      <c r="G75" s="51"/>
      <c r="H75" s="51"/>
      <c r="I75" s="51"/>
      <c r="J75" s="51"/>
      <c r="K75" s="4"/>
      <c r="L75" s="4"/>
      <c r="M75" s="4"/>
      <c r="N75" s="4"/>
      <c r="O75" s="4"/>
      <c r="P75" s="4"/>
      <c r="Q75" s="4"/>
      <c r="R75" s="4"/>
      <c r="S75" s="4"/>
      <c r="T75" s="4"/>
      <c r="U75" s="4"/>
    </row>
    <row r="76" spans="1:21">
      <c r="A76" s="148"/>
      <c r="B76" s="4"/>
      <c r="C76" s="4"/>
      <c r="D76" s="4"/>
      <c r="E76" s="50"/>
      <c r="F76" s="51"/>
      <c r="G76" s="51"/>
      <c r="H76" s="51"/>
      <c r="I76" s="51"/>
      <c r="J76" s="51"/>
      <c r="K76" s="4"/>
      <c r="L76" s="4"/>
      <c r="M76" s="4"/>
      <c r="N76" s="4"/>
      <c r="O76" s="4"/>
      <c r="P76" s="4"/>
      <c r="Q76" s="4"/>
      <c r="R76" s="4"/>
      <c r="S76" s="4"/>
      <c r="T76" s="4"/>
      <c r="U76" s="4"/>
    </row>
    <row r="77" spans="1:21">
      <c r="A77" s="148"/>
      <c r="B77" s="4"/>
      <c r="C77" s="4"/>
      <c r="D77" s="4"/>
      <c r="E77" s="50"/>
      <c r="F77" s="51"/>
      <c r="G77" s="51"/>
      <c r="H77" s="51"/>
      <c r="I77" s="51"/>
      <c r="J77" s="51"/>
      <c r="K77" s="4"/>
      <c r="L77" s="4"/>
      <c r="M77" s="4"/>
      <c r="N77" s="4"/>
      <c r="O77" s="4"/>
      <c r="P77" s="4"/>
      <c r="Q77" s="4"/>
      <c r="R77" s="4"/>
      <c r="S77" s="4"/>
      <c r="T77" s="4"/>
      <c r="U77" s="4"/>
    </row>
    <row r="78" spans="1:21">
      <c r="A78" s="148"/>
      <c r="B78" s="4"/>
      <c r="C78" s="4"/>
      <c r="D78" s="4"/>
      <c r="E78" s="50"/>
      <c r="F78" s="51"/>
      <c r="G78" s="51"/>
      <c r="H78" s="51"/>
      <c r="I78" s="51"/>
      <c r="J78" s="51"/>
      <c r="K78" s="4"/>
      <c r="L78" s="4"/>
      <c r="M78" s="4"/>
      <c r="N78" s="4"/>
      <c r="O78" s="4"/>
      <c r="P78" s="4"/>
      <c r="Q78" s="4"/>
      <c r="R78" s="4"/>
      <c r="S78" s="4"/>
      <c r="T78" s="4"/>
      <c r="U78" s="4"/>
    </row>
    <row r="79" spans="1:21">
      <c r="A79" s="148"/>
      <c r="B79" s="4"/>
      <c r="C79" s="4"/>
      <c r="D79" s="4"/>
      <c r="E79" s="50"/>
      <c r="F79" s="51"/>
      <c r="G79" s="51"/>
      <c r="H79" s="51"/>
      <c r="I79" s="51"/>
      <c r="J79" s="51"/>
      <c r="K79" s="4"/>
      <c r="L79" s="4"/>
      <c r="M79" s="4"/>
      <c r="N79" s="4"/>
      <c r="O79" s="4"/>
      <c r="P79" s="4"/>
      <c r="Q79" s="4"/>
      <c r="R79" s="4"/>
      <c r="S79" s="4"/>
      <c r="T79" s="4"/>
      <c r="U79" s="4"/>
    </row>
    <row r="80" spans="1:21">
      <c r="A80" s="148"/>
      <c r="B80" s="4"/>
      <c r="C80" s="4"/>
      <c r="D80" s="4"/>
      <c r="E80" s="50"/>
      <c r="F80" s="51"/>
      <c r="G80" s="51"/>
      <c r="H80" s="51"/>
      <c r="I80" s="51"/>
      <c r="J80" s="51"/>
      <c r="K80" s="4"/>
      <c r="L80" s="4"/>
      <c r="M80" s="4"/>
      <c r="N80" s="4"/>
      <c r="O80" s="4"/>
      <c r="P80" s="4"/>
      <c r="Q80" s="4"/>
      <c r="R80" s="4"/>
      <c r="S80" s="4"/>
      <c r="T80" s="4"/>
      <c r="U80" s="4"/>
    </row>
    <row r="81" spans="1:22">
      <c r="A81" s="148"/>
      <c r="B81" s="4"/>
      <c r="C81" s="4"/>
      <c r="D81" s="4"/>
      <c r="E81" s="50"/>
      <c r="F81" s="51"/>
      <c r="G81" s="51"/>
      <c r="H81" s="51"/>
      <c r="I81" s="51"/>
      <c r="J81" s="51"/>
      <c r="K81" s="4"/>
      <c r="L81" s="4"/>
      <c r="M81" s="4"/>
      <c r="N81" s="4"/>
      <c r="O81" s="4"/>
      <c r="P81" s="4"/>
      <c r="Q81" s="4"/>
      <c r="R81" s="4"/>
      <c r="S81" s="4"/>
      <c r="T81" s="4"/>
      <c r="U81" s="4"/>
    </row>
    <row r="82" spans="1:22">
      <c r="A82" s="148"/>
      <c r="B82" s="4"/>
      <c r="C82" s="4"/>
      <c r="D82" s="4"/>
      <c r="E82" s="50"/>
      <c r="F82" s="51"/>
      <c r="G82" s="51"/>
      <c r="H82" s="51"/>
      <c r="I82" s="51"/>
      <c r="J82" s="51"/>
      <c r="K82" s="4"/>
      <c r="L82" s="4"/>
      <c r="M82" s="4"/>
      <c r="N82" s="4"/>
      <c r="O82" s="4"/>
      <c r="P82" s="4"/>
      <c r="Q82" s="4"/>
      <c r="R82" s="4"/>
      <c r="S82" s="4"/>
      <c r="T82" s="4"/>
      <c r="U82" s="4"/>
    </row>
    <row r="83" spans="1:22">
      <c r="A83" s="148"/>
      <c r="B83" s="4"/>
      <c r="C83" s="4"/>
      <c r="D83" s="4"/>
      <c r="E83" s="50"/>
      <c r="F83" s="51"/>
      <c r="G83" s="51"/>
      <c r="H83" s="51"/>
      <c r="I83" s="51"/>
      <c r="J83" s="51"/>
      <c r="K83" s="4"/>
      <c r="L83" s="4"/>
      <c r="M83" s="4"/>
      <c r="N83" s="4"/>
      <c r="O83" s="4"/>
      <c r="P83" s="4"/>
      <c r="Q83" s="4"/>
      <c r="R83" s="4"/>
      <c r="S83" s="4"/>
      <c r="T83" s="4"/>
      <c r="U83" s="4"/>
    </row>
    <row r="84" spans="1:22">
      <c r="A84" s="148"/>
      <c r="B84" s="4"/>
      <c r="C84" s="4"/>
      <c r="D84" s="4"/>
      <c r="E84" s="50"/>
      <c r="F84" s="51"/>
      <c r="G84" s="51"/>
      <c r="H84" s="51"/>
      <c r="I84" s="51"/>
      <c r="J84" s="51"/>
      <c r="K84" s="4"/>
      <c r="L84" s="4"/>
      <c r="M84" s="4"/>
      <c r="N84" s="4"/>
      <c r="O84" s="4"/>
      <c r="P84" s="4"/>
      <c r="Q84" s="4"/>
      <c r="R84" s="4"/>
      <c r="S84" s="4"/>
      <c r="T84" s="4"/>
      <c r="U84" s="4"/>
    </row>
    <row r="85" spans="1:22">
      <c r="A85" s="148"/>
      <c r="B85" s="4"/>
      <c r="C85" s="4"/>
      <c r="D85" s="4"/>
      <c r="E85" s="50"/>
      <c r="F85" s="51"/>
      <c r="G85" s="51"/>
      <c r="H85" s="51"/>
      <c r="I85" s="51"/>
      <c r="J85" s="51"/>
      <c r="K85" s="4"/>
      <c r="L85" s="4"/>
      <c r="M85" s="4"/>
      <c r="N85" s="4"/>
      <c r="O85" s="4"/>
      <c r="P85" s="4"/>
      <c r="Q85" s="4"/>
      <c r="R85" s="4"/>
      <c r="S85" s="4"/>
      <c r="T85" s="4"/>
      <c r="U85" s="4"/>
    </row>
    <row r="86" spans="1:22">
      <c r="A86" s="148"/>
      <c r="B86" s="4"/>
      <c r="C86" s="4"/>
      <c r="D86" s="4"/>
      <c r="E86" s="50"/>
      <c r="F86" s="51"/>
      <c r="G86" s="51"/>
      <c r="H86" s="51"/>
      <c r="I86" s="51"/>
      <c r="J86" s="51"/>
      <c r="K86" s="4"/>
      <c r="L86" s="4"/>
      <c r="M86" s="4"/>
      <c r="N86" s="4"/>
      <c r="O86" s="4"/>
      <c r="P86" s="4"/>
      <c r="Q86" s="4"/>
      <c r="R86" s="4"/>
      <c r="S86" s="4"/>
      <c r="T86" s="4"/>
      <c r="U86" s="4"/>
    </row>
    <row r="87" spans="1:22">
      <c r="A87" s="148"/>
      <c r="B87" s="4"/>
      <c r="C87" s="4"/>
      <c r="D87" s="4"/>
      <c r="E87" s="50"/>
      <c r="F87" s="51"/>
      <c r="G87" s="51"/>
      <c r="H87" s="51"/>
      <c r="I87" s="51"/>
      <c r="J87" s="51"/>
      <c r="K87" s="4"/>
      <c r="L87" s="4"/>
      <c r="M87" s="4"/>
      <c r="N87" s="4"/>
      <c r="O87" s="4"/>
      <c r="P87" s="4"/>
      <c r="Q87" s="4"/>
      <c r="R87" s="4"/>
      <c r="S87" s="4"/>
      <c r="T87" s="4"/>
      <c r="U87" s="4"/>
    </row>
    <row r="88" spans="1:22">
      <c r="A88" s="148"/>
      <c r="B88" s="4"/>
      <c r="C88" s="4"/>
      <c r="D88" s="4"/>
      <c r="E88" s="50"/>
      <c r="F88" s="51"/>
      <c r="G88" s="51"/>
      <c r="H88" s="51"/>
      <c r="I88" s="51"/>
      <c r="J88" s="51"/>
      <c r="K88" s="4"/>
      <c r="L88" s="4"/>
      <c r="M88" s="4"/>
      <c r="N88" s="4"/>
      <c r="O88" s="4"/>
      <c r="P88" s="4"/>
      <c r="Q88" s="4"/>
      <c r="R88" s="4"/>
      <c r="S88" s="4"/>
      <c r="T88" s="4"/>
      <c r="U88" s="4"/>
    </row>
    <row r="89" spans="1:22">
      <c r="A89" s="148"/>
      <c r="B89" s="4"/>
      <c r="C89" s="4"/>
      <c r="D89" s="4"/>
      <c r="E89" s="50"/>
      <c r="F89" s="51"/>
      <c r="G89" s="51"/>
      <c r="H89" s="51"/>
      <c r="I89" s="51"/>
      <c r="J89" s="51"/>
      <c r="K89" s="4"/>
      <c r="L89" s="4"/>
      <c r="M89" s="4"/>
      <c r="N89" s="4"/>
      <c r="O89" s="4"/>
      <c r="P89" s="4"/>
      <c r="Q89" s="4"/>
      <c r="R89" s="4"/>
      <c r="S89" s="4"/>
      <c r="T89" s="4"/>
      <c r="U89" s="4"/>
    </row>
    <row r="90" spans="1:22">
      <c r="A90" s="148"/>
      <c r="B90" s="4"/>
      <c r="C90" s="4"/>
      <c r="D90" s="4"/>
      <c r="E90" s="50"/>
      <c r="F90" s="51"/>
      <c r="G90" s="51"/>
      <c r="H90" s="51"/>
      <c r="I90" s="51"/>
      <c r="J90" s="51"/>
      <c r="K90" s="4"/>
      <c r="L90" s="4"/>
      <c r="M90" s="4"/>
      <c r="N90" s="4"/>
      <c r="O90" s="4"/>
      <c r="P90" s="4"/>
      <c r="Q90" s="4"/>
      <c r="R90" s="4"/>
      <c r="S90" s="4"/>
      <c r="T90" s="4"/>
      <c r="U90" s="4"/>
    </row>
    <row r="91" spans="1:22">
      <c r="A91" s="148"/>
      <c r="B91" s="4"/>
      <c r="C91" s="4"/>
      <c r="D91" s="4"/>
      <c r="E91" s="50"/>
      <c r="F91" s="51"/>
      <c r="G91" s="51"/>
      <c r="H91" s="51"/>
      <c r="I91" s="51"/>
      <c r="J91" s="51"/>
      <c r="K91" s="4"/>
      <c r="L91" s="4"/>
      <c r="M91" s="4"/>
      <c r="N91" s="4"/>
      <c r="O91" s="4"/>
      <c r="P91" s="4"/>
      <c r="Q91" s="4"/>
      <c r="R91" s="4"/>
      <c r="S91" s="4"/>
      <c r="T91" s="4"/>
      <c r="U91" s="4"/>
    </row>
    <row r="92" spans="1:22" s="3" customFormat="1">
      <c r="A92" s="148"/>
      <c r="B92" s="4"/>
      <c r="C92" s="4"/>
      <c r="D92" s="4"/>
      <c r="E92" s="50"/>
      <c r="F92" s="51"/>
      <c r="G92" s="51"/>
      <c r="H92" s="51"/>
      <c r="I92" s="51"/>
      <c r="J92" s="51"/>
      <c r="K92" s="4"/>
      <c r="L92" s="4"/>
      <c r="M92" s="4"/>
      <c r="N92" s="4"/>
      <c r="O92" s="4"/>
      <c r="P92" s="4"/>
      <c r="Q92" s="4"/>
      <c r="R92" s="4"/>
      <c r="S92" s="4"/>
      <c r="T92" s="4"/>
      <c r="U92" s="4"/>
      <c r="V92" s="5"/>
    </row>
    <row r="93" spans="1:22" s="3" customFormat="1">
      <c r="A93" s="148"/>
      <c r="B93" s="4"/>
      <c r="C93" s="4"/>
      <c r="D93" s="4"/>
      <c r="E93" s="50"/>
      <c r="F93" s="51"/>
      <c r="G93" s="51"/>
      <c r="H93" s="51"/>
      <c r="I93" s="51"/>
      <c r="J93" s="51"/>
      <c r="K93" s="4"/>
      <c r="L93" s="4"/>
      <c r="M93" s="4"/>
      <c r="N93" s="4"/>
      <c r="O93" s="4"/>
      <c r="P93" s="4"/>
      <c r="Q93" s="4"/>
      <c r="R93" s="4"/>
      <c r="S93" s="4"/>
      <c r="T93" s="4"/>
      <c r="U93" s="4"/>
      <c r="V93" s="5"/>
    </row>
    <row r="94" spans="1:22" s="3" customFormat="1">
      <c r="A94" s="148"/>
      <c r="B94" s="4"/>
      <c r="C94" s="4"/>
      <c r="D94" s="4"/>
      <c r="E94" s="50"/>
      <c r="F94" s="51"/>
      <c r="G94" s="51"/>
      <c r="H94" s="51"/>
      <c r="I94" s="51"/>
      <c r="J94" s="51"/>
      <c r="K94" s="4"/>
      <c r="L94" s="4"/>
      <c r="M94" s="4"/>
      <c r="N94" s="4"/>
      <c r="O94" s="4"/>
      <c r="P94" s="4"/>
      <c r="Q94" s="4"/>
      <c r="R94" s="4"/>
      <c r="S94" s="4"/>
      <c r="T94" s="4"/>
      <c r="U94" s="4"/>
      <c r="V94" s="5"/>
    </row>
    <row r="95" spans="1:22" s="3" customFormat="1">
      <c r="A95" s="148"/>
      <c r="B95" s="4"/>
      <c r="C95" s="4"/>
      <c r="D95" s="4"/>
      <c r="E95" s="50"/>
      <c r="F95" s="51"/>
      <c r="G95" s="51"/>
      <c r="H95" s="51"/>
      <c r="I95" s="51"/>
      <c r="J95" s="51"/>
      <c r="K95" s="4"/>
      <c r="L95" s="4"/>
      <c r="M95" s="4"/>
      <c r="N95" s="4"/>
      <c r="O95" s="4"/>
      <c r="P95" s="4"/>
      <c r="Q95" s="4"/>
      <c r="R95" s="4"/>
      <c r="S95" s="4"/>
      <c r="T95" s="4"/>
      <c r="U95" s="4"/>
      <c r="V95" s="5"/>
    </row>
    <row r="96" spans="1:22" s="3" customFormat="1">
      <c r="A96" s="148"/>
      <c r="B96" s="4"/>
      <c r="C96" s="4"/>
      <c r="D96" s="4"/>
      <c r="E96" s="50"/>
      <c r="F96" s="51"/>
      <c r="G96" s="51"/>
      <c r="H96" s="51"/>
      <c r="I96" s="51"/>
      <c r="J96" s="51"/>
      <c r="K96" s="4"/>
      <c r="L96" s="4"/>
      <c r="M96" s="4"/>
      <c r="N96" s="4"/>
      <c r="O96" s="4"/>
      <c r="P96" s="4"/>
      <c r="Q96" s="4"/>
      <c r="R96" s="4"/>
      <c r="S96" s="4"/>
      <c r="T96" s="4"/>
      <c r="U96" s="4"/>
      <c r="V96" s="5"/>
    </row>
    <row r="97" spans="1:22" s="3" customFormat="1">
      <c r="A97" s="148"/>
      <c r="B97" s="4"/>
      <c r="C97" s="4"/>
      <c r="D97" s="4"/>
      <c r="E97" s="50"/>
      <c r="F97" s="51"/>
      <c r="G97" s="51"/>
      <c r="H97" s="51"/>
      <c r="I97" s="51"/>
      <c r="J97" s="51"/>
      <c r="K97" s="4"/>
      <c r="L97" s="4"/>
      <c r="M97" s="4"/>
      <c r="N97" s="4"/>
      <c r="O97" s="4"/>
      <c r="P97" s="4"/>
      <c r="Q97" s="4"/>
      <c r="R97" s="4"/>
      <c r="S97" s="4"/>
      <c r="T97" s="4"/>
      <c r="U97" s="4"/>
      <c r="V97" s="5"/>
    </row>
    <row r="98" spans="1:22" s="3" customFormat="1">
      <c r="A98" s="148"/>
      <c r="B98" s="4"/>
      <c r="C98" s="4"/>
      <c r="D98" s="4"/>
      <c r="E98" s="50"/>
      <c r="F98" s="51"/>
      <c r="G98" s="51"/>
      <c r="H98" s="51"/>
      <c r="I98" s="51"/>
      <c r="J98" s="51"/>
      <c r="K98" s="4"/>
      <c r="L98" s="4"/>
      <c r="M98" s="4"/>
      <c r="N98" s="4"/>
      <c r="O98" s="4"/>
      <c r="P98" s="4"/>
      <c r="Q98" s="4"/>
      <c r="R98" s="4"/>
      <c r="S98" s="4"/>
      <c r="T98" s="4"/>
      <c r="U98" s="4"/>
      <c r="V98" s="5"/>
    </row>
    <row r="99" spans="1:22">
      <c r="A99" s="148"/>
      <c r="B99" s="4"/>
      <c r="C99" s="4"/>
      <c r="D99" s="4"/>
      <c r="E99" s="50"/>
      <c r="F99" s="51"/>
      <c r="G99" s="51"/>
      <c r="H99" s="51"/>
      <c r="I99" s="51"/>
      <c r="J99" s="51"/>
      <c r="K99" s="4"/>
      <c r="L99" s="4"/>
      <c r="M99" s="4"/>
      <c r="N99" s="4"/>
      <c r="O99" s="4"/>
      <c r="P99" s="4"/>
      <c r="Q99" s="4"/>
      <c r="R99" s="4"/>
      <c r="S99" s="4"/>
      <c r="T99" s="4"/>
      <c r="U99" s="4"/>
    </row>
    <row r="100" spans="1:22">
      <c r="A100" s="148"/>
      <c r="B100" s="4"/>
      <c r="C100" s="4"/>
      <c r="D100" s="4"/>
      <c r="E100" s="50"/>
      <c r="F100" s="51"/>
      <c r="G100" s="51"/>
      <c r="H100" s="51"/>
      <c r="I100" s="51"/>
      <c r="J100" s="51"/>
      <c r="K100" s="4"/>
      <c r="L100" s="4"/>
      <c r="M100" s="4"/>
      <c r="N100" s="4"/>
      <c r="O100" s="4"/>
      <c r="P100" s="4"/>
      <c r="Q100" s="4"/>
      <c r="R100" s="4"/>
      <c r="S100" s="4"/>
      <c r="T100" s="4"/>
      <c r="U100" s="4"/>
    </row>
    <row r="101" spans="1:22">
      <c r="A101" s="148"/>
      <c r="B101" s="4"/>
      <c r="C101" s="4"/>
      <c r="D101" s="4"/>
      <c r="E101" s="50"/>
      <c r="F101" s="51"/>
      <c r="G101" s="51"/>
      <c r="H101" s="51"/>
      <c r="I101" s="51"/>
      <c r="J101" s="51"/>
      <c r="K101" s="4"/>
      <c r="L101" s="4"/>
      <c r="M101" s="4"/>
      <c r="N101" s="4"/>
      <c r="O101" s="4"/>
      <c r="P101" s="4"/>
      <c r="Q101" s="4"/>
      <c r="R101" s="4"/>
      <c r="S101" s="4"/>
      <c r="T101" s="4"/>
      <c r="U101" s="4"/>
    </row>
    <row r="102" spans="1:22">
      <c r="A102" s="148"/>
      <c r="B102" s="4"/>
      <c r="C102" s="4"/>
      <c r="D102" s="4"/>
      <c r="E102" s="50"/>
      <c r="F102" s="51"/>
      <c r="G102" s="51"/>
      <c r="H102" s="51"/>
      <c r="I102" s="51"/>
      <c r="J102" s="51"/>
      <c r="K102" s="4"/>
      <c r="L102" s="4"/>
      <c r="M102" s="4"/>
      <c r="N102" s="4"/>
      <c r="O102" s="4"/>
      <c r="P102" s="4"/>
      <c r="Q102" s="4"/>
      <c r="R102" s="4"/>
      <c r="S102" s="4"/>
      <c r="T102" s="4"/>
      <c r="U102" s="4"/>
    </row>
    <row r="103" spans="1:22">
      <c r="A103" s="148"/>
    </row>
    <row r="104" spans="1:22"/>
    <row r="105" spans="1:22"/>
    <row r="106" spans="1:22"/>
    <row r="107" spans="1:22"/>
    <row r="108" spans="1:22"/>
    <row r="109" spans="1:22"/>
    <row r="110" spans="1:22"/>
    <row r="111" spans="1:22"/>
    <row r="112" spans="1:2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sheetData>
  <mergeCells count="1">
    <mergeCell ref="F3:L5"/>
  </mergeCells>
  <phoneticPr fontId="26" type="noConversion"/>
  <conditionalFormatting sqref="A1:A7">
    <cfRule type="cellIs" dxfId="25" priority="39" operator="equal">
      <formula>0</formula>
    </cfRule>
  </conditionalFormatting>
  <conditionalFormatting sqref="B31:J34 B36:D36 F36:J36">
    <cfRule type="cellIs" dxfId="24" priority="40" operator="equal">
      <formula>0</formula>
    </cfRule>
  </conditionalFormatting>
  <conditionalFormatting sqref="C17:XFD17">
    <cfRule type="cellIs" dxfId="23" priority="54" operator="equal">
      <formula>0</formula>
    </cfRule>
  </conditionalFormatting>
  <conditionalFormatting sqref="E3:F3">
    <cfRule type="cellIs" dxfId="22" priority="66" operator="equal">
      <formula>0</formula>
    </cfRule>
  </conditionalFormatting>
  <conditionalFormatting sqref="E9:J9">
    <cfRule type="cellIs" dxfId="21" priority="116" operator="equal">
      <formula>0</formula>
    </cfRule>
  </conditionalFormatting>
  <conditionalFormatting sqref="F10:J16">
    <cfRule type="cellIs" dxfId="20" priority="10" operator="equal">
      <formula>0</formula>
    </cfRule>
  </conditionalFormatting>
  <conditionalFormatting sqref="F13:J13">
    <cfRule type="colorScale" priority="4">
      <colorScale>
        <cfvo type="min"/>
        <cfvo type="max"/>
        <color rgb="FFD9FBE2"/>
        <color rgb="FF43AF43"/>
      </colorScale>
    </cfRule>
    <cfRule type="colorScale" priority="5">
      <colorScale>
        <cfvo type="min"/>
        <cfvo type="max"/>
        <color rgb="FFFCFCFF"/>
        <color rgb="FF43AF43"/>
      </colorScale>
    </cfRule>
    <cfRule type="colorScale" priority="6">
      <colorScale>
        <cfvo type="min"/>
        <cfvo type="max"/>
        <color rgb="FFD9FBE2"/>
        <color rgb="FF43AF43"/>
      </colorScale>
    </cfRule>
    <cfRule type="colorScale" priority="7">
      <colorScale>
        <cfvo type="min"/>
        <cfvo type="max"/>
        <color rgb="FFFCFCFF"/>
        <color rgb="FF43AF43"/>
      </colorScale>
    </cfRule>
    <cfRule type="colorScale" priority="8">
      <colorScale>
        <cfvo type="min"/>
        <cfvo type="max"/>
        <color rgb="FFD9FBE2"/>
        <color rgb="FF43AF43"/>
      </colorScale>
    </cfRule>
    <cfRule type="colorScale" priority="9">
      <colorScale>
        <cfvo type="min"/>
        <cfvo type="max"/>
        <color rgb="FFFCFCFF"/>
        <color rgb="FF43AF43"/>
      </colorScale>
    </cfRule>
  </conditionalFormatting>
  <conditionalFormatting sqref="J21:J26">
    <cfRule type="cellIs" dxfId="19" priority="88" operator="equal">
      <formula>0</formula>
    </cfRule>
  </conditionalFormatting>
  <conditionalFormatting sqref="J31:J34 J36">
    <cfRule type="cellIs" dxfId="18" priority="73" operator="equal">
      <formula>0</formula>
    </cfRule>
  </conditionalFormatting>
  <conditionalFormatting sqref="M10:M11">
    <cfRule type="cellIs" dxfId="17" priority="11" operator="equal">
      <formula>0</formula>
    </cfRule>
  </conditionalFormatting>
  <conditionalFormatting sqref="M14:N15">
    <cfRule type="cellIs" dxfId="16" priority="47" operator="equal">
      <formula>0</formula>
    </cfRule>
  </conditionalFormatting>
  <conditionalFormatting sqref="M12:P12">
    <cfRule type="cellIs" dxfId="15" priority="63" operator="equal">
      <formula>0</formula>
    </cfRule>
  </conditionalFormatting>
  <conditionalFormatting sqref="M13:Q13">
    <cfRule type="cellIs" dxfId="14" priority="51" operator="equal">
      <formula>0</formula>
    </cfRule>
    <cfRule type="colorScale" priority="1239">
      <colorScale>
        <cfvo type="min"/>
        <cfvo type="max"/>
        <color rgb="FFD9FBE2"/>
        <color rgb="FF00C556"/>
      </colorScale>
    </cfRule>
    <cfRule type="colorScale" priority="1240">
      <colorScale>
        <cfvo type="min"/>
        <cfvo type="max"/>
        <color rgb="FFFCFCFF"/>
        <color rgb="FF63BE7B"/>
      </colorScale>
    </cfRule>
  </conditionalFormatting>
  <conditionalFormatting sqref="M16:Q16">
    <cfRule type="cellIs" dxfId="13" priority="45" operator="equal">
      <formula>0</formula>
    </cfRule>
  </conditionalFormatting>
  <conditionalFormatting sqref="N10:N13 M12:M13 O12:P13 Q13 C1:XFD2 B1:B20 C3:D5 P3:XFD5 C6:XFD8 C9:D16 K9:K16 R9:XFD16 C18:J19 K18:XFD24 C20:D20 F20:J20 A20:A24 B21:J24 F30:J30 M30:Q30 L31:Q34 L37:XFD101 B102:XFD1048576 B27:D30 E27:J29 R27:XFD34 L27:Q29 K27:K34 A27:A34 A36:A1048576 A35:XFD35 B37:U102 A25:XFD26 K36:XFD36">
    <cfRule type="cellIs" dxfId="3" priority="122" operator="equal">
      <formula>0</formula>
    </cfRule>
  </conditionalFormatting>
  <conditionalFormatting sqref="O10:Q15">
    <cfRule type="cellIs" dxfId="11" priority="64" operator="equal">
      <formula>0</formula>
    </cfRule>
  </conditionalFormatting>
  <conditionalFormatting sqref="J35">
    <cfRule type="cellIs" dxfId="2" priority="3" operator="equal">
      <formula>0</formula>
    </cfRule>
  </conditionalFormatting>
  <conditionalFormatting sqref="E36">
    <cfRule type="cellIs" dxfId="1" priority="2" operator="equal">
      <formula>0</formula>
    </cfRule>
  </conditionalFormatting>
  <conditionalFormatting sqref="M9:Q9">
    <cfRule type="cellIs" dxfId="0" priority="1" operator="equal">
      <formula>0</formula>
    </cfRule>
  </conditionalFormatting>
  <hyperlinks>
    <hyperlink ref="A18" location="Processos!A1" display="Processos" xr:uid="{8D15E547-4FFD-4114-90D5-3CC2384CCD14}"/>
    <hyperlink ref="A8" location="Dashboard!A1" display="Dashboard" xr:uid="{6D6AEE07-558B-48B0-9CBB-46A0274638CB}"/>
    <hyperlink ref="A9" location="WACC!A1" display="WACC" xr:uid="{782F3CE0-D327-4FAC-93A4-FF493FA18D0D}"/>
    <hyperlink ref="A11" location="'DRE + DCF'!A1" display="DRE + DCF" xr:uid="{7DECF909-12A1-40CF-8486-D2242A582471}"/>
    <hyperlink ref="A12" location="'DRE - Contas Abertas'!A1" display="DRE - Contas Abertas" xr:uid="{E94C43B6-08BF-4D8A-B47E-3D75DA3E1196}"/>
    <hyperlink ref="A13" location="'Balanço Patrimonial'!A1" display="Balanço Patrimonial" xr:uid="{6D985B48-3F5E-43B0-87EB-D71040934DD4}"/>
    <hyperlink ref="A14" location="'Painel de Índices'!A1" display="Projeções - Receita" xr:uid="{49D930B8-8607-43DD-815C-48B15AAC5A13}"/>
    <hyperlink ref="A16" location="'Projeções - CG + Capex'!A1" display="Projeções - CG + Capex" xr:uid="{B0DA1FAA-4281-4140-BA06-3D82B7AF807D}"/>
    <hyperlink ref="A10" location="'DRE Consolidado'!A1" display="DRE Consolidado" xr:uid="{7C3D6AA2-9840-4C92-BCDF-033541FF5CD9}"/>
    <hyperlink ref="A15" location="'Projeções - Receita e EBIT'!A1" display="Projeções - Receita" xr:uid="{1D592DA4-BB52-4F06-8342-A67EB5FD1745}"/>
    <hyperlink ref="A17" location="'Projeções 2023'!A1" display="Projeções 2022" xr:uid="{8FF008D3-EC4F-4FC8-AFC6-287675EC9F3E}"/>
  </hyperlinks>
  <pageMargins left="0.511811024" right="0.511811024" top="0.78740157499999996" bottom="0.78740157499999996" header="0.31496062000000002" footer="0.31496062000000002"/>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426A-93AF-400B-9BD9-DC5FB452C160}">
  <sheetPr codeName="Sheet6"/>
  <dimension ref="A1:BB140"/>
  <sheetViews>
    <sheetView showGridLines="0" topLeftCell="A4" zoomScale="80" zoomScaleNormal="80" workbookViewId="0">
      <selection activeCell="A17" sqref="A17"/>
    </sheetView>
  </sheetViews>
  <sheetFormatPr defaultColWidth="0" defaultRowHeight="15" zeroHeight="1"/>
  <cols>
    <col min="1" max="1" width="34.7109375" style="122" customWidth="1"/>
    <col min="2" max="4" width="9.140625" style="5" customWidth="1"/>
    <col min="5" max="5" width="26.28515625" style="5" bestFit="1" customWidth="1"/>
    <col min="6" max="6" width="56" style="5" customWidth="1"/>
    <col min="7" max="7" width="23.140625" style="5" customWidth="1"/>
    <col min="8" max="8" width="30" style="5" bestFit="1" customWidth="1"/>
    <col min="9" max="9" width="28.85546875" style="5" bestFit="1" customWidth="1"/>
    <col min="10" max="10" width="11.85546875" style="5" customWidth="1"/>
    <col min="11" max="11" width="15.7109375" style="5" customWidth="1"/>
    <col min="12" max="12" width="11.85546875" style="5" customWidth="1"/>
    <col min="13" max="13" width="11.85546875" style="5" hidden="1"/>
    <col min="14" max="14" width="14" style="5" hidden="1"/>
    <col min="15" max="24" width="9.140625" style="5" customWidth="1"/>
    <col min="25" max="25" width="9.140625" style="5" hidden="1" customWidth="1"/>
    <col min="26" max="29" width="0" style="5" hidden="1" customWidth="1"/>
    <col min="30" max="31" width="9.140625" style="5" hidden="1" customWidth="1"/>
    <col min="32" max="35" width="0" style="5" hidden="1" customWidth="1"/>
    <col min="36" max="37" width="9.140625" style="5" hidden="1" customWidth="1"/>
    <col min="38" max="41" width="0" style="5" hidden="1" customWidth="1"/>
    <col min="42" max="42" width="9.140625" style="5" hidden="1" customWidth="1"/>
    <col min="43" max="46" width="0" style="5" hidden="1" customWidth="1"/>
    <col min="47" max="48" width="9.140625" style="5" hidden="1" customWidth="1"/>
    <col min="49" max="52" width="0" style="5" hidden="1" customWidth="1"/>
    <col min="53" max="54" width="9.140625" style="5" hidden="1" customWidth="1"/>
    <col min="55" max="16384" width="0" style="5" hidden="1"/>
  </cols>
  <sheetData>
    <row r="1" spans="1:27" ht="15" customHeight="1">
      <c r="B1" s="4"/>
      <c r="C1" s="4"/>
      <c r="D1" s="4"/>
      <c r="E1" s="4"/>
      <c r="F1" s="4"/>
      <c r="G1" s="4"/>
      <c r="H1" s="4"/>
      <c r="I1" s="4"/>
      <c r="J1" s="4"/>
      <c r="K1" s="4"/>
      <c r="L1" s="4"/>
      <c r="M1" s="133" t="s">
        <v>80</v>
      </c>
      <c r="N1" s="133" t="s">
        <v>81</v>
      </c>
      <c r="O1" s="4"/>
      <c r="P1" s="4"/>
      <c r="Q1" s="4"/>
      <c r="R1" s="4"/>
      <c r="S1" s="4"/>
      <c r="T1" s="4"/>
      <c r="U1" s="4"/>
      <c r="V1" s="4"/>
      <c r="W1" s="4"/>
      <c r="X1" s="4"/>
    </row>
    <row r="2" spans="1:27" ht="15" customHeight="1">
      <c r="B2" s="4"/>
      <c r="C2" s="4"/>
      <c r="D2" s="4"/>
      <c r="E2" s="4"/>
      <c r="F2" s="4"/>
      <c r="G2" s="4"/>
      <c r="H2" s="4"/>
      <c r="I2" s="4"/>
      <c r="J2" s="4"/>
      <c r="K2" s="4"/>
      <c r="L2" s="6"/>
      <c r="M2" s="133" t="s">
        <v>82</v>
      </c>
      <c r="N2" s="133" t="s">
        <v>83</v>
      </c>
      <c r="O2" s="4"/>
      <c r="P2" s="4"/>
      <c r="Q2" s="4"/>
      <c r="R2" s="4"/>
      <c r="S2" s="4"/>
      <c r="T2" s="4"/>
      <c r="U2" s="4"/>
      <c r="V2" s="4"/>
      <c r="W2" s="4"/>
      <c r="X2" s="4"/>
    </row>
    <row r="3" spans="1:27" ht="15" customHeight="1">
      <c r="B3" s="4"/>
      <c r="C3" s="4"/>
      <c r="D3" s="4"/>
      <c r="E3" s="4"/>
      <c r="F3" s="336" t="str">
        <f>Dashboard!H3</f>
        <v>SIMPAR (SIMH3)</v>
      </c>
      <c r="G3" s="336"/>
      <c r="H3" s="336"/>
      <c r="I3" s="336"/>
      <c r="J3" s="4"/>
      <c r="K3" s="4"/>
      <c r="L3" s="6"/>
      <c r="M3" s="133" t="s">
        <v>84</v>
      </c>
      <c r="N3" s="133" t="s">
        <v>85</v>
      </c>
      <c r="O3" s="4"/>
      <c r="P3" s="4"/>
      <c r="Q3" s="4"/>
      <c r="R3" s="4"/>
      <c r="S3" s="4"/>
      <c r="T3" s="4"/>
      <c r="U3" s="4"/>
      <c r="V3" s="4"/>
      <c r="W3" s="4"/>
      <c r="X3" s="4"/>
    </row>
    <row r="4" spans="1:27" ht="15" customHeight="1">
      <c r="B4" s="4"/>
      <c r="C4" s="4"/>
      <c r="D4" s="4"/>
      <c r="E4" s="4"/>
      <c r="F4" s="336"/>
      <c r="G4" s="336"/>
      <c r="H4" s="336"/>
      <c r="I4" s="336"/>
      <c r="J4" s="4"/>
      <c r="K4" s="4"/>
      <c r="L4" s="6"/>
      <c r="M4" s="133"/>
      <c r="N4" s="133" t="s">
        <v>86</v>
      </c>
      <c r="O4" s="4"/>
      <c r="P4" s="4"/>
      <c r="Q4" s="4"/>
      <c r="R4" s="4"/>
      <c r="S4" s="4"/>
      <c r="T4" s="4"/>
      <c r="U4" s="4"/>
      <c r="V4" s="4"/>
      <c r="W4" s="4"/>
      <c r="X4" s="4"/>
    </row>
    <row r="5" spans="1:27" ht="15" customHeight="1">
      <c r="B5" s="4"/>
      <c r="C5" s="4"/>
      <c r="D5" s="4"/>
      <c r="E5" s="4"/>
      <c r="F5" s="407"/>
      <c r="G5" s="407"/>
      <c r="H5" s="407"/>
      <c r="I5" s="407"/>
      <c r="J5" s="4"/>
      <c r="K5" s="4"/>
      <c r="L5" s="6"/>
      <c r="M5" s="65"/>
      <c r="N5" s="4"/>
      <c r="O5" s="4"/>
      <c r="P5" s="4"/>
      <c r="Q5" s="4"/>
      <c r="R5" s="4"/>
      <c r="S5" s="4"/>
      <c r="T5" s="4"/>
      <c r="U5" s="4"/>
      <c r="V5" s="4"/>
      <c r="W5" s="4"/>
      <c r="X5" s="4"/>
    </row>
    <row r="6" spans="1:27">
      <c r="B6" s="4"/>
      <c r="C6" s="4"/>
      <c r="D6" s="4"/>
      <c r="E6" s="4"/>
      <c r="F6" s="4"/>
      <c r="G6" s="4"/>
      <c r="H6" s="4"/>
      <c r="I6" s="4"/>
      <c r="J6" s="4"/>
      <c r="K6" s="4"/>
      <c r="L6" s="4"/>
      <c r="M6" s="4"/>
      <c r="N6" s="4"/>
      <c r="O6" s="4"/>
      <c r="P6" s="4"/>
      <c r="Q6" s="4"/>
      <c r="R6" s="4"/>
      <c r="S6" s="4"/>
      <c r="T6" s="4"/>
      <c r="U6" s="4"/>
      <c r="V6" s="4"/>
      <c r="W6" s="4"/>
      <c r="X6" s="4"/>
    </row>
    <row r="7" spans="1:27" s="11" customFormat="1" ht="24.75" customHeight="1">
      <c r="A7" s="142" t="s">
        <v>33</v>
      </c>
      <c r="B7" s="10"/>
      <c r="C7" s="10"/>
      <c r="D7" s="10"/>
      <c r="E7" s="10"/>
      <c r="F7" s="10"/>
      <c r="G7" s="10"/>
      <c r="H7" s="10"/>
      <c r="I7" s="10"/>
      <c r="J7" s="10"/>
      <c r="K7" s="10"/>
      <c r="L7" s="10"/>
      <c r="M7" s="10"/>
      <c r="N7" s="10"/>
      <c r="O7" s="10"/>
      <c r="P7" s="10"/>
      <c r="Q7" s="10"/>
      <c r="R7" s="10"/>
      <c r="S7" s="10"/>
      <c r="T7" s="10"/>
      <c r="U7" s="10"/>
      <c r="V7" s="10"/>
      <c r="W7" s="10"/>
      <c r="X7" s="10"/>
    </row>
    <row r="8" spans="1:27" ht="30" customHeight="1">
      <c r="A8" s="12" t="s">
        <v>34</v>
      </c>
      <c r="B8" s="4"/>
      <c r="C8" s="10"/>
      <c r="D8" s="10"/>
      <c r="E8" s="134"/>
      <c r="F8" s="134"/>
      <c r="G8" s="134"/>
      <c r="H8" s="134"/>
      <c r="I8" s="134"/>
      <c r="J8" s="10"/>
      <c r="K8" s="10"/>
      <c r="L8" s="10"/>
      <c r="M8" s="10"/>
      <c r="N8" s="10"/>
      <c r="O8" s="10"/>
      <c r="P8" s="10"/>
      <c r="Q8" s="10"/>
      <c r="R8" s="10"/>
      <c r="S8" s="10"/>
      <c r="T8" s="10"/>
      <c r="U8" s="4"/>
      <c r="V8" s="4"/>
      <c r="W8" s="4"/>
      <c r="X8" s="4"/>
    </row>
    <row r="9" spans="1:27" ht="30" customHeight="1">
      <c r="A9" s="12" t="s">
        <v>23</v>
      </c>
      <c r="B9" s="4"/>
      <c r="C9" s="10"/>
      <c r="D9" s="4"/>
      <c r="E9" s="135"/>
      <c r="F9" s="136"/>
      <c r="G9" s="136"/>
      <c r="H9" s="134"/>
      <c r="I9" s="134"/>
      <c r="J9" s="10"/>
      <c r="K9" s="10"/>
      <c r="L9" s="10"/>
      <c r="M9" s="10"/>
      <c r="N9" s="10"/>
      <c r="O9" s="10"/>
      <c r="P9" s="10"/>
      <c r="Q9" s="10"/>
      <c r="R9" s="10"/>
      <c r="S9" s="10"/>
      <c r="T9" s="10"/>
      <c r="U9" s="4"/>
      <c r="V9" s="4"/>
      <c r="W9" s="4"/>
      <c r="X9" s="4"/>
      <c r="Y9" s="4"/>
      <c r="Z9" s="4"/>
      <c r="AA9" s="4"/>
    </row>
    <row r="10" spans="1:27" ht="30" customHeight="1">
      <c r="A10" s="12" t="s">
        <v>323</v>
      </c>
      <c r="B10" s="4"/>
      <c r="C10" s="10"/>
      <c r="D10" s="4"/>
      <c r="E10" s="137"/>
      <c r="F10" s="37" t="s">
        <v>469</v>
      </c>
      <c r="G10" s="37" t="s">
        <v>87</v>
      </c>
      <c r="H10" s="37" t="s">
        <v>88</v>
      </c>
      <c r="I10" s="104" t="s">
        <v>89</v>
      </c>
      <c r="J10" s="10"/>
      <c r="K10" s="10"/>
      <c r="L10" s="10"/>
      <c r="M10" s="10"/>
      <c r="N10" s="10"/>
      <c r="O10" s="10"/>
      <c r="P10" s="10"/>
      <c r="Q10" s="10"/>
      <c r="R10" s="10"/>
      <c r="S10" s="10"/>
      <c r="T10" s="10"/>
      <c r="U10" s="4"/>
      <c r="V10" s="4"/>
      <c r="W10" s="4"/>
      <c r="X10" s="4"/>
      <c r="Y10" s="4"/>
      <c r="Z10" s="4"/>
      <c r="AA10" s="4"/>
    </row>
    <row r="11" spans="1:27" ht="30" customHeight="1">
      <c r="A11" s="12" t="s">
        <v>36</v>
      </c>
      <c r="B11" s="4"/>
      <c r="C11" s="10"/>
      <c r="D11" s="4"/>
      <c r="E11" s="137" t="s">
        <v>90</v>
      </c>
      <c r="F11" s="42">
        <v>541</v>
      </c>
      <c r="G11" s="42">
        <v>0</v>
      </c>
      <c r="H11" s="42">
        <v>138400</v>
      </c>
      <c r="I11" s="45"/>
      <c r="J11" s="10"/>
      <c r="K11" s="10"/>
      <c r="L11" s="10"/>
      <c r="M11" s="10"/>
      <c r="N11" s="10"/>
      <c r="O11" s="10"/>
      <c r="P11" s="10"/>
      <c r="Q11" s="10"/>
      <c r="R11" s="10"/>
      <c r="S11" s="10"/>
      <c r="T11" s="10"/>
      <c r="U11" s="4"/>
      <c r="V11" s="4"/>
      <c r="W11" s="4"/>
      <c r="X11" s="4"/>
      <c r="Y11" s="4"/>
      <c r="Z11" s="4"/>
      <c r="AA11" s="4"/>
    </row>
    <row r="12" spans="1:27" ht="30" customHeight="1">
      <c r="A12" s="166" t="s">
        <v>127</v>
      </c>
      <c r="B12" s="4"/>
      <c r="C12" s="10"/>
      <c r="D12" s="4"/>
      <c r="E12" s="137" t="s">
        <v>91</v>
      </c>
      <c r="F12" s="42">
        <v>4930</v>
      </c>
      <c r="G12" s="42">
        <v>18700</v>
      </c>
      <c r="H12" s="42">
        <v>116900</v>
      </c>
      <c r="I12" s="45"/>
      <c r="J12" s="10"/>
      <c r="K12" s="10"/>
      <c r="L12" s="10"/>
      <c r="M12" s="10"/>
      <c r="N12" s="10"/>
      <c r="O12" s="10"/>
      <c r="P12" s="10"/>
      <c r="Q12" s="10"/>
      <c r="R12" s="10"/>
      <c r="S12" s="10"/>
      <c r="T12" s="10"/>
      <c r="U12" s="4"/>
      <c r="V12" s="4"/>
      <c r="W12" s="4"/>
      <c r="X12" s="4"/>
    </row>
    <row r="13" spans="1:27" ht="30" customHeight="1" thickBot="1">
      <c r="A13" s="12" t="s">
        <v>37</v>
      </c>
      <c r="B13" s="4"/>
      <c r="C13" s="10"/>
      <c r="D13" s="4"/>
      <c r="E13" s="218" t="s">
        <v>92</v>
      </c>
      <c r="F13" s="176">
        <v>3259</v>
      </c>
      <c r="G13" s="176">
        <v>156100</v>
      </c>
      <c r="H13" s="176">
        <v>141200</v>
      </c>
      <c r="I13" s="188"/>
      <c r="J13" s="10"/>
      <c r="K13" s="10"/>
      <c r="L13" s="10"/>
      <c r="M13" s="10"/>
      <c r="N13" s="10"/>
      <c r="O13" s="10"/>
      <c r="P13" s="10"/>
      <c r="Q13" s="10"/>
      <c r="R13" s="10"/>
      <c r="S13" s="10"/>
      <c r="T13" s="10"/>
      <c r="U13" s="4"/>
      <c r="V13" s="4"/>
      <c r="W13" s="4"/>
      <c r="X13" s="4"/>
    </row>
    <row r="14" spans="1:27" ht="30" customHeight="1">
      <c r="A14" s="166" t="s">
        <v>100</v>
      </c>
      <c r="B14" s="4"/>
      <c r="C14" s="10"/>
      <c r="D14" s="4"/>
      <c r="E14" s="191"/>
      <c r="F14" s="181"/>
      <c r="G14" s="181"/>
      <c r="H14" s="181"/>
      <c r="I14" s="181"/>
      <c r="J14" s="10"/>
      <c r="K14" s="10"/>
      <c r="L14" s="10"/>
      <c r="M14" s="10"/>
      <c r="N14" s="10"/>
      <c r="O14" s="10"/>
      <c r="P14" s="10"/>
      <c r="Q14" s="10"/>
      <c r="R14" s="10"/>
      <c r="S14" s="10"/>
      <c r="T14" s="10"/>
      <c r="U14" s="4"/>
      <c r="V14" s="4"/>
      <c r="W14" s="4"/>
      <c r="X14" s="4"/>
    </row>
    <row r="15" spans="1:27" ht="30" customHeight="1">
      <c r="A15" s="12" t="s">
        <v>324</v>
      </c>
      <c r="B15" s="4"/>
      <c r="C15" s="10"/>
      <c r="D15" s="4"/>
      <c r="E15" s="50"/>
      <c r="F15" s="51"/>
      <c r="G15" s="51"/>
      <c r="H15" s="51"/>
      <c r="I15" s="51"/>
      <c r="J15" s="10"/>
      <c r="K15" s="10"/>
      <c r="L15" s="10"/>
      <c r="M15" s="10"/>
      <c r="N15" s="10"/>
      <c r="O15" s="10"/>
      <c r="P15" s="10"/>
      <c r="Q15" s="10"/>
      <c r="R15" s="10"/>
      <c r="S15" s="10"/>
      <c r="T15" s="10"/>
      <c r="U15" s="4"/>
      <c r="V15" s="4"/>
      <c r="W15" s="4"/>
      <c r="X15" s="4"/>
    </row>
    <row r="16" spans="1:27" ht="30" customHeight="1">
      <c r="A16" s="166" t="s">
        <v>129</v>
      </c>
      <c r="B16" s="4"/>
      <c r="C16" s="10"/>
      <c r="D16" s="4"/>
      <c r="E16" s="50"/>
      <c r="F16" s="51"/>
      <c r="G16" s="51"/>
      <c r="H16" s="51"/>
      <c r="I16" s="51"/>
      <c r="J16" s="51"/>
      <c r="K16" s="10"/>
      <c r="L16" s="10"/>
      <c r="M16" s="10"/>
      <c r="N16" s="10"/>
      <c r="O16" s="10"/>
      <c r="P16" s="10"/>
      <c r="Q16" s="10"/>
      <c r="R16" s="10"/>
      <c r="S16" s="10"/>
      <c r="T16" s="10"/>
      <c r="U16" s="4"/>
      <c r="V16" s="4"/>
      <c r="W16" s="4"/>
      <c r="X16" s="4"/>
    </row>
    <row r="17" spans="1:24" ht="30" customHeight="1">
      <c r="A17" s="166" t="s">
        <v>479</v>
      </c>
      <c r="B17" s="4"/>
      <c r="C17" s="10"/>
      <c r="D17" s="4"/>
      <c r="E17" s="134"/>
      <c r="F17" s="134"/>
      <c r="G17" s="134"/>
      <c r="H17" s="134"/>
      <c r="I17" s="134"/>
      <c r="J17" s="4"/>
      <c r="K17" s="10"/>
      <c r="L17" s="10"/>
      <c r="M17" s="10"/>
      <c r="N17" s="10"/>
      <c r="O17" s="10"/>
      <c r="P17" s="10"/>
      <c r="Q17" s="10"/>
      <c r="R17" s="10"/>
      <c r="S17" s="10"/>
      <c r="T17" s="10"/>
      <c r="U17" s="4"/>
      <c r="V17" s="4"/>
      <c r="W17" s="4"/>
      <c r="X17" s="4"/>
    </row>
    <row r="18" spans="1:24" ht="30" customHeight="1">
      <c r="A18" s="33" t="s">
        <v>128</v>
      </c>
      <c r="B18" s="4"/>
      <c r="C18" s="10"/>
      <c r="D18" s="4"/>
      <c r="E18" s="222" t="s">
        <v>186</v>
      </c>
      <c r="F18" s="37" t="s">
        <v>187</v>
      </c>
      <c r="G18" s="37" t="s">
        <v>188</v>
      </c>
      <c r="H18" s="37" t="s">
        <v>189</v>
      </c>
      <c r="I18" s="104" t="s">
        <v>190</v>
      </c>
      <c r="J18" s="10"/>
      <c r="K18" s="10"/>
      <c r="L18" s="10"/>
      <c r="M18" s="10"/>
      <c r="N18" s="10"/>
      <c r="O18" s="10"/>
      <c r="P18" s="10"/>
      <c r="Q18" s="10"/>
      <c r="R18" s="10"/>
      <c r="S18" s="10"/>
      <c r="T18" s="10"/>
      <c r="U18" s="4"/>
      <c r="V18" s="4"/>
      <c r="W18" s="4"/>
      <c r="X18" s="4"/>
    </row>
    <row r="19" spans="1:24" ht="30" customHeight="1">
      <c r="A19" s="12"/>
      <c r="B19" s="4"/>
      <c r="C19" s="10"/>
      <c r="D19" s="4"/>
      <c r="E19" s="223" t="s">
        <v>345</v>
      </c>
      <c r="F19" s="87" t="s">
        <v>346</v>
      </c>
      <c r="G19" s="42">
        <v>85216</v>
      </c>
      <c r="H19" s="42" t="s">
        <v>80</v>
      </c>
      <c r="I19" s="224"/>
      <c r="J19" s="10"/>
      <c r="K19" s="10"/>
      <c r="L19" s="10"/>
      <c r="M19" s="10"/>
      <c r="N19" s="10"/>
      <c r="O19" s="10"/>
      <c r="P19" s="10"/>
      <c r="Q19" s="10"/>
      <c r="R19" s="10"/>
      <c r="S19" s="10"/>
      <c r="T19" s="10"/>
      <c r="U19" s="4"/>
      <c r="V19" s="4"/>
      <c r="W19" s="4"/>
      <c r="X19" s="4"/>
    </row>
    <row r="20" spans="1:24" ht="30" customHeight="1">
      <c r="A20" s="77"/>
      <c r="B20" s="4"/>
      <c r="C20" s="10"/>
      <c r="D20" s="4"/>
      <c r="E20" s="223" t="s">
        <v>347</v>
      </c>
      <c r="F20" s="87" t="s">
        <v>348</v>
      </c>
      <c r="G20" s="42">
        <v>134801</v>
      </c>
      <c r="H20" s="42" t="s">
        <v>80</v>
      </c>
      <c r="I20" s="224"/>
      <c r="J20" s="10"/>
      <c r="K20" s="10"/>
      <c r="L20" s="10"/>
      <c r="M20" s="10"/>
      <c r="N20" s="10"/>
      <c r="O20" s="10"/>
      <c r="P20" s="10"/>
      <c r="Q20" s="10"/>
      <c r="R20" s="10"/>
      <c r="S20" s="10"/>
      <c r="T20" s="10"/>
      <c r="U20" s="4"/>
      <c r="V20" s="4"/>
      <c r="W20" s="4"/>
      <c r="X20" s="4"/>
    </row>
    <row r="21" spans="1:24" ht="30" customHeight="1">
      <c r="A21" s="77"/>
      <c r="B21" s="4"/>
      <c r="C21" s="10"/>
      <c r="D21" s="4"/>
      <c r="E21" s="223" t="s">
        <v>349</v>
      </c>
      <c r="F21" s="87" t="s">
        <v>350</v>
      </c>
      <c r="G21" s="42">
        <v>597401</v>
      </c>
      <c r="H21" s="42" t="s">
        <v>80</v>
      </c>
      <c r="I21" s="224"/>
      <c r="J21" s="10"/>
      <c r="K21" s="10"/>
      <c r="L21" s="10"/>
      <c r="M21" s="10"/>
      <c r="N21" s="10"/>
      <c r="O21" s="10"/>
      <c r="P21" s="10"/>
      <c r="Q21" s="10"/>
      <c r="R21" s="10"/>
      <c r="S21" s="10"/>
      <c r="T21" s="10"/>
      <c r="U21" s="4"/>
      <c r="V21" s="4"/>
      <c r="W21" s="4"/>
      <c r="X21" s="4"/>
    </row>
    <row r="22" spans="1:24" ht="30" customHeight="1">
      <c r="A22" s="77"/>
      <c r="B22" s="4"/>
      <c r="C22" s="10"/>
      <c r="D22" s="4"/>
      <c r="E22" s="223" t="s">
        <v>351</v>
      </c>
      <c r="F22" s="87" t="s">
        <v>352</v>
      </c>
      <c r="G22" s="42">
        <v>195085</v>
      </c>
      <c r="H22" s="42" t="s">
        <v>82</v>
      </c>
      <c r="I22" s="224" t="s">
        <v>353</v>
      </c>
      <c r="J22" s="10"/>
      <c r="K22" s="10"/>
      <c r="L22" s="10"/>
      <c r="M22" s="10"/>
      <c r="N22" s="10"/>
      <c r="O22" s="10"/>
      <c r="P22" s="10"/>
      <c r="Q22" s="10"/>
      <c r="R22" s="10"/>
      <c r="S22" s="10"/>
      <c r="T22" s="10"/>
      <c r="U22" s="4"/>
      <c r="V22" s="4"/>
      <c r="W22" s="4"/>
      <c r="X22" s="4"/>
    </row>
    <row r="23" spans="1:24" ht="30" customHeight="1">
      <c r="A23" s="77"/>
      <c r="B23" s="4"/>
      <c r="C23" s="10"/>
      <c r="D23" s="4"/>
      <c r="E23" s="223" t="s">
        <v>354</v>
      </c>
      <c r="F23" s="87" t="s">
        <v>355</v>
      </c>
      <c r="G23" s="42">
        <v>4023</v>
      </c>
      <c r="H23" s="42" t="s">
        <v>82</v>
      </c>
      <c r="I23" s="224" t="s">
        <v>356</v>
      </c>
      <c r="J23" s="10"/>
      <c r="K23" s="10"/>
      <c r="L23" s="10"/>
      <c r="M23" s="10"/>
      <c r="N23" s="10"/>
      <c r="O23" s="10"/>
      <c r="P23" s="10"/>
      <c r="Q23" s="10"/>
      <c r="R23" s="10"/>
      <c r="S23" s="10"/>
      <c r="T23" s="10"/>
      <c r="U23" s="4"/>
      <c r="V23" s="4"/>
      <c r="W23" s="4"/>
      <c r="X23" s="4"/>
    </row>
    <row r="24" spans="1:24" ht="30" customHeight="1">
      <c r="A24" s="77"/>
      <c r="B24" s="4"/>
      <c r="C24" s="10"/>
      <c r="D24" s="4"/>
      <c r="E24" s="223" t="s">
        <v>357</v>
      </c>
      <c r="F24" s="87" t="s">
        <v>358</v>
      </c>
      <c r="G24" s="42">
        <v>24193</v>
      </c>
      <c r="H24" s="42" t="s">
        <v>82</v>
      </c>
      <c r="I24" s="224" t="s">
        <v>359</v>
      </c>
      <c r="J24" s="10"/>
      <c r="K24" s="10"/>
      <c r="L24" s="10"/>
      <c r="M24" s="10"/>
      <c r="N24" s="10"/>
      <c r="O24" s="10"/>
      <c r="P24" s="10"/>
      <c r="Q24" s="10"/>
      <c r="R24" s="10"/>
      <c r="S24" s="10"/>
      <c r="T24" s="10"/>
      <c r="U24" s="4"/>
      <c r="V24" s="4"/>
      <c r="W24" s="4"/>
      <c r="X24" s="4"/>
    </row>
    <row r="25" spans="1:24" ht="30" customHeight="1">
      <c r="A25" s="77"/>
      <c r="B25" s="4"/>
      <c r="C25" s="10"/>
      <c r="D25" s="4"/>
      <c r="E25" s="223" t="s">
        <v>360</v>
      </c>
      <c r="F25" s="87" t="s">
        <v>361</v>
      </c>
      <c r="G25" s="42">
        <v>1869</v>
      </c>
      <c r="H25" s="42" t="s">
        <v>84</v>
      </c>
      <c r="I25" s="224" t="s">
        <v>362</v>
      </c>
      <c r="J25" s="10"/>
      <c r="K25" s="10"/>
      <c r="L25" s="10"/>
      <c r="M25" s="10"/>
      <c r="N25" s="10"/>
      <c r="O25" s="10"/>
      <c r="P25" s="10"/>
      <c r="Q25" s="10"/>
      <c r="R25" s="10"/>
      <c r="S25" s="10"/>
      <c r="T25" s="10"/>
      <c r="U25" s="4"/>
      <c r="V25" s="4"/>
      <c r="W25" s="4"/>
      <c r="X25" s="4"/>
    </row>
    <row r="26" spans="1:24" ht="30" customHeight="1">
      <c r="A26" s="77"/>
      <c r="B26" s="4"/>
      <c r="C26" s="4"/>
      <c r="D26" s="4"/>
      <c r="E26" s="223" t="s">
        <v>363</v>
      </c>
      <c r="F26" s="87" t="s">
        <v>364</v>
      </c>
      <c r="G26" s="42">
        <v>46698</v>
      </c>
      <c r="H26" s="42" t="s">
        <v>80</v>
      </c>
      <c r="I26" s="224"/>
      <c r="J26" s="51"/>
      <c r="K26" s="51"/>
      <c r="L26" s="51"/>
      <c r="M26" s="51"/>
      <c r="N26" s="4"/>
      <c r="O26" s="4"/>
      <c r="P26" s="4"/>
      <c r="Q26" s="4"/>
      <c r="R26" s="4"/>
      <c r="S26" s="4"/>
      <c r="T26" s="4"/>
      <c r="U26" s="4"/>
      <c r="V26" s="4"/>
      <c r="W26" s="4"/>
      <c r="X26" s="4"/>
    </row>
    <row r="27" spans="1:24" ht="30" customHeight="1">
      <c r="A27" s="77"/>
      <c r="B27" s="4"/>
      <c r="C27" s="4"/>
      <c r="D27" s="4"/>
      <c r="E27" s="223" t="s">
        <v>365</v>
      </c>
      <c r="F27" s="87" t="s">
        <v>366</v>
      </c>
      <c r="G27" s="42">
        <v>3000</v>
      </c>
      <c r="H27" s="42" t="s">
        <v>82</v>
      </c>
      <c r="I27" s="224" t="s">
        <v>367</v>
      </c>
      <c r="J27" s="51"/>
      <c r="K27" s="51"/>
      <c r="L27" s="51"/>
      <c r="M27" s="51"/>
      <c r="N27" s="4"/>
      <c r="O27" s="4"/>
      <c r="P27" s="4"/>
      <c r="Q27" s="4"/>
      <c r="R27" s="4"/>
      <c r="S27" s="4"/>
      <c r="T27" s="4"/>
      <c r="U27" s="4"/>
      <c r="V27" s="4"/>
      <c r="W27" s="4"/>
      <c r="X27" s="4"/>
    </row>
    <row r="28" spans="1:24" ht="30" customHeight="1">
      <c r="A28" s="77"/>
      <c r="B28" s="4"/>
      <c r="C28" s="4"/>
      <c r="D28" s="4"/>
      <c r="E28" s="223" t="s">
        <v>368</v>
      </c>
      <c r="F28" s="87" t="s">
        <v>369</v>
      </c>
      <c r="G28" s="42">
        <v>1600</v>
      </c>
      <c r="H28" s="42" t="s">
        <v>82</v>
      </c>
      <c r="I28" s="224" t="s">
        <v>370</v>
      </c>
      <c r="J28" s="51"/>
      <c r="K28" s="51"/>
      <c r="L28" s="51"/>
      <c r="M28" s="51"/>
      <c r="N28" s="4"/>
      <c r="O28" s="4"/>
      <c r="P28" s="4"/>
      <c r="Q28" s="4"/>
      <c r="R28" s="4"/>
      <c r="S28" s="4"/>
      <c r="T28" s="4"/>
      <c r="U28" s="4"/>
      <c r="V28" s="4"/>
      <c r="W28" s="4"/>
      <c r="X28" s="4"/>
    </row>
    <row r="29" spans="1:24" ht="30" customHeight="1">
      <c r="A29" s="77"/>
      <c r="B29" s="4"/>
      <c r="C29" s="4"/>
      <c r="D29" s="4"/>
      <c r="E29" s="223" t="s">
        <v>371</v>
      </c>
      <c r="F29" s="87" t="s">
        <v>372</v>
      </c>
      <c r="G29" s="42">
        <v>3200</v>
      </c>
      <c r="H29" s="42" t="s">
        <v>82</v>
      </c>
      <c r="I29" s="224"/>
      <c r="J29" s="51"/>
      <c r="K29" s="51"/>
      <c r="L29" s="51"/>
      <c r="M29" s="51"/>
      <c r="N29" s="4"/>
      <c r="O29" s="4"/>
      <c r="P29" s="4"/>
      <c r="Q29" s="4"/>
      <c r="R29" s="4"/>
      <c r="S29" s="4"/>
      <c r="T29" s="4"/>
      <c r="U29" s="4"/>
      <c r="V29" s="4"/>
      <c r="W29" s="4"/>
      <c r="X29" s="4"/>
    </row>
    <row r="30" spans="1:24" ht="30" customHeight="1">
      <c r="A30" s="77"/>
      <c r="B30" s="4"/>
      <c r="C30" s="4"/>
      <c r="D30" s="4"/>
      <c r="E30" s="223" t="s">
        <v>373</v>
      </c>
      <c r="F30" s="87" t="s">
        <v>372</v>
      </c>
      <c r="G30" s="42">
        <v>1200</v>
      </c>
      <c r="H30" s="42" t="s">
        <v>82</v>
      </c>
      <c r="I30" s="224"/>
      <c r="J30" s="51"/>
      <c r="K30" s="51"/>
      <c r="L30" s="51"/>
      <c r="M30" s="51"/>
      <c r="N30" s="4"/>
      <c r="O30" s="4"/>
      <c r="P30" s="4"/>
      <c r="Q30" s="4"/>
      <c r="R30" s="4"/>
      <c r="S30" s="4"/>
      <c r="T30" s="4"/>
      <c r="U30" s="4"/>
      <c r="V30" s="4"/>
      <c r="W30" s="4"/>
      <c r="X30" s="4"/>
    </row>
    <row r="31" spans="1:24" ht="30" customHeight="1">
      <c r="A31" s="77"/>
      <c r="B31" s="4"/>
      <c r="C31" s="4"/>
      <c r="D31" s="4"/>
      <c r="E31" s="223" t="s">
        <v>374</v>
      </c>
      <c r="F31" s="87" t="s">
        <v>372</v>
      </c>
      <c r="G31" s="42">
        <v>2000</v>
      </c>
      <c r="H31" s="42" t="s">
        <v>82</v>
      </c>
      <c r="I31" s="224"/>
      <c r="J31" s="51"/>
      <c r="K31" s="51"/>
      <c r="L31" s="51"/>
      <c r="M31" s="51"/>
      <c r="N31" s="4"/>
      <c r="O31" s="4"/>
      <c r="P31" s="4"/>
      <c r="Q31" s="4"/>
      <c r="R31" s="4"/>
      <c r="S31" s="4"/>
      <c r="T31" s="4"/>
      <c r="U31" s="4"/>
      <c r="V31" s="4"/>
      <c r="W31" s="4"/>
      <c r="X31" s="4"/>
    </row>
    <row r="32" spans="1:24" ht="30" customHeight="1">
      <c r="A32" s="77"/>
      <c r="B32" s="4"/>
      <c r="C32" s="4"/>
      <c r="D32" s="4"/>
      <c r="E32" s="223" t="s">
        <v>375</v>
      </c>
      <c r="F32" s="87" t="s">
        <v>372</v>
      </c>
      <c r="G32" s="42">
        <v>400</v>
      </c>
      <c r="H32" s="42" t="s">
        <v>82</v>
      </c>
      <c r="I32" s="224"/>
      <c r="J32" s="51"/>
      <c r="K32" s="51"/>
      <c r="L32" s="51"/>
      <c r="M32" s="51"/>
      <c r="N32" s="4"/>
      <c r="O32" s="4"/>
      <c r="P32" s="4"/>
      <c r="Q32" s="4"/>
      <c r="R32" s="4"/>
      <c r="S32" s="4"/>
      <c r="T32" s="4"/>
      <c r="U32" s="4"/>
      <c r="V32" s="4"/>
      <c r="W32" s="4"/>
      <c r="X32" s="4"/>
    </row>
    <row r="33" spans="1:24" ht="30" customHeight="1">
      <c r="A33" s="77"/>
      <c r="B33" s="4"/>
      <c r="C33" s="4"/>
      <c r="D33" s="4"/>
      <c r="E33" s="223" t="s">
        <v>376</v>
      </c>
      <c r="F33" s="87" t="s">
        <v>372</v>
      </c>
      <c r="G33" s="42">
        <v>1800</v>
      </c>
      <c r="H33" s="42" t="s">
        <v>82</v>
      </c>
      <c r="I33" s="224"/>
      <c r="J33" s="51"/>
      <c r="K33" s="51"/>
      <c r="L33" s="51"/>
      <c r="M33" s="51"/>
      <c r="N33" s="4"/>
      <c r="O33" s="4"/>
      <c r="P33" s="4"/>
      <c r="Q33" s="4"/>
      <c r="R33" s="4"/>
      <c r="S33" s="4"/>
      <c r="T33" s="4"/>
      <c r="U33" s="4"/>
      <c r="V33" s="4"/>
      <c r="W33" s="4"/>
      <c r="X33" s="4"/>
    </row>
    <row r="34" spans="1:24" ht="30" customHeight="1">
      <c r="A34" s="77"/>
      <c r="B34" s="4"/>
      <c r="C34" s="4"/>
      <c r="D34" s="4"/>
      <c r="E34" s="223" t="s">
        <v>377</v>
      </c>
      <c r="F34" s="87" t="s">
        <v>378</v>
      </c>
      <c r="G34" s="42">
        <v>9966</v>
      </c>
      <c r="H34" s="42" t="s">
        <v>82</v>
      </c>
      <c r="I34" s="224"/>
      <c r="J34" s="51"/>
      <c r="K34" s="51"/>
      <c r="L34" s="51"/>
      <c r="M34" s="51"/>
      <c r="N34" s="4"/>
      <c r="O34" s="4"/>
      <c r="P34" s="4"/>
      <c r="Q34" s="4"/>
      <c r="R34" s="4"/>
      <c r="S34" s="4"/>
      <c r="T34" s="4"/>
      <c r="U34" s="4"/>
      <c r="V34" s="4"/>
      <c r="W34" s="4"/>
      <c r="X34" s="4"/>
    </row>
    <row r="35" spans="1:24" ht="30" customHeight="1">
      <c r="A35" s="77"/>
      <c r="B35" s="4"/>
      <c r="C35" s="4"/>
      <c r="D35" s="4"/>
      <c r="E35" s="223" t="s">
        <v>379</v>
      </c>
      <c r="F35" s="87" t="s">
        <v>380</v>
      </c>
      <c r="G35" s="42">
        <v>100</v>
      </c>
      <c r="H35" s="42" t="s">
        <v>82</v>
      </c>
      <c r="I35" s="224"/>
      <c r="J35" s="51"/>
      <c r="K35" s="51"/>
      <c r="L35" s="51"/>
      <c r="M35" s="51"/>
      <c r="N35" s="4"/>
      <c r="O35" s="4"/>
      <c r="P35" s="4"/>
      <c r="Q35" s="4"/>
      <c r="R35" s="4"/>
      <c r="S35" s="4"/>
      <c r="T35" s="4"/>
      <c r="U35" s="4"/>
      <c r="V35" s="4"/>
      <c r="W35" s="4"/>
      <c r="X35" s="4"/>
    </row>
    <row r="36" spans="1:24" ht="30" customHeight="1">
      <c r="A36" s="77"/>
      <c r="B36" s="4"/>
      <c r="C36" s="4"/>
      <c r="D36" s="4"/>
      <c r="E36" s="223" t="s">
        <v>381</v>
      </c>
      <c r="F36" s="87" t="s">
        <v>382</v>
      </c>
      <c r="G36" s="42">
        <v>154000</v>
      </c>
      <c r="H36" s="42" t="s">
        <v>80</v>
      </c>
      <c r="I36" s="224" t="s">
        <v>383</v>
      </c>
      <c r="J36" s="51"/>
      <c r="K36" s="51"/>
      <c r="L36" s="51"/>
      <c r="M36" s="51"/>
      <c r="N36" s="4"/>
      <c r="O36" s="4"/>
      <c r="P36" s="4"/>
      <c r="Q36" s="4"/>
      <c r="R36" s="4"/>
      <c r="S36" s="4"/>
      <c r="T36" s="4"/>
      <c r="U36" s="4"/>
      <c r="V36" s="4"/>
      <c r="W36" s="4"/>
      <c r="X36" s="4"/>
    </row>
    <row r="37" spans="1:24" ht="30" customHeight="1">
      <c r="A37" s="77"/>
      <c r="B37" s="4"/>
      <c r="C37" s="4"/>
      <c r="D37" s="4"/>
      <c r="E37" s="223" t="s">
        <v>384</v>
      </c>
      <c r="F37" s="87" t="s">
        <v>385</v>
      </c>
      <c r="G37" s="42">
        <v>0</v>
      </c>
      <c r="H37" s="42" t="s">
        <v>82</v>
      </c>
      <c r="I37" s="224" t="s">
        <v>386</v>
      </c>
      <c r="J37" s="51"/>
      <c r="K37" s="51"/>
      <c r="L37" s="51"/>
      <c r="M37" s="51"/>
      <c r="N37" s="4"/>
      <c r="O37" s="4"/>
      <c r="P37" s="4"/>
      <c r="Q37" s="4"/>
      <c r="R37" s="4"/>
      <c r="S37" s="4"/>
      <c r="T37" s="4"/>
      <c r="U37" s="4"/>
      <c r="V37" s="4"/>
      <c r="W37" s="4"/>
      <c r="X37" s="4"/>
    </row>
    <row r="38" spans="1:24" ht="30" customHeight="1">
      <c r="A38" s="77"/>
      <c r="B38" s="4"/>
      <c r="C38" s="4"/>
      <c r="D38" s="4"/>
      <c r="E38" s="223" t="s">
        <v>387</v>
      </c>
      <c r="F38" s="87" t="s">
        <v>388</v>
      </c>
      <c r="G38" s="42">
        <v>123</v>
      </c>
      <c r="H38" s="42" t="s">
        <v>84</v>
      </c>
      <c r="I38" s="224"/>
      <c r="J38" s="51"/>
      <c r="K38" s="51"/>
      <c r="L38" s="51"/>
      <c r="M38" s="51"/>
      <c r="N38" s="4"/>
      <c r="O38" s="4"/>
      <c r="P38" s="4"/>
      <c r="Q38" s="4"/>
      <c r="R38" s="4"/>
      <c r="S38" s="4"/>
      <c r="T38" s="4"/>
      <c r="U38" s="4"/>
      <c r="V38" s="4"/>
      <c r="W38" s="4"/>
      <c r="X38" s="4"/>
    </row>
    <row r="39" spans="1:24" ht="30" customHeight="1">
      <c r="A39" s="77"/>
      <c r="B39" s="4"/>
      <c r="C39" s="4"/>
      <c r="D39" s="4"/>
      <c r="E39" s="223" t="s">
        <v>389</v>
      </c>
      <c r="F39" s="87" t="s">
        <v>390</v>
      </c>
      <c r="G39" s="42">
        <v>100</v>
      </c>
      <c r="H39" s="42" t="s">
        <v>82</v>
      </c>
      <c r="I39" s="224" t="s">
        <v>391</v>
      </c>
      <c r="J39" s="51"/>
      <c r="K39" s="51"/>
      <c r="L39" s="51"/>
      <c r="M39" s="51"/>
      <c r="N39" s="4"/>
      <c r="O39" s="4"/>
      <c r="P39" s="4"/>
      <c r="Q39" s="4"/>
      <c r="R39" s="4"/>
      <c r="S39" s="4"/>
      <c r="T39" s="4"/>
      <c r="U39" s="4"/>
      <c r="V39" s="4"/>
      <c r="W39" s="4"/>
      <c r="X39" s="4"/>
    </row>
    <row r="40" spans="1:24" ht="30" customHeight="1">
      <c r="A40" s="77"/>
      <c r="B40" s="4"/>
      <c r="C40" s="4"/>
      <c r="D40" s="4"/>
      <c r="E40" s="223" t="s">
        <v>392</v>
      </c>
      <c r="F40" s="87" t="s">
        <v>393</v>
      </c>
      <c r="G40" s="42">
        <v>500</v>
      </c>
      <c r="H40" s="42" t="s">
        <v>82</v>
      </c>
      <c r="I40" s="224" t="s">
        <v>391</v>
      </c>
      <c r="J40" s="51"/>
      <c r="K40" s="51"/>
      <c r="L40" s="51"/>
      <c r="M40" s="51"/>
      <c r="N40" s="4"/>
      <c r="O40" s="4"/>
      <c r="P40" s="4"/>
      <c r="Q40" s="4"/>
      <c r="R40" s="4"/>
      <c r="S40" s="4"/>
      <c r="T40" s="4"/>
      <c r="U40" s="4"/>
      <c r="V40" s="4"/>
      <c r="W40" s="4"/>
      <c r="X40" s="4"/>
    </row>
    <row r="41" spans="1:24" ht="30" customHeight="1">
      <c r="A41" s="77"/>
      <c r="B41" s="4"/>
      <c r="C41" s="4"/>
      <c r="D41" s="4"/>
      <c r="E41" s="223" t="s">
        <v>394</v>
      </c>
      <c r="F41" s="87" t="s">
        <v>395</v>
      </c>
      <c r="G41" s="42">
        <v>500</v>
      </c>
      <c r="H41" s="42" t="s">
        <v>84</v>
      </c>
      <c r="I41" s="224"/>
      <c r="J41" s="51"/>
      <c r="K41" s="51"/>
      <c r="L41" s="51"/>
      <c r="M41" s="51"/>
      <c r="N41" s="4"/>
      <c r="O41" s="4"/>
      <c r="P41" s="4"/>
      <c r="Q41" s="4"/>
      <c r="R41" s="4"/>
      <c r="S41" s="4"/>
      <c r="T41" s="4"/>
      <c r="U41" s="4"/>
      <c r="V41" s="4"/>
      <c r="W41" s="4"/>
      <c r="X41" s="4"/>
    </row>
    <row r="42" spans="1:24" ht="30" customHeight="1">
      <c r="A42" s="77"/>
      <c r="B42" s="4"/>
      <c r="C42" s="4"/>
      <c r="D42" s="4"/>
      <c r="E42" s="223" t="s">
        <v>396</v>
      </c>
      <c r="F42" s="87" t="s">
        <v>397</v>
      </c>
      <c r="G42" s="42">
        <v>1000</v>
      </c>
      <c r="H42" s="42" t="s">
        <v>82</v>
      </c>
      <c r="I42" s="224"/>
      <c r="J42" s="51"/>
      <c r="K42" s="51"/>
      <c r="L42" s="51"/>
      <c r="M42" s="51"/>
      <c r="N42" s="4"/>
      <c r="O42" s="4"/>
      <c r="P42" s="4"/>
      <c r="Q42" s="4"/>
      <c r="R42" s="4"/>
      <c r="S42" s="4"/>
      <c r="T42" s="4"/>
      <c r="U42" s="4"/>
      <c r="V42" s="4"/>
      <c r="W42" s="4"/>
      <c r="X42" s="4"/>
    </row>
    <row r="43" spans="1:24" ht="30" customHeight="1">
      <c r="A43" s="77"/>
      <c r="B43" s="4"/>
      <c r="C43" s="4"/>
      <c r="D43" s="4"/>
      <c r="E43" s="223" t="s">
        <v>398</v>
      </c>
      <c r="F43" s="87" t="s">
        <v>399</v>
      </c>
      <c r="G43" s="42">
        <v>6454</v>
      </c>
      <c r="H43" s="42" t="s">
        <v>82</v>
      </c>
      <c r="I43" s="224"/>
      <c r="J43" s="51"/>
      <c r="K43" s="51"/>
      <c r="L43" s="51"/>
      <c r="M43" s="51"/>
      <c r="N43" s="4"/>
      <c r="O43" s="4"/>
      <c r="P43" s="4"/>
      <c r="Q43" s="4"/>
      <c r="R43" s="4"/>
      <c r="S43" s="4"/>
      <c r="T43" s="4"/>
      <c r="U43" s="4"/>
      <c r="V43" s="4"/>
      <c r="W43" s="4"/>
      <c r="X43" s="4"/>
    </row>
    <row r="44" spans="1:24" ht="30" customHeight="1">
      <c r="A44" s="77"/>
      <c r="B44" s="4"/>
      <c r="C44" s="4"/>
      <c r="D44" s="4"/>
      <c r="E44" s="223" t="s">
        <v>400</v>
      </c>
      <c r="F44" s="87" t="s">
        <v>401</v>
      </c>
      <c r="G44" s="42">
        <v>109631</v>
      </c>
      <c r="H44" s="42" t="s">
        <v>80</v>
      </c>
      <c r="I44" s="224"/>
      <c r="J44" s="51"/>
      <c r="K44" s="51"/>
      <c r="L44" s="51"/>
      <c r="M44" s="51"/>
      <c r="N44" s="4"/>
      <c r="O44" s="4"/>
      <c r="P44" s="4"/>
      <c r="Q44" s="4"/>
      <c r="R44" s="4"/>
      <c r="S44" s="4"/>
      <c r="T44" s="4"/>
      <c r="U44" s="4"/>
      <c r="V44" s="4"/>
      <c r="W44" s="4"/>
      <c r="X44" s="4"/>
    </row>
    <row r="45" spans="1:24" ht="30" customHeight="1">
      <c r="A45" s="77"/>
      <c r="B45" s="4"/>
      <c r="C45" s="4"/>
      <c r="D45" s="4"/>
      <c r="E45" s="223" t="s">
        <v>402</v>
      </c>
      <c r="F45" s="87" t="s">
        <v>403</v>
      </c>
      <c r="G45" s="42">
        <v>112760</v>
      </c>
      <c r="H45" s="42" t="s">
        <v>82</v>
      </c>
      <c r="I45" s="224"/>
      <c r="J45" s="51"/>
      <c r="K45" s="51"/>
      <c r="L45" s="51"/>
      <c r="M45" s="51"/>
      <c r="N45" s="4"/>
      <c r="O45" s="4"/>
      <c r="P45" s="4"/>
      <c r="Q45" s="4"/>
      <c r="R45" s="4"/>
      <c r="S45" s="4"/>
      <c r="T45" s="4"/>
      <c r="U45" s="4"/>
      <c r="V45" s="4"/>
      <c r="W45" s="4"/>
      <c r="X45" s="4"/>
    </row>
    <row r="46" spans="1:24" ht="30" customHeight="1">
      <c r="A46" s="77"/>
      <c r="B46" s="4"/>
      <c r="C46" s="4"/>
      <c r="D46" s="4"/>
      <c r="E46" s="223" t="s">
        <v>404</v>
      </c>
      <c r="F46" s="87" t="s">
        <v>405</v>
      </c>
      <c r="G46" s="42">
        <v>12119</v>
      </c>
      <c r="H46" s="42" t="s">
        <v>82</v>
      </c>
      <c r="I46" s="224"/>
      <c r="J46" s="51"/>
      <c r="K46" s="51"/>
      <c r="L46" s="51"/>
      <c r="M46" s="51"/>
      <c r="N46" s="4"/>
      <c r="O46" s="4"/>
      <c r="P46" s="4"/>
      <c r="Q46" s="4"/>
      <c r="R46" s="4"/>
      <c r="S46" s="4"/>
      <c r="T46" s="4"/>
      <c r="U46" s="4"/>
      <c r="V46" s="4"/>
      <c r="W46" s="4"/>
      <c r="X46" s="4"/>
    </row>
    <row r="47" spans="1:24" ht="30" customHeight="1">
      <c r="A47" s="77"/>
      <c r="B47" s="4"/>
      <c r="C47" s="4"/>
      <c r="D47" s="4"/>
      <c r="E47" s="223" t="s">
        <v>406</v>
      </c>
      <c r="F47" s="87" t="s">
        <v>407</v>
      </c>
      <c r="G47" s="42">
        <v>12016</v>
      </c>
      <c r="H47" s="42" t="s">
        <v>82</v>
      </c>
      <c r="I47" s="224"/>
      <c r="J47" s="51"/>
      <c r="K47" s="51"/>
      <c r="L47" s="51"/>
      <c r="M47" s="51"/>
      <c r="N47" s="4"/>
      <c r="O47" s="4"/>
      <c r="P47" s="4"/>
      <c r="Q47" s="4"/>
      <c r="R47" s="4"/>
      <c r="S47" s="4"/>
      <c r="T47" s="4"/>
      <c r="U47" s="4"/>
      <c r="V47" s="4"/>
      <c r="W47" s="4"/>
      <c r="X47" s="4"/>
    </row>
    <row r="48" spans="1:24" ht="30" customHeight="1">
      <c r="A48" s="77"/>
      <c r="B48" s="4"/>
      <c r="C48" s="4"/>
      <c r="D48" s="4"/>
      <c r="E48" s="223" t="s">
        <v>408</v>
      </c>
      <c r="F48" s="87" t="s">
        <v>393</v>
      </c>
      <c r="G48" s="42">
        <v>29652</v>
      </c>
      <c r="H48" s="42" t="s">
        <v>82</v>
      </c>
      <c r="I48" s="224"/>
      <c r="J48" s="51"/>
      <c r="K48" s="51"/>
      <c r="L48" s="51"/>
      <c r="M48" s="51"/>
      <c r="N48" s="4"/>
      <c r="O48" s="4"/>
      <c r="P48" s="4"/>
      <c r="Q48" s="4"/>
      <c r="R48" s="4"/>
      <c r="S48" s="4"/>
      <c r="T48" s="4"/>
      <c r="U48" s="4"/>
      <c r="V48" s="4"/>
      <c r="W48" s="4"/>
      <c r="X48" s="4"/>
    </row>
    <row r="49" spans="1:24" ht="30" customHeight="1">
      <c r="A49" s="77"/>
      <c r="B49" s="4"/>
      <c r="C49" s="4"/>
      <c r="D49" s="4"/>
      <c r="E49" s="223" t="s">
        <v>409</v>
      </c>
      <c r="F49" s="87" t="s">
        <v>393</v>
      </c>
      <c r="G49" s="42">
        <v>9259</v>
      </c>
      <c r="H49" s="42" t="s">
        <v>82</v>
      </c>
      <c r="I49" s="224"/>
      <c r="J49" s="51"/>
      <c r="K49" s="51"/>
      <c r="L49" s="51"/>
      <c r="M49" s="51"/>
      <c r="N49" s="4"/>
      <c r="O49" s="4"/>
      <c r="P49" s="4"/>
      <c r="Q49" s="4"/>
      <c r="R49" s="4"/>
      <c r="S49" s="4"/>
      <c r="T49" s="4"/>
      <c r="U49" s="4"/>
      <c r="V49" s="4"/>
      <c r="W49" s="4"/>
      <c r="X49" s="4"/>
    </row>
    <row r="50" spans="1:24" ht="30" customHeight="1">
      <c r="A50" s="77"/>
      <c r="B50" s="4"/>
      <c r="C50" s="4"/>
      <c r="D50" s="4"/>
      <c r="E50" s="223" t="s">
        <v>410</v>
      </c>
      <c r="F50" s="87" t="s">
        <v>411</v>
      </c>
      <c r="G50" s="42">
        <v>14043</v>
      </c>
      <c r="H50" s="42" t="s">
        <v>80</v>
      </c>
      <c r="I50" s="224"/>
      <c r="J50" s="51"/>
      <c r="K50" s="51"/>
      <c r="L50" s="51"/>
      <c r="M50" s="51"/>
      <c r="N50" s="4"/>
      <c r="O50" s="4"/>
      <c r="P50" s="4"/>
      <c r="Q50" s="4"/>
      <c r="R50" s="4"/>
      <c r="S50" s="4"/>
      <c r="T50" s="4"/>
      <c r="U50" s="4"/>
      <c r="V50" s="4"/>
      <c r="W50" s="4"/>
      <c r="X50" s="4"/>
    </row>
    <row r="51" spans="1:24" ht="30" customHeight="1">
      <c r="A51" s="77"/>
      <c r="B51" s="4"/>
      <c r="C51" s="4"/>
      <c r="D51" s="4"/>
      <c r="E51" s="223" t="s">
        <v>412</v>
      </c>
      <c r="F51" s="87" t="s">
        <v>413</v>
      </c>
      <c r="G51" s="42">
        <v>19986</v>
      </c>
      <c r="H51" s="42" t="s">
        <v>82</v>
      </c>
      <c r="I51" s="224"/>
      <c r="J51" s="51"/>
      <c r="K51" s="51"/>
      <c r="L51" s="51"/>
      <c r="M51" s="51"/>
      <c r="N51" s="4"/>
      <c r="O51" s="4"/>
      <c r="P51" s="4"/>
      <c r="Q51" s="4"/>
      <c r="R51" s="4"/>
      <c r="S51" s="4"/>
      <c r="T51" s="4"/>
      <c r="U51" s="4"/>
      <c r="V51" s="4"/>
      <c r="W51" s="4"/>
      <c r="X51" s="4"/>
    </row>
    <row r="52" spans="1:24" ht="30" customHeight="1">
      <c r="A52" s="77"/>
      <c r="B52" s="4"/>
      <c r="C52" s="4"/>
      <c r="D52" s="4"/>
      <c r="E52" s="223" t="s">
        <v>414</v>
      </c>
      <c r="F52" s="87" t="s">
        <v>415</v>
      </c>
      <c r="G52" s="42">
        <v>11901</v>
      </c>
      <c r="H52" s="42" t="s">
        <v>82</v>
      </c>
      <c r="I52" s="224"/>
      <c r="J52" s="51"/>
      <c r="K52" s="51"/>
      <c r="L52" s="51"/>
      <c r="M52" s="51"/>
      <c r="N52" s="4"/>
      <c r="O52" s="4"/>
      <c r="P52" s="4"/>
      <c r="Q52" s="4"/>
      <c r="R52" s="4"/>
      <c r="S52" s="4"/>
      <c r="T52" s="4"/>
      <c r="U52" s="4"/>
      <c r="V52" s="4"/>
      <c r="W52" s="4"/>
      <c r="X52" s="4"/>
    </row>
    <row r="53" spans="1:24" ht="30" customHeight="1">
      <c r="A53" s="77"/>
      <c r="B53" s="4"/>
      <c r="C53" s="4"/>
      <c r="D53" s="4"/>
      <c r="E53" s="223" t="s">
        <v>416</v>
      </c>
      <c r="F53" s="87" t="s">
        <v>417</v>
      </c>
      <c r="G53" s="42">
        <v>9635</v>
      </c>
      <c r="H53" s="42" t="s">
        <v>82</v>
      </c>
      <c r="I53" s="224"/>
      <c r="J53" s="51"/>
      <c r="K53" s="51"/>
      <c r="L53" s="51"/>
      <c r="M53" s="51"/>
      <c r="N53" s="4"/>
      <c r="O53" s="4"/>
      <c r="P53" s="4"/>
      <c r="Q53" s="4"/>
      <c r="R53" s="4"/>
      <c r="S53" s="4"/>
      <c r="T53" s="4"/>
      <c r="U53" s="4"/>
      <c r="V53" s="4"/>
      <c r="W53" s="4"/>
      <c r="X53" s="4"/>
    </row>
    <row r="54" spans="1:24" ht="30" customHeight="1">
      <c r="A54" s="77"/>
      <c r="B54" s="4"/>
      <c r="C54" s="4"/>
      <c r="D54" s="4"/>
      <c r="E54" s="223" t="s">
        <v>418</v>
      </c>
      <c r="F54" s="87" t="s">
        <v>419</v>
      </c>
      <c r="G54" s="42">
        <v>28098</v>
      </c>
      <c r="H54" s="42" t="s">
        <v>82</v>
      </c>
      <c r="I54" s="224"/>
      <c r="J54" s="51"/>
      <c r="K54" s="51"/>
      <c r="L54" s="51"/>
      <c r="M54" s="51"/>
      <c r="N54" s="4"/>
      <c r="O54" s="4"/>
      <c r="P54" s="4"/>
      <c r="Q54" s="4"/>
      <c r="R54" s="4"/>
      <c r="S54" s="4"/>
      <c r="T54" s="4"/>
      <c r="U54" s="4"/>
      <c r="V54" s="4"/>
      <c r="W54" s="4"/>
      <c r="X54" s="4"/>
    </row>
    <row r="55" spans="1:24" ht="30" customHeight="1">
      <c r="A55" s="77"/>
      <c r="B55" s="4"/>
      <c r="C55" s="4"/>
      <c r="D55" s="4"/>
      <c r="E55" s="223" t="s">
        <v>420</v>
      </c>
      <c r="F55" s="87" t="s">
        <v>421</v>
      </c>
      <c r="G55" s="42">
        <v>6780</v>
      </c>
      <c r="H55" s="42" t="s">
        <v>82</v>
      </c>
      <c r="I55" s="224"/>
      <c r="J55" s="51"/>
      <c r="K55" s="51"/>
      <c r="L55" s="51"/>
      <c r="M55" s="51"/>
      <c r="N55" s="4"/>
      <c r="O55" s="4"/>
      <c r="P55" s="4"/>
      <c r="Q55" s="4"/>
      <c r="R55" s="4"/>
      <c r="S55" s="4"/>
      <c r="T55" s="4"/>
      <c r="U55" s="4"/>
      <c r="V55" s="4"/>
      <c r="W55" s="4"/>
      <c r="X55" s="4"/>
    </row>
    <row r="56" spans="1:24" ht="30" customHeight="1">
      <c r="A56" s="77"/>
      <c r="B56" s="4"/>
      <c r="C56" s="4"/>
      <c r="D56" s="4"/>
      <c r="E56" s="223" t="s">
        <v>422</v>
      </c>
      <c r="F56" s="87" t="s">
        <v>423</v>
      </c>
      <c r="G56" s="42">
        <v>7759</v>
      </c>
      <c r="H56" s="42" t="s">
        <v>80</v>
      </c>
      <c r="I56" s="224"/>
      <c r="J56" s="51"/>
      <c r="K56" s="51"/>
      <c r="L56" s="51"/>
      <c r="M56" s="51"/>
      <c r="N56" s="4"/>
      <c r="O56" s="4"/>
      <c r="P56" s="4"/>
      <c r="Q56" s="4"/>
      <c r="R56" s="4"/>
      <c r="S56" s="4"/>
      <c r="T56" s="4"/>
      <c r="U56" s="4"/>
      <c r="V56" s="4"/>
      <c r="W56" s="4"/>
      <c r="X56" s="4"/>
    </row>
    <row r="57" spans="1:24" ht="30" customHeight="1">
      <c r="A57" s="77"/>
      <c r="B57" s="4"/>
      <c r="C57" s="4"/>
      <c r="D57" s="4"/>
      <c r="E57" s="223" t="s">
        <v>424</v>
      </c>
      <c r="F57" s="87" t="s">
        <v>393</v>
      </c>
      <c r="G57" s="42">
        <v>19763</v>
      </c>
      <c r="H57" s="42" t="s">
        <v>80</v>
      </c>
      <c r="I57" s="224"/>
      <c r="J57" s="51"/>
      <c r="K57" s="51"/>
      <c r="L57" s="51"/>
      <c r="M57" s="51"/>
      <c r="N57" s="4"/>
      <c r="O57" s="4"/>
      <c r="P57" s="4"/>
      <c r="Q57" s="4"/>
      <c r="R57" s="4"/>
      <c r="S57" s="4"/>
      <c r="T57" s="4"/>
      <c r="U57" s="4"/>
      <c r="V57" s="4"/>
      <c r="W57" s="4"/>
      <c r="X57" s="4"/>
    </row>
    <row r="58" spans="1:24" ht="30" customHeight="1">
      <c r="A58" s="77"/>
      <c r="B58" s="4"/>
      <c r="C58" s="4"/>
      <c r="D58" s="4"/>
      <c r="E58" s="223" t="s">
        <v>425</v>
      </c>
      <c r="F58" s="87" t="s">
        <v>426</v>
      </c>
      <c r="G58" s="42">
        <v>100</v>
      </c>
      <c r="H58" s="42" t="s">
        <v>82</v>
      </c>
      <c r="I58" s="224" t="s">
        <v>427</v>
      </c>
      <c r="J58" s="51"/>
      <c r="K58" s="51"/>
      <c r="L58" s="51"/>
      <c r="M58" s="51"/>
      <c r="N58" s="4"/>
      <c r="O58" s="4"/>
      <c r="P58" s="4"/>
      <c r="Q58" s="4"/>
      <c r="R58" s="4"/>
      <c r="S58" s="4"/>
      <c r="T58" s="4"/>
      <c r="U58" s="4"/>
      <c r="V58" s="4"/>
      <c r="W58" s="4"/>
      <c r="X58" s="4"/>
    </row>
    <row r="59" spans="1:24" ht="30" customHeight="1">
      <c r="A59" s="77"/>
      <c r="B59" s="4"/>
      <c r="C59" s="4"/>
      <c r="D59" s="4"/>
      <c r="E59" s="223" t="s">
        <v>384</v>
      </c>
      <c r="F59" s="87" t="s">
        <v>385</v>
      </c>
      <c r="G59" s="42">
        <v>0</v>
      </c>
      <c r="H59" s="42" t="s">
        <v>82</v>
      </c>
      <c r="I59" s="224" t="s">
        <v>386</v>
      </c>
      <c r="J59" s="51"/>
      <c r="K59" s="51"/>
      <c r="L59" s="51"/>
      <c r="M59" s="51"/>
      <c r="N59" s="4"/>
      <c r="O59" s="4"/>
      <c r="P59" s="4"/>
      <c r="Q59" s="4"/>
      <c r="R59" s="4"/>
      <c r="S59" s="4"/>
      <c r="T59" s="4"/>
      <c r="U59" s="4"/>
      <c r="V59" s="4"/>
      <c r="W59" s="4"/>
      <c r="X59" s="4"/>
    </row>
    <row r="60" spans="1:24" ht="30" customHeight="1">
      <c r="A60" s="77"/>
      <c r="B60" s="4"/>
      <c r="C60" s="4"/>
      <c r="D60" s="4"/>
      <c r="E60" s="223" t="s">
        <v>351</v>
      </c>
      <c r="F60" s="87" t="s">
        <v>428</v>
      </c>
      <c r="G60" s="42">
        <v>195085</v>
      </c>
      <c r="H60" s="42" t="s">
        <v>82</v>
      </c>
      <c r="I60" s="224" t="s">
        <v>353</v>
      </c>
      <c r="J60" s="51"/>
      <c r="K60" s="51"/>
      <c r="L60" s="51"/>
      <c r="M60" s="51"/>
      <c r="N60" s="4"/>
      <c r="O60" s="4"/>
      <c r="P60" s="4"/>
      <c r="Q60" s="4"/>
      <c r="R60" s="4"/>
      <c r="S60" s="4"/>
      <c r="T60" s="4"/>
      <c r="U60" s="4"/>
      <c r="V60" s="4"/>
      <c r="W60" s="4"/>
      <c r="X60" s="4"/>
    </row>
    <row r="61" spans="1:24" ht="30" customHeight="1">
      <c r="A61" s="77"/>
      <c r="B61" s="4"/>
      <c r="C61" s="4"/>
      <c r="D61" s="4"/>
      <c r="E61" s="223" t="s">
        <v>354</v>
      </c>
      <c r="F61" s="87" t="s">
        <v>355</v>
      </c>
      <c r="G61" s="42">
        <v>4023</v>
      </c>
      <c r="H61" s="42" t="s">
        <v>82</v>
      </c>
      <c r="I61" s="224" t="s">
        <v>356</v>
      </c>
      <c r="J61" s="51"/>
      <c r="K61" s="51"/>
      <c r="L61" s="51"/>
      <c r="M61" s="51"/>
      <c r="N61" s="4"/>
      <c r="O61" s="4"/>
      <c r="P61" s="4"/>
      <c r="Q61" s="4"/>
      <c r="R61" s="4"/>
      <c r="S61" s="4"/>
      <c r="T61" s="4"/>
      <c r="U61" s="4"/>
      <c r="V61" s="4"/>
      <c r="W61" s="4"/>
      <c r="X61" s="4"/>
    </row>
    <row r="62" spans="1:24" ht="30" customHeight="1">
      <c r="A62" s="77"/>
      <c r="B62" s="4"/>
      <c r="C62" s="4"/>
      <c r="D62" s="4"/>
      <c r="E62" s="223" t="s">
        <v>365</v>
      </c>
      <c r="F62" s="225" t="s">
        <v>366</v>
      </c>
      <c r="G62" s="176">
        <v>3000</v>
      </c>
      <c r="H62" s="176" t="s">
        <v>82</v>
      </c>
      <c r="I62" s="226" t="s">
        <v>367</v>
      </c>
      <c r="J62" s="51"/>
      <c r="K62" s="51"/>
      <c r="L62" s="51"/>
      <c r="M62" s="51"/>
      <c r="N62" s="4"/>
      <c r="O62" s="4"/>
      <c r="P62" s="4"/>
      <c r="Q62" s="4"/>
      <c r="R62" s="4"/>
      <c r="S62" s="4"/>
      <c r="T62" s="4"/>
      <c r="U62" s="4"/>
      <c r="V62" s="4"/>
      <c r="W62" s="4"/>
      <c r="X62" s="4"/>
    </row>
    <row r="63" spans="1:24" ht="30" customHeight="1">
      <c r="A63" s="77"/>
      <c r="B63" s="4"/>
      <c r="C63" s="4"/>
      <c r="D63" s="4"/>
      <c r="E63" s="223" t="s">
        <v>429</v>
      </c>
      <c r="F63" s="225" t="s">
        <v>430</v>
      </c>
      <c r="G63" s="176">
        <v>134643</v>
      </c>
      <c r="H63" s="176" t="s">
        <v>80</v>
      </c>
      <c r="I63" s="226" t="s">
        <v>367</v>
      </c>
      <c r="J63" s="51"/>
      <c r="K63" s="51"/>
      <c r="L63" s="51"/>
      <c r="M63" s="51"/>
      <c r="N63" s="4"/>
      <c r="O63" s="4"/>
      <c r="P63" s="4"/>
      <c r="Q63" s="4"/>
      <c r="R63" s="4"/>
      <c r="S63" s="4"/>
      <c r="T63" s="4"/>
      <c r="U63" s="4"/>
      <c r="V63" s="4"/>
      <c r="W63" s="4"/>
      <c r="X63" s="4"/>
    </row>
    <row r="64" spans="1:24" ht="30" customHeight="1">
      <c r="A64" s="77"/>
      <c r="B64" s="4"/>
      <c r="C64" s="4"/>
      <c r="D64" s="4"/>
      <c r="E64" s="223" t="s">
        <v>431</v>
      </c>
      <c r="F64" s="225" t="s">
        <v>430</v>
      </c>
      <c r="G64" s="176">
        <v>134643</v>
      </c>
      <c r="H64" s="176" t="s">
        <v>80</v>
      </c>
      <c r="I64" s="226" t="s">
        <v>367</v>
      </c>
      <c r="J64" s="51"/>
      <c r="K64" s="51"/>
      <c r="L64" s="51"/>
      <c r="M64" s="51"/>
      <c r="N64" s="4"/>
      <c r="O64" s="4"/>
      <c r="P64" s="4"/>
      <c r="Q64" s="4"/>
      <c r="R64" s="4"/>
      <c r="S64" s="4"/>
      <c r="T64" s="4"/>
      <c r="U64" s="4"/>
      <c r="V64" s="4"/>
      <c r="W64" s="4"/>
      <c r="X64" s="4"/>
    </row>
    <row r="65" spans="1:24" ht="30" customHeight="1">
      <c r="A65" s="77"/>
      <c r="B65" s="4"/>
      <c r="C65" s="4"/>
      <c r="D65" s="4"/>
      <c r="E65" s="223" t="s">
        <v>432</v>
      </c>
      <c r="F65" s="225" t="s">
        <v>433</v>
      </c>
      <c r="G65" s="176">
        <v>257749</v>
      </c>
      <c r="H65" s="176" t="s">
        <v>80</v>
      </c>
      <c r="I65" s="226"/>
      <c r="J65" s="51"/>
      <c r="K65" s="51"/>
      <c r="L65" s="51"/>
      <c r="M65" s="51"/>
      <c r="N65" s="4"/>
      <c r="O65" s="4"/>
      <c r="P65" s="4"/>
      <c r="Q65" s="4"/>
      <c r="R65" s="4"/>
      <c r="S65" s="4"/>
      <c r="T65" s="4"/>
      <c r="U65" s="4"/>
      <c r="V65" s="4"/>
      <c r="W65" s="4"/>
      <c r="X65" s="4"/>
    </row>
    <row r="66" spans="1:24" ht="30" customHeight="1">
      <c r="A66" s="77"/>
      <c r="B66" s="4"/>
      <c r="C66" s="4"/>
      <c r="D66" s="4"/>
      <c r="E66" s="223" t="s">
        <v>434</v>
      </c>
      <c r="F66" s="225" t="s">
        <v>435</v>
      </c>
      <c r="G66" s="176">
        <v>5</v>
      </c>
      <c r="H66" s="176" t="s">
        <v>82</v>
      </c>
      <c r="I66" s="226"/>
      <c r="J66" s="51"/>
      <c r="K66" s="51"/>
      <c r="L66" s="51"/>
      <c r="M66" s="51"/>
      <c r="N66" s="4"/>
      <c r="O66" s="4"/>
      <c r="P66" s="4"/>
      <c r="Q66" s="4"/>
      <c r="R66" s="4"/>
      <c r="S66" s="4"/>
      <c r="T66" s="4"/>
      <c r="U66" s="4"/>
      <c r="V66" s="4"/>
      <c r="W66" s="4"/>
      <c r="X66" s="4"/>
    </row>
    <row r="67" spans="1:24" ht="30" customHeight="1">
      <c r="A67" s="77"/>
      <c r="B67" s="4"/>
      <c r="C67" s="4"/>
      <c r="D67" s="4"/>
      <c r="E67" s="223" t="s">
        <v>436</v>
      </c>
      <c r="F67" s="225" t="s">
        <v>437</v>
      </c>
      <c r="G67" s="176">
        <v>25</v>
      </c>
      <c r="H67" s="176" t="s">
        <v>82</v>
      </c>
      <c r="I67" s="226"/>
      <c r="J67" s="51"/>
      <c r="K67" s="51"/>
      <c r="L67" s="51"/>
      <c r="M67" s="51"/>
      <c r="N67" s="4"/>
      <c r="O67" s="4"/>
      <c r="P67" s="4"/>
      <c r="Q67" s="4"/>
      <c r="R67" s="4"/>
      <c r="S67" s="4"/>
      <c r="T67" s="4"/>
      <c r="U67" s="4"/>
      <c r="V67" s="4"/>
      <c r="W67" s="4"/>
      <c r="X67" s="4"/>
    </row>
    <row r="68" spans="1:24" ht="30" customHeight="1">
      <c r="A68" s="77"/>
      <c r="B68" s="4"/>
      <c r="C68" s="4"/>
      <c r="D68" s="4"/>
      <c r="E68" s="223" t="s">
        <v>438</v>
      </c>
      <c r="F68" s="225" t="s">
        <v>439</v>
      </c>
      <c r="G68" s="176">
        <v>50</v>
      </c>
      <c r="H68" s="176" t="s">
        <v>80</v>
      </c>
      <c r="I68" s="226"/>
      <c r="J68" s="51"/>
      <c r="K68" s="51"/>
      <c r="L68" s="51"/>
      <c r="M68" s="51"/>
      <c r="N68" s="4"/>
      <c r="O68" s="4"/>
      <c r="P68" s="4"/>
      <c r="Q68" s="4"/>
      <c r="R68" s="4"/>
      <c r="S68" s="4"/>
      <c r="T68" s="4"/>
      <c r="U68" s="4"/>
      <c r="V68" s="4"/>
      <c r="W68" s="4"/>
      <c r="X68" s="4"/>
    </row>
    <row r="69" spans="1:24" ht="30" customHeight="1">
      <c r="A69" s="77"/>
      <c r="B69" s="4"/>
      <c r="C69" s="4"/>
      <c r="D69" s="4"/>
      <c r="E69" s="223" t="s">
        <v>440</v>
      </c>
      <c r="F69" s="225" t="s">
        <v>441</v>
      </c>
      <c r="G69" s="176">
        <v>30</v>
      </c>
      <c r="H69" s="176" t="s">
        <v>82</v>
      </c>
      <c r="I69" s="226"/>
      <c r="J69" s="51"/>
      <c r="K69" s="51"/>
      <c r="L69" s="51"/>
      <c r="M69" s="51"/>
      <c r="N69" s="4"/>
      <c r="O69" s="4"/>
      <c r="P69" s="4"/>
      <c r="Q69" s="4"/>
      <c r="R69" s="4"/>
      <c r="S69" s="4"/>
      <c r="T69" s="4"/>
      <c r="U69" s="4"/>
      <c r="V69" s="4"/>
      <c r="W69" s="4"/>
      <c r="X69" s="4"/>
    </row>
    <row r="70" spans="1:24" ht="30" customHeight="1">
      <c r="A70" s="77"/>
      <c r="B70" s="4"/>
      <c r="C70" s="4"/>
      <c r="D70" s="4"/>
      <c r="E70" s="223" t="s">
        <v>442</v>
      </c>
      <c r="F70" s="225" t="s">
        <v>443</v>
      </c>
      <c r="G70" s="176">
        <v>10</v>
      </c>
      <c r="H70" s="176" t="s">
        <v>82</v>
      </c>
      <c r="I70" s="226"/>
      <c r="J70" s="51"/>
      <c r="K70" s="51"/>
      <c r="L70" s="51"/>
      <c r="M70" s="51"/>
      <c r="N70" s="4"/>
      <c r="O70" s="4"/>
      <c r="P70" s="4"/>
      <c r="Q70" s="4"/>
      <c r="R70" s="4"/>
      <c r="S70" s="4"/>
      <c r="T70" s="4"/>
      <c r="U70" s="4"/>
      <c r="V70" s="4"/>
      <c r="W70" s="4"/>
      <c r="X70" s="4"/>
    </row>
    <row r="71" spans="1:24" ht="30" customHeight="1">
      <c r="A71" s="77"/>
      <c r="B71" s="4"/>
      <c r="C71" s="4"/>
      <c r="D71" s="4"/>
      <c r="E71" s="223" t="s">
        <v>444</v>
      </c>
      <c r="F71" s="225" t="s">
        <v>445</v>
      </c>
      <c r="G71" s="176">
        <v>1</v>
      </c>
      <c r="H71" s="176" t="s">
        <v>84</v>
      </c>
      <c r="I71" s="226"/>
      <c r="J71" s="51"/>
      <c r="K71" s="51"/>
      <c r="L71" s="51"/>
      <c r="M71" s="51"/>
      <c r="N71" s="4"/>
      <c r="O71" s="4"/>
      <c r="P71" s="4"/>
      <c r="Q71" s="4"/>
      <c r="R71" s="4"/>
      <c r="S71" s="4"/>
      <c r="T71" s="4"/>
      <c r="U71" s="4"/>
      <c r="V71" s="4"/>
      <c r="W71" s="4"/>
      <c r="X71" s="4"/>
    </row>
    <row r="72" spans="1:24" ht="30" customHeight="1">
      <c r="A72" s="77"/>
      <c r="B72" s="4"/>
      <c r="C72" s="4"/>
      <c r="D72" s="4"/>
      <c r="E72" s="223" t="s">
        <v>446</v>
      </c>
      <c r="F72" s="225" t="s">
        <v>447</v>
      </c>
      <c r="G72" s="176">
        <v>100</v>
      </c>
      <c r="H72" s="176" t="s">
        <v>80</v>
      </c>
      <c r="I72" s="226" t="s">
        <v>448</v>
      </c>
      <c r="J72" s="51"/>
      <c r="K72" s="51"/>
      <c r="L72" s="51"/>
      <c r="M72" s="51"/>
      <c r="N72" s="4"/>
      <c r="O72" s="4"/>
      <c r="P72" s="4"/>
      <c r="Q72" s="4"/>
      <c r="R72" s="4"/>
      <c r="S72" s="4"/>
      <c r="T72" s="4"/>
      <c r="U72" s="4"/>
      <c r="V72" s="4"/>
      <c r="W72" s="4"/>
      <c r="X72" s="4"/>
    </row>
    <row r="73" spans="1:24" ht="30" customHeight="1">
      <c r="A73" s="77"/>
      <c r="B73" s="4"/>
      <c r="C73" s="4"/>
      <c r="D73" s="4"/>
      <c r="E73" s="223" t="s">
        <v>449</v>
      </c>
      <c r="F73" s="225" t="s">
        <v>450</v>
      </c>
      <c r="G73" s="176">
        <v>72</v>
      </c>
      <c r="H73" s="176" t="s">
        <v>82</v>
      </c>
      <c r="I73" s="226" t="s">
        <v>451</v>
      </c>
      <c r="J73" s="51"/>
      <c r="K73" s="51"/>
      <c r="L73" s="51"/>
      <c r="M73" s="51"/>
      <c r="N73" s="4"/>
      <c r="O73" s="4"/>
      <c r="P73" s="4"/>
      <c r="Q73" s="4"/>
      <c r="R73" s="4"/>
      <c r="S73" s="4"/>
      <c r="T73" s="4"/>
      <c r="U73" s="4"/>
      <c r="V73" s="4"/>
      <c r="W73" s="4"/>
      <c r="X73" s="4"/>
    </row>
    <row r="74" spans="1:24" ht="30" customHeight="1">
      <c r="A74" s="77"/>
      <c r="B74" s="4"/>
      <c r="C74" s="4"/>
      <c r="D74" s="4"/>
      <c r="E74" s="223" t="s">
        <v>452</v>
      </c>
      <c r="F74" s="225" t="s">
        <v>453</v>
      </c>
      <c r="G74" s="176">
        <v>541</v>
      </c>
      <c r="H74" s="176" t="s">
        <v>82</v>
      </c>
      <c r="I74" s="226" t="s">
        <v>454</v>
      </c>
      <c r="J74" s="51"/>
      <c r="K74" s="51"/>
      <c r="L74" s="51"/>
      <c r="M74" s="51"/>
      <c r="N74" s="4"/>
      <c r="O74" s="4"/>
      <c r="P74" s="4"/>
      <c r="Q74" s="4"/>
      <c r="R74" s="4"/>
      <c r="S74" s="4"/>
      <c r="T74" s="4"/>
      <c r="U74" s="4"/>
      <c r="V74" s="4"/>
      <c r="W74" s="4"/>
      <c r="X74" s="4"/>
    </row>
    <row r="75" spans="1:24" ht="30" customHeight="1">
      <c r="A75" s="77"/>
      <c r="B75" s="4"/>
      <c r="C75" s="4"/>
      <c r="D75" s="4"/>
      <c r="E75" s="223" t="s">
        <v>455</v>
      </c>
      <c r="F75" s="225" t="s">
        <v>456</v>
      </c>
      <c r="G75" s="176"/>
      <c r="H75" s="176" t="s">
        <v>82</v>
      </c>
      <c r="I75" s="226" t="s">
        <v>457</v>
      </c>
      <c r="J75" s="51"/>
      <c r="K75" s="51"/>
      <c r="L75" s="51"/>
      <c r="M75" s="51"/>
      <c r="N75" s="4"/>
      <c r="O75" s="4"/>
      <c r="P75" s="4"/>
      <c r="Q75" s="4"/>
      <c r="R75" s="4"/>
      <c r="S75" s="4"/>
      <c r="T75" s="4"/>
      <c r="U75" s="4"/>
      <c r="V75" s="4"/>
      <c r="W75" s="4"/>
      <c r="X75" s="4"/>
    </row>
    <row r="76" spans="1:24" ht="30" customHeight="1">
      <c r="A76" s="77"/>
      <c r="B76" s="4"/>
      <c r="C76" s="4"/>
      <c r="D76" s="4"/>
      <c r="E76" s="223" t="s">
        <v>458</v>
      </c>
      <c r="F76" s="225" t="s">
        <v>459</v>
      </c>
      <c r="G76" s="176">
        <v>857</v>
      </c>
      <c r="H76" s="176" t="s">
        <v>82</v>
      </c>
      <c r="I76" s="226"/>
      <c r="J76" s="51"/>
      <c r="K76" s="51"/>
      <c r="L76" s="51"/>
      <c r="M76" s="51"/>
      <c r="N76" s="4"/>
      <c r="O76" s="4"/>
      <c r="P76" s="4"/>
      <c r="Q76" s="4"/>
      <c r="R76" s="4"/>
      <c r="S76" s="4"/>
      <c r="T76" s="4"/>
      <c r="U76" s="4"/>
      <c r="V76" s="4"/>
      <c r="W76" s="4"/>
      <c r="X76" s="4"/>
    </row>
    <row r="77" spans="1:24" ht="30" customHeight="1">
      <c r="A77" s="77"/>
      <c r="B77" s="4"/>
      <c r="C77" s="4"/>
      <c r="D77" s="4"/>
      <c r="E77" s="223" t="s">
        <v>394</v>
      </c>
      <c r="F77" s="225" t="s">
        <v>460</v>
      </c>
      <c r="G77" s="176">
        <v>500</v>
      </c>
      <c r="H77" s="176" t="s">
        <v>84</v>
      </c>
      <c r="I77" s="226"/>
      <c r="J77" s="51"/>
      <c r="K77" s="51"/>
      <c r="L77" s="51"/>
      <c r="M77" s="51"/>
      <c r="N77" s="4"/>
      <c r="O77" s="4"/>
      <c r="P77" s="4"/>
      <c r="Q77" s="4"/>
      <c r="R77" s="4"/>
      <c r="S77" s="4"/>
      <c r="T77" s="4"/>
      <c r="U77" s="4"/>
      <c r="V77" s="4"/>
      <c r="W77" s="4"/>
      <c r="X77" s="4"/>
    </row>
    <row r="78" spans="1:24" ht="30" customHeight="1">
      <c r="A78" s="77"/>
      <c r="B78" s="4"/>
      <c r="C78" s="4"/>
      <c r="D78" s="4"/>
      <c r="E78" s="223" t="s">
        <v>418</v>
      </c>
      <c r="F78" s="225" t="s">
        <v>461</v>
      </c>
      <c r="G78" s="176">
        <v>28098</v>
      </c>
      <c r="H78" s="176" t="s">
        <v>82</v>
      </c>
      <c r="I78" s="226"/>
      <c r="J78" s="51"/>
      <c r="K78" s="51"/>
      <c r="L78" s="51"/>
      <c r="M78" s="51"/>
      <c r="N78" s="4"/>
      <c r="O78" s="4"/>
      <c r="P78" s="4"/>
      <c r="Q78" s="4"/>
      <c r="R78" s="4"/>
      <c r="S78" s="4"/>
      <c r="T78" s="4"/>
      <c r="U78" s="4"/>
      <c r="V78" s="4"/>
      <c r="W78" s="4"/>
      <c r="X78" s="4"/>
    </row>
    <row r="79" spans="1:24" ht="30" customHeight="1">
      <c r="A79" s="77"/>
      <c r="B79" s="4"/>
      <c r="C79" s="4"/>
      <c r="D79" s="4"/>
      <c r="E79" s="223" t="s">
        <v>462</v>
      </c>
      <c r="F79" s="225" t="s">
        <v>463</v>
      </c>
      <c r="G79" s="176">
        <v>72335</v>
      </c>
      <c r="H79" s="176" t="s">
        <v>80</v>
      </c>
      <c r="I79" s="226"/>
      <c r="J79" s="51"/>
      <c r="K79" s="51"/>
      <c r="L79" s="51"/>
      <c r="M79" s="51"/>
      <c r="N79" s="4"/>
      <c r="O79" s="4"/>
      <c r="P79" s="4"/>
      <c r="Q79" s="4"/>
      <c r="R79" s="4"/>
      <c r="S79" s="4"/>
      <c r="T79" s="4"/>
      <c r="U79" s="4"/>
      <c r="V79" s="4"/>
      <c r="W79" s="4"/>
      <c r="X79" s="4"/>
    </row>
    <row r="80" spans="1:24" ht="30" customHeight="1">
      <c r="A80" s="77"/>
      <c r="B80" s="4"/>
      <c r="C80" s="4"/>
      <c r="D80" s="4"/>
      <c r="E80" s="223" t="s">
        <v>464</v>
      </c>
      <c r="F80" s="225" t="s">
        <v>465</v>
      </c>
      <c r="G80" s="176">
        <v>12765</v>
      </c>
      <c r="H80" s="176" t="s">
        <v>82</v>
      </c>
      <c r="I80" s="226"/>
      <c r="J80" s="51"/>
      <c r="K80" s="51"/>
      <c r="L80" s="51"/>
      <c r="M80" s="51"/>
      <c r="N80" s="4"/>
      <c r="O80" s="4"/>
      <c r="P80" s="4"/>
      <c r="Q80" s="4"/>
      <c r="R80" s="4"/>
      <c r="S80" s="4"/>
      <c r="T80" s="4"/>
      <c r="U80" s="4"/>
      <c r="V80" s="4"/>
      <c r="W80" s="4"/>
      <c r="X80" s="4"/>
    </row>
    <row r="81" spans="1:24" ht="30" customHeight="1">
      <c r="A81" s="77"/>
      <c r="B81" s="4"/>
      <c r="C81" s="4"/>
      <c r="D81" s="4"/>
      <c r="E81" s="223" t="s">
        <v>466</v>
      </c>
      <c r="F81" s="225" t="s">
        <v>467</v>
      </c>
      <c r="G81" s="176">
        <v>9744</v>
      </c>
      <c r="H81" s="176" t="s">
        <v>82</v>
      </c>
      <c r="I81" s="226"/>
      <c r="J81" s="51"/>
      <c r="K81" s="51"/>
      <c r="L81" s="51"/>
      <c r="M81" s="51"/>
      <c r="N81" s="4"/>
      <c r="O81" s="4"/>
      <c r="P81" s="4"/>
      <c r="Q81" s="4"/>
      <c r="R81" s="4"/>
      <c r="S81" s="4"/>
      <c r="T81" s="4"/>
      <c r="U81" s="4"/>
      <c r="V81" s="4"/>
      <c r="W81" s="4"/>
      <c r="X81" s="4"/>
    </row>
    <row r="82" spans="1:24" ht="30" customHeight="1" thickBot="1">
      <c r="A82" s="77"/>
      <c r="B82" s="4"/>
      <c r="C82" s="4"/>
      <c r="D82" s="4"/>
      <c r="E82" s="223" t="s">
        <v>468</v>
      </c>
      <c r="F82" s="225"/>
      <c r="G82" s="176">
        <v>1928</v>
      </c>
      <c r="H82" s="176"/>
      <c r="I82" s="226"/>
      <c r="J82" s="51"/>
      <c r="K82" s="51"/>
      <c r="L82" s="51"/>
      <c r="M82" s="51"/>
      <c r="N82" s="4"/>
      <c r="O82" s="4"/>
      <c r="P82" s="4"/>
      <c r="Q82" s="4"/>
      <c r="R82" s="4"/>
      <c r="S82" s="4"/>
      <c r="T82" s="4"/>
      <c r="U82" s="4"/>
      <c r="V82" s="4"/>
      <c r="W82" s="4"/>
      <c r="X82" s="4"/>
    </row>
    <row r="83" spans="1:24" ht="30" customHeight="1">
      <c r="A83" s="77"/>
      <c r="B83" s="4"/>
      <c r="C83" s="4"/>
      <c r="D83" s="4"/>
      <c r="E83" s="191"/>
      <c r="F83" s="181"/>
      <c r="G83" s="181"/>
      <c r="H83" s="181"/>
      <c r="I83" s="181"/>
      <c r="J83" s="51"/>
      <c r="K83" s="51"/>
      <c r="L83" s="51"/>
      <c r="M83" s="51"/>
      <c r="N83" s="4"/>
      <c r="O83" s="4"/>
      <c r="P83" s="4"/>
      <c r="Q83" s="4"/>
      <c r="R83" s="4"/>
      <c r="S83" s="4"/>
      <c r="T83" s="4"/>
      <c r="U83" s="4"/>
      <c r="V83" s="4"/>
      <c r="W83" s="4"/>
      <c r="X83" s="4"/>
    </row>
    <row r="84" spans="1:24" ht="30" customHeight="1">
      <c r="A84" s="77"/>
      <c r="B84" s="4"/>
      <c r="C84" s="4"/>
      <c r="D84" s="4"/>
      <c r="E84" s="50"/>
      <c r="F84" s="51"/>
      <c r="G84" s="51"/>
      <c r="H84" s="51"/>
      <c r="I84" s="51"/>
      <c r="J84" s="51"/>
      <c r="K84" s="51"/>
      <c r="L84" s="51"/>
      <c r="M84" s="51"/>
      <c r="N84" s="4"/>
      <c r="O84" s="4"/>
      <c r="P84" s="4"/>
      <c r="Q84" s="4"/>
      <c r="R84" s="4"/>
      <c r="S84" s="4"/>
      <c r="T84" s="4"/>
      <c r="U84" s="4"/>
      <c r="V84" s="4"/>
      <c r="W84" s="4"/>
      <c r="X84" s="4"/>
    </row>
    <row r="85" spans="1:24" ht="30" customHeight="1">
      <c r="A85" s="77"/>
      <c r="B85" s="4"/>
      <c r="C85" s="4"/>
      <c r="D85" s="4"/>
      <c r="E85" s="50"/>
      <c r="F85" s="51"/>
      <c r="G85" s="51"/>
      <c r="H85" s="51"/>
      <c r="I85" s="51"/>
      <c r="J85" s="51"/>
      <c r="K85" s="51"/>
      <c r="L85" s="51"/>
      <c r="M85" s="51"/>
      <c r="N85" s="4"/>
      <c r="O85" s="4"/>
      <c r="P85" s="4"/>
      <c r="Q85" s="4"/>
      <c r="R85" s="4"/>
      <c r="S85" s="4"/>
      <c r="T85" s="4"/>
      <c r="U85" s="4"/>
      <c r="V85" s="4"/>
      <c r="W85" s="4"/>
      <c r="X85" s="4"/>
    </row>
    <row r="86" spans="1:24" ht="30" customHeight="1">
      <c r="A86" s="77"/>
      <c r="B86" s="4"/>
      <c r="C86" s="4"/>
      <c r="D86" s="4"/>
      <c r="E86" s="50"/>
      <c r="F86" s="51"/>
      <c r="G86" s="51"/>
      <c r="H86" s="51"/>
      <c r="I86" s="51"/>
      <c r="J86" s="51"/>
      <c r="K86" s="51"/>
      <c r="L86" s="51"/>
      <c r="M86" s="51"/>
      <c r="N86" s="4"/>
      <c r="O86" s="4"/>
      <c r="P86" s="4"/>
      <c r="Q86" s="4"/>
      <c r="R86" s="4"/>
      <c r="S86" s="4"/>
      <c r="T86" s="4"/>
      <c r="U86" s="4"/>
      <c r="V86" s="4"/>
      <c r="W86" s="4"/>
      <c r="X86" s="4"/>
    </row>
    <row r="87" spans="1:24" ht="30" customHeight="1">
      <c r="A87" s="77"/>
      <c r="B87" s="4"/>
      <c r="C87" s="4"/>
      <c r="D87" s="4"/>
      <c r="E87" s="50"/>
      <c r="F87" s="51"/>
      <c r="G87" s="51"/>
      <c r="H87" s="51"/>
      <c r="I87" s="51"/>
      <c r="J87" s="51"/>
      <c r="K87" s="51"/>
      <c r="L87" s="51"/>
      <c r="M87" s="51"/>
      <c r="N87" s="4"/>
      <c r="O87" s="4"/>
      <c r="P87" s="4"/>
      <c r="Q87" s="4"/>
      <c r="R87" s="4"/>
      <c r="S87" s="4"/>
      <c r="T87" s="4"/>
      <c r="U87" s="4"/>
      <c r="V87" s="4"/>
      <c r="W87" s="4"/>
      <c r="X87" s="4"/>
    </row>
    <row r="88" spans="1:24" ht="30" customHeight="1">
      <c r="A88" s="77"/>
      <c r="B88" s="4"/>
      <c r="C88" s="4"/>
      <c r="D88" s="4"/>
      <c r="E88" s="50"/>
      <c r="F88" s="51"/>
      <c r="G88" s="51"/>
      <c r="H88" s="51"/>
      <c r="I88" s="51"/>
      <c r="J88" s="51"/>
      <c r="K88" s="51"/>
      <c r="L88" s="51"/>
      <c r="M88" s="51"/>
      <c r="N88" s="4"/>
      <c r="O88" s="4"/>
      <c r="P88" s="4"/>
      <c r="Q88" s="4"/>
      <c r="R88" s="4"/>
      <c r="S88" s="4"/>
      <c r="T88" s="4"/>
      <c r="U88" s="4"/>
      <c r="V88" s="4"/>
      <c r="W88" s="4"/>
      <c r="X88" s="4"/>
    </row>
    <row r="89" spans="1:24" ht="30" customHeight="1">
      <c r="A89" s="77"/>
      <c r="B89" s="4"/>
      <c r="C89" s="4"/>
      <c r="D89" s="4"/>
      <c r="E89" s="50"/>
      <c r="F89" s="51"/>
      <c r="G89" s="51"/>
      <c r="H89" s="51"/>
      <c r="I89" s="51"/>
      <c r="J89" s="51"/>
      <c r="K89" s="51"/>
      <c r="L89" s="51"/>
      <c r="M89" s="51"/>
      <c r="N89" s="4"/>
      <c r="O89" s="4"/>
      <c r="P89" s="4"/>
      <c r="Q89" s="4"/>
      <c r="R89" s="4"/>
      <c r="S89" s="4"/>
      <c r="T89" s="4"/>
      <c r="U89" s="4"/>
      <c r="V89" s="4"/>
      <c r="W89" s="4"/>
      <c r="X89" s="4"/>
    </row>
    <row r="90" spans="1:24" ht="30" customHeight="1">
      <c r="A90" s="77"/>
      <c r="B90" s="4"/>
      <c r="C90" s="4"/>
      <c r="D90" s="4"/>
      <c r="E90" s="50"/>
      <c r="F90" s="51"/>
      <c r="G90" s="51"/>
      <c r="H90" s="51"/>
      <c r="I90" s="51"/>
      <c r="J90" s="51"/>
      <c r="K90" s="51"/>
      <c r="L90" s="51"/>
      <c r="M90" s="51"/>
      <c r="N90" s="4"/>
      <c r="O90" s="4"/>
      <c r="P90" s="4"/>
      <c r="Q90" s="4"/>
      <c r="R90" s="4"/>
      <c r="S90" s="4"/>
      <c r="T90" s="4"/>
      <c r="U90" s="4"/>
      <c r="V90" s="4"/>
      <c r="W90" s="4"/>
      <c r="X90" s="4"/>
    </row>
    <row r="91" spans="1:24" ht="30" customHeight="1">
      <c r="A91" s="77"/>
      <c r="B91" s="4"/>
      <c r="C91" s="4"/>
      <c r="D91" s="4"/>
      <c r="E91" s="50"/>
      <c r="F91" s="51"/>
      <c r="G91" s="51"/>
      <c r="H91" s="51"/>
      <c r="I91" s="51"/>
      <c r="J91" s="51"/>
      <c r="K91" s="51"/>
      <c r="L91" s="51"/>
      <c r="M91" s="51"/>
      <c r="N91" s="4"/>
      <c r="O91" s="4"/>
      <c r="P91" s="4"/>
      <c r="Q91" s="4"/>
      <c r="R91" s="4"/>
      <c r="S91" s="4"/>
      <c r="T91" s="4"/>
      <c r="U91" s="4"/>
      <c r="V91" s="4"/>
      <c r="W91" s="4"/>
      <c r="X91" s="4"/>
    </row>
    <row r="92" spans="1:24" ht="30" customHeight="1">
      <c r="A92" s="77"/>
      <c r="B92" s="4"/>
      <c r="C92" s="4"/>
      <c r="D92" s="4"/>
      <c r="E92" s="50"/>
      <c r="F92" s="51"/>
      <c r="G92" s="51"/>
      <c r="H92" s="51"/>
      <c r="I92" s="51"/>
      <c r="J92" s="51"/>
      <c r="K92" s="51"/>
      <c r="L92" s="51"/>
      <c r="M92" s="51"/>
      <c r="N92" s="4"/>
      <c r="O92" s="4"/>
      <c r="P92" s="4"/>
      <c r="Q92" s="4"/>
      <c r="R92" s="4"/>
      <c r="S92" s="4"/>
      <c r="T92" s="4"/>
      <c r="U92" s="4"/>
      <c r="V92" s="4"/>
      <c r="W92" s="4"/>
      <c r="X92" s="4"/>
    </row>
    <row r="93" spans="1:24" ht="30" customHeight="1">
      <c r="A93" s="77"/>
      <c r="B93" s="4"/>
      <c r="C93" s="4"/>
      <c r="D93" s="4"/>
      <c r="E93" s="50"/>
      <c r="F93" s="51"/>
      <c r="G93" s="51"/>
      <c r="H93" s="51"/>
      <c r="I93" s="51"/>
      <c r="J93" s="51"/>
      <c r="K93" s="51"/>
      <c r="L93" s="51"/>
      <c r="M93" s="51"/>
      <c r="N93" s="4"/>
      <c r="O93" s="4"/>
      <c r="P93" s="4"/>
      <c r="Q93" s="4"/>
      <c r="R93" s="4"/>
      <c r="S93" s="4"/>
      <c r="T93" s="4"/>
      <c r="U93" s="4"/>
      <c r="V93" s="4"/>
      <c r="W93" s="4"/>
      <c r="X93" s="4"/>
    </row>
    <row r="94" spans="1:24" ht="30" customHeight="1">
      <c r="A94" s="77"/>
      <c r="B94" s="4"/>
      <c r="C94" s="4"/>
      <c r="D94" s="4"/>
      <c r="E94" s="50"/>
      <c r="F94" s="51"/>
      <c r="G94" s="51"/>
      <c r="H94" s="51"/>
      <c r="I94" s="51"/>
      <c r="J94" s="51"/>
      <c r="K94" s="51"/>
      <c r="L94" s="51"/>
      <c r="M94" s="51"/>
      <c r="N94" s="4"/>
      <c r="O94" s="4"/>
      <c r="P94" s="4"/>
      <c r="Q94" s="4"/>
      <c r="R94" s="4"/>
      <c r="S94" s="4"/>
      <c r="T94" s="4"/>
      <c r="U94" s="4"/>
      <c r="V94" s="4"/>
      <c r="W94" s="4"/>
      <c r="X94" s="4"/>
    </row>
    <row r="95" spans="1:24" ht="30" customHeight="1">
      <c r="A95" s="77"/>
      <c r="B95" s="4"/>
      <c r="C95" s="4"/>
      <c r="D95" s="4"/>
      <c r="E95" s="50"/>
      <c r="F95" s="51"/>
      <c r="G95" s="51"/>
      <c r="H95" s="51"/>
      <c r="I95" s="51"/>
      <c r="J95" s="51"/>
      <c r="K95" s="51"/>
      <c r="L95" s="51"/>
      <c r="M95" s="51"/>
      <c r="N95" s="4"/>
      <c r="O95" s="4"/>
      <c r="P95" s="4"/>
      <c r="Q95" s="4"/>
      <c r="R95" s="4"/>
      <c r="S95" s="4"/>
      <c r="T95" s="4"/>
      <c r="U95" s="4"/>
      <c r="V95" s="4"/>
      <c r="W95" s="4"/>
      <c r="X95" s="4"/>
    </row>
    <row r="96" spans="1:24" ht="30" customHeight="1">
      <c r="A96" s="77"/>
      <c r="B96" s="4"/>
      <c r="C96" s="4"/>
      <c r="D96" s="4"/>
      <c r="E96" s="50"/>
      <c r="F96" s="51"/>
      <c r="G96" s="51"/>
      <c r="H96" s="51"/>
      <c r="I96" s="51"/>
      <c r="J96" s="51"/>
      <c r="K96" s="51"/>
      <c r="L96" s="51"/>
      <c r="M96" s="51"/>
      <c r="N96" s="4"/>
      <c r="O96" s="4"/>
      <c r="P96" s="4"/>
      <c r="Q96" s="4"/>
      <c r="R96" s="4"/>
      <c r="S96" s="4"/>
      <c r="T96" s="4"/>
      <c r="U96" s="4"/>
      <c r="V96" s="4"/>
      <c r="W96" s="4"/>
      <c r="X96" s="4"/>
    </row>
    <row r="97" spans="1:25" s="3" customFormat="1" ht="30" customHeight="1">
      <c r="A97" s="77"/>
      <c r="B97" s="4"/>
      <c r="C97" s="4"/>
      <c r="D97" s="4"/>
      <c r="E97" s="50"/>
      <c r="F97" s="51"/>
      <c r="G97" s="51"/>
      <c r="H97" s="51"/>
      <c r="I97" s="51"/>
      <c r="J97" s="51"/>
      <c r="K97" s="51"/>
      <c r="L97" s="51"/>
      <c r="M97" s="51"/>
      <c r="N97" s="4"/>
      <c r="O97" s="4"/>
      <c r="P97" s="4"/>
      <c r="Q97" s="4"/>
      <c r="R97" s="4"/>
      <c r="S97" s="4"/>
      <c r="T97" s="4"/>
      <c r="U97" s="4"/>
      <c r="V97" s="4"/>
      <c r="W97" s="4"/>
      <c r="X97" s="4"/>
      <c r="Y97" s="5"/>
    </row>
    <row r="98" spans="1:25" s="3" customFormat="1" ht="30" customHeight="1">
      <c r="A98" s="77"/>
      <c r="B98" s="4"/>
      <c r="C98" s="4"/>
      <c r="D98" s="4"/>
      <c r="E98" s="50"/>
      <c r="F98" s="51"/>
      <c r="G98" s="51"/>
      <c r="H98" s="51"/>
      <c r="I98" s="51"/>
      <c r="J98" s="51"/>
      <c r="K98" s="51"/>
      <c r="L98" s="51"/>
      <c r="M98" s="51"/>
      <c r="N98" s="4"/>
      <c r="O98" s="4"/>
      <c r="P98" s="4"/>
      <c r="Q98" s="4"/>
      <c r="R98" s="4"/>
      <c r="S98" s="4"/>
      <c r="T98" s="4"/>
      <c r="U98" s="4"/>
      <c r="V98" s="4"/>
      <c r="W98" s="4"/>
      <c r="X98" s="4"/>
      <c r="Y98" s="5"/>
    </row>
    <row r="99" spans="1:25" s="3" customFormat="1" ht="30" customHeight="1">
      <c r="A99" s="77"/>
      <c r="B99" s="4"/>
      <c r="C99" s="4"/>
      <c r="D99" s="4"/>
      <c r="E99" s="50"/>
      <c r="F99" s="51"/>
      <c r="G99" s="51"/>
      <c r="H99" s="51"/>
      <c r="I99" s="51"/>
      <c r="J99" s="51"/>
      <c r="K99" s="51"/>
      <c r="L99" s="51"/>
      <c r="M99" s="51"/>
      <c r="N99" s="4"/>
      <c r="O99" s="4"/>
      <c r="P99" s="4"/>
      <c r="Q99" s="4"/>
      <c r="R99" s="4"/>
      <c r="S99" s="4"/>
      <c r="T99" s="4"/>
      <c r="U99" s="4"/>
      <c r="V99" s="4"/>
      <c r="W99" s="4"/>
      <c r="X99" s="4"/>
      <c r="Y99" s="5"/>
    </row>
    <row r="100" spans="1:25" s="3" customFormat="1" ht="30" customHeight="1">
      <c r="A100" s="77"/>
      <c r="B100" s="4"/>
      <c r="C100" s="4"/>
      <c r="D100" s="4"/>
      <c r="E100" s="50"/>
      <c r="F100" s="51"/>
      <c r="G100" s="51"/>
      <c r="H100" s="51"/>
      <c r="I100" s="51"/>
      <c r="J100" s="51"/>
      <c r="K100" s="51"/>
      <c r="L100" s="51"/>
      <c r="M100" s="51"/>
      <c r="N100" s="4"/>
      <c r="O100" s="4"/>
      <c r="P100" s="4"/>
      <c r="Q100" s="4"/>
      <c r="R100" s="4"/>
      <c r="S100" s="4"/>
      <c r="T100" s="4"/>
      <c r="U100" s="4"/>
      <c r="V100" s="4"/>
      <c r="W100" s="4"/>
      <c r="X100" s="4"/>
      <c r="Y100" s="5"/>
    </row>
    <row r="101" spans="1:25" s="3" customFormat="1" ht="30" customHeight="1">
      <c r="A101" s="77"/>
      <c r="B101" s="4"/>
      <c r="C101" s="4"/>
      <c r="D101" s="4"/>
      <c r="E101" s="50"/>
      <c r="F101" s="51"/>
      <c r="G101" s="51"/>
      <c r="H101" s="51"/>
      <c r="I101" s="51"/>
      <c r="J101" s="51"/>
      <c r="K101" s="51"/>
      <c r="L101" s="51"/>
      <c r="M101" s="51"/>
      <c r="N101" s="4"/>
      <c r="O101" s="4"/>
      <c r="P101" s="4"/>
      <c r="Q101" s="4"/>
      <c r="R101" s="4"/>
      <c r="S101" s="4"/>
      <c r="T101" s="4"/>
      <c r="U101" s="4"/>
      <c r="V101" s="4"/>
      <c r="W101" s="4"/>
      <c r="X101" s="4"/>
      <c r="Y101" s="5"/>
    </row>
    <row r="102" spans="1:25" s="3" customFormat="1" ht="30" customHeight="1">
      <c r="A102" s="77"/>
      <c r="B102" s="4"/>
      <c r="C102" s="4"/>
      <c r="D102" s="4"/>
      <c r="E102" s="50"/>
      <c r="F102" s="51"/>
      <c r="G102" s="51"/>
      <c r="H102" s="51"/>
      <c r="I102" s="51"/>
      <c r="J102" s="51"/>
      <c r="K102" s="51"/>
      <c r="L102" s="51"/>
      <c r="M102" s="51"/>
      <c r="N102" s="4"/>
      <c r="O102" s="4"/>
      <c r="P102" s="4"/>
      <c r="Q102" s="4"/>
      <c r="R102" s="4"/>
      <c r="S102" s="4"/>
      <c r="T102" s="4"/>
      <c r="U102" s="4"/>
      <c r="V102" s="4"/>
      <c r="W102" s="4"/>
      <c r="X102" s="4"/>
      <c r="Y102" s="5"/>
    </row>
    <row r="103" spans="1:25" s="3" customFormat="1" ht="30" customHeight="1">
      <c r="A103" s="77"/>
      <c r="B103" s="4"/>
      <c r="C103" s="4"/>
      <c r="D103" s="4"/>
      <c r="E103" s="50"/>
      <c r="F103" s="51"/>
      <c r="G103" s="51"/>
      <c r="H103" s="51"/>
      <c r="I103" s="51"/>
      <c r="J103" s="51"/>
      <c r="K103" s="51"/>
      <c r="L103" s="51"/>
      <c r="M103" s="51"/>
      <c r="N103" s="4"/>
      <c r="O103" s="4"/>
      <c r="P103" s="4"/>
      <c r="Q103" s="4"/>
      <c r="R103" s="4"/>
      <c r="S103" s="4"/>
      <c r="T103" s="4"/>
      <c r="U103" s="4"/>
      <c r="V103" s="4"/>
      <c r="W103" s="4"/>
      <c r="X103" s="4"/>
      <c r="Y103" s="5"/>
    </row>
    <row r="104" spans="1:25" ht="0" hidden="1" customHeight="1">
      <c r="A104" s="77"/>
      <c r="B104" s="4"/>
      <c r="C104" s="4"/>
      <c r="D104" s="4"/>
      <c r="E104" s="50"/>
      <c r="F104" s="51"/>
      <c r="G104" s="51"/>
      <c r="H104" s="51"/>
      <c r="I104" s="51"/>
      <c r="J104" s="51"/>
      <c r="K104" s="51"/>
      <c r="L104" s="51"/>
      <c r="M104" s="51"/>
      <c r="N104" s="4"/>
      <c r="O104" s="4"/>
      <c r="P104" s="4"/>
      <c r="Q104" s="4"/>
      <c r="R104" s="4"/>
      <c r="S104" s="4"/>
      <c r="T104" s="4"/>
      <c r="U104" s="4"/>
      <c r="V104" s="4"/>
      <c r="W104" s="4"/>
      <c r="X104" s="4"/>
    </row>
    <row r="105" spans="1:25" ht="0" hidden="1" customHeight="1">
      <c r="A105" s="77"/>
      <c r="B105" s="4"/>
      <c r="C105" s="4"/>
      <c r="D105" s="4"/>
      <c r="E105" s="50"/>
      <c r="F105" s="51"/>
      <c r="G105" s="51"/>
      <c r="H105" s="51"/>
      <c r="I105" s="51"/>
      <c r="J105" s="51"/>
      <c r="K105" s="51"/>
      <c r="L105" s="51"/>
      <c r="M105" s="51"/>
      <c r="N105" s="4"/>
      <c r="O105" s="4"/>
      <c r="P105" s="4"/>
      <c r="Q105" s="4"/>
      <c r="R105" s="4"/>
      <c r="S105" s="4"/>
      <c r="T105" s="4"/>
      <c r="U105" s="4"/>
      <c r="V105" s="4"/>
      <c r="W105" s="4"/>
      <c r="X105" s="4"/>
    </row>
    <row r="106" spans="1:25" ht="0" hidden="1" customHeight="1">
      <c r="A106" s="77"/>
      <c r="B106" s="4"/>
      <c r="C106" s="4"/>
      <c r="D106" s="4"/>
      <c r="E106" s="50"/>
      <c r="F106" s="51"/>
      <c r="G106" s="51"/>
      <c r="H106" s="51"/>
      <c r="I106" s="51"/>
      <c r="J106" s="51"/>
      <c r="K106" s="51"/>
      <c r="L106" s="51"/>
      <c r="M106" s="51"/>
      <c r="N106" s="4"/>
      <c r="O106" s="4"/>
      <c r="P106" s="4"/>
      <c r="Q106" s="4"/>
      <c r="R106" s="4"/>
      <c r="S106" s="4"/>
      <c r="T106" s="4"/>
      <c r="U106" s="4"/>
      <c r="V106" s="4"/>
      <c r="W106" s="4"/>
      <c r="X106" s="4"/>
    </row>
    <row r="107" spans="1:25" ht="0" hidden="1" customHeight="1">
      <c r="A107" s="77"/>
      <c r="B107" s="4"/>
      <c r="C107" s="4"/>
      <c r="D107" s="4"/>
      <c r="E107" s="50"/>
      <c r="F107" s="51"/>
      <c r="G107" s="51"/>
      <c r="H107" s="51"/>
      <c r="I107" s="51"/>
      <c r="J107" s="51"/>
      <c r="K107" s="51"/>
      <c r="L107" s="51"/>
      <c r="M107" s="51"/>
      <c r="N107" s="4"/>
      <c r="O107" s="4"/>
      <c r="P107" s="4"/>
      <c r="Q107" s="4"/>
      <c r="R107" s="4"/>
      <c r="S107" s="4"/>
      <c r="T107" s="4"/>
      <c r="U107" s="4"/>
      <c r="V107" s="4"/>
      <c r="W107" s="4"/>
      <c r="X107" s="4"/>
    </row>
    <row r="108" spans="1:25" ht="0" hidden="1" customHeight="1">
      <c r="A108" s="77"/>
      <c r="B108" s="4"/>
      <c r="C108" s="4"/>
      <c r="D108" s="4"/>
      <c r="E108" s="50"/>
      <c r="F108" s="51"/>
      <c r="G108" s="51"/>
      <c r="H108" s="51"/>
      <c r="I108" s="51"/>
      <c r="J108" s="51"/>
      <c r="K108" s="51"/>
      <c r="L108" s="51"/>
      <c r="M108" s="51"/>
      <c r="N108" s="4"/>
      <c r="O108" s="4"/>
      <c r="P108" s="4"/>
      <c r="Q108" s="4"/>
      <c r="R108" s="4"/>
      <c r="S108" s="4"/>
      <c r="T108" s="4"/>
      <c r="U108" s="4"/>
      <c r="V108" s="4"/>
      <c r="W108" s="4"/>
      <c r="X108" s="4"/>
    </row>
    <row r="109" spans="1:25" ht="0" hidden="1" customHeight="1">
      <c r="A109" s="77"/>
      <c r="B109" s="4"/>
      <c r="C109" s="4"/>
      <c r="D109" s="4"/>
      <c r="E109" s="50"/>
      <c r="F109" s="51"/>
      <c r="G109" s="51"/>
      <c r="H109" s="51"/>
      <c r="I109" s="51"/>
      <c r="J109" s="51"/>
      <c r="K109" s="51"/>
      <c r="L109" s="51"/>
      <c r="M109" s="51"/>
      <c r="N109" s="4"/>
      <c r="O109" s="4"/>
      <c r="P109" s="4"/>
      <c r="Q109" s="4"/>
      <c r="R109" s="4"/>
      <c r="S109" s="4"/>
      <c r="T109" s="4"/>
      <c r="U109" s="4"/>
      <c r="V109" s="4"/>
      <c r="W109" s="4"/>
      <c r="X109" s="4"/>
    </row>
    <row r="110" spans="1:25" ht="0" hidden="1" customHeight="1">
      <c r="A110" s="77"/>
      <c r="B110" s="4"/>
      <c r="C110" s="4"/>
      <c r="D110" s="4"/>
      <c r="E110" s="50"/>
      <c r="F110" s="51"/>
      <c r="G110" s="51"/>
      <c r="H110" s="51"/>
      <c r="I110" s="51"/>
      <c r="J110" s="51"/>
      <c r="K110" s="51"/>
      <c r="L110" s="51"/>
      <c r="M110" s="51"/>
      <c r="N110" s="4"/>
      <c r="O110" s="4"/>
      <c r="P110" s="4"/>
      <c r="Q110" s="4"/>
      <c r="R110" s="4"/>
      <c r="S110" s="4"/>
      <c r="T110" s="4"/>
      <c r="U110" s="4"/>
      <c r="V110" s="4"/>
      <c r="W110" s="4"/>
      <c r="X110" s="4"/>
    </row>
    <row r="111" spans="1:25" ht="0" hidden="1" customHeight="1">
      <c r="A111" s="77"/>
      <c r="B111" s="4"/>
      <c r="C111" s="4"/>
      <c r="D111" s="4"/>
      <c r="E111" s="50"/>
      <c r="F111" s="51"/>
      <c r="G111" s="51"/>
      <c r="H111" s="51"/>
      <c r="I111" s="51"/>
      <c r="J111" s="51"/>
      <c r="K111" s="51"/>
      <c r="L111" s="51"/>
      <c r="M111" s="51"/>
      <c r="N111" s="4"/>
      <c r="O111" s="4"/>
      <c r="P111" s="4"/>
      <c r="Q111" s="4"/>
      <c r="R111" s="4"/>
      <c r="S111" s="4"/>
      <c r="T111" s="4"/>
      <c r="U111" s="4"/>
      <c r="V111" s="4"/>
      <c r="W111" s="4"/>
      <c r="X111" s="4"/>
    </row>
    <row r="112" spans="1:25" ht="0" hidden="1" customHeight="1">
      <c r="A112" s="77"/>
      <c r="B112" s="4"/>
      <c r="C112" s="4"/>
      <c r="D112" s="4"/>
      <c r="E112" s="50"/>
      <c r="F112" s="51"/>
      <c r="G112" s="51"/>
      <c r="H112" s="51"/>
      <c r="I112" s="51"/>
      <c r="J112" s="51"/>
      <c r="K112" s="51"/>
      <c r="L112" s="51"/>
      <c r="M112" s="51"/>
      <c r="N112" s="4"/>
      <c r="O112" s="4"/>
      <c r="P112" s="4"/>
      <c r="Q112" s="4"/>
      <c r="R112" s="4"/>
      <c r="S112" s="4"/>
      <c r="T112" s="4"/>
      <c r="U112" s="4"/>
      <c r="V112" s="4"/>
      <c r="W112" s="4"/>
      <c r="X112" s="4"/>
    </row>
    <row r="113" spans="1:24" ht="0" hidden="1" customHeight="1">
      <c r="A113" s="77"/>
      <c r="B113" s="4"/>
      <c r="C113" s="4"/>
      <c r="D113" s="4"/>
      <c r="E113" s="50"/>
      <c r="F113" s="51"/>
      <c r="G113" s="51"/>
      <c r="H113" s="51"/>
      <c r="I113" s="51"/>
      <c r="J113" s="51"/>
      <c r="K113" s="51"/>
      <c r="L113" s="51"/>
      <c r="M113" s="51"/>
      <c r="N113" s="4"/>
      <c r="O113" s="4"/>
      <c r="P113" s="4"/>
      <c r="Q113" s="4"/>
      <c r="R113" s="4"/>
      <c r="S113" s="4"/>
      <c r="T113" s="4"/>
      <c r="U113" s="4"/>
      <c r="V113" s="4"/>
      <c r="W113" s="4"/>
      <c r="X113" s="4"/>
    </row>
    <row r="114" spans="1:24" ht="0" hidden="1" customHeight="1">
      <c r="A114" s="77"/>
      <c r="B114" s="4"/>
      <c r="C114" s="4"/>
      <c r="D114" s="4"/>
      <c r="E114" s="50"/>
      <c r="F114" s="51"/>
      <c r="G114" s="51"/>
      <c r="H114" s="51"/>
      <c r="I114" s="51"/>
      <c r="J114" s="51"/>
      <c r="K114" s="51"/>
      <c r="L114" s="51"/>
      <c r="M114" s="51"/>
      <c r="N114" s="4"/>
      <c r="O114" s="4"/>
      <c r="P114" s="4"/>
      <c r="Q114" s="4"/>
      <c r="R114" s="4"/>
      <c r="S114" s="4"/>
      <c r="T114" s="4"/>
      <c r="U114" s="4"/>
      <c r="V114" s="4"/>
      <c r="W114" s="4"/>
      <c r="X114" s="4"/>
    </row>
    <row r="115" spans="1:24" ht="0" hidden="1" customHeight="1">
      <c r="A115" s="77"/>
      <c r="B115" s="4"/>
      <c r="C115" s="4"/>
      <c r="D115" s="4"/>
      <c r="E115" s="50"/>
      <c r="F115" s="51"/>
      <c r="G115" s="51"/>
      <c r="H115" s="51"/>
      <c r="I115" s="51"/>
      <c r="J115" s="51"/>
      <c r="K115" s="51"/>
      <c r="L115" s="51"/>
      <c r="M115" s="51"/>
      <c r="N115" s="4"/>
      <c r="O115" s="4"/>
      <c r="P115" s="4"/>
      <c r="Q115" s="4"/>
      <c r="R115" s="4"/>
      <c r="S115" s="4"/>
      <c r="T115" s="4"/>
      <c r="U115" s="4"/>
      <c r="V115" s="4"/>
      <c r="W115" s="4"/>
      <c r="X115" s="4"/>
    </row>
    <row r="116" spans="1:24" ht="0" hidden="1" customHeight="1">
      <c r="A116" s="77"/>
      <c r="B116" s="4"/>
      <c r="C116" s="4"/>
      <c r="D116" s="4"/>
      <c r="E116" s="50"/>
      <c r="F116" s="51"/>
      <c r="G116" s="51"/>
      <c r="H116" s="51"/>
      <c r="I116" s="51"/>
      <c r="J116" s="51"/>
      <c r="K116" s="51"/>
      <c r="L116" s="51"/>
      <c r="M116" s="51"/>
      <c r="N116" s="4"/>
      <c r="O116" s="4"/>
      <c r="P116" s="4"/>
      <c r="Q116" s="4"/>
      <c r="R116" s="4"/>
      <c r="S116" s="4"/>
      <c r="T116" s="4"/>
      <c r="U116" s="4"/>
      <c r="V116" s="4"/>
      <c r="W116" s="4"/>
      <c r="X116" s="4"/>
    </row>
    <row r="117" spans="1:24" ht="0" hidden="1" customHeight="1">
      <c r="A117" s="77"/>
      <c r="B117" s="4"/>
      <c r="C117" s="4"/>
      <c r="D117" s="4"/>
      <c r="E117" s="50"/>
      <c r="F117" s="51"/>
      <c r="G117" s="51"/>
      <c r="H117" s="51"/>
      <c r="I117" s="51"/>
      <c r="J117" s="51"/>
      <c r="K117" s="51"/>
      <c r="L117" s="51"/>
      <c r="M117" s="51"/>
      <c r="N117" s="4"/>
      <c r="O117" s="4"/>
      <c r="P117" s="4"/>
      <c r="Q117" s="4"/>
      <c r="R117" s="4"/>
      <c r="S117" s="4"/>
      <c r="T117" s="4"/>
      <c r="U117" s="4"/>
      <c r="V117" s="4"/>
      <c r="W117" s="4"/>
      <c r="X117" s="4"/>
    </row>
    <row r="118" spans="1:24" ht="0" hidden="1" customHeight="1">
      <c r="A118" s="77"/>
      <c r="B118" s="4"/>
      <c r="C118" s="4"/>
      <c r="D118" s="4"/>
      <c r="E118" s="50"/>
      <c r="F118" s="51"/>
      <c r="G118" s="51"/>
      <c r="H118" s="51"/>
      <c r="I118" s="51"/>
      <c r="J118" s="51"/>
      <c r="K118" s="51"/>
      <c r="L118" s="51"/>
      <c r="M118" s="51"/>
      <c r="N118" s="4"/>
      <c r="O118" s="4"/>
      <c r="P118" s="4"/>
      <c r="Q118" s="4"/>
      <c r="R118" s="4"/>
      <c r="S118" s="4"/>
      <c r="T118" s="4"/>
      <c r="U118" s="4"/>
      <c r="V118" s="4"/>
      <c r="W118" s="4"/>
      <c r="X118" s="4"/>
    </row>
    <row r="119" spans="1:24" ht="0" hidden="1" customHeight="1">
      <c r="A119" s="77"/>
      <c r="B119" s="4"/>
      <c r="C119" s="4"/>
      <c r="D119" s="4"/>
      <c r="E119" s="50"/>
      <c r="F119" s="51"/>
      <c r="G119" s="51"/>
      <c r="H119" s="51"/>
      <c r="I119" s="51"/>
      <c r="J119" s="51"/>
      <c r="K119" s="51"/>
      <c r="L119" s="51"/>
      <c r="M119" s="51"/>
      <c r="N119" s="4"/>
      <c r="O119" s="4"/>
      <c r="P119" s="4"/>
      <c r="Q119" s="4"/>
      <c r="R119" s="4"/>
      <c r="S119" s="4"/>
      <c r="T119" s="4"/>
      <c r="U119" s="4"/>
      <c r="V119" s="4"/>
      <c r="W119" s="4"/>
      <c r="X119" s="4"/>
    </row>
    <row r="120" spans="1:24" ht="0" hidden="1" customHeight="1">
      <c r="A120" s="77"/>
      <c r="B120" s="4"/>
      <c r="C120" s="4"/>
      <c r="D120" s="4"/>
      <c r="E120" s="50"/>
      <c r="F120" s="51"/>
      <c r="G120" s="51"/>
      <c r="H120" s="51"/>
      <c r="I120" s="51"/>
      <c r="J120" s="51"/>
      <c r="K120" s="51"/>
      <c r="L120" s="51"/>
      <c r="M120" s="51"/>
      <c r="N120" s="4"/>
      <c r="O120" s="4"/>
      <c r="P120" s="4"/>
      <c r="Q120" s="4"/>
      <c r="R120" s="4"/>
      <c r="S120" s="4"/>
      <c r="T120" s="4"/>
      <c r="U120" s="4"/>
      <c r="V120" s="4"/>
      <c r="W120" s="4"/>
      <c r="X120" s="4"/>
    </row>
    <row r="121" spans="1:24" ht="0" hidden="1" customHeight="1">
      <c r="A121" s="77"/>
      <c r="B121" s="4"/>
      <c r="C121" s="4"/>
      <c r="D121" s="4"/>
      <c r="E121" s="50"/>
      <c r="F121" s="51"/>
      <c r="G121" s="51"/>
      <c r="H121" s="51"/>
      <c r="I121" s="51"/>
      <c r="J121" s="51"/>
      <c r="K121" s="51"/>
      <c r="L121" s="51"/>
      <c r="M121" s="51"/>
      <c r="N121" s="4"/>
      <c r="O121" s="4"/>
      <c r="P121" s="4"/>
      <c r="Q121" s="4"/>
      <c r="R121" s="4"/>
      <c r="S121" s="4"/>
      <c r="T121" s="4"/>
      <c r="U121" s="4"/>
      <c r="V121" s="4"/>
      <c r="W121" s="4"/>
      <c r="X121" s="4"/>
    </row>
    <row r="122" spans="1:24" hidden="1">
      <c r="B122" s="4"/>
      <c r="C122" s="4"/>
      <c r="D122" s="4"/>
      <c r="E122" s="50"/>
      <c r="F122" s="51"/>
      <c r="G122" s="51"/>
      <c r="H122" s="51"/>
      <c r="I122" s="51"/>
      <c r="J122" s="51"/>
      <c r="K122" s="51"/>
      <c r="L122" s="51"/>
      <c r="M122" s="51"/>
      <c r="N122" s="4"/>
      <c r="O122" s="4"/>
      <c r="P122" s="4"/>
      <c r="Q122" s="4"/>
      <c r="R122" s="4"/>
      <c r="S122" s="4"/>
      <c r="T122" s="4"/>
      <c r="U122" s="4"/>
      <c r="V122" s="4"/>
      <c r="W122" s="4"/>
      <c r="X122" s="4"/>
    </row>
    <row r="123" spans="1:24" hidden="1">
      <c r="B123" s="4"/>
      <c r="C123" s="4"/>
      <c r="D123" s="4"/>
      <c r="E123" s="50"/>
      <c r="F123" s="51"/>
      <c r="G123" s="51"/>
      <c r="H123" s="51"/>
      <c r="I123" s="51"/>
      <c r="J123" s="51"/>
      <c r="K123" s="51"/>
      <c r="L123" s="51"/>
      <c r="M123" s="51"/>
      <c r="N123" s="4"/>
      <c r="O123" s="4"/>
      <c r="P123" s="4"/>
      <c r="Q123" s="4"/>
      <c r="R123" s="4"/>
      <c r="S123" s="4"/>
      <c r="T123" s="4"/>
      <c r="U123" s="4"/>
      <c r="V123" s="4"/>
      <c r="W123" s="4"/>
      <c r="X123" s="4"/>
    </row>
    <row r="124" spans="1:24" hidden="1">
      <c r="B124" s="4"/>
      <c r="C124" s="4"/>
      <c r="D124" s="4"/>
      <c r="E124" s="50"/>
      <c r="F124" s="51"/>
      <c r="G124" s="51"/>
      <c r="H124" s="51"/>
      <c r="I124" s="51"/>
      <c r="J124" s="51"/>
      <c r="K124" s="51"/>
      <c r="L124" s="51"/>
      <c r="M124" s="51"/>
      <c r="N124" s="4"/>
      <c r="O124" s="4"/>
      <c r="P124" s="4"/>
      <c r="Q124" s="4"/>
      <c r="R124" s="4"/>
      <c r="S124" s="4"/>
      <c r="T124" s="4"/>
      <c r="U124" s="4"/>
      <c r="V124" s="4"/>
      <c r="W124" s="4"/>
      <c r="X124" s="4"/>
    </row>
    <row r="125" spans="1:24" hidden="1">
      <c r="B125" s="4"/>
      <c r="C125" s="4"/>
      <c r="D125" s="4"/>
      <c r="E125" s="50"/>
      <c r="F125" s="51"/>
      <c r="G125" s="51"/>
      <c r="H125" s="51"/>
      <c r="I125" s="51"/>
      <c r="J125" s="51"/>
      <c r="K125" s="51"/>
      <c r="L125" s="51"/>
      <c r="M125" s="51"/>
      <c r="N125" s="4"/>
      <c r="O125" s="4"/>
      <c r="P125" s="4"/>
      <c r="Q125" s="4"/>
      <c r="R125" s="4"/>
      <c r="S125" s="4"/>
      <c r="T125" s="4"/>
      <c r="U125" s="4"/>
      <c r="V125" s="4"/>
      <c r="W125" s="4"/>
      <c r="X125" s="4"/>
    </row>
    <row r="126" spans="1:24" hidden="1">
      <c r="B126" s="4"/>
      <c r="C126" s="4"/>
      <c r="D126" s="4"/>
      <c r="E126" s="50"/>
      <c r="F126" s="51"/>
      <c r="G126" s="51"/>
      <c r="H126" s="51"/>
      <c r="I126" s="51"/>
      <c r="J126" s="51"/>
      <c r="K126" s="51"/>
      <c r="L126" s="51"/>
      <c r="M126" s="51"/>
      <c r="N126" s="4"/>
      <c r="O126" s="4"/>
      <c r="P126" s="4"/>
      <c r="Q126" s="4"/>
      <c r="R126" s="4"/>
      <c r="S126" s="4"/>
      <c r="T126" s="4"/>
      <c r="U126" s="4"/>
      <c r="V126" s="4"/>
      <c r="W126" s="4"/>
      <c r="X126" s="4"/>
    </row>
    <row r="127" spans="1:24" hidden="1">
      <c r="B127" s="4"/>
      <c r="C127" s="4"/>
      <c r="D127" s="4"/>
      <c r="E127" s="50"/>
      <c r="F127" s="51"/>
      <c r="G127" s="51"/>
      <c r="H127" s="51"/>
      <c r="I127" s="51"/>
      <c r="J127" s="51"/>
      <c r="K127" s="51"/>
      <c r="L127" s="51"/>
      <c r="M127" s="51"/>
      <c r="N127" s="4"/>
      <c r="O127" s="4"/>
      <c r="P127" s="4"/>
      <c r="Q127" s="4"/>
      <c r="R127" s="4"/>
      <c r="S127" s="4"/>
      <c r="T127" s="4"/>
      <c r="U127" s="4"/>
      <c r="V127" s="4"/>
      <c r="W127" s="4"/>
      <c r="X127" s="4"/>
    </row>
    <row r="128" spans="1:24" hidden="1">
      <c r="B128" s="4"/>
      <c r="C128" s="4"/>
      <c r="D128" s="4"/>
      <c r="E128" s="50"/>
      <c r="F128" s="51"/>
      <c r="G128" s="51"/>
      <c r="H128" s="51"/>
      <c r="I128" s="51"/>
      <c r="J128" s="51"/>
      <c r="K128" s="51"/>
      <c r="L128" s="51"/>
      <c r="M128" s="51"/>
      <c r="N128" s="4"/>
      <c r="O128" s="4"/>
      <c r="P128" s="4"/>
      <c r="Q128" s="4"/>
      <c r="R128" s="4"/>
      <c r="S128" s="4"/>
      <c r="T128" s="4"/>
      <c r="U128" s="4"/>
      <c r="V128" s="4"/>
      <c r="W128" s="4"/>
      <c r="X128" s="4"/>
    </row>
    <row r="129" spans="2:24">
      <c r="B129" s="4"/>
      <c r="C129" s="4"/>
      <c r="D129" s="4"/>
      <c r="E129" s="50"/>
      <c r="F129" s="51"/>
      <c r="G129" s="51"/>
      <c r="H129" s="51"/>
      <c r="I129" s="51"/>
      <c r="J129" s="51"/>
      <c r="K129" s="51"/>
      <c r="L129" s="51"/>
      <c r="M129" s="51"/>
      <c r="N129" s="4"/>
      <c r="O129" s="4"/>
      <c r="P129" s="4"/>
      <c r="Q129" s="4"/>
      <c r="R129" s="4"/>
      <c r="S129" s="4"/>
      <c r="T129" s="4"/>
      <c r="U129" s="4"/>
      <c r="V129" s="4"/>
      <c r="W129" s="4"/>
      <c r="X129" s="4"/>
    </row>
    <row r="130" spans="2:24">
      <c r="B130" s="4"/>
      <c r="C130" s="4"/>
      <c r="D130" s="4"/>
      <c r="E130" s="50"/>
      <c r="F130" s="51"/>
      <c r="G130" s="51"/>
      <c r="H130" s="51"/>
      <c r="I130" s="51"/>
      <c r="J130" s="51"/>
      <c r="K130" s="51"/>
      <c r="L130" s="51"/>
      <c r="M130" s="51"/>
      <c r="N130" s="4"/>
      <c r="O130" s="4"/>
      <c r="P130" s="4"/>
      <c r="Q130" s="4"/>
      <c r="R130" s="4"/>
      <c r="S130" s="4"/>
      <c r="T130" s="4"/>
      <c r="U130" s="4"/>
      <c r="V130" s="4"/>
      <c r="W130" s="4"/>
      <c r="X130" s="4"/>
    </row>
    <row r="131" spans="2:24">
      <c r="B131" s="4"/>
      <c r="C131" s="4"/>
      <c r="D131" s="4"/>
      <c r="E131" s="50"/>
      <c r="F131" s="51"/>
      <c r="G131" s="51"/>
      <c r="H131" s="51"/>
      <c r="I131" s="51"/>
      <c r="J131" s="51"/>
      <c r="K131" s="51"/>
      <c r="L131" s="51"/>
      <c r="M131" s="51"/>
      <c r="N131" s="4"/>
      <c r="O131" s="4"/>
      <c r="P131" s="4"/>
      <c r="Q131" s="4"/>
      <c r="R131" s="4"/>
      <c r="S131" s="4"/>
      <c r="T131" s="4"/>
      <c r="U131" s="4"/>
      <c r="V131" s="4"/>
      <c r="W131" s="4"/>
      <c r="X131" s="4"/>
    </row>
    <row r="132" spans="2:24">
      <c r="B132" s="4"/>
      <c r="C132" s="4"/>
      <c r="D132" s="4"/>
      <c r="E132" s="50"/>
      <c r="F132" s="51"/>
      <c r="G132" s="51"/>
      <c r="H132" s="51"/>
      <c r="I132" s="51"/>
      <c r="J132" s="51"/>
      <c r="K132" s="51"/>
      <c r="L132" s="51"/>
      <c r="M132" s="51"/>
      <c r="N132" s="4"/>
      <c r="O132" s="4"/>
      <c r="P132" s="4"/>
      <c r="Q132" s="4"/>
      <c r="R132" s="4"/>
      <c r="S132" s="4"/>
      <c r="T132" s="4"/>
      <c r="U132" s="4"/>
      <c r="V132" s="4"/>
      <c r="W132" s="4"/>
      <c r="X132" s="4"/>
    </row>
    <row r="133" spans="2:24">
      <c r="B133" s="4"/>
      <c r="C133" s="4"/>
      <c r="D133" s="4"/>
      <c r="E133" s="50"/>
      <c r="F133" s="51"/>
      <c r="G133" s="51"/>
      <c r="H133" s="51"/>
      <c r="I133" s="51"/>
      <c r="J133" s="51"/>
      <c r="K133" s="51"/>
      <c r="L133" s="51"/>
      <c r="M133" s="51"/>
      <c r="N133" s="4"/>
      <c r="O133" s="4"/>
      <c r="P133" s="4"/>
      <c r="Q133" s="4"/>
      <c r="R133" s="4"/>
      <c r="S133" s="4"/>
      <c r="T133" s="4"/>
      <c r="U133" s="4"/>
      <c r="V133" s="4"/>
      <c r="W133" s="4"/>
      <c r="X133" s="4"/>
    </row>
    <row r="134" spans="2:24">
      <c r="B134" s="4"/>
      <c r="C134" s="4"/>
      <c r="D134" s="4"/>
      <c r="E134" s="50"/>
      <c r="F134" s="51"/>
      <c r="G134" s="51"/>
      <c r="H134" s="51"/>
      <c r="I134" s="51"/>
      <c r="J134" s="51"/>
      <c r="K134" s="51"/>
      <c r="L134" s="51"/>
      <c r="M134" s="51"/>
      <c r="N134" s="4"/>
      <c r="O134" s="4"/>
      <c r="P134" s="4"/>
      <c r="Q134" s="4"/>
      <c r="R134" s="4"/>
      <c r="S134" s="4"/>
      <c r="T134" s="4"/>
      <c r="U134" s="4"/>
      <c r="V134" s="4"/>
      <c r="W134" s="4"/>
      <c r="X134" s="4"/>
    </row>
    <row r="135" spans="2:24">
      <c r="B135" s="4"/>
      <c r="C135" s="4"/>
      <c r="D135" s="4"/>
      <c r="E135" s="50"/>
      <c r="F135" s="51"/>
      <c r="G135" s="51"/>
      <c r="H135" s="51"/>
      <c r="I135" s="51"/>
      <c r="J135" s="51"/>
      <c r="K135" s="51"/>
      <c r="L135" s="51"/>
      <c r="M135" s="51"/>
      <c r="N135" s="4"/>
      <c r="O135" s="4"/>
      <c r="P135" s="4"/>
      <c r="Q135" s="4"/>
      <c r="R135" s="4"/>
      <c r="S135" s="4"/>
      <c r="T135" s="4"/>
      <c r="U135" s="4"/>
      <c r="V135" s="4"/>
      <c r="W135" s="4"/>
      <c r="X135" s="4"/>
    </row>
    <row r="136" spans="2:24">
      <c r="B136" s="4"/>
      <c r="C136" s="4"/>
      <c r="D136" s="4"/>
      <c r="E136" s="50"/>
      <c r="F136" s="51"/>
      <c r="G136" s="51"/>
      <c r="H136" s="51"/>
      <c r="I136" s="51"/>
      <c r="J136" s="51"/>
      <c r="K136" s="51"/>
      <c r="L136" s="51"/>
      <c r="M136" s="51"/>
      <c r="N136" s="4"/>
      <c r="O136" s="4"/>
      <c r="P136" s="4"/>
      <c r="Q136" s="4"/>
      <c r="R136" s="4"/>
      <c r="S136" s="4"/>
      <c r="T136" s="4"/>
      <c r="U136" s="4"/>
      <c r="V136" s="4"/>
      <c r="W136" s="4"/>
      <c r="X136" s="4"/>
    </row>
    <row r="137" spans="2:24">
      <c r="B137" s="4"/>
      <c r="C137" s="4"/>
      <c r="D137" s="4"/>
      <c r="E137" s="50"/>
      <c r="F137" s="51"/>
      <c r="G137" s="51"/>
      <c r="H137" s="51"/>
      <c r="I137" s="51"/>
      <c r="J137" s="51"/>
      <c r="K137" s="51"/>
      <c r="L137" s="51"/>
      <c r="M137" s="51"/>
      <c r="N137" s="4"/>
      <c r="O137" s="4"/>
      <c r="P137" s="4"/>
      <c r="Q137" s="4"/>
      <c r="R137" s="4"/>
      <c r="S137" s="4"/>
      <c r="T137" s="4"/>
      <c r="U137" s="4"/>
      <c r="V137" s="4"/>
      <c r="W137" s="4"/>
      <c r="X137" s="4"/>
    </row>
    <row r="138" spans="2:24">
      <c r="B138" s="4"/>
      <c r="C138" s="4"/>
      <c r="D138" s="4"/>
      <c r="E138" s="50"/>
      <c r="F138" s="51"/>
      <c r="G138" s="51"/>
      <c r="H138" s="51"/>
      <c r="I138" s="51"/>
      <c r="J138" s="51"/>
      <c r="K138" s="51"/>
      <c r="L138" s="51"/>
      <c r="M138" s="51"/>
      <c r="N138" s="4"/>
      <c r="O138" s="4"/>
      <c r="P138" s="4"/>
      <c r="Q138" s="4"/>
      <c r="R138" s="4"/>
      <c r="S138" s="4"/>
      <c r="T138" s="4"/>
      <c r="U138" s="4"/>
      <c r="V138" s="4"/>
      <c r="W138" s="4"/>
      <c r="X138" s="4"/>
    </row>
    <row r="139" spans="2:24">
      <c r="B139" s="4"/>
      <c r="C139" s="4"/>
      <c r="D139" s="4"/>
      <c r="E139" s="50"/>
      <c r="F139" s="51"/>
      <c r="G139" s="51"/>
      <c r="H139" s="51"/>
      <c r="I139" s="51"/>
      <c r="J139" s="51"/>
      <c r="K139" s="51"/>
      <c r="L139" s="51"/>
      <c r="M139" s="51"/>
      <c r="N139" s="4"/>
      <c r="O139" s="4"/>
      <c r="P139" s="4"/>
      <c r="Q139" s="4"/>
      <c r="R139" s="4"/>
      <c r="S139" s="4"/>
      <c r="T139" s="4"/>
      <c r="U139" s="4"/>
      <c r="V139" s="4"/>
      <c r="W139" s="4"/>
      <c r="X139" s="4"/>
    </row>
    <row r="140" spans="2:24">
      <c r="B140" s="4"/>
      <c r="C140" s="4"/>
      <c r="D140" s="4"/>
      <c r="E140" s="50"/>
      <c r="F140" s="51"/>
      <c r="G140" s="51"/>
      <c r="H140" s="51"/>
      <c r="I140" s="51"/>
      <c r="J140" s="51"/>
      <c r="K140" s="51"/>
      <c r="L140" s="51"/>
      <c r="M140" s="51"/>
      <c r="N140" s="4"/>
      <c r="O140" s="4"/>
      <c r="P140" s="4"/>
      <c r="Q140" s="4"/>
      <c r="R140" s="4"/>
      <c r="S140" s="4"/>
      <c r="T140" s="4"/>
      <c r="U140" s="4"/>
      <c r="V140" s="4"/>
      <c r="W140" s="4"/>
      <c r="X140" s="4"/>
    </row>
  </sheetData>
  <mergeCells count="1">
    <mergeCell ref="F3:I5"/>
  </mergeCells>
  <phoneticPr fontId="26" type="noConversion"/>
  <conditionalFormatting sqref="A1:A7">
    <cfRule type="cellIs" dxfId="10" priority="4" operator="equal">
      <formula>0</formula>
    </cfRule>
  </conditionalFormatting>
  <conditionalFormatting sqref="A20:A1048576">
    <cfRule type="cellIs" dxfId="9" priority="15" operator="equal">
      <formula>0</formula>
    </cfRule>
  </conditionalFormatting>
  <conditionalFormatting sqref="F11:I13">
    <cfRule type="cellIs" dxfId="8" priority="13" operator="equal">
      <formula>0</formula>
    </cfRule>
  </conditionalFormatting>
  <conditionalFormatting sqref="F19:I82">
    <cfRule type="cellIs" dxfId="7" priority="1" operator="equal">
      <formula>0</formula>
    </cfRule>
  </conditionalFormatting>
  <conditionalFormatting sqref="J10:J21">
    <cfRule type="cellIs" dxfId="6" priority="3" operator="equal">
      <formula>0</formula>
    </cfRule>
  </conditionalFormatting>
  <conditionalFormatting sqref="J23:J25">
    <cfRule type="cellIs" dxfId="5" priority="14" operator="equal">
      <formula>0</formula>
    </cfRule>
  </conditionalFormatting>
  <dataValidations count="2">
    <dataValidation type="list" allowBlank="1" sqref="E19:E82" xr:uid="{1313167E-0D4C-407D-A129-9E59B9EAA771}">
      <formula1>$N$1:$N$4</formula1>
    </dataValidation>
    <dataValidation type="list" allowBlank="1" sqref="H19:H82" xr:uid="{D9ED6EA6-95EC-4791-870A-C3B2D9D30707}">
      <formula1>$M$1:$M$3</formula1>
    </dataValidation>
  </dataValidations>
  <hyperlinks>
    <hyperlink ref="A8" location="Dashboard!A1" display="Dashboard" xr:uid="{C3C435C8-B07E-4E10-B1F9-B38B5BF76F08}"/>
    <hyperlink ref="A9" location="WACC!A1" display="WACC" xr:uid="{46E59910-99A1-4AC0-93AD-A5784A4FB1F0}"/>
    <hyperlink ref="A11" location="'DRE + DCF'!A1" display="DRE + DCF" xr:uid="{1BE3B651-4788-43B1-B0DC-EE8CC271868B}"/>
    <hyperlink ref="A12" location="'DRE - Contas Abertas'!A1" display="DRE - Contas Abertas" xr:uid="{6E78CD44-3A7A-4D29-ADE2-F984A7F9F8DF}"/>
    <hyperlink ref="A13" location="'Balanço Patrimonial'!A1" display="Balanço Patrimonial" xr:uid="{C0397392-6B89-4E91-89B3-54B807CC2B5B}"/>
    <hyperlink ref="A14" location="'Painel de Índices'!A1" display="Projeções - Receita" xr:uid="{131BD88C-5FFF-421E-B315-5164AED02351}"/>
    <hyperlink ref="A16" location="'Projeções - CG + Capex'!A1" display="Projeções - CG + Capex" xr:uid="{CAF1687F-B48B-46B8-9CCE-EC7F4668A8D3}"/>
    <hyperlink ref="A10" location="'DRE Consolidado'!A1" display="DRE Consolidado" xr:uid="{B06901CC-D12E-43BD-BBE8-D6DFEF17ACF3}"/>
    <hyperlink ref="A15" location="'Projeções - Receita e EBIT'!A1" display="Projeções - Receita" xr:uid="{032210F4-3712-496F-9BC3-13FFB22B877C}"/>
    <hyperlink ref="A17" location="'Projeções 2023'!A1" display="Projeções 2022" xr:uid="{639FDD71-466B-47E1-9E5C-E27A628C0C65}"/>
  </hyperlinks>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14"/>
  <dimension ref="A1:BB150"/>
  <sheetViews>
    <sheetView workbookViewId="0">
      <selection activeCell="A2" sqref="A2"/>
    </sheetView>
  </sheetViews>
  <sheetFormatPr defaultColWidth="0" defaultRowHeight="15" zeroHeight="1"/>
  <cols>
    <col min="1" max="54" width="9.140625" customWidth="1"/>
    <col min="55" max="16384" width="9.140625" hidden="1"/>
  </cols>
  <sheetData>
    <row r="1" spans="1:54">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spans="1:54">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spans="1:5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spans="1:5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spans="1:54">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spans="1:54">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spans="1:54">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spans="1:54">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spans="1:54">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row>
    <row r="10" spans="1:54">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spans="1:54">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row>
    <row r="12" spans="1:54">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spans="1:54">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spans="1:5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spans="1:54">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row>
    <row r="16" spans="1:54">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row>
    <row r="17" spans="1:54">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spans="1:54">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spans="1:54">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row>
    <row r="20" spans="1:54">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row>
    <row r="21" spans="1:54">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row>
    <row r="22" spans="1:54">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row>
    <row r="23" spans="1:54">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row>
    <row r="24" spans="1:5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row>
    <row r="25" spans="1:54">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row>
    <row r="26" spans="1:54">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row>
    <row r="27" spans="1:54">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row>
    <row r="28" spans="1:54">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row>
    <row r="29" spans="1:54">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row>
    <row r="30" spans="1:54">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row>
    <row r="31" spans="1:54">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row>
    <row r="32" spans="1:5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spans="1:54">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spans="1:54">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spans="1:54">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spans="1:54">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Dashboard</vt:lpstr>
      <vt:lpstr>WACC</vt:lpstr>
      <vt:lpstr>DRE Consolidado</vt:lpstr>
      <vt:lpstr>DRE + DCF</vt:lpstr>
      <vt:lpstr>DRE - Contas Abertas</vt:lpstr>
      <vt:lpstr>Balanço Patrimonial</vt:lpstr>
      <vt:lpstr>Painel de Índices</vt:lpstr>
      <vt:lpstr>Projeções - Receita e EBIT</vt:lpstr>
      <vt:lpstr>Projeções - CG + Capex</vt:lpstr>
      <vt:lpstr>Projeções 2023</vt:lpstr>
      <vt:lpstr>Processos</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Lacombe</dc:creator>
  <cp:lastModifiedBy>Thiago Duarte</cp:lastModifiedBy>
  <cp:lastPrinted>2021-04-29T14:50:01Z</cp:lastPrinted>
  <dcterms:created xsi:type="dcterms:W3CDTF">2015-06-05T18:17:20Z</dcterms:created>
  <dcterms:modified xsi:type="dcterms:W3CDTF">2024-05-11T19:24:41Z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1333635916</vt:lpwstr>
  </property>
  <property fmtid="{D5CDD505-2E9C-101B-9397-08002B2CF9AE}" pid="3" name="EcoUpdateMessage">
    <vt:lpwstr>2022/04/05-14:25:16</vt:lpwstr>
  </property>
  <property fmtid="{D5CDD505-2E9C-101B-9397-08002B2CF9AE}" pid="4" name="EcoUpdateStatus">
    <vt:lpwstr>2022-04-04=BRA:St,ME,Fd,TP;USA:St,ME;ARG:St,ME,Fd,TP;MEX:St,ME,Fd,TP;CHL:St,ME;COL:St,ME;PER:St,ME|2022-03-24=USA:TP|2022-04-01=CHL:Fd;COL:Fd;PER:Fd|2021-11-17=CHL:TP|2014-02-26=VEN:St|2002-11-08=JPN:St|2022-03-31=GBR:St,ME;PER:TP|2016-08-18=NNN:St|2007-0</vt:lpwstr>
  </property>
</Properties>
</file>