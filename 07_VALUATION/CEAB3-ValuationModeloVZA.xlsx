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6.xml" ContentType="application/vnd.openxmlformats-officedocument.drawing+xml"/>
  <Override PartName="/xl/drawings/drawing7.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codeName="EstaPastaDeTrabalho" defaultThemeVersion="124226"/>
  <mc:AlternateContent xmlns:mc="http://schemas.openxmlformats.org/markup-compatibility/2006">
    <mc:Choice Requires="x15">
      <x15ac:absPath xmlns:x15ac="http://schemas.microsoft.com/office/spreadsheetml/2010/11/ac" url="C:\Users\W11\OneDrive - VAROS\Área de Trabalho\"/>
    </mc:Choice>
  </mc:AlternateContent>
  <xr:revisionPtr revIDLastSave="0" documentId="13_ncr:1_{FC21DAB5-CAAA-41C7-A1FE-111C2B5B25DF}" xr6:coauthVersionLast="47" xr6:coauthVersionMax="47" xr10:uidLastSave="{00000000-0000-0000-0000-000000000000}"/>
  <bookViews>
    <workbookView xWindow="-110" yWindow="-110" windowWidth="38620" windowHeight="21820" xr2:uid="{00000000-000D-0000-FFFF-FFFF00000000}"/>
  </bookViews>
  <sheets>
    <sheet name="DRE + DCF" sheetId="12" r:id="rId1"/>
    <sheet name="Balanço Patrimonial" sheetId="26" r:id="rId2"/>
    <sheet name="DFC" sheetId="25" r:id="rId3"/>
    <sheet name="Projeções - Receita Varejo" sheetId="20" r:id="rId4"/>
    <sheet name="Projeções - Receita Financeira" sheetId="27" r:id="rId5"/>
    <sheet name="Painel de Índices" sheetId="16" r:id="rId6"/>
    <sheet name="Lojas" sheetId="19" r:id="rId7"/>
  </sheets>
  <definedNames>
    <definedName name="A">'Projeções - Receita Financeira'!$C$29:$F$29</definedName>
    <definedName name="APLICACOES_FINANCEIRAS">'Balanço Patrimonial'!$C$11:$J$11</definedName>
    <definedName name="ATIVO">'Balanço Patrimonial'!$C$8:$J$8</definedName>
    <definedName name="ATIVO_CIRC">'Balanço Patrimonial'!$C$9:$J$9</definedName>
    <definedName name="ATIVO_OPERACIONAL">'Painel de Índices'!$C$34:$J$34</definedName>
    <definedName name="ATIVO_REALIZAVEL_LONGO_PRAZO">'Balanço Patrimonial'!$C$22:$J$22</definedName>
    <definedName name="B">'Projeções - Receita Financeira'!$C$30:$F$30</definedName>
    <definedName name="CAIXA_E_EQUIVALENTES">'Balanço Patrimonial'!$C$10:$J$10</definedName>
    <definedName name="CAIXA_EXCESSO">'Balanço Patrimonial'!$C$13:$J$13</definedName>
    <definedName name="CAIXA_OPERACIONAL">'Balanço Patrimonial'!$C$12:$J$12</definedName>
    <definedName name="CAPEX">'DRE + DCF'!$C$111:$J$111</definedName>
    <definedName name="CAPEX_2024">'DRE + DCF'!$K$111</definedName>
    <definedName name="CAPEX_2025">'DRE + DCF'!$L$111</definedName>
    <definedName name="CAPEX_2026">'DRE + DCF'!$M$111</definedName>
    <definedName name="CAPEX_CD">'DRE + DCF'!$C$115:$J$115</definedName>
    <definedName name="CAPEX_NOVA_LOJA_2024">'DRE + DCF'!$K$113</definedName>
    <definedName name="CAPEX_NOVA_LOJA_2025">'DRE + DCF'!$L$113</definedName>
    <definedName name="CAPEX_NOVA_LOJA_2026">'DRE + DCF'!$M$113</definedName>
    <definedName name="CAPEX_NOVAS_LOJAS">'DRE + DCF'!$C$112:$J$112</definedName>
    <definedName name="CAPEX_REFORMA">'DRE + DCF'!$C$114:$J$114</definedName>
    <definedName name="CAPEX_TI">'DRE + DCF'!$C$116:$J$116</definedName>
    <definedName name="CAPITAL_DE_GIRO">'Painel de Índices'!$C$36:$J$36</definedName>
    <definedName name="CAPITAL_GIRO_2016">'Painel de Índices'!$C$36</definedName>
    <definedName name="CAPITAL_GIRO_2017">'Painel de Índices'!$D$36</definedName>
    <definedName name="CAPITAL_GIRO_2018">'Painel de Índices'!$E$36</definedName>
    <definedName name="CAPITAL_GIRO_2019">'Painel de Índices'!$F$36</definedName>
    <definedName name="CAPITAL_GIRO_2020">'Painel de Índices'!$G$36</definedName>
    <definedName name="CAPITAL_GIRO_2021">'Painel de Índices'!$H$36</definedName>
    <definedName name="CAPITAL_GIRO_2022">'Painel de Índices'!$I$36</definedName>
    <definedName name="CAPITAL_GIRO_2023">'Painel de Índices'!$J$36</definedName>
    <definedName name="CARTEIRA_CREDITO_SETORIAL">'Projeções - Receita Financeira'!$C$26:$P$26</definedName>
    <definedName name="CMV">'DRE + DCF'!$C$14:$J$14</definedName>
    <definedName name="CONTAS_A_RECEBER">'Balanço Patrimonial'!$C$14:$J$14</definedName>
    <definedName name="CURVA_MATURACAO">'Projeções - Receita Varejo'!$C$21:$C$24</definedName>
    <definedName name="CUSTO_DA_DIVIDA">'Painel de Índices'!$C$27:$J$27</definedName>
    <definedName name="DA_ARRENDAMENTO">'DRE + DCF'!$C$20:$J$20+'DRE + DCF'!$C$29:$J$29</definedName>
    <definedName name="DEPRECIACAO_E_AMORTIZACAO">'DRE + DCF'!$C$30:$J$30+'DRE + DCF'!$C$21:$J$21</definedName>
    <definedName name="DEPRECIACAO_E_AMORTIZACAO_2024">'DRE + DCF'!$K$110</definedName>
    <definedName name="DEPRECIACAO_E_AMORTIZACAO_2025">'DRE + DCF'!$L$110</definedName>
    <definedName name="DEPRECIACAO_E_AMORTIZACAO_2026">'DRE + DCF'!$M$110</definedName>
    <definedName name="DESP_DERIVATIVOS">'DRE + DCF'!$C$76:$J$76</definedName>
    <definedName name="DESP_FIN">'DRE + DCF'!$C$68:$J$68</definedName>
    <definedName name="DESP_VAR_CAMBIAL">'DRE + DCF'!$C$77:$J$77</definedName>
    <definedName name="DESPESAS_OPERACIONAIS">'DRE + DCF'!$C$16:$J$16</definedName>
    <definedName name="DIVIDA_BRUTA">'Painel de Índices'!$C$19:$J$19</definedName>
    <definedName name="DIVIDA_LIQUIDA">'Painel de Índices'!$C$23:$J$23</definedName>
    <definedName name="EBIT">'DRE + DCF'!$C$52:$J$52</definedName>
    <definedName name="EBIT_RECORRENTE">'DRE + DCF'!$C$54:$J$54</definedName>
    <definedName name="EBITDA">'Painel de Índices'!$C$17:$J$17</definedName>
    <definedName name="EBITDA_RECORRENTE">'Painel de Índices'!$C$18:$J$18</definedName>
    <definedName name="EMPRESTIMOS_CIRC">'Balanço Patrimonial'!$C$45:$J$45</definedName>
    <definedName name="EMPRESTIMOS_NAO_CIRC">'Balanço Patrimonial'!$C$55:$J$55</definedName>
    <definedName name="ESTAGIO_1_SETORIAL">'Projeções - Receita Financeira'!$C$27:$P$27</definedName>
    <definedName name="ESTAGIO_2_SETORIAL">'Projeções - Receita Financeira'!$C$28:$P$28</definedName>
    <definedName name="ESTAGIO_3_SETORIAL">'Projeções - Receita Financeira'!$C$29:$P$29</definedName>
    <definedName name="ESTOQUES">'Balanço Patrimonial'!$C$15:$J$15</definedName>
    <definedName name="FCO">DFC!$C$8:$J$8</definedName>
    <definedName name="FORNECEDORES_CIRC">'Balanço Patrimonial'!$C$36:$J$36</definedName>
    <definedName name="INFLACAO_2024">'Painel de Índices'!$K$45</definedName>
    <definedName name="INFLACAO_2025">'Painel de Índices'!$L$45</definedName>
    <definedName name="INFLACAO_2026">'Painel de Índices'!$M$45</definedName>
    <definedName name="IRPJ_CSLL">'DRE + DCF'!$C$84:$J$84</definedName>
    <definedName name="JUROS_APLICACOES_FIN">'DRE + DCF'!$C$57:$J$57</definedName>
    <definedName name="LOJAS_ABERTURA">Lojas!$H:$H</definedName>
    <definedName name="LOJAS_AREA_TOTAL">'Projeções - Receita Varejo'!$C$11:$J$11</definedName>
    <definedName name="LOJAS_MATURIDADE">'Projeções - Receita Varejo'!$C$13:$J$16</definedName>
    <definedName name="LOJAS_TAMANHO">Lojas!$C:$C</definedName>
    <definedName name="LUCRO_LIQUIDO">'DRE + DCF'!$C$104:$J$104</definedName>
    <definedName name="NOPAT">'DRE + DCF'!$C$106:$J$106</definedName>
    <definedName name="NOVAS_LOJAS">'Projeções - Receita Varejo'!$C$9:$J$9</definedName>
    <definedName name="NOVAS_LOJAS_2024">'Projeções - Receita Varejo'!$K$9</definedName>
    <definedName name="NOVAS_LOJAS_2025">'Projeções - Receita Varejo'!$L$9</definedName>
    <definedName name="NOVAS_LOJAS_2026">'Projeções - Receita Varejo'!$M$9</definedName>
    <definedName name="NUMERO_LOJAS">'Projeções - Receita Varejo'!$C$8:$J$8</definedName>
    <definedName name="NUMERO_LOJAS_2024E">'Projeções - Receita Varejo'!$K$8</definedName>
    <definedName name="NUMERO_LOJAS_2025E">'Projeções - Receita Varejo'!$L$8</definedName>
    <definedName name="NUMERO_LOJAS_2026E">'Projeções - Receita Varejo'!$M$8</definedName>
    <definedName name="OUTRAS_OBRIG_CIRC">'Balanço Patrimonial'!$C$48:$J$48</definedName>
    <definedName name="OUTROS_CIRC">'Balanço Patrimonial'!$C$17:$J$17</definedName>
    <definedName name="PASSIVO_CIRC">'Balanço Patrimonial'!$C$34:$J$34</definedName>
    <definedName name="PASSIVO_NAO_CIRC">'Balanço Patrimonial'!$C$54:$J$54</definedName>
    <definedName name="PASSIVO_OPERACIONAL">'Painel de Índices'!$C$35:$J$35</definedName>
    <definedName name="PASSIVO_PARTES_RELACIONADAS_CIRC">'Balanço Patrimonial'!$C$49:$J$49</definedName>
    <definedName name="PASSIVO_PARTES_RELACIONADAS_N_CIRC">'Balanço Patrimonial'!$C$59:$J$59</definedName>
    <definedName name="PDD_SETORIAL">'Projeções - Receita Financeira'!$C$31:$P$31</definedName>
    <definedName name="PERDAS_CREDITOS_LIQUIDAS">'DRE + DCF'!$C$33:$J$33</definedName>
    <definedName name="PIB_CRESC_REAL_2024">'Painel de Índices'!$K$46</definedName>
    <definedName name="PIB_CRESC_REAL_2025">'Painel de Índices'!$L$46</definedName>
    <definedName name="PIB_CRESC_REAL_2026">'Painel de Índices'!$M$46</definedName>
    <definedName name="PL">'Balanço Patrimonial'!$C$72:$J$72</definedName>
    <definedName name="PME">'Painel de Índices'!$C$31:$J$31</definedName>
    <definedName name="PMP">'Painel de Índices'!$C$32:$J$32</definedName>
    <definedName name="PMR">'Painel de Índices'!$C$30:$J$30</definedName>
    <definedName name="RECEITA_BRUTA">'DRE + DCF'!$C$8:$J$8</definedName>
    <definedName name="RECEITA_LIQUIDA">'DRE + DCF'!$C$10:$J$10</definedName>
    <definedName name="RECEITA_LIQUIDA_2024">'DRE + DCF'!$K$10</definedName>
    <definedName name="RECEITA_LIQUIDA_2025">'DRE + DCF'!$L$10</definedName>
    <definedName name="RECEITA_LIQUIDA_2026">'DRE + DCF'!$M$10</definedName>
    <definedName name="REINVESTIMENTO">'DRE + DCF'!$C$108:$J$108</definedName>
    <definedName name="REINVESTIMENTO_2024">'DRE + DCF'!$K$108</definedName>
    <definedName name="REINVESTIMENTO_2025">'DRE + DCF'!$L$108</definedName>
    <definedName name="REINVESTIMENTO_2026">'DRE + DCF'!$M$108</definedName>
    <definedName name="RL_FIN">'DRE + DCF'!$C$12:$J$12</definedName>
    <definedName name="RL_FIN_SETORIAL">'Projeções - Receita Financeira'!$C$24:$P$24</definedName>
    <definedName name="RL_OUTROS">'DRE + DCF'!$C$13:$J$13</definedName>
    <definedName name="RL_VAREJO">'DRE + DCF'!$C$11:$J$11</definedName>
    <definedName name="SALARIOS">'Balanço Patrimonial'!$C$35:$J$35</definedName>
    <definedName name="t_a">TRANSPOSE(A)</definedName>
    <definedName name="T_B">TRANSPOSE(B)</definedName>
    <definedName name="T_ESTAGIO_1_SETORIAL">TRANSPOSE(ESTAGIO_1_SETORIAL)</definedName>
    <definedName name="T_ESTAGIO_2_SETORIAL">TRANSPOSE(ESTAGIO_2_SETORIAL)</definedName>
    <definedName name="T_ESTAGIO_3_SETORIAL">TRANSPOSE(ESTAGIO_3_SETORIAL)</definedName>
    <definedName name="T_RL_FIN_PERCENTUAL_CARTEIRA_SETORIAL">TRANSPOSE('Projeções - Receita Financeira'!$C$25:$P$25)</definedName>
    <definedName name="T_TAXA_SELIC_MEDIA">TRANSPOSE(TAXA_SELIC_MEDIA)</definedName>
    <definedName name="TAXA_REINVESTIMENTO">'DRE + DCF'!$C$107:$J$107</definedName>
    <definedName name="TAXA_SELIC_MEDIA">'Projeções - Receita Financeira'!$C$30:$P$30</definedName>
    <definedName name="TRIBUTOS_A_PAGAR">'Balanço Patrimonial'!$C$40:$J$40</definedName>
    <definedName name="VAR_CAPITAL_GIRO">'DRE + DCF'!$C$109:$J$109</definedName>
    <definedName name="VAR_CAPITAL_GIRO_2024">'DRE + DCF'!$K$109</definedName>
    <definedName name="VAR_CAPITAL_GIRO_2025">'DRE + DCF'!$L$109</definedName>
    <definedName name="VAR_CAPITAL_GIRO_2026">'DRE + DCF'!$M$109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C25" i="27" l="1" a="1"/>
  <c r="C25" i="27" s="1"/>
  <c r="E25" i="27" l="1"/>
  <c r="P25" i="27"/>
  <c r="O25" i="27"/>
  <c r="M25" i="27"/>
  <c r="D25" i="27"/>
  <c r="N25" i="27"/>
  <c r="L25" i="27"/>
  <c r="K25" i="27"/>
  <c r="J25" i="27"/>
  <c r="I25" i="27"/>
  <c r="H25" i="27"/>
  <c r="G25" i="27"/>
  <c r="F25" i="27"/>
  <c r="C32" i="27" a="1"/>
  <c r="C32" i="27" s="1"/>
  <c r="M32" i="27" l="1"/>
  <c r="L32" i="27"/>
  <c r="P32" i="27"/>
  <c r="O32" i="27"/>
  <c r="F32" i="27"/>
  <c r="D32" i="27"/>
  <c r="G32" i="27"/>
  <c r="E32" i="27"/>
  <c r="N32" i="27"/>
  <c r="H32" i="27"/>
  <c r="I32" i="27"/>
  <c r="J32" i="27"/>
  <c r="K32" i="27"/>
  <c r="E68" i="27" l="1"/>
  <c r="C68" i="27"/>
  <c r="D68" i="27"/>
  <c r="D67" i="27"/>
  <c r="C67" i="27"/>
  <c r="C66" i="27"/>
  <c r="P62" i="27"/>
  <c r="O62" i="27"/>
  <c r="N62" i="27"/>
  <c r="M62" i="27"/>
  <c r="L62" i="27"/>
  <c r="K62" i="27"/>
  <c r="J62" i="27"/>
  <c r="I62" i="27"/>
  <c r="H62" i="27"/>
  <c r="G62" i="27"/>
  <c r="F62" i="27"/>
  <c r="E62" i="27"/>
  <c r="D62" i="27"/>
  <c r="C62" i="27"/>
  <c r="P47" i="27"/>
  <c r="O47" i="27"/>
  <c r="N47" i="27"/>
  <c r="M47" i="27"/>
  <c r="L47" i="27"/>
  <c r="K47" i="27"/>
  <c r="J47" i="27"/>
  <c r="I47" i="27"/>
  <c r="H47" i="27"/>
  <c r="G47" i="27"/>
  <c r="F47" i="27"/>
  <c r="E47" i="27"/>
  <c r="D47" i="27"/>
  <c r="C47" i="27"/>
  <c r="M60" i="27"/>
  <c r="L60" i="27"/>
  <c r="K60" i="27"/>
  <c r="J60" i="27"/>
  <c r="I60" i="27"/>
  <c r="H60" i="27"/>
  <c r="G60" i="27"/>
  <c r="F60" i="27"/>
  <c r="E60" i="27"/>
  <c r="D60" i="27"/>
  <c r="C60" i="27"/>
  <c r="P53" i="27"/>
  <c r="O53" i="27"/>
  <c r="N53" i="27"/>
  <c r="M53" i="27"/>
  <c r="L53" i="27"/>
  <c r="K53" i="27"/>
  <c r="J53" i="27"/>
  <c r="I53" i="27"/>
  <c r="H53" i="27"/>
  <c r="G53" i="27"/>
  <c r="F53" i="27"/>
  <c r="E53" i="27"/>
  <c r="D53" i="27"/>
  <c r="C53" i="27"/>
  <c r="M55" i="27" l="1"/>
  <c r="L55" i="27"/>
  <c r="K55" i="27"/>
  <c r="J55" i="27"/>
  <c r="I55" i="27"/>
  <c r="H55" i="27"/>
  <c r="G55" i="27"/>
  <c r="F55" i="27"/>
  <c r="E55" i="27"/>
  <c r="D55" i="27"/>
  <c r="P38" i="27" l="1"/>
  <c r="O38" i="27"/>
  <c r="N38" i="27"/>
  <c r="M38" i="27"/>
  <c r="L38" i="27"/>
  <c r="K38" i="27"/>
  <c r="J38" i="27"/>
  <c r="I38" i="27"/>
  <c r="H38" i="27"/>
  <c r="G38" i="27"/>
  <c r="F38" i="27"/>
  <c r="E38" i="27"/>
  <c r="D38" i="27"/>
  <c r="C38" i="27"/>
  <c r="P45" i="27"/>
  <c r="O45" i="27"/>
  <c r="N45" i="27"/>
  <c r="M45" i="27"/>
  <c r="L45" i="27"/>
  <c r="K45" i="27"/>
  <c r="J45" i="27"/>
  <c r="I45" i="27"/>
  <c r="H39" i="27"/>
  <c r="H45" i="27" s="1"/>
  <c r="G39" i="27" l="1"/>
  <c r="F39" i="27" s="1"/>
  <c r="E39" i="27" s="1"/>
  <c r="D39" i="27" s="1"/>
  <c r="C39" i="27" s="1"/>
  <c r="C45" i="27" s="1"/>
  <c r="G45" i="27" l="1"/>
  <c r="E45" i="27"/>
  <c r="D45" i="27"/>
  <c r="F45" i="27"/>
  <c r="I18" i="27" l="1" a="1"/>
  <c r="I18" i="27" s="1"/>
  <c r="J13" i="26"/>
  <c r="I13" i="26"/>
  <c r="H13" i="26"/>
  <c r="G13" i="26"/>
  <c r="F13" i="26"/>
  <c r="E13" i="26"/>
  <c r="D13" i="26"/>
  <c r="C13" i="26"/>
  <c r="C12" i="26" a="1"/>
  <c r="P18" i="27" l="1"/>
  <c r="O18" i="27"/>
  <c r="N18" i="27"/>
  <c r="M18" i="27"/>
  <c r="L18" i="27"/>
  <c r="K18" i="27"/>
  <c r="J18" i="27"/>
  <c r="D26" i="12" l="1"/>
  <c r="C26" i="12"/>
  <c r="N11" i="27"/>
  <c r="O11" i="27" s="1"/>
  <c r="P11" i="27" s="1"/>
  <c r="P13" i="27"/>
  <c r="P19" i="27" s="1"/>
  <c r="O13" i="27"/>
  <c r="O19" i="27" s="1"/>
  <c r="N13" i="27"/>
  <c r="N19" i="27" s="1"/>
  <c r="M13" i="27"/>
  <c r="M17" i="27" s="1"/>
  <c r="L13" i="27"/>
  <c r="L17" i="27" s="1"/>
  <c r="K13" i="27"/>
  <c r="K17" i="27" s="1"/>
  <c r="J13" i="27"/>
  <c r="J17" i="27" s="1"/>
  <c r="I13" i="27"/>
  <c r="H13" i="27"/>
  <c r="G13" i="27"/>
  <c r="F13" i="27"/>
  <c r="E13" i="27"/>
  <c r="D13" i="27"/>
  <c r="I8" i="27" a="1"/>
  <c r="J8" i="27" s="1"/>
  <c r="C13" i="27"/>
  <c r="C17" i="27" l="1"/>
  <c r="C19" i="27"/>
  <c r="K19" i="27"/>
  <c r="D17" i="27"/>
  <c r="D19" i="27"/>
  <c r="E17" i="27"/>
  <c r="E19" i="27"/>
  <c r="F17" i="27"/>
  <c r="F19" i="27"/>
  <c r="G17" i="27"/>
  <c r="G19" i="27"/>
  <c r="H17" i="27"/>
  <c r="H19" i="27"/>
  <c r="I17" i="27"/>
  <c r="I19" i="27"/>
  <c r="M19" i="27"/>
  <c r="L19" i="27"/>
  <c r="J19" i="27"/>
  <c r="N17" i="27"/>
  <c r="O17" i="27"/>
  <c r="P17" i="27"/>
  <c r="L8" i="27"/>
  <c r="P8" i="27"/>
  <c r="M8" i="27"/>
  <c r="K8" i="27"/>
  <c r="O8" i="27"/>
  <c r="N8" i="27"/>
  <c r="I8" i="27"/>
  <c r="C113" i="12" l="1" a="1"/>
  <c r="C113" i="12" s="1"/>
  <c r="D44" i="16"/>
  <c r="E44" i="16" s="1"/>
  <c r="F44" i="16" s="1"/>
  <c r="G44" i="16" s="1"/>
  <c r="H44" i="16" s="1"/>
  <c r="I44" i="16" s="1"/>
  <c r="J44" i="16" s="1"/>
  <c r="K44" i="16" s="1"/>
  <c r="L44" i="16" s="1"/>
  <c r="M44" i="16" s="1"/>
  <c r="C110" i="12" a="1"/>
  <c r="D110" i="12" s="1"/>
  <c r="C29" i="20" a="1"/>
  <c r="C29" i="20" s="1"/>
  <c r="C28" i="20" a="1"/>
  <c r="C28" i="20" s="1"/>
  <c r="C27" i="20" a="1"/>
  <c r="C27" i="20" s="1"/>
  <c r="E55" i="26"/>
  <c r="C29" i="16" a="1"/>
  <c r="C29" i="16" s="1"/>
  <c r="C111" i="12" l="1"/>
  <c r="J113" i="12"/>
  <c r="D113" i="12"/>
  <c r="I113" i="12"/>
  <c r="H113" i="12"/>
  <c r="G113" i="12"/>
  <c r="F113" i="12"/>
  <c r="F111" i="12" s="1"/>
  <c r="E113" i="12"/>
  <c r="E111" i="12" s="1"/>
  <c r="H111" i="12"/>
  <c r="G111" i="12"/>
  <c r="D111" i="12"/>
  <c r="C110" i="12"/>
  <c r="E110" i="12"/>
  <c r="J110" i="12"/>
  <c r="I110" i="12"/>
  <c r="H110" i="12"/>
  <c r="G110" i="12"/>
  <c r="F110" i="12"/>
  <c r="E27" i="20"/>
  <c r="J28" i="20"/>
  <c r="J27" i="20"/>
  <c r="I27" i="20"/>
  <c r="I28" i="20"/>
  <c r="D29" i="20"/>
  <c r="J29" i="20"/>
  <c r="I29" i="20"/>
  <c r="H29" i="20"/>
  <c r="G29" i="20"/>
  <c r="F29" i="20"/>
  <c r="E29" i="20"/>
  <c r="D28" i="20"/>
  <c r="H28" i="20"/>
  <c r="G28" i="20"/>
  <c r="F28" i="20"/>
  <c r="E28" i="20"/>
  <c r="H27" i="20"/>
  <c r="F27" i="20"/>
  <c r="D27" i="20"/>
  <c r="G27" i="20"/>
  <c r="D29" i="16"/>
  <c r="J29" i="16"/>
  <c r="I29" i="16"/>
  <c r="H29" i="16"/>
  <c r="G29" i="16"/>
  <c r="F29" i="16"/>
  <c r="E29" i="16"/>
  <c r="C31" i="16" a="1"/>
  <c r="C31" i="16" s="1"/>
  <c r="C30" i="16" a="1"/>
  <c r="C30" i="16" s="1"/>
  <c r="C35" i="16" a="1"/>
  <c r="C34" i="16" a="1"/>
  <c r="C19" i="16" a="1"/>
  <c r="C11" i="16" a="1"/>
  <c r="C10" i="16" a="1"/>
  <c r="C9" i="16" a="1"/>
  <c r="C8" i="16" a="1"/>
  <c r="I111" i="12"/>
  <c r="J111" i="12" l="1"/>
  <c r="E19" i="16"/>
  <c r="F31" i="16"/>
  <c r="E31" i="16"/>
  <c r="I31" i="16"/>
  <c r="D31" i="16"/>
  <c r="J31" i="16"/>
  <c r="H31" i="16"/>
  <c r="G31" i="16"/>
  <c r="F30" i="16"/>
  <c r="I30" i="16"/>
  <c r="E30" i="16"/>
  <c r="G30" i="16"/>
  <c r="D30" i="16"/>
  <c r="J30" i="16"/>
  <c r="H30" i="16"/>
  <c r="C36" i="16" l="1" a="1"/>
  <c r="C20" i="16" a="1"/>
  <c r="C23" i="16" a="1"/>
  <c r="C22" i="16" a="1"/>
  <c r="C21" i="16" a="1"/>
  <c r="E21" i="16" l="1"/>
  <c r="E22" i="16"/>
  <c r="E23" i="16"/>
  <c r="D7" i="27" l="1"/>
  <c r="D26" i="20"/>
  <c r="E26" i="20" s="1"/>
  <c r="F26" i="20" s="1"/>
  <c r="G26" i="20" s="1"/>
  <c r="H26" i="20" s="1"/>
  <c r="I26" i="20" s="1"/>
  <c r="J26" i="20" s="1"/>
  <c r="K26" i="20" s="1"/>
  <c r="L26" i="20" s="1"/>
  <c r="M26" i="20" s="1"/>
  <c r="M29" i="20" l="1"/>
  <c r="K29" i="20"/>
  <c r="L29" i="20"/>
  <c r="E7" i="27"/>
  <c r="F7" i="27" l="1"/>
  <c r="G7" i="27" l="1"/>
  <c r="H7" i="27" l="1"/>
  <c r="I7" i="27" l="1"/>
  <c r="J7" i="27" l="1"/>
  <c r="K7" i="27" l="1"/>
  <c r="L7" i="27" l="1"/>
  <c r="M7" i="27" l="1"/>
  <c r="N7" i="27" s="1"/>
  <c r="O7" i="27" s="1"/>
  <c r="P7" i="27" s="1"/>
  <c r="Q7" i="27" s="1"/>
  <c r="R7" i="27" s="1"/>
  <c r="S7" i="27" s="1"/>
  <c r="C16" i="20" l="1"/>
  <c r="C15" i="20"/>
  <c r="C14" i="20"/>
  <c r="C13" i="20"/>
  <c r="D8" i="20"/>
  <c r="E8" i="20" s="1"/>
  <c r="F8" i="20" s="1"/>
  <c r="G8" i="20" s="1"/>
  <c r="H8" i="20" s="1"/>
  <c r="I8" i="20" s="1"/>
  <c r="J8" i="20" s="1"/>
  <c r="K8" i="20" s="1"/>
  <c r="J10" i="12"/>
  <c r="J9" i="12" s="1"/>
  <c r="I10" i="12"/>
  <c r="I9" i="12" s="1"/>
  <c r="H10" i="12"/>
  <c r="H9" i="12" s="1"/>
  <c r="G10" i="12"/>
  <c r="G9" i="12" s="1"/>
  <c r="F10" i="12"/>
  <c r="F9" i="12" s="1"/>
  <c r="E10" i="12"/>
  <c r="E9" i="12" s="1"/>
  <c r="D10" i="12"/>
  <c r="C10" i="12"/>
  <c r="C15" i="12" l="1" a="1"/>
  <c r="L8" i="20"/>
  <c r="M8" i="20" s="1"/>
  <c r="C11" i="20"/>
  <c r="D56" i="12"/>
  <c r="E56" i="12"/>
  <c r="F56" i="12"/>
  <c r="G56" i="12"/>
  <c r="H56" i="12"/>
  <c r="I56" i="12"/>
  <c r="J56" i="12"/>
  <c r="C56" i="12"/>
  <c r="C68" i="12"/>
  <c r="D68" i="12"/>
  <c r="E68" i="12"/>
  <c r="F77" i="12"/>
  <c r="F68" i="12" s="1"/>
  <c r="G77" i="12"/>
  <c r="G68" i="12" s="1"/>
  <c r="H77" i="12"/>
  <c r="H68" i="12" s="1"/>
  <c r="I77" i="12"/>
  <c r="I68" i="12" s="1"/>
  <c r="J77" i="12"/>
  <c r="J68" i="12" s="1"/>
  <c r="J53" i="12"/>
  <c r="I53" i="12"/>
  <c r="H53" i="12"/>
  <c r="H17" i="12"/>
  <c r="J26" i="12"/>
  <c r="I26" i="12"/>
  <c r="H26" i="12"/>
  <c r="G26" i="12"/>
  <c r="F26" i="12"/>
  <c r="E17" i="12"/>
  <c r="D17" i="12"/>
  <c r="C17" i="12"/>
  <c r="E26" i="12"/>
  <c r="J17" i="12"/>
  <c r="I17" i="12"/>
  <c r="G17" i="12"/>
  <c r="F17" i="12"/>
  <c r="G39" i="12"/>
  <c r="G53" i="12" s="1"/>
  <c r="F39" i="12"/>
  <c r="F53" i="12" s="1"/>
  <c r="E39" i="12"/>
  <c r="E53" i="12" s="1"/>
  <c r="D39" i="12"/>
  <c r="D53" i="12" s="1"/>
  <c r="C39" i="12"/>
  <c r="C53" i="12" s="1"/>
  <c r="J36" i="12"/>
  <c r="J34" i="12" s="1"/>
  <c r="I36" i="12"/>
  <c r="I34" i="12" s="1"/>
  <c r="H36" i="12"/>
  <c r="H34" i="12" s="1"/>
  <c r="G36" i="12"/>
  <c r="F36" i="12"/>
  <c r="E36" i="12"/>
  <c r="D36" i="12"/>
  <c r="C36" i="12"/>
  <c r="J51" i="25"/>
  <c r="I51" i="25"/>
  <c r="H51" i="25"/>
  <c r="G51" i="25"/>
  <c r="F51" i="25"/>
  <c r="E51" i="25"/>
  <c r="D51" i="25"/>
  <c r="C51" i="25"/>
  <c r="E63" i="25"/>
  <c r="D63" i="25"/>
  <c r="C63" i="25"/>
  <c r="E45" i="25"/>
  <c r="D45" i="25"/>
  <c r="C45" i="25"/>
  <c r="E10" i="25"/>
  <c r="D10" i="25"/>
  <c r="C10" i="25"/>
  <c r="F8" i="25"/>
  <c r="H63" i="25"/>
  <c r="G63" i="25"/>
  <c r="F63" i="25"/>
  <c r="H45" i="25"/>
  <c r="G45" i="25"/>
  <c r="F45" i="25"/>
  <c r="J63" i="25"/>
  <c r="I63" i="25"/>
  <c r="J10" i="25"/>
  <c r="I10" i="25"/>
  <c r="H10" i="25"/>
  <c r="G10" i="25"/>
  <c r="F10" i="25"/>
  <c r="I55" i="25"/>
  <c r="J45" i="25"/>
  <c r="I45" i="25"/>
  <c r="H30" i="25"/>
  <c r="G30" i="25"/>
  <c r="F30" i="25"/>
  <c r="E30" i="25"/>
  <c r="D30" i="25"/>
  <c r="C30" i="25"/>
  <c r="J8" i="25"/>
  <c r="J30" i="25"/>
  <c r="I30" i="25"/>
  <c r="D7" i="25"/>
  <c r="E7" i="25" s="1"/>
  <c r="F7" i="25" s="1"/>
  <c r="G7" i="25" s="1"/>
  <c r="H7" i="25" s="1"/>
  <c r="D15" i="12" l="1"/>
  <c r="H15" i="12"/>
  <c r="I15" i="12"/>
  <c r="C15" i="12"/>
  <c r="G15" i="12"/>
  <c r="E15" i="12"/>
  <c r="J15" i="12"/>
  <c r="F15" i="12"/>
  <c r="C27" i="16" a="1"/>
  <c r="C26" i="16" a="1"/>
  <c r="F55" i="12"/>
  <c r="J55" i="12"/>
  <c r="I55" i="12"/>
  <c r="H55" i="12"/>
  <c r="G55" i="12"/>
  <c r="E55" i="12"/>
  <c r="D55" i="12"/>
  <c r="C34" i="12"/>
  <c r="C16" i="12" s="1"/>
  <c r="C12" i="26" s="1"/>
  <c r="C55" i="12"/>
  <c r="I16" i="12"/>
  <c r="I12" i="26" s="1"/>
  <c r="J16" i="12"/>
  <c r="J12" i="26" s="1"/>
  <c r="D34" i="12"/>
  <c r="D16" i="12" s="1"/>
  <c r="G34" i="12"/>
  <c r="G16" i="12" s="1"/>
  <c r="G12" i="26" s="1"/>
  <c r="E34" i="12"/>
  <c r="E16" i="12" s="1"/>
  <c r="E12" i="26" s="1"/>
  <c r="F34" i="12"/>
  <c r="F16" i="12" s="1"/>
  <c r="F12" i="26" s="1"/>
  <c r="H16" i="12"/>
  <c r="I8" i="25"/>
  <c r="C8" i="25"/>
  <c r="D8" i="25"/>
  <c r="E8" i="25"/>
  <c r="H8" i="25"/>
  <c r="G8" i="25"/>
  <c r="H52" i="12" l="1"/>
  <c r="H82" i="12" s="1"/>
  <c r="H106" i="12" s="1"/>
  <c r="H12" i="26"/>
  <c r="D52" i="12"/>
  <c r="D54" i="12" s="1"/>
  <c r="D12" i="26"/>
  <c r="C52" i="12"/>
  <c r="C54" i="12" s="1"/>
  <c r="C32" i="16" a="1"/>
  <c r="G52" i="12"/>
  <c r="G54" i="12" s="1"/>
  <c r="E52" i="12"/>
  <c r="E82" i="12" s="1"/>
  <c r="E104" i="12" s="1"/>
  <c r="C26" i="16"/>
  <c r="J26" i="16"/>
  <c r="F26" i="16"/>
  <c r="E26" i="16"/>
  <c r="H26" i="16"/>
  <c r="D26" i="16"/>
  <c r="I26" i="16"/>
  <c r="G26" i="16"/>
  <c r="F52" i="12"/>
  <c r="F54" i="12" s="1"/>
  <c r="J52" i="12"/>
  <c r="J82" i="12" s="1"/>
  <c r="J106" i="12" s="1"/>
  <c r="E27" i="16"/>
  <c r="I52" i="12"/>
  <c r="I54" i="12" s="1"/>
  <c r="H54" i="12"/>
  <c r="D82" i="12" l="1"/>
  <c r="D106" i="12" s="1"/>
  <c r="J54" i="12"/>
  <c r="J83" i="12" s="1"/>
  <c r="E54" i="12"/>
  <c r="F82" i="12"/>
  <c r="F85" i="12" s="1"/>
  <c r="C82" i="12"/>
  <c r="C106" i="12" s="1"/>
  <c r="G82" i="12"/>
  <c r="G106" i="12" s="1"/>
  <c r="C32" i="16"/>
  <c r="E32" i="16"/>
  <c r="J32" i="16"/>
  <c r="I32" i="16"/>
  <c r="G32" i="16"/>
  <c r="F32" i="16"/>
  <c r="D32" i="16"/>
  <c r="H32" i="16"/>
  <c r="C28" i="16" a="1"/>
  <c r="C17" i="16" a="1"/>
  <c r="C17" i="16" s="1"/>
  <c r="I82" i="12"/>
  <c r="I106" i="12" s="1"/>
  <c r="C18" i="16" a="1"/>
  <c r="F106" i="12"/>
  <c r="E83" i="12"/>
  <c r="C83" i="12"/>
  <c r="D83" i="12"/>
  <c r="H83" i="12"/>
  <c r="I83" i="12"/>
  <c r="G83" i="12"/>
  <c r="F83" i="12"/>
  <c r="E106" i="12"/>
  <c r="E85" i="12"/>
  <c r="E100" i="12" s="1"/>
  <c r="E102" i="12" s="1"/>
  <c r="J104" i="12"/>
  <c r="J85" i="12"/>
  <c r="F104" i="12"/>
  <c r="F100" i="12"/>
  <c r="F102" i="12" s="1"/>
  <c r="D104" i="12"/>
  <c r="D85" i="12"/>
  <c r="H104" i="12"/>
  <c r="H85" i="12"/>
  <c r="C104" i="12"/>
  <c r="C85" i="12"/>
  <c r="G104" i="12"/>
  <c r="G85" i="12"/>
  <c r="C33" i="16" l="1" a="1"/>
  <c r="H33" i="16" s="1"/>
  <c r="C107" i="12" a="1"/>
  <c r="E28" i="16"/>
  <c r="G17" i="16"/>
  <c r="I17" i="16"/>
  <c r="D17" i="16"/>
  <c r="H17" i="16"/>
  <c r="J17" i="16"/>
  <c r="E17" i="16"/>
  <c r="F17" i="16"/>
  <c r="C14" i="16" a="1"/>
  <c r="C18" i="16"/>
  <c r="G18" i="16"/>
  <c r="F18" i="16"/>
  <c r="E18" i="16"/>
  <c r="J18" i="16"/>
  <c r="I18" i="16"/>
  <c r="D18" i="16"/>
  <c r="H18" i="16"/>
  <c r="I104" i="12"/>
  <c r="C15" i="16" a="1"/>
  <c r="C13" i="16" a="1"/>
  <c r="C12" i="16" a="1"/>
  <c r="I85" i="12"/>
  <c r="I101" i="12" s="1"/>
  <c r="E101" i="12"/>
  <c r="G100" i="12"/>
  <c r="G102" i="12" s="1"/>
  <c r="G101" i="12"/>
  <c r="C100" i="12"/>
  <c r="C102" i="12" s="1"/>
  <c r="C101" i="12"/>
  <c r="H100" i="12"/>
  <c r="H102" i="12" s="1"/>
  <c r="H101" i="12"/>
  <c r="D100" i="12"/>
  <c r="D102" i="12" s="1"/>
  <c r="D101" i="12"/>
  <c r="F101" i="12"/>
  <c r="J100" i="12"/>
  <c r="J102" i="12" s="1"/>
  <c r="J101" i="12"/>
  <c r="C33" i="16" l="1"/>
  <c r="E33" i="16"/>
  <c r="J33" i="16"/>
  <c r="I33" i="16"/>
  <c r="G33" i="16"/>
  <c r="F33" i="16"/>
  <c r="D33" i="16"/>
  <c r="C118" i="12" a="1"/>
  <c r="I100" i="12"/>
  <c r="I102" i="12" s="1"/>
  <c r="C24" i="16" a="1"/>
  <c r="D13" i="16"/>
  <c r="C13" i="16"/>
  <c r="J13" i="16"/>
  <c r="G13" i="16"/>
  <c r="F13" i="16"/>
  <c r="I13" i="16"/>
  <c r="H13" i="16"/>
  <c r="E13" i="16"/>
  <c r="D12" i="16"/>
  <c r="C12" i="16"/>
  <c r="F12" i="16"/>
  <c r="I12" i="16"/>
  <c r="G12" i="16"/>
  <c r="E12" i="16"/>
  <c r="J12" i="16"/>
  <c r="H12" i="16"/>
  <c r="C25" i="16" a="1"/>
  <c r="J72" i="26"/>
  <c r="I72" i="26"/>
  <c r="H72" i="26"/>
  <c r="G72" i="26"/>
  <c r="F72" i="26"/>
  <c r="E72" i="26"/>
  <c r="D72" i="26"/>
  <c r="C72" i="26"/>
  <c r="J66" i="26"/>
  <c r="I66" i="26"/>
  <c r="H66" i="26"/>
  <c r="G66" i="26"/>
  <c r="F66" i="26"/>
  <c r="E66" i="26"/>
  <c r="D66" i="26"/>
  <c r="C66" i="26"/>
  <c r="J60" i="26"/>
  <c r="J58" i="26" s="1"/>
  <c r="I60" i="26"/>
  <c r="I58" i="26" s="1"/>
  <c r="H60" i="26"/>
  <c r="H58" i="26" s="1"/>
  <c r="G60" i="26"/>
  <c r="G58" i="26" s="1"/>
  <c r="F60" i="26"/>
  <c r="F58" i="26" s="1"/>
  <c r="E60" i="26"/>
  <c r="E58" i="26" s="1"/>
  <c r="D60" i="26"/>
  <c r="D58" i="26" s="1"/>
  <c r="C60" i="26"/>
  <c r="C58" i="26" s="1"/>
  <c r="J55" i="26"/>
  <c r="J19" i="16" s="1"/>
  <c r="I55" i="26"/>
  <c r="I19" i="16" s="1"/>
  <c r="H55" i="26"/>
  <c r="H19" i="16" s="1"/>
  <c r="G55" i="26"/>
  <c r="G19" i="16" s="1"/>
  <c r="F55" i="26"/>
  <c r="F19" i="16" s="1"/>
  <c r="D55" i="26"/>
  <c r="D19" i="16" s="1"/>
  <c r="C55" i="26"/>
  <c r="C19" i="16" s="1"/>
  <c r="F48" i="26"/>
  <c r="F35" i="16" s="1"/>
  <c r="E48" i="26"/>
  <c r="E35" i="16" s="1"/>
  <c r="J50" i="26"/>
  <c r="J48" i="26" s="1"/>
  <c r="J35" i="16" s="1"/>
  <c r="I50" i="26"/>
  <c r="I48" i="26" s="1"/>
  <c r="I35" i="16" s="1"/>
  <c r="H50" i="26"/>
  <c r="H48" i="26" s="1"/>
  <c r="H35" i="16" s="1"/>
  <c r="G50" i="26"/>
  <c r="G48" i="26" s="1"/>
  <c r="G35" i="16" s="1"/>
  <c r="F50" i="26"/>
  <c r="E50" i="26"/>
  <c r="D50" i="26"/>
  <c r="D48" i="26" s="1"/>
  <c r="D35" i="16" s="1"/>
  <c r="C50" i="26"/>
  <c r="C48" i="26" s="1"/>
  <c r="C35" i="16" s="1"/>
  <c r="J45" i="26"/>
  <c r="I45" i="26"/>
  <c r="H45" i="26"/>
  <c r="G45" i="26"/>
  <c r="F45" i="26"/>
  <c r="E45" i="26"/>
  <c r="E14" i="16" s="1"/>
  <c r="D45" i="26"/>
  <c r="D14" i="16" s="1"/>
  <c r="C45" i="26"/>
  <c r="J41" i="26"/>
  <c r="J40" i="26" s="1"/>
  <c r="I41" i="26"/>
  <c r="I40" i="26" s="1"/>
  <c r="H41" i="26"/>
  <c r="H40" i="26" s="1"/>
  <c r="G41" i="26"/>
  <c r="G40" i="26" s="1"/>
  <c r="F41" i="26"/>
  <c r="F40" i="26" s="1"/>
  <c r="E41" i="26"/>
  <c r="E40" i="26" s="1"/>
  <c r="D41" i="26"/>
  <c r="D40" i="26" s="1"/>
  <c r="C41" i="26"/>
  <c r="C40" i="26" s="1"/>
  <c r="J36" i="26"/>
  <c r="I36" i="26"/>
  <c r="H36" i="26"/>
  <c r="G36" i="26"/>
  <c r="F36" i="26"/>
  <c r="E36" i="26"/>
  <c r="D36" i="26"/>
  <c r="C36" i="26"/>
  <c r="J28" i="26"/>
  <c r="I28" i="26"/>
  <c r="H28" i="26"/>
  <c r="G28" i="26"/>
  <c r="F28" i="26"/>
  <c r="E28" i="26"/>
  <c r="D28" i="26"/>
  <c r="C28" i="26"/>
  <c r="J24" i="26"/>
  <c r="J22" i="26" s="1"/>
  <c r="J21" i="26" s="1"/>
  <c r="I24" i="26"/>
  <c r="I22" i="26" s="1"/>
  <c r="H24" i="26"/>
  <c r="H22" i="26" s="1"/>
  <c r="G24" i="26"/>
  <c r="G22" i="26" s="1"/>
  <c r="F24" i="26"/>
  <c r="F22" i="26" s="1"/>
  <c r="E24" i="26"/>
  <c r="E22" i="26" s="1"/>
  <c r="D24" i="26"/>
  <c r="D22" i="26" s="1"/>
  <c r="C24" i="26"/>
  <c r="C22" i="26" s="1"/>
  <c r="J17" i="26"/>
  <c r="J34" i="16" s="1"/>
  <c r="I17" i="26"/>
  <c r="I34" i="16" s="1"/>
  <c r="H17" i="26"/>
  <c r="H34" i="16" s="1"/>
  <c r="G17" i="26"/>
  <c r="G34" i="16" s="1"/>
  <c r="F17" i="26"/>
  <c r="F34" i="16" s="1"/>
  <c r="E17" i="26"/>
  <c r="E34" i="16" s="1"/>
  <c r="D17" i="26"/>
  <c r="D34" i="16" s="1"/>
  <c r="C17" i="26"/>
  <c r="C34" i="16" s="1"/>
  <c r="D23" i="16" l="1"/>
  <c r="D21" i="16"/>
  <c r="D22" i="16"/>
  <c r="D27" i="16"/>
  <c r="D28" i="16" s="1"/>
  <c r="H21" i="16"/>
  <c r="H22" i="16"/>
  <c r="H23" i="16"/>
  <c r="H24" i="16" s="1"/>
  <c r="H27" i="16"/>
  <c r="H28" i="16" s="1"/>
  <c r="C23" i="16"/>
  <c r="C22" i="16"/>
  <c r="C21" i="16"/>
  <c r="C27" i="16"/>
  <c r="C28" i="16" s="1"/>
  <c r="C14" i="16"/>
  <c r="J23" i="16"/>
  <c r="J21" i="16"/>
  <c r="J22" i="16"/>
  <c r="J27" i="16"/>
  <c r="J28" i="16" s="1"/>
  <c r="G23" i="16"/>
  <c r="G24" i="16" s="1"/>
  <c r="G22" i="16"/>
  <c r="G21" i="16"/>
  <c r="G27" i="16"/>
  <c r="G28" i="16" s="1"/>
  <c r="F14" i="16"/>
  <c r="H14" i="16"/>
  <c r="F23" i="16"/>
  <c r="F21" i="16"/>
  <c r="F22" i="16"/>
  <c r="F27" i="16"/>
  <c r="F28" i="16" s="1"/>
  <c r="I22" i="16"/>
  <c r="I21" i="16"/>
  <c r="I23" i="16"/>
  <c r="I27" i="16"/>
  <c r="I28" i="16" s="1"/>
  <c r="G14" i="16"/>
  <c r="I14" i="16"/>
  <c r="J14" i="16"/>
  <c r="I24" i="16"/>
  <c r="F24" i="16"/>
  <c r="C24" i="16"/>
  <c r="J24" i="16"/>
  <c r="D24" i="16"/>
  <c r="E24" i="16"/>
  <c r="I25" i="16"/>
  <c r="J25" i="16"/>
  <c r="D25" i="16"/>
  <c r="F25" i="16"/>
  <c r="C25" i="16"/>
  <c r="H25" i="16"/>
  <c r="G25" i="16"/>
  <c r="E25" i="16"/>
  <c r="E9" i="26"/>
  <c r="E8" i="26" s="1"/>
  <c r="F9" i="26"/>
  <c r="F8" i="26" s="1"/>
  <c r="G9" i="26"/>
  <c r="H9" i="26"/>
  <c r="I9" i="26"/>
  <c r="C21" i="26"/>
  <c r="J9" i="26"/>
  <c r="C54" i="26"/>
  <c r="F21" i="26"/>
  <c r="C9" i="26"/>
  <c r="D9" i="26"/>
  <c r="G21" i="26"/>
  <c r="H21" i="26"/>
  <c r="D54" i="26"/>
  <c r="D34" i="26"/>
  <c r="F54" i="26"/>
  <c r="D21" i="26"/>
  <c r="E21" i="26"/>
  <c r="I21" i="26"/>
  <c r="G54" i="26"/>
  <c r="E54" i="26"/>
  <c r="H54" i="26"/>
  <c r="I54" i="26"/>
  <c r="J54" i="26"/>
  <c r="E34" i="26"/>
  <c r="E11" i="16" s="1"/>
  <c r="F34" i="26"/>
  <c r="F11" i="16" s="1"/>
  <c r="G34" i="26"/>
  <c r="G11" i="16" s="1"/>
  <c r="I34" i="26"/>
  <c r="I11" i="16" s="1"/>
  <c r="J34" i="26"/>
  <c r="J11" i="16" s="1"/>
  <c r="H34" i="26"/>
  <c r="H11" i="16" s="1"/>
  <c r="C34" i="26"/>
  <c r="C11" i="16" s="1"/>
  <c r="D33" i="26" l="1"/>
  <c r="D11" i="16"/>
  <c r="D8" i="16"/>
  <c r="F8" i="16"/>
  <c r="I8" i="16"/>
  <c r="H8" i="16"/>
  <c r="E8" i="16"/>
  <c r="C8" i="16"/>
  <c r="G8" i="16"/>
  <c r="I8" i="26"/>
  <c r="H8" i="26"/>
  <c r="H20" i="16" s="1"/>
  <c r="J8" i="26"/>
  <c r="J10" i="16"/>
  <c r="J9" i="16"/>
  <c r="C8" i="26"/>
  <c r="G8" i="26"/>
  <c r="I20" i="16"/>
  <c r="I15" i="16"/>
  <c r="F15" i="16"/>
  <c r="F20" i="16"/>
  <c r="H9" i="16"/>
  <c r="H10" i="16"/>
  <c r="D10" i="16"/>
  <c r="D9" i="16"/>
  <c r="F9" i="16"/>
  <c r="F10" i="16"/>
  <c r="C10" i="16"/>
  <c r="C9" i="16"/>
  <c r="G9" i="16"/>
  <c r="G10" i="16"/>
  <c r="E20" i="16"/>
  <c r="E15" i="16"/>
  <c r="I9" i="16"/>
  <c r="I10" i="16"/>
  <c r="J8" i="16"/>
  <c r="E10" i="16"/>
  <c r="E9" i="16"/>
  <c r="J36" i="16"/>
  <c r="D36" i="16"/>
  <c r="F36" i="16"/>
  <c r="C36" i="16"/>
  <c r="G36" i="16"/>
  <c r="D8" i="26"/>
  <c r="E36" i="16"/>
  <c r="I36" i="16"/>
  <c r="H36" i="16"/>
  <c r="H109" i="12" s="1"/>
  <c r="E33" i="26"/>
  <c r="I33" i="26"/>
  <c r="F33" i="26"/>
  <c r="C33" i="26"/>
  <c r="H33" i="26"/>
  <c r="G33" i="26"/>
  <c r="J33" i="26"/>
  <c r="D7" i="26"/>
  <c r="E7" i="26" s="1"/>
  <c r="F7" i="26" s="1"/>
  <c r="G7" i="26" s="1"/>
  <c r="H7" i="26" s="1"/>
  <c r="I7" i="26" s="1"/>
  <c r="J7" i="26" s="1"/>
  <c r="I7" i="25"/>
  <c r="J7" i="25" s="1"/>
  <c r="H15" i="16" l="1"/>
  <c r="E109" i="12"/>
  <c r="G109" i="12"/>
  <c r="F109" i="12"/>
  <c r="I109" i="12"/>
  <c r="J109" i="12"/>
  <c r="D109" i="12"/>
  <c r="C37" i="16" a="1"/>
  <c r="I37" i="16" s="1"/>
  <c r="D20" i="16"/>
  <c r="D15" i="16"/>
  <c r="C15" i="16"/>
  <c r="C20" i="16"/>
  <c r="G20" i="16"/>
  <c r="G15" i="16"/>
  <c r="J20" i="16"/>
  <c r="J15" i="16"/>
  <c r="D7" i="20"/>
  <c r="C108" i="12" l="1" a="1"/>
  <c r="C108" i="12" s="1"/>
  <c r="C107" i="12" s="1"/>
  <c r="C118" i="12" s="1"/>
  <c r="D37" i="16"/>
  <c r="F37" i="16"/>
  <c r="E37" i="16"/>
  <c r="H37" i="16"/>
  <c r="J37" i="16"/>
  <c r="C37" i="16"/>
  <c r="G37" i="16"/>
  <c r="E7" i="20"/>
  <c r="F7" i="20" s="1"/>
  <c r="G7" i="20" s="1"/>
  <c r="H7" i="20" s="1"/>
  <c r="D15" i="20"/>
  <c r="D14" i="20"/>
  <c r="D13" i="20"/>
  <c r="D16" i="20"/>
  <c r="D107" i="12" l="1"/>
  <c r="D118" i="12" s="1"/>
  <c r="H107" i="12"/>
  <c r="H118" i="12" s="1"/>
  <c r="E107" i="12"/>
  <c r="E118" i="12" s="1"/>
  <c r="G107" i="12"/>
  <c r="G118" i="12" s="1"/>
  <c r="J107" i="12"/>
  <c r="J118" i="12" s="1"/>
  <c r="I107" i="12"/>
  <c r="I118" i="12" s="1"/>
  <c r="F107" i="12"/>
  <c r="F118" i="12" s="1"/>
  <c r="D11" i="20"/>
  <c r="F15" i="20"/>
  <c r="F14" i="20"/>
  <c r="F13" i="20"/>
  <c r="F16" i="20"/>
  <c r="E15" i="20"/>
  <c r="E14" i="20"/>
  <c r="E13" i="20"/>
  <c r="E16" i="20"/>
  <c r="E11" i="20" l="1"/>
  <c r="F11" i="20"/>
  <c r="G15" i="20"/>
  <c r="G14" i="20"/>
  <c r="G13" i="20"/>
  <c r="G16" i="20"/>
  <c r="D7" i="16"/>
  <c r="E7" i="16" s="1"/>
  <c r="F7" i="16" s="1"/>
  <c r="G7" i="16" s="1"/>
  <c r="H7" i="16" s="1"/>
  <c r="I7" i="16" s="1"/>
  <c r="J7" i="16" s="1"/>
  <c r="D7" i="12"/>
  <c r="E7" i="12" s="1"/>
  <c r="F7" i="12" s="1"/>
  <c r="G7" i="12" s="1"/>
  <c r="H7" i="12" s="1"/>
  <c r="I7" i="12" s="1"/>
  <c r="J7" i="12" s="1"/>
  <c r="K7" i="12" s="1"/>
  <c r="L7" i="12" s="1"/>
  <c r="M7" i="12" s="1"/>
  <c r="G11" i="20" l="1"/>
  <c r="H15" i="20"/>
  <c r="H14" i="20"/>
  <c r="H13" i="20"/>
  <c r="H16" i="20"/>
  <c r="I7" i="20"/>
  <c r="H11" i="20" l="1"/>
  <c r="I14" i="20"/>
  <c r="I16" i="20"/>
  <c r="I13" i="20"/>
  <c r="I15" i="20"/>
  <c r="J7" i="20"/>
  <c r="I11" i="20" l="1"/>
  <c r="J16" i="20"/>
  <c r="J15" i="20"/>
  <c r="J14" i="20"/>
  <c r="J13" i="20"/>
  <c r="K7" i="20"/>
  <c r="C18" i="20" l="1" a="1"/>
  <c r="J11" i="20"/>
  <c r="C17" i="20" s="1" a="1"/>
  <c r="K15" i="20"/>
  <c r="K14" i="20"/>
  <c r="K13" i="20"/>
  <c r="L7" i="20"/>
  <c r="C17" i="20" l="1"/>
  <c r="G17" i="20"/>
  <c r="F17" i="20"/>
  <c r="E17" i="20"/>
  <c r="D17" i="20"/>
  <c r="J17" i="20"/>
  <c r="I17" i="20"/>
  <c r="H17" i="20"/>
  <c r="C18" i="20"/>
  <c r="H18" i="20"/>
  <c r="E18" i="20"/>
  <c r="D18" i="20"/>
  <c r="J18" i="20"/>
  <c r="I18" i="20"/>
  <c r="G18" i="20"/>
  <c r="F18" i="20"/>
  <c r="L18" i="20"/>
  <c r="L13" i="20"/>
  <c r="L14" i="20"/>
  <c r="M17" i="20"/>
  <c r="M16" i="20" s="1"/>
  <c r="M7" i="20"/>
  <c r="M13" i="20" s="1"/>
  <c r="K17" i="20" l="1"/>
  <c r="K16" i="20" s="1"/>
  <c r="K11" i="20" s="1"/>
  <c r="K18" i="20"/>
  <c r="K27" i="20" s="1"/>
  <c r="M18" i="20"/>
  <c r="L17" i="20"/>
  <c r="L16" i="20" s="1"/>
  <c r="L15" i="20"/>
  <c r="M14" i="20" s="1"/>
  <c r="K28" i="20" l="1"/>
  <c r="L27" i="20"/>
  <c r="L11" i="20"/>
  <c r="M15" i="20"/>
  <c r="M11" i="20" s="1"/>
  <c r="L28" i="20" l="1"/>
  <c r="M27" i="20"/>
  <c r="M28" i="20"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tc={4DCB37CD-5EE6-4E5F-918B-F99DE58EA103}</author>
  </authors>
  <commentList>
    <comment ref="B12" authorId="0" shapeId="0" xr:uid="{4DCB37CD-5EE6-4E5F-918B-F99DE58EA103}">
      <text>
        <t>[Comentário encadeado]
Sua versão do Excel permite que você leia este comentário encadeado, no entanto, as edições serão removidas se o arquivo for aberto em uma versão mais recente do Excel. Saiba mais: https://go.microsoft.com/fwlink/?linkid=870924
Comentário:
    A planilha do RI da CEAB3 dá uma lista com todas as lojas abertas. Quando uma loja fecha, ela sai da lista. Dessa forma, temos que somar as lojas que foram fechadas depois de cada ano. Pra saber isso, é só ver o total de m² no fim do ano. Essa informação é dada no press release.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tc={A40A962E-9299-4F8F-87ED-AF5CA686B561}</author>
    <author>tc={4F094627-A072-45C8-BA21-B9867305FAEC}</author>
    <author>tc={C72C5BF8-4132-4F50-951F-8E928F37F336}</author>
    <author>tc={258F9525-C408-43B9-B134-6E0E073DDC68}</author>
    <author>tc={79E9E669-9617-41EC-9049-0D87DDD89FB9}</author>
    <author>tc={ED3B1DA4-00E1-4F0E-B761-399C6E4643EA}</author>
    <author>tc={67BB65BB-A386-49D8-8E3D-222388916ED8}</author>
  </authors>
  <commentList>
    <comment ref="B14" authorId="0" shapeId="0" xr:uid="{A40A962E-9299-4F8F-87ED-AF5CA686B561}">
      <text>
        <t>[Comentário encadeado]
Sua versão do Excel permite que você leia este comentário encadeado, no entanto, as edições serão removidas se o arquivo for aberto em uma versão mais recente do Excel. Saiba mais: https://go.microsoft.com/fwlink/?linkid=870924
Comentário:
    [0-30] dias de atraso</t>
      </text>
    </comment>
    <comment ref="B15" authorId="1" shapeId="0" xr:uid="{4F094627-A072-45C8-BA21-B9867305FAEC}">
      <text>
        <t>[Comentário encadeado]
Sua versão do Excel permite que você leia este comentário encadeado, no entanto, as edições serão removidas se o arquivo for aberto em uma versão mais recente do Excel. Saiba mais: https://go.microsoft.com/fwlink/?linkid=870924
Comentário:
    [31 a 89] dias de atraso</t>
      </text>
    </comment>
    <comment ref="B16" authorId="2" shapeId="0" xr:uid="{C72C5BF8-4132-4F50-951F-8E928F37F336}">
      <text>
        <t>[Comentário encadeado]
Sua versão do Excel permite que você leia este comentário encadeado, no entanto, as edições serão removidas se o arquivo for aberto em uma versão mais recente do Excel. Saiba mais: https://go.microsoft.com/fwlink/?linkid=870924
Comentário:
    &gt;90 dias de atraso</t>
      </text>
    </comment>
    <comment ref="M23" authorId="3" shapeId="0" xr:uid="{258F9525-C408-43B9-B134-6E0E073DDC68}">
      <text>
        <t>[Comentário encadeado]
Sua versão do Excel permite que você leia este comentário encadeado, no entanto, as edições serão removidas se o arquivo for aberto em uma versão mais recente do Excel. Saiba mais: https://go.microsoft.com/fwlink/?linkid=870924
Comentário:
    Removidos por conta da pandemia.</t>
      </text>
    </comment>
    <comment ref="N23" authorId="4" shapeId="0" xr:uid="{79E9E669-9617-41EC-9049-0D87DDD89FB9}">
      <text>
        <t>[Comentário encadeado]
Sua versão do Excel permite que você leia este comentário encadeado, no entanto, as edições serão removidas se o arquivo for aberto em uma versão mais recente do Excel. Saiba mais: https://go.microsoft.com/fwlink/?linkid=870924
Comentário:
    Removidos por conta da pandemia.</t>
      </text>
    </comment>
    <comment ref="H42" authorId="5" shapeId="0" xr:uid="{ED3B1DA4-00E1-4F0E-B761-399C6E4643EA}">
      <text>
        <t>[Comentário encadeado]
Sua versão do Excel permite que você leia este comentário encadeado, no entanto, as edições serão removidas se o arquivo for aberto em uma versão mais recente do Excel. Saiba mais: https://go.microsoft.com/fwlink/?linkid=870924
Comentário:
    A empresa não fornecia a divisão por estágios no padrão atual antes de 2016.</t>
      </text>
    </comment>
    <comment ref="N54" authorId="6" shapeId="0" xr:uid="{67BB65BB-A386-49D8-8E3D-222388916ED8}">
      <text>
        <t>[Comentário encadeado]
Sua versão do Excel permite que você leia este comentário encadeado, no entanto, as edições serão removidas se o arquivo for aberto em uma versão mais recente do Excel. Saiba mais: https://go.microsoft.com/fwlink/?linkid=870924
Comentário:
    A Guararapes cessou a divulgação destes dados.</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<sst xmlns="http://schemas.openxmlformats.org/spreadsheetml/2006/main" count="2036" uniqueCount="805">
  <si>
    <t>Receita Líquida</t>
  </si>
  <si>
    <t>Lucro Líquido</t>
  </si>
  <si>
    <t>Ativo Circulante</t>
  </si>
  <si>
    <t>Aplicações Financeiras</t>
  </si>
  <si>
    <t>Excesso de Caixa</t>
  </si>
  <si>
    <t>Caixa Operacional</t>
  </si>
  <si>
    <t>Contas a Receber</t>
  </si>
  <si>
    <t>Estoques</t>
  </si>
  <si>
    <t>Tributos a Recuperar</t>
  </si>
  <si>
    <t>Caixa e Equivalentes</t>
  </si>
  <si>
    <t>Ativo Total</t>
  </si>
  <si>
    <t>Passivo Total</t>
  </si>
  <si>
    <t>Ativo Realizável a Longo Prazo</t>
  </si>
  <si>
    <t>Tributos Diferidos</t>
  </si>
  <si>
    <t>Outros Ativos Não Circulantes</t>
  </si>
  <si>
    <t>Imobilizado</t>
  </si>
  <si>
    <t>Intangível</t>
  </si>
  <si>
    <t>Passivo Circulante</t>
  </si>
  <si>
    <t>Obrigações Sociais e Trabalhistas</t>
  </si>
  <si>
    <t>Fornecedores</t>
  </si>
  <si>
    <t>Obrigações Fiscais</t>
  </si>
  <si>
    <t>Empréstimos e Financiamentos</t>
  </si>
  <si>
    <t>Outras Obrigações</t>
  </si>
  <si>
    <t>Passivo Não Circulante</t>
  </si>
  <si>
    <t>Impostos a Recolher</t>
  </si>
  <si>
    <t>Patrimônio Líquido</t>
  </si>
  <si>
    <t>Capital Social Realizado</t>
  </si>
  <si>
    <t>Reservas de Capital</t>
  </si>
  <si>
    <t>Ações em Tesouraria</t>
  </si>
  <si>
    <t>Reservas de Lucros</t>
  </si>
  <si>
    <t>Lucros/Prejuízos Acumulados</t>
  </si>
  <si>
    <t>Outros Resultados Abrangentes</t>
  </si>
  <si>
    <t>Custos das Vendas e Serviços</t>
  </si>
  <si>
    <t>Lucro Bruto</t>
  </si>
  <si>
    <t>Despesas/ Receitas Operacionais</t>
  </si>
  <si>
    <t>Despesas com Vendas</t>
  </si>
  <si>
    <t>Despesas Gerais e Administrativas</t>
  </si>
  <si>
    <t>EBIT</t>
  </si>
  <si>
    <t>EBIT Recorrente</t>
  </si>
  <si>
    <t>Resultado Financeiro</t>
  </si>
  <si>
    <t>Receitas Financeiras</t>
  </si>
  <si>
    <t>Despesas Financeiras</t>
  </si>
  <si>
    <t>Eventos Não Recorrentes</t>
  </si>
  <si>
    <t>Pessoal</t>
  </si>
  <si>
    <t>Ocupação</t>
  </si>
  <si>
    <t>Depreciação e Amortização</t>
  </si>
  <si>
    <t>Depreciação - Direito de Uso</t>
  </si>
  <si>
    <t>Outros</t>
  </si>
  <si>
    <t>Recuperação de Créditos Fiscais</t>
  </si>
  <si>
    <t>Juros Sobre Arrendamentos</t>
  </si>
  <si>
    <t>Expectativa de Despesa de Acordo com Alíquota Vigente</t>
  </si>
  <si>
    <t>Juros Sobre Capital Próprio</t>
  </si>
  <si>
    <t xml:space="preserve">IRPJ + CSLL - Ex. Não-Recorrentes </t>
  </si>
  <si>
    <t>IRPJ + CSLL - Ex. Não-Recorrentes e Incentivos</t>
  </si>
  <si>
    <t>IRPJ + CSLL</t>
  </si>
  <si>
    <t>WACC</t>
  </si>
  <si>
    <t>Liquidez Geral</t>
  </si>
  <si>
    <t>Liquidez Corrente</t>
  </si>
  <si>
    <t>Liquidez Seca</t>
  </si>
  <si>
    <t>Liquidez Imediata</t>
  </si>
  <si>
    <t>Ciclo de Caixa</t>
  </si>
  <si>
    <t>Dividend Yield (12 meses)</t>
  </si>
  <si>
    <t>Payout</t>
  </si>
  <si>
    <t>Proventos por Ação</t>
  </si>
  <si>
    <t>Retorno Sobre o Equity (ROE)</t>
  </si>
  <si>
    <t>Retorno Sobre o Ativo (ROA)</t>
  </si>
  <si>
    <t>Retorno Sobre o Capital Investido (ROIC)</t>
  </si>
  <si>
    <t>Dívida Bruta/Ativo</t>
  </si>
  <si>
    <t>Dívida Bruta/Patrimônio Líquido</t>
  </si>
  <si>
    <t>Dívida Bruta/(Dívida Bruta + Patrimônio Líquido)</t>
  </si>
  <si>
    <t>NOPAT</t>
  </si>
  <si>
    <t>Taxa de Reinvestimento</t>
  </si>
  <si>
    <t>Fluxo de Caixa Livre para Firma (FCFF)</t>
  </si>
  <si>
    <t>Ativo Não Circulante</t>
  </si>
  <si>
    <t>Capital de Giro/Receita Líquida</t>
  </si>
  <si>
    <t>Custo da Dívida</t>
  </si>
  <si>
    <t>CAPEX</t>
  </si>
  <si>
    <r>
      <rPr>
        <sz val="11"/>
        <color theme="1" tint="0.499984740745262"/>
        <rFont val="Calibri"/>
        <family val="2"/>
      </rPr>
      <t>Δ</t>
    </r>
    <r>
      <rPr>
        <sz val="9.9"/>
        <color theme="1" tint="0.499984740745262"/>
        <rFont val="Avenir Next LT Pro"/>
        <family val="2"/>
      </rPr>
      <t xml:space="preserve"> Capital de Giro</t>
    </r>
  </si>
  <si>
    <t>Novas Lojas</t>
  </si>
  <si>
    <t>Remodelação de Instalações</t>
  </si>
  <si>
    <t>Centro de Distribuição</t>
  </si>
  <si>
    <t>Capital de Giro</t>
  </si>
  <si>
    <t>Variações nos Ativos e Passivos</t>
  </si>
  <si>
    <t>Contas a Receber de Clientes</t>
  </si>
  <si>
    <t>Recompra de Ações</t>
  </si>
  <si>
    <t>Depósitos Judiciais</t>
  </si>
  <si>
    <t>Dívida Bruta</t>
  </si>
  <si>
    <t>Reinvestimento</t>
  </si>
  <si>
    <t>&gt;2027E</t>
  </si>
  <si>
    <t>Partes Relacionadas</t>
  </si>
  <si>
    <t>Outros Ativos Circulantes</t>
  </si>
  <si>
    <t>Outros Créditos</t>
  </si>
  <si>
    <t>Instrumentos Financeiros Derivativos</t>
  </si>
  <si>
    <t>Depósito Judicial</t>
  </si>
  <si>
    <t>Imobilizado em Operação</t>
  </si>
  <si>
    <t>Direito de Uso em Arrendamento</t>
  </si>
  <si>
    <t>Imobilizado em Andamento</t>
  </si>
  <si>
    <t>Nacionais</t>
  </si>
  <si>
    <t>Estrangeiros</t>
  </si>
  <si>
    <t>Obrigações com Risco Sacado</t>
  </si>
  <si>
    <t>Federais</t>
  </si>
  <si>
    <t>Estaduais</t>
  </si>
  <si>
    <t>Empréstimos</t>
  </si>
  <si>
    <t>Financiamento por Arrendamento</t>
  </si>
  <si>
    <t>Passivos com Partes Relacionadas</t>
  </si>
  <si>
    <t>Operações com Derivativos</t>
  </si>
  <si>
    <t>Outros Passivos</t>
  </si>
  <si>
    <t>Dividendos e Juros Sobre Capital Próprio</t>
  </si>
  <si>
    <t>Obrigações Trabalhistas</t>
  </si>
  <si>
    <t>Provisões</t>
  </si>
  <si>
    <t>Provisões Fiscais Previdenciárias Trabalhistas e Cíveis</t>
  </si>
  <si>
    <t>Provisões Fiscais</t>
  </si>
  <si>
    <t>Provisões Previdenciárias e Trabalhistas</t>
  </si>
  <si>
    <t>Provisões Cíveis</t>
  </si>
  <si>
    <t>Outras Provisões</t>
  </si>
  <si>
    <t>Participação dos Acionistas Não-Controladores</t>
  </si>
  <si>
    <t>DF</t>
  </si>
  <si>
    <t>Ajuste para Reconciliar o Resultado Antes dos Impostos com o Fluxo de Caixa</t>
  </si>
  <si>
    <t>Constituição (Reversão) de Provisão para Perdas de Crédito Esperadas</t>
  </si>
  <si>
    <t>Ajuste a Valor Presente do Contas a Receber, Estoques e Fornecedores</t>
  </si>
  <si>
    <t>Despesas com Remuneração Baseado em Ações</t>
  </si>
  <si>
    <t>Constituição de Provisão para Perda nos Estoques</t>
  </si>
  <si>
    <t>Ganho/Reconhecimento de Processos Tributários, Incluindo Atualização Monetária</t>
  </si>
  <si>
    <t>Equivalência Patrimonial</t>
  </si>
  <si>
    <t>Constituição (Reversão) de Provisão para Redução ao Valor Recuperável do Imobilizado, Intangível e Direito de Uso</t>
  </si>
  <si>
    <t>Amortização do Direito de Uso</t>
  </si>
  <si>
    <t>Baixa de Arrendamento</t>
  </si>
  <si>
    <t>Juros Sobre Empréstimos</t>
  </si>
  <si>
    <t>Amortização de Custos de Transação de Empréstimos</t>
  </si>
  <si>
    <t>Constituição (Reversão) de Provisão para Riscos Tributários, Cíveis e Trabalhistas</t>
  </si>
  <si>
    <t>Atualização de Depósitos Judiciais</t>
  </si>
  <si>
    <t>Rendimento de Aplicação em Títulos e Valores Mobiliários</t>
  </si>
  <si>
    <t>Títulos e Valores Mobiliários</t>
  </si>
  <si>
    <t>Obrigações de Risco Sacado</t>
  </si>
  <si>
    <t>Provisões para Riscos Tributários, Cíveis e Trabalhistas</t>
  </si>
  <si>
    <t>Tributos a Pagar</t>
  </si>
  <si>
    <t>Fluxo de Caixa Originado das Atividades Operacionais</t>
  </si>
  <si>
    <t>Aquisição de Imobilizado</t>
  </si>
  <si>
    <t>Aquisição de Intangível</t>
  </si>
  <si>
    <t>Redução de Capital em Controlada</t>
  </si>
  <si>
    <t>Aumento de Capital em Controlada</t>
  </si>
  <si>
    <t>Recebimento por Vendas em Ativos Imobilizados</t>
  </si>
  <si>
    <t>Fluxo de Caixa Aplicado em Atividades de Investimento</t>
  </si>
  <si>
    <t>Novos Empréstimos e Emissão de Debêntures</t>
  </si>
  <si>
    <t>Custos de Transação de Empréstimos/Debêntures</t>
  </si>
  <si>
    <t>Pagamento do Principal dos Empréstimos</t>
  </si>
  <si>
    <t>Pagamento de Juros Sobre Empréstimos</t>
  </si>
  <si>
    <t>Pagamento do Principal e Juros de Arrendamentos</t>
  </si>
  <si>
    <t>Fluxo de Caixa Originado das Atividades de Financiamento</t>
  </si>
  <si>
    <t>Aumento Líquido de Caixa e Equivalentes de Caixa</t>
  </si>
  <si>
    <t>Caixa e Equivalentes de Caixa no Início do Período</t>
  </si>
  <si>
    <t>Caixa e Equivalentes de Caixa no Fim do Período</t>
  </si>
  <si>
    <t>Impostos de Renda e Contribuição Social Pagos</t>
  </si>
  <si>
    <t>Lucro (Prejuízo) Antes dos Impostos Sobre a Renda</t>
  </si>
  <si>
    <t>Variação Cambial Sobre Empréstimos</t>
  </si>
  <si>
    <t>Aumento de Capital</t>
  </si>
  <si>
    <t>Custos de Transação na Emissão de Ações</t>
  </si>
  <si>
    <t>Liquidação de Swap</t>
  </si>
  <si>
    <t>Juros Sobre o Capital Próprio e Dividendos Pagos</t>
  </si>
  <si>
    <t>(Ganho) ou Perda na Venda ou Baixa do Imobilizado e Intangível</t>
  </si>
  <si>
    <t>Minoritários</t>
  </si>
  <si>
    <t>Material/Serviços de Terceiros</t>
  </si>
  <si>
    <t>Publicidade e Promoção</t>
  </si>
  <si>
    <t>Perdas em Créditos Líquidas</t>
  </si>
  <si>
    <t>Resultado da Baixa de Ativos</t>
  </si>
  <si>
    <t>Reversão (Provisão) por Impairment</t>
  </si>
  <si>
    <t>Encerramento/Reforma de Lojas</t>
  </si>
  <si>
    <t>Teste de Recuperabilidade</t>
  </si>
  <si>
    <t>ICMS na Base de Cálculo PIS/COFINS</t>
  </si>
  <si>
    <t>Ação Judicial ZFM e Reintegra</t>
  </si>
  <si>
    <t>PIS/COFINS Importação Base de Cálculo</t>
  </si>
  <si>
    <t>Créditos Previdenciários</t>
  </si>
  <si>
    <t>Outros Créditos Fiscais</t>
  </si>
  <si>
    <t>Despesas Relacionadas aos Créditos Fiscais</t>
  </si>
  <si>
    <t>Encerramento de Centro de Distribuição</t>
  </si>
  <si>
    <t>Reversão (Provisão) de Contingências Tributárias</t>
  </si>
  <si>
    <t>Consultorias Estratégicas</t>
  </si>
  <si>
    <t>Perdas de Créditos Líquidas</t>
  </si>
  <si>
    <t>Estruturação FIDC</t>
  </si>
  <si>
    <t>Juros Sobre Empréstimos - Partes Relacionadas</t>
  </si>
  <si>
    <t>Juros Sobre Empréstimos - Terceiros</t>
  </si>
  <si>
    <t>Juros Sobre Empréstimos - Bradescard</t>
  </si>
  <si>
    <t>Despesas Bancárias e IOF</t>
  </si>
  <si>
    <t>Juros Sobre Impostos e Contingências</t>
  </si>
  <si>
    <t>Juros Sobre Arrendamento</t>
  </si>
  <si>
    <t>Despesa Financeira de Fornecedores - AVP</t>
  </si>
  <si>
    <t>Resultados com Derivativos</t>
  </si>
  <si>
    <t>Variação Cambial</t>
  </si>
  <si>
    <t>Compras</t>
  </si>
  <si>
    <t>Empréstimos com Partes Relacionadas</t>
  </si>
  <si>
    <t>Encargos com Antecipações de Recebíveis</t>
  </si>
  <si>
    <t>Juros Sobre Aplicação Financeira</t>
  </si>
  <si>
    <t>Juros e Atualização Monetária</t>
  </si>
  <si>
    <t>Atualização dos Créditos Tributários Extemporâneos de PIS/COFINS</t>
  </si>
  <si>
    <t>Atualização dos Créditos Tributários da Ação Judicial da Zona Franca de Manaus</t>
  </si>
  <si>
    <t>Tributação pelo PIS/COFINS</t>
  </si>
  <si>
    <t>Créditos Extemporâneos de PIS/COFINS - Importação</t>
  </si>
  <si>
    <t>Receita Financeira de Fornecedores</t>
  </si>
  <si>
    <t>Resultado com Títulos e Valores Mobiliários</t>
  </si>
  <si>
    <t>Lucro Não Realizado nos Estoques</t>
  </si>
  <si>
    <t>Doações Não Dedutíveis</t>
  </si>
  <si>
    <t>PAT e Lei de Incentivo à Cultura</t>
  </si>
  <si>
    <t>Ajustes de Transfer Pricing e Incentivo à Inovação Tecnológica (P&amp;D)</t>
  </si>
  <si>
    <t>Brindes e Multas Não Dedutíveis</t>
  </si>
  <si>
    <t>Subvenção para Investimento</t>
  </si>
  <si>
    <t>IR + CSLL de Exercícios Anteriores</t>
  </si>
  <si>
    <t>Instrumentos Patrimoniais Outorgados</t>
  </si>
  <si>
    <t>Outras Adições e Exclusões</t>
  </si>
  <si>
    <t>Indébito Tributário</t>
  </si>
  <si>
    <t>Prejuízo Operacional</t>
  </si>
  <si>
    <t>Imposto Diferido Não Constituído Sobre Diferenças Temporárias</t>
  </si>
  <si>
    <t>Imposto Calculado Sobre a Parcela Isenta do Adicional de 10%</t>
  </si>
  <si>
    <t>Alíquota Efetiva (% EBIT Recorrente) - Ex. Não-Recorrentes</t>
  </si>
  <si>
    <t>Alíquota Efetiva (% EBIT Recorrente) - Ex. Não Recorrentes e Incentivos</t>
  </si>
  <si>
    <t>LAIR</t>
  </si>
  <si>
    <t>LAIR - Recorrente</t>
  </si>
  <si>
    <t>Retorno Sobre o Equity - Ex. Cash (ROE Noncash)</t>
  </si>
  <si>
    <t>Prazo Médio de Recebimento (PMR)</t>
  </si>
  <si>
    <t>Prazo Médio de Estoques (PME)</t>
  </si>
  <si>
    <t>Prazo Médio de Pagamento (PMP)</t>
  </si>
  <si>
    <t>Data de Abertura</t>
  </si>
  <si>
    <t>Localização</t>
  </si>
  <si>
    <t>Tamanho (m²)</t>
  </si>
  <si>
    <t>Cidade</t>
  </si>
  <si>
    <t>Estado</t>
  </si>
  <si>
    <t>Região</t>
  </si>
  <si>
    <t>SHOPPING MALL</t>
  </si>
  <si>
    <t>SÃO PAULO</t>
  </si>
  <si>
    <t>SHOPPING IBIRAPUERA</t>
  </si>
  <si>
    <t>SP</t>
  </si>
  <si>
    <t>Sudeste</t>
  </si>
  <si>
    <t>STREET</t>
  </si>
  <si>
    <t>CAMPINAS</t>
  </si>
  <si>
    <t>CAMPINAS - CENTRO</t>
  </si>
  <si>
    <t>CURITIBA</t>
  </si>
  <si>
    <t>CURITIBA-CENTRO</t>
  </si>
  <si>
    <t>PR</t>
  </si>
  <si>
    <t>Sul</t>
  </si>
  <si>
    <t>PORTO ALEGRE</t>
  </si>
  <si>
    <t>RS</t>
  </si>
  <si>
    <t>RIO DE JANEIRO</t>
  </si>
  <si>
    <t>COPACABANA</t>
  </si>
  <si>
    <t>RJ</t>
  </si>
  <si>
    <t>BELO HORIZONTE</t>
  </si>
  <si>
    <t>BH SHOPPING</t>
  </si>
  <si>
    <t>MG</t>
  </si>
  <si>
    <t>SANTO ANDRE</t>
  </si>
  <si>
    <t>SANTO ANDRE CENTRO</t>
  </si>
  <si>
    <t>SHOPPING IGUATEMI CAMPINAS</t>
  </si>
  <si>
    <t>RIBEIRÃO PRETO</t>
  </si>
  <si>
    <t>RIBEIRAO SHOPPING</t>
  </si>
  <si>
    <t>TIJUCA</t>
  </si>
  <si>
    <t>GOIANIA</t>
  </si>
  <si>
    <t>FLAMBOYANT SHOPPING CENTER</t>
  </si>
  <si>
    <t>GO</t>
  </si>
  <si>
    <t>Centro oeste</t>
  </si>
  <si>
    <t>BARRA SHOPPING</t>
  </si>
  <si>
    <t>SHOPPING MORUMBI</t>
  </si>
  <si>
    <t>SANTOS</t>
  </si>
  <si>
    <t>CONJTO ATLANTICO (SHOPPING)</t>
  </si>
  <si>
    <t>CAXIAS DO SUL</t>
  </si>
  <si>
    <t>SHOPPING CENTER IGUATEMI</t>
  </si>
  <si>
    <t>BRASILIA</t>
  </si>
  <si>
    <t>SHOPPING CONJUNTO NACIONAL</t>
  </si>
  <si>
    <t>PARK SHOPPING</t>
  </si>
  <si>
    <t>SHOPPING CENTER NORTE</t>
  </si>
  <si>
    <t>SALVADOR</t>
  </si>
  <si>
    <t>SHOPPING IGUATEMI BAHIA</t>
  </si>
  <si>
    <t>BA</t>
  </si>
  <si>
    <t>Nordeste</t>
  </si>
  <si>
    <t>OUVIDOR</t>
  </si>
  <si>
    <t>MADUREIRA</t>
  </si>
  <si>
    <t>SHOPPING PIEDADE</t>
  </si>
  <si>
    <t>RECIFE</t>
  </si>
  <si>
    <t>SHOPPING RECIFE</t>
  </si>
  <si>
    <t>PE</t>
  </si>
  <si>
    <t>NITEROI</t>
  </si>
  <si>
    <t>PLAZA SHOPPING NITEROI</t>
  </si>
  <si>
    <t xml:space="preserve">SÃO JOSÉ DOS CAMPOS </t>
  </si>
  <si>
    <t>CENTER VALE SHOPPING</t>
  </si>
  <si>
    <t>RECIFE - CENTRO</t>
  </si>
  <si>
    <t>SHOPPING BARRA</t>
  </si>
  <si>
    <t>SHOPPING IGUATEMI</t>
  </si>
  <si>
    <t>SÃO BERNARDO DO CAMPO</t>
  </si>
  <si>
    <t>SAO BERNARDO DO CAMPO</t>
  </si>
  <si>
    <t>SHOPPING INTERLAGOS</t>
  </si>
  <si>
    <t>NORTE SHOPPING</t>
  </si>
  <si>
    <t>MACEIO</t>
  </si>
  <si>
    <t>SHOPPING IGUATEMI MACEIO</t>
  </si>
  <si>
    <t>AL</t>
  </si>
  <si>
    <t>JUNDIAÍ</t>
  </si>
  <si>
    <t>MAXI SHOPPING</t>
  </si>
  <si>
    <t>SHOPPING MEYER</t>
  </si>
  <si>
    <t>SHOPPING WEST PLAZA</t>
  </si>
  <si>
    <t>SHOPPING ARICANDUVA</t>
  </si>
  <si>
    <t>MINAS SHOPPING</t>
  </si>
  <si>
    <t>SHOPPING DEL REY</t>
  </si>
  <si>
    <t>VITORIA</t>
  </si>
  <si>
    <t>VITORIA SHOPPING</t>
  </si>
  <si>
    <t>ES</t>
  </si>
  <si>
    <t>BELEM</t>
  </si>
  <si>
    <t>SHOPPING PÁTIO BELEM</t>
  </si>
  <si>
    <t>PA</t>
  </si>
  <si>
    <t>Norte</t>
  </si>
  <si>
    <t>SHOPPING PRAIA DE BELAS</t>
  </si>
  <si>
    <t>SHOPING PLAZA SUL</t>
  </si>
  <si>
    <t>NOVA IGUAÇU</t>
  </si>
  <si>
    <t>NOVA IGUACU</t>
  </si>
  <si>
    <t>FORTALEZA</t>
  </si>
  <si>
    <t>FORTALEZA CENTRO</t>
  </si>
  <si>
    <t>CE</t>
  </si>
  <si>
    <t>DUQUE DE CAXIAS</t>
  </si>
  <si>
    <t>SHOPPING IGUATEMI FORTALEZA</t>
  </si>
  <si>
    <t>SHOPPING CURITIBA</t>
  </si>
  <si>
    <t>SHOPPING TACARUNA</t>
  </si>
  <si>
    <t>SHOPPING ABC</t>
  </si>
  <si>
    <t>PELOTAS</t>
  </si>
  <si>
    <t>PELOTAS CENTRO</t>
  </si>
  <si>
    <t>SHOPPING METRO TATUAPE</t>
  </si>
  <si>
    <t>PATIO BRASIL SHOPPING</t>
  </si>
  <si>
    <t>NOVO HAMBURGO</t>
  </si>
  <si>
    <t>SHOPPING NOVO HAMBURGO</t>
  </si>
  <si>
    <t>JOÃO PESSOA</t>
  </si>
  <si>
    <t>JOAO PESSOA</t>
  </si>
  <si>
    <t>PB</t>
  </si>
  <si>
    <t>ABC PLAZA SHOPPING</t>
  </si>
  <si>
    <t>ARACAJU</t>
  </si>
  <si>
    <t>SHOPPING JARDINS</t>
  </si>
  <si>
    <t>SE</t>
  </si>
  <si>
    <t>GUARULHOS</t>
  </si>
  <si>
    <t>SHOPPING INTERNACIONAL</t>
  </si>
  <si>
    <t>CENTRAL PLAZA SHOPPING</t>
  </si>
  <si>
    <t>GOIANIA SHOPPING</t>
  </si>
  <si>
    <t>SÃO LUIS</t>
  </si>
  <si>
    <t>SAO LUIZ</t>
  </si>
  <si>
    <t>MA</t>
  </si>
  <si>
    <t>FEIRA DE SANTANA</t>
  </si>
  <si>
    <t>SHOPP. IGUAT. FEIRA DE SANT</t>
  </si>
  <si>
    <t>SHOPPING MULLER</t>
  </si>
  <si>
    <t>SHOPPING TAGUATINGA</t>
  </si>
  <si>
    <t>SHOPP. PASSEIO CAMPO GRANDE</t>
  </si>
  <si>
    <t>MANAUS</t>
  </si>
  <si>
    <t>AMAZONAS SHOPPING</t>
  </si>
  <si>
    <t>AM</t>
  </si>
  <si>
    <t>SHOPPING CARIOCA</t>
  </si>
  <si>
    <t>JABOATÃO DOS GUARARAPES</t>
  </si>
  <si>
    <t>SHOPPING GUARARAPES</t>
  </si>
  <si>
    <t>SHOPPING PARQUE DOM PEDRO</t>
  </si>
  <si>
    <t>SHOPPING NOVA AMERICA</t>
  </si>
  <si>
    <t>TABOA DA SERRA</t>
  </si>
  <si>
    <t>SHOPPING TABOAO DA SERRA</t>
  </si>
  <si>
    <t>VILA VELHA</t>
  </si>
  <si>
    <t>SHOPPING PRAIA DA COSTA</t>
  </si>
  <si>
    <t>MAUA</t>
  </si>
  <si>
    <t>MAUA PLAZA SHOPPING</t>
  </si>
  <si>
    <t>MANAIRA</t>
  </si>
  <si>
    <t>MANARIA SHOPPING</t>
  </si>
  <si>
    <t>VOLTA REDONDA</t>
  </si>
  <si>
    <t>SIDER SHOPPING</t>
  </si>
  <si>
    <t>WEST SHOPPING RIO</t>
  </si>
  <si>
    <t>BELO HORIZONTE CENTRO - II</t>
  </si>
  <si>
    <t>CAMPO GRANDE</t>
  </si>
  <si>
    <t>SHOPPING CAMPO GRANDE</t>
  </si>
  <si>
    <t>MS</t>
  </si>
  <si>
    <t>GUARULHOS CENTRO</t>
  </si>
  <si>
    <t>SHOPPING CASTANHEIRA</t>
  </si>
  <si>
    <t>BARUERI</t>
  </si>
  <si>
    <t>SHOPPING TAMBORE</t>
  </si>
  <si>
    <t>PARK SHOPPING BARIGUI</t>
  </si>
  <si>
    <t>OSASCO</t>
  </si>
  <si>
    <t>OSASCO CENTRO</t>
  </si>
  <si>
    <t>CONTAGEM</t>
  </si>
  <si>
    <t>ITAU POWER SHOPPING</t>
  </si>
  <si>
    <t>SÃO GONÇALO</t>
  </si>
  <si>
    <t>SAO GONCALO SHOPPING</t>
  </si>
  <si>
    <t>SÃO JOAO DO MERITI</t>
  </si>
  <si>
    <t>SHOPPING GRANDE RIO</t>
  </si>
  <si>
    <t>APARECIDA DE GOIANIA</t>
  </si>
  <si>
    <t>BURITI SHOPPING</t>
  </si>
  <si>
    <t>SHOPPING BOA VISTA</t>
  </si>
  <si>
    <t>SHOPPING PENHA</t>
  </si>
  <si>
    <t>UBERLANDIA</t>
  </si>
  <si>
    <t>CENTER SHOPPING</t>
  </si>
  <si>
    <t>SÃO JOSÉ</t>
  </si>
  <si>
    <t>SHOPPING ITAGUAÇU</t>
  </si>
  <si>
    <t>SC</t>
  </si>
  <si>
    <t>SHOPPING RECREIO</t>
  </si>
  <si>
    <t>NATAL</t>
  </si>
  <si>
    <t>MIDWAY MALL</t>
  </si>
  <si>
    <t>RN</t>
  </si>
  <si>
    <t>PIRACICABA</t>
  </si>
  <si>
    <t>SHOPPING PIRACICABA</t>
  </si>
  <si>
    <t>NATAL SHOPPING</t>
  </si>
  <si>
    <t>NORTH SHOPPING</t>
  </si>
  <si>
    <t>SHOPPING ALAMEDA</t>
  </si>
  <si>
    <t>PRAIA GRANDE</t>
  </si>
  <si>
    <t>LITORAL SHOPPING</t>
  </si>
  <si>
    <t>SOROCABA</t>
  </si>
  <si>
    <t>ESPLANADA SHOPP. SOROCABA</t>
  </si>
  <si>
    <t>LONDRINA</t>
  </si>
  <si>
    <t>SHOPPING CATUAI</t>
  </si>
  <si>
    <t>CARUARU</t>
  </si>
  <si>
    <t>SHOPPING CARUARU</t>
  </si>
  <si>
    <t>TERESINA</t>
  </si>
  <si>
    <t>TERESINA CENTRO</t>
  </si>
  <si>
    <t>PI</t>
  </si>
  <si>
    <t>SHOPPING JARDIM SUL</t>
  </si>
  <si>
    <t>MACEIO CENTRO</t>
  </si>
  <si>
    <t>SHOPPING CAMPO LIMPO</t>
  </si>
  <si>
    <t>SANTA BARBARA OESTE</t>
  </si>
  <si>
    <t>SHOPPING TIVOLI</t>
  </si>
  <si>
    <t>FRANCA</t>
  </si>
  <si>
    <t>FRANCA SHOPPING</t>
  </si>
  <si>
    <t>ITU</t>
  </si>
  <si>
    <t>PLAZA SHOPPING ITU</t>
  </si>
  <si>
    <t>NOVO SHOPPING</t>
  </si>
  <si>
    <t>ILHA DO GOVERN. PLAZA SHOPP</t>
  </si>
  <si>
    <t>TAUBATE</t>
  </si>
  <si>
    <t>SHOPPING TAUBATÉ</t>
  </si>
  <si>
    <t>JUIZ DE FORA</t>
  </si>
  <si>
    <t>SHOPPING SP MARKET</t>
  </si>
  <si>
    <t>SAO LUIS</t>
  </si>
  <si>
    <t>CAMPINA GRANDE</t>
  </si>
  <si>
    <t>SHOPPING ELDORADO</t>
  </si>
  <si>
    <t>FLORIANÓPOLIS</t>
  </si>
  <si>
    <t>FLORIPA SHOPPING</t>
  </si>
  <si>
    <t>SHOPPING D</t>
  </si>
  <si>
    <t>SÃO VICENTE</t>
  </si>
  <si>
    <t>SHOPPING BRISAMAR</t>
  </si>
  <si>
    <t>GUARATINGUETA</t>
  </si>
  <si>
    <t>BURITI SHOPPING GUARÁ</t>
  </si>
  <si>
    <t>SHOPPING SALVADOR</t>
  </si>
  <si>
    <t>SHOPPING BENFICA</t>
  </si>
  <si>
    <t>FEIRA DE SANTANA CENTRO</t>
  </si>
  <si>
    <t>MOGI DAS CRUZES</t>
  </si>
  <si>
    <t>SHOPPING MOGI</t>
  </si>
  <si>
    <t>PLAZA SHOPPING CASA FORTE</t>
  </si>
  <si>
    <t>SHOPPING VALE SUL</t>
  </si>
  <si>
    <t>SANTANA PARQUE SHOPPING</t>
  </si>
  <si>
    <t>CAMBURIU</t>
  </si>
  <si>
    <t>SHOPP. BALNEARIO CAMBURIU</t>
  </si>
  <si>
    <t>ALCANTARA CENTRO</t>
  </si>
  <si>
    <t>BANGÚ SHOPPING</t>
  </si>
  <si>
    <t>SHOPPING METRO ITAQUERA</t>
  </si>
  <si>
    <t>CUIABÁ</t>
  </si>
  <si>
    <t>SHOPPING PANTANAL</t>
  </si>
  <si>
    <t>MT</t>
  </si>
  <si>
    <t>BONSUCESSO CENTRO</t>
  </si>
  <si>
    <t>INDAIATUBA</t>
  </si>
  <si>
    <t>SHOPPING JARAGUA</t>
  </si>
  <si>
    <t>TIJUCA SHOPPING</t>
  </si>
  <si>
    <t>BAURU</t>
  </si>
  <si>
    <t>BAURU SHOPPING</t>
  </si>
  <si>
    <t>SÃO CARLOS</t>
  </si>
  <si>
    <t>SHOPP. IGUATEMI SAO CARLOS</t>
  </si>
  <si>
    <t>SHOPPING BOURBON POMPÉIA</t>
  </si>
  <si>
    <t>INDEPENDENCIA SHOPPING</t>
  </si>
  <si>
    <t>SHOPPING PALLADIUM</t>
  </si>
  <si>
    <t>LIMEIRA</t>
  </si>
  <si>
    <t>SHOPPING PÁTIO LIMEIRA</t>
  </si>
  <si>
    <t>POÇOS DE CALDAS</t>
  </si>
  <si>
    <t>MINASSUL SHOPPING</t>
  </si>
  <si>
    <t>MACAE</t>
  </si>
  <si>
    <t>SHOPPING PLAZA MACAE</t>
  </si>
  <si>
    <t>BAY MARKET CENTER</t>
  </si>
  <si>
    <t>RIO PRETO</t>
  </si>
  <si>
    <t>SHOPPING RIO PRETO</t>
  </si>
  <si>
    <t>PORTO VELHO</t>
  </si>
  <si>
    <t>PORTO VELHO SHOPPING</t>
  </si>
  <si>
    <t>RO</t>
  </si>
  <si>
    <t>PETROLINA</t>
  </si>
  <si>
    <t>RIVER SHOPPING</t>
  </si>
  <si>
    <t>CAXIAS SHOPPING</t>
  </si>
  <si>
    <t>RIO CLARO</t>
  </si>
  <si>
    <t>RIO CLARO SHOPPING</t>
  </si>
  <si>
    <t>SUZANO</t>
  </si>
  <si>
    <t>SHOPPING SUZANO</t>
  </si>
  <si>
    <t>SHOPPING VIA SUL</t>
  </si>
  <si>
    <t>PRESIDENTE PRUDENTE</t>
  </si>
  <si>
    <t>PRUDENSHOPPING</t>
  </si>
  <si>
    <t>SHOPPING PARALELA</t>
  </si>
  <si>
    <t>SHOPPING BONSUCESSO</t>
  </si>
  <si>
    <t>SHOPPING MANAUARA</t>
  </si>
  <si>
    <t>SHOPPING UNIÃO</t>
  </si>
  <si>
    <t>BOULEVARD SHOPP. BRASILIA</t>
  </si>
  <si>
    <t>VIA SHOPPING BARREIRO</t>
  </si>
  <si>
    <t>DIADEMA</t>
  </si>
  <si>
    <t>SHOPPING PRAÇA DA MOÇA</t>
  </si>
  <si>
    <t>SHOPPING PÁTIO MACEIO</t>
  </si>
  <si>
    <t>SHOPPING BOULEVARD</t>
  </si>
  <si>
    <t>ITABORAI</t>
  </si>
  <si>
    <t>SHOPPING RIO ANIL</t>
  </si>
  <si>
    <t>JOINVILLE</t>
  </si>
  <si>
    <t>JOINVILLE GARTEN SHOPPING</t>
  </si>
  <si>
    <t>RAPOSO SHOPPING</t>
  </si>
  <si>
    <t>SETE LAGOAS</t>
  </si>
  <si>
    <t>SHOPPING SETE LAGOAS</t>
  </si>
  <si>
    <t>BOULEVARD SHOPPING</t>
  </si>
  <si>
    <t>ITAGUAI</t>
  </si>
  <si>
    <t>PÁTIOMIX COSTA VERDE</t>
  </si>
  <si>
    <t>CANOAS</t>
  </si>
  <si>
    <t>CANOAS SHOPPING</t>
  </si>
  <si>
    <t>SALVADOR NORTE SHOPPING</t>
  </si>
  <si>
    <t>COTIA</t>
  </si>
  <si>
    <t>SHOPPING GRANJA VIANNA</t>
  </si>
  <si>
    <t>BOULEV. SHOPP. SÃO GONÇALO</t>
  </si>
  <si>
    <t>ITABUNA</t>
  </si>
  <si>
    <t>JEQUITIBÁ PLAZA</t>
  </si>
  <si>
    <t>CENTRO</t>
  </si>
  <si>
    <t>POLO SHOPPING INDAIATUBA</t>
  </si>
  <si>
    <t>JACAREI</t>
  </si>
  <si>
    <t>JACAREÍ SHOPPING</t>
  </si>
  <si>
    <t>UBERABA</t>
  </si>
  <si>
    <t>SHOPPING UBERABA</t>
  </si>
  <si>
    <t>SÃO CAETANO DO SUL</t>
  </si>
  <si>
    <t>PARK SHOPPING SÃO CAETANO</t>
  </si>
  <si>
    <t>HORTOLANDIA</t>
  </si>
  <si>
    <t>SHOPPING HORTOLANDIA</t>
  </si>
  <si>
    <t>MONTES CLAROS</t>
  </si>
  <si>
    <t>SHOPPING MONTES CLAROS</t>
  </si>
  <si>
    <t>MOOCA PLAZA SHOPPING</t>
  </si>
  <si>
    <t>PARQUE SHOPPING BARUERI</t>
  </si>
  <si>
    <t>SERRA</t>
  </si>
  <si>
    <t>SHOPPING MESTRE ÁLVARO</t>
  </si>
  <si>
    <t>MARILIA</t>
  </si>
  <si>
    <t>MARILIA SHOPPING CENTER</t>
  </si>
  <si>
    <t>SHOPPING METRÓPOLE</t>
  </si>
  <si>
    <t>SERGIPE</t>
  </si>
  <si>
    <t>SHOPPING RIOMAR</t>
  </si>
  <si>
    <t>VITORIA DA CONQUISTA</t>
  </si>
  <si>
    <t>SHOPPING CONQUISTA SUL</t>
  </si>
  <si>
    <t>SHOPPING DA ILHA</t>
  </si>
  <si>
    <t>BOURBON SHOPPING WALLIG</t>
  </si>
  <si>
    <t>PARQUE SHOPPING BELÉM</t>
  </si>
  <si>
    <t>JUAZEIRO DO NORTE</t>
  </si>
  <si>
    <t>SHOPPING CARIRI</t>
  </si>
  <si>
    <t>SHOPPING ESTAÇÃO BH</t>
  </si>
  <si>
    <t>SHOPPING BELA VISTA</t>
  </si>
  <si>
    <t>SHOPPING DIFUSORA</t>
  </si>
  <si>
    <t>IMPERATRIZ</t>
  </si>
  <si>
    <t>SHOPPING IMPERIAL</t>
  </si>
  <si>
    <t>CABO DE SANTO AGOSTINHO</t>
  </si>
  <si>
    <t>SHOPPING COSTA DOURADA</t>
  </si>
  <si>
    <t>SÃO JOSÉ DO RIO PRETO</t>
  </si>
  <si>
    <t>SHOPPING CIDADE NORTE</t>
  </si>
  <si>
    <t>JUNDIAÍ SHOPPING</t>
  </si>
  <si>
    <t>CONTINENTE PARK SHOPPING</t>
  </si>
  <si>
    <t xml:space="preserve">RIOMAR SHOPPING </t>
  </si>
  <si>
    <t>SHOP. PARQUE DAS BANDEIRAS</t>
  </si>
  <si>
    <t>SHOPPING SÃO BERNARDO PLAZA</t>
  </si>
  <si>
    <t>MOGI GUAÇU</t>
  </si>
  <si>
    <t>BURITI SHOPPING MOGI GUAÇU</t>
  </si>
  <si>
    <t>BOULERVAD SHOPP. VILA VELHA</t>
  </si>
  <si>
    <t>PARK SHOPPING CAMPO GRANDE</t>
  </si>
  <si>
    <t>NORTE SHOPPING LONDRINA</t>
  </si>
  <si>
    <t>NOSSA SRA SOCORRO</t>
  </si>
  <si>
    <t>SHOPPING PRÊMIO</t>
  </si>
  <si>
    <t>MARABÁ</t>
  </si>
  <si>
    <t>SHOPPING PÁTIO MARABÁ</t>
  </si>
  <si>
    <t>BETIM</t>
  </si>
  <si>
    <t>METROPOLITAN GARDEN SHOPP.</t>
  </si>
  <si>
    <t>MACAPA</t>
  </si>
  <si>
    <t>SHOPPING AMAPÁ GARDEN</t>
  </si>
  <si>
    <t>AP</t>
  </si>
  <si>
    <t>ARAPIRACA</t>
  </si>
  <si>
    <t>SHOP PÁT. ARAPIRACA GARDEN</t>
  </si>
  <si>
    <t>ITAPECERICA DA SERRA</t>
  </si>
  <si>
    <t>SHOPPING ITAPECERICA</t>
  </si>
  <si>
    <t>PARQUE SHOPPING SULACAP</t>
  </si>
  <si>
    <t>SHOPPING MACEIÓ</t>
  </si>
  <si>
    <t>NORTH SHOPPING JÓQUEI</t>
  </si>
  <si>
    <t>SHOPPING PASSEIO DAS ÁGUAS</t>
  </si>
  <si>
    <t>CEILANDIA</t>
  </si>
  <si>
    <t>SHOPPING JK CEILÂNDIA</t>
  </si>
  <si>
    <t>SHOPPING PÁTIO CIANÊ</t>
  </si>
  <si>
    <t>IPANEMA</t>
  </si>
  <si>
    <t>SHOPPING PARANGABA</t>
  </si>
  <si>
    <t>SHOPPING CONTAGEM</t>
  </si>
  <si>
    <t>SHOPPING MONT SERRAT</t>
  </si>
  <si>
    <t>VALPARAÍSO</t>
  </si>
  <si>
    <t>SHOPPING SUL</t>
  </si>
  <si>
    <t>MARINGA</t>
  </si>
  <si>
    <t>MARINGÁ PARK SHOPPING</t>
  </si>
  <si>
    <t>SHOPPING TIETÊ PLAZA</t>
  </si>
  <si>
    <t>CARIACICA</t>
  </si>
  <si>
    <t>SHOPPING MOXUARA</t>
  </si>
  <si>
    <t>UBERLÂNDIA CENTRO</t>
  </si>
  <si>
    <t>SÃO LUIS SHOPPING</t>
  </si>
  <si>
    <t>SHOPPING VILA VELHA</t>
  </si>
  <si>
    <t>RIO MAR SHOPPING FORTALEZA</t>
  </si>
  <si>
    <t>MACAPÁ SHOPPING CENTER</t>
  </si>
  <si>
    <t>TERESINA SHOPPING</t>
  </si>
  <si>
    <t>RIO BRANCO</t>
  </si>
  <si>
    <t>SHOPPING VIA VERDE</t>
  </si>
  <si>
    <t>AC</t>
  </si>
  <si>
    <t>SHOPPNG IGUATEMI ALPHAVILLE</t>
  </si>
  <si>
    <t>RIO VERDE</t>
  </si>
  <si>
    <t>BURITI SHOPPING RIO VERDE</t>
  </si>
  <si>
    <t>ANÁPOLIS</t>
  </si>
  <si>
    <t>ANA SHOPPING</t>
  </si>
  <si>
    <t>BOA VISTA</t>
  </si>
  <si>
    <t>PÁTIO RORAIMA SHOPPING</t>
  </si>
  <si>
    <t>RR</t>
  </si>
  <si>
    <t>CAMPO GRANDE CENTRO</t>
  </si>
  <si>
    <t>MANGABEIRA SHOPPING</t>
  </si>
  <si>
    <t>MARACANAU</t>
  </si>
  <si>
    <t>NORTH SHOPPING MARACANAÚ</t>
  </si>
  <si>
    <t>SUMAÚMA PARK SHOPPING</t>
  </si>
  <si>
    <t>SHOPPING VIA NORTE MANAUS</t>
  </si>
  <si>
    <t>SANTARÉM</t>
  </si>
  <si>
    <t>RIO TAPAJÓS SHOPPING</t>
  </si>
  <si>
    <t>AMERICAS SHOPPING</t>
  </si>
  <si>
    <t>SAO JOSÉ DO RIBAMAR</t>
  </si>
  <si>
    <t>SHOPPING PÁTIO NORTE</t>
  </si>
  <si>
    <t>PARQUE SHOPPING MAIA</t>
  </si>
  <si>
    <t>SHOPPING ALDEOTA</t>
  </si>
  <si>
    <t>CAMPINAS SHOPPING</t>
  </si>
  <si>
    <t>PALMAS</t>
  </si>
  <si>
    <t>SHOPPING CAPIM DOURADO</t>
  </si>
  <si>
    <t>TO</t>
  </si>
  <si>
    <t>SHOPPING GRÃO PARÁ</t>
  </si>
  <si>
    <t>IPATINGA</t>
  </si>
  <si>
    <t>SHOPPING DO VALE DO AÇO</t>
  </si>
  <si>
    <t>AUGUSTA</t>
  </si>
  <si>
    <t>SHOPPING RIO POTY</t>
  </si>
  <si>
    <t>PAULISTA</t>
  </si>
  <si>
    <t>SHOPPING NORTH WAY PAULISTA</t>
  </si>
  <si>
    <t>UBERLÂNDIA SHOPPING</t>
  </si>
  <si>
    <t>SHOPPING NOVA IGUAÇU</t>
  </si>
  <si>
    <t>SHOPPING CANTAREIRA</t>
  </si>
  <si>
    <t>SÃO JOSÉ DOS PINHAIS</t>
  </si>
  <si>
    <t>OLINDA</t>
  </si>
  <si>
    <t>SHOPPING PATTEO OLINDA</t>
  </si>
  <si>
    <t>PARTAGE CAMPINA GRANDE</t>
  </si>
  <si>
    <t>CAMAÇARI</t>
  </si>
  <si>
    <t>BOULEVARD SHOPPING CAMAÇARI</t>
  </si>
  <si>
    <t>CAMARAGIBE</t>
  </si>
  <si>
    <t>CAMARÁ SHOPPING</t>
  </si>
  <si>
    <t>ANANINDEUA</t>
  </si>
  <si>
    <t>SHOPPING METRÓPOLE ANANINDEUA</t>
  </si>
  <si>
    <t>JOCKEY PLAZA SHOPPING</t>
  </si>
  <si>
    <t>ARAÇATUBA</t>
  </si>
  <si>
    <t>SHOPPING PRAÇA NOVA</t>
  </si>
  <si>
    <t>BLUMENAU</t>
  </si>
  <si>
    <t>SHOPPING PARK EUROPEU</t>
  </si>
  <si>
    <t>SHOPPING GRANDE CIRCULAR</t>
  </si>
  <si>
    <t>SHOPPING MAR RIO KENNEDY</t>
  </si>
  <si>
    <t>ARACAJU PARQUE SHOPPING</t>
  </si>
  <si>
    <t>CABO FRIO</t>
  </si>
  <si>
    <t>SHOPPING PARK LAGOS</t>
  </si>
  <si>
    <t>LAURO DE FREITAS</t>
  </si>
  <si>
    <t>PARQUE SHOPPING DA BAHIA</t>
  </si>
  <si>
    <t>CARAPICUÍBA</t>
  </si>
  <si>
    <t xml:space="preserve">PLAZA SHOPPING CARAPICUÍBA </t>
  </si>
  <si>
    <t xml:space="preserve">GOLDEN SQUARE SHOPPING </t>
  </si>
  <si>
    <t>GOLDEN SHOPPING CALHAU</t>
  </si>
  <si>
    <t>SHOPPING CENTER LAPA</t>
  </si>
  <si>
    <t>ÁGUAS CLARAS SHOPPING</t>
  </si>
  <si>
    <t>RIO GRANDE</t>
  </si>
  <si>
    <t>PARTAGE SHOPPING RIO GRANDE</t>
  </si>
  <si>
    <t>CRICÚMA</t>
  </si>
  <si>
    <t>NAÇÕES SHOPPING</t>
  </si>
  <si>
    <t>MOSSORÓ</t>
  </si>
  <si>
    <t>PARTAGE SHOPPING MOSSORÓ</t>
  </si>
  <si>
    <t>SHOPPING ANÁLIA FRANCO</t>
  </si>
  <si>
    <t>SHOPPING JARDIM ORIENTE</t>
  </si>
  <si>
    <t>FOZ DO IGUAÇU</t>
  </si>
  <si>
    <t>CATUAÍ PALLADIUM SHOPPING</t>
  </si>
  <si>
    <t>SHOPPING NORTE SUL PLAZA</t>
  </si>
  <si>
    <t>SUPER SHOPPING OSASCO</t>
  </si>
  <si>
    <t>SHOPPING PARK SUL</t>
  </si>
  <si>
    <t>GUARAPUAVA</t>
  </si>
  <si>
    <t>SHOPPING CIDADE DOS LAGOS</t>
  </si>
  <si>
    <t>BRAGANÇA PAULISTA</t>
  </si>
  <si>
    <t>BRAGANÇA GARDEN SHOPPING</t>
  </si>
  <si>
    <t>VÁRZEA GRANDE</t>
  </si>
  <si>
    <t>VÁRZEA GRANDE SHOPPING</t>
  </si>
  <si>
    <t>RIO DE JANERO</t>
  </si>
  <si>
    <t>SHOPPING RIO SUL</t>
  </si>
  <si>
    <t>UMUARAMA</t>
  </si>
  <si>
    <t>SHOPPING PALLADIUM UMUARAMA</t>
  </si>
  <si>
    <t>CARPINA</t>
  </si>
  <si>
    <t>SHOPPING CARPINA</t>
  </si>
  <si>
    <t>ARAGUAIA SHOPPING</t>
  </si>
  <si>
    <t>ITABAIANA</t>
  </si>
  <si>
    <t>SHOPPING PEIXOTO</t>
  </si>
  <si>
    <t>PATOS</t>
  </si>
  <si>
    <t>PATOS SHOPPING</t>
  </si>
  <si>
    <t>LAGES</t>
  </si>
  <si>
    <t>SHOPPING LAGES GARDEN</t>
  </si>
  <si>
    <t>SINOP</t>
  </si>
  <si>
    <t>Shopping Sinop</t>
  </si>
  <si>
    <t xml:space="preserve">Shopping Metropolitano </t>
  </si>
  <si>
    <t>Park Shopping Jacarepaguá</t>
  </si>
  <si>
    <t>PARAUAPEBAS</t>
  </si>
  <si>
    <t>Partage Shopping Parauapebas</t>
  </si>
  <si>
    <t>TEIXEIRA DE FREITAS</t>
  </si>
  <si>
    <t>Shopping Pátio Mix</t>
  </si>
  <si>
    <t>PARNAÍBA</t>
  </si>
  <si>
    <t xml:space="preserve">Parnaíba Shopping </t>
  </si>
  <si>
    <t>ParkShopping Canoas</t>
  </si>
  <si>
    <t>ITAPETININGA</t>
  </si>
  <si>
    <t>Itapê Shopping</t>
  </si>
  <si>
    <t>ANGRA DO REIS</t>
  </si>
  <si>
    <t xml:space="preserve">Shopping Piratas </t>
  </si>
  <si>
    <t>BOTUCATU</t>
  </si>
  <si>
    <t xml:space="preserve">Loja de Rua Botucatu </t>
  </si>
  <si>
    <t>GURUPI</t>
  </si>
  <si>
    <t xml:space="preserve">Shopping Center Araguaia </t>
  </si>
  <si>
    <t>Shopping Cidade Maringá</t>
  </si>
  <si>
    <t>Shopping Trimais Hiper Center</t>
  </si>
  <si>
    <t>ALTAMIRA</t>
  </si>
  <si>
    <t>Shopping Serra Dourada</t>
  </si>
  <si>
    <t>MURIAÉ</t>
  </si>
  <si>
    <t>Loja de Rua Muriaé</t>
  </si>
  <si>
    <t>BARBACENA</t>
  </si>
  <si>
    <t>Loja de Rua Barbacena</t>
  </si>
  <si>
    <t>DIVINÓPOLIS</t>
  </si>
  <si>
    <t>Shopping Pátio Divinópolis</t>
  </si>
  <si>
    <t>Barra Shopping Sul</t>
  </si>
  <si>
    <t>SHOPPING</t>
  </si>
  <si>
    <t>GOIÂNIA</t>
  </si>
  <si>
    <t>Shopping Cerrado</t>
  </si>
  <si>
    <t>RESENDE</t>
  </si>
  <si>
    <t>Shopping Mix Resende</t>
  </si>
  <si>
    <t>TRÊS LAGOAS</t>
  </si>
  <si>
    <t>Shopping Três Lagoas</t>
  </si>
  <si>
    <t>Boulevard Londrina Shopping</t>
  </si>
  <si>
    <t>BARREIRAS</t>
  </si>
  <si>
    <t>Loja de Rua Barreiras</t>
  </si>
  <si>
    <t xml:space="preserve">Loja de Rua Anápolis </t>
  </si>
  <si>
    <t>Loja de Rua Sâo Bento Centro</t>
  </si>
  <si>
    <t xml:space="preserve">Shopping Mais </t>
  </si>
  <si>
    <t>FENANDÓPOLIS</t>
  </si>
  <si>
    <t xml:space="preserve">Shopping Center Fernandópolis </t>
  </si>
  <si>
    <t>RIO JANEIRO</t>
  </si>
  <si>
    <t>Shopping Boulevard Rio</t>
  </si>
  <si>
    <t>CASTANHAL</t>
  </si>
  <si>
    <t>Loja de rua Castanhal</t>
  </si>
  <si>
    <t>SOBRAL</t>
  </si>
  <si>
    <t>Sobral Shopping</t>
  </si>
  <si>
    <t>SERRA TALHADA</t>
  </si>
  <si>
    <t>Shopping Serra Talhada</t>
  </si>
  <si>
    <t>SANTA MARIA</t>
  </si>
  <si>
    <t>Shopping Praça Nova</t>
  </si>
  <si>
    <t>Local</t>
  </si>
  <si>
    <t>Dívida Líquida</t>
  </si>
  <si>
    <t>Dívida Líquida/EBITDA Recorrente</t>
  </si>
  <si>
    <t>Cobertura de Juros - Competência</t>
  </si>
  <si>
    <t>Cobertura de Juros - Caixa</t>
  </si>
  <si>
    <t>Receita Líquida - Varejo</t>
  </si>
  <si>
    <t>Receita Líquida - Financeiro</t>
  </si>
  <si>
    <t>Receita Líquida - Outros</t>
  </si>
  <si>
    <t>Número de Lojas</t>
  </si>
  <si>
    <t>Aberturas</t>
  </si>
  <si>
    <t>Fechamentos</t>
  </si>
  <si>
    <t>Área Total (m²)</t>
  </si>
  <si>
    <t>Ano 4</t>
  </si>
  <si>
    <t>Ano 3</t>
  </si>
  <si>
    <t>Ano 2</t>
  </si>
  <si>
    <t>Ano 1</t>
  </si>
  <si>
    <t>Tamanho Médio Loja (m²)</t>
  </si>
  <si>
    <t>Receita Loja Madura (R$ mil/m²)</t>
  </si>
  <si>
    <t>Premissa</t>
  </si>
  <si>
    <t>As lojas que serão abertas terão o tamanho médio das lojas abertas desde 2016.</t>
  </si>
  <si>
    <t>Curva de maturação</t>
  </si>
  <si>
    <t>(%) Receita Varejo</t>
  </si>
  <si>
    <t>"Outros" refere-se à receita de comissões sobre recarga de celular e venda de planos em parceria com operadoras. Como não é o foco da empresa, vamos considerar que ela irá permanecer como 0,36% da Receita de Varejo. Qualquer erro aqui causará um impacto ínfimo no valor final da ação.</t>
  </si>
  <si>
    <t>A empresa abrirá 5 lojas em 2024 e 10 lojas em 2025/26. Cada loja terá em média 1857m². A receita por m² maduro ficará entre R$ 10,7 e R$ 11 mil. Não haverá fechamentos significativos.</t>
  </si>
  <si>
    <t>EBITDA</t>
  </si>
  <si>
    <t>EBITDA - Recorrente</t>
  </si>
  <si>
    <t>TI e Outros</t>
  </si>
  <si>
    <t>Aquisições</t>
  </si>
  <si>
    <t>Ativo Operacional</t>
  </si>
  <si>
    <t>Passivo Operacional</t>
  </si>
  <si>
    <t>Receita Bruta</t>
  </si>
  <si>
    <t>Deduções</t>
  </si>
  <si>
    <t>Rendimento do Caixa</t>
  </si>
  <si>
    <t>Custo da Dívida - After Tax</t>
  </si>
  <si>
    <t>A C&amp;A dará mais ênfase à abertura de lojas em 2025. Em 2024, ela abrirá 5 lojas. A partir de então, abrirá 10 até 2026.</t>
  </si>
  <si>
    <t>A receita média por loja madura seguirá a tendência de crescimento histórico, ignorando os 2 anos de pandemia (2020/21)</t>
  </si>
  <si>
    <t>Premissas</t>
  </si>
  <si>
    <t>Inflação Implícita</t>
  </si>
  <si>
    <t>Crescimento PIB Real</t>
  </si>
  <si>
    <t>R$/Loja</t>
  </si>
  <si>
    <t>Saldo em Tesouraria</t>
  </si>
  <si>
    <t>Receita - C&amp;A Pay</t>
  </si>
  <si>
    <t>Receita - Bradescard</t>
  </si>
  <si>
    <t>Receita Líquida - Financeira</t>
  </si>
  <si>
    <t>Despesas com PDD</t>
  </si>
  <si>
    <t>Como % da Carteira de Crédito</t>
  </si>
  <si>
    <t>Carteira de Crédito Total</t>
  </si>
  <si>
    <t>Estágio 1</t>
  </si>
  <si>
    <t>Estágio 2</t>
  </si>
  <si>
    <t>Estágio 3</t>
  </si>
  <si>
    <t>Quantidade de Cartões Emitidos</t>
  </si>
  <si>
    <t>Novos Cartões</t>
  </si>
  <si>
    <t>Volume de Crédito por Cartão</t>
  </si>
  <si>
    <t>Taxa Selic Média</t>
  </si>
  <si>
    <t>Carteira de Crédito - Total</t>
  </si>
  <si>
    <t>Dados Setoriais (LREN + GUAR)</t>
  </si>
  <si>
    <t>Lojas Renner</t>
  </si>
  <si>
    <t>Guararapes</t>
  </si>
  <si>
    <t>Matriz de Correlação</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</si>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</sst>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8" formatCode="&quot;R$&quot;\ #,##0.00;[Red]\-&quot;R$&quot;\ #,##0.00"/>
    <numFmt numFmtId="164" formatCode="0.0%"/>
    <numFmt numFmtId="165" formatCode="_-* #,##0_-;\-* #,##0_-;_-* &quot;-&quot;??_-;_-@_-"/>
    <numFmt numFmtId="166" formatCode="#,##0;\(#,##0\)"/>
    <numFmt numFmtId="167" formatCode="#,##0.0;\(#,##0.0\)"/>
    <numFmt numFmtId="169" formatCode="0.0"/>
    <numFmt numFmtId="170" formatCode="0.0\x"/>
    <numFmt numFmtId="171" formatCode="General&quot;E&quot;"/>
    <numFmt numFmtId="172" formatCode="#,##0.0"/>
    <numFmt numFmtId="173" formatCode="#,##0&quot; dias&quot;"/>
  </numFmts>
  <fonts count="34"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0"/>
      <name val="Avenir Next LT Pro"/>
      <family val="2"/>
    </font>
    <font>
      <sz val="11"/>
      <color theme="1"/>
      <name val="Avenir Next LT Pro"/>
      <family val="2"/>
    </font>
    <font>
      <sz val="11"/>
      <color rgb="FFD3D3D3"/>
      <name val="Avenir Next LT Pro"/>
      <family val="2"/>
    </font>
    <font>
      <b/>
      <sz val="11"/>
      <color rgb="FFD3D3D3"/>
      <name val="Avenir Next LT Pro"/>
      <family val="2"/>
    </font>
    <font>
      <sz val="6"/>
      <color theme="0"/>
      <name val="Avenir Next LT Pro"/>
      <family val="2"/>
    </font>
    <font>
      <sz val="11"/>
      <color rgb="FF848484"/>
      <name val="Avenir Next LT Pro"/>
      <family val="2"/>
    </font>
    <font>
      <sz val="11"/>
      <color theme="1" tint="0.499984740745262"/>
      <name val="Avenir Next LT Pro"/>
      <family val="2"/>
    </font>
    <font>
      <sz val="11"/>
      <color theme="1" tint="0.499984740745262"/>
      <name val="Calibri"/>
      <family val="2"/>
    </font>
    <font>
      <sz val="9.9"/>
      <color theme="1" tint="0.499984740745262"/>
      <name val="Avenir Next LT Pro"/>
      <family val="2"/>
    </font>
    <font>
      <sz val="11"/>
      <color rgb="FF808080"/>
      <name val="Avenir Next LT Pro"/>
      <family val="2"/>
    </font>
    <font>
      <b/>
      <sz val="11"/>
      <color rgb="FF808080"/>
      <name val="Avenir Next LT Pro"/>
      <family val="2"/>
    </font>
    <font>
      <b/>
      <sz val="11"/>
      <color rgb="FFD3DCDF"/>
      <name val="Avenir Next LT Pro"/>
      <family val="2"/>
    </font>
    <font>
      <b/>
      <sz val="11"/>
      <color rgb="FFC6CAD2"/>
      <name val="Avenir Next LT Pro"/>
      <family val="2"/>
    </font>
    <font>
      <sz val="11"/>
      <color rgb="FFC6CAD2"/>
      <name val="Avenir Next LT Pro"/>
      <family val="2"/>
    </font>
    <font>
      <sz val="8"/>
      <color rgb="FFC6CAD2"/>
      <name val="Avenir Next LT Pro"/>
      <family val="2"/>
    </font>
    <font>
      <b/>
      <sz val="11"/>
      <color rgb="FF1C1D1D"/>
      <name val="Avenir Next LT Pro"/>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C1D1D"/>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rgb="FF5E5E5E"/>
      </bottom>
      <diagonal/>
    </border>
    <border>
      <left/>
      <right/>
      <top style="medium">
        <color rgb="FF5E5E5E"/>
      </top>
      <bottom/>
      <diagonal/>
    </border>
  </borders>
  <cellStyleXfs count="43">
    <xf numFmtId="0" fontId="0"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7" fillId="9" borderId="0" applyNumberFormat="0" applyBorder="0" applyAlignment="0" applyProtection="0"/>
    <xf numFmtId="0" fontId="17" fillId="13" borderId="0" applyNumberFormat="0" applyBorder="0" applyAlignment="0" applyProtection="0"/>
    <xf numFmtId="0" fontId="17" fillId="17" borderId="0" applyNumberFormat="0" applyBorder="0" applyAlignment="0" applyProtection="0"/>
    <xf numFmtId="0" fontId="17" fillId="21" borderId="0" applyNumberFormat="0" applyBorder="0" applyAlignment="0" applyProtection="0"/>
    <xf numFmtId="0" fontId="17" fillId="25" borderId="0" applyNumberFormat="0" applyBorder="0" applyAlignment="0" applyProtection="0"/>
    <xf numFmtId="0" fontId="17" fillId="29" borderId="0" applyNumberFormat="0" applyBorder="0" applyAlignment="0" applyProtection="0"/>
    <xf numFmtId="0" fontId="7" fillId="3" borderId="0" applyNumberFormat="0" applyBorder="0" applyAlignment="0" applyProtection="0"/>
    <xf numFmtId="0" fontId="11" fillId="6" borderId="4" applyNumberFormat="0" applyAlignment="0" applyProtection="0"/>
    <xf numFmtId="0" fontId="13" fillId="7" borderId="7" applyNumberFormat="0" applyAlignment="0" applyProtection="0"/>
    <xf numFmtId="0" fontId="15" fillId="0" borderId="0" applyNumberFormat="0" applyFill="0" applyBorder="0" applyAlignment="0" applyProtection="0"/>
    <xf numFmtId="0" fontId="6" fillId="2" borderId="0" applyNumberFormat="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9" fillId="5" borderId="4" applyNumberFormat="0" applyAlignment="0" applyProtection="0"/>
    <xf numFmtId="0" fontId="12" fillId="0" borderId="6" applyNumberFormat="0" applyFill="0" applyAlignment="0" applyProtection="0"/>
    <xf numFmtId="0" fontId="8" fillId="4" borderId="0" applyNumberFormat="0" applyBorder="0" applyAlignment="0" applyProtection="0"/>
    <xf numFmtId="0" fontId="1" fillId="8" borderId="8" applyNumberFormat="0" applyFont="0" applyAlignment="0" applyProtection="0"/>
    <xf numFmtId="0" fontId="10" fillId="6" borderId="5" applyNumberFormat="0" applyAlignment="0" applyProtection="0"/>
    <xf numFmtId="0" fontId="2" fillId="0" borderId="0" applyNumberFormat="0" applyFill="0" applyBorder="0" applyAlignment="0" applyProtection="0"/>
    <xf numFmtId="0" fontId="16" fillId="0" borderId="9" applyNumberFormat="0" applyFill="0" applyAlignment="0" applyProtection="0"/>
    <xf numFmtId="0" fontId="14" fillId="0" borderId="0" applyNumberFormat="0" applyFill="0" applyBorder="0" applyAlignment="0" applyProtection="0"/>
    <xf numFmtId="9" fontId="1" fillId="0" borderId="0" applyFont="0" applyFill="0" applyBorder="0" applyAlignment="0" applyProtection="0"/>
  </cellStyleXfs>
  <cellXfs count="96">
    <xf numFmtId="0" fontId="0" fillId="0" borderId="0" xfId="0"/>
    <xf numFmtId="0" fontId="18" fillId="33" borderId="0" xfId="0" applyFont="1" applyFill="1" applyAlignment="1">
      <alignment vertical="center"/>
    </xf>
    <xf numFmtId="0" fontId="18" fillId="33" borderId="0" xfId="0" applyFont="1" applyFill="1" applyAlignment="1">
      <alignment horizontal="center" vertical="center"/>
    </xf>
    <xf numFmtId="0" fontId="19" fillId="0" borderId="0" xfId="0" applyFont="1" applyAlignment="1">
      <alignment vertical="center"/>
    </xf>
    <xf numFmtId="0" fontId="20" fillId="33" borderId="0" xfId="0" applyFont="1" applyFill="1" applyAlignment="1">
      <alignment vertical="center"/>
    </xf>
    <xf numFmtId="0" fontId="22" fillId="33" borderId="0" xfId="0" applyFont="1" applyFill="1" applyAlignment="1">
      <alignment horizontal="center" vertical="center" wrapText="1"/>
    </xf>
    <xf numFmtId="165" fontId="20" fillId="33" borderId="0" xfId="0" applyNumberFormat="1" applyFont="1" applyFill="1" applyAlignment="1">
      <alignment horizontal="center" vertical="center"/>
    </xf>
    <xf numFmtId="0" fontId="20" fillId="33" borderId="0" xfId="0" applyFont="1" applyFill="1" applyAlignment="1">
      <alignment horizontal="center" vertical="center"/>
    </xf>
    <xf numFmtId="0" fontId="19" fillId="0" borderId="0" xfId="0" applyFont="1" applyAlignment="1">
      <alignment horizontal="center" vertical="center"/>
    </xf>
    <xf numFmtId="8" fontId="20" fillId="33" borderId="0" xfId="0" applyNumberFormat="1" applyFont="1" applyFill="1" applyAlignment="1">
      <alignment horizontal="center" vertical="center"/>
    </xf>
    <xf numFmtId="9" fontId="18" fillId="33" borderId="0" xfId="0" applyNumberFormat="1" applyFont="1" applyFill="1" applyAlignment="1">
      <alignment horizontal="center" vertical="center"/>
    </xf>
    <xf numFmtId="0" fontId="21" fillId="33" borderId="0" xfId="0" applyFont="1" applyFill="1" applyAlignment="1">
      <alignment vertical="center"/>
    </xf>
    <xf numFmtId="3" fontId="20" fillId="33" borderId="0" xfId="0" applyNumberFormat="1" applyFont="1" applyFill="1" applyAlignment="1">
      <alignment vertical="center"/>
    </xf>
    <xf numFmtId="0" fontId="20" fillId="33" borderId="0" xfId="0" applyFont="1" applyFill="1" applyAlignment="1">
      <alignment horizontal="left" vertical="center" indent="1"/>
    </xf>
    <xf numFmtId="0" fontId="20" fillId="33" borderId="0" xfId="0" applyFont="1" applyFill="1" applyAlignment="1">
      <alignment horizontal="left" vertical="center" indent="2"/>
    </xf>
    <xf numFmtId="0" fontId="23" fillId="33" borderId="0" xfId="0" applyFont="1" applyFill="1" applyAlignment="1">
      <alignment horizontal="left" vertical="center" indent="2"/>
    </xf>
    <xf numFmtId="3" fontId="23" fillId="33" borderId="0" xfId="0" applyNumberFormat="1" applyFont="1" applyFill="1" applyAlignment="1">
      <alignment vertical="center"/>
    </xf>
    <xf numFmtId="0" fontId="21" fillId="33" borderId="10" xfId="0" applyFont="1" applyFill="1" applyBorder="1" applyAlignment="1">
      <alignment horizontal="right" vertical="center"/>
    </xf>
    <xf numFmtId="0" fontId="20" fillId="33" borderId="0" xfId="0" applyFont="1" applyFill="1" applyAlignment="1">
      <alignment horizontal="left" vertical="center" indent="3"/>
    </xf>
    <xf numFmtId="3" fontId="21" fillId="33" borderId="0" xfId="0" applyNumberFormat="1" applyFont="1" applyFill="1" applyAlignment="1">
      <alignment vertical="center"/>
    </xf>
    <xf numFmtId="0" fontId="21" fillId="33" borderId="0" xfId="0" applyFont="1" applyFill="1" applyAlignment="1">
      <alignment horizontal="left" vertical="center" indent="1"/>
    </xf>
    <xf numFmtId="0" fontId="23" fillId="33" borderId="0" xfId="0" applyFont="1" applyFill="1" applyAlignment="1">
      <alignment horizontal="left" vertical="center" indent="3"/>
    </xf>
    <xf numFmtId="0" fontId="23" fillId="33" borderId="0" xfId="0" applyFont="1" applyFill="1" applyAlignment="1">
      <alignment horizontal="left" vertical="center" indent="1"/>
    </xf>
    <xf numFmtId="0" fontId="20" fillId="33" borderId="0" xfId="0" applyFont="1" applyFill="1" applyAlignment="1">
      <alignment horizontal="left" vertical="center"/>
    </xf>
    <xf numFmtId="0" fontId="23" fillId="33" borderId="0" xfId="0" applyFont="1" applyFill="1" applyAlignment="1">
      <alignment horizontal="left" vertical="center"/>
    </xf>
    <xf numFmtId="165" fontId="20" fillId="33" borderId="0" xfId="0" applyNumberFormat="1" applyFont="1" applyFill="1" applyAlignment="1">
      <alignment horizontal="left" vertical="center" indent="1"/>
    </xf>
    <xf numFmtId="166" fontId="20" fillId="33" borderId="0" xfId="0" applyNumberFormat="1" applyFont="1" applyFill="1" applyAlignment="1">
      <alignment vertical="center"/>
    </xf>
    <xf numFmtId="167" fontId="20" fillId="33" borderId="0" xfId="0" applyNumberFormat="1" applyFont="1" applyFill="1" applyAlignment="1">
      <alignment vertical="center"/>
    </xf>
    <xf numFmtId="0" fontId="21" fillId="33" borderId="0" xfId="0" applyFont="1" applyFill="1" applyAlignment="1">
      <alignment horizontal="left" vertical="center"/>
    </xf>
    <xf numFmtId="166" fontId="21" fillId="33" borderId="0" xfId="0" applyNumberFormat="1" applyFont="1" applyFill="1" applyAlignment="1">
      <alignment vertical="center"/>
    </xf>
    <xf numFmtId="166" fontId="23" fillId="33" borderId="0" xfId="0" applyNumberFormat="1" applyFont="1" applyFill="1" applyAlignment="1">
      <alignment vertical="center"/>
    </xf>
    <xf numFmtId="169" fontId="20" fillId="33" borderId="0" xfId="0" applyNumberFormat="1" applyFont="1" applyFill="1" applyAlignment="1">
      <alignment horizontal="right" vertical="center"/>
    </xf>
    <xf numFmtId="9" fontId="20" fillId="33" borderId="0" xfId="0" applyNumberFormat="1" applyFont="1" applyFill="1" applyAlignment="1">
      <alignment horizontal="right" vertical="center"/>
    </xf>
    <xf numFmtId="9" fontId="20" fillId="33" borderId="0" xfId="42" applyFont="1" applyFill="1" applyAlignment="1">
      <alignment horizontal="right" vertical="center"/>
    </xf>
    <xf numFmtId="1" fontId="20" fillId="33" borderId="0" xfId="0" applyNumberFormat="1" applyFont="1" applyFill="1" applyAlignment="1">
      <alignment horizontal="right" vertical="center"/>
    </xf>
    <xf numFmtId="166" fontId="18" fillId="33" borderId="0" xfId="0" applyNumberFormat="1" applyFont="1" applyFill="1" applyAlignment="1">
      <alignment horizontal="center" vertical="center"/>
    </xf>
    <xf numFmtId="0" fontId="24" fillId="33" borderId="0" xfId="0" applyFont="1" applyFill="1" applyAlignment="1">
      <alignment horizontal="left" vertical="center" indent="1"/>
    </xf>
    <xf numFmtId="166" fontId="24" fillId="33" borderId="0" xfId="0" applyNumberFormat="1" applyFont="1" applyFill="1" applyAlignment="1">
      <alignment vertical="center"/>
    </xf>
    <xf numFmtId="0" fontId="24" fillId="33" borderId="0" xfId="0" applyFont="1" applyFill="1" applyAlignment="1">
      <alignment horizontal="left" vertical="center" indent="2"/>
    </xf>
    <xf numFmtId="0" fontId="24" fillId="33" borderId="0" xfId="0" applyFont="1" applyFill="1" applyAlignment="1">
      <alignment horizontal="left" vertical="center"/>
    </xf>
    <xf numFmtId="3" fontId="20" fillId="33" borderId="0" xfId="0" applyNumberFormat="1" applyFont="1" applyFill="1" applyAlignment="1">
      <alignment horizontal="center" vertical="center"/>
    </xf>
    <xf numFmtId="3" fontId="20" fillId="33" borderId="10" xfId="0" applyNumberFormat="1" applyFont="1" applyFill="1" applyBorder="1" applyAlignment="1">
      <alignment horizontal="center" vertical="center"/>
    </xf>
    <xf numFmtId="3" fontId="24" fillId="33" borderId="0" xfId="0" applyNumberFormat="1" applyFont="1" applyFill="1" applyAlignment="1">
      <alignment vertical="center"/>
    </xf>
    <xf numFmtId="9" fontId="20" fillId="33" borderId="0" xfId="0" applyNumberFormat="1" applyFont="1" applyFill="1" applyAlignment="1">
      <alignment vertical="center"/>
    </xf>
    <xf numFmtId="9" fontId="20" fillId="33" borderId="0" xfId="0" applyNumberFormat="1" applyFont="1" applyFill="1" applyAlignment="1">
      <alignment horizontal="center" vertical="center"/>
    </xf>
    <xf numFmtId="170" fontId="20" fillId="33" borderId="0" xfId="0" applyNumberFormat="1" applyFont="1" applyFill="1" applyAlignment="1">
      <alignment horizontal="right" vertical="center"/>
    </xf>
    <xf numFmtId="166" fontId="20" fillId="33" borderId="0" xfId="0" applyNumberFormat="1" applyFont="1" applyFill="1" applyAlignment="1">
      <alignment horizontal="right" vertical="center"/>
    </xf>
    <xf numFmtId="1" fontId="18" fillId="33" borderId="0" xfId="0" applyNumberFormat="1" applyFont="1" applyFill="1" applyAlignment="1">
      <alignment vertical="center"/>
    </xf>
    <xf numFmtId="9" fontId="24" fillId="33" borderId="0" xfId="0" applyNumberFormat="1" applyFont="1" applyFill="1" applyAlignment="1">
      <alignment vertical="center"/>
    </xf>
    <xf numFmtId="9" fontId="18" fillId="33" borderId="0" xfId="0" applyNumberFormat="1" applyFont="1" applyFill="1" applyAlignment="1">
      <alignment vertical="center"/>
    </xf>
    <xf numFmtId="171" fontId="21" fillId="33" borderId="10" xfId="0" applyNumberFormat="1" applyFont="1" applyFill="1" applyBorder="1" applyAlignment="1">
      <alignment horizontal="right" vertical="center"/>
    </xf>
    <xf numFmtId="164" fontId="24" fillId="33" borderId="0" xfId="0" applyNumberFormat="1" applyFont="1" applyFill="1" applyAlignment="1">
      <alignment vertical="center"/>
    </xf>
    <xf numFmtId="166" fontId="21" fillId="33" borderId="11" xfId="0" applyNumberFormat="1" applyFont="1" applyFill="1" applyBorder="1" applyAlignment="1">
      <alignment vertical="center"/>
    </xf>
    <xf numFmtId="0" fontId="21" fillId="33" borderId="11" xfId="0" applyFont="1" applyFill="1" applyBorder="1" applyAlignment="1">
      <alignment vertical="center"/>
    </xf>
    <xf numFmtId="0" fontId="20" fillId="33" borderId="0" xfId="0" applyFont="1" applyFill="1" applyAlignment="1">
      <alignment horizontal="left" vertical="center" indent="4"/>
    </xf>
    <xf numFmtId="0" fontId="24" fillId="33" borderId="0" xfId="0" applyFont="1" applyFill="1" applyAlignment="1">
      <alignment horizontal="left" vertical="center" indent="3"/>
    </xf>
    <xf numFmtId="0" fontId="21" fillId="33" borderId="10" xfId="0" applyFont="1" applyFill="1" applyBorder="1" applyAlignment="1">
      <alignment horizontal="left" vertical="center"/>
    </xf>
    <xf numFmtId="0" fontId="20" fillId="33" borderId="0" xfId="0" applyFont="1" applyFill="1" applyAlignment="1">
      <alignment horizontal="right" vertical="center"/>
    </xf>
    <xf numFmtId="169" fontId="20" fillId="33" borderId="0" xfId="0" applyNumberFormat="1" applyFont="1" applyFill="1" applyAlignment="1">
      <alignment horizontal="left" vertical="center"/>
    </xf>
    <xf numFmtId="0" fontId="27" fillId="33" borderId="0" xfId="0" applyFont="1" applyFill="1" applyAlignment="1">
      <alignment horizontal="left" vertical="center"/>
    </xf>
    <xf numFmtId="169" fontId="20" fillId="33" borderId="0" xfId="0" applyNumberFormat="1" applyFont="1" applyFill="1" applyAlignment="1">
      <alignment vertical="center"/>
    </xf>
    <xf numFmtId="3" fontId="29" fillId="33" borderId="0" xfId="0" applyNumberFormat="1" applyFont="1" applyFill="1" applyAlignment="1">
      <alignment vertical="center"/>
    </xf>
    <xf numFmtId="171" fontId="30" fillId="33" borderId="10" xfId="0" applyNumberFormat="1" applyFont="1" applyFill="1" applyBorder="1" applyAlignment="1">
      <alignment horizontal="right" vertical="center"/>
    </xf>
    <xf numFmtId="3" fontId="30" fillId="33" borderId="0" xfId="0" applyNumberFormat="1" applyFont="1" applyFill="1" applyAlignment="1">
      <alignment vertical="center"/>
    </xf>
    <xf numFmtId="172" fontId="30" fillId="33" borderId="0" xfId="0" applyNumberFormat="1" applyFont="1" applyFill="1" applyAlignment="1">
      <alignment vertical="center"/>
    </xf>
    <xf numFmtId="1" fontId="31" fillId="33" borderId="0" xfId="0" applyNumberFormat="1" applyFont="1" applyFill="1" applyAlignment="1">
      <alignment vertical="center"/>
    </xf>
    <xf numFmtId="0" fontId="31" fillId="33" borderId="0" xfId="0" applyFont="1" applyFill="1" applyAlignment="1">
      <alignment horizontal="left" vertical="center"/>
    </xf>
    <xf numFmtId="3" fontId="31" fillId="33" borderId="0" xfId="0" applyNumberFormat="1" applyFont="1" applyFill="1" applyAlignment="1">
      <alignment vertical="center"/>
    </xf>
    <xf numFmtId="169" fontId="31" fillId="33" borderId="0" xfId="0" applyNumberFormat="1" applyFont="1" applyFill="1" applyAlignment="1">
      <alignment vertical="center"/>
    </xf>
    <xf numFmtId="9" fontId="31" fillId="33" borderId="0" xfId="0" applyNumberFormat="1" applyFont="1" applyFill="1" applyAlignment="1">
      <alignment vertical="center"/>
    </xf>
    <xf numFmtId="3" fontId="32" fillId="33" borderId="0" xfId="0" applyNumberFormat="1" applyFont="1" applyFill="1" applyAlignment="1">
      <alignment horizontal="right" vertical="center" wrapText="1"/>
    </xf>
    <xf numFmtId="164" fontId="21" fillId="33" borderId="0" xfId="0" applyNumberFormat="1" applyFont="1" applyFill="1" applyAlignment="1">
      <alignment vertical="center"/>
    </xf>
    <xf numFmtId="166" fontId="27" fillId="33" borderId="0" xfId="0" applyNumberFormat="1" applyFont="1" applyFill="1" applyAlignment="1">
      <alignment vertical="center"/>
    </xf>
    <xf numFmtId="0" fontId="27" fillId="33" borderId="0" xfId="0" applyFont="1" applyFill="1" applyAlignment="1">
      <alignment horizontal="left" vertical="center" indent="1"/>
    </xf>
    <xf numFmtId="0" fontId="27" fillId="33" borderId="0" xfId="0" applyFont="1" applyFill="1" applyAlignment="1">
      <alignment horizontal="left" vertical="center" indent="2"/>
    </xf>
    <xf numFmtId="0" fontId="27" fillId="33" borderId="0" xfId="0" applyFont="1" applyFill="1" applyAlignment="1">
      <alignment horizontal="left" vertical="center" indent="3"/>
    </xf>
    <xf numFmtId="9" fontId="27" fillId="33" borderId="0" xfId="0" applyNumberFormat="1" applyFont="1" applyFill="1" applyAlignment="1">
      <alignment vertical="center"/>
    </xf>
    <xf numFmtId="0" fontId="28" fillId="33" borderId="10" xfId="0" applyFont="1" applyFill="1" applyBorder="1" applyAlignment="1">
      <alignment horizontal="right" vertical="center"/>
    </xf>
    <xf numFmtId="173" fontId="20" fillId="33" borderId="0" xfId="0" applyNumberFormat="1" applyFont="1" applyFill="1" applyAlignment="1">
      <alignment vertical="center"/>
    </xf>
    <xf numFmtId="0" fontId="24" fillId="33" borderId="0" xfId="0" applyFont="1" applyFill="1" applyAlignment="1">
      <alignment horizontal="left" vertical="center" indent="4"/>
    </xf>
    <xf numFmtId="164" fontId="20" fillId="33" borderId="0" xfId="0" applyNumberFormat="1" applyFont="1" applyFill="1" applyAlignment="1">
      <alignment vertical="center"/>
    </xf>
    <xf numFmtId="0" fontId="30" fillId="33" borderId="10" xfId="0" applyFont="1" applyFill="1" applyBorder="1" applyAlignment="1">
      <alignment horizontal="right" vertical="center"/>
    </xf>
    <xf numFmtId="166" fontId="31" fillId="33" borderId="0" xfId="0" applyNumberFormat="1" applyFont="1" applyFill="1" applyAlignment="1">
      <alignment vertical="center"/>
    </xf>
    <xf numFmtId="3" fontId="31" fillId="33" borderId="0" xfId="0" applyNumberFormat="1" applyFont="1" applyFill="1" applyAlignment="1">
      <alignment horizontal="right" vertical="center"/>
    </xf>
    <xf numFmtId="9" fontId="27" fillId="33" borderId="0" xfId="0" applyNumberFormat="1" applyFont="1" applyFill="1" applyAlignment="1">
      <alignment horizontal="right" vertical="center"/>
    </xf>
    <xf numFmtId="166" fontId="31" fillId="33" borderId="0" xfId="0" applyNumberFormat="1" applyFont="1" applyFill="1" applyAlignment="1">
      <alignment horizontal="right" vertical="center"/>
    </xf>
    <xf numFmtId="166" fontId="24" fillId="33" borderId="0" xfId="0" applyNumberFormat="1" applyFont="1" applyFill="1" applyAlignment="1">
      <alignment horizontal="right" vertical="center"/>
    </xf>
    <xf numFmtId="0" fontId="31" fillId="33" borderId="0" xfId="0" applyFont="1" applyFill="1" applyAlignment="1">
      <alignment horizontal="right" vertical="center"/>
    </xf>
    <xf numFmtId="172" fontId="33" fillId="33" borderId="0" xfId="0" applyNumberFormat="1" applyFont="1" applyFill="1" applyAlignment="1">
      <alignment vertical="center"/>
    </xf>
    <xf numFmtId="3" fontId="33" fillId="33" borderId="0" xfId="0" applyNumberFormat="1" applyFont="1" applyFill="1" applyAlignment="1">
      <alignment vertical="center"/>
    </xf>
    <xf numFmtId="0" fontId="30" fillId="33" borderId="0" xfId="0" applyFont="1" applyFill="1" applyAlignment="1">
      <alignment horizontal="left" vertical="center"/>
    </xf>
    <xf numFmtId="9" fontId="20" fillId="33" borderId="11" xfId="0" applyNumberFormat="1" applyFont="1" applyFill="1" applyBorder="1" applyAlignment="1">
      <alignment horizontal="center" vertical="center"/>
    </xf>
    <xf numFmtId="3" fontId="20" fillId="33" borderId="11" xfId="0" applyNumberFormat="1" applyFont="1" applyFill="1" applyBorder="1" applyAlignment="1">
      <alignment horizontal="center" vertical="center"/>
    </xf>
    <xf numFmtId="3" fontId="20" fillId="33" borderId="10" xfId="0" applyNumberFormat="1" applyFont="1" applyFill="1" applyBorder="1" applyAlignment="1">
      <alignment horizontal="center" vertical="center"/>
    </xf>
    <xf numFmtId="3" fontId="30" fillId="33" borderId="0" xfId="0" applyNumberFormat="1" applyFont="1" applyFill="1" applyAlignment="1">
      <alignment horizontal="center" vertical="center"/>
    </xf>
    <xf numFmtId="0" fontId="30" fillId="33" borderId="0" xfId="0" applyFont="1" applyFill="1" applyAlignment="1">
      <alignment horizontal="center" vertical="center"/>
    </xf>
  </cellXfs>
  <cellStyles count="43">
    <cellStyle name="20% - Ênfase1" xfId="1" builtinId="30" customBuiltin="1"/>
    <cellStyle name="20% - Ênfase2" xfId="2" builtinId="34" customBuiltin="1"/>
    <cellStyle name="20% - Ênfase3" xfId="3" builtinId="38" customBuiltin="1"/>
    <cellStyle name="20% - Ênfase4" xfId="4" builtinId="42" customBuiltin="1"/>
    <cellStyle name="20% - Ênfase5" xfId="5" builtinId="46" customBuiltin="1"/>
    <cellStyle name="20% - Ênfase6" xfId="6" builtinId="50" customBuiltin="1"/>
    <cellStyle name="40% - Ênfase1" xfId="7" builtinId="31" customBuiltin="1"/>
    <cellStyle name="40% - Ênfase2" xfId="8" builtinId="35" customBuiltin="1"/>
    <cellStyle name="40% - Ênfase3" xfId="9" builtinId="39" customBuiltin="1"/>
    <cellStyle name="40% - Ênfase4" xfId="10" builtinId="43" customBuiltin="1"/>
    <cellStyle name="40% - Ênfase5" xfId="11" builtinId="47" customBuiltin="1"/>
    <cellStyle name="40% - Ênfase6" xfId="12" builtinId="51" customBuiltin="1"/>
    <cellStyle name="60% - Ênfase1" xfId="13" builtinId="32" customBuiltin="1"/>
    <cellStyle name="60% - Ênfase2" xfId="14" builtinId="36" customBuiltin="1"/>
    <cellStyle name="60% - Ênfase3" xfId="15" builtinId="40" customBuiltin="1"/>
    <cellStyle name="60% - Ênfase4" xfId="16" builtinId="44" customBuiltin="1"/>
    <cellStyle name="60% - Ênfase5" xfId="17" builtinId="48" customBuiltin="1"/>
    <cellStyle name="60% - Ênfase6" xfId="18" builtinId="52" customBuiltin="1"/>
    <cellStyle name="Bom" xfId="29" builtinId="26" customBuiltin="1"/>
    <cellStyle name="Cálculo" xfId="26" builtinId="22" customBuiltin="1"/>
    <cellStyle name="Célula de Verificação" xfId="27" builtinId="23" customBuiltin="1"/>
    <cellStyle name="Célula Vinculada" xfId="35" builtinId="24" customBuiltin="1"/>
    <cellStyle name="Ênfase1" xfId="19" builtinId="29" customBuiltin="1"/>
    <cellStyle name="Ênfase2" xfId="20" builtinId="33" customBuiltin="1"/>
    <cellStyle name="Ênfase3" xfId="21" builtinId="37" customBuiltin="1"/>
    <cellStyle name="Ênfase4" xfId="22" builtinId="41" customBuiltin="1"/>
    <cellStyle name="Ênfase5" xfId="23" builtinId="45" customBuiltin="1"/>
    <cellStyle name="Ênfase6" xfId="24" builtinId="49" customBuiltin="1"/>
    <cellStyle name="Entrada" xfId="34" builtinId="20" customBuiltin="1"/>
    <cellStyle name="Neutro" xfId="36" builtinId="28" customBuiltin="1"/>
    <cellStyle name="Normal" xfId="0" builtinId="0"/>
    <cellStyle name="Nota" xfId="37" builtinId="10" customBuiltin="1"/>
    <cellStyle name="Porcentagem" xfId="42" builtinId="5"/>
    <cellStyle name="Ruim" xfId="25" builtinId="27" customBuiltin="1"/>
    <cellStyle name="Saída" xfId="38" builtinId="21" customBuiltin="1"/>
    <cellStyle name="Texto de Aviso" xfId="41" builtinId="11" customBuiltin="1"/>
    <cellStyle name="Texto Explicativo" xfId="28" builtinId="53" customBuiltin="1"/>
    <cellStyle name="Título" xfId="39" builtinId="15" customBuiltin="1"/>
    <cellStyle name="Título 1" xfId="30" builtinId="16" customBuiltin="1"/>
    <cellStyle name="Título 2" xfId="31" builtinId="17" customBuiltin="1"/>
    <cellStyle name="Título 3" xfId="32" builtinId="18" customBuiltin="1"/>
    <cellStyle name="Título 4" xfId="33" builtinId="19" customBuiltin="1"/>
    <cellStyle name="Total" xfId="40" builtinId="25" customBuiltin="1"/>
  </cellStyles>
  <dxfs count="32">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s>
  <tableStyles count="0" defaultTableStyle="TableStyleMedium2" defaultPivotStyle="PivotStyleLight16"/>
  <colors>
    <mruColors>
      <color rgb="FF3C963C"/>
      <color rgb="FF1C1D1D"/>
      <color rgb="FF4D5358"/>
      <color rgb="FFC6CAD2"/>
      <color rgb="FF808080"/>
      <color rgb="FFD3D3D3"/>
      <color rgb="FF878D96"/>
      <color rgb="FF7E00C7"/>
      <color rgb="FF7E0067"/>
      <color rgb="FFD3DCD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378663</xdr:colOff>
      <xdr:row>2</xdr:row>
      <xdr:rowOff>62057</xdr:rowOff>
    </xdr:from>
    <xdr:to>
      <xdr:col>8</xdr:col>
      <xdr:colOff>454283</xdr:colOff>
      <xdr:row>3</xdr:row>
      <xdr:rowOff>173558</xdr:rowOff>
    </xdr:to>
    <xdr:pic>
      <xdr:nvPicPr>
        <xdr:cNvPr id="6" name="Imagem 5">
          <a:extLst>
            <a:ext uri="{FF2B5EF4-FFF2-40B4-BE49-F238E27FC236}">
              <a16:creationId xmlns:a16="http://schemas.microsoft.com/office/drawing/2014/main" id="{3979522C-5EE0-4C06-A998-7EB2CAFAC9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11513" y="519257"/>
          <a:ext cx="1059870" cy="3401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260350</xdr:colOff>
      <xdr:row>2</xdr:row>
      <xdr:rowOff>107950</xdr:rowOff>
    </xdr:from>
    <xdr:to>
      <xdr:col>6</xdr:col>
      <xdr:colOff>344629</xdr:colOff>
      <xdr:row>3</xdr:row>
      <xdr:rowOff>224069</xdr:rowOff>
    </xdr:to>
    <xdr:pic>
      <xdr:nvPicPr>
        <xdr:cNvPr id="3" name="Imagem 2">
          <a:extLst>
            <a:ext uri="{FF2B5EF4-FFF2-40B4-BE49-F238E27FC236}">
              <a16:creationId xmlns:a16="http://schemas.microsoft.com/office/drawing/2014/main" id="{92E24B4F-ABF6-455F-BC3B-D57E98B002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21700" y="565150"/>
          <a:ext cx="1062179" cy="3447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453131</xdr:colOff>
      <xdr:row>2</xdr:row>
      <xdr:rowOff>161925</xdr:rowOff>
    </xdr:from>
    <xdr:to>
      <xdr:col>6</xdr:col>
      <xdr:colOff>522401</xdr:colOff>
      <xdr:row>4</xdr:row>
      <xdr:rowOff>44826</xdr:rowOff>
    </xdr:to>
    <xdr:pic>
      <xdr:nvPicPr>
        <xdr:cNvPr id="5" name="Imagem 4">
          <a:extLst>
            <a:ext uri="{FF2B5EF4-FFF2-40B4-BE49-F238E27FC236}">
              <a16:creationId xmlns:a16="http://schemas.microsoft.com/office/drawing/2014/main" id="{EB770367-A6B0-4683-A422-F2BF7478CC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9281" y="619125"/>
          <a:ext cx="1059870" cy="3401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452064</xdr:colOff>
      <xdr:row>2</xdr:row>
      <xdr:rowOff>161925</xdr:rowOff>
    </xdr:from>
    <xdr:to>
      <xdr:col>8</xdr:col>
      <xdr:colOff>493114</xdr:colOff>
      <xdr:row>4</xdr:row>
      <xdr:rowOff>44826</xdr:rowOff>
    </xdr:to>
    <xdr:pic>
      <xdr:nvPicPr>
        <xdr:cNvPr id="2" name="Imagem 1">
          <a:extLst>
            <a:ext uri="{FF2B5EF4-FFF2-40B4-BE49-F238E27FC236}">
              <a16:creationId xmlns:a16="http://schemas.microsoft.com/office/drawing/2014/main" id="{61FEE950-7E70-4DA0-BD0F-1F2697DEF2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12620" y="613481"/>
          <a:ext cx="1057050" cy="334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181498</xdr:colOff>
      <xdr:row>2</xdr:row>
      <xdr:rowOff>139838</xdr:rowOff>
    </xdr:from>
    <xdr:to>
      <xdr:col>9</xdr:col>
      <xdr:colOff>222548</xdr:colOff>
      <xdr:row>4</xdr:row>
      <xdr:rowOff>32264</xdr:rowOff>
    </xdr:to>
    <xdr:pic>
      <xdr:nvPicPr>
        <xdr:cNvPr id="2" name="Imagem 1">
          <a:extLst>
            <a:ext uri="{FF2B5EF4-FFF2-40B4-BE49-F238E27FC236}">
              <a16:creationId xmlns:a16="http://schemas.microsoft.com/office/drawing/2014/main" id="{22AA91DF-799E-4CE2-850E-49AE7FF0E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12628" y="592621"/>
          <a:ext cx="1057050" cy="3452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704302</xdr:colOff>
      <xdr:row>2</xdr:row>
      <xdr:rowOff>161925</xdr:rowOff>
    </xdr:from>
    <xdr:to>
      <xdr:col>6</xdr:col>
      <xdr:colOff>745351</xdr:colOff>
      <xdr:row>4</xdr:row>
      <xdr:rowOff>44826</xdr:rowOff>
    </xdr:to>
    <xdr:pic>
      <xdr:nvPicPr>
        <xdr:cNvPr id="2" name="Imagem 1">
          <a:extLst>
            <a:ext uri="{FF2B5EF4-FFF2-40B4-BE49-F238E27FC236}">
              <a16:creationId xmlns:a16="http://schemas.microsoft.com/office/drawing/2014/main" id="{56033E8E-CE8E-44EC-8EAC-F103B73BC1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77761" y="617008"/>
          <a:ext cx="1083507" cy="3379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1409152</xdr:colOff>
      <xdr:row>2</xdr:row>
      <xdr:rowOff>161925</xdr:rowOff>
    </xdr:from>
    <xdr:to>
      <xdr:col>4</xdr:col>
      <xdr:colOff>954901</xdr:colOff>
      <xdr:row>4</xdr:row>
      <xdr:rowOff>44826</xdr:rowOff>
    </xdr:to>
    <xdr:pic>
      <xdr:nvPicPr>
        <xdr:cNvPr id="3" name="Imagem 2">
          <a:extLst>
            <a:ext uri="{FF2B5EF4-FFF2-40B4-BE49-F238E27FC236}">
              <a16:creationId xmlns:a16="http://schemas.microsoft.com/office/drawing/2014/main" id="{23885F67-1F37-4E0D-B967-FC1B764E018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52702" y="619125"/>
          <a:ext cx="1057049" cy="3401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Leandro Siqueira" id="{B0AD0504-8853-4A39-B2BA-E2BEB6C74E22}" userId="276e1ba83ca09e99" providerId="Windows Live"/>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12" dT="2024-06-22T01:36:28.41" personId="{B0AD0504-8853-4A39-B2BA-E2BEB6C74E22}" id="{4DCB37CD-5EE6-4E5F-918B-F99DE58EA103}">
    <text>A planilha do RI da CEAB3 dá uma lista com todas as lojas abertas. Quando uma loja fecha, ela sai da lista. Dessa forma, temos que somar as lojas que foram fechadas depois de cada ano. Pra saber isso, é só ver o total de m² no fim do ano. Essa informação é dada no press release.</text>
  </threadedComment>
</ThreadedComments>
</file>

<file path=xl/threadedComments/threadedComment2.xml><?xml version="1.0" encoding="utf-8"?>
<ThreadedComments xmlns="http://schemas.microsoft.com/office/spreadsheetml/2018/threadedcomments" xmlns:x="http://schemas.openxmlformats.org/spreadsheetml/2006/main">
  <threadedComment ref="B14" dT="2024-06-26T17:25:08.81" personId="{B0AD0504-8853-4A39-B2BA-E2BEB6C74E22}" id="{A40A962E-9299-4F8F-87ED-AF5CA686B561}">
    <text>[0-30] dias de atraso</text>
  </threadedComment>
  <threadedComment ref="B15" dT="2024-06-26T17:25:19.32" personId="{B0AD0504-8853-4A39-B2BA-E2BEB6C74E22}" id="{4F094627-A072-45C8-BA21-B9867305FAEC}">
    <text>[31 a 89] dias de atraso</text>
  </threadedComment>
  <threadedComment ref="B16" dT="2024-06-26T17:25:34.80" personId="{B0AD0504-8853-4A39-B2BA-E2BEB6C74E22}" id="{C72C5BF8-4132-4F50-951F-8E928F37F336}">
    <text>&gt;90 dias de atraso</text>
  </threadedComment>
  <threadedComment ref="M23" dT="2024-06-26T17:58:46.06" personId="{B0AD0504-8853-4A39-B2BA-E2BEB6C74E22}" id="{258F9525-C408-43B9-B134-6E0E073DDC68}">
    <text>Removidos por conta da pandemia.</text>
  </threadedComment>
  <threadedComment ref="N23" dT="2024-06-26T17:58:51.14" personId="{B0AD0504-8853-4A39-B2BA-E2BEB6C74E22}" id="{79E9E669-9617-41EC-9049-0D87DDD89FB9}">
    <text>Removidos por conta da pandemia.</text>
  </threadedComment>
  <threadedComment ref="H42" dT="2024-07-04T18:55:21.81" personId="{B0AD0504-8853-4A39-B2BA-E2BEB6C74E22}" id="{ED3B1DA4-00E1-4F0E-B761-399C6E4643EA}">
    <text>A empresa não fornecia a divisão por estágios no padrão atual antes de 2016.</text>
  </threadedComment>
  <threadedComment ref="N54" dT="2024-07-04T18:27:00.31" personId="{B0AD0504-8853-4A39-B2BA-E2BEB6C74E22}" id="{67BB65BB-A386-49D8-8E3D-222388916ED8}">
    <text>A Guararapes cessou a divulgação destes dados.</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A56B7BB-F33E-4535-B993-D72AE7DB4D42}">
  <we:reference id="wa200005271" version="2.3.0.0" store="pt-BR" storeType="OMEX"/>
  <we:alternateReferences>
    <we:reference id="wa200005271" version="2.3.0.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4.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520D3-8517-423E-82AE-E802830F1569}">
  <sheetPr codeName="Planilha4"/>
  <dimension ref="A1:AT307"/>
  <sheetViews>
    <sheetView showGridLines="0" tabSelected="1" zoomScaleNormal="100" workbookViewId="0">
      <pane xSplit="2" ySplit="7" topLeftCell="C8" activePane="bottomRight" state="frozen"/>
      <selection pane="topRight" activeCell="C1" sqref="C1"/>
      <selection pane="bottomLeft" activeCell="A8" sqref="A8"/>
      <selection pane="bottomRight" activeCell="F8" sqref="F8"/>
    </sheetView>
  </sheetViews>
  <sheetFormatPr defaultColWidth="12.54296875" defaultRowHeight="14.5" outlineLevelRow="1" x14ac:dyDescent="0.35"/>
  <cols>
    <col min="1" max="1" width="12.54296875" style="3"/>
    <col min="2" max="2" width="43" style="3" customWidth="1"/>
    <col min="3" max="9" width="14.1796875" style="8" customWidth="1"/>
    <col min="10" max="14" width="12.54296875" style="8"/>
    <col min="15" max="15" width="51.1796875" style="8" customWidth="1"/>
    <col min="16" max="16" width="12.54296875" style="8"/>
    <col min="17" max="16384" width="12.54296875" style="3"/>
  </cols>
  <sheetData>
    <row r="1" spans="1:46" ht="18" customHeight="1" x14ac:dyDescent="0.35">
      <c r="A1" s="1"/>
      <c r="B1" s="1"/>
      <c r="C1" s="2"/>
      <c r="D1" s="2"/>
      <c r="E1" s="2"/>
      <c r="F1" s="2"/>
      <c r="G1" s="2"/>
      <c r="H1" s="2"/>
      <c r="I1" s="2"/>
      <c r="J1" s="2"/>
      <c r="K1" s="2"/>
      <c r="L1" s="2"/>
      <c r="M1" s="2"/>
      <c r="N1" s="2"/>
      <c r="O1" s="2"/>
      <c r="P1" s="2"/>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ht="18" customHeight="1" x14ac:dyDescent="0.35">
      <c r="A2" s="1"/>
      <c r="B2" s="1"/>
      <c r="C2" s="2"/>
      <c r="D2" s="2"/>
      <c r="E2" s="2"/>
      <c r="F2" s="2"/>
      <c r="G2" s="2"/>
      <c r="H2" s="2"/>
      <c r="I2" s="2"/>
      <c r="J2" s="2"/>
      <c r="K2" s="2"/>
      <c r="L2" s="2"/>
      <c r="M2" s="2"/>
      <c r="N2" s="2"/>
      <c r="O2" s="2"/>
      <c r="P2" s="2"/>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18" customHeight="1" x14ac:dyDescent="0.35">
      <c r="A3" s="1"/>
      <c r="B3" s="1"/>
      <c r="C3" s="2"/>
      <c r="D3" s="2"/>
      <c r="E3" s="2"/>
      <c r="F3" s="2"/>
      <c r="G3" s="2"/>
      <c r="H3" s="2"/>
      <c r="I3" s="2"/>
      <c r="J3" s="2"/>
      <c r="K3" s="2"/>
      <c r="L3" s="2"/>
      <c r="M3" s="2"/>
      <c r="N3" s="2"/>
      <c r="O3" s="2"/>
      <c r="P3" s="2"/>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18" customHeight="1" x14ac:dyDescent="0.35">
      <c r="A4" s="1"/>
      <c r="B4" s="1"/>
      <c r="C4" s="2"/>
      <c r="D4" s="2"/>
      <c r="E4" s="2"/>
      <c r="F4" s="2"/>
      <c r="G4" s="2"/>
      <c r="H4" s="2"/>
      <c r="I4" s="2"/>
      <c r="J4" s="2"/>
      <c r="K4" s="2"/>
      <c r="L4" s="2"/>
      <c r="M4" s="2"/>
      <c r="N4" s="2"/>
      <c r="O4" s="2"/>
      <c r="P4" s="2"/>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row>
    <row r="5" spans="1:46" ht="18" customHeight="1" x14ac:dyDescent="0.35">
      <c r="A5" s="1"/>
      <c r="B5" s="1"/>
      <c r="C5" s="2"/>
      <c r="D5" s="2"/>
      <c r="E5" s="2"/>
      <c r="F5" s="2"/>
      <c r="G5" s="2"/>
      <c r="H5" s="2"/>
      <c r="I5" s="2"/>
      <c r="J5" s="2"/>
      <c r="K5" s="2"/>
      <c r="L5" s="2"/>
      <c r="M5" s="2"/>
      <c r="N5" s="2"/>
      <c r="O5" s="2"/>
      <c r="P5" s="2"/>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row>
    <row r="6" spans="1:46" ht="18" customHeight="1" x14ac:dyDescent="0.35">
      <c r="A6" s="1"/>
      <c r="B6" s="1"/>
      <c r="C6" s="2"/>
      <c r="D6" s="2"/>
      <c r="E6" s="2"/>
      <c r="F6" s="2"/>
      <c r="G6" s="2"/>
      <c r="H6" s="2"/>
      <c r="I6" s="2"/>
      <c r="J6" s="2"/>
      <c r="K6" s="2"/>
      <c r="L6" s="2"/>
      <c r="M6" s="2"/>
      <c r="N6" s="2"/>
      <c r="O6" s="2"/>
      <c r="P6" s="2"/>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row>
    <row r="7" spans="1:46" ht="18" customHeight="1" thickBot="1" x14ac:dyDescent="0.4">
      <c r="A7" s="1"/>
      <c r="B7" s="1"/>
      <c r="C7" s="77">
        <v>2016</v>
      </c>
      <c r="D7" s="77">
        <f t="shared" ref="D7:K7" si="0">C7+1</f>
        <v>2017</v>
      </c>
      <c r="E7" s="77">
        <f t="shared" si="0"/>
        <v>2018</v>
      </c>
      <c r="F7" s="77">
        <f t="shared" si="0"/>
        <v>2019</v>
      </c>
      <c r="G7" s="77">
        <f t="shared" si="0"/>
        <v>2020</v>
      </c>
      <c r="H7" s="77">
        <f t="shared" si="0"/>
        <v>2021</v>
      </c>
      <c r="I7" s="77">
        <f t="shared" si="0"/>
        <v>2022</v>
      </c>
      <c r="J7" s="77">
        <f t="shared" si="0"/>
        <v>2023</v>
      </c>
      <c r="K7" s="50">
        <f t="shared" si="0"/>
        <v>2024</v>
      </c>
      <c r="L7" s="50">
        <f>K7+1</f>
        <v>2025</v>
      </c>
      <c r="M7" s="50">
        <f>L7+1</f>
        <v>2026</v>
      </c>
      <c r="N7" s="50" t="s">
        <v>88</v>
      </c>
      <c r="O7" s="50" t="s">
        <v>781</v>
      </c>
      <c r="P7" s="2"/>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row>
    <row r="8" spans="1:46" ht="18" customHeight="1" x14ac:dyDescent="0.35">
      <c r="A8" s="1"/>
      <c r="B8" s="59" t="s">
        <v>775</v>
      </c>
      <c r="C8" s="72">
        <v>0</v>
      </c>
      <c r="D8" s="72">
        <v>0</v>
      </c>
      <c r="E8" s="72">
        <v>6566431</v>
      </c>
      <c r="F8" s="72">
        <v>6841105</v>
      </c>
      <c r="G8" s="72">
        <v>5268775</v>
      </c>
      <c r="H8" s="72">
        <v>6695896</v>
      </c>
      <c r="I8" s="72">
        <v>8000354</v>
      </c>
      <c r="J8" s="72">
        <v>8734788</v>
      </c>
      <c r="K8" s="26"/>
      <c r="L8" s="26"/>
      <c r="M8" s="26"/>
      <c r="N8" s="26"/>
      <c r="O8" s="70"/>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row>
    <row r="9" spans="1:46" ht="18" customHeight="1" x14ac:dyDescent="0.35">
      <c r="A9" s="1"/>
      <c r="B9" s="73" t="s">
        <v>776</v>
      </c>
      <c r="C9" s="72">
        <v>0</v>
      </c>
      <c r="D9" s="72">
        <v>0</v>
      </c>
      <c r="E9" s="72">
        <f>E10-E8</f>
        <v>-1427317</v>
      </c>
      <c r="F9" s="72">
        <f t="shared" ref="F9:J9" si="1">F10-F8</f>
        <v>-1555927</v>
      </c>
      <c r="G9" s="72">
        <f t="shared" si="1"/>
        <v>-1183289</v>
      </c>
      <c r="H9" s="72">
        <f t="shared" si="1"/>
        <v>-1542690</v>
      </c>
      <c r="I9" s="72">
        <f t="shared" si="1"/>
        <v>-1816803</v>
      </c>
      <c r="J9" s="72">
        <f t="shared" si="1"/>
        <v>-2015471</v>
      </c>
      <c r="K9" s="26"/>
      <c r="L9" s="26"/>
      <c r="M9" s="26"/>
      <c r="N9" s="26"/>
      <c r="O9" s="70"/>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row>
    <row r="10" spans="1:46" ht="18" customHeight="1" x14ac:dyDescent="0.35">
      <c r="A10" s="1"/>
      <c r="B10" s="59" t="s">
        <v>0</v>
      </c>
      <c r="C10" s="72">
        <f>SUM(C11:C13)</f>
        <v>4780694</v>
      </c>
      <c r="D10" s="72">
        <f t="shared" ref="D10:J10" si="2">SUM(D11:D13)</f>
        <v>5035610</v>
      </c>
      <c r="E10" s="72">
        <f t="shared" si="2"/>
        <v>5139114</v>
      </c>
      <c r="F10" s="72">
        <f t="shared" si="2"/>
        <v>5285178</v>
      </c>
      <c r="G10" s="72">
        <f t="shared" si="2"/>
        <v>4085486</v>
      </c>
      <c r="H10" s="72">
        <f t="shared" si="2"/>
        <v>5153206</v>
      </c>
      <c r="I10" s="72">
        <f t="shared" si="2"/>
        <v>6183551</v>
      </c>
      <c r="J10" s="72">
        <f t="shared" si="2"/>
        <v>6719317</v>
      </c>
      <c r="K10" s="26"/>
      <c r="L10" s="26"/>
      <c r="M10" s="26"/>
      <c r="N10" s="26"/>
      <c r="O10" s="70"/>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row>
    <row r="11" spans="1:46" ht="18" customHeight="1" x14ac:dyDescent="0.35">
      <c r="A11" s="1"/>
      <c r="B11" s="73" t="s">
        <v>750</v>
      </c>
      <c r="C11" s="72">
        <v>4601146.97</v>
      </c>
      <c r="D11" s="72">
        <v>4779324.62</v>
      </c>
      <c r="E11" s="72">
        <v>4882089</v>
      </c>
      <c r="F11" s="72">
        <v>5051851</v>
      </c>
      <c r="G11" s="72">
        <v>3922889</v>
      </c>
      <c r="H11" s="72">
        <v>4960633</v>
      </c>
      <c r="I11" s="72">
        <v>5904485</v>
      </c>
      <c r="J11" s="72">
        <v>6336700</v>
      </c>
      <c r="K11" s="26"/>
      <c r="L11" s="26"/>
      <c r="M11" s="26"/>
      <c r="N11" s="26"/>
      <c r="O11" s="70"/>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row>
    <row r="12" spans="1:46" ht="18" customHeight="1" x14ac:dyDescent="0.35">
      <c r="A12" s="1"/>
      <c r="B12" s="73" t="s">
        <v>751</v>
      </c>
      <c r="C12" s="72">
        <v>179547.03</v>
      </c>
      <c r="D12" s="72">
        <v>256285.38</v>
      </c>
      <c r="E12" s="72">
        <v>241271</v>
      </c>
      <c r="F12" s="72">
        <v>216402</v>
      </c>
      <c r="G12" s="72">
        <v>149259</v>
      </c>
      <c r="H12" s="72">
        <v>174974</v>
      </c>
      <c r="I12" s="72">
        <v>257373</v>
      </c>
      <c r="J12" s="72">
        <v>356592</v>
      </c>
      <c r="K12" s="26"/>
      <c r="L12" s="26"/>
      <c r="M12" s="26"/>
      <c r="N12" s="26"/>
      <c r="O12" s="70"/>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row>
    <row r="13" spans="1:46" ht="18" customHeight="1" x14ac:dyDescent="0.35">
      <c r="A13" s="1"/>
      <c r="B13" s="73" t="s">
        <v>752</v>
      </c>
      <c r="C13" s="72">
        <v>0</v>
      </c>
      <c r="D13" s="72">
        <v>0</v>
      </c>
      <c r="E13" s="72">
        <v>15754</v>
      </c>
      <c r="F13" s="72">
        <v>16925</v>
      </c>
      <c r="G13" s="72">
        <v>13338</v>
      </c>
      <c r="H13" s="72">
        <v>17599</v>
      </c>
      <c r="I13" s="72">
        <v>21693</v>
      </c>
      <c r="J13" s="72">
        <v>26025</v>
      </c>
      <c r="K13" s="26"/>
      <c r="L13" s="26"/>
      <c r="M13" s="26"/>
      <c r="N13" s="26"/>
      <c r="O13" s="70"/>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row>
    <row r="14" spans="1:46" ht="18" customHeight="1" x14ac:dyDescent="0.35">
      <c r="A14" s="1"/>
      <c r="B14" s="59" t="s">
        <v>32</v>
      </c>
      <c r="C14" s="72">
        <v>-2775856</v>
      </c>
      <c r="D14" s="72">
        <v>-2614085</v>
      </c>
      <c r="E14" s="72">
        <v>-2617217</v>
      </c>
      <c r="F14" s="72">
        <v>-2717065</v>
      </c>
      <c r="G14" s="72">
        <v>-2188859</v>
      </c>
      <c r="H14" s="72">
        <v>-2755897</v>
      </c>
      <c r="I14" s="72">
        <v>-3077441</v>
      </c>
      <c r="J14" s="72">
        <v>-3197049</v>
      </c>
      <c r="K14" s="26"/>
      <c r="L14" s="26"/>
      <c r="M14" s="26"/>
      <c r="N14" s="26"/>
      <c r="O14" s="70"/>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row>
    <row r="15" spans="1:46" ht="18" customHeight="1" x14ac:dyDescent="0.35">
      <c r="A15" s="1"/>
      <c r="B15" s="59" t="s">
        <v>33</v>
      </c>
      <c r="C15" s="72">
        <f t="array" ref="C15:J15">RECEITA_LIQUIDA+CMV</f>
        <v>2004838</v>
      </c>
      <c r="D15" s="72">
        <v>2421525</v>
      </c>
      <c r="E15" s="72">
        <v>2521897</v>
      </c>
      <c r="F15" s="72">
        <v>2568113</v>
      </c>
      <c r="G15" s="72">
        <v>1896627</v>
      </c>
      <c r="H15" s="72">
        <v>2397309</v>
      </c>
      <c r="I15" s="72">
        <v>3106110</v>
      </c>
      <c r="J15" s="72">
        <v>3522268</v>
      </c>
      <c r="K15" s="26"/>
      <c r="L15" s="26"/>
      <c r="M15" s="26"/>
      <c r="N15" s="26"/>
      <c r="O15" s="70"/>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row>
    <row r="16" spans="1:46" ht="18" customHeight="1" collapsed="1" x14ac:dyDescent="0.35">
      <c r="A16" s="1"/>
      <c r="B16" s="59" t="s">
        <v>34</v>
      </c>
      <c r="C16" s="72">
        <f t="shared" ref="C16:E16" si="3">SUM(C17,C26,C33,C34)</f>
        <v>-2012392</v>
      </c>
      <c r="D16" s="72">
        <f t="shared" si="3"/>
        <v>-2124825</v>
      </c>
      <c r="E16" s="72">
        <f t="shared" si="3"/>
        <v>-2192922</v>
      </c>
      <c r="F16" s="72">
        <f>SUM(F17,F26,F33,F34)</f>
        <v>-1535027</v>
      </c>
      <c r="G16" s="72">
        <f t="shared" ref="G16:J16" si="4">SUM(G17,G26,G33,G34)</f>
        <v>-2060865</v>
      </c>
      <c r="H16" s="72">
        <f t="shared" si="4"/>
        <v>-2304510</v>
      </c>
      <c r="I16" s="72">
        <f t="shared" si="4"/>
        <v>-2837929</v>
      </c>
      <c r="J16" s="72">
        <f t="shared" si="4"/>
        <v>-3127820</v>
      </c>
      <c r="K16" s="26"/>
      <c r="L16" s="26"/>
      <c r="M16" s="26"/>
      <c r="N16" s="26"/>
      <c r="O16" s="70"/>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row>
    <row r="17" spans="1:46" ht="18" customHeight="1" x14ac:dyDescent="0.35">
      <c r="A17" s="1"/>
      <c r="B17" s="73" t="s">
        <v>35</v>
      </c>
      <c r="C17" s="72">
        <f t="shared" ref="C17:E17" si="5">SUM(C18:C25)</f>
        <v>-1536151</v>
      </c>
      <c r="D17" s="72">
        <f t="shared" si="5"/>
        <v>-1596848</v>
      </c>
      <c r="E17" s="72">
        <f t="shared" si="5"/>
        <v>-1699883</v>
      </c>
      <c r="F17" s="72">
        <f>SUM(F18:F25)</f>
        <v>-1755337</v>
      </c>
      <c r="G17" s="72">
        <f t="shared" ref="G17:J17" si="6">SUM(G18:G25)</f>
        <v>-1648437</v>
      </c>
      <c r="H17" s="72">
        <f>SUM(H18:H25)</f>
        <v>-2025632</v>
      </c>
      <c r="I17" s="72">
        <f t="shared" si="6"/>
        <v>-2260266</v>
      </c>
      <c r="J17" s="72">
        <f t="shared" si="6"/>
        <v>-2183983</v>
      </c>
      <c r="K17" s="26"/>
      <c r="L17" s="26"/>
      <c r="M17" s="26"/>
      <c r="N17" s="26"/>
      <c r="O17" s="70"/>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row>
    <row r="18" spans="1:46" ht="18" hidden="1" customHeight="1" outlineLevel="1" x14ac:dyDescent="0.35">
      <c r="A18" s="1"/>
      <c r="B18" s="74" t="s">
        <v>43</v>
      </c>
      <c r="C18" s="72">
        <v>-585593</v>
      </c>
      <c r="D18" s="72">
        <v>-585653</v>
      </c>
      <c r="E18" s="72">
        <v>-581958</v>
      </c>
      <c r="F18" s="72">
        <v>-579633</v>
      </c>
      <c r="G18" s="72">
        <v>-488088</v>
      </c>
      <c r="H18" s="72">
        <v>-598914</v>
      </c>
      <c r="I18" s="72">
        <v>-731739</v>
      </c>
      <c r="J18" s="72">
        <v>-714521</v>
      </c>
      <c r="K18" s="26"/>
      <c r="L18" s="26"/>
      <c r="M18" s="26"/>
      <c r="N18" s="26"/>
      <c r="O18" s="70"/>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row>
    <row r="19" spans="1:46" ht="18" hidden="1" customHeight="1" outlineLevel="1" x14ac:dyDescent="0.35">
      <c r="A19" s="1"/>
      <c r="B19" s="74" t="s">
        <v>161</v>
      </c>
      <c r="C19" s="72">
        <v>-147630</v>
      </c>
      <c r="D19" s="72">
        <v>-143144</v>
      </c>
      <c r="E19" s="72">
        <v>-174608</v>
      </c>
      <c r="F19" s="72">
        <v>-203002</v>
      </c>
      <c r="G19" s="72">
        <v>-275228</v>
      </c>
      <c r="H19" s="72">
        <v>-324160</v>
      </c>
      <c r="I19" s="72">
        <v>-351675</v>
      </c>
      <c r="J19" s="72">
        <v>-358939</v>
      </c>
      <c r="K19" s="26"/>
      <c r="L19" s="26"/>
      <c r="M19" s="26"/>
      <c r="N19" s="26"/>
      <c r="O19" s="70"/>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row>
    <row r="20" spans="1:46" ht="18" hidden="1" customHeight="1" outlineLevel="1" x14ac:dyDescent="0.35">
      <c r="A20" s="1"/>
      <c r="B20" s="74" t="s">
        <v>46</v>
      </c>
      <c r="C20" s="72">
        <v>0</v>
      </c>
      <c r="D20" s="72">
        <v>0</v>
      </c>
      <c r="E20" s="72">
        <v>0</v>
      </c>
      <c r="F20" s="72">
        <v>-248687</v>
      </c>
      <c r="G20" s="72">
        <v>-257798</v>
      </c>
      <c r="H20" s="72">
        <v>-285667</v>
      </c>
      <c r="I20" s="72">
        <v>-321079</v>
      </c>
      <c r="J20" s="72">
        <v>-314510</v>
      </c>
      <c r="K20" s="26"/>
      <c r="L20" s="26"/>
      <c r="M20" s="26"/>
      <c r="N20" s="26"/>
      <c r="O20" s="70"/>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row>
    <row r="21" spans="1:46" ht="18" hidden="1" customHeight="1" outlineLevel="1" x14ac:dyDescent="0.35">
      <c r="A21" s="1"/>
      <c r="B21" s="74" t="s">
        <v>45</v>
      </c>
      <c r="C21" s="72">
        <v>-141898</v>
      </c>
      <c r="D21" s="72">
        <v>-135358</v>
      </c>
      <c r="E21" s="72">
        <v>-130759</v>
      </c>
      <c r="F21" s="72">
        <v>-155499</v>
      </c>
      <c r="G21" s="72">
        <v>-163352</v>
      </c>
      <c r="H21" s="72">
        <v>-144330</v>
      </c>
      <c r="I21" s="72">
        <v>-123749</v>
      </c>
      <c r="J21" s="72">
        <v>-143073</v>
      </c>
      <c r="K21" s="26"/>
      <c r="L21" s="26"/>
      <c r="M21" s="26"/>
      <c r="N21" s="26"/>
      <c r="O21" s="70"/>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row>
    <row r="22" spans="1:46" ht="18" hidden="1" customHeight="1" outlineLevel="1" x14ac:dyDescent="0.35">
      <c r="A22" s="1"/>
      <c r="B22" s="74" t="s">
        <v>44</v>
      </c>
      <c r="C22" s="72">
        <v>-445775</v>
      </c>
      <c r="D22" s="72">
        <v>-494621</v>
      </c>
      <c r="E22" s="72">
        <v>-522814</v>
      </c>
      <c r="F22" s="72">
        <v>-280085</v>
      </c>
      <c r="G22" s="72">
        <v>-148137</v>
      </c>
      <c r="H22" s="72">
        <v>-294022</v>
      </c>
      <c r="I22" s="72">
        <v>-353337</v>
      </c>
      <c r="J22" s="72">
        <v>-349398</v>
      </c>
      <c r="K22" s="26"/>
      <c r="L22" s="26"/>
      <c r="M22" s="26"/>
      <c r="N22" s="26"/>
      <c r="O22" s="70"/>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row>
    <row r="23" spans="1:46" ht="18" hidden="1" customHeight="1" outlineLevel="1" x14ac:dyDescent="0.35">
      <c r="A23" s="1"/>
      <c r="B23" s="74" t="s">
        <v>162</v>
      </c>
      <c r="C23" s="72">
        <v>-115738</v>
      </c>
      <c r="D23" s="72">
        <v>-96180</v>
      </c>
      <c r="E23" s="72">
        <v>-120583</v>
      </c>
      <c r="F23" s="72">
        <v>-109993</v>
      </c>
      <c r="G23" s="72">
        <v>-185169</v>
      </c>
      <c r="H23" s="72">
        <v>-211744</v>
      </c>
      <c r="I23" s="72">
        <v>-161389</v>
      </c>
      <c r="J23" s="72">
        <v>-106739</v>
      </c>
      <c r="K23" s="26"/>
      <c r="L23" s="26"/>
      <c r="M23" s="26"/>
      <c r="N23" s="26"/>
      <c r="O23" s="70"/>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row>
    <row r="24" spans="1:46" ht="18" hidden="1" customHeight="1" outlineLevel="1" x14ac:dyDescent="0.35">
      <c r="A24" s="1"/>
      <c r="B24" s="74" t="s">
        <v>163</v>
      </c>
      <c r="C24" s="72">
        <v>0</v>
      </c>
      <c r="D24" s="72">
        <v>0</v>
      </c>
      <c r="E24" s="72">
        <v>0</v>
      </c>
      <c r="F24" s="72">
        <v>0</v>
      </c>
      <c r="G24" s="72">
        <v>0</v>
      </c>
      <c r="H24" s="72">
        <v>0</v>
      </c>
      <c r="I24" s="72">
        <v>0</v>
      </c>
      <c r="J24" s="72">
        <v>0</v>
      </c>
      <c r="K24" s="26"/>
      <c r="L24" s="26"/>
      <c r="M24" s="26"/>
      <c r="N24" s="26"/>
      <c r="O24" s="70"/>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row>
    <row r="25" spans="1:46" ht="18" hidden="1" customHeight="1" outlineLevel="1" x14ac:dyDescent="0.35">
      <c r="A25" s="1"/>
      <c r="B25" s="74" t="s">
        <v>47</v>
      </c>
      <c r="C25" s="72">
        <v>-99517</v>
      </c>
      <c r="D25" s="72">
        <v>-141892</v>
      </c>
      <c r="E25" s="72">
        <v>-169161</v>
      </c>
      <c r="F25" s="72">
        <v>-178438</v>
      </c>
      <c r="G25" s="72">
        <v>-130665</v>
      </c>
      <c r="H25" s="72">
        <v>-166795</v>
      </c>
      <c r="I25" s="72">
        <v>-217298</v>
      </c>
      <c r="J25" s="72">
        <v>-196803</v>
      </c>
      <c r="K25" s="26"/>
      <c r="L25" s="26"/>
      <c r="M25" s="26"/>
      <c r="N25" s="26"/>
      <c r="O25" s="70"/>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row>
    <row r="26" spans="1:46" ht="18" customHeight="1" collapsed="1" x14ac:dyDescent="0.35">
      <c r="A26" s="1"/>
      <c r="B26" s="73" t="s">
        <v>36</v>
      </c>
      <c r="C26" s="72">
        <f>SUM(C27:C32)</f>
        <v>-481679</v>
      </c>
      <c r="D26" s="72">
        <f>SUM(D27:D32)</f>
        <v>-509821</v>
      </c>
      <c r="E26" s="72">
        <f>SUM(E27:E32)</f>
        <v>-482233</v>
      </c>
      <c r="F26" s="72">
        <f t="shared" ref="F26:J26" si="7">SUM(F27:F32)</f>
        <v>-498019</v>
      </c>
      <c r="G26" s="72">
        <f t="shared" si="7"/>
        <v>-491704</v>
      </c>
      <c r="H26" s="72">
        <f t="shared" si="7"/>
        <v>-487881</v>
      </c>
      <c r="I26" s="72">
        <f t="shared" si="7"/>
        <v>-682646</v>
      </c>
      <c r="J26" s="72">
        <f t="shared" si="7"/>
        <v>-786065</v>
      </c>
      <c r="K26" s="26"/>
      <c r="L26" s="26"/>
      <c r="M26" s="26"/>
      <c r="N26" s="26"/>
      <c r="O26" s="70"/>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row>
    <row r="27" spans="1:46" ht="18" hidden="1" customHeight="1" outlineLevel="1" x14ac:dyDescent="0.35">
      <c r="A27" s="1"/>
      <c r="B27" s="74" t="s">
        <v>43</v>
      </c>
      <c r="C27" s="72">
        <v>-217453</v>
      </c>
      <c r="D27" s="72">
        <v>-240665</v>
      </c>
      <c r="E27" s="72">
        <v>-240927</v>
      </c>
      <c r="F27" s="72">
        <v>-271698</v>
      </c>
      <c r="G27" s="72">
        <v>-263249</v>
      </c>
      <c r="H27" s="72">
        <v>-254763</v>
      </c>
      <c r="I27" s="72">
        <v>-309835</v>
      </c>
      <c r="J27" s="72">
        <v>-325355</v>
      </c>
      <c r="K27" s="26"/>
      <c r="L27" s="26"/>
      <c r="M27" s="26"/>
      <c r="N27" s="26"/>
      <c r="O27" s="70"/>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row>
    <row r="28" spans="1:46" ht="18" hidden="1" customHeight="1" outlineLevel="1" x14ac:dyDescent="0.35">
      <c r="A28" s="1"/>
      <c r="B28" s="74" t="s">
        <v>161</v>
      </c>
      <c r="C28" s="72">
        <v>-149311</v>
      </c>
      <c r="D28" s="72">
        <v>-155498</v>
      </c>
      <c r="E28" s="72">
        <v>-154931</v>
      </c>
      <c r="F28" s="72">
        <v>-104330</v>
      </c>
      <c r="G28" s="72">
        <v>-123492</v>
      </c>
      <c r="H28" s="72">
        <v>-127569</v>
      </c>
      <c r="I28" s="72">
        <v>-125578</v>
      </c>
      <c r="J28" s="72">
        <v>-151660</v>
      </c>
      <c r="K28" s="26"/>
      <c r="L28" s="26"/>
      <c r="M28" s="26"/>
      <c r="N28" s="26"/>
      <c r="O28" s="70"/>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row>
    <row r="29" spans="1:46" ht="18" hidden="1" customHeight="1" outlineLevel="1" x14ac:dyDescent="0.35">
      <c r="A29" s="1"/>
      <c r="B29" s="74" t="s">
        <v>46</v>
      </c>
      <c r="C29" s="72">
        <v>0</v>
      </c>
      <c r="D29" s="72">
        <v>0</v>
      </c>
      <c r="E29" s="72">
        <v>0</v>
      </c>
      <c r="F29" s="72">
        <v>-77544</v>
      </c>
      <c r="G29" s="72">
        <v>-82981</v>
      </c>
      <c r="H29" s="72">
        <v>-102325</v>
      </c>
      <c r="I29" s="72">
        <v>-171311</v>
      </c>
      <c r="J29" s="72">
        <v>-224582</v>
      </c>
      <c r="K29" s="26"/>
      <c r="L29" s="26"/>
      <c r="M29" s="26"/>
      <c r="N29" s="26"/>
      <c r="O29" s="70"/>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row>
    <row r="30" spans="1:46" ht="18" hidden="1" customHeight="1" outlineLevel="1" x14ac:dyDescent="0.35">
      <c r="A30" s="1"/>
      <c r="B30" s="74" t="s">
        <v>45</v>
      </c>
      <c r="C30" s="72">
        <v>-59975</v>
      </c>
      <c r="D30" s="72">
        <v>-62258</v>
      </c>
      <c r="E30" s="72">
        <v>-74432</v>
      </c>
      <c r="F30" s="72">
        <v>-20066</v>
      </c>
      <c r="G30" s="72">
        <v>-20816</v>
      </c>
      <c r="H30" s="72">
        <v>-22319</v>
      </c>
      <c r="I30" s="72">
        <v>-25748</v>
      </c>
      <c r="J30" s="72">
        <v>-25662</v>
      </c>
      <c r="K30" s="26"/>
      <c r="L30" s="26"/>
      <c r="M30" s="26"/>
      <c r="N30" s="26"/>
      <c r="O30" s="70"/>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row>
    <row r="31" spans="1:46" ht="18" hidden="1" customHeight="1" outlineLevel="1" x14ac:dyDescent="0.35">
      <c r="A31" s="1"/>
      <c r="B31" s="74" t="s">
        <v>44</v>
      </c>
      <c r="C31" s="72">
        <v>-32088</v>
      </c>
      <c r="D31" s="72">
        <v>-33185</v>
      </c>
      <c r="E31" s="72">
        <v>-34615</v>
      </c>
      <c r="F31" s="72">
        <v>-6621</v>
      </c>
      <c r="G31" s="72">
        <v>-1746</v>
      </c>
      <c r="H31" s="72">
        <v>-5727</v>
      </c>
      <c r="I31" s="72">
        <v>-11784</v>
      </c>
      <c r="J31" s="72">
        <v>-13530</v>
      </c>
      <c r="K31" s="26"/>
      <c r="L31" s="26"/>
      <c r="M31" s="26"/>
      <c r="N31" s="26"/>
      <c r="O31" s="70"/>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row>
    <row r="32" spans="1:46" ht="18" hidden="1" customHeight="1" outlineLevel="1" x14ac:dyDescent="0.35">
      <c r="A32" s="1"/>
      <c r="B32" s="74" t="s">
        <v>47</v>
      </c>
      <c r="C32" s="72">
        <v>-22852</v>
      </c>
      <c r="D32" s="72">
        <v>-18215</v>
      </c>
      <c r="E32" s="72">
        <v>22672</v>
      </c>
      <c r="F32" s="72">
        <v>-17760</v>
      </c>
      <c r="G32" s="72">
        <v>580</v>
      </c>
      <c r="H32" s="72">
        <v>24822</v>
      </c>
      <c r="I32" s="72">
        <v>-38390</v>
      </c>
      <c r="J32" s="72">
        <v>-45276</v>
      </c>
      <c r="K32" s="26"/>
      <c r="L32" s="26"/>
      <c r="M32" s="26"/>
      <c r="N32" s="26"/>
      <c r="O32" s="70"/>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row>
    <row r="33" spans="1:46" ht="18" customHeight="1" collapsed="1" x14ac:dyDescent="0.35">
      <c r="A33" s="25"/>
      <c r="B33" s="73" t="s">
        <v>177</v>
      </c>
      <c r="C33" s="72">
        <v>0</v>
      </c>
      <c r="D33" s="72">
        <v>0</v>
      </c>
      <c r="E33" s="72">
        <v>0</v>
      </c>
      <c r="F33" s="72">
        <v>0</v>
      </c>
      <c r="G33" s="72">
        <v>0</v>
      </c>
      <c r="H33" s="72">
        <v>-492</v>
      </c>
      <c r="I33" s="72">
        <v>-64271</v>
      </c>
      <c r="J33" s="72">
        <v>-223878</v>
      </c>
      <c r="K33" s="26"/>
      <c r="L33" s="26"/>
      <c r="M33" s="26"/>
      <c r="N33" s="26"/>
      <c r="O33" s="70"/>
      <c r="P33" s="4"/>
      <c r="Q33" s="1"/>
      <c r="R33" s="1"/>
      <c r="S33" s="5"/>
      <c r="T33" s="5"/>
      <c r="U33" s="5"/>
      <c r="V33" s="1"/>
      <c r="W33" s="1"/>
      <c r="X33" s="1"/>
      <c r="Y33" s="1"/>
      <c r="Z33" s="1"/>
      <c r="AA33" s="1"/>
      <c r="AB33" s="1"/>
      <c r="AC33" s="1"/>
      <c r="AD33" s="1"/>
      <c r="AE33" s="1"/>
      <c r="AF33" s="1"/>
      <c r="AG33" s="1"/>
      <c r="AH33" s="1"/>
      <c r="AI33" s="1"/>
      <c r="AJ33" s="1"/>
      <c r="AK33" s="1"/>
      <c r="AL33" s="1"/>
      <c r="AM33" s="1"/>
      <c r="AN33" s="1"/>
      <c r="AO33" s="1"/>
      <c r="AP33" s="1"/>
      <c r="AQ33" s="1"/>
      <c r="AR33" s="1"/>
      <c r="AS33" s="1"/>
      <c r="AT33" s="1"/>
    </row>
    <row r="34" spans="1:46" ht="18" customHeight="1" x14ac:dyDescent="0.35">
      <c r="A34" s="25"/>
      <c r="B34" s="73" t="s">
        <v>47</v>
      </c>
      <c r="C34" s="72">
        <f t="shared" ref="C34:J34" si="8">SUM(C35:C36,C39,C46:C51)</f>
        <v>5438</v>
      </c>
      <c r="D34" s="72">
        <f t="shared" si="8"/>
        <v>-18156</v>
      </c>
      <c r="E34" s="72">
        <f t="shared" si="8"/>
        <v>-10806</v>
      </c>
      <c r="F34" s="72">
        <f t="shared" si="8"/>
        <v>718329</v>
      </c>
      <c r="G34" s="72">
        <f t="shared" si="8"/>
        <v>79276</v>
      </c>
      <c r="H34" s="72">
        <f t="shared" si="8"/>
        <v>209495</v>
      </c>
      <c r="I34" s="72">
        <f t="shared" si="8"/>
        <v>169254</v>
      </c>
      <c r="J34" s="72">
        <f t="shared" si="8"/>
        <v>66106</v>
      </c>
      <c r="K34" s="26"/>
      <c r="L34" s="26"/>
      <c r="M34" s="26"/>
      <c r="N34" s="26"/>
      <c r="O34" s="70"/>
      <c r="P34" s="4"/>
      <c r="Q34" s="1"/>
      <c r="R34" s="1"/>
      <c r="S34" s="5"/>
      <c r="T34" s="5"/>
      <c r="U34" s="5"/>
      <c r="V34" s="1"/>
      <c r="W34" s="1"/>
      <c r="X34" s="1"/>
      <c r="Y34" s="1"/>
      <c r="Z34" s="1"/>
      <c r="AA34" s="1"/>
      <c r="AB34" s="1"/>
      <c r="AC34" s="1"/>
      <c r="AD34" s="1"/>
      <c r="AE34" s="1"/>
      <c r="AF34" s="1"/>
      <c r="AG34" s="1"/>
      <c r="AH34" s="1"/>
      <c r="AI34" s="1"/>
      <c r="AJ34" s="1"/>
      <c r="AK34" s="1"/>
      <c r="AL34" s="1"/>
      <c r="AM34" s="1"/>
      <c r="AN34" s="1"/>
      <c r="AO34" s="1"/>
      <c r="AP34" s="1"/>
      <c r="AQ34" s="1"/>
      <c r="AR34" s="1"/>
      <c r="AS34" s="1"/>
      <c r="AT34" s="1"/>
    </row>
    <row r="35" spans="1:46" ht="18" hidden="1" customHeight="1" outlineLevel="1" x14ac:dyDescent="0.35">
      <c r="A35" s="25"/>
      <c r="B35" s="74" t="s">
        <v>164</v>
      </c>
      <c r="C35" s="72">
        <v>-1661</v>
      </c>
      <c r="D35" s="72">
        <v>-20964</v>
      </c>
      <c r="E35" s="72">
        <v>-12912</v>
      </c>
      <c r="F35" s="72">
        <v>-34133</v>
      </c>
      <c r="G35" s="72">
        <v>-7592</v>
      </c>
      <c r="H35" s="72">
        <v>-2529</v>
      </c>
      <c r="I35" s="72">
        <v>-8592</v>
      </c>
      <c r="J35" s="72">
        <v>-8410</v>
      </c>
      <c r="K35" s="26"/>
      <c r="L35" s="26"/>
      <c r="M35" s="26"/>
      <c r="N35" s="26"/>
      <c r="O35" s="70"/>
      <c r="P35" s="4"/>
      <c r="Q35" s="1"/>
      <c r="R35" s="1"/>
      <c r="S35" s="5"/>
      <c r="T35" s="5"/>
      <c r="U35" s="5"/>
      <c r="V35" s="1"/>
      <c r="W35" s="1"/>
      <c r="X35" s="1"/>
      <c r="Y35" s="1"/>
      <c r="Z35" s="1"/>
      <c r="AA35" s="1"/>
      <c r="AB35" s="1"/>
      <c r="AC35" s="1"/>
      <c r="AD35" s="1"/>
      <c r="AE35" s="1"/>
      <c r="AF35" s="1"/>
      <c r="AG35" s="1"/>
      <c r="AH35" s="1"/>
      <c r="AI35" s="1"/>
      <c r="AJ35" s="1"/>
      <c r="AK35" s="1"/>
      <c r="AL35" s="1"/>
      <c r="AM35" s="1"/>
      <c r="AN35" s="1"/>
      <c r="AO35" s="1"/>
      <c r="AP35" s="1"/>
      <c r="AQ35" s="1"/>
      <c r="AR35" s="1"/>
      <c r="AS35" s="1"/>
      <c r="AT35" s="1"/>
    </row>
    <row r="36" spans="1:46" ht="18" hidden="1" customHeight="1" outlineLevel="1" x14ac:dyDescent="0.35">
      <c r="A36" s="25"/>
      <c r="B36" s="74" t="s">
        <v>165</v>
      </c>
      <c r="C36" s="72">
        <f xml:space="preserve"> SUM(C37:C38)</f>
        <v>0</v>
      </c>
      <c r="D36" s="72">
        <f t="shared" ref="D36:J36" si="9" xml:space="preserve"> SUM(D37:D38)</f>
        <v>0</v>
      </c>
      <c r="E36" s="72">
        <f t="shared" si="9"/>
        <v>0</v>
      </c>
      <c r="F36" s="72">
        <f t="shared" si="9"/>
        <v>26382</v>
      </c>
      <c r="G36" s="72">
        <f t="shared" si="9"/>
        <v>6151</v>
      </c>
      <c r="H36" s="72">
        <f t="shared" si="9"/>
        <v>3901</v>
      </c>
      <c r="I36" s="72">
        <f t="shared" si="9"/>
        <v>6140</v>
      </c>
      <c r="J36" s="72">
        <f t="shared" si="9"/>
        <v>3816</v>
      </c>
      <c r="K36" s="26"/>
      <c r="L36" s="26"/>
      <c r="M36" s="26"/>
      <c r="N36" s="26"/>
      <c r="O36" s="70"/>
      <c r="P36" s="4"/>
      <c r="Q36" s="1"/>
      <c r="R36" s="1"/>
      <c r="S36" s="5"/>
      <c r="T36" s="5"/>
      <c r="U36" s="5"/>
      <c r="V36" s="1"/>
      <c r="W36" s="1"/>
      <c r="X36" s="1"/>
      <c r="Y36" s="1"/>
      <c r="Z36" s="1"/>
      <c r="AA36" s="1"/>
      <c r="AB36" s="1"/>
      <c r="AC36" s="1"/>
      <c r="AD36" s="1"/>
      <c r="AE36" s="1"/>
      <c r="AF36" s="1"/>
      <c r="AG36" s="1"/>
      <c r="AH36" s="1"/>
      <c r="AI36" s="1"/>
      <c r="AJ36" s="1"/>
      <c r="AK36" s="1"/>
      <c r="AL36" s="1"/>
      <c r="AM36" s="1"/>
      <c r="AN36" s="1"/>
      <c r="AO36" s="1"/>
      <c r="AP36" s="1"/>
      <c r="AQ36" s="1"/>
      <c r="AR36" s="1"/>
      <c r="AS36" s="1"/>
      <c r="AT36" s="1"/>
    </row>
    <row r="37" spans="1:46" ht="18" hidden="1" customHeight="1" outlineLevel="1" x14ac:dyDescent="0.35">
      <c r="A37" s="25"/>
      <c r="B37" s="75" t="s">
        <v>166</v>
      </c>
      <c r="C37" s="72">
        <v>0</v>
      </c>
      <c r="D37" s="72">
        <v>0</v>
      </c>
      <c r="E37" s="72">
        <v>0</v>
      </c>
      <c r="F37" s="72">
        <v>15118</v>
      </c>
      <c r="G37" s="72">
        <v>5147</v>
      </c>
      <c r="H37" s="72">
        <v>-2220</v>
      </c>
      <c r="I37" s="72">
        <v>3966</v>
      </c>
      <c r="J37" s="72">
        <v>3816</v>
      </c>
      <c r="K37" s="26"/>
      <c r="L37" s="26"/>
      <c r="M37" s="26"/>
      <c r="N37" s="26"/>
      <c r="O37" s="70"/>
      <c r="P37" s="4"/>
      <c r="Q37" s="1"/>
      <c r="R37" s="1"/>
      <c r="S37" s="5"/>
      <c r="T37" s="5"/>
      <c r="U37" s="5"/>
      <c r="V37" s="1"/>
      <c r="W37" s="1"/>
      <c r="X37" s="1"/>
      <c r="Y37" s="1"/>
      <c r="Z37" s="1"/>
      <c r="AA37" s="1"/>
      <c r="AB37" s="1"/>
      <c r="AC37" s="1"/>
      <c r="AD37" s="1"/>
      <c r="AE37" s="1"/>
      <c r="AF37" s="1"/>
      <c r="AG37" s="1"/>
      <c r="AH37" s="1"/>
      <c r="AI37" s="1"/>
      <c r="AJ37" s="1"/>
      <c r="AK37" s="1"/>
      <c r="AL37" s="1"/>
      <c r="AM37" s="1"/>
      <c r="AN37" s="1"/>
      <c r="AO37" s="1"/>
      <c r="AP37" s="1"/>
      <c r="AQ37" s="1"/>
      <c r="AR37" s="1"/>
      <c r="AS37" s="1"/>
      <c r="AT37" s="1"/>
    </row>
    <row r="38" spans="1:46" ht="18" hidden="1" customHeight="1" outlineLevel="1" x14ac:dyDescent="0.35">
      <c r="A38" s="25"/>
      <c r="B38" s="75" t="s">
        <v>167</v>
      </c>
      <c r="C38" s="72">
        <v>0</v>
      </c>
      <c r="D38" s="72"/>
      <c r="E38" s="72">
        <v>0</v>
      </c>
      <c r="F38" s="72">
        <v>11264</v>
      </c>
      <c r="G38" s="72">
        <v>1004</v>
      </c>
      <c r="H38" s="72">
        <v>6121</v>
      </c>
      <c r="I38" s="72">
        <v>2174</v>
      </c>
      <c r="J38" s="72">
        <v>0</v>
      </c>
      <c r="K38" s="26"/>
      <c r="L38" s="26"/>
      <c r="M38" s="26"/>
      <c r="N38" s="26"/>
      <c r="O38" s="70"/>
      <c r="P38" s="4"/>
      <c r="Q38" s="1"/>
      <c r="R38" s="1"/>
      <c r="S38" s="5"/>
      <c r="T38" s="5"/>
      <c r="U38" s="5"/>
      <c r="V38" s="1"/>
      <c r="W38" s="1"/>
      <c r="X38" s="1"/>
      <c r="Y38" s="1"/>
      <c r="Z38" s="1"/>
      <c r="AA38" s="1"/>
      <c r="AB38" s="1"/>
      <c r="AC38" s="1"/>
      <c r="AD38" s="1"/>
      <c r="AE38" s="1"/>
      <c r="AF38" s="1"/>
      <c r="AG38" s="1"/>
      <c r="AH38" s="1"/>
      <c r="AI38" s="1"/>
      <c r="AJ38" s="1"/>
      <c r="AK38" s="1"/>
      <c r="AL38" s="1"/>
      <c r="AM38" s="1"/>
      <c r="AN38" s="1"/>
      <c r="AO38" s="1"/>
      <c r="AP38" s="1"/>
      <c r="AQ38" s="1"/>
      <c r="AR38" s="1"/>
      <c r="AS38" s="1"/>
      <c r="AT38" s="1"/>
    </row>
    <row r="39" spans="1:46" ht="18" hidden="1" customHeight="1" outlineLevel="1" x14ac:dyDescent="0.35">
      <c r="A39" s="25"/>
      <c r="B39" s="74" t="s">
        <v>48</v>
      </c>
      <c r="C39" s="72">
        <f>SUM(C40:C45)</f>
        <v>0</v>
      </c>
      <c r="D39" s="72">
        <f t="shared" ref="D39:G39" si="10">SUM(D40:D45)</f>
        <v>0</v>
      </c>
      <c r="E39" s="72">
        <f t="shared" si="10"/>
        <v>0</v>
      </c>
      <c r="F39" s="72">
        <f t="shared" si="10"/>
        <v>644893</v>
      </c>
      <c r="G39" s="72">
        <f t="shared" si="10"/>
        <v>150429</v>
      </c>
      <c r="H39" s="72">
        <v>228404</v>
      </c>
      <c r="I39" s="72">
        <v>200382</v>
      </c>
      <c r="J39" s="72">
        <v>73094</v>
      </c>
      <c r="K39" s="26"/>
      <c r="L39" s="26"/>
      <c r="M39" s="26"/>
      <c r="N39" s="26"/>
      <c r="O39" s="70"/>
      <c r="P39" s="4"/>
      <c r="Q39" s="1"/>
      <c r="R39" s="1"/>
      <c r="S39" s="5"/>
      <c r="T39" s="5"/>
      <c r="U39" s="5"/>
      <c r="V39" s="1"/>
      <c r="W39" s="1"/>
      <c r="X39" s="1"/>
      <c r="Y39" s="1"/>
      <c r="Z39" s="1"/>
      <c r="AA39" s="1"/>
      <c r="AB39" s="1"/>
      <c r="AC39" s="1"/>
      <c r="AD39" s="1"/>
      <c r="AE39" s="1"/>
      <c r="AF39" s="1"/>
      <c r="AG39" s="1"/>
      <c r="AH39" s="1"/>
      <c r="AI39" s="1"/>
      <c r="AJ39" s="1"/>
      <c r="AK39" s="1"/>
      <c r="AL39" s="1"/>
      <c r="AM39" s="1"/>
      <c r="AN39" s="1"/>
      <c r="AO39" s="1"/>
      <c r="AP39" s="1"/>
      <c r="AQ39" s="1"/>
      <c r="AR39" s="1"/>
      <c r="AS39" s="1"/>
      <c r="AT39" s="1"/>
    </row>
    <row r="40" spans="1:46" ht="18" hidden="1" customHeight="1" outlineLevel="1" x14ac:dyDescent="0.35">
      <c r="A40" s="25"/>
      <c r="B40" s="75" t="s">
        <v>168</v>
      </c>
      <c r="C40" s="72">
        <v>0</v>
      </c>
      <c r="D40" s="72">
        <v>0</v>
      </c>
      <c r="E40" s="72">
        <v>0</v>
      </c>
      <c r="F40" s="72">
        <v>663538</v>
      </c>
      <c r="G40" s="72">
        <v>0</v>
      </c>
      <c r="H40" s="72">
        <v>0</v>
      </c>
      <c r="I40" s="72">
        <v>0</v>
      </c>
      <c r="J40" s="72">
        <v>0</v>
      </c>
      <c r="K40" s="26"/>
      <c r="L40" s="26"/>
      <c r="M40" s="26"/>
      <c r="N40" s="26"/>
      <c r="O40" s="70"/>
      <c r="P40" s="4"/>
      <c r="Q40" s="1"/>
      <c r="R40" s="1"/>
      <c r="S40" s="5"/>
      <c r="T40" s="5"/>
      <c r="U40" s="5"/>
      <c r="V40" s="1"/>
      <c r="W40" s="1"/>
      <c r="X40" s="1"/>
      <c r="Y40" s="1"/>
      <c r="Z40" s="1"/>
      <c r="AA40" s="1"/>
      <c r="AB40" s="1"/>
      <c r="AC40" s="1"/>
      <c r="AD40" s="1"/>
      <c r="AE40" s="1"/>
      <c r="AF40" s="1"/>
      <c r="AG40" s="1"/>
      <c r="AH40" s="1"/>
      <c r="AI40" s="1"/>
      <c r="AJ40" s="1"/>
      <c r="AK40" s="1"/>
      <c r="AL40" s="1"/>
      <c r="AM40" s="1"/>
      <c r="AN40" s="1"/>
      <c r="AO40" s="1"/>
      <c r="AP40" s="1"/>
      <c r="AQ40" s="1"/>
      <c r="AR40" s="1"/>
      <c r="AS40" s="1"/>
      <c r="AT40" s="1"/>
    </row>
    <row r="41" spans="1:46" ht="18" hidden="1" customHeight="1" outlineLevel="1" x14ac:dyDescent="0.35">
      <c r="A41" s="25"/>
      <c r="B41" s="75" t="s">
        <v>169</v>
      </c>
      <c r="C41" s="72">
        <v>0</v>
      </c>
      <c r="D41" s="72">
        <v>0</v>
      </c>
      <c r="E41" s="72">
        <v>0</v>
      </c>
      <c r="F41" s="72">
        <v>0</v>
      </c>
      <c r="G41" s="72">
        <v>94902</v>
      </c>
      <c r="H41" s="72">
        <v>0</v>
      </c>
      <c r="I41" s="72">
        <v>0</v>
      </c>
      <c r="J41" s="72">
        <v>0</v>
      </c>
      <c r="K41" s="26"/>
      <c r="L41" s="26"/>
      <c r="M41" s="26"/>
      <c r="N41" s="26"/>
      <c r="O41" s="70"/>
      <c r="P41" s="4"/>
      <c r="Q41" s="1"/>
      <c r="R41" s="1"/>
      <c r="S41" s="5"/>
      <c r="T41" s="5"/>
      <c r="U41" s="5"/>
      <c r="V41" s="1"/>
      <c r="W41" s="1"/>
      <c r="X41" s="1"/>
      <c r="Y41" s="1"/>
      <c r="Z41" s="1"/>
      <c r="AA41" s="1"/>
      <c r="AB41" s="1"/>
      <c r="AC41" s="1"/>
      <c r="AD41" s="1"/>
      <c r="AE41" s="1"/>
      <c r="AF41" s="1"/>
      <c r="AG41" s="1"/>
      <c r="AH41" s="1"/>
      <c r="AI41" s="1"/>
      <c r="AJ41" s="1"/>
      <c r="AK41" s="1"/>
      <c r="AL41" s="1"/>
      <c r="AM41" s="1"/>
      <c r="AN41" s="1"/>
      <c r="AO41" s="1"/>
      <c r="AP41" s="1"/>
      <c r="AQ41" s="1"/>
      <c r="AR41" s="1"/>
      <c r="AS41" s="1"/>
      <c r="AT41" s="1"/>
    </row>
    <row r="42" spans="1:46" ht="18" hidden="1" customHeight="1" outlineLevel="1" x14ac:dyDescent="0.35">
      <c r="A42" s="25"/>
      <c r="B42" s="75" t="s">
        <v>170</v>
      </c>
      <c r="C42" s="72">
        <v>0</v>
      </c>
      <c r="D42" s="72">
        <v>0</v>
      </c>
      <c r="E42" s="72">
        <v>0</v>
      </c>
      <c r="F42" s="72">
        <v>0</v>
      </c>
      <c r="G42" s="72">
        <v>47654</v>
      </c>
      <c r="H42" s="72">
        <v>0</v>
      </c>
      <c r="I42" s="72">
        <v>0</v>
      </c>
      <c r="J42" s="72">
        <v>0</v>
      </c>
      <c r="K42" s="26"/>
      <c r="L42" s="26"/>
      <c r="M42" s="26"/>
      <c r="N42" s="26"/>
      <c r="O42" s="70"/>
      <c r="P42" s="4"/>
      <c r="Q42" s="1"/>
      <c r="R42" s="1"/>
      <c r="S42" s="5"/>
      <c r="T42" s="5"/>
      <c r="U42" s="5"/>
      <c r="V42" s="1"/>
      <c r="W42" s="1"/>
      <c r="X42" s="1"/>
      <c r="Y42" s="1"/>
      <c r="Z42" s="1"/>
      <c r="AA42" s="1"/>
      <c r="AB42" s="1"/>
      <c r="AC42" s="1"/>
      <c r="AD42" s="1"/>
      <c r="AE42" s="1"/>
      <c r="AF42" s="1"/>
      <c r="AG42" s="1"/>
      <c r="AH42" s="1"/>
      <c r="AI42" s="1"/>
      <c r="AJ42" s="1"/>
      <c r="AK42" s="1"/>
      <c r="AL42" s="1"/>
      <c r="AM42" s="1"/>
      <c r="AN42" s="1"/>
      <c r="AO42" s="1"/>
      <c r="AP42" s="1"/>
      <c r="AQ42" s="1"/>
      <c r="AR42" s="1"/>
      <c r="AS42" s="1"/>
      <c r="AT42" s="1"/>
    </row>
    <row r="43" spans="1:46" ht="18" hidden="1" customHeight="1" outlineLevel="1" x14ac:dyDescent="0.35">
      <c r="A43" s="25"/>
      <c r="B43" s="75" t="s">
        <v>171</v>
      </c>
      <c r="C43" s="72">
        <v>0</v>
      </c>
      <c r="D43" s="72">
        <v>0</v>
      </c>
      <c r="E43" s="72">
        <v>0</v>
      </c>
      <c r="F43" s="72">
        <v>0</v>
      </c>
      <c r="G43" s="72">
        <v>22014</v>
      </c>
      <c r="H43" s="72">
        <v>0</v>
      </c>
      <c r="I43" s="72">
        <v>0</v>
      </c>
      <c r="J43" s="72">
        <v>0</v>
      </c>
      <c r="K43" s="26"/>
      <c r="L43" s="26"/>
      <c r="M43" s="26"/>
      <c r="N43" s="26"/>
      <c r="O43" s="70"/>
      <c r="P43" s="4"/>
      <c r="Q43" s="1"/>
      <c r="R43" s="1"/>
      <c r="S43" s="5"/>
      <c r="T43" s="5"/>
      <c r="U43" s="5"/>
      <c r="V43" s="1"/>
      <c r="W43" s="1"/>
      <c r="X43" s="1"/>
      <c r="Y43" s="1"/>
      <c r="Z43" s="1"/>
      <c r="AA43" s="1"/>
      <c r="AB43" s="1"/>
      <c r="AC43" s="1"/>
      <c r="AD43" s="1"/>
      <c r="AE43" s="1"/>
      <c r="AF43" s="1"/>
      <c r="AG43" s="1"/>
      <c r="AH43" s="1"/>
      <c r="AI43" s="1"/>
      <c r="AJ43" s="1"/>
      <c r="AK43" s="1"/>
      <c r="AL43" s="1"/>
      <c r="AM43" s="1"/>
      <c r="AN43" s="1"/>
      <c r="AO43" s="1"/>
      <c r="AP43" s="1"/>
      <c r="AQ43" s="1"/>
      <c r="AR43" s="1"/>
      <c r="AS43" s="1"/>
      <c r="AT43" s="1"/>
    </row>
    <row r="44" spans="1:46" ht="18" hidden="1" customHeight="1" outlineLevel="1" x14ac:dyDescent="0.35">
      <c r="A44" s="25"/>
      <c r="B44" s="75" t="s">
        <v>172</v>
      </c>
      <c r="C44" s="72">
        <v>0</v>
      </c>
      <c r="D44" s="72">
        <v>0</v>
      </c>
      <c r="E44" s="72">
        <v>0</v>
      </c>
      <c r="F44" s="72">
        <v>2853</v>
      </c>
      <c r="G44" s="72">
        <v>0</v>
      </c>
      <c r="H44" s="72">
        <v>0</v>
      </c>
      <c r="I44" s="72">
        <v>0</v>
      </c>
      <c r="J44" s="72">
        <v>0</v>
      </c>
      <c r="K44" s="26"/>
      <c r="L44" s="26"/>
      <c r="M44" s="26"/>
      <c r="N44" s="26"/>
      <c r="O44" s="70"/>
      <c r="P44" s="4"/>
      <c r="Q44" s="1"/>
      <c r="R44" s="1"/>
      <c r="S44" s="5"/>
      <c r="T44" s="5"/>
      <c r="U44" s="5"/>
      <c r="V44" s="1"/>
      <c r="W44" s="1"/>
      <c r="X44" s="1"/>
      <c r="Y44" s="1"/>
      <c r="Z44" s="1"/>
      <c r="AA44" s="1"/>
      <c r="AB44" s="1"/>
      <c r="AC44" s="1"/>
      <c r="AD44" s="1"/>
      <c r="AE44" s="1"/>
      <c r="AF44" s="1"/>
      <c r="AG44" s="1"/>
      <c r="AH44" s="1"/>
      <c r="AI44" s="1"/>
      <c r="AJ44" s="1"/>
      <c r="AK44" s="1"/>
      <c r="AL44" s="1"/>
      <c r="AM44" s="1"/>
      <c r="AN44" s="1"/>
      <c r="AO44" s="1"/>
      <c r="AP44" s="1"/>
      <c r="AQ44" s="1"/>
      <c r="AR44" s="1"/>
      <c r="AS44" s="1"/>
      <c r="AT44" s="1"/>
    </row>
    <row r="45" spans="1:46" ht="18" hidden="1" customHeight="1" outlineLevel="1" x14ac:dyDescent="0.35">
      <c r="A45" s="25"/>
      <c r="B45" s="75" t="s">
        <v>173</v>
      </c>
      <c r="C45" s="72">
        <v>0</v>
      </c>
      <c r="D45" s="72">
        <v>0</v>
      </c>
      <c r="E45" s="72">
        <v>0</v>
      </c>
      <c r="F45" s="72">
        <v>-21498</v>
      </c>
      <c r="G45" s="72">
        <v>-14141</v>
      </c>
      <c r="H45" s="72">
        <v>0</v>
      </c>
      <c r="I45" s="72">
        <v>0</v>
      </c>
      <c r="J45" s="72">
        <v>0</v>
      </c>
      <c r="K45" s="26"/>
      <c r="L45" s="26"/>
      <c r="M45" s="26"/>
      <c r="N45" s="26"/>
      <c r="O45" s="70"/>
      <c r="P45" s="4"/>
      <c r="Q45" s="1"/>
      <c r="R45" s="1"/>
      <c r="S45" s="5"/>
      <c r="T45" s="5"/>
      <c r="U45" s="5"/>
      <c r="V45" s="1"/>
      <c r="W45" s="1"/>
      <c r="X45" s="1"/>
      <c r="Y45" s="1"/>
      <c r="Z45" s="1"/>
      <c r="AA45" s="1"/>
      <c r="AB45" s="1"/>
      <c r="AC45" s="1"/>
      <c r="AD45" s="1"/>
      <c r="AE45" s="1"/>
      <c r="AF45" s="1"/>
      <c r="AG45" s="1"/>
      <c r="AH45" s="1"/>
      <c r="AI45" s="1"/>
      <c r="AJ45" s="1"/>
      <c r="AK45" s="1"/>
      <c r="AL45" s="1"/>
      <c r="AM45" s="1"/>
      <c r="AN45" s="1"/>
      <c r="AO45" s="1"/>
      <c r="AP45" s="1"/>
      <c r="AQ45" s="1"/>
      <c r="AR45" s="1"/>
      <c r="AS45" s="1"/>
      <c r="AT45" s="1"/>
    </row>
    <row r="46" spans="1:46" ht="18" hidden="1" customHeight="1" outlineLevel="1" x14ac:dyDescent="0.35">
      <c r="A46" s="25"/>
      <c r="B46" s="74" t="s">
        <v>174</v>
      </c>
      <c r="C46" s="72">
        <v>0</v>
      </c>
      <c r="D46" s="72">
        <v>0</v>
      </c>
      <c r="E46" s="72">
        <v>0</v>
      </c>
      <c r="F46" s="72">
        <v>0</v>
      </c>
      <c r="G46" s="72">
        <v>0</v>
      </c>
      <c r="H46" s="72">
        <v>0</v>
      </c>
      <c r="I46" s="72">
        <v>0</v>
      </c>
      <c r="J46" s="72">
        <v>-7407</v>
      </c>
      <c r="K46" s="26"/>
      <c r="L46" s="26"/>
      <c r="M46" s="26"/>
      <c r="N46" s="26"/>
      <c r="O46" s="70"/>
      <c r="P46" s="4"/>
      <c r="Q46" s="1"/>
      <c r="R46" s="1"/>
      <c r="S46" s="5"/>
      <c r="T46" s="5"/>
      <c r="U46" s="5"/>
      <c r="V46" s="1"/>
      <c r="W46" s="1"/>
      <c r="X46" s="1"/>
      <c r="Y46" s="1"/>
      <c r="Z46" s="1"/>
      <c r="AA46" s="1"/>
      <c r="AB46" s="1"/>
      <c r="AC46" s="1"/>
      <c r="AD46" s="1"/>
      <c r="AE46" s="1"/>
      <c r="AF46" s="1"/>
      <c r="AG46" s="1"/>
      <c r="AH46" s="1"/>
      <c r="AI46" s="1"/>
      <c r="AJ46" s="1"/>
      <c r="AK46" s="1"/>
      <c r="AL46" s="1"/>
      <c r="AM46" s="1"/>
      <c r="AN46" s="1"/>
      <c r="AO46" s="1"/>
      <c r="AP46" s="1"/>
      <c r="AQ46" s="1"/>
      <c r="AR46" s="1"/>
      <c r="AS46" s="1"/>
      <c r="AT46" s="1"/>
    </row>
    <row r="47" spans="1:46" ht="18" hidden="1" customHeight="1" outlineLevel="1" x14ac:dyDescent="0.35">
      <c r="A47" s="25"/>
      <c r="B47" s="74" t="s">
        <v>175</v>
      </c>
      <c r="C47" s="72">
        <v>0</v>
      </c>
      <c r="D47" s="72">
        <v>0</v>
      </c>
      <c r="E47" s="72">
        <v>0</v>
      </c>
      <c r="F47" s="72">
        <v>72272</v>
      </c>
      <c r="G47" s="72">
        <v>-25791</v>
      </c>
      <c r="H47" s="72">
        <v>-13644</v>
      </c>
      <c r="I47" s="72">
        <v>-6453</v>
      </c>
      <c r="J47" s="72">
        <v>10536</v>
      </c>
      <c r="K47" s="26"/>
      <c r="L47" s="26"/>
      <c r="M47" s="26"/>
      <c r="N47" s="26"/>
      <c r="O47" s="70"/>
      <c r="P47" s="4"/>
      <c r="Q47" s="1"/>
      <c r="R47" s="1"/>
      <c r="S47" s="5"/>
      <c r="T47" s="5"/>
      <c r="U47" s="5"/>
      <c r="V47" s="1"/>
      <c r="W47" s="1"/>
      <c r="X47" s="1"/>
      <c r="Y47" s="1"/>
      <c r="Z47" s="1"/>
      <c r="AA47" s="1"/>
      <c r="AB47" s="1"/>
      <c r="AC47" s="1"/>
      <c r="AD47" s="1"/>
      <c r="AE47" s="1"/>
      <c r="AF47" s="1"/>
      <c r="AG47" s="1"/>
      <c r="AH47" s="1"/>
      <c r="AI47" s="1"/>
      <c r="AJ47" s="1"/>
      <c r="AK47" s="1"/>
      <c r="AL47" s="1"/>
      <c r="AM47" s="1"/>
      <c r="AN47" s="1"/>
      <c r="AO47" s="1"/>
      <c r="AP47" s="1"/>
      <c r="AQ47" s="1"/>
      <c r="AR47" s="1"/>
      <c r="AS47" s="1"/>
      <c r="AT47" s="1"/>
    </row>
    <row r="48" spans="1:46" ht="18" hidden="1" customHeight="1" outlineLevel="1" x14ac:dyDescent="0.35">
      <c r="A48" s="25"/>
      <c r="B48" s="74" t="s">
        <v>176</v>
      </c>
      <c r="C48" s="72">
        <v>0</v>
      </c>
      <c r="D48" s="72">
        <v>0</v>
      </c>
      <c r="E48" s="72">
        <v>0</v>
      </c>
      <c r="F48" s="72">
        <v>0</v>
      </c>
      <c r="G48" s="72">
        <v>-29859</v>
      </c>
      <c r="H48" s="72">
        <v>-4309</v>
      </c>
      <c r="I48" s="72">
        <v>-7104</v>
      </c>
      <c r="J48" s="72">
        <v>-5030</v>
      </c>
      <c r="K48" s="26"/>
      <c r="L48" s="26"/>
      <c r="M48" s="26"/>
      <c r="N48" s="26"/>
      <c r="O48" s="70"/>
      <c r="P48" s="4"/>
      <c r="Q48" s="1"/>
      <c r="R48" s="1"/>
      <c r="S48" s="5"/>
      <c r="T48" s="5"/>
      <c r="U48" s="5"/>
      <c r="V48" s="1"/>
      <c r="W48" s="1"/>
      <c r="X48" s="1"/>
      <c r="Y48" s="1"/>
      <c r="Z48" s="1"/>
      <c r="AA48" s="1"/>
      <c r="AB48" s="1"/>
      <c r="AC48" s="1"/>
      <c r="AD48" s="1"/>
      <c r="AE48" s="1"/>
      <c r="AF48" s="1"/>
      <c r="AG48" s="1"/>
      <c r="AH48" s="1"/>
      <c r="AI48" s="1"/>
      <c r="AJ48" s="1"/>
      <c r="AK48" s="1"/>
      <c r="AL48" s="1"/>
      <c r="AM48" s="1"/>
      <c r="AN48" s="1"/>
      <c r="AO48" s="1"/>
      <c r="AP48" s="1"/>
      <c r="AQ48" s="1"/>
      <c r="AR48" s="1"/>
      <c r="AS48" s="1"/>
      <c r="AT48" s="1"/>
    </row>
    <row r="49" spans="1:46" ht="18" hidden="1" customHeight="1" outlineLevel="1" x14ac:dyDescent="0.35">
      <c r="A49" s="25"/>
      <c r="B49" s="74" t="s">
        <v>45</v>
      </c>
      <c r="C49" s="72">
        <v>-811</v>
      </c>
      <c r="D49" s="72">
        <v>-281</v>
      </c>
      <c r="E49" s="72">
        <v>0</v>
      </c>
      <c r="F49" s="72">
        <v>0</v>
      </c>
      <c r="G49" s="72">
        <v>0</v>
      </c>
      <c r="H49" s="72">
        <v>0</v>
      </c>
      <c r="I49" s="72">
        <v>0</v>
      </c>
      <c r="J49" s="72">
        <v>0</v>
      </c>
      <c r="K49" s="26"/>
      <c r="L49" s="26"/>
      <c r="M49" s="26"/>
      <c r="N49" s="26"/>
      <c r="O49" s="70"/>
      <c r="P49" s="4"/>
      <c r="Q49" s="1"/>
      <c r="R49" s="1"/>
      <c r="S49" s="5"/>
      <c r="T49" s="5"/>
      <c r="U49" s="5"/>
      <c r="V49" s="1"/>
      <c r="W49" s="1"/>
      <c r="X49" s="1"/>
      <c r="Y49" s="1"/>
      <c r="Z49" s="1"/>
      <c r="AA49" s="1"/>
      <c r="AB49" s="1"/>
      <c r="AC49" s="1"/>
      <c r="AD49" s="1"/>
      <c r="AE49" s="1"/>
      <c r="AF49" s="1"/>
      <c r="AG49" s="1"/>
      <c r="AH49" s="1"/>
      <c r="AI49" s="1"/>
      <c r="AJ49" s="1"/>
      <c r="AK49" s="1"/>
      <c r="AL49" s="1"/>
      <c r="AM49" s="1"/>
      <c r="AN49" s="1"/>
      <c r="AO49" s="1"/>
      <c r="AP49" s="1"/>
      <c r="AQ49" s="1"/>
      <c r="AR49" s="1"/>
      <c r="AS49" s="1"/>
      <c r="AT49" s="1"/>
    </row>
    <row r="50" spans="1:46" ht="18" hidden="1" customHeight="1" outlineLevel="1" x14ac:dyDescent="0.35">
      <c r="A50" s="25"/>
      <c r="B50" s="74" t="s">
        <v>178</v>
      </c>
      <c r="C50" s="72">
        <v>0</v>
      </c>
      <c r="D50" s="72">
        <v>0</v>
      </c>
      <c r="E50" s="72">
        <v>0</v>
      </c>
      <c r="F50" s="72">
        <v>0</v>
      </c>
      <c r="G50" s="72">
        <v>0</v>
      </c>
      <c r="H50" s="72">
        <v>0</v>
      </c>
      <c r="I50" s="72">
        <v>0</v>
      </c>
      <c r="J50" s="72">
        <v>0</v>
      </c>
      <c r="K50" s="26"/>
      <c r="L50" s="26"/>
      <c r="M50" s="26"/>
      <c r="N50" s="26"/>
      <c r="O50" s="70"/>
      <c r="P50" s="4"/>
      <c r="Q50" s="1"/>
      <c r="R50" s="1"/>
      <c r="S50" s="5"/>
      <c r="T50" s="5"/>
      <c r="U50" s="5"/>
      <c r="V50" s="1"/>
      <c r="W50" s="1"/>
      <c r="X50" s="1"/>
      <c r="Y50" s="1"/>
      <c r="Z50" s="1"/>
      <c r="AA50" s="1"/>
      <c r="AB50" s="1"/>
      <c r="AC50" s="1"/>
      <c r="AD50" s="1"/>
      <c r="AE50" s="1"/>
      <c r="AF50" s="1"/>
      <c r="AG50" s="1"/>
      <c r="AH50" s="1"/>
      <c r="AI50" s="1"/>
      <c r="AJ50" s="1"/>
      <c r="AK50" s="1"/>
      <c r="AL50" s="1"/>
      <c r="AM50" s="1"/>
      <c r="AN50" s="1"/>
      <c r="AO50" s="1"/>
      <c r="AP50" s="1"/>
      <c r="AQ50" s="1"/>
      <c r="AR50" s="1"/>
      <c r="AS50" s="1"/>
      <c r="AT50" s="1"/>
    </row>
    <row r="51" spans="1:46" ht="18" hidden="1" customHeight="1" outlineLevel="1" x14ac:dyDescent="0.35">
      <c r="A51" s="25"/>
      <c r="B51" s="74" t="s">
        <v>47</v>
      </c>
      <c r="C51" s="72">
        <v>7910</v>
      </c>
      <c r="D51" s="72">
        <v>3089</v>
      </c>
      <c r="E51" s="72">
        <v>2106</v>
      </c>
      <c r="F51" s="72">
        <v>8915</v>
      </c>
      <c r="G51" s="72">
        <v>-14062</v>
      </c>
      <c r="H51" s="72">
        <v>-2328</v>
      </c>
      <c r="I51" s="72">
        <v>-15119</v>
      </c>
      <c r="J51" s="72">
        <v>-493</v>
      </c>
      <c r="K51" s="26"/>
      <c r="L51" s="26"/>
      <c r="M51" s="26"/>
      <c r="N51" s="26"/>
      <c r="O51" s="70"/>
      <c r="P51" s="4"/>
      <c r="Q51" s="1"/>
      <c r="R51" s="1"/>
      <c r="S51" s="5"/>
      <c r="T51" s="5"/>
      <c r="U51" s="5"/>
      <c r="V51" s="1"/>
      <c r="W51" s="1"/>
      <c r="X51" s="1"/>
      <c r="Y51" s="1"/>
      <c r="Z51" s="1"/>
      <c r="AA51" s="1"/>
      <c r="AB51" s="1"/>
      <c r="AC51" s="1"/>
      <c r="AD51" s="1"/>
      <c r="AE51" s="1"/>
      <c r="AF51" s="1"/>
      <c r="AG51" s="1"/>
      <c r="AH51" s="1"/>
      <c r="AI51" s="1"/>
      <c r="AJ51" s="1"/>
      <c r="AK51" s="1"/>
      <c r="AL51" s="1"/>
      <c r="AM51" s="1"/>
      <c r="AN51" s="1"/>
      <c r="AO51" s="1"/>
      <c r="AP51" s="1"/>
      <c r="AQ51" s="1"/>
      <c r="AR51" s="1"/>
      <c r="AS51" s="1"/>
      <c r="AT51" s="1"/>
    </row>
    <row r="52" spans="1:46" ht="18" customHeight="1" collapsed="1" x14ac:dyDescent="0.35">
      <c r="A52" s="6"/>
      <c r="B52" s="59" t="s">
        <v>37</v>
      </c>
      <c r="C52" s="72">
        <f>C15+C16</f>
        <v>-7554</v>
      </c>
      <c r="D52" s="72">
        <f t="shared" ref="D52:I52" si="11">D15+D16</f>
        <v>296700</v>
      </c>
      <c r="E52" s="72">
        <f t="shared" si="11"/>
        <v>328975</v>
      </c>
      <c r="F52" s="72">
        <f t="shared" si="11"/>
        <v>1033086</v>
      </c>
      <c r="G52" s="72">
        <f t="shared" si="11"/>
        <v>-164238</v>
      </c>
      <c r="H52" s="72">
        <f t="shared" si="11"/>
        <v>92799</v>
      </c>
      <c r="I52" s="72">
        <f t="shared" si="11"/>
        <v>268181</v>
      </c>
      <c r="J52" s="72">
        <f>J15+J16</f>
        <v>394448</v>
      </c>
      <c r="K52" s="26"/>
      <c r="L52" s="26"/>
      <c r="M52" s="26"/>
      <c r="N52" s="26"/>
      <c r="O52" s="70"/>
      <c r="P52" s="7"/>
      <c r="Q52" s="4"/>
      <c r="R52" s="4"/>
      <c r="S52" s="1"/>
      <c r="T52" s="1"/>
      <c r="U52" s="5"/>
      <c r="V52" s="5"/>
      <c r="W52" s="5"/>
      <c r="X52" s="1"/>
      <c r="Y52" s="1"/>
      <c r="Z52" s="1"/>
      <c r="AA52" s="1"/>
      <c r="AB52" s="1"/>
      <c r="AC52" s="1"/>
      <c r="AD52" s="1"/>
      <c r="AE52" s="1"/>
      <c r="AF52" s="1"/>
      <c r="AG52" s="1"/>
      <c r="AH52" s="1"/>
      <c r="AI52" s="1"/>
      <c r="AJ52" s="1"/>
      <c r="AK52" s="1"/>
      <c r="AL52" s="1"/>
      <c r="AM52" s="1"/>
      <c r="AN52" s="1"/>
      <c r="AO52" s="1"/>
      <c r="AP52" s="1"/>
      <c r="AQ52" s="1"/>
      <c r="AR52" s="1"/>
      <c r="AS52" s="1"/>
      <c r="AT52" s="1"/>
    </row>
    <row r="53" spans="1:46" ht="18" customHeight="1" x14ac:dyDescent="0.35">
      <c r="A53" s="7"/>
      <c r="B53" s="59" t="s">
        <v>42</v>
      </c>
      <c r="C53" s="72">
        <f>C39+C47+C48</f>
        <v>0</v>
      </c>
      <c r="D53" s="72">
        <f>D39+D46+D47+D48</f>
        <v>0</v>
      </c>
      <c r="E53" s="72">
        <f t="shared" ref="E53:J53" si="12">E39+E46+E47+E48</f>
        <v>0</v>
      </c>
      <c r="F53" s="72">
        <f t="shared" si="12"/>
        <v>717165</v>
      </c>
      <c r="G53" s="72">
        <f t="shared" si="12"/>
        <v>94779</v>
      </c>
      <c r="H53" s="72">
        <f t="shared" si="12"/>
        <v>210451</v>
      </c>
      <c r="I53" s="72">
        <f t="shared" si="12"/>
        <v>186825</v>
      </c>
      <c r="J53" s="72">
        <f t="shared" si="12"/>
        <v>71193</v>
      </c>
      <c r="K53" s="26"/>
      <c r="L53" s="26"/>
      <c r="M53" s="26"/>
      <c r="N53" s="26"/>
      <c r="O53" s="70"/>
      <c r="P53" s="7"/>
      <c r="Q53" s="4"/>
      <c r="R53" s="4"/>
      <c r="S53" s="1"/>
      <c r="T53" s="1"/>
      <c r="U53" s="5"/>
      <c r="V53" s="5"/>
      <c r="W53" s="5"/>
      <c r="X53" s="1"/>
      <c r="Y53" s="1"/>
      <c r="Z53" s="1"/>
      <c r="AA53" s="1"/>
      <c r="AB53" s="1"/>
      <c r="AC53" s="1"/>
      <c r="AD53" s="1"/>
      <c r="AE53" s="1"/>
      <c r="AF53" s="1"/>
      <c r="AG53" s="1"/>
      <c r="AH53" s="1"/>
      <c r="AI53" s="1"/>
      <c r="AJ53" s="1"/>
      <c r="AK53" s="1"/>
      <c r="AL53" s="1"/>
      <c r="AM53" s="1"/>
      <c r="AN53" s="1"/>
      <c r="AO53" s="1"/>
      <c r="AP53" s="1"/>
      <c r="AQ53" s="1"/>
      <c r="AR53" s="1"/>
      <c r="AS53" s="1"/>
      <c r="AT53" s="1"/>
    </row>
    <row r="54" spans="1:46" ht="18" customHeight="1" x14ac:dyDescent="0.35">
      <c r="A54" s="1"/>
      <c r="B54" s="59" t="s">
        <v>38</v>
      </c>
      <c r="C54" s="72">
        <f>C52-C53</f>
        <v>-7554</v>
      </c>
      <c r="D54" s="72">
        <f t="shared" ref="D54:J54" si="13">D52-D53</f>
        <v>296700</v>
      </c>
      <c r="E54" s="72">
        <f t="shared" si="13"/>
        <v>328975</v>
      </c>
      <c r="F54" s="72">
        <f t="shared" si="13"/>
        <v>315921</v>
      </c>
      <c r="G54" s="72">
        <f t="shared" si="13"/>
        <v>-259017</v>
      </c>
      <c r="H54" s="72">
        <f t="shared" si="13"/>
        <v>-117652</v>
      </c>
      <c r="I54" s="72">
        <f t="shared" si="13"/>
        <v>81356</v>
      </c>
      <c r="J54" s="72">
        <f t="shared" si="13"/>
        <v>323255</v>
      </c>
      <c r="K54" s="26"/>
      <c r="L54" s="26"/>
      <c r="M54" s="26"/>
      <c r="N54" s="26"/>
      <c r="O54" s="70"/>
      <c r="P54" s="2"/>
      <c r="Q54" s="1"/>
      <c r="R54" s="1"/>
      <c r="S54" s="1"/>
      <c r="T54" s="1"/>
      <c r="U54" s="5"/>
      <c r="V54" s="5"/>
      <c r="W54" s="5"/>
      <c r="X54" s="1"/>
      <c r="Y54" s="1"/>
      <c r="Z54" s="1"/>
      <c r="AA54" s="1"/>
      <c r="AB54" s="1"/>
      <c r="AC54" s="1"/>
      <c r="AD54" s="1"/>
      <c r="AE54" s="1"/>
      <c r="AF54" s="1"/>
      <c r="AG54" s="1"/>
      <c r="AH54" s="1"/>
      <c r="AI54" s="1"/>
      <c r="AJ54" s="1"/>
      <c r="AK54" s="1"/>
      <c r="AL54" s="1"/>
      <c r="AM54" s="1"/>
      <c r="AN54" s="1"/>
      <c r="AO54" s="1"/>
      <c r="AP54" s="1"/>
      <c r="AQ54" s="1"/>
      <c r="AR54" s="1"/>
      <c r="AS54" s="1"/>
      <c r="AT54" s="1"/>
    </row>
    <row r="55" spans="1:46" ht="18" customHeight="1" x14ac:dyDescent="0.35">
      <c r="A55" s="2"/>
      <c r="B55" s="59" t="s">
        <v>39</v>
      </c>
      <c r="C55" s="72">
        <f t="shared" ref="C55:J55" si="14">SUM(C56,C68)</f>
        <v>-197360</v>
      </c>
      <c r="D55" s="72">
        <f t="shared" si="14"/>
        <v>-155153</v>
      </c>
      <c r="E55" s="72">
        <f t="shared" si="14"/>
        <v>-130671</v>
      </c>
      <c r="F55" s="72">
        <f t="shared" si="14"/>
        <v>388942</v>
      </c>
      <c r="G55" s="72">
        <f t="shared" si="14"/>
        <v>-91435</v>
      </c>
      <c r="H55" s="72">
        <f t="shared" si="14"/>
        <v>-91807</v>
      </c>
      <c r="I55" s="72">
        <f t="shared" si="14"/>
        <v>-311783</v>
      </c>
      <c r="J55" s="72">
        <f t="shared" si="14"/>
        <v>-428683</v>
      </c>
      <c r="K55" s="26"/>
      <c r="L55" s="26"/>
      <c r="M55" s="26"/>
      <c r="N55" s="26"/>
      <c r="O55" s="70"/>
      <c r="P55" s="2"/>
      <c r="Q55" s="1"/>
      <c r="R55" s="1"/>
      <c r="S55" s="1"/>
      <c r="T55" s="1"/>
      <c r="U55" s="5"/>
      <c r="V55" s="5"/>
      <c r="W55" s="5"/>
      <c r="X55" s="1"/>
      <c r="Y55" s="1"/>
      <c r="Z55" s="1"/>
      <c r="AA55" s="1"/>
      <c r="AB55" s="1"/>
      <c r="AC55" s="1"/>
      <c r="AD55" s="1"/>
      <c r="AE55" s="1"/>
      <c r="AF55" s="1"/>
      <c r="AG55" s="1"/>
      <c r="AH55" s="1"/>
      <c r="AI55" s="1"/>
      <c r="AJ55" s="1"/>
      <c r="AK55" s="1"/>
      <c r="AL55" s="1"/>
      <c r="AM55" s="1"/>
      <c r="AN55" s="1"/>
      <c r="AO55" s="1"/>
      <c r="AP55" s="1"/>
      <c r="AQ55" s="1"/>
      <c r="AR55" s="1"/>
      <c r="AS55" s="1"/>
      <c r="AT55" s="1"/>
    </row>
    <row r="56" spans="1:46" ht="18" customHeight="1" x14ac:dyDescent="0.35">
      <c r="A56" s="2"/>
      <c r="B56" s="73" t="s">
        <v>40</v>
      </c>
      <c r="C56" s="72">
        <f>SUM(C57:C67)</f>
        <v>514398</v>
      </c>
      <c r="D56" s="72">
        <f t="shared" ref="D56:J56" si="15">SUM(D57:D67)</f>
        <v>168253</v>
      </c>
      <c r="E56" s="72">
        <f t="shared" si="15"/>
        <v>186189</v>
      </c>
      <c r="F56" s="72">
        <f t="shared" si="15"/>
        <v>641271</v>
      </c>
      <c r="G56" s="72">
        <f t="shared" si="15"/>
        <v>134345</v>
      </c>
      <c r="H56" s="72">
        <f t="shared" si="15"/>
        <v>176189</v>
      </c>
      <c r="I56" s="72">
        <f t="shared" si="15"/>
        <v>289556</v>
      </c>
      <c r="J56" s="72">
        <f t="shared" si="15"/>
        <v>207793</v>
      </c>
      <c r="K56" s="26"/>
      <c r="L56" s="26"/>
      <c r="M56" s="26"/>
      <c r="N56" s="26"/>
      <c r="O56" s="70"/>
      <c r="P56" s="2"/>
      <c r="Q56" s="1"/>
      <c r="R56" s="1"/>
      <c r="S56" s="1"/>
      <c r="T56" s="1"/>
      <c r="U56" s="5"/>
      <c r="V56" s="5"/>
      <c r="W56" s="5"/>
      <c r="X56" s="1"/>
      <c r="Y56" s="1"/>
      <c r="Z56" s="1"/>
      <c r="AA56" s="1"/>
      <c r="AB56" s="1"/>
      <c r="AC56" s="1"/>
      <c r="AD56" s="1"/>
      <c r="AE56" s="1"/>
      <c r="AF56" s="1"/>
      <c r="AG56" s="1"/>
      <c r="AH56" s="1"/>
      <c r="AI56" s="1"/>
      <c r="AJ56" s="1"/>
      <c r="AK56" s="1"/>
      <c r="AL56" s="1"/>
      <c r="AM56" s="1"/>
      <c r="AN56" s="1"/>
      <c r="AO56" s="1"/>
      <c r="AP56" s="1"/>
      <c r="AQ56" s="1"/>
      <c r="AR56" s="1"/>
      <c r="AS56" s="1"/>
      <c r="AT56" s="1"/>
    </row>
    <row r="57" spans="1:46" ht="18" hidden="1" customHeight="1" outlineLevel="1" x14ac:dyDescent="0.35">
      <c r="A57" s="2"/>
      <c r="B57" s="74" t="s">
        <v>191</v>
      </c>
      <c r="C57" s="72">
        <v>42864</v>
      </c>
      <c r="D57" s="72">
        <v>7606</v>
      </c>
      <c r="E57" s="72">
        <v>14339</v>
      </c>
      <c r="F57" s="72">
        <v>19443</v>
      </c>
      <c r="G57" s="72">
        <v>24418</v>
      </c>
      <c r="H57" s="72">
        <v>126381</v>
      </c>
      <c r="I57" s="72">
        <v>168642</v>
      </c>
      <c r="J57" s="72">
        <v>82023</v>
      </c>
      <c r="K57" s="26"/>
      <c r="L57" s="26"/>
      <c r="M57" s="26"/>
      <c r="N57" s="26"/>
      <c r="O57" s="70"/>
      <c r="P57" s="2"/>
      <c r="Q57" s="1"/>
      <c r="R57" s="1"/>
      <c r="S57" s="1"/>
      <c r="T57" s="1"/>
      <c r="U57" s="5"/>
      <c r="V57" s="5"/>
      <c r="W57" s="5"/>
      <c r="X57" s="1"/>
      <c r="Y57" s="1"/>
      <c r="Z57" s="1"/>
      <c r="AA57" s="1"/>
      <c r="AB57" s="1"/>
      <c r="AC57" s="1"/>
      <c r="AD57" s="1"/>
      <c r="AE57" s="1"/>
      <c r="AF57" s="1"/>
      <c r="AG57" s="1"/>
      <c r="AH57" s="1"/>
      <c r="AI57" s="1"/>
      <c r="AJ57" s="1"/>
      <c r="AK57" s="1"/>
      <c r="AL57" s="1"/>
      <c r="AM57" s="1"/>
      <c r="AN57" s="1"/>
      <c r="AO57" s="1"/>
      <c r="AP57" s="1"/>
      <c r="AQ57" s="1"/>
      <c r="AR57" s="1"/>
      <c r="AS57" s="1"/>
      <c r="AT57" s="1"/>
    </row>
    <row r="58" spans="1:46" ht="18" hidden="1" customHeight="1" outlineLevel="1" x14ac:dyDescent="0.35">
      <c r="A58" s="2"/>
      <c r="B58" s="74" t="s">
        <v>192</v>
      </c>
      <c r="C58" s="72">
        <v>0</v>
      </c>
      <c r="D58" s="72">
        <v>0</v>
      </c>
      <c r="E58" s="72">
        <v>0</v>
      </c>
      <c r="F58" s="72">
        <v>0</v>
      </c>
      <c r="G58" s="72">
        <v>0</v>
      </c>
      <c r="H58" s="72">
        <v>37368</v>
      </c>
      <c r="I58" s="72">
        <v>111662</v>
      </c>
      <c r="J58" s="72">
        <v>104992</v>
      </c>
      <c r="K58" s="26"/>
      <c r="L58" s="26"/>
      <c r="M58" s="26"/>
      <c r="N58" s="26"/>
      <c r="O58" s="70"/>
      <c r="P58" s="2"/>
      <c r="Q58" s="1"/>
      <c r="R58" s="1"/>
      <c r="S58" s="1"/>
      <c r="T58" s="1"/>
      <c r="U58" s="5"/>
      <c r="V58" s="5"/>
      <c r="W58" s="5"/>
      <c r="X58" s="1"/>
      <c r="Y58" s="1"/>
      <c r="Z58" s="1"/>
      <c r="AA58" s="1"/>
      <c r="AB58" s="1"/>
      <c r="AC58" s="1"/>
      <c r="AD58" s="1"/>
      <c r="AE58" s="1"/>
      <c r="AF58" s="1"/>
      <c r="AG58" s="1"/>
      <c r="AH58" s="1"/>
      <c r="AI58" s="1"/>
      <c r="AJ58" s="1"/>
      <c r="AK58" s="1"/>
      <c r="AL58" s="1"/>
      <c r="AM58" s="1"/>
      <c r="AN58" s="1"/>
      <c r="AO58" s="1"/>
      <c r="AP58" s="1"/>
      <c r="AQ58" s="1"/>
      <c r="AR58" s="1"/>
      <c r="AS58" s="1"/>
      <c r="AT58" s="1"/>
    </row>
    <row r="59" spans="1:46" ht="18" hidden="1" customHeight="1" outlineLevel="1" x14ac:dyDescent="0.35">
      <c r="A59" s="2"/>
      <c r="B59" s="74" t="s">
        <v>193</v>
      </c>
      <c r="C59" s="72">
        <v>0</v>
      </c>
      <c r="D59" s="72">
        <v>0</v>
      </c>
      <c r="E59" s="72">
        <v>0</v>
      </c>
      <c r="F59" s="72">
        <v>618492</v>
      </c>
      <c r="G59" s="72">
        <v>17683</v>
      </c>
      <c r="H59" s="72">
        <v>0</v>
      </c>
      <c r="I59" s="72">
        <v>0</v>
      </c>
      <c r="J59" s="72">
        <v>0</v>
      </c>
      <c r="K59" s="26"/>
      <c r="L59" s="26"/>
      <c r="M59" s="26"/>
      <c r="N59" s="26"/>
      <c r="O59" s="70"/>
      <c r="P59" s="2"/>
      <c r="Q59" s="1"/>
      <c r="R59" s="1"/>
      <c r="S59" s="1"/>
      <c r="T59" s="1"/>
      <c r="U59" s="5"/>
      <c r="V59" s="5"/>
      <c r="W59" s="5"/>
      <c r="X59" s="1"/>
      <c r="Y59" s="1"/>
      <c r="Z59" s="1"/>
      <c r="AA59" s="1"/>
      <c r="AB59" s="1"/>
      <c r="AC59" s="1"/>
      <c r="AD59" s="1"/>
      <c r="AE59" s="1"/>
      <c r="AF59" s="1"/>
      <c r="AG59" s="1"/>
      <c r="AH59" s="1"/>
      <c r="AI59" s="1"/>
      <c r="AJ59" s="1"/>
      <c r="AK59" s="1"/>
      <c r="AL59" s="1"/>
      <c r="AM59" s="1"/>
      <c r="AN59" s="1"/>
      <c r="AO59" s="1"/>
      <c r="AP59" s="1"/>
      <c r="AQ59" s="1"/>
      <c r="AR59" s="1"/>
      <c r="AS59" s="1"/>
      <c r="AT59" s="1"/>
    </row>
    <row r="60" spans="1:46" ht="18" hidden="1" customHeight="1" outlineLevel="1" x14ac:dyDescent="0.35">
      <c r="A60" s="2"/>
      <c r="B60" s="74" t="s">
        <v>194</v>
      </c>
      <c r="C60" s="72">
        <v>0</v>
      </c>
      <c r="D60" s="72">
        <v>0</v>
      </c>
      <c r="E60" s="72">
        <v>0</v>
      </c>
      <c r="F60" s="72">
        <v>0</v>
      </c>
      <c r="G60" s="72">
        <v>40642</v>
      </c>
      <c r="H60" s="72">
        <v>0</v>
      </c>
      <c r="I60" s="72">
        <v>0</v>
      </c>
      <c r="J60" s="72">
        <v>0</v>
      </c>
      <c r="K60" s="26"/>
      <c r="L60" s="26"/>
      <c r="M60" s="26"/>
      <c r="N60" s="26"/>
      <c r="O60" s="70"/>
      <c r="P60" s="2"/>
      <c r="Q60" s="1"/>
      <c r="R60" s="1"/>
      <c r="S60" s="1"/>
      <c r="T60" s="1"/>
      <c r="U60" s="5"/>
      <c r="V60" s="5"/>
      <c r="W60" s="5"/>
      <c r="X60" s="1"/>
      <c r="Y60" s="1"/>
      <c r="Z60" s="1"/>
      <c r="AA60" s="1"/>
      <c r="AB60" s="1"/>
      <c r="AC60" s="1"/>
      <c r="AD60" s="1"/>
      <c r="AE60" s="1"/>
      <c r="AF60" s="1"/>
      <c r="AG60" s="1"/>
      <c r="AH60" s="1"/>
      <c r="AI60" s="1"/>
      <c r="AJ60" s="1"/>
      <c r="AK60" s="1"/>
      <c r="AL60" s="1"/>
      <c r="AM60" s="1"/>
      <c r="AN60" s="1"/>
      <c r="AO60" s="1"/>
      <c r="AP60" s="1"/>
      <c r="AQ60" s="1"/>
      <c r="AR60" s="1"/>
      <c r="AS60" s="1"/>
      <c r="AT60" s="1"/>
    </row>
    <row r="61" spans="1:46" ht="18" hidden="1" customHeight="1" outlineLevel="1" x14ac:dyDescent="0.35">
      <c r="A61" s="2"/>
      <c r="B61" s="74" t="s">
        <v>195</v>
      </c>
      <c r="C61" s="72">
        <v>0</v>
      </c>
      <c r="D61" s="72">
        <v>0</v>
      </c>
      <c r="E61" s="72">
        <v>0</v>
      </c>
      <c r="F61" s="72">
        <v>-28760</v>
      </c>
      <c r="G61" s="72">
        <v>0</v>
      </c>
      <c r="H61" s="72">
        <v>0</v>
      </c>
      <c r="I61" s="72">
        <v>0</v>
      </c>
      <c r="J61" s="72">
        <v>0</v>
      </c>
      <c r="K61" s="26"/>
      <c r="L61" s="26"/>
      <c r="M61" s="26"/>
      <c r="N61" s="26"/>
      <c r="O61" s="70"/>
      <c r="P61" s="2"/>
      <c r="Q61" s="1"/>
      <c r="R61" s="1"/>
      <c r="S61" s="1"/>
      <c r="T61" s="1"/>
      <c r="U61" s="5"/>
      <c r="V61" s="5"/>
      <c r="W61" s="5"/>
      <c r="X61" s="1"/>
      <c r="Y61" s="1"/>
      <c r="Z61" s="1"/>
      <c r="AA61" s="1"/>
      <c r="AB61" s="1"/>
      <c r="AC61" s="1"/>
      <c r="AD61" s="1"/>
      <c r="AE61" s="1"/>
      <c r="AF61" s="1"/>
      <c r="AG61" s="1"/>
      <c r="AH61" s="1"/>
      <c r="AI61" s="1"/>
      <c r="AJ61" s="1"/>
      <c r="AK61" s="1"/>
      <c r="AL61" s="1"/>
      <c r="AM61" s="1"/>
      <c r="AN61" s="1"/>
      <c r="AO61" s="1"/>
      <c r="AP61" s="1"/>
      <c r="AQ61" s="1"/>
      <c r="AR61" s="1"/>
      <c r="AS61" s="1"/>
      <c r="AT61" s="1"/>
    </row>
    <row r="62" spans="1:46" ht="18" hidden="1" customHeight="1" outlineLevel="1" x14ac:dyDescent="0.35">
      <c r="A62" s="2"/>
      <c r="B62" s="74" t="s">
        <v>196</v>
      </c>
      <c r="C62" s="72">
        <v>0</v>
      </c>
      <c r="D62" s="72">
        <v>0</v>
      </c>
      <c r="E62" s="72">
        <v>0</v>
      </c>
      <c r="F62" s="72">
        <v>0</v>
      </c>
      <c r="G62" s="72">
        <v>33539</v>
      </c>
      <c r="H62" s="72">
        <v>0</v>
      </c>
      <c r="I62" s="72">
        <v>0</v>
      </c>
      <c r="J62" s="72">
        <v>0</v>
      </c>
      <c r="K62" s="26"/>
      <c r="L62" s="26"/>
      <c r="M62" s="26"/>
      <c r="N62" s="26"/>
      <c r="O62" s="70"/>
      <c r="P62" s="2"/>
      <c r="Q62" s="1"/>
      <c r="R62" s="1"/>
      <c r="S62" s="1"/>
      <c r="T62" s="1"/>
      <c r="U62" s="5"/>
      <c r="V62" s="5"/>
      <c r="W62" s="5"/>
      <c r="X62" s="1"/>
      <c r="Y62" s="1"/>
      <c r="Z62" s="1"/>
      <c r="AA62" s="1"/>
      <c r="AB62" s="1"/>
      <c r="AC62" s="1"/>
      <c r="AD62" s="1"/>
      <c r="AE62" s="1"/>
      <c r="AF62" s="1"/>
      <c r="AG62" s="1"/>
      <c r="AH62" s="1"/>
      <c r="AI62" s="1"/>
      <c r="AJ62" s="1"/>
      <c r="AK62" s="1"/>
      <c r="AL62" s="1"/>
      <c r="AM62" s="1"/>
      <c r="AN62" s="1"/>
      <c r="AO62" s="1"/>
      <c r="AP62" s="1"/>
      <c r="AQ62" s="1"/>
      <c r="AR62" s="1"/>
      <c r="AS62" s="1"/>
      <c r="AT62" s="1"/>
    </row>
    <row r="63" spans="1:46" ht="18" hidden="1" customHeight="1" outlineLevel="1" x14ac:dyDescent="0.35">
      <c r="A63" s="2"/>
      <c r="B63" s="74" t="s">
        <v>197</v>
      </c>
      <c r="C63" s="72">
        <v>10787</v>
      </c>
      <c r="D63" s="72">
        <v>21662</v>
      </c>
      <c r="E63" s="72">
        <v>24432</v>
      </c>
      <c r="F63" s="72">
        <v>31730</v>
      </c>
      <c r="G63" s="72">
        <v>16969</v>
      </c>
      <c r="H63" s="72">
        <v>12438</v>
      </c>
      <c r="I63" s="72">
        <v>9248</v>
      </c>
      <c r="J63" s="72">
        <v>11687</v>
      </c>
      <c r="K63" s="26"/>
      <c r="L63" s="26"/>
      <c r="M63" s="26"/>
      <c r="N63" s="26"/>
      <c r="O63" s="70"/>
      <c r="P63" s="2"/>
      <c r="Q63" s="1"/>
      <c r="R63" s="1"/>
      <c r="S63" s="1"/>
      <c r="T63" s="1"/>
      <c r="U63" s="5"/>
      <c r="V63" s="5"/>
      <c r="W63" s="5"/>
      <c r="X63" s="1"/>
      <c r="Y63" s="1"/>
      <c r="Z63" s="1"/>
      <c r="AA63" s="1"/>
      <c r="AB63" s="1"/>
      <c r="AC63" s="1"/>
      <c r="AD63" s="1"/>
      <c r="AE63" s="1"/>
      <c r="AF63" s="1"/>
      <c r="AG63" s="1"/>
      <c r="AH63" s="1"/>
      <c r="AI63" s="1"/>
      <c r="AJ63" s="1"/>
      <c r="AK63" s="1"/>
      <c r="AL63" s="1"/>
      <c r="AM63" s="1"/>
      <c r="AN63" s="1"/>
      <c r="AO63" s="1"/>
      <c r="AP63" s="1"/>
      <c r="AQ63" s="1"/>
      <c r="AR63" s="1"/>
      <c r="AS63" s="1"/>
      <c r="AT63" s="1"/>
    </row>
    <row r="64" spans="1:46" ht="18" hidden="1" customHeight="1" outlineLevel="1" x14ac:dyDescent="0.35">
      <c r="A64" s="2"/>
      <c r="B64" s="74" t="s">
        <v>186</v>
      </c>
      <c r="C64" s="72">
        <v>0</v>
      </c>
      <c r="D64" s="72">
        <v>0</v>
      </c>
      <c r="E64" s="72">
        <v>17192</v>
      </c>
      <c r="F64" s="72">
        <v>0</v>
      </c>
      <c r="G64" s="72">
        <v>0</v>
      </c>
      <c r="H64" s="72">
        <v>0</v>
      </c>
      <c r="I64" s="72">
        <v>0</v>
      </c>
      <c r="J64" s="72">
        <v>0</v>
      </c>
      <c r="K64" s="26"/>
      <c r="L64" s="26"/>
      <c r="M64" s="26"/>
      <c r="N64" s="26"/>
      <c r="O64" s="70"/>
      <c r="P64" s="2"/>
      <c r="Q64" s="1"/>
      <c r="R64" s="1"/>
      <c r="S64" s="1"/>
      <c r="T64" s="1"/>
      <c r="U64" s="5"/>
      <c r="V64" s="5"/>
      <c r="W64" s="5"/>
      <c r="X64" s="1"/>
      <c r="Y64" s="1"/>
      <c r="Z64" s="1"/>
      <c r="AA64" s="1"/>
      <c r="AB64" s="1"/>
      <c r="AC64" s="1"/>
      <c r="AD64" s="1"/>
      <c r="AE64" s="1"/>
      <c r="AF64" s="1"/>
      <c r="AG64" s="1"/>
      <c r="AH64" s="1"/>
      <c r="AI64" s="1"/>
      <c r="AJ64" s="1"/>
      <c r="AK64" s="1"/>
      <c r="AL64" s="1"/>
      <c r="AM64" s="1"/>
      <c r="AN64" s="1"/>
      <c r="AO64" s="1"/>
      <c r="AP64" s="1"/>
      <c r="AQ64" s="1"/>
      <c r="AR64" s="1"/>
      <c r="AS64" s="1"/>
      <c r="AT64" s="1"/>
    </row>
    <row r="65" spans="1:46" ht="18" hidden="1" customHeight="1" outlineLevel="1" x14ac:dyDescent="0.35">
      <c r="A65" s="2"/>
      <c r="B65" s="74" t="s">
        <v>187</v>
      </c>
      <c r="C65" s="72">
        <v>448140</v>
      </c>
      <c r="D65" s="72">
        <v>115825</v>
      </c>
      <c r="E65" s="72">
        <v>122994</v>
      </c>
      <c r="F65" s="72">
        <v>0</v>
      </c>
      <c r="G65" s="72">
        <v>0</v>
      </c>
      <c r="H65" s="72">
        <v>0</v>
      </c>
      <c r="I65" s="72"/>
      <c r="J65" s="72">
        <v>1980</v>
      </c>
      <c r="K65" s="26"/>
      <c r="L65" s="26"/>
      <c r="M65" s="26"/>
      <c r="N65" s="26"/>
      <c r="O65" s="70"/>
      <c r="P65" s="2"/>
      <c r="Q65" s="1"/>
      <c r="R65" s="1"/>
      <c r="S65" s="1"/>
      <c r="T65" s="1"/>
      <c r="U65" s="5"/>
      <c r="V65" s="5"/>
      <c r="W65" s="5"/>
      <c r="X65" s="1"/>
      <c r="Y65" s="1"/>
      <c r="Z65" s="1"/>
      <c r="AA65" s="1"/>
      <c r="AB65" s="1"/>
      <c r="AC65" s="1"/>
      <c r="AD65" s="1"/>
      <c r="AE65" s="1"/>
      <c r="AF65" s="1"/>
      <c r="AG65" s="1"/>
      <c r="AH65" s="1"/>
      <c r="AI65" s="1"/>
      <c r="AJ65" s="1"/>
      <c r="AK65" s="1"/>
      <c r="AL65" s="1"/>
      <c r="AM65" s="1"/>
      <c r="AN65" s="1"/>
      <c r="AO65" s="1"/>
      <c r="AP65" s="1"/>
      <c r="AQ65" s="1"/>
      <c r="AR65" s="1"/>
      <c r="AS65" s="1"/>
      <c r="AT65" s="1"/>
    </row>
    <row r="66" spans="1:46" ht="18" hidden="1" customHeight="1" outlineLevel="1" x14ac:dyDescent="0.35">
      <c r="A66" s="2"/>
      <c r="B66" s="74" t="s">
        <v>47</v>
      </c>
      <c r="C66" s="72">
        <v>12607</v>
      </c>
      <c r="D66" s="72">
        <v>23160</v>
      </c>
      <c r="E66" s="72">
        <v>7232</v>
      </c>
      <c r="F66" s="72">
        <v>366</v>
      </c>
      <c r="G66" s="72">
        <v>1094</v>
      </c>
      <c r="H66" s="72">
        <v>2</v>
      </c>
      <c r="I66" s="72">
        <v>4</v>
      </c>
      <c r="J66" s="72">
        <v>43</v>
      </c>
      <c r="K66" s="26"/>
      <c r="L66" s="26"/>
      <c r="M66" s="26"/>
      <c r="N66" s="26"/>
      <c r="O66" s="70"/>
      <c r="P66" s="2"/>
      <c r="Q66" s="1"/>
      <c r="R66" s="1"/>
      <c r="S66" s="1"/>
      <c r="T66" s="1"/>
      <c r="U66" s="5"/>
      <c r="V66" s="5"/>
      <c r="W66" s="5"/>
      <c r="X66" s="1"/>
      <c r="Y66" s="1"/>
      <c r="Z66" s="1"/>
      <c r="AA66" s="1"/>
      <c r="AB66" s="1"/>
      <c r="AC66" s="1"/>
      <c r="AD66" s="1"/>
      <c r="AE66" s="1"/>
      <c r="AF66" s="1"/>
      <c r="AG66" s="1"/>
      <c r="AH66" s="1"/>
      <c r="AI66" s="1"/>
      <c r="AJ66" s="1"/>
      <c r="AK66" s="1"/>
      <c r="AL66" s="1"/>
      <c r="AM66" s="1"/>
      <c r="AN66" s="1"/>
      <c r="AO66" s="1"/>
      <c r="AP66" s="1"/>
      <c r="AQ66" s="1"/>
      <c r="AR66" s="1"/>
      <c r="AS66" s="1"/>
      <c r="AT66" s="1"/>
    </row>
    <row r="67" spans="1:46" ht="18" hidden="1" customHeight="1" outlineLevel="1" x14ac:dyDescent="0.35">
      <c r="A67" s="2"/>
      <c r="B67" s="74" t="s">
        <v>198</v>
      </c>
      <c r="C67" s="72">
        <v>0</v>
      </c>
      <c r="D67" s="72">
        <v>0</v>
      </c>
      <c r="E67" s="72">
        <v>0</v>
      </c>
      <c r="F67" s="72">
        <v>0</v>
      </c>
      <c r="G67" s="72">
        <v>0</v>
      </c>
      <c r="H67" s="72">
        <v>0</v>
      </c>
      <c r="I67" s="72">
        <v>0</v>
      </c>
      <c r="J67" s="72">
        <v>7068</v>
      </c>
      <c r="K67" s="26"/>
      <c r="L67" s="26"/>
      <c r="M67" s="26"/>
      <c r="N67" s="26"/>
      <c r="O67" s="70"/>
      <c r="P67" s="2"/>
      <c r="Q67" s="1"/>
      <c r="R67" s="1"/>
      <c r="S67" s="1"/>
      <c r="T67" s="1"/>
      <c r="U67" s="5"/>
      <c r="V67" s="5"/>
      <c r="W67" s="5"/>
      <c r="X67" s="1"/>
      <c r="Y67" s="1"/>
      <c r="Z67" s="1"/>
      <c r="AA67" s="1"/>
      <c r="AB67" s="1"/>
      <c r="AC67" s="1"/>
      <c r="AD67" s="1"/>
      <c r="AE67" s="1"/>
      <c r="AF67" s="1"/>
      <c r="AG67" s="1"/>
      <c r="AH67" s="1"/>
      <c r="AI67" s="1"/>
      <c r="AJ67" s="1"/>
      <c r="AK67" s="1"/>
      <c r="AL67" s="1"/>
      <c r="AM67" s="1"/>
      <c r="AN67" s="1"/>
      <c r="AO67" s="1"/>
      <c r="AP67" s="1"/>
      <c r="AQ67" s="1"/>
      <c r="AR67" s="1"/>
      <c r="AS67" s="1"/>
      <c r="AT67" s="1"/>
    </row>
    <row r="68" spans="1:46" ht="18" customHeight="1" collapsed="1" x14ac:dyDescent="0.35">
      <c r="A68" s="2"/>
      <c r="B68" s="73" t="s">
        <v>41</v>
      </c>
      <c r="C68" s="72">
        <f>SUM(C69:C77,C81)</f>
        <v>-711758</v>
      </c>
      <c r="D68" s="72">
        <f t="shared" ref="D68:J68" si="16">SUM(D69:D77,D81)</f>
        <v>-323406</v>
      </c>
      <c r="E68" s="72">
        <f t="shared" si="16"/>
        <v>-316860</v>
      </c>
      <c r="F68" s="72">
        <f t="shared" si="16"/>
        <v>-252329</v>
      </c>
      <c r="G68" s="72">
        <f t="shared" si="16"/>
        <v>-225780</v>
      </c>
      <c r="H68" s="72">
        <f t="shared" si="16"/>
        <v>-267996</v>
      </c>
      <c r="I68" s="72">
        <f t="shared" si="16"/>
        <v>-601339</v>
      </c>
      <c r="J68" s="72">
        <f t="shared" si="16"/>
        <v>-636476</v>
      </c>
      <c r="K68" s="26"/>
      <c r="L68" s="26"/>
      <c r="M68" s="26"/>
      <c r="N68" s="26"/>
      <c r="O68" s="70"/>
      <c r="P68" s="2"/>
      <c r="Q68" s="1"/>
      <c r="R68" s="1"/>
      <c r="S68" s="1"/>
      <c r="T68" s="1"/>
      <c r="U68" s="5"/>
      <c r="V68" s="5"/>
      <c r="W68" s="5"/>
      <c r="X68" s="1"/>
      <c r="Y68" s="1"/>
      <c r="Z68" s="1"/>
      <c r="AA68" s="1"/>
      <c r="AB68" s="1"/>
      <c r="AC68" s="1"/>
      <c r="AD68" s="1"/>
      <c r="AE68" s="1"/>
      <c r="AF68" s="1"/>
      <c r="AG68" s="1"/>
      <c r="AH68" s="1"/>
      <c r="AI68" s="1"/>
      <c r="AJ68" s="1"/>
      <c r="AK68" s="1"/>
      <c r="AL68" s="1"/>
      <c r="AM68" s="1"/>
      <c r="AN68" s="1"/>
      <c r="AO68" s="1"/>
      <c r="AP68" s="1"/>
      <c r="AQ68" s="1"/>
      <c r="AR68" s="1"/>
      <c r="AS68" s="1"/>
      <c r="AT68" s="1"/>
    </row>
    <row r="69" spans="1:46" ht="18" hidden="1" customHeight="1" outlineLevel="1" x14ac:dyDescent="0.35">
      <c r="A69" s="2"/>
      <c r="B69" s="74" t="s">
        <v>179</v>
      </c>
      <c r="C69" s="72">
        <v>-96056</v>
      </c>
      <c r="D69" s="72">
        <v>-69318</v>
      </c>
      <c r="E69" s="72">
        <v>-41170</v>
      </c>
      <c r="F69" s="72">
        <v>-60749</v>
      </c>
      <c r="G69" s="72">
        <v>0</v>
      </c>
      <c r="H69" s="72">
        <v>0</v>
      </c>
      <c r="I69" s="72">
        <v>0</v>
      </c>
      <c r="J69" s="72"/>
      <c r="K69" s="26"/>
      <c r="L69" s="26"/>
      <c r="M69" s="26"/>
      <c r="N69" s="26"/>
      <c r="O69" s="70"/>
      <c r="P69" s="2"/>
      <c r="Q69" s="1"/>
      <c r="R69" s="1"/>
      <c r="S69" s="1"/>
      <c r="T69" s="1"/>
      <c r="U69" s="5"/>
      <c r="V69" s="5"/>
      <c r="W69" s="5"/>
      <c r="X69" s="1"/>
      <c r="Y69" s="1"/>
      <c r="Z69" s="1"/>
      <c r="AA69" s="1"/>
      <c r="AB69" s="1"/>
      <c r="AC69" s="1"/>
      <c r="AD69" s="1"/>
      <c r="AE69" s="1"/>
      <c r="AF69" s="1"/>
      <c r="AG69" s="1"/>
      <c r="AH69" s="1"/>
      <c r="AI69" s="1"/>
      <c r="AJ69" s="1"/>
      <c r="AK69" s="1"/>
      <c r="AL69" s="1"/>
      <c r="AM69" s="1"/>
      <c r="AN69" s="1"/>
      <c r="AO69" s="1"/>
      <c r="AP69" s="1"/>
      <c r="AQ69" s="1"/>
      <c r="AR69" s="1"/>
      <c r="AS69" s="1"/>
      <c r="AT69" s="1"/>
    </row>
    <row r="70" spans="1:46" ht="18" hidden="1" customHeight="1" outlineLevel="1" x14ac:dyDescent="0.35">
      <c r="A70" s="2"/>
      <c r="B70" s="74" t="s">
        <v>180</v>
      </c>
      <c r="C70" s="72">
        <v>0</v>
      </c>
      <c r="D70" s="72">
        <v>0</v>
      </c>
      <c r="E70" s="72">
        <v>0</v>
      </c>
      <c r="F70" s="72">
        <v>0</v>
      </c>
      <c r="G70" s="72">
        <v>-35805</v>
      </c>
      <c r="H70" s="72">
        <v>-81458</v>
      </c>
      <c r="I70" s="72">
        <v>-272366</v>
      </c>
      <c r="J70" s="72">
        <v>-255421</v>
      </c>
      <c r="K70" s="26"/>
      <c r="L70" s="26"/>
      <c r="M70" s="26"/>
      <c r="N70" s="26"/>
      <c r="O70" s="70"/>
      <c r="P70" s="2"/>
      <c r="Q70" s="1"/>
      <c r="R70" s="1"/>
      <c r="S70" s="1"/>
      <c r="T70" s="1"/>
      <c r="U70" s="5"/>
      <c r="V70" s="5"/>
      <c r="W70" s="5"/>
      <c r="X70" s="1"/>
      <c r="Y70" s="1"/>
      <c r="Z70" s="1"/>
      <c r="AA70" s="1"/>
      <c r="AB70" s="1"/>
      <c r="AC70" s="1"/>
      <c r="AD70" s="1"/>
      <c r="AE70" s="1"/>
      <c r="AF70" s="1"/>
      <c r="AG70" s="1"/>
      <c r="AH70" s="1"/>
      <c r="AI70" s="1"/>
      <c r="AJ70" s="1"/>
      <c r="AK70" s="1"/>
      <c r="AL70" s="1"/>
      <c r="AM70" s="1"/>
      <c r="AN70" s="1"/>
      <c r="AO70" s="1"/>
      <c r="AP70" s="1"/>
      <c r="AQ70" s="1"/>
      <c r="AR70" s="1"/>
      <c r="AS70" s="1"/>
      <c r="AT70" s="1"/>
    </row>
    <row r="71" spans="1:46" ht="18" hidden="1" customHeight="1" outlineLevel="1" x14ac:dyDescent="0.35">
      <c r="A71" s="2"/>
      <c r="B71" s="74" t="s">
        <v>181</v>
      </c>
      <c r="C71" s="72">
        <v>0</v>
      </c>
      <c r="D71" s="72">
        <v>0</v>
      </c>
      <c r="E71" s="72">
        <v>0</v>
      </c>
      <c r="F71" s="72">
        <v>0</v>
      </c>
      <c r="G71" s="72">
        <v>0</v>
      </c>
      <c r="H71" s="72">
        <v>0</v>
      </c>
      <c r="I71" s="72">
        <v>-54328</v>
      </c>
      <c r="J71" s="72">
        <v>-70570</v>
      </c>
      <c r="K71" s="26"/>
      <c r="L71" s="26"/>
      <c r="M71" s="26"/>
      <c r="N71" s="26"/>
      <c r="O71" s="70"/>
      <c r="P71" s="2"/>
      <c r="Q71" s="1"/>
      <c r="R71" s="1"/>
      <c r="S71" s="1"/>
      <c r="T71" s="1"/>
      <c r="U71" s="5"/>
      <c r="V71" s="5"/>
      <c r="W71" s="5"/>
      <c r="X71" s="1"/>
      <c r="Y71" s="1"/>
      <c r="Z71" s="1"/>
      <c r="AA71" s="1"/>
      <c r="AB71" s="1"/>
      <c r="AC71" s="1"/>
      <c r="AD71" s="1"/>
      <c r="AE71" s="1"/>
      <c r="AF71" s="1"/>
      <c r="AG71" s="1"/>
      <c r="AH71" s="1"/>
      <c r="AI71" s="1"/>
      <c r="AJ71" s="1"/>
      <c r="AK71" s="1"/>
      <c r="AL71" s="1"/>
      <c r="AM71" s="1"/>
      <c r="AN71" s="1"/>
      <c r="AO71" s="1"/>
      <c r="AP71" s="1"/>
      <c r="AQ71" s="1"/>
      <c r="AR71" s="1"/>
      <c r="AS71" s="1"/>
      <c r="AT71" s="1"/>
    </row>
    <row r="72" spans="1:46" ht="18" hidden="1" customHeight="1" outlineLevel="1" x14ac:dyDescent="0.35">
      <c r="A72" s="2"/>
      <c r="B72" s="74" t="s">
        <v>182</v>
      </c>
      <c r="C72" s="72">
        <v>-5934</v>
      </c>
      <c r="D72" s="72">
        <v>-5204</v>
      </c>
      <c r="E72" s="72">
        <v>-3298</v>
      </c>
      <c r="F72" s="72">
        <v>-4156</v>
      </c>
      <c r="G72" s="72">
        <v>-1845</v>
      </c>
      <c r="H72" s="72">
        <v>-2816</v>
      </c>
      <c r="I72" s="72">
        <v>-2334</v>
      </c>
      <c r="J72" s="72">
        <v>-4110</v>
      </c>
      <c r="K72" s="26"/>
      <c r="L72" s="26"/>
      <c r="M72" s="26"/>
      <c r="N72" s="26"/>
      <c r="O72" s="70"/>
      <c r="P72" s="2"/>
      <c r="Q72" s="1"/>
      <c r="R72" s="1"/>
      <c r="S72" s="1"/>
      <c r="T72" s="1"/>
      <c r="U72" s="5"/>
      <c r="V72" s="5"/>
      <c r="W72" s="5"/>
      <c r="X72" s="1"/>
      <c r="Y72" s="1"/>
      <c r="Z72" s="1"/>
      <c r="AA72" s="1"/>
      <c r="AB72" s="1"/>
      <c r="AC72" s="1"/>
      <c r="AD72" s="1"/>
      <c r="AE72" s="1"/>
      <c r="AF72" s="1"/>
      <c r="AG72" s="1"/>
      <c r="AH72" s="1"/>
      <c r="AI72" s="1"/>
      <c r="AJ72" s="1"/>
      <c r="AK72" s="1"/>
      <c r="AL72" s="1"/>
      <c r="AM72" s="1"/>
      <c r="AN72" s="1"/>
      <c r="AO72" s="1"/>
      <c r="AP72" s="1"/>
      <c r="AQ72" s="1"/>
      <c r="AR72" s="1"/>
      <c r="AS72" s="1"/>
      <c r="AT72" s="1"/>
    </row>
    <row r="73" spans="1:46" ht="18" hidden="1" customHeight="1" outlineLevel="1" x14ac:dyDescent="0.35">
      <c r="A73" s="2"/>
      <c r="B73" s="74" t="s">
        <v>183</v>
      </c>
      <c r="C73" s="72">
        <v>-37803</v>
      </c>
      <c r="D73" s="72">
        <v>-35466</v>
      </c>
      <c r="E73" s="72">
        <v>-27803</v>
      </c>
      <c r="F73" s="72">
        <v>-28218</v>
      </c>
      <c r="G73" s="72">
        <v>-27162</v>
      </c>
      <c r="H73" s="72">
        <v>-14462</v>
      </c>
      <c r="I73" s="72">
        <v>-21747</v>
      </c>
      <c r="J73" s="72">
        <v>-22164</v>
      </c>
      <c r="K73" s="26"/>
      <c r="L73" s="26"/>
      <c r="M73" s="26"/>
      <c r="N73" s="26"/>
      <c r="O73" s="70"/>
      <c r="P73" s="2"/>
      <c r="Q73" s="1"/>
      <c r="R73" s="1"/>
      <c r="S73" s="1"/>
      <c r="T73" s="1"/>
      <c r="U73" s="5"/>
      <c r="V73" s="5"/>
      <c r="W73" s="5"/>
      <c r="X73" s="1"/>
      <c r="Y73" s="1"/>
      <c r="Z73" s="1"/>
      <c r="AA73" s="1"/>
      <c r="AB73" s="1"/>
      <c r="AC73" s="1"/>
      <c r="AD73" s="1"/>
      <c r="AE73" s="1"/>
      <c r="AF73" s="1"/>
      <c r="AG73" s="1"/>
      <c r="AH73" s="1"/>
      <c r="AI73" s="1"/>
      <c r="AJ73" s="1"/>
      <c r="AK73" s="1"/>
      <c r="AL73" s="1"/>
      <c r="AM73" s="1"/>
      <c r="AN73" s="1"/>
      <c r="AO73" s="1"/>
      <c r="AP73" s="1"/>
      <c r="AQ73" s="1"/>
      <c r="AR73" s="1"/>
      <c r="AS73" s="1"/>
      <c r="AT73" s="1"/>
    </row>
    <row r="74" spans="1:46" ht="18" hidden="1" customHeight="1" outlineLevel="1" x14ac:dyDescent="0.35">
      <c r="A74" s="2"/>
      <c r="B74" s="74" t="s">
        <v>184</v>
      </c>
      <c r="C74" s="72">
        <v>0</v>
      </c>
      <c r="D74" s="72">
        <v>0</v>
      </c>
      <c r="E74" s="72">
        <v>0</v>
      </c>
      <c r="F74" s="72">
        <v>-137478</v>
      </c>
      <c r="G74" s="72">
        <v>-131790</v>
      </c>
      <c r="H74" s="72">
        <v>-135412</v>
      </c>
      <c r="I74" s="72">
        <v>-156537</v>
      </c>
      <c r="J74" s="72">
        <v>-160119</v>
      </c>
      <c r="K74" s="26"/>
      <c r="L74" s="26"/>
      <c r="M74" s="26"/>
      <c r="N74" s="26"/>
      <c r="O74" s="70"/>
      <c r="P74" s="2"/>
      <c r="Q74" s="1"/>
      <c r="R74" s="1"/>
      <c r="S74" s="1"/>
      <c r="T74" s="1"/>
      <c r="U74" s="5"/>
      <c r="V74" s="5"/>
      <c r="W74" s="5"/>
      <c r="X74" s="1"/>
      <c r="Y74" s="1"/>
      <c r="Z74" s="1"/>
      <c r="AA74" s="1"/>
      <c r="AB74" s="1"/>
      <c r="AC74" s="1"/>
      <c r="AD74" s="1"/>
      <c r="AE74" s="1"/>
      <c r="AF74" s="1"/>
      <c r="AG74" s="1"/>
      <c r="AH74" s="1"/>
      <c r="AI74" s="1"/>
      <c r="AJ74" s="1"/>
      <c r="AK74" s="1"/>
      <c r="AL74" s="1"/>
      <c r="AM74" s="1"/>
      <c r="AN74" s="1"/>
      <c r="AO74" s="1"/>
      <c r="AP74" s="1"/>
      <c r="AQ74" s="1"/>
      <c r="AR74" s="1"/>
      <c r="AS74" s="1"/>
      <c r="AT74" s="1"/>
    </row>
    <row r="75" spans="1:46" ht="18" hidden="1" customHeight="1" outlineLevel="1" x14ac:dyDescent="0.35">
      <c r="A75" s="2"/>
      <c r="B75" s="74" t="s">
        <v>185</v>
      </c>
      <c r="C75" s="72">
        <v>-40795</v>
      </c>
      <c r="D75" s="72">
        <v>-38859</v>
      </c>
      <c r="E75" s="72">
        <v>-23132</v>
      </c>
      <c r="F75" s="72">
        <v>-24983</v>
      </c>
      <c r="G75" s="72">
        <v>-15377</v>
      </c>
      <c r="H75" s="72">
        <v>-28604</v>
      </c>
      <c r="I75" s="72">
        <v>-88611</v>
      </c>
      <c r="J75" s="72">
        <v>-116293</v>
      </c>
      <c r="K75" s="26"/>
      <c r="L75" s="26"/>
      <c r="M75" s="26"/>
      <c r="N75" s="26"/>
      <c r="O75" s="70"/>
      <c r="P75" s="2"/>
      <c r="Q75" s="1"/>
      <c r="R75" s="1"/>
      <c r="S75" s="1"/>
      <c r="T75" s="1"/>
      <c r="U75" s="5"/>
      <c r="V75" s="5"/>
      <c r="W75" s="5"/>
      <c r="X75" s="1"/>
      <c r="Y75" s="1"/>
      <c r="Z75" s="1"/>
      <c r="AA75" s="1"/>
      <c r="AB75" s="1"/>
      <c r="AC75" s="1"/>
      <c r="AD75" s="1"/>
      <c r="AE75" s="1"/>
      <c r="AF75" s="1"/>
      <c r="AG75" s="1"/>
      <c r="AH75" s="1"/>
      <c r="AI75" s="1"/>
      <c r="AJ75" s="1"/>
      <c r="AK75" s="1"/>
      <c r="AL75" s="1"/>
      <c r="AM75" s="1"/>
      <c r="AN75" s="1"/>
      <c r="AO75" s="1"/>
      <c r="AP75" s="1"/>
      <c r="AQ75" s="1"/>
      <c r="AR75" s="1"/>
      <c r="AS75" s="1"/>
      <c r="AT75" s="1"/>
    </row>
    <row r="76" spans="1:46" ht="18" hidden="1" customHeight="1" outlineLevel="1" x14ac:dyDescent="0.35">
      <c r="A76" s="2"/>
      <c r="B76" s="74" t="s">
        <v>186</v>
      </c>
      <c r="C76" s="72">
        <v>-304257</v>
      </c>
      <c r="D76" s="72">
        <v>-30206</v>
      </c>
      <c r="E76" s="72">
        <v>0</v>
      </c>
      <c r="F76" s="72">
        <v>-26054</v>
      </c>
      <c r="G76" s="72">
        <v>0</v>
      </c>
      <c r="H76" s="72">
        <v>0</v>
      </c>
      <c r="I76" s="72">
        <v>0</v>
      </c>
      <c r="J76" s="72">
        <v>0</v>
      </c>
      <c r="K76" s="26"/>
      <c r="L76" s="26"/>
      <c r="M76" s="26"/>
      <c r="N76" s="26"/>
      <c r="O76" s="70"/>
      <c r="P76" s="2"/>
      <c r="Q76" s="1"/>
      <c r="R76" s="1"/>
      <c r="S76" s="1"/>
      <c r="T76" s="1"/>
      <c r="U76" s="5"/>
      <c r="V76" s="5"/>
      <c r="W76" s="5"/>
      <c r="X76" s="1"/>
      <c r="Y76" s="1"/>
      <c r="Z76" s="1"/>
      <c r="AA76" s="1"/>
      <c r="AB76" s="1"/>
      <c r="AC76" s="1"/>
      <c r="AD76" s="1"/>
      <c r="AE76" s="1"/>
      <c r="AF76" s="1"/>
      <c r="AG76" s="1"/>
      <c r="AH76" s="1"/>
      <c r="AI76" s="1"/>
      <c r="AJ76" s="1"/>
      <c r="AK76" s="1"/>
      <c r="AL76" s="1"/>
      <c r="AM76" s="1"/>
      <c r="AN76" s="1"/>
      <c r="AO76" s="1"/>
      <c r="AP76" s="1"/>
      <c r="AQ76" s="1"/>
      <c r="AR76" s="1"/>
      <c r="AS76" s="1"/>
      <c r="AT76" s="1"/>
    </row>
    <row r="77" spans="1:46" ht="18" hidden="1" customHeight="1" outlineLevel="1" x14ac:dyDescent="0.35">
      <c r="A77" s="2"/>
      <c r="B77" s="74" t="s">
        <v>187</v>
      </c>
      <c r="C77" s="72">
        <v>-226702</v>
      </c>
      <c r="D77" s="72">
        <v>-144204</v>
      </c>
      <c r="E77" s="72">
        <v>-221443</v>
      </c>
      <c r="F77" s="72">
        <f t="shared" ref="F77:J77" si="17">SUM(F78:F79)</f>
        <v>29562</v>
      </c>
      <c r="G77" s="72">
        <f t="shared" si="17"/>
        <v>-11700</v>
      </c>
      <c r="H77" s="72">
        <f t="shared" si="17"/>
        <v>-691</v>
      </c>
      <c r="I77" s="72">
        <f t="shared" si="17"/>
        <v>0</v>
      </c>
      <c r="J77" s="72">
        <f t="shared" si="17"/>
        <v>0</v>
      </c>
      <c r="K77" s="26"/>
      <c r="L77" s="26"/>
      <c r="M77" s="26"/>
      <c r="N77" s="26"/>
      <c r="O77" s="70"/>
      <c r="P77" s="2"/>
      <c r="Q77" s="1"/>
      <c r="R77" s="1"/>
      <c r="S77" s="1"/>
      <c r="T77" s="1"/>
      <c r="U77" s="5"/>
      <c r="V77" s="5"/>
      <c r="W77" s="5"/>
      <c r="X77" s="1"/>
      <c r="Y77" s="1"/>
      <c r="Z77" s="1"/>
      <c r="AA77" s="1"/>
      <c r="AB77" s="1"/>
      <c r="AC77" s="1"/>
      <c r="AD77" s="1"/>
      <c r="AE77" s="1"/>
      <c r="AF77" s="1"/>
      <c r="AG77" s="1"/>
      <c r="AH77" s="1"/>
      <c r="AI77" s="1"/>
      <c r="AJ77" s="1"/>
      <c r="AK77" s="1"/>
      <c r="AL77" s="1"/>
      <c r="AM77" s="1"/>
      <c r="AN77" s="1"/>
      <c r="AO77" s="1"/>
      <c r="AP77" s="1"/>
      <c r="AQ77" s="1"/>
      <c r="AR77" s="1"/>
      <c r="AS77" s="1"/>
      <c r="AT77" s="1"/>
    </row>
    <row r="78" spans="1:46" ht="18" hidden="1" customHeight="1" outlineLevel="1" x14ac:dyDescent="0.35">
      <c r="A78" s="2"/>
      <c r="B78" s="75" t="s">
        <v>188</v>
      </c>
      <c r="C78" s="72">
        <v>0</v>
      </c>
      <c r="D78" s="72">
        <v>0</v>
      </c>
      <c r="E78" s="72">
        <v>0</v>
      </c>
      <c r="F78" s="72">
        <v>-2810</v>
      </c>
      <c r="G78" s="72">
        <v>-11700</v>
      </c>
      <c r="H78" s="72">
        <v>-691</v>
      </c>
      <c r="I78" s="72">
        <v>0</v>
      </c>
      <c r="J78" s="72">
        <v>0</v>
      </c>
      <c r="K78" s="26"/>
      <c r="L78" s="26"/>
      <c r="M78" s="26"/>
      <c r="N78" s="26"/>
      <c r="O78" s="70"/>
      <c r="P78" s="2"/>
      <c r="Q78" s="1"/>
      <c r="R78" s="1"/>
      <c r="S78" s="1"/>
      <c r="T78" s="1"/>
      <c r="U78" s="5"/>
      <c r="V78" s="5"/>
      <c r="W78" s="5"/>
      <c r="X78" s="1"/>
      <c r="Y78" s="1"/>
      <c r="Z78" s="1"/>
      <c r="AA78" s="1"/>
      <c r="AB78" s="1"/>
      <c r="AC78" s="1"/>
      <c r="AD78" s="1"/>
      <c r="AE78" s="1"/>
      <c r="AF78" s="1"/>
      <c r="AG78" s="1"/>
      <c r="AH78" s="1"/>
      <c r="AI78" s="1"/>
      <c r="AJ78" s="1"/>
      <c r="AK78" s="1"/>
      <c r="AL78" s="1"/>
      <c r="AM78" s="1"/>
      <c r="AN78" s="1"/>
      <c r="AO78" s="1"/>
      <c r="AP78" s="1"/>
      <c r="AQ78" s="1"/>
      <c r="AR78" s="1"/>
      <c r="AS78" s="1"/>
      <c r="AT78" s="1"/>
    </row>
    <row r="79" spans="1:46" ht="18" hidden="1" customHeight="1" outlineLevel="1" x14ac:dyDescent="0.35">
      <c r="A79" s="2"/>
      <c r="B79" s="75" t="s">
        <v>189</v>
      </c>
      <c r="C79" s="72">
        <v>0</v>
      </c>
      <c r="D79" s="72">
        <v>0</v>
      </c>
      <c r="E79" s="72">
        <v>0</v>
      </c>
      <c r="F79" s="72">
        <v>32372</v>
      </c>
      <c r="G79" s="72">
        <v>0</v>
      </c>
      <c r="H79" s="72">
        <v>0</v>
      </c>
      <c r="I79" s="72">
        <v>0</v>
      </c>
      <c r="J79" s="72">
        <v>0</v>
      </c>
      <c r="K79" s="26"/>
      <c r="L79" s="26"/>
      <c r="M79" s="26"/>
      <c r="N79" s="26"/>
      <c r="O79" s="70"/>
      <c r="P79" s="2"/>
      <c r="Q79" s="1"/>
      <c r="R79" s="1"/>
      <c r="S79" s="1"/>
      <c r="T79" s="1"/>
      <c r="U79" s="5"/>
      <c r="V79" s="5"/>
      <c r="W79" s="5"/>
      <c r="X79" s="1"/>
      <c r="Y79" s="1"/>
      <c r="Z79" s="1"/>
      <c r="AA79" s="1"/>
      <c r="AB79" s="1"/>
      <c r="AC79" s="1"/>
      <c r="AD79" s="1"/>
      <c r="AE79" s="1"/>
      <c r="AF79" s="1"/>
      <c r="AG79" s="1"/>
      <c r="AH79" s="1"/>
      <c r="AI79" s="1"/>
      <c r="AJ79" s="1"/>
      <c r="AK79" s="1"/>
      <c r="AL79" s="1"/>
      <c r="AM79" s="1"/>
      <c r="AN79" s="1"/>
      <c r="AO79" s="1"/>
      <c r="AP79" s="1"/>
      <c r="AQ79" s="1"/>
      <c r="AR79" s="1"/>
      <c r="AS79" s="1"/>
      <c r="AT79" s="1"/>
    </row>
    <row r="80" spans="1:46" ht="18" hidden="1" customHeight="1" outlineLevel="1" x14ac:dyDescent="0.35">
      <c r="A80" s="2"/>
      <c r="B80" s="74" t="s">
        <v>190</v>
      </c>
      <c r="C80" s="72">
        <v>0</v>
      </c>
      <c r="D80" s="72">
        <v>0</v>
      </c>
      <c r="E80" s="72">
        <v>0</v>
      </c>
      <c r="F80" s="72">
        <v>0</v>
      </c>
      <c r="G80" s="72">
        <v>0</v>
      </c>
      <c r="H80" s="72">
        <v>0</v>
      </c>
      <c r="I80" s="72">
        <v>0</v>
      </c>
      <c r="J80" s="72">
        <v>0</v>
      </c>
      <c r="K80" s="26"/>
      <c r="L80" s="26"/>
      <c r="M80" s="26"/>
      <c r="N80" s="26"/>
      <c r="O80" s="70"/>
      <c r="P80" s="2"/>
      <c r="Q80" s="1"/>
      <c r="R80" s="1"/>
      <c r="S80" s="1"/>
      <c r="T80" s="1"/>
      <c r="U80" s="5"/>
      <c r="V80" s="5"/>
      <c r="W80" s="5"/>
      <c r="X80" s="1"/>
      <c r="Y80" s="1"/>
      <c r="Z80" s="1"/>
      <c r="AA80" s="1"/>
      <c r="AB80" s="1"/>
      <c r="AC80" s="1"/>
      <c r="AD80" s="1"/>
      <c r="AE80" s="1"/>
      <c r="AF80" s="1"/>
      <c r="AG80" s="1"/>
      <c r="AH80" s="1"/>
      <c r="AI80" s="1"/>
      <c r="AJ80" s="1"/>
      <c r="AK80" s="1"/>
      <c r="AL80" s="1"/>
      <c r="AM80" s="1"/>
      <c r="AN80" s="1"/>
      <c r="AO80" s="1"/>
      <c r="AP80" s="1"/>
      <c r="AQ80" s="1"/>
      <c r="AR80" s="1"/>
      <c r="AS80" s="1"/>
      <c r="AT80" s="1"/>
    </row>
    <row r="81" spans="1:46" ht="18" hidden="1" customHeight="1" outlineLevel="1" x14ac:dyDescent="0.35">
      <c r="A81" s="2"/>
      <c r="B81" s="74" t="s">
        <v>47</v>
      </c>
      <c r="C81" s="72">
        <v>-211</v>
      </c>
      <c r="D81" s="72">
        <v>-149</v>
      </c>
      <c r="E81" s="72">
        <v>-14</v>
      </c>
      <c r="F81" s="72">
        <v>-253</v>
      </c>
      <c r="G81" s="72">
        <v>-2101</v>
      </c>
      <c r="H81" s="72">
        <v>-4553</v>
      </c>
      <c r="I81" s="72">
        <v>-5416</v>
      </c>
      <c r="J81" s="72">
        <v>-7799</v>
      </c>
      <c r="K81" s="26"/>
      <c r="L81" s="26"/>
      <c r="M81" s="26"/>
      <c r="N81" s="26"/>
      <c r="O81" s="70"/>
      <c r="P81" s="2"/>
      <c r="Q81" s="1"/>
      <c r="R81" s="1"/>
      <c r="S81" s="1"/>
      <c r="T81" s="1"/>
      <c r="U81" s="5"/>
      <c r="V81" s="5"/>
      <c r="W81" s="5"/>
      <c r="X81" s="1"/>
      <c r="Y81" s="1"/>
      <c r="Z81" s="1"/>
      <c r="AA81" s="1"/>
      <c r="AB81" s="1"/>
      <c r="AC81" s="1"/>
      <c r="AD81" s="1"/>
      <c r="AE81" s="1"/>
      <c r="AF81" s="1"/>
      <c r="AG81" s="1"/>
      <c r="AH81" s="1"/>
      <c r="AI81" s="1"/>
      <c r="AJ81" s="1"/>
      <c r="AK81" s="1"/>
      <c r="AL81" s="1"/>
      <c r="AM81" s="1"/>
      <c r="AN81" s="1"/>
      <c r="AO81" s="1"/>
      <c r="AP81" s="1"/>
      <c r="AQ81" s="1"/>
      <c r="AR81" s="1"/>
      <c r="AS81" s="1"/>
      <c r="AT81" s="1"/>
    </row>
    <row r="82" spans="1:46" ht="18" customHeight="1" collapsed="1" x14ac:dyDescent="0.35">
      <c r="A82" s="2"/>
      <c r="B82" s="59" t="s">
        <v>214</v>
      </c>
      <c r="C82" s="72">
        <f>C52+C55</f>
        <v>-204914</v>
      </c>
      <c r="D82" s="72">
        <f t="shared" ref="D82:J82" si="18">D52+D55</f>
        <v>141547</v>
      </c>
      <c r="E82" s="72">
        <f>E52+E55</f>
        <v>198304</v>
      </c>
      <c r="F82" s="72">
        <f t="shared" si="18"/>
        <v>1422028</v>
      </c>
      <c r="G82" s="72">
        <f t="shared" si="18"/>
        <v>-255673</v>
      </c>
      <c r="H82" s="72">
        <f t="shared" si="18"/>
        <v>992</v>
      </c>
      <c r="I82" s="72">
        <f t="shared" si="18"/>
        <v>-43602</v>
      </c>
      <c r="J82" s="72">
        <f t="shared" si="18"/>
        <v>-34235</v>
      </c>
      <c r="K82" s="26"/>
      <c r="L82" s="26"/>
      <c r="M82" s="26"/>
      <c r="N82" s="26"/>
      <c r="O82" s="70"/>
      <c r="P82" s="2"/>
      <c r="Q82" s="1"/>
      <c r="R82" s="1"/>
      <c r="S82" s="1"/>
      <c r="T82" s="1"/>
      <c r="U82" s="5"/>
      <c r="V82" s="5"/>
      <c r="W82" s="5"/>
      <c r="X82" s="1"/>
      <c r="Y82" s="1"/>
      <c r="Z82" s="1"/>
      <c r="AA82" s="1"/>
      <c r="AB82" s="1"/>
      <c r="AC82" s="1"/>
      <c r="AD82" s="1"/>
      <c r="AE82" s="1"/>
      <c r="AF82" s="1"/>
      <c r="AG82" s="1"/>
      <c r="AH82" s="1"/>
      <c r="AI82" s="1"/>
      <c r="AJ82" s="1"/>
      <c r="AK82" s="1"/>
      <c r="AL82" s="1"/>
      <c r="AM82" s="1"/>
      <c r="AN82" s="1"/>
      <c r="AO82" s="1"/>
      <c r="AP82" s="1"/>
      <c r="AQ82" s="1"/>
      <c r="AR82" s="1"/>
      <c r="AS82" s="1"/>
      <c r="AT82" s="1"/>
    </row>
    <row r="83" spans="1:46" ht="18" customHeight="1" x14ac:dyDescent="0.35">
      <c r="A83" s="2"/>
      <c r="B83" s="59" t="s">
        <v>215</v>
      </c>
      <c r="C83" s="72">
        <f>C54+C55-C59-C60-C61-C64-C65-C76-C77</f>
        <v>-122095</v>
      </c>
      <c r="D83" s="72">
        <f t="shared" ref="D83:J83" si="19">D54+D55-D59-D60-D61-D64-D65-D76-D77</f>
        <v>200132</v>
      </c>
      <c r="E83" s="72">
        <f t="shared" si="19"/>
        <v>279561</v>
      </c>
      <c r="F83" s="72">
        <f t="shared" si="19"/>
        <v>111623</v>
      </c>
      <c r="G83" s="72">
        <f t="shared" si="19"/>
        <v>-397077</v>
      </c>
      <c r="H83" s="72">
        <f t="shared" si="19"/>
        <v>-208768</v>
      </c>
      <c r="I83" s="72">
        <f t="shared" si="19"/>
        <v>-230427</v>
      </c>
      <c r="J83" s="72">
        <f t="shared" si="19"/>
        <v>-107408</v>
      </c>
      <c r="K83" s="43"/>
      <c r="L83" s="43"/>
      <c r="M83" s="43"/>
      <c r="N83" s="43"/>
      <c r="O83" s="70"/>
      <c r="P83" s="2"/>
      <c r="Q83" s="1"/>
      <c r="R83" s="1"/>
      <c r="S83" s="1"/>
      <c r="T83" s="1"/>
      <c r="U83" s="5"/>
      <c r="V83" s="5"/>
      <c r="W83" s="5"/>
      <c r="X83" s="1"/>
      <c r="Y83" s="1"/>
      <c r="Z83" s="1"/>
      <c r="AA83" s="1"/>
      <c r="AB83" s="1"/>
      <c r="AC83" s="1"/>
      <c r="AD83" s="1"/>
      <c r="AE83" s="1"/>
      <c r="AF83" s="1"/>
      <c r="AG83" s="1"/>
      <c r="AH83" s="1"/>
      <c r="AI83" s="1"/>
      <c r="AJ83" s="1"/>
      <c r="AK83" s="1"/>
      <c r="AL83" s="1"/>
      <c r="AM83" s="1"/>
      <c r="AN83" s="1"/>
      <c r="AO83" s="1"/>
      <c r="AP83" s="1"/>
      <c r="AQ83" s="1"/>
      <c r="AR83" s="1"/>
      <c r="AS83" s="1"/>
      <c r="AT83" s="1"/>
    </row>
    <row r="84" spans="1:46" ht="18" customHeight="1" x14ac:dyDescent="0.35">
      <c r="A84" s="2"/>
      <c r="B84" s="59" t="s">
        <v>54</v>
      </c>
      <c r="C84" s="72">
        <v>63642</v>
      </c>
      <c r="D84" s="72">
        <v>-44667</v>
      </c>
      <c r="E84" s="72">
        <v>-51914</v>
      </c>
      <c r="F84" s="72">
        <v>-450033</v>
      </c>
      <c r="G84" s="72">
        <v>89341</v>
      </c>
      <c r="H84" s="72">
        <v>328018</v>
      </c>
      <c r="I84" s="72">
        <v>44105</v>
      </c>
      <c r="J84" s="72">
        <v>36572</v>
      </c>
      <c r="K84" s="26"/>
      <c r="L84" s="26"/>
      <c r="M84" s="26"/>
      <c r="N84" s="26"/>
      <c r="O84" s="70"/>
      <c r="P84" s="2"/>
      <c r="Q84" s="1"/>
      <c r="R84" s="1"/>
      <c r="S84" s="1"/>
      <c r="T84" s="1"/>
      <c r="U84" s="5"/>
      <c r="V84" s="5"/>
      <c r="W84" s="5"/>
      <c r="X84" s="1"/>
      <c r="Y84" s="1"/>
      <c r="Z84" s="1"/>
      <c r="AA84" s="1"/>
      <c r="AB84" s="1"/>
      <c r="AC84" s="1"/>
      <c r="AD84" s="1"/>
      <c r="AE84" s="1"/>
      <c r="AF84" s="1"/>
      <c r="AG84" s="1"/>
      <c r="AH84" s="1"/>
      <c r="AI84" s="1"/>
      <c r="AJ84" s="1"/>
      <c r="AK84" s="1"/>
      <c r="AL84" s="1"/>
      <c r="AM84" s="1"/>
      <c r="AN84" s="1"/>
      <c r="AO84" s="1"/>
      <c r="AP84" s="1"/>
      <c r="AQ84" s="1"/>
      <c r="AR84" s="1"/>
      <c r="AS84" s="1"/>
      <c r="AT84" s="1"/>
    </row>
    <row r="85" spans="1:46" ht="18" hidden="1" customHeight="1" outlineLevel="1" x14ac:dyDescent="0.35">
      <c r="A85" s="2"/>
      <c r="B85" s="73" t="s">
        <v>50</v>
      </c>
      <c r="C85" s="72">
        <f t="shared" ref="C85:J85" si="20">-34%*C82</f>
        <v>69670.760000000009</v>
      </c>
      <c r="D85" s="72">
        <f t="shared" si="20"/>
        <v>-48125.98</v>
      </c>
      <c r="E85" s="72">
        <f t="shared" si="20"/>
        <v>-67423.360000000001</v>
      </c>
      <c r="F85" s="72">
        <f t="shared" si="20"/>
        <v>-483489.52</v>
      </c>
      <c r="G85" s="72">
        <f t="shared" si="20"/>
        <v>86928.82</v>
      </c>
      <c r="H85" s="72">
        <f t="shared" si="20"/>
        <v>-337.28000000000003</v>
      </c>
      <c r="I85" s="72">
        <f t="shared" si="20"/>
        <v>14824.68</v>
      </c>
      <c r="J85" s="72">
        <f t="shared" si="20"/>
        <v>11639.900000000001</v>
      </c>
      <c r="K85" s="26"/>
      <c r="L85" s="26"/>
      <c r="M85" s="26"/>
      <c r="N85" s="26"/>
      <c r="O85" s="70"/>
      <c r="P85" s="2"/>
      <c r="Q85" s="1"/>
      <c r="R85" s="1"/>
      <c r="S85" s="1"/>
      <c r="T85" s="1"/>
      <c r="U85" s="5"/>
      <c r="V85" s="5"/>
      <c r="W85" s="5"/>
      <c r="X85" s="1"/>
      <c r="Y85" s="1"/>
      <c r="Z85" s="1"/>
      <c r="AA85" s="1"/>
      <c r="AB85" s="1"/>
      <c r="AC85" s="1"/>
      <c r="AD85" s="1"/>
      <c r="AE85" s="1"/>
      <c r="AF85" s="1"/>
      <c r="AG85" s="1"/>
      <c r="AH85" s="1"/>
      <c r="AI85" s="1"/>
      <c r="AJ85" s="1"/>
      <c r="AK85" s="1"/>
      <c r="AL85" s="1"/>
      <c r="AM85" s="1"/>
      <c r="AN85" s="1"/>
      <c r="AO85" s="1"/>
      <c r="AP85" s="1"/>
      <c r="AQ85" s="1"/>
      <c r="AR85" s="1"/>
      <c r="AS85" s="1"/>
      <c r="AT85" s="1"/>
    </row>
    <row r="86" spans="1:46" ht="18" hidden="1" customHeight="1" outlineLevel="1" x14ac:dyDescent="0.35">
      <c r="A86" s="2"/>
      <c r="B86" s="74" t="s">
        <v>51</v>
      </c>
      <c r="C86" s="72">
        <v>0</v>
      </c>
      <c r="D86" s="72">
        <v>-22329</v>
      </c>
      <c r="E86" s="72">
        <v>-23432</v>
      </c>
      <c r="F86" s="72">
        <v>-26565</v>
      </c>
      <c r="G86" s="72">
        <v>0</v>
      </c>
      <c r="H86" s="72">
        <v>0</v>
      </c>
      <c r="I86" s="72">
        <v>0</v>
      </c>
      <c r="J86" s="72">
        <v>0</v>
      </c>
      <c r="K86" s="26"/>
      <c r="L86" s="26"/>
      <c r="M86" s="26"/>
      <c r="N86" s="26"/>
      <c r="O86" s="70"/>
      <c r="P86" s="37"/>
      <c r="Q86" s="37"/>
      <c r="R86" s="37"/>
      <c r="S86" s="37"/>
      <c r="T86" s="1"/>
      <c r="U86" s="5"/>
      <c r="V86" s="5"/>
      <c r="W86" s="5"/>
      <c r="X86" s="1"/>
      <c r="Y86" s="1"/>
      <c r="Z86" s="1"/>
      <c r="AA86" s="1"/>
      <c r="AB86" s="1"/>
      <c r="AC86" s="1"/>
      <c r="AD86" s="1"/>
      <c r="AE86" s="1"/>
      <c r="AF86" s="1"/>
      <c r="AG86" s="1"/>
      <c r="AH86" s="1"/>
      <c r="AI86" s="1"/>
      <c r="AJ86" s="1"/>
      <c r="AK86" s="1"/>
      <c r="AL86" s="1"/>
      <c r="AM86" s="1"/>
      <c r="AN86" s="1"/>
      <c r="AO86" s="1"/>
      <c r="AP86" s="1"/>
      <c r="AQ86" s="1"/>
      <c r="AR86" s="1"/>
      <c r="AS86" s="1"/>
      <c r="AT86" s="1"/>
    </row>
    <row r="87" spans="1:46" ht="18" hidden="1" customHeight="1" outlineLevel="1" x14ac:dyDescent="0.35">
      <c r="A87" s="2"/>
      <c r="B87" s="74" t="s">
        <v>199</v>
      </c>
      <c r="C87" s="72">
        <v>0</v>
      </c>
      <c r="D87" s="72">
        <v>0</v>
      </c>
      <c r="E87" s="72">
        <v>0</v>
      </c>
      <c r="F87" s="72">
        <v>19571.93</v>
      </c>
      <c r="G87" s="72">
        <v>0</v>
      </c>
      <c r="H87" s="72">
        <v>0</v>
      </c>
      <c r="I87" s="72">
        <v>0</v>
      </c>
      <c r="J87" s="72">
        <v>0</v>
      </c>
      <c r="K87" s="26"/>
      <c r="L87" s="26"/>
      <c r="M87" s="26"/>
      <c r="N87" s="26"/>
      <c r="O87" s="70"/>
      <c r="P87" s="37"/>
      <c r="Q87" s="37"/>
      <c r="R87" s="37"/>
      <c r="S87" s="37"/>
      <c r="T87" s="1"/>
      <c r="U87" s="5"/>
      <c r="V87" s="5"/>
      <c r="W87" s="5"/>
      <c r="X87" s="1"/>
      <c r="Y87" s="1"/>
      <c r="Z87" s="1"/>
      <c r="AA87" s="1"/>
      <c r="AB87" s="1"/>
      <c r="AC87" s="1"/>
      <c r="AD87" s="1"/>
      <c r="AE87" s="1"/>
      <c r="AF87" s="1"/>
      <c r="AG87" s="1"/>
      <c r="AH87" s="1"/>
      <c r="AI87" s="1"/>
      <c r="AJ87" s="1"/>
      <c r="AK87" s="1"/>
      <c r="AL87" s="1"/>
      <c r="AM87" s="1"/>
      <c r="AN87" s="1"/>
      <c r="AO87" s="1"/>
      <c r="AP87" s="1"/>
      <c r="AQ87" s="1"/>
      <c r="AR87" s="1"/>
      <c r="AS87" s="1"/>
      <c r="AT87" s="1"/>
    </row>
    <row r="88" spans="1:46" ht="18" hidden="1" customHeight="1" outlineLevel="1" x14ac:dyDescent="0.35">
      <c r="A88" s="2"/>
      <c r="B88" s="74" t="s">
        <v>200</v>
      </c>
      <c r="C88" s="72">
        <v>1461</v>
      </c>
      <c r="D88" s="72">
        <v>2224</v>
      </c>
      <c r="E88" s="72">
        <v>1520</v>
      </c>
      <c r="F88" s="72">
        <v>0</v>
      </c>
      <c r="G88" s="72">
        <v>1894</v>
      </c>
      <c r="H88" s="72">
        <v>1872</v>
      </c>
      <c r="I88" s="72">
        <v>2610</v>
      </c>
      <c r="J88" s="72">
        <v>2838</v>
      </c>
      <c r="K88" s="26"/>
      <c r="L88" s="26"/>
      <c r="M88" s="26"/>
      <c r="N88" s="26"/>
      <c r="O88" s="70"/>
      <c r="P88" s="37"/>
      <c r="Q88" s="37"/>
      <c r="R88" s="37"/>
      <c r="S88" s="37"/>
      <c r="T88" s="1"/>
      <c r="U88" s="5"/>
      <c r="V88" s="5"/>
      <c r="W88" s="5"/>
      <c r="X88" s="1"/>
      <c r="Y88" s="1"/>
      <c r="Z88" s="1"/>
      <c r="AA88" s="1"/>
      <c r="AB88" s="1"/>
      <c r="AC88" s="1"/>
      <c r="AD88" s="1"/>
      <c r="AE88" s="1"/>
      <c r="AF88" s="1"/>
      <c r="AG88" s="1"/>
      <c r="AH88" s="1"/>
      <c r="AI88" s="1"/>
      <c r="AJ88" s="1"/>
      <c r="AK88" s="1"/>
      <c r="AL88" s="1"/>
      <c r="AM88" s="1"/>
      <c r="AN88" s="1"/>
      <c r="AO88" s="1"/>
      <c r="AP88" s="1"/>
      <c r="AQ88" s="1"/>
      <c r="AR88" s="1"/>
      <c r="AS88" s="1"/>
      <c r="AT88" s="1"/>
    </row>
    <row r="89" spans="1:46" ht="18" hidden="1" customHeight="1" outlineLevel="1" x14ac:dyDescent="0.35">
      <c r="A89" s="2"/>
      <c r="B89" s="74" t="s">
        <v>201</v>
      </c>
      <c r="C89" s="72">
        <v>0</v>
      </c>
      <c r="D89" s="72">
        <v>-52</v>
      </c>
      <c r="E89" s="72">
        <v>-476</v>
      </c>
      <c r="F89" s="72">
        <v>-4951</v>
      </c>
      <c r="G89" s="72">
        <v>-607</v>
      </c>
      <c r="H89" s="72">
        <v>0</v>
      </c>
      <c r="I89" s="72">
        <v>0</v>
      </c>
      <c r="J89" s="72">
        <v>-2071</v>
      </c>
      <c r="K89" s="26"/>
      <c r="L89" s="26"/>
      <c r="M89" s="26"/>
      <c r="N89" s="26"/>
      <c r="O89" s="70"/>
      <c r="P89" s="37"/>
      <c r="Q89" s="37"/>
      <c r="R89" s="37"/>
      <c r="S89" s="37"/>
      <c r="T89" s="1"/>
      <c r="U89" s="5"/>
      <c r="V89" s="5"/>
      <c r="W89" s="5"/>
      <c r="X89" s="1"/>
      <c r="Y89" s="1"/>
      <c r="Z89" s="1"/>
      <c r="AA89" s="1"/>
      <c r="AB89" s="1"/>
      <c r="AC89" s="1"/>
      <c r="AD89" s="1"/>
      <c r="AE89" s="1"/>
      <c r="AF89" s="1"/>
      <c r="AG89" s="1"/>
      <c r="AH89" s="1"/>
      <c r="AI89" s="1"/>
      <c r="AJ89" s="1"/>
      <c r="AK89" s="1"/>
      <c r="AL89" s="1"/>
      <c r="AM89" s="1"/>
      <c r="AN89" s="1"/>
      <c r="AO89" s="1"/>
      <c r="AP89" s="1"/>
      <c r="AQ89" s="1"/>
      <c r="AR89" s="1"/>
      <c r="AS89" s="1"/>
      <c r="AT89" s="1"/>
    </row>
    <row r="90" spans="1:46" ht="18" hidden="1" customHeight="1" outlineLevel="1" x14ac:dyDescent="0.35">
      <c r="A90" s="2"/>
      <c r="B90" s="74" t="s">
        <v>202</v>
      </c>
      <c r="C90" s="72">
        <v>3515</v>
      </c>
      <c r="D90" s="72">
        <v>15427</v>
      </c>
      <c r="E90" s="72">
        <v>-1109</v>
      </c>
      <c r="F90" s="72">
        <v>-1973</v>
      </c>
      <c r="G90" s="72">
        <v>-509</v>
      </c>
      <c r="H90" s="72">
        <v>70</v>
      </c>
      <c r="I90" s="72">
        <v>0</v>
      </c>
      <c r="J90" s="72">
        <v>1164</v>
      </c>
      <c r="K90" s="26"/>
      <c r="L90" s="26"/>
      <c r="M90" s="26"/>
      <c r="N90" s="26"/>
      <c r="O90" s="70"/>
      <c r="P90" s="37"/>
      <c r="Q90" s="37"/>
      <c r="R90" s="37"/>
      <c r="S90" s="37"/>
      <c r="T90" s="1"/>
      <c r="U90" s="5"/>
      <c r="V90" s="5"/>
      <c r="W90" s="5"/>
      <c r="X90" s="1"/>
      <c r="Y90" s="1"/>
      <c r="Z90" s="1"/>
      <c r="AA90" s="1"/>
      <c r="AB90" s="1"/>
      <c r="AC90" s="1"/>
      <c r="AD90" s="1"/>
      <c r="AE90" s="1"/>
      <c r="AF90" s="1"/>
      <c r="AG90" s="1"/>
      <c r="AH90" s="1"/>
      <c r="AI90" s="1"/>
      <c r="AJ90" s="1"/>
      <c r="AK90" s="1"/>
      <c r="AL90" s="1"/>
      <c r="AM90" s="1"/>
      <c r="AN90" s="1"/>
      <c r="AO90" s="1"/>
      <c r="AP90" s="1"/>
      <c r="AQ90" s="1"/>
      <c r="AR90" s="1"/>
      <c r="AS90" s="1"/>
      <c r="AT90" s="1"/>
    </row>
    <row r="91" spans="1:46" ht="18" hidden="1" customHeight="1" outlineLevel="1" x14ac:dyDescent="0.35">
      <c r="A91" s="2"/>
      <c r="B91" s="74" t="s">
        <v>203</v>
      </c>
      <c r="C91" s="72">
        <v>0</v>
      </c>
      <c r="D91" s="72">
        <v>488</v>
      </c>
      <c r="E91" s="72">
        <v>-536</v>
      </c>
      <c r="F91" s="72">
        <v>0</v>
      </c>
      <c r="G91" s="72">
        <v>611</v>
      </c>
      <c r="H91" s="72">
        <v>1114</v>
      </c>
      <c r="I91" s="72">
        <v>718</v>
      </c>
      <c r="J91" s="72">
        <v>642</v>
      </c>
      <c r="K91" s="26"/>
      <c r="L91" s="26"/>
      <c r="M91" s="26"/>
      <c r="N91" s="26"/>
      <c r="O91" s="70"/>
      <c r="P91" s="37"/>
      <c r="Q91" s="37"/>
      <c r="R91" s="37"/>
      <c r="S91" s="37"/>
      <c r="T91" s="1"/>
      <c r="U91" s="5"/>
      <c r="V91" s="5"/>
      <c r="W91" s="5"/>
      <c r="X91" s="1"/>
      <c r="Y91" s="1"/>
      <c r="Z91" s="1"/>
      <c r="AA91" s="1"/>
      <c r="AB91" s="1"/>
      <c r="AC91" s="1"/>
      <c r="AD91" s="1"/>
      <c r="AE91" s="1"/>
      <c r="AF91" s="1"/>
      <c r="AG91" s="1"/>
      <c r="AH91" s="1"/>
      <c r="AI91" s="1"/>
      <c r="AJ91" s="1"/>
      <c r="AK91" s="1"/>
      <c r="AL91" s="1"/>
      <c r="AM91" s="1"/>
      <c r="AN91" s="1"/>
      <c r="AO91" s="1"/>
      <c r="AP91" s="1"/>
      <c r="AQ91" s="1"/>
      <c r="AR91" s="1"/>
      <c r="AS91" s="1"/>
      <c r="AT91" s="1"/>
    </row>
    <row r="92" spans="1:46" ht="18" hidden="1" customHeight="1" outlineLevel="1" x14ac:dyDescent="0.35">
      <c r="A92" s="2"/>
      <c r="B92" s="74" t="s">
        <v>204</v>
      </c>
      <c r="C92" s="72">
        <v>0</v>
      </c>
      <c r="D92" s="72">
        <v>0</v>
      </c>
      <c r="E92" s="72">
        <v>0</v>
      </c>
      <c r="F92" s="72">
        <v>0</v>
      </c>
      <c r="G92" s="72">
        <v>-637</v>
      </c>
      <c r="H92" s="72">
        <v>-3291</v>
      </c>
      <c r="I92" s="72">
        <v>-4629</v>
      </c>
      <c r="J92" s="72">
        <v>-4723</v>
      </c>
      <c r="K92" s="26"/>
      <c r="L92" s="26"/>
      <c r="M92" s="26"/>
      <c r="N92" s="26"/>
      <c r="O92" s="70"/>
      <c r="P92" s="37"/>
      <c r="Q92" s="37"/>
      <c r="R92" s="37"/>
      <c r="S92" s="37"/>
      <c r="T92" s="1"/>
      <c r="U92" s="5"/>
      <c r="V92" s="5"/>
      <c r="W92" s="5"/>
      <c r="X92" s="1"/>
      <c r="Y92" s="1"/>
      <c r="Z92" s="1"/>
      <c r="AA92" s="1"/>
      <c r="AB92" s="1"/>
      <c r="AC92" s="1"/>
      <c r="AD92" s="1"/>
      <c r="AE92" s="1"/>
      <c r="AF92" s="1"/>
      <c r="AG92" s="1"/>
      <c r="AH92" s="1"/>
      <c r="AI92" s="1"/>
      <c r="AJ92" s="1"/>
      <c r="AK92" s="1"/>
      <c r="AL92" s="1"/>
      <c r="AM92" s="1"/>
      <c r="AN92" s="1"/>
      <c r="AO92" s="1"/>
      <c r="AP92" s="1"/>
      <c r="AQ92" s="1"/>
      <c r="AR92" s="1"/>
      <c r="AS92" s="1"/>
      <c r="AT92" s="1"/>
    </row>
    <row r="93" spans="1:46" ht="18" hidden="1" customHeight="1" outlineLevel="1" x14ac:dyDescent="0.35">
      <c r="A93" s="2"/>
      <c r="B93" s="74" t="s">
        <v>205</v>
      </c>
      <c r="C93" s="72">
        <v>0</v>
      </c>
      <c r="D93" s="72">
        <v>0</v>
      </c>
      <c r="E93" s="72">
        <v>0</v>
      </c>
      <c r="F93" s="72">
        <v>0</v>
      </c>
      <c r="G93" s="72">
        <v>0</v>
      </c>
      <c r="H93" s="72">
        <v>261</v>
      </c>
      <c r="I93" s="72">
        <v>-1738</v>
      </c>
      <c r="J93" s="72">
        <v>101</v>
      </c>
      <c r="K93" s="26"/>
      <c r="L93" s="26"/>
      <c r="M93" s="26"/>
      <c r="N93" s="26"/>
      <c r="O93" s="70"/>
      <c r="P93" s="37"/>
      <c r="Q93" s="37"/>
      <c r="R93" s="37"/>
      <c r="S93" s="37"/>
      <c r="T93" s="1"/>
      <c r="U93" s="5"/>
      <c r="V93" s="5"/>
      <c r="W93" s="5"/>
      <c r="X93" s="1"/>
      <c r="Y93" s="1"/>
      <c r="Z93" s="1"/>
      <c r="AA93" s="1"/>
      <c r="AB93" s="1"/>
      <c r="AC93" s="1"/>
      <c r="AD93" s="1"/>
      <c r="AE93" s="1"/>
      <c r="AF93" s="1"/>
      <c r="AG93" s="1"/>
      <c r="AH93" s="1"/>
      <c r="AI93" s="1"/>
      <c r="AJ93" s="1"/>
      <c r="AK93" s="1"/>
      <c r="AL93" s="1"/>
      <c r="AM93" s="1"/>
      <c r="AN93" s="1"/>
      <c r="AO93" s="1"/>
      <c r="AP93" s="1"/>
      <c r="AQ93" s="1"/>
      <c r="AR93" s="1"/>
      <c r="AS93" s="1"/>
      <c r="AT93" s="1"/>
    </row>
    <row r="94" spans="1:46" ht="18" hidden="1" customHeight="1" outlineLevel="1" x14ac:dyDescent="0.35">
      <c r="A94" s="2"/>
      <c r="B94" s="74" t="s">
        <v>206</v>
      </c>
      <c r="C94" s="72">
        <v>0</v>
      </c>
      <c r="D94" s="72">
        <v>0</v>
      </c>
      <c r="E94" s="72">
        <v>0</v>
      </c>
      <c r="F94" s="72">
        <v>0</v>
      </c>
      <c r="G94" s="72">
        <v>-385</v>
      </c>
      <c r="H94" s="72">
        <v>0</v>
      </c>
      <c r="I94" s="72">
        <v>0</v>
      </c>
      <c r="J94" s="72">
        <v>0</v>
      </c>
      <c r="K94" s="26"/>
      <c r="L94" s="26"/>
      <c r="M94" s="26"/>
      <c r="N94" s="26"/>
      <c r="O94" s="70"/>
      <c r="P94" s="37"/>
      <c r="Q94" s="37"/>
      <c r="R94" s="37"/>
      <c r="S94" s="37"/>
      <c r="T94" s="1"/>
      <c r="U94" s="5"/>
      <c r="V94" s="5"/>
      <c r="W94" s="5"/>
      <c r="X94" s="1"/>
      <c r="Y94" s="1"/>
      <c r="Z94" s="1"/>
      <c r="AA94" s="1"/>
      <c r="AB94" s="1"/>
      <c r="AC94" s="1"/>
      <c r="AD94" s="1"/>
      <c r="AE94" s="1"/>
      <c r="AF94" s="1"/>
      <c r="AG94" s="1"/>
      <c r="AH94" s="1"/>
      <c r="AI94" s="1"/>
      <c r="AJ94" s="1"/>
      <c r="AK94" s="1"/>
      <c r="AL94" s="1"/>
      <c r="AM94" s="1"/>
      <c r="AN94" s="1"/>
      <c r="AO94" s="1"/>
      <c r="AP94" s="1"/>
      <c r="AQ94" s="1"/>
      <c r="AR94" s="1"/>
      <c r="AS94" s="1"/>
      <c r="AT94" s="1"/>
    </row>
    <row r="95" spans="1:46" ht="18" hidden="1" customHeight="1" outlineLevel="1" x14ac:dyDescent="0.35">
      <c r="A95" s="2"/>
      <c r="B95" s="74" t="s">
        <v>207</v>
      </c>
      <c r="C95" s="72">
        <v>1053</v>
      </c>
      <c r="D95" s="72">
        <v>783</v>
      </c>
      <c r="E95" s="72">
        <v>-740</v>
      </c>
      <c r="F95" s="72">
        <v>81</v>
      </c>
      <c r="G95" s="72">
        <v>-2755</v>
      </c>
      <c r="H95" s="72">
        <v>-144</v>
      </c>
      <c r="I95" s="72">
        <v>0</v>
      </c>
      <c r="J95" s="72">
        <v>0</v>
      </c>
      <c r="K95" s="26"/>
      <c r="L95" s="26"/>
      <c r="M95" s="26"/>
      <c r="N95" s="26"/>
      <c r="O95" s="70"/>
      <c r="P95" s="37"/>
      <c r="Q95" s="37"/>
      <c r="R95" s="37"/>
      <c r="S95" s="37"/>
      <c r="T95" s="1"/>
      <c r="U95" s="5"/>
      <c r="V95" s="5"/>
      <c r="W95" s="5"/>
      <c r="X95" s="1"/>
      <c r="Y95" s="1"/>
      <c r="Z95" s="1"/>
      <c r="AA95" s="1"/>
      <c r="AB95" s="1"/>
      <c r="AC95" s="1"/>
      <c r="AD95" s="1"/>
      <c r="AE95" s="1"/>
      <c r="AF95" s="1"/>
      <c r="AG95" s="1"/>
      <c r="AH95" s="1"/>
      <c r="AI95" s="1"/>
      <c r="AJ95" s="1"/>
      <c r="AK95" s="1"/>
      <c r="AL95" s="1"/>
      <c r="AM95" s="1"/>
      <c r="AN95" s="1"/>
      <c r="AO95" s="1"/>
      <c r="AP95" s="1"/>
      <c r="AQ95" s="1"/>
      <c r="AR95" s="1"/>
      <c r="AS95" s="1"/>
      <c r="AT95" s="1"/>
    </row>
    <row r="96" spans="1:46" ht="18" hidden="1" customHeight="1" outlineLevel="1" x14ac:dyDescent="0.35">
      <c r="A96" s="2"/>
      <c r="B96" s="74" t="s">
        <v>208</v>
      </c>
      <c r="C96" s="72">
        <v>0</v>
      </c>
      <c r="D96" s="72">
        <v>0</v>
      </c>
      <c r="E96" s="72">
        <v>0</v>
      </c>
      <c r="F96" s="72">
        <v>0</v>
      </c>
      <c r="G96" s="72">
        <v>0</v>
      </c>
      <c r="H96" s="72">
        <v>-330631</v>
      </c>
      <c r="I96" s="72">
        <v>-45469</v>
      </c>
      <c r="J96" s="72">
        <v>-29727</v>
      </c>
      <c r="K96" s="26"/>
      <c r="L96" s="26"/>
      <c r="M96" s="26"/>
      <c r="N96" s="26"/>
      <c r="O96" s="70"/>
      <c r="P96" s="37"/>
      <c r="Q96" s="37"/>
      <c r="R96" s="37"/>
      <c r="S96" s="37"/>
      <c r="T96" s="1"/>
      <c r="U96" s="5"/>
      <c r="V96" s="5"/>
      <c r="W96" s="5"/>
      <c r="X96" s="1"/>
      <c r="Y96" s="1"/>
      <c r="Z96" s="1"/>
      <c r="AA96" s="1"/>
      <c r="AB96" s="1"/>
      <c r="AC96" s="1"/>
      <c r="AD96" s="1"/>
      <c r="AE96" s="1"/>
      <c r="AF96" s="1"/>
      <c r="AG96" s="1"/>
      <c r="AH96" s="1"/>
      <c r="AI96" s="1"/>
      <c r="AJ96" s="1"/>
      <c r="AK96" s="1"/>
      <c r="AL96" s="1"/>
      <c r="AM96" s="1"/>
      <c r="AN96" s="1"/>
      <c r="AO96" s="1"/>
      <c r="AP96" s="1"/>
      <c r="AQ96" s="1"/>
      <c r="AR96" s="1"/>
      <c r="AS96" s="1"/>
      <c r="AT96" s="1"/>
    </row>
    <row r="97" spans="1:46" ht="18" hidden="1" customHeight="1" outlineLevel="1" x14ac:dyDescent="0.35">
      <c r="A97" s="2"/>
      <c r="B97" s="74" t="s">
        <v>209</v>
      </c>
      <c r="C97" s="72">
        <v>0</v>
      </c>
      <c r="D97" s="72">
        <v>0</v>
      </c>
      <c r="E97" s="72">
        <v>0</v>
      </c>
      <c r="F97" s="72">
        <v>0</v>
      </c>
      <c r="G97" s="72">
        <v>0</v>
      </c>
      <c r="H97" s="72">
        <v>0</v>
      </c>
      <c r="I97" s="72">
        <v>0</v>
      </c>
      <c r="J97" s="72">
        <v>0</v>
      </c>
      <c r="K97" s="26"/>
      <c r="L97" s="26"/>
      <c r="M97" s="26"/>
      <c r="N97" s="26"/>
      <c r="O97" s="70"/>
      <c r="P97" s="37"/>
      <c r="Q97" s="37"/>
      <c r="R97" s="37"/>
      <c r="S97" s="37"/>
      <c r="T97" s="1"/>
      <c r="U97" s="5"/>
      <c r="V97" s="5"/>
      <c r="W97" s="5"/>
      <c r="X97" s="1"/>
      <c r="Y97" s="1"/>
      <c r="Z97" s="1"/>
      <c r="AA97" s="1"/>
      <c r="AB97" s="1"/>
      <c r="AC97" s="1"/>
      <c r="AD97" s="1"/>
      <c r="AE97" s="1"/>
      <c r="AF97" s="1"/>
      <c r="AG97" s="1"/>
      <c r="AH97" s="1"/>
      <c r="AI97" s="1"/>
      <c r="AJ97" s="1"/>
      <c r="AK97" s="1"/>
      <c r="AL97" s="1"/>
      <c r="AM97" s="1"/>
      <c r="AN97" s="1"/>
      <c r="AO97" s="1"/>
      <c r="AP97" s="1"/>
      <c r="AQ97" s="1"/>
      <c r="AR97" s="1"/>
      <c r="AS97" s="1"/>
      <c r="AT97" s="1"/>
    </row>
    <row r="98" spans="1:46" ht="18" hidden="1" customHeight="1" outlineLevel="1" x14ac:dyDescent="0.35">
      <c r="A98" s="2"/>
      <c r="B98" s="74" t="s">
        <v>210</v>
      </c>
      <c r="C98" s="72">
        <v>0</v>
      </c>
      <c r="D98" s="72">
        <v>0</v>
      </c>
      <c r="E98" s="72">
        <v>0</v>
      </c>
      <c r="F98" s="72">
        <v>0</v>
      </c>
      <c r="G98" s="72">
        <v>0</v>
      </c>
      <c r="H98" s="72">
        <v>0</v>
      </c>
      <c r="I98" s="72">
        <v>0</v>
      </c>
      <c r="J98" s="72">
        <v>6255</v>
      </c>
      <c r="K98" s="26"/>
      <c r="L98" s="26"/>
      <c r="M98" s="26"/>
      <c r="N98" s="26"/>
      <c r="O98" s="70"/>
      <c r="P98" s="37"/>
      <c r="Q98" s="37"/>
      <c r="R98" s="37"/>
      <c r="S98" s="37"/>
      <c r="T98" s="1"/>
      <c r="U98" s="5"/>
      <c r="V98" s="5"/>
      <c r="W98" s="5"/>
      <c r="X98" s="1"/>
      <c r="Y98" s="1"/>
      <c r="Z98" s="1"/>
      <c r="AA98" s="1"/>
      <c r="AB98" s="1"/>
      <c r="AC98" s="1"/>
      <c r="AD98" s="1"/>
      <c r="AE98" s="1"/>
      <c r="AF98" s="1"/>
      <c r="AG98" s="1"/>
      <c r="AH98" s="1"/>
      <c r="AI98" s="1"/>
      <c r="AJ98" s="1"/>
      <c r="AK98" s="1"/>
      <c r="AL98" s="1"/>
      <c r="AM98" s="1"/>
      <c r="AN98" s="1"/>
      <c r="AO98" s="1"/>
      <c r="AP98" s="1"/>
      <c r="AQ98" s="1"/>
      <c r="AR98" s="1"/>
      <c r="AS98" s="1"/>
      <c r="AT98" s="1"/>
    </row>
    <row r="99" spans="1:46" ht="18" hidden="1" customHeight="1" outlineLevel="1" x14ac:dyDescent="0.35">
      <c r="A99" s="2"/>
      <c r="B99" s="74" t="s">
        <v>211</v>
      </c>
      <c r="C99" s="72">
        <v>0</v>
      </c>
      <c r="D99" s="72">
        <v>0</v>
      </c>
      <c r="E99" s="72">
        <v>0</v>
      </c>
      <c r="F99" s="72">
        <v>0</v>
      </c>
      <c r="G99" s="72">
        <v>0</v>
      </c>
      <c r="H99" s="72">
        <v>0</v>
      </c>
      <c r="I99" s="72">
        <v>0</v>
      </c>
      <c r="J99" s="72">
        <v>-72</v>
      </c>
      <c r="K99" s="26"/>
      <c r="L99" s="26"/>
      <c r="M99" s="26"/>
      <c r="N99" s="26"/>
      <c r="O99" s="70"/>
      <c r="P99" s="37"/>
      <c r="Q99" s="37"/>
      <c r="R99" s="37"/>
      <c r="S99" s="37"/>
      <c r="T99" s="1"/>
      <c r="U99" s="5"/>
      <c r="V99" s="5"/>
      <c r="W99" s="5"/>
      <c r="X99" s="1"/>
      <c r="Y99" s="1"/>
      <c r="Z99" s="1"/>
      <c r="AA99" s="1"/>
      <c r="AB99" s="1"/>
      <c r="AC99" s="1"/>
      <c r="AD99" s="1"/>
      <c r="AE99" s="1"/>
      <c r="AF99" s="1"/>
      <c r="AG99" s="1"/>
      <c r="AH99" s="1"/>
      <c r="AI99" s="1"/>
      <c r="AJ99" s="1"/>
      <c r="AK99" s="1"/>
      <c r="AL99" s="1"/>
      <c r="AM99" s="1"/>
      <c r="AN99" s="1"/>
      <c r="AO99" s="1"/>
      <c r="AP99" s="1"/>
      <c r="AQ99" s="1"/>
      <c r="AR99" s="1"/>
      <c r="AS99" s="1"/>
      <c r="AT99" s="1"/>
    </row>
    <row r="100" spans="1:46" ht="18" hidden="1" customHeight="1" outlineLevel="1" x14ac:dyDescent="0.35">
      <c r="A100" s="2"/>
      <c r="B100" s="73" t="s">
        <v>52</v>
      </c>
      <c r="C100" s="72">
        <f>C85-SUM(C86,C88,C89,C91,C92,C94,C95)</f>
        <v>67156.760000000009</v>
      </c>
      <c r="D100" s="72">
        <f t="shared" ref="D100:J100" si="21">D85-SUM(D86,D88,D89,D91,D92,D94,D95)</f>
        <v>-29239.980000000003</v>
      </c>
      <c r="E100" s="72">
        <f>E85-SUM(E86,E88,E89,E91,E92,E94,E95)</f>
        <v>-43759.360000000001</v>
      </c>
      <c r="F100" s="72">
        <f>F85-SUM(F86,F88,F89,F91,F92,F94,F95)</f>
        <v>-452054.52</v>
      </c>
      <c r="G100" s="72">
        <f t="shared" si="21"/>
        <v>88807.82</v>
      </c>
      <c r="H100" s="72">
        <f t="shared" si="21"/>
        <v>111.71999999999997</v>
      </c>
      <c r="I100" s="72">
        <f t="shared" si="21"/>
        <v>16125.68</v>
      </c>
      <c r="J100" s="72">
        <f t="shared" si="21"/>
        <v>14953.900000000001</v>
      </c>
      <c r="K100" s="26"/>
      <c r="L100" s="26"/>
      <c r="M100" s="26"/>
      <c r="N100" s="26"/>
      <c r="O100" s="70"/>
      <c r="P100" s="2"/>
      <c r="Q100" s="1"/>
      <c r="R100" s="1"/>
      <c r="S100" s="1"/>
      <c r="T100" s="1"/>
      <c r="U100" s="5"/>
      <c r="V100" s="5"/>
      <c r="W100" s="5"/>
      <c r="X100" s="1"/>
      <c r="Y100" s="1"/>
      <c r="Z100" s="1"/>
      <c r="AA100" s="1"/>
      <c r="AB100" s="1"/>
      <c r="AC100" s="1"/>
      <c r="AD100" s="1"/>
      <c r="AE100" s="1"/>
      <c r="AF100" s="1"/>
      <c r="AG100" s="1"/>
      <c r="AH100" s="1"/>
      <c r="AI100" s="1"/>
      <c r="AJ100" s="1"/>
      <c r="AK100" s="1"/>
      <c r="AL100" s="1"/>
      <c r="AM100" s="1"/>
      <c r="AN100" s="1"/>
      <c r="AO100" s="1"/>
      <c r="AP100" s="1"/>
      <c r="AQ100" s="1"/>
      <c r="AR100" s="1"/>
      <c r="AS100" s="1"/>
      <c r="AT100" s="1"/>
    </row>
    <row r="101" spans="1:46" ht="18" hidden="1" customHeight="1" outlineLevel="1" x14ac:dyDescent="0.35">
      <c r="A101" s="2"/>
      <c r="B101" s="73" t="s">
        <v>53</v>
      </c>
      <c r="C101" s="72">
        <f>C85-SUM(C86,C88,C89,C91,C94,C95)</f>
        <v>67156.760000000009</v>
      </c>
      <c r="D101" s="72">
        <f t="shared" ref="D101:J101" si="22">D85-SUM(D86,D88,D89,D91,D94,D95)</f>
        <v>-29239.980000000003</v>
      </c>
      <c r="E101" s="72">
        <f t="shared" si="22"/>
        <v>-43759.360000000001</v>
      </c>
      <c r="F101" s="72">
        <f t="shared" si="22"/>
        <v>-452054.52</v>
      </c>
      <c r="G101" s="72">
        <f t="shared" si="22"/>
        <v>88170.82</v>
      </c>
      <c r="H101" s="72">
        <f t="shared" si="22"/>
        <v>-3179.28</v>
      </c>
      <c r="I101" s="72">
        <f t="shared" si="22"/>
        <v>11496.68</v>
      </c>
      <c r="J101" s="72">
        <f t="shared" si="22"/>
        <v>10230.900000000001</v>
      </c>
      <c r="K101" s="26"/>
      <c r="L101" s="26"/>
      <c r="M101" s="26"/>
      <c r="N101" s="26"/>
      <c r="O101" s="70"/>
      <c r="P101" s="2"/>
      <c r="Q101" s="1"/>
      <c r="R101" s="1"/>
      <c r="S101" s="1"/>
      <c r="T101" s="1"/>
      <c r="U101" s="5"/>
      <c r="V101" s="5"/>
      <c r="W101" s="5"/>
      <c r="X101" s="1"/>
      <c r="Y101" s="1"/>
      <c r="Z101" s="1"/>
      <c r="AA101" s="1"/>
      <c r="AB101" s="1"/>
      <c r="AC101" s="1"/>
      <c r="AD101" s="1"/>
      <c r="AE101" s="1"/>
      <c r="AF101" s="1"/>
      <c r="AG101" s="1"/>
      <c r="AH101" s="1"/>
      <c r="AI101" s="1"/>
      <c r="AJ101" s="1"/>
      <c r="AK101" s="1"/>
      <c r="AL101" s="1"/>
      <c r="AM101" s="1"/>
      <c r="AN101" s="1"/>
      <c r="AO101" s="1"/>
      <c r="AP101" s="1"/>
      <c r="AQ101" s="1"/>
      <c r="AR101" s="1"/>
      <c r="AS101" s="1"/>
      <c r="AT101" s="1"/>
    </row>
    <row r="102" spans="1:46" ht="18" hidden="1" customHeight="1" outlineLevel="1" x14ac:dyDescent="0.35">
      <c r="A102" s="2"/>
      <c r="B102" s="73" t="s">
        <v>212</v>
      </c>
      <c r="C102" s="76">
        <f t="shared" ref="C102:J102" si="23">IF(C100&gt;0,0,C100/C52)</f>
        <v>0</v>
      </c>
      <c r="D102" s="76">
        <f t="shared" si="23"/>
        <v>-9.8550657229524788E-2</v>
      </c>
      <c r="E102" s="76">
        <f t="shared" si="23"/>
        <v>-0.13301728094840035</v>
      </c>
      <c r="F102" s="76">
        <f t="shared" si="23"/>
        <v>-0.43757685226592946</v>
      </c>
      <c r="G102" s="76">
        <f t="shared" si="23"/>
        <v>0</v>
      </c>
      <c r="H102" s="76">
        <f t="shared" si="23"/>
        <v>0</v>
      </c>
      <c r="I102" s="76">
        <f t="shared" si="23"/>
        <v>0</v>
      </c>
      <c r="J102" s="76">
        <f t="shared" si="23"/>
        <v>0</v>
      </c>
      <c r="K102" s="26"/>
      <c r="L102" s="26"/>
      <c r="M102" s="26"/>
      <c r="N102" s="26"/>
      <c r="O102" s="70"/>
      <c r="P102" s="2"/>
      <c r="Q102" s="1"/>
      <c r="R102" s="1"/>
      <c r="S102" s="1"/>
      <c r="T102" s="1"/>
      <c r="U102" s="5"/>
      <c r="V102" s="5"/>
      <c r="W102" s="5"/>
      <c r="X102" s="1"/>
      <c r="Y102" s="1"/>
      <c r="Z102" s="1"/>
      <c r="AA102" s="1"/>
      <c r="AB102" s="1"/>
      <c r="AC102" s="1"/>
      <c r="AD102" s="1"/>
      <c r="AE102" s="1"/>
      <c r="AF102" s="1"/>
      <c r="AG102" s="1"/>
      <c r="AH102" s="1"/>
      <c r="AI102" s="1"/>
      <c r="AJ102" s="1"/>
      <c r="AK102" s="1"/>
      <c r="AL102" s="1"/>
      <c r="AM102" s="1"/>
      <c r="AN102" s="1"/>
      <c r="AO102" s="1"/>
      <c r="AP102" s="1"/>
      <c r="AQ102" s="1"/>
      <c r="AR102" s="1"/>
      <c r="AS102" s="1"/>
      <c r="AT102" s="1"/>
    </row>
    <row r="103" spans="1:46" ht="18" hidden="1" customHeight="1" outlineLevel="1" x14ac:dyDescent="0.35">
      <c r="A103" s="2"/>
      <c r="B103" s="73" t="s">
        <v>213</v>
      </c>
      <c r="C103" s="72"/>
      <c r="D103" s="72"/>
      <c r="E103" s="72"/>
      <c r="F103" s="72"/>
      <c r="G103" s="72"/>
      <c r="H103" s="72"/>
      <c r="I103" s="72"/>
      <c r="J103" s="72"/>
      <c r="K103" s="26"/>
      <c r="L103" s="26"/>
      <c r="M103" s="26"/>
      <c r="N103" s="26"/>
      <c r="O103" s="70"/>
      <c r="P103" s="2"/>
      <c r="Q103" s="1"/>
      <c r="R103" s="1"/>
      <c r="S103" s="1"/>
      <c r="T103" s="1"/>
      <c r="U103" s="5"/>
      <c r="V103" s="5"/>
      <c r="W103" s="5"/>
      <c r="X103" s="1"/>
      <c r="Y103" s="1"/>
      <c r="Z103" s="1"/>
      <c r="AA103" s="1"/>
      <c r="AB103" s="1"/>
      <c r="AC103" s="1"/>
      <c r="AD103" s="1"/>
      <c r="AE103" s="1"/>
      <c r="AF103" s="1"/>
      <c r="AG103" s="1"/>
      <c r="AH103" s="1"/>
      <c r="AI103" s="1"/>
      <c r="AJ103" s="1"/>
      <c r="AK103" s="1"/>
      <c r="AL103" s="1"/>
      <c r="AM103" s="1"/>
      <c r="AN103" s="1"/>
      <c r="AO103" s="1"/>
      <c r="AP103" s="1"/>
      <c r="AQ103" s="1"/>
      <c r="AR103" s="1"/>
      <c r="AS103" s="1"/>
      <c r="AT103" s="1"/>
    </row>
    <row r="104" spans="1:46" ht="18" customHeight="1" collapsed="1" x14ac:dyDescent="0.35">
      <c r="A104" s="2"/>
      <c r="B104" s="59" t="s">
        <v>1</v>
      </c>
      <c r="C104" s="72">
        <f t="shared" ref="C104:J104" si="24">C82+C84</f>
        <v>-141272</v>
      </c>
      <c r="D104" s="72">
        <f t="shared" si="24"/>
        <v>96880</v>
      </c>
      <c r="E104" s="72">
        <f t="shared" si="24"/>
        <v>146390</v>
      </c>
      <c r="F104" s="72">
        <f t="shared" si="24"/>
        <v>971995</v>
      </c>
      <c r="G104" s="72">
        <f t="shared" si="24"/>
        <v>-166332</v>
      </c>
      <c r="H104" s="72">
        <f t="shared" si="24"/>
        <v>329010</v>
      </c>
      <c r="I104" s="72">
        <f t="shared" si="24"/>
        <v>503</v>
      </c>
      <c r="J104" s="72">
        <f t="shared" si="24"/>
        <v>2337</v>
      </c>
      <c r="K104" s="26"/>
      <c r="L104" s="26"/>
      <c r="M104" s="26"/>
      <c r="N104" s="26"/>
      <c r="O104" s="70"/>
      <c r="P104" s="2"/>
      <c r="Q104" s="1"/>
      <c r="R104" s="1"/>
      <c r="S104" s="1"/>
      <c r="T104" s="1"/>
      <c r="U104" s="5"/>
      <c r="V104" s="5"/>
      <c r="W104" s="5"/>
      <c r="X104" s="1"/>
      <c r="Y104" s="1"/>
      <c r="Z104" s="1"/>
      <c r="AA104" s="1"/>
      <c r="AB104" s="1"/>
      <c r="AC104" s="1"/>
      <c r="AD104" s="1"/>
      <c r="AE104" s="1"/>
      <c r="AF104" s="1"/>
      <c r="AG104" s="1"/>
      <c r="AH104" s="1"/>
      <c r="AI104" s="1"/>
      <c r="AJ104" s="1"/>
      <c r="AK104" s="1"/>
      <c r="AL104" s="1"/>
      <c r="AM104" s="1"/>
      <c r="AN104" s="1"/>
      <c r="AO104" s="1"/>
      <c r="AP104" s="1"/>
      <c r="AQ104" s="1"/>
      <c r="AR104" s="1"/>
      <c r="AS104" s="1"/>
      <c r="AT104" s="1"/>
    </row>
    <row r="105" spans="1:46" ht="18" customHeight="1" x14ac:dyDescent="0.35">
      <c r="A105" s="1"/>
      <c r="B105" s="23"/>
      <c r="C105" s="12"/>
      <c r="D105" s="12"/>
      <c r="E105" s="12"/>
      <c r="F105" s="12"/>
      <c r="G105" s="12"/>
      <c r="H105" s="12"/>
      <c r="I105" s="12"/>
      <c r="J105" s="12"/>
      <c r="K105" s="12"/>
      <c r="L105" s="12"/>
      <c r="M105" s="12"/>
      <c r="N105" s="12"/>
      <c r="O105" s="70"/>
      <c r="P105" s="2"/>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row>
    <row r="106" spans="1:46" ht="18" customHeight="1" x14ac:dyDescent="0.35">
      <c r="A106" s="1"/>
      <c r="B106" s="23" t="s">
        <v>70</v>
      </c>
      <c r="C106" s="26">
        <f>C52-C82</f>
        <v>197360</v>
      </c>
      <c r="D106" s="26">
        <f t="shared" ref="D106:J106" si="25">D52-D82</f>
        <v>155153</v>
      </c>
      <c r="E106" s="26">
        <f t="shared" si="25"/>
        <v>130671</v>
      </c>
      <c r="F106" s="26">
        <f t="shared" si="25"/>
        <v>-388942</v>
      </c>
      <c r="G106" s="26">
        <f t="shared" si="25"/>
        <v>91435</v>
      </c>
      <c r="H106" s="26">
        <f t="shared" si="25"/>
        <v>91807</v>
      </c>
      <c r="I106" s="26">
        <f t="shared" si="25"/>
        <v>311783</v>
      </c>
      <c r="J106" s="26">
        <f t="shared" si="25"/>
        <v>428683</v>
      </c>
      <c r="K106" s="26"/>
      <c r="L106" s="26"/>
      <c r="M106" s="26"/>
      <c r="N106" s="12"/>
      <c r="O106" s="70"/>
      <c r="P106" s="2"/>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row>
    <row r="107" spans="1:46" ht="18" customHeight="1" collapsed="1" x14ac:dyDescent="0.35">
      <c r="A107" s="1"/>
      <c r="B107" s="39" t="s">
        <v>71</v>
      </c>
      <c r="C107" s="48">
        <f t="array" ref="C107:J107">REINVESTIMENTO/NOPAT</f>
        <v>0.42320125658694768</v>
      </c>
      <c r="D107" s="48">
        <v>0.42334018678336865</v>
      </c>
      <c r="E107" s="48">
        <v>-1.0219345404361566</v>
      </c>
      <c r="F107" s="48">
        <v>-0.3666875995221216</v>
      </c>
      <c r="G107" s="48">
        <v>1.7151072711035036E-2</v>
      </c>
      <c r="H107" s="48">
        <v>-5.6570567631706785</v>
      </c>
      <c r="I107" s="48">
        <v>0.63723362962412378</v>
      </c>
      <c r="J107" s="48">
        <v>-2.0188130467812648</v>
      </c>
      <c r="K107" s="26"/>
      <c r="L107" s="26"/>
      <c r="M107" s="26"/>
      <c r="N107" s="43"/>
      <c r="O107" s="70"/>
      <c r="P107" s="2"/>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row>
    <row r="108" spans="1:46" ht="18" hidden="1" customHeight="1" outlineLevel="1" x14ac:dyDescent="0.35">
      <c r="A108" s="1"/>
      <c r="B108" s="36" t="s">
        <v>87</v>
      </c>
      <c r="C108" s="37" cm="1">
        <f t="array" ref="C108:J108">VAR_CAPITAL_GIRO+CAPEX-DEPRECIACAO_E_AMORTIZACAO</f>
        <v>83523</v>
      </c>
      <c r="D108" s="37">
        <v>65682.5</v>
      </c>
      <c r="E108" s="37">
        <v>-133537.20833333302</v>
      </c>
      <c r="F108" s="37">
        <v>142620.20833333302</v>
      </c>
      <c r="G108" s="37">
        <v>1568.2083333334886</v>
      </c>
      <c r="H108" s="37">
        <v>-519357.41025641048</v>
      </c>
      <c r="I108" s="37">
        <v>198678.61274509819</v>
      </c>
      <c r="J108" s="37">
        <v>-865430.83333333302</v>
      </c>
      <c r="K108" s="26"/>
      <c r="L108" s="26"/>
      <c r="M108" s="26"/>
      <c r="N108" s="26"/>
      <c r="O108" s="70"/>
      <c r="P108" s="2"/>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row>
    <row r="109" spans="1:46" ht="18" hidden="1" customHeight="1" outlineLevel="1" x14ac:dyDescent="0.35">
      <c r="A109" s="1"/>
      <c r="B109" s="38" t="s">
        <v>77</v>
      </c>
      <c r="C109" s="37">
        <v>0</v>
      </c>
      <c r="D109" s="37">
        <f>-(CAPITAL_GIRO_2017-CAPITAL_GIRO_2016)</f>
        <v>-33033.5</v>
      </c>
      <c r="E109" s="37">
        <f>-(CAPITAL_GIRO_2018-CAPITAL_GIRO_2017)</f>
        <v>-93003.208333333023</v>
      </c>
      <c r="F109" s="37">
        <f>-(CAPITAL_GIRO_2019-CAPITAL_GIRO_2018)</f>
        <v>292325.20833333302</v>
      </c>
      <c r="G109" s="37">
        <f>-(CAPITAL_GIRO_2020-CAPITAL_GIRO_2019)</f>
        <v>126270.20833333349</v>
      </c>
      <c r="H109" s="37">
        <f>-(CAPITAL_GIRO_2021-CAPITAL_GIRO_2020)</f>
        <v>2966.6666666665114</v>
      </c>
      <c r="I109" s="37">
        <f>-(CAPITAL_GIRO_2022-CAPITAL_GIRO_2021)</f>
        <v>428958.08333333349</v>
      </c>
      <c r="J109" s="37">
        <f>-(CAPITAL_GIRO_2023-CAPITAL_GIRO_2022)</f>
        <v>-811365.83333333302</v>
      </c>
      <c r="K109" s="26"/>
      <c r="L109" s="26"/>
      <c r="M109" s="26"/>
      <c r="N109" s="12"/>
      <c r="O109" s="70"/>
      <c r="P109" s="2"/>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row>
    <row r="110" spans="1:46" ht="18" hidden="1" customHeight="1" outlineLevel="1" x14ac:dyDescent="0.35">
      <c r="A110" s="1"/>
      <c r="B110" s="38" t="s">
        <v>45</v>
      </c>
      <c r="C110" s="37">
        <f t="array" ref="C110:J110">DEPRECIACAO_E_AMORTIZACAO</f>
        <v>-201873</v>
      </c>
      <c r="D110" s="37">
        <v>-197616</v>
      </c>
      <c r="E110" s="37">
        <v>-205191</v>
      </c>
      <c r="F110" s="37">
        <v>-175565</v>
      </c>
      <c r="G110" s="37">
        <v>-184168</v>
      </c>
      <c r="H110" s="37">
        <v>-166649</v>
      </c>
      <c r="I110" s="37">
        <v>-149497</v>
      </c>
      <c r="J110" s="37">
        <v>-168735</v>
      </c>
      <c r="K110" s="26"/>
      <c r="L110" s="26"/>
      <c r="M110" s="26"/>
      <c r="N110" s="12"/>
      <c r="O110" s="70"/>
      <c r="P110" s="2"/>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row>
    <row r="111" spans="1:46" ht="18" hidden="1" customHeight="1" outlineLevel="1" x14ac:dyDescent="0.35">
      <c r="A111" s="1"/>
      <c r="B111" s="38" t="s">
        <v>76</v>
      </c>
      <c r="C111" s="37">
        <f t="shared" ref="C111:J111" si="26">SUM(C112:C117)</f>
        <v>-118350</v>
      </c>
      <c r="D111" s="37">
        <f t="shared" si="26"/>
        <v>-98900</v>
      </c>
      <c r="E111" s="37">
        <f t="shared" si="26"/>
        <v>-245725</v>
      </c>
      <c r="F111" s="37">
        <f t="shared" si="26"/>
        <v>-325270</v>
      </c>
      <c r="G111" s="37">
        <f t="shared" si="26"/>
        <v>-308870</v>
      </c>
      <c r="H111" s="37">
        <f t="shared" si="26"/>
        <v>-688973.07692307699</v>
      </c>
      <c r="I111" s="37">
        <f t="shared" si="26"/>
        <v>-379776.4705882353</v>
      </c>
      <c r="J111" s="37">
        <f t="shared" si="26"/>
        <v>-222800</v>
      </c>
      <c r="K111" s="26"/>
      <c r="L111" s="26"/>
      <c r="M111" s="26"/>
      <c r="N111" s="12"/>
      <c r="O111" s="70"/>
      <c r="P111" s="2"/>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row>
    <row r="112" spans="1:46" ht="18" hidden="1" customHeight="1" outlineLevel="1" x14ac:dyDescent="0.35">
      <c r="A112" s="1"/>
      <c r="B112" s="55" t="s">
        <v>78</v>
      </c>
      <c r="C112" s="37">
        <v>-16300</v>
      </c>
      <c r="D112" s="37">
        <v>0</v>
      </c>
      <c r="E112" s="37">
        <v>-24100</v>
      </c>
      <c r="F112" s="37">
        <v>-65700</v>
      </c>
      <c r="G112" s="37">
        <v>-63700</v>
      </c>
      <c r="H112" s="37">
        <v>-178700</v>
      </c>
      <c r="I112" s="37">
        <v>-108400</v>
      </c>
      <c r="J112" s="37">
        <v>-30000</v>
      </c>
      <c r="K112" s="37"/>
      <c r="L112" s="37"/>
      <c r="M112" s="37"/>
      <c r="N112" s="12"/>
      <c r="O112" s="70"/>
      <c r="P112" s="2"/>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row>
    <row r="113" spans="1:46" ht="18" hidden="1" customHeight="1" outlineLevel="1" x14ac:dyDescent="0.35">
      <c r="A113" s="1"/>
      <c r="B113" s="79" t="s">
        <v>784</v>
      </c>
      <c r="C113" s="37">
        <f t="array" ref="C113:J113">IFERROR(CAPEX_NOVAS_LOJAS/NOVAS_LOJAS,0)</f>
        <v>-8150</v>
      </c>
      <c r="D113" s="37">
        <v>0</v>
      </c>
      <c r="E113" s="37">
        <v>-6025</v>
      </c>
      <c r="F113" s="37">
        <v>-6570</v>
      </c>
      <c r="G113" s="37">
        <v>-6370</v>
      </c>
      <c r="H113" s="37">
        <v>-6873.0769230769229</v>
      </c>
      <c r="I113" s="37">
        <v>-6376.4705882352937</v>
      </c>
      <c r="J113" s="37">
        <v>-7500</v>
      </c>
      <c r="K113" s="37"/>
      <c r="L113" s="37"/>
      <c r="M113" s="37"/>
      <c r="N113" s="12"/>
      <c r="O113" s="70"/>
      <c r="P113" s="2"/>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row>
    <row r="114" spans="1:46" ht="18" hidden="1" customHeight="1" outlineLevel="1" x14ac:dyDescent="0.35">
      <c r="A114" s="1"/>
      <c r="B114" s="55" t="s">
        <v>79</v>
      </c>
      <c r="C114" s="37">
        <v>-29800</v>
      </c>
      <c r="D114" s="37">
        <v>-20100</v>
      </c>
      <c r="E114" s="37">
        <v>-132500</v>
      </c>
      <c r="F114" s="37">
        <v>-131600</v>
      </c>
      <c r="G114" s="37">
        <v>-74400</v>
      </c>
      <c r="H114" s="37">
        <v>-59800</v>
      </c>
      <c r="I114" s="37">
        <v>-45600</v>
      </c>
      <c r="J114" s="37">
        <v>-33600</v>
      </c>
      <c r="K114" s="37"/>
      <c r="L114" s="37"/>
      <c r="M114" s="37"/>
      <c r="N114" s="12"/>
      <c r="O114" s="70"/>
      <c r="P114" s="2"/>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row>
    <row r="115" spans="1:46" ht="18" hidden="1" customHeight="1" outlineLevel="1" x14ac:dyDescent="0.35">
      <c r="A115" s="1"/>
      <c r="B115" s="55" t="s">
        <v>80</v>
      </c>
      <c r="C115" s="37">
        <v>-4600</v>
      </c>
      <c r="D115" s="37">
        <v>-31200</v>
      </c>
      <c r="E115" s="37">
        <v>-4600</v>
      </c>
      <c r="F115" s="37">
        <v>-15000</v>
      </c>
      <c r="G115" s="37">
        <v>-45000</v>
      </c>
      <c r="H115" s="37">
        <v>-144500</v>
      </c>
      <c r="I115" s="37">
        <v>-37800</v>
      </c>
      <c r="J115" s="37">
        <v>-18300</v>
      </c>
      <c r="K115" s="37"/>
      <c r="L115" s="37"/>
      <c r="M115" s="37"/>
      <c r="N115" s="12"/>
      <c r="O115" s="70"/>
      <c r="P115" s="2"/>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row>
    <row r="116" spans="1:46" ht="18" hidden="1" customHeight="1" outlineLevel="1" x14ac:dyDescent="0.35">
      <c r="A116" s="1"/>
      <c r="B116" s="55" t="s">
        <v>771</v>
      </c>
      <c r="C116" s="37">
        <v>-59500</v>
      </c>
      <c r="D116" s="37">
        <v>-47600</v>
      </c>
      <c r="E116" s="37">
        <v>-78500</v>
      </c>
      <c r="F116" s="37">
        <v>-106400</v>
      </c>
      <c r="G116" s="37">
        <v>-119400</v>
      </c>
      <c r="H116" s="37">
        <v>-299100</v>
      </c>
      <c r="I116" s="37">
        <v>-181600</v>
      </c>
      <c r="J116" s="37">
        <v>-133400</v>
      </c>
      <c r="K116" s="37"/>
      <c r="L116" s="37"/>
      <c r="M116" s="37"/>
      <c r="N116" s="12"/>
      <c r="O116" s="70"/>
      <c r="P116" s="2"/>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row>
    <row r="117" spans="1:46" ht="18" hidden="1" customHeight="1" outlineLevel="1" x14ac:dyDescent="0.35">
      <c r="A117" s="1"/>
      <c r="B117" s="55" t="s">
        <v>772</v>
      </c>
      <c r="C117" s="37">
        <v>0</v>
      </c>
      <c r="D117" s="37">
        <v>0</v>
      </c>
      <c r="E117" s="37">
        <v>0</v>
      </c>
      <c r="F117" s="37">
        <v>0</v>
      </c>
      <c r="G117" s="37">
        <v>0</v>
      </c>
      <c r="H117" s="37">
        <v>0</v>
      </c>
      <c r="I117" s="37">
        <v>0</v>
      </c>
      <c r="J117" s="37">
        <v>0</v>
      </c>
      <c r="K117" s="37"/>
      <c r="L117" s="37"/>
      <c r="M117" s="37"/>
      <c r="N117" s="12"/>
      <c r="O117" s="70"/>
      <c r="P117" s="2"/>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row>
    <row r="118" spans="1:46" ht="18" customHeight="1" collapsed="1" x14ac:dyDescent="0.35">
      <c r="A118" s="1"/>
      <c r="B118" s="23" t="s">
        <v>72</v>
      </c>
      <c r="C118" s="26">
        <f t="array" ref="C118:J118">NOPAT*(1-TAXA_REINVESTIMENTO)</f>
        <v>113837.00000000001</v>
      </c>
      <c r="D118" s="26">
        <v>89470.500000000015</v>
      </c>
      <c r="E118" s="26">
        <v>264208.20833333302</v>
      </c>
      <c r="F118" s="26">
        <v>-531562.20833333302</v>
      </c>
      <c r="G118" s="26">
        <v>89866.791666666511</v>
      </c>
      <c r="H118" s="26">
        <v>611164.41025641048</v>
      </c>
      <c r="I118" s="26">
        <v>113104.38725490181</v>
      </c>
      <c r="J118" s="26">
        <v>1294113.833333333</v>
      </c>
      <c r="K118" s="26"/>
      <c r="L118" s="26"/>
      <c r="M118" s="26"/>
      <c r="N118" s="26"/>
      <c r="O118" s="70"/>
      <c r="P118" s="2"/>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row>
    <row r="119" spans="1:46" ht="18" customHeight="1" x14ac:dyDescent="0.35">
      <c r="A119" s="1"/>
      <c r="B119" s="23"/>
      <c r="C119" s="26"/>
      <c r="D119" s="26"/>
      <c r="E119" s="26"/>
      <c r="F119" s="26"/>
      <c r="G119" s="26"/>
      <c r="H119" s="26"/>
      <c r="I119" s="26"/>
      <c r="J119" s="26"/>
      <c r="K119" s="26"/>
      <c r="L119" s="26"/>
      <c r="M119" s="26"/>
      <c r="N119" s="26"/>
      <c r="O119" s="26"/>
      <c r="P119" s="2"/>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row>
    <row r="120" spans="1:46" ht="18" customHeight="1" x14ac:dyDescent="0.35">
      <c r="A120" s="1"/>
      <c r="B120" s="23"/>
      <c r="C120" s="26"/>
      <c r="D120" s="26"/>
      <c r="E120" s="26"/>
      <c r="F120" s="26"/>
      <c r="G120" s="26"/>
      <c r="H120" s="26"/>
      <c r="I120" s="26"/>
      <c r="J120" s="26"/>
      <c r="K120" s="2"/>
      <c r="L120" s="2"/>
      <c r="M120" s="2"/>
      <c r="N120" s="2"/>
      <c r="O120" s="2"/>
      <c r="P120" s="2"/>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row>
    <row r="121" spans="1:46" ht="18" customHeight="1" x14ac:dyDescent="0.35">
      <c r="A121" s="1"/>
      <c r="B121" s="23"/>
      <c r="C121" s="26"/>
      <c r="D121" s="26"/>
      <c r="E121" s="26"/>
      <c r="F121" s="26"/>
      <c r="G121" s="26"/>
      <c r="H121" s="26"/>
      <c r="I121" s="26"/>
      <c r="J121" s="26"/>
      <c r="K121" s="2"/>
      <c r="L121" s="2"/>
      <c r="M121" s="2"/>
      <c r="N121" s="2"/>
      <c r="O121" s="2"/>
      <c r="P121" s="2"/>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row>
    <row r="122" spans="1:46" ht="18" customHeight="1" x14ac:dyDescent="0.35">
      <c r="A122" s="1"/>
      <c r="B122" s="23"/>
      <c r="C122" s="26"/>
      <c r="D122" s="26"/>
      <c r="E122" s="26"/>
      <c r="F122" s="26"/>
      <c r="G122" s="26"/>
      <c r="H122" s="26"/>
      <c r="I122" s="26"/>
      <c r="J122" s="26"/>
      <c r="K122" s="2"/>
      <c r="L122" s="2"/>
      <c r="M122" s="2"/>
      <c r="N122" s="2"/>
      <c r="O122" s="2"/>
      <c r="P122" s="2"/>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row>
    <row r="123" spans="1:46" ht="18" customHeight="1" x14ac:dyDescent="0.35">
      <c r="A123" s="1"/>
      <c r="B123" s="23"/>
      <c r="C123" s="12"/>
      <c r="D123" s="12"/>
      <c r="E123" s="12"/>
      <c r="F123" s="12"/>
      <c r="G123" s="12"/>
      <c r="H123" s="12"/>
      <c r="I123" s="12"/>
      <c r="J123" s="2"/>
      <c r="K123" s="2"/>
      <c r="L123" s="2"/>
      <c r="M123" s="2"/>
      <c r="N123" s="2"/>
      <c r="O123" s="2"/>
      <c r="P123" s="2"/>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row>
    <row r="124" spans="1:46" ht="18" customHeight="1" x14ac:dyDescent="0.35">
      <c r="A124" s="1"/>
      <c r="B124" s="23"/>
      <c r="C124" s="12"/>
      <c r="D124" s="12"/>
      <c r="E124" s="12"/>
      <c r="F124" s="12"/>
      <c r="G124" s="12"/>
      <c r="H124" s="12"/>
      <c r="I124" s="12"/>
      <c r="J124" s="2"/>
      <c r="K124" s="2"/>
      <c r="L124" s="2"/>
      <c r="M124" s="2"/>
      <c r="N124" s="2"/>
      <c r="O124" s="2"/>
      <c r="P124" s="2"/>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row>
    <row r="125" spans="1:46" ht="18" customHeight="1" collapsed="1" x14ac:dyDescent="0.35">
      <c r="A125" s="1"/>
      <c r="B125" s="23"/>
      <c r="C125" s="12"/>
      <c r="D125" s="12"/>
      <c r="E125" s="12"/>
      <c r="F125" s="12"/>
      <c r="G125" s="12"/>
      <c r="H125" s="12"/>
      <c r="I125" s="12"/>
      <c r="J125" s="2"/>
      <c r="K125" s="2"/>
      <c r="L125" s="2"/>
      <c r="M125" s="2"/>
      <c r="N125" s="2"/>
      <c r="O125" s="2"/>
      <c r="P125" s="2"/>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row>
    <row r="126" spans="1:46" ht="18" customHeight="1" x14ac:dyDescent="0.35">
      <c r="A126" s="1"/>
      <c r="B126" s="23"/>
      <c r="C126" s="12"/>
      <c r="D126" s="12"/>
      <c r="E126" s="12"/>
      <c r="F126" s="12"/>
      <c r="G126" s="12"/>
      <c r="H126" s="12"/>
      <c r="I126" s="12"/>
      <c r="J126" s="2"/>
      <c r="K126" s="2"/>
      <c r="L126" s="2"/>
      <c r="M126" s="2"/>
      <c r="N126" s="2"/>
      <c r="O126" s="2"/>
      <c r="P126" s="2"/>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row>
    <row r="127" spans="1:46" ht="18" customHeight="1" x14ac:dyDescent="0.35">
      <c r="A127" s="1"/>
      <c r="B127" s="23"/>
      <c r="C127" s="12"/>
      <c r="D127" s="12"/>
      <c r="E127" s="12"/>
      <c r="F127" s="12"/>
      <c r="G127" s="12"/>
      <c r="H127" s="12"/>
      <c r="I127" s="12"/>
      <c r="J127" s="2"/>
      <c r="K127" s="2"/>
      <c r="L127" s="2"/>
      <c r="M127" s="2"/>
      <c r="N127" s="2"/>
      <c r="O127" s="2"/>
      <c r="P127" s="2"/>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row>
    <row r="128" spans="1:46" ht="18" customHeight="1" x14ac:dyDescent="0.35">
      <c r="A128" s="1"/>
      <c r="B128" s="23"/>
      <c r="C128" s="12"/>
      <c r="D128" s="12"/>
      <c r="E128" s="12"/>
      <c r="F128" s="12"/>
      <c r="G128" s="12"/>
      <c r="H128" s="12"/>
      <c r="I128" s="12"/>
      <c r="J128" s="2"/>
      <c r="K128" s="2"/>
      <c r="L128" s="2"/>
      <c r="M128" s="2"/>
      <c r="N128" s="2"/>
      <c r="O128" s="2"/>
      <c r="P128" s="2"/>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row>
    <row r="129" spans="1:46" ht="18" customHeight="1" x14ac:dyDescent="0.35">
      <c r="A129" s="1"/>
      <c r="B129" s="23"/>
      <c r="C129" s="12"/>
      <c r="D129" s="12"/>
      <c r="E129" s="12"/>
      <c r="F129" s="12"/>
      <c r="G129" s="12"/>
      <c r="H129" s="12"/>
      <c r="I129" s="12"/>
      <c r="J129" s="2"/>
      <c r="K129" s="2"/>
      <c r="L129" s="2"/>
      <c r="M129" s="2"/>
      <c r="N129" s="2"/>
      <c r="O129" s="2"/>
      <c r="P129" s="2"/>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row>
    <row r="130" spans="1:46" ht="18" customHeight="1" x14ac:dyDescent="0.35">
      <c r="A130" s="1"/>
      <c r="B130" s="23"/>
      <c r="C130" s="12"/>
      <c r="D130" s="12"/>
      <c r="E130" s="12"/>
      <c r="F130" s="12"/>
      <c r="G130" s="12"/>
      <c r="H130" s="12"/>
      <c r="I130" s="12"/>
      <c r="J130" s="2"/>
      <c r="K130" s="2"/>
      <c r="L130" s="2"/>
      <c r="M130" s="2"/>
      <c r="N130" s="2"/>
      <c r="O130" s="2"/>
      <c r="P130" s="2"/>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row>
    <row r="131" spans="1:46" ht="18" customHeight="1" collapsed="1" x14ac:dyDescent="0.35">
      <c r="A131" s="1"/>
      <c r="B131" s="23"/>
      <c r="C131" s="12"/>
      <c r="D131" s="12"/>
      <c r="E131" s="12"/>
      <c r="F131" s="12"/>
      <c r="G131" s="12"/>
      <c r="H131" s="12"/>
      <c r="I131" s="12"/>
      <c r="J131" s="2"/>
      <c r="K131" s="2"/>
      <c r="L131" s="2"/>
      <c r="M131" s="2"/>
      <c r="N131" s="2"/>
      <c r="O131" s="2"/>
      <c r="P131" s="2"/>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row>
    <row r="132" spans="1:46" ht="18" customHeight="1" x14ac:dyDescent="0.35">
      <c r="A132" s="1"/>
      <c r="B132" s="23"/>
      <c r="C132" s="12"/>
      <c r="D132" s="12"/>
      <c r="E132" s="12"/>
      <c r="F132" s="12"/>
      <c r="G132" s="12"/>
      <c r="H132" s="12"/>
      <c r="I132" s="12"/>
      <c r="J132" s="2"/>
      <c r="K132" s="2"/>
      <c r="L132" s="2"/>
      <c r="M132" s="2"/>
      <c r="N132" s="2"/>
      <c r="O132" s="2"/>
      <c r="P132" s="2"/>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row>
    <row r="133" spans="1:46" ht="18" customHeight="1" x14ac:dyDescent="0.35">
      <c r="A133" s="1"/>
      <c r="B133" s="23"/>
      <c r="C133" s="12"/>
      <c r="D133" s="12"/>
      <c r="E133" s="12"/>
      <c r="F133" s="12"/>
      <c r="G133" s="12"/>
      <c r="H133" s="12"/>
      <c r="I133" s="12"/>
      <c r="J133" s="2"/>
      <c r="K133" s="2"/>
      <c r="L133" s="2"/>
      <c r="M133" s="2"/>
      <c r="N133" s="2"/>
      <c r="O133" s="2"/>
      <c r="P133" s="2"/>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row>
    <row r="134" spans="1:46" ht="18" customHeight="1" x14ac:dyDescent="0.35">
      <c r="A134" s="1"/>
      <c r="B134" s="23"/>
      <c r="C134" s="12"/>
      <c r="D134" s="12"/>
      <c r="E134" s="12"/>
      <c r="F134" s="12"/>
      <c r="G134" s="12"/>
      <c r="H134" s="12"/>
      <c r="I134" s="12"/>
      <c r="J134" s="2"/>
      <c r="K134" s="2"/>
      <c r="L134" s="2"/>
      <c r="M134" s="2"/>
      <c r="N134" s="2"/>
      <c r="O134" s="2"/>
      <c r="P134" s="2"/>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row>
    <row r="135" spans="1:46" ht="18" customHeight="1" x14ac:dyDescent="0.35">
      <c r="A135" s="1"/>
      <c r="B135" s="23"/>
      <c r="C135" s="12"/>
      <c r="D135" s="12"/>
      <c r="E135" s="12"/>
      <c r="F135" s="12"/>
      <c r="G135" s="12"/>
      <c r="H135" s="12"/>
      <c r="I135" s="12"/>
      <c r="J135" s="2"/>
      <c r="K135" s="2"/>
      <c r="L135" s="2"/>
      <c r="M135" s="2"/>
      <c r="N135" s="2"/>
      <c r="O135" s="2"/>
      <c r="P135" s="2"/>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row>
    <row r="136" spans="1:46" ht="18" customHeight="1" collapsed="1" x14ac:dyDescent="0.35">
      <c r="A136" s="1"/>
      <c r="B136" s="23"/>
      <c r="C136" s="12"/>
      <c r="D136" s="12"/>
      <c r="E136" s="12"/>
      <c r="F136" s="12"/>
      <c r="G136" s="12"/>
      <c r="H136" s="12"/>
      <c r="I136" s="12"/>
      <c r="J136" s="2"/>
      <c r="K136" s="2"/>
      <c r="L136" s="2"/>
      <c r="M136" s="2"/>
      <c r="N136" s="2"/>
      <c r="O136" s="2"/>
      <c r="P136" s="2"/>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row>
    <row r="137" spans="1:46" ht="18" customHeight="1" x14ac:dyDescent="0.35">
      <c r="A137" s="1"/>
      <c r="B137" s="23"/>
      <c r="C137" s="12"/>
      <c r="D137" s="12"/>
      <c r="E137" s="12"/>
      <c r="F137" s="12"/>
      <c r="G137" s="12"/>
      <c r="H137" s="12"/>
      <c r="I137" s="12"/>
      <c r="J137" s="2"/>
      <c r="K137" s="2"/>
      <c r="L137" s="2"/>
      <c r="M137" s="2"/>
      <c r="N137" s="2"/>
      <c r="O137" s="2"/>
      <c r="P137" s="2"/>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row>
    <row r="138" spans="1:46" ht="18" customHeight="1" x14ac:dyDescent="0.35">
      <c r="A138" s="1"/>
      <c r="B138" s="23"/>
      <c r="C138" s="12"/>
      <c r="D138" s="12"/>
      <c r="E138" s="12"/>
      <c r="F138" s="12"/>
      <c r="G138" s="12"/>
      <c r="H138" s="12"/>
      <c r="I138" s="12"/>
      <c r="J138" s="2"/>
      <c r="K138" s="2"/>
      <c r="L138" s="2"/>
      <c r="M138" s="2"/>
      <c r="N138" s="2"/>
      <c r="O138" s="2"/>
      <c r="P138" s="2"/>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row>
    <row r="139" spans="1:46" ht="18" customHeight="1" x14ac:dyDescent="0.35">
      <c r="A139" s="1"/>
      <c r="B139" s="23"/>
      <c r="C139" s="12"/>
      <c r="D139" s="12"/>
      <c r="E139" s="12"/>
      <c r="F139" s="12"/>
      <c r="G139" s="12"/>
      <c r="H139" s="12"/>
      <c r="I139" s="12"/>
      <c r="J139" s="2"/>
      <c r="K139" s="2"/>
      <c r="L139" s="2"/>
      <c r="M139" s="2"/>
      <c r="N139" s="2"/>
      <c r="O139" s="2"/>
      <c r="P139" s="2"/>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row>
    <row r="140" spans="1:46" ht="18" customHeight="1" x14ac:dyDescent="0.35">
      <c r="A140" s="1"/>
      <c r="B140" s="23"/>
      <c r="C140" s="12"/>
      <c r="D140" s="12"/>
      <c r="E140" s="12"/>
      <c r="F140" s="12"/>
      <c r="G140" s="12"/>
      <c r="H140" s="12"/>
      <c r="I140" s="12"/>
      <c r="J140" s="2"/>
      <c r="K140" s="2"/>
      <c r="L140" s="2"/>
      <c r="M140" s="2"/>
      <c r="N140" s="2"/>
      <c r="O140" s="2"/>
      <c r="P140" s="2"/>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row>
    <row r="141" spans="1:46" ht="18" customHeight="1" x14ac:dyDescent="0.35">
      <c r="A141" s="1"/>
      <c r="B141" s="23"/>
      <c r="C141" s="12"/>
      <c r="D141" s="12"/>
      <c r="E141" s="12"/>
      <c r="F141" s="12"/>
      <c r="G141" s="12"/>
      <c r="H141" s="12"/>
      <c r="I141" s="12"/>
      <c r="J141" s="2"/>
      <c r="K141" s="2"/>
      <c r="L141" s="2"/>
      <c r="M141" s="2"/>
      <c r="N141" s="2"/>
      <c r="O141" s="2"/>
      <c r="P141" s="2"/>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row>
    <row r="142" spans="1:46" ht="18" customHeight="1" x14ac:dyDescent="0.35">
      <c r="A142" s="1"/>
      <c r="B142" s="23"/>
      <c r="C142" s="12"/>
      <c r="D142" s="12"/>
      <c r="E142" s="12"/>
      <c r="F142" s="12"/>
      <c r="G142" s="12"/>
      <c r="H142" s="12"/>
      <c r="I142" s="12"/>
      <c r="J142" s="2"/>
      <c r="K142" s="2"/>
      <c r="L142" s="2"/>
      <c r="M142" s="2"/>
      <c r="N142" s="2"/>
      <c r="O142" s="2"/>
      <c r="P142" s="2"/>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row>
    <row r="143" spans="1:46" ht="18" customHeight="1" x14ac:dyDescent="0.35">
      <c r="A143" s="1"/>
      <c r="B143" s="23"/>
      <c r="C143" s="12"/>
      <c r="D143" s="12"/>
      <c r="E143" s="12"/>
      <c r="F143" s="12"/>
      <c r="G143" s="12"/>
      <c r="H143" s="12"/>
      <c r="I143" s="12"/>
      <c r="J143" s="2"/>
      <c r="K143" s="2"/>
      <c r="L143" s="2"/>
      <c r="M143" s="2"/>
      <c r="N143" s="2"/>
      <c r="O143" s="2"/>
      <c r="P143" s="2"/>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row>
    <row r="144" spans="1:46" ht="18" customHeight="1" x14ac:dyDescent="0.35">
      <c r="A144" s="1"/>
      <c r="B144" s="23"/>
      <c r="C144" s="12"/>
      <c r="D144" s="12"/>
      <c r="E144" s="12"/>
      <c r="F144" s="12"/>
      <c r="G144" s="12"/>
      <c r="H144" s="12"/>
      <c r="I144" s="12"/>
      <c r="J144" s="2"/>
      <c r="K144" s="2"/>
      <c r="L144" s="2"/>
      <c r="M144" s="2"/>
      <c r="N144" s="2"/>
      <c r="O144" s="2"/>
      <c r="P144" s="2"/>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row>
    <row r="145" spans="1:46" ht="18" customHeight="1" collapsed="1" x14ac:dyDescent="0.35">
      <c r="A145" s="1"/>
      <c r="B145" s="23"/>
      <c r="C145" s="12"/>
      <c r="D145" s="12"/>
      <c r="E145" s="12"/>
      <c r="F145" s="12"/>
      <c r="G145" s="12"/>
      <c r="H145" s="12"/>
      <c r="I145" s="12"/>
      <c r="J145" s="2"/>
      <c r="K145" s="2"/>
      <c r="L145" s="2"/>
      <c r="M145" s="2"/>
      <c r="N145" s="2"/>
      <c r="O145" s="2"/>
      <c r="P145" s="2"/>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row>
    <row r="146" spans="1:46" ht="18" customHeight="1" x14ac:dyDescent="0.35">
      <c r="A146" s="1"/>
      <c r="B146" s="23"/>
      <c r="C146" s="12"/>
      <c r="D146" s="12"/>
      <c r="E146" s="12"/>
      <c r="F146" s="12"/>
      <c r="G146" s="12"/>
      <c r="H146" s="12"/>
      <c r="I146" s="12"/>
      <c r="J146" s="2"/>
      <c r="K146" s="2"/>
      <c r="L146" s="2"/>
      <c r="M146" s="2"/>
      <c r="N146" s="2"/>
      <c r="O146" s="2"/>
      <c r="P146" s="2"/>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row>
    <row r="147" spans="1:46" ht="18" customHeight="1" x14ac:dyDescent="0.35">
      <c r="A147" s="1"/>
      <c r="B147" s="23"/>
      <c r="C147" s="12"/>
      <c r="D147" s="12"/>
      <c r="E147" s="12"/>
      <c r="F147" s="12"/>
      <c r="G147" s="12"/>
      <c r="H147" s="12"/>
      <c r="I147" s="12"/>
      <c r="J147" s="2"/>
      <c r="K147" s="2"/>
      <c r="L147" s="2"/>
      <c r="M147" s="2"/>
      <c r="N147" s="2"/>
      <c r="O147" s="2"/>
      <c r="P147" s="2"/>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row>
    <row r="148" spans="1:46" ht="18" customHeight="1" collapsed="1" x14ac:dyDescent="0.35">
      <c r="A148" s="1"/>
      <c r="B148" s="23"/>
      <c r="C148" s="2"/>
      <c r="D148" s="2"/>
      <c r="E148" s="2"/>
      <c r="F148" s="2"/>
      <c r="G148" s="2"/>
      <c r="H148" s="2"/>
      <c r="I148" s="2"/>
      <c r="J148" s="2"/>
      <c r="K148" s="2"/>
      <c r="L148" s="2"/>
      <c r="M148" s="2"/>
      <c r="N148" s="2"/>
      <c r="O148" s="2"/>
      <c r="P148" s="2"/>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row>
    <row r="149" spans="1:46" ht="18" customHeight="1" x14ac:dyDescent="0.35">
      <c r="A149" s="1"/>
      <c r="B149" s="23"/>
      <c r="C149" s="19"/>
      <c r="D149" s="19"/>
      <c r="E149" s="19"/>
      <c r="F149" s="19"/>
      <c r="G149" s="19"/>
      <c r="H149" s="19"/>
      <c r="I149" s="19"/>
      <c r="J149" s="2"/>
      <c r="K149" s="2"/>
      <c r="L149" s="2"/>
      <c r="M149" s="2"/>
      <c r="N149" s="2"/>
      <c r="O149" s="2"/>
      <c r="P149" s="2"/>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row>
    <row r="150" spans="1:46" ht="18" customHeight="1" x14ac:dyDescent="0.35">
      <c r="A150" s="1"/>
      <c r="B150" s="23"/>
      <c r="C150" s="12"/>
      <c r="D150" s="12"/>
      <c r="E150" s="12"/>
      <c r="F150" s="12"/>
      <c r="G150" s="12"/>
      <c r="H150" s="12"/>
      <c r="I150" s="12"/>
      <c r="J150" s="2"/>
      <c r="K150" s="2"/>
      <c r="L150" s="2"/>
      <c r="M150" s="2"/>
      <c r="N150" s="2"/>
      <c r="O150" s="2"/>
      <c r="P150" s="2"/>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row>
    <row r="151" spans="1:46" ht="18" customHeight="1" x14ac:dyDescent="0.35">
      <c r="A151" s="1"/>
      <c r="B151" s="23"/>
      <c r="C151" s="12"/>
      <c r="D151" s="12"/>
      <c r="E151" s="12"/>
      <c r="F151" s="12"/>
      <c r="G151" s="12"/>
      <c r="H151" s="12"/>
      <c r="I151" s="12"/>
      <c r="J151" s="2"/>
      <c r="K151" s="2"/>
      <c r="L151" s="2"/>
      <c r="M151" s="2"/>
      <c r="N151" s="2"/>
      <c r="O151" s="2"/>
      <c r="P151" s="2"/>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row>
    <row r="152" spans="1:46" ht="18" customHeight="1" x14ac:dyDescent="0.35">
      <c r="A152" s="1"/>
      <c r="B152" s="23"/>
      <c r="C152" s="12"/>
      <c r="D152" s="12"/>
      <c r="E152" s="12"/>
      <c r="F152" s="12"/>
      <c r="G152" s="12"/>
      <c r="H152" s="12"/>
      <c r="I152" s="12"/>
      <c r="J152" s="2"/>
      <c r="K152" s="2"/>
      <c r="L152" s="2"/>
      <c r="M152" s="2"/>
      <c r="N152" s="2"/>
      <c r="O152" s="2"/>
      <c r="P152" s="2"/>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row>
    <row r="153" spans="1:46" ht="18" customHeight="1" collapsed="1" x14ac:dyDescent="0.35">
      <c r="A153" s="1"/>
      <c r="B153" s="23"/>
      <c r="C153" s="12"/>
      <c r="D153" s="12"/>
      <c r="E153" s="12"/>
      <c r="F153" s="12"/>
      <c r="G153" s="12"/>
      <c r="H153" s="12"/>
      <c r="I153" s="12"/>
      <c r="J153" s="2"/>
      <c r="K153" s="2"/>
      <c r="L153" s="2"/>
      <c r="M153" s="2"/>
      <c r="N153" s="2"/>
      <c r="O153" s="2"/>
      <c r="P153" s="2"/>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row>
    <row r="154" spans="1:46" ht="18" customHeight="1" x14ac:dyDescent="0.35">
      <c r="A154" s="1"/>
      <c r="B154" s="23"/>
      <c r="C154" s="16"/>
      <c r="D154" s="16"/>
      <c r="E154" s="16"/>
      <c r="F154" s="16"/>
      <c r="G154" s="16"/>
      <c r="H154" s="16"/>
      <c r="I154" s="16"/>
      <c r="J154" s="2"/>
      <c r="K154" s="2"/>
      <c r="L154" s="2"/>
      <c r="M154" s="2"/>
      <c r="N154" s="2"/>
      <c r="O154" s="2"/>
      <c r="P154" s="2"/>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row>
    <row r="155" spans="1:46" ht="18" customHeight="1" x14ac:dyDescent="0.35">
      <c r="A155" s="1"/>
      <c r="B155" s="23"/>
      <c r="C155" s="12"/>
      <c r="D155" s="12"/>
      <c r="E155" s="12"/>
      <c r="F155" s="12"/>
      <c r="G155" s="12"/>
      <c r="H155" s="12"/>
      <c r="I155" s="12"/>
      <c r="J155" s="2"/>
      <c r="K155" s="2"/>
      <c r="L155" s="2"/>
      <c r="M155" s="2"/>
      <c r="N155" s="2"/>
      <c r="O155" s="2"/>
      <c r="P155" s="2"/>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row>
    <row r="156" spans="1:46" ht="18" customHeight="1" x14ac:dyDescent="0.35">
      <c r="A156" s="1"/>
      <c r="B156" s="23"/>
      <c r="C156" s="12"/>
      <c r="D156" s="12"/>
      <c r="E156" s="12"/>
      <c r="F156" s="12"/>
      <c r="G156" s="12"/>
      <c r="H156" s="12"/>
      <c r="I156" s="12"/>
      <c r="J156" s="2"/>
      <c r="K156" s="2"/>
      <c r="L156" s="2"/>
      <c r="M156" s="2"/>
      <c r="N156" s="2"/>
      <c r="O156" s="2"/>
      <c r="P156" s="2"/>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row>
    <row r="157" spans="1:46" ht="18" customHeight="1" x14ac:dyDescent="0.35">
      <c r="A157" s="1"/>
      <c r="B157" s="23"/>
      <c r="C157" s="12"/>
      <c r="D157" s="12"/>
      <c r="E157" s="12"/>
      <c r="F157" s="12"/>
      <c r="G157" s="12"/>
      <c r="H157" s="12"/>
      <c r="I157" s="12"/>
      <c r="J157" s="2"/>
      <c r="K157" s="2"/>
      <c r="L157" s="2"/>
      <c r="M157" s="2"/>
      <c r="N157" s="2"/>
      <c r="O157" s="2"/>
      <c r="P157" s="2"/>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row>
    <row r="158" spans="1:46" ht="18" customHeight="1" collapsed="1" x14ac:dyDescent="0.35">
      <c r="A158" s="1"/>
      <c r="B158" s="23"/>
      <c r="C158" s="12"/>
      <c r="D158" s="12"/>
      <c r="E158" s="12"/>
      <c r="F158" s="12"/>
      <c r="G158" s="12"/>
      <c r="H158" s="12"/>
      <c r="I158" s="12"/>
      <c r="J158" s="2"/>
      <c r="K158" s="2"/>
      <c r="L158" s="2"/>
      <c r="M158" s="2"/>
      <c r="N158" s="2"/>
      <c r="O158" s="2"/>
      <c r="P158" s="2"/>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row>
    <row r="159" spans="1:46" ht="18" customHeight="1" x14ac:dyDescent="0.35">
      <c r="A159" s="1"/>
      <c r="B159" s="23"/>
      <c r="C159" s="12"/>
      <c r="D159" s="12"/>
      <c r="E159" s="12"/>
      <c r="F159" s="12"/>
      <c r="G159" s="12"/>
      <c r="H159" s="12"/>
      <c r="I159" s="12"/>
      <c r="J159" s="2"/>
      <c r="K159" s="2"/>
      <c r="L159" s="2"/>
      <c r="M159" s="2"/>
      <c r="N159" s="2"/>
      <c r="O159" s="2"/>
      <c r="P159" s="2"/>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row>
    <row r="160" spans="1:46" ht="18" customHeight="1" x14ac:dyDescent="0.35">
      <c r="A160" s="1"/>
      <c r="B160" s="23"/>
      <c r="C160" s="12"/>
      <c r="D160" s="12"/>
      <c r="E160" s="12"/>
      <c r="F160" s="12"/>
      <c r="G160" s="12"/>
      <c r="H160" s="12"/>
      <c r="I160" s="12"/>
      <c r="J160" s="2"/>
      <c r="K160" s="2"/>
      <c r="L160" s="2"/>
      <c r="M160" s="2"/>
      <c r="N160" s="2"/>
      <c r="O160" s="2"/>
      <c r="P160" s="2"/>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row>
    <row r="161" spans="1:46" ht="18" customHeight="1" x14ac:dyDescent="0.35">
      <c r="A161" s="1"/>
      <c r="B161" s="23"/>
      <c r="C161" s="12"/>
      <c r="D161" s="12"/>
      <c r="E161" s="12"/>
      <c r="F161" s="12"/>
      <c r="G161" s="12"/>
      <c r="H161" s="12"/>
      <c r="I161" s="12"/>
      <c r="J161" s="2"/>
      <c r="K161" s="2"/>
      <c r="L161" s="2"/>
      <c r="M161" s="2"/>
      <c r="N161" s="2"/>
      <c r="O161" s="2"/>
      <c r="P161" s="2"/>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row>
    <row r="162" spans="1:46" ht="18" customHeight="1" x14ac:dyDescent="0.35">
      <c r="A162" s="1"/>
      <c r="B162" s="23"/>
      <c r="C162" s="12"/>
      <c r="D162" s="12"/>
      <c r="E162" s="12"/>
      <c r="F162" s="12"/>
      <c r="G162" s="12"/>
      <c r="H162" s="12"/>
      <c r="I162" s="12"/>
      <c r="J162" s="2"/>
      <c r="K162" s="2"/>
      <c r="L162" s="2"/>
      <c r="M162" s="2"/>
      <c r="N162" s="2"/>
      <c r="O162" s="2"/>
      <c r="P162" s="2"/>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row>
    <row r="163" spans="1:46" ht="18" customHeight="1" collapsed="1" x14ac:dyDescent="0.35">
      <c r="A163" s="1"/>
      <c r="B163" s="23"/>
      <c r="C163" s="2"/>
      <c r="D163" s="2"/>
      <c r="E163" s="2"/>
      <c r="F163" s="2"/>
      <c r="G163" s="2"/>
      <c r="H163" s="2"/>
      <c r="I163" s="2"/>
      <c r="J163" s="2"/>
      <c r="K163" s="2"/>
      <c r="L163" s="2"/>
      <c r="M163" s="2"/>
      <c r="N163" s="2"/>
      <c r="O163" s="2"/>
      <c r="P163" s="2"/>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row>
    <row r="164" spans="1:46" ht="18" customHeight="1" x14ac:dyDescent="0.35">
      <c r="A164" s="1"/>
      <c r="B164" s="23"/>
      <c r="C164" s="19"/>
      <c r="D164" s="19"/>
      <c r="E164" s="19"/>
      <c r="F164" s="19"/>
      <c r="G164" s="19"/>
      <c r="H164" s="19"/>
      <c r="I164" s="19"/>
      <c r="J164" s="2"/>
      <c r="K164" s="2"/>
      <c r="L164" s="2"/>
      <c r="M164" s="2"/>
      <c r="N164" s="2"/>
      <c r="O164" s="2"/>
      <c r="P164" s="2"/>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row>
    <row r="165" spans="1:46" ht="18" customHeight="1" x14ac:dyDescent="0.35">
      <c r="A165" s="1"/>
      <c r="B165" s="23"/>
      <c r="C165" s="12"/>
      <c r="D165" s="12"/>
      <c r="E165" s="12"/>
      <c r="F165" s="12"/>
      <c r="G165" s="12"/>
      <c r="H165" s="12"/>
      <c r="I165" s="12"/>
      <c r="J165" s="2"/>
      <c r="K165" s="2"/>
      <c r="L165" s="2"/>
      <c r="M165" s="2"/>
      <c r="N165" s="2"/>
      <c r="O165" s="2"/>
      <c r="P165" s="2"/>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row>
    <row r="166" spans="1:46" ht="18" customHeight="1" x14ac:dyDescent="0.35">
      <c r="A166" s="1"/>
      <c r="B166" s="23"/>
      <c r="C166" s="12"/>
      <c r="D166" s="12"/>
      <c r="E166" s="12"/>
      <c r="F166" s="12"/>
      <c r="G166" s="12"/>
      <c r="H166" s="12"/>
      <c r="I166" s="12"/>
      <c r="J166" s="2"/>
      <c r="K166" s="2"/>
      <c r="L166" s="2"/>
      <c r="M166" s="2"/>
      <c r="N166" s="2"/>
      <c r="O166" s="2"/>
      <c r="P166" s="2"/>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row>
    <row r="167" spans="1:46" ht="18" customHeight="1" x14ac:dyDescent="0.35">
      <c r="A167" s="1"/>
      <c r="B167" s="23"/>
      <c r="C167" s="16"/>
      <c r="D167" s="16"/>
      <c r="E167" s="16"/>
      <c r="F167" s="16"/>
      <c r="G167" s="16"/>
      <c r="H167" s="16"/>
      <c r="I167" s="16"/>
      <c r="J167" s="2"/>
      <c r="K167" s="2"/>
      <c r="L167" s="2"/>
      <c r="M167" s="2"/>
      <c r="N167" s="2"/>
      <c r="O167" s="2"/>
      <c r="P167" s="2"/>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row>
    <row r="168" spans="1:46" ht="18" customHeight="1" x14ac:dyDescent="0.35">
      <c r="A168" s="1"/>
      <c r="B168" s="23"/>
      <c r="C168" s="12"/>
      <c r="D168" s="12"/>
      <c r="E168" s="12"/>
      <c r="F168" s="12"/>
      <c r="G168" s="12"/>
      <c r="H168" s="12"/>
      <c r="I168" s="12"/>
      <c r="J168" s="2"/>
      <c r="K168" s="2"/>
      <c r="L168" s="2"/>
      <c r="M168" s="2"/>
      <c r="N168" s="2"/>
      <c r="O168" s="2"/>
      <c r="P168" s="2"/>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row>
    <row r="169" spans="1:46" ht="18" customHeight="1" x14ac:dyDescent="0.35">
      <c r="A169" s="1"/>
      <c r="B169" s="23"/>
      <c r="C169" s="12"/>
      <c r="D169" s="12"/>
      <c r="E169" s="12"/>
      <c r="F169" s="12"/>
      <c r="G169" s="12"/>
      <c r="H169" s="12"/>
      <c r="I169" s="12"/>
      <c r="J169" s="2"/>
      <c r="K169" s="2"/>
      <c r="L169" s="2"/>
      <c r="M169" s="2"/>
      <c r="N169" s="2"/>
      <c r="O169" s="2"/>
      <c r="P169" s="2"/>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row>
    <row r="170" spans="1:46" ht="18" customHeight="1" collapsed="1" x14ac:dyDescent="0.35">
      <c r="A170" s="1"/>
      <c r="B170" s="23"/>
      <c r="C170" s="12"/>
      <c r="D170" s="12"/>
      <c r="E170" s="12"/>
      <c r="F170" s="12"/>
      <c r="G170" s="12"/>
      <c r="H170" s="12"/>
      <c r="I170" s="12"/>
      <c r="J170" s="2"/>
      <c r="K170" s="2"/>
      <c r="L170" s="2"/>
      <c r="M170" s="2"/>
      <c r="N170" s="2"/>
      <c r="O170" s="2"/>
      <c r="P170" s="2"/>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row>
    <row r="171" spans="1:46" ht="18" customHeight="1" x14ac:dyDescent="0.35">
      <c r="A171" s="1"/>
      <c r="B171" s="23"/>
      <c r="C171" s="12"/>
      <c r="D171" s="12"/>
      <c r="E171" s="12"/>
      <c r="F171" s="12"/>
      <c r="G171" s="12"/>
      <c r="H171" s="12"/>
      <c r="I171" s="12"/>
      <c r="J171" s="2"/>
      <c r="K171" s="2"/>
      <c r="L171" s="2"/>
      <c r="M171" s="2"/>
      <c r="N171" s="2"/>
      <c r="O171" s="2"/>
      <c r="P171" s="2"/>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row>
    <row r="172" spans="1:46" ht="18" customHeight="1" x14ac:dyDescent="0.35">
      <c r="A172" s="1"/>
      <c r="B172" s="23"/>
      <c r="C172" s="12"/>
      <c r="D172" s="12"/>
      <c r="E172" s="12"/>
      <c r="F172" s="12"/>
      <c r="G172" s="12"/>
      <c r="H172" s="12"/>
      <c r="I172" s="12"/>
      <c r="J172" s="2"/>
      <c r="K172" s="2"/>
      <c r="L172" s="2"/>
      <c r="M172" s="2"/>
      <c r="N172" s="2"/>
      <c r="O172" s="2"/>
      <c r="P172" s="2"/>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row>
    <row r="173" spans="1:46" ht="18" customHeight="1" x14ac:dyDescent="0.35">
      <c r="A173" s="1"/>
      <c r="B173" s="23"/>
      <c r="C173" s="12"/>
      <c r="D173" s="12"/>
      <c r="E173" s="12"/>
      <c r="F173" s="12"/>
      <c r="G173" s="12"/>
      <c r="H173" s="12"/>
      <c r="I173" s="12"/>
      <c r="J173" s="2"/>
      <c r="K173" s="2"/>
      <c r="L173" s="2"/>
      <c r="M173" s="2"/>
      <c r="N173" s="2"/>
      <c r="O173" s="2"/>
      <c r="P173" s="2"/>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row>
    <row r="174" spans="1:46" ht="18" customHeight="1" x14ac:dyDescent="0.35">
      <c r="A174" s="1"/>
      <c r="B174" s="23"/>
      <c r="C174" s="12"/>
      <c r="D174" s="12"/>
      <c r="E174" s="12"/>
      <c r="F174" s="12"/>
      <c r="G174" s="12"/>
      <c r="H174" s="12"/>
      <c r="I174" s="12"/>
      <c r="J174" s="2"/>
      <c r="K174" s="2"/>
      <c r="L174" s="2"/>
      <c r="M174" s="2"/>
      <c r="N174" s="2"/>
      <c r="O174" s="2"/>
      <c r="P174" s="2"/>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row>
    <row r="175" spans="1:46" ht="18" customHeight="1" collapsed="1" x14ac:dyDescent="0.35">
      <c r="A175" s="1"/>
      <c r="B175" s="23"/>
      <c r="C175" s="16"/>
      <c r="D175" s="16"/>
      <c r="E175" s="16"/>
      <c r="F175" s="16"/>
      <c r="G175" s="16"/>
      <c r="H175" s="16"/>
      <c r="I175" s="16"/>
      <c r="J175" s="2"/>
      <c r="K175" s="2"/>
      <c r="L175" s="2"/>
      <c r="M175" s="2"/>
      <c r="N175" s="2"/>
      <c r="O175" s="2"/>
      <c r="P175" s="2"/>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row>
    <row r="176" spans="1:46" ht="18" customHeight="1" x14ac:dyDescent="0.35">
      <c r="A176" s="1"/>
      <c r="B176" s="23"/>
      <c r="C176" s="16"/>
      <c r="D176" s="16"/>
      <c r="E176" s="16"/>
      <c r="F176" s="16"/>
      <c r="G176" s="16"/>
      <c r="H176" s="16"/>
      <c r="I176" s="16"/>
      <c r="J176" s="2"/>
      <c r="K176" s="2"/>
      <c r="L176" s="2"/>
      <c r="M176" s="2"/>
      <c r="N176" s="2"/>
      <c r="O176" s="2"/>
      <c r="P176" s="2"/>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row>
    <row r="177" spans="1:46" ht="18" customHeight="1" x14ac:dyDescent="0.35">
      <c r="A177" s="1"/>
      <c r="B177" s="23"/>
      <c r="C177" s="16"/>
      <c r="D177" s="16"/>
      <c r="E177" s="16"/>
      <c r="F177" s="16"/>
      <c r="G177" s="16"/>
      <c r="H177" s="16"/>
      <c r="I177" s="16"/>
      <c r="J177" s="2"/>
      <c r="K177" s="2"/>
      <c r="L177" s="2"/>
      <c r="M177" s="2"/>
      <c r="N177" s="2"/>
      <c r="O177" s="2"/>
      <c r="P177" s="2"/>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row>
    <row r="178" spans="1:46" ht="18" customHeight="1" x14ac:dyDescent="0.35">
      <c r="A178" s="1"/>
      <c r="B178" s="23"/>
      <c r="C178" s="12"/>
      <c r="D178" s="12"/>
      <c r="E178" s="12"/>
      <c r="F178" s="12"/>
      <c r="G178" s="12"/>
      <c r="H178" s="12"/>
      <c r="I178" s="12"/>
      <c r="J178" s="2"/>
      <c r="K178" s="2"/>
      <c r="L178" s="2"/>
      <c r="M178" s="2"/>
      <c r="N178" s="2"/>
      <c r="O178" s="2"/>
      <c r="P178" s="2"/>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row>
    <row r="179" spans="1:46" x14ac:dyDescent="0.35">
      <c r="A179" s="1"/>
      <c r="B179" s="1"/>
      <c r="C179" s="2"/>
      <c r="D179" s="2"/>
      <c r="E179" s="2"/>
      <c r="F179" s="2"/>
      <c r="G179" s="2"/>
      <c r="H179" s="2"/>
      <c r="I179" s="2"/>
      <c r="J179" s="2"/>
      <c r="K179" s="2"/>
      <c r="L179" s="2"/>
      <c r="M179" s="2"/>
      <c r="N179" s="2"/>
      <c r="O179" s="2"/>
      <c r="P179" s="2"/>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row>
    <row r="180" spans="1:46" x14ac:dyDescent="0.35">
      <c r="A180" s="1"/>
      <c r="B180" s="1"/>
      <c r="C180" s="2"/>
      <c r="D180" s="2"/>
      <c r="E180" s="2"/>
      <c r="F180" s="2"/>
      <c r="G180" s="2"/>
      <c r="H180" s="2"/>
      <c r="I180" s="2"/>
      <c r="J180" s="2"/>
      <c r="K180" s="2"/>
      <c r="L180" s="2"/>
      <c r="M180" s="2"/>
      <c r="N180" s="2"/>
      <c r="O180" s="2"/>
      <c r="P180" s="2"/>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row>
    <row r="181" spans="1:46" x14ac:dyDescent="0.35">
      <c r="A181" s="1"/>
      <c r="B181" s="1"/>
      <c r="C181" s="2"/>
      <c r="D181" s="2"/>
      <c r="E181" s="2"/>
      <c r="F181" s="2"/>
      <c r="G181" s="2"/>
      <c r="H181" s="2"/>
      <c r="I181" s="2"/>
      <c r="J181" s="2"/>
      <c r="K181" s="2"/>
      <c r="L181" s="2"/>
      <c r="M181" s="2"/>
      <c r="N181" s="2"/>
      <c r="O181" s="2"/>
      <c r="P181" s="2"/>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row>
    <row r="182" spans="1:46" x14ac:dyDescent="0.35">
      <c r="A182" s="1"/>
      <c r="B182" s="1"/>
      <c r="C182" s="2"/>
      <c r="D182" s="2"/>
      <c r="E182" s="2"/>
      <c r="F182" s="2"/>
      <c r="G182" s="2"/>
      <c r="H182" s="2"/>
      <c r="I182" s="2"/>
      <c r="J182" s="2"/>
      <c r="K182" s="2"/>
      <c r="L182" s="2"/>
      <c r="M182" s="2"/>
      <c r="N182" s="2"/>
      <c r="O182" s="2"/>
      <c r="P182" s="2"/>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row>
    <row r="183" spans="1:46" x14ac:dyDescent="0.35">
      <c r="A183" s="1"/>
      <c r="B183" s="1"/>
      <c r="C183" s="2"/>
      <c r="D183" s="2"/>
      <c r="E183" s="2"/>
      <c r="F183" s="2"/>
      <c r="G183" s="2"/>
      <c r="H183" s="2"/>
      <c r="I183" s="2"/>
      <c r="J183" s="2"/>
      <c r="K183" s="2"/>
      <c r="L183" s="2"/>
      <c r="M183" s="2"/>
      <c r="N183" s="2"/>
      <c r="O183" s="2"/>
      <c r="P183" s="2"/>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row>
    <row r="184" spans="1:46" x14ac:dyDescent="0.35">
      <c r="A184" s="1"/>
      <c r="B184" s="1"/>
      <c r="C184" s="2"/>
      <c r="D184" s="2"/>
      <c r="E184" s="2"/>
      <c r="F184" s="2"/>
      <c r="G184" s="2"/>
      <c r="H184" s="2"/>
      <c r="I184" s="2"/>
      <c r="J184" s="2"/>
      <c r="K184" s="2"/>
      <c r="L184" s="2"/>
      <c r="M184" s="2"/>
      <c r="N184" s="2"/>
      <c r="O184" s="2"/>
      <c r="P184" s="2"/>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row>
    <row r="185" spans="1:46" x14ac:dyDescent="0.35">
      <c r="A185" s="1"/>
      <c r="B185" s="1"/>
      <c r="C185" s="2"/>
      <c r="D185" s="2"/>
      <c r="E185" s="2"/>
      <c r="F185" s="2"/>
      <c r="G185" s="2"/>
      <c r="H185" s="2"/>
      <c r="I185" s="2"/>
      <c r="J185" s="2"/>
      <c r="K185" s="2"/>
      <c r="L185" s="2"/>
      <c r="M185" s="2"/>
      <c r="N185" s="2"/>
      <c r="O185" s="2"/>
      <c r="P185" s="2"/>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row>
    <row r="186" spans="1:46" x14ac:dyDescent="0.35">
      <c r="A186" s="1"/>
      <c r="B186" s="1"/>
      <c r="C186" s="2"/>
      <c r="D186" s="2"/>
      <c r="E186" s="2"/>
      <c r="F186" s="2"/>
      <c r="G186" s="2"/>
      <c r="H186" s="2"/>
      <c r="I186" s="2"/>
      <c r="J186" s="2"/>
      <c r="K186" s="2"/>
      <c r="L186" s="2"/>
      <c r="M186" s="2"/>
      <c r="N186" s="2"/>
      <c r="O186" s="2"/>
      <c r="P186" s="2"/>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row>
    <row r="187" spans="1:46" x14ac:dyDescent="0.35">
      <c r="A187" s="1"/>
      <c r="B187" s="1"/>
      <c r="C187" s="2"/>
      <c r="D187" s="2"/>
      <c r="E187" s="2"/>
      <c r="F187" s="2"/>
      <c r="G187" s="2"/>
      <c r="H187" s="2"/>
      <c r="I187" s="2"/>
      <c r="J187" s="2"/>
      <c r="K187" s="2"/>
      <c r="L187" s="2"/>
      <c r="M187" s="2"/>
      <c r="N187" s="2"/>
      <c r="O187" s="2"/>
      <c r="P187" s="2"/>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row>
    <row r="188" spans="1:46" x14ac:dyDescent="0.35">
      <c r="A188" s="1"/>
      <c r="B188" s="1"/>
      <c r="C188" s="2"/>
      <c r="D188" s="2"/>
      <c r="E188" s="2"/>
      <c r="F188" s="2"/>
      <c r="G188" s="2"/>
      <c r="H188" s="2"/>
      <c r="I188" s="2"/>
      <c r="J188" s="2"/>
      <c r="K188" s="2"/>
      <c r="L188" s="2"/>
      <c r="M188" s="2"/>
      <c r="N188" s="2"/>
      <c r="O188" s="2"/>
      <c r="P188" s="2"/>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row>
    <row r="189" spans="1:46" x14ac:dyDescent="0.35">
      <c r="A189" s="1"/>
      <c r="B189" s="1"/>
      <c r="C189" s="2"/>
      <c r="D189" s="2"/>
      <c r="E189" s="2"/>
      <c r="F189" s="2"/>
      <c r="G189" s="2"/>
      <c r="H189" s="2"/>
      <c r="I189" s="2"/>
      <c r="J189" s="2"/>
      <c r="K189" s="2"/>
      <c r="L189" s="2"/>
      <c r="M189" s="2"/>
      <c r="N189" s="2"/>
      <c r="O189" s="2"/>
      <c r="P189" s="2"/>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row>
    <row r="190" spans="1:46" x14ac:dyDescent="0.35">
      <c r="A190" s="1"/>
      <c r="B190" s="1"/>
      <c r="C190" s="2"/>
      <c r="D190" s="2"/>
      <c r="E190" s="2"/>
      <c r="F190" s="2"/>
      <c r="G190" s="2"/>
      <c r="H190" s="2"/>
      <c r="I190" s="2"/>
      <c r="J190" s="2"/>
      <c r="K190" s="2"/>
      <c r="L190" s="2"/>
      <c r="M190" s="2"/>
      <c r="N190" s="2"/>
      <c r="O190" s="2"/>
      <c r="P190" s="2"/>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row>
    <row r="191" spans="1:46" x14ac:dyDescent="0.35">
      <c r="A191" s="1"/>
      <c r="B191" s="1"/>
      <c r="C191" s="2"/>
      <c r="D191" s="2"/>
      <c r="E191" s="2"/>
      <c r="F191" s="2"/>
      <c r="G191" s="2"/>
      <c r="H191" s="2"/>
      <c r="I191" s="2"/>
      <c r="J191" s="2"/>
      <c r="K191" s="2"/>
      <c r="L191" s="2"/>
      <c r="M191" s="2"/>
      <c r="N191" s="2"/>
      <c r="O191" s="2"/>
      <c r="P191" s="2"/>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row>
    <row r="192" spans="1:46" x14ac:dyDescent="0.35">
      <c r="A192" s="1"/>
      <c r="B192" s="1"/>
      <c r="C192" s="2"/>
      <c r="D192" s="2"/>
      <c r="E192" s="2"/>
      <c r="F192" s="2"/>
      <c r="G192" s="2"/>
      <c r="H192" s="2"/>
      <c r="I192" s="2"/>
      <c r="J192" s="2"/>
      <c r="K192" s="2"/>
      <c r="L192" s="2"/>
      <c r="M192" s="2"/>
      <c r="N192" s="2"/>
      <c r="O192" s="2"/>
      <c r="P192" s="2"/>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row>
    <row r="193" spans="1:46" x14ac:dyDescent="0.35">
      <c r="A193" s="1"/>
      <c r="B193" s="1"/>
      <c r="C193" s="2"/>
      <c r="D193" s="2"/>
      <c r="E193" s="2"/>
      <c r="F193" s="2"/>
      <c r="G193" s="2"/>
      <c r="H193" s="2"/>
      <c r="I193" s="2"/>
      <c r="J193" s="2"/>
      <c r="K193" s="2"/>
      <c r="L193" s="2"/>
      <c r="M193" s="2"/>
      <c r="N193" s="2"/>
      <c r="O193" s="2"/>
      <c r="P193" s="2"/>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row>
    <row r="194" spans="1:46" x14ac:dyDescent="0.35">
      <c r="A194" s="1"/>
      <c r="B194" s="1"/>
      <c r="C194" s="2"/>
      <c r="D194" s="2"/>
      <c r="E194" s="2"/>
      <c r="F194" s="2"/>
      <c r="G194" s="2"/>
      <c r="H194" s="2"/>
      <c r="I194" s="2"/>
      <c r="J194" s="2"/>
      <c r="K194" s="2"/>
      <c r="L194" s="2"/>
      <c r="M194" s="2"/>
      <c r="N194" s="2"/>
      <c r="O194" s="2"/>
      <c r="P194" s="2"/>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row>
    <row r="195" spans="1:46" x14ac:dyDescent="0.35">
      <c r="A195" s="1"/>
      <c r="B195" s="1"/>
      <c r="C195" s="2"/>
      <c r="D195" s="2"/>
      <c r="E195" s="2"/>
      <c r="F195" s="2"/>
      <c r="G195" s="2"/>
      <c r="H195" s="2"/>
      <c r="I195" s="2"/>
      <c r="J195" s="2"/>
      <c r="K195" s="2"/>
      <c r="L195" s="2"/>
      <c r="M195" s="2"/>
      <c r="N195" s="2"/>
      <c r="O195" s="2"/>
      <c r="P195" s="2"/>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row>
    <row r="196" spans="1:46" x14ac:dyDescent="0.35">
      <c r="A196" s="1"/>
      <c r="B196" s="1"/>
      <c r="C196" s="2"/>
      <c r="D196" s="2"/>
      <c r="E196" s="2"/>
      <c r="F196" s="2"/>
      <c r="G196" s="2"/>
      <c r="H196" s="2"/>
      <c r="I196" s="2"/>
      <c r="J196" s="2"/>
      <c r="K196" s="2"/>
      <c r="L196" s="2"/>
      <c r="M196" s="2"/>
      <c r="N196" s="2"/>
      <c r="O196" s="2"/>
      <c r="P196" s="2"/>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row>
    <row r="197" spans="1:46" x14ac:dyDescent="0.35">
      <c r="A197" s="1"/>
      <c r="B197" s="1"/>
      <c r="C197" s="2"/>
      <c r="D197" s="2"/>
      <c r="E197" s="2"/>
      <c r="F197" s="2"/>
      <c r="G197" s="2"/>
      <c r="H197" s="2"/>
      <c r="I197" s="2"/>
      <c r="J197" s="2"/>
      <c r="K197" s="2"/>
      <c r="L197" s="2"/>
      <c r="M197" s="2"/>
      <c r="N197" s="2"/>
      <c r="O197" s="2"/>
      <c r="P197" s="2"/>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row>
    <row r="198" spans="1:46" x14ac:dyDescent="0.35">
      <c r="A198" s="1"/>
      <c r="B198" s="1"/>
      <c r="C198" s="2"/>
      <c r="D198" s="2"/>
      <c r="E198" s="2"/>
      <c r="F198" s="2"/>
      <c r="G198" s="2"/>
      <c r="H198" s="2"/>
      <c r="I198" s="2"/>
      <c r="J198" s="2"/>
      <c r="K198" s="2"/>
      <c r="L198" s="2"/>
      <c r="M198" s="2"/>
      <c r="N198" s="2"/>
      <c r="O198" s="2"/>
      <c r="P198" s="2"/>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row>
    <row r="199" spans="1:46" x14ac:dyDescent="0.35">
      <c r="A199" s="1"/>
      <c r="B199" s="1"/>
      <c r="C199" s="2"/>
      <c r="D199" s="2"/>
      <c r="E199" s="2"/>
      <c r="F199" s="2"/>
      <c r="G199" s="2"/>
      <c r="H199" s="2"/>
      <c r="I199" s="2"/>
      <c r="J199" s="2"/>
      <c r="K199" s="2"/>
      <c r="L199" s="2"/>
      <c r="M199" s="2"/>
      <c r="N199" s="2"/>
      <c r="O199" s="2"/>
      <c r="P199" s="2"/>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row>
    <row r="200" spans="1:46" x14ac:dyDescent="0.35">
      <c r="A200" s="1"/>
      <c r="B200" s="1"/>
      <c r="C200" s="2"/>
      <c r="D200" s="2"/>
      <c r="E200" s="2"/>
      <c r="F200" s="2"/>
      <c r="G200" s="2"/>
      <c r="H200" s="2"/>
      <c r="I200" s="2"/>
      <c r="J200" s="2"/>
      <c r="K200" s="2"/>
      <c r="L200" s="2"/>
      <c r="M200" s="2"/>
      <c r="N200" s="2"/>
      <c r="O200" s="2"/>
      <c r="P200" s="2"/>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row>
    <row r="201" spans="1:46" x14ac:dyDescent="0.35">
      <c r="A201" s="1"/>
      <c r="B201" s="1"/>
      <c r="C201" s="2"/>
      <c r="D201" s="2"/>
      <c r="E201" s="2"/>
      <c r="F201" s="2"/>
      <c r="G201" s="2"/>
      <c r="H201" s="2"/>
      <c r="I201" s="2"/>
      <c r="J201" s="2"/>
      <c r="K201" s="2"/>
      <c r="L201" s="2"/>
      <c r="M201" s="2"/>
      <c r="N201" s="2"/>
      <c r="O201" s="2"/>
      <c r="P201" s="2"/>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row>
    <row r="202" spans="1:46" x14ac:dyDescent="0.35">
      <c r="A202" s="1"/>
      <c r="B202" s="1"/>
      <c r="C202" s="2"/>
      <c r="D202" s="2"/>
      <c r="E202" s="2"/>
      <c r="F202" s="2"/>
      <c r="G202" s="2"/>
      <c r="H202" s="2"/>
      <c r="I202" s="2"/>
      <c r="J202" s="2"/>
      <c r="K202" s="2"/>
      <c r="L202" s="2"/>
      <c r="M202" s="2"/>
      <c r="N202" s="2"/>
      <c r="O202" s="2"/>
      <c r="P202" s="2"/>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row>
    <row r="203" spans="1:46" x14ac:dyDescent="0.35">
      <c r="A203" s="1"/>
      <c r="B203" s="1"/>
      <c r="C203" s="2"/>
      <c r="D203" s="2"/>
      <c r="E203" s="2"/>
      <c r="F203" s="2"/>
      <c r="G203" s="2"/>
      <c r="H203" s="2"/>
      <c r="I203" s="2"/>
      <c r="J203" s="2"/>
      <c r="K203" s="2"/>
      <c r="L203" s="2"/>
      <c r="M203" s="2"/>
      <c r="N203" s="2"/>
      <c r="O203" s="2"/>
      <c r="P203" s="2"/>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row>
    <row r="204" spans="1:46" x14ac:dyDescent="0.35">
      <c r="A204" s="1"/>
      <c r="B204" s="1"/>
      <c r="C204" s="2"/>
      <c r="D204" s="2"/>
      <c r="E204" s="2"/>
      <c r="F204" s="2"/>
      <c r="G204" s="2"/>
      <c r="H204" s="2"/>
      <c r="I204" s="2"/>
      <c r="J204" s="2"/>
      <c r="K204" s="2"/>
      <c r="L204" s="2"/>
      <c r="M204" s="2"/>
      <c r="N204" s="2"/>
      <c r="O204" s="2"/>
      <c r="P204" s="2"/>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row>
    <row r="205" spans="1:46" x14ac:dyDescent="0.35">
      <c r="A205" s="1"/>
      <c r="B205" s="1"/>
      <c r="C205" s="2"/>
      <c r="D205" s="2"/>
      <c r="E205" s="2"/>
      <c r="F205" s="2"/>
      <c r="G205" s="2"/>
      <c r="H205" s="2"/>
      <c r="I205" s="2"/>
      <c r="J205" s="2"/>
      <c r="K205" s="2"/>
      <c r="L205" s="2"/>
      <c r="M205" s="2"/>
      <c r="N205" s="2"/>
      <c r="O205" s="2"/>
      <c r="P205" s="2"/>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row>
    <row r="206" spans="1:46" x14ac:dyDescent="0.35">
      <c r="A206" s="1"/>
      <c r="B206" s="1"/>
      <c r="C206" s="2"/>
      <c r="D206" s="2"/>
      <c r="E206" s="2"/>
      <c r="F206" s="2"/>
      <c r="G206" s="2"/>
      <c r="H206" s="2"/>
      <c r="I206" s="2"/>
      <c r="J206" s="2"/>
      <c r="K206" s="2"/>
      <c r="L206" s="2"/>
      <c r="M206" s="2"/>
      <c r="N206" s="2"/>
      <c r="O206" s="2"/>
      <c r="P206" s="2"/>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row>
    <row r="207" spans="1:46" x14ac:dyDescent="0.35">
      <c r="A207" s="1"/>
      <c r="B207" s="1"/>
      <c r="C207" s="2"/>
      <c r="D207" s="2"/>
      <c r="E207" s="2"/>
      <c r="F207" s="2"/>
      <c r="G207" s="2"/>
      <c r="H207" s="2"/>
      <c r="I207" s="2"/>
      <c r="J207" s="2"/>
      <c r="K207" s="2"/>
      <c r="L207" s="2"/>
      <c r="M207" s="2"/>
      <c r="N207" s="2"/>
      <c r="O207" s="2"/>
      <c r="P207" s="2"/>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row>
    <row r="208" spans="1:46" x14ac:dyDescent="0.35">
      <c r="A208" s="1"/>
      <c r="B208" s="1"/>
      <c r="C208" s="2"/>
      <c r="D208" s="2"/>
      <c r="E208" s="2"/>
      <c r="F208" s="2"/>
      <c r="G208" s="2"/>
      <c r="H208" s="2"/>
      <c r="I208" s="2"/>
      <c r="J208" s="2"/>
      <c r="K208" s="2"/>
      <c r="L208" s="2"/>
      <c r="M208" s="2"/>
      <c r="N208" s="2"/>
      <c r="O208" s="2"/>
      <c r="P208" s="2"/>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row>
    <row r="209" spans="1:46" x14ac:dyDescent="0.35">
      <c r="A209" s="1"/>
      <c r="B209" s="1"/>
      <c r="C209" s="2"/>
      <c r="D209" s="2"/>
      <c r="E209" s="2"/>
      <c r="F209" s="2"/>
      <c r="G209" s="2"/>
      <c r="H209" s="2"/>
      <c r="I209" s="2"/>
      <c r="J209" s="2"/>
      <c r="K209" s="2"/>
      <c r="L209" s="2"/>
      <c r="M209" s="2"/>
      <c r="N209" s="2"/>
      <c r="O209" s="2"/>
      <c r="P209" s="2"/>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row>
    <row r="210" spans="1:46" x14ac:dyDescent="0.35">
      <c r="A210" s="1"/>
      <c r="B210" s="1"/>
      <c r="C210" s="2"/>
      <c r="D210" s="2"/>
      <c r="E210" s="2"/>
      <c r="F210" s="2"/>
      <c r="G210" s="2"/>
      <c r="H210" s="2"/>
      <c r="I210" s="2"/>
      <c r="J210" s="2"/>
      <c r="K210" s="2"/>
      <c r="L210" s="2"/>
      <c r="M210" s="2"/>
      <c r="N210" s="2"/>
      <c r="O210" s="2"/>
      <c r="P210" s="2"/>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row>
    <row r="211" spans="1:46" x14ac:dyDescent="0.35">
      <c r="A211" s="1"/>
      <c r="B211" s="1"/>
      <c r="C211" s="2"/>
      <c r="D211" s="2"/>
      <c r="E211" s="2"/>
      <c r="F211" s="2"/>
      <c r="G211" s="2"/>
      <c r="H211" s="2"/>
      <c r="I211" s="2"/>
      <c r="J211" s="2"/>
      <c r="K211" s="2"/>
      <c r="L211" s="2"/>
      <c r="M211" s="2"/>
      <c r="N211" s="2"/>
      <c r="O211" s="2"/>
      <c r="P211" s="2"/>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row>
    <row r="212" spans="1:46" x14ac:dyDescent="0.35">
      <c r="A212" s="1"/>
      <c r="B212" s="1"/>
      <c r="C212" s="2"/>
      <c r="D212" s="2"/>
      <c r="E212" s="2"/>
      <c r="F212" s="2"/>
      <c r="G212" s="2"/>
      <c r="H212" s="2"/>
      <c r="I212" s="2"/>
      <c r="J212" s="2"/>
      <c r="K212" s="2"/>
      <c r="L212" s="2"/>
      <c r="M212" s="2"/>
      <c r="N212" s="2"/>
      <c r="O212" s="2"/>
      <c r="P212" s="2"/>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row>
    <row r="213" spans="1:46" x14ac:dyDescent="0.35">
      <c r="A213" s="1"/>
      <c r="B213" s="1"/>
      <c r="C213" s="2"/>
      <c r="D213" s="2"/>
      <c r="E213" s="2"/>
      <c r="F213" s="2"/>
      <c r="G213" s="2"/>
      <c r="H213" s="2"/>
      <c r="I213" s="2"/>
      <c r="J213" s="2"/>
      <c r="K213" s="2"/>
      <c r="L213" s="2"/>
      <c r="M213" s="2"/>
      <c r="N213" s="2"/>
      <c r="O213" s="2"/>
      <c r="P213" s="2"/>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row>
    <row r="214" spans="1:46" x14ac:dyDescent="0.35">
      <c r="A214" s="1"/>
      <c r="B214" s="1"/>
      <c r="C214" s="2"/>
      <c r="D214" s="2"/>
      <c r="E214" s="2"/>
      <c r="F214" s="2"/>
      <c r="G214" s="2"/>
      <c r="H214" s="2"/>
      <c r="I214" s="2"/>
      <c r="J214" s="2"/>
      <c r="K214" s="2"/>
      <c r="L214" s="2"/>
      <c r="M214" s="2"/>
      <c r="N214" s="2"/>
      <c r="O214" s="2"/>
      <c r="P214" s="2"/>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row>
    <row r="215" spans="1:46" x14ac:dyDescent="0.35">
      <c r="A215" s="1"/>
      <c r="B215" s="1"/>
      <c r="C215" s="2"/>
      <c r="D215" s="2"/>
      <c r="E215" s="2"/>
      <c r="F215" s="2"/>
      <c r="G215" s="2"/>
      <c r="H215" s="2"/>
      <c r="I215" s="2"/>
      <c r="J215" s="2"/>
      <c r="K215" s="2"/>
      <c r="L215" s="2"/>
      <c r="M215" s="2"/>
      <c r="N215" s="2"/>
      <c r="O215" s="2"/>
      <c r="P215" s="2"/>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row>
    <row r="216" spans="1:46" x14ac:dyDescent="0.35">
      <c r="A216" s="1"/>
      <c r="B216" s="1"/>
      <c r="C216" s="2"/>
      <c r="D216" s="2"/>
      <c r="E216" s="2"/>
      <c r="F216" s="2"/>
      <c r="G216" s="2"/>
      <c r="H216" s="2"/>
      <c r="I216" s="2"/>
      <c r="J216" s="2"/>
      <c r="K216" s="2"/>
      <c r="L216" s="2"/>
      <c r="M216" s="2"/>
      <c r="N216" s="2"/>
      <c r="O216" s="2"/>
      <c r="P216" s="2"/>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row>
    <row r="217" spans="1:46" x14ac:dyDescent="0.35">
      <c r="A217" s="1"/>
      <c r="B217" s="1"/>
      <c r="C217" s="2"/>
      <c r="D217" s="2"/>
      <c r="E217" s="2"/>
      <c r="F217" s="2"/>
      <c r="G217" s="2"/>
      <c r="H217" s="2"/>
      <c r="I217" s="2"/>
      <c r="J217" s="2"/>
      <c r="K217" s="2"/>
      <c r="L217" s="2"/>
      <c r="M217" s="2"/>
      <c r="N217" s="2"/>
      <c r="O217" s="2"/>
      <c r="P217" s="2"/>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row>
    <row r="218" spans="1:46" x14ac:dyDescent="0.35">
      <c r="A218" s="1"/>
      <c r="B218" s="1"/>
      <c r="C218" s="2"/>
      <c r="D218" s="2"/>
      <c r="E218" s="2"/>
      <c r="F218" s="2"/>
      <c r="G218" s="2"/>
      <c r="H218" s="2"/>
      <c r="I218" s="2"/>
      <c r="J218" s="2"/>
      <c r="K218" s="2"/>
      <c r="L218" s="2"/>
      <c r="M218" s="2"/>
      <c r="N218" s="2"/>
      <c r="O218" s="2"/>
      <c r="P218" s="2"/>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row>
    <row r="219" spans="1:46" x14ac:dyDescent="0.35">
      <c r="A219" s="1"/>
      <c r="B219" s="1"/>
      <c r="C219" s="2"/>
      <c r="D219" s="2"/>
      <c r="E219" s="2"/>
      <c r="F219" s="2"/>
      <c r="G219" s="2"/>
      <c r="H219" s="2"/>
      <c r="I219" s="2"/>
      <c r="J219" s="2"/>
      <c r="K219" s="2"/>
      <c r="L219" s="2"/>
      <c r="M219" s="2"/>
      <c r="N219" s="2"/>
      <c r="O219" s="2"/>
      <c r="P219" s="2"/>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row>
    <row r="220" spans="1:46" x14ac:dyDescent="0.35">
      <c r="A220" s="1"/>
      <c r="B220" s="1"/>
      <c r="C220" s="2"/>
      <c r="D220" s="2"/>
      <c r="E220" s="2"/>
      <c r="F220" s="2"/>
      <c r="G220" s="2"/>
      <c r="H220" s="2"/>
      <c r="I220" s="2"/>
      <c r="J220" s="2"/>
      <c r="K220" s="2"/>
      <c r="L220" s="2"/>
      <c r="M220" s="2"/>
      <c r="N220" s="2"/>
      <c r="O220" s="2"/>
      <c r="P220" s="2"/>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row>
    <row r="221" spans="1:46" x14ac:dyDescent="0.35">
      <c r="A221" s="1"/>
      <c r="B221" s="1"/>
      <c r="C221" s="2"/>
      <c r="D221" s="2"/>
      <c r="E221" s="2"/>
      <c r="F221" s="2"/>
      <c r="G221" s="2"/>
      <c r="H221" s="2"/>
      <c r="I221" s="2"/>
      <c r="J221" s="2"/>
      <c r="K221" s="2"/>
      <c r="L221" s="2"/>
      <c r="M221" s="2"/>
      <c r="N221" s="2"/>
      <c r="O221" s="2"/>
      <c r="P221" s="2"/>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row>
    <row r="222" spans="1:46" x14ac:dyDescent="0.35">
      <c r="A222" s="1"/>
      <c r="B222" s="1"/>
      <c r="C222" s="2"/>
      <c r="D222" s="2"/>
      <c r="E222" s="2"/>
      <c r="F222" s="2"/>
      <c r="G222" s="2"/>
      <c r="H222" s="2"/>
      <c r="I222" s="2"/>
      <c r="J222" s="2"/>
      <c r="K222" s="2"/>
      <c r="L222" s="2"/>
      <c r="M222" s="2"/>
      <c r="N222" s="2"/>
      <c r="O222" s="2"/>
      <c r="P222" s="2"/>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row>
    <row r="223" spans="1:46" x14ac:dyDescent="0.35">
      <c r="A223" s="1"/>
      <c r="B223" s="1"/>
      <c r="C223" s="2"/>
      <c r="D223" s="2"/>
      <c r="E223" s="2"/>
      <c r="F223" s="2"/>
      <c r="G223" s="2"/>
      <c r="H223" s="2"/>
      <c r="I223" s="2"/>
      <c r="J223" s="2"/>
      <c r="K223" s="2"/>
      <c r="L223" s="2"/>
      <c r="M223" s="2"/>
      <c r="N223" s="2"/>
      <c r="O223" s="2"/>
      <c r="P223" s="2"/>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row>
    <row r="224" spans="1:46" x14ac:dyDescent="0.35">
      <c r="A224" s="1"/>
      <c r="B224" s="1"/>
      <c r="C224" s="2"/>
      <c r="D224" s="2"/>
      <c r="E224" s="2"/>
      <c r="F224" s="2"/>
      <c r="G224" s="2"/>
      <c r="H224" s="2"/>
      <c r="I224" s="2"/>
      <c r="J224" s="2"/>
      <c r="K224" s="2"/>
      <c r="L224" s="2"/>
      <c r="M224" s="2"/>
      <c r="N224" s="2"/>
      <c r="O224" s="2"/>
      <c r="P224" s="2"/>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row>
    <row r="225" spans="1:46" x14ac:dyDescent="0.35">
      <c r="A225" s="1"/>
      <c r="B225" s="1"/>
      <c r="C225" s="2"/>
      <c r="D225" s="2"/>
      <c r="E225" s="2"/>
      <c r="F225" s="2"/>
      <c r="G225" s="2"/>
      <c r="H225" s="2"/>
      <c r="I225" s="2"/>
      <c r="J225" s="2"/>
      <c r="K225" s="2"/>
      <c r="L225" s="2"/>
      <c r="M225" s="2"/>
      <c r="N225" s="2"/>
      <c r="O225" s="2"/>
      <c r="P225" s="2"/>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row>
    <row r="226" spans="1:46" x14ac:dyDescent="0.35">
      <c r="A226" s="1"/>
      <c r="B226" s="1"/>
      <c r="C226" s="2"/>
      <c r="D226" s="2"/>
      <c r="E226" s="2"/>
      <c r="F226" s="2"/>
      <c r="G226" s="2"/>
      <c r="H226" s="2"/>
      <c r="I226" s="2"/>
      <c r="J226" s="2"/>
      <c r="K226" s="2"/>
      <c r="L226" s="2"/>
      <c r="M226" s="2"/>
      <c r="N226" s="2"/>
      <c r="O226" s="2"/>
      <c r="P226" s="2"/>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row>
    <row r="227" spans="1:46" x14ac:dyDescent="0.35">
      <c r="A227" s="1"/>
      <c r="B227" s="1"/>
      <c r="C227" s="2"/>
      <c r="D227" s="2"/>
      <c r="E227" s="2"/>
      <c r="F227" s="2"/>
      <c r="G227" s="2"/>
      <c r="H227" s="2"/>
      <c r="I227" s="2"/>
      <c r="J227" s="2"/>
      <c r="K227" s="2"/>
      <c r="L227" s="2"/>
      <c r="M227" s="2"/>
      <c r="N227" s="2"/>
      <c r="O227" s="2"/>
      <c r="P227" s="2"/>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row>
    <row r="228" spans="1:46" x14ac:dyDescent="0.35">
      <c r="A228" s="1"/>
      <c r="B228" s="1"/>
      <c r="C228" s="2"/>
      <c r="D228" s="2"/>
      <c r="E228" s="2"/>
      <c r="F228" s="2"/>
      <c r="G228" s="2"/>
      <c r="H228" s="2"/>
      <c r="I228" s="2"/>
      <c r="J228" s="2"/>
      <c r="K228" s="2"/>
      <c r="L228" s="2"/>
      <c r="M228" s="2"/>
      <c r="N228" s="2"/>
      <c r="O228" s="2"/>
      <c r="P228" s="2"/>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row>
    <row r="229" spans="1:46" x14ac:dyDescent="0.35">
      <c r="A229" s="1"/>
      <c r="B229" s="1"/>
      <c r="C229" s="2"/>
      <c r="D229" s="2"/>
      <c r="E229" s="2"/>
      <c r="F229" s="2"/>
      <c r="G229" s="2"/>
      <c r="H229" s="2"/>
      <c r="I229" s="2"/>
      <c r="J229" s="2"/>
      <c r="K229" s="2"/>
      <c r="L229" s="2"/>
      <c r="M229" s="2"/>
      <c r="N229" s="2"/>
      <c r="O229" s="2"/>
      <c r="P229" s="2"/>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row>
    <row r="230" spans="1:46" x14ac:dyDescent="0.35">
      <c r="A230" s="1"/>
      <c r="B230" s="1"/>
      <c r="C230" s="2"/>
      <c r="D230" s="2"/>
      <c r="E230" s="2"/>
      <c r="F230" s="2"/>
      <c r="G230" s="2"/>
      <c r="H230" s="2"/>
      <c r="I230" s="2"/>
      <c r="J230" s="2"/>
      <c r="K230" s="2"/>
      <c r="L230" s="2"/>
      <c r="M230" s="2"/>
      <c r="N230" s="2"/>
      <c r="O230" s="2"/>
      <c r="P230" s="2"/>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row>
    <row r="231" spans="1:46" x14ac:dyDescent="0.35">
      <c r="A231" s="1"/>
      <c r="B231" s="1"/>
      <c r="C231" s="2"/>
      <c r="D231" s="2"/>
      <c r="E231" s="2"/>
      <c r="F231" s="2"/>
      <c r="G231" s="2"/>
      <c r="H231" s="2"/>
      <c r="I231" s="2"/>
      <c r="J231" s="2"/>
      <c r="K231" s="2"/>
      <c r="L231" s="2"/>
      <c r="M231" s="2"/>
      <c r="N231" s="2"/>
      <c r="O231" s="2"/>
      <c r="P231" s="2"/>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row>
    <row r="232" spans="1:46" x14ac:dyDescent="0.35">
      <c r="A232" s="1"/>
      <c r="B232" s="1"/>
      <c r="C232" s="2"/>
      <c r="D232" s="2"/>
      <c r="E232" s="2"/>
      <c r="F232" s="2"/>
      <c r="G232" s="2"/>
      <c r="H232" s="2"/>
      <c r="I232" s="2"/>
      <c r="J232" s="2"/>
      <c r="K232" s="2"/>
      <c r="L232" s="2"/>
      <c r="M232" s="2"/>
      <c r="N232" s="2"/>
      <c r="O232" s="2"/>
      <c r="P232" s="2"/>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row>
    <row r="233" spans="1:46" x14ac:dyDescent="0.35">
      <c r="A233" s="1"/>
      <c r="B233" s="1"/>
      <c r="C233" s="2"/>
      <c r="D233" s="2"/>
      <c r="E233" s="2"/>
      <c r="F233" s="2"/>
      <c r="G233" s="2"/>
      <c r="H233" s="2"/>
      <c r="I233" s="2"/>
      <c r="J233" s="2"/>
      <c r="K233" s="2"/>
      <c r="L233" s="2"/>
      <c r="M233" s="2"/>
      <c r="N233" s="2"/>
      <c r="O233" s="2"/>
      <c r="P233" s="2"/>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row>
    <row r="234" spans="1:46" x14ac:dyDescent="0.35">
      <c r="A234" s="1"/>
      <c r="B234" s="1"/>
      <c r="C234" s="2"/>
      <c r="D234" s="2"/>
      <c r="E234" s="2"/>
      <c r="F234" s="2"/>
      <c r="G234" s="2"/>
      <c r="H234" s="2"/>
      <c r="I234" s="2"/>
      <c r="J234" s="2"/>
      <c r="K234" s="2"/>
      <c r="L234" s="2"/>
      <c r="M234" s="2"/>
      <c r="N234" s="2"/>
      <c r="O234" s="2"/>
      <c r="P234" s="2"/>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row>
    <row r="235" spans="1:46" x14ac:dyDescent="0.35">
      <c r="A235" s="1"/>
      <c r="B235" s="1"/>
      <c r="C235" s="2"/>
      <c r="D235" s="2"/>
      <c r="E235" s="2"/>
      <c r="F235" s="2"/>
      <c r="G235" s="2"/>
      <c r="H235" s="2"/>
      <c r="I235" s="2"/>
      <c r="J235" s="2"/>
      <c r="K235" s="2"/>
      <c r="L235" s="2"/>
      <c r="M235" s="2"/>
      <c r="N235" s="2"/>
      <c r="O235" s="2"/>
      <c r="P235" s="2"/>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row>
    <row r="236" spans="1:46" x14ac:dyDescent="0.35">
      <c r="A236" s="1"/>
      <c r="B236" s="1"/>
      <c r="C236" s="2"/>
      <c r="D236" s="2"/>
      <c r="E236" s="2"/>
      <c r="F236" s="2"/>
      <c r="G236" s="2"/>
      <c r="H236" s="2"/>
      <c r="I236" s="2"/>
      <c r="J236" s="2"/>
      <c r="K236" s="2"/>
      <c r="L236" s="2"/>
      <c r="M236" s="2"/>
      <c r="N236" s="2"/>
      <c r="O236" s="2"/>
      <c r="P236" s="2"/>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row>
    <row r="237" spans="1:46" x14ac:dyDescent="0.35">
      <c r="A237" s="1"/>
      <c r="B237" s="1"/>
      <c r="C237" s="2"/>
      <c r="D237" s="2"/>
      <c r="E237" s="2"/>
      <c r="F237" s="2"/>
      <c r="G237" s="2"/>
      <c r="H237" s="2"/>
      <c r="I237" s="2"/>
      <c r="J237" s="2"/>
      <c r="K237" s="2"/>
      <c r="L237" s="2"/>
      <c r="M237" s="2"/>
      <c r="N237" s="2"/>
      <c r="O237" s="2"/>
      <c r="P237" s="2"/>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row>
    <row r="238" spans="1:46" x14ac:dyDescent="0.35">
      <c r="A238" s="1"/>
      <c r="B238" s="1"/>
      <c r="C238" s="2"/>
      <c r="D238" s="2"/>
      <c r="E238" s="2"/>
      <c r="F238" s="2"/>
      <c r="G238" s="2"/>
      <c r="H238" s="2"/>
      <c r="I238" s="2"/>
      <c r="J238" s="2"/>
      <c r="K238" s="2"/>
      <c r="L238" s="2"/>
      <c r="M238" s="2"/>
      <c r="N238" s="2"/>
      <c r="O238" s="2"/>
      <c r="P238" s="2"/>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row>
    <row r="239" spans="1:46" x14ac:dyDescent="0.35">
      <c r="A239" s="1"/>
      <c r="B239" s="1"/>
      <c r="C239" s="2"/>
      <c r="D239" s="2"/>
      <c r="E239" s="2"/>
      <c r="F239" s="2"/>
      <c r="G239" s="2"/>
      <c r="H239" s="2"/>
      <c r="I239" s="2"/>
      <c r="J239" s="2"/>
      <c r="K239" s="2"/>
      <c r="L239" s="2"/>
      <c r="M239" s="2"/>
      <c r="N239" s="2"/>
      <c r="O239" s="2"/>
      <c r="P239" s="2"/>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row>
    <row r="240" spans="1:46" x14ac:dyDescent="0.35">
      <c r="A240" s="1"/>
      <c r="B240" s="1"/>
      <c r="C240" s="2"/>
      <c r="D240" s="2"/>
      <c r="E240" s="2"/>
      <c r="F240" s="2"/>
      <c r="G240" s="2"/>
      <c r="H240" s="2"/>
      <c r="I240" s="2"/>
      <c r="J240" s="2"/>
      <c r="K240" s="2"/>
      <c r="L240" s="2"/>
      <c r="M240" s="2"/>
      <c r="N240" s="2"/>
      <c r="O240" s="2"/>
      <c r="P240" s="2"/>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row>
    <row r="241" spans="1:46" x14ac:dyDescent="0.35">
      <c r="A241" s="1"/>
      <c r="B241" s="1"/>
      <c r="C241" s="2"/>
      <c r="D241" s="2"/>
      <c r="E241" s="2"/>
      <c r="F241" s="2"/>
      <c r="G241" s="2"/>
      <c r="H241" s="2"/>
      <c r="I241" s="2"/>
      <c r="J241" s="2"/>
      <c r="K241" s="2"/>
      <c r="L241" s="2"/>
      <c r="M241" s="2"/>
      <c r="N241" s="2"/>
      <c r="O241" s="2"/>
      <c r="P241" s="2"/>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row>
    <row r="242" spans="1:46" x14ac:dyDescent="0.35">
      <c r="A242" s="1"/>
      <c r="B242" s="1"/>
      <c r="C242" s="2"/>
      <c r="D242" s="2"/>
      <c r="E242" s="2"/>
      <c r="F242" s="2"/>
      <c r="G242" s="2"/>
      <c r="H242" s="2"/>
      <c r="I242" s="2"/>
      <c r="J242" s="2"/>
      <c r="K242" s="2"/>
      <c r="L242" s="2"/>
      <c r="M242" s="2"/>
      <c r="N242" s="2"/>
      <c r="O242" s="2"/>
      <c r="P242" s="2"/>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row>
    <row r="243" spans="1:46" x14ac:dyDescent="0.35">
      <c r="A243" s="1"/>
      <c r="B243" s="1"/>
      <c r="C243" s="2"/>
      <c r="D243" s="2"/>
      <c r="E243" s="2"/>
      <c r="F243" s="2"/>
      <c r="G243" s="2"/>
      <c r="H243" s="2"/>
      <c r="I243" s="2"/>
      <c r="J243" s="2"/>
      <c r="K243" s="2"/>
      <c r="L243" s="2"/>
      <c r="M243" s="2"/>
      <c r="N243" s="2"/>
      <c r="O243" s="2"/>
      <c r="P243" s="2"/>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row>
    <row r="244" spans="1:46" x14ac:dyDescent="0.35">
      <c r="A244" s="1"/>
      <c r="B244" s="1"/>
      <c r="C244" s="2"/>
      <c r="D244" s="2"/>
      <c r="E244" s="2"/>
      <c r="F244" s="2"/>
      <c r="G244" s="2"/>
      <c r="H244" s="2"/>
      <c r="I244" s="2"/>
      <c r="J244" s="2"/>
      <c r="K244" s="2"/>
      <c r="L244" s="2"/>
      <c r="M244" s="2"/>
      <c r="N244" s="2"/>
      <c r="O244" s="2"/>
      <c r="P244" s="2"/>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row>
    <row r="245" spans="1:46" x14ac:dyDescent="0.35">
      <c r="A245" s="1"/>
      <c r="B245" s="1"/>
      <c r="C245" s="2"/>
      <c r="D245" s="2"/>
      <c r="E245" s="2"/>
      <c r="F245" s="2"/>
      <c r="G245" s="2"/>
      <c r="H245" s="2"/>
      <c r="I245" s="2"/>
      <c r="J245" s="2"/>
      <c r="K245" s="2"/>
      <c r="L245" s="2"/>
      <c r="M245" s="2"/>
      <c r="N245" s="2"/>
      <c r="O245" s="2"/>
      <c r="P245" s="2"/>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row>
    <row r="246" spans="1:46" x14ac:dyDescent="0.35">
      <c r="A246" s="1"/>
      <c r="B246" s="1"/>
      <c r="C246" s="2"/>
      <c r="D246" s="2"/>
      <c r="E246" s="2"/>
      <c r="F246" s="2"/>
      <c r="G246" s="2"/>
      <c r="H246" s="2"/>
      <c r="I246" s="2"/>
      <c r="J246" s="2"/>
      <c r="K246" s="2"/>
      <c r="L246" s="2"/>
      <c r="M246" s="2"/>
      <c r="N246" s="2"/>
      <c r="O246" s="2"/>
      <c r="P246" s="2"/>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row>
    <row r="247" spans="1:46" x14ac:dyDescent="0.35">
      <c r="A247" s="1"/>
      <c r="B247" s="1"/>
      <c r="C247" s="2"/>
      <c r="D247" s="2"/>
      <c r="E247" s="2"/>
      <c r="F247" s="2"/>
      <c r="G247" s="2"/>
      <c r="H247" s="2"/>
      <c r="I247" s="2"/>
      <c r="J247" s="2"/>
      <c r="K247" s="2"/>
      <c r="L247" s="2"/>
      <c r="M247" s="2"/>
      <c r="N247" s="2"/>
      <c r="O247" s="2"/>
      <c r="P247" s="2"/>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row>
    <row r="248" spans="1:46" x14ac:dyDescent="0.35">
      <c r="A248" s="1"/>
      <c r="B248" s="1"/>
      <c r="C248" s="2"/>
      <c r="D248" s="2"/>
      <c r="E248" s="2"/>
      <c r="F248" s="2"/>
      <c r="G248" s="2"/>
      <c r="H248" s="2"/>
      <c r="I248" s="2"/>
      <c r="J248" s="2"/>
      <c r="K248" s="2"/>
      <c r="L248" s="2"/>
      <c r="M248" s="2"/>
      <c r="N248" s="2"/>
      <c r="O248" s="2"/>
      <c r="P248" s="2"/>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row>
    <row r="249" spans="1:46" x14ac:dyDescent="0.35">
      <c r="A249" s="1"/>
      <c r="B249" s="1"/>
      <c r="C249" s="2"/>
      <c r="D249" s="2"/>
      <c r="E249" s="2"/>
      <c r="F249" s="2"/>
      <c r="G249" s="2"/>
      <c r="H249" s="2"/>
      <c r="I249" s="2"/>
      <c r="J249" s="2"/>
      <c r="K249" s="2"/>
      <c r="L249" s="2"/>
      <c r="M249" s="2"/>
      <c r="N249" s="2"/>
      <c r="O249" s="2"/>
      <c r="P249" s="2"/>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row>
    <row r="250" spans="1:46" x14ac:dyDescent="0.35">
      <c r="A250" s="1"/>
      <c r="B250" s="1"/>
      <c r="C250" s="2"/>
      <c r="D250" s="2"/>
      <c r="E250" s="2"/>
      <c r="F250" s="2"/>
      <c r="G250" s="2"/>
      <c r="H250" s="2"/>
      <c r="I250" s="2"/>
      <c r="J250" s="2"/>
      <c r="K250" s="2"/>
      <c r="L250" s="2"/>
      <c r="M250" s="2"/>
      <c r="N250" s="2"/>
      <c r="O250" s="2"/>
      <c r="P250" s="2"/>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row>
    <row r="251" spans="1:46" x14ac:dyDescent="0.35">
      <c r="A251" s="1"/>
      <c r="B251" s="1"/>
      <c r="C251" s="2"/>
      <c r="D251" s="2"/>
      <c r="E251" s="2"/>
      <c r="F251" s="2"/>
      <c r="G251" s="2"/>
      <c r="H251" s="2"/>
      <c r="I251" s="2"/>
      <c r="J251" s="2"/>
      <c r="K251" s="2"/>
      <c r="L251" s="2"/>
      <c r="M251" s="2"/>
      <c r="N251" s="2"/>
      <c r="O251" s="2"/>
      <c r="P251" s="2"/>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row>
    <row r="252" spans="1:46" x14ac:dyDescent="0.35">
      <c r="A252" s="1"/>
      <c r="B252" s="1"/>
      <c r="C252" s="2"/>
      <c r="D252" s="2"/>
      <c r="E252" s="2"/>
      <c r="F252" s="2"/>
      <c r="G252" s="2"/>
      <c r="H252" s="2"/>
      <c r="I252" s="2"/>
      <c r="J252" s="2"/>
      <c r="K252" s="2"/>
      <c r="L252" s="2"/>
      <c r="M252" s="2"/>
      <c r="N252" s="2"/>
      <c r="O252" s="2"/>
      <c r="P252" s="2"/>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row>
    <row r="253" spans="1:46" x14ac:dyDescent="0.35">
      <c r="A253" s="1"/>
      <c r="B253" s="1"/>
      <c r="C253" s="2"/>
      <c r="D253" s="2"/>
      <c r="E253" s="2"/>
      <c r="F253" s="2"/>
      <c r="G253" s="2"/>
      <c r="H253" s="2"/>
      <c r="I253" s="2"/>
      <c r="J253" s="2"/>
      <c r="K253" s="2"/>
      <c r="L253" s="2"/>
      <c r="M253" s="2"/>
      <c r="N253" s="2"/>
      <c r="O253" s="2"/>
      <c r="P253" s="2"/>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row>
    <row r="254" spans="1:46" x14ac:dyDescent="0.35">
      <c r="A254" s="1"/>
      <c r="B254" s="1"/>
      <c r="C254" s="2"/>
      <c r="D254" s="2"/>
      <c r="E254" s="2"/>
      <c r="F254" s="2"/>
      <c r="G254" s="2"/>
      <c r="H254" s="2"/>
      <c r="I254" s="2"/>
      <c r="J254" s="2"/>
      <c r="K254" s="2"/>
      <c r="L254" s="2"/>
      <c r="M254" s="2"/>
      <c r="N254" s="2"/>
      <c r="O254" s="2"/>
      <c r="P254" s="2"/>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row>
    <row r="255" spans="1:46" x14ac:dyDescent="0.35">
      <c r="A255" s="1"/>
      <c r="B255" s="1"/>
      <c r="C255" s="2"/>
      <c r="D255" s="2"/>
      <c r="E255" s="2"/>
      <c r="F255" s="2"/>
      <c r="G255" s="2"/>
      <c r="H255" s="2"/>
      <c r="I255" s="2"/>
      <c r="J255" s="2"/>
      <c r="K255" s="2"/>
      <c r="L255" s="2"/>
      <c r="M255" s="2"/>
      <c r="N255" s="2"/>
      <c r="O255" s="2"/>
      <c r="P255" s="2"/>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row>
    <row r="256" spans="1:46" x14ac:dyDescent="0.35">
      <c r="A256" s="1"/>
      <c r="B256" s="1"/>
      <c r="C256" s="2"/>
      <c r="D256" s="2"/>
      <c r="E256" s="2"/>
      <c r="F256" s="2"/>
      <c r="G256" s="2"/>
      <c r="H256" s="2"/>
      <c r="I256" s="2"/>
      <c r="J256" s="2"/>
      <c r="K256" s="2"/>
      <c r="L256" s="2"/>
      <c r="M256" s="2"/>
      <c r="N256" s="2"/>
      <c r="O256" s="2"/>
      <c r="P256" s="2"/>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row>
    <row r="257" spans="1:46" x14ac:dyDescent="0.35">
      <c r="A257" s="1"/>
      <c r="B257" s="1"/>
      <c r="C257" s="2"/>
      <c r="D257" s="2"/>
      <c r="E257" s="2"/>
      <c r="F257" s="2"/>
      <c r="G257" s="2"/>
      <c r="H257" s="2"/>
      <c r="I257" s="2"/>
      <c r="J257" s="2"/>
      <c r="K257" s="2"/>
      <c r="L257" s="2"/>
      <c r="M257" s="2"/>
      <c r="N257" s="2"/>
      <c r="O257" s="2"/>
      <c r="P257" s="2"/>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row>
    <row r="258" spans="1:46" x14ac:dyDescent="0.35">
      <c r="A258" s="1"/>
      <c r="B258" s="1"/>
      <c r="C258" s="2"/>
      <c r="D258" s="2"/>
      <c r="E258" s="2"/>
      <c r="F258" s="2"/>
      <c r="G258" s="2"/>
      <c r="H258" s="2"/>
      <c r="I258" s="2"/>
      <c r="J258" s="2"/>
      <c r="K258" s="2"/>
      <c r="L258" s="2"/>
      <c r="M258" s="2"/>
      <c r="N258" s="2"/>
      <c r="O258" s="2"/>
      <c r="P258" s="2"/>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row>
    <row r="259" spans="1:46" x14ac:dyDescent="0.35">
      <c r="A259" s="1"/>
      <c r="B259" s="1"/>
      <c r="C259" s="2"/>
      <c r="D259" s="2"/>
      <c r="E259" s="2"/>
      <c r="F259" s="2"/>
      <c r="G259" s="2"/>
      <c r="H259" s="2"/>
      <c r="I259" s="2"/>
      <c r="J259" s="2"/>
      <c r="K259" s="2"/>
      <c r="L259" s="2"/>
      <c r="M259" s="2"/>
      <c r="N259" s="2"/>
      <c r="O259" s="2"/>
      <c r="P259" s="2"/>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row>
    <row r="260" spans="1:46" x14ac:dyDescent="0.35">
      <c r="A260" s="1"/>
      <c r="B260" s="1"/>
      <c r="C260" s="2"/>
      <c r="D260" s="2"/>
      <c r="E260" s="2"/>
      <c r="F260" s="2"/>
      <c r="G260" s="2"/>
      <c r="H260" s="2"/>
      <c r="I260" s="2"/>
      <c r="J260" s="2"/>
      <c r="K260" s="2"/>
      <c r="L260" s="2"/>
      <c r="M260" s="2"/>
      <c r="N260" s="2"/>
      <c r="O260" s="2"/>
      <c r="P260" s="2"/>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row>
    <row r="261" spans="1:46" x14ac:dyDescent="0.35">
      <c r="A261" s="1"/>
      <c r="B261" s="1"/>
      <c r="C261" s="2"/>
      <c r="D261" s="2"/>
      <c r="E261" s="2"/>
      <c r="F261" s="2"/>
      <c r="G261" s="2"/>
      <c r="H261" s="2"/>
      <c r="I261" s="2"/>
      <c r="J261" s="2"/>
      <c r="K261" s="2"/>
      <c r="L261" s="2"/>
      <c r="M261" s="2"/>
      <c r="N261" s="2"/>
      <c r="O261" s="2"/>
      <c r="P261" s="2"/>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row>
    <row r="262" spans="1:46" x14ac:dyDescent="0.35">
      <c r="A262" s="1"/>
      <c r="B262" s="1"/>
      <c r="C262" s="2"/>
      <c r="D262" s="2"/>
      <c r="E262" s="2"/>
      <c r="F262" s="2"/>
      <c r="G262" s="2"/>
      <c r="H262" s="2"/>
      <c r="I262" s="2"/>
      <c r="J262" s="2"/>
      <c r="K262" s="2"/>
      <c r="L262" s="2"/>
      <c r="M262" s="2"/>
      <c r="N262" s="2"/>
      <c r="O262" s="2"/>
      <c r="P262" s="2"/>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row>
    <row r="263" spans="1:46" x14ac:dyDescent="0.35">
      <c r="A263" s="1"/>
      <c r="B263" s="1"/>
      <c r="C263" s="2"/>
      <c r="D263" s="2"/>
      <c r="E263" s="2"/>
      <c r="F263" s="2"/>
      <c r="G263" s="2"/>
      <c r="H263" s="2"/>
      <c r="I263" s="2"/>
      <c r="J263" s="2"/>
      <c r="K263" s="2"/>
      <c r="L263" s="2"/>
      <c r="M263" s="2"/>
      <c r="N263" s="2"/>
      <c r="O263" s="2"/>
      <c r="P263" s="2"/>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row>
    <row r="264" spans="1:46" x14ac:dyDescent="0.35">
      <c r="A264" s="1"/>
      <c r="B264" s="1"/>
      <c r="C264" s="2"/>
      <c r="D264" s="2"/>
      <c r="E264" s="2"/>
      <c r="F264" s="2"/>
      <c r="G264" s="2"/>
      <c r="H264" s="2"/>
      <c r="I264" s="2"/>
      <c r="J264" s="2"/>
      <c r="K264" s="2"/>
      <c r="L264" s="2"/>
      <c r="M264" s="2"/>
      <c r="N264" s="2"/>
      <c r="O264" s="2"/>
      <c r="P264" s="2"/>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row>
    <row r="265" spans="1:46" x14ac:dyDescent="0.35">
      <c r="A265" s="1"/>
      <c r="B265" s="1"/>
      <c r="C265" s="2"/>
      <c r="D265" s="2"/>
      <c r="E265" s="2"/>
      <c r="F265" s="2"/>
      <c r="G265" s="2"/>
      <c r="H265" s="2"/>
      <c r="I265" s="2"/>
      <c r="J265" s="2"/>
      <c r="K265" s="2"/>
      <c r="L265" s="2"/>
      <c r="M265" s="2"/>
      <c r="N265" s="2"/>
      <c r="O265" s="2"/>
      <c r="P265" s="2"/>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row>
    <row r="266" spans="1:46" x14ac:dyDescent="0.35">
      <c r="A266" s="1"/>
      <c r="B266" s="1"/>
      <c r="C266" s="2"/>
      <c r="D266" s="2"/>
      <c r="E266" s="2"/>
      <c r="F266" s="2"/>
      <c r="G266" s="2"/>
      <c r="H266" s="2"/>
      <c r="I266" s="2"/>
      <c r="J266" s="2"/>
      <c r="K266" s="2"/>
      <c r="L266" s="2"/>
      <c r="M266" s="2"/>
      <c r="N266" s="2"/>
      <c r="O266" s="2"/>
      <c r="P266" s="2"/>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row>
    <row r="267" spans="1:46" x14ac:dyDescent="0.35">
      <c r="A267" s="1"/>
      <c r="B267" s="1"/>
      <c r="C267" s="2"/>
      <c r="D267" s="2"/>
      <c r="E267" s="2"/>
      <c r="F267" s="2"/>
      <c r="G267" s="2"/>
      <c r="H267" s="2"/>
      <c r="I267" s="2"/>
      <c r="J267" s="2"/>
      <c r="K267" s="2"/>
      <c r="L267" s="2"/>
      <c r="M267" s="2"/>
      <c r="N267" s="2"/>
      <c r="O267" s="2"/>
      <c r="P267" s="2"/>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row>
    <row r="268" spans="1:46" x14ac:dyDescent="0.35">
      <c r="A268" s="1"/>
      <c r="B268" s="1"/>
      <c r="C268" s="2"/>
      <c r="D268" s="2"/>
      <c r="E268" s="2"/>
      <c r="F268" s="2"/>
      <c r="G268" s="2"/>
      <c r="H268" s="2"/>
      <c r="I268" s="2"/>
      <c r="J268" s="2"/>
      <c r="K268" s="2"/>
      <c r="L268" s="2"/>
      <c r="M268" s="2"/>
      <c r="N268" s="2"/>
      <c r="O268" s="2"/>
      <c r="P268" s="2"/>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row>
    <row r="269" spans="1:46" x14ac:dyDescent="0.35">
      <c r="A269" s="1"/>
      <c r="B269" s="1"/>
      <c r="C269" s="2"/>
      <c r="D269" s="2"/>
      <c r="E269" s="2"/>
      <c r="F269" s="2"/>
      <c r="G269" s="2"/>
      <c r="H269" s="2"/>
      <c r="I269" s="2"/>
      <c r="J269" s="2"/>
      <c r="K269" s="2"/>
      <c r="L269" s="2"/>
      <c r="M269" s="2"/>
      <c r="N269" s="2"/>
      <c r="O269" s="2"/>
      <c r="P269" s="2"/>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row>
    <row r="270" spans="1:46" x14ac:dyDescent="0.35">
      <c r="A270" s="1"/>
      <c r="B270" s="1"/>
      <c r="C270" s="2"/>
      <c r="D270" s="2"/>
      <c r="E270" s="2"/>
      <c r="F270" s="2"/>
      <c r="G270" s="2"/>
      <c r="H270" s="2"/>
      <c r="I270" s="2"/>
      <c r="J270" s="2"/>
      <c r="K270" s="2"/>
      <c r="L270" s="2"/>
      <c r="M270" s="2"/>
      <c r="N270" s="2"/>
      <c r="O270" s="2"/>
      <c r="P270" s="2"/>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row>
    <row r="271" spans="1:46" x14ac:dyDescent="0.35">
      <c r="A271" s="1"/>
      <c r="B271" s="1"/>
      <c r="C271" s="2"/>
      <c r="D271" s="2"/>
      <c r="E271" s="2"/>
      <c r="F271" s="2"/>
      <c r="G271" s="2"/>
      <c r="H271" s="2"/>
      <c r="I271" s="2"/>
      <c r="J271" s="2"/>
      <c r="K271" s="2"/>
      <c r="L271" s="2"/>
      <c r="M271" s="2"/>
      <c r="N271" s="2"/>
      <c r="O271" s="2"/>
      <c r="P271" s="2"/>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row>
    <row r="272" spans="1:46" x14ac:dyDescent="0.35">
      <c r="A272" s="1"/>
      <c r="B272" s="1"/>
      <c r="C272" s="2"/>
      <c r="D272" s="2"/>
      <c r="E272" s="2"/>
      <c r="F272" s="2"/>
      <c r="G272" s="2"/>
      <c r="H272" s="2"/>
      <c r="I272" s="2"/>
      <c r="J272" s="2"/>
      <c r="K272" s="2"/>
      <c r="L272" s="2"/>
      <c r="M272" s="2"/>
      <c r="N272" s="2"/>
      <c r="O272" s="2"/>
      <c r="P272" s="2"/>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row>
    <row r="273" spans="1:46" x14ac:dyDescent="0.35">
      <c r="A273" s="1"/>
      <c r="B273" s="1"/>
      <c r="C273" s="2"/>
      <c r="D273" s="2"/>
      <c r="E273" s="2"/>
      <c r="F273" s="2"/>
      <c r="G273" s="2"/>
      <c r="H273" s="2"/>
      <c r="I273" s="2"/>
      <c r="J273" s="2"/>
      <c r="K273" s="2"/>
      <c r="L273" s="2"/>
      <c r="M273" s="2"/>
      <c r="N273" s="2"/>
      <c r="O273" s="2"/>
      <c r="P273" s="2"/>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row>
    <row r="274" spans="1:46" x14ac:dyDescent="0.35">
      <c r="A274" s="1"/>
      <c r="B274" s="1"/>
      <c r="C274" s="2"/>
      <c r="D274" s="2"/>
      <c r="E274" s="2"/>
      <c r="F274" s="2"/>
      <c r="G274" s="2"/>
      <c r="H274" s="2"/>
      <c r="I274" s="2"/>
      <c r="J274" s="2"/>
      <c r="K274" s="2"/>
      <c r="L274" s="2"/>
      <c r="M274" s="2"/>
      <c r="N274" s="2"/>
      <c r="O274" s="2"/>
      <c r="P274" s="2"/>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row>
    <row r="275" spans="1:46" x14ac:dyDescent="0.35">
      <c r="A275" s="1"/>
      <c r="B275" s="1"/>
      <c r="C275" s="2"/>
      <c r="D275" s="2"/>
      <c r="E275" s="2"/>
      <c r="F275" s="2"/>
      <c r="G275" s="2"/>
      <c r="H275" s="2"/>
      <c r="I275" s="2"/>
      <c r="J275" s="2"/>
      <c r="K275" s="2"/>
      <c r="L275" s="2"/>
      <c r="M275" s="2"/>
      <c r="N275" s="2"/>
      <c r="O275" s="2"/>
      <c r="P275" s="2"/>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row>
    <row r="276" spans="1:46" x14ac:dyDescent="0.35">
      <c r="A276" s="1"/>
      <c r="B276" s="1"/>
      <c r="C276" s="2"/>
      <c r="D276" s="2"/>
      <c r="E276" s="2"/>
      <c r="F276" s="2"/>
      <c r="G276" s="2"/>
      <c r="H276" s="2"/>
      <c r="I276" s="2"/>
      <c r="J276" s="2"/>
      <c r="K276" s="2"/>
      <c r="L276" s="2"/>
      <c r="M276" s="2"/>
      <c r="N276" s="2"/>
      <c r="O276" s="2"/>
      <c r="P276" s="2"/>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row>
    <row r="277" spans="1:46" x14ac:dyDescent="0.35">
      <c r="A277" s="1"/>
      <c r="B277" s="1"/>
      <c r="C277" s="2"/>
      <c r="D277" s="2"/>
      <c r="E277" s="2"/>
      <c r="F277" s="2"/>
      <c r="G277" s="2"/>
      <c r="H277" s="2"/>
      <c r="I277" s="2"/>
      <c r="J277" s="2"/>
      <c r="K277" s="2"/>
      <c r="L277" s="2"/>
      <c r="M277" s="2"/>
      <c r="N277" s="2"/>
      <c r="O277" s="2"/>
      <c r="P277" s="2"/>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row>
    <row r="278" spans="1:46" x14ac:dyDescent="0.35">
      <c r="A278" s="1"/>
      <c r="B278" s="1"/>
      <c r="C278" s="2"/>
      <c r="D278" s="2"/>
      <c r="E278" s="2"/>
      <c r="F278" s="2"/>
      <c r="G278" s="2"/>
      <c r="H278" s="2"/>
      <c r="I278" s="2"/>
      <c r="J278" s="2"/>
      <c r="K278" s="2"/>
      <c r="L278" s="2"/>
      <c r="M278" s="2"/>
      <c r="N278" s="2"/>
      <c r="O278" s="2"/>
      <c r="P278" s="2"/>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row>
    <row r="279" spans="1:46" x14ac:dyDescent="0.35">
      <c r="A279" s="1"/>
      <c r="B279" s="1"/>
      <c r="C279" s="2"/>
      <c r="D279" s="2"/>
      <c r="E279" s="2"/>
      <c r="F279" s="2"/>
      <c r="G279" s="2"/>
      <c r="H279" s="2"/>
      <c r="I279" s="2"/>
      <c r="J279" s="2"/>
      <c r="K279" s="2"/>
      <c r="L279" s="2"/>
      <c r="M279" s="2"/>
      <c r="N279" s="2"/>
      <c r="O279" s="2"/>
      <c r="P279" s="2"/>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row>
    <row r="280" spans="1:46" x14ac:dyDescent="0.35">
      <c r="A280" s="1"/>
      <c r="B280" s="1"/>
      <c r="C280" s="2"/>
      <c r="D280" s="2"/>
      <c r="E280" s="2"/>
      <c r="F280" s="2"/>
      <c r="G280" s="2"/>
      <c r="H280" s="2"/>
      <c r="I280" s="2"/>
      <c r="J280" s="2"/>
      <c r="K280" s="2"/>
      <c r="L280" s="2"/>
      <c r="M280" s="2"/>
      <c r="N280" s="2"/>
      <c r="O280" s="2"/>
      <c r="P280" s="2"/>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row>
    <row r="281" spans="1:46" x14ac:dyDescent="0.35">
      <c r="A281" s="1"/>
      <c r="B281" s="1"/>
      <c r="C281" s="2"/>
      <c r="D281" s="2"/>
      <c r="E281" s="2"/>
      <c r="F281" s="2"/>
      <c r="G281" s="2"/>
      <c r="H281" s="2"/>
      <c r="I281" s="2"/>
      <c r="J281" s="2"/>
      <c r="K281" s="2"/>
      <c r="L281" s="2"/>
      <c r="M281" s="2"/>
      <c r="N281" s="2"/>
      <c r="O281" s="2"/>
      <c r="P281" s="2"/>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row>
    <row r="282" spans="1:46" x14ac:dyDescent="0.35">
      <c r="A282" s="1"/>
      <c r="B282" s="1"/>
      <c r="C282" s="2"/>
      <c r="D282" s="2"/>
      <c r="E282" s="2"/>
      <c r="F282" s="2"/>
      <c r="G282" s="2"/>
      <c r="H282" s="2"/>
      <c r="I282" s="2"/>
      <c r="J282" s="2"/>
      <c r="K282" s="2"/>
      <c r="L282" s="2"/>
      <c r="M282" s="2"/>
      <c r="N282" s="2"/>
      <c r="O282" s="2"/>
      <c r="P282" s="2"/>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row>
    <row r="283" spans="1:46" x14ac:dyDescent="0.35">
      <c r="A283" s="1"/>
      <c r="B283" s="1"/>
      <c r="C283" s="2"/>
      <c r="D283" s="2"/>
      <c r="E283" s="2"/>
      <c r="F283" s="2"/>
      <c r="G283" s="2"/>
      <c r="H283" s="2"/>
      <c r="I283" s="2"/>
      <c r="J283" s="2"/>
      <c r="K283" s="2"/>
      <c r="L283" s="2"/>
      <c r="M283" s="2"/>
      <c r="N283" s="2"/>
      <c r="O283" s="2"/>
      <c r="P283" s="2"/>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row>
    <row r="284" spans="1:46" x14ac:dyDescent="0.35">
      <c r="A284" s="1"/>
      <c r="B284" s="1"/>
      <c r="C284" s="2"/>
      <c r="D284" s="2"/>
      <c r="E284" s="2"/>
      <c r="F284" s="2"/>
      <c r="G284" s="2"/>
      <c r="H284" s="2"/>
      <c r="I284" s="2"/>
      <c r="J284" s="2"/>
      <c r="K284" s="2"/>
      <c r="L284" s="2"/>
      <c r="M284" s="2"/>
      <c r="N284" s="2"/>
      <c r="O284" s="2"/>
      <c r="P284" s="2"/>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row>
    <row r="285" spans="1:46" x14ac:dyDescent="0.35">
      <c r="A285" s="1"/>
      <c r="B285" s="1"/>
      <c r="C285" s="2"/>
      <c r="D285" s="2"/>
      <c r="E285" s="2"/>
      <c r="F285" s="2"/>
      <c r="G285" s="2"/>
      <c r="H285" s="2"/>
      <c r="I285" s="2"/>
      <c r="J285" s="2"/>
      <c r="K285" s="2"/>
      <c r="L285" s="2"/>
      <c r="M285" s="2"/>
      <c r="N285" s="2"/>
      <c r="O285" s="2"/>
      <c r="P285" s="2"/>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row>
    <row r="286" spans="1:46" x14ac:dyDescent="0.35">
      <c r="A286" s="1"/>
      <c r="B286" s="1"/>
      <c r="C286" s="2"/>
      <c r="D286" s="2"/>
      <c r="E286" s="2"/>
      <c r="F286" s="2"/>
      <c r="G286" s="2"/>
      <c r="H286" s="2"/>
      <c r="I286" s="2"/>
      <c r="J286" s="2"/>
      <c r="K286" s="2"/>
      <c r="L286" s="2"/>
      <c r="M286" s="2"/>
      <c r="N286" s="2"/>
      <c r="O286" s="2"/>
      <c r="P286" s="2"/>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row>
    <row r="287" spans="1:46" x14ac:dyDescent="0.35">
      <c r="A287" s="1"/>
      <c r="B287" s="1"/>
      <c r="C287" s="2"/>
      <c r="D287" s="2"/>
      <c r="E287" s="2"/>
      <c r="F287" s="2"/>
      <c r="G287" s="2"/>
      <c r="H287" s="2"/>
      <c r="I287" s="2"/>
      <c r="J287" s="2"/>
      <c r="K287" s="2"/>
      <c r="L287" s="2"/>
      <c r="M287" s="2"/>
      <c r="N287" s="2"/>
      <c r="O287" s="2"/>
      <c r="P287" s="2"/>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row>
    <row r="288" spans="1:46" x14ac:dyDescent="0.35">
      <c r="A288" s="1"/>
      <c r="B288" s="1"/>
      <c r="C288" s="2"/>
      <c r="D288" s="2"/>
      <c r="E288" s="2"/>
      <c r="F288" s="2"/>
      <c r="G288" s="2"/>
      <c r="H288" s="2"/>
      <c r="I288" s="2"/>
      <c r="J288" s="2"/>
      <c r="K288" s="2"/>
      <c r="L288" s="2"/>
      <c r="M288" s="2"/>
      <c r="N288" s="2"/>
      <c r="O288" s="2"/>
      <c r="P288" s="2"/>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row>
    <row r="289" spans="1:46" x14ac:dyDescent="0.35">
      <c r="A289" s="1"/>
      <c r="B289" s="1"/>
      <c r="C289" s="2"/>
      <c r="D289" s="2"/>
      <c r="E289" s="2"/>
      <c r="F289" s="2"/>
      <c r="G289" s="2"/>
      <c r="H289" s="2"/>
      <c r="I289" s="2"/>
      <c r="J289" s="2"/>
      <c r="K289" s="2"/>
      <c r="L289" s="2"/>
      <c r="M289" s="2"/>
      <c r="N289" s="2"/>
      <c r="O289" s="2"/>
      <c r="P289" s="2"/>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row>
    <row r="290" spans="1:46" x14ac:dyDescent="0.35">
      <c r="A290" s="1"/>
      <c r="B290" s="1"/>
      <c r="C290" s="2"/>
      <c r="D290" s="2"/>
      <c r="E290" s="2"/>
      <c r="F290" s="2"/>
      <c r="G290" s="2"/>
      <c r="H290" s="2"/>
      <c r="I290" s="2"/>
      <c r="J290" s="2"/>
      <c r="K290" s="2"/>
      <c r="L290" s="2"/>
      <c r="M290" s="2"/>
      <c r="N290" s="2"/>
      <c r="O290" s="2"/>
      <c r="P290" s="2"/>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row>
    <row r="291" spans="1:46" x14ac:dyDescent="0.35">
      <c r="A291" s="1"/>
      <c r="B291" s="1"/>
      <c r="C291" s="2"/>
      <c r="D291" s="2"/>
      <c r="E291" s="2"/>
      <c r="F291" s="2"/>
      <c r="G291" s="2"/>
      <c r="H291" s="2"/>
      <c r="I291" s="2"/>
      <c r="J291" s="2"/>
      <c r="K291" s="2"/>
      <c r="L291" s="2"/>
      <c r="M291" s="2"/>
      <c r="N291" s="2"/>
      <c r="O291" s="2"/>
      <c r="P291" s="2"/>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row>
    <row r="292" spans="1:46" x14ac:dyDescent="0.35">
      <c r="A292" s="1"/>
      <c r="B292" s="1"/>
      <c r="C292" s="2"/>
      <c r="D292" s="2"/>
      <c r="E292" s="2"/>
      <c r="F292" s="2"/>
      <c r="G292" s="2"/>
      <c r="H292" s="2"/>
      <c r="I292" s="2"/>
      <c r="J292" s="2"/>
      <c r="K292" s="2"/>
      <c r="L292" s="2"/>
      <c r="M292" s="2"/>
      <c r="N292" s="2"/>
      <c r="O292" s="2"/>
      <c r="P292" s="2"/>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row>
    <row r="293" spans="1:46" x14ac:dyDescent="0.35">
      <c r="A293" s="1"/>
      <c r="B293" s="1"/>
      <c r="C293" s="2"/>
      <c r="D293" s="2"/>
      <c r="E293" s="2"/>
      <c r="F293" s="2"/>
      <c r="G293" s="2"/>
      <c r="H293" s="2"/>
      <c r="I293" s="2"/>
      <c r="J293" s="2"/>
      <c r="K293" s="2"/>
      <c r="L293" s="2"/>
      <c r="M293" s="2"/>
      <c r="N293" s="2"/>
      <c r="O293" s="2"/>
      <c r="P293" s="2"/>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row>
    <row r="294" spans="1:46" x14ac:dyDescent="0.35">
      <c r="A294" s="1"/>
      <c r="B294" s="1"/>
      <c r="C294" s="2"/>
      <c r="D294" s="2"/>
      <c r="E294" s="2"/>
      <c r="F294" s="2"/>
      <c r="G294" s="2"/>
      <c r="H294" s="2"/>
      <c r="I294" s="2"/>
      <c r="J294" s="2"/>
      <c r="K294" s="2"/>
      <c r="L294" s="2"/>
      <c r="M294" s="2"/>
      <c r="N294" s="2"/>
      <c r="O294" s="2"/>
      <c r="P294" s="2"/>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row>
    <row r="295" spans="1:46" x14ac:dyDescent="0.35">
      <c r="A295" s="1"/>
      <c r="B295" s="1"/>
      <c r="C295" s="2"/>
      <c r="D295" s="2"/>
      <c r="E295" s="2"/>
      <c r="F295" s="2"/>
      <c r="G295" s="2"/>
      <c r="H295" s="2"/>
      <c r="I295" s="2"/>
      <c r="J295" s="2"/>
      <c r="K295" s="2"/>
      <c r="L295" s="2"/>
      <c r="M295" s="2"/>
      <c r="N295" s="2"/>
      <c r="O295" s="2"/>
      <c r="P295" s="2"/>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row>
    <row r="296" spans="1:46" x14ac:dyDescent="0.35">
      <c r="A296" s="1"/>
      <c r="B296" s="1"/>
      <c r="C296" s="2"/>
      <c r="D296" s="2"/>
      <c r="E296" s="2"/>
      <c r="F296" s="2"/>
      <c r="G296" s="2"/>
      <c r="H296" s="2"/>
      <c r="I296" s="2"/>
      <c r="J296" s="2"/>
      <c r="K296" s="2"/>
      <c r="L296" s="2"/>
      <c r="M296" s="2"/>
      <c r="N296" s="2"/>
      <c r="O296" s="2"/>
      <c r="P296" s="2"/>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row>
    <row r="297" spans="1:46" x14ac:dyDescent="0.35">
      <c r="A297" s="1"/>
      <c r="B297" s="1"/>
      <c r="C297" s="2"/>
      <c r="D297" s="2"/>
      <c r="E297" s="2"/>
      <c r="F297" s="2"/>
      <c r="G297" s="2"/>
      <c r="H297" s="2"/>
      <c r="I297" s="2"/>
      <c r="J297" s="2"/>
      <c r="K297" s="2"/>
      <c r="L297" s="2"/>
      <c r="M297" s="2"/>
      <c r="N297" s="2"/>
      <c r="O297" s="2"/>
      <c r="P297" s="2"/>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row>
    <row r="298" spans="1:46" x14ac:dyDescent="0.35">
      <c r="A298" s="1"/>
      <c r="B298" s="1"/>
      <c r="C298" s="2"/>
      <c r="D298" s="2"/>
      <c r="E298" s="2"/>
      <c r="F298" s="2"/>
      <c r="G298" s="2"/>
      <c r="H298" s="2"/>
      <c r="I298" s="2"/>
      <c r="J298" s="2"/>
      <c r="K298" s="2"/>
      <c r="L298" s="2"/>
      <c r="M298" s="2"/>
      <c r="N298" s="2"/>
      <c r="O298" s="2"/>
      <c r="P298" s="2"/>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row>
    <row r="299" spans="1:46" x14ac:dyDescent="0.35">
      <c r="A299" s="1"/>
      <c r="B299" s="1"/>
      <c r="C299" s="2"/>
      <c r="D299" s="2"/>
      <c r="E299" s="2"/>
      <c r="F299" s="2"/>
      <c r="G299" s="2"/>
      <c r="H299" s="2"/>
      <c r="I299" s="2"/>
      <c r="J299" s="2"/>
      <c r="K299" s="2"/>
      <c r="L299" s="2"/>
      <c r="M299" s="2"/>
      <c r="N299" s="2"/>
      <c r="O299" s="2"/>
      <c r="P299" s="2"/>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row>
    <row r="300" spans="1:46" x14ac:dyDescent="0.35">
      <c r="A300" s="1"/>
      <c r="B300" s="1"/>
      <c r="C300" s="2"/>
      <c r="D300" s="2"/>
      <c r="E300" s="2"/>
      <c r="F300" s="2"/>
      <c r="G300" s="2"/>
      <c r="H300" s="2"/>
      <c r="I300" s="2"/>
      <c r="J300" s="2"/>
      <c r="K300" s="2"/>
      <c r="L300" s="2"/>
      <c r="M300" s="2"/>
      <c r="N300" s="2"/>
      <c r="O300" s="2"/>
      <c r="P300" s="2"/>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row>
    <row r="301" spans="1:46" x14ac:dyDescent="0.35">
      <c r="A301" s="1"/>
      <c r="B301" s="1"/>
      <c r="C301" s="2"/>
      <c r="D301" s="2"/>
      <c r="E301" s="2"/>
      <c r="F301" s="2"/>
      <c r="G301" s="2"/>
      <c r="H301" s="2"/>
      <c r="I301" s="2"/>
      <c r="J301" s="2"/>
      <c r="K301" s="2"/>
      <c r="L301" s="2"/>
      <c r="M301" s="2"/>
      <c r="N301" s="2"/>
      <c r="O301" s="2"/>
      <c r="P301" s="2"/>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row>
    <row r="302" spans="1:46" x14ac:dyDescent="0.35">
      <c r="A302" s="1"/>
      <c r="B302" s="1"/>
      <c r="C302" s="2"/>
      <c r="D302" s="2"/>
      <c r="E302" s="2"/>
      <c r="F302" s="2"/>
      <c r="G302" s="2"/>
      <c r="H302" s="2"/>
      <c r="I302" s="2"/>
      <c r="J302" s="2"/>
      <c r="K302" s="2"/>
      <c r="L302" s="2"/>
      <c r="M302" s="2"/>
      <c r="N302" s="2"/>
      <c r="O302" s="2"/>
      <c r="P302" s="2"/>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row>
    <row r="303" spans="1:46" x14ac:dyDescent="0.35">
      <c r="A303" s="1"/>
      <c r="B303" s="1"/>
      <c r="C303" s="2"/>
      <c r="D303" s="2"/>
      <c r="E303" s="2"/>
      <c r="F303" s="2"/>
      <c r="G303" s="2"/>
      <c r="H303" s="2"/>
      <c r="I303" s="2"/>
      <c r="J303" s="2"/>
      <c r="K303" s="2"/>
      <c r="L303" s="2"/>
      <c r="M303" s="2"/>
      <c r="N303" s="2"/>
      <c r="O303" s="2"/>
      <c r="P303" s="2"/>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row>
    <row r="304" spans="1:46" x14ac:dyDescent="0.35">
      <c r="A304" s="1"/>
      <c r="B304" s="1"/>
      <c r="C304" s="2"/>
      <c r="D304" s="2"/>
      <c r="E304" s="2"/>
      <c r="F304" s="2"/>
      <c r="G304" s="2"/>
      <c r="H304" s="2"/>
      <c r="I304" s="2"/>
      <c r="J304" s="2"/>
      <c r="K304" s="2"/>
      <c r="L304" s="2"/>
      <c r="M304" s="2"/>
      <c r="N304" s="2"/>
      <c r="O304" s="2"/>
      <c r="P304" s="2"/>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row>
    <row r="305" spans="1:46" x14ac:dyDescent="0.35">
      <c r="A305" s="1"/>
      <c r="B305" s="1"/>
      <c r="C305" s="2"/>
      <c r="D305" s="2"/>
      <c r="E305" s="2"/>
      <c r="F305" s="2"/>
      <c r="G305" s="2"/>
      <c r="H305" s="2"/>
      <c r="I305" s="2"/>
      <c r="J305" s="2"/>
      <c r="K305" s="2"/>
      <c r="L305" s="2"/>
      <c r="M305" s="2"/>
      <c r="N305" s="2"/>
      <c r="O305" s="2"/>
      <c r="P305" s="2"/>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row>
    <row r="306" spans="1:46" x14ac:dyDescent="0.35">
      <c r="A306" s="1"/>
      <c r="B306" s="1"/>
      <c r="C306" s="2"/>
      <c r="D306" s="2"/>
      <c r="E306" s="2"/>
      <c r="F306" s="2"/>
      <c r="G306" s="2"/>
      <c r="H306" s="2"/>
      <c r="I306" s="2"/>
      <c r="J306" s="2"/>
      <c r="K306" s="2"/>
      <c r="L306" s="2"/>
      <c r="M306" s="2"/>
      <c r="N306" s="2"/>
      <c r="O306" s="2"/>
      <c r="P306" s="2"/>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row>
    <row r="307" spans="1:46" x14ac:dyDescent="0.35">
      <c r="A307" s="1"/>
      <c r="B307" s="1"/>
      <c r="C307" s="2"/>
      <c r="D307" s="2"/>
      <c r="E307" s="2"/>
      <c r="F307" s="2"/>
      <c r="G307" s="2"/>
      <c r="H307" s="2"/>
      <c r="I307" s="2"/>
      <c r="J307" s="2"/>
      <c r="K307" s="2"/>
      <c r="L307" s="2"/>
      <c r="M307" s="2"/>
      <c r="N307" s="2"/>
      <c r="O307" s="2"/>
      <c r="P307" s="2"/>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row>
  </sheetData>
  <conditionalFormatting sqref="B8:O9">
    <cfRule type="cellIs" dxfId="31" priority="8" operator="equal">
      <formula>0</formula>
    </cfRule>
  </conditionalFormatting>
  <conditionalFormatting sqref="C106:J106">
    <cfRule type="cellIs" dxfId="30" priority="11" operator="equal">
      <formula>0</formula>
    </cfRule>
  </conditionalFormatting>
  <conditionalFormatting sqref="C108:J118">
    <cfRule type="cellIs" dxfId="29" priority="7" operator="equal">
      <formula>0</formula>
    </cfRule>
  </conditionalFormatting>
  <conditionalFormatting sqref="K106:M118">
    <cfRule type="cellIs" dxfId="28" priority="1" operator="equal">
      <formula>0</formula>
    </cfRule>
  </conditionalFormatting>
  <conditionalFormatting sqref="N108:O108">
    <cfRule type="cellIs" dxfId="27" priority="15" operator="equal">
      <formula>0</formula>
    </cfRule>
  </conditionalFormatting>
  <conditionalFormatting sqref="O8:O118 B10:N11 B12:O104 K86:S99">
    <cfRule type="cellIs" dxfId="26" priority="18" operator="equal">
      <formula>0</formula>
    </cfRule>
  </conditionalFormatting>
  <pageMargins left="0.511811024" right="0.511811024" top="0.78740157499999996" bottom="0.78740157499999996" header="0.31496062000000002" footer="0.31496062000000002"/>
  <pageSetup orientation="portrait" r:id="rId1"/>
  <ignoredErrors>
    <ignoredError sqref="C34:G34 C39:G39 H36:J36 I34:J34 E26:J26 F77:J77 C10:J10 C111 C26:D26"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83BF7-2CF8-43E6-A676-0078DE42D546}">
  <sheetPr codeName="Planilha3"/>
  <dimension ref="A1:AW207"/>
  <sheetViews>
    <sheetView showGridLines="0" zoomScaleNormal="100" workbookViewId="0"/>
  </sheetViews>
  <sheetFormatPr defaultColWidth="9" defaultRowHeight="14.5" outlineLevelRow="1" x14ac:dyDescent="0.35"/>
  <cols>
    <col min="1" max="1" width="15.81640625" style="3" customWidth="1"/>
    <col min="2" max="2" width="48" style="3" bestFit="1" customWidth="1"/>
    <col min="3" max="13" width="14" style="8" customWidth="1"/>
    <col min="14" max="15" width="9.81640625" style="8" bestFit="1" customWidth="1"/>
    <col min="16" max="16" width="22.54296875" style="8" bestFit="1" customWidth="1"/>
    <col min="17" max="17" width="19.26953125" style="8" bestFit="1" customWidth="1"/>
    <col min="18" max="18" width="10.1796875" style="8" bestFit="1" customWidth="1"/>
    <col min="19" max="19" width="9.81640625" style="8" bestFit="1" customWidth="1"/>
    <col min="20" max="20" width="11.7265625" style="3" bestFit="1" customWidth="1"/>
    <col min="21" max="21" width="15.1796875" style="3" bestFit="1" customWidth="1"/>
    <col min="22" max="16384" width="9" style="3"/>
  </cols>
  <sheetData>
    <row r="1" spans="1:49" ht="18" customHeight="1" x14ac:dyDescent="0.35">
      <c r="A1" s="1"/>
      <c r="B1" s="1"/>
      <c r="C1" s="2"/>
      <c r="D1" s="2"/>
      <c r="E1" s="2"/>
      <c r="F1" s="2"/>
      <c r="G1" s="2"/>
      <c r="H1" s="2"/>
      <c r="I1" s="2"/>
      <c r="J1" s="2"/>
      <c r="K1" s="2"/>
      <c r="L1" s="2"/>
      <c r="M1" s="2"/>
      <c r="N1" s="2"/>
      <c r="O1" s="2"/>
      <c r="P1" s="2"/>
      <c r="Q1" s="2"/>
      <c r="R1" s="2"/>
      <c r="S1" s="2"/>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ht="18" customHeight="1" x14ac:dyDescent="0.35">
      <c r="A2" s="1"/>
      <c r="B2" s="1"/>
      <c r="C2" s="2"/>
      <c r="D2" s="2"/>
      <c r="E2" s="2"/>
      <c r="F2" s="2"/>
      <c r="G2" s="2"/>
      <c r="H2" s="2"/>
      <c r="I2" s="2"/>
      <c r="J2" s="2"/>
      <c r="K2" s="2"/>
      <c r="L2" s="2"/>
      <c r="M2" s="2"/>
      <c r="N2" s="2"/>
      <c r="O2" s="2"/>
      <c r="P2" s="2"/>
      <c r="Q2" s="2"/>
      <c r="R2" s="2"/>
      <c r="S2" s="2"/>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18" customHeight="1" x14ac:dyDescent="0.35">
      <c r="A3" s="1"/>
      <c r="B3" s="1"/>
      <c r="C3" s="2"/>
      <c r="D3" s="2"/>
      <c r="E3" s="2"/>
      <c r="F3" s="2"/>
      <c r="G3" s="2"/>
      <c r="H3" s="2"/>
      <c r="I3" s="2"/>
      <c r="J3" s="2"/>
      <c r="K3" s="2"/>
      <c r="L3" s="2"/>
      <c r="M3" s="2"/>
      <c r="N3" s="2"/>
      <c r="O3" s="2"/>
      <c r="P3" s="2"/>
      <c r="Q3" s="2"/>
      <c r="R3" s="2"/>
      <c r="S3" s="2"/>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18" customHeight="1" x14ac:dyDescent="0.35">
      <c r="A4" s="1"/>
      <c r="B4" s="1"/>
      <c r="C4" s="2"/>
      <c r="D4" s="2"/>
      <c r="E4" s="2"/>
      <c r="F4" s="2"/>
      <c r="G4" s="2"/>
      <c r="H4" s="2"/>
      <c r="I4" s="2"/>
      <c r="J4" s="2"/>
      <c r="K4" s="2"/>
      <c r="L4" s="2"/>
      <c r="M4" s="2"/>
      <c r="N4" s="2"/>
      <c r="O4" s="2"/>
      <c r="P4" s="2"/>
      <c r="Q4" s="2"/>
      <c r="R4" s="2"/>
      <c r="S4" s="2"/>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18" customHeight="1" x14ac:dyDescent="0.35">
      <c r="A5" s="1"/>
      <c r="B5" s="1"/>
      <c r="C5" s="2"/>
      <c r="D5" s="2"/>
      <c r="E5" s="2"/>
      <c r="F5" s="2"/>
      <c r="G5" s="2"/>
      <c r="H5" s="2"/>
      <c r="I5" s="2"/>
      <c r="J5" s="2"/>
      <c r="K5" s="2"/>
      <c r="L5" s="2"/>
      <c r="M5" s="2"/>
      <c r="N5" s="2"/>
      <c r="O5" s="2"/>
      <c r="P5" s="2"/>
      <c r="Q5" s="2"/>
      <c r="R5" s="2"/>
      <c r="S5" s="2"/>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18" customHeight="1" x14ac:dyDescent="0.35">
      <c r="A6" s="1"/>
      <c r="B6" s="1"/>
      <c r="C6" s="2"/>
      <c r="D6" s="2"/>
      <c r="E6" s="2"/>
      <c r="F6" s="2"/>
      <c r="G6" s="2"/>
      <c r="H6" s="2"/>
      <c r="I6" s="2"/>
      <c r="J6" s="2"/>
      <c r="K6" s="2"/>
      <c r="L6" s="2"/>
      <c r="M6" s="2"/>
      <c r="N6" s="2"/>
      <c r="O6" s="2"/>
      <c r="P6" s="2"/>
      <c r="Q6" s="2"/>
      <c r="R6" s="2"/>
      <c r="S6" s="2"/>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row>
    <row r="7" spans="1:49" ht="18" customHeight="1" thickBot="1" x14ac:dyDescent="0.4">
      <c r="A7" s="1"/>
      <c r="B7" s="1"/>
      <c r="C7" s="17">
        <v>2016</v>
      </c>
      <c r="D7" s="17">
        <f t="shared" ref="D7:J7" si="0">C7+1</f>
        <v>2017</v>
      </c>
      <c r="E7" s="17">
        <f t="shared" si="0"/>
        <v>2018</v>
      </c>
      <c r="F7" s="17">
        <f t="shared" si="0"/>
        <v>2019</v>
      </c>
      <c r="G7" s="17">
        <f t="shared" si="0"/>
        <v>2020</v>
      </c>
      <c r="H7" s="17">
        <f t="shared" si="0"/>
        <v>2021</v>
      </c>
      <c r="I7" s="17">
        <f t="shared" si="0"/>
        <v>2022</v>
      </c>
      <c r="J7" s="17">
        <f t="shared" si="0"/>
        <v>2023</v>
      </c>
      <c r="K7" s="2"/>
      <c r="L7" s="2"/>
      <c r="M7" s="2"/>
      <c r="N7" s="2"/>
      <c r="O7" s="2"/>
      <c r="P7" s="2"/>
      <c r="Q7" s="2"/>
      <c r="R7" s="2"/>
      <c r="S7" s="2"/>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row>
    <row r="8" spans="1:49" ht="18" customHeight="1" x14ac:dyDescent="0.35">
      <c r="A8" s="1"/>
      <c r="B8" s="53" t="s">
        <v>10</v>
      </c>
      <c r="C8" s="52">
        <f>SUM(C9,C21)</f>
        <v>3631176</v>
      </c>
      <c r="D8" s="52">
        <f t="shared" ref="D8:J8" si="1">SUM(D9,D21)</f>
        <v>3394299</v>
      </c>
      <c r="E8" s="52">
        <f t="shared" si="1"/>
        <v>3478337</v>
      </c>
      <c r="F8" s="52">
        <f t="shared" si="1"/>
        <v>6037092</v>
      </c>
      <c r="G8" s="52">
        <f t="shared" si="1"/>
        <v>7309647</v>
      </c>
      <c r="H8" s="52">
        <f t="shared" si="1"/>
        <v>8664717</v>
      </c>
      <c r="I8" s="52">
        <f t="shared" si="1"/>
        <v>9629518</v>
      </c>
      <c r="J8" s="52">
        <f t="shared" si="1"/>
        <v>9417637</v>
      </c>
      <c r="K8" s="29"/>
      <c r="L8" s="29"/>
      <c r="M8" s="29"/>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row>
    <row r="9" spans="1:49" ht="18" customHeight="1" x14ac:dyDescent="0.35">
      <c r="A9" s="1"/>
      <c r="B9" s="20" t="s">
        <v>2</v>
      </c>
      <c r="C9" s="29">
        <f>SUM(C10:C11,C14:C17)</f>
        <v>2144643</v>
      </c>
      <c r="D9" s="29">
        <f t="shared" ref="D9:J9" si="2">SUM(D10:D11,D14:D17)</f>
        <v>2125587</v>
      </c>
      <c r="E9" s="29">
        <f t="shared" si="2"/>
        <v>2195569</v>
      </c>
      <c r="F9" s="29">
        <f t="shared" si="2"/>
        <v>2999575</v>
      </c>
      <c r="G9" s="29">
        <f t="shared" si="2"/>
        <v>3519978</v>
      </c>
      <c r="H9" s="29">
        <f t="shared" si="2"/>
        <v>3929358</v>
      </c>
      <c r="I9" s="29">
        <f t="shared" si="2"/>
        <v>4753223</v>
      </c>
      <c r="J9" s="29">
        <f t="shared" si="2"/>
        <v>4441842</v>
      </c>
      <c r="K9" s="29"/>
      <c r="L9" s="29"/>
      <c r="M9" s="29"/>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row>
    <row r="10" spans="1:49" ht="18" customHeight="1" x14ac:dyDescent="0.35">
      <c r="A10" s="1"/>
      <c r="B10" s="14" t="s">
        <v>9</v>
      </c>
      <c r="C10" s="26">
        <v>489705</v>
      </c>
      <c r="D10" s="26">
        <v>431759</v>
      </c>
      <c r="E10" s="26">
        <v>446006</v>
      </c>
      <c r="F10" s="26">
        <v>447109</v>
      </c>
      <c r="G10" s="26">
        <v>1509159</v>
      </c>
      <c r="H10" s="26">
        <v>1050251</v>
      </c>
      <c r="I10" s="26">
        <v>1674091</v>
      </c>
      <c r="J10" s="26">
        <v>1155588</v>
      </c>
      <c r="K10" s="26"/>
      <c r="L10" s="26"/>
      <c r="M10" s="26"/>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row>
    <row r="11" spans="1:49" ht="18" customHeight="1" x14ac:dyDescent="0.35">
      <c r="A11" s="1"/>
      <c r="B11" s="14" t="s">
        <v>3</v>
      </c>
      <c r="C11" s="26">
        <v>0</v>
      </c>
      <c r="D11" s="26">
        <v>0</v>
      </c>
      <c r="E11" s="26">
        <v>0</v>
      </c>
      <c r="F11" s="26">
        <v>0</v>
      </c>
      <c r="G11" s="26">
        <v>0</v>
      </c>
      <c r="H11" s="26">
        <v>0</v>
      </c>
      <c r="I11" s="26">
        <v>8735</v>
      </c>
      <c r="J11" s="26">
        <v>191587</v>
      </c>
      <c r="K11" s="26"/>
      <c r="L11" s="26"/>
      <c r="M11" s="26"/>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row>
    <row r="12" spans="1:49" ht="18" customHeight="1" x14ac:dyDescent="0.35">
      <c r="A12" s="1"/>
      <c r="B12" s="21" t="s">
        <v>5</v>
      </c>
      <c r="C12" s="30">
        <f t="array" ref="C12:J12">-(CMV+DESPESAS_OPERACIONAIS-DEPRECIACAO_E_AMORTIZACAO-DA_ARRENDAMENTO+IRPJ_CSLL)/24</f>
        <v>188447.20833333334</v>
      </c>
      <c r="D12" s="30">
        <v>191081.70833333334</v>
      </c>
      <c r="E12" s="30">
        <v>194035.91666666666</v>
      </c>
      <c r="F12" s="30">
        <v>175013.70833333334</v>
      </c>
      <c r="G12" s="30">
        <v>151476.5</v>
      </c>
      <c r="H12" s="30">
        <v>174072.83333333334</v>
      </c>
      <c r="I12" s="30">
        <v>217890.75</v>
      </c>
      <c r="J12" s="30">
        <v>232519.58333333334</v>
      </c>
      <c r="K12" s="30"/>
      <c r="L12" s="30"/>
      <c r="M12" s="30"/>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row>
    <row r="13" spans="1:49" ht="18" customHeight="1" x14ac:dyDescent="0.35">
      <c r="A13" s="1"/>
      <c r="B13" s="21" t="s">
        <v>4</v>
      </c>
      <c r="C13" s="30">
        <f>SUM(C10:C11)-SUM(C45,C49)</f>
        <v>-205496</v>
      </c>
      <c r="D13" s="30">
        <f t="shared" ref="D13:J13" si="3">SUM(D10:D11)-SUM(D45,D49)</f>
        <v>-548549</v>
      </c>
      <c r="E13" s="30">
        <f t="shared" si="3"/>
        <v>-265799</v>
      </c>
      <c r="F13" s="30">
        <f t="shared" si="3"/>
        <v>19699</v>
      </c>
      <c r="G13" s="30">
        <f t="shared" si="3"/>
        <v>693190</v>
      </c>
      <c r="H13" s="30">
        <f t="shared" si="3"/>
        <v>398334</v>
      </c>
      <c r="I13" s="30">
        <f t="shared" si="3"/>
        <v>379981</v>
      </c>
      <c r="J13" s="30">
        <f t="shared" si="3"/>
        <v>262445</v>
      </c>
      <c r="K13" s="30"/>
      <c r="L13" s="30"/>
      <c r="M13" s="30"/>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row>
    <row r="14" spans="1:49" ht="18" customHeight="1" x14ac:dyDescent="0.35">
      <c r="A14" s="1"/>
      <c r="B14" s="14" t="s">
        <v>6</v>
      </c>
      <c r="C14" s="26">
        <v>1013011</v>
      </c>
      <c r="D14" s="26">
        <v>1070690</v>
      </c>
      <c r="E14" s="26">
        <v>1142836</v>
      </c>
      <c r="F14" s="26">
        <v>1151484</v>
      </c>
      <c r="G14" s="26">
        <v>1063844</v>
      </c>
      <c r="H14" s="26">
        <v>1145336</v>
      </c>
      <c r="I14" s="26">
        <v>1278206</v>
      </c>
      <c r="J14" s="26">
        <v>1778421</v>
      </c>
      <c r="K14" s="26"/>
      <c r="L14" s="26"/>
      <c r="M14" s="26"/>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row>
    <row r="15" spans="1:49" ht="18" customHeight="1" x14ac:dyDescent="0.35">
      <c r="A15" s="1"/>
      <c r="B15" s="14" t="s">
        <v>7</v>
      </c>
      <c r="C15" s="26">
        <v>536579</v>
      </c>
      <c r="D15" s="26">
        <v>479427</v>
      </c>
      <c r="E15" s="26">
        <v>490614</v>
      </c>
      <c r="F15" s="26">
        <v>544717</v>
      </c>
      <c r="G15" s="26">
        <v>641020</v>
      </c>
      <c r="H15" s="26">
        <v>849269</v>
      </c>
      <c r="I15" s="26">
        <v>852033</v>
      </c>
      <c r="J15" s="26">
        <v>875155</v>
      </c>
      <c r="K15" s="26"/>
      <c r="L15" s="26"/>
      <c r="M15" s="26"/>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row>
    <row r="16" spans="1:49" ht="18" customHeight="1" x14ac:dyDescent="0.35">
      <c r="A16" s="1"/>
      <c r="B16" s="14" t="s">
        <v>8</v>
      </c>
      <c r="C16" s="26">
        <v>55725</v>
      </c>
      <c r="D16" s="26">
        <v>72877</v>
      </c>
      <c r="E16" s="26">
        <v>42847</v>
      </c>
      <c r="F16" s="26">
        <v>833649</v>
      </c>
      <c r="G16" s="26">
        <v>282660</v>
      </c>
      <c r="H16" s="26">
        <v>849115</v>
      </c>
      <c r="I16" s="26">
        <v>899433</v>
      </c>
      <c r="J16" s="26">
        <v>388451</v>
      </c>
      <c r="K16" s="26"/>
      <c r="L16" s="26"/>
      <c r="M16" s="26"/>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row>
    <row r="17" spans="1:49" ht="18" customHeight="1" x14ac:dyDescent="0.35">
      <c r="A17" s="1"/>
      <c r="B17" s="14" t="s">
        <v>90</v>
      </c>
      <c r="C17" s="26">
        <f>SUM(C18:C20)</f>
        <v>49623</v>
      </c>
      <c r="D17" s="26">
        <f t="shared" ref="D17:J17" si="4">SUM(D18:D20)</f>
        <v>70834</v>
      </c>
      <c r="E17" s="26">
        <f t="shared" si="4"/>
        <v>73266</v>
      </c>
      <c r="F17" s="26">
        <f t="shared" si="4"/>
        <v>22616</v>
      </c>
      <c r="G17" s="26">
        <f t="shared" si="4"/>
        <v>23295</v>
      </c>
      <c r="H17" s="26">
        <f t="shared" si="4"/>
        <v>35387</v>
      </c>
      <c r="I17" s="26">
        <f t="shared" si="4"/>
        <v>40725</v>
      </c>
      <c r="J17" s="26">
        <f t="shared" si="4"/>
        <v>52640</v>
      </c>
      <c r="K17" s="26"/>
      <c r="L17" s="26"/>
      <c r="M17" s="26"/>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row>
    <row r="18" spans="1:49" ht="18" hidden="1" customHeight="1" outlineLevel="1" x14ac:dyDescent="0.35">
      <c r="A18" s="1"/>
      <c r="B18" s="18" t="s">
        <v>91</v>
      </c>
      <c r="C18" s="26">
        <v>13393</v>
      </c>
      <c r="D18" s="26">
        <v>15968</v>
      </c>
      <c r="E18" s="26">
        <v>17940</v>
      </c>
      <c r="F18" s="26">
        <v>21609</v>
      </c>
      <c r="G18" s="26">
        <v>22933</v>
      </c>
      <c r="H18" s="26">
        <v>33348</v>
      </c>
      <c r="I18" s="26">
        <v>39259</v>
      </c>
      <c r="J18" s="26">
        <v>51827</v>
      </c>
      <c r="K18" s="26"/>
      <c r="L18" s="26"/>
      <c r="M18" s="26"/>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row>
    <row r="19" spans="1:49" ht="18" hidden="1" customHeight="1" outlineLevel="1" x14ac:dyDescent="0.35">
      <c r="A19" s="1"/>
      <c r="B19" s="18" t="s">
        <v>92</v>
      </c>
      <c r="C19" s="26">
        <v>35463</v>
      </c>
      <c r="D19" s="26">
        <v>53835</v>
      </c>
      <c r="E19" s="26">
        <v>55067</v>
      </c>
      <c r="F19" s="26">
        <v>651</v>
      </c>
      <c r="G19" s="26">
        <v>238</v>
      </c>
      <c r="H19" s="26">
        <v>1535</v>
      </c>
      <c r="I19" s="26">
        <v>1371</v>
      </c>
      <c r="J19" s="26">
        <v>721</v>
      </c>
      <c r="K19" s="26"/>
      <c r="L19" s="26"/>
      <c r="M19" s="26"/>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row>
    <row r="20" spans="1:49" ht="18" hidden="1" customHeight="1" outlineLevel="1" x14ac:dyDescent="0.35">
      <c r="A20" s="1"/>
      <c r="B20" s="18" t="s">
        <v>89</v>
      </c>
      <c r="C20" s="26">
        <v>767</v>
      </c>
      <c r="D20" s="26">
        <v>1031</v>
      </c>
      <c r="E20" s="26">
        <v>259</v>
      </c>
      <c r="F20" s="26">
        <v>356</v>
      </c>
      <c r="G20" s="26">
        <v>124</v>
      </c>
      <c r="H20" s="26">
        <v>504</v>
      </c>
      <c r="I20" s="26">
        <v>95</v>
      </c>
      <c r="J20" s="26">
        <v>92</v>
      </c>
      <c r="K20" s="26"/>
      <c r="L20" s="26"/>
      <c r="M20" s="26"/>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row>
    <row r="21" spans="1:49" ht="18" customHeight="1" collapsed="1" x14ac:dyDescent="0.35">
      <c r="A21" s="1"/>
      <c r="B21" s="20" t="s">
        <v>73</v>
      </c>
      <c r="C21" s="29">
        <f>SUM(C22,C28,C32)</f>
        <v>1486533</v>
      </c>
      <c r="D21" s="29">
        <f t="shared" ref="D21:J21" si="5">SUM(D22,D28,D32)</f>
        <v>1268712</v>
      </c>
      <c r="E21" s="29">
        <f t="shared" si="5"/>
        <v>1282768</v>
      </c>
      <c r="F21" s="29">
        <f t="shared" si="5"/>
        <v>3037517</v>
      </c>
      <c r="G21" s="29">
        <f t="shared" si="5"/>
        <v>3789669</v>
      </c>
      <c r="H21" s="29">
        <f t="shared" si="5"/>
        <v>4735359</v>
      </c>
      <c r="I21" s="29">
        <f t="shared" si="5"/>
        <v>4876295</v>
      </c>
      <c r="J21" s="29">
        <f t="shared" si="5"/>
        <v>4975795</v>
      </c>
      <c r="K21" s="29"/>
      <c r="L21" s="29"/>
      <c r="M21" s="29"/>
      <c r="N21" s="6"/>
      <c r="O21" s="7"/>
      <c r="P21" s="9"/>
      <c r="Q21" s="7"/>
      <c r="R21" s="7"/>
      <c r="S21" s="7"/>
      <c r="T21" s="4"/>
      <c r="U21" s="4"/>
      <c r="V21" s="1"/>
      <c r="W21" s="1"/>
      <c r="X21" s="5"/>
      <c r="Y21" s="5"/>
      <c r="Z21" s="5"/>
      <c r="AA21" s="1"/>
      <c r="AB21" s="1"/>
      <c r="AC21" s="1"/>
      <c r="AD21" s="1"/>
      <c r="AE21" s="1"/>
      <c r="AF21" s="1"/>
      <c r="AG21" s="1"/>
      <c r="AH21" s="1"/>
      <c r="AI21" s="1"/>
      <c r="AJ21" s="1"/>
      <c r="AK21" s="1"/>
      <c r="AL21" s="1"/>
      <c r="AM21" s="1"/>
      <c r="AN21" s="1"/>
      <c r="AO21" s="1"/>
      <c r="AP21" s="1"/>
      <c r="AQ21" s="1"/>
      <c r="AR21" s="1"/>
      <c r="AS21" s="1"/>
      <c r="AT21" s="1"/>
      <c r="AU21" s="1"/>
      <c r="AV21" s="1"/>
      <c r="AW21" s="1"/>
    </row>
    <row r="22" spans="1:49" ht="18" customHeight="1" x14ac:dyDescent="0.35">
      <c r="A22" s="1"/>
      <c r="B22" s="14" t="s">
        <v>12</v>
      </c>
      <c r="C22" s="26">
        <f>SUM(C23:C24)</f>
        <v>546237</v>
      </c>
      <c r="D22" s="26">
        <f t="shared" ref="D22:J22" si="6">SUM(D23:D24)</f>
        <v>457050</v>
      </c>
      <c r="E22" s="26">
        <f t="shared" si="6"/>
        <v>448943</v>
      </c>
      <c r="F22" s="26">
        <f t="shared" si="6"/>
        <v>624950</v>
      </c>
      <c r="G22" s="26">
        <f t="shared" si="6"/>
        <v>1313046</v>
      </c>
      <c r="H22" s="26">
        <f t="shared" si="6"/>
        <v>1283105</v>
      </c>
      <c r="I22" s="26">
        <f t="shared" si="6"/>
        <v>1424238</v>
      </c>
      <c r="J22" s="26">
        <f t="shared" si="6"/>
        <v>1784685</v>
      </c>
      <c r="K22" s="26"/>
      <c r="L22" s="26"/>
      <c r="M22" s="26"/>
      <c r="N22" s="6"/>
      <c r="O22" s="7"/>
      <c r="P22" s="7"/>
      <c r="Q22" s="7"/>
      <c r="R22" s="7"/>
      <c r="S22" s="7"/>
      <c r="T22" s="4"/>
      <c r="U22" s="4"/>
      <c r="V22" s="1"/>
      <c r="W22" s="1"/>
      <c r="X22" s="5"/>
      <c r="Y22" s="5"/>
      <c r="Z22" s="5"/>
      <c r="AA22" s="1"/>
      <c r="AB22" s="1"/>
      <c r="AC22" s="1"/>
      <c r="AD22" s="1"/>
      <c r="AE22" s="1"/>
      <c r="AF22" s="1"/>
      <c r="AG22" s="1"/>
      <c r="AH22" s="1"/>
      <c r="AI22" s="1"/>
      <c r="AJ22" s="1"/>
      <c r="AK22" s="1"/>
      <c r="AL22" s="1"/>
      <c r="AM22" s="1"/>
      <c r="AN22" s="1"/>
      <c r="AO22" s="1"/>
      <c r="AP22" s="1"/>
      <c r="AQ22" s="1"/>
      <c r="AR22" s="1"/>
      <c r="AS22" s="1"/>
      <c r="AT22" s="1"/>
      <c r="AU22" s="1"/>
      <c r="AV22" s="1"/>
      <c r="AW22" s="1"/>
    </row>
    <row r="23" spans="1:49" ht="18" customHeight="1" x14ac:dyDescent="0.35">
      <c r="A23" s="1"/>
      <c r="B23" s="18" t="s">
        <v>13</v>
      </c>
      <c r="C23" s="26">
        <v>440059</v>
      </c>
      <c r="D23" s="26">
        <v>398811</v>
      </c>
      <c r="E23" s="26">
        <v>370643</v>
      </c>
      <c r="F23" s="26">
        <v>0</v>
      </c>
      <c r="G23" s="26">
        <v>71492</v>
      </c>
      <c r="H23" s="26">
        <v>378803</v>
      </c>
      <c r="I23" s="26">
        <v>423049</v>
      </c>
      <c r="J23" s="26">
        <v>535959</v>
      </c>
      <c r="K23" s="30"/>
      <c r="L23" s="30"/>
      <c r="M23" s="30"/>
      <c r="N23" s="7"/>
      <c r="O23" s="7"/>
      <c r="P23" s="7"/>
      <c r="Q23" s="7"/>
      <c r="R23" s="7"/>
      <c r="S23" s="7"/>
      <c r="T23" s="4"/>
      <c r="U23" s="4"/>
      <c r="V23" s="1"/>
      <c r="W23" s="1"/>
      <c r="X23" s="5"/>
      <c r="Y23" s="5"/>
      <c r="Z23" s="5"/>
      <c r="AA23" s="1"/>
      <c r="AB23" s="1"/>
      <c r="AC23" s="1"/>
      <c r="AD23" s="1"/>
      <c r="AE23" s="1"/>
      <c r="AF23" s="1"/>
      <c r="AG23" s="1"/>
      <c r="AH23" s="1"/>
      <c r="AI23" s="1"/>
      <c r="AJ23" s="1"/>
      <c r="AK23" s="1"/>
      <c r="AL23" s="1"/>
      <c r="AM23" s="1"/>
      <c r="AN23" s="1"/>
      <c r="AO23" s="1"/>
      <c r="AP23" s="1"/>
      <c r="AQ23" s="1"/>
      <c r="AR23" s="1"/>
      <c r="AS23" s="1"/>
      <c r="AT23" s="1"/>
      <c r="AU23" s="1"/>
      <c r="AV23" s="1"/>
      <c r="AW23" s="1"/>
    </row>
    <row r="24" spans="1:49" ht="18" customHeight="1" x14ac:dyDescent="0.35">
      <c r="A24" s="1"/>
      <c r="B24" s="18" t="s">
        <v>14</v>
      </c>
      <c r="C24" s="26">
        <f>SUM(C25:C27)</f>
        <v>106178</v>
      </c>
      <c r="D24" s="26">
        <f t="shared" ref="D24:J24" si="7">SUM(D25:D27)</f>
        <v>58239</v>
      </c>
      <c r="E24" s="26">
        <f t="shared" si="7"/>
        <v>78300</v>
      </c>
      <c r="F24" s="26">
        <f t="shared" si="7"/>
        <v>624950</v>
      </c>
      <c r="G24" s="26">
        <f t="shared" si="7"/>
        <v>1241554</v>
      </c>
      <c r="H24" s="26">
        <f t="shared" si="7"/>
        <v>904302</v>
      </c>
      <c r="I24" s="26">
        <f t="shared" si="7"/>
        <v>1001189</v>
      </c>
      <c r="J24" s="26">
        <f t="shared" si="7"/>
        <v>1248726</v>
      </c>
      <c r="K24" s="30"/>
      <c r="L24" s="30"/>
      <c r="M24" s="30"/>
      <c r="N24" s="7"/>
      <c r="O24" s="7"/>
      <c r="P24" s="7"/>
      <c r="Q24" s="7"/>
      <c r="R24" s="7"/>
      <c r="S24" s="7"/>
      <c r="T24" s="4"/>
      <c r="U24" s="4"/>
      <c r="V24" s="1"/>
      <c r="W24" s="1"/>
      <c r="X24" s="5"/>
      <c r="Y24" s="5"/>
      <c r="Z24" s="5"/>
      <c r="AA24" s="1"/>
      <c r="AB24" s="1"/>
      <c r="AC24" s="1"/>
      <c r="AD24" s="1"/>
      <c r="AE24" s="1"/>
      <c r="AF24" s="1"/>
      <c r="AG24" s="1"/>
      <c r="AH24" s="1"/>
      <c r="AI24" s="1"/>
      <c r="AJ24" s="1"/>
      <c r="AK24" s="1"/>
      <c r="AL24" s="1"/>
      <c r="AM24" s="1"/>
      <c r="AN24" s="1"/>
      <c r="AO24" s="1"/>
      <c r="AP24" s="1"/>
      <c r="AQ24" s="1"/>
      <c r="AR24" s="1"/>
      <c r="AS24" s="1"/>
      <c r="AT24" s="1"/>
      <c r="AU24" s="1"/>
      <c r="AV24" s="1"/>
      <c r="AW24" s="1"/>
    </row>
    <row r="25" spans="1:49" ht="18" hidden="1" customHeight="1" outlineLevel="1" x14ac:dyDescent="0.35">
      <c r="A25" s="1"/>
      <c r="B25" s="54" t="s">
        <v>8</v>
      </c>
      <c r="C25" s="26">
        <v>1727</v>
      </c>
      <c r="D25" s="26">
        <v>2396</v>
      </c>
      <c r="E25" s="26">
        <v>7649</v>
      </c>
      <c r="F25" s="26">
        <v>521136</v>
      </c>
      <c r="G25" s="26">
        <v>1157357</v>
      </c>
      <c r="H25" s="26">
        <v>839778</v>
      </c>
      <c r="I25" s="26">
        <v>937371</v>
      </c>
      <c r="J25" s="26">
        <v>1197839</v>
      </c>
      <c r="K25" s="26"/>
      <c r="L25" s="26"/>
      <c r="M25" s="26"/>
      <c r="N25" s="7"/>
      <c r="O25" s="7"/>
      <c r="P25" s="7"/>
      <c r="Q25" s="7"/>
      <c r="R25" s="7"/>
      <c r="S25" s="7"/>
      <c r="T25" s="4"/>
      <c r="U25" s="4"/>
      <c r="V25" s="1"/>
      <c r="W25" s="1"/>
      <c r="X25" s="5"/>
      <c r="Y25" s="5"/>
      <c r="Z25" s="5"/>
      <c r="AA25" s="1"/>
      <c r="AB25" s="1"/>
      <c r="AC25" s="1"/>
      <c r="AD25" s="1"/>
      <c r="AE25" s="1"/>
      <c r="AF25" s="1"/>
      <c r="AG25" s="1"/>
      <c r="AH25" s="1"/>
      <c r="AI25" s="1"/>
      <c r="AJ25" s="1"/>
      <c r="AK25" s="1"/>
      <c r="AL25" s="1"/>
      <c r="AM25" s="1"/>
      <c r="AN25" s="1"/>
      <c r="AO25" s="1"/>
      <c r="AP25" s="1"/>
      <c r="AQ25" s="1"/>
      <c r="AR25" s="1"/>
      <c r="AS25" s="1"/>
      <c r="AT25" s="1"/>
      <c r="AU25" s="1"/>
      <c r="AV25" s="1"/>
      <c r="AW25" s="1"/>
    </row>
    <row r="26" spans="1:49" ht="18" hidden="1" customHeight="1" outlineLevel="1" x14ac:dyDescent="0.35">
      <c r="A26" s="1"/>
      <c r="B26" s="54" t="s">
        <v>93</v>
      </c>
      <c r="C26" s="26">
        <v>50474</v>
      </c>
      <c r="D26" s="26">
        <v>52280</v>
      </c>
      <c r="E26" s="26">
        <v>67748</v>
      </c>
      <c r="F26" s="26">
        <v>101836</v>
      </c>
      <c r="G26" s="26">
        <v>81513</v>
      </c>
      <c r="H26" s="26">
        <v>61937</v>
      </c>
      <c r="I26" s="26">
        <v>61290</v>
      </c>
      <c r="J26" s="26">
        <v>47668</v>
      </c>
      <c r="K26" s="26"/>
      <c r="L26" s="26"/>
      <c r="M26" s="26"/>
      <c r="N26" s="7"/>
      <c r="O26" s="7"/>
      <c r="P26" s="7"/>
      <c r="Q26" s="7"/>
      <c r="R26" s="7"/>
      <c r="S26" s="7"/>
      <c r="T26" s="4"/>
      <c r="U26" s="4"/>
      <c r="V26" s="1"/>
      <c r="W26" s="1"/>
      <c r="X26" s="5"/>
      <c r="Y26" s="5"/>
      <c r="Z26" s="5"/>
      <c r="AA26" s="1"/>
      <c r="AB26" s="1"/>
      <c r="AC26" s="1"/>
      <c r="AD26" s="1"/>
      <c r="AE26" s="1"/>
      <c r="AF26" s="1"/>
      <c r="AG26" s="1"/>
      <c r="AH26" s="1"/>
      <c r="AI26" s="1"/>
      <c r="AJ26" s="1"/>
      <c r="AK26" s="1"/>
      <c r="AL26" s="1"/>
      <c r="AM26" s="1"/>
      <c r="AN26" s="1"/>
      <c r="AO26" s="1"/>
      <c r="AP26" s="1"/>
      <c r="AQ26" s="1"/>
      <c r="AR26" s="1"/>
      <c r="AS26" s="1"/>
      <c r="AT26" s="1"/>
      <c r="AU26" s="1"/>
      <c r="AV26" s="1"/>
      <c r="AW26" s="1"/>
    </row>
    <row r="27" spans="1:49" ht="18" hidden="1" customHeight="1" outlineLevel="1" x14ac:dyDescent="0.35">
      <c r="A27" s="1"/>
      <c r="B27" s="54" t="s">
        <v>91</v>
      </c>
      <c r="C27" s="26">
        <v>53977</v>
      </c>
      <c r="D27" s="26">
        <v>3563</v>
      </c>
      <c r="E27" s="26">
        <v>2903</v>
      </c>
      <c r="F27" s="26">
        <v>1978</v>
      </c>
      <c r="G27" s="26">
        <v>2684</v>
      </c>
      <c r="H27" s="26">
        <v>2587</v>
      </c>
      <c r="I27" s="26">
        <v>2528</v>
      </c>
      <c r="J27" s="26">
        <v>3219</v>
      </c>
      <c r="K27" s="26"/>
      <c r="L27" s="26"/>
      <c r="M27" s="26"/>
      <c r="N27" s="2"/>
      <c r="O27" s="2"/>
      <c r="P27" s="2"/>
      <c r="Q27" s="2"/>
      <c r="R27" s="2"/>
      <c r="S27" s="2"/>
      <c r="T27" s="1"/>
      <c r="U27" s="1"/>
      <c r="V27" s="1"/>
      <c r="W27" s="1"/>
      <c r="X27" s="5"/>
      <c r="Y27" s="5"/>
      <c r="Z27" s="5"/>
      <c r="AA27" s="1"/>
      <c r="AB27" s="1"/>
      <c r="AC27" s="1"/>
      <c r="AD27" s="1"/>
      <c r="AE27" s="1"/>
      <c r="AF27" s="1"/>
      <c r="AG27" s="1"/>
      <c r="AH27" s="1"/>
      <c r="AI27" s="1"/>
      <c r="AJ27" s="1"/>
      <c r="AK27" s="1"/>
      <c r="AL27" s="1"/>
      <c r="AM27" s="1"/>
      <c r="AN27" s="1"/>
      <c r="AO27" s="1"/>
      <c r="AP27" s="1"/>
      <c r="AQ27" s="1"/>
      <c r="AR27" s="1"/>
      <c r="AS27" s="1"/>
      <c r="AT27" s="1"/>
      <c r="AU27" s="1"/>
      <c r="AV27" s="1"/>
      <c r="AW27" s="1"/>
    </row>
    <row r="28" spans="1:49" ht="18" customHeight="1" collapsed="1" x14ac:dyDescent="0.35">
      <c r="A28" s="1"/>
      <c r="B28" s="14" t="s">
        <v>15</v>
      </c>
      <c r="C28" s="26">
        <f>SUM(C29:C31)</f>
        <v>780251</v>
      </c>
      <c r="D28" s="26">
        <f t="shared" ref="D28:J28" si="8">SUM(D29:D31)</f>
        <v>612572</v>
      </c>
      <c r="E28" s="26">
        <f t="shared" si="8"/>
        <v>636927</v>
      </c>
      <c r="F28" s="26">
        <f t="shared" si="8"/>
        <v>2225227</v>
      </c>
      <c r="G28" s="26">
        <f t="shared" si="8"/>
        <v>2181663</v>
      </c>
      <c r="H28" s="26">
        <f t="shared" si="8"/>
        <v>2476559</v>
      </c>
      <c r="I28" s="26">
        <f t="shared" si="8"/>
        <v>2430992</v>
      </c>
      <c r="J28" s="26">
        <f t="shared" si="8"/>
        <v>2226346</v>
      </c>
      <c r="K28" s="26"/>
      <c r="L28" s="26"/>
      <c r="M28" s="26"/>
      <c r="N28" s="2"/>
      <c r="O28" s="2"/>
      <c r="P28" s="2"/>
      <c r="Q28" s="2"/>
      <c r="R28" s="2"/>
      <c r="S28" s="2"/>
      <c r="T28" s="1"/>
      <c r="U28" s="1"/>
      <c r="V28" s="1"/>
      <c r="W28" s="1"/>
      <c r="X28" s="5"/>
      <c r="Y28" s="5"/>
      <c r="Z28" s="5"/>
      <c r="AA28" s="1"/>
      <c r="AB28" s="1"/>
      <c r="AC28" s="1"/>
      <c r="AD28" s="1"/>
      <c r="AE28" s="1"/>
      <c r="AF28" s="1"/>
      <c r="AG28" s="1"/>
      <c r="AH28" s="1"/>
      <c r="AI28" s="1"/>
      <c r="AJ28" s="1"/>
      <c r="AK28" s="1"/>
      <c r="AL28" s="1"/>
      <c r="AM28" s="1"/>
      <c r="AN28" s="1"/>
      <c r="AO28" s="1"/>
      <c r="AP28" s="1"/>
      <c r="AQ28" s="1"/>
      <c r="AR28" s="1"/>
      <c r="AS28" s="1"/>
      <c r="AT28" s="1"/>
      <c r="AU28" s="1"/>
      <c r="AV28" s="1"/>
      <c r="AW28" s="1"/>
    </row>
    <row r="29" spans="1:49" ht="18" hidden="1" customHeight="1" outlineLevel="1" x14ac:dyDescent="0.35">
      <c r="A29" s="1"/>
      <c r="B29" s="18" t="s">
        <v>94</v>
      </c>
      <c r="C29" s="26">
        <v>705570</v>
      </c>
      <c r="D29" s="26">
        <v>588325</v>
      </c>
      <c r="E29" s="26">
        <v>607408</v>
      </c>
      <c r="F29" s="26">
        <v>665906</v>
      </c>
      <c r="G29" s="26">
        <v>651814</v>
      </c>
      <c r="H29" s="26">
        <v>817978</v>
      </c>
      <c r="I29" s="26">
        <v>850758</v>
      </c>
      <c r="J29" s="26">
        <v>763401</v>
      </c>
      <c r="K29" s="26"/>
      <c r="L29" s="26"/>
      <c r="M29" s="26"/>
      <c r="N29" s="2"/>
      <c r="O29" s="2"/>
      <c r="P29" s="2"/>
      <c r="Q29" s="2"/>
      <c r="R29" s="2"/>
      <c r="S29" s="2"/>
      <c r="T29" s="1"/>
      <c r="U29" s="1"/>
      <c r="V29" s="1"/>
      <c r="W29" s="1"/>
      <c r="X29" s="5"/>
      <c r="Y29" s="5"/>
      <c r="Z29" s="5"/>
      <c r="AA29" s="1"/>
      <c r="AB29" s="1"/>
      <c r="AC29" s="1"/>
      <c r="AD29" s="1"/>
      <c r="AE29" s="1"/>
      <c r="AF29" s="1"/>
      <c r="AG29" s="1"/>
      <c r="AH29" s="1"/>
      <c r="AI29" s="1"/>
      <c r="AJ29" s="1"/>
      <c r="AK29" s="1"/>
      <c r="AL29" s="1"/>
      <c r="AM29" s="1"/>
      <c r="AN29" s="1"/>
      <c r="AO29" s="1"/>
      <c r="AP29" s="1"/>
      <c r="AQ29" s="1"/>
      <c r="AR29" s="1"/>
      <c r="AS29" s="1"/>
      <c r="AT29" s="1"/>
      <c r="AU29" s="1"/>
      <c r="AV29" s="1"/>
      <c r="AW29" s="1"/>
    </row>
    <row r="30" spans="1:49" ht="18" hidden="1" customHeight="1" outlineLevel="1" x14ac:dyDescent="0.35">
      <c r="A30" s="1"/>
      <c r="B30" s="18" t="s">
        <v>95</v>
      </c>
      <c r="C30" s="26">
        <v>4736</v>
      </c>
      <c r="D30" s="26">
        <v>4473</v>
      </c>
      <c r="E30" s="26">
        <v>4210</v>
      </c>
      <c r="F30" s="26">
        <v>1507815</v>
      </c>
      <c r="G30" s="26">
        <v>1514438</v>
      </c>
      <c r="H30" s="26">
        <v>1640290</v>
      </c>
      <c r="I30" s="26">
        <v>1565447</v>
      </c>
      <c r="J30" s="26">
        <v>1462945</v>
      </c>
      <c r="K30" s="26"/>
      <c r="L30" s="26"/>
      <c r="M30" s="26"/>
      <c r="N30" s="2"/>
      <c r="O30" s="2"/>
      <c r="P30" s="2"/>
      <c r="Q30" s="2"/>
      <c r="R30" s="2"/>
      <c r="S30" s="2"/>
      <c r="T30" s="1"/>
      <c r="U30" s="1"/>
      <c r="V30" s="1"/>
      <c r="W30" s="1"/>
      <c r="X30" s="5"/>
      <c r="Y30" s="5"/>
      <c r="Z30" s="5"/>
      <c r="AA30" s="1"/>
      <c r="AB30" s="1"/>
      <c r="AC30" s="1"/>
      <c r="AD30" s="1"/>
      <c r="AE30" s="1"/>
      <c r="AF30" s="1"/>
      <c r="AG30" s="1"/>
      <c r="AH30" s="1"/>
      <c r="AI30" s="1"/>
      <c r="AJ30" s="1"/>
      <c r="AK30" s="1"/>
      <c r="AL30" s="1"/>
      <c r="AM30" s="1"/>
      <c r="AN30" s="1"/>
      <c r="AO30" s="1"/>
      <c r="AP30" s="1"/>
      <c r="AQ30" s="1"/>
      <c r="AR30" s="1"/>
      <c r="AS30" s="1"/>
      <c r="AT30" s="1"/>
      <c r="AU30" s="1"/>
      <c r="AV30" s="1"/>
      <c r="AW30" s="1"/>
    </row>
    <row r="31" spans="1:49" ht="18" hidden="1" customHeight="1" outlineLevel="1" x14ac:dyDescent="0.35">
      <c r="A31" s="1"/>
      <c r="B31" s="18" t="s">
        <v>96</v>
      </c>
      <c r="C31" s="26">
        <v>69945</v>
      </c>
      <c r="D31" s="26">
        <v>19774</v>
      </c>
      <c r="E31" s="26">
        <v>25309</v>
      </c>
      <c r="F31" s="26">
        <v>51506</v>
      </c>
      <c r="G31" s="26">
        <v>15411</v>
      </c>
      <c r="H31" s="26">
        <v>18291</v>
      </c>
      <c r="I31" s="26">
        <v>14787</v>
      </c>
      <c r="J31" s="26">
        <v>0</v>
      </c>
      <c r="K31" s="26"/>
      <c r="L31" s="26"/>
      <c r="M31" s="26"/>
      <c r="N31" s="2"/>
      <c r="O31" s="2"/>
      <c r="P31" s="2"/>
      <c r="Q31" s="2"/>
      <c r="R31" s="2"/>
      <c r="S31" s="2"/>
      <c r="T31" s="1"/>
      <c r="U31" s="1"/>
      <c r="V31" s="1"/>
      <c r="W31" s="1"/>
      <c r="X31" s="5"/>
      <c r="Y31" s="5"/>
      <c r="Z31" s="5"/>
      <c r="AA31" s="1"/>
      <c r="AB31" s="1"/>
      <c r="AC31" s="1"/>
      <c r="AD31" s="1"/>
      <c r="AE31" s="1"/>
      <c r="AF31" s="1"/>
      <c r="AG31" s="1"/>
      <c r="AH31" s="1"/>
      <c r="AI31" s="1"/>
      <c r="AJ31" s="1"/>
      <c r="AK31" s="1"/>
      <c r="AL31" s="1"/>
      <c r="AM31" s="1"/>
      <c r="AN31" s="1"/>
      <c r="AO31" s="1"/>
      <c r="AP31" s="1"/>
      <c r="AQ31" s="1"/>
      <c r="AR31" s="1"/>
      <c r="AS31" s="1"/>
      <c r="AT31" s="1"/>
      <c r="AU31" s="1"/>
      <c r="AV31" s="1"/>
      <c r="AW31" s="1"/>
    </row>
    <row r="32" spans="1:49" ht="18" customHeight="1" collapsed="1" x14ac:dyDescent="0.35">
      <c r="A32" s="1"/>
      <c r="B32" s="14" t="s">
        <v>16</v>
      </c>
      <c r="C32" s="26">
        <v>160045</v>
      </c>
      <c r="D32" s="26">
        <v>199090</v>
      </c>
      <c r="E32" s="26">
        <v>196898</v>
      </c>
      <c r="F32" s="26">
        <v>187340</v>
      </c>
      <c r="G32" s="26">
        <v>294960</v>
      </c>
      <c r="H32" s="26">
        <v>975695</v>
      </c>
      <c r="I32" s="26">
        <v>1021065</v>
      </c>
      <c r="J32" s="26">
        <v>964764</v>
      </c>
      <c r="K32" s="26"/>
      <c r="L32" s="26"/>
      <c r="M32" s="26"/>
      <c r="N32" s="2"/>
      <c r="O32" s="2"/>
      <c r="P32" s="2"/>
      <c r="Q32" s="2"/>
      <c r="R32" s="2"/>
      <c r="S32" s="2"/>
      <c r="T32" s="1"/>
      <c r="U32" s="1"/>
      <c r="V32" s="1"/>
      <c r="W32" s="1"/>
      <c r="X32" s="5"/>
      <c r="Y32" s="5"/>
      <c r="Z32" s="5"/>
      <c r="AA32" s="1"/>
      <c r="AB32" s="1"/>
      <c r="AC32" s="1"/>
      <c r="AD32" s="1"/>
      <c r="AE32" s="1"/>
      <c r="AF32" s="1"/>
      <c r="AG32" s="1"/>
      <c r="AH32" s="1"/>
      <c r="AI32" s="1"/>
      <c r="AJ32" s="1"/>
      <c r="AK32" s="1"/>
      <c r="AL32" s="1"/>
      <c r="AM32" s="1"/>
      <c r="AN32" s="1"/>
      <c r="AO32" s="1"/>
      <c r="AP32" s="1"/>
      <c r="AQ32" s="1"/>
      <c r="AR32" s="1"/>
      <c r="AS32" s="1"/>
      <c r="AT32" s="1"/>
      <c r="AU32" s="1"/>
      <c r="AV32" s="1"/>
      <c r="AW32" s="1"/>
    </row>
    <row r="33" spans="1:49" ht="18" customHeight="1" collapsed="1" x14ac:dyDescent="0.35">
      <c r="A33" s="1"/>
      <c r="B33" s="11" t="s">
        <v>11</v>
      </c>
      <c r="C33" s="29">
        <f>SUM(C34,C54)</f>
        <v>2804888</v>
      </c>
      <c r="D33" s="29">
        <f>SUM(D34,D54)</f>
        <v>2387786</v>
      </c>
      <c r="E33" s="29">
        <f t="shared" ref="E33:J33" si="9">SUM(E34,E54)</f>
        <v>2363298</v>
      </c>
      <c r="F33" s="29">
        <f t="shared" si="9"/>
        <v>3297522</v>
      </c>
      <c r="G33" s="29">
        <f t="shared" si="9"/>
        <v>4654847</v>
      </c>
      <c r="H33" s="29">
        <f t="shared" si="9"/>
        <v>5677657</v>
      </c>
      <c r="I33" s="29">
        <f t="shared" si="9"/>
        <v>6629398</v>
      </c>
      <c r="J33" s="29">
        <f t="shared" si="9"/>
        <v>6404937</v>
      </c>
      <c r="K33" s="29"/>
      <c r="L33" s="29"/>
      <c r="M33" s="29"/>
      <c r="N33" s="2"/>
      <c r="O33" s="2"/>
      <c r="P33" s="2"/>
      <c r="Q33" s="2"/>
      <c r="R33" s="2"/>
      <c r="S33" s="2"/>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row>
    <row r="34" spans="1:49" ht="18" customHeight="1" x14ac:dyDescent="0.35">
      <c r="A34" s="1"/>
      <c r="B34" s="20" t="s">
        <v>17</v>
      </c>
      <c r="C34" s="29">
        <f>SUM(C35:C36,C40,C45,C48)</f>
        <v>1746409</v>
      </c>
      <c r="D34" s="29">
        <f t="shared" ref="D34:J34" si="10">SUM(D35:D36,D40,D45,D48)</f>
        <v>2022855</v>
      </c>
      <c r="E34" s="29">
        <f t="shared" si="10"/>
        <v>1750068</v>
      </c>
      <c r="F34" s="29">
        <f t="shared" si="10"/>
        <v>1751077</v>
      </c>
      <c r="G34" s="29">
        <f t="shared" si="10"/>
        <v>2251711</v>
      </c>
      <c r="H34" s="29">
        <f t="shared" si="10"/>
        <v>2415055</v>
      </c>
      <c r="I34" s="29">
        <f t="shared" si="10"/>
        <v>3679731</v>
      </c>
      <c r="J34" s="29">
        <f t="shared" si="10"/>
        <v>3200131</v>
      </c>
      <c r="K34" s="29"/>
      <c r="L34" s="29"/>
      <c r="M34" s="29"/>
      <c r="N34" s="2"/>
      <c r="O34" s="2"/>
      <c r="P34" s="2"/>
      <c r="Q34" s="2"/>
      <c r="R34" s="2"/>
      <c r="S34" s="2"/>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row>
    <row r="35" spans="1:49" ht="18" customHeight="1" x14ac:dyDescent="0.35">
      <c r="A35" s="1"/>
      <c r="B35" s="14" t="s">
        <v>18</v>
      </c>
      <c r="C35" s="26">
        <v>104360</v>
      </c>
      <c r="D35" s="26">
        <v>136866</v>
      </c>
      <c r="E35" s="26">
        <v>130922</v>
      </c>
      <c r="F35" s="26">
        <v>128548</v>
      </c>
      <c r="G35" s="26">
        <v>136126</v>
      </c>
      <c r="H35" s="26">
        <v>155470</v>
      </c>
      <c r="I35" s="26">
        <v>198732</v>
      </c>
      <c r="J35" s="26">
        <v>231364</v>
      </c>
      <c r="K35" s="26"/>
      <c r="L35" s="26"/>
      <c r="M35" s="26"/>
      <c r="N35" s="2"/>
      <c r="O35" s="2"/>
      <c r="P35" s="2"/>
      <c r="Q35" s="2"/>
      <c r="R35" s="2"/>
      <c r="S35" s="2"/>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row>
    <row r="36" spans="1:49" ht="18" customHeight="1" collapsed="1" x14ac:dyDescent="0.35">
      <c r="A36" s="1"/>
      <c r="B36" s="14" t="s">
        <v>19</v>
      </c>
      <c r="C36" s="26">
        <f>SUM(C37:C39)</f>
        <v>609005</v>
      </c>
      <c r="D36" s="26">
        <f t="shared" ref="D36:J36" si="11">SUM(D37:D39)</f>
        <v>686193</v>
      </c>
      <c r="E36" s="26">
        <f t="shared" si="11"/>
        <v>678846</v>
      </c>
      <c r="F36" s="26">
        <f t="shared" si="11"/>
        <v>804013</v>
      </c>
      <c r="G36" s="26">
        <f t="shared" si="11"/>
        <v>1158914</v>
      </c>
      <c r="H36" s="26">
        <f t="shared" si="11"/>
        <v>1400736</v>
      </c>
      <c r="I36" s="26">
        <f t="shared" si="11"/>
        <v>1864653</v>
      </c>
      <c r="J36" s="26">
        <f t="shared" si="11"/>
        <v>1553934</v>
      </c>
      <c r="K36" s="26"/>
      <c r="L36" s="26"/>
      <c r="M36" s="26"/>
      <c r="N36" s="2"/>
      <c r="O36" s="2"/>
      <c r="P36" s="2"/>
      <c r="Q36" s="2"/>
      <c r="R36" s="2"/>
      <c r="S36" s="2"/>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row>
    <row r="37" spans="1:49" ht="18" hidden="1" customHeight="1" outlineLevel="1" x14ac:dyDescent="0.35">
      <c r="A37" s="1"/>
      <c r="B37" s="18" t="s">
        <v>97</v>
      </c>
      <c r="C37" s="26">
        <v>607021</v>
      </c>
      <c r="D37" s="26">
        <v>681917</v>
      </c>
      <c r="E37" s="26">
        <v>677120</v>
      </c>
      <c r="F37" s="26">
        <v>803651</v>
      </c>
      <c r="G37" s="26">
        <v>1151964</v>
      </c>
      <c r="H37" s="26">
        <v>1400736</v>
      </c>
      <c r="I37" s="26">
        <v>1864653</v>
      </c>
      <c r="J37" s="26">
        <v>1189225</v>
      </c>
      <c r="K37" s="26"/>
      <c r="L37" s="26"/>
      <c r="M37" s="26"/>
      <c r="N37" s="2"/>
      <c r="O37" s="2"/>
      <c r="P37" s="2"/>
      <c r="Q37" s="2"/>
      <c r="R37" s="2"/>
      <c r="S37" s="2"/>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row>
    <row r="38" spans="1:49" ht="18" hidden="1" customHeight="1" outlineLevel="1" x14ac:dyDescent="0.35">
      <c r="A38" s="1"/>
      <c r="B38" s="18" t="s">
        <v>98</v>
      </c>
      <c r="C38" s="26">
        <v>1984</v>
      </c>
      <c r="D38" s="26">
        <v>4276</v>
      </c>
      <c r="E38" s="26">
        <v>1726</v>
      </c>
      <c r="F38" s="26">
        <v>362</v>
      </c>
      <c r="G38" s="26">
        <v>6950</v>
      </c>
      <c r="H38" s="26">
        <v>0</v>
      </c>
      <c r="I38" s="26">
        <v>0</v>
      </c>
      <c r="J38" s="26">
        <v>0</v>
      </c>
      <c r="K38" s="26"/>
      <c r="L38" s="26"/>
      <c r="M38" s="26"/>
      <c r="N38" s="2"/>
      <c r="O38" s="2"/>
      <c r="P38" s="2"/>
      <c r="Q38" s="2"/>
      <c r="R38" s="2"/>
      <c r="S38" s="2"/>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row>
    <row r="39" spans="1:49" ht="18" hidden="1" customHeight="1" outlineLevel="1" x14ac:dyDescent="0.35">
      <c r="A39" s="1"/>
      <c r="B39" s="18" t="s">
        <v>99</v>
      </c>
      <c r="C39" s="26">
        <v>0</v>
      </c>
      <c r="D39" s="26">
        <v>0</v>
      </c>
      <c r="E39" s="26">
        <v>0</v>
      </c>
      <c r="F39" s="26">
        <v>0</v>
      </c>
      <c r="G39" s="26">
        <v>0</v>
      </c>
      <c r="H39" s="26">
        <v>0</v>
      </c>
      <c r="I39" s="26">
        <v>0</v>
      </c>
      <c r="J39" s="26">
        <v>364709</v>
      </c>
      <c r="K39" s="26"/>
      <c r="L39" s="26"/>
      <c r="M39" s="26"/>
      <c r="N39" s="2"/>
      <c r="O39" s="2"/>
      <c r="P39" s="2"/>
      <c r="Q39" s="2"/>
      <c r="R39" s="2"/>
      <c r="S39" s="2"/>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row>
    <row r="40" spans="1:49" ht="18" customHeight="1" collapsed="1" x14ac:dyDescent="0.35">
      <c r="A40" s="1"/>
      <c r="B40" s="14" t="s">
        <v>20</v>
      </c>
      <c r="C40" s="26">
        <f>SUM(C41,C44)</f>
        <v>173590</v>
      </c>
      <c r="D40" s="26">
        <f t="shared" ref="D40:J40" si="12">SUM(D41,D44)</f>
        <v>184184</v>
      </c>
      <c r="E40" s="26">
        <f t="shared" si="12"/>
        <v>187495</v>
      </c>
      <c r="F40" s="26">
        <f t="shared" si="12"/>
        <v>219282</v>
      </c>
      <c r="G40" s="26">
        <f t="shared" si="12"/>
        <v>107276</v>
      </c>
      <c r="H40" s="26">
        <f t="shared" si="12"/>
        <v>176103</v>
      </c>
      <c r="I40" s="26">
        <f t="shared" si="12"/>
        <v>248041</v>
      </c>
      <c r="J40" s="26">
        <f t="shared" si="12"/>
        <v>287249</v>
      </c>
      <c r="K40" s="26"/>
      <c r="L40" s="26"/>
      <c r="M40" s="26"/>
      <c r="N40" s="2"/>
      <c r="O40" s="2"/>
      <c r="P40" s="2"/>
      <c r="Q40" s="2"/>
      <c r="R40" s="2"/>
      <c r="S40" s="2"/>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row>
    <row r="41" spans="1:49" ht="18" hidden="1" customHeight="1" outlineLevel="1" x14ac:dyDescent="0.35">
      <c r="A41" s="1"/>
      <c r="B41" s="18" t="s">
        <v>100</v>
      </c>
      <c r="C41" s="26">
        <f>SUM(C42:C43)</f>
        <v>63072</v>
      </c>
      <c r="D41" s="26">
        <f t="shared" ref="D41:J41" si="13">SUM(D42:D43)</f>
        <v>70911</v>
      </c>
      <c r="E41" s="26">
        <f t="shared" si="13"/>
        <v>70110</v>
      </c>
      <c r="F41" s="26">
        <f t="shared" si="13"/>
        <v>116803</v>
      </c>
      <c r="G41" s="26">
        <f t="shared" si="13"/>
        <v>7751</v>
      </c>
      <c r="H41" s="26">
        <f t="shared" si="13"/>
        <v>463</v>
      </c>
      <c r="I41" s="26">
        <f t="shared" si="13"/>
        <v>248041</v>
      </c>
      <c r="J41" s="26">
        <f t="shared" si="13"/>
        <v>287249</v>
      </c>
      <c r="K41" s="26"/>
      <c r="L41" s="26"/>
      <c r="M41" s="26"/>
      <c r="N41" s="2"/>
      <c r="O41" s="2"/>
      <c r="P41" s="2"/>
      <c r="Q41" s="2"/>
      <c r="R41" s="2"/>
      <c r="S41" s="2"/>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row>
    <row r="42" spans="1:49" ht="18" hidden="1" customHeight="1" outlineLevel="1" x14ac:dyDescent="0.35">
      <c r="A42" s="1"/>
      <c r="B42" s="54" t="s">
        <v>54</v>
      </c>
      <c r="C42" s="26">
        <v>348</v>
      </c>
      <c r="D42" s="26">
        <v>3014</v>
      </c>
      <c r="E42" s="26">
        <v>26566</v>
      </c>
      <c r="F42" s="26">
        <v>35672</v>
      </c>
      <c r="G42" s="26">
        <v>321</v>
      </c>
      <c r="H42" s="26">
        <v>463</v>
      </c>
      <c r="I42" s="26">
        <v>0</v>
      </c>
      <c r="J42" s="26">
        <v>0</v>
      </c>
      <c r="K42" s="26"/>
      <c r="L42" s="26"/>
      <c r="M42" s="26"/>
      <c r="N42" s="2"/>
      <c r="O42" s="2"/>
      <c r="P42" s="2"/>
      <c r="Q42" s="2"/>
      <c r="R42" s="2"/>
      <c r="S42" s="2"/>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row>
    <row r="43" spans="1:49" ht="18" hidden="1" customHeight="1" outlineLevel="1" x14ac:dyDescent="0.35">
      <c r="A43" s="1"/>
      <c r="B43" s="54" t="s">
        <v>47</v>
      </c>
      <c r="C43" s="26">
        <v>62724</v>
      </c>
      <c r="D43" s="26">
        <v>67897</v>
      </c>
      <c r="E43" s="26">
        <v>43544</v>
      </c>
      <c r="F43" s="26">
        <v>81131</v>
      </c>
      <c r="G43" s="26">
        <v>7430</v>
      </c>
      <c r="H43" s="26">
        <v>0</v>
      </c>
      <c r="I43" s="26">
        <v>248041</v>
      </c>
      <c r="J43" s="26">
        <v>287249</v>
      </c>
      <c r="K43" s="26"/>
      <c r="L43" s="26"/>
      <c r="M43" s="26"/>
      <c r="N43" s="2"/>
      <c r="O43" s="2"/>
      <c r="P43" s="2"/>
      <c r="Q43" s="2"/>
      <c r="R43" s="2"/>
      <c r="S43" s="2"/>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row>
    <row r="44" spans="1:49" ht="18" hidden="1" customHeight="1" outlineLevel="1" x14ac:dyDescent="0.35">
      <c r="A44" s="1"/>
      <c r="B44" s="18" t="s">
        <v>101</v>
      </c>
      <c r="C44" s="26">
        <v>110518</v>
      </c>
      <c r="D44" s="26">
        <v>113273</v>
      </c>
      <c r="E44" s="26">
        <v>117385</v>
      </c>
      <c r="F44" s="26">
        <v>102479</v>
      </c>
      <c r="G44" s="26">
        <v>99525</v>
      </c>
      <c r="H44" s="26">
        <v>175640</v>
      </c>
      <c r="I44" s="26">
        <v>0</v>
      </c>
      <c r="J44" s="26">
        <v>0</v>
      </c>
      <c r="K44" s="26"/>
      <c r="L44" s="26"/>
      <c r="M44" s="26"/>
      <c r="N44" s="2"/>
      <c r="O44" s="2"/>
      <c r="P44" s="2"/>
      <c r="Q44" s="2"/>
      <c r="R44" s="2"/>
      <c r="S44" s="2"/>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row>
    <row r="45" spans="1:49" ht="18" customHeight="1" collapsed="1" x14ac:dyDescent="0.35">
      <c r="A45" s="1"/>
      <c r="B45" s="14" t="s">
        <v>21</v>
      </c>
      <c r="C45" s="26">
        <f>SUM(C46:C47)</f>
        <v>287</v>
      </c>
      <c r="D45" s="26">
        <f t="shared" ref="D45:J45" si="14">SUM(D46:D47)</f>
        <v>257</v>
      </c>
      <c r="E45" s="26">
        <f t="shared" si="14"/>
        <v>230</v>
      </c>
      <c r="F45" s="26">
        <f t="shared" si="14"/>
        <v>357891</v>
      </c>
      <c r="G45" s="26">
        <f t="shared" si="14"/>
        <v>781203</v>
      </c>
      <c r="H45" s="26">
        <f t="shared" si="14"/>
        <v>592901</v>
      </c>
      <c r="I45" s="26">
        <f t="shared" si="14"/>
        <v>1259253</v>
      </c>
      <c r="J45" s="26">
        <f t="shared" si="14"/>
        <v>1013069</v>
      </c>
      <c r="K45" s="26"/>
      <c r="L45" s="26"/>
      <c r="M45" s="26"/>
      <c r="N45" s="2"/>
      <c r="O45" s="2"/>
      <c r="P45" s="2"/>
      <c r="Q45" s="2"/>
      <c r="R45" s="2"/>
      <c r="S45" s="2"/>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row>
    <row r="46" spans="1:49" ht="18" hidden="1" customHeight="1" outlineLevel="1" x14ac:dyDescent="0.35">
      <c r="A46" s="1"/>
      <c r="B46" s="18" t="s">
        <v>102</v>
      </c>
      <c r="C46" s="26">
        <v>0</v>
      </c>
      <c r="D46" s="26">
        <v>0</v>
      </c>
      <c r="E46" s="26">
        <v>0</v>
      </c>
      <c r="F46" s="26">
        <v>0</v>
      </c>
      <c r="G46" s="26">
        <v>390600</v>
      </c>
      <c r="H46" s="26">
        <v>121178</v>
      </c>
      <c r="I46" s="26">
        <v>746015</v>
      </c>
      <c r="J46" s="26">
        <v>511427</v>
      </c>
      <c r="K46" s="26"/>
      <c r="L46" s="26"/>
      <c r="M46" s="26"/>
      <c r="N46" s="2"/>
      <c r="O46" s="2"/>
      <c r="P46" s="2"/>
      <c r="Q46" s="2"/>
      <c r="R46" s="2"/>
      <c r="S46" s="2"/>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row>
    <row r="47" spans="1:49" ht="18" hidden="1" customHeight="1" outlineLevel="1" x14ac:dyDescent="0.35">
      <c r="A47" s="1"/>
      <c r="B47" s="18" t="s">
        <v>103</v>
      </c>
      <c r="C47" s="26">
        <v>287</v>
      </c>
      <c r="D47" s="26">
        <v>257</v>
      </c>
      <c r="E47" s="26">
        <v>230</v>
      </c>
      <c r="F47" s="26">
        <v>357891</v>
      </c>
      <c r="G47" s="26">
        <v>390603</v>
      </c>
      <c r="H47" s="26">
        <v>471723</v>
      </c>
      <c r="I47" s="26">
        <v>513238</v>
      </c>
      <c r="J47" s="26">
        <v>501642</v>
      </c>
      <c r="K47" s="26"/>
      <c r="L47" s="26"/>
      <c r="M47" s="26"/>
      <c r="N47" s="2"/>
      <c r="O47" s="2"/>
      <c r="P47" s="2"/>
      <c r="Q47" s="2"/>
      <c r="R47" s="2"/>
      <c r="S47" s="2"/>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row>
    <row r="48" spans="1:49" ht="18" customHeight="1" collapsed="1" x14ac:dyDescent="0.35">
      <c r="A48" s="1"/>
      <c r="B48" s="14" t="s">
        <v>22</v>
      </c>
      <c r="C48" s="26">
        <f>SUM(C49:C50)</f>
        <v>859167</v>
      </c>
      <c r="D48" s="26">
        <f t="shared" ref="D48:J48" si="15">SUM(D49:D50)</f>
        <v>1015355</v>
      </c>
      <c r="E48" s="26">
        <f t="shared" si="15"/>
        <v>752575</v>
      </c>
      <c r="F48" s="26">
        <f t="shared" si="15"/>
        <v>241343</v>
      </c>
      <c r="G48" s="26">
        <f t="shared" si="15"/>
        <v>68192</v>
      </c>
      <c r="H48" s="26">
        <f t="shared" si="15"/>
        <v>89845</v>
      </c>
      <c r="I48" s="26">
        <f t="shared" si="15"/>
        <v>109052</v>
      </c>
      <c r="J48" s="26">
        <f t="shared" si="15"/>
        <v>114515</v>
      </c>
      <c r="K48" s="26"/>
      <c r="L48" s="26"/>
      <c r="M48" s="26"/>
      <c r="N48" s="2"/>
      <c r="O48" s="2"/>
      <c r="P48" s="2"/>
      <c r="Q48" s="2"/>
      <c r="R48" s="2"/>
      <c r="S48" s="2"/>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row>
    <row r="49" spans="1:49" ht="18" hidden="1" customHeight="1" outlineLevel="1" x14ac:dyDescent="0.35">
      <c r="A49" s="1"/>
      <c r="B49" s="18" t="s">
        <v>104</v>
      </c>
      <c r="C49" s="26">
        <v>694914</v>
      </c>
      <c r="D49" s="26">
        <v>980051</v>
      </c>
      <c r="E49" s="26">
        <v>711575</v>
      </c>
      <c r="F49" s="26">
        <v>69519</v>
      </c>
      <c r="G49" s="26">
        <v>34766</v>
      </c>
      <c r="H49" s="26">
        <v>59016</v>
      </c>
      <c r="I49" s="26">
        <v>43592</v>
      </c>
      <c r="J49" s="26">
        <v>71661</v>
      </c>
      <c r="K49" s="26"/>
      <c r="L49" s="26"/>
      <c r="M49" s="26"/>
      <c r="N49" s="2"/>
      <c r="O49" s="2"/>
      <c r="P49" s="2"/>
      <c r="Q49" s="2"/>
      <c r="R49" s="2"/>
      <c r="S49" s="2"/>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row>
    <row r="50" spans="1:49" ht="18" hidden="1" customHeight="1" outlineLevel="1" x14ac:dyDescent="0.35">
      <c r="A50" s="1"/>
      <c r="B50" s="18" t="s">
        <v>47</v>
      </c>
      <c r="C50" s="26">
        <f>SUM(C51:C53)</f>
        <v>164253</v>
      </c>
      <c r="D50" s="26">
        <f t="shared" ref="D50:J50" si="16">SUM(D51:D53)</f>
        <v>35304</v>
      </c>
      <c r="E50" s="26">
        <f t="shared" si="16"/>
        <v>41000</v>
      </c>
      <c r="F50" s="26">
        <f t="shared" si="16"/>
        <v>171824</v>
      </c>
      <c r="G50" s="26">
        <f t="shared" si="16"/>
        <v>33426</v>
      </c>
      <c r="H50" s="26">
        <f t="shared" si="16"/>
        <v>30829</v>
      </c>
      <c r="I50" s="26">
        <f t="shared" si="16"/>
        <v>65460</v>
      </c>
      <c r="J50" s="26">
        <f t="shared" si="16"/>
        <v>42854</v>
      </c>
      <c r="K50" s="26"/>
      <c r="L50" s="26"/>
      <c r="M50" s="26"/>
      <c r="N50" s="2"/>
      <c r="O50" s="2"/>
      <c r="P50" s="2"/>
      <c r="Q50" s="2"/>
      <c r="R50" s="2"/>
      <c r="S50" s="2"/>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row>
    <row r="51" spans="1:49" ht="18" hidden="1" customHeight="1" outlineLevel="1" x14ac:dyDescent="0.35">
      <c r="A51" s="1"/>
      <c r="B51" s="54" t="s">
        <v>105</v>
      </c>
      <c r="C51" s="26">
        <v>128302</v>
      </c>
      <c r="D51" s="26">
        <v>74</v>
      </c>
      <c r="E51" s="26">
        <v>403</v>
      </c>
      <c r="F51" s="26">
        <v>3938</v>
      </c>
      <c r="G51" s="26">
        <v>6788</v>
      </c>
      <c r="H51" s="26">
        <v>1910</v>
      </c>
      <c r="I51" s="26">
        <v>1756</v>
      </c>
      <c r="J51" s="26">
        <v>1392</v>
      </c>
      <c r="K51" s="26"/>
      <c r="L51" s="26"/>
      <c r="M51" s="26"/>
      <c r="N51" s="2"/>
      <c r="O51" s="2"/>
      <c r="P51" s="2"/>
      <c r="Q51" s="2"/>
      <c r="R51" s="2"/>
      <c r="S51" s="2"/>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row>
    <row r="52" spans="1:49" ht="18" hidden="1" customHeight="1" outlineLevel="1" x14ac:dyDescent="0.35">
      <c r="A52" s="1"/>
      <c r="B52" s="54" t="s">
        <v>106</v>
      </c>
      <c r="C52" s="26">
        <v>35951</v>
      </c>
      <c r="D52" s="26">
        <v>35230</v>
      </c>
      <c r="E52" s="26">
        <v>40597</v>
      </c>
      <c r="F52" s="26">
        <v>23052</v>
      </c>
      <c r="G52" s="26">
        <v>26637</v>
      </c>
      <c r="H52" s="26">
        <v>28918</v>
      </c>
      <c r="I52" s="26">
        <v>63704</v>
      </c>
      <c r="J52" s="26">
        <v>41462</v>
      </c>
      <c r="K52" s="26"/>
      <c r="L52" s="26"/>
      <c r="M52" s="26"/>
      <c r="N52" s="2"/>
      <c r="O52" s="2"/>
      <c r="P52" s="2"/>
      <c r="Q52" s="2"/>
      <c r="R52" s="2"/>
      <c r="S52" s="2"/>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row>
    <row r="53" spans="1:49" ht="18" hidden="1" customHeight="1" outlineLevel="1" collapsed="1" x14ac:dyDescent="0.35">
      <c r="A53" s="1"/>
      <c r="B53" s="54" t="s">
        <v>107</v>
      </c>
      <c r="C53" s="26">
        <v>0</v>
      </c>
      <c r="D53" s="26">
        <v>0</v>
      </c>
      <c r="E53" s="26">
        <v>0</v>
      </c>
      <c r="F53" s="26">
        <v>144834</v>
      </c>
      <c r="G53" s="26">
        <v>1</v>
      </c>
      <c r="H53" s="26">
        <v>1</v>
      </c>
      <c r="I53" s="26">
        <v>0</v>
      </c>
      <c r="J53" s="26">
        <v>0</v>
      </c>
      <c r="K53" s="26"/>
      <c r="L53" s="26"/>
      <c r="M53" s="26"/>
      <c r="N53" s="2"/>
      <c r="O53" s="2"/>
      <c r="P53" s="2"/>
      <c r="Q53" s="2"/>
      <c r="R53" s="2"/>
      <c r="S53" s="2"/>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row>
    <row r="54" spans="1:49" ht="18" customHeight="1" collapsed="1" x14ac:dyDescent="0.35">
      <c r="A54" s="1"/>
      <c r="B54" s="20" t="s">
        <v>23</v>
      </c>
      <c r="C54" s="29">
        <f>SUM(C55,C58,C65:C66)</f>
        <v>1058479</v>
      </c>
      <c r="D54" s="29">
        <f t="shared" ref="D54:J54" si="17">SUM(D55,D58,D65:D66)</f>
        <v>364931</v>
      </c>
      <c r="E54" s="29">
        <f t="shared" si="17"/>
        <v>613230</v>
      </c>
      <c r="F54" s="29">
        <f t="shared" si="17"/>
        <v>1546445</v>
      </c>
      <c r="G54" s="29">
        <f t="shared" si="17"/>
        <v>2403136</v>
      </c>
      <c r="H54" s="29">
        <f t="shared" si="17"/>
        <v>3262602</v>
      </c>
      <c r="I54" s="29">
        <f t="shared" si="17"/>
        <v>2949667</v>
      </c>
      <c r="J54" s="29">
        <f t="shared" si="17"/>
        <v>3204806</v>
      </c>
      <c r="K54" s="29"/>
      <c r="L54" s="29"/>
      <c r="M54" s="29"/>
      <c r="N54" s="2"/>
      <c r="O54" s="2"/>
      <c r="P54" s="2"/>
      <c r="Q54" s="2"/>
      <c r="R54" s="2"/>
      <c r="S54" s="2"/>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row>
    <row r="55" spans="1:49" ht="18" customHeight="1" x14ac:dyDescent="0.35">
      <c r="A55" s="1"/>
      <c r="B55" s="14" t="s">
        <v>21</v>
      </c>
      <c r="C55" s="26">
        <f>SUM(C56:C57)</f>
        <v>2105</v>
      </c>
      <c r="D55" s="26">
        <f t="shared" ref="D55:J55" si="18">SUM(D56:D57)</f>
        <v>1848</v>
      </c>
      <c r="E55" s="26">
        <f>SUM(E56:E57)</f>
        <v>1618</v>
      </c>
      <c r="F55" s="26">
        <f t="shared" si="18"/>
        <v>1229789</v>
      </c>
      <c r="G55" s="26">
        <f t="shared" si="18"/>
        <v>2084845</v>
      </c>
      <c r="H55" s="26">
        <f t="shared" si="18"/>
        <v>2596073</v>
      </c>
      <c r="I55" s="26">
        <f t="shared" si="18"/>
        <v>2680791</v>
      </c>
      <c r="J55" s="26">
        <f t="shared" si="18"/>
        <v>2386208</v>
      </c>
      <c r="K55" s="26"/>
      <c r="L55" s="26"/>
      <c r="M55" s="26"/>
      <c r="N55" s="2"/>
      <c r="O55" s="2"/>
      <c r="P55" s="2"/>
      <c r="Q55" s="2"/>
      <c r="R55" s="2"/>
      <c r="S55" s="2"/>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row>
    <row r="56" spans="1:49" ht="18" hidden="1" customHeight="1" outlineLevel="1" x14ac:dyDescent="0.35">
      <c r="A56" s="1"/>
      <c r="B56" s="18" t="s">
        <v>103</v>
      </c>
      <c r="C56" s="26">
        <v>2105</v>
      </c>
      <c r="D56" s="26">
        <v>1848</v>
      </c>
      <c r="E56" s="26">
        <v>1618</v>
      </c>
      <c r="F56" s="26">
        <v>1229789</v>
      </c>
      <c r="G56" s="26">
        <v>1264193</v>
      </c>
      <c r="H56" s="26">
        <v>1342425</v>
      </c>
      <c r="I56" s="26">
        <v>1275974</v>
      </c>
      <c r="J56" s="26">
        <v>1209781</v>
      </c>
      <c r="K56" s="26"/>
      <c r="L56" s="26"/>
      <c r="M56" s="26"/>
      <c r="N56" s="2"/>
      <c r="O56" s="2"/>
      <c r="P56" s="2"/>
      <c r="Q56" s="2"/>
      <c r="R56" s="2"/>
      <c r="S56" s="2"/>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row>
    <row r="57" spans="1:49" ht="18" hidden="1" customHeight="1" outlineLevel="1" x14ac:dyDescent="0.35">
      <c r="A57" s="1"/>
      <c r="B57" s="18" t="s">
        <v>102</v>
      </c>
      <c r="C57" s="26">
        <v>0</v>
      </c>
      <c r="D57" s="26">
        <v>0</v>
      </c>
      <c r="E57" s="26">
        <v>0</v>
      </c>
      <c r="F57" s="26">
        <v>0</v>
      </c>
      <c r="G57" s="26">
        <v>820652</v>
      </c>
      <c r="H57" s="26">
        <v>1253648</v>
      </c>
      <c r="I57" s="26">
        <v>1404817</v>
      </c>
      <c r="J57" s="26">
        <v>1176427</v>
      </c>
      <c r="K57" s="26"/>
      <c r="L57" s="26"/>
      <c r="M57" s="26"/>
      <c r="N57" s="2"/>
      <c r="O57" s="2"/>
      <c r="P57" s="2"/>
      <c r="Q57" s="2"/>
      <c r="R57" s="2"/>
      <c r="S57" s="2"/>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row>
    <row r="58" spans="1:49" ht="18" customHeight="1" collapsed="1" x14ac:dyDescent="0.35">
      <c r="A58" s="1"/>
      <c r="B58" s="14" t="s">
        <v>22</v>
      </c>
      <c r="C58" s="26">
        <f>SUM(C59:C60)</f>
        <v>736725</v>
      </c>
      <c r="D58" s="26">
        <f t="shared" ref="D58:J58" si="19">SUM(D59:D60)</f>
        <v>42049</v>
      </c>
      <c r="E58" s="26">
        <f t="shared" si="19"/>
        <v>349005</v>
      </c>
      <c r="F58" s="26">
        <f t="shared" si="19"/>
        <v>37183</v>
      </c>
      <c r="G58" s="26">
        <f t="shared" si="19"/>
        <v>88167</v>
      </c>
      <c r="H58" s="26">
        <f t="shared" si="19"/>
        <v>497003</v>
      </c>
      <c r="I58" s="26">
        <f t="shared" si="19"/>
        <v>86029</v>
      </c>
      <c r="J58" s="26">
        <f t="shared" si="19"/>
        <v>633609</v>
      </c>
      <c r="K58" s="26"/>
      <c r="L58" s="26"/>
      <c r="M58" s="26"/>
      <c r="N58" s="2"/>
      <c r="O58" s="2"/>
      <c r="P58" s="2"/>
      <c r="Q58" s="2"/>
      <c r="R58" s="2"/>
      <c r="S58" s="2"/>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row>
    <row r="59" spans="1:49" ht="18" hidden="1" customHeight="1" outlineLevel="1" x14ac:dyDescent="0.35">
      <c r="A59" s="1"/>
      <c r="B59" s="18" t="s">
        <v>104</v>
      </c>
      <c r="C59" s="26">
        <v>690606</v>
      </c>
      <c r="D59" s="26">
        <v>0</v>
      </c>
      <c r="E59" s="26">
        <v>313450</v>
      </c>
      <c r="F59" s="26">
        <v>0</v>
      </c>
      <c r="G59" s="26">
        <v>0</v>
      </c>
      <c r="H59" s="26">
        <v>0</v>
      </c>
      <c r="I59" s="26">
        <v>0</v>
      </c>
      <c r="J59" s="26">
        <v>0</v>
      </c>
      <c r="K59" s="26"/>
      <c r="L59" s="26"/>
      <c r="M59" s="26"/>
      <c r="N59" s="2"/>
      <c r="O59" s="2"/>
      <c r="P59" s="2"/>
      <c r="Q59" s="2"/>
      <c r="R59" s="2"/>
      <c r="S59" s="2"/>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row>
    <row r="60" spans="1:49" ht="18" hidden="1" customHeight="1" outlineLevel="1" x14ac:dyDescent="0.35">
      <c r="A60" s="1"/>
      <c r="B60" s="18" t="s">
        <v>47</v>
      </c>
      <c r="C60" s="26">
        <f>SUM(C61:C64)</f>
        <v>46119</v>
      </c>
      <c r="D60" s="26">
        <f t="shared" ref="D60:J60" si="20">SUM(D61:D64)</f>
        <v>42049</v>
      </c>
      <c r="E60" s="26">
        <f t="shared" si="20"/>
        <v>35555</v>
      </c>
      <c r="F60" s="26">
        <f t="shared" si="20"/>
        <v>37183</v>
      </c>
      <c r="G60" s="26">
        <f t="shared" si="20"/>
        <v>88167</v>
      </c>
      <c r="H60" s="26">
        <f t="shared" si="20"/>
        <v>497003</v>
      </c>
      <c r="I60" s="26">
        <f t="shared" si="20"/>
        <v>86029</v>
      </c>
      <c r="J60" s="26">
        <f t="shared" si="20"/>
        <v>633609</v>
      </c>
      <c r="K60" s="26"/>
      <c r="L60" s="26"/>
      <c r="M60" s="26"/>
      <c r="N60" s="2"/>
      <c r="O60" s="2"/>
      <c r="P60" s="2"/>
      <c r="Q60" s="2"/>
      <c r="R60" s="2"/>
      <c r="S60" s="2"/>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row>
    <row r="61" spans="1:49" ht="18" hidden="1" customHeight="1" outlineLevel="1" x14ac:dyDescent="0.35">
      <c r="A61" s="1"/>
      <c r="B61" s="54" t="s">
        <v>24</v>
      </c>
      <c r="C61" s="26">
        <v>0</v>
      </c>
      <c r="D61" s="26">
        <v>0</v>
      </c>
      <c r="E61" s="26">
        <v>0</v>
      </c>
      <c r="F61" s="26">
        <v>1073</v>
      </c>
      <c r="G61" s="26">
        <v>24997</v>
      </c>
      <c r="H61" s="26">
        <v>16212</v>
      </c>
      <c r="I61" s="26">
        <v>15863</v>
      </c>
      <c r="J61" s="26">
        <v>12410</v>
      </c>
      <c r="K61" s="26"/>
      <c r="L61" s="26"/>
      <c r="M61" s="26"/>
      <c r="N61" s="2"/>
      <c r="O61" s="2"/>
      <c r="P61" s="2"/>
      <c r="Q61" s="2"/>
      <c r="R61" s="2"/>
      <c r="S61" s="2"/>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row>
    <row r="62" spans="1:49" ht="18" hidden="1" customHeight="1" outlineLevel="1" x14ac:dyDescent="0.35">
      <c r="A62" s="1"/>
      <c r="B62" s="54" t="s">
        <v>108</v>
      </c>
      <c r="C62" s="26">
        <v>5199</v>
      </c>
      <c r="D62" s="26">
        <v>3971</v>
      </c>
      <c r="E62" s="26">
        <v>4058</v>
      </c>
      <c r="F62" s="26">
        <v>3551</v>
      </c>
      <c r="G62" s="26">
        <v>4442</v>
      </c>
      <c r="H62" s="26">
        <v>5675</v>
      </c>
      <c r="I62" s="26">
        <v>7370</v>
      </c>
      <c r="J62" s="26">
        <v>18740</v>
      </c>
      <c r="K62" s="26"/>
      <c r="L62" s="26"/>
      <c r="M62" s="26"/>
      <c r="N62" s="2"/>
      <c r="O62" s="2"/>
      <c r="P62" s="2"/>
      <c r="Q62" s="2"/>
      <c r="R62" s="2"/>
      <c r="S62" s="2"/>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row>
    <row r="63" spans="1:49" ht="18" hidden="1" customHeight="1" outlineLevel="1" collapsed="1" x14ac:dyDescent="0.35">
      <c r="A63" s="1"/>
      <c r="B63" s="54" t="s">
        <v>19</v>
      </c>
      <c r="C63" s="26">
        <v>0</v>
      </c>
      <c r="D63" s="26">
        <v>0</v>
      </c>
      <c r="E63" s="26">
        <v>0</v>
      </c>
      <c r="F63" s="26">
        <v>0</v>
      </c>
      <c r="G63" s="26">
        <v>24810</v>
      </c>
      <c r="H63" s="26">
        <v>435060</v>
      </c>
      <c r="I63" s="26">
        <v>12570</v>
      </c>
      <c r="J63" s="26">
        <v>551248</v>
      </c>
      <c r="K63" s="26"/>
      <c r="L63" s="26"/>
      <c r="M63" s="26"/>
      <c r="N63" s="35"/>
      <c r="O63" s="2"/>
      <c r="P63" s="2"/>
      <c r="Q63" s="2"/>
      <c r="R63" s="2"/>
      <c r="S63" s="2"/>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row>
    <row r="64" spans="1:49" ht="18" hidden="1" customHeight="1" outlineLevel="1" collapsed="1" x14ac:dyDescent="0.35">
      <c r="A64" s="1"/>
      <c r="B64" s="54" t="s">
        <v>106</v>
      </c>
      <c r="C64" s="26">
        <v>40920</v>
      </c>
      <c r="D64" s="26">
        <v>38078</v>
      </c>
      <c r="E64" s="26">
        <v>31497</v>
      </c>
      <c r="F64" s="26">
        <v>32559</v>
      </c>
      <c r="G64" s="26">
        <v>33918</v>
      </c>
      <c r="H64" s="26">
        <v>40056</v>
      </c>
      <c r="I64" s="26">
        <v>50226</v>
      </c>
      <c r="J64" s="26">
        <v>51211</v>
      </c>
      <c r="K64" s="26"/>
      <c r="L64" s="26"/>
      <c r="M64" s="26"/>
      <c r="N64" s="2"/>
      <c r="O64" s="2"/>
      <c r="P64" s="2"/>
      <c r="Q64" s="2"/>
      <c r="R64" s="2"/>
      <c r="S64" s="2"/>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row>
    <row r="65" spans="1:49" ht="18" customHeight="1" collapsed="1" x14ac:dyDescent="0.35">
      <c r="A65" s="1"/>
      <c r="B65" s="14" t="s">
        <v>13</v>
      </c>
      <c r="C65" s="26">
        <v>0</v>
      </c>
      <c r="D65" s="26">
        <v>0</v>
      </c>
      <c r="E65" s="26">
        <v>0</v>
      </c>
      <c r="F65" s="26">
        <v>45631</v>
      </c>
      <c r="G65" s="26">
        <v>0</v>
      </c>
      <c r="H65" s="26">
        <v>0</v>
      </c>
      <c r="I65" s="26">
        <v>0</v>
      </c>
      <c r="J65" s="26">
        <v>0</v>
      </c>
      <c r="K65" s="26"/>
      <c r="L65" s="26"/>
      <c r="M65" s="26"/>
      <c r="N65" s="2"/>
      <c r="O65" s="2"/>
      <c r="P65" s="2"/>
      <c r="Q65" s="2"/>
      <c r="R65" s="2"/>
      <c r="S65" s="2"/>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ht="18" customHeight="1" x14ac:dyDescent="0.35">
      <c r="A66" s="1"/>
      <c r="B66" s="14" t="s">
        <v>109</v>
      </c>
      <c r="C66" s="26">
        <f>SUM(C67,C71)</f>
        <v>319649</v>
      </c>
      <c r="D66" s="26">
        <f t="shared" ref="D66:J66" si="21">SUM(D67,D71)</f>
        <v>321034</v>
      </c>
      <c r="E66" s="26">
        <f t="shared" si="21"/>
        <v>262607</v>
      </c>
      <c r="F66" s="26">
        <f t="shared" si="21"/>
        <v>233842</v>
      </c>
      <c r="G66" s="26">
        <f t="shared" si="21"/>
        <v>230124</v>
      </c>
      <c r="H66" s="26">
        <f t="shared" si="21"/>
        <v>169526</v>
      </c>
      <c r="I66" s="26">
        <f t="shared" si="21"/>
        <v>182847</v>
      </c>
      <c r="J66" s="26">
        <f t="shared" si="21"/>
        <v>184989</v>
      </c>
      <c r="K66" s="26"/>
      <c r="L66" s="26"/>
      <c r="M66" s="26"/>
      <c r="N66" s="2"/>
      <c r="O66" s="2"/>
      <c r="P66" s="2"/>
      <c r="Q66" s="2"/>
      <c r="R66" s="2"/>
      <c r="S66" s="2"/>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row r="67" spans="1:49" ht="18" hidden="1" customHeight="1" outlineLevel="1" x14ac:dyDescent="0.35">
      <c r="A67" s="1"/>
      <c r="B67" s="18" t="s">
        <v>110</v>
      </c>
      <c r="C67" s="26">
        <v>260697</v>
      </c>
      <c r="D67" s="26">
        <v>321034</v>
      </c>
      <c r="E67" s="26">
        <v>262607</v>
      </c>
      <c r="F67" s="26">
        <v>233842</v>
      </c>
      <c r="G67" s="26">
        <v>230124</v>
      </c>
      <c r="H67" s="26">
        <v>169526</v>
      </c>
      <c r="I67" s="26">
        <v>182847</v>
      </c>
      <c r="J67" s="26">
        <v>184989</v>
      </c>
      <c r="K67" s="26"/>
      <c r="L67" s="26"/>
      <c r="M67" s="26"/>
      <c r="N67" s="2"/>
      <c r="O67" s="2"/>
      <c r="P67" s="2"/>
      <c r="Q67" s="2"/>
      <c r="R67" s="2"/>
      <c r="S67" s="2"/>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row>
    <row r="68" spans="1:49" ht="18" hidden="1" customHeight="1" outlineLevel="1" x14ac:dyDescent="0.35">
      <c r="A68" s="1"/>
      <c r="B68" s="54" t="s">
        <v>111</v>
      </c>
      <c r="C68" s="26">
        <v>186979</v>
      </c>
      <c r="D68" s="26">
        <v>240376</v>
      </c>
      <c r="E68" s="26">
        <v>170657</v>
      </c>
      <c r="F68" s="26">
        <v>140199</v>
      </c>
      <c r="G68" s="26">
        <v>146246</v>
      </c>
      <c r="H68" s="26">
        <v>135721</v>
      </c>
      <c r="I68" s="26">
        <v>149691</v>
      </c>
      <c r="J68" s="26">
        <v>0</v>
      </c>
      <c r="K68" s="26"/>
      <c r="L68" s="26"/>
      <c r="M68" s="26"/>
      <c r="N68" s="2"/>
      <c r="O68" s="2"/>
      <c r="P68" s="2"/>
      <c r="Q68" s="2"/>
      <c r="R68" s="2"/>
      <c r="S68" s="2"/>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row>
    <row r="69" spans="1:49" ht="18" hidden="1" customHeight="1" outlineLevel="1" x14ac:dyDescent="0.35">
      <c r="A69" s="1"/>
      <c r="B69" s="54" t="s">
        <v>112</v>
      </c>
      <c r="C69" s="26">
        <v>63217</v>
      </c>
      <c r="D69" s="26">
        <v>73831</v>
      </c>
      <c r="E69" s="26">
        <v>85476</v>
      </c>
      <c r="F69" s="26">
        <v>89505</v>
      </c>
      <c r="G69" s="26">
        <v>74994</v>
      </c>
      <c r="H69" s="26">
        <v>30095</v>
      </c>
      <c r="I69" s="26">
        <v>29371</v>
      </c>
      <c r="J69" s="26">
        <v>0</v>
      </c>
      <c r="K69" s="26"/>
      <c r="L69" s="26"/>
      <c r="M69" s="26"/>
      <c r="N69" s="2"/>
      <c r="O69" s="2"/>
      <c r="P69" s="2"/>
      <c r="Q69" s="2"/>
      <c r="R69" s="2"/>
      <c r="S69" s="2"/>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row>
    <row r="70" spans="1:49" ht="18" hidden="1" customHeight="1" outlineLevel="1" x14ac:dyDescent="0.35">
      <c r="A70" s="1"/>
      <c r="B70" s="54" t="s">
        <v>113</v>
      </c>
      <c r="C70" s="26">
        <v>10501</v>
      </c>
      <c r="D70" s="26">
        <v>6827</v>
      </c>
      <c r="E70" s="26">
        <v>6474</v>
      </c>
      <c r="F70" s="26">
        <v>4138</v>
      </c>
      <c r="G70" s="26">
        <v>8884</v>
      </c>
      <c r="H70" s="26">
        <v>3710</v>
      </c>
      <c r="I70" s="26">
        <v>3785</v>
      </c>
      <c r="J70" s="26">
        <v>0</v>
      </c>
      <c r="K70" s="26"/>
      <c r="L70" s="26"/>
      <c r="M70" s="26"/>
      <c r="N70" s="2"/>
      <c r="O70" s="2"/>
      <c r="P70" s="2"/>
      <c r="Q70" s="2"/>
      <c r="R70" s="2"/>
      <c r="S70" s="2"/>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row>
    <row r="71" spans="1:49" ht="18" hidden="1" customHeight="1" outlineLevel="1" x14ac:dyDescent="0.35">
      <c r="A71" s="1"/>
      <c r="B71" s="18" t="s">
        <v>114</v>
      </c>
      <c r="C71" s="26">
        <v>58952</v>
      </c>
      <c r="D71" s="26">
        <v>0</v>
      </c>
      <c r="E71" s="26">
        <v>0</v>
      </c>
      <c r="F71" s="26">
        <v>0</v>
      </c>
      <c r="G71" s="26">
        <v>0</v>
      </c>
      <c r="H71" s="26">
        <v>0</v>
      </c>
      <c r="I71" s="26">
        <v>0</v>
      </c>
      <c r="J71" s="26">
        <v>0</v>
      </c>
      <c r="K71" s="26"/>
      <c r="L71" s="26"/>
      <c r="M71" s="26"/>
      <c r="N71" s="2"/>
      <c r="O71" s="2"/>
      <c r="P71" s="2"/>
      <c r="Q71" s="2"/>
      <c r="R71" s="2"/>
      <c r="S71" s="2"/>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row>
    <row r="72" spans="1:49" ht="18" customHeight="1" collapsed="1" x14ac:dyDescent="0.35">
      <c r="A72" s="1"/>
      <c r="B72" s="11" t="s">
        <v>25</v>
      </c>
      <c r="C72" s="29">
        <f>SUM(C73:C79)</f>
        <v>826288</v>
      </c>
      <c r="D72" s="29">
        <f t="shared" ref="D72:J72" si="22">SUM(D73:D79)</f>
        <v>1006513</v>
      </c>
      <c r="E72" s="29">
        <f t="shared" si="22"/>
        <v>1115039</v>
      </c>
      <c r="F72" s="29">
        <f t="shared" si="22"/>
        <v>2739570</v>
      </c>
      <c r="G72" s="29">
        <f t="shared" si="22"/>
        <v>2654800</v>
      </c>
      <c r="H72" s="29">
        <f t="shared" si="22"/>
        <v>2995009</v>
      </c>
      <c r="I72" s="29">
        <f t="shared" si="22"/>
        <v>3000196</v>
      </c>
      <c r="J72" s="29">
        <f t="shared" si="22"/>
        <v>3012719</v>
      </c>
      <c r="K72" s="29"/>
      <c r="L72" s="29"/>
      <c r="M72" s="29"/>
      <c r="N72" s="2"/>
      <c r="O72" s="2"/>
      <c r="P72" s="2"/>
      <c r="Q72" s="2"/>
      <c r="R72" s="2"/>
      <c r="S72" s="2"/>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row>
    <row r="73" spans="1:49" ht="18" customHeight="1" x14ac:dyDescent="0.35">
      <c r="A73" s="1"/>
      <c r="B73" s="13" t="s">
        <v>26</v>
      </c>
      <c r="C73" s="26">
        <v>890712</v>
      </c>
      <c r="D73" s="26">
        <v>1035720</v>
      </c>
      <c r="E73" s="26">
        <v>1035720</v>
      </c>
      <c r="F73" s="26">
        <v>1847177</v>
      </c>
      <c r="G73" s="26">
        <v>1847177</v>
      </c>
      <c r="H73" s="26">
        <v>1847177</v>
      </c>
      <c r="I73" s="26">
        <v>1847177</v>
      </c>
      <c r="J73" s="26">
        <v>1847177</v>
      </c>
      <c r="K73" s="26"/>
      <c r="L73" s="26"/>
      <c r="M73" s="26"/>
      <c r="N73" s="2"/>
      <c r="O73" s="2"/>
      <c r="P73" s="2"/>
      <c r="Q73" s="2"/>
      <c r="R73" s="2"/>
      <c r="S73" s="2"/>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row>
    <row r="74" spans="1:49" ht="18" customHeight="1" x14ac:dyDescent="0.35">
      <c r="A74" s="1"/>
      <c r="B74" s="13" t="s">
        <v>28</v>
      </c>
      <c r="C74" s="26">
        <v>0</v>
      </c>
      <c r="D74" s="26">
        <v>0</v>
      </c>
      <c r="E74" s="26">
        <v>0</v>
      </c>
      <c r="F74" s="26">
        <v>0</v>
      </c>
      <c r="G74" s="26">
        <v>0</v>
      </c>
      <c r="H74" s="26">
        <v>0</v>
      </c>
      <c r="I74" s="26">
        <v>0</v>
      </c>
      <c r="J74" s="26">
        <v>-8498</v>
      </c>
      <c r="K74" s="26"/>
      <c r="L74" s="26"/>
      <c r="M74" s="26"/>
      <c r="N74" s="2"/>
      <c r="O74" s="2"/>
      <c r="P74" s="2"/>
      <c r="Q74" s="2"/>
      <c r="R74" s="2"/>
      <c r="S74" s="2"/>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row>
    <row r="75" spans="1:49" ht="18" customHeight="1" x14ac:dyDescent="0.35">
      <c r="A75" s="1"/>
      <c r="B75" s="13" t="s">
        <v>27</v>
      </c>
      <c r="C75" s="26">
        <v>10516</v>
      </c>
      <c r="D75" s="26">
        <v>10516</v>
      </c>
      <c r="E75" s="26">
        <v>10516</v>
      </c>
      <c r="F75" s="26">
        <v>11647</v>
      </c>
      <c r="G75" s="26">
        <v>19375</v>
      </c>
      <c r="H75" s="26">
        <v>26499</v>
      </c>
      <c r="I75" s="26">
        <v>30863</v>
      </c>
      <c r="J75" s="26">
        <v>49879</v>
      </c>
      <c r="K75" s="26"/>
      <c r="L75" s="26"/>
      <c r="M75" s="26"/>
      <c r="N75" s="2"/>
      <c r="O75" s="2"/>
      <c r="P75" s="2"/>
      <c r="Q75" s="2"/>
      <c r="R75" s="2"/>
      <c r="S75" s="2"/>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row>
    <row r="76" spans="1:49" ht="18" customHeight="1" collapsed="1" x14ac:dyDescent="0.35">
      <c r="A76" s="1"/>
      <c r="B76" s="13" t="s">
        <v>29</v>
      </c>
      <c r="C76" s="26">
        <v>0</v>
      </c>
      <c r="D76" s="26">
        <v>0</v>
      </c>
      <c r="E76" s="26">
        <v>0</v>
      </c>
      <c r="F76" s="26">
        <v>882914</v>
      </c>
      <c r="G76" s="26">
        <v>792570</v>
      </c>
      <c r="H76" s="26">
        <v>1121578</v>
      </c>
      <c r="I76" s="26">
        <v>1122409</v>
      </c>
      <c r="J76" s="26">
        <v>1124744</v>
      </c>
      <c r="K76" s="26"/>
      <c r="L76" s="26"/>
      <c r="M76" s="26"/>
      <c r="N76" s="2"/>
      <c r="O76" s="2"/>
      <c r="P76" s="2"/>
      <c r="Q76" s="2"/>
      <c r="R76" s="2"/>
      <c r="S76" s="2"/>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row>
    <row r="77" spans="1:49" ht="18" customHeight="1" x14ac:dyDescent="0.35">
      <c r="A77" s="1"/>
      <c r="B77" s="13" t="s">
        <v>30</v>
      </c>
      <c r="C77" s="26">
        <v>-70882</v>
      </c>
      <c r="D77" s="26">
        <v>-39675</v>
      </c>
      <c r="E77" s="26">
        <v>65042</v>
      </c>
      <c r="F77" s="26">
        <v>0</v>
      </c>
      <c r="G77" s="26">
        <v>0</v>
      </c>
      <c r="H77" s="26">
        <v>0</v>
      </c>
      <c r="I77" s="26">
        <v>0</v>
      </c>
      <c r="J77" s="26">
        <v>0</v>
      </c>
      <c r="K77" s="30"/>
      <c r="L77" s="30"/>
      <c r="M77" s="30"/>
      <c r="N77" s="2"/>
      <c r="O77" s="2"/>
      <c r="P77" s="2"/>
      <c r="Q77" s="2"/>
      <c r="R77" s="2"/>
      <c r="S77" s="2"/>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row>
    <row r="78" spans="1:49" ht="18" customHeight="1" x14ac:dyDescent="0.35">
      <c r="A78" s="1"/>
      <c r="B78" s="13" t="s">
        <v>31</v>
      </c>
      <c r="C78" s="26">
        <v>-4067</v>
      </c>
      <c r="D78" s="26">
        <v>-49</v>
      </c>
      <c r="E78" s="26">
        <v>3759</v>
      </c>
      <c r="F78" s="26">
        <v>-2170</v>
      </c>
      <c r="G78" s="26">
        <v>-4324</v>
      </c>
      <c r="H78" s="26">
        <v>-248</v>
      </c>
      <c r="I78" s="26">
        <v>-254</v>
      </c>
      <c r="J78" s="26">
        <v>-586</v>
      </c>
      <c r="K78" s="26"/>
      <c r="L78" s="26"/>
      <c r="M78" s="26"/>
      <c r="N78" s="2"/>
      <c r="O78" s="2"/>
      <c r="P78" s="2"/>
      <c r="Q78" s="2"/>
      <c r="R78" s="2"/>
      <c r="S78" s="2"/>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row>
    <row r="79" spans="1:49" x14ac:dyDescent="0.35">
      <c r="A79" s="1"/>
      <c r="B79" s="13" t="s">
        <v>115</v>
      </c>
      <c r="C79" s="26">
        <v>9</v>
      </c>
      <c r="D79" s="26">
        <v>1</v>
      </c>
      <c r="E79" s="26">
        <v>2</v>
      </c>
      <c r="F79" s="26">
        <v>2</v>
      </c>
      <c r="G79" s="26">
        <v>2</v>
      </c>
      <c r="H79" s="26">
        <v>3</v>
      </c>
      <c r="I79" s="26">
        <v>1</v>
      </c>
      <c r="J79" s="26">
        <v>3</v>
      </c>
      <c r="K79" s="2"/>
      <c r="L79" s="2"/>
      <c r="M79" s="2"/>
      <c r="N79" s="2"/>
      <c r="O79" s="2"/>
      <c r="P79" s="2"/>
      <c r="Q79" s="2"/>
      <c r="R79" s="2"/>
      <c r="S79" s="2"/>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row>
    <row r="80" spans="1:49" x14ac:dyDescent="0.35">
      <c r="A80" s="1"/>
      <c r="B80" s="1"/>
      <c r="C80" s="2"/>
      <c r="D80" s="2"/>
      <c r="E80" s="2"/>
      <c r="F80" s="2"/>
      <c r="G80" s="2"/>
      <c r="H80" s="2"/>
      <c r="I80" s="2"/>
      <c r="J80" s="2"/>
      <c r="K80" s="2"/>
      <c r="L80" s="2"/>
      <c r="M80" s="2"/>
      <c r="N80" s="2"/>
      <c r="O80" s="2"/>
      <c r="P80" s="2"/>
      <c r="Q80" s="2"/>
      <c r="R80" s="2"/>
      <c r="S80" s="2"/>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row>
    <row r="81" spans="1:49" x14ac:dyDescent="0.35">
      <c r="A81" s="1"/>
      <c r="B81" s="1"/>
      <c r="C81" s="2"/>
      <c r="D81" s="2"/>
      <c r="E81" s="2"/>
      <c r="F81" s="2"/>
      <c r="G81" s="2"/>
      <c r="H81" s="2"/>
      <c r="I81" s="2"/>
      <c r="J81" s="2"/>
      <c r="K81" s="2"/>
      <c r="L81" s="2"/>
      <c r="M81" s="2"/>
      <c r="N81" s="2"/>
      <c r="O81" s="2"/>
      <c r="P81" s="2"/>
      <c r="Q81" s="2"/>
      <c r="R81" s="2"/>
      <c r="S81" s="2"/>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row>
    <row r="82" spans="1:49" x14ac:dyDescent="0.35">
      <c r="A82" s="1"/>
      <c r="B82" s="1"/>
      <c r="C82" s="2"/>
      <c r="D82" s="2"/>
      <c r="E82" s="2"/>
      <c r="F82" s="2"/>
      <c r="G82" s="2"/>
      <c r="H82" s="2"/>
      <c r="I82" s="2"/>
      <c r="J82" s="2"/>
      <c r="K82" s="2"/>
      <c r="L82" s="2"/>
      <c r="M82" s="2"/>
      <c r="N82" s="2"/>
      <c r="O82" s="2"/>
      <c r="P82" s="2"/>
      <c r="Q82" s="2"/>
      <c r="R82" s="2"/>
      <c r="S82" s="2"/>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row>
    <row r="83" spans="1:49" x14ac:dyDescent="0.35">
      <c r="A83" s="1"/>
      <c r="B83" s="1"/>
      <c r="C83" s="2"/>
      <c r="D83" s="2"/>
      <c r="E83" s="2"/>
      <c r="F83" s="2"/>
      <c r="G83" s="2"/>
      <c r="H83" s="2"/>
      <c r="I83" s="2"/>
      <c r="J83" s="2"/>
      <c r="K83" s="2"/>
      <c r="L83" s="2"/>
      <c r="M83" s="2"/>
      <c r="N83" s="2"/>
      <c r="O83" s="2"/>
      <c r="P83" s="2"/>
      <c r="Q83" s="2"/>
      <c r="R83" s="2"/>
      <c r="S83" s="2"/>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row>
    <row r="84" spans="1:49" x14ac:dyDescent="0.35">
      <c r="A84" s="1"/>
      <c r="B84" s="1"/>
      <c r="C84" s="2"/>
      <c r="D84" s="2"/>
      <c r="E84" s="2"/>
      <c r="F84" s="2"/>
      <c r="G84" s="2"/>
      <c r="H84" s="2"/>
      <c r="I84" s="2"/>
      <c r="J84" s="2"/>
      <c r="K84" s="2"/>
      <c r="L84" s="2"/>
      <c r="M84" s="2"/>
      <c r="N84" s="2"/>
      <c r="O84" s="2"/>
      <c r="P84" s="2"/>
      <c r="Q84" s="2"/>
      <c r="R84" s="2"/>
      <c r="S84" s="2"/>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row>
    <row r="85" spans="1:49" x14ac:dyDescent="0.35">
      <c r="A85" s="1"/>
      <c r="B85" s="1"/>
      <c r="C85" s="2"/>
      <c r="D85" s="2"/>
      <c r="E85" s="2"/>
      <c r="F85" s="2"/>
      <c r="G85" s="2"/>
      <c r="H85" s="2"/>
      <c r="I85" s="2"/>
      <c r="J85" s="2"/>
      <c r="K85" s="2"/>
      <c r="L85" s="2"/>
      <c r="M85" s="2"/>
      <c r="N85" s="2"/>
      <c r="O85" s="2"/>
      <c r="P85" s="2"/>
      <c r="Q85" s="2"/>
      <c r="R85" s="2"/>
      <c r="S85" s="2"/>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row>
    <row r="86" spans="1:49" x14ac:dyDescent="0.35">
      <c r="A86" s="1"/>
      <c r="B86" s="1"/>
      <c r="C86" s="2"/>
      <c r="D86" s="2"/>
      <c r="E86" s="2"/>
      <c r="F86" s="2"/>
      <c r="G86" s="2"/>
      <c r="H86" s="2"/>
      <c r="I86" s="2"/>
      <c r="J86" s="2"/>
      <c r="K86" s="2"/>
      <c r="L86" s="2"/>
      <c r="M86" s="2"/>
      <c r="N86" s="2"/>
      <c r="O86" s="2"/>
      <c r="P86" s="2"/>
      <c r="Q86" s="2"/>
      <c r="R86" s="2"/>
      <c r="S86" s="2"/>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row>
    <row r="87" spans="1:49" x14ac:dyDescent="0.35">
      <c r="A87" s="1"/>
      <c r="B87" s="1"/>
      <c r="C87" s="2"/>
      <c r="D87" s="2"/>
      <c r="E87" s="2"/>
      <c r="F87" s="2"/>
      <c r="G87" s="2"/>
      <c r="H87" s="2"/>
      <c r="I87" s="2"/>
      <c r="J87" s="2"/>
      <c r="K87" s="2"/>
      <c r="L87" s="2"/>
      <c r="M87" s="2"/>
      <c r="N87" s="2"/>
      <c r="O87" s="2"/>
      <c r="P87" s="2"/>
      <c r="Q87" s="2"/>
      <c r="R87" s="2"/>
      <c r="S87" s="2"/>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row>
    <row r="88" spans="1:49" x14ac:dyDescent="0.35">
      <c r="A88" s="1"/>
      <c r="B88" s="1"/>
      <c r="C88" s="2"/>
      <c r="D88" s="2"/>
      <c r="E88" s="2"/>
      <c r="F88" s="2"/>
      <c r="G88" s="2"/>
      <c r="H88" s="2"/>
      <c r="I88" s="2"/>
      <c r="J88" s="2"/>
      <c r="K88" s="2"/>
      <c r="L88" s="2"/>
      <c r="M88" s="2"/>
      <c r="N88" s="2"/>
      <c r="O88" s="2"/>
      <c r="P88" s="2"/>
      <c r="Q88" s="2"/>
      <c r="R88" s="2"/>
      <c r="S88" s="2"/>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row>
    <row r="89" spans="1:49" x14ac:dyDescent="0.35">
      <c r="A89" s="1"/>
      <c r="B89" s="1"/>
      <c r="C89" s="2"/>
      <c r="D89" s="2"/>
      <c r="E89" s="2"/>
      <c r="F89" s="2"/>
      <c r="G89" s="2"/>
      <c r="H89" s="2"/>
      <c r="I89" s="2"/>
      <c r="J89" s="2"/>
      <c r="K89" s="2"/>
      <c r="L89" s="2"/>
      <c r="M89" s="2"/>
      <c r="N89" s="2"/>
      <c r="O89" s="2"/>
      <c r="P89" s="2"/>
      <c r="Q89" s="2"/>
      <c r="R89" s="2"/>
      <c r="S89" s="2"/>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row>
    <row r="90" spans="1:49" x14ac:dyDescent="0.35">
      <c r="A90" s="1"/>
      <c r="B90" s="1"/>
      <c r="C90" s="2"/>
      <c r="D90" s="2"/>
      <c r="E90" s="2"/>
      <c r="F90" s="2"/>
      <c r="G90" s="2"/>
      <c r="H90" s="2"/>
      <c r="I90" s="2"/>
      <c r="J90" s="2"/>
      <c r="K90" s="2"/>
      <c r="L90" s="2"/>
      <c r="M90" s="2"/>
      <c r="N90" s="2"/>
      <c r="O90" s="2"/>
      <c r="P90" s="2"/>
      <c r="Q90" s="2"/>
      <c r="R90" s="2"/>
      <c r="S90" s="2"/>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row>
    <row r="91" spans="1:49" x14ac:dyDescent="0.35">
      <c r="A91" s="1"/>
      <c r="B91" s="1"/>
      <c r="C91" s="2"/>
      <c r="D91" s="2"/>
      <c r="E91" s="2"/>
      <c r="F91" s="2"/>
      <c r="G91" s="2"/>
      <c r="H91" s="2"/>
      <c r="I91" s="2"/>
      <c r="J91" s="2"/>
      <c r="K91" s="2"/>
      <c r="L91" s="2"/>
      <c r="M91" s="2"/>
      <c r="N91" s="2"/>
      <c r="O91" s="2"/>
      <c r="P91" s="2"/>
      <c r="Q91" s="2"/>
      <c r="R91" s="2"/>
      <c r="S91" s="2"/>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row>
    <row r="92" spans="1:49" x14ac:dyDescent="0.35">
      <c r="A92" s="1"/>
      <c r="B92" s="1"/>
      <c r="C92" s="2"/>
      <c r="D92" s="2"/>
      <c r="E92" s="2"/>
      <c r="F92" s="2"/>
      <c r="G92" s="2"/>
      <c r="H92" s="2"/>
      <c r="I92" s="2"/>
      <c r="J92" s="2"/>
      <c r="K92" s="2"/>
      <c r="L92" s="2"/>
      <c r="M92" s="2"/>
      <c r="N92" s="2"/>
      <c r="O92" s="2"/>
      <c r="P92" s="2"/>
      <c r="Q92" s="2"/>
      <c r="R92" s="2"/>
      <c r="S92" s="2"/>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row>
    <row r="93" spans="1:49" x14ac:dyDescent="0.35">
      <c r="A93" s="1"/>
      <c r="B93" s="1"/>
      <c r="C93" s="2"/>
      <c r="D93" s="2"/>
      <c r="E93" s="2"/>
      <c r="F93" s="2"/>
      <c r="G93" s="2"/>
      <c r="H93" s="2"/>
      <c r="I93" s="2"/>
      <c r="J93" s="2"/>
      <c r="K93" s="2"/>
      <c r="L93" s="2"/>
      <c r="M93" s="2"/>
      <c r="N93" s="2"/>
      <c r="O93" s="2"/>
      <c r="P93" s="2"/>
      <c r="Q93" s="2"/>
      <c r="R93" s="2"/>
      <c r="S93" s="2"/>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row>
    <row r="94" spans="1:49" x14ac:dyDescent="0.35">
      <c r="A94" s="1"/>
      <c r="B94" s="1"/>
      <c r="C94" s="2"/>
      <c r="D94" s="2"/>
      <c r="E94" s="2"/>
      <c r="F94" s="2"/>
      <c r="G94" s="2"/>
      <c r="H94" s="2"/>
      <c r="I94" s="2"/>
      <c r="J94" s="2"/>
      <c r="K94" s="2"/>
      <c r="L94" s="2"/>
      <c r="M94" s="2"/>
      <c r="N94" s="2"/>
      <c r="O94" s="2"/>
      <c r="P94" s="2"/>
      <c r="Q94" s="2"/>
      <c r="R94" s="2"/>
      <c r="S94" s="2"/>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row>
    <row r="95" spans="1:49" x14ac:dyDescent="0.35">
      <c r="A95" s="1"/>
      <c r="B95" s="1"/>
      <c r="C95" s="2"/>
      <c r="D95" s="2"/>
      <c r="E95" s="2"/>
      <c r="F95" s="2"/>
      <c r="G95" s="2"/>
      <c r="H95" s="2"/>
      <c r="I95" s="2"/>
      <c r="J95" s="2"/>
      <c r="K95" s="2"/>
      <c r="L95" s="2"/>
      <c r="M95" s="2"/>
      <c r="N95" s="2"/>
      <c r="O95" s="2"/>
      <c r="P95" s="2"/>
      <c r="Q95" s="2"/>
      <c r="R95" s="2"/>
      <c r="S95" s="2"/>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row>
    <row r="96" spans="1:49" x14ac:dyDescent="0.35">
      <c r="A96" s="1"/>
      <c r="B96" s="1"/>
      <c r="C96" s="2"/>
      <c r="D96" s="2"/>
      <c r="E96" s="2"/>
      <c r="F96" s="2"/>
      <c r="G96" s="2"/>
      <c r="H96" s="2"/>
      <c r="I96" s="2"/>
      <c r="J96" s="2"/>
      <c r="K96" s="2"/>
      <c r="L96" s="2"/>
      <c r="M96" s="2"/>
      <c r="N96" s="2"/>
      <c r="O96" s="2"/>
      <c r="P96" s="2"/>
      <c r="Q96" s="2"/>
      <c r="R96" s="2"/>
      <c r="S96" s="2"/>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row>
    <row r="97" spans="1:49" x14ac:dyDescent="0.35">
      <c r="A97" s="1"/>
      <c r="B97" s="1"/>
      <c r="C97" s="2"/>
      <c r="D97" s="2"/>
      <c r="E97" s="2"/>
      <c r="F97" s="2"/>
      <c r="G97" s="2"/>
      <c r="H97" s="2"/>
      <c r="I97" s="2"/>
      <c r="J97" s="2"/>
      <c r="K97" s="2"/>
      <c r="L97" s="2"/>
      <c r="M97" s="2"/>
      <c r="N97" s="2"/>
      <c r="O97" s="2"/>
      <c r="P97" s="2"/>
      <c r="Q97" s="2"/>
      <c r="R97" s="2"/>
      <c r="S97" s="2"/>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row>
    <row r="98" spans="1:49" x14ac:dyDescent="0.35">
      <c r="A98" s="1"/>
      <c r="B98" s="1"/>
      <c r="C98" s="2"/>
      <c r="D98" s="2"/>
      <c r="E98" s="2"/>
      <c r="F98" s="2"/>
      <c r="G98" s="2"/>
      <c r="H98" s="2"/>
      <c r="I98" s="2"/>
      <c r="J98" s="2"/>
      <c r="K98" s="2"/>
      <c r="L98" s="2"/>
      <c r="M98" s="2"/>
      <c r="N98" s="2"/>
      <c r="O98" s="2"/>
      <c r="P98" s="2"/>
      <c r="Q98" s="2"/>
      <c r="R98" s="2"/>
      <c r="S98" s="2"/>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row>
    <row r="99" spans="1:49" x14ac:dyDescent="0.35">
      <c r="A99" s="1"/>
      <c r="B99" s="1"/>
      <c r="C99" s="2"/>
      <c r="D99" s="2"/>
      <c r="E99" s="2"/>
      <c r="F99" s="2"/>
      <c r="G99" s="2"/>
      <c r="H99" s="2"/>
      <c r="I99" s="2"/>
      <c r="J99" s="2"/>
      <c r="K99" s="2"/>
      <c r="L99" s="2"/>
      <c r="M99" s="2"/>
      <c r="N99" s="2"/>
      <c r="O99" s="2"/>
      <c r="P99" s="2"/>
      <c r="Q99" s="2"/>
      <c r="R99" s="2"/>
      <c r="S99" s="2"/>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row>
    <row r="100" spans="1:49" x14ac:dyDescent="0.35">
      <c r="A100" s="1"/>
      <c r="B100" s="1"/>
      <c r="C100" s="2"/>
      <c r="D100" s="2"/>
      <c r="E100" s="2"/>
      <c r="F100" s="2"/>
      <c r="G100" s="2"/>
      <c r="H100" s="2"/>
      <c r="I100" s="2"/>
      <c r="J100" s="2"/>
      <c r="K100" s="2"/>
      <c r="L100" s="2"/>
      <c r="M100" s="2"/>
      <c r="N100" s="2"/>
      <c r="O100" s="2"/>
      <c r="P100" s="2"/>
      <c r="Q100" s="2"/>
      <c r="R100" s="2"/>
      <c r="S100" s="2"/>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row>
    <row r="101" spans="1:49" x14ac:dyDescent="0.35">
      <c r="A101" s="1"/>
      <c r="B101" s="1"/>
      <c r="C101" s="2"/>
      <c r="D101" s="2"/>
      <c r="E101" s="2"/>
      <c r="F101" s="2"/>
      <c r="G101" s="2"/>
      <c r="H101" s="2"/>
      <c r="I101" s="2"/>
      <c r="J101" s="2"/>
      <c r="K101" s="2"/>
      <c r="L101" s="2"/>
      <c r="M101" s="2"/>
      <c r="N101" s="2"/>
      <c r="O101" s="2"/>
      <c r="P101" s="2"/>
      <c r="Q101" s="2"/>
      <c r="R101" s="2"/>
      <c r="S101" s="2"/>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row>
    <row r="102" spans="1:49" x14ac:dyDescent="0.35">
      <c r="A102" s="1"/>
      <c r="B102" s="1"/>
      <c r="C102" s="2"/>
      <c r="D102" s="2"/>
      <c r="E102" s="2"/>
      <c r="F102" s="2"/>
      <c r="G102" s="2"/>
      <c r="H102" s="2"/>
      <c r="I102" s="2"/>
      <c r="J102" s="2"/>
      <c r="K102" s="2"/>
      <c r="L102" s="2"/>
      <c r="M102" s="2"/>
      <c r="N102" s="2"/>
      <c r="O102" s="2"/>
      <c r="P102" s="2"/>
      <c r="Q102" s="2"/>
      <c r="R102" s="2"/>
      <c r="S102" s="2"/>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row>
    <row r="103" spans="1:49" x14ac:dyDescent="0.35">
      <c r="A103" s="1"/>
      <c r="B103" s="1"/>
      <c r="C103" s="2"/>
      <c r="D103" s="2"/>
      <c r="E103" s="2"/>
      <c r="F103" s="2"/>
      <c r="G103" s="2"/>
      <c r="H103" s="2"/>
      <c r="I103" s="2"/>
      <c r="J103" s="2"/>
      <c r="K103" s="2"/>
      <c r="L103" s="2"/>
      <c r="M103" s="2"/>
      <c r="N103" s="2"/>
      <c r="O103" s="2"/>
      <c r="P103" s="2"/>
      <c r="Q103" s="2"/>
      <c r="R103" s="2"/>
      <c r="S103" s="2"/>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row>
    <row r="104" spans="1:49" x14ac:dyDescent="0.35">
      <c r="A104" s="1"/>
      <c r="B104" s="1"/>
      <c r="C104" s="2"/>
      <c r="D104" s="2"/>
      <c r="E104" s="2"/>
      <c r="F104" s="2"/>
      <c r="G104" s="2"/>
      <c r="H104" s="2"/>
      <c r="I104" s="2"/>
      <c r="J104" s="2"/>
      <c r="K104" s="2"/>
      <c r="L104" s="2"/>
      <c r="M104" s="2"/>
      <c r="N104" s="2"/>
      <c r="O104" s="2"/>
      <c r="P104" s="2"/>
      <c r="Q104" s="2"/>
      <c r="R104" s="2"/>
      <c r="S104" s="2"/>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row>
    <row r="105" spans="1:49" x14ac:dyDescent="0.35">
      <c r="A105" s="1"/>
      <c r="B105" s="1"/>
      <c r="C105" s="2"/>
      <c r="D105" s="2"/>
      <c r="E105" s="2"/>
      <c r="F105" s="2"/>
      <c r="G105" s="2"/>
      <c r="H105" s="2"/>
      <c r="I105" s="2"/>
      <c r="J105" s="2"/>
      <c r="K105" s="2"/>
      <c r="L105" s="2"/>
      <c r="M105" s="2"/>
      <c r="N105" s="2"/>
      <c r="O105" s="2"/>
      <c r="P105" s="2"/>
      <c r="Q105" s="2"/>
      <c r="R105" s="2"/>
      <c r="S105" s="2"/>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row>
    <row r="106" spans="1:49" x14ac:dyDescent="0.35">
      <c r="A106" s="1"/>
      <c r="B106" s="1"/>
      <c r="C106" s="2"/>
      <c r="D106" s="2"/>
      <c r="E106" s="2"/>
      <c r="F106" s="2"/>
      <c r="G106" s="2"/>
      <c r="H106" s="2"/>
      <c r="I106" s="2"/>
      <c r="J106" s="2"/>
      <c r="K106" s="2"/>
      <c r="L106" s="2"/>
      <c r="M106" s="2"/>
      <c r="N106" s="2"/>
      <c r="O106" s="2"/>
      <c r="P106" s="2"/>
      <c r="Q106" s="2"/>
      <c r="R106" s="2"/>
      <c r="S106" s="2"/>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row>
    <row r="107" spans="1:49" x14ac:dyDescent="0.35">
      <c r="A107" s="1"/>
      <c r="B107" s="1"/>
      <c r="C107" s="2"/>
      <c r="D107" s="2"/>
      <c r="E107" s="2"/>
      <c r="F107" s="2"/>
      <c r="G107" s="2"/>
      <c r="H107" s="2"/>
      <c r="I107" s="2"/>
      <c r="J107" s="2"/>
      <c r="K107" s="2"/>
      <c r="L107" s="2"/>
      <c r="M107" s="2"/>
      <c r="N107" s="2"/>
      <c r="O107" s="2"/>
      <c r="P107" s="2"/>
      <c r="Q107" s="2"/>
      <c r="R107" s="2"/>
      <c r="S107" s="2"/>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row>
    <row r="108" spans="1:49" x14ac:dyDescent="0.35">
      <c r="A108" s="1"/>
      <c r="B108" s="1"/>
      <c r="C108" s="2"/>
      <c r="D108" s="2"/>
      <c r="E108" s="2"/>
      <c r="F108" s="2"/>
      <c r="G108" s="2"/>
      <c r="H108" s="2"/>
      <c r="I108" s="2"/>
      <c r="J108" s="2"/>
      <c r="K108" s="2"/>
      <c r="L108" s="2"/>
      <c r="M108" s="2"/>
      <c r="N108" s="2"/>
      <c r="O108" s="2"/>
      <c r="P108" s="2"/>
      <c r="Q108" s="2"/>
      <c r="R108" s="2"/>
      <c r="S108" s="2"/>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row>
    <row r="109" spans="1:49" x14ac:dyDescent="0.35">
      <c r="A109" s="1"/>
      <c r="B109" s="1"/>
      <c r="C109" s="2"/>
      <c r="D109" s="2"/>
      <c r="E109" s="2"/>
      <c r="F109" s="2"/>
      <c r="G109" s="2"/>
      <c r="H109" s="2"/>
      <c r="I109" s="2"/>
      <c r="J109" s="2"/>
      <c r="K109" s="2"/>
      <c r="L109" s="2"/>
      <c r="M109" s="2"/>
      <c r="N109" s="2"/>
      <c r="O109" s="2"/>
      <c r="P109" s="2"/>
      <c r="Q109" s="2"/>
      <c r="R109" s="2"/>
      <c r="S109" s="2"/>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row>
    <row r="110" spans="1:49" x14ac:dyDescent="0.35">
      <c r="A110" s="1"/>
      <c r="B110" s="1"/>
      <c r="C110" s="2"/>
      <c r="D110" s="2"/>
      <c r="E110" s="2"/>
      <c r="F110" s="2"/>
      <c r="G110" s="2"/>
      <c r="H110" s="2"/>
      <c r="I110" s="2"/>
      <c r="J110" s="2"/>
      <c r="K110" s="2"/>
      <c r="L110" s="2"/>
      <c r="M110" s="2"/>
      <c r="N110" s="2"/>
      <c r="O110" s="2"/>
      <c r="P110" s="2"/>
      <c r="Q110" s="2"/>
      <c r="R110" s="2"/>
      <c r="S110" s="2"/>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row>
    <row r="111" spans="1:49" x14ac:dyDescent="0.35">
      <c r="A111" s="1"/>
      <c r="B111" s="1"/>
      <c r="C111" s="2"/>
      <c r="D111" s="2"/>
      <c r="E111" s="2"/>
      <c r="F111" s="2"/>
      <c r="G111" s="2"/>
      <c r="H111" s="2"/>
      <c r="I111" s="2"/>
      <c r="J111" s="2"/>
      <c r="K111" s="2"/>
      <c r="L111" s="2"/>
      <c r="M111" s="2"/>
      <c r="N111" s="2"/>
      <c r="O111" s="2"/>
      <c r="P111" s="2"/>
      <c r="Q111" s="2"/>
      <c r="R111" s="2"/>
      <c r="S111" s="2"/>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row>
    <row r="112" spans="1:49" x14ac:dyDescent="0.35">
      <c r="A112" s="1"/>
      <c r="B112" s="1"/>
      <c r="C112" s="2"/>
      <c r="D112" s="2"/>
      <c r="E112" s="2"/>
      <c r="F112" s="2"/>
      <c r="G112" s="2"/>
      <c r="H112" s="2"/>
      <c r="I112" s="2"/>
      <c r="J112" s="2"/>
      <c r="K112" s="2"/>
      <c r="L112" s="2"/>
      <c r="M112" s="2"/>
      <c r="N112" s="2"/>
      <c r="O112" s="2"/>
      <c r="P112" s="2"/>
      <c r="Q112" s="2"/>
      <c r="R112" s="2"/>
      <c r="S112" s="2"/>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row>
    <row r="113" spans="1:49" x14ac:dyDescent="0.35">
      <c r="A113" s="1"/>
      <c r="B113" s="1"/>
      <c r="C113" s="2"/>
      <c r="D113" s="2"/>
      <c r="E113" s="2"/>
      <c r="F113" s="2"/>
      <c r="G113" s="2"/>
      <c r="H113" s="2"/>
      <c r="I113" s="2"/>
      <c r="J113" s="2"/>
      <c r="K113" s="2"/>
      <c r="L113" s="2"/>
      <c r="M113" s="2"/>
      <c r="N113" s="2"/>
      <c r="O113" s="2"/>
      <c r="P113" s="2"/>
      <c r="Q113" s="2"/>
      <c r="R113" s="2"/>
      <c r="S113" s="2"/>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row>
    <row r="114" spans="1:49" x14ac:dyDescent="0.35">
      <c r="A114" s="1"/>
      <c r="B114" s="1"/>
      <c r="C114" s="2"/>
      <c r="D114" s="2"/>
      <c r="E114" s="2"/>
      <c r="F114" s="2"/>
      <c r="G114" s="2"/>
      <c r="H114" s="2"/>
      <c r="I114" s="2"/>
      <c r="J114" s="2"/>
      <c r="K114" s="2"/>
      <c r="L114" s="2"/>
      <c r="M114" s="2"/>
      <c r="N114" s="2"/>
      <c r="O114" s="2"/>
      <c r="P114" s="2"/>
      <c r="Q114" s="2"/>
      <c r="R114" s="2"/>
      <c r="S114" s="2"/>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row>
    <row r="115" spans="1:49" x14ac:dyDescent="0.35">
      <c r="A115" s="1"/>
      <c r="B115" s="1"/>
      <c r="C115" s="2"/>
      <c r="D115" s="2"/>
      <c r="E115" s="2"/>
      <c r="F115" s="2"/>
      <c r="G115" s="2"/>
      <c r="H115" s="2"/>
      <c r="I115" s="2"/>
      <c r="J115" s="2"/>
      <c r="K115" s="2"/>
      <c r="L115" s="2"/>
      <c r="M115" s="2"/>
      <c r="N115" s="2"/>
      <c r="O115" s="2"/>
      <c r="P115" s="2"/>
      <c r="Q115" s="2"/>
      <c r="R115" s="2"/>
      <c r="S115" s="2"/>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row>
    <row r="116" spans="1:49" x14ac:dyDescent="0.35">
      <c r="A116" s="1"/>
      <c r="B116" s="1"/>
      <c r="C116" s="2"/>
      <c r="D116" s="2"/>
      <c r="E116" s="2"/>
      <c r="F116" s="2"/>
      <c r="G116" s="2"/>
      <c r="H116" s="2"/>
      <c r="I116" s="2"/>
      <c r="J116" s="2"/>
      <c r="K116" s="2"/>
      <c r="L116" s="2"/>
      <c r="M116" s="2"/>
      <c r="N116" s="2"/>
      <c r="O116" s="2"/>
      <c r="P116" s="2"/>
      <c r="Q116" s="2"/>
      <c r="R116" s="2"/>
      <c r="S116" s="2"/>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row>
    <row r="117" spans="1:49" x14ac:dyDescent="0.35">
      <c r="A117" s="1"/>
      <c r="B117" s="1"/>
      <c r="C117" s="2"/>
      <c r="D117" s="2"/>
      <c r="E117" s="2"/>
      <c r="F117" s="2"/>
      <c r="G117" s="2"/>
      <c r="H117" s="2"/>
      <c r="I117" s="2"/>
      <c r="J117" s="2"/>
      <c r="K117" s="2"/>
      <c r="L117" s="2"/>
      <c r="M117" s="2"/>
      <c r="N117" s="2"/>
      <c r="O117" s="2"/>
      <c r="P117" s="2"/>
      <c r="Q117" s="2"/>
      <c r="R117" s="2"/>
      <c r="S117" s="2"/>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row>
    <row r="118" spans="1:49" x14ac:dyDescent="0.35">
      <c r="A118" s="1"/>
      <c r="B118" s="1"/>
      <c r="C118" s="2"/>
      <c r="D118" s="2"/>
      <c r="E118" s="2"/>
      <c r="F118" s="2"/>
      <c r="G118" s="2"/>
      <c r="H118" s="2"/>
      <c r="I118" s="2"/>
      <c r="J118" s="2"/>
      <c r="K118" s="2"/>
      <c r="L118" s="2"/>
      <c r="M118" s="2"/>
      <c r="N118" s="2"/>
      <c r="O118" s="2"/>
      <c r="P118" s="2"/>
      <c r="Q118" s="2"/>
      <c r="R118" s="2"/>
      <c r="S118" s="2"/>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row>
    <row r="119" spans="1:49" x14ac:dyDescent="0.35">
      <c r="A119" s="1"/>
      <c r="B119" s="1"/>
      <c r="C119" s="2"/>
      <c r="D119" s="2"/>
      <c r="E119" s="2"/>
      <c r="F119" s="2"/>
      <c r="G119" s="2"/>
      <c r="H119" s="2"/>
      <c r="I119" s="2"/>
      <c r="J119" s="2"/>
      <c r="K119" s="2"/>
      <c r="L119" s="2"/>
      <c r="M119" s="2"/>
      <c r="N119" s="2"/>
      <c r="O119" s="2"/>
      <c r="P119" s="2"/>
      <c r="Q119" s="2"/>
      <c r="R119" s="2"/>
      <c r="S119" s="2"/>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row>
    <row r="120" spans="1:49" x14ac:dyDescent="0.35">
      <c r="A120" s="1"/>
      <c r="B120" s="1"/>
      <c r="C120" s="2"/>
      <c r="D120" s="2"/>
      <c r="E120" s="2"/>
      <c r="F120" s="2"/>
      <c r="G120" s="2"/>
      <c r="H120" s="2"/>
      <c r="I120" s="2"/>
      <c r="J120" s="2"/>
      <c r="K120" s="2"/>
      <c r="L120" s="2"/>
      <c r="M120" s="2"/>
      <c r="N120" s="2"/>
      <c r="O120" s="2"/>
      <c r="P120" s="2"/>
      <c r="Q120" s="2"/>
      <c r="R120" s="2"/>
      <c r="S120" s="2"/>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row>
    <row r="121" spans="1:49" x14ac:dyDescent="0.35">
      <c r="A121" s="1"/>
      <c r="B121" s="1"/>
      <c r="C121" s="2"/>
      <c r="D121" s="2"/>
      <c r="E121" s="2"/>
      <c r="F121" s="2"/>
      <c r="G121" s="2"/>
      <c r="H121" s="2"/>
      <c r="I121" s="2"/>
      <c r="J121" s="2"/>
      <c r="K121" s="2"/>
      <c r="L121" s="2"/>
      <c r="M121" s="2"/>
      <c r="N121" s="2"/>
      <c r="O121" s="2"/>
      <c r="P121" s="2"/>
      <c r="Q121" s="2"/>
      <c r="R121" s="2"/>
      <c r="S121" s="2"/>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row>
    <row r="122" spans="1:49" x14ac:dyDescent="0.35">
      <c r="A122" s="1"/>
      <c r="B122" s="1"/>
      <c r="C122" s="2"/>
      <c r="D122" s="2"/>
      <c r="E122" s="2"/>
      <c r="F122" s="2"/>
      <c r="G122" s="2"/>
      <c r="H122" s="2"/>
      <c r="I122" s="2"/>
      <c r="J122" s="2"/>
      <c r="K122" s="2"/>
      <c r="L122" s="2"/>
      <c r="M122" s="2"/>
      <c r="N122" s="2"/>
      <c r="O122" s="2"/>
      <c r="P122" s="2"/>
      <c r="Q122" s="2"/>
      <c r="R122" s="2"/>
      <c r="S122" s="2"/>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row>
    <row r="123" spans="1:49" x14ac:dyDescent="0.35">
      <c r="A123" s="1"/>
      <c r="B123" s="1"/>
      <c r="C123" s="2"/>
      <c r="D123" s="2"/>
      <c r="E123" s="2"/>
      <c r="F123" s="2"/>
      <c r="G123" s="2"/>
      <c r="H123" s="2"/>
      <c r="I123" s="2"/>
      <c r="J123" s="2"/>
      <c r="K123" s="2"/>
      <c r="L123" s="2"/>
      <c r="M123" s="2"/>
      <c r="N123" s="2"/>
      <c r="O123" s="2"/>
      <c r="P123" s="2"/>
      <c r="Q123" s="2"/>
      <c r="R123" s="2"/>
      <c r="S123" s="2"/>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row>
    <row r="124" spans="1:49" x14ac:dyDescent="0.35">
      <c r="A124" s="1"/>
      <c r="B124" s="1"/>
      <c r="C124" s="2"/>
      <c r="D124" s="2"/>
      <c r="E124" s="2"/>
      <c r="F124" s="2"/>
      <c r="G124" s="2"/>
      <c r="H124" s="2"/>
      <c r="I124" s="2"/>
      <c r="J124" s="2"/>
      <c r="K124" s="2"/>
      <c r="L124" s="2"/>
      <c r="M124" s="2"/>
      <c r="N124" s="2"/>
      <c r="O124" s="2"/>
      <c r="P124" s="2"/>
      <c r="Q124" s="2"/>
      <c r="R124" s="2"/>
      <c r="S124" s="2"/>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row>
    <row r="125" spans="1:49" x14ac:dyDescent="0.35">
      <c r="A125" s="1"/>
      <c r="B125" s="1"/>
      <c r="C125" s="2"/>
      <c r="D125" s="2"/>
      <c r="E125" s="2"/>
      <c r="F125" s="2"/>
      <c r="G125" s="2"/>
      <c r="H125" s="2"/>
      <c r="I125" s="2"/>
      <c r="J125" s="2"/>
      <c r="K125" s="2"/>
      <c r="L125" s="2"/>
      <c r="M125" s="2"/>
      <c r="N125" s="2"/>
      <c r="O125" s="2"/>
      <c r="P125" s="2"/>
      <c r="Q125" s="2"/>
      <c r="R125" s="2"/>
      <c r="S125" s="2"/>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row>
    <row r="126" spans="1:49" x14ac:dyDescent="0.35">
      <c r="A126" s="1"/>
      <c r="B126" s="1"/>
      <c r="C126" s="2"/>
      <c r="D126" s="2"/>
      <c r="E126" s="2"/>
      <c r="F126" s="2"/>
      <c r="G126" s="2"/>
      <c r="H126" s="2"/>
      <c r="I126" s="2"/>
      <c r="J126" s="2"/>
      <c r="K126" s="2"/>
      <c r="L126" s="2"/>
      <c r="M126" s="2"/>
      <c r="N126" s="2"/>
      <c r="O126" s="2"/>
      <c r="P126" s="2"/>
      <c r="Q126" s="2"/>
      <c r="R126" s="2"/>
      <c r="S126" s="2"/>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row>
    <row r="127" spans="1:49" x14ac:dyDescent="0.35">
      <c r="A127" s="1"/>
      <c r="B127" s="1"/>
      <c r="C127" s="2"/>
      <c r="D127" s="2"/>
      <c r="E127" s="2"/>
      <c r="F127" s="2"/>
      <c r="G127" s="2"/>
      <c r="H127" s="2"/>
      <c r="I127" s="2"/>
      <c r="J127" s="2"/>
      <c r="K127" s="2"/>
      <c r="L127" s="2"/>
      <c r="M127" s="2"/>
      <c r="N127" s="2"/>
      <c r="O127" s="2"/>
      <c r="P127" s="2"/>
      <c r="Q127" s="2"/>
      <c r="R127" s="2"/>
      <c r="S127" s="2"/>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row>
    <row r="128" spans="1:49" x14ac:dyDescent="0.35">
      <c r="A128" s="1"/>
      <c r="B128" s="1"/>
      <c r="C128" s="2"/>
      <c r="D128" s="2"/>
      <c r="E128" s="2"/>
      <c r="F128" s="2"/>
      <c r="G128" s="2"/>
      <c r="H128" s="2"/>
      <c r="I128" s="2"/>
      <c r="J128" s="2"/>
      <c r="K128" s="2"/>
      <c r="L128" s="2"/>
      <c r="M128" s="2"/>
      <c r="N128" s="2"/>
      <c r="O128" s="2"/>
      <c r="P128" s="2"/>
      <c r="Q128" s="2"/>
      <c r="R128" s="2"/>
      <c r="S128" s="2"/>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row>
    <row r="129" spans="1:49" x14ac:dyDescent="0.35">
      <c r="A129" s="1"/>
      <c r="B129" s="1"/>
      <c r="C129" s="2"/>
      <c r="D129" s="2"/>
      <c r="E129" s="2"/>
      <c r="F129" s="2"/>
      <c r="G129" s="2"/>
      <c r="H129" s="2"/>
      <c r="I129" s="2"/>
      <c r="J129" s="2"/>
      <c r="K129" s="2"/>
      <c r="L129" s="2"/>
      <c r="M129" s="2"/>
      <c r="N129" s="2"/>
      <c r="O129" s="2"/>
      <c r="P129" s="2"/>
      <c r="Q129" s="2"/>
      <c r="R129" s="2"/>
      <c r="S129" s="2"/>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row>
    <row r="130" spans="1:49" x14ac:dyDescent="0.35">
      <c r="A130" s="1"/>
      <c r="B130" s="1"/>
      <c r="C130" s="2"/>
      <c r="D130" s="2"/>
      <c r="E130" s="2"/>
      <c r="F130" s="2"/>
      <c r="G130" s="2"/>
      <c r="H130" s="2"/>
      <c r="I130" s="2"/>
      <c r="J130" s="2"/>
      <c r="K130" s="2"/>
      <c r="L130" s="2"/>
      <c r="M130" s="2"/>
      <c r="N130" s="2"/>
      <c r="O130" s="2"/>
      <c r="P130" s="2"/>
      <c r="Q130" s="2"/>
      <c r="R130" s="2"/>
      <c r="S130" s="2"/>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row>
    <row r="131" spans="1:49" x14ac:dyDescent="0.35">
      <c r="A131" s="1"/>
      <c r="B131" s="1"/>
      <c r="C131" s="2"/>
      <c r="D131" s="2"/>
      <c r="E131" s="2"/>
      <c r="F131" s="2"/>
      <c r="G131" s="2"/>
      <c r="H131" s="2"/>
      <c r="I131" s="2"/>
      <c r="J131" s="2"/>
      <c r="K131" s="2"/>
      <c r="L131" s="2"/>
      <c r="M131" s="2"/>
      <c r="N131" s="2"/>
      <c r="O131" s="2"/>
      <c r="P131" s="2"/>
      <c r="Q131" s="2"/>
      <c r="R131" s="2"/>
      <c r="S131" s="2"/>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row>
    <row r="132" spans="1:49" x14ac:dyDescent="0.35">
      <c r="A132" s="1"/>
      <c r="B132" s="1"/>
      <c r="C132" s="2"/>
      <c r="D132" s="2"/>
      <c r="E132" s="2"/>
      <c r="F132" s="2"/>
      <c r="G132" s="2"/>
      <c r="H132" s="2"/>
      <c r="I132" s="2"/>
      <c r="J132" s="2"/>
      <c r="K132" s="2"/>
      <c r="L132" s="2"/>
      <c r="M132" s="2"/>
      <c r="N132" s="2"/>
      <c r="O132" s="2"/>
      <c r="P132" s="2"/>
      <c r="Q132" s="2"/>
      <c r="R132" s="2"/>
      <c r="S132" s="2"/>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row>
    <row r="133" spans="1:49" x14ac:dyDescent="0.35">
      <c r="A133" s="1"/>
      <c r="B133" s="1"/>
      <c r="C133" s="2"/>
      <c r="D133" s="2"/>
      <c r="E133" s="2"/>
      <c r="F133" s="2"/>
      <c r="G133" s="2"/>
      <c r="H133" s="2"/>
      <c r="I133" s="2"/>
      <c r="J133" s="2"/>
      <c r="K133" s="2"/>
      <c r="L133" s="2"/>
      <c r="M133" s="2"/>
      <c r="N133" s="2"/>
      <c r="O133" s="2"/>
      <c r="P133" s="2"/>
      <c r="Q133" s="2"/>
      <c r="R133" s="2"/>
      <c r="S133" s="2"/>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row>
    <row r="134" spans="1:49" x14ac:dyDescent="0.35">
      <c r="A134" s="1"/>
      <c r="B134" s="1"/>
      <c r="C134" s="2"/>
      <c r="D134" s="2"/>
      <c r="E134" s="2"/>
      <c r="F134" s="2"/>
      <c r="G134" s="2"/>
      <c r="H134" s="2"/>
      <c r="I134" s="2"/>
      <c r="J134" s="2"/>
      <c r="K134" s="2"/>
      <c r="L134" s="2"/>
      <c r="M134" s="2"/>
      <c r="N134" s="2"/>
      <c r="O134" s="2"/>
      <c r="P134" s="2"/>
      <c r="Q134" s="2"/>
      <c r="R134" s="2"/>
      <c r="S134" s="2"/>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row>
    <row r="135" spans="1:49" x14ac:dyDescent="0.35">
      <c r="A135" s="1"/>
      <c r="B135" s="1"/>
      <c r="C135" s="2"/>
      <c r="D135" s="2"/>
      <c r="E135" s="2"/>
      <c r="F135" s="2"/>
      <c r="G135" s="2"/>
      <c r="H135" s="2"/>
      <c r="I135" s="2"/>
      <c r="J135" s="2"/>
      <c r="K135" s="2"/>
      <c r="L135" s="2"/>
      <c r="M135" s="2"/>
      <c r="N135" s="2"/>
      <c r="O135" s="2"/>
      <c r="P135" s="2"/>
      <c r="Q135" s="2"/>
      <c r="R135" s="2"/>
      <c r="S135" s="2"/>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row>
    <row r="136" spans="1:49" x14ac:dyDescent="0.35">
      <c r="A136" s="1"/>
      <c r="B136" s="1"/>
      <c r="C136" s="2"/>
      <c r="D136" s="2"/>
      <c r="E136" s="2"/>
      <c r="F136" s="2"/>
      <c r="G136" s="2"/>
      <c r="H136" s="2"/>
      <c r="I136" s="2"/>
      <c r="J136" s="2"/>
      <c r="K136" s="2"/>
      <c r="L136" s="2"/>
      <c r="M136" s="2"/>
      <c r="N136" s="2"/>
      <c r="O136" s="2"/>
      <c r="P136" s="2"/>
      <c r="Q136" s="2"/>
      <c r="R136" s="2"/>
      <c r="S136" s="2"/>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row>
    <row r="137" spans="1:49" x14ac:dyDescent="0.35">
      <c r="A137" s="1"/>
      <c r="B137" s="1"/>
      <c r="C137" s="2"/>
      <c r="D137" s="2"/>
      <c r="E137" s="2"/>
      <c r="F137" s="2"/>
      <c r="G137" s="2"/>
      <c r="H137" s="2"/>
      <c r="I137" s="2"/>
      <c r="J137" s="2"/>
      <c r="K137" s="2"/>
      <c r="L137" s="2"/>
      <c r="M137" s="2"/>
      <c r="N137" s="2"/>
      <c r="O137" s="2"/>
      <c r="P137" s="2"/>
      <c r="Q137" s="2"/>
      <c r="R137" s="2"/>
      <c r="S137" s="2"/>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row>
    <row r="138" spans="1:49" x14ac:dyDescent="0.35">
      <c r="A138" s="1"/>
      <c r="B138" s="1"/>
      <c r="C138" s="2"/>
      <c r="D138" s="2"/>
      <c r="E138" s="2"/>
      <c r="F138" s="2"/>
      <c r="G138" s="2"/>
      <c r="H138" s="2"/>
      <c r="I138" s="2"/>
      <c r="J138" s="2"/>
      <c r="K138" s="2"/>
      <c r="L138" s="2"/>
      <c r="M138" s="2"/>
      <c r="N138" s="2"/>
      <c r="O138" s="2"/>
      <c r="P138" s="2"/>
      <c r="Q138" s="2"/>
      <c r="R138" s="2"/>
      <c r="S138" s="2"/>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row>
    <row r="139" spans="1:49" x14ac:dyDescent="0.35">
      <c r="A139" s="1"/>
      <c r="B139" s="1"/>
      <c r="C139" s="2"/>
      <c r="D139" s="2"/>
      <c r="E139" s="2"/>
      <c r="F139" s="2"/>
      <c r="G139" s="2"/>
      <c r="H139" s="2"/>
      <c r="I139" s="2"/>
      <c r="J139" s="2"/>
      <c r="K139" s="2"/>
      <c r="L139" s="2"/>
      <c r="M139" s="2"/>
      <c r="N139" s="2"/>
      <c r="O139" s="2"/>
      <c r="P139" s="2"/>
      <c r="Q139" s="2"/>
      <c r="R139" s="2"/>
      <c r="S139" s="2"/>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row>
    <row r="140" spans="1:49" x14ac:dyDescent="0.35">
      <c r="A140" s="1"/>
      <c r="B140" s="1"/>
      <c r="C140" s="2"/>
      <c r="D140" s="2"/>
      <c r="E140" s="2"/>
      <c r="F140" s="2"/>
      <c r="G140" s="2"/>
      <c r="H140" s="2"/>
      <c r="I140" s="2"/>
      <c r="J140" s="2"/>
      <c r="K140" s="2"/>
      <c r="L140" s="2"/>
      <c r="M140" s="2"/>
      <c r="N140" s="2"/>
      <c r="O140" s="2"/>
      <c r="P140" s="2"/>
      <c r="Q140" s="2"/>
      <c r="R140" s="2"/>
      <c r="S140" s="2"/>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row>
    <row r="141" spans="1:49" x14ac:dyDescent="0.35">
      <c r="A141" s="1"/>
      <c r="B141" s="1"/>
      <c r="C141" s="2"/>
      <c r="D141" s="2"/>
      <c r="E141" s="2"/>
      <c r="F141" s="2"/>
      <c r="G141" s="2"/>
      <c r="H141" s="2"/>
      <c r="I141" s="2"/>
      <c r="J141" s="2"/>
      <c r="K141" s="2"/>
      <c r="L141" s="2"/>
      <c r="M141" s="2"/>
      <c r="N141" s="2"/>
      <c r="O141" s="2"/>
      <c r="P141" s="2"/>
      <c r="Q141" s="2"/>
      <c r="R141" s="2"/>
      <c r="S141" s="2"/>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row>
    <row r="142" spans="1:49" x14ac:dyDescent="0.35">
      <c r="A142" s="1"/>
      <c r="B142" s="1"/>
      <c r="C142" s="2"/>
      <c r="D142" s="2"/>
      <c r="E142" s="2"/>
      <c r="F142" s="2"/>
      <c r="G142" s="2"/>
      <c r="H142" s="2"/>
      <c r="I142" s="2"/>
      <c r="J142" s="2"/>
      <c r="K142" s="2"/>
      <c r="L142" s="2"/>
      <c r="M142" s="2"/>
      <c r="N142" s="2"/>
      <c r="O142" s="2"/>
      <c r="P142" s="2"/>
      <c r="Q142" s="2"/>
      <c r="R142" s="2"/>
      <c r="S142" s="2"/>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row>
    <row r="143" spans="1:49" x14ac:dyDescent="0.35">
      <c r="A143" s="1"/>
      <c r="B143" s="1"/>
      <c r="C143" s="2"/>
      <c r="D143" s="2"/>
      <c r="E143" s="2"/>
      <c r="F143" s="2"/>
      <c r="G143" s="2"/>
      <c r="H143" s="2"/>
      <c r="I143" s="2"/>
      <c r="J143" s="2"/>
      <c r="K143" s="2"/>
      <c r="L143" s="2"/>
      <c r="M143" s="2"/>
      <c r="N143" s="2"/>
      <c r="O143" s="2"/>
      <c r="P143" s="2"/>
      <c r="Q143" s="2"/>
      <c r="R143" s="2"/>
      <c r="S143" s="2"/>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row>
    <row r="144" spans="1:49" x14ac:dyDescent="0.35">
      <c r="A144" s="1"/>
      <c r="B144" s="1"/>
      <c r="C144" s="2"/>
      <c r="D144" s="2"/>
      <c r="E144" s="2"/>
      <c r="F144" s="2"/>
      <c r="G144" s="2"/>
      <c r="H144" s="2"/>
      <c r="I144" s="2"/>
      <c r="J144" s="2"/>
      <c r="K144" s="2"/>
      <c r="L144" s="2"/>
      <c r="M144" s="2"/>
      <c r="N144" s="2"/>
      <c r="O144" s="2"/>
      <c r="P144" s="2"/>
      <c r="Q144" s="2"/>
      <c r="R144" s="2"/>
      <c r="S144" s="2"/>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row>
    <row r="145" spans="1:49" x14ac:dyDescent="0.35">
      <c r="A145" s="1"/>
      <c r="B145" s="1"/>
      <c r="C145" s="2"/>
      <c r="D145" s="2"/>
      <c r="E145" s="2"/>
      <c r="F145" s="2"/>
      <c r="G145" s="2"/>
      <c r="H145" s="2"/>
      <c r="I145" s="2"/>
      <c r="J145" s="2"/>
      <c r="K145" s="2"/>
      <c r="L145" s="2"/>
      <c r="M145" s="2"/>
      <c r="N145" s="2"/>
      <c r="O145" s="2"/>
      <c r="P145" s="2"/>
      <c r="Q145" s="2"/>
      <c r="R145" s="2"/>
      <c r="S145" s="2"/>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row>
    <row r="146" spans="1:49" x14ac:dyDescent="0.35">
      <c r="A146" s="1"/>
      <c r="B146" s="1"/>
      <c r="C146" s="2"/>
      <c r="D146" s="2"/>
      <c r="E146" s="2"/>
      <c r="F146" s="2"/>
      <c r="G146" s="2"/>
      <c r="H146" s="2"/>
      <c r="I146" s="2"/>
      <c r="J146" s="2"/>
      <c r="K146" s="2"/>
      <c r="L146" s="2"/>
      <c r="M146" s="2"/>
      <c r="N146" s="2"/>
      <c r="O146" s="2"/>
      <c r="P146" s="2"/>
      <c r="Q146" s="2"/>
      <c r="R146" s="2"/>
      <c r="S146" s="2"/>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row>
    <row r="147" spans="1:49" x14ac:dyDescent="0.35">
      <c r="A147" s="1"/>
      <c r="B147" s="1"/>
      <c r="C147" s="2"/>
      <c r="D147" s="2"/>
      <c r="E147" s="2"/>
      <c r="F147" s="2"/>
      <c r="G147" s="2"/>
      <c r="H147" s="2"/>
      <c r="I147" s="2"/>
      <c r="J147" s="2"/>
      <c r="K147" s="2"/>
      <c r="L147" s="2"/>
      <c r="M147" s="2"/>
      <c r="N147" s="2"/>
      <c r="O147" s="2"/>
      <c r="P147" s="2"/>
      <c r="Q147" s="2"/>
      <c r="R147" s="2"/>
      <c r="S147" s="2"/>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row>
    <row r="148" spans="1:49" x14ac:dyDescent="0.35">
      <c r="A148" s="1"/>
      <c r="B148" s="1"/>
      <c r="C148" s="2"/>
      <c r="D148" s="2"/>
      <c r="E148" s="2"/>
      <c r="F148" s="2"/>
      <c r="G148" s="2"/>
      <c r="H148" s="2"/>
      <c r="I148" s="2"/>
      <c r="J148" s="2"/>
      <c r="K148" s="2"/>
      <c r="L148" s="2"/>
      <c r="M148" s="2"/>
      <c r="N148" s="2"/>
      <c r="O148" s="2"/>
      <c r="P148" s="2"/>
      <c r="Q148" s="2"/>
      <c r="R148" s="2"/>
      <c r="S148" s="2"/>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row>
    <row r="149" spans="1:49" x14ac:dyDescent="0.35">
      <c r="A149" s="1"/>
      <c r="B149" s="1"/>
      <c r="C149" s="2"/>
      <c r="D149" s="2"/>
      <c r="E149" s="2"/>
      <c r="F149" s="2"/>
      <c r="G149" s="2"/>
      <c r="H149" s="2"/>
      <c r="I149" s="2"/>
      <c r="J149" s="2"/>
      <c r="K149" s="2"/>
      <c r="L149" s="2"/>
      <c r="M149" s="2"/>
      <c r="N149" s="2"/>
      <c r="O149" s="2"/>
      <c r="P149" s="2"/>
      <c r="Q149" s="2"/>
      <c r="R149" s="2"/>
      <c r="S149" s="2"/>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row>
    <row r="150" spans="1:49" x14ac:dyDescent="0.35">
      <c r="A150" s="1"/>
      <c r="B150" s="1"/>
      <c r="C150" s="2"/>
      <c r="D150" s="2"/>
      <c r="E150" s="2"/>
      <c r="F150" s="2"/>
      <c r="G150" s="2"/>
      <c r="H150" s="2"/>
      <c r="I150" s="2"/>
      <c r="J150" s="2"/>
      <c r="K150" s="2"/>
      <c r="L150" s="2"/>
      <c r="M150" s="2"/>
      <c r="N150" s="2"/>
      <c r="O150" s="2"/>
      <c r="P150" s="2"/>
      <c r="Q150" s="2"/>
      <c r="R150" s="2"/>
      <c r="S150" s="2"/>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row>
    <row r="151" spans="1:49" x14ac:dyDescent="0.35">
      <c r="A151" s="1"/>
      <c r="B151" s="1"/>
      <c r="C151" s="2"/>
      <c r="D151" s="2"/>
      <c r="E151" s="2"/>
      <c r="F151" s="2"/>
      <c r="G151" s="2"/>
      <c r="H151" s="2"/>
      <c r="I151" s="2"/>
      <c r="J151" s="2"/>
      <c r="K151" s="2"/>
      <c r="L151" s="2"/>
      <c r="M151" s="2"/>
      <c r="N151" s="2"/>
      <c r="O151" s="2"/>
      <c r="P151" s="2"/>
      <c r="Q151" s="2"/>
      <c r="R151" s="2"/>
      <c r="S151" s="2"/>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row>
    <row r="152" spans="1:49" x14ac:dyDescent="0.35">
      <c r="A152" s="1"/>
      <c r="B152" s="1"/>
      <c r="C152" s="2"/>
      <c r="D152" s="2"/>
      <c r="E152" s="2"/>
      <c r="F152" s="2"/>
      <c r="G152" s="2"/>
      <c r="H152" s="2"/>
      <c r="I152" s="2"/>
      <c r="J152" s="2"/>
      <c r="K152" s="2"/>
      <c r="L152" s="2"/>
      <c r="M152" s="2"/>
      <c r="N152" s="2"/>
      <c r="O152" s="2"/>
      <c r="P152" s="2"/>
      <c r="Q152" s="2"/>
      <c r="R152" s="2"/>
      <c r="S152" s="2"/>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row>
    <row r="153" spans="1:49" x14ac:dyDescent="0.35">
      <c r="A153" s="1"/>
      <c r="B153" s="1"/>
      <c r="C153" s="2"/>
      <c r="D153" s="2"/>
      <c r="E153" s="2"/>
      <c r="F153" s="2"/>
      <c r="G153" s="2"/>
      <c r="H153" s="2"/>
      <c r="I153" s="2"/>
      <c r="J153" s="2"/>
      <c r="K153" s="2"/>
      <c r="L153" s="2"/>
      <c r="M153" s="2"/>
      <c r="N153" s="2"/>
      <c r="O153" s="2"/>
      <c r="P153" s="2"/>
      <c r="Q153" s="2"/>
      <c r="R153" s="2"/>
      <c r="S153" s="2"/>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row>
    <row r="154" spans="1:49" x14ac:dyDescent="0.35">
      <c r="A154" s="1"/>
      <c r="B154" s="1"/>
      <c r="C154" s="2"/>
      <c r="D154" s="2"/>
      <c r="E154" s="2"/>
      <c r="F154" s="2"/>
      <c r="G154" s="2"/>
      <c r="H154" s="2"/>
      <c r="I154" s="2"/>
      <c r="J154" s="2"/>
      <c r="K154" s="2"/>
      <c r="L154" s="2"/>
      <c r="M154" s="2"/>
      <c r="N154" s="2"/>
      <c r="O154" s="2"/>
      <c r="P154" s="2"/>
      <c r="Q154" s="2"/>
      <c r="R154" s="2"/>
      <c r="S154" s="2"/>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row>
    <row r="155" spans="1:49" x14ac:dyDescent="0.35">
      <c r="A155" s="1"/>
      <c r="B155" s="1"/>
      <c r="C155" s="2"/>
      <c r="D155" s="2"/>
      <c r="E155" s="2"/>
      <c r="F155" s="2"/>
      <c r="G155" s="2"/>
      <c r="H155" s="2"/>
      <c r="I155" s="2"/>
      <c r="J155" s="2"/>
      <c r="K155" s="2"/>
      <c r="L155" s="2"/>
      <c r="M155" s="2"/>
      <c r="N155" s="2"/>
      <c r="O155" s="2"/>
      <c r="P155" s="2"/>
      <c r="Q155" s="2"/>
      <c r="R155" s="2"/>
      <c r="S155" s="2"/>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row>
    <row r="156" spans="1:49" x14ac:dyDescent="0.35">
      <c r="A156" s="1"/>
      <c r="B156" s="1"/>
      <c r="C156" s="2"/>
      <c r="D156" s="2"/>
      <c r="E156" s="2"/>
      <c r="F156" s="2"/>
      <c r="G156" s="2"/>
      <c r="H156" s="2"/>
      <c r="I156" s="2"/>
      <c r="J156" s="2"/>
      <c r="K156" s="2"/>
      <c r="L156" s="2"/>
      <c r="M156" s="2"/>
      <c r="N156" s="2"/>
      <c r="O156" s="2"/>
      <c r="P156" s="2"/>
      <c r="Q156" s="2"/>
      <c r="R156" s="2"/>
      <c r="S156" s="2"/>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row>
    <row r="157" spans="1:49" x14ac:dyDescent="0.35">
      <c r="A157" s="1"/>
      <c r="B157" s="1"/>
      <c r="C157" s="2"/>
      <c r="D157" s="2"/>
      <c r="E157" s="2"/>
      <c r="F157" s="2"/>
      <c r="G157" s="2"/>
      <c r="H157" s="2"/>
      <c r="I157" s="2"/>
      <c r="J157" s="2"/>
      <c r="K157" s="2"/>
      <c r="L157" s="2"/>
      <c r="M157" s="2"/>
      <c r="N157" s="2"/>
      <c r="O157" s="2"/>
      <c r="P157" s="2"/>
      <c r="Q157" s="2"/>
      <c r="R157" s="2"/>
      <c r="S157" s="2"/>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row>
    <row r="158" spans="1:49" x14ac:dyDescent="0.35">
      <c r="A158" s="1"/>
      <c r="B158" s="1"/>
      <c r="C158" s="2"/>
      <c r="D158" s="2"/>
      <c r="E158" s="2"/>
      <c r="F158" s="2"/>
      <c r="G158" s="2"/>
      <c r="H158" s="2"/>
      <c r="I158" s="2"/>
      <c r="J158" s="2"/>
      <c r="K158" s="2"/>
      <c r="L158" s="2"/>
      <c r="M158" s="2"/>
      <c r="N158" s="2"/>
      <c r="O158" s="2"/>
      <c r="P158" s="2"/>
      <c r="Q158" s="2"/>
      <c r="R158" s="2"/>
      <c r="S158" s="2"/>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row>
    <row r="159" spans="1:49" x14ac:dyDescent="0.35">
      <c r="A159" s="1"/>
      <c r="B159" s="1"/>
      <c r="C159" s="2"/>
      <c r="D159" s="2"/>
      <c r="E159" s="2"/>
      <c r="F159" s="2"/>
      <c r="G159" s="2"/>
      <c r="H159" s="2"/>
      <c r="I159" s="2"/>
      <c r="J159" s="2"/>
      <c r="K159" s="2"/>
      <c r="L159" s="2"/>
      <c r="M159" s="2"/>
      <c r="N159" s="2"/>
      <c r="O159" s="2"/>
      <c r="P159" s="2"/>
      <c r="Q159" s="2"/>
      <c r="R159" s="2"/>
      <c r="S159" s="2"/>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row>
    <row r="160" spans="1:49" x14ac:dyDescent="0.35">
      <c r="A160" s="1"/>
      <c r="B160" s="1"/>
      <c r="C160" s="2"/>
      <c r="D160" s="2"/>
      <c r="E160" s="2"/>
      <c r="F160" s="2"/>
      <c r="G160" s="2"/>
      <c r="H160" s="2"/>
      <c r="I160" s="2"/>
      <c r="J160" s="2"/>
      <c r="K160" s="2"/>
      <c r="L160" s="2"/>
      <c r="M160" s="2"/>
      <c r="N160" s="2"/>
      <c r="O160" s="2"/>
      <c r="P160" s="2"/>
      <c r="Q160" s="2"/>
      <c r="R160" s="2"/>
      <c r="S160" s="2"/>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row>
    <row r="161" spans="1:49" x14ac:dyDescent="0.35">
      <c r="A161" s="1"/>
      <c r="B161" s="1"/>
      <c r="C161" s="2"/>
      <c r="D161" s="2"/>
      <c r="E161" s="2"/>
      <c r="F161" s="2"/>
      <c r="G161" s="2"/>
      <c r="H161" s="2"/>
      <c r="I161" s="2"/>
      <c r="J161" s="2"/>
      <c r="K161" s="2"/>
      <c r="L161" s="2"/>
      <c r="M161" s="2"/>
      <c r="N161" s="2"/>
      <c r="O161" s="2"/>
      <c r="P161" s="2"/>
      <c r="Q161" s="2"/>
      <c r="R161" s="2"/>
      <c r="S161" s="2"/>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row>
    <row r="162" spans="1:49" x14ac:dyDescent="0.35">
      <c r="A162" s="1"/>
      <c r="B162" s="1"/>
      <c r="C162" s="2"/>
      <c r="D162" s="2"/>
      <c r="E162" s="2"/>
      <c r="F162" s="2"/>
      <c r="G162" s="2"/>
      <c r="H162" s="2"/>
      <c r="I162" s="2"/>
      <c r="J162" s="2"/>
      <c r="K162" s="2"/>
      <c r="L162" s="2"/>
      <c r="M162" s="2"/>
      <c r="N162" s="2"/>
      <c r="O162" s="2"/>
      <c r="P162" s="2"/>
      <c r="Q162" s="2"/>
      <c r="R162" s="2"/>
      <c r="S162" s="2"/>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row>
    <row r="163" spans="1:49" x14ac:dyDescent="0.35">
      <c r="A163" s="1"/>
      <c r="B163" s="1"/>
      <c r="C163" s="2"/>
      <c r="D163" s="2"/>
      <c r="E163" s="2"/>
      <c r="F163" s="2"/>
      <c r="G163" s="2"/>
      <c r="H163" s="2"/>
      <c r="I163" s="2"/>
      <c r="J163" s="2"/>
      <c r="K163" s="2"/>
      <c r="L163" s="2"/>
      <c r="M163" s="2"/>
      <c r="N163" s="2"/>
      <c r="O163" s="2"/>
      <c r="P163" s="2"/>
      <c r="Q163" s="2"/>
      <c r="R163" s="2"/>
      <c r="S163" s="2"/>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row>
    <row r="164" spans="1:49" x14ac:dyDescent="0.35">
      <c r="A164" s="1"/>
      <c r="B164" s="1"/>
      <c r="C164" s="2"/>
      <c r="D164" s="2"/>
      <c r="E164" s="2"/>
      <c r="F164" s="2"/>
      <c r="G164" s="2"/>
      <c r="H164" s="2"/>
      <c r="I164" s="2"/>
      <c r="J164" s="2"/>
      <c r="K164" s="2"/>
      <c r="L164" s="2"/>
      <c r="M164" s="2"/>
      <c r="N164" s="2"/>
      <c r="O164" s="2"/>
      <c r="P164" s="2"/>
      <c r="Q164" s="2"/>
      <c r="R164" s="2"/>
      <c r="S164" s="2"/>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row>
    <row r="165" spans="1:49" x14ac:dyDescent="0.35">
      <c r="A165" s="1"/>
      <c r="B165" s="1"/>
      <c r="C165" s="2"/>
      <c r="D165" s="2"/>
      <c r="E165" s="2"/>
      <c r="F165" s="2"/>
      <c r="G165" s="2"/>
      <c r="H165" s="2"/>
      <c r="I165" s="2"/>
      <c r="J165" s="2"/>
      <c r="K165" s="2"/>
      <c r="L165" s="2"/>
      <c r="M165" s="2"/>
      <c r="N165" s="2"/>
      <c r="O165" s="2"/>
      <c r="P165" s="2"/>
      <c r="Q165" s="2"/>
      <c r="R165" s="2"/>
      <c r="S165" s="2"/>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row>
    <row r="166" spans="1:49" x14ac:dyDescent="0.35">
      <c r="A166" s="1"/>
      <c r="B166" s="1"/>
      <c r="C166" s="2"/>
      <c r="D166" s="2"/>
      <c r="E166" s="2"/>
      <c r="F166" s="2"/>
      <c r="G166" s="2"/>
      <c r="H166" s="2"/>
      <c r="I166" s="2"/>
      <c r="J166" s="2"/>
      <c r="K166" s="2"/>
      <c r="L166" s="2"/>
      <c r="M166" s="2"/>
      <c r="N166" s="2"/>
      <c r="O166" s="2"/>
      <c r="P166" s="2"/>
      <c r="Q166" s="2"/>
      <c r="R166" s="2"/>
      <c r="S166" s="2"/>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row>
    <row r="167" spans="1:49" x14ac:dyDescent="0.35">
      <c r="A167" s="1"/>
      <c r="B167" s="1"/>
      <c r="C167" s="2"/>
      <c r="D167" s="2"/>
      <c r="E167" s="2"/>
      <c r="F167" s="2"/>
      <c r="G167" s="2"/>
      <c r="H167" s="2"/>
      <c r="I167" s="2"/>
      <c r="J167" s="2"/>
      <c r="K167" s="2"/>
      <c r="L167" s="2"/>
      <c r="M167" s="2"/>
      <c r="N167" s="2"/>
      <c r="O167" s="2"/>
      <c r="P167" s="2"/>
      <c r="Q167" s="2"/>
      <c r="R167" s="2"/>
      <c r="S167" s="2"/>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row>
    <row r="168" spans="1:49" x14ac:dyDescent="0.35">
      <c r="A168" s="1"/>
      <c r="B168" s="1"/>
      <c r="C168" s="2"/>
      <c r="D168" s="2"/>
      <c r="E168" s="2"/>
      <c r="F168" s="2"/>
      <c r="G168" s="2"/>
      <c r="H168" s="2"/>
      <c r="I168" s="2"/>
      <c r="J168" s="2"/>
      <c r="K168" s="2"/>
      <c r="L168" s="2"/>
      <c r="M168" s="2"/>
      <c r="N168" s="2"/>
      <c r="O168" s="2"/>
      <c r="P168" s="2"/>
      <c r="Q168" s="2"/>
      <c r="R168" s="2"/>
      <c r="S168" s="2"/>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row>
    <row r="169" spans="1:49" x14ac:dyDescent="0.35">
      <c r="A169" s="1"/>
      <c r="B169" s="1"/>
      <c r="C169" s="2"/>
      <c r="D169" s="2"/>
      <c r="E169" s="2"/>
      <c r="F169" s="2"/>
      <c r="G169" s="2"/>
      <c r="H169" s="2"/>
      <c r="I169" s="2"/>
      <c r="J169" s="2"/>
      <c r="K169" s="2"/>
      <c r="L169" s="2"/>
      <c r="M169" s="2"/>
      <c r="N169" s="2"/>
      <c r="O169" s="2"/>
      <c r="P169" s="2"/>
      <c r="Q169" s="2"/>
      <c r="R169" s="2"/>
      <c r="S169" s="2"/>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row>
    <row r="170" spans="1:49" x14ac:dyDescent="0.35">
      <c r="A170" s="1"/>
      <c r="B170" s="1"/>
      <c r="C170" s="2"/>
      <c r="D170" s="2"/>
      <c r="E170" s="2"/>
      <c r="F170" s="2"/>
      <c r="G170" s="2"/>
      <c r="H170" s="2"/>
      <c r="I170" s="2"/>
      <c r="J170" s="2"/>
      <c r="K170" s="2"/>
      <c r="L170" s="2"/>
      <c r="M170" s="2"/>
      <c r="N170" s="2"/>
      <c r="O170" s="2"/>
      <c r="P170" s="2"/>
      <c r="Q170" s="2"/>
      <c r="R170" s="2"/>
      <c r="S170" s="2"/>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row>
    <row r="171" spans="1:49" x14ac:dyDescent="0.35">
      <c r="A171" s="1"/>
      <c r="B171" s="1"/>
      <c r="C171" s="2"/>
      <c r="D171" s="2"/>
      <c r="E171" s="2"/>
      <c r="F171" s="2"/>
      <c r="G171" s="2"/>
      <c r="H171" s="2"/>
      <c r="I171" s="2"/>
      <c r="J171" s="2"/>
      <c r="K171" s="2"/>
      <c r="L171" s="2"/>
      <c r="M171" s="2"/>
      <c r="N171" s="2"/>
      <c r="O171" s="2"/>
      <c r="P171" s="2"/>
      <c r="Q171" s="2"/>
      <c r="R171" s="2"/>
      <c r="S171" s="2"/>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row>
    <row r="172" spans="1:49" x14ac:dyDescent="0.35">
      <c r="A172" s="1"/>
      <c r="B172" s="1"/>
      <c r="C172" s="2"/>
      <c r="D172" s="2"/>
      <c r="E172" s="2"/>
      <c r="F172" s="2"/>
      <c r="G172" s="2"/>
      <c r="H172" s="2"/>
      <c r="I172" s="2"/>
      <c r="J172" s="2"/>
      <c r="K172" s="2"/>
      <c r="L172" s="2"/>
      <c r="M172" s="2"/>
      <c r="N172" s="2"/>
      <c r="O172" s="2"/>
      <c r="P172" s="2"/>
      <c r="Q172" s="2"/>
      <c r="R172" s="2"/>
      <c r="S172" s="2"/>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row>
    <row r="173" spans="1:49" x14ac:dyDescent="0.35">
      <c r="A173" s="1"/>
      <c r="B173" s="1"/>
      <c r="C173" s="2"/>
      <c r="D173" s="2"/>
      <c r="E173" s="2"/>
      <c r="F173" s="2"/>
      <c r="G173" s="2"/>
      <c r="H173" s="2"/>
      <c r="I173" s="2"/>
      <c r="J173" s="2"/>
      <c r="K173" s="2"/>
      <c r="L173" s="2"/>
      <c r="M173" s="2"/>
      <c r="N173" s="2"/>
      <c r="O173" s="2"/>
      <c r="P173" s="2"/>
      <c r="Q173" s="2"/>
      <c r="R173" s="2"/>
      <c r="S173" s="2"/>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row>
    <row r="174" spans="1:49" x14ac:dyDescent="0.35">
      <c r="A174" s="1"/>
      <c r="B174" s="1"/>
      <c r="C174" s="2"/>
      <c r="D174" s="2"/>
      <c r="E174" s="2"/>
      <c r="F174" s="2"/>
      <c r="G174" s="2"/>
      <c r="H174" s="2"/>
      <c r="I174" s="2"/>
      <c r="J174" s="2"/>
      <c r="K174" s="2"/>
      <c r="L174" s="2"/>
      <c r="M174" s="2"/>
      <c r="N174" s="2"/>
      <c r="O174" s="2"/>
      <c r="P174" s="2"/>
      <c r="Q174" s="2"/>
      <c r="R174" s="2"/>
      <c r="S174" s="2"/>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row>
    <row r="175" spans="1:49" x14ac:dyDescent="0.35">
      <c r="A175" s="1"/>
      <c r="B175" s="1"/>
      <c r="C175" s="2"/>
      <c r="D175" s="2"/>
      <c r="E175" s="2"/>
      <c r="F175" s="2"/>
      <c r="G175" s="2"/>
      <c r="H175" s="2"/>
      <c r="I175" s="2"/>
      <c r="J175" s="2"/>
      <c r="K175" s="2"/>
      <c r="L175" s="2"/>
      <c r="M175" s="2"/>
      <c r="N175" s="2"/>
      <c r="O175" s="2"/>
      <c r="P175" s="2"/>
      <c r="Q175" s="2"/>
      <c r="R175" s="2"/>
      <c r="S175" s="2"/>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row>
    <row r="176" spans="1:49" x14ac:dyDescent="0.35">
      <c r="A176" s="1"/>
      <c r="B176" s="1"/>
      <c r="C176" s="2"/>
      <c r="D176" s="2"/>
      <c r="E176" s="2"/>
      <c r="F176" s="2"/>
      <c r="G176" s="2"/>
      <c r="H176" s="2"/>
      <c r="I176" s="2"/>
      <c r="J176" s="2"/>
      <c r="K176" s="2"/>
      <c r="L176" s="2"/>
      <c r="M176" s="2"/>
      <c r="N176" s="2"/>
      <c r="O176" s="2"/>
      <c r="P176" s="2"/>
      <c r="Q176" s="2"/>
      <c r="R176" s="2"/>
      <c r="S176" s="2"/>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row>
    <row r="177" spans="1:49" x14ac:dyDescent="0.35">
      <c r="A177" s="1"/>
      <c r="B177" s="1"/>
      <c r="C177" s="2"/>
      <c r="D177" s="2"/>
      <c r="E177" s="2"/>
      <c r="F177" s="2"/>
      <c r="G177" s="2"/>
      <c r="H177" s="2"/>
      <c r="I177" s="2"/>
      <c r="J177" s="2"/>
      <c r="K177" s="2"/>
      <c r="L177" s="2"/>
      <c r="M177" s="2"/>
      <c r="N177" s="2"/>
      <c r="O177" s="2"/>
      <c r="P177" s="2"/>
      <c r="Q177" s="2"/>
      <c r="R177" s="2"/>
      <c r="S177" s="2"/>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row>
    <row r="178" spans="1:49" x14ac:dyDescent="0.35">
      <c r="A178" s="1"/>
      <c r="B178" s="1"/>
      <c r="C178" s="2"/>
      <c r="D178" s="2"/>
      <c r="E178" s="2"/>
      <c r="F178" s="2"/>
      <c r="G178" s="2"/>
      <c r="H178" s="2"/>
      <c r="I178" s="2"/>
      <c r="J178" s="2"/>
      <c r="K178" s="2"/>
      <c r="L178" s="2"/>
      <c r="M178" s="2"/>
      <c r="N178" s="2"/>
      <c r="O178" s="2"/>
      <c r="P178" s="2"/>
      <c r="Q178" s="2"/>
      <c r="R178" s="2"/>
      <c r="S178" s="2"/>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row>
    <row r="179" spans="1:49" x14ac:dyDescent="0.35">
      <c r="A179" s="1"/>
      <c r="B179" s="1"/>
      <c r="C179" s="2"/>
      <c r="D179" s="2"/>
      <c r="E179" s="2"/>
      <c r="F179" s="2"/>
      <c r="G179" s="2"/>
      <c r="H179" s="2"/>
      <c r="I179" s="2"/>
      <c r="J179" s="2"/>
      <c r="K179" s="2"/>
      <c r="L179" s="2"/>
      <c r="M179" s="2"/>
      <c r="N179" s="2"/>
      <c r="O179" s="2"/>
      <c r="P179" s="2"/>
      <c r="Q179" s="2"/>
      <c r="R179" s="2"/>
      <c r="S179" s="2"/>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row>
    <row r="180" spans="1:49" x14ac:dyDescent="0.35">
      <c r="A180" s="1"/>
      <c r="B180" s="1"/>
      <c r="C180" s="2"/>
      <c r="D180" s="2"/>
      <c r="E180" s="2"/>
      <c r="F180" s="2"/>
      <c r="G180" s="2"/>
      <c r="H180" s="2"/>
      <c r="I180" s="2"/>
      <c r="J180" s="2"/>
      <c r="K180" s="2"/>
      <c r="L180" s="2"/>
      <c r="M180" s="2"/>
      <c r="N180" s="2"/>
      <c r="O180" s="2"/>
      <c r="P180" s="2"/>
      <c r="Q180" s="2"/>
      <c r="R180" s="2"/>
      <c r="S180" s="2"/>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row>
    <row r="181" spans="1:49" x14ac:dyDescent="0.35">
      <c r="A181" s="1"/>
      <c r="B181" s="1"/>
      <c r="C181" s="2"/>
      <c r="D181" s="2"/>
      <c r="E181" s="2"/>
      <c r="F181" s="2"/>
      <c r="G181" s="2"/>
      <c r="H181" s="2"/>
      <c r="I181" s="2"/>
      <c r="J181" s="2"/>
      <c r="K181" s="2"/>
      <c r="L181" s="2"/>
      <c r="M181" s="2"/>
      <c r="N181" s="2"/>
      <c r="O181" s="2"/>
      <c r="P181" s="2"/>
      <c r="Q181" s="2"/>
      <c r="R181" s="2"/>
      <c r="S181" s="2"/>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row>
    <row r="182" spans="1:49" x14ac:dyDescent="0.35">
      <c r="A182" s="1"/>
      <c r="B182" s="1"/>
      <c r="C182" s="2"/>
      <c r="D182" s="2"/>
      <c r="E182" s="2"/>
      <c r="F182" s="2"/>
      <c r="G182" s="2"/>
      <c r="H182" s="2"/>
      <c r="I182" s="2"/>
      <c r="J182" s="2"/>
      <c r="K182" s="2"/>
      <c r="L182" s="2"/>
      <c r="M182" s="2"/>
      <c r="N182" s="2"/>
      <c r="O182" s="2"/>
      <c r="P182" s="2"/>
      <c r="Q182" s="2"/>
      <c r="R182" s="2"/>
      <c r="S182" s="2"/>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row>
    <row r="183" spans="1:49" x14ac:dyDescent="0.35">
      <c r="A183" s="1"/>
      <c r="B183" s="1"/>
      <c r="C183" s="2"/>
      <c r="D183" s="2"/>
      <c r="E183" s="2"/>
      <c r="F183" s="2"/>
      <c r="G183" s="2"/>
      <c r="H183" s="2"/>
      <c r="I183" s="2"/>
      <c r="J183" s="2"/>
      <c r="K183" s="2"/>
      <c r="L183" s="2"/>
      <c r="M183" s="2"/>
      <c r="N183" s="2"/>
      <c r="O183" s="2"/>
      <c r="P183" s="2"/>
      <c r="Q183" s="2"/>
      <c r="R183" s="2"/>
      <c r="S183" s="2"/>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row>
    <row r="184" spans="1:49" x14ac:dyDescent="0.35">
      <c r="A184" s="1"/>
      <c r="B184" s="1"/>
      <c r="C184" s="2"/>
      <c r="D184" s="2"/>
      <c r="E184" s="2"/>
      <c r="F184" s="2"/>
      <c r="G184" s="2"/>
      <c r="H184" s="2"/>
      <c r="I184" s="2"/>
      <c r="J184" s="2"/>
      <c r="K184" s="2"/>
      <c r="L184" s="2"/>
      <c r="M184" s="2"/>
      <c r="N184" s="2"/>
      <c r="O184" s="2"/>
      <c r="P184" s="2"/>
      <c r="Q184" s="2"/>
      <c r="R184" s="2"/>
      <c r="S184" s="2"/>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row>
    <row r="185" spans="1:49" x14ac:dyDescent="0.35">
      <c r="A185" s="1"/>
      <c r="B185" s="1"/>
      <c r="C185" s="2"/>
      <c r="D185" s="2"/>
      <c r="E185" s="2"/>
      <c r="F185" s="2"/>
      <c r="G185" s="2"/>
      <c r="H185" s="2"/>
      <c r="I185" s="2"/>
      <c r="J185" s="2"/>
      <c r="K185" s="2"/>
      <c r="L185" s="2"/>
      <c r="M185" s="2"/>
      <c r="N185" s="2"/>
      <c r="O185" s="2"/>
      <c r="P185" s="2"/>
      <c r="Q185" s="2"/>
      <c r="R185" s="2"/>
      <c r="S185" s="2"/>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row>
    <row r="186" spans="1:49" x14ac:dyDescent="0.35">
      <c r="A186" s="1"/>
      <c r="B186" s="1"/>
      <c r="C186" s="2"/>
      <c r="D186" s="2"/>
      <c r="E186" s="2"/>
      <c r="F186" s="2"/>
      <c r="G186" s="2"/>
      <c r="H186" s="2"/>
      <c r="I186" s="2"/>
      <c r="J186" s="2"/>
      <c r="K186" s="2"/>
      <c r="L186" s="2"/>
      <c r="M186" s="2"/>
      <c r="N186" s="2"/>
      <c r="O186" s="2"/>
      <c r="P186" s="2"/>
      <c r="Q186" s="2"/>
      <c r="R186" s="2"/>
      <c r="S186" s="2"/>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row>
    <row r="187" spans="1:49" x14ac:dyDescent="0.35">
      <c r="A187" s="1"/>
      <c r="B187" s="1"/>
      <c r="C187" s="2"/>
      <c r="D187" s="2"/>
      <c r="E187" s="2"/>
      <c r="F187" s="2"/>
      <c r="G187" s="2"/>
      <c r="H187" s="2"/>
      <c r="I187" s="2"/>
      <c r="J187" s="2"/>
      <c r="K187" s="2"/>
      <c r="L187" s="2"/>
      <c r="M187" s="2"/>
      <c r="N187" s="2"/>
      <c r="O187" s="2"/>
      <c r="P187" s="2"/>
      <c r="Q187" s="2"/>
      <c r="R187" s="2"/>
      <c r="S187" s="2"/>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row>
    <row r="188" spans="1:49" x14ac:dyDescent="0.35">
      <c r="A188" s="1"/>
      <c r="B188" s="1"/>
      <c r="C188" s="2"/>
      <c r="D188" s="2"/>
      <c r="E188" s="2"/>
      <c r="F188" s="2"/>
      <c r="G188" s="2"/>
      <c r="H188" s="2"/>
      <c r="I188" s="2"/>
      <c r="J188" s="2"/>
      <c r="K188" s="2"/>
      <c r="L188" s="2"/>
      <c r="M188" s="2"/>
      <c r="N188" s="2"/>
      <c r="O188" s="2"/>
      <c r="P188" s="2"/>
      <c r="Q188" s="2"/>
      <c r="R188" s="2"/>
      <c r="S188" s="2"/>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row>
    <row r="189" spans="1:49" x14ac:dyDescent="0.35">
      <c r="A189" s="1"/>
      <c r="B189" s="1"/>
      <c r="C189" s="2"/>
      <c r="D189" s="2"/>
      <c r="E189" s="2"/>
      <c r="F189" s="2"/>
      <c r="G189" s="2"/>
      <c r="H189" s="2"/>
      <c r="I189" s="2"/>
      <c r="J189" s="2"/>
      <c r="K189" s="2"/>
      <c r="L189" s="2"/>
      <c r="M189" s="2"/>
      <c r="N189" s="2"/>
      <c r="O189" s="2"/>
      <c r="P189" s="2"/>
      <c r="Q189" s="2"/>
      <c r="R189" s="2"/>
      <c r="S189" s="2"/>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row>
    <row r="190" spans="1:49" x14ac:dyDescent="0.35">
      <c r="A190" s="1"/>
      <c r="B190" s="1"/>
      <c r="C190" s="2"/>
      <c r="D190" s="2"/>
      <c r="E190" s="2"/>
      <c r="F190" s="2"/>
      <c r="G190" s="2"/>
      <c r="H190" s="2"/>
      <c r="I190" s="2"/>
      <c r="J190" s="2"/>
      <c r="K190" s="2"/>
      <c r="L190" s="2"/>
      <c r="M190" s="2"/>
      <c r="N190" s="2"/>
      <c r="O190" s="2"/>
      <c r="P190" s="2"/>
      <c r="Q190" s="2"/>
      <c r="R190" s="2"/>
      <c r="S190" s="2"/>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row>
    <row r="191" spans="1:49" x14ac:dyDescent="0.35">
      <c r="A191" s="1"/>
      <c r="B191" s="1"/>
      <c r="C191" s="2"/>
      <c r="D191" s="2"/>
      <c r="E191" s="2"/>
      <c r="F191" s="2"/>
      <c r="G191" s="2"/>
      <c r="H191" s="2"/>
      <c r="I191" s="2"/>
      <c r="J191" s="2"/>
      <c r="K191" s="2"/>
      <c r="L191" s="2"/>
      <c r="M191" s="2"/>
      <c r="N191" s="2"/>
      <c r="O191" s="2"/>
      <c r="P191" s="2"/>
      <c r="Q191" s="2"/>
      <c r="R191" s="2"/>
      <c r="S191" s="2"/>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row>
    <row r="192" spans="1:49" x14ac:dyDescent="0.35">
      <c r="A192" s="1"/>
      <c r="B192" s="1"/>
      <c r="C192" s="2"/>
      <c r="D192" s="2"/>
      <c r="E192" s="2"/>
      <c r="F192" s="2"/>
      <c r="G192" s="2"/>
      <c r="H192" s="2"/>
      <c r="I192" s="2"/>
      <c r="J192" s="2"/>
      <c r="K192" s="2"/>
      <c r="L192" s="2"/>
      <c r="M192" s="2"/>
      <c r="N192" s="2"/>
      <c r="O192" s="2"/>
      <c r="P192" s="2"/>
      <c r="Q192" s="2"/>
      <c r="R192" s="2"/>
      <c r="S192" s="2"/>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row>
    <row r="193" spans="1:49" x14ac:dyDescent="0.35">
      <c r="A193" s="1"/>
      <c r="B193" s="1"/>
      <c r="C193" s="2"/>
      <c r="D193" s="2"/>
      <c r="E193" s="2"/>
      <c r="F193" s="2"/>
      <c r="G193" s="2"/>
      <c r="H193" s="2"/>
      <c r="I193" s="2"/>
      <c r="J193" s="2"/>
      <c r="K193" s="2"/>
      <c r="L193" s="2"/>
      <c r="M193" s="2"/>
      <c r="N193" s="2"/>
      <c r="O193" s="2"/>
      <c r="P193" s="2"/>
      <c r="Q193" s="2"/>
      <c r="R193" s="2"/>
      <c r="S193" s="2"/>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row>
    <row r="194" spans="1:49" x14ac:dyDescent="0.35">
      <c r="A194" s="1"/>
      <c r="B194" s="1"/>
      <c r="C194" s="2"/>
      <c r="D194" s="2"/>
      <c r="E194" s="2"/>
      <c r="F194" s="2"/>
      <c r="G194" s="2"/>
      <c r="H194" s="2"/>
      <c r="I194" s="2"/>
      <c r="J194" s="2"/>
      <c r="K194" s="2"/>
      <c r="L194" s="2"/>
      <c r="M194" s="2"/>
      <c r="N194" s="2"/>
      <c r="O194" s="2"/>
      <c r="P194" s="2"/>
      <c r="Q194" s="2"/>
      <c r="R194" s="2"/>
      <c r="S194" s="2"/>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row>
    <row r="195" spans="1:49" x14ac:dyDescent="0.35">
      <c r="A195" s="1"/>
      <c r="B195" s="1"/>
      <c r="C195" s="2"/>
      <c r="D195" s="2"/>
      <c r="E195" s="2"/>
      <c r="F195" s="2"/>
      <c r="G195" s="2"/>
      <c r="H195" s="2"/>
      <c r="I195" s="2"/>
      <c r="J195" s="2"/>
      <c r="K195" s="2"/>
      <c r="L195" s="2"/>
      <c r="M195" s="2"/>
      <c r="N195" s="2"/>
      <c r="O195" s="2"/>
      <c r="P195" s="2"/>
      <c r="Q195" s="2"/>
      <c r="R195" s="2"/>
      <c r="S195" s="2"/>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row>
    <row r="196" spans="1:49" x14ac:dyDescent="0.35">
      <c r="A196" s="1"/>
      <c r="B196" s="1"/>
      <c r="C196" s="2"/>
      <c r="D196" s="2"/>
      <c r="E196" s="2"/>
      <c r="F196" s="2"/>
      <c r="G196" s="2"/>
      <c r="H196" s="2"/>
      <c r="I196" s="2"/>
      <c r="J196" s="2"/>
      <c r="K196" s="2"/>
      <c r="L196" s="2"/>
      <c r="M196" s="2"/>
      <c r="N196" s="2"/>
      <c r="O196" s="2"/>
      <c r="P196" s="2"/>
      <c r="Q196" s="2"/>
      <c r="R196" s="2"/>
      <c r="S196" s="2"/>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row>
    <row r="197" spans="1:49" x14ac:dyDescent="0.35">
      <c r="A197" s="1"/>
      <c r="B197" s="1"/>
      <c r="C197" s="2"/>
      <c r="D197" s="2"/>
      <c r="E197" s="2"/>
      <c r="F197" s="2"/>
      <c r="G197" s="2"/>
      <c r="H197" s="2"/>
      <c r="I197" s="2"/>
      <c r="J197" s="2"/>
      <c r="K197" s="2"/>
      <c r="L197" s="2"/>
      <c r="M197" s="2"/>
      <c r="N197" s="2"/>
      <c r="O197" s="2"/>
      <c r="P197" s="2"/>
      <c r="Q197" s="2"/>
      <c r="R197" s="2"/>
      <c r="S197" s="2"/>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row>
    <row r="198" spans="1:49" x14ac:dyDescent="0.35">
      <c r="A198" s="1"/>
      <c r="B198" s="1"/>
      <c r="C198" s="2"/>
      <c r="D198" s="2"/>
      <c r="E198" s="2"/>
      <c r="F198" s="2"/>
      <c r="G198" s="2"/>
      <c r="H198" s="2"/>
      <c r="I198" s="2"/>
      <c r="J198" s="2"/>
      <c r="K198" s="2"/>
      <c r="L198" s="2"/>
      <c r="M198" s="2"/>
      <c r="N198" s="2"/>
      <c r="O198" s="2"/>
      <c r="P198" s="2"/>
      <c r="Q198" s="2"/>
      <c r="R198" s="2"/>
      <c r="S198" s="2"/>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row>
    <row r="199" spans="1:49" x14ac:dyDescent="0.35">
      <c r="A199" s="1"/>
      <c r="B199" s="1"/>
      <c r="C199" s="2"/>
      <c r="D199" s="2"/>
      <c r="E199" s="2"/>
      <c r="F199" s="2"/>
      <c r="G199" s="2"/>
      <c r="H199" s="2"/>
      <c r="I199" s="2"/>
      <c r="J199" s="2"/>
      <c r="K199" s="2"/>
      <c r="L199" s="2"/>
      <c r="M199" s="2"/>
      <c r="N199" s="2"/>
      <c r="O199" s="2"/>
      <c r="P199" s="2"/>
      <c r="Q199" s="2"/>
      <c r="R199" s="2"/>
      <c r="S199" s="2"/>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row>
    <row r="200" spans="1:49" x14ac:dyDescent="0.35">
      <c r="A200" s="1"/>
      <c r="B200" s="1"/>
      <c r="C200" s="2"/>
      <c r="D200" s="2"/>
      <c r="E200" s="2"/>
      <c r="F200" s="2"/>
      <c r="G200" s="2"/>
      <c r="H200" s="2"/>
      <c r="I200" s="2"/>
      <c r="J200" s="2"/>
      <c r="K200" s="2"/>
      <c r="L200" s="2"/>
      <c r="M200" s="2"/>
      <c r="N200" s="2"/>
      <c r="O200" s="2"/>
      <c r="P200" s="2"/>
      <c r="Q200" s="2"/>
      <c r="R200" s="2"/>
      <c r="S200" s="2"/>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row>
    <row r="201" spans="1:49" x14ac:dyDescent="0.35">
      <c r="A201" s="1"/>
      <c r="B201" s="1"/>
      <c r="C201" s="2"/>
      <c r="D201" s="2"/>
      <c r="E201" s="2"/>
      <c r="F201" s="2"/>
      <c r="G201" s="2"/>
      <c r="H201" s="2"/>
      <c r="I201" s="2"/>
      <c r="J201" s="2"/>
      <c r="K201" s="2"/>
      <c r="L201" s="2"/>
      <c r="M201" s="2"/>
      <c r="N201" s="2"/>
      <c r="O201" s="2"/>
      <c r="P201" s="2"/>
      <c r="Q201" s="2"/>
      <c r="R201" s="2"/>
      <c r="S201" s="2"/>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row>
    <row r="202" spans="1:49" x14ac:dyDescent="0.35">
      <c r="A202" s="1"/>
      <c r="B202" s="1"/>
      <c r="C202" s="2"/>
      <c r="D202" s="2"/>
      <c r="E202" s="2"/>
      <c r="F202" s="2"/>
      <c r="G202" s="2"/>
      <c r="H202" s="2"/>
      <c r="I202" s="2"/>
      <c r="J202" s="2"/>
      <c r="K202" s="2"/>
      <c r="L202" s="2"/>
      <c r="M202" s="2"/>
      <c r="N202" s="2"/>
      <c r="O202" s="2"/>
      <c r="P202" s="2"/>
      <c r="Q202" s="2"/>
      <c r="R202" s="2"/>
      <c r="S202" s="2"/>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row>
    <row r="203" spans="1:49" x14ac:dyDescent="0.35">
      <c r="A203" s="1"/>
      <c r="B203" s="1"/>
      <c r="C203" s="2"/>
      <c r="D203" s="2"/>
      <c r="E203" s="2"/>
      <c r="F203" s="2"/>
      <c r="G203" s="2"/>
      <c r="H203" s="2"/>
      <c r="I203" s="2"/>
      <c r="J203" s="2"/>
      <c r="K203" s="2"/>
      <c r="L203" s="2"/>
      <c r="M203" s="2"/>
      <c r="N203" s="2"/>
      <c r="O203" s="2"/>
      <c r="P203" s="2"/>
      <c r="Q203" s="2"/>
      <c r="R203" s="2"/>
      <c r="S203" s="2"/>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row>
    <row r="204" spans="1:49" x14ac:dyDescent="0.35">
      <c r="A204" s="1"/>
      <c r="B204" s="1"/>
      <c r="C204" s="2"/>
      <c r="D204" s="2"/>
      <c r="E204" s="2"/>
      <c r="F204" s="2"/>
      <c r="G204" s="2"/>
      <c r="H204" s="2"/>
      <c r="I204" s="2"/>
      <c r="J204" s="2"/>
      <c r="K204" s="2"/>
      <c r="L204" s="2"/>
      <c r="M204" s="2"/>
      <c r="N204" s="2"/>
      <c r="O204" s="2"/>
      <c r="P204" s="2"/>
      <c r="Q204" s="2"/>
      <c r="R204" s="2"/>
      <c r="S204" s="2"/>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row>
    <row r="205" spans="1:49" x14ac:dyDescent="0.35">
      <c r="A205" s="1"/>
      <c r="B205" s="1"/>
      <c r="C205" s="2"/>
      <c r="D205" s="2"/>
      <c r="E205" s="2"/>
      <c r="F205" s="2"/>
      <c r="G205" s="2"/>
      <c r="H205" s="2"/>
      <c r="I205" s="2"/>
      <c r="J205" s="2"/>
      <c r="K205" s="2"/>
      <c r="L205" s="2"/>
      <c r="M205" s="2"/>
      <c r="N205" s="2"/>
      <c r="O205" s="2"/>
      <c r="P205" s="2"/>
      <c r="Q205" s="2"/>
      <c r="R205" s="2"/>
      <c r="S205" s="2"/>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row>
    <row r="206" spans="1:49" x14ac:dyDescent="0.35">
      <c r="A206" s="1"/>
      <c r="B206" s="1"/>
      <c r="C206" s="2"/>
      <c r="D206" s="2"/>
      <c r="E206" s="2"/>
      <c r="F206" s="2"/>
      <c r="G206" s="2"/>
      <c r="H206" s="2"/>
      <c r="I206" s="2"/>
      <c r="J206" s="2"/>
      <c r="K206" s="2"/>
      <c r="L206" s="2"/>
      <c r="M206" s="2"/>
      <c r="N206" s="2"/>
      <c r="O206" s="2"/>
      <c r="P206" s="2"/>
      <c r="Q206" s="2"/>
      <c r="R206" s="2"/>
      <c r="S206" s="2"/>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row>
    <row r="207" spans="1:49" x14ac:dyDescent="0.35">
      <c r="A207" s="1"/>
      <c r="B207" s="1"/>
      <c r="C207" s="2"/>
      <c r="D207" s="2"/>
      <c r="E207" s="2"/>
      <c r="F207" s="2"/>
      <c r="G207" s="2"/>
      <c r="H207" s="2"/>
      <c r="I207" s="2"/>
      <c r="J207" s="2"/>
      <c r="K207" s="2"/>
      <c r="L207" s="2"/>
      <c r="M207" s="2"/>
      <c r="N207" s="2"/>
      <c r="O207" s="2"/>
      <c r="P207" s="2"/>
      <c r="Q207" s="2"/>
      <c r="R207" s="2"/>
      <c r="S207" s="2"/>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row>
  </sheetData>
  <conditionalFormatting sqref="C8:M78 C72:J79">
    <cfRule type="cellIs" dxfId="25" priority="1" operator="equal">
      <formula>0</formula>
    </cfRule>
  </conditionalFormatting>
  <pageMargins left="0.511811024" right="0.511811024" top="0.78740157499999996" bottom="0.78740157499999996" header="0.31496062000000002" footer="0.31496062000000002"/>
  <pageSetup orientation="portrait" r:id="rId1"/>
  <ignoredErrors>
    <ignoredError sqref="C28:J28 C41:J41 C60:J60" formulaRange="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DC6BD-7E71-445F-A785-1EC1BD58B3E1}">
  <sheetPr codeName="Planilha5"/>
  <dimension ref="A1:AQ318"/>
  <sheetViews>
    <sheetView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8.7265625" style="3"/>
    <col min="2" max="2" width="89.54296875" style="3" bestFit="1" customWidth="1"/>
    <col min="3" max="10" width="14.1796875" style="8" customWidth="1"/>
    <col min="11" max="13" width="8.7265625" style="8"/>
    <col min="14" max="43" width="8.7265625" style="3"/>
  </cols>
  <sheetData>
    <row r="1" spans="1:43" s="3" customFormat="1" ht="18" customHeight="1" x14ac:dyDescent="0.35">
      <c r="A1" s="1"/>
      <c r="B1" s="1"/>
      <c r="C1" s="2"/>
      <c r="D1" s="2"/>
      <c r="E1" s="2"/>
      <c r="F1" s="2"/>
      <c r="G1" s="2"/>
      <c r="H1" s="2"/>
      <c r="I1" s="2"/>
      <c r="J1" s="2"/>
      <c r="K1" s="2"/>
      <c r="L1" s="2"/>
      <c r="M1" s="2"/>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s="3" customFormat="1" ht="18" customHeight="1" x14ac:dyDescent="0.35">
      <c r="A2" s="1"/>
      <c r="B2" s="1"/>
      <c r="C2" s="2"/>
      <c r="D2" s="2"/>
      <c r="E2" s="2"/>
      <c r="F2" s="2"/>
      <c r="G2" s="2"/>
      <c r="H2" s="2"/>
      <c r="I2" s="2"/>
      <c r="J2" s="2"/>
      <c r="K2" s="2"/>
      <c r="L2" s="2"/>
      <c r="M2" s="2"/>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s="3" customFormat="1" ht="18" customHeight="1" x14ac:dyDescent="0.35">
      <c r="A3" s="1"/>
      <c r="B3" s="1"/>
      <c r="C3" s="2"/>
      <c r="D3" s="2"/>
      <c r="E3" s="2"/>
      <c r="F3" s="2"/>
      <c r="G3" s="2"/>
      <c r="H3" s="2"/>
      <c r="I3" s="2"/>
      <c r="J3" s="2"/>
      <c r="K3" s="2"/>
      <c r="L3" s="2"/>
      <c r="M3" s="2"/>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s="3" customFormat="1" ht="18" customHeight="1" x14ac:dyDescent="0.35">
      <c r="A4" s="1"/>
      <c r="B4" s="1"/>
      <c r="C4" s="2"/>
      <c r="D4" s="2"/>
      <c r="E4" s="2"/>
      <c r="F4" s="2"/>
      <c r="G4" s="2"/>
      <c r="H4" s="2"/>
      <c r="I4" s="2"/>
      <c r="J4" s="2"/>
      <c r="K4" s="2"/>
      <c r="L4" s="2"/>
      <c r="M4" s="2"/>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row>
    <row r="5" spans="1:43" s="3" customFormat="1" ht="18" customHeight="1" x14ac:dyDescent="0.35">
      <c r="A5" s="1"/>
      <c r="B5" s="1"/>
      <c r="C5" s="2"/>
      <c r="D5" s="2"/>
      <c r="E5" s="2"/>
      <c r="F5" s="2"/>
      <c r="G5" s="2"/>
      <c r="H5" s="2"/>
      <c r="I5" s="2"/>
      <c r="J5" s="2"/>
      <c r="K5" s="2"/>
      <c r="L5" s="2"/>
      <c r="M5" s="2"/>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row>
    <row r="6" spans="1:43" s="3" customFormat="1" ht="18" customHeight="1" x14ac:dyDescent="0.35">
      <c r="A6" s="1"/>
      <c r="B6" s="1"/>
      <c r="C6" s="2"/>
      <c r="D6" s="2"/>
      <c r="E6" s="2"/>
      <c r="F6" s="2"/>
      <c r="G6" s="2"/>
      <c r="H6" s="2"/>
      <c r="I6" s="2"/>
      <c r="J6" s="2"/>
      <c r="K6" s="2"/>
      <c r="L6" s="2"/>
      <c r="M6" s="2"/>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row>
    <row r="7" spans="1:43" ht="18" customHeight="1" thickBot="1" x14ac:dyDescent="0.4">
      <c r="A7" s="1"/>
      <c r="B7" s="1"/>
      <c r="C7" s="17">
        <v>2016</v>
      </c>
      <c r="D7" s="17">
        <f>C7+1</f>
        <v>2017</v>
      </c>
      <c r="E7" s="17">
        <f t="shared" ref="E7:H7" si="0">D7+1</f>
        <v>2018</v>
      </c>
      <c r="F7" s="17">
        <f t="shared" si="0"/>
        <v>2019</v>
      </c>
      <c r="G7" s="17">
        <f t="shared" si="0"/>
        <v>2020</v>
      </c>
      <c r="H7" s="17">
        <f t="shared" si="0"/>
        <v>2021</v>
      </c>
      <c r="I7" s="17">
        <f t="shared" ref="I7:J7" si="1">H7+1</f>
        <v>2022</v>
      </c>
      <c r="J7" s="17">
        <f t="shared" si="1"/>
        <v>2023</v>
      </c>
      <c r="K7" s="2"/>
      <c r="L7" s="2"/>
      <c r="M7" s="2"/>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row>
    <row r="8" spans="1:43" ht="18" customHeight="1" x14ac:dyDescent="0.35">
      <c r="A8" s="1"/>
      <c r="B8" s="28" t="s">
        <v>136</v>
      </c>
      <c r="C8" s="29">
        <f t="shared" ref="C8:J8" si="2">SUM(C9:C10,C30)</f>
        <v>351380</v>
      </c>
      <c r="D8" s="29">
        <f t="shared" si="2"/>
        <v>595522</v>
      </c>
      <c r="E8" s="29">
        <f t="shared" si="2"/>
        <v>358536</v>
      </c>
      <c r="F8" s="29">
        <f t="shared" si="2"/>
        <v>851888</v>
      </c>
      <c r="G8" s="29">
        <f t="shared" si="2"/>
        <v>604648</v>
      </c>
      <c r="H8" s="29">
        <f t="shared" si="2"/>
        <v>480793</v>
      </c>
      <c r="I8" s="29">
        <f t="shared" si="2"/>
        <v>1090374</v>
      </c>
      <c r="J8" s="29">
        <f t="shared" si="2"/>
        <v>960251</v>
      </c>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row>
    <row r="9" spans="1:43" ht="18" customHeight="1" x14ac:dyDescent="0.35">
      <c r="A9" s="1"/>
      <c r="B9" s="13" t="s">
        <v>153</v>
      </c>
      <c r="C9" s="26">
        <v>-204914</v>
      </c>
      <c r="D9" s="26">
        <v>141547</v>
      </c>
      <c r="E9" s="26">
        <v>225550</v>
      </c>
      <c r="F9" s="26">
        <v>1422026</v>
      </c>
      <c r="G9" s="26">
        <v>-255673</v>
      </c>
      <c r="H9" s="26">
        <v>991</v>
      </c>
      <c r="I9" s="26">
        <v>-43276</v>
      </c>
      <c r="J9" s="26">
        <v>-34235</v>
      </c>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row>
    <row r="10" spans="1:43" ht="18" customHeight="1" x14ac:dyDescent="0.35">
      <c r="A10" s="1"/>
      <c r="B10" s="20" t="s">
        <v>117</v>
      </c>
      <c r="C10" s="29">
        <f t="shared" ref="C10:E10" si="3">SUM(C11:C29)</f>
        <v>563466</v>
      </c>
      <c r="D10" s="29">
        <f t="shared" si="3"/>
        <v>471261</v>
      </c>
      <c r="E10" s="29">
        <f t="shared" si="3"/>
        <v>377799</v>
      </c>
      <c r="F10" s="29">
        <f>SUM(F11:F29)</f>
        <v>-527529</v>
      </c>
      <c r="G10" s="29">
        <f t="shared" ref="G10:J10" si="4">SUM(G11:G29)</f>
        <v>577459</v>
      </c>
      <c r="H10" s="29">
        <f t="shared" si="4"/>
        <v>561794</v>
      </c>
      <c r="I10" s="29">
        <f t="shared" si="4"/>
        <v>1060791</v>
      </c>
      <c r="J10" s="29">
        <f t="shared" si="4"/>
        <v>1449781</v>
      </c>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row>
    <row r="11" spans="1:43" ht="18" customHeight="1" x14ac:dyDescent="0.35">
      <c r="A11" s="1"/>
      <c r="B11" s="14" t="s">
        <v>118</v>
      </c>
      <c r="C11" s="26">
        <v>15480</v>
      </c>
      <c r="D11" s="26">
        <v>-2258</v>
      </c>
      <c r="E11" s="26">
        <v>318</v>
      </c>
      <c r="F11" s="26">
        <v>8377</v>
      </c>
      <c r="G11" s="26">
        <v>3213</v>
      </c>
      <c r="H11" s="26">
        <v>5626</v>
      </c>
      <c r="I11" s="26">
        <v>68527</v>
      </c>
      <c r="J11" s="26">
        <v>233482</v>
      </c>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row>
    <row r="12" spans="1:43" ht="18" customHeight="1" x14ac:dyDescent="0.35">
      <c r="A12" s="1"/>
      <c r="B12" s="14" t="s">
        <v>119</v>
      </c>
      <c r="C12" s="26">
        <v>2440</v>
      </c>
      <c r="D12" s="26">
        <v>-4841</v>
      </c>
      <c r="E12" s="26">
        <v>1463</v>
      </c>
      <c r="F12" s="26">
        <v>-1988</v>
      </c>
      <c r="G12" s="26">
        <v>-4811</v>
      </c>
      <c r="H12" s="26">
        <v>1511</v>
      </c>
      <c r="I12" s="26">
        <v>-480</v>
      </c>
      <c r="J12" s="26">
        <v>-3815</v>
      </c>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row>
    <row r="13" spans="1:43" ht="18" customHeight="1" x14ac:dyDescent="0.35">
      <c r="A13" s="1"/>
      <c r="B13" s="14" t="s">
        <v>120</v>
      </c>
      <c r="C13" s="26">
        <v>0</v>
      </c>
      <c r="D13" s="26">
        <v>0</v>
      </c>
      <c r="E13" s="26">
        <v>0</v>
      </c>
      <c r="F13" s="26">
        <v>1131</v>
      </c>
      <c r="G13" s="26">
        <v>7728</v>
      </c>
      <c r="H13" s="26">
        <v>8486</v>
      </c>
      <c r="I13" s="26">
        <v>9780</v>
      </c>
      <c r="J13" s="26">
        <v>12238</v>
      </c>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row>
    <row r="14" spans="1:43" ht="18" customHeight="1" x14ac:dyDescent="0.35">
      <c r="A14" s="1"/>
      <c r="B14" s="14" t="s">
        <v>121</v>
      </c>
      <c r="C14" s="46">
        <v>48308</v>
      </c>
      <c r="D14" s="46">
        <v>59706</v>
      </c>
      <c r="E14" s="46">
        <v>53013</v>
      </c>
      <c r="F14" s="46">
        <v>38836</v>
      </c>
      <c r="G14" s="46">
        <v>45758</v>
      </c>
      <c r="H14" s="46">
        <v>52792</v>
      </c>
      <c r="I14" s="46">
        <v>63139</v>
      </c>
      <c r="J14" s="46">
        <v>78027</v>
      </c>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row>
    <row r="15" spans="1:43" ht="18" customHeight="1" x14ac:dyDescent="0.35">
      <c r="A15" s="1"/>
      <c r="B15" s="14" t="s">
        <v>122</v>
      </c>
      <c r="C15" s="26">
        <v>0</v>
      </c>
      <c r="D15" s="26">
        <v>0</v>
      </c>
      <c r="E15" s="26">
        <v>0</v>
      </c>
      <c r="F15" s="26">
        <v>-1282030</v>
      </c>
      <c r="G15" s="26">
        <v>-233720</v>
      </c>
      <c r="H15" s="26">
        <v>-312738</v>
      </c>
      <c r="I15" s="26">
        <v>-225271</v>
      </c>
      <c r="J15" s="26">
        <v>-67821</v>
      </c>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row>
    <row r="16" spans="1:43" ht="18" customHeight="1" x14ac:dyDescent="0.35">
      <c r="A16" s="1"/>
      <c r="B16" s="14" t="s">
        <v>123</v>
      </c>
      <c r="C16" s="26">
        <v>0</v>
      </c>
      <c r="D16" s="26">
        <v>0</v>
      </c>
      <c r="E16" s="26">
        <v>0</v>
      </c>
      <c r="F16" s="26">
        <v>0</v>
      </c>
      <c r="G16" s="26">
        <v>0</v>
      </c>
      <c r="H16" s="26">
        <v>0</v>
      </c>
      <c r="I16" s="26">
        <v>0</v>
      </c>
      <c r="J16" s="26">
        <v>0</v>
      </c>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row>
    <row r="17" spans="1:43" ht="18" customHeight="1" x14ac:dyDescent="0.35">
      <c r="A17" s="1"/>
      <c r="B17" s="14" t="s">
        <v>45</v>
      </c>
      <c r="C17" s="26">
        <v>202684</v>
      </c>
      <c r="D17" s="26">
        <v>197897</v>
      </c>
      <c r="E17" s="26">
        <v>205224</v>
      </c>
      <c r="F17" s="26">
        <v>233043</v>
      </c>
      <c r="G17" s="26">
        <v>246332</v>
      </c>
      <c r="H17" s="26">
        <v>246655</v>
      </c>
      <c r="I17" s="26">
        <v>295060</v>
      </c>
      <c r="J17" s="26">
        <v>367653</v>
      </c>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row>
    <row r="18" spans="1:43" ht="18" customHeight="1" x14ac:dyDescent="0.35">
      <c r="A18" s="1"/>
      <c r="B18" s="14" t="s">
        <v>124</v>
      </c>
      <c r="C18" s="26">
        <v>-47715</v>
      </c>
      <c r="D18" s="26">
        <v>8849</v>
      </c>
      <c r="E18" s="26">
        <v>-24561</v>
      </c>
      <c r="F18" s="26">
        <v>-11264</v>
      </c>
      <c r="G18" s="26">
        <v>-6150</v>
      </c>
      <c r="H18" s="26">
        <v>-3900</v>
      </c>
      <c r="I18" s="26">
        <v>-6141</v>
      </c>
      <c r="J18" s="26">
        <v>-3816</v>
      </c>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row>
    <row r="19" spans="1:43" ht="18" customHeight="1" x14ac:dyDescent="0.35">
      <c r="A19" s="1"/>
      <c r="B19" s="14" t="s">
        <v>159</v>
      </c>
      <c r="C19" s="26">
        <v>53157</v>
      </c>
      <c r="D19" s="26">
        <v>20398</v>
      </c>
      <c r="E19" s="26">
        <v>38504</v>
      </c>
      <c r="F19" s="26">
        <v>19767</v>
      </c>
      <c r="G19" s="26">
        <v>7591</v>
      </c>
      <c r="H19" s="26">
        <v>4632</v>
      </c>
      <c r="I19" s="26">
        <v>8594</v>
      </c>
      <c r="J19" s="26">
        <v>9411</v>
      </c>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row>
    <row r="20" spans="1:43" ht="18" customHeight="1" x14ac:dyDescent="0.35">
      <c r="A20" s="1"/>
      <c r="B20" s="14" t="s">
        <v>125</v>
      </c>
      <c r="C20" s="26">
        <v>0</v>
      </c>
      <c r="D20" s="26">
        <v>0</v>
      </c>
      <c r="E20" s="26">
        <v>0</v>
      </c>
      <c r="F20" s="26">
        <v>295675</v>
      </c>
      <c r="G20" s="26">
        <v>306443</v>
      </c>
      <c r="H20" s="26">
        <v>338325</v>
      </c>
      <c r="I20" s="26">
        <v>381532</v>
      </c>
      <c r="J20" s="26">
        <v>373419</v>
      </c>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row>
    <row r="21" spans="1:43" ht="18" customHeight="1" x14ac:dyDescent="0.35">
      <c r="A21" s="1"/>
      <c r="B21" s="14" t="s">
        <v>126</v>
      </c>
      <c r="C21" s="26">
        <v>0</v>
      </c>
      <c r="D21" s="26">
        <v>0</v>
      </c>
      <c r="E21" s="26">
        <v>0</v>
      </c>
      <c r="F21" s="26">
        <v>0</v>
      </c>
      <c r="G21" s="26">
        <v>0</v>
      </c>
      <c r="H21" s="26">
        <v>0</v>
      </c>
      <c r="I21" s="26">
        <v>-6577</v>
      </c>
      <c r="J21" s="26">
        <v>-2582</v>
      </c>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row>
    <row r="22" spans="1:43" ht="18" customHeight="1" x14ac:dyDescent="0.35">
      <c r="A22" s="1"/>
      <c r="B22" s="14" t="s">
        <v>49</v>
      </c>
      <c r="C22" s="26">
        <v>0</v>
      </c>
      <c r="D22" s="26">
        <v>0</v>
      </c>
      <c r="E22" s="26">
        <v>0</v>
      </c>
      <c r="F22" s="26">
        <v>142138</v>
      </c>
      <c r="G22" s="26">
        <v>139120</v>
      </c>
      <c r="H22" s="26">
        <v>144151</v>
      </c>
      <c r="I22" s="26">
        <v>165719</v>
      </c>
      <c r="J22" s="26">
        <v>173079</v>
      </c>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row>
    <row r="23" spans="1:43" ht="18" customHeight="1" x14ac:dyDescent="0.35">
      <c r="A23" s="1"/>
      <c r="B23" s="14" t="s">
        <v>127</v>
      </c>
      <c r="C23" s="26">
        <v>96056</v>
      </c>
      <c r="D23" s="26">
        <v>69318</v>
      </c>
      <c r="E23" s="26">
        <v>41149</v>
      </c>
      <c r="F23" s="26">
        <v>60749</v>
      </c>
      <c r="G23" s="26">
        <v>35802</v>
      </c>
      <c r="H23" s="26">
        <v>82181</v>
      </c>
      <c r="I23" s="26">
        <v>272449</v>
      </c>
      <c r="J23" s="26">
        <v>255421</v>
      </c>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row>
    <row r="24" spans="1:43" ht="18" customHeight="1" x14ac:dyDescent="0.35">
      <c r="A24" s="1"/>
      <c r="B24" s="14" t="s">
        <v>128</v>
      </c>
      <c r="C24" s="26">
        <v>0</v>
      </c>
      <c r="D24" s="26">
        <v>0</v>
      </c>
      <c r="E24" s="26">
        <v>0</v>
      </c>
      <c r="F24" s="26">
        <v>0</v>
      </c>
      <c r="G24" s="26">
        <v>2036</v>
      </c>
      <c r="H24" s="26">
        <v>2369</v>
      </c>
      <c r="I24" s="26">
        <v>4247</v>
      </c>
      <c r="J24" s="26">
        <v>5188</v>
      </c>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row>
    <row r="25" spans="1:43" ht="18" customHeight="1" x14ac:dyDescent="0.35">
      <c r="A25" s="1"/>
      <c r="B25" s="14" t="s">
        <v>129</v>
      </c>
      <c r="C25" s="26">
        <v>34731</v>
      </c>
      <c r="D25" s="26">
        <v>50795</v>
      </c>
      <c r="E25" s="26">
        <v>973</v>
      </c>
      <c r="F25" s="26">
        <v>-38047</v>
      </c>
      <c r="G25" s="26">
        <v>29538</v>
      </c>
      <c r="H25" s="26">
        <v>-5662</v>
      </c>
      <c r="I25" s="26">
        <v>42144</v>
      </c>
      <c r="J25" s="26">
        <v>28201</v>
      </c>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row>
    <row r="26" spans="1:43" ht="18" customHeight="1" x14ac:dyDescent="0.35">
      <c r="A26" s="1"/>
      <c r="B26" s="14" t="s">
        <v>130</v>
      </c>
      <c r="C26" s="26">
        <v>-2599</v>
      </c>
      <c r="D26" s="26">
        <v>-2250</v>
      </c>
      <c r="E26" s="26">
        <v>-1353</v>
      </c>
      <c r="F26" s="26">
        <v>-2887</v>
      </c>
      <c r="G26" s="26">
        <v>-1421</v>
      </c>
      <c r="H26" s="26">
        <v>-2635</v>
      </c>
      <c r="I26" s="26">
        <v>-10972</v>
      </c>
      <c r="J26" s="26">
        <v>-9590</v>
      </c>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row>
    <row r="27" spans="1:43" ht="18" customHeight="1" x14ac:dyDescent="0.35">
      <c r="A27" s="1"/>
      <c r="B27" s="14" t="s">
        <v>131</v>
      </c>
      <c r="C27" s="26">
        <v>0</v>
      </c>
      <c r="D27" s="26">
        <v>0</v>
      </c>
      <c r="E27" s="26">
        <v>0</v>
      </c>
      <c r="F27" s="26">
        <v>0</v>
      </c>
      <c r="G27" s="26">
        <v>0</v>
      </c>
      <c r="H27" s="26">
        <v>0</v>
      </c>
      <c r="I27" s="26">
        <v>-959</v>
      </c>
      <c r="J27" s="26">
        <v>1286</v>
      </c>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row>
    <row r="28" spans="1:43" ht="18" customHeight="1" x14ac:dyDescent="0.35">
      <c r="A28" s="1"/>
      <c r="B28" s="14" t="s">
        <v>154</v>
      </c>
      <c r="C28" s="26">
        <v>-219353</v>
      </c>
      <c r="D28" s="26">
        <v>26262</v>
      </c>
      <c r="E28" s="26">
        <v>86273</v>
      </c>
      <c r="F28" s="26">
        <v>-32372</v>
      </c>
      <c r="G28" s="26">
        <v>0</v>
      </c>
      <c r="H28" s="26">
        <v>0</v>
      </c>
      <c r="I28" s="26">
        <v>0</v>
      </c>
      <c r="J28" s="26">
        <v>0</v>
      </c>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row>
    <row r="29" spans="1:43" ht="18" customHeight="1" x14ac:dyDescent="0.35">
      <c r="A29" s="1"/>
      <c r="B29" s="14" t="s">
        <v>105</v>
      </c>
      <c r="C29" s="26">
        <v>380277</v>
      </c>
      <c r="D29" s="26">
        <v>47385</v>
      </c>
      <c r="E29" s="26">
        <v>-23204</v>
      </c>
      <c r="F29" s="26">
        <v>41343</v>
      </c>
      <c r="G29" s="26">
        <v>0</v>
      </c>
      <c r="H29" s="26">
        <v>1</v>
      </c>
      <c r="I29" s="26">
        <v>0</v>
      </c>
      <c r="J29" s="26">
        <v>0</v>
      </c>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row>
    <row r="30" spans="1:43" ht="18" customHeight="1" x14ac:dyDescent="0.35">
      <c r="A30" s="1"/>
      <c r="B30" s="20" t="s">
        <v>82</v>
      </c>
      <c r="C30" s="29">
        <f t="shared" ref="C30:H30" si="5">SUM(C31:C44)</f>
        <v>-7172</v>
      </c>
      <c r="D30" s="29">
        <f t="shared" si="5"/>
        <v>-17286</v>
      </c>
      <c r="E30" s="29">
        <f t="shared" si="5"/>
        <v>-244813</v>
      </c>
      <c r="F30" s="29">
        <f t="shared" si="5"/>
        <v>-42609</v>
      </c>
      <c r="G30" s="29">
        <f t="shared" si="5"/>
        <v>282862</v>
      </c>
      <c r="H30" s="29">
        <f t="shared" si="5"/>
        <v>-81992</v>
      </c>
      <c r="I30" s="29">
        <f>SUM(I31:I44)</f>
        <v>72859</v>
      </c>
      <c r="J30" s="29">
        <f>SUM(J31:J44)</f>
        <v>-455295</v>
      </c>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row>
    <row r="31" spans="1:43" ht="18" customHeight="1" x14ac:dyDescent="0.35">
      <c r="A31" s="1"/>
      <c r="B31" s="14" t="s">
        <v>83</v>
      </c>
      <c r="C31" s="26">
        <v>-115530</v>
      </c>
      <c r="D31" s="26">
        <v>-44495</v>
      </c>
      <c r="E31" s="26">
        <v>-73439</v>
      </c>
      <c r="F31" s="26">
        <v>-14471</v>
      </c>
      <c r="G31" s="26">
        <v>88917</v>
      </c>
      <c r="H31" s="26">
        <v>-98717</v>
      </c>
      <c r="I31" s="26">
        <v>-206909</v>
      </c>
      <c r="J31" s="26">
        <v>-725883</v>
      </c>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row>
    <row r="32" spans="1:43" ht="18" customHeight="1" x14ac:dyDescent="0.35">
      <c r="A32" s="1"/>
      <c r="B32" s="14" t="s">
        <v>89</v>
      </c>
      <c r="C32" s="26">
        <v>-58945</v>
      </c>
      <c r="D32" s="26">
        <v>2606</v>
      </c>
      <c r="E32" s="26">
        <v>-14561</v>
      </c>
      <c r="F32" s="26">
        <v>10433</v>
      </c>
      <c r="G32" s="26">
        <v>-34521</v>
      </c>
      <c r="H32" s="26">
        <v>23737</v>
      </c>
      <c r="I32" s="26">
        <v>-14959</v>
      </c>
      <c r="J32" s="26">
        <v>28129</v>
      </c>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row>
    <row r="33" spans="1:43" ht="18" customHeight="1" x14ac:dyDescent="0.35">
      <c r="A33" s="1"/>
      <c r="B33" s="14" t="s">
        <v>7</v>
      </c>
      <c r="C33" s="26">
        <v>97376</v>
      </c>
      <c r="D33" s="26">
        <v>-5770</v>
      </c>
      <c r="E33" s="26">
        <v>-64200</v>
      </c>
      <c r="F33" s="26">
        <v>-92939</v>
      </c>
      <c r="G33" s="26">
        <v>-142061</v>
      </c>
      <c r="H33" s="26">
        <v>-261041</v>
      </c>
      <c r="I33" s="26">
        <v>-65903</v>
      </c>
      <c r="J33" s="26">
        <v>-106040</v>
      </c>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row>
    <row r="34" spans="1:43" ht="18" customHeight="1" x14ac:dyDescent="0.35">
      <c r="A34" s="1"/>
      <c r="B34" s="14" t="s">
        <v>8</v>
      </c>
      <c r="C34" s="26">
        <v>51814</v>
      </c>
      <c r="D34" s="26">
        <v>-17821</v>
      </c>
      <c r="E34" s="26">
        <v>27952</v>
      </c>
      <c r="F34" s="26">
        <v>23372</v>
      </c>
      <c r="G34" s="26">
        <v>148488</v>
      </c>
      <c r="H34" s="26">
        <v>63822</v>
      </c>
      <c r="I34" s="26">
        <v>77400</v>
      </c>
      <c r="J34" s="26">
        <v>318335</v>
      </c>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row>
    <row r="35" spans="1:43" ht="18" customHeight="1" x14ac:dyDescent="0.35">
      <c r="A35" s="1"/>
      <c r="B35" s="14" t="s">
        <v>91</v>
      </c>
      <c r="C35" s="26">
        <v>6170</v>
      </c>
      <c r="D35" s="26">
        <v>-1618</v>
      </c>
      <c r="E35" s="26">
        <v>-1312</v>
      </c>
      <c r="F35" s="26">
        <v>-2744</v>
      </c>
      <c r="G35" s="26">
        <v>-2030</v>
      </c>
      <c r="H35" s="26">
        <v>-18391</v>
      </c>
      <c r="I35" s="26">
        <v>-5852</v>
      </c>
      <c r="J35" s="26">
        <v>-13259</v>
      </c>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row>
    <row r="36" spans="1:43" ht="18" customHeight="1" x14ac:dyDescent="0.35">
      <c r="A36" s="1"/>
      <c r="B36" s="14" t="s">
        <v>132</v>
      </c>
      <c r="C36" s="26">
        <v>0</v>
      </c>
      <c r="D36" s="26">
        <v>0</v>
      </c>
      <c r="E36" s="26">
        <v>0</v>
      </c>
      <c r="F36" s="26">
        <v>0</v>
      </c>
      <c r="G36" s="26">
        <v>0</v>
      </c>
      <c r="H36" s="26">
        <v>0</v>
      </c>
      <c r="I36" s="26">
        <v>0</v>
      </c>
      <c r="J36" s="26">
        <v>-184138</v>
      </c>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row>
    <row r="37" spans="1:43" ht="18" customHeight="1" x14ac:dyDescent="0.35">
      <c r="A37" s="1"/>
      <c r="B37" s="14" t="s">
        <v>85</v>
      </c>
      <c r="C37" s="26">
        <v>6686</v>
      </c>
      <c r="D37" s="26">
        <v>-1806</v>
      </c>
      <c r="E37" s="26">
        <v>-50321</v>
      </c>
      <c r="F37" s="26">
        <v>-4363</v>
      </c>
      <c r="G37" s="26">
        <v>7273</v>
      </c>
      <c r="H37" s="26">
        <v>-8854</v>
      </c>
      <c r="I37" s="26">
        <v>785</v>
      </c>
      <c r="J37" s="26">
        <v>15551</v>
      </c>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row>
    <row r="38" spans="1:43" ht="18" customHeight="1" x14ac:dyDescent="0.35">
      <c r="A38" s="1"/>
      <c r="B38" s="14" t="s">
        <v>19</v>
      </c>
      <c r="C38" s="26">
        <v>32950</v>
      </c>
      <c r="D38" s="26">
        <v>65732</v>
      </c>
      <c r="E38" s="26">
        <v>-2707</v>
      </c>
      <c r="F38" s="26">
        <v>126507</v>
      </c>
      <c r="G38" s="26">
        <v>337372</v>
      </c>
      <c r="H38" s="26">
        <v>133679</v>
      </c>
      <c r="I38" s="26">
        <v>145501</v>
      </c>
      <c r="J38" s="26">
        <v>270028</v>
      </c>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row>
    <row r="39" spans="1:43" ht="18" customHeight="1" x14ac:dyDescent="0.35">
      <c r="A39" s="1"/>
      <c r="B39" s="14" t="s">
        <v>133</v>
      </c>
      <c r="C39" s="26">
        <v>0</v>
      </c>
      <c r="D39" s="26">
        <v>0</v>
      </c>
      <c r="E39" s="26">
        <v>0</v>
      </c>
      <c r="F39" s="26">
        <v>0</v>
      </c>
      <c r="G39" s="26">
        <v>0</v>
      </c>
      <c r="H39" s="26">
        <v>0</v>
      </c>
      <c r="I39" s="26">
        <v>0</v>
      </c>
      <c r="J39" s="26">
        <v>-21557</v>
      </c>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row>
    <row r="40" spans="1:43" ht="18" customHeight="1" x14ac:dyDescent="0.35">
      <c r="A40" s="1"/>
      <c r="B40" s="14" t="s">
        <v>108</v>
      </c>
      <c r="C40" s="26">
        <v>15570</v>
      </c>
      <c r="D40" s="26">
        <v>31278</v>
      </c>
      <c r="E40" s="26">
        <v>-5857</v>
      </c>
      <c r="F40" s="26">
        <v>-2881</v>
      </c>
      <c r="G40" s="26">
        <v>8469</v>
      </c>
      <c r="H40" s="26">
        <v>20577</v>
      </c>
      <c r="I40" s="26">
        <v>44957</v>
      </c>
      <c r="J40" s="26">
        <v>44002</v>
      </c>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row>
    <row r="41" spans="1:43" ht="18" customHeight="1" x14ac:dyDescent="0.35">
      <c r="A41" s="1"/>
      <c r="B41" s="14" t="s">
        <v>106</v>
      </c>
      <c r="C41" s="26">
        <v>-37668</v>
      </c>
      <c r="D41" s="26">
        <v>-2364</v>
      </c>
      <c r="E41" s="26">
        <v>-1263</v>
      </c>
      <c r="F41" s="26">
        <v>-15205</v>
      </c>
      <c r="G41" s="26">
        <v>4494</v>
      </c>
      <c r="H41" s="26">
        <v>8418</v>
      </c>
      <c r="I41" s="26">
        <v>44377</v>
      </c>
      <c r="J41" s="26">
        <v>-21578</v>
      </c>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row>
    <row r="42" spans="1:43" ht="18" customHeight="1" x14ac:dyDescent="0.35">
      <c r="A42" s="1"/>
      <c r="B42" s="14" t="s">
        <v>134</v>
      </c>
      <c r="C42" s="26">
        <v>0</v>
      </c>
      <c r="D42" s="26">
        <v>-47160</v>
      </c>
      <c r="E42" s="26">
        <v>-23194</v>
      </c>
      <c r="F42" s="26">
        <v>-17556</v>
      </c>
      <c r="G42" s="26">
        <v>-18785</v>
      </c>
      <c r="H42" s="26">
        <v>-23870</v>
      </c>
      <c r="I42" s="26">
        <v>-17989</v>
      </c>
      <c r="J42" s="26">
        <v>-18399</v>
      </c>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row>
    <row r="43" spans="1:43" ht="18" customHeight="1" x14ac:dyDescent="0.35">
      <c r="A43" s="1"/>
      <c r="B43" s="14" t="s">
        <v>135</v>
      </c>
      <c r="C43" s="26">
        <v>-6623</v>
      </c>
      <c r="D43" s="26">
        <v>5912</v>
      </c>
      <c r="E43" s="26">
        <v>-30496</v>
      </c>
      <c r="F43" s="26">
        <v>-33815</v>
      </c>
      <c r="G43" s="26">
        <v>-92849</v>
      </c>
      <c r="H43" s="26">
        <v>80454</v>
      </c>
      <c r="I43" s="26">
        <v>91221</v>
      </c>
      <c r="J43" s="26">
        <v>-12965</v>
      </c>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row>
    <row r="44" spans="1:43" ht="18" customHeight="1" x14ac:dyDescent="0.35">
      <c r="A44" s="1"/>
      <c r="B44" s="14" t="s">
        <v>152</v>
      </c>
      <c r="C44" s="26">
        <v>1028</v>
      </c>
      <c r="D44" s="26">
        <v>-1780</v>
      </c>
      <c r="E44" s="26">
        <v>-5415</v>
      </c>
      <c r="F44" s="26">
        <v>-18947</v>
      </c>
      <c r="G44" s="26">
        <v>-21905</v>
      </c>
      <c r="H44" s="26">
        <v>-1806</v>
      </c>
      <c r="I44" s="26">
        <v>-19770</v>
      </c>
      <c r="J44" s="26">
        <v>-27521</v>
      </c>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row>
    <row r="45" spans="1:43" ht="18" customHeight="1" x14ac:dyDescent="0.35">
      <c r="A45" s="1"/>
      <c r="B45" s="28" t="s">
        <v>142</v>
      </c>
      <c r="C45" s="29">
        <f t="shared" ref="C45" si="6">SUM(C46:C50)</f>
        <v>-118616</v>
      </c>
      <c r="D45" s="29">
        <f t="shared" ref="D45" si="7">SUM(D46:D50)</f>
        <v>-90148</v>
      </c>
      <c r="E45" s="29">
        <f t="shared" ref="E45" si="8">SUM(E46:E50)</f>
        <v>-246408</v>
      </c>
      <c r="F45" s="29">
        <f t="shared" ref="F45:H45" si="9">SUM(F46:F50)</f>
        <v>-321306</v>
      </c>
      <c r="G45" s="29">
        <f t="shared" si="9"/>
        <v>-259999</v>
      </c>
      <c r="H45" s="29">
        <f t="shared" si="9"/>
        <v>-571324</v>
      </c>
      <c r="I45" s="29">
        <f>SUM(I46:I50)</f>
        <v>-471588</v>
      </c>
      <c r="J45" s="29">
        <f>SUM(J46:J50)</f>
        <v>-234423</v>
      </c>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row>
    <row r="46" spans="1:43" ht="18" customHeight="1" x14ac:dyDescent="0.35">
      <c r="A46" s="1"/>
      <c r="B46" s="13" t="s">
        <v>137</v>
      </c>
      <c r="C46" s="26">
        <v>-118616</v>
      </c>
      <c r="D46" s="26">
        <v>-90373</v>
      </c>
      <c r="E46" s="26">
        <v>-246459</v>
      </c>
      <c r="F46" s="26">
        <v>-321306</v>
      </c>
      <c r="G46" s="26">
        <v>-260090</v>
      </c>
      <c r="H46" s="26">
        <v>-571406</v>
      </c>
      <c r="I46" s="26">
        <v>-193203</v>
      </c>
      <c r="J46" s="26">
        <v>-74161</v>
      </c>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row>
    <row r="47" spans="1:43" ht="18" customHeight="1" x14ac:dyDescent="0.35">
      <c r="A47" s="1"/>
      <c r="B47" s="13" t="s">
        <v>138</v>
      </c>
      <c r="C47" s="26">
        <v>0</v>
      </c>
      <c r="D47" s="26">
        <v>0</v>
      </c>
      <c r="E47" s="26">
        <v>0</v>
      </c>
      <c r="F47" s="26">
        <v>0</v>
      </c>
      <c r="G47" s="26">
        <v>0</v>
      </c>
      <c r="H47" s="26">
        <v>0</v>
      </c>
      <c r="I47" s="26">
        <v>-278765</v>
      </c>
      <c r="J47" s="26">
        <v>-161805</v>
      </c>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row>
    <row r="48" spans="1:43" ht="18" customHeight="1" x14ac:dyDescent="0.35">
      <c r="A48" s="1"/>
      <c r="B48" s="13" t="s">
        <v>140</v>
      </c>
      <c r="C48" s="26">
        <v>0</v>
      </c>
      <c r="D48" s="26">
        <v>0</v>
      </c>
      <c r="E48" s="26">
        <v>0</v>
      </c>
      <c r="F48" s="26">
        <v>0</v>
      </c>
      <c r="G48" s="26">
        <v>0</v>
      </c>
      <c r="H48" s="26">
        <v>0</v>
      </c>
      <c r="I48" s="26">
        <v>0</v>
      </c>
      <c r="J48" s="26">
        <v>0</v>
      </c>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row>
    <row r="49" spans="1:43" ht="18" customHeight="1" x14ac:dyDescent="0.35">
      <c r="A49" s="1"/>
      <c r="B49" s="13" t="s">
        <v>139</v>
      </c>
      <c r="C49" s="26">
        <v>0</v>
      </c>
      <c r="D49" s="26">
        <v>0</v>
      </c>
      <c r="E49" s="26">
        <v>0</v>
      </c>
      <c r="F49" s="26">
        <v>0</v>
      </c>
      <c r="G49" s="26">
        <v>0</v>
      </c>
      <c r="H49" s="26">
        <v>0</v>
      </c>
      <c r="I49" s="26">
        <v>0</v>
      </c>
      <c r="J49" s="26">
        <v>0</v>
      </c>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row>
    <row r="50" spans="1:43" ht="18" customHeight="1" x14ac:dyDescent="0.35">
      <c r="A50" s="1"/>
      <c r="B50" s="13" t="s">
        <v>141</v>
      </c>
      <c r="C50" s="26">
        <v>0</v>
      </c>
      <c r="D50" s="26">
        <v>225</v>
      </c>
      <c r="E50" s="26">
        <v>51</v>
      </c>
      <c r="F50" s="26">
        <v>0</v>
      </c>
      <c r="G50" s="26">
        <v>91</v>
      </c>
      <c r="H50" s="26">
        <v>82</v>
      </c>
      <c r="I50" s="26">
        <v>380</v>
      </c>
      <c r="J50" s="26">
        <v>1543</v>
      </c>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row>
    <row r="51" spans="1:43" ht="18" customHeight="1" x14ac:dyDescent="0.35">
      <c r="A51" s="1"/>
      <c r="B51" s="28" t="s">
        <v>148</v>
      </c>
      <c r="C51" s="29">
        <f>SUM(C52:C62)</f>
        <v>42872</v>
      </c>
      <c r="D51" s="29">
        <f t="shared" ref="D51:J51" si="10">SUM(D52:D62)</f>
        <v>-563320</v>
      </c>
      <c r="E51" s="29">
        <f t="shared" si="10"/>
        <v>-97881</v>
      </c>
      <c r="F51" s="29">
        <f t="shared" si="10"/>
        <v>-529479</v>
      </c>
      <c r="G51" s="29">
        <f t="shared" si="10"/>
        <v>717401</v>
      </c>
      <c r="H51" s="29">
        <f t="shared" si="10"/>
        <v>-360601</v>
      </c>
      <c r="I51" s="29">
        <f t="shared" si="10"/>
        <v>5054</v>
      </c>
      <c r="J51" s="29">
        <f t="shared" si="10"/>
        <v>-1244331</v>
      </c>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row>
    <row r="52" spans="1:43" ht="18" customHeight="1" x14ac:dyDescent="0.35">
      <c r="A52" s="1"/>
      <c r="B52" s="13" t="s">
        <v>155</v>
      </c>
      <c r="C52" s="26">
        <v>200000</v>
      </c>
      <c r="D52" s="26">
        <v>145008</v>
      </c>
      <c r="E52" s="26">
        <v>0</v>
      </c>
      <c r="F52" s="26">
        <v>813699</v>
      </c>
      <c r="G52" s="26">
        <v>0</v>
      </c>
      <c r="H52" s="26">
        <v>0</v>
      </c>
      <c r="I52" s="27">
        <v>0</v>
      </c>
      <c r="J52" s="27">
        <v>0</v>
      </c>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row>
    <row r="53" spans="1:43" ht="18" customHeight="1" x14ac:dyDescent="0.35">
      <c r="A53" s="1"/>
      <c r="B53" s="13" t="s">
        <v>156</v>
      </c>
      <c r="C53" s="26">
        <v>0</v>
      </c>
      <c r="D53" s="26">
        <v>0</v>
      </c>
      <c r="E53" s="26">
        <v>0</v>
      </c>
      <c r="F53" s="26">
        <v>-2242</v>
      </c>
      <c r="G53" s="26">
        <v>0</v>
      </c>
      <c r="H53" s="26">
        <v>0</v>
      </c>
      <c r="I53" s="27">
        <v>0</v>
      </c>
      <c r="J53" s="27">
        <v>0</v>
      </c>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row>
    <row r="54" spans="1:43" ht="18" customHeight="1" x14ac:dyDescent="0.35">
      <c r="A54" s="1"/>
      <c r="B54" s="13" t="s">
        <v>143</v>
      </c>
      <c r="C54" s="26">
        <v>322400</v>
      </c>
      <c r="D54" s="26">
        <v>910420</v>
      </c>
      <c r="E54" s="26">
        <v>835432</v>
      </c>
      <c r="F54" s="26">
        <v>508000</v>
      </c>
      <c r="G54" s="26">
        <v>1200000</v>
      </c>
      <c r="H54" s="26">
        <v>515347</v>
      </c>
      <c r="I54" s="26">
        <v>1291249</v>
      </c>
      <c r="J54" s="26">
        <v>381372</v>
      </c>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row>
    <row r="55" spans="1:43" ht="18" customHeight="1" x14ac:dyDescent="0.35">
      <c r="A55" s="25"/>
      <c r="B55" s="13" t="s">
        <v>144</v>
      </c>
      <c r="C55" s="26"/>
      <c r="D55" s="26"/>
      <c r="E55" s="26"/>
      <c r="F55" s="26">
        <v>0</v>
      </c>
      <c r="G55" s="26">
        <v>-4994</v>
      </c>
      <c r="H55" s="26">
        <v>-3812</v>
      </c>
      <c r="I55" s="26">
        <f>-7574</f>
        <v>-7574</v>
      </c>
      <c r="J55" s="26">
        <v>-4983</v>
      </c>
      <c r="K55" s="7"/>
      <c r="L55" s="4"/>
      <c r="M55" s="4"/>
      <c r="N55" s="1"/>
      <c r="O55" s="1"/>
      <c r="P55" s="5"/>
      <c r="Q55" s="5"/>
      <c r="R55" s="5"/>
      <c r="S55" s="1"/>
      <c r="T55" s="1"/>
      <c r="U55" s="1"/>
      <c r="V55" s="1"/>
      <c r="W55" s="1"/>
      <c r="X55" s="1"/>
      <c r="Y55" s="1"/>
      <c r="Z55" s="1"/>
      <c r="AA55" s="1"/>
      <c r="AB55" s="1"/>
      <c r="AC55" s="1"/>
      <c r="AD55" s="1"/>
      <c r="AE55" s="1"/>
      <c r="AF55" s="1"/>
      <c r="AG55" s="1"/>
      <c r="AH55" s="1"/>
      <c r="AI55" s="1"/>
      <c r="AJ55" s="1"/>
      <c r="AK55" s="1"/>
      <c r="AL55" s="1"/>
      <c r="AM55" s="1"/>
      <c r="AN55" s="1"/>
      <c r="AO55" s="1"/>
      <c r="AP55" s="1"/>
      <c r="AQ55" s="1"/>
    </row>
    <row r="56" spans="1:43" ht="18" customHeight="1" x14ac:dyDescent="0.35">
      <c r="A56" s="25"/>
      <c r="B56" s="13" t="s">
        <v>145</v>
      </c>
      <c r="C56" s="26">
        <v>-322400</v>
      </c>
      <c r="D56" s="26">
        <v>-1401647</v>
      </c>
      <c r="E56" s="26">
        <v>-861721</v>
      </c>
      <c r="F56" s="26">
        <v>-1373038</v>
      </c>
      <c r="G56" s="26">
        <v>-11000</v>
      </c>
      <c r="H56" s="26">
        <v>-381500</v>
      </c>
      <c r="I56" s="26">
        <v>-590042</v>
      </c>
      <c r="J56" s="26">
        <v>-745429</v>
      </c>
      <c r="K56" s="7"/>
      <c r="L56" s="4"/>
      <c r="M56" s="4"/>
      <c r="N56" s="1"/>
      <c r="O56" s="1"/>
      <c r="P56" s="5"/>
      <c r="Q56" s="5"/>
      <c r="R56" s="5"/>
      <c r="S56" s="1"/>
      <c r="T56" s="1"/>
      <c r="U56" s="1"/>
      <c r="V56" s="1"/>
      <c r="W56" s="1"/>
      <c r="X56" s="1"/>
      <c r="Y56" s="1"/>
      <c r="Z56" s="1"/>
      <c r="AA56" s="1"/>
      <c r="AB56" s="1"/>
      <c r="AC56" s="1"/>
      <c r="AD56" s="1"/>
      <c r="AE56" s="1"/>
      <c r="AF56" s="1"/>
      <c r="AG56" s="1"/>
      <c r="AH56" s="1"/>
      <c r="AI56" s="1"/>
      <c r="AJ56" s="1"/>
      <c r="AK56" s="1"/>
      <c r="AL56" s="1"/>
      <c r="AM56" s="1"/>
      <c r="AN56" s="1"/>
      <c r="AO56" s="1"/>
      <c r="AP56" s="1"/>
      <c r="AQ56" s="1"/>
    </row>
    <row r="57" spans="1:43" ht="18" customHeight="1" x14ac:dyDescent="0.35">
      <c r="A57" s="25"/>
      <c r="B57" s="13" t="s">
        <v>146</v>
      </c>
      <c r="C57" s="26">
        <v>-98599</v>
      </c>
      <c r="D57" s="26">
        <v>-78366</v>
      </c>
      <c r="E57" s="26">
        <v>-43583</v>
      </c>
      <c r="F57" s="26">
        <v>-70795</v>
      </c>
      <c r="G57" s="26">
        <v>-10592</v>
      </c>
      <c r="H57" s="26">
        <v>-51011</v>
      </c>
      <c r="I57" s="26">
        <v>-194323</v>
      </c>
      <c r="J57" s="26">
        <v>-354547</v>
      </c>
      <c r="K57" s="7"/>
      <c r="L57" s="4"/>
      <c r="M57" s="4"/>
      <c r="N57" s="1"/>
      <c r="O57" s="1"/>
      <c r="P57" s="5"/>
      <c r="Q57" s="5"/>
      <c r="R57" s="5"/>
      <c r="S57" s="1"/>
      <c r="T57" s="1"/>
      <c r="U57" s="1"/>
      <c r="V57" s="1"/>
      <c r="W57" s="1"/>
      <c r="X57" s="1"/>
      <c r="Y57" s="1"/>
      <c r="Z57" s="1"/>
      <c r="AA57" s="1"/>
      <c r="AB57" s="1"/>
      <c r="AC57" s="1"/>
      <c r="AD57" s="1"/>
      <c r="AE57" s="1"/>
      <c r="AF57" s="1"/>
      <c r="AG57" s="1"/>
      <c r="AH57" s="1"/>
      <c r="AI57" s="1"/>
      <c r="AJ57" s="1"/>
      <c r="AK57" s="1"/>
      <c r="AL57" s="1"/>
      <c r="AM57" s="1"/>
      <c r="AN57" s="1"/>
      <c r="AO57" s="1"/>
      <c r="AP57" s="1"/>
      <c r="AQ57" s="1"/>
    </row>
    <row r="58" spans="1:43" ht="18" customHeight="1" x14ac:dyDescent="0.35">
      <c r="A58" s="25"/>
      <c r="B58" s="13" t="s">
        <v>147</v>
      </c>
      <c r="C58" s="26">
        <v>-321</v>
      </c>
      <c r="D58" s="26">
        <v>-287</v>
      </c>
      <c r="E58" s="26">
        <v>-257</v>
      </c>
      <c r="F58" s="26">
        <v>-354147</v>
      </c>
      <c r="G58" s="26">
        <v>-387167</v>
      </c>
      <c r="H58" s="26">
        <v>-438262</v>
      </c>
      <c r="I58" s="26">
        <v>-488840</v>
      </c>
      <c r="J58" s="26">
        <v>-519024</v>
      </c>
      <c r="K58" s="7"/>
      <c r="L58" s="4"/>
      <c r="M58" s="4"/>
      <c r="N58" s="1"/>
      <c r="O58" s="1"/>
      <c r="P58" s="5"/>
      <c r="Q58" s="5"/>
      <c r="R58" s="5"/>
      <c r="S58" s="1"/>
      <c r="T58" s="1"/>
      <c r="U58" s="1"/>
      <c r="V58" s="1"/>
      <c r="W58" s="1"/>
      <c r="X58" s="1"/>
      <c r="Y58" s="1"/>
      <c r="Z58" s="1"/>
      <c r="AA58" s="1"/>
      <c r="AB58" s="1"/>
      <c r="AC58" s="1"/>
      <c r="AD58" s="1"/>
      <c r="AE58" s="1"/>
      <c r="AF58" s="1"/>
      <c r="AG58" s="1"/>
      <c r="AH58" s="1"/>
      <c r="AI58" s="1"/>
      <c r="AJ58" s="1"/>
      <c r="AK58" s="1"/>
      <c r="AL58" s="1"/>
      <c r="AM58" s="1"/>
      <c r="AN58" s="1"/>
      <c r="AO58" s="1"/>
      <c r="AP58" s="1"/>
      <c r="AQ58" s="1"/>
    </row>
    <row r="59" spans="1:43" ht="18" customHeight="1" x14ac:dyDescent="0.35">
      <c r="A59" s="25"/>
      <c r="B59" s="13" t="s">
        <v>84</v>
      </c>
      <c r="C59" s="26"/>
      <c r="D59" s="26"/>
      <c r="E59" s="26"/>
      <c r="F59" s="26">
        <v>0</v>
      </c>
      <c r="G59" s="26">
        <v>0</v>
      </c>
      <c r="H59" s="26">
        <v>-1362</v>
      </c>
      <c r="I59" s="26">
        <v>-5416</v>
      </c>
      <c r="J59" s="26">
        <v>-1720</v>
      </c>
      <c r="K59" s="7"/>
      <c r="L59" s="4"/>
      <c r="M59" s="4"/>
      <c r="N59" s="1"/>
      <c r="O59" s="1"/>
      <c r="P59" s="5"/>
      <c r="Q59" s="5"/>
      <c r="R59" s="5"/>
      <c r="S59" s="1"/>
      <c r="T59" s="1"/>
      <c r="U59" s="1"/>
      <c r="V59" s="1"/>
      <c r="W59" s="1"/>
      <c r="X59" s="1"/>
      <c r="Y59" s="1"/>
      <c r="Z59" s="1"/>
      <c r="AA59" s="1"/>
      <c r="AB59" s="1"/>
      <c r="AC59" s="1"/>
      <c r="AD59" s="1"/>
      <c r="AE59" s="1"/>
      <c r="AF59" s="1"/>
      <c r="AG59" s="1"/>
      <c r="AH59" s="1"/>
      <c r="AI59" s="1"/>
      <c r="AJ59" s="1"/>
      <c r="AK59" s="1"/>
      <c r="AL59" s="1"/>
      <c r="AM59" s="1"/>
      <c r="AN59" s="1"/>
      <c r="AO59" s="1"/>
      <c r="AP59" s="1"/>
      <c r="AQ59" s="1"/>
    </row>
    <row r="60" spans="1:43" ht="18" customHeight="1" x14ac:dyDescent="0.35">
      <c r="A60" s="25"/>
      <c r="B60" s="13" t="s">
        <v>157</v>
      </c>
      <c r="C60" s="26">
        <v>-46203</v>
      </c>
      <c r="D60" s="26">
        <v>-138440</v>
      </c>
      <c r="E60" s="26">
        <v>28070</v>
      </c>
      <c r="F60" s="26">
        <v>7625</v>
      </c>
      <c r="G60" s="26">
        <v>0</v>
      </c>
      <c r="H60" s="26">
        <v>0</v>
      </c>
      <c r="I60" s="26">
        <v>0</v>
      </c>
      <c r="J60" s="26">
        <v>0</v>
      </c>
      <c r="K60" s="7"/>
      <c r="L60" s="4"/>
      <c r="M60" s="4"/>
      <c r="N60" s="1"/>
      <c r="O60" s="1"/>
      <c r="P60" s="5"/>
      <c r="Q60" s="5"/>
      <c r="R60" s="5"/>
      <c r="S60" s="1"/>
      <c r="T60" s="1"/>
      <c r="U60" s="1"/>
      <c r="V60" s="1"/>
      <c r="W60" s="1"/>
      <c r="X60" s="1"/>
      <c r="Y60" s="1"/>
      <c r="Z60" s="1"/>
      <c r="AA60" s="1"/>
      <c r="AB60" s="1"/>
      <c r="AC60" s="1"/>
      <c r="AD60" s="1"/>
      <c r="AE60" s="1"/>
      <c r="AF60" s="1"/>
      <c r="AG60" s="1"/>
      <c r="AH60" s="1"/>
      <c r="AI60" s="1"/>
      <c r="AJ60" s="1"/>
      <c r="AK60" s="1"/>
      <c r="AL60" s="1"/>
      <c r="AM60" s="1"/>
      <c r="AN60" s="1"/>
      <c r="AO60" s="1"/>
      <c r="AP60" s="1"/>
      <c r="AQ60" s="1"/>
    </row>
    <row r="61" spans="1:43" ht="18" customHeight="1" x14ac:dyDescent="0.35">
      <c r="A61" s="25"/>
      <c r="B61" s="13" t="s">
        <v>158</v>
      </c>
      <c r="C61" s="26">
        <v>-12000</v>
      </c>
      <c r="D61" s="26">
        <v>0</v>
      </c>
      <c r="E61" s="26">
        <v>-55823</v>
      </c>
      <c r="F61" s="26">
        <v>-58581</v>
      </c>
      <c r="G61" s="26">
        <v>-68846</v>
      </c>
      <c r="H61" s="26">
        <v>-1</v>
      </c>
      <c r="I61" s="26">
        <v>0</v>
      </c>
      <c r="J61" s="26">
        <v>0</v>
      </c>
      <c r="K61" s="7"/>
      <c r="L61" s="4"/>
      <c r="M61" s="4"/>
      <c r="N61" s="1"/>
      <c r="O61" s="1"/>
      <c r="P61" s="5"/>
      <c r="Q61" s="5"/>
      <c r="R61" s="5"/>
      <c r="S61" s="1"/>
      <c r="T61" s="1"/>
      <c r="U61" s="1"/>
      <c r="V61" s="1"/>
      <c r="W61" s="1"/>
      <c r="X61" s="1"/>
      <c r="Y61" s="1"/>
      <c r="Z61" s="1"/>
      <c r="AA61" s="1"/>
      <c r="AB61" s="1"/>
      <c r="AC61" s="1"/>
      <c r="AD61" s="1"/>
      <c r="AE61" s="1"/>
      <c r="AF61" s="1"/>
      <c r="AG61" s="1"/>
      <c r="AH61" s="1"/>
      <c r="AI61" s="1"/>
      <c r="AJ61" s="1"/>
      <c r="AK61" s="1"/>
      <c r="AL61" s="1"/>
      <c r="AM61" s="1"/>
      <c r="AN61" s="1"/>
      <c r="AO61" s="1"/>
      <c r="AP61" s="1"/>
      <c r="AQ61" s="1"/>
    </row>
    <row r="62" spans="1:43" ht="18" customHeight="1" x14ac:dyDescent="0.35">
      <c r="A62" s="25"/>
      <c r="B62" s="13" t="s">
        <v>160</v>
      </c>
      <c r="C62" s="26">
        <v>-5</v>
      </c>
      <c r="D62" s="26">
        <v>-8</v>
      </c>
      <c r="E62" s="26">
        <v>1</v>
      </c>
      <c r="F62" s="26">
        <v>0</v>
      </c>
      <c r="G62" s="26">
        <v>0</v>
      </c>
      <c r="H62" s="26">
        <v>0</v>
      </c>
      <c r="I62" s="26">
        <v>0</v>
      </c>
      <c r="J62" s="26">
        <v>0</v>
      </c>
      <c r="K62" s="7"/>
      <c r="L62" s="4"/>
      <c r="M62" s="4"/>
      <c r="N62" s="1"/>
      <c r="O62" s="1"/>
      <c r="P62" s="5"/>
      <c r="Q62" s="5"/>
      <c r="R62" s="5"/>
      <c r="S62" s="1"/>
      <c r="T62" s="1"/>
      <c r="U62" s="1"/>
      <c r="V62" s="1"/>
      <c r="W62" s="1"/>
      <c r="X62" s="1"/>
      <c r="Y62" s="1"/>
      <c r="Z62" s="1"/>
      <c r="AA62" s="1"/>
      <c r="AB62" s="1"/>
      <c r="AC62" s="1"/>
      <c r="AD62" s="1"/>
      <c r="AE62" s="1"/>
      <c r="AF62" s="1"/>
      <c r="AG62" s="1"/>
      <c r="AH62" s="1"/>
      <c r="AI62" s="1"/>
      <c r="AJ62" s="1"/>
      <c r="AK62" s="1"/>
      <c r="AL62" s="1"/>
      <c r="AM62" s="1"/>
      <c r="AN62" s="1"/>
      <c r="AO62" s="1"/>
      <c r="AP62" s="1"/>
      <c r="AQ62" s="1"/>
    </row>
    <row r="63" spans="1:43" ht="18" customHeight="1" x14ac:dyDescent="0.35">
      <c r="A63" s="25"/>
      <c r="B63" s="28" t="s">
        <v>149</v>
      </c>
      <c r="C63" s="29">
        <f t="shared" ref="C63" si="11">C65-C64</f>
        <v>275636</v>
      </c>
      <c r="D63" s="29">
        <f t="shared" ref="D63" si="12">D65-D64</f>
        <v>-57946</v>
      </c>
      <c r="E63" s="29">
        <f t="shared" ref="E63" si="13">E65-E64</f>
        <v>14247</v>
      </c>
      <c r="F63" s="29">
        <f t="shared" ref="F63:H63" si="14">F65-F64</f>
        <v>1103</v>
      </c>
      <c r="G63" s="29">
        <f t="shared" si="14"/>
        <v>1062050</v>
      </c>
      <c r="H63" s="29">
        <f t="shared" si="14"/>
        <v>-451132</v>
      </c>
      <c r="I63" s="29">
        <f>I65-I64</f>
        <v>623840</v>
      </c>
      <c r="J63" s="29">
        <f>J65-J64</f>
        <v>-518503</v>
      </c>
      <c r="K63" s="7"/>
      <c r="L63" s="4"/>
      <c r="M63" s="4"/>
      <c r="N63" s="1"/>
      <c r="O63" s="1"/>
      <c r="P63" s="5"/>
      <c r="Q63" s="5"/>
      <c r="R63" s="5"/>
      <c r="S63" s="1"/>
      <c r="T63" s="1"/>
      <c r="U63" s="1"/>
      <c r="V63" s="1"/>
      <c r="W63" s="1"/>
      <c r="X63" s="1"/>
      <c r="Y63" s="1"/>
      <c r="Z63" s="1"/>
      <c r="AA63" s="1"/>
      <c r="AB63" s="1"/>
      <c r="AC63" s="1"/>
      <c r="AD63" s="1"/>
      <c r="AE63" s="1"/>
      <c r="AF63" s="1"/>
      <c r="AG63" s="1"/>
      <c r="AH63" s="1"/>
      <c r="AI63" s="1"/>
      <c r="AJ63" s="1"/>
      <c r="AK63" s="1"/>
      <c r="AL63" s="1"/>
      <c r="AM63" s="1"/>
      <c r="AN63" s="1"/>
      <c r="AO63" s="1"/>
      <c r="AP63" s="1"/>
      <c r="AQ63" s="1"/>
    </row>
    <row r="64" spans="1:43" ht="18" customHeight="1" x14ac:dyDescent="0.35">
      <c r="A64" s="25"/>
      <c r="B64" s="13" t="s">
        <v>150</v>
      </c>
      <c r="C64" s="26">
        <v>214069</v>
      </c>
      <c r="D64" s="26">
        <v>489705</v>
      </c>
      <c r="E64" s="26">
        <v>431759</v>
      </c>
      <c r="F64" s="26">
        <v>446006</v>
      </c>
      <c r="G64" s="26">
        <v>447109</v>
      </c>
      <c r="H64" s="26">
        <v>1509159</v>
      </c>
      <c r="I64" s="26">
        <v>1050251</v>
      </c>
      <c r="J64" s="26">
        <v>1674091</v>
      </c>
      <c r="K64" s="7"/>
      <c r="L64" s="4"/>
      <c r="M64" s="4"/>
      <c r="N64" s="1"/>
      <c r="O64" s="1"/>
      <c r="P64" s="5"/>
      <c r="Q64" s="5"/>
      <c r="R64" s="5"/>
      <c r="S64" s="1"/>
      <c r="T64" s="1"/>
      <c r="U64" s="1"/>
      <c r="V64" s="1"/>
      <c r="W64" s="1"/>
      <c r="X64" s="1"/>
      <c r="Y64" s="1"/>
      <c r="Z64" s="1"/>
      <c r="AA64" s="1"/>
      <c r="AB64" s="1"/>
      <c r="AC64" s="1"/>
      <c r="AD64" s="1"/>
      <c r="AE64" s="1"/>
      <c r="AF64" s="1"/>
      <c r="AG64" s="1"/>
      <c r="AH64" s="1"/>
      <c r="AI64" s="1"/>
      <c r="AJ64" s="1"/>
      <c r="AK64" s="1"/>
      <c r="AL64" s="1"/>
      <c r="AM64" s="1"/>
      <c r="AN64" s="1"/>
      <c r="AO64" s="1"/>
      <c r="AP64" s="1"/>
      <c r="AQ64" s="1"/>
    </row>
    <row r="65" spans="1:43" ht="18" customHeight="1" x14ac:dyDescent="0.35">
      <c r="A65" s="25"/>
      <c r="B65" s="13" t="s">
        <v>151</v>
      </c>
      <c r="C65" s="26">
        <v>489705</v>
      </c>
      <c r="D65" s="26">
        <v>431759</v>
      </c>
      <c r="E65" s="26">
        <v>446006</v>
      </c>
      <c r="F65" s="26">
        <v>447109</v>
      </c>
      <c r="G65" s="26">
        <v>1509159</v>
      </c>
      <c r="H65" s="26">
        <v>1058027</v>
      </c>
      <c r="I65" s="26">
        <v>1674091</v>
      </c>
      <c r="J65" s="26">
        <v>1155588</v>
      </c>
      <c r="K65" s="7"/>
      <c r="L65" s="4"/>
      <c r="M65" s="4"/>
      <c r="N65" s="1"/>
      <c r="O65" s="1"/>
      <c r="P65" s="5"/>
      <c r="Q65" s="5"/>
      <c r="R65" s="5"/>
      <c r="S65" s="1"/>
      <c r="T65" s="1"/>
      <c r="U65" s="1"/>
      <c r="V65" s="1"/>
      <c r="W65" s="1"/>
      <c r="X65" s="1"/>
      <c r="Y65" s="1"/>
      <c r="Z65" s="1"/>
      <c r="AA65" s="1"/>
      <c r="AB65" s="1"/>
      <c r="AC65" s="1"/>
      <c r="AD65" s="1"/>
      <c r="AE65" s="1"/>
      <c r="AF65" s="1"/>
      <c r="AG65" s="1"/>
      <c r="AH65" s="1"/>
      <c r="AI65" s="1"/>
      <c r="AJ65" s="1"/>
      <c r="AK65" s="1"/>
      <c r="AL65" s="1"/>
      <c r="AM65" s="1"/>
      <c r="AN65" s="1"/>
      <c r="AO65" s="1"/>
      <c r="AP65" s="1"/>
      <c r="AQ65" s="1"/>
    </row>
    <row r="66" spans="1:43" ht="18" customHeight="1" x14ac:dyDescent="0.35">
      <c r="A66" s="25"/>
      <c r="B66" s="38"/>
      <c r="C66" s="37"/>
      <c r="D66" s="37"/>
      <c r="E66" s="37"/>
      <c r="F66" s="37"/>
      <c r="G66" s="37"/>
      <c r="H66" s="37"/>
      <c r="I66" s="37"/>
      <c r="J66" s="37"/>
      <c r="K66" s="7"/>
      <c r="L66" s="4"/>
      <c r="M66" s="4"/>
      <c r="N66" s="1"/>
      <c r="O66" s="1"/>
      <c r="P66" s="5"/>
      <c r="Q66" s="5"/>
      <c r="R66" s="5"/>
      <c r="S66" s="1"/>
      <c r="T66" s="1"/>
      <c r="U66" s="1"/>
      <c r="V66" s="1"/>
      <c r="W66" s="1"/>
      <c r="X66" s="1"/>
      <c r="Y66" s="1"/>
      <c r="Z66" s="1"/>
      <c r="AA66" s="1"/>
      <c r="AB66" s="1"/>
      <c r="AC66" s="1"/>
      <c r="AD66" s="1"/>
      <c r="AE66" s="1"/>
      <c r="AF66" s="1"/>
      <c r="AG66" s="1"/>
      <c r="AH66" s="1"/>
      <c r="AI66" s="1"/>
      <c r="AJ66" s="1"/>
      <c r="AK66" s="1"/>
      <c r="AL66" s="1"/>
      <c r="AM66" s="1"/>
      <c r="AN66" s="1"/>
      <c r="AO66" s="1"/>
      <c r="AP66" s="1"/>
      <c r="AQ66" s="1"/>
    </row>
    <row r="67" spans="1:43" ht="18" customHeight="1" x14ac:dyDescent="0.35">
      <c r="A67" s="25"/>
      <c r="B67" s="38"/>
      <c r="C67" s="37"/>
      <c r="D67" s="37"/>
      <c r="E67" s="37"/>
      <c r="F67" s="37"/>
      <c r="G67" s="37"/>
      <c r="H67" s="37"/>
      <c r="I67" s="37"/>
      <c r="J67" s="37"/>
      <c r="K67" s="7"/>
      <c r="L67" s="4"/>
      <c r="M67" s="4"/>
      <c r="N67" s="1"/>
      <c r="O67" s="1"/>
      <c r="P67" s="5"/>
      <c r="Q67" s="5"/>
      <c r="R67" s="5"/>
      <c r="S67" s="1"/>
      <c r="T67" s="1"/>
      <c r="U67" s="1"/>
      <c r="V67" s="1"/>
      <c r="W67" s="1"/>
      <c r="X67" s="1"/>
      <c r="Y67" s="1"/>
      <c r="Z67" s="1"/>
      <c r="AA67" s="1"/>
      <c r="AB67" s="1"/>
      <c r="AC67" s="1"/>
      <c r="AD67" s="1"/>
      <c r="AE67" s="1"/>
      <c r="AF67" s="1"/>
      <c r="AG67" s="1"/>
      <c r="AH67" s="1"/>
      <c r="AI67" s="1"/>
      <c r="AJ67" s="1"/>
      <c r="AK67" s="1"/>
      <c r="AL67" s="1"/>
      <c r="AM67" s="1"/>
      <c r="AN67" s="1"/>
      <c r="AO67" s="1"/>
      <c r="AP67" s="1"/>
      <c r="AQ67" s="1"/>
    </row>
    <row r="68" spans="1:43" ht="18" customHeight="1" x14ac:dyDescent="0.35">
      <c r="A68" s="25"/>
      <c r="B68" s="38"/>
      <c r="C68" s="37"/>
      <c r="D68" s="37"/>
      <c r="E68" s="37"/>
      <c r="F68" s="37"/>
      <c r="G68" s="37"/>
      <c r="H68" s="37"/>
      <c r="I68" s="37"/>
      <c r="J68" s="37"/>
      <c r="K68" s="7"/>
      <c r="L68" s="4"/>
      <c r="M68" s="4"/>
      <c r="N68" s="1"/>
      <c r="O68" s="1"/>
      <c r="P68" s="5"/>
      <c r="Q68" s="5"/>
      <c r="R68" s="5"/>
      <c r="S68" s="1"/>
      <c r="T68" s="1"/>
      <c r="U68" s="1"/>
      <c r="V68" s="1"/>
      <c r="W68" s="1"/>
      <c r="X68" s="1"/>
      <c r="Y68" s="1"/>
      <c r="Z68" s="1"/>
      <c r="AA68" s="1"/>
      <c r="AB68" s="1"/>
      <c r="AC68" s="1"/>
      <c r="AD68" s="1"/>
      <c r="AE68" s="1"/>
      <c r="AF68" s="1"/>
      <c r="AG68" s="1"/>
      <c r="AH68" s="1"/>
      <c r="AI68" s="1"/>
      <c r="AJ68" s="1"/>
      <c r="AK68" s="1"/>
      <c r="AL68" s="1"/>
      <c r="AM68" s="1"/>
      <c r="AN68" s="1"/>
      <c r="AO68" s="1"/>
      <c r="AP68" s="1"/>
      <c r="AQ68" s="1"/>
    </row>
    <row r="69" spans="1:43" ht="18" customHeight="1" x14ac:dyDescent="0.35">
      <c r="A69" s="25"/>
      <c r="B69" s="38"/>
      <c r="C69" s="37"/>
      <c r="D69" s="37"/>
      <c r="E69" s="37"/>
      <c r="F69" s="37"/>
      <c r="G69" s="37"/>
      <c r="H69" s="37"/>
      <c r="I69" s="37"/>
      <c r="J69" s="37"/>
      <c r="K69" s="7"/>
      <c r="L69" s="4"/>
      <c r="M69" s="4"/>
      <c r="N69" s="1"/>
      <c r="O69" s="1"/>
      <c r="P69" s="5"/>
      <c r="Q69" s="5"/>
      <c r="R69" s="5"/>
      <c r="S69" s="1"/>
      <c r="T69" s="1"/>
      <c r="U69" s="1"/>
      <c r="V69" s="1"/>
      <c r="W69" s="1"/>
      <c r="X69" s="1"/>
      <c r="Y69" s="1"/>
      <c r="Z69" s="1"/>
      <c r="AA69" s="1"/>
      <c r="AB69" s="1"/>
      <c r="AC69" s="1"/>
      <c r="AD69" s="1"/>
      <c r="AE69" s="1"/>
      <c r="AF69" s="1"/>
      <c r="AG69" s="1"/>
      <c r="AH69" s="1"/>
      <c r="AI69" s="1"/>
      <c r="AJ69" s="1"/>
      <c r="AK69" s="1"/>
      <c r="AL69" s="1"/>
      <c r="AM69" s="1"/>
      <c r="AN69" s="1"/>
      <c r="AO69" s="1"/>
      <c r="AP69" s="1"/>
      <c r="AQ69" s="1"/>
    </row>
    <row r="70" spans="1:43" ht="18" customHeight="1" x14ac:dyDescent="0.35">
      <c r="A70" s="6"/>
      <c r="B70" s="23"/>
      <c r="C70" s="26"/>
      <c r="D70" s="26"/>
      <c r="E70" s="26"/>
      <c r="F70" s="26"/>
      <c r="G70" s="26"/>
      <c r="H70" s="26"/>
      <c r="I70" s="26"/>
      <c r="J70" s="26"/>
      <c r="K70" s="7"/>
      <c r="L70" s="7"/>
      <c r="M70" s="7"/>
      <c r="N70" s="4"/>
      <c r="O70" s="4"/>
      <c r="P70" s="1"/>
      <c r="Q70" s="1"/>
      <c r="R70" s="5"/>
      <c r="S70" s="5"/>
      <c r="T70" s="5"/>
      <c r="U70" s="1"/>
      <c r="V70" s="1"/>
      <c r="W70" s="1"/>
      <c r="X70" s="1"/>
      <c r="Y70" s="1"/>
      <c r="Z70" s="1"/>
      <c r="AA70" s="1"/>
      <c r="AB70" s="1"/>
      <c r="AC70" s="1"/>
      <c r="AD70" s="1"/>
      <c r="AE70" s="1"/>
      <c r="AF70" s="1"/>
      <c r="AG70" s="1"/>
      <c r="AH70" s="1"/>
      <c r="AI70" s="1"/>
      <c r="AJ70" s="1"/>
      <c r="AK70" s="1"/>
      <c r="AL70" s="1"/>
      <c r="AM70" s="1"/>
      <c r="AN70" s="1"/>
      <c r="AO70" s="1"/>
      <c r="AP70" s="1"/>
      <c r="AQ70" s="1"/>
    </row>
    <row r="71" spans="1:43" ht="18" customHeight="1" x14ac:dyDescent="0.35">
      <c r="A71" s="7"/>
      <c r="B71" s="24"/>
      <c r="C71" s="26"/>
      <c r="D71" s="26"/>
      <c r="E71" s="26"/>
      <c r="F71" s="26"/>
      <c r="G71" s="26"/>
      <c r="H71" s="26"/>
      <c r="I71" s="26"/>
      <c r="J71" s="26"/>
      <c r="K71" s="7"/>
      <c r="L71" s="7"/>
      <c r="M71" s="7"/>
      <c r="N71" s="4"/>
      <c r="O71" s="4"/>
      <c r="P71" s="1"/>
      <c r="Q71" s="1"/>
      <c r="R71" s="5"/>
      <c r="S71" s="5"/>
      <c r="T71" s="5"/>
      <c r="U71" s="1"/>
      <c r="V71" s="1"/>
      <c r="W71" s="1"/>
      <c r="X71" s="1"/>
      <c r="Y71" s="1"/>
      <c r="Z71" s="1"/>
      <c r="AA71" s="1"/>
      <c r="AB71" s="1"/>
      <c r="AC71" s="1"/>
      <c r="AD71" s="1"/>
      <c r="AE71" s="1"/>
      <c r="AF71" s="1"/>
      <c r="AG71" s="1"/>
      <c r="AH71" s="1"/>
      <c r="AI71" s="1"/>
      <c r="AJ71" s="1"/>
      <c r="AK71" s="1"/>
      <c r="AL71" s="1"/>
      <c r="AM71" s="1"/>
      <c r="AN71" s="1"/>
      <c r="AO71" s="1"/>
      <c r="AP71" s="1"/>
      <c r="AQ71" s="1"/>
    </row>
    <row r="72" spans="1:43" ht="18" customHeight="1" x14ac:dyDescent="0.35">
      <c r="A72" s="1"/>
      <c r="B72" s="23"/>
      <c r="C72" s="26"/>
      <c r="D72" s="26"/>
      <c r="E72" s="26"/>
      <c r="F72" s="26"/>
      <c r="G72" s="26"/>
      <c r="H72" s="26"/>
      <c r="I72" s="26"/>
      <c r="J72" s="26"/>
      <c r="K72" s="2"/>
      <c r="L72" s="2"/>
      <c r="M72" s="2"/>
      <c r="N72" s="1"/>
      <c r="O72" s="1"/>
      <c r="P72" s="1"/>
      <c r="Q72" s="1"/>
      <c r="R72" s="5"/>
      <c r="S72" s="5"/>
      <c r="T72" s="5"/>
      <c r="U72" s="1"/>
      <c r="V72" s="1"/>
      <c r="W72" s="1"/>
      <c r="X72" s="1"/>
      <c r="Y72" s="1"/>
      <c r="Z72" s="1"/>
      <c r="AA72" s="1"/>
      <c r="AB72" s="1"/>
      <c r="AC72" s="1"/>
      <c r="AD72" s="1"/>
      <c r="AE72" s="1"/>
      <c r="AF72" s="1"/>
      <c r="AG72" s="1"/>
      <c r="AH72" s="1"/>
      <c r="AI72" s="1"/>
      <c r="AJ72" s="1"/>
      <c r="AK72" s="1"/>
      <c r="AL72" s="1"/>
      <c r="AM72" s="1"/>
      <c r="AN72" s="1"/>
      <c r="AO72" s="1"/>
      <c r="AP72" s="1"/>
      <c r="AQ72" s="1"/>
    </row>
    <row r="73" spans="1:43" ht="18" customHeight="1" x14ac:dyDescent="0.35">
      <c r="A73" s="2"/>
      <c r="B73" s="39"/>
      <c r="C73" s="37"/>
      <c r="D73" s="37"/>
      <c r="E73" s="37"/>
      <c r="F73" s="37"/>
      <c r="G73" s="37"/>
      <c r="H73" s="37"/>
      <c r="I73" s="37"/>
      <c r="J73" s="37"/>
      <c r="K73" s="2"/>
      <c r="L73" s="2"/>
      <c r="M73" s="2"/>
      <c r="N73" s="1"/>
      <c r="O73" s="1"/>
      <c r="P73" s="1"/>
      <c r="Q73" s="1"/>
      <c r="R73" s="5"/>
      <c r="S73" s="5"/>
      <c r="T73" s="5"/>
      <c r="U73" s="1"/>
      <c r="V73" s="1"/>
      <c r="W73" s="1"/>
      <c r="X73" s="1"/>
      <c r="Y73" s="1"/>
      <c r="Z73" s="1"/>
      <c r="AA73" s="1"/>
      <c r="AB73" s="1"/>
      <c r="AC73" s="1"/>
      <c r="AD73" s="1"/>
      <c r="AE73" s="1"/>
      <c r="AF73" s="1"/>
      <c r="AG73" s="1"/>
      <c r="AH73" s="1"/>
      <c r="AI73" s="1"/>
      <c r="AJ73" s="1"/>
      <c r="AK73" s="1"/>
      <c r="AL73" s="1"/>
      <c r="AM73" s="1"/>
      <c r="AN73" s="1"/>
      <c r="AO73" s="1"/>
      <c r="AP73" s="1"/>
      <c r="AQ73" s="1"/>
    </row>
    <row r="74" spans="1:43" ht="18" customHeight="1" x14ac:dyDescent="0.35">
      <c r="A74" s="2"/>
      <c r="B74" s="36"/>
      <c r="C74" s="37"/>
      <c r="D74" s="37"/>
      <c r="E74" s="37"/>
      <c r="F74" s="37"/>
      <c r="G74" s="37"/>
      <c r="H74" s="37"/>
      <c r="I74" s="37"/>
      <c r="J74" s="37"/>
      <c r="K74" s="2"/>
      <c r="L74" s="2"/>
      <c r="M74" s="2"/>
      <c r="N74" s="1"/>
      <c r="O74" s="1"/>
      <c r="P74" s="1"/>
      <c r="Q74" s="1"/>
      <c r="R74" s="5"/>
      <c r="S74" s="5"/>
      <c r="T74" s="5"/>
      <c r="U74" s="1"/>
      <c r="V74" s="1"/>
      <c r="W74" s="1"/>
      <c r="X74" s="1"/>
      <c r="Y74" s="1"/>
      <c r="Z74" s="1"/>
      <c r="AA74" s="1"/>
      <c r="AB74" s="1"/>
      <c r="AC74" s="1"/>
      <c r="AD74" s="1"/>
      <c r="AE74" s="1"/>
      <c r="AF74" s="1"/>
      <c r="AG74" s="1"/>
      <c r="AH74" s="1"/>
      <c r="AI74" s="1"/>
      <c r="AJ74" s="1"/>
      <c r="AK74" s="1"/>
      <c r="AL74" s="1"/>
      <c r="AM74" s="1"/>
      <c r="AN74" s="1"/>
      <c r="AO74" s="1"/>
      <c r="AP74" s="1"/>
      <c r="AQ74" s="1"/>
    </row>
    <row r="75" spans="1:43" ht="18" customHeight="1" x14ac:dyDescent="0.35">
      <c r="A75" s="2"/>
      <c r="B75" s="38"/>
      <c r="C75" s="37"/>
      <c r="D75" s="37"/>
      <c r="E75" s="37"/>
      <c r="F75" s="37"/>
      <c r="G75" s="37"/>
      <c r="H75" s="37"/>
      <c r="I75" s="37"/>
      <c r="J75" s="37"/>
      <c r="K75" s="2"/>
      <c r="L75" s="2"/>
      <c r="M75" s="2"/>
      <c r="N75" s="1"/>
      <c r="O75" s="1"/>
      <c r="P75" s="1"/>
      <c r="Q75" s="1"/>
      <c r="R75" s="5"/>
      <c r="S75" s="5"/>
      <c r="T75" s="5"/>
      <c r="U75" s="1"/>
      <c r="V75" s="1"/>
      <c r="W75" s="1"/>
      <c r="X75" s="1"/>
      <c r="Y75" s="1"/>
      <c r="Z75" s="1"/>
      <c r="AA75" s="1"/>
      <c r="AB75" s="1"/>
      <c r="AC75" s="1"/>
      <c r="AD75" s="1"/>
      <c r="AE75" s="1"/>
      <c r="AF75" s="1"/>
      <c r="AG75" s="1"/>
      <c r="AH75" s="1"/>
      <c r="AI75" s="1"/>
      <c r="AJ75" s="1"/>
      <c r="AK75" s="1"/>
      <c r="AL75" s="1"/>
      <c r="AM75" s="1"/>
      <c r="AN75" s="1"/>
      <c r="AO75" s="1"/>
      <c r="AP75" s="1"/>
      <c r="AQ75" s="1"/>
    </row>
    <row r="76" spans="1:43" ht="18" customHeight="1" x14ac:dyDescent="0.35">
      <c r="A76" s="2"/>
      <c r="B76" s="38"/>
      <c r="C76" s="37"/>
      <c r="D76" s="37"/>
      <c r="E76" s="37"/>
      <c r="F76" s="37"/>
      <c r="G76" s="37"/>
      <c r="H76" s="37"/>
      <c r="I76" s="37"/>
      <c r="J76" s="37"/>
      <c r="K76" s="2"/>
      <c r="L76" s="2"/>
      <c r="M76" s="2"/>
      <c r="N76" s="1"/>
      <c r="O76" s="1"/>
      <c r="P76" s="1"/>
      <c r="Q76" s="1"/>
      <c r="R76" s="5"/>
      <c r="S76" s="5"/>
      <c r="T76" s="5"/>
      <c r="U76" s="1"/>
      <c r="V76" s="1"/>
      <c r="W76" s="1"/>
      <c r="X76" s="1"/>
      <c r="Y76" s="1"/>
      <c r="Z76" s="1"/>
      <c r="AA76" s="1"/>
      <c r="AB76" s="1"/>
      <c r="AC76" s="1"/>
      <c r="AD76" s="1"/>
      <c r="AE76" s="1"/>
      <c r="AF76" s="1"/>
      <c r="AG76" s="1"/>
      <c r="AH76" s="1"/>
      <c r="AI76" s="1"/>
      <c r="AJ76" s="1"/>
      <c r="AK76" s="1"/>
      <c r="AL76" s="1"/>
      <c r="AM76" s="1"/>
      <c r="AN76" s="1"/>
      <c r="AO76" s="1"/>
      <c r="AP76" s="1"/>
      <c r="AQ76" s="1"/>
    </row>
    <row r="77" spans="1:43" ht="18" customHeight="1" x14ac:dyDescent="0.35">
      <c r="A77" s="2"/>
      <c r="B77" s="38"/>
      <c r="C77" s="37"/>
      <c r="D77" s="37"/>
      <c r="E77" s="37"/>
      <c r="F77" s="37"/>
      <c r="G77" s="37"/>
      <c r="H77" s="37"/>
      <c r="I77" s="37"/>
      <c r="J77" s="37"/>
      <c r="K77" s="2"/>
      <c r="L77" s="2"/>
      <c r="M77" s="2"/>
      <c r="N77" s="1"/>
      <c r="O77" s="1"/>
      <c r="P77" s="1"/>
      <c r="Q77" s="1"/>
      <c r="R77" s="5"/>
      <c r="S77" s="5"/>
      <c r="T77" s="5"/>
      <c r="U77" s="1"/>
      <c r="V77" s="1"/>
      <c r="W77" s="1"/>
      <c r="X77" s="1"/>
      <c r="Y77" s="1"/>
      <c r="Z77" s="1"/>
      <c r="AA77" s="1"/>
      <c r="AB77" s="1"/>
      <c r="AC77" s="1"/>
      <c r="AD77" s="1"/>
      <c r="AE77" s="1"/>
      <c r="AF77" s="1"/>
      <c r="AG77" s="1"/>
      <c r="AH77" s="1"/>
      <c r="AI77" s="1"/>
      <c r="AJ77" s="1"/>
      <c r="AK77" s="1"/>
      <c r="AL77" s="1"/>
      <c r="AM77" s="1"/>
      <c r="AN77" s="1"/>
      <c r="AO77" s="1"/>
      <c r="AP77" s="1"/>
      <c r="AQ77" s="1"/>
    </row>
    <row r="78" spans="1:43" ht="18" customHeight="1" x14ac:dyDescent="0.35">
      <c r="A78" s="2"/>
      <c r="B78" s="38"/>
      <c r="C78" s="37"/>
      <c r="D78" s="37"/>
      <c r="E78" s="37"/>
      <c r="F78" s="37"/>
      <c r="G78" s="37"/>
      <c r="H78" s="37"/>
      <c r="I78" s="37"/>
      <c r="J78" s="37"/>
      <c r="K78" s="2"/>
      <c r="L78" s="2"/>
      <c r="M78" s="2"/>
      <c r="N78" s="1"/>
      <c r="O78" s="1"/>
      <c r="P78" s="1"/>
      <c r="Q78" s="1"/>
      <c r="R78" s="5"/>
      <c r="S78" s="5"/>
      <c r="T78" s="5"/>
      <c r="U78" s="1"/>
      <c r="V78" s="1"/>
      <c r="W78" s="1"/>
      <c r="X78" s="1"/>
      <c r="Y78" s="1"/>
      <c r="Z78" s="1"/>
      <c r="AA78" s="1"/>
      <c r="AB78" s="1"/>
      <c r="AC78" s="1"/>
      <c r="AD78" s="1"/>
      <c r="AE78" s="1"/>
      <c r="AF78" s="1"/>
      <c r="AG78" s="1"/>
      <c r="AH78" s="1"/>
      <c r="AI78" s="1"/>
      <c r="AJ78" s="1"/>
      <c r="AK78" s="1"/>
      <c r="AL78" s="1"/>
      <c r="AM78" s="1"/>
      <c r="AN78" s="1"/>
      <c r="AO78" s="1"/>
      <c r="AP78" s="1"/>
      <c r="AQ78" s="1"/>
    </row>
    <row r="79" spans="1:43" ht="18" customHeight="1" x14ac:dyDescent="0.35">
      <c r="A79" s="2"/>
      <c r="B79" s="38"/>
      <c r="C79" s="37"/>
      <c r="D79" s="37"/>
      <c r="E79" s="37"/>
      <c r="F79" s="37"/>
      <c r="G79" s="37"/>
      <c r="H79" s="37"/>
      <c r="I79" s="37"/>
      <c r="J79" s="37"/>
      <c r="K79" s="2"/>
      <c r="L79" s="2"/>
      <c r="M79" s="2"/>
      <c r="N79" s="1"/>
      <c r="O79" s="1"/>
      <c r="P79" s="1"/>
      <c r="Q79" s="1"/>
      <c r="R79" s="5"/>
      <c r="S79" s="5"/>
      <c r="T79" s="5"/>
      <c r="U79" s="1"/>
      <c r="V79" s="1"/>
      <c r="W79" s="1"/>
      <c r="X79" s="1"/>
      <c r="Y79" s="1"/>
      <c r="Z79" s="1"/>
      <c r="AA79" s="1"/>
      <c r="AB79" s="1"/>
      <c r="AC79" s="1"/>
      <c r="AD79" s="1"/>
      <c r="AE79" s="1"/>
      <c r="AF79" s="1"/>
      <c r="AG79" s="1"/>
      <c r="AH79" s="1"/>
      <c r="AI79" s="1"/>
      <c r="AJ79" s="1"/>
      <c r="AK79" s="1"/>
      <c r="AL79" s="1"/>
      <c r="AM79" s="1"/>
      <c r="AN79" s="1"/>
      <c r="AO79" s="1"/>
      <c r="AP79" s="1"/>
      <c r="AQ79" s="1"/>
    </row>
    <row r="80" spans="1:43" ht="18" customHeight="1" x14ac:dyDescent="0.35">
      <c r="A80" s="2"/>
      <c r="B80" s="38"/>
      <c r="C80" s="37"/>
      <c r="D80" s="37"/>
      <c r="E80" s="37"/>
      <c r="F80" s="37"/>
      <c r="G80" s="37"/>
      <c r="H80" s="37"/>
      <c r="I80" s="37"/>
      <c r="J80" s="37"/>
      <c r="K80" s="2"/>
      <c r="L80" s="2"/>
      <c r="M80" s="2"/>
      <c r="N80" s="1"/>
      <c r="O80" s="1"/>
      <c r="P80" s="1"/>
      <c r="Q80" s="1"/>
      <c r="R80" s="5"/>
      <c r="S80" s="5"/>
      <c r="T80" s="5"/>
      <c r="U80" s="1"/>
      <c r="V80" s="1"/>
      <c r="W80" s="1"/>
      <c r="X80" s="1"/>
      <c r="Y80" s="1"/>
      <c r="Z80" s="1"/>
      <c r="AA80" s="1"/>
      <c r="AB80" s="1"/>
      <c r="AC80" s="1"/>
      <c r="AD80" s="1"/>
      <c r="AE80" s="1"/>
      <c r="AF80" s="1"/>
      <c r="AG80" s="1"/>
      <c r="AH80" s="1"/>
      <c r="AI80" s="1"/>
      <c r="AJ80" s="1"/>
      <c r="AK80" s="1"/>
      <c r="AL80" s="1"/>
      <c r="AM80" s="1"/>
      <c r="AN80" s="1"/>
      <c r="AO80" s="1"/>
      <c r="AP80" s="1"/>
      <c r="AQ80" s="1"/>
    </row>
    <row r="81" spans="1:43" ht="18" customHeight="1" x14ac:dyDescent="0.35">
      <c r="A81" s="2"/>
      <c r="B81" s="38"/>
      <c r="C81" s="37"/>
      <c r="D81" s="37"/>
      <c r="E81" s="37"/>
      <c r="F81" s="37"/>
      <c r="G81" s="37"/>
      <c r="H81" s="37"/>
      <c r="I81" s="37"/>
      <c r="J81" s="37"/>
      <c r="K81" s="2"/>
      <c r="L81" s="2"/>
      <c r="M81" s="2"/>
      <c r="N81" s="1"/>
      <c r="O81" s="1"/>
      <c r="P81" s="1"/>
      <c r="Q81" s="1"/>
      <c r="R81" s="5"/>
      <c r="S81" s="5"/>
      <c r="T81" s="5"/>
      <c r="U81" s="1"/>
      <c r="V81" s="1"/>
      <c r="W81" s="1"/>
      <c r="X81" s="1"/>
      <c r="Y81" s="1"/>
      <c r="Z81" s="1"/>
      <c r="AA81" s="1"/>
      <c r="AB81" s="1"/>
      <c r="AC81" s="1"/>
      <c r="AD81" s="1"/>
      <c r="AE81" s="1"/>
      <c r="AF81" s="1"/>
      <c r="AG81" s="1"/>
      <c r="AH81" s="1"/>
      <c r="AI81" s="1"/>
      <c r="AJ81" s="1"/>
      <c r="AK81" s="1"/>
      <c r="AL81" s="1"/>
      <c r="AM81" s="1"/>
      <c r="AN81" s="1"/>
      <c r="AO81" s="1"/>
      <c r="AP81" s="1"/>
      <c r="AQ81" s="1"/>
    </row>
    <row r="82" spans="1:43" ht="18" customHeight="1" x14ac:dyDescent="0.35">
      <c r="A82" s="2"/>
      <c r="B82" s="36"/>
      <c r="C82" s="37"/>
      <c r="D82" s="37"/>
      <c r="E82" s="37"/>
      <c r="F82" s="37"/>
      <c r="G82" s="37"/>
      <c r="H82" s="37"/>
      <c r="I82" s="37"/>
      <c r="J82" s="37"/>
      <c r="K82" s="2"/>
      <c r="L82" s="2"/>
      <c r="M82" s="2"/>
      <c r="N82" s="1"/>
      <c r="O82" s="1"/>
      <c r="P82" s="1"/>
      <c r="Q82" s="1"/>
      <c r="R82" s="5"/>
      <c r="S82" s="5"/>
      <c r="T82" s="5"/>
      <c r="U82" s="1"/>
      <c r="V82" s="1"/>
      <c r="W82" s="1"/>
      <c r="X82" s="1"/>
      <c r="Y82" s="1"/>
      <c r="Z82" s="1"/>
      <c r="AA82" s="1"/>
      <c r="AB82" s="1"/>
      <c r="AC82" s="1"/>
      <c r="AD82" s="1"/>
      <c r="AE82" s="1"/>
      <c r="AF82" s="1"/>
      <c r="AG82" s="1"/>
      <c r="AH82" s="1"/>
      <c r="AI82" s="1"/>
      <c r="AJ82" s="1"/>
      <c r="AK82" s="1"/>
      <c r="AL82" s="1"/>
      <c r="AM82" s="1"/>
      <c r="AN82" s="1"/>
      <c r="AO82" s="1"/>
      <c r="AP82" s="1"/>
      <c r="AQ82" s="1"/>
    </row>
    <row r="83" spans="1:43" ht="18" customHeight="1" x14ac:dyDescent="0.35">
      <c r="A83" s="2"/>
      <c r="B83" s="14"/>
      <c r="C83" s="26"/>
      <c r="D83" s="26"/>
      <c r="E83" s="26"/>
      <c r="F83" s="26"/>
      <c r="G83" s="26"/>
      <c r="H83" s="26"/>
      <c r="I83" s="26"/>
      <c r="J83" s="26"/>
      <c r="K83" s="2"/>
      <c r="L83" s="2"/>
      <c r="M83" s="2"/>
      <c r="N83" s="1"/>
      <c r="O83" s="1"/>
      <c r="P83" s="1"/>
      <c r="Q83" s="1"/>
      <c r="R83" s="5"/>
      <c r="S83" s="5"/>
      <c r="T83" s="5"/>
      <c r="U83" s="1"/>
      <c r="V83" s="1"/>
      <c r="W83" s="1"/>
      <c r="X83" s="1"/>
      <c r="Y83" s="1"/>
      <c r="Z83" s="1"/>
      <c r="AA83" s="1"/>
      <c r="AB83" s="1"/>
      <c r="AC83" s="1"/>
      <c r="AD83" s="1"/>
      <c r="AE83" s="1"/>
      <c r="AF83" s="1"/>
      <c r="AG83" s="1"/>
      <c r="AH83" s="1"/>
      <c r="AI83" s="1"/>
      <c r="AJ83" s="1"/>
      <c r="AK83" s="1"/>
      <c r="AL83" s="1"/>
      <c r="AM83" s="1"/>
      <c r="AN83" s="1"/>
      <c r="AO83" s="1"/>
      <c r="AP83" s="1"/>
      <c r="AQ83" s="1"/>
    </row>
    <row r="84" spans="1:43" ht="18" customHeight="1" x14ac:dyDescent="0.35">
      <c r="A84" s="2"/>
      <c r="B84" s="14"/>
      <c r="C84" s="26"/>
      <c r="D84" s="26"/>
      <c r="E84" s="26"/>
      <c r="F84" s="26"/>
      <c r="G84" s="26"/>
      <c r="H84" s="26"/>
      <c r="I84" s="26"/>
      <c r="J84" s="26"/>
      <c r="K84" s="2"/>
      <c r="L84" s="2"/>
      <c r="M84" s="2"/>
      <c r="N84" s="1"/>
      <c r="O84" s="1"/>
      <c r="P84" s="1"/>
      <c r="Q84" s="1"/>
      <c r="R84" s="5"/>
      <c r="S84" s="5"/>
      <c r="T84" s="5"/>
      <c r="U84" s="1"/>
      <c r="V84" s="1"/>
      <c r="W84" s="1"/>
      <c r="X84" s="1"/>
      <c r="Y84" s="1"/>
      <c r="Z84" s="1"/>
      <c r="AA84" s="1"/>
      <c r="AB84" s="1"/>
      <c r="AC84" s="1"/>
      <c r="AD84" s="1"/>
      <c r="AE84" s="1"/>
      <c r="AF84" s="1"/>
      <c r="AG84" s="1"/>
      <c r="AH84" s="1"/>
      <c r="AI84" s="1"/>
      <c r="AJ84" s="1"/>
      <c r="AK84" s="1"/>
      <c r="AL84" s="1"/>
      <c r="AM84" s="1"/>
      <c r="AN84" s="1"/>
      <c r="AO84" s="1"/>
      <c r="AP84" s="1"/>
      <c r="AQ84" s="1"/>
    </row>
    <row r="85" spans="1:43" ht="18" customHeight="1" x14ac:dyDescent="0.35">
      <c r="A85" s="2"/>
      <c r="B85" s="14"/>
      <c r="C85" s="26"/>
      <c r="D85" s="26"/>
      <c r="E85" s="26"/>
      <c r="F85" s="26"/>
      <c r="G85" s="26"/>
      <c r="H85" s="26"/>
      <c r="I85" s="26"/>
      <c r="J85" s="26"/>
      <c r="K85" s="2"/>
      <c r="L85" s="2"/>
      <c r="M85" s="2"/>
      <c r="N85" s="1"/>
      <c r="O85" s="1"/>
      <c r="P85" s="1"/>
      <c r="Q85" s="1"/>
      <c r="R85" s="5"/>
      <c r="S85" s="5"/>
      <c r="T85" s="5"/>
      <c r="U85" s="1"/>
      <c r="V85" s="1"/>
      <c r="W85" s="1"/>
      <c r="X85" s="1"/>
      <c r="Y85" s="1"/>
      <c r="Z85" s="1"/>
      <c r="AA85" s="1"/>
      <c r="AB85" s="1"/>
      <c r="AC85" s="1"/>
      <c r="AD85" s="1"/>
      <c r="AE85" s="1"/>
      <c r="AF85" s="1"/>
      <c r="AG85" s="1"/>
      <c r="AH85" s="1"/>
      <c r="AI85" s="1"/>
      <c r="AJ85" s="1"/>
      <c r="AK85" s="1"/>
      <c r="AL85" s="1"/>
      <c r="AM85" s="1"/>
      <c r="AN85" s="1"/>
      <c r="AO85" s="1"/>
      <c r="AP85" s="1"/>
      <c r="AQ85" s="1"/>
    </row>
    <row r="86" spans="1:43" ht="18" customHeight="1" x14ac:dyDescent="0.35">
      <c r="A86" s="2"/>
      <c r="B86" s="14"/>
      <c r="C86" s="26"/>
      <c r="D86" s="26"/>
      <c r="E86" s="26"/>
      <c r="F86" s="26"/>
      <c r="G86" s="26"/>
      <c r="H86" s="26"/>
      <c r="I86" s="26"/>
      <c r="J86" s="26"/>
      <c r="K86" s="2"/>
      <c r="L86" s="2"/>
      <c r="M86" s="2"/>
      <c r="N86" s="1"/>
      <c r="O86" s="1"/>
      <c r="P86" s="1"/>
      <c r="Q86" s="1"/>
      <c r="R86" s="5"/>
      <c r="S86" s="5"/>
      <c r="T86" s="5"/>
      <c r="U86" s="1"/>
      <c r="V86" s="1"/>
      <c r="W86" s="1"/>
      <c r="X86" s="1"/>
      <c r="Y86" s="1"/>
      <c r="Z86" s="1"/>
      <c r="AA86" s="1"/>
      <c r="AB86" s="1"/>
      <c r="AC86" s="1"/>
      <c r="AD86" s="1"/>
      <c r="AE86" s="1"/>
      <c r="AF86" s="1"/>
      <c r="AG86" s="1"/>
      <c r="AH86" s="1"/>
      <c r="AI86" s="1"/>
      <c r="AJ86" s="1"/>
      <c r="AK86" s="1"/>
      <c r="AL86" s="1"/>
      <c r="AM86" s="1"/>
      <c r="AN86" s="1"/>
      <c r="AO86" s="1"/>
      <c r="AP86" s="1"/>
      <c r="AQ86" s="1"/>
    </row>
    <row r="87" spans="1:43" ht="18" customHeight="1" x14ac:dyDescent="0.35">
      <c r="A87" s="2"/>
      <c r="B87" s="14"/>
      <c r="C87" s="26"/>
      <c r="D87" s="26"/>
      <c r="E87" s="26"/>
      <c r="F87" s="26"/>
      <c r="G87" s="26"/>
      <c r="H87" s="26"/>
      <c r="I87" s="26"/>
      <c r="J87" s="26"/>
      <c r="K87" s="2"/>
      <c r="L87" s="2"/>
      <c r="M87" s="2"/>
      <c r="N87" s="1"/>
      <c r="O87" s="1"/>
      <c r="P87" s="1"/>
      <c r="Q87" s="1"/>
      <c r="R87" s="5"/>
      <c r="S87" s="5"/>
      <c r="T87" s="5"/>
      <c r="U87" s="1"/>
      <c r="V87" s="1"/>
      <c r="W87" s="1"/>
      <c r="X87" s="1"/>
      <c r="Y87" s="1"/>
      <c r="Z87" s="1"/>
      <c r="AA87" s="1"/>
      <c r="AB87" s="1"/>
      <c r="AC87" s="1"/>
      <c r="AD87" s="1"/>
      <c r="AE87" s="1"/>
      <c r="AF87" s="1"/>
      <c r="AG87" s="1"/>
      <c r="AH87" s="1"/>
      <c r="AI87" s="1"/>
      <c r="AJ87" s="1"/>
      <c r="AK87" s="1"/>
      <c r="AL87" s="1"/>
      <c r="AM87" s="1"/>
      <c r="AN87" s="1"/>
      <c r="AO87" s="1"/>
      <c r="AP87" s="1"/>
      <c r="AQ87" s="1"/>
    </row>
    <row r="88" spans="1:43" ht="18" customHeight="1" x14ac:dyDescent="0.35">
      <c r="A88" s="2"/>
      <c r="B88" s="14"/>
      <c r="C88" s="26"/>
      <c r="D88" s="26"/>
      <c r="E88" s="26"/>
      <c r="F88" s="26"/>
      <c r="G88" s="26"/>
      <c r="H88" s="26"/>
      <c r="I88" s="26"/>
      <c r="J88" s="26"/>
      <c r="K88" s="2"/>
      <c r="L88" s="2"/>
      <c r="M88" s="2"/>
      <c r="N88" s="1"/>
      <c r="O88" s="1"/>
      <c r="P88" s="1"/>
      <c r="Q88" s="1"/>
      <c r="R88" s="5"/>
      <c r="S88" s="5"/>
      <c r="T88" s="5"/>
      <c r="U88" s="1"/>
      <c r="V88" s="1"/>
      <c r="W88" s="1"/>
      <c r="X88" s="1"/>
      <c r="Y88" s="1"/>
      <c r="Z88" s="1"/>
      <c r="AA88" s="1"/>
      <c r="AB88" s="1"/>
      <c r="AC88" s="1"/>
      <c r="AD88" s="1"/>
      <c r="AE88" s="1"/>
      <c r="AF88" s="1"/>
      <c r="AG88" s="1"/>
      <c r="AH88" s="1"/>
      <c r="AI88" s="1"/>
      <c r="AJ88" s="1"/>
      <c r="AK88" s="1"/>
      <c r="AL88" s="1"/>
      <c r="AM88" s="1"/>
      <c r="AN88" s="1"/>
      <c r="AO88" s="1"/>
      <c r="AP88" s="1"/>
      <c r="AQ88" s="1"/>
    </row>
    <row r="89" spans="1:43" ht="18" customHeight="1" x14ac:dyDescent="0.35">
      <c r="A89" s="2"/>
      <c r="B89" s="14"/>
      <c r="C89" s="26"/>
      <c r="D89" s="26"/>
      <c r="E89" s="26"/>
      <c r="F89" s="26"/>
      <c r="G89" s="26"/>
      <c r="H89" s="26"/>
      <c r="I89" s="26"/>
      <c r="J89" s="26"/>
      <c r="K89" s="2"/>
      <c r="L89" s="2"/>
      <c r="M89" s="2"/>
      <c r="N89" s="1"/>
      <c r="O89" s="1"/>
      <c r="P89" s="1"/>
      <c r="Q89" s="1"/>
      <c r="R89" s="5"/>
      <c r="S89" s="5"/>
      <c r="T89" s="5"/>
      <c r="U89" s="1"/>
      <c r="V89" s="1"/>
      <c r="W89" s="1"/>
      <c r="X89" s="1"/>
      <c r="Y89" s="1"/>
      <c r="Z89" s="1"/>
      <c r="AA89" s="1"/>
      <c r="AB89" s="1"/>
      <c r="AC89" s="1"/>
      <c r="AD89" s="1"/>
      <c r="AE89" s="1"/>
      <c r="AF89" s="1"/>
      <c r="AG89" s="1"/>
      <c r="AH89" s="1"/>
      <c r="AI89" s="1"/>
      <c r="AJ89" s="1"/>
      <c r="AK89" s="1"/>
      <c r="AL89" s="1"/>
      <c r="AM89" s="1"/>
      <c r="AN89" s="1"/>
      <c r="AO89" s="1"/>
      <c r="AP89" s="1"/>
      <c r="AQ89" s="1"/>
    </row>
    <row r="90" spans="1:43" ht="18" customHeight="1" x14ac:dyDescent="0.35">
      <c r="A90" s="2"/>
      <c r="B90" s="14"/>
      <c r="C90" s="26"/>
      <c r="D90" s="26"/>
      <c r="E90" s="26"/>
      <c r="F90" s="26"/>
      <c r="G90" s="26"/>
      <c r="H90" s="26"/>
      <c r="I90" s="26"/>
      <c r="J90" s="26"/>
      <c r="K90" s="2"/>
      <c r="L90" s="2"/>
      <c r="M90" s="2"/>
      <c r="N90" s="1"/>
      <c r="O90" s="1"/>
      <c r="P90" s="1"/>
      <c r="Q90" s="1"/>
      <c r="R90" s="5"/>
      <c r="S90" s="5"/>
      <c r="T90" s="5"/>
      <c r="U90" s="1"/>
      <c r="V90" s="1"/>
      <c r="W90" s="1"/>
      <c r="X90" s="1"/>
      <c r="Y90" s="1"/>
      <c r="Z90" s="1"/>
      <c r="AA90" s="1"/>
      <c r="AB90" s="1"/>
      <c r="AC90" s="1"/>
      <c r="AD90" s="1"/>
      <c r="AE90" s="1"/>
      <c r="AF90" s="1"/>
      <c r="AG90" s="1"/>
      <c r="AH90" s="1"/>
      <c r="AI90" s="1"/>
      <c r="AJ90" s="1"/>
      <c r="AK90" s="1"/>
      <c r="AL90" s="1"/>
      <c r="AM90" s="1"/>
      <c r="AN90" s="1"/>
      <c r="AO90" s="1"/>
      <c r="AP90" s="1"/>
      <c r="AQ90" s="1"/>
    </row>
    <row r="91" spans="1:43" ht="18" customHeight="1" x14ac:dyDescent="0.35">
      <c r="A91" s="2"/>
      <c r="B91" s="23"/>
      <c r="C91" s="26"/>
      <c r="D91" s="26"/>
      <c r="E91" s="26"/>
      <c r="F91" s="26"/>
      <c r="G91" s="26"/>
      <c r="H91" s="26"/>
      <c r="I91" s="26"/>
      <c r="J91" s="26"/>
      <c r="K91" s="2"/>
      <c r="L91" s="2"/>
      <c r="M91" s="2"/>
      <c r="N91" s="1"/>
      <c r="O91" s="1"/>
      <c r="P91" s="1"/>
      <c r="Q91" s="1"/>
      <c r="R91" s="5"/>
      <c r="S91" s="5"/>
      <c r="T91" s="5"/>
      <c r="U91" s="1"/>
      <c r="V91" s="1"/>
      <c r="W91" s="1"/>
      <c r="X91" s="1"/>
      <c r="Y91" s="1"/>
      <c r="Z91" s="1"/>
      <c r="AA91" s="1"/>
      <c r="AB91" s="1"/>
      <c r="AC91" s="1"/>
      <c r="AD91" s="1"/>
      <c r="AE91" s="1"/>
      <c r="AF91" s="1"/>
      <c r="AG91" s="1"/>
      <c r="AH91" s="1"/>
      <c r="AI91" s="1"/>
      <c r="AJ91" s="1"/>
      <c r="AK91" s="1"/>
      <c r="AL91" s="1"/>
      <c r="AM91" s="1"/>
      <c r="AN91" s="1"/>
      <c r="AO91" s="1"/>
      <c r="AP91" s="1"/>
      <c r="AQ91" s="1"/>
    </row>
    <row r="92" spans="1:43" ht="18" customHeight="1" x14ac:dyDescent="0.35">
      <c r="A92" s="2"/>
      <c r="B92" s="24"/>
      <c r="C92" s="37"/>
      <c r="D92" s="37"/>
      <c r="E92" s="37"/>
      <c r="F92" s="37"/>
      <c r="G92" s="37"/>
      <c r="H92" s="37"/>
      <c r="I92" s="37"/>
      <c r="J92" s="37"/>
      <c r="K92" s="2"/>
      <c r="L92" s="2"/>
      <c r="M92" s="2"/>
      <c r="N92" s="1"/>
      <c r="O92" s="1"/>
      <c r="P92" s="1"/>
      <c r="Q92" s="1"/>
      <c r="R92" s="5"/>
      <c r="S92" s="5"/>
      <c r="T92" s="5"/>
      <c r="U92" s="1"/>
      <c r="V92" s="1"/>
      <c r="W92" s="1"/>
      <c r="X92" s="1"/>
      <c r="Y92" s="1"/>
      <c r="Z92" s="1"/>
      <c r="AA92" s="1"/>
      <c r="AB92" s="1"/>
      <c r="AC92" s="1"/>
      <c r="AD92" s="1"/>
      <c r="AE92" s="1"/>
      <c r="AF92" s="1"/>
      <c r="AG92" s="1"/>
      <c r="AH92" s="1"/>
      <c r="AI92" s="1"/>
      <c r="AJ92" s="1"/>
      <c r="AK92" s="1"/>
      <c r="AL92" s="1"/>
      <c r="AM92" s="1"/>
      <c r="AN92" s="1"/>
      <c r="AO92" s="1"/>
      <c r="AP92" s="1"/>
      <c r="AQ92" s="1"/>
    </row>
    <row r="93" spans="1:43" ht="18" customHeight="1" x14ac:dyDescent="0.35">
      <c r="A93" s="2"/>
      <c r="B93" s="22"/>
      <c r="C93" s="26"/>
      <c r="D93" s="26"/>
      <c r="E93" s="26"/>
      <c r="F93" s="26"/>
      <c r="G93" s="26"/>
      <c r="H93" s="26"/>
      <c r="I93" s="26"/>
      <c r="J93" s="26"/>
      <c r="K93" s="2"/>
      <c r="L93" s="2"/>
      <c r="M93" s="2"/>
      <c r="N93" s="1"/>
      <c r="O93" s="1"/>
      <c r="P93" s="1"/>
      <c r="Q93" s="1"/>
      <c r="R93" s="5"/>
      <c r="S93" s="5"/>
      <c r="T93" s="5"/>
      <c r="U93" s="1"/>
      <c r="V93" s="1"/>
      <c r="W93" s="1"/>
      <c r="X93" s="1"/>
      <c r="Y93" s="1"/>
      <c r="Z93" s="1"/>
      <c r="AA93" s="1"/>
      <c r="AB93" s="1"/>
      <c r="AC93" s="1"/>
      <c r="AD93" s="1"/>
      <c r="AE93" s="1"/>
      <c r="AF93" s="1"/>
      <c r="AG93" s="1"/>
      <c r="AH93" s="1"/>
      <c r="AI93" s="1"/>
      <c r="AJ93" s="1"/>
      <c r="AK93" s="1"/>
      <c r="AL93" s="1"/>
      <c r="AM93" s="1"/>
      <c r="AN93" s="1"/>
      <c r="AO93" s="1"/>
      <c r="AP93" s="1"/>
      <c r="AQ93" s="1"/>
    </row>
    <row r="94" spans="1:43" ht="18" customHeight="1" x14ac:dyDescent="0.35">
      <c r="A94" s="2"/>
      <c r="B94" s="15"/>
      <c r="C94" s="26"/>
      <c r="D94" s="26"/>
      <c r="E94" s="26"/>
      <c r="F94" s="26"/>
      <c r="G94" s="26"/>
      <c r="H94" s="26"/>
      <c r="I94" s="26"/>
      <c r="J94" s="26"/>
      <c r="K94" s="2"/>
      <c r="L94" s="2"/>
      <c r="M94" s="2"/>
      <c r="N94" s="1"/>
      <c r="O94" s="1"/>
      <c r="P94" s="1"/>
      <c r="Q94" s="1"/>
      <c r="R94" s="5"/>
      <c r="S94" s="5"/>
      <c r="T94" s="5"/>
      <c r="U94" s="1"/>
      <c r="V94" s="1"/>
      <c r="W94" s="1"/>
      <c r="X94" s="1"/>
      <c r="Y94" s="1"/>
      <c r="Z94" s="1"/>
      <c r="AA94" s="1"/>
      <c r="AB94" s="1"/>
      <c r="AC94" s="1"/>
      <c r="AD94" s="1"/>
      <c r="AE94" s="1"/>
      <c r="AF94" s="1"/>
      <c r="AG94" s="1"/>
      <c r="AH94" s="1"/>
      <c r="AI94" s="1"/>
      <c r="AJ94" s="1"/>
      <c r="AK94" s="1"/>
      <c r="AL94" s="1"/>
      <c r="AM94" s="1"/>
      <c r="AN94" s="1"/>
      <c r="AO94" s="1"/>
      <c r="AP94" s="1"/>
      <c r="AQ94" s="1"/>
    </row>
    <row r="95" spans="1:43" ht="18" customHeight="1" x14ac:dyDescent="0.35">
      <c r="A95" s="2"/>
      <c r="B95" s="15"/>
      <c r="C95" s="26"/>
      <c r="D95" s="26"/>
      <c r="E95" s="26"/>
      <c r="F95" s="26"/>
      <c r="G95" s="26"/>
      <c r="H95" s="26"/>
      <c r="I95" s="26"/>
      <c r="J95" s="26"/>
      <c r="K95" s="2"/>
      <c r="L95" s="2"/>
      <c r="M95" s="2"/>
      <c r="N95" s="1"/>
      <c r="O95" s="1"/>
      <c r="P95" s="1"/>
      <c r="Q95" s="1"/>
      <c r="R95" s="5"/>
      <c r="S95" s="5"/>
      <c r="T95" s="5"/>
      <c r="U95" s="1"/>
      <c r="V95" s="1"/>
      <c r="W95" s="1"/>
      <c r="X95" s="1"/>
      <c r="Y95" s="1"/>
      <c r="Z95" s="1"/>
      <c r="AA95" s="1"/>
      <c r="AB95" s="1"/>
      <c r="AC95" s="1"/>
      <c r="AD95" s="1"/>
      <c r="AE95" s="1"/>
      <c r="AF95" s="1"/>
      <c r="AG95" s="1"/>
      <c r="AH95" s="1"/>
      <c r="AI95" s="1"/>
      <c r="AJ95" s="1"/>
      <c r="AK95" s="1"/>
      <c r="AL95" s="1"/>
      <c r="AM95" s="1"/>
      <c r="AN95" s="1"/>
      <c r="AO95" s="1"/>
      <c r="AP95" s="1"/>
      <c r="AQ95" s="1"/>
    </row>
    <row r="96" spans="1:43" ht="18" customHeight="1" x14ac:dyDescent="0.35">
      <c r="A96" s="2"/>
      <c r="B96" s="15"/>
      <c r="C96" s="26"/>
      <c r="D96" s="26"/>
      <c r="E96" s="26"/>
      <c r="F96" s="26"/>
      <c r="G96" s="26"/>
      <c r="H96" s="26"/>
      <c r="I96" s="26"/>
      <c r="J96" s="26"/>
      <c r="K96" s="2"/>
      <c r="L96" s="2"/>
      <c r="M96" s="2"/>
      <c r="N96" s="1"/>
      <c r="O96" s="1"/>
      <c r="P96" s="1"/>
      <c r="Q96" s="1"/>
      <c r="R96" s="5"/>
      <c r="S96" s="5"/>
      <c r="T96" s="5"/>
      <c r="U96" s="1"/>
      <c r="V96" s="1"/>
      <c r="W96" s="1"/>
      <c r="X96" s="1"/>
      <c r="Y96" s="1"/>
      <c r="Z96" s="1"/>
      <c r="AA96" s="1"/>
      <c r="AB96" s="1"/>
      <c r="AC96" s="1"/>
      <c r="AD96" s="1"/>
      <c r="AE96" s="1"/>
      <c r="AF96" s="1"/>
      <c r="AG96" s="1"/>
      <c r="AH96" s="1"/>
      <c r="AI96" s="1"/>
      <c r="AJ96" s="1"/>
      <c r="AK96" s="1"/>
      <c r="AL96" s="1"/>
      <c r="AM96" s="1"/>
      <c r="AN96" s="1"/>
      <c r="AO96" s="1"/>
      <c r="AP96" s="1"/>
      <c r="AQ96" s="1"/>
    </row>
    <row r="97" spans="1:43" ht="18" customHeight="1" x14ac:dyDescent="0.35">
      <c r="A97" s="2"/>
      <c r="B97" s="15"/>
      <c r="C97" s="26"/>
      <c r="D97" s="26"/>
      <c r="E97" s="26"/>
      <c r="F97" s="26"/>
      <c r="G97" s="26"/>
      <c r="H97" s="26"/>
      <c r="I97" s="26"/>
      <c r="J97" s="26"/>
      <c r="K97" s="2"/>
      <c r="L97" s="2"/>
      <c r="M97" s="2"/>
      <c r="N97" s="1"/>
      <c r="O97" s="1"/>
      <c r="P97" s="1"/>
      <c r="Q97" s="1"/>
      <c r="R97" s="5"/>
      <c r="S97" s="5"/>
      <c r="T97" s="5"/>
      <c r="U97" s="1"/>
      <c r="V97" s="1"/>
      <c r="W97" s="1"/>
      <c r="X97" s="1"/>
      <c r="Y97" s="1"/>
      <c r="Z97" s="1"/>
      <c r="AA97" s="1"/>
      <c r="AB97" s="1"/>
      <c r="AC97" s="1"/>
      <c r="AD97" s="1"/>
      <c r="AE97" s="1"/>
      <c r="AF97" s="1"/>
      <c r="AG97" s="1"/>
      <c r="AH97" s="1"/>
      <c r="AI97" s="1"/>
      <c r="AJ97" s="1"/>
      <c r="AK97" s="1"/>
      <c r="AL97" s="1"/>
      <c r="AM97" s="1"/>
      <c r="AN97" s="1"/>
      <c r="AO97" s="1"/>
      <c r="AP97" s="1"/>
      <c r="AQ97" s="1"/>
    </row>
    <row r="98" spans="1:43" ht="18" customHeight="1" x14ac:dyDescent="0.35">
      <c r="A98" s="2"/>
      <c r="B98" s="15"/>
      <c r="C98" s="26"/>
      <c r="D98" s="26"/>
      <c r="E98" s="26"/>
      <c r="F98" s="26"/>
      <c r="G98" s="26"/>
      <c r="H98" s="26"/>
      <c r="I98" s="26"/>
      <c r="J98" s="26"/>
      <c r="K98" s="2"/>
      <c r="L98" s="2"/>
      <c r="M98" s="2"/>
      <c r="N98" s="1"/>
      <c r="O98" s="1"/>
      <c r="P98" s="1"/>
      <c r="Q98" s="1"/>
      <c r="R98" s="5"/>
      <c r="S98" s="5"/>
      <c r="T98" s="5"/>
      <c r="U98" s="1"/>
      <c r="V98" s="1"/>
      <c r="W98" s="1"/>
      <c r="X98" s="1"/>
      <c r="Y98" s="1"/>
      <c r="Z98" s="1"/>
      <c r="AA98" s="1"/>
      <c r="AB98" s="1"/>
      <c r="AC98" s="1"/>
      <c r="AD98" s="1"/>
      <c r="AE98" s="1"/>
      <c r="AF98" s="1"/>
      <c r="AG98" s="1"/>
      <c r="AH98" s="1"/>
      <c r="AI98" s="1"/>
      <c r="AJ98" s="1"/>
      <c r="AK98" s="1"/>
      <c r="AL98" s="1"/>
      <c r="AM98" s="1"/>
      <c r="AN98" s="1"/>
      <c r="AO98" s="1"/>
      <c r="AP98" s="1"/>
      <c r="AQ98" s="1"/>
    </row>
    <row r="99" spans="1:43" ht="18" customHeight="1" x14ac:dyDescent="0.35">
      <c r="A99" s="2"/>
      <c r="B99" s="15"/>
      <c r="C99" s="26"/>
      <c r="D99" s="26"/>
      <c r="E99" s="26"/>
      <c r="F99" s="26"/>
      <c r="G99" s="26"/>
      <c r="H99" s="26"/>
      <c r="I99" s="26"/>
      <c r="J99" s="26"/>
      <c r="K99" s="2"/>
      <c r="L99" s="2"/>
      <c r="M99" s="2"/>
      <c r="N99" s="1"/>
      <c r="O99" s="1"/>
      <c r="P99" s="1"/>
      <c r="Q99" s="1"/>
      <c r="R99" s="5"/>
      <c r="S99" s="5"/>
      <c r="T99" s="5"/>
      <c r="U99" s="1"/>
      <c r="V99" s="1"/>
      <c r="W99" s="1"/>
      <c r="X99" s="1"/>
      <c r="Y99" s="1"/>
      <c r="Z99" s="1"/>
      <c r="AA99" s="1"/>
      <c r="AB99" s="1"/>
      <c r="AC99" s="1"/>
      <c r="AD99" s="1"/>
      <c r="AE99" s="1"/>
      <c r="AF99" s="1"/>
      <c r="AG99" s="1"/>
      <c r="AH99" s="1"/>
      <c r="AI99" s="1"/>
      <c r="AJ99" s="1"/>
      <c r="AK99" s="1"/>
      <c r="AL99" s="1"/>
      <c r="AM99" s="1"/>
      <c r="AN99" s="1"/>
      <c r="AO99" s="1"/>
      <c r="AP99" s="1"/>
      <c r="AQ99" s="1"/>
    </row>
    <row r="100" spans="1:43" ht="18" customHeight="1" x14ac:dyDescent="0.35">
      <c r="A100" s="2"/>
      <c r="B100" s="15"/>
      <c r="C100" s="26"/>
      <c r="D100" s="26"/>
      <c r="E100" s="26"/>
      <c r="F100" s="26"/>
      <c r="G100" s="26"/>
      <c r="H100" s="26"/>
      <c r="I100" s="26"/>
      <c r="J100" s="26"/>
      <c r="K100" s="2"/>
      <c r="L100" s="2"/>
      <c r="M100" s="2"/>
      <c r="N100" s="1"/>
      <c r="O100" s="1"/>
      <c r="P100" s="1"/>
      <c r="Q100" s="1"/>
      <c r="R100" s="5"/>
      <c r="S100" s="5"/>
      <c r="T100" s="5"/>
      <c r="U100" s="1"/>
      <c r="V100" s="1"/>
      <c r="W100" s="1"/>
      <c r="X100" s="1"/>
      <c r="Y100" s="1"/>
      <c r="Z100" s="1"/>
      <c r="AA100" s="1"/>
      <c r="AB100" s="1"/>
      <c r="AC100" s="1"/>
      <c r="AD100" s="1"/>
      <c r="AE100" s="1"/>
      <c r="AF100" s="1"/>
      <c r="AG100" s="1"/>
      <c r="AH100" s="1"/>
      <c r="AI100" s="1"/>
      <c r="AJ100" s="1"/>
      <c r="AK100" s="1"/>
      <c r="AL100" s="1"/>
      <c r="AM100" s="1"/>
      <c r="AN100" s="1"/>
      <c r="AO100" s="1"/>
      <c r="AP100" s="1"/>
      <c r="AQ100" s="1"/>
    </row>
    <row r="101" spans="1:43" ht="18" customHeight="1" x14ac:dyDescent="0.35">
      <c r="A101" s="2"/>
      <c r="B101" s="15"/>
      <c r="C101" s="26"/>
      <c r="D101" s="26"/>
      <c r="E101" s="26"/>
      <c r="F101" s="26"/>
      <c r="G101" s="26"/>
      <c r="H101" s="26"/>
      <c r="I101" s="26"/>
      <c r="J101" s="26"/>
      <c r="K101" s="2"/>
      <c r="L101" s="2"/>
      <c r="M101" s="2"/>
      <c r="N101" s="1"/>
      <c r="O101" s="1"/>
      <c r="P101" s="1"/>
      <c r="Q101" s="1"/>
      <c r="R101" s="5"/>
      <c r="S101" s="5"/>
      <c r="T101" s="5"/>
      <c r="U101" s="1"/>
      <c r="V101" s="1"/>
      <c r="W101" s="1"/>
      <c r="X101" s="1"/>
      <c r="Y101" s="1"/>
      <c r="Z101" s="1"/>
      <c r="AA101" s="1"/>
      <c r="AB101" s="1"/>
      <c r="AC101" s="1"/>
      <c r="AD101" s="1"/>
      <c r="AE101" s="1"/>
      <c r="AF101" s="1"/>
      <c r="AG101" s="1"/>
      <c r="AH101" s="1"/>
      <c r="AI101" s="1"/>
      <c r="AJ101" s="1"/>
      <c r="AK101" s="1"/>
      <c r="AL101" s="1"/>
      <c r="AM101" s="1"/>
      <c r="AN101" s="1"/>
      <c r="AO101" s="1"/>
      <c r="AP101" s="1"/>
      <c r="AQ101" s="1"/>
    </row>
    <row r="102" spans="1:43" ht="18" customHeight="1" x14ac:dyDescent="0.35">
      <c r="A102" s="2"/>
      <c r="B102" s="15"/>
      <c r="C102" s="26"/>
      <c r="D102" s="26"/>
      <c r="E102" s="26"/>
      <c r="F102" s="26"/>
      <c r="G102" s="26"/>
      <c r="H102" s="26"/>
      <c r="I102" s="26"/>
      <c r="J102" s="26"/>
      <c r="K102" s="2"/>
      <c r="L102" s="2"/>
      <c r="M102" s="2"/>
      <c r="N102" s="1"/>
      <c r="O102" s="1"/>
      <c r="P102" s="1"/>
      <c r="Q102" s="1"/>
      <c r="R102" s="5"/>
      <c r="S102" s="5"/>
      <c r="T102" s="5"/>
      <c r="U102" s="1"/>
      <c r="V102" s="1"/>
      <c r="W102" s="1"/>
      <c r="X102" s="1"/>
      <c r="Y102" s="1"/>
      <c r="Z102" s="1"/>
      <c r="AA102" s="1"/>
      <c r="AB102" s="1"/>
      <c r="AC102" s="1"/>
      <c r="AD102" s="1"/>
      <c r="AE102" s="1"/>
      <c r="AF102" s="1"/>
      <c r="AG102" s="1"/>
      <c r="AH102" s="1"/>
      <c r="AI102" s="1"/>
      <c r="AJ102" s="1"/>
      <c r="AK102" s="1"/>
      <c r="AL102" s="1"/>
      <c r="AM102" s="1"/>
      <c r="AN102" s="1"/>
      <c r="AO102" s="1"/>
      <c r="AP102" s="1"/>
      <c r="AQ102" s="1"/>
    </row>
    <row r="103" spans="1:43" ht="18" customHeight="1" x14ac:dyDescent="0.35">
      <c r="A103" s="2"/>
      <c r="B103" s="15"/>
      <c r="C103" s="26"/>
      <c r="D103" s="26"/>
      <c r="E103" s="26"/>
      <c r="F103" s="26"/>
      <c r="G103" s="26"/>
      <c r="H103" s="26"/>
      <c r="I103" s="26"/>
      <c r="J103" s="26"/>
      <c r="K103" s="2"/>
      <c r="L103" s="2"/>
      <c r="M103" s="2"/>
      <c r="N103" s="1"/>
      <c r="O103" s="1"/>
      <c r="P103" s="1"/>
      <c r="Q103" s="1"/>
      <c r="R103" s="5"/>
      <c r="S103" s="5"/>
      <c r="T103" s="5"/>
      <c r="U103" s="1"/>
      <c r="V103" s="1"/>
      <c r="W103" s="1"/>
      <c r="X103" s="1"/>
      <c r="Y103" s="1"/>
      <c r="Z103" s="1"/>
      <c r="AA103" s="1"/>
      <c r="AB103" s="1"/>
      <c r="AC103" s="1"/>
      <c r="AD103" s="1"/>
      <c r="AE103" s="1"/>
      <c r="AF103" s="1"/>
      <c r="AG103" s="1"/>
      <c r="AH103" s="1"/>
      <c r="AI103" s="1"/>
      <c r="AJ103" s="1"/>
      <c r="AK103" s="1"/>
      <c r="AL103" s="1"/>
      <c r="AM103" s="1"/>
      <c r="AN103" s="1"/>
      <c r="AO103" s="1"/>
      <c r="AP103" s="1"/>
      <c r="AQ103" s="1"/>
    </row>
    <row r="104" spans="1:43" ht="18" customHeight="1" x14ac:dyDescent="0.35">
      <c r="A104" s="2"/>
      <c r="B104" s="15"/>
      <c r="C104" s="26"/>
      <c r="D104" s="26"/>
      <c r="E104" s="26"/>
      <c r="F104" s="26"/>
      <c r="G104" s="26"/>
      <c r="H104" s="26"/>
      <c r="I104" s="26"/>
      <c r="J104" s="26"/>
      <c r="K104" s="2"/>
      <c r="L104" s="2"/>
      <c r="M104" s="2"/>
      <c r="N104" s="1"/>
      <c r="O104" s="1"/>
      <c r="P104" s="1"/>
      <c r="Q104" s="1"/>
      <c r="R104" s="5"/>
      <c r="S104" s="5"/>
      <c r="T104" s="5"/>
      <c r="U104" s="1"/>
      <c r="V104" s="1"/>
      <c r="W104" s="1"/>
      <c r="X104" s="1"/>
      <c r="Y104" s="1"/>
      <c r="Z104" s="1"/>
      <c r="AA104" s="1"/>
      <c r="AB104" s="1"/>
      <c r="AC104" s="1"/>
      <c r="AD104" s="1"/>
      <c r="AE104" s="1"/>
      <c r="AF104" s="1"/>
      <c r="AG104" s="1"/>
      <c r="AH104" s="1"/>
      <c r="AI104" s="1"/>
      <c r="AJ104" s="1"/>
      <c r="AK104" s="1"/>
      <c r="AL104" s="1"/>
      <c r="AM104" s="1"/>
      <c r="AN104" s="1"/>
      <c r="AO104" s="1"/>
      <c r="AP104" s="1"/>
      <c r="AQ104" s="1"/>
    </row>
    <row r="105" spans="1:43" ht="18" customHeight="1" x14ac:dyDescent="0.35">
      <c r="A105" s="2"/>
      <c r="B105" s="15"/>
      <c r="C105" s="26"/>
      <c r="D105" s="26"/>
      <c r="E105" s="26"/>
      <c r="F105" s="26"/>
      <c r="G105" s="26"/>
      <c r="H105" s="26"/>
      <c r="I105" s="26"/>
      <c r="J105" s="26"/>
      <c r="K105" s="2"/>
      <c r="L105" s="2"/>
      <c r="M105" s="2"/>
      <c r="N105" s="1"/>
      <c r="O105" s="1"/>
      <c r="P105" s="1"/>
      <c r="Q105" s="1"/>
      <c r="R105" s="5"/>
      <c r="S105" s="5"/>
      <c r="T105" s="5"/>
      <c r="U105" s="1"/>
      <c r="V105" s="1"/>
      <c r="W105" s="1"/>
      <c r="X105" s="1"/>
      <c r="Y105" s="1"/>
      <c r="Z105" s="1"/>
      <c r="AA105" s="1"/>
      <c r="AB105" s="1"/>
      <c r="AC105" s="1"/>
      <c r="AD105" s="1"/>
      <c r="AE105" s="1"/>
      <c r="AF105" s="1"/>
      <c r="AG105" s="1"/>
      <c r="AH105" s="1"/>
      <c r="AI105" s="1"/>
      <c r="AJ105" s="1"/>
      <c r="AK105" s="1"/>
      <c r="AL105" s="1"/>
      <c r="AM105" s="1"/>
      <c r="AN105" s="1"/>
      <c r="AO105" s="1"/>
      <c r="AP105" s="1"/>
      <c r="AQ105" s="1"/>
    </row>
    <row r="106" spans="1:43" ht="18" customHeight="1" x14ac:dyDescent="0.35">
      <c r="A106" s="2"/>
      <c r="B106" s="15"/>
      <c r="C106" s="26"/>
      <c r="D106" s="26"/>
      <c r="E106" s="26"/>
      <c r="F106" s="26"/>
      <c r="G106" s="26"/>
      <c r="H106" s="26"/>
      <c r="I106" s="26"/>
      <c r="J106" s="26"/>
      <c r="K106" s="2"/>
      <c r="L106" s="2"/>
      <c r="M106" s="2"/>
      <c r="N106" s="1"/>
      <c r="O106" s="1"/>
      <c r="P106" s="1"/>
      <c r="Q106" s="1"/>
      <c r="R106" s="5"/>
      <c r="S106" s="5"/>
      <c r="T106" s="5"/>
      <c r="U106" s="1"/>
      <c r="V106" s="1"/>
      <c r="W106" s="1"/>
      <c r="X106" s="1"/>
      <c r="Y106" s="1"/>
      <c r="Z106" s="1"/>
      <c r="AA106" s="1"/>
      <c r="AB106" s="1"/>
      <c r="AC106" s="1"/>
      <c r="AD106" s="1"/>
      <c r="AE106" s="1"/>
      <c r="AF106" s="1"/>
      <c r="AG106" s="1"/>
      <c r="AH106" s="1"/>
      <c r="AI106" s="1"/>
      <c r="AJ106" s="1"/>
      <c r="AK106" s="1"/>
      <c r="AL106" s="1"/>
      <c r="AM106" s="1"/>
      <c r="AN106" s="1"/>
      <c r="AO106" s="1"/>
      <c r="AP106" s="1"/>
      <c r="AQ106" s="1"/>
    </row>
    <row r="107" spans="1:43" ht="18" customHeight="1" x14ac:dyDescent="0.35">
      <c r="A107" s="2"/>
      <c r="B107" s="15"/>
      <c r="C107" s="26"/>
      <c r="D107" s="26"/>
      <c r="E107" s="26"/>
      <c r="F107" s="26"/>
      <c r="G107" s="26"/>
      <c r="H107" s="26"/>
      <c r="I107" s="26"/>
      <c r="J107" s="26"/>
      <c r="K107" s="2"/>
      <c r="L107" s="2"/>
      <c r="M107" s="2"/>
      <c r="N107" s="1"/>
      <c r="O107" s="1"/>
      <c r="P107" s="1"/>
      <c r="Q107" s="1"/>
      <c r="R107" s="5"/>
      <c r="S107" s="5"/>
      <c r="T107" s="5"/>
      <c r="U107" s="1"/>
      <c r="V107" s="1"/>
      <c r="W107" s="1"/>
      <c r="X107" s="1"/>
      <c r="Y107" s="1"/>
      <c r="Z107" s="1"/>
      <c r="AA107" s="1"/>
      <c r="AB107" s="1"/>
      <c r="AC107" s="1"/>
      <c r="AD107" s="1"/>
      <c r="AE107" s="1"/>
      <c r="AF107" s="1"/>
      <c r="AG107" s="1"/>
      <c r="AH107" s="1"/>
      <c r="AI107" s="1"/>
      <c r="AJ107" s="1"/>
      <c r="AK107" s="1"/>
      <c r="AL107" s="1"/>
      <c r="AM107" s="1"/>
      <c r="AN107" s="1"/>
      <c r="AO107" s="1"/>
      <c r="AP107" s="1"/>
      <c r="AQ107" s="1"/>
    </row>
    <row r="108" spans="1:43" ht="18" customHeight="1" x14ac:dyDescent="0.35">
      <c r="A108" s="2"/>
      <c r="B108" s="15"/>
      <c r="C108" s="26"/>
      <c r="D108" s="26"/>
      <c r="E108" s="26"/>
      <c r="F108" s="26"/>
      <c r="G108" s="26"/>
      <c r="H108" s="26"/>
      <c r="I108" s="26"/>
      <c r="J108" s="26"/>
      <c r="K108" s="2"/>
      <c r="L108" s="2"/>
      <c r="M108" s="2"/>
      <c r="N108" s="1"/>
      <c r="O108" s="1"/>
      <c r="P108" s="1"/>
      <c r="Q108" s="1"/>
      <c r="R108" s="5"/>
      <c r="S108" s="5"/>
      <c r="T108" s="5"/>
      <c r="U108" s="1"/>
      <c r="V108" s="1"/>
      <c r="W108" s="1"/>
      <c r="X108" s="1"/>
      <c r="Y108" s="1"/>
      <c r="Z108" s="1"/>
      <c r="AA108" s="1"/>
      <c r="AB108" s="1"/>
      <c r="AC108" s="1"/>
      <c r="AD108" s="1"/>
      <c r="AE108" s="1"/>
      <c r="AF108" s="1"/>
      <c r="AG108" s="1"/>
      <c r="AH108" s="1"/>
      <c r="AI108" s="1"/>
      <c r="AJ108" s="1"/>
      <c r="AK108" s="1"/>
      <c r="AL108" s="1"/>
      <c r="AM108" s="1"/>
      <c r="AN108" s="1"/>
      <c r="AO108" s="1"/>
      <c r="AP108" s="1"/>
      <c r="AQ108" s="1"/>
    </row>
    <row r="109" spans="1:43" ht="18" customHeight="1" x14ac:dyDescent="0.35">
      <c r="A109" s="2"/>
      <c r="B109" s="15"/>
      <c r="C109" s="26"/>
      <c r="D109" s="26"/>
      <c r="E109" s="26"/>
      <c r="F109" s="26"/>
      <c r="G109" s="26"/>
      <c r="H109" s="26"/>
      <c r="I109" s="26"/>
      <c r="J109" s="26"/>
      <c r="K109" s="2"/>
      <c r="L109" s="2"/>
      <c r="M109" s="2"/>
      <c r="N109" s="1"/>
      <c r="O109" s="1"/>
      <c r="P109" s="1"/>
      <c r="Q109" s="1"/>
      <c r="R109" s="5"/>
      <c r="S109" s="5"/>
      <c r="T109" s="5"/>
      <c r="U109" s="1"/>
      <c r="V109" s="1"/>
      <c r="W109" s="1"/>
      <c r="X109" s="1"/>
      <c r="Y109" s="1"/>
      <c r="Z109" s="1"/>
      <c r="AA109" s="1"/>
      <c r="AB109" s="1"/>
      <c r="AC109" s="1"/>
      <c r="AD109" s="1"/>
      <c r="AE109" s="1"/>
      <c r="AF109" s="1"/>
      <c r="AG109" s="1"/>
      <c r="AH109" s="1"/>
      <c r="AI109" s="1"/>
      <c r="AJ109" s="1"/>
      <c r="AK109" s="1"/>
      <c r="AL109" s="1"/>
      <c r="AM109" s="1"/>
      <c r="AN109" s="1"/>
      <c r="AO109" s="1"/>
      <c r="AP109" s="1"/>
      <c r="AQ109" s="1"/>
    </row>
    <row r="110" spans="1:43" ht="18" customHeight="1" x14ac:dyDescent="0.35">
      <c r="A110" s="2"/>
      <c r="B110" s="15"/>
      <c r="C110" s="26"/>
      <c r="D110" s="26"/>
      <c r="E110" s="26"/>
      <c r="F110" s="26"/>
      <c r="G110" s="26"/>
      <c r="H110" s="26"/>
      <c r="I110" s="26"/>
      <c r="J110" s="26"/>
      <c r="K110" s="2"/>
      <c r="L110" s="2"/>
      <c r="M110" s="2"/>
      <c r="N110" s="1"/>
      <c r="O110" s="1"/>
      <c r="P110" s="1"/>
      <c r="Q110" s="1"/>
      <c r="R110" s="5"/>
      <c r="S110" s="5"/>
      <c r="T110" s="5"/>
      <c r="U110" s="1"/>
      <c r="V110" s="1"/>
      <c r="W110" s="1"/>
      <c r="X110" s="1"/>
      <c r="Y110" s="1"/>
      <c r="Z110" s="1"/>
      <c r="AA110" s="1"/>
      <c r="AB110" s="1"/>
      <c r="AC110" s="1"/>
      <c r="AD110" s="1"/>
      <c r="AE110" s="1"/>
      <c r="AF110" s="1"/>
      <c r="AG110" s="1"/>
      <c r="AH110" s="1"/>
      <c r="AI110" s="1"/>
      <c r="AJ110" s="1"/>
      <c r="AK110" s="1"/>
      <c r="AL110" s="1"/>
      <c r="AM110" s="1"/>
      <c r="AN110" s="1"/>
      <c r="AO110" s="1"/>
      <c r="AP110" s="1"/>
      <c r="AQ110" s="1"/>
    </row>
    <row r="111" spans="1:43" ht="18" customHeight="1" x14ac:dyDescent="0.35">
      <c r="A111" s="2"/>
      <c r="B111" s="24"/>
      <c r="C111" s="26"/>
      <c r="D111" s="26"/>
      <c r="E111" s="26"/>
      <c r="F111" s="26"/>
      <c r="G111" s="26"/>
      <c r="H111" s="26"/>
      <c r="I111" s="26"/>
      <c r="J111" s="26"/>
      <c r="K111" s="2"/>
      <c r="L111" s="2"/>
      <c r="M111" s="2"/>
      <c r="N111" s="1"/>
      <c r="O111" s="1"/>
      <c r="P111" s="1"/>
      <c r="Q111" s="1"/>
      <c r="R111" s="5"/>
      <c r="S111" s="5"/>
      <c r="T111" s="5"/>
      <c r="U111" s="1"/>
      <c r="V111" s="1"/>
      <c r="W111" s="1"/>
      <c r="X111" s="1"/>
      <c r="Y111" s="1"/>
      <c r="Z111" s="1"/>
      <c r="AA111" s="1"/>
      <c r="AB111" s="1"/>
      <c r="AC111" s="1"/>
      <c r="AD111" s="1"/>
      <c r="AE111" s="1"/>
      <c r="AF111" s="1"/>
      <c r="AG111" s="1"/>
      <c r="AH111" s="1"/>
      <c r="AI111" s="1"/>
      <c r="AJ111" s="1"/>
      <c r="AK111" s="1"/>
      <c r="AL111" s="1"/>
      <c r="AM111" s="1"/>
      <c r="AN111" s="1"/>
      <c r="AO111" s="1"/>
      <c r="AP111" s="1"/>
      <c r="AQ111" s="1"/>
    </row>
    <row r="112" spans="1:43" ht="18" customHeight="1" x14ac:dyDescent="0.35">
      <c r="A112" s="2"/>
      <c r="B112" s="24"/>
      <c r="C112" s="26"/>
      <c r="D112" s="26"/>
      <c r="E112" s="26"/>
      <c r="F112" s="26"/>
      <c r="G112" s="26"/>
      <c r="H112" s="26"/>
      <c r="I112" s="26"/>
      <c r="J112" s="26"/>
      <c r="K112" s="2"/>
      <c r="L112" s="2"/>
      <c r="M112" s="2"/>
      <c r="N112" s="1"/>
      <c r="O112" s="1"/>
      <c r="P112" s="1"/>
      <c r="Q112" s="1"/>
      <c r="R112" s="5"/>
      <c r="S112" s="5"/>
      <c r="T112" s="5"/>
      <c r="U112" s="1"/>
      <c r="V112" s="1"/>
      <c r="W112" s="1"/>
      <c r="X112" s="1"/>
      <c r="Y112" s="1"/>
      <c r="Z112" s="1"/>
      <c r="AA112" s="1"/>
      <c r="AB112" s="1"/>
      <c r="AC112" s="1"/>
      <c r="AD112" s="1"/>
      <c r="AE112" s="1"/>
      <c r="AF112" s="1"/>
      <c r="AG112" s="1"/>
      <c r="AH112" s="1"/>
      <c r="AI112" s="1"/>
      <c r="AJ112" s="1"/>
      <c r="AK112" s="1"/>
      <c r="AL112" s="1"/>
      <c r="AM112" s="1"/>
      <c r="AN112" s="1"/>
      <c r="AO112" s="1"/>
      <c r="AP112" s="1"/>
      <c r="AQ112" s="1"/>
    </row>
    <row r="113" spans="1:43" ht="18" customHeight="1" x14ac:dyDescent="0.35">
      <c r="A113" s="2"/>
      <c r="B113" s="23"/>
      <c r="C113" s="26"/>
      <c r="D113" s="26"/>
      <c r="E113" s="26"/>
      <c r="F113" s="26"/>
      <c r="G113" s="26"/>
      <c r="H113" s="26"/>
      <c r="I113" s="26"/>
      <c r="J113" s="26"/>
      <c r="K113" s="2"/>
      <c r="L113" s="2"/>
      <c r="M113" s="2"/>
      <c r="N113" s="1"/>
      <c r="O113" s="1"/>
      <c r="P113" s="1"/>
      <c r="Q113" s="1"/>
      <c r="R113" s="5"/>
      <c r="S113" s="5"/>
      <c r="T113" s="5"/>
      <c r="U113" s="1"/>
      <c r="V113" s="1"/>
      <c r="W113" s="1"/>
      <c r="X113" s="1"/>
      <c r="Y113" s="1"/>
      <c r="Z113" s="1"/>
      <c r="AA113" s="1"/>
      <c r="AB113" s="1"/>
      <c r="AC113" s="1"/>
      <c r="AD113" s="1"/>
      <c r="AE113" s="1"/>
      <c r="AF113" s="1"/>
      <c r="AG113" s="1"/>
      <c r="AH113" s="1"/>
      <c r="AI113" s="1"/>
      <c r="AJ113" s="1"/>
      <c r="AK113" s="1"/>
      <c r="AL113" s="1"/>
      <c r="AM113" s="1"/>
      <c r="AN113" s="1"/>
      <c r="AO113" s="1"/>
      <c r="AP113" s="1"/>
      <c r="AQ113" s="1"/>
    </row>
    <row r="114" spans="1:43" ht="18" customHeight="1" x14ac:dyDescent="0.35">
      <c r="A114" s="1"/>
      <c r="B114" s="23"/>
      <c r="C114" s="12"/>
      <c r="D114" s="12"/>
      <c r="E114" s="12"/>
      <c r="F114" s="12"/>
      <c r="G114" s="12"/>
      <c r="H114" s="12"/>
      <c r="I114" s="12"/>
      <c r="J114" s="12"/>
      <c r="K114" s="2"/>
      <c r="L114" s="2"/>
      <c r="M114" s="2"/>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row>
    <row r="115" spans="1:43" ht="18" customHeight="1" x14ac:dyDescent="0.35">
      <c r="A115" s="1"/>
      <c r="B115" s="23"/>
      <c r="C115" s="12"/>
      <c r="D115" s="12"/>
      <c r="E115" s="12"/>
      <c r="F115" s="12"/>
      <c r="G115" s="12"/>
      <c r="H115" s="12"/>
      <c r="I115" s="12"/>
      <c r="J115" s="12"/>
      <c r="K115" s="2"/>
      <c r="L115" s="2"/>
      <c r="M115" s="2"/>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row>
    <row r="116" spans="1:43" ht="18" customHeight="1" x14ac:dyDescent="0.35">
      <c r="A116" s="1"/>
      <c r="B116" s="39"/>
      <c r="C116" s="48"/>
      <c r="D116" s="48"/>
      <c r="E116" s="48"/>
      <c r="F116" s="48"/>
      <c r="G116" s="48"/>
      <c r="H116" s="48"/>
      <c r="I116" s="48"/>
      <c r="J116" s="48"/>
      <c r="K116" s="2"/>
      <c r="L116" s="2"/>
      <c r="M116" s="2"/>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row>
    <row r="117" spans="1:43" ht="18" customHeight="1" x14ac:dyDescent="0.35">
      <c r="A117" s="1"/>
      <c r="B117" s="36"/>
      <c r="C117" s="42"/>
      <c r="D117" s="42"/>
      <c r="E117" s="42"/>
      <c r="F117" s="42"/>
      <c r="G117" s="42"/>
      <c r="H117" s="42"/>
      <c r="I117" s="42"/>
      <c r="J117" s="42"/>
      <c r="K117" s="2"/>
      <c r="L117" s="2"/>
      <c r="M117" s="2"/>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row>
    <row r="118" spans="1:43" ht="18" customHeight="1" x14ac:dyDescent="0.35">
      <c r="A118" s="1"/>
      <c r="B118" s="36"/>
      <c r="C118" s="42"/>
      <c r="D118" s="42"/>
      <c r="E118" s="42"/>
      <c r="F118" s="42"/>
      <c r="G118" s="42"/>
      <c r="H118" s="42"/>
      <c r="I118" s="42"/>
      <c r="J118" s="42"/>
      <c r="K118" s="2"/>
      <c r="L118" s="2"/>
      <c r="M118" s="2"/>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row>
    <row r="119" spans="1:43" ht="18" customHeight="1" x14ac:dyDescent="0.35">
      <c r="A119" s="1"/>
      <c r="B119" s="38"/>
      <c r="C119" s="42"/>
      <c r="D119" s="42"/>
      <c r="E119" s="42"/>
      <c r="F119" s="42"/>
      <c r="G119" s="42"/>
      <c r="H119" s="42"/>
      <c r="I119" s="42"/>
      <c r="J119" s="42"/>
      <c r="K119" s="2"/>
      <c r="L119" s="2"/>
      <c r="M119" s="2"/>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row>
    <row r="120" spans="1:43" ht="18" customHeight="1" x14ac:dyDescent="0.35">
      <c r="A120" s="1"/>
      <c r="B120" s="38"/>
      <c r="C120" s="42"/>
      <c r="D120" s="42"/>
      <c r="E120" s="42"/>
      <c r="F120" s="42"/>
      <c r="G120" s="42"/>
      <c r="H120" s="42"/>
      <c r="I120" s="42"/>
      <c r="J120" s="42"/>
      <c r="K120" s="2"/>
      <c r="L120" s="2"/>
      <c r="M120" s="2"/>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row>
    <row r="121" spans="1:43" ht="18" customHeight="1" x14ac:dyDescent="0.35">
      <c r="A121" s="1"/>
      <c r="B121" s="38"/>
      <c r="C121" s="42"/>
      <c r="D121" s="42"/>
      <c r="E121" s="42"/>
      <c r="F121" s="42"/>
      <c r="G121" s="42"/>
      <c r="H121" s="42"/>
      <c r="I121" s="42"/>
      <c r="J121" s="42"/>
      <c r="K121" s="2"/>
      <c r="L121" s="2"/>
      <c r="M121" s="2"/>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row>
    <row r="122" spans="1:43" ht="18" customHeight="1" x14ac:dyDescent="0.35">
      <c r="A122" s="1"/>
      <c r="B122" s="38"/>
      <c r="C122" s="42"/>
      <c r="D122" s="42"/>
      <c r="E122" s="42"/>
      <c r="F122" s="42"/>
      <c r="G122" s="42"/>
      <c r="H122" s="42"/>
      <c r="I122" s="42"/>
      <c r="J122" s="42"/>
      <c r="K122" s="2"/>
      <c r="L122" s="2"/>
      <c r="M122" s="2"/>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row>
    <row r="123" spans="1:43" ht="18" customHeight="1" x14ac:dyDescent="0.35">
      <c r="A123" s="1"/>
      <c r="B123" s="38"/>
      <c r="C123" s="42"/>
      <c r="D123" s="42"/>
      <c r="E123" s="42"/>
      <c r="F123" s="42"/>
      <c r="G123" s="42"/>
      <c r="H123" s="42"/>
      <c r="I123" s="42"/>
      <c r="J123" s="42"/>
      <c r="K123" s="2"/>
      <c r="L123" s="2"/>
      <c r="M123" s="2"/>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row>
    <row r="124" spans="1:43" ht="18" customHeight="1" x14ac:dyDescent="0.35">
      <c r="A124" s="1"/>
      <c r="B124" s="39"/>
      <c r="C124" s="42"/>
      <c r="D124" s="42"/>
      <c r="E124" s="42"/>
      <c r="F124" s="42"/>
      <c r="G124" s="42"/>
      <c r="H124" s="42"/>
      <c r="I124" s="42"/>
      <c r="J124" s="42"/>
      <c r="K124" s="2"/>
      <c r="L124" s="2"/>
      <c r="M124" s="2"/>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row>
    <row r="125" spans="1:43" ht="18" customHeight="1" x14ac:dyDescent="0.35">
      <c r="A125" s="1"/>
      <c r="B125" s="39"/>
      <c r="C125" s="42"/>
      <c r="D125" s="42"/>
      <c r="E125" s="42"/>
      <c r="F125" s="42"/>
      <c r="G125" s="42"/>
      <c r="H125" s="42"/>
      <c r="I125" s="42"/>
      <c r="J125" s="42"/>
      <c r="K125" s="2"/>
      <c r="L125" s="2"/>
      <c r="M125" s="2"/>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row>
    <row r="126" spans="1:43" ht="18" customHeight="1" x14ac:dyDescent="0.35">
      <c r="A126" s="1"/>
      <c r="B126" s="23"/>
      <c r="C126" s="26"/>
      <c r="D126" s="26"/>
      <c r="E126" s="26"/>
      <c r="F126" s="26"/>
      <c r="G126" s="26"/>
      <c r="H126" s="26"/>
      <c r="I126" s="26"/>
      <c r="J126" s="26"/>
      <c r="K126" s="2"/>
      <c r="L126" s="2"/>
      <c r="M126" s="2"/>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row>
    <row r="127" spans="1:43" ht="18" customHeight="1" x14ac:dyDescent="0.35">
      <c r="A127" s="1"/>
      <c r="B127" s="23"/>
      <c r="C127" s="12"/>
      <c r="D127" s="12"/>
      <c r="E127" s="12"/>
      <c r="F127" s="12"/>
      <c r="G127" s="12"/>
      <c r="H127" s="12"/>
      <c r="I127" s="12"/>
      <c r="J127" s="12"/>
      <c r="K127" s="2"/>
      <c r="L127" s="2"/>
      <c r="M127" s="2"/>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row>
    <row r="128" spans="1:43" ht="18" customHeight="1" x14ac:dyDescent="0.35">
      <c r="A128" s="1"/>
      <c r="B128" s="23"/>
      <c r="C128" s="12"/>
      <c r="D128" s="12"/>
      <c r="E128" s="12"/>
      <c r="F128" s="12"/>
      <c r="G128" s="12"/>
      <c r="H128" s="12"/>
      <c r="I128" s="12"/>
      <c r="J128" s="12"/>
      <c r="K128" s="2"/>
      <c r="L128" s="2"/>
      <c r="M128" s="2"/>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row>
    <row r="129" spans="1:43" ht="18" customHeight="1" x14ac:dyDescent="0.35">
      <c r="A129" s="1"/>
      <c r="B129" s="23"/>
      <c r="C129" s="12"/>
      <c r="D129" s="12"/>
      <c r="E129" s="12"/>
      <c r="F129" s="12"/>
      <c r="G129" s="12"/>
      <c r="H129" s="12"/>
      <c r="I129" s="12"/>
      <c r="J129" s="12"/>
      <c r="K129" s="2"/>
      <c r="L129" s="2"/>
      <c r="M129" s="2"/>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row>
    <row r="130" spans="1:43" ht="15" thickBot="1" x14ac:dyDescent="0.4">
      <c r="A130" s="1"/>
      <c r="B130" s="23"/>
      <c r="C130" s="12"/>
      <c r="D130" s="12"/>
      <c r="E130" s="41"/>
      <c r="F130" s="93"/>
      <c r="G130" s="93"/>
      <c r="H130" s="41"/>
      <c r="I130" s="93"/>
      <c r="J130" s="93"/>
      <c r="K130" s="2"/>
      <c r="L130" s="2"/>
      <c r="M130" s="2"/>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row>
    <row r="131" spans="1:43" x14ac:dyDescent="0.35">
      <c r="A131" s="1"/>
      <c r="B131" s="23"/>
      <c r="C131" s="12"/>
      <c r="D131" s="12"/>
      <c r="E131" s="44"/>
      <c r="F131" s="91"/>
      <c r="G131" s="91"/>
      <c r="H131" s="40"/>
      <c r="I131" s="92"/>
      <c r="J131" s="92"/>
      <c r="K131" s="2"/>
      <c r="L131" s="2"/>
      <c r="M131" s="2"/>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row>
    <row r="132" spans="1:43" x14ac:dyDescent="0.35">
      <c r="A132" s="1"/>
      <c r="B132" s="23"/>
      <c r="C132" s="12"/>
      <c r="D132" s="12"/>
      <c r="E132" s="12"/>
      <c r="F132" s="12"/>
      <c r="G132" s="12"/>
      <c r="H132" s="12"/>
      <c r="I132" s="12"/>
      <c r="J132" s="12"/>
      <c r="K132" s="2"/>
      <c r="L132" s="2"/>
      <c r="M132" s="2"/>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row>
    <row r="133" spans="1:43" x14ac:dyDescent="0.35">
      <c r="A133" s="1"/>
      <c r="B133" s="23"/>
      <c r="C133" s="12"/>
      <c r="D133" s="12"/>
      <c r="E133" s="12"/>
      <c r="F133" s="12"/>
      <c r="G133" s="12"/>
      <c r="H133" s="12"/>
      <c r="I133" s="12"/>
      <c r="J133" s="12"/>
      <c r="K133" s="2"/>
      <c r="L133" s="2"/>
      <c r="M133" s="2"/>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row>
    <row r="134" spans="1:43" ht="15" thickBot="1" x14ac:dyDescent="0.4">
      <c r="A134" s="1"/>
      <c r="B134" s="23"/>
      <c r="C134" s="12"/>
      <c r="D134" s="12"/>
      <c r="E134" s="41"/>
      <c r="F134" s="93"/>
      <c r="G134" s="93"/>
      <c r="H134" s="41"/>
      <c r="I134" s="93"/>
      <c r="J134" s="93"/>
      <c r="K134" s="2"/>
      <c r="L134" s="2"/>
      <c r="M134" s="2"/>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row>
    <row r="135" spans="1:43" x14ac:dyDescent="0.35">
      <c r="A135" s="1"/>
      <c r="B135" s="23"/>
      <c r="C135" s="12"/>
      <c r="D135" s="12"/>
      <c r="E135" s="44"/>
      <c r="F135" s="91"/>
      <c r="G135" s="91"/>
      <c r="H135" s="40"/>
      <c r="I135" s="92"/>
      <c r="J135" s="92"/>
      <c r="K135" s="2"/>
      <c r="L135" s="2"/>
      <c r="M135" s="2"/>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row>
    <row r="136" spans="1:43" x14ac:dyDescent="0.35">
      <c r="A136" s="1"/>
      <c r="B136" s="23"/>
      <c r="C136" s="12"/>
      <c r="D136" s="12"/>
      <c r="E136" s="12"/>
      <c r="F136" s="12"/>
      <c r="G136" s="12"/>
      <c r="H136" s="12"/>
      <c r="I136" s="12"/>
      <c r="J136" s="12"/>
      <c r="K136" s="2"/>
      <c r="L136" s="2"/>
      <c r="M136" s="2"/>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row>
    <row r="137" spans="1:43" x14ac:dyDescent="0.35">
      <c r="A137" s="1"/>
      <c r="B137" s="23"/>
      <c r="C137" s="12"/>
      <c r="D137" s="12"/>
      <c r="E137" s="12"/>
      <c r="F137" s="12"/>
      <c r="G137" s="12"/>
      <c r="H137" s="12"/>
      <c r="I137" s="12"/>
      <c r="J137" s="12"/>
      <c r="K137" s="2"/>
      <c r="L137" s="2"/>
      <c r="M137" s="2"/>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row>
    <row r="138" spans="1:43" x14ac:dyDescent="0.35">
      <c r="A138" s="1"/>
      <c r="B138" s="23"/>
      <c r="C138" s="12"/>
      <c r="D138" s="12"/>
      <c r="E138" s="12"/>
      <c r="F138" s="12"/>
      <c r="G138" s="12"/>
      <c r="H138" s="12"/>
      <c r="I138" s="12"/>
      <c r="J138" s="12"/>
      <c r="K138" s="2"/>
      <c r="L138" s="2"/>
      <c r="M138" s="2"/>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row>
    <row r="139" spans="1:43" x14ac:dyDescent="0.35">
      <c r="A139" s="1"/>
      <c r="B139" s="23"/>
      <c r="C139" s="12"/>
      <c r="D139" s="12"/>
      <c r="E139" s="12"/>
      <c r="F139" s="12"/>
      <c r="G139" s="12"/>
      <c r="H139" s="12"/>
      <c r="I139" s="12"/>
      <c r="J139" s="12"/>
      <c r="K139" s="2"/>
      <c r="L139" s="2"/>
      <c r="M139" s="2"/>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row>
    <row r="140" spans="1:43" x14ac:dyDescent="0.35">
      <c r="A140" s="1"/>
      <c r="B140" s="23"/>
      <c r="C140" s="12"/>
      <c r="D140" s="12"/>
      <c r="E140" s="12"/>
      <c r="F140" s="12"/>
      <c r="G140" s="12"/>
      <c r="H140" s="12"/>
      <c r="I140" s="12"/>
      <c r="J140" s="12"/>
      <c r="K140" s="2"/>
      <c r="L140" s="2"/>
      <c r="M140" s="2"/>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row>
    <row r="141" spans="1:43" x14ac:dyDescent="0.35">
      <c r="A141" s="1"/>
      <c r="B141" s="23"/>
      <c r="C141" s="12"/>
      <c r="D141" s="12"/>
      <c r="E141" s="12"/>
      <c r="F141" s="12"/>
      <c r="G141" s="12"/>
      <c r="H141" s="12"/>
      <c r="I141" s="12"/>
      <c r="J141" s="12"/>
      <c r="K141" s="2"/>
      <c r="L141" s="2"/>
      <c r="M141" s="2"/>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row>
    <row r="142" spans="1:43" x14ac:dyDescent="0.35">
      <c r="A142" s="1"/>
      <c r="B142" s="23"/>
      <c r="C142" s="12"/>
      <c r="D142" s="12"/>
      <c r="E142" s="12"/>
      <c r="F142" s="12"/>
      <c r="G142" s="12"/>
      <c r="H142" s="12"/>
      <c r="I142" s="12"/>
      <c r="J142" s="12"/>
      <c r="K142" s="2"/>
      <c r="L142" s="2"/>
      <c r="M142" s="2"/>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row>
    <row r="143" spans="1:43" x14ac:dyDescent="0.35">
      <c r="A143" s="1"/>
      <c r="B143" s="23"/>
      <c r="C143" s="12"/>
      <c r="D143" s="12"/>
      <c r="E143" s="12"/>
      <c r="F143" s="12"/>
      <c r="G143" s="12"/>
      <c r="H143" s="12"/>
      <c r="I143" s="12"/>
      <c r="J143" s="12"/>
      <c r="K143" s="2"/>
      <c r="L143" s="2"/>
      <c r="M143" s="2"/>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row>
    <row r="144" spans="1:43" x14ac:dyDescent="0.35">
      <c r="A144" s="1"/>
      <c r="B144" s="23"/>
      <c r="C144" s="12"/>
      <c r="D144" s="12"/>
      <c r="E144" s="12"/>
      <c r="F144" s="12"/>
      <c r="G144" s="12"/>
      <c r="H144" s="12"/>
      <c r="I144" s="12"/>
      <c r="J144" s="12"/>
      <c r="K144" s="2"/>
      <c r="L144" s="2"/>
      <c r="M144" s="2"/>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row>
    <row r="145" spans="1:43" x14ac:dyDescent="0.35">
      <c r="A145" s="1"/>
      <c r="B145" s="23"/>
      <c r="C145" s="12"/>
      <c r="D145" s="12"/>
      <c r="E145" s="12"/>
      <c r="F145" s="12"/>
      <c r="G145" s="12"/>
      <c r="H145" s="12"/>
      <c r="I145" s="12"/>
      <c r="J145" s="12"/>
      <c r="K145" s="2"/>
      <c r="L145" s="2"/>
      <c r="M145" s="2"/>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row>
    <row r="146" spans="1:43" x14ac:dyDescent="0.35">
      <c r="A146" s="1"/>
      <c r="B146" s="23"/>
      <c r="C146" s="12"/>
      <c r="D146" s="12"/>
      <c r="E146" s="12"/>
      <c r="F146" s="12"/>
      <c r="G146" s="12"/>
      <c r="H146" s="12"/>
      <c r="I146" s="12"/>
      <c r="J146" s="12"/>
      <c r="K146" s="2"/>
      <c r="L146" s="2"/>
      <c r="M146" s="2"/>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row>
    <row r="147" spans="1:43" x14ac:dyDescent="0.35">
      <c r="A147" s="1"/>
      <c r="B147" s="23"/>
      <c r="C147" s="12"/>
      <c r="D147" s="12"/>
      <c r="E147" s="12"/>
      <c r="F147" s="12"/>
      <c r="G147" s="12"/>
      <c r="H147" s="12"/>
      <c r="I147" s="12"/>
      <c r="J147" s="12"/>
      <c r="K147" s="2"/>
      <c r="L147" s="2"/>
      <c r="M147" s="2"/>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row>
    <row r="148" spans="1:43" x14ac:dyDescent="0.35">
      <c r="A148" s="1"/>
      <c r="B148" s="23"/>
      <c r="C148" s="12"/>
      <c r="D148" s="12"/>
      <c r="E148" s="12"/>
      <c r="F148" s="12"/>
      <c r="G148" s="12"/>
      <c r="H148" s="12"/>
      <c r="I148" s="12"/>
      <c r="J148" s="12"/>
      <c r="K148" s="2"/>
      <c r="L148" s="2"/>
      <c r="M148" s="2"/>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row>
    <row r="149" spans="1:43" x14ac:dyDescent="0.35">
      <c r="A149" s="1"/>
      <c r="B149" s="23"/>
      <c r="C149" s="12"/>
      <c r="D149" s="12"/>
      <c r="E149" s="12"/>
      <c r="F149" s="12"/>
      <c r="G149" s="12"/>
      <c r="H149" s="12"/>
      <c r="I149" s="12"/>
      <c r="J149" s="12"/>
      <c r="K149" s="2"/>
      <c r="L149" s="2"/>
      <c r="M149" s="2"/>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row>
    <row r="150" spans="1:43" x14ac:dyDescent="0.35">
      <c r="A150" s="1"/>
      <c r="B150" s="23"/>
      <c r="C150" s="12"/>
      <c r="D150" s="12"/>
      <c r="E150" s="12"/>
      <c r="F150" s="12"/>
      <c r="G150" s="12"/>
      <c r="H150" s="12"/>
      <c r="I150" s="12"/>
      <c r="J150" s="12"/>
      <c r="K150" s="2"/>
      <c r="L150" s="2"/>
      <c r="M150" s="2"/>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row>
    <row r="151" spans="1:43" x14ac:dyDescent="0.35">
      <c r="A151" s="1"/>
      <c r="B151" s="23"/>
      <c r="C151" s="12"/>
      <c r="D151" s="12"/>
      <c r="E151" s="12"/>
      <c r="F151" s="12"/>
      <c r="G151" s="12"/>
      <c r="H151" s="12"/>
      <c r="I151" s="12"/>
      <c r="J151" s="12"/>
      <c r="K151" s="2"/>
      <c r="L151" s="2"/>
      <c r="M151" s="2"/>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row>
    <row r="152" spans="1:43" x14ac:dyDescent="0.35">
      <c r="A152" s="1"/>
      <c r="B152" s="23"/>
      <c r="C152" s="12"/>
      <c r="D152" s="12"/>
      <c r="E152" s="12"/>
      <c r="F152" s="12"/>
      <c r="G152" s="12"/>
      <c r="H152" s="12"/>
      <c r="I152" s="12"/>
      <c r="J152" s="12"/>
      <c r="K152" s="2"/>
      <c r="L152" s="2"/>
      <c r="M152" s="2"/>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row>
    <row r="153" spans="1:43" x14ac:dyDescent="0.35">
      <c r="A153" s="1"/>
      <c r="B153" s="23"/>
      <c r="C153" s="12"/>
      <c r="D153" s="12"/>
      <c r="E153" s="12"/>
      <c r="F153" s="12"/>
      <c r="G153" s="12"/>
      <c r="H153" s="12"/>
      <c r="I153" s="12"/>
      <c r="J153" s="12"/>
      <c r="K153" s="2"/>
      <c r="L153" s="2"/>
      <c r="M153" s="2"/>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row>
    <row r="154" spans="1:43" x14ac:dyDescent="0.35">
      <c r="A154" s="1"/>
      <c r="B154" s="23"/>
      <c r="C154" s="12"/>
      <c r="D154" s="12"/>
      <c r="E154" s="12"/>
      <c r="F154" s="12"/>
      <c r="G154" s="12"/>
      <c r="H154" s="12"/>
      <c r="I154" s="12"/>
      <c r="J154" s="12"/>
      <c r="K154" s="2"/>
      <c r="L154" s="2"/>
      <c r="M154" s="2"/>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row>
    <row r="155" spans="1:43" x14ac:dyDescent="0.35">
      <c r="A155" s="1"/>
      <c r="B155" s="23"/>
      <c r="C155" s="12"/>
      <c r="D155" s="12"/>
      <c r="E155" s="12"/>
      <c r="F155" s="12"/>
      <c r="G155" s="12"/>
      <c r="H155" s="12"/>
      <c r="I155" s="12"/>
      <c r="J155" s="12"/>
      <c r="K155" s="2"/>
      <c r="L155" s="2"/>
      <c r="M155" s="2"/>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row>
    <row r="156" spans="1:43" x14ac:dyDescent="0.35">
      <c r="A156" s="1"/>
      <c r="B156" s="23"/>
      <c r="C156" s="12"/>
      <c r="D156" s="12"/>
      <c r="E156" s="12"/>
      <c r="F156" s="12"/>
      <c r="G156" s="12"/>
      <c r="H156" s="12"/>
      <c r="I156" s="12"/>
      <c r="J156" s="12"/>
      <c r="K156" s="2"/>
      <c r="L156" s="2"/>
      <c r="M156" s="2"/>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row>
    <row r="157" spans="1:43" x14ac:dyDescent="0.35">
      <c r="A157" s="1"/>
      <c r="B157" s="23"/>
      <c r="C157" s="12"/>
      <c r="D157" s="12"/>
      <c r="E157" s="12"/>
      <c r="F157" s="12"/>
      <c r="G157" s="12"/>
      <c r="H157" s="12"/>
      <c r="I157" s="12"/>
      <c r="J157" s="12"/>
      <c r="K157" s="2"/>
      <c r="L157" s="2"/>
      <c r="M157" s="2"/>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row>
    <row r="158" spans="1:43" x14ac:dyDescent="0.35">
      <c r="A158" s="1"/>
      <c r="B158" s="23"/>
      <c r="C158" s="12"/>
      <c r="D158" s="12"/>
      <c r="E158" s="12"/>
      <c r="F158" s="12"/>
      <c r="G158" s="12"/>
      <c r="H158" s="12"/>
      <c r="I158" s="12"/>
      <c r="J158" s="12"/>
      <c r="K158" s="2"/>
      <c r="L158" s="2"/>
      <c r="M158" s="2"/>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row>
    <row r="159" spans="1:43" x14ac:dyDescent="0.35">
      <c r="A159" s="1"/>
      <c r="B159" s="23"/>
      <c r="C159" s="2"/>
      <c r="D159" s="2"/>
      <c r="E159" s="2"/>
      <c r="F159" s="2"/>
      <c r="G159" s="2"/>
      <c r="H159" s="2"/>
      <c r="I159" s="2"/>
      <c r="J159" s="2"/>
      <c r="K159" s="2"/>
      <c r="L159" s="2"/>
      <c r="M159" s="2"/>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row>
    <row r="160" spans="1:43" x14ac:dyDescent="0.35">
      <c r="A160" s="1"/>
      <c r="B160" s="23"/>
      <c r="C160" s="19"/>
      <c r="D160" s="19"/>
      <c r="E160" s="19"/>
      <c r="F160" s="19"/>
      <c r="G160" s="19"/>
      <c r="H160" s="19"/>
      <c r="I160" s="19"/>
      <c r="J160" s="19"/>
      <c r="K160" s="2"/>
      <c r="L160" s="2"/>
      <c r="M160" s="2"/>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row>
    <row r="161" spans="1:43" x14ac:dyDescent="0.35">
      <c r="A161" s="1"/>
      <c r="B161" s="23"/>
      <c r="C161" s="12"/>
      <c r="D161" s="12"/>
      <c r="E161" s="12"/>
      <c r="F161" s="12"/>
      <c r="G161" s="12"/>
      <c r="H161" s="12"/>
      <c r="I161" s="12"/>
      <c r="J161" s="12"/>
      <c r="K161" s="2"/>
      <c r="L161" s="2"/>
      <c r="M161" s="2"/>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row>
    <row r="162" spans="1:43" x14ac:dyDescent="0.35">
      <c r="A162" s="1"/>
      <c r="B162" s="23"/>
      <c r="C162" s="12"/>
      <c r="D162" s="12"/>
      <c r="E162" s="12"/>
      <c r="F162" s="12"/>
      <c r="G162" s="12"/>
      <c r="H162" s="12"/>
      <c r="I162" s="12"/>
      <c r="J162" s="12"/>
      <c r="K162" s="2"/>
      <c r="L162" s="2"/>
      <c r="M162" s="2"/>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row>
    <row r="163" spans="1:43" x14ac:dyDescent="0.35">
      <c r="A163" s="1"/>
      <c r="B163" s="23"/>
      <c r="C163" s="12"/>
      <c r="D163" s="12"/>
      <c r="E163" s="12"/>
      <c r="F163" s="12"/>
      <c r="G163" s="12"/>
      <c r="H163" s="12"/>
      <c r="I163" s="12"/>
      <c r="J163" s="12"/>
      <c r="K163" s="2"/>
      <c r="L163" s="2"/>
      <c r="M163" s="2"/>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row>
    <row r="164" spans="1:43" x14ac:dyDescent="0.35">
      <c r="A164" s="1"/>
      <c r="B164" s="23"/>
      <c r="C164" s="12"/>
      <c r="D164" s="12"/>
      <c r="E164" s="12"/>
      <c r="F164" s="12"/>
      <c r="G164" s="12"/>
      <c r="H164" s="12"/>
      <c r="I164" s="12"/>
      <c r="J164" s="12"/>
      <c r="K164" s="2"/>
      <c r="L164" s="2"/>
      <c r="M164" s="2"/>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row>
    <row r="165" spans="1:43" x14ac:dyDescent="0.35">
      <c r="A165" s="1"/>
      <c r="B165" s="23"/>
      <c r="C165" s="16"/>
      <c r="D165" s="16"/>
      <c r="E165" s="16"/>
      <c r="F165" s="16"/>
      <c r="G165" s="16"/>
      <c r="H165" s="16"/>
      <c r="I165" s="16"/>
      <c r="J165" s="16"/>
      <c r="K165" s="2"/>
      <c r="L165" s="2"/>
      <c r="M165" s="2"/>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row>
    <row r="166" spans="1:43" x14ac:dyDescent="0.35">
      <c r="A166" s="1"/>
      <c r="B166" s="23"/>
      <c r="C166" s="12"/>
      <c r="D166" s="12"/>
      <c r="E166" s="12"/>
      <c r="F166" s="12"/>
      <c r="G166" s="12"/>
      <c r="H166" s="12"/>
      <c r="I166" s="12"/>
      <c r="J166" s="12"/>
      <c r="K166" s="2"/>
      <c r="L166" s="2"/>
      <c r="M166" s="2"/>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row>
    <row r="167" spans="1:43" x14ac:dyDescent="0.35">
      <c r="A167" s="1"/>
      <c r="B167" s="23"/>
      <c r="C167" s="12"/>
      <c r="D167" s="12"/>
      <c r="E167" s="12"/>
      <c r="F167" s="12"/>
      <c r="G167" s="12"/>
      <c r="H167" s="12"/>
      <c r="I167" s="12"/>
      <c r="J167" s="12"/>
      <c r="K167" s="2"/>
      <c r="L167" s="2"/>
      <c r="M167" s="2"/>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row>
    <row r="168" spans="1:43" x14ac:dyDescent="0.35">
      <c r="A168" s="1"/>
      <c r="B168" s="23"/>
      <c r="C168" s="12"/>
      <c r="D168" s="12"/>
      <c r="E168" s="12"/>
      <c r="F168" s="12"/>
      <c r="G168" s="12"/>
      <c r="H168" s="12"/>
      <c r="I168" s="12"/>
      <c r="J168" s="12"/>
      <c r="K168" s="2"/>
      <c r="L168" s="2"/>
      <c r="M168" s="2"/>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row>
    <row r="169" spans="1:43" x14ac:dyDescent="0.35">
      <c r="A169" s="1"/>
      <c r="B169" s="23"/>
      <c r="C169" s="12"/>
      <c r="D169" s="12"/>
      <c r="E169" s="12"/>
      <c r="F169" s="12"/>
      <c r="G169" s="12"/>
      <c r="H169" s="12"/>
      <c r="I169" s="12"/>
      <c r="J169" s="12"/>
      <c r="K169" s="2"/>
      <c r="L169" s="2"/>
      <c r="M169" s="2"/>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row>
    <row r="170" spans="1:43" x14ac:dyDescent="0.35">
      <c r="A170" s="1"/>
      <c r="B170" s="23"/>
      <c r="C170" s="12"/>
      <c r="D170" s="12"/>
      <c r="E170" s="12"/>
      <c r="F170" s="12"/>
      <c r="G170" s="12"/>
      <c r="H170" s="12"/>
      <c r="I170" s="12"/>
      <c r="J170" s="12"/>
      <c r="K170" s="2"/>
      <c r="L170" s="2"/>
      <c r="M170" s="2"/>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row>
    <row r="171" spans="1:43" x14ac:dyDescent="0.35">
      <c r="A171" s="1"/>
      <c r="B171" s="23"/>
      <c r="C171" s="12"/>
      <c r="D171" s="12"/>
      <c r="E171" s="12"/>
      <c r="F171" s="12"/>
      <c r="G171" s="12"/>
      <c r="H171" s="12"/>
      <c r="I171" s="12"/>
      <c r="J171" s="12"/>
      <c r="K171" s="2"/>
      <c r="L171" s="2"/>
      <c r="M171" s="2"/>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row>
    <row r="172" spans="1:43" x14ac:dyDescent="0.35">
      <c r="A172" s="1"/>
      <c r="B172" s="23"/>
      <c r="C172" s="12"/>
      <c r="D172" s="12"/>
      <c r="E172" s="12"/>
      <c r="F172" s="12"/>
      <c r="G172" s="12"/>
      <c r="H172" s="12"/>
      <c r="I172" s="12"/>
      <c r="J172" s="12"/>
      <c r="K172" s="2"/>
      <c r="L172" s="2"/>
      <c r="M172" s="2"/>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row>
    <row r="173" spans="1:43" x14ac:dyDescent="0.35">
      <c r="A173" s="1"/>
      <c r="B173" s="23"/>
      <c r="C173" s="12"/>
      <c r="D173" s="12"/>
      <c r="E173" s="12"/>
      <c r="F173" s="12"/>
      <c r="G173" s="12"/>
      <c r="H173" s="12"/>
      <c r="I173" s="12"/>
      <c r="J173" s="12"/>
      <c r="K173" s="2"/>
      <c r="L173" s="2"/>
      <c r="M173" s="2"/>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row>
    <row r="174" spans="1:43" x14ac:dyDescent="0.35">
      <c r="A174" s="1"/>
      <c r="B174" s="23"/>
      <c r="C174" s="2"/>
      <c r="D174" s="2"/>
      <c r="E174" s="2"/>
      <c r="F174" s="2"/>
      <c r="G174" s="2"/>
      <c r="H174" s="2"/>
      <c r="I174" s="2"/>
      <c r="J174" s="2"/>
      <c r="K174" s="2"/>
      <c r="L174" s="2"/>
      <c r="M174" s="2"/>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row>
    <row r="175" spans="1:43" x14ac:dyDescent="0.35">
      <c r="A175" s="1"/>
      <c r="B175" s="23"/>
      <c r="C175" s="19"/>
      <c r="D175" s="19"/>
      <c r="E175" s="19"/>
      <c r="F175" s="19"/>
      <c r="G175" s="19"/>
      <c r="H175" s="19"/>
      <c r="I175" s="19"/>
      <c r="J175" s="19"/>
      <c r="K175" s="2"/>
      <c r="L175" s="2"/>
      <c r="M175" s="2"/>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row>
    <row r="176" spans="1:43" x14ac:dyDescent="0.35">
      <c r="A176" s="1"/>
      <c r="B176" s="23"/>
      <c r="C176" s="12"/>
      <c r="D176" s="12"/>
      <c r="E176" s="12"/>
      <c r="F176" s="12"/>
      <c r="G176" s="12"/>
      <c r="H176" s="12"/>
      <c r="I176" s="12"/>
      <c r="J176" s="12"/>
      <c r="K176" s="2"/>
      <c r="L176" s="2"/>
      <c r="M176" s="2"/>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row>
    <row r="177" spans="1:43" x14ac:dyDescent="0.35">
      <c r="A177" s="1"/>
      <c r="B177" s="23"/>
      <c r="C177" s="12"/>
      <c r="D177" s="12"/>
      <c r="E177" s="12"/>
      <c r="F177" s="12"/>
      <c r="G177" s="12"/>
      <c r="H177" s="12"/>
      <c r="I177" s="12"/>
      <c r="J177" s="12"/>
      <c r="K177" s="2"/>
      <c r="L177" s="2"/>
      <c r="M177" s="2"/>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row>
    <row r="178" spans="1:43" x14ac:dyDescent="0.35">
      <c r="A178" s="1"/>
      <c r="B178" s="23"/>
      <c r="C178" s="16"/>
      <c r="D178" s="16"/>
      <c r="E178" s="16"/>
      <c r="F178" s="16"/>
      <c r="G178" s="16"/>
      <c r="H178" s="16"/>
      <c r="I178" s="16"/>
      <c r="J178" s="16"/>
      <c r="K178" s="2"/>
      <c r="L178" s="2"/>
      <c r="M178" s="2"/>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row>
    <row r="179" spans="1:43" x14ac:dyDescent="0.35">
      <c r="A179" s="1"/>
      <c r="B179" s="23"/>
      <c r="C179" s="12"/>
      <c r="D179" s="12"/>
      <c r="E179" s="12"/>
      <c r="F179" s="12"/>
      <c r="G179" s="12"/>
      <c r="H179" s="12"/>
      <c r="I179" s="12"/>
      <c r="J179" s="12"/>
      <c r="K179" s="2"/>
      <c r="L179" s="2"/>
      <c r="M179" s="2"/>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row>
    <row r="180" spans="1:43" x14ac:dyDescent="0.35">
      <c r="A180" s="1"/>
      <c r="B180" s="23"/>
      <c r="C180" s="12"/>
      <c r="D180" s="12"/>
      <c r="E180" s="12"/>
      <c r="F180" s="12"/>
      <c r="G180" s="12"/>
      <c r="H180" s="12"/>
      <c r="I180" s="12"/>
      <c r="J180" s="12"/>
      <c r="K180" s="2"/>
      <c r="L180" s="2"/>
      <c r="M180" s="2"/>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row>
    <row r="181" spans="1:43" x14ac:dyDescent="0.35">
      <c r="A181" s="1"/>
      <c r="B181" s="23"/>
      <c r="C181" s="12"/>
      <c r="D181" s="12"/>
      <c r="E181" s="12"/>
      <c r="F181" s="12"/>
      <c r="G181" s="12"/>
      <c r="H181" s="12"/>
      <c r="I181" s="12"/>
      <c r="J181" s="12"/>
      <c r="K181" s="2"/>
      <c r="L181" s="2"/>
      <c r="M181" s="2"/>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row>
    <row r="182" spans="1:43" x14ac:dyDescent="0.35">
      <c r="A182" s="1"/>
      <c r="B182" s="23"/>
      <c r="C182" s="12"/>
      <c r="D182" s="12"/>
      <c r="E182" s="12"/>
      <c r="F182" s="12"/>
      <c r="G182" s="12"/>
      <c r="H182" s="12"/>
      <c r="I182" s="12"/>
      <c r="J182" s="12"/>
      <c r="K182" s="2"/>
      <c r="L182" s="2"/>
      <c r="M182" s="2"/>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row>
    <row r="183" spans="1:43" x14ac:dyDescent="0.35">
      <c r="A183" s="1"/>
      <c r="B183" s="23"/>
      <c r="C183" s="12"/>
      <c r="D183" s="12"/>
      <c r="E183" s="12"/>
      <c r="F183" s="12"/>
      <c r="G183" s="12"/>
      <c r="H183" s="12"/>
      <c r="I183" s="12"/>
      <c r="J183" s="12"/>
      <c r="K183" s="2"/>
      <c r="L183" s="2"/>
      <c r="M183" s="2"/>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row>
    <row r="184" spans="1:43" x14ac:dyDescent="0.35">
      <c r="A184" s="1"/>
      <c r="B184" s="23"/>
      <c r="C184" s="12"/>
      <c r="D184" s="12"/>
      <c r="E184" s="12"/>
      <c r="F184" s="12"/>
      <c r="G184" s="12"/>
      <c r="H184" s="12"/>
      <c r="I184" s="12"/>
      <c r="J184" s="12"/>
      <c r="K184" s="2"/>
      <c r="L184" s="2"/>
      <c r="M184" s="2"/>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row>
    <row r="185" spans="1:43" x14ac:dyDescent="0.35">
      <c r="A185" s="1"/>
      <c r="B185" s="23"/>
      <c r="C185" s="12"/>
      <c r="D185" s="12"/>
      <c r="E185" s="12"/>
      <c r="F185" s="12"/>
      <c r="G185" s="12"/>
      <c r="H185" s="12"/>
      <c r="I185" s="12"/>
      <c r="J185" s="12"/>
      <c r="K185" s="2"/>
      <c r="L185" s="2"/>
      <c r="M185" s="2"/>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row>
    <row r="186" spans="1:43" x14ac:dyDescent="0.35">
      <c r="A186" s="1"/>
      <c r="B186" s="23"/>
      <c r="C186" s="16"/>
      <c r="D186" s="16"/>
      <c r="E186" s="16"/>
      <c r="F186" s="16"/>
      <c r="G186" s="16"/>
      <c r="H186" s="16"/>
      <c r="I186" s="16"/>
      <c r="J186" s="16"/>
      <c r="K186" s="2"/>
      <c r="L186" s="2"/>
      <c r="M186" s="2"/>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row>
    <row r="187" spans="1:43" x14ac:dyDescent="0.35">
      <c r="A187" s="1"/>
      <c r="B187" s="23"/>
      <c r="C187" s="16"/>
      <c r="D187" s="16"/>
      <c r="E187" s="16"/>
      <c r="F187" s="16"/>
      <c r="G187" s="16"/>
      <c r="H187" s="16"/>
      <c r="I187" s="16"/>
      <c r="J187" s="16"/>
      <c r="K187" s="2"/>
      <c r="L187" s="2"/>
      <c r="M187" s="2"/>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row>
    <row r="188" spans="1:43" x14ac:dyDescent="0.35">
      <c r="A188" s="1"/>
      <c r="B188" s="23"/>
      <c r="C188" s="16"/>
      <c r="D188" s="16"/>
      <c r="E188" s="16"/>
      <c r="F188" s="16"/>
      <c r="G188" s="16"/>
      <c r="H188" s="16"/>
      <c r="I188" s="16"/>
      <c r="J188" s="16"/>
      <c r="K188" s="2"/>
      <c r="L188" s="2"/>
      <c r="M188" s="2"/>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row>
    <row r="189" spans="1:43" x14ac:dyDescent="0.35">
      <c r="A189" s="1"/>
      <c r="B189" s="23"/>
      <c r="C189" s="12"/>
      <c r="D189" s="12"/>
      <c r="E189" s="12"/>
      <c r="F189" s="12"/>
      <c r="G189" s="12"/>
      <c r="H189" s="12"/>
      <c r="I189" s="12"/>
      <c r="J189" s="12"/>
      <c r="K189" s="2"/>
      <c r="L189" s="2"/>
      <c r="M189" s="2"/>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row>
    <row r="190" spans="1:43" x14ac:dyDescent="0.35">
      <c r="A190" s="1"/>
      <c r="B190" s="1"/>
      <c r="C190" s="2"/>
      <c r="D190" s="2"/>
      <c r="E190" s="2"/>
      <c r="F190" s="2"/>
      <c r="G190" s="2"/>
      <c r="H190" s="2"/>
      <c r="I190" s="2"/>
      <c r="J190" s="2"/>
      <c r="K190" s="2"/>
      <c r="L190" s="2"/>
      <c r="M190" s="2"/>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row>
    <row r="191" spans="1:43" x14ac:dyDescent="0.35">
      <c r="A191" s="1"/>
      <c r="B191" s="1"/>
      <c r="C191" s="2"/>
      <c r="D191" s="2"/>
      <c r="E191" s="2"/>
      <c r="F191" s="2"/>
      <c r="G191" s="2"/>
      <c r="H191" s="2"/>
      <c r="I191" s="2"/>
      <c r="J191" s="2"/>
      <c r="K191" s="2"/>
      <c r="L191" s="2"/>
      <c r="M191" s="2"/>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row>
    <row r="192" spans="1:43" x14ac:dyDescent="0.35">
      <c r="A192" s="1"/>
      <c r="B192" s="1"/>
      <c r="C192" s="2"/>
      <c r="D192" s="2"/>
      <c r="E192" s="2"/>
      <c r="F192" s="2"/>
      <c r="G192" s="2"/>
      <c r="H192" s="2"/>
      <c r="I192" s="2"/>
      <c r="J192" s="2"/>
      <c r="K192" s="2"/>
      <c r="L192" s="2"/>
      <c r="M192" s="2"/>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row>
    <row r="193" spans="1:43" x14ac:dyDescent="0.35">
      <c r="A193" s="1"/>
      <c r="B193" s="1"/>
      <c r="C193" s="2"/>
      <c r="D193" s="2"/>
      <c r="E193" s="2"/>
      <c r="F193" s="2"/>
      <c r="G193" s="2"/>
      <c r="H193" s="2"/>
      <c r="I193" s="2"/>
      <c r="J193" s="2"/>
      <c r="K193" s="2"/>
      <c r="L193" s="2"/>
      <c r="M193" s="2"/>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row>
    <row r="194" spans="1:43" x14ac:dyDescent="0.35">
      <c r="A194" s="1"/>
      <c r="B194" s="1"/>
      <c r="C194" s="2"/>
      <c r="D194" s="2"/>
      <c r="E194" s="2"/>
      <c r="F194" s="2"/>
      <c r="G194" s="2"/>
      <c r="H194" s="2"/>
      <c r="I194" s="2"/>
      <c r="J194" s="2"/>
      <c r="K194" s="2"/>
      <c r="L194" s="2"/>
      <c r="M194" s="2"/>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row>
    <row r="195" spans="1:43" x14ac:dyDescent="0.35">
      <c r="A195" s="1"/>
      <c r="B195" s="1"/>
      <c r="C195" s="2"/>
      <c r="D195" s="2"/>
      <c r="E195" s="2"/>
      <c r="F195" s="2"/>
      <c r="G195" s="2"/>
      <c r="H195" s="2"/>
      <c r="I195" s="2"/>
      <c r="J195" s="2"/>
      <c r="K195" s="2"/>
      <c r="L195" s="2"/>
      <c r="M195" s="2"/>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row>
    <row r="196" spans="1:43" x14ac:dyDescent="0.35">
      <c r="A196" s="1"/>
      <c r="B196" s="1"/>
      <c r="C196" s="2"/>
      <c r="D196" s="2"/>
      <c r="E196" s="2"/>
      <c r="F196" s="2"/>
      <c r="G196" s="2"/>
      <c r="H196" s="2"/>
      <c r="I196" s="2"/>
      <c r="J196" s="2"/>
      <c r="K196" s="2"/>
      <c r="L196" s="2"/>
      <c r="M196" s="2"/>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row>
    <row r="197" spans="1:43" x14ac:dyDescent="0.35">
      <c r="A197" s="1"/>
      <c r="B197" s="1"/>
      <c r="C197" s="2"/>
      <c r="D197" s="2"/>
      <c r="E197" s="2"/>
      <c r="F197" s="2"/>
      <c r="G197" s="2"/>
      <c r="H197" s="2"/>
      <c r="I197" s="2"/>
      <c r="J197" s="2"/>
      <c r="K197" s="2"/>
      <c r="L197" s="2"/>
      <c r="M197" s="2"/>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row>
    <row r="198" spans="1:43" x14ac:dyDescent="0.35">
      <c r="A198" s="1"/>
      <c r="B198" s="1"/>
      <c r="C198" s="2"/>
      <c r="D198" s="2"/>
      <c r="E198" s="2"/>
      <c r="F198" s="2"/>
      <c r="G198" s="2"/>
      <c r="H198" s="2"/>
      <c r="I198" s="2"/>
      <c r="J198" s="2"/>
      <c r="K198" s="2"/>
      <c r="L198" s="2"/>
      <c r="M198" s="2"/>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row>
    <row r="199" spans="1:43" x14ac:dyDescent="0.35">
      <c r="A199" s="1"/>
      <c r="B199" s="1"/>
      <c r="C199" s="2"/>
      <c r="D199" s="2"/>
      <c r="E199" s="2"/>
      <c r="F199" s="2"/>
      <c r="G199" s="2"/>
      <c r="H199" s="2"/>
      <c r="I199" s="2"/>
      <c r="J199" s="2"/>
      <c r="K199" s="2"/>
      <c r="L199" s="2"/>
      <c r="M199" s="2"/>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row>
    <row r="200" spans="1:43" x14ac:dyDescent="0.35">
      <c r="A200" s="1"/>
      <c r="B200" s="1"/>
      <c r="C200" s="2"/>
      <c r="D200" s="2"/>
      <c r="E200" s="2"/>
      <c r="F200" s="2"/>
      <c r="G200" s="2"/>
      <c r="H200" s="2"/>
      <c r="I200" s="2"/>
      <c r="J200" s="2"/>
      <c r="K200" s="2"/>
      <c r="L200" s="2"/>
      <c r="M200" s="2"/>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row>
    <row r="201" spans="1:43" x14ac:dyDescent="0.35">
      <c r="A201" s="1"/>
      <c r="B201" s="1"/>
      <c r="C201" s="2"/>
      <c r="D201" s="2"/>
      <c r="E201" s="2"/>
      <c r="F201" s="2"/>
      <c r="G201" s="2"/>
      <c r="H201" s="2"/>
      <c r="I201" s="2"/>
      <c r="J201" s="2"/>
      <c r="K201" s="2"/>
      <c r="L201" s="2"/>
      <c r="M201" s="2"/>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row>
    <row r="202" spans="1:43" x14ac:dyDescent="0.35">
      <c r="A202" s="1"/>
      <c r="B202" s="1"/>
      <c r="C202" s="2"/>
      <c r="D202" s="2"/>
      <c r="E202" s="2"/>
      <c r="F202" s="2"/>
      <c r="G202" s="2"/>
      <c r="H202" s="2"/>
      <c r="I202" s="2"/>
      <c r="J202" s="2"/>
      <c r="K202" s="2"/>
      <c r="L202" s="2"/>
      <c r="M202" s="2"/>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row>
    <row r="203" spans="1:43" x14ac:dyDescent="0.35">
      <c r="A203" s="1"/>
      <c r="B203" s="1"/>
      <c r="C203" s="2"/>
      <c r="D203" s="2"/>
      <c r="E203" s="2"/>
      <c r="F203" s="2"/>
      <c r="G203" s="2"/>
      <c r="H203" s="2"/>
      <c r="I203" s="2"/>
      <c r="J203" s="2"/>
      <c r="K203" s="2"/>
      <c r="L203" s="2"/>
      <c r="M203" s="2"/>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row>
    <row r="204" spans="1:43" x14ac:dyDescent="0.35">
      <c r="A204" s="1"/>
      <c r="B204" s="1"/>
      <c r="C204" s="2"/>
      <c r="D204" s="2"/>
      <c r="E204" s="2"/>
      <c r="F204" s="2"/>
      <c r="G204" s="2"/>
      <c r="H204" s="2"/>
      <c r="I204" s="2"/>
      <c r="J204" s="2"/>
      <c r="K204" s="2"/>
      <c r="L204" s="2"/>
      <c r="M204" s="2"/>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row>
    <row r="205" spans="1:43" x14ac:dyDescent="0.35">
      <c r="A205" s="1"/>
      <c r="B205" s="1"/>
      <c r="C205" s="2"/>
      <c r="D205" s="2"/>
      <c r="E205" s="2"/>
      <c r="F205" s="2"/>
      <c r="G205" s="2"/>
      <c r="H205" s="2"/>
      <c r="I205" s="2"/>
      <c r="J205" s="2"/>
      <c r="K205" s="2"/>
      <c r="L205" s="2"/>
      <c r="M205" s="2"/>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row>
    <row r="206" spans="1:43" x14ac:dyDescent="0.35">
      <c r="A206" s="1"/>
      <c r="B206" s="1"/>
      <c r="C206" s="2"/>
      <c r="D206" s="2"/>
      <c r="E206" s="2"/>
      <c r="F206" s="2"/>
      <c r="G206" s="2"/>
      <c r="H206" s="2"/>
      <c r="I206" s="2"/>
      <c r="J206" s="2"/>
      <c r="K206" s="2"/>
      <c r="L206" s="2"/>
      <c r="M206" s="2"/>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row>
    <row r="207" spans="1:43" x14ac:dyDescent="0.35">
      <c r="A207" s="1"/>
      <c r="B207" s="1"/>
      <c r="C207" s="2"/>
      <c r="D207" s="2"/>
      <c r="E207" s="2"/>
      <c r="F207" s="2"/>
      <c r="G207" s="2"/>
      <c r="H207" s="2"/>
      <c r="I207" s="2"/>
      <c r="J207" s="2"/>
      <c r="K207" s="2"/>
      <c r="L207" s="2"/>
      <c r="M207" s="2"/>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row>
    <row r="208" spans="1:43" x14ac:dyDescent="0.35">
      <c r="A208" s="1"/>
      <c r="B208" s="1"/>
      <c r="C208" s="2"/>
      <c r="D208" s="2"/>
      <c r="E208" s="2"/>
      <c r="F208" s="2"/>
      <c r="G208" s="2"/>
      <c r="H208" s="2"/>
      <c r="I208" s="2"/>
      <c r="J208" s="2"/>
      <c r="K208" s="2"/>
      <c r="L208" s="2"/>
      <c r="M208" s="2"/>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row>
    <row r="209" spans="1:43" x14ac:dyDescent="0.35">
      <c r="A209" s="1"/>
      <c r="B209" s="1"/>
      <c r="C209" s="2"/>
      <c r="D209" s="2"/>
      <c r="E209" s="2"/>
      <c r="F209" s="2"/>
      <c r="G209" s="2"/>
      <c r="H209" s="2"/>
      <c r="I209" s="2"/>
      <c r="J209" s="2"/>
      <c r="K209" s="2"/>
      <c r="L209" s="2"/>
      <c r="M209" s="2"/>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row>
    <row r="210" spans="1:43" x14ac:dyDescent="0.35">
      <c r="A210" s="1"/>
      <c r="B210" s="1"/>
      <c r="C210" s="2"/>
      <c r="D210" s="2"/>
      <c r="E210" s="2"/>
      <c r="F210" s="2"/>
      <c r="G210" s="2"/>
      <c r="H210" s="2"/>
      <c r="I210" s="2"/>
      <c r="J210" s="2"/>
      <c r="K210" s="2"/>
      <c r="L210" s="2"/>
      <c r="M210" s="2"/>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row>
    <row r="211" spans="1:43" x14ac:dyDescent="0.35">
      <c r="A211" s="1"/>
      <c r="B211" s="1"/>
      <c r="C211" s="2"/>
      <c r="D211" s="2"/>
      <c r="E211" s="2"/>
      <c r="F211" s="2"/>
      <c r="G211" s="2"/>
      <c r="H211" s="2"/>
      <c r="I211" s="2"/>
      <c r="J211" s="2"/>
      <c r="K211" s="2"/>
      <c r="L211" s="2"/>
      <c r="M211" s="2"/>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row>
    <row r="212" spans="1:43" x14ac:dyDescent="0.35">
      <c r="A212" s="1"/>
      <c r="B212" s="1"/>
      <c r="C212" s="2"/>
      <c r="D212" s="2"/>
      <c r="E212" s="2"/>
      <c r="F212" s="2"/>
      <c r="G212" s="2"/>
      <c r="H212" s="2"/>
      <c r="I212" s="2"/>
      <c r="J212" s="2"/>
      <c r="K212" s="2"/>
      <c r="L212" s="2"/>
      <c r="M212" s="2"/>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row>
    <row r="213" spans="1:43" x14ac:dyDescent="0.35">
      <c r="A213" s="1"/>
      <c r="B213" s="1"/>
      <c r="C213" s="2"/>
      <c r="D213" s="2"/>
      <c r="E213" s="2"/>
      <c r="F213" s="2"/>
      <c r="G213" s="2"/>
      <c r="H213" s="2"/>
      <c r="I213" s="2"/>
      <c r="J213" s="2"/>
      <c r="K213" s="2"/>
      <c r="L213" s="2"/>
      <c r="M213" s="2"/>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row>
    <row r="214" spans="1:43" x14ac:dyDescent="0.35">
      <c r="A214" s="1"/>
      <c r="B214" s="1"/>
      <c r="C214" s="2"/>
      <c r="D214" s="2"/>
      <c r="E214" s="2"/>
      <c r="F214" s="2"/>
      <c r="G214" s="2"/>
      <c r="H214" s="2"/>
      <c r="I214" s="2"/>
      <c r="J214" s="2"/>
      <c r="K214" s="2"/>
      <c r="L214" s="2"/>
      <c r="M214" s="2"/>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row>
    <row r="215" spans="1:43" x14ac:dyDescent="0.35">
      <c r="A215" s="1"/>
      <c r="B215" s="1"/>
      <c r="C215" s="2"/>
      <c r="D215" s="2"/>
      <c r="E215" s="2"/>
      <c r="F215" s="2"/>
      <c r="G215" s="2"/>
      <c r="H215" s="2"/>
      <c r="I215" s="2"/>
      <c r="J215" s="2"/>
      <c r="K215" s="2"/>
      <c r="L215" s="2"/>
      <c r="M215" s="2"/>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row>
    <row r="216" spans="1:43" x14ac:dyDescent="0.35">
      <c r="A216" s="1"/>
      <c r="B216" s="1"/>
      <c r="C216" s="2"/>
      <c r="D216" s="2"/>
      <c r="E216" s="2"/>
      <c r="F216" s="2"/>
      <c r="G216" s="2"/>
      <c r="H216" s="2"/>
      <c r="I216" s="2"/>
      <c r="J216" s="2"/>
      <c r="K216" s="2"/>
      <c r="L216" s="2"/>
      <c r="M216" s="2"/>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row>
    <row r="217" spans="1:43" x14ac:dyDescent="0.35">
      <c r="A217" s="1"/>
      <c r="B217" s="1"/>
      <c r="C217" s="2"/>
      <c r="D217" s="2"/>
      <c r="E217" s="2"/>
      <c r="F217" s="2"/>
      <c r="G217" s="2"/>
      <c r="H217" s="2"/>
      <c r="I217" s="2"/>
      <c r="J217" s="2"/>
      <c r="K217" s="2"/>
      <c r="L217" s="2"/>
      <c r="M217" s="2"/>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row>
    <row r="218" spans="1:43" x14ac:dyDescent="0.35">
      <c r="A218" s="1"/>
      <c r="B218" s="1"/>
      <c r="C218" s="2"/>
      <c r="D218" s="2"/>
      <c r="E218" s="2"/>
      <c r="F218" s="2"/>
      <c r="G218" s="2"/>
      <c r="H218" s="2"/>
      <c r="I218" s="2"/>
      <c r="J218" s="2"/>
      <c r="K218" s="2"/>
      <c r="L218" s="2"/>
      <c r="M218" s="2"/>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row>
    <row r="219" spans="1:43" x14ac:dyDescent="0.35">
      <c r="A219" s="1"/>
      <c r="B219" s="1"/>
      <c r="C219" s="2"/>
      <c r="D219" s="2"/>
      <c r="E219" s="2"/>
      <c r="F219" s="2"/>
      <c r="G219" s="2"/>
      <c r="H219" s="2"/>
      <c r="I219" s="2"/>
      <c r="J219" s="2"/>
      <c r="K219" s="2"/>
      <c r="L219" s="2"/>
      <c r="M219" s="2"/>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row>
    <row r="220" spans="1:43" x14ac:dyDescent="0.35">
      <c r="A220" s="1"/>
      <c r="B220" s="1"/>
      <c r="C220" s="2"/>
      <c r="D220" s="2"/>
      <c r="E220" s="2"/>
      <c r="F220" s="2"/>
      <c r="G220" s="2"/>
      <c r="H220" s="2"/>
      <c r="I220" s="2"/>
      <c r="J220" s="2"/>
      <c r="K220" s="2"/>
      <c r="L220" s="2"/>
      <c r="M220" s="2"/>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row>
    <row r="221" spans="1:43" x14ac:dyDescent="0.35">
      <c r="A221" s="1"/>
      <c r="B221" s="1"/>
      <c r="C221" s="2"/>
      <c r="D221" s="2"/>
      <c r="E221" s="2"/>
      <c r="F221" s="2"/>
      <c r="G221" s="2"/>
      <c r="H221" s="2"/>
      <c r="I221" s="2"/>
      <c r="J221" s="2"/>
      <c r="K221" s="2"/>
      <c r="L221" s="2"/>
      <c r="M221" s="2"/>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row>
    <row r="222" spans="1:43" x14ac:dyDescent="0.35">
      <c r="A222" s="1"/>
      <c r="B222" s="1"/>
      <c r="C222" s="2"/>
      <c r="D222" s="2"/>
      <c r="E222" s="2"/>
      <c r="F222" s="2"/>
      <c r="G222" s="2"/>
      <c r="H222" s="2"/>
      <c r="I222" s="2"/>
      <c r="J222" s="2"/>
      <c r="K222" s="2"/>
      <c r="L222" s="2"/>
      <c r="M222" s="2"/>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row>
    <row r="223" spans="1:43" x14ac:dyDescent="0.35">
      <c r="A223" s="1"/>
      <c r="B223" s="1"/>
      <c r="C223" s="2"/>
      <c r="D223" s="2"/>
      <c r="E223" s="2"/>
      <c r="F223" s="2"/>
      <c r="G223" s="2"/>
      <c r="H223" s="2"/>
      <c r="I223" s="2"/>
      <c r="J223" s="2"/>
      <c r="K223" s="2"/>
      <c r="L223" s="2"/>
      <c r="M223" s="2"/>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row>
    <row r="224" spans="1:43" x14ac:dyDescent="0.35">
      <c r="A224" s="1"/>
      <c r="B224" s="1"/>
      <c r="C224" s="2"/>
      <c r="D224" s="2"/>
      <c r="E224" s="2"/>
      <c r="F224" s="2"/>
      <c r="G224" s="2"/>
      <c r="H224" s="2"/>
      <c r="I224" s="2"/>
      <c r="J224" s="2"/>
      <c r="K224" s="2"/>
      <c r="L224" s="2"/>
      <c r="M224" s="2"/>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row>
    <row r="225" spans="1:43" x14ac:dyDescent="0.35">
      <c r="A225" s="1"/>
      <c r="B225" s="1"/>
      <c r="C225" s="2"/>
      <c r="D225" s="2"/>
      <c r="E225" s="2"/>
      <c r="F225" s="2"/>
      <c r="G225" s="2"/>
      <c r="H225" s="2"/>
      <c r="I225" s="2"/>
      <c r="J225" s="2"/>
      <c r="K225" s="2"/>
      <c r="L225" s="2"/>
      <c r="M225" s="2"/>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row>
    <row r="226" spans="1:43" x14ac:dyDescent="0.35">
      <c r="A226" s="1"/>
      <c r="B226" s="1"/>
      <c r="C226" s="2"/>
      <c r="D226" s="2"/>
      <c r="E226" s="2"/>
      <c r="F226" s="2"/>
      <c r="G226" s="2"/>
      <c r="H226" s="2"/>
      <c r="I226" s="2"/>
      <c r="J226" s="2"/>
      <c r="K226" s="2"/>
      <c r="L226" s="2"/>
      <c r="M226" s="2"/>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row>
    <row r="227" spans="1:43" x14ac:dyDescent="0.35">
      <c r="A227" s="1"/>
      <c r="B227" s="1"/>
      <c r="C227" s="2"/>
      <c r="D227" s="2"/>
      <c r="E227" s="2"/>
      <c r="F227" s="2"/>
      <c r="G227" s="2"/>
      <c r="H227" s="2"/>
      <c r="I227" s="2"/>
      <c r="J227" s="2"/>
      <c r="K227" s="2"/>
      <c r="L227" s="2"/>
      <c r="M227" s="2"/>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row>
    <row r="228" spans="1:43" x14ac:dyDescent="0.35">
      <c r="A228" s="1"/>
      <c r="B228" s="1"/>
      <c r="C228" s="2"/>
      <c r="D228" s="2"/>
      <c r="E228" s="2"/>
      <c r="F228" s="2"/>
      <c r="G228" s="2"/>
      <c r="H228" s="2"/>
      <c r="I228" s="2"/>
      <c r="J228" s="2"/>
      <c r="K228" s="2"/>
      <c r="L228" s="2"/>
      <c r="M228" s="2"/>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row>
    <row r="229" spans="1:43" x14ac:dyDescent="0.35">
      <c r="A229" s="1"/>
      <c r="B229" s="1"/>
      <c r="C229" s="2"/>
      <c r="D229" s="2"/>
      <c r="E229" s="2"/>
      <c r="F229" s="2"/>
      <c r="G229" s="2"/>
      <c r="H229" s="2"/>
      <c r="I229" s="2"/>
      <c r="J229" s="2"/>
      <c r="K229" s="2"/>
      <c r="L229" s="2"/>
      <c r="M229" s="2"/>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row>
    <row r="230" spans="1:43" x14ac:dyDescent="0.35">
      <c r="A230" s="1"/>
      <c r="B230" s="1"/>
      <c r="C230" s="2"/>
      <c r="D230" s="2"/>
      <c r="E230" s="2"/>
      <c r="F230" s="2"/>
      <c r="G230" s="2"/>
      <c r="H230" s="2"/>
      <c r="I230" s="2"/>
      <c r="J230" s="2"/>
      <c r="K230" s="2"/>
      <c r="L230" s="2"/>
      <c r="M230" s="2"/>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row>
    <row r="231" spans="1:43" x14ac:dyDescent="0.35">
      <c r="A231" s="1"/>
      <c r="B231" s="1"/>
      <c r="C231" s="2"/>
      <c r="D231" s="2"/>
      <c r="E231" s="2"/>
      <c r="F231" s="2"/>
      <c r="G231" s="2"/>
      <c r="H231" s="2"/>
      <c r="I231" s="2"/>
      <c r="J231" s="2"/>
      <c r="K231" s="2"/>
      <c r="L231" s="2"/>
      <c r="M231" s="2"/>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row>
    <row r="232" spans="1:43" x14ac:dyDescent="0.35">
      <c r="A232" s="1"/>
      <c r="B232" s="1"/>
      <c r="C232" s="2"/>
      <c r="D232" s="2"/>
      <c r="E232" s="2"/>
      <c r="F232" s="2"/>
      <c r="G232" s="2"/>
      <c r="H232" s="2"/>
      <c r="I232" s="2"/>
      <c r="J232" s="2"/>
      <c r="K232" s="2"/>
      <c r="L232" s="2"/>
      <c r="M232" s="2"/>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row>
    <row r="233" spans="1:43" x14ac:dyDescent="0.35">
      <c r="A233" s="1"/>
      <c r="B233" s="1"/>
      <c r="C233" s="2"/>
      <c r="D233" s="2"/>
      <c r="E233" s="2"/>
      <c r="F233" s="2"/>
      <c r="G233" s="2"/>
      <c r="H233" s="2"/>
      <c r="I233" s="2"/>
      <c r="J233" s="2"/>
      <c r="K233" s="2"/>
      <c r="L233" s="2"/>
      <c r="M233" s="2"/>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row>
    <row r="234" spans="1:43" x14ac:dyDescent="0.35">
      <c r="A234" s="1"/>
      <c r="B234" s="1"/>
      <c r="C234" s="2"/>
      <c r="D234" s="2"/>
      <c r="E234" s="2"/>
      <c r="F234" s="2"/>
      <c r="G234" s="2"/>
      <c r="H234" s="2"/>
      <c r="I234" s="2"/>
      <c r="J234" s="2"/>
      <c r="K234" s="2"/>
      <c r="L234" s="2"/>
      <c r="M234" s="2"/>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row>
    <row r="235" spans="1:43" x14ac:dyDescent="0.35">
      <c r="A235" s="1"/>
      <c r="B235" s="1"/>
      <c r="C235" s="2"/>
      <c r="D235" s="2"/>
      <c r="E235" s="2"/>
      <c r="F235" s="2"/>
      <c r="G235" s="2"/>
      <c r="H235" s="2"/>
      <c r="I235" s="2"/>
      <c r="J235" s="2"/>
      <c r="K235" s="2"/>
      <c r="L235" s="2"/>
      <c r="M235" s="2"/>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row>
    <row r="236" spans="1:43" x14ac:dyDescent="0.35">
      <c r="A236" s="1"/>
      <c r="B236" s="1"/>
      <c r="C236" s="2"/>
      <c r="D236" s="2"/>
      <c r="E236" s="2"/>
      <c r="F236" s="2"/>
      <c r="G236" s="2"/>
      <c r="H236" s="2"/>
      <c r="I236" s="2"/>
      <c r="J236" s="2"/>
      <c r="K236" s="2"/>
      <c r="L236" s="2"/>
      <c r="M236" s="2"/>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row>
    <row r="237" spans="1:43" x14ac:dyDescent="0.35">
      <c r="A237" s="1"/>
      <c r="B237" s="1"/>
      <c r="C237" s="2"/>
      <c r="D237" s="2"/>
      <c r="E237" s="2"/>
      <c r="F237" s="2"/>
      <c r="G237" s="2"/>
      <c r="H237" s="2"/>
      <c r="I237" s="2"/>
      <c r="J237" s="2"/>
      <c r="K237" s="2"/>
      <c r="L237" s="2"/>
      <c r="M237" s="2"/>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row>
    <row r="238" spans="1:43" x14ac:dyDescent="0.35">
      <c r="A238" s="1"/>
      <c r="B238" s="1"/>
      <c r="C238" s="2"/>
      <c r="D238" s="2"/>
      <c r="E238" s="2"/>
      <c r="F238" s="2"/>
      <c r="G238" s="2"/>
      <c r="H238" s="2"/>
      <c r="I238" s="2"/>
      <c r="J238" s="2"/>
      <c r="K238" s="2"/>
      <c r="L238" s="2"/>
      <c r="M238" s="2"/>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row>
    <row r="239" spans="1:43" x14ac:dyDescent="0.35">
      <c r="A239" s="1"/>
      <c r="B239" s="1"/>
      <c r="C239" s="2"/>
      <c r="D239" s="2"/>
      <c r="E239" s="2"/>
      <c r="F239" s="2"/>
      <c r="G239" s="2"/>
      <c r="H239" s="2"/>
      <c r="I239" s="2"/>
      <c r="J239" s="2"/>
      <c r="K239" s="2"/>
      <c r="L239" s="2"/>
      <c r="M239" s="2"/>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row>
    <row r="240" spans="1:43" x14ac:dyDescent="0.35">
      <c r="A240" s="1"/>
      <c r="B240" s="1"/>
      <c r="C240" s="2"/>
      <c r="D240" s="2"/>
      <c r="E240" s="2"/>
      <c r="F240" s="2"/>
      <c r="G240" s="2"/>
      <c r="H240" s="2"/>
      <c r="I240" s="2"/>
      <c r="J240" s="2"/>
      <c r="K240" s="2"/>
      <c r="L240" s="2"/>
      <c r="M240" s="2"/>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row>
    <row r="241" spans="1:43" x14ac:dyDescent="0.35">
      <c r="A241" s="1"/>
      <c r="B241" s="1"/>
      <c r="C241" s="2"/>
      <c r="D241" s="2"/>
      <c r="E241" s="2"/>
      <c r="F241" s="2"/>
      <c r="G241" s="2"/>
      <c r="H241" s="2"/>
      <c r="I241" s="2"/>
      <c r="J241" s="2"/>
      <c r="K241" s="2"/>
      <c r="L241" s="2"/>
      <c r="M241" s="2"/>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row>
    <row r="242" spans="1:43" x14ac:dyDescent="0.35">
      <c r="A242" s="1"/>
      <c r="B242" s="1"/>
      <c r="C242" s="2"/>
      <c r="D242" s="2"/>
      <c r="E242" s="2"/>
      <c r="F242" s="2"/>
      <c r="G242" s="2"/>
      <c r="H242" s="2"/>
      <c r="I242" s="2"/>
      <c r="J242" s="2"/>
      <c r="K242" s="2"/>
      <c r="L242" s="2"/>
      <c r="M242" s="2"/>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row>
    <row r="243" spans="1:43" x14ac:dyDescent="0.35">
      <c r="A243" s="1"/>
      <c r="B243" s="1"/>
      <c r="C243" s="2"/>
      <c r="D243" s="2"/>
      <c r="E243" s="2"/>
      <c r="F243" s="2"/>
      <c r="G243" s="2"/>
      <c r="H243" s="2"/>
      <c r="I243" s="2"/>
      <c r="J243" s="2"/>
      <c r="K243" s="2"/>
      <c r="L243" s="2"/>
      <c r="M243" s="2"/>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row>
    <row r="244" spans="1:43" x14ac:dyDescent="0.35">
      <c r="A244" s="1"/>
      <c r="B244" s="1"/>
      <c r="C244" s="2"/>
      <c r="D244" s="2"/>
      <c r="E244" s="2"/>
      <c r="F244" s="2"/>
      <c r="G244" s="2"/>
      <c r="H244" s="2"/>
      <c r="I244" s="2"/>
      <c r="J244" s="2"/>
      <c r="K244" s="2"/>
      <c r="L244" s="2"/>
      <c r="M244" s="2"/>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row>
    <row r="245" spans="1:43" x14ac:dyDescent="0.35">
      <c r="A245" s="1"/>
      <c r="B245" s="1"/>
      <c r="C245" s="2"/>
      <c r="D245" s="2"/>
      <c r="E245" s="2"/>
      <c r="F245" s="2"/>
      <c r="G245" s="2"/>
      <c r="H245" s="2"/>
      <c r="I245" s="2"/>
      <c r="J245" s="2"/>
      <c r="K245" s="2"/>
      <c r="L245" s="2"/>
      <c r="M245" s="2"/>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row>
    <row r="246" spans="1:43" x14ac:dyDescent="0.35">
      <c r="A246" s="1"/>
      <c r="B246" s="1"/>
      <c r="C246" s="2"/>
      <c r="D246" s="2"/>
      <c r="E246" s="2"/>
      <c r="F246" s="2"/>
      <c r="G246" s="2"/>
      <c r="H246" s="2"/>
      <c r="I246" s="2"/>
      <c r="J246" s="2"/>
      <c r="K246" s="2"/>
      <c r="L246" s="2"/>
      <c r="M246" s="2"/>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row>
    <row r="247" spans="1:43" x14ac:dyDescent="0.35">
      <c r="A247" s="1"/>
      <c r="B247" s="1"/>
      <c r="C247" s="2"/>
      <c r="D247" s="2"/>
      <c r="E247" s="2"/>
      <c r="F247" s="2"/>
      <c r="G247" s="2"/>
      <c r="H247" s="2"/>
      <c r="I247" s="2"/>
      <c r="J247" s="2"/>
      <c r="K247" s="2"/>
      <c r="L247" s="2"/>
      <c r="M247" s="2"/>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row>
    <row r="248" spans="1:43" x14ac:dyDescent="0.35">
      <c r="A248" s="1"/>
      <c r="B248" s="1"/>
      <c r="C248" s="2"/>
      <c r="D248" s="2"/>
      <c r="E248" s="2"/>
      <c r="F248" s="2"/>
      <c r="G248" s="2"/>
      <c r="H248" s="2"/>
      <c r="I248" s="2"/>
      <c r="J248" s="2"/>
      <c r="K248" s="2"/>
      <c r="L248" s="2"/>
      <c r="M248" s="2"/>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row>
    <row r="249" spans="1:43" x14ac:dyDescent="0.35">
      <c r="A249" s="1"/>
      <c r="B249" s="1"/>
      <c r="C249" s="2"/>
      <c r="D249" s="2"/>
      <c r="E249" s="2"/>
      <c r="F249" s="2"/>
      <c r="G249" s="2"/>
      <c r="H249" s="2"/>
      <c r="I249" s="2"/>
      <c r="J249" s="2"/>
      <c r="K249" s="2"/>
      <c r="L249" s="2"/>
      <c r="M249" s="2"/>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row>
    <row r="250" spans="1:43" x14ac:dyDescent="0.35">
      <c r="A250" s="1"/>
      <c r="B250" s="1"/>
      <c r="C250" s="2"/>
      <c r="D250" s="2"/>
      <c r="E250" s="2"/>
      <c r="F250" s="2"/>
      <c r="G250" s="2"/>
      <c r="H250" s="2"/>
      <c r="I250" s="2"/>
      <c r="J250" s="2"/>
      <c r="K250" s="2"/>
      <c r="L250" s="2"/>
      <c r="M250" s="2"/>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row>
    <row r="251" spans="1:43" x14ac:dyDescent="0.35">
      <c r="A251" s="1"/>
      <c r="B251" s="1"/>
      <c r="C251" s="2"/>
      <c r="D251" s="2"/>
      <c r="E251" s="2"/>
      <c r="F251" s="2"/>
      <c r="G251" s="2"/>
      <c r="H251" s="2"/>
      <c r="I251" s="2"/>
      <c r="J251" s="2"/>
      <c r="K251" s="2"/>
      <c r="L251" s="2"/>
      <c r="M251" s="2"/>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row>
    <row r="252" spans="1:43" x14ac:dyDescent="0.35">
      <c r="A252" s="1"/>
      <c r="B252" s="1"/>
      <c r="C252" s="2"/>
      <c r="D252" s="2"/>
      <c r="E252" s="2"/>
      <c r="F252" s="2"/>
      <c r="G252" s="2"/>
      <c r="H252" s="2"/>
      <c r="I252" s="2"/>
      <c r="J252" s="2"/>
      <c r="K252" s="2"/>
      <c r="L252" s="2"/>
      <c r="M252" s="2"/>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row>
    <row r="253" spans="1:43" x14ac:dyDescent="0.35">
      <c r="A253" s="1"/>
      <c r="B253" s="1"/>
      <c r="C253" s="2"/>
      <c r="D253" s="2"/>
      <c r="E253" s="2"/>
      <c r="F253" s="2"/>
      <c r="G253" s="2"/>
      <c r="H253" s="2"/>
      <c r="I253" s="2"/>
      <c r="J253" s="2"/>
      <c r="K253" s="2"/>
      <c r="L253" s="2"/>
      <c r="M253" s="2"/>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row>
    <row r="254" spans="1:43" x14ac:dyDescent="0.35">
      <c r="A254" s="1"/>
      <c r="B254" s="1"/>
      <c r="C254" s="2"/>
      <c r="D254" s="2"/>
      <c r="E254" s="2"/>
      <c r="F254" s="2"/>
      <c r="G254" s="2"/>
      <c r="H254" s="2"/>
      <c r="I254" s="2"/>
      <c r="J254" s="2"/>
      <c r="K254" s="2"/>
      <c r="L254" s="2"/>
      <c r="M254" s="2"/>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row>
    <row r="255" spans="1:43" x14ac:dyDescent="0.35">
      <c r="A255" s="1"/>
      <c r="B255" s="1"/>
      <c r="C255" s="2"/>
      <c r="D255" s="2"/>
      <c r="E255" s="2"/>
      <c r="F255" s="2"/>
      <c r="G255" s="2"/>
      <c r="H255" s="2"/>
      <c r="I255" s="2"/>
      <c r="J255" s="2"/>
      <c r="K255" s="2"/>
      <c r="L255" s="2"/>
      <c r="M255" s="2"/>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row>
    <row r="256" spans="1:43" x14ac:dyDescent="0.35">
      <c r="A256" s="1"/>
      <c r="B256" s="1"/>
      <c r="C256" s="2"/>
      <c r="D256" s="2"/>
      <c r="E256" s="2"/>
      <c r="F256" s="2"/>
      <c r="G256" s="2"/>
      <c r="H256" s="2"/>
      <c r="I256" s="2"/>
      <c r="J256" s="2"/>
      <c r="K256" s="2"/>
      <c r="L256" s="2"/>
      <c r="M256" s="2"/>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row>
    <row r="257" spans="1:43" x14ac:dyDescent="0.35">
      <c r="A257" s="1"/>
      <c r="B257" s="1"/>
      <c r="C257" s="2"/>
      <c r="D257" s="2"/>
      <c r="E257" s="2"/>
      <c r="F257" s="2"/>
      <c r="G257" s="2"/>
      <c r="H257" s="2"/>
      <c r="I257" s="2"/>
      <c r="J257" s="2"/>
      <c r="K257" s="2"/>
      <c r="L257" s="2"/>
      <c r="M257" s="2"/>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row>
    <row r="258" spans="1:43" x14ac:dyDescent="0.35">
      <c r="A258" s="1"/>
      <c r="B258" s="1"/>
      <c r="C258" s="2"/>
      <c r="D258" s="2"/>
      <c r="E258" s="2"/>
      <c r="F258" s="2"/>
      <c r="G258" s="2"/>
      <c r="H258" s="2"/>
      <c r="I258" s="2"/>
      <c r="J258" s="2"/>
      <c r="K258" s="2"/>
      <c r="L258" s="2"/>
      <c r="M258" s="2"/>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row>
    <row r="259" spans="1:43" x14ac:dyDescent="0.35">
      <c r="A259" s="1"/>
      <c r="B259" s="1"/>
      <c r="C259" s="2"/>
      <c r="D259" s="2"/>
      <c r="E259" s="2"/>
      <c r="F259" s="2"/>
      <c r="G259" s="2"/>
      <c r="H259" s="2"/>
      <c r="I259" s="2"/>
      <c r="J259" s="2"/>
      <c r="K259" s="2"/>
      <c r="L259" s="2"/>
      <c r="M259" s="2"/>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row>
    <row r="260" spans="1:43" x14ac:dyDescent="0.35">
      <c r="A260" s="1"/>
      <c r="B260" s="1"/>
      <c r="C260" s="2"/>
      <c r="D260" s="2"/>
      <c r="E260" s="2"/>
      <c r="F260" s="2"/>
      <c r="G260" s="2"/>
      <c r="H260" s="2"/>
      <c r="I260" s="2"/>
      <c r="J260" s="2"/>
      <c r="K260" s="2"/>
      <c r="L260" s="2"/>
      <c r="M260" s="2"/>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row>
    <row r="261" spans="1:43" x14ac:dyDescent="0.35">
      <c r="A261" s="1"/>
      <c r="B261" s="1"/>
      <c r="C261" s="2"/>
      <c r="D261" s="2"/>
      <c r="E261" s="2"/>
      <c r="F261" s="2"/>
      <c r="G261" s="2"/>
      <c r="H261" s="2"/>
      <c r="I261" s="2"/>
      <c r="J261" s="2"/>
      <c r="K261" s="2"/>
      <c r="L261" s="2"/>
      <c r="M261" s="2"/>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row>
    <row r="262" spans="1:43" x14ac:dyDescent="0.35">
      <c r="A262" s="1"/>
      <c r="B262" s="1"/>
      <c r="C262" s="2"/>
      <c r="D262" s="2"/>
      <c r="E262" s="2"/>
      <c r="F262" s="2"/>
      <c r="G262" s="2"/>
      <c r="H262" s="2"/>
      <c r="I262" s="2"/>
      <c r="J262" s="2"/>
      <c r="K262" s="2"/>
      <c r="L262" s="2"/>
      <c r="M262" s="2"/>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row>
    <row r="263" spans="1:43" x14ac:dyDescent="0.35">
      <c r="A263" s="1"/>
      <c r="B263" s="1"/>
      <c r="C263" s="2"/>
      <c r="D263" s="2"/>
      <c r="E263" s="2"/>
      <c r="F263" s="2"/>
      <c r="G263" s="2"/>
      <c r="H263" s="2"/>
      <c r="I263" s="2"/>
      <c r="J263" s="2"/>
      <c r="K263" s="2"/>
      <c r="L263" s="2"/>
      <c r="M263" s="2"/>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row>
    <row r="264" spans="1:43" x14ac:dyDescent="0.35">
      <c r="A264" s="1"/>
      <c r="B264" s="1"/>
      <c r="C264" s="2"/>
      <c r="D264" s="2"/>
      <c r="E264" s="2"/>
      <c r="F264" s="2"/>
      <c r="G264" s="2"/>
      <c r="H264" s="2"/>
      <c r="I264" s="2"/>
      <c r="J264" s="2"/>
      <c r="K264" s="2"/>
      <c r="L264" s="2"/>
      <c r="M264" s="2"/>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row>
    <row r="265" spans="1:43" x14ac:dyDescent="0.35">
      <c r="A265" s="1"/>
      <c r="B265" s="1"/>
      <c r="C265" s="2"/>
      <c r="D265" s="2"/>
      <c r="E265" s="2"/>
      <c r="F265" s="2"/>
      <c r="G265" s="2"/>
      <c r="H265" s="2"/>
      <c r="I265" s="2"/>
      <c r="J265" s="2"/>
      <c r="K265" s="2"/>
      <c r="L265" s="2"/>
      <c r="M265" s="2"/>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row>
    <row r="266" spans="1:43" x14ac:dyDescent="0.35">
      <c r="A266" s="1"/>
      <c r="B266" s="1"/>
      <c r="C266" s="2"/>
      <c r="D266" s="2"/>
      <c r="E266" s="2"/>
      <c r="F266" s="2"/>
      <c r="G266" s="2"/>
      <c r="H266" s="2"/>
      <c r="I266" s="2"/>
      <c r="J266" s="2"/>
      <c r="K266" s="2"/>
      <c r="L266" s="2"/>
      <c r="M266" s="2"/>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row>
    <row r="267" spans="1:43" x14ac:dyDescent="0.35">
      <c r="A267" s="1"/>
      <c r="B267" s="1"/>
      <c r="C267" s="2"/>
      <c r="D267" s="2"/>
      <c r="E267" s="2"/>
      <c r="F267" s="2"/>
      <c r="G267" s="2"/>
      <c r="H267" s="2"/>
      <c r="I267" s="2"/>
      <c r="J267" s="2"/>
      <c r="K267" s="2"/>
      <c r="L267" s="2"/>
      <c r="M267" s="2"/>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row>
    <row r="268" spans="1:43" x14ac:dyDescent="0.35">
      <c r="A268" s="1"/>
      <c r="B268" s="1"/>
      <c r="C268" s="2"/>
      <c r="D268" s="2"/>
      <c r="E268" s="2"/>
      <c r="F268" s="2"/>
      <c r="G268" s="2"/>
      <c r="H268" s="2"/>
      <c r="I268" s="2"/>
      <c r="J268" s="2"/>
      <c r="K268" s="2"/>
      <c r="L268" s="2"/>
      <c r="M268" s="2"/>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row>
    <row r="269" spans="1:43" x14ac:dyDescent="0.35">
      <c r="A269" s="1"/>
      <c r="B269" s="1"/>
      <c r="C269" s="2"/>
      <c r="D269" s="2"/>
      <c r="E269" s="2"/>
      <c r="F269" s="2"/>
      <c r="G269" s="2"/>
      <c r="H269" s="2"/>
      <c r="I269" s="2"/>
      <c r="J269" s="2"/>
      <c r="K269" s="2"/>
      <c r="L269" s="2"/>
      <c r="M269" s="2"/>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row>
    <row r="270" spans="1:43" x14ac:dyDescent="0.35">
      <c r="A270" s="1"/>
      <c r="B270" s="1"/>
      <c r="C270" s="2"/>
      <c r="D270" s="2"/>
      <c r="E270" s="2"/>
      <c r="F270" s="2"/>
      <c r="G270" s="2"/>
      <c r="H270" s="2"/>
      <c r="I270" s="2"/>
      <c r="J270" s="2"/>
      <c r="K270" s="2"/>
      <c r="L270" s="2"/>
      <c r="M270" s="2"/>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row>
    <row r="271" spans="1:43" x14ac:dyDescent="0.35">
      <c r="A271" s="1"/>
      <c r="B271" s="1"/>
      <c r="C271" s="2"/>
      <c r="D271" s="2"/>
      <c r="E271" s="2"/>
      <c r="F271" s="2"/>
      <c r="G271" s="2"/>
      <c r="H271" s="2"/>
      <c r="I271" s="2"/>
      <c r="J271" s="2"/>
      <c r="K271" s="2"/>
      <c r="L271" s="2"/>
      <c r="M271" s="2"/>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row>
    <row r="272" spans="1:43" x14ac:dyDescent="0.35">
      <c r="A272" s="1"/>
      <c r="B272" s="1"/>
      <c r="C272" s="2"/>
      <c r="D272" s="2"/>
      <c r="E272" s="2"/>
      <c r="F272" s="2"/>
      <c r="G272" s="2"/>
      <c r="H272" s="2"/>
      <c r="I272" s="2"/>
      <c r="J272" s="2"/>
      <c r="K272" s="2"/>
      <c r="L272" s="2"/>
      <c r="M272" s="2"/>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row>
    <row r="273" spans="1:43" x14ac:dyDescent="0.35">
      <c r="A273" s="1"/>
      <c r="B273" s="1"/>
      <c r="C273" s="2"/>
      <c r="D273" s="2"/>
      <c r="E273" s="2"/>
      <c r="F273" s="2"/>
      <c r="G273" s="2"/>
      <c r="H273" s="2"/>
      <c r="I273" s="2"/>
      <c r="J273" s="2"/>
      <c r="K273" s="2"/>
      <c r="L273" s="2"/>
      <c r="M273" s="2"/>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row>
    <row r="274" spans="1:43" x14ac:dyDescent="0.35">
      <c r="A274" s="1"/>
      <c r="B274" s="1"/>
      <c r="C274" s="2"/>
      <c r="D274" s="2"/>
      <c r="E274" s="2"/>
      <c r="F274" s="2"/>
      <c r="G274" s="2"/>
      <c r="H274" s="2"/>
      <c r="I274" s="2"/>
      <c r="J274" s="2"/>
      <c r="K274" s="2"/>
      <c r="L274" s="2"/>
      <c r="M274" s="2"/>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row>
    <row r="275" spans="1:43" x14ac:dyDescent="0.35">
      <c r="A275" s="1"/>
      <c r="B275" s="1"/>
      <c r="C275" s="2"/>
      <c r="D275" s="2"/>
      <c r="E275" s="2"/>
      <c r="F275" s="2"/>
      <c r="G275" s="2"/>
      <c r="H275" s="2"/>
      <c r="I275" s="2"/>
      <c r="J275" s="2"/>
      <c r="K275" s="2"/>
      <c r="L275" s="2"/>
      <c r="M275" s="2"/>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row>
    <row r="276" spans="1:43" x14ac:dyDescent="0.35">
      <c r="A276" s="1"/>
      <c r="B276" s="1"/>
      <c r="C276" s="2"/>
      <c r="D276" s="2"/>
      <c r="E276" s="2"/>
      <c r="F276" s="2"/>
      <c r="G276" s="2"/>
      <c r="H276" s="2"/>
      <c r="I276" s="2"/>
      <c r="J276" s="2"/>
      <c r="K276" s="2"/>
      <c r="L276" s="2"/>
      <c r="M276" s="2"/>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row>
    <row r="277" spans="1:43" x14ac:dyDescent="0.35">
      <c r="A277" s="1"/>
      <c r="B277" s="1"/>
      <c r="C277" s="2"/>
      <c r="D277" s="2"/>
      <c r="E277" s="2"/>
      <c r="F277" s="2"/>
      <c r="G277" s="2"/>
      <c r="H277" s="2"/>
      <c r="I277" s="2"/>
      <c r="J277" s="2"/>
      <c r="K277" s="2"/>
      <c r="L277" s="2"/>
      <c r="M277" s="2"/>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row>
    <row r="278" spans="1:43" x14ac:dyDescent="0.35">
      <c r="A278" s="1"/>
      <c r="B278" s="1"/>
      <c r="C278" s="2"/>
      <c r="D278" s="2"/>
      <c r="E278" s="2"/>
      <c r="F278" s="2"/>
      <c r="G278" s="2"/>
      <c r="H278" s="2"/>
      <c r="I278" s="2"/>
      <c r="J278" s="2"/>
      <c r="K278" s="2"/>
      <c r="L278" s="2"/>
      <c r="M278" s="2"/>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row>
    <row r="279" spans="1:43" x14ac:dyDescent="0.35">
      <c r="A279" s="1"/>
      <c r="B279" s="1"/>
      <c r="C279" s="2"/>
      <c r="D279" s="2"/>
      <c r="E279" s="2"/>
      <c r="F279" s="2"/>
      <c r="G279" s="2"/>
      <c r="H279" s="2"/>
      <c r="I279" s="2"/>
      <c r="J279" s="2"/>
      <c r="K279" s="2"/>
      <c r="L279" s="2"/>
      <c r="M279" s="2"/>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row>
    <row r="280" spans="1:43" x14ac:dyDescent="0.35">
      <c r="A280" s="1"/>
      <c r="B280" s="1"/>
      <c r="C280" s="2"/>
      <c r="D280" s="2"/>
      <c r="E280" s="2"/>
      <c r="F280" s="2"/>
      <c r="G280" s="2"/>
      <c r="H280" s="2"/>
      <c r="I280" s="2"/>
      <c r="J280" s="2"/>
      <c r="K280" s="2"/>
      <c r="L280" s="2"/>
      <c r="M280" s="2"/>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row>
    <row r="281" spans="1:43" x14ac:dyDescent="0.35">
      <c r="A281" s="1"/>
      <c r="B281" s="1"/>
      <c r="C281" s="2"/>
      <c r="D281" s="2"/>
      <c r="E281" s="2"/>
      <c r="F281" s="2"/>
      <c r="G281" s="2"/>
      <c r="H281" s="2"/>
      <c r="I281" s="2"/>
      <c r="J281" s="2"/>
      <c r="K281" s="2"/>
      <c r="L281" s="2"/>
      <c r="M281" s="2"/>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row>
    <row r="282" spans="1:43" x14ac:dyDescent="0.35">
      <c r="A282" s="1"/>
      <c r="B282" s="1"/>
      <c r="C282" s="2"/>
      <c r="D282" s="2"/>
      <c r="E282" s="2"/>
      <c r="F282" s="2"/>
      <c r="G282" s="2"/>
      <c r="H282" s="2"/>
      <c r="I282" s="2"/>
      <c r="J282" s="2"/>
      <c r="K282" s="2"/>
      <c r="L282" s="2"/>
      <c r="M282" s="2"/>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row>
    <row r="283" spans="1:43" x14ac:dyDescent="0.35">
      <c r="A283" s="1"/>
      <c r="B283" s="1"/>
      <c r="C283" s="2"/>
      <c r="D283" s="2"/>
      <c r="E283" s="2"/>
      <c r="F283" s="2"/>
      <c r="G283" s="2"/>
      <c r="H283" s="2"/>
      <c r="I283" s="2"/>
      <c r="J283" s="2"/>
      <c r="K283" s="2"/>
      <c r="L283" s="2"/>
      <c r="M283" s="2"/>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row>
    <row r="284" spans="1:43" x14ac:dyDescent="0.35">
      <c r="A284" s="1"/>
      <c r="B284" s="1"/>
      <c r="C284" s="2"/>
      <c r="D284" s="2"/>
      <c r="E284" s="2"/>
      <c r="F284" s="2"/>
      <c r="G284" s="2"/>
      <c r="H284" s="2"/>
      <c r="I284" s="2"/>
      <c r="J284" s="2"/>
      <c r="K284" s="2"/>
      <c r="L284" s="2"/>
      <c r="M284" s="2"/>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row>
    <row r="285" spans="1:43" x14ac:dyDescent="0.35">
      <c r="A285" s="1"/>
      <c r="B285" s="1"/>
      <c r="C285" s="2"/>
      <c r="D285" s="2"/>
      <c r="E285" s="2"/>
      <c r="F285" s="2"/>
      <c r="G285" s="2"/>
      <c r="H285" s="2"/>
      <c r="I285" s="2"/>
      <c r="J285" s="2"/>
      <c r="K285" s="2"/>
      <c r="L285" s="2"/>
      <c r="M285" s="2"/>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row>
    <row r="286" spans="1:43" x14ac:dyDescent="0.35">
      <c r="A286" s="1"/>
      <c r="B286" s="1"/>
      <c r="C286" s="2"/>
      <c r="D286" s="2"/>
      <c r="E286" s="2"/>
      <c r="F286" s="2"/>
      <c r="G286" s="2"/>
      <c r="H286" s="2"/>
      <c r="I286" s="2"/>
      <c r="J286" s="2"/>
      <c r="K286" s="2"/>
      <c r="L286" s="2"/>
      <c r="M286" s="2"/>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row>
    <row r="287" spans="1:43" x14ac:dyDescent="0.35">
      <c r="A287" s="1"/>
      <c r="B287" s="1"/>
      <c r="C287" s="2"/>
      <c r="D287" s="2"/>
      <c r="E287" s="2"/>
      <c r="F287" s="2"/>
      <c r="G287" s="2"/>
      <c r="H287" s="2"/>
      <c r="I287" s="2"/>
      <c r="J287" s="2"/>
      <c r="K287" s="2"/>
      <c r="L287" s="2"/>
      <c r="M287" s="2"/>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row>
    <row r="288" spans="1:43" x14ac:dyDescent="0.35">
      <c r="A288" s="1"/>
      <c r="B288" s="1"/>
      <c r="C288" s="2"/>
      <c r="D288" s="2"/>
      <c r="E288" s="2"/>
      <c r="F288" s="2"/>
      <c r="G288" s="2"/>
      <c r="H288" s="2"/>
      <c r="I288" s="2"/>
      <c r="J288" s="2"/>
      <c r="K288" s="2"/>
      <c r="L288" s="2"/>
      <c r="M288" s="2"/>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row>
    <row r="289" spans="1:43" x14ac:dyDescent="0.35">
      <c r="A289" s="1"/>
      <c r="B289" s="1"/>
      <c r="C289" s="2"/>
      <c r="D289" s="2"/>
      <c r="E289" s="2"/>
      <c r="F289" s="2"/>
      <c r="G289" s="2"/>
      <c r="H289" s="2"/>
      <c r="I289" s="2"/>
      <c r="J289" s="2"/>
      <c r="K289" s="2"/>
      <c r="L289" s="2"/>
      <c r="M289" s="2"/>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row>
    <row r="290" spans="1:43" x14ac:dyDescent="0.35">
      <c r="A290" s="1"/>
      <c r="B290" s="1"/>
      <c r="C290" s="2"/>
      <c r="D290" s="2"/>
      <c r="E290" s="2"/>
      <c r="F290" s="2"/>
      <c r="G290" s="2"/>
      <c r="H290" s="2"/>
      <c r="I290" s="2"/>
      <c r="J290" s="2"/>
      <c r="K290" s="2"/>
      <c r="L290" s="2"/>
      <c r="M290" s="2"/>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row>
    <row r="291" spans="1:43" x14ac:dyDescent="0.35">
      <c r="A291" s="1"/>
      <c r="B291" s="1"/>
      <c r="C291" s="2"/>
      <c r="D291" s="2"/>
      <c r="E291" s="2"/>
      <c r="F291" s="2"/>
      <c r="G291" s="2"/>
      <c r="H291" s="2"/>
      <c r="I291" s="2"/>
      <c r="J291" s="2"/>
      <c r="K291" s="2"/>
      <c r="L291" s="2"/>
      <c r="M291" s="2"/>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row>
    <row r="292" spans="1:43" x14ac:dyDescent="0.35">
      <c r="A292" s="1"/>
      <c r="B292" s="1"/>
      <c r="C292" s="2"/>
      <c r="D292" s="2"/>
      <c r="E292" s="2"/>
      <c r="F292" s="2"/>
      <c r="G292" s="2"/>
      <c r="H292" s="2"/>
      <c r="I292" s="2"/>
      <c r="J292" s="2"/>
      <c r="K292" s="2"/>
      <c r="L292" s="2"/>
      <c r="M292" s="2"/>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row>
    <row r="293" spans="1:43" x14ac:dyDescent="0.35">
      <c r="A293" s="1"/>
      <c r="B293" s="1"/>
      <c r="C293" s="2"/>
      <c r="D293" s="2"/>
      <c r="E293" s="2"/>
      <c r="F293" s="2"/>
      <c r="G293" s="2"/>
      <c r="H293" s="2"/>
      <c r="I293" s="2"/>
      <c r="J293" s="2"/>
      <c r="K293" s="2"/>
      <c r="L293" s="2"/>
      <c r="M293" s="2"/>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row>
    <row r="294" spans="1:43" x14ac:dyDescent="0.35">
      <c r="A294" s="1"/>
      <c r="B294" s="1"/>
      <c r="C294" s="2"/>
      <c r="D294" s="2"/>
      <c r="E294" s="2"/>
      <c r="F294" s="2"/>
      <c r="G294" s="2"/>
      <c r="H294" s="2"/>
      <c r="I294" s="2"/>
      <c r="J294" s="2"/>
      <c r="K294" s="2"/>
      <c r="L294" s="2"/>
      <c r="M294" s="2"/>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row>
    <row r="295" spans="1:43" x14ac:dyDescent="0.35">
      <c r="A295" s="1"/>
      <c r="B295" s="1"/>
      <c r="C295" s="2"/>
      <c r="D295" s="2"/>
      <c r="E295" s="2"/>
      <c r="F295" s="2"/>
      <c r="G295" s="2"/>
      <c r="H295" s="2"/>
      <c r="I295" s="2"/>
      <c r="J295" s="2"/>
      <c r="K295" s="2"/>
      <c r="L295" s="2"/>
      <c r="M295" s="2"/>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row>
    <row r="296" spans="1:43" x14ac:dyDescent="0.35">
      <c r="A296" s="1"/>
      <c r="B296" s="1"/>
      <c r="C296" s="2"/>
      <c r="D296" s="2"/>
      <c r="E296" s="2"/>
      <c r="F296" s="2"/>
      <c r="G296" s="2"/>
      <c r="H296" s="2"/>
      <c r="I296" s="2"/>
      <c r="J296" s="2"/>
      <c r="K296" s="2"/>
      <c r="L296" s="2"/>
      <c r="M296" s="2"/>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row>
    <row r="297" spans="1:43" x14ac:dyDescent="0.35">
      <c r="A297" s="1"/>
      <c r="B297" s="1"/>
      <c r="C297" s="2"/>
      <c r="D297" s="2"/>
      <c r="E297" s="2"/>
      <c r="F297" s="2"/>
      <c r="G297" s="2"/>
      <c r="H297" s="2"/>
      <c r="I297" s="2"/>
      <c r="J297" s="2"/>
      <c r="K297" s="2"/>
      <c r="L297" s="2"/>
      <c r="M297" s="2"/>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row>
    <row r="298" spans="1:43" x14ac:dyDescent="0.35">
      <c r="A298" s="1"/>
      <c r="B298" s="1"/>
      <c r="C298" s="2"/>
      <c r="D298" s="2"/>
      <c r="E298" s="2"/>
      <c r="F298" s="2"/>
      <c r="G298" s="2"/>
      <c r="H298" s="2"/>
      <c r="I298" s="2"/>
      <c r="J298" s="2"/>
      <c r="K298" s="2"/>
      <c r="L298" s="2"/>
      <c r="M298" s="2"/>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row>
    <row r="299" spans="1:43" x14ac:dyDescent="0.35">
      <c r="A299" s="1"/>
      <c r="B299" s="1"/>
      <c r="C299" s="2"/>
      <c r="D299" s="2"/>
      <c r="E299" s="2"/>
      <c r="F299" s="2"/>
      <c r="G299" s="2"/>
      <c r="H299" s="2"/>
      <c r="I299" s="2"/>
      <c r="J299" s="2"/>
      <c r="K299" s="2"/>
      <c r="L299" s="2"/>
      <c r="M299" s="2"/>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row>
    <row r="300" spans="1:43" x14ac:dyDescent="0.35">
      <c r="A300" s="1"/>
      <c r="B300" s="1"/>
      <c r="C300" s="2"/>
      <c r="D300" s="2"/>
      <c r="E300" s="2"/>
      <c r="F300" s="2"/>
      <c r="G300" s="2"/>
      <c r="H300" s="2"/>
      <c r="I300" s="2"/>
      <c r="J300" s="2"/>
      <c r="K300" s="2"/>
      <c r="L300" s="2"/>
      <c r="M300" s="2"/>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row>
    <row r="301" spans="1:43" x14ac:dyDescent="0.35">
      <c r="A301" s="1"/>
      <c r="B301" s="1"/>
      <c r="C301" s="2"/>
      <c r="D301" s="2"/>
      <c r="E301" s="2"/>
      <c r="F301" s="2"/>
      <c r="G301" s="2"/>
      <c r="H301" s="2"/>
      <c r="I301" s="2"/>
      <c r="J301" s="2"/>
      <c r="K301" s="2"/>
      <c r="L301" s="2"/>
      <c r="M301" s="2"/>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row>
    <row r="302" spans="1:43" x14ac:dyDescent="0.35">
      <c r="A302" s="1"/>
      <c r="B302" s="1"/>
      <c r="C302" s="2"/>
      <c r="D302" s="2"/>
      <c r="E302" s="2"/>
      <c r="F302" s="2"/>
      <c r="G302" s="2"/>
      <c r="H302" s="2"/>
      <c r="I302" s="2"/>
      <c r="J302" s="2"/>
      <c r="K302" s="2"/>
      <c r="L302" s="2"/>
      <c r="M302" s="2"/>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row>
    <row r="303" spans="1:43" x14ac:dyDescent="0.35">
      <c r="A303" s="1"/>
      <c r="B303" s="1"/>
      <c r="C303" s="2"/>
      <c r="D303" s="2"/>
      <c r="E303" s="2"/>
      <c r="F303" s="2"/>
      <c r="G303" s="2"/>
      <c r="H303" s="2"/>
      <c r="I303" s="2"/>
      <c r="J303" s="2"/>
      <c r="K303" s="2"/>
      <c r="L303" s="2"/>
      <c r="M303" s="2"/>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row>
    <row r="304" spans="1:43" x14ac:dyDescent="0.35">
      <c r="A304" s="1"/>
      <c r="B304" s="1"/>
      <c r="C304" s="2"/>
      <c r="D304" s="2"/>
      <c r="E304" s="2"/>
      <c r="F304" s="2"/>
      <c r="G304" s="2"/>
      <c r="H304" s="2"/>
      <c r="I304" s="2"/>
      <c r="J304" s="2"/>
      <c r="K304" s="2"/>
      <c r="L304" s="2"/>
      <c r="M304" s="2"/>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row>
    <row r="305" spans="1:43" x14ac:dyDescent="0.35">
      <c r="A305" s="1"/>
      <c r="B305" s="1"/>
      <c r="C305" s="2"/>
      <c r="D305" s="2"/>
      <c r="E305" s="2"/>
      <c r="F305" s="2"/>
      <c r="G305" s="2"/>
      <c r="H305" s="2"/>
      <c r="I305" s="2"/>
      <c r="J305" s="2"/>
      <c r="K305" s="2"/>
      <c r="L305" s="2"/>
      <c r="M305" s="2"/>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row>
    <row r="306" spans="1:43" x14ac:dyDescent="0.35">
      <c r="A306" s="1"/>
      <c r="B306" s="1"/>
      <c r="C306" s="2"/>
      <c r="D306" s="2"/>
      <c r="E306" s="2"/>
      <c r="F306" s="2"/>
      <c r="G306" s="2"/>
      <c r="H306" s="2"/>
      <c r="I306" s="2"/>
      <c r="J306" s="2"/>
      <c r="K306" s="2"/>
      <c r="L306" s="2"/>
      <c r="M306" s="2"/>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row>
    <row r="307" spans="1:43" x14ac:dyDescent="0.35">
      <c r="A307" s="1"/>
      <c r="B307" s="1"/>
      <c r="C307" s="2"/>
      <c r="D307" s="2"/>
      <c r="E307" s="2"/>
      <c r="F307" s="2"/>
      <c r="G307" s="2"/>
      <c r="H307" s="2"/>
      <c r="I307" s="2"/>
      <c r="J307" s="2"/>
      <c r="K307" s="2"/>
      <c r="L307" s="2"/>
      <c r="M307" s="2"/>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row>
    <row r="308" spans="1:43" x14ac:dyDescent="0.35">
      <c r="A308" s="1"/>
      <c r="B308" s="1"/>
      <c r="C308" s="2"/>
      <c r="D308" s="2"/>
      <c r="E308" s="2"/>
      <c r="F308" s="2"/>
      <c r="G308" s="2"/>
      <c r="H308" s="2"/>
      <c r="I308" s="2"/>
      <c r="J308" s="2"/>
      <c r="K308" s="2"/>
      <c r="L308" s="2"/>
      <c r="M308" s="2"/>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row>
    <row r="309" spans="1:43" x14ac:dyDescent="0.35">
      <c r="A309" s="1"/>
      <c r="B309" s="1"/>
      <c r="C309" s="2"/>
      <c r="D309" s="2"/>
      <c r="E309" s="2"/>
      <c r="F309" s="2"/>
      <c r="G309" s="2"/>
      <c r="H309" s="2"/>
      <c r="I309" s="2"/>
      <c r="J309" s="2"/>
      <c r="K309" s="2"/>
      <c r="L309" s="2"/>
      <c r="M309" s="2"/>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row>
    <row r="310" spans="1:43" x14ac:dyDescent="0.35">
      <c r="A310" s="1"/>
      <c r="B310" s="1"/>
      <c r="C310" s="2"/>
      <c r="D310" s="2"/>
      <c r="E310" s="2"/>
      <c r="F310" s="2"/>
      <c r="G310" s="2"/>
      <c r="H310" s="2"/>
      <c r="I310" s="2"/>
      <c r="J310" s="2"/>
      <c r="K310" s="2"/>
      <c r="L310" s="2"/>
      <c r="M310" s="2"/>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row>
    <row r="311" spans="1:43" x14ac:dyDescent="0.35">
      <c r="A311" s="1"/>
      <c r="B311" s="1"/>
      <c r="C311" s="2"/>
      <c r="D311" s="2"/>
      <c r="E311" s="2"/>
      <c r="F311" s="2"/>
      <c r="G311" s="2"/>
      <c r="H311" s="2"/>
      <c r="I311" s="2"/>
      <c r="J311" s="2"/>
      <c r="K311" s="2"/>
      <c r="L311" s="2"/>
      <c r="M311" s="2"/>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row>
    <row r="312" spans="1:43" x14ac:dyDescent="0.35">
      <c r="A312" s="1"/>
      <c r="B312" s="1"/>
      <c r="C312" s="2"/>
      <c r="D312" s="2"/>
      <c r="E312" s="2"/>
      <c r="F312" s="2"/>
      <c r="G312" s="2"/>
      <c r="H312" s="2"/>
      <c r="I312" s="2"/>
      <c r="J312" s="2"/>
      <c r="K312" s="2"/>
      <c r="L312" s="2"/>
      <c r="M312" s="2"/>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row>
    <row r="313" spans="1:43" x14ac:dyDescent="0.35">
      <c r="A313" s="1"/>
      <c r="B313" s="1"/>
      <c r="C313" s="2"/>
      <c r="D313" s="2"/>
      <c r="E313" s="2"/>
      <c r="F313" s="2"/>
      <c r="G313" s="2"/>
      <c r="H313" s="2"/>
      <c r="I313" s="2"/>
      <c r="J313" s="2"/>
      <c r="K313" s="2"/>
      <c r="L313" s="2"/>
      <c r="M313" s="2"/>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row>
    <row r="314" spans="1:43" x14ac:dyDescent="0.35">
      <c r="A314" s="1"/>
      <c r="B314" s="1"/>
      <c r="C314" s="2"/>
      <c r="D314" s="2"/>
      <c r="E314" s="2"/>
      <c r="F314" s="2"/>
      <c r="G314" s="2"/>
      <c r="H314" s="2"/>
      <c r="I314" s="2"/>
      <c r="J314" s="2"/>
      <c r="K314" s="2"/>
      <c r="L314" s="2"/>
      <c r="M314" s="2"/>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row>
    <row r="315" spans="1:43" x14ac:dyDescent="0.35">
      <c r="A315" s="1"/>
      <c r="B315" s="1"/>
      <c r="C315" s="2"/>
      <c r="D315" s="2"/>
      <c r="E315" s="2"/>
      <c r="F315" s="2"/>
      <c r="G315" s="2"/>
      <c r="H315" s="2"/>
      <c r="I315" s="2"/>
      <c r="J315" s="2"/>
      <c r="K315" s="2"/>
      <c r="L315" s="2"/>
      <c r="M315" s="2"/>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row>
    <row r="316" spans="1:43" x14ac:dyDescent="0.35">
      <c r="A316" s="1"/>
      <c r="B316" s="1"/>
      <c r="C316" s="2"/>
      <c r="D316" s="2"/>
      <c r="E316" s="2"/>
      <c r="F316" s="2"/>
      <c r="G316" s="2"/>
      <c r="H316" s="2"/>
      <c r="I316" s="2"/>
      <c r="J316" s="2"/>
      <c r="K316" s="2"/>
      <c r="L316" s="2"/>
      <c r="M316" s="2"/>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row>
    <row r="317" spans="1:43" x14ac:dyDescent="0.35">
      <c r="A317" s="1"/>
      <c r="B317" s="1"/>
      <c r="C317" s="2"/>
      <c r="D317" s="2"/>
      <c r="E317" s="2"/>
      <c r="F317" s="2"/>
      <c r="G317" s="2"/>
      <c r="H317" s="2"/>
      <c r="I317" s="2"/>
      <c r="J317" s="2"/>
      <c r="K317" s="2"/>
      <c r="L317" s="2"/>
      <c r="M317" s="2"/>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row>
    <row r="318" spans="1:43" x14ac:dyDescent="0.35">
      <c r="A318" s="1"/>
      <c r="B318" s="1"/>
      <c r="C318" s="2"/>
      <c r="D318" s="2"/>
      <c r="E318" s="2"/>
      <c r="F318" s="2"/>
      <c r="G318" s="2"/>
      <c r="H318" s="2"/>
      <c r="I318" s="2"/>
      <c r="J318" s="2"/>
      <c r="K318" s="2"/>
      <c r="L318" s="2"/>
      <c r="M318" s="2"/>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row>
  </sheetData>
  <mergeCells count="8">
    <mergeCell ref="F135:G135"/>
    <mergeCell ref="I135:J135"/>
    <mergeCell ref="F130:G130"/>
    <mergeCell ref="I130:J130"/>
    <mergeCell ref="F131:G131"/>
    <mergeCell ref="I131:J131"/>
    <mergeCell ref="F134:G134"/>
    <mergeCell ref="I134:J134"/>
  </mergeCells>
  <conditionalFormatting sqref="B8:J113">
    <cfRule type="cellIs" dxfId="24" priority="1" operator="equal">
      <formula>0</formula>
    </cfRule>
  </conditionalFormatting>
  <pageMargins left="0.511811024" right="0.511811024" top="0.78740157499999996" bottom="0.78740157499999996" header="0.31496062000000002" footer="0.31496062000000002"/>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F4F34-1C64-4DC7-AF42-00DE4EB76E15}">
  <sheetPr codeName="Planilha6"/>
  <dimension ref="A1:AT303"/>
  <sheetViews>
    <sheetView showGridLines="0" zoomScaleNormal="100" workbookViewId="0"/>
  </sheetViews>
  <sheetFormatPr defaultColWidth="12.54296875" defaultRowHeight="14.5" x14ac:dyDescent="0.35"/>
  <cols>
    <col min="1" max="1" width="12.54296875" style="3"/>
    <col min="2" max="2" width="31.1796875" style="3" customWidth="1"/>
    <col min="3" max="13" width="14.54296875" style="8" customWidth="1"/>
    <col min="14" max="14" width="52.1796875" style="8" customWidth="1"/>
    <col min="15" max="16" width="12.54296875" style="8"/>
    <col min="17" max="16384" width="12.54296875" style="3"/>
  </cols>
  <sheetData>
    <row r="1" spans="1:46" ht="18" customHeight="1" x14ac:dyDescent="0.35">
      <c r="A1" s="1"/>
      <c r="B1" s="1"/>
      <c r="C1" s="2"/>
      <c r="D1" s="2"/>
      <c r="E1" s="2"/>
      <c r="F1" s="2"/>
      <c r="G1" s="2"/>
      <c r="H1" s="2"/>
      <c r="I1" s="2"/>
      <c r="J1" s="2"/>
      <c r="K1" s="2"/>
      <c r="L1" s="2"/>
      <c r="M1" s="2"/>
      <c r="N1" s="2"/>
      <c r="O1" s="2"/>
      <c r="P1" s="2"/>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ht="18" customHeight="1" x14ac:dyDescent="0.35">
      <c r="A2" s="1"/>
      <c r="B2" s="1"/>
      <c r="C2" s="2"/>
      <c r="D2" s="2"/>
      <c r="E2" s="2"/>
      <c r="F2" s="2"/>
      <c r="G2" s="2"/>
      <c r="H2" s="2"/>
      <c r="I2" s="2"/>
      <c r="J2" s="2"/>
      <c r="K2" s="2"/>
      <c r="L2" s="2"/>
      <c r="M2" s="2"/>
      <c r="N2" s="2"/>
      <c r="O2" s="2"/>
      <c r="P2" s="2"/>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18" customHeight="1" x14ac:dyDescent="0.35">
      <c r="A3" s="1"/>
      <c r="B3" s="1"/>
      <c r="C3" s="2"/>
      <c r="D3" s="2"/>
      <c r="E3" s="2"/>
      <c r="F3" s="2"/>
      <c r="G3" s="2"/>
      <c r="H3" s="2"/>
      <c r="I3" s="2"/>
      <c r="J3" s="2"/>
      <c r="K3" s="2"/>
      <c r="L3" s="2"/>
      <c r="M3" s="2"/>
      <c r="N3" s="2"/>
      <c r="O3" s="2"/>
      <c r="P3" s="2"/>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18" customHeight="1" x14ac:dyDescent="0.35">
      <c r="A4" s="1"/>
      <c r="B4" s="1"/>
      <c r="C4" s="2"/>
      <c r="D4" s="2"/>
      <c r="E4" s="2"/>
      <c r="F4" s="2"/>
      <c r="G4" s="2"/>
      <c r="H4" s="2"/>
      <c r="I4" s="2"/>
      <c r="J4" s="2"/>
      <c r="K4" s="2"/>
      <c r="L4" s="2"/>
      <c r="M4" s="2"/>
      <c r="N4" s="2"/>
      <c r="O4" s="2"/>
      <c r="P4" s="2"/>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row>
    <row r="5" spans="1:46" ht="18" customHeight="1" x14ac:dyDescent="0.35">
      <c r="A5" s="1"/>
      <c r="B5" s="1"/>
      <c r="C5" s="2"/>
      <c r="D5" s="2"/>
      <c r="E5" s="2"/>
      <c r="F5" s="2"/>
      <c r="G5" s="2"/>
      <c r="H5" s="2"/>
      <c r="I5" s="2"/>
      <c r="J5" s="2"/>
      <c r="K5" s="2"/>
      <c r="L5" s="2"/>
      <c r="M5" s="2"/>
      <c r="N5" s="2"/>
      <c r="O5" s="2"/>
      <c r="P5" s="2"/>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row>
    <row r="6" spans="1:46" ht="18" customHeight="1" x14ac:dyDescent="0.35">
      <c r="A6" s="1"/>
      <c r="B6" s="1"/>
      <c r="C6" s="2"/>
      <c r="D6" s="2"/>
      <c r="E6" s="2"/>
      <c r="F6" s="2"/>
      <c r="G6" s="2"/>
      <c r="H6" s="2"/>
      <c r="I6" s="2"/>
      <c r="J6" s="2"/>
      <c r="K6" s="2"/>
      <c r="L6" s="2"/>
      <c r="M6" s="2"/>
      <c r="N6" s="2"/>
      <c r="O6" s="2"/>
      <c r="P6" s="2"/>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row>
    <row r="7" spans="1:46" ht="18" customHeight="1" thickBot="1" x14ac:dyDescent="0.4">
      <c r="A7" s="1"/>
      <c r="B7" s="59"/>
      <c r="C7" s="17">
        <v>2016</v>
      </c>
      <c r="D7" s="17">
        <f>C7+1</f>
        <v>2017</v>
      </c>
      <c r="E7" s="17">
        <f t="shared" ref="E7:M7" si="0">D7+1</f>
        <v>2018</v>
      </c>
      <c r="F7" s="17">
        <f t="shared" si="0"/>
        <v>2019</v>
      </c>
      <c r="G7" s="17">
        <f t="shared" si="0"/>
        <v>2020</v>
      </c>
      <c r="H7" s="17">
        <f t="shared" si="0"/>
        <v>2021</v>
      </c>
      <c r="I7" s="17">
        <f t="shared" si="0"/>
        <v>2022</v>
      </c>
      <c r="J7" s="17">
        <f t="shared" si="0"/>
        <v>2023</v>
      </c>
      <c r="K7" s="62">
        <f t="shared" si="0"/>
        <v>2024</v>
      </c>
      <c r="L7" s="62">
        <f t="shared" si="0"/>
        <v>2025</v>
      </c>
      <c r="M7" s="62">
        <f t="shared" si="0"/>
        <v>2026</v>
      </c>
      <c r="N7" s="62" t="s">
        <v>763</v>
      </c>
      <c r="O7" s="2"/>
      <c r="P7" s="2"/>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row>
    <row r="8" spans="1:46" ht="18" customHeight="1" x14ac:dyDescent="0.35">
      <c r="A8" s="1"/>
      <c r="B8" s="66" t="s">
        <v>753</v>
      </c>
      <c r="C8" s="65">
        <v>279</v>
      </c>
      <c r="D8" s="65">
        <f>C8+SUM(D9:D10)</f>
        <v>276</v>
      </c>
      <c r="E8" s="65">
        <f t="shared" ref="E8:J8" si="1">D8+SUM(E9:E10)</f>
        <v>279</v>
      </c>
      <c r="F8" s="65">
        <f t="shared" si="1"/>
        <v>287</v>
      </c>
      <c r="G8" s="65">
        <f t="shared" si="1"/>
        <v>295</v>
      </c>
      <c r="H8" s="65">
        <f t="shared" si="1"/>
        <v>319</v>
      </c>
      <c r="I8" s="65">
        <f t="shared" si="1"/>
        <v>332</v>
      </c>
      <c r="J8" s="65">
        <f t="shared" si="1"/>
        <v>334</v>
      </c>
      <c r="K8" s="63">
        <f>J8+K9</f>
        <v>339</v>
      </c>
      <c r="L8" s="63">
        <f>NUMERO_LOJAS_2024E+L9</f>
        <v>349</v>
      </c>
      <c r="M8" s="63">
        <f>NUMERO_LOJAS_2025E+M9</f>
        <v>359</v>
      </c>
      <c r="N8" s="61"/>
      <c r="O8" s="2"/>
      <c r="P8" s="2"/>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row>
    <row r="9" spans="1:46" ht="18" customHeight="1" x14ac:dyDescent="0.35">
      <c r="A9" s="1"/>
      <c r="B9" s="22" t="s">
        <v>754</v>
      </c>
      <c r="C9" s="37">
        <v>2</v>
      </c>
      <c r="D9" s="37">
        <v>0</v>
      </c>
      <c r="E9" s="37">
        <v>4</v>
      </c>
      <c r="F9" s="37">
        <v>10</v>
      </c>
      <c r="G9" s="37">
        <v>10</v>
      </c>
      <c r="H9" s="37">
        <v>26</v>
      </c>
      <c r="I9" s="37">
        <v>17</v>
      </c>
      <c r="J9" s="37">
        <v>4</v>
      </c>
      <c r="K9" s="63">
        <v>5</v>
      </c>
      <c r="L9" s="63">
        <v>10</v>
      </c>
      <c r="M9" s="63">
        <v>10</v>
      </c>
      <c r="N9" s="70" t="s">
        <v>779</v>
      </c>
      <c r="O9" s="2"/>
      <c r="P9" s="2"/>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row>
    <row r="10" spans="1:46" ht="18" customHeight="1" x14ac:dyDescent="0.35">
      <c r="A10" s="1"/>
      <c r="B10" s="22" t="s">
        <v>755</v>
      </c>
      <c r="C10" s="37">
        <v>-20</v>
      </c>
      <c r="D10" s="37">
        <v>-3</v>
      </c>
      <c r="E10" s="37">
        <v>-1</v>
      </c>
      <c r="F10" s="37">
        <v>-2</v>
      </c>
      <c r="G10" s="37">
        <v>-2</v>
      </c>
      <c r="H10" s="37">
        <v>-2</v>
      </c>
      <c r="I10" s="37">
        <v>-4</v>
      </c>
      <c r="J10" s="37">
        <v>-2</v>
      </c>
      <c r="K10" s="63">
        <v>0</v>
      </c>
      <c r="L10" s="63">
        <v>0</v>
      </c>
      <c r="M10" s="63">
        <v>0</v>
      </c>
      <c r="N10" s="70"/>
      <c r="O10" s="2"/>
      <c r="P10" s="2"/>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row>
    <row r="11" spans="1:46" ht="18" customHeight="1" x14ac:dyDescent="0.35">
      <c r="A11" s="1"/>
      <c r="B11" s="66" t="s">
        <v>756</v>
      </c>
      <c r="C11" s="67">
        <f>SUM(C12:C16)</f>
        <v>500597.24999999994</v>
      </c>
      <c r="D11" s="67">
        <f t="shared" ref="D11:J11" si="2">SUM(D12:D16)</f>
        <v>500597.25000000017</v>
      </c>
      <c r="E11" s="67">
        <f t="shared" si="2"/>
        <v>525800</v>
      </c>
      <c r="F11" s="67">
        <f t="shared" si="2"/>
        <v>544000</v>
      </c>
      <c r="G11" s="67">
        <f t="shared" si="2"/>
        <v>559000</v>
      </c>
      <c r="H11" s="67">
        <f t="shared" si="2"/>
        <v>597000.00000000012</v>
      </c>
      <c r="I11" s="67">
        <f t="shared" si="2"/>
        <v>616000</v>
      </c>
      <c r="J11" s="67">
        <f t="shared" si="2"/>
        <v>617000</v>
      </c>
      <c r="K11" s="63">
        <f t="shared" ref="K11" si="3">SUM(K12:K16)</f>
        <v>626134.33213115728</v>
      </c>
      <c r="L11" s="63">
        <f t="shared" ref="L11" si="4">SUM(L12:L16)</f>
        <v>644705.81639347121</v>
      </c>
      <c r="M11" s="63">
        <f t="shared" ref="M11" si="5">SUM(M12:M16)</f>
        <v>663277.30065578513</v>
      </c>
      <c r="N11" s="70"/>
      <c r="O11" s="2"/>
      <c r="P11" s="2"/>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row>
    <row r="12" spans="1:46" ht="18" customHeight="1" x14ac:dyDescent="0.35">
      <c r="A12" s="1"/>
      <c r="B12" s="22" t="s">
        <v>755</v>
      </c>
      <c r="C12" s="37">
        <v>0</v>
      </c>
      <c r="D12" s="37">
        <v>0</v>
      </c>
      <c r="E12" s="37">
        <v>19273.909999999858</v>
      </c>
      <c r="F12" s="37">
        <v>17993.6599999998</v>
      </c>
      <c r="G12" s="37">
        <v>14977.6599999998</v>
      </c>
      <c r="H12" s="37">
        <v>11795.319999999949</v>
      </c>
      <c r="I12" s="37">
        <v>5388.4099999997998</v>
      </c>
      <c r="J12" s="37">
        <v>151.40999999979977</v>
      </c>
      <c r="K12" s="63">
        <v>0</v>
      </c>
      <c r="L12" s="63">
        <v>0</v>
      </c>
      <c r="M12" s="63">
        <v>0</v>
      </c>
      <c r="N12" s="70"/>
      <c r="O12" s="2"/>
      <c r="P12" s="2"/>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row>
    <row r="13" spans="1:46" ht="18" customHeight="1" x14ac:dyDescent="0.35">
      <c r="A13" s="1"/>
      <c r="B13" s="22" t="s">
        <v>757</v>
      </c>
      <c r="C13" s="37">
        <f t="shared" ref="C13:M13" si="6">SUMIF(LOJAS_ABERTURA,"&lt;="&amp; (C$7-3),LOJAS_TAMANHO)</f>
        <v>441256.58999999997</v>
      </c>
      <c r="D13" s="37">
        <f t="shared" si="6"/>
        <v>475663.69000000018</v>
      </c>
      <c r="E13" s="37">
        <f t="shared" si="6"/>
        <v>496234.52000000014</v>
      </c>
      <c r="F13" s="37">
        <f t="shared" si="6"/>
        <v>500597.25000000017</v>
      </c>
      <c r="G13" s="37">
        <f t="shared" si="6"/>
        <v>500597.25000000017</v>
      </c>
      <c r="H13" s="37">
        <f t="shared" si="6"/>
        <v>506526.09000000014</v>
      </c>
      <c r="I13" s="37">
        <f t="shared" si="6"/>
        <v>526006.3400000002</v>
      </c>
      <c r="J13" s="37">
        <f t="shared" si="6"/>
        <v>544022.3400000002</v>
      </c>
      <c r="K13" s="63">
        <f t="shared" si="6"/>
        <v>585204.68000000028</v>
      </c>
      <c r="L13" s="63">
        <f t="shared" si="6"/>
        <v>610611.59000000032</v>
      </c>
      <c r="M13" s="63">
        <f t="shared" si="6"/>
        <v>616848.59000000032</v>
      </c>
      <c r="N13" s="70"/>
      <c r="O13" s="2"/>
      <c r="P13" s="2"/>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row>
    <row r="14" spans="1:46" ht="18" customHeight="1" x14ac:dyDescent="0.35">
      <c r="A14" s="1"/>
      <c r="B14" s="22" t="s">
        <v>758</v>
      </c>
      <c r="C14" s="37">
        <f t="shared" ref="C14:L14" si="7">SUMIF(LOJAS_ABERTURA,C$7-2,LOJAS_TAMANHO)</f>
        <v>34407.1</v>
      </c>
      <c r="D14" s="37">
        <f t="shared" si="7"/>
        <v>20570.830000000002</v>
      </c>
      <c r="E14" s="37">
        <f t="shared" si="7"/>
        <v>4362.7299999999996</v>
      </c>
      <c r="F14" s="37">
        <f t="shared" si="7"/>
        <v>0</v>
      </c>
      <c r="G14" s="37">
        <f t="shared" si="7"/>
        <v>5928.84</v>
      </c>
      <c r="H14" s="37">
        <f t="shared" si="7"/>
        <v>19480.25</v>
      </c>
      <c r="I14" s="37">
        <f t="shared" si="7"/>
        <v>18016</v>
      </c>
      <c r="J14" s="37">
        <f t="shared" si="7"/>
        <v>41182.339999999997</v>
      </c>
      <c r="K14" s="63">
        <f t="shared" si="7"/>
        <v>25406.91</v>
      </c>
      <c r="L14" s="63">
        <f t="shared" si="7"/>
        <v>6237</v>
      </c>
      <c r="M14" s="63">
        <f>L15</f>
        <v>9285.7421311569633</v>
      </c>
      <c r="N14" s="70"/>
      <c r="O14" s="2"/>
      <c r="P14" s="2"/>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row>
    <row r="15" spans="1:46" ht="18" customHeight="1" x14ac:dyDescent="0.35">
      <c r="A15" s="1"/>
      <c r="B15" s="22" t="s">
        <v>759</v>
      </c>
      <c r="C15" s="37">
        <f t="shared" ref="C15:K15" si="8">SUMIF(LOJAS_ABERTURA,C$7-1,LOJAS_TAMANHO)</f>
        <v>20570.830000000002</v>
      </c>
      <c r="D15" s="37">
        <f t="shared" si="8"/>
        <v>4362.7299999999996</v>
      </c>
      <c r="E15" s="37">
        <f t="shared" si="8"/>
        <v>0</v>
      </c>
      <c r="F15" s="37">
        <f t="shared" si="8"/>
        <v>5928.84</v>
      </c>
      <c r="G15" s="37">
        <f t="shared" si="8"/>
        <v>19480.25</v>
      </c>
      <c r="H15" s="37">
        <f t="shared" si="8"/>
        <v>18016</v>
      </c>
      <c r="I15" s="37">
        <f t="shared" si="8"/>
        <v>41182.339999999997</v>
      </c>
      <c r="J15" s="37">
        <f t="shared" si="8"/>
        <v>25406.91</v>
      </c>
      <c r="K15" s="63">
        <f t="shared" si="8"/>
        <v>6237</v>
      </c>
      <c r="L15" s="63">
        <f>K16</f>
        <v>9285.7421311569633</v>
      </c>
      <c r="M15" s="63">
        <f>L16</f>
        <v>18571.484262313927</v>
      </c>
      <c r="N15" s="70"/>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row>
    <row r="16" spans="1:46" ht="18" customHeight="1" x14ac:dyDescent="0.35">
      <c r="A16" s="1"/>
      <c r="B16" s="22" t="s">
        <v>760</v>
      </c>
      <c r="C16" s="37">
        <f t="shared" ref="C16:J16" si="9">SUMIF(LOJAS_ABERTURA,C$7,LOJAS_TAMANHO)</f>
        <v>4362.7299999999996</v>
      </c>
      <c r="D16" s="37">
        <f t="shared" si="9"/>
        <v>0</v>
      </c>
      <c r="E16" s="37">
        <f t="shared" si="9"/>
        <v>5928.84</v>
      </c>
      <c r="F16" s="37">
        <f t="shared" si="9"/>
        <v>19480.25</v>
      </c>
      <c r="G16" s="37">
        <f t="shared" si="9"/>
        <v>18016</v>
      </c>
      <c r="H16" s="37">
        <f t="shared" si="9"/>
        <v>41182.339999999997</v>
      </c>
      <c r="I16" s="37">
        <f t="shared" si="9"/>
        <v>25406.91</v>
      </c>
      <c r="J16" s="37">
        <f t="shared" si="9"/>
        <v>6237</v>
      </c>
      <c r="K16" s="63">
        <f>K9*K17</f>
        <v>9285.7421311569633</v>
      </c>
      <c r="L16" s="63">
        <f t="shared" ref="L16" si="10">L9*L17</f>
        <v>18571.484262313927</v>
      </c>
      <c r="M16" s="63">
        <f>M9*M17</f>
        <v>18571.484262313927</v>
      </c>
      <c r="N16" s="70"/>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row>
    <row r="17" spans="1:46" ht="18" customHeight="1" x14ac:dyDescent="0.35">
      <c r="A17" s="1"/>
      <c r="B17" s="66" t="s">
        <v>761</v>
      </c>
      <c r="C17" s="67">
        <f t="array" ref="C17:J17">LOJAS_AREA_TOTAL/NUMERO_LOJAS</f>
        <v>1794.2553763440858</v>
      </c>
      <c r="D17" s="67">
        <v>1813.7581521739137</v>
      </c>
      <c r="E17" s="67">
        <v>1884.5878136200718</v>
      </c>
      <c r="F17" s="67">
        <v>1895.4703832752614</v>
      </c>
      <c r="G17" s="67">
        <v>1894.9152542372881</v>
      </c>
      <c r="H17" s="67">
        <v>1871.4733542319752</v>
      </c>
      <c r="I17" s="67">
        <v>1855.4216867469879</v>
      </c>
      <c r="J17" s="67">
        <v>1847.3053892215569</v>
      </c>
      <c r="K17" s="63">
        <f>AVERAGE($C$17:$J$17)</f>
        <v>1857.1484262313927</v>
      </c>
      <c r="L17" s="63">
        <f t="shared" ref="L17:M17" si="11">AVERAGE($C$17:$J$17)</f>
        <v>1857.1484262313927</v>
      </c>
      <c r="M17" s="63">
        <f t="shared" si="11"/>
        <v>1857.1484262313927</v>
      </c>
      <c r="N17" s="70" t="s">
        <v>764</v>
      </c>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row>
    <row r="18" spans="1:46" ht="18" customHeight="1" x14ac:dyDescent="0.35">
      <c r="A18" s="1"/>
      <c r="B18" s="66" t="s">
        <v>762</v>
      </c>
      <c r="C18" s="68">
        <f t="array" ref="C18:J18">RL_VAREJO/TRANSPOSE(MMULT(TRANSPOSE(LOJAS_MATURIDADE),CURVA_MATURACAO))</f>
        <v>9.4930152224873741</v>
      </c>
      <c r="D18" s="68">
        <v>9.6423349104100886</v>
      </c>
      <c r="E18" s="68">
        <v>9.7381227585996939</v>
      </c>
      <c r="F18" s="68">
        <v>9.9164859778235588</v>
      </c>
      <c r="G18" s="68">
        <v>7.4996832947836287</v>
      </c>
      <c r="H18" s="68">
        <v>9.1010602065591719</v>
      </c>
      <c r="I18" s="68">
        <v>10.270392931792875</v>
      </c>
      <c r="J18" s="68">
        <v>10.618051783668658</v>
      </c>
      <c r="K18" s="64">
        <f>_xlfn.FORECAST.LINEAR(K7,_xlfn.HSTACK($C$18:$F$18,$I$18:$J$18),_xlfn.HSTACK($C$7:$F$7,$I$7:$J$7))</f>
        <v>10.67266353946161</v>
      </c>
      <c r="L18" s="64">
        <f t="shared" ref="L18:M18" si="12">_xlfn.FORECAST.LINEAR(L7,_xlfn.HSTACK($C$18:$F$18,$I$18:$J$18),_xlfn.HSTACK($C$7:$F$7,$I$7:$J$7))</f>
        <v>10.822924837806056</v>
      </c>
      <c r="M18" s="64">
        <f t="shared" si="12"/>
        <v>10.973186136150446</v>
      </c>
      <c r="N18" s="70" t="s">
        <v>780</v>
      </c>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row>
    <row r="19" spans="1:46" ht="18" customHeight="1" x14ac:dyDescent="0.35">
      <c r="A19" s="1"/>
      <c r="B19" s="23"/>
      <c r="C19" s="60"/>
      <c r="D19" s="60"/>
      <c r="E19" s="60"/>
      <c r="F19" s="60"/>
      <c r="G19" s="60"/>
      <c r="H19" s="60"/>
      <c r="I19" s="60"/>
      <c r="J19" s="60"/>
      <c r="K19" s="60"/>
      <c r="L19" s="60"/>
      <c r="M19" s="60"/>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row>
    <row r="20" spans="1:46" ht="18" customHeight="1" x14ac:dyDescent="0.35">
      <c r="A20" s="1"/>
      <c r="B20" s="90" t="s">
        <v>765</v>
      </c>
      <c r="C20" s="60"/>
      <c r="D20" s="60"/>
      <c r="E20" s="60"/>
      <c r="F20" s="60"/>
      <c r="G20" s="60"/>
      <c r="H20" s="60"/>
      <c r="I20" s="60"/>
      <c r="J20" s="60"/>
      <c r="K20" s="60"/>
      <c r="L20" s="60"/>
      <c r="M20" s="60"/>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row>
    <row r="21" spans="1:46" ht="18" customHeight="1" x14ac:dyDescent="0.35">
      <c r="A21" s="1"/>
      <c r="B21" s="22" t="s">
        <v>757</v>
      </c>
      <c r="C21" s="69">
        <v>1</v>
      </c>
      <c r="D21" s="60"/>
      <c r="E21" s="60"/>
      <c r="F21" s="60"/>
      <c r="G21" s="60"/>
      <c r="H21" s="60"/>
      <c r="I21" s="60"/>
      <c r="J21" s="60"/>
      <c r="K21" s="60"/>
      <c r="L21" s="60"/>
      <c r="M21" s="60"/>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row>
    <row r="22" spans="1:46" ht="18" customHeight="1" x14ac:dyDescent="0.35">
      <c r="A22" s="1"/>
      <c r="B22" s="22" t="s">
        <v>758</v>
      </c>
      <c r="C22" s="69">
        <v>0.83</v>
      </c>
      <c r="D22" s="60"/>
      <c r="E22" s="60"/>
      <c r="F22" s="60"/>
      <c r="G22" s="60"/>
      <c r="H22" s="60"/>
      <c r="I22" s="60"/>
      <c r="J22" s="60"/>
      <c r="K22" s="60"/>
      <c r="L22" s="60"/>
      <c r="M22" s="60"/>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row>
    <row r="23" spans="1:46" ht="18" customHeight="1" x14ac:dyDescent="0.35">
      <c r="A23" s="1"/>
      <c r="B23" s="22" t="s">
        <v>759</v>
      </c>
      <c r="C23" s="69">
        <v>0.67</v>
      </c>
      <c r="D23" s="60"/>
      <c r="E23" s="60"/>
      <c r="F23" s="60"/>
      <c r="G23" s="60"/>
      <c r="H23" s="60"/>
      <c r="I23" s="60"/>
      <c r="J23" s="60"/>
      <c r="K23" s="60"/>
      <c r="L23" s="60"/>
      <c r="M23" s="60"/>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row>
    <row r="24" spans="1:46" ht="18" customHeight="1" x14ac:dyDescent="0.35">
      <c r="A24" s="1"/>
      <c r="B24" s="22" t="s">
        <v>760</v>
      </c>
      <c r="C24" s="69">
        <v>0.25</v>
      </c>
      <c r="D24" s="60"/>
      <c r="E24" s="60"/>
      <c r="F24" s="60"/>
      <c r="G24" s="60"/>
      <c r="H24" s="60"/>
      <c r="I24" s="60"/>
      <c r="J24" s="60"/>
      <c r="K24" s="60"/>
      <c r="L24" s="60"/>
      <c r="M24" s="60"/>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row>
    <row r="25" spans="1:46" ht="18" customHeight="1" x14ac:dyDescent="0.35">
      <c r="A25" s="1"/>
      <c r="B25" s="23"/>
      <c r="C25" s="60"/>
      <c r="D25" s="60"/>
      <c r="E25" s="60"/>
      <c r="F25" s="60"/>
      <c r="G25" s="60"/>
      <c r="H25" s="60"/>
      <c r="I25" s="60"/>
      <c r="J25" s="60"/>
      <c r="K25" s="60"/>
      <c r="L25" s="60"/>
      <c r="M25" s="60"/>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row>
    <row r="26" spans="1:46" ht="18" customHeight="1" thickBot="1" x14ac:dyDescent="0.4">
      <c r="A26" s="1"/>
      <c r="B26" s="59"/>
      <c r="C26" s="17">
        <v>2016</v>
      </c>
      <c r="D26" s="17">
        <f>C26+1</f>
        <v>2017</v>
      </c>
      <c r="E26" s="17">
        <f t="shared" ref="E26" si="13">D26+1</f>
        <v>2018</v>
      </c>
      <c r="F26" s="17">
        <f t="shared" ref="F26" si="14">E26+1</f>
        <v>2019</v>
      </c>
      <c r="G26" s="17">
        <f t="shared" ref="G26" si="15">F26+1</f>
        <v>2020</v>
      </c>
      <c r="H26" s="17">
        <f t="shared" ref="H26" si="16">G26+1</f>
        <v>2021</v>
      </c>
      <c r="I26" s="17">
        <f t="shared" ref="I26" si="17">H26+1</f>
        <v>2022</v>
      </c>
      <c r="J26" s="17">
        <f t="shared" ref="J26" si="18">I26+1</f>
        <v>2023</v>
      </c>
      <c r="K26" s="62">
        <f t="shared" ref="K26" si="19">J26+1</f>
        <v>2024</v>
      </c>
      <c r="L26" s="62">
        <f t="shared" ref="L26" si="20">K26+1</f>
        <v>2025</v>
      </c>
      <c r="M26" s="62">
        <f t="shared" ref="M26" si="21">L26+1</f>
        <v>2026</v>
      </c>
      <c r="N26" s="62" t="s">
        <v>763</v>
      </c>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row>
    <row r="27" spans="1:46" ht="18" customHeight="1" x14ac:dyDescent="0.35">
      <c r="A27" s="1"/>
      <c r="B27" s="66" t="s">
        <v>750</v>
      </c>
      <c r="C27" s="37">
        <f t="array" ref="C27:J27">RL_VAREJO</f>
        <v>4601146.97</v>
      </c>
      <c r="D27" s="37">
        <v>4779324.62</v>
      </c>
      <c r="E27" s="37">
        <v>4882089</v>
      </c>
      <c r="F27" s="37">
        <v>5051851</v>
      </c>
      <c r="G27" s="37">
        <v>3922889</v>
      </c>
      <c r="H27" s="37">
        <v>4960633</v>
      </c>
      <c r="I27" s="37">
        <v>5904485</v>
      </c>
      <c r="J27" s="37">
        <v>6336700</v>
      </c>
      <c r="K27" s="63">
        <f>K18*SUMPRODUCT(K13:K16,CURVA_MATURACAO)</f>
        <v>6540129.6750665056</v>
      </c>
      <c r="L27" s="63">
        <f>L18*SUMPRODUCT(L13:L16,CURVA_MATURACAO)</f>
        <v>6782214.1872044206</v>
      </c>
      <c r="M27" s="63">
        <f>M18*SUMPRODUCT(M13:M16,CURVA_MATURACAO)</f>
        <v>7040851.8479946256</v>
      </c>
      <c r="N27" s="70" t="s">
        <v>768</v>
      </c>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row>
    <row r="28" spans="1:46" ht="18" customHeight="1" x14ac:dyDescent="0.35">
      <c r="A28" s="1"/>
      <c r="B28" s="66" t="s">
        <v>752</v>
      </c>
      <c r="C28" s="37">
        <f t="array" ref="C28:J28">RL_OUTROS</f>
        <v>0</v>
      </c>
      <c r="D28" s="37">
        <v>0</v>
      </c>
      <c r="E28" s="37">
        <v>15754</v>
      </c>
      <c r="F28" s="37">
        <v>16925</v>
      </c>
      <c r="G28" s="37">
        <v>13338</v>
      </c>
      <c r="H28" s="37">
        <v>17599</v>
      </c>
      <c r="I28" s="37">
        <v>21693</v>
      </c>
      <c r="J28" s="37">
        <v>26025</v>
      </c>
      <c r="K28" s="63">
        <f>K29*K27</f>
        <v>23223.942233617756</v>
      </c>
      <c r="L28" s="63">
        <f>L29*L27</f>
        <v>24083.582180357389</v>
      </c>
      <c r="M28" s="63">
        <f>M29*M27</f>
        <v>25002.002210548711</v>
      </c>
      <c r="N28" s="70" t="s">
        <v>767</v>
      </c>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row>
    <row r="29" spans="1:46" ht="18" customHeight="1" collapsed="1" x14ac:dyDescent="0.35">
      <c r="A29" s="1"/>
      <c r="B29" s="22" t="s">
        <v>766</v>
      </c>
      <c r="C29" s="51">
        <f t="array" ref="C29:J29">RL_OUTROS/RL_VAREJO</f>
        <v>0</v>
      </c>
      <c r="D29" s="51">
        <v>0</v>
      </c>
      <c r="E29" s="51">
        <v>3.2268973384139451E-3</v>
      </c>
      <c r="F29" s="51">
        <v>3.3502571631665303E-3</v>
      </c>
      <c r="G29" s="51">
        <v>3.4000452217740548E-3</v>
      </c>
      <c r="H29" s="51">
        <v>3.5477327187881063E-3</v>
      </c>
      <c r="I29" s="51">
        <v>3.6739868083329875E-3</v>
      </c>
      <c r="J29" s="51">
        <v>4.1070273170577742E-3</v>
      </c>
      <c r="K29" s="71">
        <f>AVERAGE($E$29:$J$29)</f>
        <v>3.5509910945888995E-3</v>
      </c>
      <c r="L29" s="71">
        <f t="shared" ref="L29:M29" si="22">AVERAGE($E$29:$J$29)</f>
        <v>3.5509910945888995E-3</v>
      </c>
      <c r="M29" s="71">
        <f t="shared" si="22"/>
        <v>3.5509910945888995E-3</v>
      </c>
      <c r="N29" s="70"/>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row>
    <row r="30" spans="1:46" ht="18" customHeight="1" x14ac:dyDescent="0.35">
      <c r="A30" s="1"/>
      <c r="B30" s="23"/>
      <c r="C30" s="60"/>
      <c r="D30" s="60"/>
      <c r="E30" s="60"/>
      <c r="F30" s="60"/>
      <c r="G30" s="60"/>
      <c r="H30" s="60"/>
      <c r="I30" s="60"/>
      <c r="J30" s="60"/>
      <c r="K30" s="60"/>
      <c r="L30" s="60"/>
      <c r="M30" s="60"/>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row>
    <row r="31" spans="1:46" ht="18" customHeight="1" x14ac:dyDescent="0.35">
      <c r="A31" s="1"/>
      <c r="B31" s="23"/>
      <c r="C31" s="60"/>
      <c r="D31" s="60"/>
      <c r="E31" s="60"/>
      <c r="F31" s="60"/>
      <c r="G31" s="60"/>
      <c r="H31" s="60"/>
      <c r="I31" s="60"/>
      <c r="J31" s="60"/>
      <c r="K31" s="60"/>
      <c r="L31" s="60"/>
      <c r="M31" s="60"/>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row>
    <row r="32" spans="1:46" ht="18" customHeight="1" x14ac:dyDescent="0.35">
      <c r="A32" s="1"/>
      <c r="B32" s="23"/>
      <c r="C32" s="26"/>
      <c r="D32" s="26"/>
      <c r="E32" s="26"/>
      <c r="F32" s="26"/>
      <c r="G32" s="26"/>
      <c r="H32" s="26"/>
      <c r="I32" s="26"/>
      <c r="J32" s="26"/>
      <c r="K32" s="26"/>
      <c r="L32" s="26"/>
      <c r="M32" s="26"/>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row>
    <row r="33" spans="1:46" ht="18" customHeight="1" x14ac:dyDescent="0.35">
      <c r="A33" s="1"/>
      <c r="B33" s="23"/>
      <c r="C33" s="27"/>
      <c r="D33" s="27"/>
      <c r="E33" s="27"/>
      <c r="F33" s="27"/>
      <c r="G33" s="27"/>
      <c r="H33" s="27"/>
      <c r="I33" s="27"/>
      <c r="J33" s="27"/>
      <c r="K33" s="27"/>
      <c r="L33" s="27"/>
      <c r="M33" s="27"/>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row>
    <row r="34" spans="1:46" ht="18" customHeight="1" x14ac:dyDescent="0.35">
      <c r="A34" s="1"/>
      <c r="B34" s="15"/>
      <c r="C34" s="43"/>
      <c r="D34" s="43"/>
      <c r="E34" s="43"/>
      <c r="F34" s="43"/>
      <c r="G34" s="43"/>
      <c r="H34" s="43"/>
      <c r="I34" s="43"/>
      <c r="J34" s="43"/>
      <c r="K34" s="43"/>
      <c r="L34" s="43"/>
      <c r="M34" s="43"/>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row>
    <row r="35" spans="1:46" ht="18" customHeight="1" x14ac:dyDescent="0.35">
      <c r="A35" s="1"/>
      <c r="B35" s="15"/>
      <c r="C35" s="26"/>
      <c r="D35" s="26"/>
      <c r="E35" s="26"/>
      <c r="F35" s="26"/>
      <c r="G35" s="26"/>
      <c r="H35" s="26"/>
      <c r="I35" s="26"/>
      <c r="J35" s="26"/>
      <c r="K35" s="26"/>
      <c r="L35" s="26"/>
      <c r="M35" s="26"/>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row>
    <row r="36" spans="1:46" ht="18" customHeight="1" x14ac:dyDescent="0.35">
      <c r="A36" s="1"/>
      <c r="B36" s="15"/>
      <c r="C36" s="26"/>
      <c r="D36" s="26"/>
      <c r="E36" s="26"/>
      <c r="F36" s="26"/>
      <c r="G36" s="26"/>
      <c r="H36" s="26"/>
      <c r="I36" s="26"/>
      <c r="J36" s="26"/>
      <c r="K36" s="26"/>
      <c r="L36" s="26"/>
      <c r="M36" s="26"/>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row>
    <row r="37" spans="1:46" ht="18" customHeight="1" x14ac:dyDescent="0.35">
      <c r="A37" s="1"/>
      <c r="B37" s="15"/>
      <c r="C37" s="26"/>
      <c r="D37" s="26"/>
      <c r="E37" s="26"/>
      <c r="F37" s="26"/>
      <c r="G37" s="26"/>
      <c r="H37" s="26"/>
      <c r="I37" s="26"/>
      <c r="J37" s="26"/>
      <c r="K37" s="26"/>
      <c r="L37" s="26"/>
      <c r="M37" s="26"/>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row>
    <row r="38" spans="1:46" ht="18" customHeight="1" x14ac:dyDescent="0.35">
      <c r="A38" s="1"/>
      <c r="B38" s="15"/>
      <c r="C38" s="26"/>
      <c r="D38" s="26"/>
      <c r="E38" s="26"/>
      <c r="F38" s="26"/>
      <c r="G38" s="26"/>
      <c r="H38" s="26"/>
      <c r="I38" s="26"/>
      <c r="J38" s="26"/>
      <c r="K38" s="26"/>
      <c r="L38" s="26"/>
      <c r="M38" s="26"/>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row>
    <row r="39" spans="1:46" ht="18" customHeight="1" x14ac:dyDescent="0.35">
      <c r="A39" s="1"/>
      <c r="B39" s="15"/>
      <c r="C39" s="26"/>
      <c r="D39" s="26"/>
      <c r="E39" s="26"/>
      <c r="F39" s="26"/>
      <c r="G39" s="26"/>
      <c r="H39" s="26"/>
      <c r="I39" s="26"/>
      <c r="J39" s="26"/>
      <c r="K39" s="26"/>
      <c r="L39" s="26"/>
      <c r="M39" s="26"/>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row>
    <row r="40" spans="1:46" ht="18" customHeight="1" x14ac:dyDescent="0.35">
      <c r="A40" s="1"/>
      <c r="B40" s="23"/>
      <c r="C40" s="43"/>
      <c r="D40" s="43"/>
      <c r="E40" s="43"/>
      <c r="F40" s="43"/>
      <c r="G40" s="43"/>
      <c r="H40" s="26"/>
      <c r="I40" s="26"/>
      <c r="J40" s="26"/>
      <c r="K40" s="26"/>
      <c r="L40" s="26"/>
      <c r="M40" s="26"/>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row>
    <row r="41" spans="1:46" ht="18" customHeight="1" x14ac:dyDescent="0.35">
      <c r="A41" s="1"/>
      <c r="B41" s="13"/>
      <c r="C41" s="43"/>
      <c r="D41" s="26"/>
      <c r="E41" s="26"/>
      <c r="F41" s="26"/>
      <c r="G41" s="26"/>
      <c r="H41" s="26"/>
      <c r="I41" s="26"/>
      <c r="J41" s="26"/>
      <c r="K41" s="26"/>
      <c r="L41" s="26"/>
      <c r="M41" s="26"/>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row>
    <row r="42" spans="1:46" ht="18" customHeight="1" x14ac:dyDescent="0.35">
      <c r="A42" s="1"/>
      <c r="B42" s="13"/>
      <c r="C42" s="43"/>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row>
    <row r="43" spans="1:46" ht="18" customHeight="1" x14ac:dyDescent="0.35">
      <c r="A43" s="1"/>
      <c r="B43" s="13"/>
      <c r="C43" s="43"/>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row>
    <row r="44" spans="1:46" ht="18" customHeight="1" x14ac:dyDescent="0.35">
      <c r="A44" s="1"/>
      <c r="B44" s="13"/>
      <c r="C44" s="43"/>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row>
    <row r="45" spans="1:46" ht="18" customHeight="1" x14ac:dyDescent="0.35">
      <c r="A45" s="1"/>
      <c r="B45" s="13"/>
      <c r="C45" s="43"/>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row>
    <row r="46" spans="1:46" ht="18" customHeight="1" x14ac:dyDescent="0.35">
      <c r="A46" s="1"/>
      <c r="B46" s="23"/>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row>
    <row r="47" spans="1:46" ht="18" customHeight="1" x14ac:dyDescent="0.35">
      <c r="A47" s="1"/>
      <c r="B47" s="23"/>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row>
    <row r="48" spans="1:46" ht="18" customHeight="1" x14ac:dyDescent="0.35">
      <c r="A48" s="1"/>
      <c r="B48" s="23"/>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row>
    <row r="49" spans="1:46" ht="18" customHeight="1" x14ac:dyDescent="0.35">
      <c r="A49" s="1"/>
      <c r="B49" s="23"/>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row>
    <row r="50" spans="1:46" ht="18" customHeight="1" x14ac:dyDescent="0.35">
      <c r="A50" s="1"/>
      <c r="B50" s="23"/>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row>
    <row r="51" spans="1:46" ht="18" customHeight="1" x14ac:dyDescent="0.35">
      <c r="A51" s="1"/>
      <c r="B51" s="23"/>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row>
    <row r="52" spans="1:46" ht="18" customHeight="1" collapsed="1" x14ac:dyDescent="0.35">
      <c r="A52" s="1"/>
      <c r="B52" s="23"/>
      <c r="C52" s="1"/>
      <c r="D52" s="1"/>
      <c r="E52" s="1"/>
      <c r="F52" s="1"/>
      <c r="G52" s="1"/>
      <c r="H52" s="1"/>
      <c r="I52" s="1"/>
      <c r="J52" s="1"/>
      <c r="K52" s="1"/>
      <c r="L52" s="1"/>
      <c r="M52" s="1"/>
      <c r="N52" s="7"/>
      <c r="O52" s="4"/>
      <c r="P52" s="4"/>
      <c r="Q52" s="1"/>
      <c r="R52" s="1"/>
      <c r="S52" s="5"/>
      <c r="T52" s="5"/>
      <c r="U52" s="5"/>
      <c r="V52" s="1"/>
      <c r="W52" s="1"/>
      <c r="X52" s="1"/>
      <c r="Y52" s="1"/>
      <c r="Z52" s="1"/>
      <c r="AA52" s="1"/>
      <c r="AB52" s="1"/>
      <c r="AC52" s="1"/>
      <c r="AD52" s="1"/>
      <c r="AE52" s="1"/>
      <c r="AF52" s="1"/>
      <c r="AG52" s="1"/>
      <c r="AH52" s="1"/>
      <c r="AI52" s="1"/>
      <c r="AJ52" s="1"/>
      <c r="AK52" s="1"/>
      <c r="AL52" s="1"/>
      <c r="AM52" s="1"/>
      <c r="AN52" s="1"/>
      <c r="AO52" s="1"/>
      <c r="AP52" s="1"/>
      <c r="AQ52" s="1"/>
      <c r="AR52" s="1"/>
      <c r="AS52" s="1"/>
      <c r="AT52" s="1"/>
    </row>
    <row r="53" spans="1:46" ht="18" customHeight="1" x14ac:dyDescent="0.35">
      <c r="A53" s="1"/>
      <c r="B53" s="1"/>
      <c r="C53" s="47"/>
      <c r="D53" s="47"/>
      <c r="E53" s="47"/>
      <c r="F53" s="47"/>
      <c r="G53" s="47"/>
      <c r="H53" s="47"/>
      <c r="I53" s="47"/>
      <c r="J53" s="47"/>
      <c r="K53" s="47"/>
      <c r="L53" s="47"/>
      <c r="M53" s="47"/>
      <c r="N53" s="7"/>
      <c r="O53" s="4"/>
      <c r="P53" s="4"/>
      <c r="Q53" s="1"/>
      <c r="R53" s="1"/>
      <c r="S53" s="5"/>
      <c r="T53" s="5"/>
      <c r="U53" s="5"/>
      <c r="V53" s="1"/>
      <c r="W53" s="1"/>
      <c r="X53" s="1"/>
      <c r="Y53" s="1"/>
      <c r="Z53" s="1"/>
      <c r="AA53" s="1"/>
      <c r="AB53" s="1"/>
      <c r="AC53" s="1"/>
      <c r="AD53" s="1"/>
      <c r="AE53" s="1"/>
      <c r="AF53" s="1"/>
      <c r="AG53" s="1"/>
      <c r="AH53" s="1"/>
      <c r="AI53" s="1"/>
      <c r="AJ53" s="1"/>
      <c r="AK53" s="1"/>
      <c r="AL53" s="1"/>
      <c r="AM53" s="1"/>
      <c r="AN53" s="1"/>
      <c r="AO53" s="1"/>
      <c r="AP53" s="1"/>
      <c r="AQ53" s="1"/>
      <c r="AR53" s="1"/>
      <c r="AS53" s="1"/>
      <c r="AT53" s="1"/>
    </row>
    <row r="54" spans="1:46" ht="18" customHeight="1" x14ac:dyDescent="0.35">
      <c r="A54" s="1"/>
      <c r="B54" s="1"/>
      <c r="C54" s="47"/>
      <c r="D54" s="47"/>
      <c r="E54" s="47"/>
      <c r="F54" s="47"/>
      <c r="G54" s="47"/>
      <c r="H54" s="47"/>
      <c r="I54" s="47"/>
      <c r="J54" s="47"/>
      <c r="K54" s="47"/>
      <c r="L54" s="47"/>
      <c r="M54" s="47"/>
      <c r="N54" s="7"/>
      <c r="O54" s="4"/>
      <c r="P54" s="4"/>
      <c r="Q54" s="1"/>
      <c r="R54" s="1"/>
      <c r="S54" s="5"/>
      <c r="T54" s="5"/>
      <c r="U54" s="5"/>
      <c r="V54" s="1"/>
      <c r="W54" s="1"/>
      <c r="X54" s="1"/>
      <c r="Y54" s="1"/>
      <c r="Z54" s="1"/>
      <c r="AA54" s="1"/>
      <c r="AB54" s="1"/>
      <c r="AC54" s="1"/>
      <c r="AD54" s="1"/>
      <c r="AE54" s="1"/>
      <c r="AF54" s="1"/>
      <c r="AG54" s="1"/>
      <c r="AH54" s="1"/>
      <c r="AI54" s="1"/>
      <c r="AJ54" s="1"/>
      <c r="AK54" s="1"/>
      <c r="AL54" s="1"/>
      <c r="AM54" s="1"/>
      <c r="AN54" s="1"/>
      <c r="AO54" s="1"/>
      <c r="AP54" s="1"/>
      <c r="AQ54" s="1"/>
      <c r="AR54" s="1"/>
      <c r="AS54" s="1"/>
      <c r="AT54" s="1"/>
    </row>
    <row r="55" spans="1:46" ht="18" customHeight="1" x14ac:dyDescent="0.35">
      <c r="A55" s="1"/>
      <c r="B55" s="1"/>
      <c r="C55" s="47"/>
      <c r="D55" s="47"/>
      <c r="E55" s="47"/>
      <c r="F55" s="47"/>
      <c r="G55" s="47"/>
      <c r="H55" s="47"/>
      <c r="I55" s="47"/>
      <c r="J55" s="47"/>
      <c r="K55" s="47"/>
      <c r="L55" s="47"/>
      <c r="M55" s="47"/>
      <c r="N55" s="7"/>
      <c r="O55" s="4"/>
      <c r="P55" s="4"/>
      <c r="Q55" s="1"/>
      <c r="R55" s="1"/>
      <c r="S55" s="5"/>
      <c r="T55" s="5"/>
      <c r="U55" s="5"/>
      <c r="V55" s="1"/>
      <c r="W55" s="1"/>
      <c r="X55" s="1"/>
      <c r="Y55" s="1"/>
      <c r="Z55" s="1"/>
      <c r="AA55" s="1"/>
      <c r="AB55" s="1"/>
      <c r="AC55" s="1"/>
      <c r="AD55" s="1"/>
      <c r="AE55" s="1"/>
      <c r="AF55" s="1"/>
      <c r="AG55" s="1"/>
      <c r="AH55" s="1"/>
      <c r="AI55" s="1"/>
      <c r="AJ55" s="1"/>
      <c r="AK55" s="1"/>
      <c r="AL55" s="1"/>
      <c r="AM55" s="1"/>
      <c r="AN55" s="1"/>
      <c r="AO55" s="1"/>
      <c r="AP55" s="1"/>
      <c r="AQ55" s="1"/>
      <c r="AR55" s="1"/>
      <c r="AS55" s="1"/>
      <c r="AT55" s="1"/>
    </row>
    <row r="56" spans="1:46" ht="18" customHeight="1" x14ac:dyDescent="0.35">
      <c r="A56" s="1"/>
      <c r="B56" s="1"/>
      <c r="C56" s="47"/>
      <c r="D56" s="47"/>
      <c r="E56" s="47"/>
      <c r="F56" s="47"/>
      <c r="G56" s="47"/>
      <c r="H56" s="47"/>
      <c r="I56" s="47"/>
      <c r="J56" s="47"/>
      <c r="K56" s="47"/>
      <c r="L56" s="47"/>
      <c r="M56" s="47"/>
      <c r="N56" s="7"/>
      <c r="O56" s="4"/>
      <c r="P56" s="4"/>
      <c r="Q56" s="1"/>
      <c r="R56" s="1"/>
      <c r="S56" s="5"/>
      <c r="T56" s="5"/>
      <c r="U56" s="5"/>
      <c r="V56" s="1"/>
      <c r="W56" s="1"/>
      <c r="X56" s="1"/>
      <c r="Y56" s="1"/>
      <c r="Z56" s="1"/>
      <c r="AA56" s="1"/>
      <c r="AB56" s="1"/>
      <c r="AC56" s="1"/>
      <c r="AD56" s="1"/>
      <c r="AE56" s="1"/>
      <c r="AF56" s="1"/>
      <c r="AG56" s="1"/>
      <c r="AH56" s="1"/>
      <c r="AI56" s="1"/>
      <c r="AJ56" s="1"/>
      <c r="AK56" s="1"/>
      <c r="AL56" s="1"/>
      <c r="AM56" s="1"/>
      <c r="AN56" s="1"/>
      <c r="AO56" s="1"/>
      <c r="AP56" s="1"/>
      <c r="AQ56" s="1"/>
      <c r="AR56" s="1"/>
      <c r="AS56" s="1"/>
      <c r="AT56" s="1"/>
    </row>
    <row r="57" spans="1:46" ht="18" customHeight="1" x14ac:dyDescent="0.35">
      <c r="A57" s="1"/>
      <c r="B57" s="1"/>
      <c r="C57" s="47"/>
      <c r="D57" s="47"/>
      <c r="E57" s="47"/>
      <c r="F57" s="47"/>
      <c r="G57" s="47"/>
      <c r="H57" s="47"/>
      <c r="I57" s="47"/>
      <c r="J57" s="47"/>
      <c r="K57" s="47"/>
      <c r="L57" s="47"/>
      <c r="M57" s="47"/>
      <c r="N57" s="7"/>
      <c r="O57" s="4"/>
      <c r="P57" s="4"/>
      <c r="Q57" s="1"/>
      <c r="R57" s="1"/>
      <c r="S57" s="5"/>
      <c r="T57" s="5"/>
      <c r="U57" s="5"/>
      <c r="V57" s="1"/>
      <c r="W57" s="1"/>
      <c r="X57" s="1"/>
      <c r="Y57" s="1"/>
      <c r="Z57" s="1"/>
      <c r="AA57" s="1"/>
      <c r="AB57" s="1"/>
      <c r="AC57" s="1"/>
      <c r="AD57" s="1"/>
      <c r="AE57" s="1"/>
      <c r="AF57" s="1"/>
      <c r="AG57" s="1"/>
      <c r="AH57" s="1"/>
      <c r="AI57" s="1"/>
      <c r="AJ57" s="1"/>
      <c r="AK57" s="1"/>
      <c r="AL57" s="1"/>
      <c r="AM57" s="1"/>
      <c r="AN57" s="1"/>
      <c r="AO57" s="1"/>
      <c r="AP57" s="1"/>
      <c r="AQ57" s="1"/>
      <c r="AR57" s="1"/>
      <c r="AS57" s="1"/>
      <c r="AT57" s="1"/>
    </row>
    <row r="58" spans="1:46" ht="18" customHeight="1" x14ac:dyDescent="0.35">
      <c r="A58" s="1"/>
      <c r="B58" s="1"/>
      <c r="C58" s="1"/>
      <c r="D58" s="1"/>
      <c r="E58" s="1"/>
      <c r="F58" s="1"/>
      <c r="G58" s="1"/>
      <c r="H58" s="1"/>
      <c r="I58" s="1"/>
      <c r="J58" s="1"/>
      <c r="K58" s="1"/>
      <c r="L58" s="1"/>
      <c r="M58" s="1"/>
      <c r="N58" s="7"/>
      <c r="O58" s="4"/>
      <c r="P58" s="4"/>
      <c r="Q58" s="1"/>
      <c r="R58" s="1"/>
      <c r="S58" s="5"/>
      <c r="T58" s="5"/>
      <c r="U58" s="5"/>
      <c r="V58" s="1"/>
      <c r="W58" s="1"/>
      <c r="X58" s="1"/>
      <c r="Y58" s="1"/>
      <c r="Z58" s="1"/>
      <c r="AA58" s="1"/>
      <c r="AB58" s="1"/>
      <c r="AC58" s="1"/>
      <c r="AD58" s="1"/>
      <c r="AE58" s="1"/>
      <c r="AF58" s="1"/>
      <c r="AG58" s="1"/>
      <c r="AH58" s="1"/>
      <c r="AI58" s="1"/>
      <c r="AJ58" s="1"/>
      <c r="AK58" s="1"/>
      <c r="AL58" s="1"/>
      <c r="AM58" s="1"/>
      <c r="AN58" s="1"/>
      <c r="AO58" s="1"/>
      <c r="AP58" s="1"/>
      <c r="AQ58" s="1"/>
      <c r="AR58" s="1"/>
      <c r="AS58" s="1"/>
      <c r="AT58" s="1"/>
    </row>
    <row r="59" spans="1:46" ht="18" customHeight="1" x14ac:dyDescent="0.35">
      <c r="A59" s="1"/>
      <c r="B59" s="1"/>
      <c r="C59" s="1"/>
      <c r="D59" s="1"/>
      <c r="E59" s="1"/>
      <c r="F59" s="1"/>
      <c r="G59" s="1"/>
      <c r="H59" s="1"/>
      <c r="I59" s="1"/>
      <c r="J59" s="1"/>
      <c r="K59" s="1"/>
      <c r="L59" s="1"/>
      <c r="M59" s="1"/>
      <c r="N59" s="7"/>
      <c r="O59" s="4"/>
      <c r="P59" s="4"/>
      <c r="Q59" s="1"/>
      <c r="R59" s="1"/>
      <c r="S59" s="5"/>
      <c r="T59" s="5"/>
      <c r="U59" s="5"/>
      <c r="V59" s="1"/>
      <c r="W59" s="1"/>
      <c r="X59" s="1"/>
      <c r="Y59" s="1"/>
      <c r="Z59" s="1"/>
      <c r="AA59" s="1"/>
      <c r="AB59" s="1"/>
      <c r="AC59" s="1"/>
      <c r="AD59" s="1"/>
      <c r="AE59" s="1"/>
      <c r="AF59" s="1"/>
      <c r="AG59" s="1"/>
      <c r="AH59" s="1"/>
      <c r="AI59" s="1"/>
      <c r="AJ59" s="1"/>
      <c r="AK59" s="1"/>
      <c r="AL59" s="1"/>
      <c r="AM59" s="1"/>
      <c r="AN59" s="1"/>
      <c r="AO59" s="1"/>
      <c r="AP59" s="1"/>
      <c r="AQ59" s="1"/>
      <c r="AR59" s="1"/>
      <c r="AS59" s="1"/>
      <c r="AT59" s="1"/>
    </row>
    <row r="60" spans="1:46" ht="18" customHeight="1" x14ac:dyDescent="0.35">
      <c r="A60" s="1"/>
      <c r="B60" s="1"/>
      <c r="C60" s="1"/>
      <c r="D60" s="1"/>
      <c r="E60" s="1"/>
      <c r="F60" s="1"/>
      <c r="G60" s="1"/>
      <c r="H60" s="1"/>
      <c r="I60" s="1"/>
      <c r="J60" s="1"/>
      <c r="K60" s="1"/>
      <c r="L60" s="1"/>
      <c r="M60" s="1"/>
      <c r="N60" s="7"/>
      <c r="O60" s="4"/>
      <c r="P60" s="4"/>
      <c r="Q60" s="1"/>
      <c r="R60" s="1"/>
      <c r="S60" s="5"/>
      <c r="T60" s="5"/>
      <c r="U60" s="5"/>
      <c r="V60" s="1"/>
      <c r="W60" s="1"/>
      <c r="X60" s="1"/>
      <c r="Y60" s="1"/>
      <c r="Z60" s="1"/>
      <c r="AA60" s="1"/>
      <c r="AB60" s="1"/>
      <c r="AC60" s="1"/>
      <c r="AD60" s="1"/>
      <c r="AE60" s="1"/>
      <c r="AF60" s="1"/>
      <c r="AG60" s="1"/>
      <c r="AH60" s="1"/>
      <c r="AI60" s="1"/>
      <c r="AJ60" s="1"/>
      <c r="AK60" s="1"/>
      <c r="AL60" s="1"/>
      <c r="AM60" s="1"/>
      <c r="AN60" s="1"/>
      <c r="AO60" s="1"/>
      <c r="AP60" s="1"/>
      <c r="AQ60" s="1"/>
      <c r="AR60" s="1"/>
      <c r="AS60" s="1"/>
      <c r="AT60" s="1"/>
    </row>
    <row r="61" spans="1:46" ht="18" customHeight="1" x14ac:dyDescent="0.35">
      <c r="A61" s="1"/>
      <c r="B61" s="1"/>
      <c r="C61" s="1"/>
      <c r="D61" s="1"/>
      <c r="E61" s="1"/>
      <c r="F61" s="1"/>
      <c r="G61" s="1"/>
      <c r="H61" s="1"/>
      <c r="I61" s="1"/>
      <c r="J61" s="1"/>
      <c r="K61" s="1"/>
      <c r="L61" s="1"/>
      <c r="M61" s="1"/>
      <c r="N61" s="7"/>
      <c r="O61" s="4"/>
      <c r="P61" s="4"/>
      <c r="Q61" s="1"/>
      <c r="R61" s="1"/>
      <c r="S61" s="5"/>
      <c r="T61" s="5"/>
      <c r="U61" s="5"/>
      <c r="V61" s="1"/>
      <c r="W61" s="1"/>
      <c r="X61" s="1"/>
      <c r="Y61" s="1"/>
      <c r="Z61" s="1"/>
      <c r="AA61" s="1"/>
      <c r="AB61" s="1"/>
      <c r="AC61" s="1"/>
      <c r="AD61" s="1"/>
      <c r="AE61" s="1"/>
      <c r="AF61" s="1"/>
      <c r="AG61" s="1"/>
      <c r="AH61" s="1"/>
      <c r="AI61" s="1"/>
      <c r="AJ61" s="1"/>
      <c r="AK61" s="1"/>
      <c r="AL61" s="1"/>
      <c r="AM61" s="1"/>
      <c r="AN61" s="1"/>
      <c r="AO61" s="1"/>
      <c r="AP61" s="1"/>
      <c r="AQ61" s="1"/>
      <c r="AR61" s="1"/>
      <c r="AS61" s="1"/>
      <c r="AT61" s="1"/>
    </row>
    <row r="62" spans="1:46" ht="18" customHeight="1" x14ac:dyDescent="0.35">
      <c r="A62" s="1"/>
      <c r="B62" s="1"/>
      <c r="C62" s="1"/>
      <c r="D62" s="1"/>
      <c r="E62" s="1"/>
      <c r="F62" s="1"/>
      <c r="G62" s="1"/>
      <c r="H62" s="1"/>
      <c r="I62" s="1"/>
      <c r="J62" s="1"/>
      <c r="K62" s="1"/>
      <c r="L62" s="1"/>
      <c r="M62" s="1"/>
      <c r="N62" s="7"/>
      <c r="O62" s="4"/>
      <c r="P62" s="4"/>
      <c r="Q62" s="1"/>
      <c r="R62" s="1"/>
      <c r="S62" s="5"/>
      <c r="T62" s="5"/>
      <c r="U62" s="5"/>
      <c r="V62" s="1"/>
      <c r="W62" s="1"/>
      <c r="X62" s="1"/>
      <c r="Y62" s="1"/>
      <c r="Z62" s="1"/>
      <c r="AA62" s="1"/>
      <c r="AB62" s="1"/>
      <c r="AC62" s="1"/>
      <c r="AD62" s="1"/>
      <c r="AE62" s="1"/>
      <c r="AF62" s="1"/>
      <c r="AG62" s="1"/>
      <c r="AH62" s="1"/>
      <c r="AI62" s="1"/>
      <c r="AJ62" s="1"/>
      <c r="AK62" s="1"/>
      <c r="AL62" s="1"/>
      <c r="AM62" s="1"/>
      <c r="AN62" s="1"/>
      <c r="AO62" s="1"/>
      <c r="AP62" s="1"/>
      <c r="AQ62" s="1"/>
      <c r="AR62" s="1"/>
      <c r="AS62" s="1"/>
      <c r="AT62" s="1"/>
    </row>
    <row r="63" spans="1:46" ht="18" customHeight="1" x14ac:dyDescent="0.35">
      <c r="A63" s="1"/>
      <c r="B63" s="1"/>
      <c r="C63" s="1"/>
      <c r="D63" s="1"/>
      <c r="E63" s="1"/>
      <c r="F63" s="1"/>
      <c r="G63" s="1"/>
      <c r="H63" s="1"/>
      <c r="I63" s="1"/>
      <c r="J63" s="1"/>
      <c r="K63" s="1"/>
      <c r="L63" s="1"/>
      <c r="M63" s="1"/>
      <c r="N63" s="7"/>
      <c r="O63" s="4"/>
      <c r="P63" s="4"/>
      <c r="Q63" s="1"/>
      <c r="R63" s="1"/>
      <c r="S63" s="5"/>
      <c r="T63" s="5"/>
      <c r="U63" s="5"/>
      <c r="V63" s="1"/>
      <c r="W63" s="1"/>
      <c r="X63" s="1"/>
      <c r="Y63" s="1"/>
      <c r="Z63" s="1"/>
      <c r="AA63" s="1"/>
      <c r="AB63" s="1"/>
      <c r="AC63" s="1"/>
      <c r="AD63" s="1"/>
      <c r="AE63" s="1"/>
      <c r="AF63" s="1"/>
      <c r="AG63" s="1"/>
      <c r="AH63" s="1"/>
      <c r="AI63" s="1"/>
      <c r="AJ63" s="1"/>
      <c r="AK63" s="1"/>
      <c r="AL63" s="1"/>
      <c r="AM63" s="1"/>
      <c r="AN63" s="1"/>
      <c r="AO63" s="1"/>
      <c r="AP63" s="1"/>
      <c r="AQ63" s="1"/>
      <c r="AR63" s="1"/>
      <c r="AS63" s="1"/>
      <c r="AT63" s="1"/>
    </row>
    <row r="64" spans="1:46" ht="18" customHeight="1" x14ac:dyDescent="0.35">
      <c r="A64" s="1"/>
      <c r="B64" s="1"/>
      <c r="C64" s="1"/>
      <c r="D64" s="1"/>
      <c r="E64" s="1"/>
      <c r="F64" s="1"/>
      <c r="G64" s="1"/>
      <c r="H64" s="1"/>
      <c r="I64" s="1"/>
      <c r="J64" s="1"/>
      <c r="K64" s="1"/>
      <c r="L64" s="1"/>
      <c r="M64" s="1"/>
      <c r="N64" s="7"/>
      <c r="O64" s="4"/>
      <c r="P64" s="4"/>
      <c r="Q64" s="1"/>
      <c r="R64" s="1"/>
      <c r="S64" s="5"/>
      <c r="T64" s="5"/>
      <c r="U64" s="5"/>
      <c r="V64" s="1"/>
      <c r="W64" s="1"/>
      <c r="X64" s="1"/>
      <c r="Y64" s="1"/>
      <c r="Z64" s="1"/>
      <c r="AA64" s="1"/>
      <c r="AB64" s="1"/>
      <c r="AC64" s="1"/>
      <c r="AD64" s="1"/>
      <c r="AE64" s="1"/>
      <c r="AF64" s="1"/>
      <c r="AG64" s="1"/>
      <c r="AH64" s="1"/>
      <c r="AI64" s="1"/>
      <c r="AJ64" s="1"/>
      <c r="AK64" s="1"/>
      <c r="AL64" s="1"/>
      <c r="AM64" s="1"/>
      <c r="AN64" s="1"/>
      <c r="AO64" s="1"/>
      <c r="AP64" s="1"/>
      <c r="AQ64" s="1"/>
      <c r="AR64" s="1"/>
      <c r="AS64" s="1"/>
      <c r="AT64" s="1"/>
    </row>
    <row r="65" spans="1:46" ht="18" customHeight="1" collapsed="1" x14ac:dyDescent="0.35">
      <c r="A65" s="1"/>
      <c r="B65" s="1"/>
      <c r="C65" s="1"/>
      <c r="D65" s="1"/>
      <c r="E65" s="1"/>
      <c r="F65" s="1"/>
      <c r="G65" s="1"/>
      <c r="H65" s="1"/>
      <c r="I65" s="1"/>
      <c r="J65" s="1"/>
      <c r="K65" s="1"/>
      <c r="L65" s="1"/>
      <c r="M65" s="1"/>
      <c r="N65" s="7"/>
      <c r="O65" s="7"/>
      <c r="P65" s="7"/>
      <c r="Q65" s="4"/>
      <c r="R65" s="4"/>
      <c r="S65" s="1"/>
      <c r="T65" s="1"/>
      <c r="U65" s="5"/>
      <c r="V65" s="5"/>
      <c r="W65" s="5"/>
      <c r="X65" s="1"/>
      <c r="Y65" s="1"/>
      <c r="Z65" s="1"/>
      <c r="AA65" s="1"/>
      <c r="AB65" s="1"/>
      <c r="AC65" s="1"/>
      <c r="AD65" s="1"/>
      <c r="AE65" s="1"/>
      <c r="AF65" s="1"/>
      <c r="AG65" s="1"/>
      <c r="AH65" s="1"/>
      <c r="AI65" s="1"/>
      <c r="AJ65" s="1"/>
      <c r="AK65" s="1"/>
      <c r="AL65" s="1"/>
      <c r="AM65" s="1"/>
      <c r="AN65" s="1"/>
      <c r="AO65" s="1"/>
      <c r="AP65" s="1"/>
      <c r="AQ65" s="1"/>
      <c r="AR65" s="1"/>
      <c r="AS65" s="1"/>
      <c r="AT65" s="1"/>
    </row>
    <row r="66" spans="1:46" ht="18" customHeight="1" x14ac:dyDescent="0.35">
      <c r="A66" s="1"/>
      <c r="B66" s="1"/>
      <c r="C66" s="1"/>
      <c r="D66" s="1"/>
      <c r="E66" s="1"/>
      <c r="F66" s="1"/>
      <c r="G66" s="1"/>
      <c r="H66" s="1"/>
      <c r="I66" s="1"/>
      <c r="J66" s="1"/>
      <c r="K66" s="1"/>
      <c r="L66" s="1"/>
      <c r="M66" s="1"/>
      <c r="N66" s="7"/>
      <c r="O66" s="7"/>
      <c r="P66" s="7"/>
      <c r="Q66" s="4"/>
      <c r="R66" s="4"/>
      <c r="S66" s="1"/>
      <c r="T66" s="1"/>
      <c r="U66" s="5"/>
      <c r="V66" s="5"/>
      <c r="W66" s="5"/>
      <c r="X66" s="1"/>
      <c r="Y66" s="1"/>
      <c r="Z66" s="1"/>
      <c r="AA66" s="1"/>
      <c r="AB66" s="1"/>
      <c r="AC66" s="1"/>
      <c r="AD66" s="1"/>
      <c r="AE66" s="1"/>
      <c r="AF66" s="1"/>
      <c r="AG66" s="1"/>
      <c r="AH66" s="1"/>
      <c r="AI66" s="1"/>
      <c r="AJ66" s="1"/>
      <c r="AK66" s="1"/>
      <c r="AL66" s="1"/>
      <c r="AM66" s="1"/>
      <c r="AN66" s="1"/>
      <c r="AO66" s="1"/>
      <c r="AP66" s="1"/>
      <c r="AQ66" s="1"/>
      <c r="AR66" s="1"/>
      <c r="AS66" s="1"/>
      <c r="AT66" s="1"/>
    </row>
    <row r="67" spans="1:46" ht="18" customHeight="1" x14ac:dyDescent="0.35">
      <c r="A67" s="1"/>
      <c r="B67" s="1"/>
      <c r="C67" s="1"/>
      <c r="D67" s="1"/>
      <c r="E67" s="1"/>
      <c r="F67" s="1"/>
      <c r="G67" s="1"/>
      <c r="H67" s="1"/>
      <c r="I67" s="1"/>
      <c r="J67" s="1"/>
      <c r="K67" s="1"/>
      <c r="L67" s="1"/>
      <c r="M67" s="1"/>
      <c r="N67" s="2"/>
      <c r="O67" s="2"/>
      <c r="P67" s="2"/>
      <c r="Q67" s="1"/>
      <c r="R67" s="1"/>
      <c r="S67" s="1"/>
      <c r="T67" s="1"/>
      <c r="U67" s="5"/>
      <c r="V67" s="5"/>
      <c r="W67" s="5"/>
      <c r="X67" s="1"/>
      <c r="Y67" s="1"/>
      <c r="Z67" s="1"/>
      <c r="AA67" s="1"/>
      <c r="AB67" s="1"/>
      <c r="AC67" s="1"/>
      <c r="AD67" s="1"/>
      <c r="AE67" s="1"/>
      <c r="AF67" s="1"/>
      <c r="AG67" s="1"/>
      <c r="AH67" s="1"/>
      <c r="AI67" s="1"/>
      <c r="AJ67" s="1"/>
      <c r="AK67" s="1"/>
      <c r="AL67" s="1"/>
      <c r="AM67" s="1"/>
      <c r="AN67" s="1"/>
      <c r="AO67" s="1"/>
      <c r="AP67" s="1"/>
      <c r="AQ67" s="1"/>
      <c r="AR67" s="1"/>
      <c r="AS67" s="1"/>
      <c r="AT67" s="1"/>
    </row>
    <row r="68" spans="1:46" ht="18" customHeight="1" x14ac:dyDescent="0.35">
      <c r="A68" s="1"/>
      <c r="B68" s="1"/>
      <c r="C68" s="1"/>
      <c r="D68" s="1"/>
      <c r="E68" s="1"/>
      <c r="F68" s="1"/>
      <c r="G68" s="1"/>
      <c r="H68" s="1"/>
      <c r="I68" s="1"/>
      <c r="J68" s="1"/>
      <c r="K68" s="1"/>
      <c r="L68" s="1"/>
      <c r="M68" s="1"/>
      <c r="N68" s="2"/>
      <c r="O68" s="2"/>
      <c r="P68" s="2"/>
      <c r="Q68" s="1"/>
      <c r="R68" s="1"/>
      <c r="S68" s="1"/>
      <c r="T68" s="1"/>
      <c r="U68" s="5"/>
      <c r="V68" s="5"/>
      <c r="W68" s="5"/>
      <c r="X68" s="1"/>
      <c r="Y68" s="1"/>
      <c r="Z68" s="1"/>
      <c r="AA68" s="1"/>
      <c r="AB68" s="1"/>
      <c r="AC68" s="1"/>
      <c r="AD68" s="1"/>
      <c r="AE68" s="1"/>
      <c r="AF68" s="1"/>
      <c r="AG68" s="1"/>
      <c r="AH68" s="1"/>
      <c r="AI68" s="1"/>
      <c r="AJ68" s="1"/>
      <c r="AK68" s="1"/>
      <c r="AL68" s="1"/>
      <c r="AM68" s="1"/>
      <c r="AN68" s="1"/>
      <c r="AO68" s="1"/>
      <c r="AP68" s="1"/>
      <c r="AQ68" s="1"/>
      <c r="AR68" s="1"/>
      <c r="AS68" s="1"/>
      <c r="AT68" s="1"/>
    </row>
    <row r="69" spans="1:46" ht="18" customHeight="1" x14ac:dyDescent="0.35">
      <c r="A69" s="1"/>
      <c r="B69" s="1"/>
      <c r="C69" s="1"/>
      <c r="D69" s="1"/>
      <c r="E69" s="1"/>
      <c r="F69" s="1"/>
      <c r="G69" s="1"/>
      <c r="H69" s="1"/>
      <c r="I69" s="1"/>
      <c r="J69" s="1"/>
      <c r="K69" s="1"/>
      <c r="L69" s="1"/>
      <c r="M69" s="1"/>
      <c r="N69" s="2"/>
      <c r="O69" s="2"/>
      <c r="P69" s="2"/>
      <c r="Q69" s="1"/>
      <c r="R69" s="1"/>
      <c r="S69" s="1"/>
      <c r="T69" s="1"/>
      <c r="U69" s="5"/>
      <c r="V69" s="5"/>
      <c r="W69" s="5"/>
      <c r="X69" s="1"/>
      <c r="Y69" s="1"/>
      <c r="Z69" s="1"/>
      <c r="AA69" s="1"/>
      <c r="AB69" s="1"/>
      <c r="AC69" s="1"/>
      <c r="AD69" s="1"/>
      <c r="AE69" s="1"/>
      <c r="AF69" s="1"/>
      <c r="AG69" s="1"/>
      <c r="AH69" s="1"/>
      <c r="AI69" s="1"/>
      <c r="AJ69" s="1"/>
      <c r="AK69" s="1"/>
      <c r="AL69" s="1"/>
      <c r="AM69" s="1"/>
      <c r="AN69" s="1"/>
      <c r="AO69" s="1"/>
      <c r="AP69" s="1"/>
      <c r="AQ69" s="1"/>
      <c r="AR69" s="1"/>
      <c r="AS69" s="1"/>
      <c r="AT69" s="1"/>
    </row>
    <row r="70" spans="1:46" ht="18" hidden="1" customHeight="1" x14ac:dyDescent="0.35">
      <c r="A70" s="1"/>
      <c r="B70" s="1"/>
      <c r="C70" s="1"/>
      <c r="D70" s="1"/>
      <c r="E70" s="1"/>
      <c r="F70" s="1"/>
      <c r="G70" s="1"/>
      <c r="H70" s="1"/>
      <c r="I70" s="1"/>
      <c r="J70" s="1"/>
      <c r="K70" s="1"/>
      <c r="L70" s="1"/>
      <c r="M70" s="1"/>
      <c r="N70" s="2"/>
      <c r="O70" s="2"/>
      <c r="P70" s="2"/>
      <c r="Q70" s="1"/>
      <c r="R70" s="1"/>
      <c r="S70" s="1"/>
      <c r="T70" s="1"/>
      <c r="U70" s="5"/>
      <c r="V70" s="5"/>
      <c r="W70" s="5"/>
      <c r="X70" s="1"/>
      <c r="Y70" s="1"/>
      <c r="Z70" s="1"/>
      <c r="AA70" s="1"/>
      <c r="AB70" s="1"/>
      <c r="AC70" s="1"/>
      <c r="AD70" s="1"/>
      <c r="AE70" s="1"/>
      <c r="AF70" s="1"/>
      <c r="AG70" s="1"/>
      <c r="AH70" s="1"/>
      <c r="AI70" s="1"/>
      <c r="AJ70" s="1"/>
      <c r="AK70" s="1"/>
      <c r="AL70" s="1"/>
      <c r="AM70" s="1"/>
      <c r="AN70" s="1"/>
      <c r="AO70" s="1"/>
      <c r="AP70" s="1"/>
      <c r="AQ70" s="1"/>
      <c r="AR70" s="1"/>
      <c r="AS70" s="1"/>
      <c r="AT70" s="1"/>
    </row>
    <row r="71" spans="1:46" ht="18" hidden="1" customHeight="1" x14ac:dyDescent="0.35">
      <c r="A71" s="1"/>
      <c r="B71" s="1"/>
      <c r="C71" s="1"/>
      <c r="D71" s="1"/>
      <c r="E71" s="1"/>
      <c r="F71" s="1"/>
      <c r="G71" s="1"/>
      <c r="H71" s="1"/>
      <c r="I71" s="1"/>
      <c r="J71" s="1"/>
      <c r="K71" s="1"/>
      <c r="L71" s="1"/>
      <c r="M71" s="1"/>
      <c r="N71" s="2"/>
      <c r="O71" s="2"/>
      <c r="P71" s="2"/>
      <c r="Q71" s="1"/>
      <c r="R71" s="1"/>
      <c r="S71" s="1"/>
      <c r="T71" s="1"/>
      <c r="U71" s="5"/>
      <c r="V71" s="5"/>
      <c r="W71" s="5"/>
      <c r="X71" s="1"/>
      <c r="Y71" s="1"/>
      <c r="Z71" s="1"/>
      <c r="AA71" s="1"/>
      <c r="AB71" s="1"/>
      <c r="AC71" s="1"/>
      <c r="AD71" s="1"/>
      <c r="AE71" s="1"/>
      <c r="AF71" s="1"/>
      <c r="AG71" s="1"/>
      <c r="AH71" s="1"/>
      <c r="AI71" s="1"/>
      <c r="AJ71" s="1"/>
      <c r="AK71" s="1"/>
      <c r="AL71" s="1"/>
      <c r="AM71" s="1"/>
      <c r="AN71" s="1"/>
      <c r="AO71" s="1"/>
      <c r="AP71" s="1"/>
      <c r="AQ71" s="1"/>
      <c r="AR71" s="1"/>
      <c r="AS71" s="1"/>
      <c r="AT71" s="1"/>
    </row>
    <row r="72" spans="1:46" ht="18" hidden="1" customHeight="1" x14ac:dyDescent="0.35">
      <c r="A72" s="1"/>
      <c r="B72" s="1"/>
      <c r="C72" s="1"/>
      <c r="D72" s="1"/>
      <c r="E72" s="1"/>
      <c r="F72" s="1"/>
      <c r="G72" s="1"/>
      <c r="H72" s="1"/>
      <c r="I72" s="1"/>
      <c r="J72" s="1"/>
      <c r="K72" s="1"/>
      <c r="L72" s="1"/>
      <c r="M72" s="1"/>
      <c r="N72" s="2"/>
      <c r="O72" s="2"/>
      <c r="P72" s="2"/>
      <c r="Q72" s="1"/>
      <c r="R72" s="1"/>
      <c r="S72" s="1"/>
      <c r="T72" s="1"/>
      <c r="U72" s="5"/>
      <c r="V72" s="5"/>
      <c r="W72" s="5"/>
      <c r="X72" s="1"/>
      <c r="Y72" s="1"/>
      <c r="Z72" s="1"/>
      <c r="AA72" s="1"/>
      <c r="AB72" s="1"/>
      <c r="AC72" s="1"/>
      <c r="AD72" s="1"/>
      <c r="AE72" s="1"/>
      <c r="AF72" s="1"/>
      <c r="AG72" s="1"/>
      <c r="AH72" s="1"/>
      <c r="AI72" s="1"/>
      <c r="AJ72" s="1"/>
      <c r="AK72" s="1"/>
      <c r="AL72" s="1"/>
      <c r="AM72" s="1"/>
      <c r="AN72" s="1"/>
      <c r="AO72" s="1"/>
      <c r="AP72" s="1"/>
      <c r="AQ72" s="1"/>
      <c r="AR72" s="1"/>
      <c r="AS72" s="1"/>
      <c r="AT72" s="1"/>
    </row>
    <row r="73" spans="1:46" ht="18" hidden="1" customHeight="1" x14ac:dyDescent="0.35">
      <c r="A73" s="1"/>
      <c r="B73" s="1"/>
      <c r="C73" s="1"/>
      <c r="D73" s="1"/>
      <c r="E73" s="1"/>
      <c r="F73" s="1"/>
      <c r="G73" s="1"/>
      <c r="H73" s="1"/>
      <c r="I73" s="1"/>
      <c r="J73" s="1"/>
      <c r="K73" s="1"/>
      <c r="L73" s="1"/>
      <c r="M73" s="1"/>
      <c r="N73" s="2"/>
      <c r="O73" s="2"/>
      <c r="P73" s="2"/>
      <c r="Q73" s="1"/>
      <c r="R73" s="1"/>
      <c r="S73" s="1"/>
      <c r="T73" s="1"/>
      <c r="U73" s="5"/>
      <c r="V73" s="5"/>
      <c r="W73" s="5"/>
      <c r="X73" s="1"/>
      <c r="Y73" s="1"/>
      <c r="Z73" s="1"/>
      <c r="AA73" s="1"/>
      <c r="AB73" s="1"/>
      <c r="AC73" s="1"/>
      <c r="AD73" s="1"/>
      <c r="AE73" s="1"/>
      <c r="AF73" s="1"/>
      <c r="AG73" s="1"/>
      <c r="AH73" s="1"/>
      <c r="AI73" s="1"/>
      <c r="AJ73" s="1"/>
      <c r="AK73" s="1"/>
      <c r="AL73" s="1"/>
      <c r="AM73" s="1"/>
      <c r="AN73" s="1"/>
      <c r="AO73" s="1"/>
      <c r="AP73" s="1"/>
      <c r="AQ73" s="1"/>
      <c r="AR73" s="1"/>
      <c r="AS73" s="1"/>
      <c r="AT73" s="1"/>
    </row>
    <row r="74" spans="1:46" ht="18" hidden="1" customHeight="1" x14ac:dyDescent="0.35">
      <c r="A74" s="1"/>
      <c r="B74" s="1"/>
      <c r="C74" s="1"/>
      <c r="D74" s="1"/>
      <c r="E74" s="1"/>
      <c r="F74" s="1"/>
      <c r="G74" s="1"/>
      <c r="H74" s="1"/>
      <c r="I74" s="1"/>
      <c r="J74" s="1"/>
      <c r="K74" s="1"/>
      <c r="L74" s="1"/>
      <c r="M74" s="1"/>
      <c r="N74" s="2"/>
      <c r="O74" s="2"/>
      <c r="P74" s="2"/>
      <c r="Q74" s="1"/>
      <c r="R74" s="1"/>
      <c r="S74" s="1"/>
      <c r="T74" s="1"/>
      <c r="U74" s="5"/>
      <c r="V74" s="5"/>
      <c r="W74" s="5"/>
      <c r="X74" s="1"/>
      <c r="Y74" s="1"/>
      <c r="Z74" s="1"/>
      <c r="AA74" s="1"/>
      <c r="AB74" s="1"/>
      <c r="AC74" s="1"/>
      <c r="AD74" s="1"/>
      <c r="AE74" s="1"/>
      <c r="AF74" s="1"/>
      <c r="AG74" s="1"/>
      <c r="AH74" s="1"/>
      <c r="AI74" s="1"/>
      <c r="AJ74" s="1"/>
      <c r="AK74" s="1"/>
      <c r="AL74" s="1"/>
      <c r="AM74" s="1"/>
      <c r="AN74" s="1"/>
      <c r="AO74" s="1"/>
      <c r="AP74" s="1"/>
      <c r="AQ74" s="1"/>
      <c r="AR74" s="1"/>
      <c r="AS74" s="1"/>
      <c r="AT74" s="1"/>
    </row>
    <row r="75" spans="1:46" ht="18" hidden="1" customHeight="1" x14ac:dyDescent="0.35">
      <c r="A75" s="1"/>
      <c r="B75" s="1"/>
      <c r="C75" s="1"/>
      <c r="D75" s="1"/>
      <c r="E75" s="1"/>
      <c r="F75" s="1"/>
      <c r="G75" s="1"/>
      <c r="H75" s="1"/>
      <c r="I75" s="1"/>
      <c r="J75" s="1"/>
      <c r="K75" s="1"/>
      <c r="L75" s="1"/>
      <c r="M75" s="1"/>
      <c r="N75" s="2"/>
      <c r="O75" s="2"/>
      <c r="P75" s="2"/>
      <c r="Q75" s="1"/>
      <c r="R75" s="1"/>
      <c r="S75" s="1"/>
      <c r="T75" s="1"/>
      <c r="U75" s="5"/>
      <c r="V75" s="5"/>
      <c r="W75" s="5"/>
      <c r="X75" s="1"/>
      <c r="Y75" s="1"/>
      <c r="Z75" s="1"/>
      <c r="AA75" s="1"/>
      <c r="AB75" s="1"/>
      <c r="AC75" s="1"/>
      <c r="AD75" s="1"/>
      <c r="AE75" s="1"/>
      <c r="AF75" s="1"/>
      <c r="AG75" s="1"/>
      <c r="AH75" s="1"/>
      <c r="AI75" s="1"/>
      <c r="AJ75" s="1"/>
      <c r="AK75" s="1"/>
      <c r="AL75" s="1"/>
      <c r="AM75" s="1"/>
      <c r="AN75" s="1"/>
      <c r="AO75" s="1"/>
      <c r="AP75" s="1"/>
      <c r="AQ75" s="1"/>
      <c r="AR75" s="1"/>
      <c r="AS75" s="1"/>
      <c r="AT75" s="1"/>
    </row>
    <row r="76" spans="1:46" ht="18" hidden="1" customHeight="1" x14ac:dyDescent="0.35">
      <c r="A76" s="1"/>
      <c r="B76" s="1"/>
      <c r="C76" s="1"/>
      <c r="D76" s="1"/>
      <c r="E76" s="1"/>
      <c r="F76" s="1"/>
      <c r="G76" s="1"/>
      <c r="H76" s="1"/>
      <c r="I76" s="1"/>
      <c r="J76" s="1"/>
      <c r="K76" s="1"/>
      <c r="L76" s="1"/>
      <c r="M76" s="1"/>
      <c r="N76" s="2"/>
      <c r="O76" s="2"/>
      <c r="P76" s="2"/>
      <c r="Q76" s="1"/>
      <c r="R76" s="1"/>
      <c r="S76" s="1"/>
      <c r="T76" s="1"/>
      <c r="U76" s="5"/>
      <c r="V76" s="5"/>
      <c r="W76" s="5"/>
      <c r="X76" s="1"/>
      <c r="Y76" s="1"/>
      <c r="Z76" s="1"/>
      <c r="AA76" s="1"/>
      <c r="AB76" s="1"/>
      <c r="AC76" s="1"/>
      <c r="AD76" s="1"/>
      <c r="AE76" s="1"/>
      <c r="AF76" s="1"/>
      <c r="AG76" s="1"/>
      <c r="AH76" s="1"/>
      <c r="AI76" s="1"/>
      <c r="AJ76" s="1"/>
      <c r="AK76" s="1"/>
      <c r="AL76" s="1"/>
      <c r="AM76" s="1"/>
      <c r="AN76" s="1"/>
      <c r="AO76" s="1"/>
      <c r="AP76" s="1"/>
      <c r="AQ76" s="1"/>
      <c r="AR76" s="1"/>
      <c r="AS76" s="1"/>
      <c r="AT76" s="1"/>
    </row>
    <row r="77" spans="1:46" ht="18" customHeight="1" collapsed="1" x14ac:dyDescent="0.35">
      <c r="A77" s="1"/>
      <c r="B77" s="1"/>
      <c r="C77" s="1"/>
      <c r="D77" s="1"/>
      <c r="E77" s="1"/>
      <c r="F77" s="1"/>
      <c r="G77" s="1"/>
      <c r="H77" s="1"/>
      <c r="I77" s="1"/>
      <c r="J77" s="1"/>
      <c r="K77" s="1"/>
      <c r="L77" s="1"/>
      <c r="M77" s="1"/>
      <c r="N77" s="2"/>
      <c r="O77" s="2"/>
      <c r="P77" s="2"/>
      <c r="Q77" s="1"/>
      <c r="R77" s="1"/>
      <c r="S77" s="1"/>
      <c r="T77" s="1"/>
      <c r="U77" s="5"/>
      <c r="V77" s="5"/>
      <c r="W77" s="5"/>
      <c r="X77" s="1"/>
      <c r="Y77" s="1"/>
      <c r="Z77" s="1"/>
      <c r="AA77" s="1"/>
      <c r="AB77" s="1"/>
      <c r="AC77" s="1"/>
      <c r="AD77" s="1"/>
      <c r="AE77" s="1"/>
      <c r="AF77" s="1"/>
      <c r="AG77" s="1"/>
      <c r="AH77" s="1"/>
      <c r="AI77" s="1"/>
      <c r="AJ77" s="1"/>
      <c r="AK77" s="1"/>
      <c r="AL77" s="1"/>
      <c r="AM77" s="1"/>
      <c r="AN77" s="1"/>
      <c r="AO77" s="1"/>
      <c r="AP77" s="1"/>
      <c r="AQ77" s="1"/>
      <c r="AR77" s="1"/>
      <c r="AS77" s="1"/>
      <c r="AT77" s="1"/>
    </row>
    <row r="78" spans="1:46" ht="18" hidden="1" customHeight="1" x14ac:dyDescent="0.35">
      <c r="A78" s="1"/>
      <c r="B78" s="1"/>
      <c r="C78" s="1"/>
      <c r="D78" s="1"/>
      <c r="E78" s="1"/>
      <c r="F78" s="1"/>
      <c r="G78" s="1"/>
      <c r="H78" s="1"/>
      <c r="I78" s="1"/>
      <c r="J78" s="1"/>
      <c r="K78" s="1"/>
      <c r="L78" s="1"/>
      <c r="M78" s="1"/>
      <c r="N78" s="2"/>
      <c r="O78" s="2"/>
      <c r="P78" s="2"/>
      <c r="Q78" s="1"/>
      <c r="R78" s="1"/>
      <c r="S78" s="1"/>
      <c r="T78" s="1"/>
      <c r="U78" s="5"/>
      <c r="V78" s="5"/>
      <c r="W78" s="5"/>
      <c r="X78" s="1"/>
      <c r="Y78" s="1"/>
      <c r="Z78" s="1"/>
      <c r="AA78" s="1"/>
      <c r="AB78" s="1"/>
      <c r="AC78" s="1"/>
      <c r="AD78" s="1"/>
      <c r="AE78" s="1"/>
      <c r="AF78" s="1"/>
      <c r="AG78" s="1"/>
      <c r="AH78" s="1"/>
      <c r="AI78" s="1"/>
      <c r="AJ78" s="1"/>
      <c r="AK78" s="1"/>
      <c r="AL78" s="1"/>
      <c r="AM78" s="1"/>
      <c r="AN78" s="1"/>
      <c r="AO78" s="1"/>
      <c r="AP78" s="1"/>
      <c r="AQ78" s="1"/>
      <c r="AR78" s="1"/>
      <c r="AS78" s="1"/>
      <c r="AT78" s="1"/>
    </row>
    <row r="79" spans="1:46" ht="18" hidden="1" customHeight="1" x14ac:dyDescent="0.35">
      <c r="A79" s="1"/>
      <c r="B79" s="1"/>
      <c r="C79" s="1"/>
      <c r="D79" s="1"/>
      <c r="E79" s="1"/>
      <c r="F79" s="1"/>
      <c r="G79" s="1"/>
      <c r="H79" s="1"/>
      <c r="I79" s="1"/>
      <c r="J79" s="1"/>
      <c r="K79" s="1"/>
      <c r="L79" s="1"/>
      <c r="M79" s="1"/>
      <c r="N79" s="2"/>
      <c r="O79" s="2"/>
      <c r="P79" s="2"/>
      <c r="Q79" s="1"/>
      <c r="R79" s="1"/>
      <c r="S79" s="1"/>
      <c r="T79" s="1"/>
      <c r="U79" s="5"/>
      <c r="V79" s="5"/>
      <c r="W79" s="5"/>
      <c r="X79" s="1"/>
      <c r="Y79" s="1"/>
      <c r="Z79" s="1"/>
      <c r="AA79" s="1"/>
      <c r="AB79" s="1"/>
      <c r="AC79" s="1"/>
      <c r="AD79" s="1"/>
      <c r="AE79" s="1"/>
      <c r="AF79" s="1"/>
      <c r="AG79" s="1"/>
      <c r="AH79" s="1"/>
      <c r="AI79" s="1"/>
      <c r="AJ79" s="1"/>
      <c r="AK79" s="1"/>
      <c r="AL79" s="1"/>
      <c r="AM79" s="1"/>
      <c r="AN79" s="1"/>
      <c r="AO79" s="1"/>
      <c r="AP79" s="1"/>
      <c r="AQ79" s="1"/>
      <c r="AR79" s="1"/>
      <c r="AS79" s="1"/>
      <c r="AT79" s="1"/>
    </row>
    <row r="80" spans="1:46" ht="18" hidden="1" customHeight="1" x14ac:dyDescent="0.35">
      <c r="A80" s="1"/>
      <c r="B80" s="1"/>
      <c r="C80" s="1"/>
      <c r="D80" s="1"/>
      <c r="E80" s="1"/>
      <c r="F80" s="1"/>
      <c r="G80" s="1"/>
      <c r="H80" s="1"/>
      <c r="I80" s="1"/>
      <c r="J80" s="1"/>
      <c r="K80" s="1"/>
      <c r="L80" s="1"/>
      <c r="M80" s="1"/>
      <c r="N80" s="2"/>
      <c r="O80" s="2"/>
      <c r="P80" s="2"/>
      <c r="Q80" s="1"/>
      <c r="R80" s="1"/>
      <c r="S80" s="1"/>
      <c r="T80" s="1"/>
      <c r="U80" s="5"/>
      <c r="V80" s="5"/>
      <c r="W80" s="5"/>
      <c r="X80" s="1"/>
      <c r="Y80" s="1"/>
      <c r="Z80" s="1"/>
      <c r="AA80" s="1"/>
      <c r="AB80" s="1"/>
      <c r="AC80" s="1"/>
      <c r="AD80" s="1"/>
      <c r="AE80" s="1"/>
      <c r="AF80" s="1"/>
      <c r="AG80" s="1"/>
      <c r="AH80" s="1"/>
      <c r="AI80" s="1"/>
      <c r="AJ80" s="1"/>
      <c r="AK80" s="1"/>
      <c r="AL80" s="1"/>
      <c r="AM80" s="1"/>
      <c r="AN80" s="1"/>
      <c r="AO80" s="1"/>
      <c r="AP80" s="1"/>
      <c r="AQ80" s="1"/>
      <c r="AR80" s="1"/>
      <c r="AS80" s="1"/>
      <c r="AT80" s="1"/>
    </row>
    <row r="81" spans="1:46" ht="18" hidden="1" customHeight="1" x14ac:dyDescent="0.35">
      <c r="A81" s="1"/>
      <c r="B81" s="1"/>
      <c r="C81" s="1"/>
      <c r="D81" s="1"/>
      <c r="E81" s="1"/>
      <c r="F81" s="1"/>
      <c r="G81" s="1"/>
      <c r="H81" s="1"/>
      <c r="I81" s="1"/>
      <c r="J81" s="1"/>
      <c r="K81" s="1"/>
      <c r="L81" s="1"/>
      <c r="M81" s="1"/>
      <c r="N81" s="2"/>
      <c r="O81" s="2"/>
      <c r="P81" s="2"/>
      <c r="Q81" s="1"/>
      <c r="R81" s="1"/>
      <c r="S81" s="1"/>
      <c r="T81" s="1"/>
      <c r="U81" s="5"/>
      <c r="V81" s="5"/>
      <c r="W81" s="5"/>
      <c r="X81" s="1"/>
      <c r="Y81" s="1"/>
      <c r="Z81" s="1"/>
      <c r="AA81" s="1"/>
      <c r="AB81" s="1"/>
      <c r="AC81" s="1"/>
      <c r="AD81" s="1"/>
      <c r="AE81" s="1"/>
      <c r="AF81" s="1"/>
      <c r="AG81" s="1"/>
      <c r="AH81" s="1"/>
      <c r="AI81" s="1"/>
      <c r="AJ81" s="1"/>
      <c r="AK81" s="1"/>
      <c r="AL81" s="1"/>
      <c r="AM81" s="1"/>
      <c r="AN81" s="1"/>
      <c r="AO81" s="1"/>
      <c r="AP81" s="1"/>
      <c r="AQ81" s="1"/>
      <c r="AR81" s="1"/>
      <c r="AS81" s="1"/>
      <c r="AT81" s="1"/>
    </row>
    <row r="82" spans="1:46" ht="18" hidden="1" customHeight="1" x14ac:dyDescent="0.35">
      <c r="A82" s="1"/>
      <c r="B82" s="1"/>
      <c r="C82" s="1"/>
      <c r="D82" s="1"/>
      <c r="E82" s="1"/>
      <c r="F82" s="1"/>
      <c r="G82" s="1"/>
      <c r="H82" s="1"/>
      <c r="I82" s="1"/>
      <c r="J82" s="1"/>
      <c r="K82" s="1"/>
      <c r="L82" s="1"/>
      <c r="M82" s="1"/>
      <c r="N82" s="2"/>
      <c r="O82" s="2"/>
      <c r="P82" s="2"/>
      <c r="Q82" s="1"/>
      <c r="R82" s="1"/>
      <c r="S82" s="1"/>
      <c r="T82" s="1"/>
      <c r="U82" s="5"/>
      <c r="V82" s="5"/>
      <c r="W82" s="5"/>
      <c r="X82" s="1"/>
      <c r="Y82" s="1"/>
      <c r="Z82" s="1"/>
      <c r="AA82" s="1"/>
      <c r="AB82" s="1"/>
      <c r="AC82" s="1"/>
      <c r="AD82" s="1"/>
      <c r="AE82" s="1"/>
      <c r="AF82" s="1"/>
      <c r="AG82" s="1"/>
      <c r="AH82" s="1"/>
      <c r="AI82" s="1"/>
      <c r="AJ82" s="1"/>
      <c r="AK82" s="1"/>
      <c r="AL82" s="1"/>
      <c r="AM82" s="1"/>
      <c r="AN82" s="1"/>
      <c r="AO82" s="1"/>
      <c r="AP82" s="1"/>
      <c r="AQ82" s="1"/>
      <c r="AR82" s="1"/>
      <c r="AS82" s="1"/>
      <c r="AT82" s="1"/>
    </row>
    <row r="83" spans="1:46" ht="18" hidden="1" customHeight="1" x14ac:dyDescent="0.35">
      <c r="A83" s="1"/>
      <c r="B83" s="1"/>
      <c r="C83" s="1"/>
      <c r="D83" s="1"/>
      <c r="E83" s="1"/>
      <c r="F83" s="1"/>
      <c r="G83" s="1"/>
      <c r="H83" s="1"/>
      <c r="I83" s="1"/>
      <c r="J83" s="1"/>
      <c r="K83" s="1"/>
      <c r="L83" s="1"/>
      <c r="M83" s="1"/>
      <c r="N83" s="2"/>
      <c r="O83" s="2"/>
      <c r="P83" s="2"/>
      <c r="Q83" s="1"/>
      <c r="R83" s="1"/>
      <c r="S83" s="1"/>
      <c r="T83" s="1"/>
      <c r="U83" s="5"/>
      <c r="V83" s="5"/>
      <c r="W83" s="5"/>
      <c r="X83" s="1"/>
      <c r="Y83" s="1"/>
      <c r="Z83" s="1"/>
      <c r="AA83" s="1"/>
      <c r="AB83" s="1"/>
      <c r="AC83" s="1"/>
      <c r="AD83" s="1"/>
      <c r="AE83" s="1"/>
      <c r="AF83" s="1"/>
      <c r="AG83" s="1"/>
      <c r="AH83" s="1"/>
      <c r="AI83" s="1"/>
      <c r="AJ83" s="1"/>
      <c r="AK83" s="1"/>
      <c r="AL83" s="1"/>
      <c r="AM83" s="1"/>
      <c r="AN83" s="1"/>
      <c r="AO83" s="1"/>
      <c r="AP83" s="1"/>
      <c r="AQ83" s="1"/>
      <c r="AR83" s="1"/>
      <c r="AS83" s="1"/>
      <c r="AT83" s="1"/>
    </row>
    <row r="84" spans="1:46" ht="18" hidden="1" customHeight="1" x14ac:dyDescent="0.35">
      <c r="A84" s="1"/>
      <c r="B84" s="1"/>
      <c r="C84" s="1"/>
      <c r="D84" s="1"/>
      <c r="E84" s="1"/>
      <c r="F84" s="1"/>
      <c r="G84" s="1"/>
      <c r="H84" s="1"/>
      <c r="I84" s="1"/>
      <c r="J84" s="1"/>
      <c r="K84" s="1"/>
      <c r="L84" s="1"/>
      <c r="M84" s="1"/>
      <c r="N84" s="2"/>
      <c r="O84" s="2"/>
      <c r="P84" s="2"/>
      <c r="Q84" s="1"/>
      <c r="R84" s="1"/>
      <c r="S84" s="1"/>
      <c r="T84" s="1"/>
      <c r="U84" s="5"/>
      <c r="V84" s="5"/>
      <c r="W84" s="5"/>
      <c r="X84" s="1"/>
      <c r="Y84" s="1"/>
      <c r="Z84" s="1"/>
      <c r="AA84" s="1"/>
      <c r="AB84" s="1"/>
      <c r="AC84" s="1"/>
      <c r="AD84" s="1"/>
      <c r="AE84" s="1"/>
      <c r="AF84" s="1"/>
      <c r="AG84" s="1"/>
      <c r="AH84" s="1"/>
      <c r="AI84" s="1"/>
      <c r="AJ84" s="1"/>
      <c r="AK84" s="1"/>
      <c r="AL84" s="1"/>
      <c r="AM84" s="1"/>
      <c r="AN84" s="1"/>
      <c r="AO84" s="1"/>
      <c r="AP84" s="1"/>
      <c r="AQ84" s="1"/>
      <c r="AR84" s="1"/>
      <c r="AS84" s="1"/>
      <c r="AT84" s="1"/>
    </row>
    <row r="85" spans="1:46" ht="18" hidden="1" customHeight="1" x14ac:dyDescent="0.35">
      <c r="A85" s="1"/>
      <c r="B85" s="1"/>
      <c r="C85" s="1"/>
      <c r="D85" s="1"/>
      <c r="E85" s="1"/>
      <c r="F85" s="1"/>
      <c r="G85" s="1"/>
      <c r="H85" s="1"/>
      <c r="I85" s="1"/>
      <c r="J85" s="1"/>
      <c r="K85" s="1"/>
      <c r="L85" s="1"/>
      <c r="M85" s="1"/>
      <c r="N85" s="2"/>
      <c r="O85" s="2"/>
      <c r="P85" s="2"/>
      <c r="Q85" s="1"/>
      <c r="R85" s="1"/>
      <c r="S85" s="1"/>
      <c r="T85" s="1"/>
      <c r="U85" s="5"/>
      <c r="V85" s="5"/>
      <c r="W85" s="5"/>
      <c r="X85" s="1"/>
      <c r="Y85" s="1"/>
      <c r="Z85" s="1"/>
      <c r="AA85" s="1"/>
      <c r="AB85" s="1"/>
      <c r="AC85" s="1"/>
      <c r="AD85" s="1"/>
      <c r="AE85" s="1"/>
      <c r="AF85" s="1"/>
      <c r="AG85" s="1"/>
      <c r="AH85" s="1"/>
      <c r="AI85" s="1"/>
      <c r="AJ85" s="1"/>
      <c r="AK85" s="1"/>
      <c r="AL85" s="1"/>
      <c r="AM85" s="1"/>
      <c r="AN85" s="1"/>
      <c r="AO85" s="1"/>
      <c r="AP85" s="1"/>
      <c r="AQ85" s="1"/>
      <c r="AR85" s="1"/>
      <c r="AS85" s="1"/>
      <c r="AT85" s="1"/>
    </row>
    <row r="86" spans="1:46" ht="18" customHeight="1" collapsed="1" x14ac:dyDescent="0.35">
      <c r="A86" s="1"/>
      <c r="B86" s="1"/>
      <c r="C86" s="1"/>
      <c r="D86" s="1"/>
      <c r="E86" s="1"/>
      <c r="F86" s="1"/>
      <c r="G86" s="1"/>
      <c r="H86" s="1"/>
      <c r="I86" s="1"/>
      <c r="J86" s="1"/>
      <c r="K86" s="1"/>
      <c r="L86" s="1"/>
      <c r="M86" s="1"/>
      <c r="N86" s="2"/>
      <c r="O86" s="2"/>
      <c r="P86" s="2"/>
      <c r="Q86" s="1"/>
      <c r="R86" s="1"/>
      <c r="S86" s="1"/>
      <c r="T86" s="1"/>
      <c r="U86" s="5"/>
      <c r="V86" s="5"/>
      <c r="W86" s="5"/>
      <c r="X86" s="1"/>
      <c r="Y86" s="1"/>
      <c r="Z86" s="1"/>
      <c r="AA86" s="1"/>
      <c r="AB86" s="1"/>
      <c r="AC86" s="1"/>
      <c r="AD86" s="1"/>
      <c r="AE86" s="1"/>
      <c r="AF86" s="1"/>
      <c r="AG86" s="1"/>
      <c r="AH86" s="1"/>
      <c r="AI86" s="1"/>
      <c r="AJ86" s="1"/>
      <c r="AK86" s="1"/>
      <c r="AL86" s="1"/>
      <c r="AM86" s="1"/>
      <c r="AN86" s="1"/>
      <c r="AO86" s="1"/>
      <c r="AP86" s="1"/>
      <c r="AQ86" s="1"/>
      <c r="AR86" s="1"/>
      <c r="AS86" s="1"/>
      <c r="AT86" s="1"/>
    </row>
    <row r="87" spans="1:46" ht="18" customHeight="1" x14ac:dyDescent="0.35">
      <c r="A87" s="1"/>
      <c r="B87" s="1"/>
      <c r="C87" s="1"/>
      <c r="D87" s="1"/>
      <c r="E87" s="1"/>
      <c r="F87" s="1"/>
      <c r="G87" s="1"/>
      <c r="H87" s="1"/>
      <c r="I87" s="1"/>
      <c r="J87" s="1"/>
      <c r="K87" s="1"/>
      <c r="L87" s="1"/>
      <c r="M87" s="1"/>
      <c r="N87" s="2"/>
      <c r="O87" s="2"/>
      <c r="P87" s="2"/>
      <c r="Q87" s="1"/>
      <c r="R87" s="1"/>
      <c r="S87" s="1"/>
      <c r="T87" s="1"/>
      <c r="U87" s="5"/>
      <c r="V87" s="5"/>
      <c r="W87" s="5"/>
      <c r="X87" s="1"/>
      <c r="Y87" s="1"/>
      <c r="Z87" s="1"/>
      <c r="AA87" s="1"/>
      <c r="AB87" s="1"/>
      <c r="AC87" s="1"/>
      <c r="AD87" s="1"/>
      <c r="AE87" s="1"/>
      <c r="AF87" s="1"/>
      <c r="AG87" s="1"/>
      <c r="AH87" s="1"/>
      <c r="AI87" s="1"/>
      <c r="AJ87" s="1"/>
      <c r="AK87" s="1"/>
      <c r="AL87" s="1"/>
      <c r="AM87" s="1"/>
      <c r="AN87" s="1"/>
      <c r="AO87" s="1"/>
      <c r="AP87" s="1"/>
      <c r="AQ87" s="1"/>
      <c r="AR87" s="1"/>
      <c r="AS87" s="1"/>
      <c r="AT87" s="1"/>
    </row>
    <row r="88" spans="1:46" ht="18" hidden="1" customHeight="1" x14ac:dyDescent="0.35">
      <c r="A88" s="1"/>
      <c r="B88" s="1"/>
      <c r="C88" s="1"/>
      <c r="D88" s="1"/>
      <c r="E88" s="1"/>
      <c r="F88" s="1"/>
      <c r="G88" s="1"/>
      <c r="H88" s="1"/>
      <c r="I88" s="1"/>
      <c r="J88" s="1"/>
      <c r="K88" s="1"/>
      <c r="L88" s="1"/>
      <c r="M88" s="1"/>
      <c r="N88" s="2"/>
      <c r="O88" s="2"/>
      <c r="P88" s="2"/>
      <c r="Q88" s="1"/>
      <c r="R88" s="1"/>
      <c r="S88" s="1"/>
      <c r="T88" s="1"/>
      <c r="U88" s="5"/>
      <c r="V88" s="5"/>
      <c r="W88" s="5"/>
      <c r="X88" s="1"/>
      <c r="Y88" s="1"/>
      <c r="Z88" s="1"/>
      <c r="AA88" s="1"/>
      <c r="AB88" s="1"/>
      <c r="AC88" s="1"/>
      <c r="AD88" s="1"/>
      <c r="AE88" s="1"/>
      <c r="AF88" s="1"/>
      <c r="AG88" s="1"/>
      <c r="AH88" s="1"/>
      <c r="AI88" s="1"/>
      <c r="AJ88" s="1"/>
      <c r="AK88" s="1"/>
      <c r="AL88" s="1"/>
      <c r="AM88" s="1"/>
      <c r="AN88" s="1"/>
      <c r="AO88" s="1"/>
      <c r="AP88" s="1"/>
      <c r="AQ88" s="1"/>
      <c r="AR88" s="1"/>
      <c r="AS88" s="1"/>
      <c r="AT88" s="1"/>
    </row>
    <row r="89" spans="1:46" ht="18" hidden="1" customHeight="1" x14ac:dyDescent="0.35">
      <c r="A89" s="1"/>
      <c r="B89" s="1"/>
      <c r="C89" s="1"/>
      <c r="D89" s="1"/>
      <c r="E89" s="1"/>
      <c r="F89" s="1"/>
      <c r="G89" s="1"/>
      <c r="H89" s="1"/>
      <c r="I89" s="1"/>
      <c r="J89" s="1"/>
      <c r="K89" s="1"/>
      <c r="L89" s="1"/>
      <c r="M89" s="1"/>
      <c r="N89" s="2"/>
      <c r="O89" s="2"/>
      <c r="P89" s="2"/>
      <c r="Q89" s="1"/>
      <c r="R89" s="1"/>
      <c r="S89" s="1"/>
      <c r="T89" s="1"/>
      <c r="U89" s="5"/>
      <c r="V89" s="5"/>
      <c r="W89" s="5"/>
      <c r="X89" s="1"/>
      <c r="Y89" s="1"/>
      <c r="Z89" s="1"/>
      <c r="AA89" s="1"/>
      <c r="AB89" s="1"/>
      <c r="AC89" s="1"/>
      <c r="AD89" s="1"/>
      <c r="AE89" s="1"/>
      <c r="AF89" s="1"/>
      <c r="AG89" s="1"/>
      <c r="AH89" s="1"/>
      <c r="AI89" s="1"/>
      <c r="AJ89" s="1"/>
      <c r="AK89" s="1"/>
      <c r="AL89" s="1"/>
      <c r="AM89" s="1"/>
      <c r="AN89" s="1"/>
      <c r="AO89" s="1"/>
      <c r="AP89" s="1"/>
      <c r="AQ89" s="1"/>
      <c r="AR89" s="1"/>
      <c r="AS89" s="1"/>
      <c r="AT89" s="1"/>
    </row>
    <row r="90" spans="1:46" ht="18" hidden="1" customHeight="1" x14ac:dyDescent="0.35">
      <c r="A90" s="1"/>
      <c r="B90" s="1"/>
      <c r="C90" s="1"/>
      <c r="D90" s="1"/>
      <c r="E90" s="1"/>
      <c r="F90" s="1"/>
      <c r="G90" s="1"/>
      <c r="H90" s="1"/>
      <c r="I90" s="1"/>
      <c r="J90" s="1"/>
      <c r="K90" s="1"/>
      <c r="L90" s="1"/>
      <c r="M90" s="1"/>
      <c r="N90" s="2"/>
      <c r="O90" s="2"/>
      <c r="P90" s="2"/>
      <c r="Q90" s="1"/>
      <c r="R90" s="1"/>
      <c r="S90" s="1"/>
      <c r="T90" s="1"/>
      <c r="U90" s="5"/>
      <c r="V90" s="5"/>
      <c r="W90" s="5"/>
      <c r="X90" s="1"/>
      <c r="Y90" s="1"/>
      <c r="Z90" s="1"/>
      <c r="AA90" s="1"/>
      <c r="AB90" s="1"/>
      <c r="AC90" s="1"/>
      <c r="AD90" s="1"/>
      <c r="AE90" s="1"/>
      <c r="AF90" s="1"/>
      <c r="AG90" s="1"/>
      <c r="AH90" s="1"/>
      <c r="AI90" s="1"/>
      <c r="AJ90" s="1"/>
      <c r="AK90" s="1"/>
      <c r="AL90" s="1"/>
      <c r="AM90" s="1"/>
      <c r="AN90" s="1"/>
      <c r="AO90" s="1"/>
      <c r="AP90" s="1"/>
      <c r="AQ90" s="1"/>
      <c r="AR90" s="1"/>
      <c r="AS90" s="1"/>
      <c r="AT90" s="1"/>
    </row>
    <row r="91" spans="1:46" ht="18" hidden="1" customHeight="1" x14ac:dyDescent="0.35">
      <c r="A91" s="1"/>
      <c r="B91" s="1"/>
      <c r="C91" s="1"/>
      <c r="D91" s="1"/>
      <c r="E91" s="1"/>
      <c r="F91" s="1"/>
      <c r="G91" s="1"/>
      <c r="H91" s="1"/>
      <c r="I91" s="1"/>
      <c r="J91" s="1"/>
      <c r="K91" s="1"/>
      <c r="L91" s="1"/>
      <c r="M91" s="1"/>
      <c r="N91" s="2"/>
      <c r="O91" s="2"/>
      <c r="P91" s="2"/>
      <c r="Q91" s="1"/>
      <c r="R91" s="1"/>
      <c r="S91" s="1"/>
      <c r="T91" s="1"/>
      <c r="U91" s="5"/>
      <c r="V91" s="5"/>
      <c r="W91" s="5"/>
      <c r="X91" s="1"/>
      <c r="Y91" s="1"/>
      <c r="Z91" s="1"/>
      <c r="AA91" s="1"/>
      <c r="AB91" s="1"/>
      <c r="AC91" s="1"/>
      <c r="AD91" s="1"/>
      <c r="AE91" s="1"/>
      <c r="AF91" s="1"/>
      <c r="AG91" s="1"/>
      <c r="AH91" s="1"/>
      <c r="AI91" s="1"/>
      <c r="AJ91" s="1"/>
      <c r="AK91" s="1"/>
      <c r="AL91" s="1"/>
      <c r="AM91" s="1"/>
      <c r="AN91" s="1"/>
      <c r="AO91" s="1"/>
      <c r="AP91" s="1"/>
      <c r="AQ91" s="1"/>
      <c r="AR91" s="1"/>
      <c r="AS91" s="1"/>
      <c r="AT91" s="1"/>
    </row>
    <row r="92" spans="1:46" ht="18" hidden="1" customHeight="1" x14ac:dyDescent="0.35">
      <c r="A92" s="1"/>
      <c r="B92" s="1"/>
      <c r="C92" s="1"/>
      <c r="D92" s="1"/>
      <c r="E92" s="1"/>
      <c r="F92" s="1"/>
      <c r="G92" s="1"/>
      <c r="H92" s="1"/>
      <c r="I92" s="1"/>
      <c r="J92" s="1"/>
      <c r="K92" s="1"/>
      <c r="L92" s="1"/>
      <c r="M92" s="1"/>
      <c r="N92" s="2"/>
      <c r="O92" s="2"/>
      <c r="P92" s="2"/>
      <c r="Q92" s="1"/>
      <c r="R92" s="1"/>
      <c r="S92" s="1"/>
      <c r="T92" s="1"/>
      <c r="U92" s="5"/>
      <c r="V92" s="5"/>
      <c r="W92" s="5"/>
      <c r="X92" s="1"/>
      <c r="Y92" s="1"/>
      <c r="Z92" s="1"/>
      <c r="AA92" s="1"/>
      <c r="AB92" s="1"/>
      <c r="AC92" s="1"/>
      <c r="AD92" s="1"/>
      <c r="AE92" s="1"/>
      <c r="AF92" s="1"/>
      <c r="AG92" s="1"/>
      <c r="AH92" s="1"/>
      <c r="AI92" s="1"/>
      <c r="AJ92" s="1"/>
      <c r="AK92" s="1"/>
      <c r="AL92" s="1"/>
      <c r="AM92" s="1"/>
      <c r="AN92" s="1"/>
      <c r="AO92" s="1"/>
      <c r="AP92" s="1"/>
      <c r="AQ92" s="1"/>
      <c r="AR92" s="1"/>
      <c r="AS92" s="1"/>
      <c r="AT92" s="1"/>
    </row>
    <row r="93" spans="1:46" ht="18" hidden="1" customHeight="1" x14ac:dyDescent="0.35">
      <c r="A93" s="1"/>
      <c r="B93" s="1"/>
      <c r="C93" s="1"/>
      <c r="D93" s="1"/>
      <c r="E93" s="1"/>
      <c r="F93" s="1"/>
      <c r="G93" s="1"/>
      <c r="H93" s="1"/>
      <c r="I93" s="1"/>
      <c r="J93" s="1"/>
      <c r="K93" s="1"/>
      <c r="L93" s="1"/>
      <c r="M93" s="1"/>
      <c r="N93" s="2"/>
      <c r="O93" s="2"/>
      <c r="P93" s="2"/>
      <c r="Q93" s="1"/>
      <c r="R93" s="1"/>
      <c r="S93" s="1"/>
      <c r="T93" s="1"/>
      <c r="U93" s="5"/>
      <c r="V93" s="5"/>
      <c r="W93" s="5"/>
      <c r="X93" s="1"/>
      <c r="Y93" s="1"/>
      <c r="Z93" s="1"/>
      <c r="AA93" s="1"/>
      <c r="AB93" s="1"/>
      <c r="AC93" s="1"/>
      <c r="AD93" s="1"/>
      <c r="AE93" s="1"/>
      <c r="AF93" s="1"/>
      <c r="AG93" s="1"/>
      <c r="AH93" s="1"/>
      <c r="AI93" s="1"/>
      <c r="AJ93" s="1"/>
      <c r="AK93" s="1"/>
      <c r="AL93" s="1"/>
      <c r="AM93" s="1"/>
      <c r="AN93" s="1"/>
      <c r="AO93" s="1"/>
      <c r="AP93" s="1"/>
      <c r="AQ93" s="1"/>
      <c r="AR93" s="1"/>
      <c r="AS93" s="1"/>
      <c r="AT93" s="1"/>
    </row>
    <row r="94" spans="1:46" ht="18" hidden="1" customHeight="1" x14ac:dyDescent="0.35">
      <c r="A94" s="1"/>
      <c r="B94" s="1"/>
      <c r="C94" s="1"/>
      <c r="D94" s="1"/>
      <c r="E94" s="1"/>
      <c r="F94" s="1"/>
      <c r="G94" s="1"/>
      <c r="H94" s="1"/>
      <c r="I94" s="1"/>
      <c r="J94" s="1"/>
      <c r="K94" s="1"/>
      <c r="L94" s="1"/>
      <c r="M94" s="1"/>
      <c r="N94" s="2"/>
      <c r="O94" s="2"/>
      <c r="P94" s="2"/>
      <c r="Q94" s="1"/>
      <c r="R94" s="1"/>
      <c r="S94" s="1"/>
      <c r="T94" s="1"/>
      <c r="U94" s="5"/>
      <c r="V94" s="5"/>
      <c r="W94" s="5"/>
      <c r="X94" s="1"/>
      <c r="Y94" s="1"/>
      <c r="Z94" s="1"/>
      <c r="AA94" s="1"/>
      <c r="AB94" s="1"/>
      <c r="AC94" s="1"/>
      <c r="AD94" s="1"/>
      <c r="AE94" s="1"/>
      <c r="AF94" s="1"/>
      <c r="AG94" s="1"/>
      <c r="AH94" s="1"/>
      <c r="AI94" s="1"/>
      <c r="AJ94" s="1"/>
      <c r="AK94" s="1"/>
      <c r="AL94" s="1"/>
      <c r="AM94" s="1"/>
      <c r="AN94" s="1"/>
      <c r="AO94" s="1"/>
      <c r="AP94" s="1"/>
      <c r="AQ94" s="1"/>
      <c r="AR94" s="1"/>
      <c r="AS94" s="1"/>
      <c r="AT94" s="1"/>
    </row>
    <row r="95" spans="1:46" ht="18" hidden="1" customHeight="1" x14ac:dyDescent="0.35">
      <c r="A95" s="1"/>
      <c r="B95" s="1"/>
      <c r="C95" s="1"/>
      <c r="D95" s="1"/>
      <c r="E95" s="1"/>
      <c r="F95" s="1"/>
      <c r="G95" s="1"/>
      <c r="H95" s="1"/>
      <c r="I95" s="1"/>
      <c r="J95" s="1"/>
      <c r="K95" s="1"/>
      <c r="L95" s="1"/>
      <c r="M95" s="1"/>
      <c r="N95" s="2"/>
      <c r="O95" s="2"/>
      <c r="P95" s="2"/>
      <c r="Q95" s="1"/>
      <c r="R95" s="1"/>
      <c r="S95" s="1"/>
      <c r="T95" s="1"/>
      <c r="U95" s="5"/>
      <c r="V95" s="5"/>
      <c r="W95" s="5"/>
      <c r="X95" s="1"/>
      <c r="Y95" s="1"/>
      <c r="Z95" s="1"/>
      <c r="AA95" s="1"/>
      <c r="AB95" s="1"/>
      <c r="AC95" s="1"/>
      <c r="AD95" s="1"/>
      <c r="AE95" s="1"/>
      <c r="AF95" s="1"/>
      <c r="AG95" s="1"/>
      <c r="AH95" s="1"/>
      <c r="AI95" s="1"/>
      <c r="AJ95" s="1"/>
      <c r="AK95" s="1"/>
      <c r="AL95" s="1"/>
      <c r="AM95" s="1"/>
      <c r="AN95" s="1"/>
      <c r="AO95" s="1"/>
      <c r="AP95" s="1"/>
      <c r="AQ95" s="1"/>
      <c r="AR95" s="1"/>
      <c r="AS95" s="1"/>
      <c r="AT95" s="1"/>
    </row>
    <row r="96" spans="1:46" ht="18" hidden="1" customHeight="1" x14ac:dyDescent="0.35">
      <c r="A96" s="1"/>
      <c r="B96" s="1"/>
      <c r="C96" s="1"/>
      <c r="D96" s="1"/>
      <c r="E96" s="1"/>
      <c r="F96" s="1"/>
      <c r="G96" s="1"/>
      <c r="H96" s="1"/>
      <c r="I96" s="1"/>
      <c r="J96" s="1"/>
      <c r="K96" s="1"/>
      <c r="L96" s="1"/>
      <c r="M96" s="1"/>
      <c r="N96" s="2"/>
      <c r="O96" s="2"/>
      <c r="P96" s="2"/>
      <c r="Q96" s="1"/>
      <c r="R96" s="1"/>
      <c r="S96" s="1"/>
      <c r="T96" s="1"/>
      <c r="U96" s="5"/>
      <c r="V96" s="5"/>
      <c r="W96" s="5"/>
      <c r="X96" s="1"/>
      <c r="Y96" s="1"/>
      <c r="Z96" s="1"/>
      <c r="AA96" s="1"/>
      <c r="AB96" s="1"/>
      <c r="AC96" s="1"/>
      <c r="AD96" s="1"/>
      <c r="AE96" s="1"/>
      <c r="AF96" s="1"/>
      <c r="AG96" s="1"/>
      <c r="AH96" s="1"/>
      <c r="AI96" s="1"/>
      <c r="AJ96" s="1"/>
      <c r="AK96" s="1"/>
      <c r="AL96" s="1"/>
      <c r="AM96" s="1"/>
      <c r="AN96" s="1"/>
      <c r="AO96" s="1"/>
      <c r="AP96" s="1"/>
      <c r="AQ96" s="1"/>
      <c r="AR96" s="1"/>
      <c r="AS96" s="1"/>
      <c r="AT96" s="1"/>
    </row>
    <row r="97" spans="1:46" ht="18" hidden="1" customHeight="1" x14ac:dyDescent="0.35">
      <c r="A97" s="1"/>
      <c r="B97" s="1"/>
      <c r="C97" s="1"/>
      <c r="D97" s="1"/>
      <c r="E97" s="1"/>
      <c r="F97" s="1"/>
      <c r="G97" s="1"/>
      <c r="H97" s="1"/>
      <c r="I97" s="1"/>
      <c r="J97" s="1"/>
      <c r="K97" s="1"/>
      <c r="L97" s="1"/>
      <c r="M97" s="1"/>
      <c r="N97" s="2"/>
      <c r="O97" s="2"/>
      <c r="P97" s="2"/>
      <c r="Q97" s="1"/>
      <c r="R97" s="1"/>
      <c r="S97" s="1"/>
      <c r="T97" s="1"/>
      <c r="U97" s="5"/>
      <c r="V97" s="5"/>
      <c r="W97" s="5"/>
      <c r="X97" s="1"/>
      <c r="Y97" s="1"/>
      <c r="Z97" s="1"/>
      <c r="AA97" s="1"/>
      <c r="AB97" s="1"/>
      <c r="AC97" s="1"/>
      <c r="AD97" s="1"/>
      <c r="AE97" s="1"/>
      <c r="AF97" s="1"/>
      <c r="AG97" s="1"/>
      <c r="AH97" s="1"/>
      <c r="AI97" s="1"/>
      <c r="AJ97" s="1"/>
      <c r="AK97" s="1"/>
      <c r="AL97" s="1"/>
      <c r="AM97" s="1"/>
      <c r="AN97" s="1"/>
      <c r="AO97" s="1"/>
      <c r="AP97" s="1"/>
      <c r="AQ97" s="1"/>
      <c r="AR97" s="1"/>
      <c r="AS97" s="1"/>
      <c r="AT97" s="1"/>
    </row>
    <row r="98" spans="1:46" ht="18" hidden="1" customHeight="1" x14ac:dyDescent="0.35">
      <c r="A98" s="1"/>
      <c r="B98" s="1"/>
      <c r="C98" s="1"/>
      <c r="D98" s="1"/>
      <c r="E98" s="1"/>
      <c r="F98" s="1"/>
      <c r="G98" s="1"/>
      <c r="H98" s="1"/>
      <c r="I98" s="1"/>
      <c r="J98" s="1"/>
      <c r="K98" s="1"/>
      <c r="L98" s="1"/>
      <c r="M98" s="1"/>
      <c r="N98" s="2"/>
      <c r="O98" s="2"/>
      <c r="P98" s="2"/>
      <c r="Q98" s="1"/>
      <c r="R98" s="1"/>
      <c r="S98" s="1"/>
      <c r="T98" s="1"/>
      <c r="U98" s="5"/>
      <c r="V98" s="5"/>
      <c r="W98" s="5"/>
      <c r="X98" s="1"/>
      <c r="Y98" s="1"/>
      <c r="Z98" s="1"/>
      <c r="AA98" s="1"/>
      <c r="AB98" s="1"/>
      <c r="AC98" s="1"/>
      <c r="AD98" s="1"/>
      <c r="AE98" s="1"/>
      <c r="AF98" s="1"/>
      <c r="AG98" s="1"/>
      <c r="AH98" s="1"/>
      <c r="AI98" s="1"/>
      <c r="AJ98" s="1"/>
      <c r="AK98" s="1"/>
      <c r="AL98" s="1"/>
      <c r="AM98" s="1"/>
      <c r="AN98" s="1"/>
      <c r="AO98" s="1"/>
      <c r="AP98" s="1"/>
      <c r="AQ98" s="1"/>
      <c r="AR98" s="1"/>
      <c r="AS98" s="1"/>
      <c r="AT98" s="1"/>
    </row>
    <row r="99" spans="1:46" ht="18" hidden="1" customHeight="1" x14ac:dyDescent="0.35">
      <c r="A99" s="1"/>
      <c r="B99" s="1"/>
      <c r="C99" s="1"/>
      <c r="D99" s="1"/>
      <c r="E99" s="1"/>
      <c r="F99" s="1"/>
      <c r="G99" s="1"/>
      <c r="H99" s="1"/>
      <c r="I99" s="1"/>
      <c r="J99" s="1"/>
      <c r="K99" s="1"/>
      <c r="L99" s="1"/>
      <c r="M99" s="1"/>
      <c r="N99" s="2"/>
      <c r="O99" s="2"/>
      <c r="P99" s="2"/>
      <c r="Q99" s="1"/>
      <c r="R99" s="1"/>
      <c r="S99" s="1"/>
      <c r="T99" s="1"/>
      <c r="U99" s="5"/>
      <c r="V99" s="5"/>
      <c r="W99" s="5"/>
      <c r="X99" s="1"/>
      <c r="Y99" s="1"/>
      <c r="Z99" s="1"/>
      <c r="AA99" s="1"/>
      <c r="AB99" s="1"/>
      <c r="AC99" s="1"/>
      <c r="AD99" s="1"/>
      <c r="AE99" s="1"/>
      <c r="AF99" s="1"/>
      <c r="AG99" s="1"/>
      <c r="AH99" s="1"/>
      <c r="AI99" s="1"/>
      <c r="AJ99" s="1"/>
      <c r="AK99" s="1"/>
      <c r="AL99" s="1"/>
      <c r="AM99" s="1"/>
      <c r="AN99" s="1"/>
      <c r="AO99" s="1"/>
      <c r="AP99" s="1"/>
      <c r="AQ99" s="1"/>
      <c r="AR99" s="1"/>
      <c r="AS99" s="1"/>
      <c r="AT99" s="1"/>
    </row>
    <row r="100" spans="1:46" ht="18" hidden="1" customHeight="1" x14ac:dyDescent="0.35">
      <c r="A100" s="1"/>
      <c r="B100" s="1"/>
      <c r="C100" s="1"/>
      <c r="D100" s="1"/>
      <c r="E100" s="1"/>
      <c r="F100" s="1"/>
      <c r="G100" s="1"/>
      <c r="H100" s="1"/>
      <c r="I100" s="1"/>
      <c r="J100" s="1"/>
      <c r="K100" s="1"/>
      <c r="L100" s="1"/>
      <c r="M100" s="1"/>
      <c r="N100" s="2"/>
      <c r="O100" s="2"/>
      <c r="P100" s="2"/>
      <c r="Q100" s="1"/>
      <c r="R100" s="1"/>
      <c r="S100" s="1"/>
      <c r="T100" s="1"/>
      <c r="U100" s="5"/>
      <c r="V100" s="5"/>
      <c r="W100" s="5"/>
      <c r="X100" s="1"/>
      <c r="Y100" s="1"/>
      <c r="Z100" s="1"/>
      <c r="AA100" s="1"/>
      <c r="AB100" s="1"/>
      <c r="AC100" s="1"/>
      <c r="AD100" s="1"/>
      <c r="AE100" s="1"/>
      <c r="AF100" s="1"/>
      <c r="AG100" s="1"/>
      <c r="AH100" s="1"/>
      <c r="AI100" s="1"/>
      <c r="AJ100" s="1"/>
      <c r="AK100" s="1"/>
      <c r="AL100" s="1"/>
      <c r="AM100" s="1"/>
      <c r="AN100" s="1"/>
      <c r="AO100" s="1"/>
      <c r="AP100" s="1"/>
      <c r="AQ100" s="1"/>
      <c r="AR100" s="1"/>
      <c r="AS100" s="1"/>
      <c r="AT100" s="1"/>
    </row>
    <row r="101" spans="1:46" ht="18" hidden="1" customHeight="1" x14ac:dyDescent="0.35">
      <c r="A101" s="1"/>
      <c r="B101" s="1"/>
      <c r="C101" s="1"/>
      <c r="D101" s="1"/>
      <c r="E101" s="1"/>
      <c r="F101" s="1"/>
      <c r="G101" s="1"/>
      <c r="H101" s="1"/>
      <c r="I101" s="1"/>
      <c r="J101" s="1"/>
      <c r="K101" s="1"/>
      <c r="L101" s="1"/>
      <c r="M101" s="1"/>
      <c r="N101" s="2"/>
      <c r="O101" s="2"/>
      <c r="P101" s="2"/>
      <c r="Q101" s="1"/>
      <c r="R101" s="1"/>
      <c r="S101" s="1"/>
      <c r="T101" s="1"/>
      <c r="U101" s="5"/>
      <c r="V101" s="5"/>
      <c r="W101" s="5"/>
      <c r="X101" s="1"/>
      <c r="Y101" s="1"/>
      <c r="Z101" s="1"/>
      <c r="AA101" s="1"/>
      <c r="AB101" s="1"/>
      <c r="AC101" s="1"/>
      <c r="AD101" s="1"/>
      <c r="AE101" s="1"/>
      <c r="AF101" s="1"/>
      <c r="AG101" s="1"/>
      <c r="AH101" s="1"/>
      <c r="AI101" s="1"/>
      <c r="AJ101" s="1"/>
      <c r="AK101" s="1"/>
      <c r="AL101" s="1"/>
      <c r="AM101" s="1"/>
      <c r="AN101" s="1"/>
      <c r="AO101" s="1"/>
      <c r="AP101" s="1"/>
      <c r="AQ101" s="1"/>
      <c r="AR101" s="1"/>
      <c r="AS101" s="1"/>
      <c r="AT101" s="1"/>
    </row>
    <row r="102" spans="1:46" ht="18" hidden="1" customHeight="1" x14ac:dyDescent="0.35">
      <c r="A102" s="1"/>
      <c r="B102" s="1"/>
      <c r="C102" s="1"/>
      <c r="D102" s="1"/>
      <c r="E102" s="1"/>
      <c r="F102" s="1"/>
      <c r="G102" s="1"/>
      <c r="H102" s="1"/>
      <c r="I102" s="1"/>
      <c r="J102" s="1"/>
      <c r="K102" s="1"/>
      <c r="L102" s="1"/>
      <c r="M102" s="1"/>
      <c r="N102" s="2"/>
      <c r="O102" s="2"/>
      <c r="P102" s="2"/>
      <c r="Q102" s="1"/>
      <c r="R102" s="1"/>
      <c r="S102" s="1"/>
      <c r="T102" s="1"/>
      <c r="U102" s="5"/>
      <c r="V102" s="5"/>
      <c r="W102" s="5"/>
      <c r="X102" s="1"/>
      <c r="Y102" s="1"/>
      <c r="Z102" s="1"/>
      <c r="AA102" s="1"/>
      <c r="AB102" s="1"/>
      <c r="AC102" s="1"/>
      <c r="AD102" s="1"/>
      <c r="AE102" s="1"/>
      <c r="AF102" s="1"/>
      <c r="AG102" s="1"/>
      <c r="AH102" s="1"/>
      <c r="AI102" s="1"/>
      <c r="AJ102" s="1"/>
      <c r="AK102" s="1"/>
      <c r="AL102" s="1"/>
      <c r="AM102" s="1"/>
      <c r="AN102" s="1"/>
      <c r="AO102" s="1"/>
      <c r="AP102" s="1"/>
      <c r="AQ102" s="1"/>
      <c r="AR102" s="1"/>
      <c r="AS102" s="1"/>
      <c r="AT102" s="1"/>
    </row>
    <row r="103" spans="1:46" ht="18" hidden="1" customHeight="1" x14ac:dyDescent="0.35">
      <c r="A103" s="1"/>
      <c r="B103" s="1"/>
      <c r="C103" s="1"/>
      <c r="D103" s="1"/>
      <c r="E103" s="1"/>
      <c r="F103" s="1"/>
      <c r="G103" s="1"/>
      <c r="H103" s="1"/>
      <c r="I103" s="1"/>
      <c r="J103" s="1"/>
      <c r="K103" s="1"/>
      <c r="L103" s="1"/>
      <c r="M103" s="1"/>
      <c r="N103" s="2"/>
      <c r="O103" s="2"/>
      <c r="P103" s="2"/>
      <c r="Q103" s="1"/>
      <c r="R103" s="1"/>
      <c r="S103" s="1"/>
      <c r="T103" s="1"/>
      <c r="U103" s="5"/>
      <c r="V103" s="5"/>
      <c r="W103" s="5"/>
      <c r="X103" s="1"/>
      <c r="Y103" s="1"/>
      <c r="Z103" s="1"/>
      <c r="AA103" s="1"/>
      <c r="AB103" s="1"/>
      <c r="AC103" s="1"/>
      <c r="AD103" s="1"/>
      <c r="AE103" s="1"/>
      <c r="AF103" s="1"/>
      <c r="AG103" s="1"/>
      <c r="AH103" s="1"/>
      <c r="AI103" s="1"/>
      <c r="AJ103" s="1"/>
      <c r="AK103" s="1"/>
      <c r="AL103" s="1"/>
      <c r="AM103" s="1"/>
      <c r="AN103" s="1"/>
      <c r="AO103" s="1"/>
      <c r="AP103" s="1"/>
      <c r="AQ103" s="1"/>
      <c r="AR103" s="1"/>
      <c r="AS103" s="1"/>
      <c r="AT103" s="1"/>
    </row>
    <row r="104" spans="1:46" ht="18" hidden="1" customHeight="1" x14ac:dyDescent="0.35">
      <c r="A104" s="1"/>
      <c r="B104" s="1"/>
      <c r="C104" s="1"/>
      <c r="D104" s="1"/>
      <c r="E104" s="1"/>
      <c r="F104" s="1"/>
      <c r="G104" s="1"/>
      <c r="H104" s="1"/>
      <c r="I104" s="1"/>
      <c r="J104" s="1"/>
      <c r="K104" s="1"/>
      <c r="L104" s="1"/>
      <c r="M104" s="1"/>
      <c r="N104" s="2"/>
      <c r="O104" s="2"/>
      <c r="P104" s="2"/>
      <c r="Q104" s="1"/>
      <c r="R104" s="1"/>
      <c r="S104" s="1"/>
      <c r="T104" s="1"/>
      <c r="U104" s="5"/>
      <c r="V104" s="5"/>
      <c r="W104" s="5"/>
      <c r="X104" s="1"/>
      <c r="Y104" s="1"/>
      <c r="Z104" s="1"/>
      <c r="AA104" s="1"/>
      <c r="AB104" s="1"/>
      <c r="AC104" s="1"/>
      <c r="AD104" s="1"/>
      <c r="AE104" s="1"/>
      <c r="AF104" s="1"/>
      <c r="AG104" s="1"/>
      <c r="AH104" s="1"/>
      <c r="AI104" s="1"/>
      <c r="AJ104" s="1"/>
      <c r="AK104" s="1"/>
      <c r="AL104" s="1"/>
      <c r="AM104" s="1"/>
      <c r="AN104" s="1"/>
      <c r="AO104" s="1"/>
      <c r="AP104" s="1"/>
      <c r="AQ104" s="1"/>
      <c r="AR104" s="1"/>
      <c r="AS104" s="1"/>
      <c r="AT104" s="1"/>
    </row>
    <row r="105" spans="1:46" ht="18" hidden="1" customHeight="1" x14ac:dyDescent="0.35">
      <c r="A105" s="1"/>
      <c r="B105" s="1"/>
      <c r="C105" s="1"/>
      <c r="D105" s="1"/>
      <c r="E105" s="1"/>
      <c r="F105" s="1"/>
      <c r="G105" s="1"/>
      <c r="H105" s="1"/>
      <c r="I105" s="1"/>
      <c r="J105" s="1"/>
      <c r="K105" s="1"/>
      <c r="L105" s="1"/>
      <c r="M105" s="1"/>
      <c r="N105" s="2"/>
      <c r="O105" s="2"/>
      <c r="P105" s="2"/>
      <c r="Q105" s="1"/>
      <c r="R105" s="1"/>
      <c r="S105" s="1"/>
      <c r="T105" s="1"/>
      <c r="U105" s="5"/>
      <c r="V105" s="5"/>
      <c r="W105" s="5"/>
      <c r="X105" s="1"/>
      <c r="Y105" s="1"/>
      <c r="Z105" s="1"/>
      <c r="AA105" s="1"/>
      <c r="AB105" s="1"/>
      <c r="AC105" s="1"/>
      <c r="AD105" s="1"/>
      <c r="AE105" s="1"/>
      <c r="AF105" s="1"/>
      <c r="AG105" s="1"/>
      <c r="AH105" s="1"/>
      <c r="AI105" s="1"/>
      <c r="AJ105" s="1"/>
      <c r="AK105" s="1"/>
      <c r="AL105" s="1"/>
      <c r="AM105" s="1"/>
      <c r="AN105" s="1"/>
      <c r="AO105" s="1"/>
      <c r="AP105" s="1"/>
      <c r="AQ105" s="1"/>
      <c r="AR105" s="1"/>
      <c r="AS105" s="1"/>
      <c r="AT105" s="1"/>
    </row>
    <row r="106" spans="1:46" ht="18" customHeight="1" collapsed="1" x14ac:dyDescent="0.35">
      <c r="A106" s="1"/>
      <c r="B106" s="1"/>
      <c r="C106" s="1"/>
      <c r="D106" s="1"/>
      <c r="E106" s="1"/>
      <c r="F106" s="1"/>
      <c r="G106" s="1"/>
      <c r="H106" s="1"/>
      <c r="I106" s="1"/>
      <c r="J106" s="1"/>
      <c r="K106" s="1"/>
      <c r="L106" s="1"/>
      <c r="M106" s="1"/>
      <c r="N106" s="2"/>
      <c r="O106" s="2"/>
      <c r="P106" s="2"/>
      <c r="Q106" s="1"/>
      <c r="R106" s="1"/>
      <c r="S106" s="1"/>
      <c r="T106" s="1"/>
      <c r="U106" s="5"/>
      <c r="V106" s="5"/>
      <c r="W106" s="5"/>
      <c r="X106" s="1"/>
      <c r="Y106" s="1"/>
      <c r="Z106" s="1"/>
      <c r="AA106" s="1"/>
      <c r="AB106" s="1"/>
      <c r="AC106" s="1"/>
      <c r="AD106" s="1"/>
      <c r="AE106" s="1"/>
      <c r="AF106" s="1"/>
      <c r="AG106" s="1"/>
      <c r="AH106" s="1"/>
      <c r="AI106" s="1"/>
      <c r="AJ106" s="1"/>
      <c r="AK106" s="1"/>
      <c r="AL106" s="1"/>
      <c r="AM106" s="1"/>
      <c r="AN106" s="1"/>
      <c r="AO106" s="1"/>
      <c r="AP106" s="1"/>
      <c r="AQ106" s="1"/>
      <c r="AR106" s="1"/>
      <c r="AS106" s="1"/>
      <c r="AT106" s="1"/>
    </row>
    <row r="107" spans="1:46" ht="18" customHeight="1" x14ac:dyDescent="0.35">
      <c r="A107" s="1"/>
      <c r="B107" s="1"/>
      <c r="C107" s="1"/>
      <c r="D107" s="1"/>
      <c r="E107" s="1"/>
      <c r="F107" s="1"/>
      <c r="G107" s="1"/>
      <c r="H107" s="1"/>
      <c r="I107" s="1"/>
      <c r="J107" s="1"/>
      <c r="K107" s="1"/>
      <c r="L107" s="1"/>
      <c r="M107" s="1"/>
      <c r="N107" s="2"/>
      <c r="O107" s="2"/>
      <c r="P107" s="2"/>
      <c r="Q107" s="1"/>
      <c r="R107" s="1"/>
      <c r="S107" s="1"/>
      <c r="T107" s="1"/>
      <c r="U107" s="5"/>
      <c r="V107" s="5"/>
      <c r="W107" s="5"/>
      <c r="X107" s="1"/>
      <c r="Y107" s="1"/>
      <c r="Z107" s="1"/>
      <c r="AA107" s="1"/>
      <c r="AB107" s="1"/>
      <c r="AC107" s="1"/>
      <c r="AD107" s="1"/>
      <c r="AE107" s="1"/>
      <c r="AF107" s="1"/>
      <c r="AG107" s="1"/>
      <c r="AH107" s="1"/>
      <c r="AI107" s="1"/>
      <c r="AJ107" s="1"/>
      <c r="AK107" s="1"/>
      <c r="AL107" s="1"/>
      <c r="AM107" s="1"/>
      <c r="AN107" s="1"/>
      <c r="AO107" s="1"/>
      <c r="AP107" s="1"/>
      <c r="AQ107" s="1"/>
      <c r="AR107" s="1"/>
      <c r="AS107" s="1"/>
      <c r="AT107" s="1"/>
    </row>
    <row r="108" spans="1:46" ht="18" customHeight="1" x14ac:dyDescent="0.35">
      <c r="A108" s="1"/>
      <c r="B108" s="1"/>
      <c r="C108" s="1"/>
      <c r="D108" s="1"/>
      <c r="E108" s="1"/>
      <c r="F108" s="1"/>
      <c r="G108" s="1"/>
      <c r="H108" s="1"/>
      <c r="I108" s="1"/>
      <c r="J108" s="1"/>
      <c r="K108" s="1"/>
      <c r="L108" s="1"/>
      <c r="M108" s="1"/>
      <c r="N108" s="2"/>
      <c r="O108" s="2"/>
      <c r="P108" s="2"/>
      <c r="Q108" s="1"/>
      <c r="R108" s="1"/>
      <c r="S108" s="1"/>
      <c r="T108" s="1"/>
      <c r="U108" s="5"/>
      <c r="V108" s="5"/>
      <c r="W108" s="5"/>
      <c r="X108" s="1"/>
      <c r="Y108" s="1"/>
      <c r="Z108" s="1"/>
      <c r="AA108" s="1"/>
      <c r="AB108" s="1"/>
      <c r="AC108" s="1"/>
      <c r="AD108" s="1"/>
      <c r="AE108" s="1"/>
      <c r="AF108" s="1"/>
      <c r="AG108" s="1"/>
      <c r="AH108" s="1"/>
      <c r="AI108" s="1"/>
      <c r="AJ108" s="1"/>
      <c r="AK108" s="1"/>
      <c r="AL108" s="1"/>
      <c r="AM108" s="1"/>
      <c r="AN108" s="1"/>
      <c r="AO108" s="1"/>
      <c r="AP108" s="1"/>
      <c r="AQ108" s="1"/>
      <c r="AR108" s="1"/>
      <c r="AS108" s="1"/>
      <c r="AT108" s="1"/>
    </row>
    <row r="109" spans="1:46" ht="18" customHeight="1" x14ac:dyDescent="0.35">
      <c r="A109" s="1"/>
      <c r="B109" s="1"/>
      <c r="C109" s="1"/>
      <c r="D109" s="1"/>
      <c r="E109" s="1"/>
      <c r="F109" s="1"/>
      <c r="G109" s="1"/>
      <c r="H109" s="1"/>
      <c r="I109" s="1"/>
      <c r="J109" s="1"/>
      <c r="K109" s="1"/>
      <c r="L109" s="1"/>
      <c r="M109" s="1"/>
      <c r="N109" s="2"/>
      <c r="O109" s="2"/>
      <c r="P109" s="2"/>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row>
    <row r="110" spans="1:46" ht="18" customHeight="1" x14ac:dyDescent="0.35">
      <c r="A110" s="1"/>
      <c r="B110" s="1"/>
      <c r="C110" s="1"/>
      <c r="D110" s="1"/>
      <c r="E110" s="1"/>
      <c r="F110" s="1"/>
      <c r="G110" s="1"/>
      <c r="H110" s="1"/>
      <c r="I110" s="1"/>
      <c r="J110" s="1"/>
      <c r="K110" s="1"/>
      <c r="L110" s="1"/>
      <c r="M110" s="1"/>
      <c r="N110" s="2"/>
      <c r="O110" s="2"/>
      <c r="P110" s="2"/>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row>
    <row r="111" spans="1:46" ht="18" customHeight="1" collapsed="1" x14ac:dyDescent="0.35">
      <c r="A111" s="1"/>
      <c r="B111" s="1"/>
      <c r="C111" s="1"/>
      <c r="D111" s="1"/>
      <c r="E111" s="1"/>
      <c r="F111" s="1"/>
      <c r="G111" s="1"/>
      <c r="H111" s="1"/>
      <c r="I111" s="1"/>
      <c r="J111" s="1"/>
      <c r="K111" s="1"/>
      <c r="L111" s="1"/>
      <c r="M111" s="1"/>
      <c r="N111" s="2"/>
      <c r="O111" s="2"/>
      <c r="P111" s="2"/>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row>
    <row r="112" spans="1:46" ht="18" customHeight="1" x14ac:dyDescent="0.35">
      <c r="A112" s="1"/>
      <c r="B112" s="1"/>
      <c r="C112" s="1"/>
      <c r="D112" s="1"/>
      <c r="E112" s="1"/>
      <c r="F112" s="1"/>
      <c r="G112" s="1"/>
      <c r="H112" s="1"/>
      <c r="I112" s="1"/>
      <c r="J112" s="1"/>
      <c r="K112" s="1"/>
      <c r="L112" s="1"/>
      <c r="M112" s="1"/>
      <c r="N112" s="2"/>
      <c r="O112" s="2"/>
      <c r="P112" s="2"/>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row>
    <row r="113" spans="1:46" ht="18" customHeight="1" x14ac:dyDescent="0.35">
      <c r="A113" s="1"/>
      <c r="B113" s="1"/>
      <c r="C113" s="1"/>
      <c r="D113" s="1"/>
      <c r="E113" s="1"/>
      <c r="F113" s="1"/>
      <c r="G113" s="1"/>
      <c r="H113" s="1"/>
      <c r="I113" s="1"/>
      <c r="J113" s="1"/>
      <c r="K113" s="1"/>
      <c r="L113" s="1"/>
      <c r="M113" s="1"/>
      <c r="N113" s="2"/>
      <c r="O113" s="2"/>
      <c r="P113" s="2"/>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row>
    <row r="114" spans="1:46" ht="18" customHeight="1" x14ac:dyDescent="0.35">
      <c r="A114" s="1"/>
      <c r="B114" s="1"/>
      <c r="C114" s="1"/>
      <c r="D114" s="1"/>
      <c r="E114" s="1"/>
      <c r="F114" s="1"/>
      <c r="G114" s="1"/>
      <c r="H114" s="1"/>
      <c r="I114" s="1"/>
      <c r="J114" s="1"/>
      <c r="K114" s="1"/>
      <c r="L114" s="1"/>
      <c r="M114" s="1"/>
      <c r="N114" s="2"/>
      <c r="O114" s="2"/>
      <c r="P114" s="2"/>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row>
    <row r="115" spans="1:46" ht="18" customHeight="1" x14ac:dyDescent="0.35">
      <c r="A115" s="1"/>
      <c r="B115" s="1"/>
      <c r="C115" s="1"/>
      <c r="D115" s="1"/>
      <c r="E115" s="1"/>
      <c r="F115" s="1"/>
      <c r="G115" s="1"/>
      <c r="H115" s="1"/>
      <c r="I115" s="1"/>
      <c r="J115" s="1"/>
      <c r="K115" s="1"/>
      <c r="L115" s="1"/>
      <c r="M115" s="1"/>
      <c r="N115" s="2"/>
      <c r="O115" s="2"/>
      <c r="P115" s="2"/>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row>
    <row r="116" spans="1:46" ht="18" customHeight="1" x14ac:dyDescent="0.35">
      <c r="A116" s="1"/>
      <c r="B116" s="1"/>
      <c r="C116" s="1"/>
      <c r="D116" s="1"/>
      <c r="E116" s="1"/>
      <c r="F116" s="1"/>
      <c r="G116" s="1"/>
      <c r="H116" s="1"/>
      <c r="I116" s="1"/>
      <c r="J116" s="1"/>
      <c r="K116" s="1"/>
      <c r="L116" s="1"/>
      <c r="M116" s="1"/>
      <c r="N116" s="2"/>
      <c r="O116" s="2"/>
      <c r="P116" s="2"/>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row>
    <row r="117" spans="1:46" ht="18" customHeight="1" x14ac:dyDescent="0.35">
      <c r="A117" s="1"/>
      <c r="B117" s="23"/>
      <c r="C117" s="12"/>
      <c r="D117" s="12"/>
      <c r="E117" s="12"/>
      <c r="F117" s="12"/>
      <c r="G117" s="12"/>
      <c r="H117" s="12"/>
      <c r="I117" s="12"/>
      <c r="J117" s="12"/>
      <c r="K117" s="12"/>
      <c r="L117" s="12"/>
      <c r="M117" s="12"/>
      <c r="N117" s="2"/>
      <c r="O117" s="2"/>
      <c r="P117" s="2"/>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row>
    <row r="118" spans="1:46" ht="18" customHeight="1" collapsed="1" x14ac:dyDescent="0.35">
      <c r="A118" s="1"/>
      <c r="B118" s="23"/>
      <c r="C118" s="12"/>
      <c r="D118" s="12"/>
      <c r="E118" s="12"/>
      <c r="F118" s="12"/>
      <c r="G118" s="12"/>
      <c r="H118" s="12"/>
      <c r="I118" s="12"/>
      <c r="J118" s="12"/>
      <c r="K118" s="12"/>
      <c r="L118" s="12"/>
      <c r="M118" s="12"/>
      <c r="N118" s="2"/>
      <c r="O118" s="2"/>
      <c r="P118" s="2"/>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row>
    <row r="119" spans="1:46" ht="18" customHeight="1" x14ac:dyDescent="0.35">
      <c r="A119" s="1"/>
      <c r="B119" s="23"/>
      <c r="C119" s="12"/>
      <c r="D119" s="12"/>
      <c r="E119" s="12"/>
      <c r="F119" s="12"/>
      <c r="G119" s="12"/>
      <c r="H119" s="12"/>
      <c r="I119" s="12"/>
      <c r="J119" s="12"/>
      <c r="K119" s="12"/>
      <c r="L119" s="12"/>
      <c r="M119" s="12"/>
      <c r="N119" s="2"/>
      <c r="O119" s="2"/>
      <c r="P119" s="2"/>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row>
    <row r="120" spans="1:46" ht="18" customHeight="1" x14ac:dyDescent="0.35">
      <c r="A120" s="1"/>
      <c r="B120" s="23"/>
      <c r="C120" s="12"/>
      <c r="D120" s="12"/>
      <c r="E120" s="12"/>
      <c r="F120" s="12"/>
      <c r="G120" s="12"/>
      <c r="H120" s="12"/>
      <c r="I120" s="12"/>
      <c r="J120" s="12"/>
      <c r="K120" s="12"/>
      <c r="L120" s="12"/>
      <c r="M120" s="12"/>
      <c r="N120" s="2"/>
      <c r="O120" s="2"/>
      <c r="P120" s="2"/>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row>
    <row r="121" spans="1:46" ht="18" customHeight="1" collapsed="1" x14ac:dyDescent="0.35">
      <c r="A121" s="1"/>
      <c r="B121" s="23"/>
      <c r="C121" s="12"/>
      <c r="D121" s="12"/>
      <c r="E121" s="12"/>
      <c r="F121" s="12"/>
      <c r="G121" s="12"/>
      <c r="H121" s="12"/>
      <c r="I121" s="12"/>
      <c r="J121" s="12"/>
      <c r="K121" s="12"/>
      <c r="L121" s="12"/>
      <c r="M121" s="12"/>
      <c r="N121" s="2"/>
      <c r="O121" s="2"/>
      <c r="P121" s="2"/>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row>
    <row r="122" spans="1:46" ht="18" customHeight="1" x14ac:dyDescent="0.35">
      <c r="A122" s="1"/>
      <c r="B122" s="23"/>
      <c r="C122" s="12"/>
      <c r="D122" s="12"/>
      <c r="E122" s="12"/>
      <c r="F122" s="12"/>
      <c r="G122" s="12"/>
      <c r="H122" s="12"/>
      <c r="I122" s="12"/>
      <c r="J122" s="12"/>
      <c r="K122" s="12"/>
      <c r="L122" s="12"/>
      <c r="M122" s="12"/>
      <c r="N122" s="2"/>
      <c r="O122" s="2"/>
      <c r="P122" s="2"/>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row>
    <row r="123" spans="1:46" ht="18" customHeight="1" x14ac:dyDescent="0.35">
      <c r="A123" s="1"/>
      <c r="B123" s="23"/>
      <c r="C123" s="12"/>
      <c r="D123" s="12"/>
      <c r="E123" s="12"/>
      <c r="F123" s="12"/>
      <c r="G123" s="12"/>
      <c r="H123" s="12"/>
      <c r="I123" s="12"/>
      <c r="J123" s="12"/>
      <c r="K123" s="12"/>
      <c r="L123" s="12"/>
      <c r="M123" s="12"/>
      <c r="N123" s="2"/>
      <c r="O123" s="2"/>
      <c r="P123" s="2"/>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row>
    <row r="124" spans="1:46" ht="18" customHeight="1" x14ac:dyDescent="0.35">
      <c r="A124" s="1"/>
      <c r="B124" s="23"/>
      <c r="C124" s="12"/>
      <c r="D124" s="12"/>
      <c r="E124" s="12"/>
      <c r="F124" s="12"/>
      <c r="G124" s="12"/>
      <c r="H124" s="12"/>
      <c r="I124" s="12"/>
      <c r="J124" s="12"/>
      <c r="K124" s="12"/>
      <c r="L124" s="12"/>
      <c r="M124" s="12"/>
      <c r="N124" s="2"/>
      <c r="O124" s="2"/>
      <c r="P124" s="2"/>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row>
    <row r="125" spans="1:46" ht="18" customHeight="1" x14ac:dyDescent="0.35">
      <c r="A125" s="1"/>
      <c r="B125" s="23"/>
      <c r="C125" s="12"/>
      <c r="D125" s="12"/>
      <c r="E125" s="12"/>
      <c r="F125" s="12"/>
      <c r="G125" s="12"/>
      <c r="H125" s="12"/>
      <c r="I125" s="12"/>
      <c r="J125" s="12"/>
      <c r="K125" s="12"/>
      <c r="L125" s="12"/>
      <c r="M125" s="12"/>
      <c r="N125" s="2"/>
      <c r="O125" s="2"/>
      <c r="P125" s="2"/>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row>
    <row r="126" spans="1:46" ht="18" customHeight="1" x14ac:dyDescent="0.35">
      <c r="A126" s="1"/>
      <c r="B126" s="23"/>
      <c r="C126" s="12"/>
      <c r="D126" s="12"/>
      <c r="E126" s="12"/>
      <c r="F126" s="12"/>
      <c r="G126" s="12"/>
      <c r="H126" s="12"/>
      <c r="I126" s="12"/>
      <c r="J126" s="12"/>
      <c r="K126" s="12"/>
      <c r="L126" s="12"/>
      <c r="M126" s="12"/>
      <c r="N126" s="2"/>
      <c r="O126" s="2"/>
      <c r="P126" s="2"/>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row>
    <row r="127" spans="1:46" ht="18" customHeight="1" collapsed="1" x14ac:dyDescent="0.35">
      <c r="A127" s="1"/>
      <c r="B127" s="23"/>
      <c r="C127" s="12"/>
      <c r="D127" s="12"/>
      <c r="E127" s="12"/>
      <c r="F127" s="12"/>
      <c r="G127" s="12"/>
      <c r="H127" s="12"/>
      <c r="I127" s="12"/>
      <c r="J127" s="12"/>
      <c r="K127" s="12"/>
      <c r="L127" s="12"/>
      <c r="M127" s="12"/>
      <c r="N127" s="2"/>
      <c r="O127" s="2"/>
      <c r="P127" s="2"/>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row>
    <row r="128" spans="1:46" ht="18" customHeight="1" x14ac:dyDescent="0.35">
      <c r="A128" s="1"/>
      <c r="B128" s="23"/>
      <c r="C128" s="12"/>
      <c r="D128" s="12"/>
      <c r="E128" s="12"/>
      <c r="F128" s="12"/>
      <c r="G128" s="12"/>
      <c r="H128" s="12"/>
      <c r="I128" s="12"/>
      <c r="J128" s="12"/>
      <c r="K128" s="12"/>
      <c r="L128" s="12"/>
      <c r="M128" s="12"/>
      <c r="N128" s="2"/>
      <c r="O128" s="2"/>
      <c r="P128" s="2"/>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row>
    <row r="129" spans="1:46" ht="18" customHeight="1" x14ac:dyDescent="0.35">
      <c r="A129" s="1"/>
      <c r="B129" s="23"/>
      <c r="C129" s="12"/>
      <c r="D129" s="12"/>
      <c r="E129" s="12"/>
      <c r="F129" s="12"/>
      <c r="G129" s="12"/>
      <c r="H129" s="12"/>
      <c r="I129" s="12"/>
      <c r="J129" s="12"/>
      <c r="K129" s="12"/>
      <c r="L129" s="12"/>
      <c r="M129" s="12"/>
      <c r="N129" s="2"/>
      <c r="O129" s="2"/>
      <c r="P129" s="2"/>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row>
    <row r="130" spans="1:46" ht="18" customHeight="1" x14ac:dyDescent="0.35">
      <c r="A130" s="1"/>
      <c r="B130" s="23"/>
      <c r="C130" s="12"/>
      <c r="D130" s="12"/>
      <c r="E130" s="12"/>
      <c r="F130" s="12"/>
      <c r="G130" s="12"/>
      <c r="H130" s="12"/>
      <c r="I130" s="12"/>
      <c r="J130" s="12"/>
      <c r="K130" s="12"/>
      <c r="L130" s="12"/>
      <c r="M130" s="12"/>
      <c r="N130" s="2"/>
      <c r="O130" s="2"/>
      <c r="P130" s="2"/>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row>
    <row r="131" spans="1:46" ht="18" customHeight="1" x14ac:dyDescent="0.35">
      <c r="A131" s="1"/>
      <c r="B131" s="23"/>
      <c r="C131" s="12"/>
      <c r="D131" s="12"/>
      <c r="E131" s="12"/>
      <c r="F131" s="12"/>
      <c r="G131" s="12"/>
      <c r="H131" s="12"/>
      <c r="I131" s="12"/>
      <c r="J131" s="12"/>
      <c r="K131" s="12"/>
      <c r="L131" s="12"/>
      <c r="M131" s="12"/>
      <c r="N131" s="2"/>
      <c r="O131" s="2"/>
      <c r="P131" s="2"/>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row>
    <row r="132" spans="1:46" ht="18" customHeight="1" collapsed="1" x14ac:dyDescent="0.35">
      <c r="A132" s="1"/>
      <c r="B132" s="23"/>
      <c r="C132" s="12"/>
      <c r="D132" s="12"/>
      <c r="E132" s="12"/>
      <c r="F132" s="12"/>
      <c r="G132" s="12"/>
      <c r="H132" s="12"/>
      <c r="I132" s="12"/>
      <c r="J132" s="12"/>
      <c r="K132" s="12"/>
      <c r="L132" s="12"/>
      <c r="M132" s="12"/>
      <c r="N132" s="2"/>
      <c r="O132" s="2"/>
      <c r="P132" s="2"/>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row>
    <row r="133" spans="1:46" ht="18" customHeight="1" x14ac:dyDescent="0.35">
      <c r="A133" s="1"/>
      <c r="B133" s="23"/>
      <c r="C133" s="12"/>
      <c r="D133" s="12"/>
      <c r="E133" s="12"/>
      <c r="F133" s="12"/>
      <c r="G133" s="12"/>
      <c r="H133" s="12"/>
      <c r="I133" s="12"/>
      <c r="J133" s="12"/>
      <c r="K133" s="12"/>
      <c r="L133" s="12"/>
      <c r="M133" s="12"/>
      <c r="N133" s="2"/>
      <c r="O133" s="2"/>
      <c r="P133" s="2"/>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row>
    <row r="134" spans="1:46" ht="18" customHeight="1" x14ac:dyDescent="0.35">
      <c r="A134" s="1"/>
      <c r="B134" s="23"/>
      <c r="C134" s="12"/>
      <c r="D134" s="12"/>
      <c r="E134" s="12"/>
      <c r="F134" s="12"/>
      <c r="G134" s="12"/>
      <c r="H134" s="12"/>
      <c r="I134" s="12"/>
      <c r="J134" s="12"/>
      <c r="K134" s="12"/>
      <c r="L134" s="12"/>
      <c r="M134" s="12"/>
      <c r="N134" s="2"/>
      <c r="O134" s="2"/>
      <c r="P134" s="2"/>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row>
    <row r="135" spans="1:46" ht="18" customHeight="1" x14ac:dyDescent="0.35">
      <c r="A135" s="1"/>
      <c r="B135" s="23"/>
      <c r="C135" s="12"/>
      <c r="D135" s="12"/>
      <c r="E135" s="12"/>
      <c r="F135" s="12"/>
      <c r="G135" s="12"/>
      <c r="H135" s="12"/>
      <c r="I135" s="12"/>
      <c r="J135" s="12"/>
      <c r="K135" s="12"/>
      <c r="L135" s="12"/>
      <c r="M135" s="12"/>
      <c r="N135" s="2"/>
      <c r="O135" s="2"/>
      <c r="P135" s="2"/>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row>
    <row r="136" spans="1:46" ht="18" customHeight="1" x14ac:dyDescent="0.35">
      <c r="A136" s="1"/>
      <c r="B136" s="23"/>
      <c r="C136" s="12"/>
      <c r="D136" s="12"/>
      <c r="E136" s="12"/>
      <c r="F136" s="12"/>
      <c r="G136" s="12"/>
      <c r="H136" s="12"/>
      <c r="I136" s="12"/>
      <c r="J136" s="12"/>
      <c r="K136" s="12"/>
      <c r="L136" s="12"/>
      <c r="M136" s="12"/>
      <c r="N136" s="2"/>
      <c r="O136" s="2"/>
      <c r="P136" s="2"/>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row>
    <row r="137" spans="1:46" ht="18" customHeight="1" x14ac:dyDescent="0.35">
      <c r="A137" s="1"/>
      <c r="B137" s="23"/>
      <c r="C137" s="12"/>
      <c r="D137" s="12"/>
      <c r="E137" s="12"/>
      <c r="F137" s="12"/>
      <c r="G137" s="12"/>
      <c r="H137" s="12"/>
      <c r="I137" s="12"/>
      <c r="J137" s="12"/>
      <c r="K137" s="12"/>
      <c r="L137" s="12"/>
      <c r="M137" s="12"/>
      <c r="N137" s="2"/>
      <c r="O137" s="2"/>
      <c r="P137" s="2"/>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row>
    <row r="138" spans="1:46" ht="18" customHeight="1" x14ac:dyDescent="0.35">
      <c r="A138" s="1"/>
      <c r="B138" s="23"/>
      <c r="C138" s="12"/>
      <c r="D138" s="12"/>
      <c r="E138" s="12"/>
      <c r="F138" s="12"/>
      <c r="G138" s="12"/>
      <c r="H138" s="12"/>
      <c r="I138" s="12"/>
      <c r="J138" s="12"/>
      <c r="K138" s="12"/>
      <c r="L138" s="12"/>
      <c r="M138" s="12"/>
      <c r="N138" s="2"/>
      <c r="O138" s="2"/>
      <c r="P138" s="2"/>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row>
    <row r="139" spans="1:46" ht="18" customHeight="1" x14ac:dyDescent="0.35">
      <c r="A139" s="1"/>
      <c r="B139" s="23"/>
      <c r="C139" s="12"/>
      <c r="D139" s="12"/>
      <c r="E139" s="12"/>
      <c r="F139" s="12"/>
      <c r="G139" s="12"/>
      <c r="H139" s="12"/>
      <c r="I139" s="12"/>
      <c r="J139" s="12"/>
      <c r="K139" s="12"/>
      <c r="L139" s="12"/>
      <c r="M139" s="12"/>
      <c r="N139" s="2"/>
      <c r="O139" s="2"/>
      <c r="P139" s="2"/>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row>
    <row r="140" spans="1:46" ht="18" customHeight="1" x14ac:dyDescent="0.35">
      <c r="A140" s="1"/>
      <c r="B140" s="23"/>
      <c r="C140" s="12"/>
      <c r="D140" s="12"/>
      <c r="E140" s="12"/>
      <c r="F140" s="12"/>
      <c r="G140" s="12"/>
      <c r="H140" s="12"/>
      <c r="I140" s="12"/>
      <c r="J140" s="12"/>
      <c r="K140" s="12"/>
      <c r="L140" s="12"/>
      <c r="M140" s="12"/>
      <c r="N140" s="2"/>
      <c r="O140" s="2"/>
      <c r="P140" s="2"/>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row>
    <row r="141" spans="1:46" ht="18" customHeight="1" collapsed="1" x14ac:dyDescent="0.35">
      <c r="A141" s="1"/>
      <c r="B141" s="23"/>
      <c r="C141" s="12"/>
      <c r="D141" s="12"/>
      <c r="E141" s="12"/>
      <c r="F141" s="12"/>
      <c r="G141" s="12"/>
      <c r="H141" s="12"/>
      <c r="I141" s="12"/>
      <c r="J141" s="12"/>
      <c r="K141" s="12"/>
      <c r="L141" s="12"/>
      <c r="M141" s="12"/>
      <c r="N141" s="2"/>
      <c r="O141" s="2"/>
      <c r="P141" s="2"/>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row>
    <row r="142" spans="1:46" ht="18" customHeight="1" x14ac:dyDescent="0.35">
      <c r="A142" s="1"/>
      <c r="B142" s="23"/>
      <c r="C142" s="12"/>
      <c r="D142" s="12"/>
      <c r="E142" s="12"/>
      <c r="F142" s="12"/>
      <c r="G142" s="12"/>
      <c r="H142" s="12"/>
      <c r="I142" s="12"/>
      <c r="J142" s="12"/>
      <c r="K142" s="12"/>
      <c r="L142" s="12"/>
      <c r="M142" s="12"/>
      <c r="N142" s="2"/>
      <c r="O142" s="2"/>
      <c r="P142" s="2"/>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row>
    <row r="143" spans="1:46" ht="18" customHeight="1" x14ac:dyDescent="0.35">
      <c r="A143" s="1"/>
      <c r="B143" s="23"/>
      <c r="C143" s="12"/>
      <c r="D143" s="12"/>
      <c r="E143" s="12"/>
      <c r="F143" s="12"/>
      <c r="G143" s="12"/>
      <c r="H143" s="12"/>
      <c r="I143" s="12"/>
      <c r="J143" s="12"/>
      <c r="K143" s="12"/>
      <c r="L143" s="12"/>
      <c r="M143" s="12"/>
      <c r="N143" s="2"/>
      <c r="O143" s="2"/>
      <c r="P143" s="2"/>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row>
    <row r="144" spans="1:46" ht="18" customHeight="1" collapsed="1" x14ac:dyDescent="0.35">
      <c r="A144" s="1"/>
      <c r="B144" s="23"/>
      <c r="C144" s="2"/>
      <c r="D144" s="2"/>
      <c r="E144" s="2"/>
      <c r="F144" s="2"/>
      <c r="G144" s="2"/>
      <c r="H144" s="2"/>
      <c r="I144" s="2"/>
      <c r="J144" s="2"/>
      <c r="K144" s="2"/>
      <c r="L144" s="2"/>
      <c r="M144" s="2"/>
      <c r="N144" s="2"/>
      <c r="O144" s="2"/>
      <c r="P144" s="2"/>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row>
    <row r="145" spans="1:46" ht="18" customHeight="1" x14ac:dyDescent="0.35">
      <c r="A145" s="1"/>
      <c r="B145" s="23"/>
      <c r="C145" s="19"/>
      <c r="D145" s="19"/>
      <c r="E145" s="19"/>
      <c r="F145" s="19"/>
      <c r="G145" s="19"/>
      <c r="H145" s="19"/>
      <c r="I145" s="19"/>
      <c r="J145" s="19"/>
      <c r="K145" s="19"/>
      <c r="L145" s="19"/>
      <c r="M145" s="19"/>
      <c r="N145" s="2"/>
      <c r="O145" s="2"/>
      <c r="P145" s="2"/>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row>
    <row r="146" spans="1:46" ht="18" customHeight="1" x14ac:dyDescent="0.35">
      <c r="A146" s="1"/>
      <c r="B146" s="23"/>
      <c r="C146" s="12"/>
      <c r="D146" s="12"/>
      <c r="E146" s="12"/>
      <c r="F146" s="12"/>
      <c r="G146" s="12"/>
      <c r="H146" s="12"/>
      <c r="I146" s="12"/>
      <c r="J146" s="12"/>
      <c r="K146" s="12"/>
      <c r="L146" s="12"/>
      <c r="M146" s="12"/>
      <c r="N146" s="2"/>
      <c r="O146" s="2"/>
      <c r="P146" s="2"/>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row>
    <row r="147" spans="1:46" ht="18" customHeight="1" x14ac:dyDescent="0.35">
      <c r="A147" s="1"/>
      <c r="B147" s="23"/>
      <c r="C147" s="12"/>
      <c r="D147" s="12"/>
      <c r="E147" s="12"/>
      <c r="F147" s="12"/>
      <c r="G147" s="12"/>
      <c r="H147" s="12"/>
      <c r="I147" s="12"/>
      <c r="J147" s="12"/>
      <c r="K147" s="12"/>
      <c r="L147" s="12"/>
      <c r="M147" s="12"/>
      <c r="N147" s="2"/>
      <c r="O147" s="2"/>
      <c r="P147" s="2"/>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row>
    <row r="148" spans="1:46" ht="18" customHeight="1" x14ac:dyDescent="0.35">
      <c r="A148" s="1"/>
      <c r="B148" s="23"/>
      <c r="C148" s="12"/>
      <c r="D148" s="12"/>
      <c r="E148" s="12"/>
      <c r="F148" s="12"/>
      <c r="G148" s="12"/>
      <c r="H148" s="12"/>
      <c r="I148" s="12"/>
      <c r="J148" s="12"/>
      <c r="K148" s="12"/>
      <c r="L148" s="12"/>
      <c r="M148" s="12"/>
      <c r="N148" s="2"/>
      <c r="O148" s="2"/>
      <c r="P148" s="2"/>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row>
    <row r="149" spans="1:46" ht="18" customHeight="1" collapsed="1" x14ac:dyDescent="0.35">
      <c r="A149" s="1"/>
      <c r="B149" s="23"/>
      <c r="C149" s="12"/>
      <c r="D149" s="12"/>
      <c r="E149" s="12"/>
      <c r="F149" s="12"/>
      <c r="G149" s="12"/>
      <c r="H149" s="12"/>
      <c r="I149" s="12"/>
      <c r="J149" s="12"/>
      <c r="K149" s="12"/>
      <c r="L149" s="12"/>
      <c r="M149" s="12"/>
      <c r="N149" s="2"/>
      <c r="O149" s="2"/>
      <c r="P149" s="2"/>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row>
    <row r="150" spans="1:46" ht="18" customHeight="1" x14ac:dyDescent="0.35">
      <c r="A150" s="1"/>
      <c r="B150" s="23"/>
      <c r="C150" s="16"/>
      <c r="D150" s="16"/>
      <c r="E150" s="16"/>
      <c r="F150" s="16"/>
      <c r="G150" s="16"/>
      <c r="H150" s="16"/>
      <c r="I150" s="16"/>
      <c r="J150" s="16"/>
      <c r="K150" s="16"/>
      <c r="L150" s="16"/>
      <c r="M150" s="16"/>
      <c r="N150" s="2"/>
      <c r="O150" s="2"/>
      <c r="P150" s="2"/>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row>
    <row r="151" spans="1:46" ht="18" customHeight="1" x14ac:dyDescent="0.35">
      <c r="A151" s="1"/>
      <c r="B151" s="23"/>
      <c r="C151" s="12"/>
      <c r="D151" s="12"/>
      <c r="E151" s="12"/>
      <c r="F151" s="12"/>
      <c r="G151" s="12"/>
      <c r="H151" s="12"/>
      <c r="I151" s="12"/>
      <c r="J151" s="12"/>
      <c r="K151" s="12"/>
      <c r="L151" s="12"/>
      <c r="M151" s="12"/>
      <c r="N151" s="2"/>
      <c r="O151" s="2"/>
      <c r="P151" s="2"/>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row>
    <row r="152" spans="1:46" ht="18" customHeight="1" x14ac:dyDescent="0.35">
      <c r="A152" s="1"/>
      <c r="B152" s="23"/>
      <c r="C152" s="12"/>
      <c r="D152" s="12"/>
      <c r="E152" s="12"/>
      <c r="F152" s="12"/>
      <c r="G152" s="12"/>
      <c r="H152" s="12"/>
      <c r="I152" s="12"/>
      <c r="J152" s="12"/>
      <c r="K152" s="12"/>
      <c r="L152" s="12"/>
      <c r="M152" s="12"/>
      <c r="N152" s="2"/>
      <c r="O152" s="2"/>
      <c r="P152" s="2"/>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row>
    <row r="153" spans="1:46" ht="18" customHeight="1" x14ac:dyDescent="0.35">
      <c r="A153" s="1"/>
      <c r="B153" s="23"/>
      <c r="C153" s="12"/>
      <c r="D153" s="12"/>
      <c r="E153" s="12"/>
      <c r="F153" s="12"/>
      <c r="G153" s="12"/>
      <c r="H153" s="12"/>
      <c r="I153" s="12"/>
      <c r="J153" s="12"/>
      <c r="K153" s="12"/>
      <c r="L153" s="12"/>
      <c r="M153" s="12"/>
      <c r="N153" s="2"/>
      <c r="O153" s="2"/>
      <c r="P153" s="2"/>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row>
    <row r="154" spans="1:46" ht="18" customHeight="1" collapsed="1" x14ac:dyDescent="0.35">
      <c r="A154" s="1"/>
      <c r="B154" s="23"/>
      <c r="C154" s="12"/>
      <c r="D154" s="12"/>
      <c r="E154" s="12"/>
      <c r="F154" s="12"/>
      <c r="G154" s="12"/>
      <c r="H154" s="12"/>
      <c r="I154" s="12"/>
      <c r="J154" s="12"/>
      <c r="K154" s="12"/>
      <c r="L154" s="12"/>
      <c r="M154" s="12"/>
      <c r="N154" s="2"/>
      <c r="O154" s="2"/>
      <c r="P154" s="2"/>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row>
    <row r="155" spans="1:46" ht="18" customHeight="1" x14ac:dyDescent="0.35">
      <c r="A155" s="1"/>
      <c r="B155" s="23"/>
      <c r="C155" s="12"/>
      <c r="D155" s="12"/>
      <c r="E155" s="12"/>
      <c r="F155" s="12"/>
      <c r="G155" s="12"/>
      <c r="H155" s="12"/>
      <c r="I155" s="12"/>
      <c r="J155" s="12"/>
      <c r="K155" s="12"/>
      <c r="L155" s="12"/>
      <c r="M155" s="12"/>
      <c r="N155" s="2"/>
      <c r="O155" s="2"/>
      <c r="P155" s="2"/>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row>
    <row r="156" spans="1:46" ht="18" customHeight="1" x14ac:dyDescent="0.35">
      <c r="A156" s="1"/>
      <c r="B156" s="23"/>
      <c r="C156" s="12"/>
      <c r="D156" s="12"/>
      <c r="E156" s="12"/>
      <c r="F156" s="12"/>
      <c r="G156" s="12"/>
      <c r="H156" s="12"/>
      <c r="I156" s="12"/>
      <c r="J156" s="12"/>
      <c r="K156" s="12"/>
      <c r="L156" s="12"/>
      <c r="M156" s="12"/>
      <c r="N156" s="2"/>
      <c r="O156" s="2"/>
      <c r="P156" s="2"/>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row>
    <row r="157" spans="1:46" ht="18" customHeight="1" x14ac:dyDescent="0.35">
      <c r="A157" s="1"/>
      <c r="B157" s="23"/>
      <c r="C157" s="12"/>
      <c r="D157" s="12"/>
      <c r="E157" s="12"/>
      <c r="F157" s="12"/>
      <c r="G157" s="12"/>
      <c r="H157" s="12"/>
      <c r="I157" s="12"/>
      <c r="J157" s="12"/>
      <c r="K157" s="12"/>
      <c r="L157" s="12"/>
      <c r="M157" s="12"/>
      <c r="N157" s="2"/>
      <c r="O157" s="2"/>
      <c r="P157" s="2"/>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row>
    <row r="158" spans="1:46" ht="18" customHeight="1" x14ac:dyDescent="0.35">
      <c r="A158" s="1"/>
      <c r="B158" s="23"/>
      <c r="C158" s="12"/>
      <c r="D158" s="12"/>
      <c r="E158" s="12"/>
      <c r="F158" s="12"/>
      <c r="G158" s="12"/>
      <c r="H158" s="12"/>
      <c r="I158" s="12"/>
      <c r="J158" s="12"/>
      <c r="K158" s="12"/>
      <c r="L158" s="12"/>
      <c r="M158" s="12"/>
      <c r="N158" s="2"/>
      <c r="O158" s="2"/>
      <c r="P158" s="2"/>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row>
    <row r="159" spans="1:46" ht="18" customHeight="1" collapsed="1" x14ac:dyDescent="0.35">
      <c r="A159" s="1"/>
      <c r="B159" s="23"/>
      <c r="C159" s="2"/>
      <c r="D159" s="2"/>
      <c r="E159" s="2"/>
      <c r="F159" s="2"/>
      <c r="G159" s="2"/>
      <c r="H159" s="2"/>
      <c r="I159" s="2"/>
      <c r="J159" s="2"/>
      <c r="K159" s="2"/>
      <c r="L159" s="2"/>
      <c r="M159" s="2"/>
      <c r="N159" s="2"/>
      <c r="O159" s="2"/>
      <c r="P159" s="2"/>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row>
    <row r="160" spans="1:46" ht="18" customHeight="1" x14ac:dyDescent="0.35">
      <c r="A160" s="1"/>
      <c r="B160" s="23"/>
      <c r="C160" s="19"/>
      <c r="D160" s="19"/>
      <c r="E160" s="19"/>
      <c r="F160" s="19"/>
      <c r="G160" s="19"/>
      <c r="H160" s="19"/>
      <c r="I160" s="19"/>
      <c r="J160" s="19"/>
      <c r="K160" s="19"/>
      <c r="L160" s="19"/>
      <c r="M160" s="19"/>
      <c r="N160" s="2"/>
      <c r="O160" s="2"/>
      <c r="P160" s="2"/>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row>
    <row r="161" spans="1:46" ht="18" customHeight="1" x14ac:dyDescent="0.35">
      <c r="A161" s="1"/>
      <c r="B161" s="23"/>
      <c r="C161" s="12"/>
      <c r="D161" s="12"/>
      <c r="E161" s="12"/>
      <c r="F161" s="12"/>
      <c r="G161" s="12"/>
      <c r="H161" s="12"/>
      <c r="I161" s="12"/>
      <c r="J161" s="12"/>
      <c r="K161" s="12"/>
      <c r="L161" s="12"/>
      <c r="M161" s="12"/>
      <c r="N161" s="2"/>
      <c r="O161" s="2"/>
      <c r="P161" s="2"/>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row>
    <row r="162" spans="1:46" ht="18" customHeight="1" x14ac:dyDescent="0.35">
      <c r="A162" s="1"/>
      <c r="B162" s="23"/>
      <c r="C162" s="12"/>
      <c r="D162" s="12"/>
      <c r="E162" s="12"/>
      <c r="F162" s="12"/>
      <c r="G162" s="12"/>
      <c r="H162" s="12"/>
      <c r="I162" s="12"/>
      <c r="J162" s="12"/>
      <c r="K162" s="12"/>
      <c r="L162" s="12"/>
      <c r="M162" s="12"/>
      <c r="N162" s="2"/>
      <c r="O162" s="2"/>
      <c r="P162" s="2"/>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row>
    <row r="163" spans="1:46" ht="18" customHeight="1" x14ac:dyDescent="0.35">
      <c r="A163" s="1"/>
      <c r="B163" s="23"/>
      <c r="C163" s="16"/>
      <c r="D163" s="16"/>
      <c r="E163" s="16"/>
      <c r="F163" s="16"/>
      <c r="G163" s="16"/>
      <c r="H163" s="16"/>
      <c r="I163" s="16"/>
      <c r="J163" s="16"/>
      <c r="K163" s="16"/>
      <c r="L163" s="16"/>
      <c r="M163" s="16"/>
      <c r="N163" s="2"/>
      <c r="O163" s="2"/>
      <c r="P163" s="2"/>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row>
    <row r="164" spans="1:46" ht="18" customHeight="1" x14ac:dyDescent="0.35">
      <c r="A164" s="1"/>
      <c r="B164" s="23"/>
      <c r="C164" s="12"/>
      <c r="D164" s="12"/>
      <c r="E164" s="12"/>
      <c r="F164" s="12"/>
      <c r="G164" s="12"/>
      <c r="H164" s="12"/>
      <c r="I164" s="12"/>
      <c r="J164" s="12"/>
      <c r="K164" s="12"/>
      <c r="L164" s="12"/>
      <c r="M164" s="12"/>
      <c r="N164" s="2"/>
      <c r="O164" s="2"/>
      <c r="P164" s="2"/>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row>
    <row r="165" spans="1:46" ht="18" customHeight="1" x14ac:dyDescent="0.35">
      <c r="A165" s="1"/>
      <c r="B165" s="23"/>
      <c r="C165" s="12"/>
      <c r="D165" s="12"/>
      <c r="E165" s="12"/>
      <c r="F165" s="12"/>
      <c r="G165" s="12"/>
      <c r="H165" s="12"/>
      <c r="I165" s="12"/>
      <c r="J165" s="12"/>
      <c r="K165" s="12"/>
      <c r="L165" s="12"/>
      <c r="M165" s="12"/>
      <c r="N165" s="2"/>
      <c r="O165" s="2"/>
      <c r="P165" s="2"/>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row>
    <row r="166" spans="1:46" ht="18" customHeight="1" collapsed="1" x14ac:dyDescent="0.35">
      <c r="A166" s="1"/>
      <c r="B166" s="23"/>
      <c r="C166" s="12"/>
      <c r="D166" s="12"/>
      <c r="E166" s="12"/>
      <c r="F166" s="12"/>
      <c r="G166" s="12"/>
      <c r="H166" s="12"/>
      <c r="I166" s="12"/>
      <c r="J166" s="12"/>
      <c r="K166" s="12"/>
      <c r="L166" s="12"/>
      <c r="M166" s="12"/>
      <c r="N166" s="2"/>
      <c r="O166" s="2"/>
      <c r="P166" s="2"/>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row>
    <row r="167" spans="1:46" ht="18" customHeight="1" x14ac:dyDescent="0.35">
      <c r="A167" s="1"/>
      <c r="B167" s="23"/>
      <c r="C167" s="12"/>
      <c r="D167" s="12"/>
      <c r="E167" s="12"/>
      <c r="F167" s="12"/>
      <c r="G167" s="12"/>
      <c r="H167" s="12"/>
      <c r="I167" s="12"/>
      <c r="J167" s="12"/>
      <c r="K167" s="12"/>
      <c r="L167" s="12"/>
      <c r="M167" s="12"/>
      <c r="N167" s="2"/>
      <c r="O167" s="2"/>
      <c r="P167" s="2"/>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row>
    <row r="168" spans="1:46" ht="18" customHeight="1" x14ac:dyDescent="0.35">
      <c r="A168" s="1"/>
      <c r="B168" s="23"/>
      <c r="C168" s="12"/>
      <c r="D168" s="12"/>
      <c r="E168" s="12"/>
      <c r="F168" s="12"/>
      <c r="G168" s="12"/>
      <c r="H168" s="12"/>
      <c r="I168" s="12"/>
      <c r="J168" s="12"/>
      <c r="K168" s="12"/>
      <c r="L168" s="12"/>
      <c r="M168" s="12"/>
      <c r="N168" s="2"/>
      <c r="O168" s="2"/>
      <c r="P168" s="2"/>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row>
    <row r="169" spans="1:46" ht="18" customHeight="1" x14ac:dyDescent="0.35">
      <c r="A169" s="1"/>
      <c r="B169" s="23"/>
      <c r="C169" s="12"/>
      <c r="D169" s="12"/>
      <c r="E169" s="12"/>
      <c r="F169" s="12"/>
      <c r="G169" s="12"/>
      <c r="H169" s="12"/>
      <c r="I169" s="12"/>
      <c r="J169" s="12"/>
      <c r="K169" s="12"/>
      <c r="L169" s="12"/>
      <c r="M169" s="12"/>
      <c r="N169" s="2"/>
      <c r="O169" s="2"/>
      <c r="P169" s="2"/>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row>
    <row r="170" spans="1:46" ht="18" customHeight="1" x14ac:dyDescent="0.35">
      <c r="A170" s="1"/>
      <c r="B170" s="23"/>
      <c r="C170" s="12"/>
      <c r="D170" s="12"/>
      <c r="E170" s="12"/>
      <c r="F170" s="12"/>
      <c r="G170" s="12"/>
      <c r="H170" s="12"/>
      <c r="I170" s="12"/>
      <c r="J170" s="12"/>
      <c r="K170" s="12"/>
      <c r="L170" s="12"/>
      <c r="M170" s="12"/>
      <c r="N170" s="2"/>
      <c r="O170" s="2"/>
      <c r="P170" s="2"/>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row>
    <row r="171" spans="1:46" ht="18" customHeight="1" collapsed="1" x14ac:dyDescent="0.35">
      <c r="A171" s="1"/>
      <c r="B171" s="23"/>
      <c r="C171" s="16"/>
      <c r="D171" s="16"/>
      <c r="E171" s="16"/>
      <c r="F171" s="16"/>
      <c r="G171" s="16"/>
      <c r="H171" s="16"/>
      <c r="I171" s="16"/>
      <c r="J171" s="16"/>
      <c r="K171" s="16"/>
      <c r="L171" s="16"/>
      <c r="M171" s="16"/>
      <c r="N171" s="2"/>
      <c r="O171" s="2"/>
      <c r="P171" s="2"/>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row>
    <row r="172" spans="1:46" ht="18" customHeight="1" x14ac:dyDescent="0.35">
      <c r="A172" s="1"/>
      <c r="B172" s="23"/>
      <c r="C172" s="16"/>
      <c r="D172" s="16"/>
      <c r="E172" s="16"/>
      <c r="F172" s="16"/>
      <c r="G172" s="16"/>
      <c r="H172" s="16"/>
      <c r="I172" s="16"/>
      <c r="J172" s="16"/>
      <c r="K172" s="16"/>
      <c r="L172" s="16"/>
      <c r="M172" s="16"/>
      <c r="N172" s="2"/>
      <c r="O172" s="2"/>
      <c r="P172" s="2"/>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row>
    <row r="173" spans="1:46" ht="18" customHeight="1" x14ac:dyDescent="0.35">
      <c r="A173" s="1"/>
      <c r="B173" s="23"/>
      <c r="C173" s="16"/>
      <c r="D173" s="16"/>
      <c r="E173" s="16"/>
      <c r="F173" s="16"/>
      <c r="G173" s="16"/>
      <c r="H173" s="16"/>
      <c r="I173" s="16"/>
      <c r="J173" s="16"/>
      <c r="K173" s="16"/>
      <c r="L173" s="16"/>
      <c r="M173" s="16"/>
      <c r="N173" s="2"/>
      <c r="O173" s="2"/>
      <c r="P173" s="2"/>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row>
    <row r="174" spans="1:46" ht="18" customHeight="1" x14ac:dyDescent="0.35">
      <c r="A174" s="1"/>
      <c r="B174" s="23"/>
      <c r="C174" s="12"/>
      <c r="D174" s="12"/>
      <c r="E174" s="12"/>
      <c r="F174" s="12"/>
      <c r="G174" s="12"/>
      <c r="H174" s="12"/>
      <c r="I174" s="12"/>
      <c r="J174" s="12"/>
      <c r="K174" s="12"/>
      <c r="L174" s="12"/>
      <c r="M174" s="12"/>
      <c r="N174" s="2"/>
      <c r="O174" s="2"/>
      <c r="P174" s="2"/>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row>
    <row r="175" spans="1:46" x14ac:dyDescent="0.35">
      <c r="A175" s="1"/>
      <c r="B175" s="1"/>
      <c r="C175" s="2"/>
      <c r="D175" s="2"/>
      <c r="E175" s="2"/>
      <c r="F175" s="2"/>
      <c r="G175" s="2"/>
      <c r="H175" s="2"/>
      <c r="I175" s="2"/>
      <c r="J175" s="2"/>
      <c r="K175" s="2"/>
      <c r="L175" s="2"/>
      <c r="M175" s="2"/>
      <c r="N175" s="2"/>
      <c r="O175" s="2"/>
      <c r="P175" s="2"/>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row>
    <row r="176" spans="1:46" x14ac:dyDescent="0.35">
      <c r="A176" s="1"/>
      <c r="B176" s="1"/>
      <c r="C176" s="2"/>
      <c r="D176" s="2"/>
      <c r="E176" s="2"/>
      <c r="F176" s="2"/>
      <c r="G176" s="2"/>
      <c r="H176" s="2"/>
      <c r="I176" s="2"/>
      <c r="J176" s="2"/>
      <c r="K176" s="2"/>
      <c r="L176" s="2"/>
      <c r="M176" s="2"/>
      <c r="N176" s="2"/>
      <c r="O176" s="2"/>
      <c r="P176" s="2"/>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row>
    <row r="177" spans="1:46" x14ac:dyDescent="0.35">
      <c r="A177" s="1"/>
      <c r="B177" s="1"/>
      <c r="C177" s="2"/>
      <c r="D177" s="2"/>
      <c r="E177" s="2"/>
      <c r="F177" s="2"/>
      <c r="G177" s="2"/>
      <c r="H177" s="2"/>
      <c r="I177" s="2"/>
      <c r="J177" s="2"/>
      <c r="K177" s="2"/>
      <c r="L177" s="2"/>
      <c r="M177" s="2"/>
      <c r="N177" s="2"/>
      <c r="O177" s="2"/>
      <c r="P177" s="2"/>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row>
    <row r="178" spans="1:46" x14ac:dyDescent="0.35">
      <c r="A178" s="1"/>
      <c r="B178" s="1"/>
      <c r="C178" s="2"/>
      <c r="D178" s="2"/>
      <c r="E178" s="2"/>
      <c r="F178" s="2"/>
      <c r="G178" s="2"/>
      <c r="H178" s="2"/>
      <c r="I178" s="2"/>
      <c r="J178" s="2"/>
      <c r="K178" s="2"/>
      <c r="L178" s="2"/>
      <c r="M178" s="2"/>
      <c r="N178" s="2"/>
      <c r="O178" s="2"/>
      <c r="P178" s="2"/>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row>
    <row r="179" spans="1:46" x14ac:dyDescent="0.35">
      <c r="A179" s="1"/>
      <c r="B179" s="1"/>
      <c r="C179" s="2"/>
      <c r="D179" s="2"/>
      <c r="E179" s="2"/>
      <c r="F179" s="2"/>
      <c r="G179" s="2"/>
      <c r="H179" s="2"/>
      <c r="I179" s="2"/>
      <c r="J179" s="2"/>
      <c r="K179" s="2"/>
      <c r="L179" s="2"/>
      <c r="M179" s="2"/>
      <c r="N179" s="2"/>
      <c r="O179" s="2"/>
      <c r="P179" s="2"/>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row>
    <row r="180" spans="1:46" x14ac:dyDescent="0.35">
      <c r="A180" s="1"/>
      <c r="B180" s="1"/>
      <c r="C180" s="2"/>
      <c r="D180" s="2"/>
      <c r="E180" s="2"/>
      <c r="F180" s="2"/>
      <c r="G180" s="2"/>
      <c r="H180" s="2"/>
      <c r="I180" s="2"/>
      <c r="J180" s="2"/>
      <c r="K180" s="2"/>
      <c r="L180" s="2"/>
      <c r="M180" s="2"/>
      <c r="N180" s="2"/>
      <c r="O180" s="2"/>
      <c r="P180" s="2"/>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row>
    <row r="181" spans="1:46" x14ac:dyDescent="0.35">
      <c r="A181" s="1"/>
      <c r="B181" s="1"/>
      <c r="C181" s="2"/>
      <c r="D181" s="2"/>
      <c r="E181" s="2"/>
      <c r="F181" s="2"/>
      <c r="G181" s="2"/>
      <c r="H181" s="2"/>
      <c r="I181" s="2"/>
      <c r="J181" s="2"/>
      <c r="K181" s="2"/>
      <c r="L181" s="2"/>
      <c r="M181" s="2"/>
      <c r="N181" s="2"/>
      <c r="O181" s="2"/>
      <c r="P181" s="2"/>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row>
    <row r="182" spans="1:46" x14ac:dyDescent="0.35">
      <c r="A182" s="1"/>
      <c r="B182" s="1"/>
      <c r="C182" s="2"/>
      <c r="D182" s="2"/>
      <c r="E182" s="2"/>
      <c r="F182" s="2"/>
      <c r="G182" s="2"/>
      <c r="H182" s="2"/>
      <c r="I182" s="2"/>
      <c r="J182" s="2"/>
      <c r="K182" s="2"/>
      <c r="L182" s="2"/>
      <c r="M182" s="2"/>
      <c r="N182" s="2"/>
      <c r="O182" s="2"/>
      <c r="P182" s="2"/>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row>
    <row r="183" spans="1:46" x14ac:dyDescent="0.35">
      <c r="A183" s="1"/>
      <c r="B183" s="1"/>
      <c r="C183" s="2"/>
      <c r="D183" s="2"/>
      <c r="E183" s="2"/>
      <c r="F183" s="2"/>
      <c r="G183" s="2"/>
      <c r="H183" s="2"/>
      <c r="I183" s="2"/>
      <c r="J183" s="2"/>
      <c r="K183" s="2"/>
      <c r="L183" s="2"/>
      <c r="M183" s="2"/>
      <c r="N183" s="2"/>
      <c r="O183" s="2"/>
      <c r="P183" s="2"/>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row>
    <row r="184" spans="1:46" x14ac:dyDescent="0.35">
      <c r="A184" s="1"/>
      <c r="B184" s="1"/>
      <c r="C184" s="2"/>
      <c r="D184" s="2"/>
      <c r="E184" s="2"/>
      <c r="F184" s="2"/>
      <c r="G184" s="2"/>
      <c r="H184" s="2"/>
      <c r="I184" s="2"/>
      <c r="J184" s="2"/>
      <c r="K184" s="2"/>
      <c r="L184" s="2"/>
      <c r="M184" s="2"/>
      <c r="N184" s="2"/>
      <c r="O184" s="2"/>
      <c r="P184" s="2"/>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row>
    <row r="185" spans="1:46" x14ac:dyDescent="0.35">
      <c r="A185" s="1"/>
      <c r="B185" s="1"/>
      <c r="C185" s="2"/>
      <c r="D185" s="2"/>
      <c r="E185" s="2"/>
      <c r="F185" s="2"/>
      <c r="G185" s="2"/>
      <c r="H185" s="2"/>
      <c r="I185" s="2"/>
      <c r="J185" s="2"/>
      <c r="K185" s="2"/>
      <c r="L185" s="2"/>
      <c r="M185" s="2"/>
      <c r="N185" s="2"/>
      <c r="O185" s="2"/>
      <c r="P185" s="2"/>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row>
    <row r="186" spans="1:46" x14ac:dyDescent="0.35">
      <c r="A186" s="1"/>
      <c r="B186" s="1"/>
      <c r="C186" s="2"/>
      <c r="D186" s="2"/>
      <c r="E186" s="2"/>
      <c r="F186" s="2"/>
      <c r="G186" s="2"/>
      <c r="H186" s="2"/>
      <c r="I186" s="2"/>
      <c r="J186" s="2"/>
      <c r="K186" s="2"/>
      <c r="L186" s="2"/>
      <c r="M186" s="2"/>
      <c r="N186" s="2"/>
      <c r="O186" s="2"/>
      <c r="P186" s="2"/>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row>
    <row r="187" spans="1:46" x14ac:dyDescent="0.35">
      <c r="A187" s="1"/>
      <c r="B187" s="1"/>
      <c r="C187" s="2"/>
      <c r="D187" s="2"/>
      <c r="E187" s="2"/>
      <c r="F187" s="2"/>
      <c r="G187" s="2"/>
      <c r="H187" s="2"/>
      <c r="I187" s="2"/>
      <c r="J187" s="2"/>
      <c r="K187" s="2"/>
      <c r="L187" s="2"/>
      <c r="M187" s="2"/>
      <c r="N187" s="2"/>
      <c r="O187" s="2"/>
      <c r="P187" s="2"/>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row>
    <row r="188" spans="1:46" x14ac:dyDescent="0.35">
      <c r="A188" s="1"/>
      <c r="B188" s="1"/>
      <c r="C188" s="2"/>
      <c r="D188" s="2"/>
      <c r="E188" s="2"/>
      <c r="F188" s="2"/>
      <c r="G188" s="2"/>
      <c r="H188" s="2"/>
      <c r="I188" s="2"/>
      <c r="J188" s="2"/>
      <c r="K188" s="2"/>
      <c r="L188" s="2"/>
      <c r="M188" s="2"/>
      <c r="N188" s="2"/>
      <c r="O188" s="2"/>
      <c r="P188" s="2"/>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row>
    <row r="189" spans="1:46" x14ac:dyDescent="0.35">
      <c r="A189" s="1"/>
      <c r="B189" s="1"/>
      <c r="C189" s="2"/>
      <c r="D189" s="2"/>
      <c r="E189" s="2"/>
      <c r="F189" s="2"/>
      <c r="G189" s="2"/>
      <c r="H189" s="2"/>
      <c r="I189" s="2"/>
      <c r="J189" s="2"/>
      <c r="K189" s="2"/>
      <c r="L189" s="2"/>
      <c r="M189" s="2"/>
      <c r="N189" s="2"/>
      <c r="O189" s="2"/>
      <c r="P189" s="2"/>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row>
    <row r="190" spans="1:46" x14ac:dyDescent="0.35">
      <c r="A190" s="1"/>
      <c r="B190" s="1"/>
      <c r="C190" s="2"/>
      <c r="D190" s="2"/>
      <c r="E190" s="2"/>
      <c r="F190" s="2"/>
      <c r="G190" s="2"/>
      <c r="H190" s="2"/>
      <c r="I190" s="2"/>
      <c r="J190" s="2"/>
      <c r="K190" s="2"/>
      <c r="L190" s="2"/>
      <c r="M190" s="2"/>
      <c r="N190" s="2"/>
      <c r="O190" s="2"/>
      <c r="P190" s="2"/>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row>
    <row r="191" spans="1:46" x14ac:dyDescent="0.35">
      <c r="A191" s="1"/>
      <c r="B191" s="1"/>
      <c r="C191" s="2"/>
      <c r="D191" s="2"/>
      <c r="E191" s="2"/>
      <c r="F191" s="2"/>
      <c r="G191" s="2"/>
      <c r="H191" s="2"/>
      <c r="I191" s="2"/>
      <c r="J191" s="2"/>
      <c r="K191" s="2"/>
      <c r="L191" s="2"/>
      <c r="M191" s="2"/>
      <c r="N191" s="2"/>
      <c r="O191" s="2"/>
      <c r="P191" s="2"/>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row>
    <row r="192" spans="1:46" x14ac:dyDescent="0.35">
      <c r="A192" s="1"/>
      <c r="B192" s="1"/>
      <c r="C192" s="2"/>
      <c r="D192" s="2"/>
      <c r="E192" s="2"/>
      <c r="F192" s="2"/>
      <c r="G192" s="2"/>
      <c r="H192" s="2"/>
      <c r="I192" s="2"/>
      <c r="J192" s="2"/>
      <c r="K192" s="2"/>
      <c r="L192" s="2"/>
      <c r="M192" s="2"/>
      <c r="N192" s="2"/>
      <c r="O192" s="2"/>
      <c r="P192" s="2"/>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row>
    <row r="193" spans="1:46" x14ac:dyDescent="0.35">
      <c r="A193" s="1"/>
      <c r="B193" s="1"/>
      <c r="C193" s="2"/>
      <c r="D193" s="2"/>
      <c r="E193" s="2"/>
      <c r="F193" s="2"/>
      <c r="G193" s="2"/>
      <c r="H193" s="2"/>
      <c r="I193" s="2"/>
      <c r="J193" s="2"/>
      <c r="K193" s="2"/>
      <c r="L193" s="2"/>
      <c r="M193" s="2"/>
      <c r="N193" s="2"/>
      <c r="O193" s="2"/>
      <c r="P193" s="2"/>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row>
    <row r="194" spans="1:46" x14ac:dyDescent="0.35">
      <c r="A194" s="1"/>
      <c r="B194" s="1"/>
      <c r="C194" s="2"/>
      <c r="D194" s="2"/>
      <c r="E194" s="2"/>
      <c r="F194" s="2"/>
      <c r="G194" s="2"/>
      <c r="H194" s="2"/>
      <c r="I194" s="2"/>
      <c r="J194" s="2"/>
      <c r="K194" s="2"/>
      <c r="L194" s="2"/>
      <c r="M194" s="2"/>
      <c r="N194" s="2"/>
      <c r="O194" s="2"/>
      <c r="P194" s="2"/>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row>
    <row r="195" spans="1:46" x14ac:dyDescent="0.35">
      <c r="A195" s="1"/>
      <c r="B195" s="1"/>
      <c r="C195" s="2"/>
      <c r="D195" s="2"/>
      <c r="E195" s="2"/>
      <c r="F195" s="2"/>
      <c r="G195" s="2"/>
      <c r="H195" s="2"/>
      <c r="I195" s="2"/>
      <c r="J195" s="2"/>
      <c r="K195" s="2"/>
      <c r="L195" s="2"/>
      <c r="M195" s="2"/>
      <c r="N195" s="2"/>
      <c r="O195" s="2"/>
      <c r="P195" s="2"/>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row>
    <row r="196" spans="1:46" x14ac:dyDescent="0.35">
      <c r="A196" s="1"/>
      <c r="B196" s="1"/>
      <c r="C196" s="2"/>
      <c r="D196" s="2"/>
      <c r="E196" s="2"/>
      <c r="F196" s="2"/>
      <c r="G196" s="2"/>
      <c r="H196" s="2"/>
      <c r="I196" s="2"/>
      <c r="J196" s="2"/>
      <c r="K196" s="2"/>
      <c r="L196" s="2"/>
      <c r="M196" s="2"/>
      <c r="N196" s="2"/>
      <c r="O196" s="2"/>
      <c r="P196" s="2"/>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row>
    <row r="197" spans="1:46" x14ac:dyDescent="0.35">
      <c r="A197" s="1"/>
      <c r="B197" s="1"/>
      <c r="C197" s="2"/>
      <c r="D197" s="2"/>
      <c r="E197" s="2"/>
      <c r="F197" s="2"/>
      <c r="G197" s="2"/>
      <c r="H197" s="2"/>
      <c r="I197" s="2"/>
      <c r="J197" s="2"/>
      <c r="K197" s="2"/>
      <c r="L197" s="2"/>
      <c r="M197" s="2"/>
      <c r="N197" s="2"/>
      <c r="O197" s="2"/>
      <c r="P197" s="2"/>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row>
    <row r="198" spans="1:46" x14ac:dyDescent="0.35">
      <c r="A198" s="1"/>
      <c r="B198" s="1"/>
      <c r="C198" s="2"/>
      <c r="D198" s="2"/>
      <c r="E198" s="2"/>
      <c r="F198" s="2"/>
      <c r="G198" s="2"/>
      <c r="H198" s="2"/>
      <c r="I198" s="2"/>
      <c r="J198" s="2"/>
      <c r="K198" s="2"/>
      <c r="L198" s="2"/>
      <c r="M198" s="2"/>
      <c r="N198" s="2"/>
      <c r="O198" s="2"/>
      <c r="P198" s="2"/>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row>
    <row r="199" spans="1:46" x14ac:dyDescent="0.35">
      <c r="A199" s="1"/>
      <c r="B199" s="1"/>
      <c r="C199" s="2"/>
      <c r="D199" s="2"/>
      <c r="E199" s="2"/>
      <c r="F199" s="2"/>
      <c r="G199" s="2"/>
      <c r="H199" s="2"/>
      <c r="I199" s="2"/>
      <c r="J199" s="2"/>
      <c r="K199" s="2"/>
      <c r="L199" s="2"/>
      <c r="M199" s="2"/>
      <c r="N199" s="2"/>
      <c r="O199" s="2"/>
      <c r="P199" s="2"/>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row>
    <row r="200" spans="1:46" x14ac:dyDescent="0.35">
      <c r="A200" s="1"/>
      <c r="B200" s="1"/>
      <c r="C200" s="2"/>
      <c r="D200" s="2"/>
      <c r="E200" s="2"/>
      <c r="F200" s="2"/>
      <c r="G200" s="2"/>
      <c r="H200" s="2"/>
      <c r="I200" s="2"/>
      <c r="J200" s="2"/>
      <c r="K200" s="2"/>
      <c r="L200" s="2"/>
      <c r="M200" s="2"/>
      <c r="N200" s="2"/>
      <c r="O200" s="2"/>
      <c r="P200" s="2"/>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row>
    <row r="201" spans="1:46" x14ac:dyDescent="0.35">
      <c r="A201" s="1"/>
      <c r="B201" s="1"/>
      <c r="C201" s="2"/>
      <c r="D201" s="2"/>
      <c r="E201" s="2"/>
      <c r="F201" s="2"/>
      <c r="G201" s="2"/>
      <c r="H201" s="2"/>
      <c r="I201" s="2"/>
      <c r="J201" s="2"/>
      <c r="K201" s="2"/>
      <c r="L201" s="2"/>
      <c r="M201" s="2"/>
      <c r="N201" s="2"/>
      <c r="O201" s="2"/>
      <c r="P201" s="2"/>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row>
    <row r="202" spans="1:46" x14ac:dyDescent="0.35">
      <c r="A202" s="1"/>
      <c r="B202" s="1"/>
      <c r="C202" s="2"/>
      <c r="D202" s="2"/>
      <c r="E202" s="2"/>
      <c r="F202" s="2"/>
      <c r="G202" s="2"/>
      <c r="H202" s="2"/>
      <c r="I202" s="2"/>
      <c r="J202" s="2"/>
      <c r="K202" s="2"/>
      <c r="L202" s="2"/>
      <c r="M202" s="2"/>
      <c r="N202" s="2"/>
      <c r="O202" s="2"/>
      <c r="P202" s="2"/>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row>
    <row r="203" spans="1:46" x14ac:dyDescent="0.35">
      <c r="A203" s="1"/>
      <c r="B203" s="1"/>
      <c r="C203" s="2"/>
      <c r="D203" s="2"/>
      <c r="E203" s="2"/>
      <c r="F203" s="2"/>
      <c r="G203" s="2"/>
      <c r="H203" s="2"/>
      <c r="I203" s="2"/>
      <c r="J203" s="2"/>
      <c r="K203" s="2"/>
      <c r="L203" s="2"/>
      <c r="M203" s="2"/>
      <c r="N203" s="2"/>
      <c r="O203" s="2"/>
      <c r="P203" s="2"/>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row>
    <row r="204" spans="1:46" x14ac:dyDescent="0.35">
      <c r="A204" s="1"/>
      <c r="B204" s="1"/>
      <c r="C204" s="2"/>
      <c r="D204" s="2"/>
      <c r="E204" s="2"/>
      <c r="F204" s="2"/>
      <c r="G204" s="2"/>
      <c r="H204" s="2"/>
      <c r="I204" s="2"/>
      <c r="J204" s="2"/>
      <c r="K204" s="2"/>
      <c r="L204" s="2"/>
      <c r="M204" s="2"/>
      <c r="N204" s="2"/>
      <c r="O204" s="2"/>
      <c r="P204" s="2"/>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row>
    <row r="205" spans="1:46" x14ac:dyDescent="0.35">
      <c r="A205" s="1"/>
      <c r="B205" s="1"/>
      <c r="C205" s="2"/>
      <c r="D205" s="2"/>
      <c r="E205" s="2"/>
      <c r="F205" s="2"/>
      <c r="G205" s="2"/>
      <c r="H205" s="2"/>
      <c r="I205" s="2"/>
      <c r="J205" s="2"/>
      <c r="K205" s="2"/>
      <c r="L205" s="2"/>
      <c r="M205" s="2"/>
      <c r="N205" s="2"/>
      <c r="O205" s="2"/>
      <c r="P205" s="2"/>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row>
    <row r="206" spans="1:46" x14ac:dyDescent="0.35">
      <c r="A206" s="1"/>
      <c r="B206" s="1"/>
      <c r="C206" s="2"/>
      <c r="D206" s="2"/>
      <c r="E206" s="2"/>
      <c r="F206" s="2"/>
      <c r="G206" s="2"/>
      <c r="H206" s="2"/>
      <c r="I206" s="2"/>
      <c r="J206" s="2"/>
      <c r="K206" s="2"/>
      <c r="L206" s="2"/>
      <c r="M206" s="2"/>
      <c r="N206" s="2"/>
      <c r="O206" s="2"/>
      <c r="P206" s="2"/>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row>
    <row r="207" spans="1:46" x14ac:dyDescent="0.35">
      <c r="A207" s="1"/>
      <c r="B207" s="1"/>
      <c r="C207" s="2"/>
      <c r="D207" s="2"/>
      <c r="E207" s="2"/>
      <c r="F207" s="2"/>
      <c r="G207" s="2"/>
      <c r="H207" s="2"/>
      <c r="I207" s="2"/>
      <c r="J207" s="2"/>
      <c r="K207" s="2"/>
      <c r="L207" s="2"/>
      <c r="M207" s="2"/>
      <c r="N207" s="2"/>
      <c r="O207" s="2"/>
      <c r="P207" s="2"/>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row>
    <row r="208" spans="1:46" x14ac:dyDescent="0.35">
      <c r="A208" s="1"/>
      <c r="B208" s="1"/>
      <c r="C208" s="2"/>
      <c r="D208" s="2"/>
      <c r="E208" s="2"/>
      <c r="F208" s="2"/>
      <c r="G208" s="2"/>
      <c r="H208" s="2"/>
      <c r="I208" s="2"/>
      <c r="J208" s="2"/>
      <c r="K208" s="2"/>
      <c r="L208" s="2"/>
      <c r="M208" s="2"/>
      <c r="N208" s="2"/>
      <c r="O208" s="2"/>
      <c r="P208" s="2"/>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row>
    <row r="209" spans="1:46" x14ac:dyDescent="0.35">
      <c r="A209" s="1"/>
      <c r="B209" s="1"/>
      <c r="C209" s="2"/>
      <c r="D209" s="2"/>
      <c r="E209" s="2"/>
      <c r="F209" s="2"/>
      <c r="G209" s="2"/>
      <c r="H209" s="2"/>
      <c r="I209" s="2"/>
      <c r="J209" s="2"/>
      <c r="K209" s="2"/>
      <c r="L209" s="2"/>
      <c r="M209" s="2"/>
      <c r="N209" s="2"/>
      <c r="O209" s="2"/>
      <c r="P209" s="2"/>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row>
    <row r="210" spans="1:46" x14ac:dyDescent="0.35">
      <c r="A210" s="1"/>
      <c r="B210" s="1"/>
      <c r="C210" s="2"/>
      <c r="D210" s="2"/>
      <c r="E210" s="2"/>
      <c r="F210" s="2"/>
      <c r="G210" s="2"/>
      <c r="H210" s="2"/>
      <c r="I210" s="2"/>
      <c r="J210" s="2"/>
      <c r="K210" s="2"/>
      <c r="L210" s="2"/>
      <c r="M210" s="2"/>
      <c r="N210" s="2"/>
      <c r="O210" s="2"/>
      <c r="P210" s="2"/>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row>
    <row r="211" spans="1:46" x14ac:dyDescent="0.35">
      <c r="A211" s="1"/>
      <c r="B211" s="1"/>
      <c r="C211" s="2"/>
      <c r="D211" s="2"/>
      <c r="E211" s="2"/>
      <c r="F211" s="2"/>
      <c r="G211" s="2"/>
      <c r="H211" s="2"/>
      <c r="I211" s="2"/>
      <c r="J211" s="2"/>
      <c r="K211" s="2"/>
      <c r="L211" s="2"/>
      <c r="M211" s="2"/>
      <c r="N211" s="2"/>
      <c r="O211" s="2"/>
      <c r="P211" s="2"/>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row>
    <row r="212" spans="1:46" x14ac:dyDescent="0.35">
      <c r="A212" s="1"/>
      <c r="B212" s="1"/>
      <c r="C212" s="2"/>
      <c r="D212" s="2"/>
      <c r="E212" s="2"/>
      <c r="F212" s="2"/>
      <c r="G212" s="2"/>
      <c r="H212" s="2"/>
      <c r="I212" s="2"/>
      <c r="J212" s="2"/>
      <c r="K212" s="2"/>
      <c r="L212" s="2"/>
      <c r="M212" s="2"/>
      <c r="N212" s="2"/>
      <c r="O212" s="2"/>
      <c r="P212" s="2"/>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row>
    <row r="213" spans="1:46" x14ac:dyDescent="0.35">
      <c r="A213" s="1"/>
      <c r="B213" s="1"/>
      <c r="C213" s="2"/>
      <c r="D213" s="2"/>
      <c r="E213" s="2"/>
      <c r="F213" s="2"/>
      <c r="G213" s="2"/>
      <c r="H213" s="2"/>
      <c r="I213" s="2"/>
      <c r="J213" s="2"/>
      <c r="K213" s="2"/>
      <c r="L213" s="2"/>
      <c r="M213" s="2"/>
      <c r="N213" s="2"/>
      <c r="O213" s="2"/>
      <c r="P213" s="2"/>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row>
    <row r="214" spans="1:46" x14ac:dyDescent="0.35">
      <c r="A214" s="1"/>
      <c r="B214" s="1"/>
      <c r="C214" s="2"/>
      <c r="D214" s="2"/>
      <c r="E214" s="2"/>
      <c r="F214" s="2"/>
      <c r="G214" s="2"/>
      <c r="H214" s="2"/>
      <c r="I214" s="2"/>
      <c r="J214" s="2"/>
      <c r="K214" s="2"/>
      <c r="L214" s="2"/>
      <c r="M214" s="2"/>
      <c r="N214" s="2"/>
      <c r="O214" s="2"/>
      <c r="P214" s="2"/>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row>
    <row r="215" spans="1:46" x14ac:dyDescent="0.35">
      <c r="A215" s="1"/>
      <c r="B215" s="1"/>
      <c r="C215" s="2"/>
      <c r="D215" s="2"/>
      <c r="E215" s="2"/>
      <c r="F215" s="2"/>
      <c r="G215" s="2"/>
      <c r="H215" s="2"/>
      <c r="I215" s="2"/>
      <c r="J215" s="2"/>
      <c r="K215" s="2"/>
      <c r="L215" s="2"/>
      <c r="M215" s="2"/>
      <c r="N215" s="2"/>
      <c r="O215" s="2"/>
      <c r="P215" s="2"/>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row>
    <row r="216" spans="1:46" x14ac:dyDescent="0.35">
      <c r="A216" s="1"/>
      <c r="B216" s="1"/>
      <c r="C216" s="2"/>
      <c r="D216" s="2"/>
      <c r="E216" s="2"/>
      <c r="F216" s="2"/>
      <c r="G216" s="2"/>
      <c r="H216" s="2"/>
      <c r="I216" s="2"/>
      <c r="J216" s="2"/>
      <c r="K216" s="2"/>
      <c r="L216" s="2"/>
      <c r="M216" s="2"/>
      <c r="N216" s="2"/>
      <c r="O216" s="2"/>
      <c r="P216" s="2"/>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row>
    <row r="217" spans="1:46" x14ac:dyDescent="0.35">
      <c r="A217" s="1"/>
      <c r="B217" s="1"/>
      <c r="C217" s="2"/>
      <c r="D217" s="2"/>
      <c r="E217" s="2"/>
      <c r="F217" s="2"/>
      <c r="G217" s="2"/>
      <c r="H217" s="2"/>
      <c r="I217" s="2"/>
      <c r="J217" s="2"/>
      <c r="K217" s="2"/>
      <c r="L217" s="2"/>
      <c r="M217" s="2"/>
      <c r="N217" s="2"/>
      <c r="O217" s="2"/>
      <c r="P217" s="2"/>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row>
    <row r="218" spans="1:46" x14ac:dyDescent="0.35">
      <c r="A218" s="1"/>
      <c r="B218" s="1"/>
      <c r="C218" s="2"/>
      <c r="D218" s="2"/>
      <c r="E218" s="2"/>
      <c r="F218" s="2"/>
      <c r="G218" s="2"/>
      <c r="H218" s="2"/>
      <c r="I218" s="2"/>
      <c r="J218" s="2"/>
      <c r="K218" s="2"/>
      <c r="L218" s="2"/>
      <c r="M218" s="2"/>
      <c r="N218" s="2"/>
      <c r="O218" s="2"/>
      <c r="P218" s="2"/>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row>
    <row r="219" spans="1:46" x14ac:dyDescent="0.35">
      <c r="A219" s="1"/>
      <c r="B219" s="1"/>
      <c r="C219" s="2"/>
      <c r="D219" s="2"/>
      <c r="E219" s="2"/>
      <c r="F219" s="2"/>
      <c r="G219" s="2"/>
      <c r="H219" s="2"/>
      <c r="I219" s="2"/>
      <c r="J219" s="2"/>
      <c r="K219" s="2"/>
      <c r="L219" s="2"/>
      <c r="M219" s="2"/>
      <c r="N219" s="2"/>
      <c r="O219" s="2"/>
      <c r="P219" s="2"/>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row>
    <row r="220" spans="1:46" x14ac:dyDescent="0.35">
      <c r="A220" s="1"/>
      <c r="B220" s="1"/>
      <c r="C220" s="2"/>
      <c r="D220" s="2"/>
      <c r="E220" s="2"/>
      <c r="F220" s="2"/>
      <c r="G220" s="2"/>
      <c r="H220" s="2"/>
      <c r="I220" s="2"/>
      <c r="J220" s="2"/>
      <c r="K220" s="2"/>
      <c r="L220" s="2"/>
      <c r="M220" s="2"/>
      <c r="N220" s="2"/>
      <c r="O220" s="2"/>
      <c r="P220" s="2"/>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row>
    <row r="221" spans="1:46" x14ac:dyDescent="0.35">
      <c r="A221" s="1"/>
      <c r="B221" s="1"/>
      <c r="C221" s="2"/>
      <c r="D221" s="2"/>
      <c r="E221" s="2"/>
      <c r="F221" s="2"/>
      <c r="G221" s="2"/>
      <c r="H221" s="2"/>
      <c r="I221" s="2"/>
      <c r="J221" s="2"/>
      <c r="K221" s="2"/>
      <c r="L221" s="2"/>
      <c r="M221" s="2"/>
      <c r="N221" s="2"/>
      <c r="O221" s="2"/>
      <c r="P221" s="2"/>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row>
    <row r="222" spans="1:46" x14ac:dyDescent="0.35">
      <c r="A222" s="1"/>
      <c r="B222" s="1"/>
      <c r="C222" s="2"/>
      <c r="D222" s="2"/>
      <c r="E222" s="2"/>
      <c r="F222" s="2"/>
      <c r="G222" s="2"/>
      <c r="H222" s="2"/>
      <c r="I222" s="2"/>
      <c r="J222" s="2"/>
      <c r="K222" s="2"/>
      <c r="L222" s="2"/>
      <c r="M222" s="2"/>
      <c r="N222" s="2"/>
      <c r="O222" s="2"/>
      <c r="P222" s="2"/>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row>
    <row r="223" spans="1:46" x14ac:dyDescent="0.35">
      <c r="A223" s="1"/>
      <c r="B223" s="1"/>
      <c r="C223" s="2"/>
      <c r="D223" s="2"/>
      <c r="E223" s="2"/>
      <c r="F223" s="2"/>
      <c r="G223" s="2"/>
      <c r="H223" s="2"/>
      <c r="I223" s="2"/>
      <c r="J223" s="2"/>
      <c r="K223" s="2"/>
      <c r="L223" s="2"/>
      <c r="M223" s="2"/>
      <c r="N223" s="2"/>
      <c r="O223" s="2"/>
      <c r="P223" s="2"/>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row>
    <row r="224" spans="1:46" x14ac:dyDescent="0.35">
      <c r="A224" s="1"/>
      <c r="B224" s="1"/>
      <c r="C224" s="2"/>
      <c r="D224" s="2"/>
      <c r="E224" s="2"/>
      <c r="F224" s="2"/>
      <c r="G224" s="2"/>
      <c r="H224" s="2"/>
      <c r="I224" s="2"/>
      <c r="J224" s="2"/>
      <c r="K224" s="2"/>
      <c r="L224" s="2"/>
      <c r="M224" s="2"/>
      <c r="N224" s="2"/>
      <c r="O224" s="2"/>
      <c r="P224" s="2"/>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row>
    <row r="225" spans="1:46" x14ac:dyDescent="0.35">
      <c r="A225" s="1"/>
      <c r="B225" s="1"/>
      <c r="C225" s="2"/>
      <c r="D225" s="2"/>
      <c r="E225" s="2"/>
      <c r="F225" s="2"/>
      <c r="G225" s="2"/>
      <c r="H225" s="2"/>
      <c r="I225" s="2"/>
      <c r="J225" s="2"/>
      <c r="K225" s="2"/>
      <c r="L225" s="2"/>
      <c r="M225" s="2"/>
      <c r="N225" s="2"/>
      <c r="O225" s="2"/>
      <c r="P225" s="2"/>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row>
    <row r="226" spans="1:46" x14ac:dyDescent="0.35">
      <c r="A226" s="1"/>
      <c r="B226" s="1"/>
      <c r="C226" s="2"/>
      <c r="D226" s="2"/>
      <c r="E226" s="2"/>
      <c r="F226" s="2"/>
      <c r="G226" s="2"/>
      <c r="H226" s="2"/>
      <c r="I226" s="2"/>
      <c r="J226" s="2"/>
      <c r="K226" s="2"/>
      <c r="L226" s="2"/>
      <c r="M226" s="2"/>
      <c r="N226" s="2"/>
      <c r="O226" s="2"/>
      <c r="P226" s="2"/>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row>
    <row r="227" spans="1:46" x14ac:dyDescent="0.35">
      <c r="A227" s="1"/>
      <c r="B227" s="1"/>
      <c r="C227" s="2"/>
      <c r="D227" s="2"/>
      <c r="E227" s="2"/>
      <c r="F227" s="2"/>
      <c r="G227" s="2"/>
      <c r="H227" s="2"/>
      <c r="I227" s="2"/>
      <c r="J227" s="2"/>
      <c r="K227" s="2"/>
      <c r="L227" s="2"/>
      <c r="M227" s="2"/>
      <c r="N227" s="2"/>
      <c r="O227" s="2"/>
      <c r="P227" s="2"/>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row>
    <row r="228" spans="1:46" x14ac:dyDescent="0.35">
      <c r="A228" s="1"/>
      <c r="B228" s="1"/>
      <c r="C228" s="2"/>
      <c r="D228" s="2"/>
      <c r="E228" s="2"/>
      <c r="F228" s="2"/>
      <c r="G228" s="2"/>
      <c r="H228" s="2"/>
      <c r="I228" s="2"/>
      <c r="J228" s="2"/>
      <c r="K228" s="2"/>
      <c r="L228" s="2"/>
      <c r="M228" s="2"/>
      <c r="N228" s="2"/>
      <c r="O228" s="2"/>
      <c r="P228" s="2"/>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row>
    <row r="229" spans="1:46" x14ac:dyDescent="0.35">
      <c r="A229" s="1"/>
      <c r="B229" s="1"/>
      <c r="C229" s="2"/>
      <c r="D229" s="2"/>
      <c r="E229" s="2"/>
      <c r="F229" s="2"/>
      <c r="G229" s="2"/>
      <c r="H229" s="2"/>
      <c r="I229" s="2"/>
      <c r="J229" s="2"/>
      <c r="K229" s="2"/>
      <c r="L229" s="2"/>
      <c r="M229" s="2"/>
      <c r="N229" s="2"/>
      <c r="O229" s="2"/>
      <c r="P229" s="2"/>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row>
    <row r="230" spans="1:46" x14ac:dyDescent="0.35">
      <c r="A230" s="1"/>
      <c r="B230" s="1"/>
      <c r="C230" s="2"/>
      <c r="D230" s="2"/>
      <c r="E230" s="2"/>
      <c r="F230" s="2"/>
      <c r="G230" s="2"/>
      <c r="H230" s="2"/>
      <c r="I230" s="2"/>
      <c r="J230" s="2"/>
      <c r="K230" s="2"/>
      <c r="L230" s="2"/>
      <c r="M230" s="2"/>
      <c r="N230" s="2"/>
      <c r="O230" s="2"/>
      <c r="P230" s="2"/>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row>
    <row r="231" spans="1:46" x14ac:dyDescent="0.35">
      <c r="A231" s="1"/>
      <c r="B231" s="1"/>
      <c r="C231" s="2"/>
      <c r="D231" s="2"/>
      <c r="E231" s="2"/>
      <c r="F231" s="2"/>
      <c r="G231" s="2"/>
      <c r="H231" s="2"/>
      <c r="I231" s="2"/>
      <c r="J231" s="2"/>
      <c r="K231" s="2"/>
      <c r="L231" s="2"/>
      <c r="M231" s="2"/>
      <c r="N231" s="2"/>
      <c r="O231" s="2"/>
      <c r="P231" s="2"/>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row>
    <row r="232" spans="1:46" x14ac:dyDescent="0.35">
      <c r="A232" s="1"/>
      <c r="B232" s="1"/>
      <c r="C232" s="2"/>
      <c r="D232" s="2"/>
      <c r="E232" s="2"/>
      <c r="F232" s="2"/>
      <c r="G232" s="2"/>
      <c r="H232" s="2"/>
      <c r="I232" s="2"/>
      <c r="J232" s="2"/>
      <c r="K232" s="2"/>
      <c r="L232" s="2"/>
      <c r="M232" s="2"/>
      <c r="N232" s="2"/>
      <c r="O232" s="2"/>
      <c r="P232" s="2"/>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row>
    <row r="233" spans="1:46" x14ac:dyDescent="0.35">
      <c r="A233" s="1"/>
      <c r="B233" s="1"/>
      <c r="C233" s="2"/>
      <c r="D233" s="2"/>
      <c r="E233" s="2"/>
      <c r="F233" s="2"/>
      <c r="G233" s="2"/>
      <c r="H233" s="2"/>
      <c r="I233" s="2"/>
      <c r="J233" s="2"/>
      <c r="K233" s="2"/>
      <c r="L233" s="2"/>
      <c r="M233" s="2"/>
      <c r="N233" s="2"/>
      <c r="O233" s="2"/>
      <c r="P233" s="2"/>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row>
    <row r="234" spans="1:46" x14ac:dyDescent="0.35">
      <c r="A234" s="1"/>
      <c r="B234" s="1"/>
      <c r="C234" s="2"/>
      <c r="D234" s="2"/>
      <c r="E234" s="2"/>
      <c r="F234" s="2"/>
      <c r="G234" s="2"/>
      <c r="H234" s="2"/>
      <c r="I234" s="2"/>
      <c r="J234" s="2"/>
      <c r="K234" s="2"/>
      <c r="L234" s="2"/>
      <c r="M234" s="2"/>
      <c r="N234" s="2"/>
      <c r="O234" s="2"/>
      <c r="P234" s="2"/>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row>
    <row r="235" spans="1:46" x14ac:dyDescent="0.35">
      <c r="A235" s="1"/>
      <c r="B235" s="1"/>
      <c r="C235" s="2"/>
      <c r="D235" s="2"/>
      <c r="E235" s="2"/>
      <c r="F235" s="2"/>
      <c r="G235" s="2"/>
      <c r="H235" s="2"/>
      <c r="I235" s="2"/>
      <c r="J235" s="2"/>
      <c r="K235" s="2"/>
      <c r="L235" s="2"/>
      <c r="M235" s="2"/>
      <c r="N235" s="2"/>
      <c r="O235" s="2"/>
      <c r="P235" s="2"/>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row>
    <row r="236" spans="1:46" x14ac:dyDescent="0.35">
      <c r="A236" s="1"/>
      <c r="B236" s="1"/>
      <c r="C236" s="2"/>
      <c r="D236" s="2"/>
      <c r="E236" s="2"/>
      <c r="F236" s="2"/>
      <c r="G236" s="2"/>
      <c r="H236" s="2"/>
      <c r="I236" s="2"/>
      <c r="J236" s="2"/>
      <c r="K236" s="2"/>
      <c r="L236" s="2"/>
      <c r="M236" s="2"/>
      <c r="N236" s="2"/>
      <c r="O236" s="2"/>
      <c r="P236" s="2"/>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row>
    <row r="237" spans="1:46" x14ac:dyDescent="0.35">
      <c r="A237" s="1"/>
      <c r="B237" s="1"/>
      <c r="C237" s="2"/>
      <c r="D237" s="2"/>
      <c r="E237" s="2"/>
      <c r="F237" s="2"/>
      <c r="G237" s="2"/>
      <c r="H237" s="2"/>
      <c r="I237" s="2"/>
      <c r="J237" s="2"/>
      <c r="K237" s="2"/>
      <c r="L237" s="2"/>
      <c r="M237" s="2"/>
      <c r="N237" s="2"/>
      <c r="O237" s="2"/>
      <c r="P237" s="2"/>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row>
    <row r="238" spans="1:46" x14ac:dyDescent="0.35">
      <c r="A238" s="1"/>
      <c r="B238" s="1"/>
      <c r="C238" s="2"/>
      <c r="D238" s="2"/>
      <c r="E238" s="2"/>
      <c r="F238" s="2"/>
      <c r="G238" s="2"/>
      <c r="H238" s="2"/>
      <c r="I238" s="2"/>
      <c r="J238" s="2"/>
      <c r="K238" s="2"/>
      <c r="L238" s="2"/>
      <c r="M238" s="2"/>
      <c r="N238" s="2"/>
      <c r="O238" s="2"/>
      <c r="P238" s="2"/>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row>
    <row r="239" spans="1:46" x14ac:dyDescent="0.35">
      <c r="A239" s="1"/>
      <c r="B239" s="1"/>
      <c r="C239" s="2"/>
      <c r="D239" s="2"/>
      <c r="E239" s="2"/>
      <c r="F239" s="2"/>
      <c r="G239" s="2"/>
      <c r="H239" s="2"/>
      <c r="I239" s="2"/>
      <c r="J239" s="2"/>
      <c r="K239" s="2"/>
      <c r="L239" s="2"/>
      <c r="M239" s="2"/>
      <c r="N239" s="2"/>
      <c r="O239" s="2"/>
      <c r="P239" s="2"/>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row>
    <row r="240" spans="1:46" x14ac:dyDescent="0.35">
      <c r="A240" s="1"/>
      <c r="B240" s="1"/>
      <c r="C240" s="2"/>
      <c r="D240" s="2"/>
      <c r="E240" s="2"/>
      <c r="F240" s="2"/>
      <c r="G240" s="2"/>
      <c r="H240" s="2"/>
      <c r="I240" s="2"/>
      <c r="J240" s="2"/>
      <c r="K240" s="2"/>
      <c r="L240" s="2"/>
      <c r="M240" s="2"/>
      <c r="N240" s="2"/>
      <c r="O240" s="2"/>
      <c r="P240" s="2"/>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row>
    <row r="241" spans="1:46" x14ac:dyDescent="0.35">
      <c r="A241" s="1"/>
      <c r="B241" s="1"/>
      <c r="C241" s="2"/>
      <c r="D241" s="2"/>
      <c r="E241" s="2"/>
      <c r="F241" s="2"/>
      <c r="G241" s="2"/>
      <c r="H241" s="2"/>
      <c r="I241" s="2"/>
      <c r="J241" s="2"/>
      <c r="K241" s="2"/>
      <c r="L241" s="2"/>
      <c r="M241" s="2"/>
      <c r="N241" s="2"/>
      <c r="O241" s="2"/>
      <c r="P241" s="2"/>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row>
    <row r="242" spans="1:46" x14ac:dyDescent="0.35">
      <c r="A242" s="1"/>
      <c r="B242" s="1"/>
      <c r="C242" s="2"/>
      <c r="D242" s="2"/>
      <c r="E242" s="2"/>
      <c r="F242" s="2"/>
      <c r="G242" s="2"/>
      <c r="H242" s="2"/>
      <c r="I242" s="2"/>
      <c r="J242" s="2"/>
      <c r="K242" s="2"/>
      <c r="L242" s="2"/>
      <c r="M242" s="2"/>
      <c r="N242" s="2"/>
      <c r="O242" s="2"/>
      <c r="P242" s="2"/>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row>
    <row r="243" spans="1:46" x14ac:dyDescent="0.35">
      <c r="A243" s="1"/>
      <c r="B243" s="1"/>
      <c r="C243" s="2"/>
      <c r="D243" s="2"/>
      <c r="E243" s="2"/>
      <c r="F243" s="2"/>
      <c r="G243" s="2"/>
      <c r="H243" s="2"/>
      <c r="I243" s="2"/>
      <c r="J243" s="2"/>
      <c r="K243" s="2"/>
      <c r="L243" s="2"/>
      <c r="M243" s="2"/>
      <c r="N243" s="2"/>
      <c r="O243" s="2"/>
      <c r="P243" s="2"/>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row>
    <row r="244" spans="1:46" x14ac:dyDescent="0.35">
      <c r="A244" s="1"/>
      <c r="B244" s="1"/>
      <c r="C244" s="2"/>
      <c r="D244" s="2"/>
      <c r="E244" s="2"/>
      <c r="F244" s="2"/>
      <c r="G244" s="2"/>
      <c r="H244" s="2"/>
      <c r="I244" s="2"/>
      <c r="J244" s="2"/>
      <c r="K244" s="2"/>
      <c r="L244" s="2"/>
      <c r="M244" s="2"/>
      <c r="N244" s="2"/>
      <c r="O244" s="2"/>
      <c r="P244" s="2"/>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row>
    <row r="245" spans="1:46" x14ac:dyDescent="0.35">
      <c r="A245" s="1"/>
      <c r="B245" s="1"/>
      <c r="C245" s="2"/>
      <c r="D245" s="2"/>
      <c r="E245" s="2"/>
      <c r="F245" s="2"/>
      <c r="G245" s="2"/>
      <c r="H245" s="2"/>
      <c r="I245" s="2"/>
      <c r="J245" s="2"/>
      <c r="K245" s="2"/>
      <c r="L245" s="2"/>
      <c r="M245" s="2"/>
      <c r="N245" s="2"/>
      <c r="O245" s="2"/>
      <c r="P245" s="2"/>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row>
    <row r="246" spans="1:46" x14ac:dyDescent="0.35">
      <c r="A246" s="1"/>
      <c r="B246" s="1"/>
      <c r="C246" s="2"/>
      <c r="D246" s="2"/>
      <c r="E246" s="2"/>
      <c r="F246" s="2"/>
      <c r="G246" s="2"/>
      <c r="H246" s="2"/>
      <c r="I246" s="2"/>
      <c r="J246" s="2"/>
      <c r="K246" s="2"/>
      <c r="L246" s="2"/>
      <c r="M246" s="2"/>
      <c r="N246" s="2"/>
      <c r="O246" s="2"/>
      <c r="P246" s="2"/>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row>
    <row r="247" spans="1:46" x14ac:dyDescent="0.35">
      <c r="A247" s="1"/>
      <c r="B247" s="1"/>
      <c r="C247" s="2"/>
      <c r="D247" s="2"/>
      <c r="E247" s="2"/>
      <c r="F247" s="2"/>
      <c r="G247" s="2"/>
      <c r="H247" s="2"/>
      <c r="I247" s="2"/>
      <c r="J247" s="2"/>
      <c r="K247" s="2"/>
      <c r="L247" s="2"/>
      <c r="M247" s="2"/>
      <c r="N247" s="2"/>
      <c r="O247" s="2"/>
      <c r="P247" s="2"/>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row>
    <row r="248" spans="1:46" x14ac:dyDescent="0.35">
      <c r="A248" s="1"/>
      <c r="B248" s="1"/>
      <c r="C248" s="2"/>
      <c r="D248" s="2"/>
      <c r="E248" s="2"/>
      <c r="F248" s="2"/>
      <c r="G248" s="2"/>
      <c r="H248" s="2"/>
      <c r="I248" s="2"/>
      <c r="J248" s="2"/>
      <c r="K248" s="2"/>
      <c r="L248" s="2"/>
      <c r="M248" s="2"/>
      <c r="N248" s="2"/>
      <c r="O248" s="2"/>
      <c r="P248" s="2"/>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row>
    <row r="249" spans="1:46" x14ac:dyDescent="0.35">
      <c r="A249" s="1"/>
      <c r="B249" s="1"/>
      <c r="C249" s="2"/>
      <c r="D249" s="2"/>
      <c r="E249" s="2"/>
      <c r="F249" s="2"/>
      <c r="G249" s="2"/>
      <c r="H249" s="2"/>
      <c r="I249" s="2"/>
      <c r="J249" s="2"/>
      <c r="K249" s="2"/>
      <c r="L249" s="2"/>
      <c r="M249" s="2"/>
      <c r="N249" s="2"/>
      <c r="O249" s="2"/>
      <c r="P249" s="2"/>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row>
    <row r="250" spans="1:46" x14ac:dyDescent="0.35">
      <c r="A250" s="1"/>
      <c r="B250" s="1"/>
      <c r="C250" s="2"/>
      <c r="D250" s="2"/>
      <c r="E250" s="2"/>
      <c r="F250" s="2"/>
      <c r="G250" s="2"/>
      <c r="H250" s="2"/>
      <c r="I250" s="2"/>
      <c r="J250" s="2"/>
      <c r="K250" s="2"/>
      <c r="L250" s="2"/>
      <c r="M250" s="2"/>
      <c r="N250" s="2"/>
      <c r="O250" s="2"/>
      <c r="P250" s="2"/>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row>
    <row r="251" spans="1:46" x14ac:dyDescent="0.35">
      <c r="A251" s="1"/>
      <c r="B251" s="1"/>
      <c r="C251" s="2"/>
      <c r="D251" s="2"/>
      <c r="E251" s="2"/>
      <c r="F251" s="2"/>
      <c r="G251" s="2"/>
      <c r="H251" s="2"/>
      <c r="I251" s="2"/>
      <c r="J251" s="2"/>
      <c r="K251" s="2"/>
      <c r="L251" s="2"/>
      <c r="M251" s="2"/>
      <c r="N251" s="2"/>
      <c r="O251" s="2"/>
      <c r="P251" s="2"/>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row>
    <row r="252" spans="1:46" x14ac:dyDescent="0.35">
      <c r="A252" s="1"/>
      <c r="B252" s="1"/>
      <c r="C252" s="2"/>
      <c r="D252" s="2"/>
      <c r="E252" s="2"/>
      <c r="F252" s="2"/>
      <c r="G252" s="2"/>
      <c r="H252" s="2"/>
      <c r="I252" s="2"/>
      <c r="J252" s="2"/>
      <c r="K252" s="2"/>
      <c r="L252" s="2"/>
      <c r="M252" s="2"/>
      <c r="N252" s="2"/>
      <c r="O252" s="2"/>
      <c r="P252" s="2"/>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row>
    <row r="253" spans="1:46" x14ac:dyDescent="0.35">
      <c r="A253" s="1"/>
      <c r="B253" s="1"/>
      <c r="C253" s="2"/>
      <c r="D253" s="2"/>
      <c r="E253" s="2"/>
      <c r="F253" s="2"/>
      <c r="G253" s="2"/>
      <c r="H253" s="2"/>
      <c r="I253" s="2"/>
      <c r="J253" s="2"/>
      <c r="K253" s="2"/>
      <c r="L253" s="2"/>
      <c r="M253" s="2"/>
      <c r="N253" s="2"/>
      <c r="O253" s="2"/>
      <c r="P253" s="2"/>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row>
    <row r="254" spans="1:46" x14ac:dyDescent="0.35">
      <c r="A254" s="1"/>
      <c r="B254" s="1"/>
      <c r="C254" s="2"/>
      <c r="D254" s="2"/>
      <c r="E254" s="2"/>
      <c r="F254" s="2"/>
      <c r="G254" s="2"/>
      <c r="H254" s="2"/>
      <c r="I254" s="2"/>
      <c r="J254" s="2"/>
      <c r="K254" s="2"/>
      <c r="L254" s="2"/>
      <c r="M254" s="2"/>
      <c r="N254" s="2"/>
      <c r="O254" s="2"/>
      <c r="P254" s="2"/>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row>
    <row r="255" spans="1:46" x14ac:dyDescent="0.35">
      <c r="A255" s="1"/>
      <c r="B255" s="1"/>
      <c r="C255" s="2"/>
      <c r="D255" s="2"/>
      <c r="E255" s="2"/>
      <c r="F255" s="2"/>
      <c r="G255" s="2"/>
      <c r="H255" s="2"/>
      <c r="I255" s="2"/>
      <c r="J255" s="2"/>
      <c r="K255" s="2"/>
      <c r="L255" s="2"/>
      <c r="M255" s="2"/>
      <c r="N255" s="2"/>
      <c r="O255" s="2"/>
      <c r="P255" s="2"/>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row>
    <row r="256" spans="1:46" x14ac:dyDescent="0.35">
      <c r="A256" s="1"/>
      <c r="B256" s="1"/>
      <c r="C256" s="2"/>
      <c r="D256" s="2"/>
      <c r="E256" s="2"/>
      <c r="F256" s="2"/>
      <c r="G256" s="2"/>
      <c r="H256" s="2"/>
      <c r="I256" s="2"/>
      <c r="J256" s="2"/>
      <c r="K256" s="2"/>
      <c r="L256" s="2"/>
      <c r="M256" s="2"/>
      <c r="N256" s="2"/>
      <c r="O256" s="2"/>
      <c r="P256" s="2"/>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row>
    <row r="257" spans="1:46" x14ac:dyDescent="0.35">
      <c r="A257" s="1"/>
      <c r="B257" s="1"/>
      <c r="C257" s="2"/>
      <c r="D257" s="2"/>
      <c r="E257" s="2"/>
      <c r="F257" s="2"/>
      <c r="G257" s="2"/>
      <c r="H257" s="2"/>
      <c r="I257" s="2"/>
      <c r="J257" s="2"/>
      <c r="K257" s="2"/>
      <c r="L257" s="2"/>
      <c r="M257" s="2"/>
      <c r="N257" s="2"/>
      <c r="O257" s="2"/>
      <c r="P257" s="2"/>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row>
    <row r="258" spans="1:46" x14ac:dyDescent="0.35">
      <c r="A258" s="1"/>
      <c r="B258" s="1"/>
      <c r="C258" s="2"/>
      <c r="D258" s="2"/>
      <c r="E258" s="2"/>
      <c r="F258" s="2"/>
      <c r="G258" s="2"/>
      <c r="H258" s="2"/>
      <c r="I258" s="2"/>
      <c r="J258" s="2"/>
      <c r="K258" s="2"/>
      <c r="L258" s="2"/>
      <c r="M258" s="2"/>
      <c r="N258" s="2"/>
      <c r="O258" s="2"/>
      <c r="P258" s="2"/>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row>
    <row r="259" spans="1:46" x14ac:dyDescent="0.35">
      <c r="A259" s="1"/>
      <c r="B259" s="1"/>
      <c r="C259" s="2"/>
      <c r="D259" s="2"/>
      <c r="E259" s="2"/>
      <c r="F259" s="2"/>
      <c r="G259" s="2"/>
      <c r="H259" s="2"/>
      <c r="I259" s="2"/>
      <c r="J259" s="2"/>
      <c r="K259" s="2"/>
      <c r="L259" s="2"/>
      <c r="M259" s="2"/>
      <c r="N259" s="2"/>
      <c r="O259" s="2"/>
      <c r="P259" s="2"/>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row>
    <row r="260" spans="1:46" x14ac:dyDescent="0.35">
      <c r="A260" s="1"/>
      <c r="B260" s="1"/>
      <c r="C260" s="2"/>
      <c r="D260" s="2"/>
      <c r="E260" s="2"/>
      <c r="F260" s="2"/>
      <c r="G260" s="2"/>
      <c r="H260" s="2"/>
      <c r="I260" s="2"/>
      <c r="J260" s="2"/>
      <c r="K260" s="2"/>
      <c r="L260" s="2"/>
      <c r="M260" s="2"/>
      <c r="N260" s="2"/>
      <c r="O260" s="2"/>
      <c r="P260" s="2"/>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row>
    <row r="261" spans="1:46" x14ac:dyDescent="0.35">
      <c r="A261" s="1"/>
      <c r="B261" s="1"/>
      <c r="C261" s="2"/>
      <c r="D261" s="2"/>
      <c r="E261" s="2"/>
      <c r="F261" s="2"/>
      <c r="G261" s="2"/>
      <c r="H261" s="2"/>
      <c r="I261" s="2"/>
      <c r="J261" s="2"/>
      <c r="K261" s="2"/>
      <c r="L261" s="2"/>
      <c r="M261" s="2"/>
      <c r="N261" s="2"/>
      <c r="O261" s="2"/>
      <c r="P261" s="2"/>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row>
    <row r="262" spans="1:46" x14ac:dyDescent="0.35">
      <c r="A262" s="1"/>
      <c r="B262" s="1"/>
      <c r="C262" s="2"/>
      <c r="D262" s="2"/>
      <c r="E262" s="2"/>
      <c r="F262" s="2"/>
      <c r="G262" s="2"/>
      <c r="H262" s="2"/>
      <c r="I262" s="2"/>
      <c r="J262" s="2"/>
      <c r="K262" s="2"/>
      <c r="L262" s="2"/>
      <c r="M262" s="2"/>
      <c r="N262" s="2"/>
      <c r="O262" s="2"/>
      <c r="P262" s="2"/>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row>
    <row r="263" spans="1:46" x14ac:dyDescent="0.35">
      <c r="A263" s="1"/>
      <c r="B263" s="1"/>
      <c r="C263" s="2"/>
      <c r="D263" s="2"/>
      <c r="E263" s="2"/>
      <c r="F263" s="2"/>
      <c r="G263" s="2"/>
      <c r="H263" s="2"/>
      <c r="I263" s="2"/>
      <c r="J263" s="2"/>
      <c r="K263" s="2"/>
      <c r="L263" s="2"/>
      <c r="M263" s="2"/>
      <c r="N263" s="2"/>
      <c r="O263" s="2"/>
      <c r="P263" s="2"/>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row>
    <row r="264" spans="1:46" x14ac:dyDescent="0.35">
      <c r="A264" s="1"/>
      <c r="B264" s="1"/>
      <c r="C264" s="2"/>
      <c r="D264" s="2"/>
      <c r="E264" s="2"/>
      <c r="F264" s="2"/>
      <c r="G264" s="2"/>
      <c r="H264" s="2"/>
      <c r="I264" s="2"/>
      <c r="J264" s="2"/>
      <c r="K264" s="2"/>
      <c r="L264" s="2"/>
      <c r="M264" s="2"/>
      <c r="N264" s="2"/>
      <c r="O264" s="2"/>
      <c r="P264" s="2"/>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row>
    <row r="265" spans="1:46" x14ac:dyDescent="0.35">
      <c r="A265" s="1"/>
      <c r="B265" s="1"/>
      <c r="C265" s="2"/>
      <c r="D265" s="2"/>
      <c r="E265" s="2"/>
      <c r="F265" s="2"/>
      <c r="G265" s="2"/>
      <c r="H265" s="2"/>
      <c r="I265" s="2"/>
      <c r="J265" s="2"/>
      <c r="K265" s="2"/>
      <c r="L265" s="2"/>
      <c r="M265" s="2"/>
      <c r="N265" s="2"/>
      <c r="O265" s="2"/>
      <c r="P265" s="2"/>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row>
    <row r="266" spans="1:46" x14ac:dyDescent="0.35">
      <c r="A266" s="1"/>
      <c r="B266" s="1"/>
      <c r="C266" s="2"/>
      <c r="D266" s="2"/>
      <c r="E266" s="2"/>
      <c r="F266" s="2"/>
      <c r="G266" s="2"/>
      <c r="H266" s="2"/>
      <c r="I266" s="2"/>
      <c r="J266" s="2"/>
      <c r="K266" s="2"/>
      <c r="L266" s="2"/>
      <c r="M266" s="2"/>
      <c r="N266" s="2"/>
      <c r="O266" s="2"/>
      <c r="P266" s="2"/>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row>
    <row r="267" spans="1:46" x14ac:dyDescent="0.35">
      <c r="A267" s="1"/>
      <c r="B267" s="1"/>
      <c r="C267" s="2"/>
      <c r="D267" s="2"/>
      <c r="E267" s="2"/>
      <c r="F267" s="2"/>
      <c r="G267" s="2"/>
      <c r="H267" s="2"/>
      <c r="I267" s="2"/>
      <c r="J267" s="2"/>
      <c r="K267" s="2"/>
      <c r="L267" s="2"/>
      <c r="M267" s="2"/>
      <c r="N267" s="2"/>
      <c r="O267" s="2"/>
      <c r="P267" s="2"/>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row>
    <row r="268" spans="1:46" x14ac:dyDescent="0.35">
      <c r="A268" s="1"/>
      <c r="B268" s="1"/>
      <c r="C268" s="2"/>
      <c r="D268" s="2"/>
      <c r="E268" s="2"/>
      <c r="F268" s="2"/>
      <c r="G268" s="2"/>
      <c r="H268" s="2"/>
      <c r="I268" s="2"/>
      <c r="J268" s="2"/>
      <c r="K268" s="2"/>
      <c r="L268" s="2"/>
      <c r="M268" s="2"/>
      <c r="N268" s="2"/>
      <c r="O268" s="2"/>
      <c r="P268" s="2"/>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row>
    <row r="269" spans="1:46" x14ac:dyDescent="0.35">
      <c r="A269" s="1"/>
      <c r="B269" s="1"/>
      <c r="C269" s="2"/>
      <c r="D269" s="2"/>
      <c r="E269" s="2"/>
      <c r="F269" s="2"/>
      <c r="G269" s="2"/>
      <c r="H269" s="2"/>
      <c r="I269" s="2"/>
      <c r="J269" s="2"/>
      <c r="K269" s="2"/>
      <c r="L269" s="2"/>
      <c r="M269" s="2"/>
      <c r="N269" s="2"/>
      <c r="O269" s="2"/>
      <c r="P269" s="2"/>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row>
    <row r="270" spans="1:46" x14ac:dyDescent="0.35">
      <c r="A270" s="1"/>
      <c r="B270" s="1"/>
      <c r="C270" s="2"/>
      <c r="D270" s="2"/>
      <c r="E270" s="2"/>
      <c r="F270" s="2"/>
      <c r="G270" s="2"/>
      <c r="H270" s="2"/>
      <c r="I270" s="2"/>
      <c r="J270" s="2"/>
      <c r="K270" s="2"/>
      <c r="L270" s="2"/>
      <c r="M270" s="2"/>
      <c r="N270" s="2"/>
      <c r="O270" s="2"/>
      <c r="P270" s="2"/>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row>
    <row r="271" spans="1:46" x14ac:dyDescent="0.35">
      <c r="A271" s="1"/>
      <c r="B271" s="1"/>
      <c r="C271" s="2"/>
      <c r="D271" s="2"/>
      <c r="E271" s="2"/>
      <c r="F271" s="2"/>
      <c r="G271" s="2"/>
      <c r="H271" s="2"/>
      <c r="I271" s="2"/>
      <c r="J271" s="2"/>
      <c r="K271" s="2"/>
      <c r="L271" s="2"/>
      <c r="M271" s="2"/>
      <c r="N271" s="2"/>
      <c r="O271" s="2"/>
      <c r="P271" s="2"/>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row>
    <row r="272" spans="1:46" x14ac:dyDescent="0.35">
      <c r="A272" s="1"/>
      <c r="B272" s="1"/>
      <c r="C272" s="2"/>
      <c r="D272" s="2"/>
      <c r="E272" s="2"/>
      <c r="F272" s="2"/>
      <c r="G272" s="2"/>
      <c r="H272" s="2"/>
      <c r="I272" s="2"/>
      <c r="J272" s="2"/>
      <c r="K272" s="2"/>
      <c r="L272" s="2"/>
      <c r="M272" s="2"/>
      <c r="N272" s="2"/>
      <c r="O272" s="2"/>
      <c r="P272" s="2"/>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row>
    <row r="273" spans="1:46" x14ac:dyDescent="0.35">
      <c r="A273" s="1"/>
      <c r="B273" s="1"/>
      <c r="C273" s="2"/>
      <c r="D273" s="2"/>
      <c r="E273" s="2"/>
      <c r="F273" s="2"/>
      <c r="G273" s="2"/>
      <c r="H273" s="2"/>
      <c r="I273" s="2"/>
      <c r="J273" s="2"/>
      <c r="K273" s="2"/>
      <c r="L273" s="2"/>
      <c r="M273" s="2"/>
      <c r="N273" s="2"/>
      <c r="O273" s="2"/>
      <c r="P273" s="2"/>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row>
    <row r="274" spans="1:46" x14ac:dyDescent="0.35">
      <c r="A274" s="1"/>
      <c r="B274" s="1"/>
      <c r="C274" s="2"/>
      <c r="D274" s="2"/>
      <c r="E274" s="2"/>
      <c r="F274" s="2"/>
      <c r="G274" s="2"/>
      <c r="H274" s="2"/>
      <c r="I274" s="2"/>
      <c r="J274" s="2"/>
      <c r="K274" s="2"/>
      <c r="L274" s="2"/>
      <c r="M274" s="2"/>
      <c r="N274" s="2"/>
      <c r="O274" s="2"/>
      <c r="P274" s="2"/>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row>
    <row r="275" spans="1:46" x14ac:dyDescent="0.35">
      <c r="A275" s="1"/>
      <c r="B275" s="1"/>
      <c r="C275" s="2"/>
      <c r="D275" s="2"/>
      <c r="E275" s="2"/>
      <c r="F275" s="2"/>
      <c r="G275" s="2"/>
      <c r="H275" s="2"/>
      <c r="I275" s="2"/>
      <c r="J275" s="2"/>
      <c r="K275" s="2"/>
      <c r="L275" s="2"/>
      <c r="M275" s="2"/>
      <c r="N275" s="2"/>
      <c r="O275" s="2"/>
      <c r="P275" s="2"/>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row>
    <row r="276" spans="1:46" x14ac:dyDescent="0.35">
      <c r="A276" s="1"/>
      <c r="B276" s="1"/>
      <c r="C276" s="2"/>
      <c r="D276" s="2"/>
      <c r="E276" s="2"/>
      <c r="F276" s="2"/>
      <c r="G276" s="2"/>
      <c r="H276" s="2"/>
      <c r="I276" s="2"/>
      <c r="J276" s="2"/>
      <c r="K276" s="2"/>
      <c r="L276" s="2"/>
      <c r="M276" s="2"/>
      <c r="N276" s="2"/>
      <c r="O276" s="2"/>
      <c r="P276" s="2"/>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row>
    <row r="277" spans="1:46" x14ac:dyDescent="0.35">
      <c r="A277" s="1"/>
      <c r="B277" s="1"/>
      <c r="C277" s="2"/>
      <c r="D277" s="2"/>
      <c r="E277" s="2"/>
      <c r="F277" s="2"/>
      <c r="G277" s="2"/>
      <c r="H277" s="2"/>
      <c r="I277" s="2"/>
      <c r="J277" s="2"/>
      <c r="K277" s="2"/>
      <c r="L277" s="2"/>
      <c r="M277" s="2"/>
      <c r="N277" s="2"/>
      <c r="O277" s="2"/>
      <c r="P277" s="2"/>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row>
    <row r="278" spans="1:46" x14ac:dyDescent="0.35">
      <c r="A278" s="1"/>
      <c r="B278" s="1"/>
      <c r="C278" s="2"/>
      <c r="D278" s="2"/>
      <c r="E278" s="2"/>
      <c r="F278" s="2"/>
      <c r="G278" s="2"/>
      <c r="H278" s="2"/>
      <c r="I278" s="2"/>
      <c r="J278" s="2"/>
      <c r="K278" s="2"/>
      <c r="L278" s="2"/>
      <c r="M278" s="2"/>
      <c r="N278" s="2"/>
      <c r="O278" s="2"/>
      <c r="P278" s="2"/>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row>
    <row r="279" spans="1:46" x14ac:dyDescent="0.35">
      <c r="A279" s="1"/>
      <c r="B279" s="1"/>
      <c r="C279" s="2"/>
      <c r="D279" s="2"/>
      <c r="E279" s="2"/>
      <c r="F279" s="2"/>
      <c r="G279" s="2"/>
      <c r="H279" s="2"/>
      <c r="I279" s="2"/>
      <c r="J279" s="2"/>
      <c r="K279" s="2"/>
      <c r="L279" s="2"/>
      <c r="M279" s="2"/>
      <c r="N279" s="2"/>
      <c r="O279" s="2"/>
      <c r="P279" s="2"/>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row>
    <row r="280" spans="1:46" x14ac:dyDescent="0.35">
      <c r="A280" s="1"/>
      <c r="B280" s="1"/>
      <c r="C280" s="2"/>
      <c r="D280" s="2"/>
      <c r="E280" s="2"/>
      <c r="F280" s="2"/>
      <c r="G280" s="2"/>
      <c r="H280" s="2"/>
      <c r="I280" s="2"/>
      <c r="J280" s="2"/>
      <c r="K280" s="2"/>
      <c r="L280" s="2"/>
      <c r="M280" s="2"/>
      <c r="N280" s="2"/>
      <c r="O280" s="2"/>
      <c r="P280" s="2"/>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row>
    <row r="281" spans="1:46" x14ac:dyDescent="0.35">
      <c r="A281" s="1"/>
      <c r="B281" s="1"/>
      <c r="C281" s="2"/>
      <c r="D281" s="2"/>
      <c r="E281" s="2"/>
      <c r="F281" s="2"/>
      <c r="G281" s="2"/>
      <c r="H281" s="2"/>
      <c r="I281" s="2"/>
      <c r="J281" s="2"/>
      <c r="K281" s="2"/>
      <c r="L281" s="2"/>
      <c r="M281" s="2"/>
      <c r="N281" s="2"/>
      <c r="O281" s="2"/>
      <c r="P281" s="2"/>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row>
    <row r="282" spans="1:46" x14ac:dyDescent="0.35">
      <c r="A282" s="1"/>
      <c r="B282" s="1"/>
      <c r="C282" s="2"/>
      <c r="D282" s="2"/>
      <c r="E282" s="2"/>
      <c r="F282" s="2"/>
      <c r="G282" s="2"/>
      <c r="H282" s="2"/>
      <c r="I282" s="2"/>
      <c r="J282" s="2"/>
      <c r="K282" s="2"/>
      <c r="L282" s="2"/>
      <c r="M282" s="2"/>
      <c r="N282" s="2"/>
      <c r="O282" s="2"/>
      <c r="P282" s="2"/>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row>
    <row r="283" spans="1:46" x14ac:dyDescent="0.35">
      <c r="A283" s="1"/>
      <c r="B283" s="1"/>
      <c r="C283" s="2"/>
      <c r="D283" s="2"/>
      <c r="E283" s="2"/>
      <c r="F283" s="2"/>
      <c r="G283" s="2"/>
      <c r="H283" s="2"/>
      <c r="I283" s="2"/>
      <c r="J283" s="2"/>
      <c r="K283" s="2"/>
      <c r="L283" s="2"/>
      <c r="M283" s="2"/>
      <c r="N283" s="2"/>
      <c r="O283" s="2"/>
      <c r="P283" s="2"/>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row>
    <row r="284" spans="1:46" x14ac:dyDescent="0.35">
      <c r="A284" s="1"/>
      <c r="B284" s="1"/>
      <c r="C284" s="2"/>
      <c r="D284" s="2"/>
      <c r="E284" s="2"/>
      <c r="F284" s="2"/>
      <c r="G284" s="2"/>
      <c r="H284" s="2"/>
      <c r="I284" s="2"/>
      <c r="J284" s="2"/>
      <c r="K284" s="2"/>
      <c r="L284" s="2"/>
      <c r="M284" s="2"/>
      <c r="N284" s="2"/>
      <c r="O284" s="2"/>
      <c r="P284" s="2"/>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row>
    <row r="285" spans="1:46" x14ac:dyDescent="0.35">
      <c r="A285" s="1"/>
      <c r="B285" s="1"/>
      <c r="C285" s="2"/>
      <c r="D285" s="2"/>
      <c r="E285" s="2"/>
      <c r="F285" s="2"/>
      <c r="G285" s="2"/>
      <c r="H285" s="2"/>
      <c r="I285" s="2"/>
      <c r="J285" s="2"/>
      <c r="K285" s="2"/>
      <c r="L285" s="2"/>
      <c r="M285" s="2"/>
      <c r="N285" s="2"/>
      <c r="O285" s="2"/>
      <c r="P285" s="2"/>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row>
    <row r="286" spans="1:46" x14ac:dyDescent="0.35">
      <c r="A286" s="1"/>
      <c r="B286" s="1"/>
      <c r="C286" s="2"/>
      <c r="D286" s="2"/>
      <c r="E286" s="2"/>
      <c r="F286" s="2"/>
      <c r="G286" s="2"/>
      <c r="H286" s="2"/>
      <c r="I286" s="2"/>
      <c r="J286" s="2"/>
      <c r="K286" s="2"/>
      <c r="L286" s="2"/>
      <c r="M286" s="2"/>
      <c r="N286" s="2"/>
      <c r="O286" s="2"/>
      <c r="P286" s="2"/>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row>
    <row r="287" spans="1:46" x14ac:dyDescent="0.35">
      <c r="A287" s="1"/>
      <c r="B287" s="1"/>
      <c r="C287" s="2"/>
      <c r="D287" s="2"/>
      <c r="E287" s="2"/>
      <c r="F287" s="2"/>
      <c r="G287" s="2"/>
      <c r="H287" s="2"/>
      <c r="I287" s="2"/>
      <c r="J287" s="2"/>
      <c r="K287" s="2"/>
      <c r="L287" s="2"/>
      <c r="M287" s="2"/>
      <c r="N287" s="2"/>
      <c r="O287" s="2"/>
      <c r="P287" s="2"/>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row>
    <row r="288" spans="1:46" x14ac:dyDescent="0.35">
      <c r="A288" s="1"/>
      <c r="B288" s="1"/>
      <c r="C288" s="2"/>
      <c r="D288" s="2"/>
      <c r="E288" s="2"/>
      <c r="F288" s="2"/>
      <c r="G288" s="2"/>
      <c r="H288" s="2"/>
      <c r="I288" s="2"/>
      <c r="J288" s="2"/>
      <c r="K288" s="2"/>
      <c r="L288" s="2"/>
      <c r="M288" s="2"/>
      <c r="N288" s="2"/>
      <c r="O288" s="2"/>
      <c r="P288" s="2"/>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row>
    <row r="289" spans="1:46" x14ac:dyDescent="0.35">
      <c r="A289" s="1"/>
      <c r="B289" s="1"/>
      <c r="C289" s="2"/>
      <c r="D289" s="2"/>
      <c r="E289" s="2"/>
      <c r="F289" s="2"/>
      <c r="G289" s="2"/>
      <c r="H289" s="2"/>
      <c r="I289" s="2"/>
      <c r="J289" s="2"/>
      <c r="K289" s="2"/>
      <c r="L289" s="2"/>
      <c r="M289" s="2"/>
      <c r="N289" s="2"/>
      <c r="O289" s="2"/>
      <c r="P289" s="2"/>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row>
    <row r="290" spans="1:46" x14ac:dyDescent="0.35">
      <c r="A290" s="1"/>
      <c r="B290" s="1"/>
      <c r="C290" s="2"/>
      <c r="D290" s="2"/>
      <c r="E290" s="2"/>
      <c r="F290" s="2"/>
      <c r="G290" s="2"/>
      <c r="H290" s="2"/>
      <c r="I290" s="2"/>
      <c r="J290" s="2"/>
      <c r="K290" s="2"/>
      <c r="L290" s="2"/>
      <c r="M290" s="2"/>
      <c r="N290" s="2"/>
      <c r="O290" s="2"/>
      <c r="P290" s="2"/>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row>
    <row r="291" spans="1:46" x14ac:dyDescent="0.35">
      <c r="A291" s="1"/>
      <c r="B291" s="1"/>
      <c r="C291" s="2"/>
      <c r="D291" s="2"/>
      <c r="E291" s="2"/>
      <c r="F291" s="2"/>
      <c r="G291" s="2"/>
      <c r="H291" s="2"/>
      <c r="I291" s="2"/>
      <c r="J291" s="2"/>
      <c r="K291" s="2"/>
      <c r="L291" s="2"/>
      <c r="M291" s="2"/>
      <c r="N291" s="2"/>
      <c r="O291" s="2"/>
      <c r="P291" s="2"/>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row>
    <row r="292" spans="1:46" x14ac:dyDescent="0.35">
      <c r="A292" s="1"/>
      <c r="B292" s="1"/>
      <c r="C292" s="2"/>
      <c r="D292" s="2"/>
      <c r="E292" s="2"/>
      <c r="F292" s="2"/>
      <c r="G292" s="2"/>
      <c r="H292" s="2"/>
      <c r="I292" s="2"/>
      <c r="J292" s="2"/>
      <c r="K292" s="2"/>
      <c r="L292" s="2"/>
      <c r="M292" s="2"/>
      <c r="N292" s="2"/>
      <c r="O292" s="2"/>
      <c r="P292" s="2"/>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row>
    <row r="293" spans="1:46" x14ac:dyDescent="0.35">
      <c r="A293" s="1"/>
      <c r="B293" s="1"/>
      <c r="C293" s="2"/>
      <c r="D293" s="2"/>
      <c r="E293" s="2"/>
      <c r="F293" s="2"/>
      <c r="G293" s="2"/>
      <c r="H293" s="2"/>
      <c r="I293" s="2"/>
      <c r="J293" s="2"/>
      <c r="K293" s="2"/>
      <c r="L293" s="2"/>
      <c r="M293" s="2"/>
      <c r="N293" s="2"/>
      <c r="O293" s="2"/>
      <c r="P293" s="2"/>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row>
    <row r="294" spans="1:46" x14ac:dyDescent="0.35">
      <c r="A294" s="1"/>
      <c r="B294" s="1"/>
      <c r="C294" s="2"/>
      <c r="D294" s="2"/>
      <c r="E294" s="2"/>
      <c r="F294" s="2"/>
      <c r="G294" s="2"/>
      <c r="H294" s="2"/>
      <c r="I294" s="2"/>
      <c r="J294" s="2"/>
      <c r="K294" s="2"/>
      <c r="L294" s="2"/>
      <c r="M294" s="2"/>
      <c r="N294" s="2"/>
      <c r="O294" s="2"/>
      <c r="P294" s="2"/>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row>
    <row r="295" spans="1:46" x14ac:dyDescent="0.35">
      <c r="A295" s="1"/>
      <c r="B295" s="1"/>
      <c r="C295" s="2"/>
      <c r="D295" s="2"/>
      <c r="E295" s="2"/>
      <c r="F295" s="2"/>
      <c r="G295" s="2"/>
      <c r="H295" s="2"/>
      <c r="I295" s="2"/>
      <c r="J295" s="2"/>
      <c r="K295" s="2"/>
      <c r="L295" s="2"/>
      <c r="M295" s="2"/>
      <c r="N295" s="2"/>
      <c r="O295" s="2"/>
      <c r="P295" s="2"/>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row>
    <row r="296" spans="1:46" x14ac:dyDescent="0.35">
      <c r="A296" s="1"/>
      <c r="B296" s="1"/>
      <c r="C296" s="2"/>
      <c r="D296" s="2"/>
      <c r="E296" s="2"/>
      <c r="F296" s="2"/>
      <c r="G296" s="2"/>
      <c r="H296" s="2"/>
      <c r="I296" s="2"/>
      <c r="J296" s="2"/>
      <c r="K296" s="2"/>
      <c r="L296" s="2"/>
      <c r="M296" s="2"/>
      <c r="N296" s="2"/>
      <c r="O296" s="2"/>
      <c r="P296" s="2"/>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row>
    <row r="297" spans="1:46" x14ac:dyDescent="0.35">
      <c r="A297" s="1"/>
      <c r="B297" s="1"/>
      <c r="C297" s="2"/>
      <c r="D297" s="2"/>
      <c r="E297" s="2"/>
      <c r="F297" s="2"/>
      <c r="G297" s="2"/>
      <c r="H297" s="2"/>
      <c r="I297" s="2"/>
      <c r="J297" s="2"/>
      <c r="K297" s="2"/>
      <c r="L297" s="2"/>
      <c r="M297" s="2"/>
      <c r="N297" s="2"/>
      <c r="O297" s="2"/>
      <c r="P297" s="2"/>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row>
    <row r="298" spans="1:46" x14ac:dyDescent="0.35">
      <c r="A298" s="1"/>
      <c r="B298" s="1"/>
      <c r="C298" s="2"/>
      <c r="D298" s="2"/>
      <c r="E298" s="2"/>
      <c r="F298" s="2"/>
      <c r="G298" s="2"/>
      <c r="H298" s="2"/>
      <c r="I298" s="2"/>
      <c r="J298" s="2"/>
      <c r="K298" s="2"/>
      <c r="L298" s="2"/>
      <c r="M298" s="2"/>
      <c r="N298" s="2"/>
      <c r="O298" s="2"/>
      <c r="P298" s="2"/>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row>
    <row r="299" spans="1:46" x14ac:dyDescent="0.35">
      <c r="A299" s="1"/>
      <c r="B299" s="1"/>
      <c r="C299" s="2"/>
      <c r="D299" s="2"/>
      <c r="E299" s="2"/>
      <c r="F299" s="2"/>
      <c r="G299" s="2"/>
      <c r="H299" s="2"/>
      <c r="I299" s="2"/>
      <c r="J299" s="2"/>
      <c r="K299" s="2"/>
      <c r="L299" s="2"/>
      <c r="M299" s="2"/>
      <c r="N299" s="2"/>
      <c r="O299" s="2"/>
      <c r="P299" s="2"/>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row>
    <row r="300" spans="1:46" x14ac:dyDescent="0.35">
      <c r="A300" s="1"/>
      <c r="B300" s="1"/>
      <c r="C300" s="2"/>
      <c r="D300" s="2"/>
      <c r="E300" s="2"/>
      <c r="F300" s="2"/>
      <c r="G300" s="2"/>
      <c r="H300" s="2"/>
      <c r="I300" s="2"/>
      <c r="J300" s="2"/>
      <c r="K300" s="2"/>
      <c r="L300" s="2"/>
      <c r="M300" s="2"/>
      <c r="N300" s="2"/>
      <c r="O300" s="2"/>
      <c r="P300" s="2"/>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row>
    <row r="301" spans="1:46" x14ac:dyDescent="0.35">
      <c r="A301" s="1"/>
      <c r="B301" s="1"/>
      <c r="C301" s="2"/>
      <c r="D301" s="2"/>
      <c r="E301" s="2"/>
      <c r="F301" s="2"/>
      <c r="G301" s="2"/>
      <c r="H301" s="2"/>
      <c r="I301" s="2"/>
      <c r="J301" s="2"/>
      <c r="K301" s="2"/>
      <c r="L301" s="2"/>
      <c r="M301" s="2"/>
      <c r="N301" s="2"/>
      <c r="O301" s="2"/>
      <c r="P301" s="2"/>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row>
    <row r="302" spans="1:46" x14ac:dyDescent="0.35">
      <c r="A302" s="1"/>
      <c r="B302" s="1"/>
      <c r="C302" s="2"/>
      <c r="D302" s="2"/>
      <c r="E302" s="2"/>
      <c r="F302" s="2"/>
      <c r="G302" s="2"/>
      <c r="H302" s="2"/>
      <c r="I302" s="2"/>
      <c r="J302" s="2"/>
      <c r="K302" s="2"/>
      <c r="L302" s="2"/>
      <c r="M302" s="2"/>
      <c r="N302" s="2"/>
      <c r="O302" s="2"/>
      <c r="P302" s="2"/>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row>
    <row r="303" spans="1:46" x14ac:dyDescent="0.35">
      <c r="A303" s="1"/>
      <c r="B303" s="1"/>
      <c r="C303" s="2"/>
      <c r="D303" s="2"/>
      <c r="E303" s="2"/>
      <c r="F303" s="2"/>
      <c r="G303" s="2"/>
      <c r="H303" s="2"/>
      <c r="I303" s="2"/>
      <c r="J303" s="2"/>
      <c r="K303" s="2"/>
      <c r="L303" s="2"/>
      <c r="M303" s="2"/>
      <c r="N303" s="2"/>
      <c r="O303" s="2"/>
      <c r="P303" s="2"/>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row>
  </sheetData>
  <conditionalFormatting sqref="C21:C24">
    <cfRule type="colorScale" priority="1">
      <colorScale>
        <cfvo type="min"/>
        <cfvo type="max"/>
        <color rgb="FF1C1D1D"/>
        <color rgb="FF3C963C"/>
      </colorScale>
    </cfRule>
  </conditionalFormatting>
  <conditionalFormatting sqref="C12:J17 C27:N29">
    <cfRule type="cellIs" dxfId="23" priority="15" operator="equal">
      <formula>0</formula>
    </cfRule>
  </conditionalFormatting>
  <conditionalFormatting sqref="C8:M11 C18:M25 C30:M33">
    <cfRule type="cellIs" dxfId="22" priority="25" operator="equal">
      <formula>0</formula>
    </cfRule>
  </conditionalFormatting>
  <conditionalFormatting sqref="K8:N18">
    <cfRule type="cellIs" dxfId="21" priority="12" operator="equal">
      <formula>0</formula>
    </cfRule>
  </conditionalFormatting>
  <pageMargins left="0.511811024" right="0.511811024" top="0.78740157499999996" bottom="0.78740157499999996" header="0.31496062000000002" footer="0.31496062000000002"/>
  <pageSetup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32218-C6A7-46BB-8AEB-0B1E4B9C7B37}">
  <dimension ref="A1:AZ312"/>
  <sheetViews>
    <sheetView showGridLines="0" zoomScaleNormal="100" workbookViewId="0"/>
  </sheetViews>
  <sheetFormatPr defaultColWidth="12.54296875" defaultRowHeight="14.5" outlineLevelRow="1" x14ac:dyDescent="0.35"/>
  <cols>
    <col min="1" max="1" width="12.54296875" style="3"/>
    <col min="2" max="2" width="30.453125" style="3" customWidth="1"/>
    <col min="3" max="19" width="14.54296875" style="8" customWidth="1"/>
    <col min="20" max="20" width="52.1796875" style="8" customWidth="1"/>
    <col min="21" max="22" width="12.54296875" style="8"/>
    <col min="23" max="16384" width="12.54296875" style="3"/>
  </cols>
  <sheetData>
    <row r="1" spans="1:52" ht="18" customHeight="1" x14ac:dyDescent="0.35">
      <c r="A1" s="1"/>
      <c r="B1" s="1"/>
      <c r="C1" s="2"/>
      <c r="D1" s="2"/>
      <c r="E1" s="2"/>
      <c r="F1" s="2"/>
      <c r="G1" s="2"/>
      <c r="H1" s="2"/>
      <c r="I1" s="2"/>
      <c r="J1" s="2"/>
      <c r="K1" s="2"/>
      <c r="L1" s="2"/>
      <c r="M1" s="2"/>
      <c r="N1" s="2"/>
      <c r="O1" s="2"/>
      <c r="P1" s="2"/>
      <c r="Q1" s="2"/>
      <c r="R1" s="2"/>
      <c r="S1" s="2"/>
      <c r="T1" s="2"/>
      <c r="U1" s="2"/>
      <c r="V1" s="2"/>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8" customHeight="1" x14ac:dyDescent="0.35">
      <c r="A2" s="1"/>
      <c r="B2" s="1"/>
      <c r="C2" s="2"/>
      <c r="D2" s="2"/>
      <c r="E2" s="2"/>
      <c r="F2" s="2"/>
      <c r="G2" s="2"/>
      <c r="H2" s="2"/>
      <c r="I2" s="2"/>
      <c r="J2" s="2"/>
      <c r="K2" s="2"/>
      <c r="L2" s="2"/>
      <c r="M2" s="2"/>
      <c r="N2" s="2"/>
      <c r="O2" s="2"/>
      <c r="P2" s="2"/>
      <c r="Q2" s="2"/>
      <c r="R2" s="2"/>
      <c r="S2" s="2"/>
      <c r="T2" s="2"/>
      <c r="U2" s="2"/>
      <c r="V2" s="2"/>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ht="18" customHeight="1" x14ac:dyDescent="0.35">
      <c r="A3" s="1"/>
      <c r="B3" s="1"/>
      <c r="C3" s="2"/>
      <c r="D3" s="2"/>
      <c r="E3" s="2"/>
      <c r="F3" s="2"/>
      <c r="G3" s="2"/>
      <c r="H3" s="2"/>
      <c r="I3" s="2"/>
      <c r="J3" s="2"/>
      <c r="K3" s="2"/>
      <c r="L3" s="2"/>
      <c r="M3" s="2"/>
      <c r="N3" s="2"/>
      <c r="O3" s="2"/>
      <c r="P3" s="2"/>
      <c r="Q3" s="2"/>
      <c r="R3" s="2"/>
      <c r="S3" s="2"/>
      <c r="T3" s="2"/>
      <c r="U3" s="2"/>
      <c r="V3" s="2"/>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customHeight="1" x14ac:dyDescent="0.35">
      <c r="A4" s="1"/>
      <c r="B4" s="1"/>
      <c r="C4" s="2"/>
      <c r="D4" s="2"/>
      <c r="E4" s="2"/>
      <c r="F4" s="2"/>
      <c r="G4" s="2"/>
      <c r="H4" s="2"/>
      <c r="I4" s="2"/>
      <c r="J4" s="2"/>
      <c r="K4" s="2"/>
      <c r="L4" s="2"/>
      <c r="M4" s="2"/>
      <c r="N4" s="2"/>
      <c r="O4" s="2"/>
      <c r="P4" s="2"/>
      <c r="Q4" s="2"/>
      <c r="R4" s="2"/>
      <c r="S4" s="2"/>
      <c r="T4" s="2"/>
      <c r="U4" s="2"/>
      <c r="V4" s="2"/>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ht="18" customHeight="1" x14ac:dyDescent="0.35">
      <c r="A5" s="1"/>
      <c r="B5" s="1"/>
      <c r="C5" s="2"/>
      <c r="D5" s="2"/>
      <c r="E5" s="2"/>
      <c r="F5" s="2"/>
      <c r="G5" s="2"/>
      <c r="H5" s="2"/>
      <c r="I5" s="2"/>
      <c r="J5" s="2"/>
      <c r="K5" s="2"/>
      <c r="L5" s="2"/>
      <c r="M5" s="2"/>
      <c r="N5" s="2"/>
      <c r="O5" s="2"/>
      <c r="P5" s="2"/>
      <c r="Q5" s="2"/>
      <c r="R5" s="2"/>
      <c r="S5" s="2"/>
      <c r="T5" s="2"/>
      <c r="U5" s="2"/>
      <c r="V5" s="2"/>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ht="18" customHeight="1" x14ac:dyDescent="0.35">
      <c r="A6" s="1"/>
      <c r="B6" s="1"/>
      <c r="C6" s="2"/>
      <c r="D6" s="2"/>
      <c r="E6" s="2"/>
      <c r="F6" s="2"/>
      <c r="G6" s="2"/>
      <c r="H6" s="2"/>
      <c r="I6" s="2"/>
      <c r="J6" s="2"/>
      <c r="K6" s="2"/>
      <c r="L6" s="2"/>
      <c r="M6" s="2"/>
      <c r="N6" s="2"/>
      <c r="O6" s="2"/>
      <c r="P6" s="2"/>
      <c r="Q6" s="2"/>
      <c r="R6" s="2"/>
      <c r="S6" s="2"/>
      <c r="T6" s="2"/>
      <c r="U6" s="2"/>
      <c r="V6" s="2"/>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8" customHeight="1" thickBot="1" x14ac:dyDescent="0.4">
      <c r="A7" s="1"/>
      <c r="B7" s="59"/>
      <c r="C7" s="17">
        <v>2010</v>
      </c>
      <c r="D7" s="17">
        <f>C7+1</f>
        <v>2011</v>
      </c>
      <c r="E7" s="17">
        <f t="shared" ref="E7:M7" si="0">D7+1</f>
        <v>2012</v>
      </c>
      <c r="F7" s="17">
        <f t="shared" si="0"/>
        <v>2013</v>
      </c>
      <c r="G7" s="17">
        <f t="shared" si="0"/>
        <v>2014</v>
      </c>
      <c r="H7" s="17">
        <f t="shared" si="0"/>
        <v>2015</v>
      </c>
      <c r="I7" s="17">
        <f t="shared" si="0"/>
        <v>2016</v>
      </c>
      <c r="J7" s="17">
        <f t="shared" si="0"/>
        <v>2017</v>
      </c>
      <c r="K7" s="81">
        <f t="shared" si="0"/>
        <v>2018</v>
      </c>
      <c r="L7" s="81">
        <f t="shared" si="0"/>
        <v>2019</v>
      </c>
      <c r="M7" s="81">
        <f t="shared" si="0"/>
        <v>2020</v>
      </c>
      <c r="N7" s="81">
        <f t="shared" ref="N7" si="1">M7+1</f>
        <v>2021</v>
      </c>
      <c r="O7" s="81">
        <f t="shared" ref="O7" si="2">N7+1</f>
        <v>2022</v>
      </c>
      <c r="P7" s="81">
        <f t="shared" ref="P7" si="3">O7+1</f>
        <v>2023</v>
      </c>
      <c r="Q7" s="62">
        <f t="shared" ref="Q7" si="4">P7+1</f>
        <v>2024</v>
      </c>
      <c r="R7" s="62">
        <f t="shared" ref="R7" si="5">Q7+1</f>
        <v>2025</v>
      </c>
      <c r="S7" s="62">
        <f t="shared" ref="S7" si="6">R7+1</f>
        <v>2026</v>
      </c>
      <c r="T7" s="62" t="s">
        <v>763</v>
      </c>
      <c r="U7" s="2"/>
      <c r="V7" s="2"/>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row>
    <row r="8" spans="1:52" ht="18" customHeight="1" x14ac:dyDescent="0.35">
      <c r="A8" s="1"/>
      <c r="B8" s="66" t="s">
        <v>788</v>
      </c>
      <c r="C8" s="67">
        <v>0</v>
      </c>
      <c r="D8" s="67">
        <v>0</v>
      </c>
      <c r="E8" s="67">
        <v>0</v>
      </c>
      <c r="F8" s="67">
        <v>0</v>
      </c>
      <c r="G8" s="67">
        <v>0</v>
      </c>
      <c r="H8" s="67">
        <v>0</v>
      </c>
      <c r="I8" s="67">
        <f t="array" ref="I8:P8">RL_FIN</f>
        <v>179547.03</v>
      </c>
      <c r="J8" s="67">
        <v>256285.38</v>
      </c>
      <c r="K8" s="67">
        <v>241271</v>
      </c>
      <c r="L8" s="67">
        <v>216402</v>
      </c>
      <c r="M8" s="67">
        <v>149259</v>
      </c>
      <c r="N8" s="67">
        <v>174974</v>
      </c>
      <c r="O8" s="67">
        <v>257373</v>
      </c>
      <c r="P8" s="67">
        <v>356592</v>
      </c>
      <c r="Q8" s="63"/>
      <c r="R8" s="63"/>
      <c r="S8" s="63"/>
      <c r="T8" s="61"/>
      <c r="U8" s="2"/>
      <c r="V8" s="2"/>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8" customHeight="1" x14ac:dyDescent="0.35">
      <c r="A9" s="1"/>
      <c r="B9" s="22" t="s">
        <v>786</v>
      </c>
      <c r="C9" s="37">
        <v>0</v>
      </c>
      <c r="D9" s="37">
        <v>0</v>
      </c>
      <c r="E9" s="37">
        <v>0</v>
      </c>
      <c r="F9" s="37">
        <v>0</v>
      </c>
      <c r="G9" s="37">
        <v>0</v>
      </c>
      <c r="H9" s="37">
        <v>0</v>
      </c>
      <c r="I9" s="37">
        <v>0</v>
      </c>
      <c r="J9" s="37">
        <v>0</v>
      </c>
      <c r="K9" s="37">
        <v>0</v>
      </c>
      <c r="L9" s="37">
        <v>0</v>
      </c>
      <c r="M9" s="37">
        <v>0</v>
      </c>
      <c r="N9" s="37">
        <v>700</v>
      </c>
      <c r="O9" s="37">
        <v>134173</v>
      </c>
      <c r="P9" s="37">
        <v>314692</v>
      </c>
      <c r="Q9" s="63"/>
      <c r="R9" s="63"/>
      <c r="S9" s="63"/>
      <c r="T9" s="70"/>
      <c r="U9" s="2"/>
      <c r="V9" s="2"/>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row>
    <row r="10" spans="1:52" ht="18" customHeight="1" x14ac:dyDescent="0.35">
      <c r="A10" s="1"/>
      <c r="B10" s="22" t="s">
        <v>787</v>
      </c>
      <c r="C10" s="37">
        <v>0</v>
      </c>
      <c r="D10" s="37">
        <v>0</v>
      </c>
      <c r="E10" s="37">
        <v>0</v>
      </c>
      <c r="F10" s="37">
        <v>0</v>
      </c>
      <c r="G10" s="37">
        <v>0</v>
      </c>
      <c r="H10" s="37">
        <v>0</v>
      </c>
      <c r="I10" s="37">
        <v>179547.03</v>
      </c>
      <c r="J10" s="37">
        <v>256285.38</v>
      </c>
      <c r="K10" s="37">
        <v>241271</v>
      </c>
      <c r="L10" s="37">
        <v>216402</v>
      </c>
      <c r="M10" s="37">
        <v>149259</v>
      </c>
      <c r="N10" s="37">
        <v>174274</v>
      </c>
      <c r="O10" s="37">
        <v>123200</v>
      </c>
      <c r="P10" s="37">
        <v>41900</v>
      </c>
      <c r="Q10" s="63"/>
      <c r="R10" s="63"/>
      <c r="S10" s="63"/>
      <c r="T10" s="70"/>
      <c r="U10" s="2"/>
      <c r="V10" s="2"/>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row>
    <row r="11" spans="1:52" ht="18" customHeight="1" x14ac:dyDescent="0.35">
      <c r="A11" s="1"/>
      <c r="B11" s="66" t="s">
        <v>795</v>
      </c>
      <c r="C11" s="67">
        <v>0</v>
      </c>
      <c r="D11" s="67">
        <v>0</v>
      </c>
      <c r="E11" s="67">
        <v>0</v>
      </c>
      <c r="F11" s="67">
        <v>0</v>
      </c>
      <c r="G11" s="67">
        <v>0</v>
      </c>
      <c r="H11" s="67">
        <v>0</v>
      </c>
      <c r="I11" s="67">
        <v>0</v>
      </c>
      <c r="J11" s="67">
        <v>0</v>
      </c>
      <c r="K11" s="67">
        <v>0</v>
      </c>
      <c r="L11" s="67">
        <v>0</v>
      </c>
      <c r="M11" s="67">
        <v>0</v>
      </c>
      <c r="N11" s="67">
        <f>N12</f>
        <v>402</v>
      </c>
      <c r="O11" s="67">
        <f>N11+O12</f>
        <v>2567</v>
      </c>
      <c r="P11" s="67">
        <f>O11+P12</f>
        <v>5012</v>
      </c>
      <c r="Q11" s="63"/>
      <c r="R11" s="63"/>
      <c r="S11" s="63"/>
      <c r="T11" s="70"/>
      <c r="U11" s="2"/>
      <c r="V11" s="2"/>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row>
    <row r="12" spans="1:52" ht="18" customHeight="1" x14ac:dyDescent="0.35">
      <c r="A12" s="1"/>
      <c r="B12" s="22" t="s">
        <v>796</v>
      </c>
      <c r="C12" s="37">
        <v>0</v>
      </c>
      <c r="D12" s="37">
        <v>0</v>
      </c>
      <c r="E12" s="37">
        <v>0</v>
      </c>
      <c r="F12" s="37">
        <v>0</v>
      </c>
      <c r="G12" s="37">
        <v>0</v>
      </c>
      <c r="H12" s="37">
        <v>0</v>
      </c>
      <c r="I12" s="37">
        <v>0</v>
      </c>
      <c r="J12" s="37">
        <v>0</v>
      </c>
      <c r="K12" s="37">
        <v>0</v>
      </c>
      <c r="L12" s="37">
        <v>0</v>
      </c>
      <c r="M12" s="37">
        <v>0</v>
      </c>
      <c r="N12" s="37">
        <v>402</v>
      </c>
      <c r="O12" s="37">
        <v>2165</v>
      </c>
      <c r="P12" s="37">
        <v>2445</v>
      </c>
      <c r="Q12" s="63"/>
      <c r="R12" s="63"/>
      <c r="S12" s="63"/>
      <c r="T12" s="70"/>
      <c r="U12" s="2"/>
      <c r="V12" s="2"/>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row>
    <row r="13" spans="1:52" ht="18" customHeight="1" x14ac:dyDescent="0.35">
      <c r="A13" s="1"/>
      <c r="B13" s="66" t="s">
        <v>791</v>
      </c>
      <c r="C13" s="67">
        <f>SUM(C14:C16)</f>
        <v>0</v>
      </c>
      <c r="D13" s="67">
        <f t="shared" ref="D13:P13" si="7">SUM(D14:D16)</f>
        <v>0</v>
      </c>
      <c r="E13" s="67">
        <f t="shared" si="7"/>
        <v>0</v>
      </c>
      <c r="F13" s="67">
        <f t="shared" si="7"/>
        <v>0</v>
      </c>
      <c r="G13" s="67">
        <f t="shared" si="7"/>
        <v>0</v>
      </c>
      <c r="H13" s="67">
        <f t="shared" si="7"/>
        <v>0</v>
      </c>
      <c r="I13" s="67">
        <f t="shared" si="7"/>
        <v>0</v>
      </c>
      <c r="J13" s="67">
        <f t="shared" si="7"/>
        <v>0</v>
      </c>
      <c r="K13" s="67">
        <f t="shared" si="7"/>
        <v>0</v>
      </c>
      <c r="L13" s="67">
        <f t="shared" si="7"/>
        <v>0</v>
      </c>
      <c r="M13" s="67">
        <f t="shared" si="7"/>
        <v>0</v>
      </c>
      <c r="N13" s="67">
        <f t="shared" si="7"/>
        <v>0</v>
      </c>
      <c r="O13" s="67">
        <f t="shared" si="7"/>
        <v>562632</v>
      </c>
      <c r="P13" s="67">
        <f t="shared" si="7"/>
        <v>963020</v>
      </c>
      <c r="Q13" s="63"/>
      <c r="R13" s="63"/>
      <c r="S13" s="63"/>
      <c r="T13" s="70"/>
      <c r="U13" s="2"/>
      <c r="V13" s="2"/>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row>
    <row r="14" spans="1:52" ht="18" customHeight="1" x14ac:dyDescent="0.35">
      <c r="A14" s="1"/>
      <c r="B14" s="22" t="s">
        <v>792</v>
      </c>
      <c r="C14" s="37">
        <v>0</v>
      </c>
      <c r="D14" s="37">
        <v>0</v>
      </c>
      <c r="E14" s="37">
        <v>0</v>
      </c>
      <c r="F14" s="37">
        <v>0</v>
      </c>
      <c r="G14" s="37">
        <v>0</v>
      </c>
      <c r="H14" s="37">
        <v>0</v>
      </c>
      <c r="I14" s="37">
        <v>0</v>
      </c>
      <c r="J14" s="37">
        <v>0</v>
      </c>
      <c r="K14" s="37">
        <v>0</v>
      </c>
      <c r="L14" s="37">
        <v>0</v>
      </c>
      <c r="M14" s="37">
        <v>0</v>
      </c>
      <c r="N14" s="37">
        <v>0</v>
      </c>
      <c r="O14" s="37">
        <v>138041</v>
      </c>
      <c r="P14" s="37">
        <v>254722</v>
      </c>
      <c r="Q14" s="63"/>
      <c r="R14" s="63"/>
      <c r="S14" s="63"/>
      <c r="T14" s="70"/>
      <c r="U14" s="2"/>
      <c r="V14" s="2"/>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row>
    <row r="15" spans="1:52" ht="18" customHeight="1" x14ac:dyDescent="0.35">
      <c r="A15" s="1"/>
      <c r="B15" s="22" t="s">
        <v>793</v>
      </c>
      <c r="C15" s="37">
        <v>0</v>
      </c>
      <c r="D15" s="37">
        <v>0</v>
      </c>
      <c r="E15" s="37">
        <v>0</v>
      </c>
      <c r="F15" s="37">
        <v>0</v>
      </c>
      <c r="G15" s="37">
        <v>0</v>
      </c>
      <c r="H15" s="37">
        <v>0</v>
      </c>
      <c r="I15" s="37">
        <v>0</v>
      </c>
      <c r="J15" s="37">
        <v>0</v>
      </c>
      <c r="K15" s="37">
        <v>0</v>
      </c>
      <c r="L15" s="37">
        <v>0</v>
      </c>
      <c r="M15" s="37">
        <v>0</v>
      </c>
      <c r="N15" s="37">
        <v>0</v>
      </c>
      <c r="O15" s="37">
        <v>169588</v>
      </c>
      <c r="P15" s="37">
        <v>312670</v>
      </c>
      <c r="Q15" s="63"/>
      <c r="R15" s="63"/>
      <c r="S15" s="63"/>
      <c r="T15" s="70"/>
      <c r="U15" s="2"/>
      <c r="V15" s="2"/>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row>
    <row r="16" spans="1:52" ht="18" customHeight="1" x14ac:dyDescent="0.35">
      <c r="A16" s="1"/>
      <c r="B16" s="22" t="s">
        <v>794</v>
      </c>
      <c r="C16" s="37">
        <v>0</v>
      </c>
      <c r="D16" s="37">
        <v>0</v>
      </c>
      <c r="E16" s="37">
        <v>0</v>
      </c>
      <c r="F16" s="37">
        <v>0</v>
      </c>
      <c r="G16" s="37">
        <v>0</v>
      </c>
      <c r="H16" s="37">
        <v>0</v>
      </c>
      <c r="I16" s="37">
        <v>0</v>
      </c>
      <c r="J16" s="37">
        <v>0</v>
      </c>
      <c r="K16" s="37">
        <v>0</v>
      </c>
      <c r="L16" s="37">
        <v>0</v>
      </c>
      <c r="M16" s="37">
        <v>0</v>
      </c>
      <c r="N16" s="37">
        <v>0</v>
      </c>
      <c r="O16" s="37">
        <v>255003</v>
      </c>
      <c r="P16" s="37">
        <v>395628</v>
      </c>
      <c r="Q16" s="63"/>
      <c r="R16" s="63"/>
      <c r="S16" s="63"/>
      <c r="T16" s="70"/>
      <c r="U16" s="2"/>
      <c r="V16" s="2"/>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row>
    <row r="17" spans="1:52" ht="18" customHeight="1" x14ac:dyDescent="0.35">
      <c r="A17" s="1"/>
      <c r="B17" s="66" t="s">
        <v>797</v>
      </c>
      <c r="C17" s="82">
        <f>IFERROR(C13/C11,0)</f>
        <v>0</v>
      </c>
      <c r="D17" s="82">
        <f t="shared" ref="D17:P17" si="8">IFERROR(D13/D11,0)</f>
        <v>0</v>
      </c>
      <c r="E17" s="82">
        <f t="shared" si="8"/>
        <v>0</v>
      </c>
      <c r="F17" s="82">
        <f t="shared" si="8"/>
        <v>0</v>
      </c>
      <c r="G17" s="82">
        <f t="shared" si="8"/>
        <v>0</v>
      </c>
      <c r="H17" s="82">
        <f t="shared" si="8"/>
        <v>0</v>
      </c>
      <c r="I17" s="82">
        <f t="shared" si="8"/>
        <v>0</v>
      </c>
      <c r="J17" s="82">
        <f t="shared" si="8"/>
        <v>0</v>
      </c>
      <c r="K17" s="82">
        <f t="shared" si="8"/>
        <v>0</v>
      </c>
      <c r="L17" s="82">
        <f t="shared" si="8"/>
        <v>0</v>
      </c>
      <c r="M17" s="82">
        <f t="shared" si="8"/>
        <v>0</v>
      </c>
      <c r="N17" s="82">
        <f t="shared" si="8"/>
        <v>0</v>
      </c>
      <c r="O17" s="82">
        <f t="shared" si="8"/>
        <v>219.17880794701986</v>
      </c>
      <c r="P17" s="82">
        <f t="shared" si="8"/>
        <v>192.14285714285714</v>
      </c>
      <c r="Q17" s="63"/>
      <c r="R17" s="63"/>
      <c r="S17" s="63"/>
      <c r="T17" s="70"/>
      <c r="U17" s="2"/>
      <c r="V17" s="2"/>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row>
    <row r="18" spans="1:52" ht="18" customHeight="1" x14ac:dyDescent="0.35">
      <c r="A18" s="1"/>
      <c r="B18" s="66" t="s">
        <v>789</v>
      </c>
      <c r="C18" s="82">
        <v>0</v>
      </c>
      <c r="D18" s="82">
        <v>0</v>
      </c>
      <c r="E18" s="82">
        <v>0</v>
      </c>
      <c r="F18" s="82">
        <v>0</v>
      </c>
      <c r="G18" s="82">
        <v>0</v>
      </c>
      <c r="H18" s="82">
        <v>0</v>
      </c>
      <c r="I18" s="82">
        <f t="array" ref="I18:P18">PERDAS_CREDITOS_LIQUIDAS</f>
        <v>0</v>
      </c>
      <c r="J18" s="82">
        <v>0</v>
      </c>
      <c r="K18" s="82">
        <v>0</v>
      </c>
      <c r="L18" s="82">
        <v>0</v>
      </c>
      <c r="M18" s="82">
        <v>0</v>
      </c>
      <c r="N18" s="82">
        <v>-492</v>
      </c>
      <c r="O18" s="82">
        <v>-64271</v>
      </c>
      <c r="P18" s="82">
        <v>-223878</v>
      </c>
      <c r="Q18" s="63"/>
      <c r="R18" s="63"/>
      <c r="S18" s="63"/>
      <c r="T18" s="70"/>
      <c r="U18" s="2"/>
      <c r="V18" s="2"/>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row>
    <row r="19" spans="1:52" ht="18" customHeight="1" x14ac:dyDescent="0.35">
      <c r="A19" s="1"/>
      <c r="B19" s="22" t="s">
        <v>790</v>
      </c>
      <c r="C19" s="48">
        <f>-IFERROR(C18/C13,0)</f>
        <v>0</v>
      </c>
      <c r="D19" s="48">
        <f t="shared" ref="D19:P19" si="9">-IFERROR(D18/D13,0)</f>
        <v>0</v>
      </c>
      <c r="E19" s="48">
        <f t="shared" si="9"/>
        <v>0</v>
      </c>
      <c r="F19" s="48">
        <f t="shared" si="9"/>
        <v>0</v>
      </c>
      <c r="G19" s="48">
        <f t="shared" si="9"/>
        <v>0</v>
      </c>
      <c r="H19" s="48">
        <f t="shared" si="9"/>
        <v>0</v>
      </c>
      <c r="I19" s="48">
        <f t="shared" si="9"/>
        <v>0</v>
      </c>
      <c r="J19" s="48">
        <f t="shared" si="9"/>
        <v>0</v>
      </c>
      <c r="K19" s="48">
        <f t="shared" si="9"/>
        <v>0</v>
      </c>
      <c r="L19" s="48">
        <f t="shared" si="9"/>
        <v>0</v>
      </c>
      <c r="M19" s="48">
        <f t="shared" si="9"/>
        <v>0</v>
      </c>
      <c r="N19" s="48">
        <f t="shared" si="9"/>
        <v>0</v>
      </c>
      <c r="O19" s="48">
        <f t="shared" si="9"/>
        <v>0.11423274893713831</v>
      </c>
      <c r="P19" s="48">
        <f t="shared" si="9"/>
        <v>0.23247492263919753</v>
      </c>
      <c r="Q19" s="63"/>
      <c r="R19" s="63"/>
      <c r="S19" s="63"/>
      <c r="T19" s="70"/>
      <c r="U19" s="2"/>
      <c r="V19" s="2"/>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row>
    <row r="20" spans="1:52" ht="18" customHeight="1" x14ac:dyDescent="0.35">
      <c r="A20" s="1"/>
      <c r="B20" s="66"/>
      <c r="C20" s="37"/>
      <c r="D20" s="37"/>
      <c r="E20" s="37"/>
      <c r="F20" s="37"/>
      <c r="G20" s="37"/>
      <c r="H20" s="37"/>
      <c r="I20" s="37"/>
      <c r="J20" s="37"/>
      <c r="K20" s="63"/>
      <c r="L20" s="63"/>
      <c r="M20" s="63"/>
      <c r="N20" s="63"/>
      <c r="O20" s="63"/>
      <c r="P20" s="63"/>
      <c r="Q20" s="63"/>
      <c r="R20" s="63"/>
      <c r="S20" s="63"/>
      <c r="T20" s="70"/>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row>
    <row r="21" spans="1:52" ht="18" customHeight="1" x14ac:dyDescent="0.35">
      <c r="A21" s="1"/>
      <c r="B21" s="66"/>
      <c r="C21" s="37"/>
      <c r="D21" s="37"/>
      <c r="E21" s="37"/>
      <c r="F21" s="37"/>
      <c r="G21" s="37"/>
      <c r="H21" s="37"/>
      <c r="I21" s="37"/>
      <c r="J21" s="37"/>
      <c r="K21" s="63"/>
      <c r="L21" s="63"/>
      <c r="M21" s="63"/>
      <c r="N21" s="63"/>
      <c r="O21" s="63"/>
      <c r="P21" s="63"/>
      <c r="Q21" s="63"/>
      <c r="R21" s="63"/>
      <c r="S21" s="63"/>
      <c r="T21" s="70"/>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row>
    <row r="22" spans="1:52" ht="18" customHeight="1" x14ac:dyDescent="0.35">
      <c r="A22" s="1"/>
      <c r="B22" s="66"/>
      <c r="C22" s="94" t="s">
        <v>800</v>
      </c>
      <c r="D22" s="94"/>
      <c r="E22" s="94"/>
      <c r="F22" s="94"/>
      <c r="G22" s="94"/>
      <c r="H22" s="94"/>
      <c r="I22" s="94"/>
      <c r="J22" s="94"/>
      <c r="K22" s="94"/>
      <c r="L22" s="94"/>
      <c r="M22" s="94"/>
      <c r="N22" s="94"/>
      <c r="O22" s="94"/>
      <c r="P22" s="94"/>
      <c r="Q22" s="63"/>
      <c r="R22" s="63"/>
      <c r="S22" s="63"/>
      <c r="T22" s="63"/>
      <c r="U22" s="63"/>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row>
    <row r="23" spans="1:52" ht="18" customHeight="1" thickBot="1" x14ac:dyDescent="0.4">
      <c r="A23" s="1"/>
      <c r="B23" s="59"/>
      <c r="C23" s="17">
        <v>2010</v>
      </c>
      <c r="D23" s="17">
        <v>2011</v>
      </c>
      <c r="E23" s="17">
        <v>2012</v>
      </c>
      <c r="F23" s="17">
        <v>2013</v>
      </c>
      <c r="G23" s="17">
        <v>2014</v>
      </c>
      <c r="H23" s="17">
        <v>2015</v>
      </c>
      <c r="I23" s="17">
        <v>2016</v>
      </c>
      <c r="J23" s="17">
        <v>2017</v>
      </c>
      <c r="K23" s="17">
        <v>2018</v>
      </c>
      <c r="L23" s="17">
        <v>2019</v>
      </c>
      <c r="M23" s="17">
        <v>2020</v>
      </c>
      <c r="N23" s="17">
        <v>2021</v>
      </c>
      <c r="O23" s="17">
        <v>2022</v>
      </c>
      <c r="P23" s="17">
        <v>2023</v>
      </c>
      <c r="Q23" s="63"/>
      <c r="R23" s="63"/>
      <c r="S23" s="63"/>
      <c r="T23" s="63"/>
      <c r="U23" s="63"/>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row>
    <row r="24" spans="1:52" ht="18" customHeight="1" x14ac:dyDescent="0.35">
      <c r="A24" s="1"/>
      <c r="B24" s="66" t="s">
        <v>788</v>
      </c>
      <c r="C24" s="67">
        <v>384273.21646999998</v>
      </c>
      <c r="D24" s="67">
        <v>558640.31264999998</v>
      </c>
      <c r="E24" s="67">
        <v>700061.8614099999</v>
      </c>
      <c r="F24" s="67">
        <v>727871.15046999999</v>
      </c>
      <c r="G24" s="67">
        <v>925656.43622999988</v>
      </c>
      <c r="H24" s="67">
        <v>1380307.1762699999</v>
      </c>
      <c r="I24" s="67">
        <v>2331027.5631799996</v>
      </c>
      <c r="J24" s="67">
        <v>2460305.4139799997</v>
      </c>
      <c r="K24" s="67">
        <v>2972087.7625399996</v>
      </c>
      <c r="L24" s="67">
        <v>3469990.8284199997</v>
      </c>
      <c r="M24" s="83"/>
      <c r="N24" s="83"/>
      <c r="O24" s="67">
        <v>3885969.7227900028</v>
      </c>
      <c r="P24" s="67">
        <v>4187639</v>
      </c>
      <c r="Q24" s="63"/>
      <c r="R24" s="63"/>
      <c r="S24" s="63"/>
      <c r="T24" s="63"/>
      <c r="U24" s="63"/>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row>
    <row r="25" spans="1:52" ht="18" customHeight="1" x14ac:dyDescent="0.35">
      <c r="A25" s="1"/>
      <c r="B25" s="22" t="s">
        <v>790</v>
      </c>
      <c r="C25" s="76">
        <f t="array" ref="C25:P25">IFERROR(RL_FIN_SETORIAL/CARTEIRA_CREDITO_SETORIAL,"")</f>
        <v>0.55526879811978624</v>
      </c>
      <c r="D25" s="76">
        <v>0.61731007995942355</v>
      </c>
      <c r="E25" s="76">
        <v>0.67318624687597051</v>
      </c>
      <c r="F25" s="76">
        <v>0.5956031717146425</v>
      </c>
      <c r="G25" s="76">
        <v>0.51029791633520816</v>
      </c>
      <c r="H25" s="76">
        <v>0.46521385175046626</v>
      </c>
      <c r="I25" s="76">
        <v>0.52171061834846399</v>
      </c>
      <c r="J25" s="76">
        <v>0.48935086198199884</v>
      </c>
      <c r="K25" s="76">
        <v>0.48616169216895477</v>
      </c>
      <c r="L25" s="76">
        <v>0.47624810319211963</v>
      </c>
      <c r="M25" s="84" t="str">
        <v/>
      </c>
      <c r="N25" s="84" t="str">
        <v/>
      </c>
      <c r="O25" s="76">
        <v>0.34402761049272929</v>
      </c>
      <c r="P25" s="76">
        <v>0.39532477767200475</v>
      </c>
      <c r="Q25" s="63"/>
      <c r="R25" s="63"/>
      <c r="S25" s="63"/>
      <c r="T25" s="63"/>
      <c r="U25" s="63"/>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row>
    <row r="26" spans="1:52" ht="18" customHeight="1" x14ac:dyDescent="0.35">
      <c r="A26" s="1"/>
      <c r="B26" s="66" t="s">
        <v>799</v>
      </c>
      <c r="C26" s="67">
        <v>692049</v>
      </c>
      <c r="D26" s="67">
        <v>904959</v>
      </c>
      <c r="E26" s="67">
        <v>1039923</v>
      </c>
      <c r="F26" s="67">
        <v>1222074</v>
      </c>
      <c r="G26" s="67">
        <v>1813953</v>
      </c>
      <c r="H26" s="67">
        <v>2967038</v>
      </c>
      <c r="I26" s="67">
        <v>4468047</v>
      </c>
      <c r="J26" s="67">
        <v>5027692</v>
      </c>
      <c r="K26" s="67">
        <v>6113373</v>
      </c>
      <c r="L26" s="67">
        <v>7286099</v>
      </c>
      <c r="M26" s="83"/>
      <c r="N26" s="83"/>
      <c r="O26" s="67">
        <v>11295517.000000002</v>
      </c>
      <c r="P26" s="67">
        <v>10592907.999999998</v>
      </c>
      <c r="Q26" s="63"/>
      <c r="R26" s="63"/>
      <c r="S26" s="63"/>
      <c r="T26" s="63"/>
      <c r="U26" s="63"/>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row>
    <row r="27" spans="1:52" ht="18" customHeight="1" x14ac:dyDescent="0.35">
      <c r="A27" s="1"/>
      <c r="B27" s="22" t="s">
        <v>792</v>
      </c>
      <c r="C27" s="76">
        <v>0.91813718123598365</v>
      </c>
      <c r="D27" s="76">
        <v>0.91815642272901066</v>
      </c>
      <c r="E27" s="76">
        <v>0.90097334223143655</v>
      </c>
      <c r="F27" s="76">
        <v>0.90686890226688588</v>
      </c>
      <c r="G27" s="76">
        <v>0.90577258935186822</v>
      </c>
      <c r="H27" s="76">
        <v>0.63714574506485766</v>
      </c>
      <c r="I27" s="76">
        <v>0.83344218031774964</v>
      </c>
      <c r="J27" s="76">
        <v>0.87818145546335291</v>
      </c>
      <c r="K27" s="76">
        <v>0.87066532185510714</v>
      </c>
      <c r="L27" s="76">
        <v>0.84342538351803664</v>
      </c>
      <c r="M27" s="84"/>
      <c r="N27" s="84"/>
      <c r="O27" s="76">
        <v>0.78917820133228089</v>
      </c>
      <c r="P27" s="76">
        <v>0.77761081070569205</v>
      </c>
      <c r="Q27" s="63"/>
      <c r="R27" s="63"/>
      <c r="S27" s="63"/>
      <c r="T27" s="63"/>
      <c r="U27" s="63"/>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row>
    <row r="28" spans="1:52" ht="18" customHeight="1" x14ac:dyDescent="0.35">
      <c r="A28" s="1"/>
      <c r="B28" s="22" t="s">
        <v>793</v>
      </c>
      <c r="C28" s="76">
        <v>5.6964256814556219E-2</v>
      </c>
      <c r="D28" s="76">
        <v>5.5853420821739795E-2</v>
      </c>
      <c r="E28" s="76">
        <v>6.8984981565925141E-2</v>
      </c>
      <c r="F28" s="76">
        <v>6.4397135032031635E-2</v>
      </c>
      <c r="G28" s="76">
        <v>6.624651589457714E-2</v>
      </c>
      <c r="H28" s="76">
        <v>0.20063585320978472</v>
      </c>
      <c r="I28" s="76">
        <v>8.3916324943834511E-2</v>
      </c>
      <c r="J28" s="76">
        <v>5.9290636596401811E-2</v>
      </c>
      <c r="K28" s="76">
        <v>6.3043603431952117E-2</v>
      </c>
      <c r="L28" s="76">
        <v>7.37570370313438E-2</v>
      </c>
      <c r="M28" s="84"/>
      <c r="N28" s="84"/>
      <c r="O28" s="76">
        <v>7.9053936092870841E-2</v>
      </c>
      <c r="P28" s="76">
        <v>7.1233137419218356E-2</v>
      </c>
      <c r="Q28" s="63"/>
      <c r="R28" s="63"/>
      <c r="S28" s="63"/>
      <c r="T28" s="63"/>
      <c r="U28" s="63"/>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row>
    <row r="29" spans="1:52" ht="18" customHeight="1" x14ac:dyDescent="0.35">
      <c r="A29" s="1"/>
      <c r="B29" s="22" t="s">
        <v>794</v>
      </c>
      <c r="C29" s="76">
        <v>2.4898561949460152E-2</v>
      </c>
      <c r="D29" s="76">
        <v>2.5990156449249579E-2</v>
      </c>
      <c r="E29" s="76">
        <v>3.0041676202638274E-2</v>
      </c>
      <c r="F29" s="76">
        <v>2.8733962701082506E-2</v>
      </c>
      <c r="G29" s="76">
        <v>2.7980894753554669E-2</v>
      </c>
      <c r="H29" s="76">
        <v>0.16221840172535765</v>
      </c>
      <c r="I29" s="76">
        <v>8.2641494738415852E-2</v>
      </c>
      <c r="J29" s="76">
        <v>6.2527907940245334E-2</v>
      </c>
      <c r="K29" s="76">
        <v>6.6291074712940753E-2</v>
      </c>
      <c r="L29" s="76">
        <v>8.2817579450619516E-2</v>
      </c>
      <c r="M29" s="84"/>
      <c r="N29" s="84"/>
      <c r="O29" s="76">
        <v>0.13176786257484829</v>
      </c>
      <c r="P29" s="76">
        <v>0.15115605187508963</v>
      </c>
      <c r="Q29" s="63"/>
      <c r="R29" s="63"/>
      <c r="S29" s="63"/>
      <c r="T29" s="63"/>
      <c r="U29" s="63"/>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row>
    <row r="30" spans="1:52" ht="18" customHeight="1" x14ac:dyDescent="0.35">
      <c r="A30" s="1"/>
      <c r="B30" s="22" t="s">
        <v>798</v>
      </c>
      <c r="C30" s="76">
        <v>9.7824586356658E-2</v>
      </c>
      <c r="D30" s="76">
        <v>0.1161582141157127</v>
      </c>
      <c r="E30" s="76">
        <v>8.4822709408909569E-2</v>
      </c>
      <c r="F30" s="76">
        <v>8.213356184231535E-2</v>
      </c>
      <c r="G30" s="76">
        <v>0.109</v>
      </c>
      <c r="H30" s="76">
        <v>0.1273</v>
      </c>
      <c r="I30" s="76">
        <v>0.14019999999999999</v>
      </c>
      <c r="J30" s="76">
        <v>9.9400000000000002E-2</v>
      </c>
      <c r="K30" s="76">
        <v>6.4299999999999996E-2</v>
      </c>
      <c r="L30" s="76">
        <v>5.96E-2</v>
      </c>
      <c r="M30" s="84"/>
      <c r="N30" s="84"/>
      <c r="O30" s="76">
        <v>0.12330000000000001</v>
      </c>
      <c r="P30" s="76">
        <v>0.130282309094927</v>
      </c>
      <c r="Q30" s="63"/>
      <c r="R30" s="63"/>
      <c r="S30" s="63"/>
      <c r="T30" s="63"/>
      <c r="U30" s="63"/>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row>
    <row r="31" spans="1:52" ht="18" customHeight="1" x14ac:dyDescent="0.35">
      <c r="A31" s="1"/>
      <c r="B31" s="66" t="s">
        <v>789</v>
      </c>
      <c r="C31" s="82">
        <v>-94211</v>
      </c>
      <c r="D31" s="82">
        <v>-92216</v>
      </c>
      <c r="E31" s="82">
        <v>-180418</v>
      </c>
      <c r="F31" s="82">
        <v>-185635</v>
      </c>
      <c r="G31" s="82">
        <v>-266386</v>
      </c>
      <c r="H31" s="82">
        <v>-572336</v>
      </c>
      <c r="I31" s="82">
        <v>-892970</v>
      </c>
      <c r="J31" s="82">
        <v>-899404</v>
      </c>
      <c r="K31" s="82">
        <v>-1169406</v>
      </c>
      <c r="L31" s="82">
        <v>-1393957</v>
      </c>
      <c r="M31" s="85"/>
      <c r="N31" s="85"/>
      <c r="O31" s="82">
        <v>-1859965</v>
      </c>
      <c r="P31" s="82">
        <v>-2395905</v>
      </c>
      <c r="Q31" s="63"/>
      <c r="R31" s="63"/>
      <c r="S31" s="63"/>
      <c r="T31" s="63"/>
      <c r="U31" s="63"/>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row>
    <row r="32" spans="1:52" ht="18" customHeight="1" x14ac:dyDescent="0.35">
      <c r="A32" s="1"/>
      <c r="B32" s="22" t="s">
        <v>790</v>
      </c>
      <c r="C32" s="76">
        <f t="array" ref="C32:P32">IFERROR(-PDD_SETORIAL/CARTEIRA_CREDITO_SETORIAL,"")</f>
        <v>0.13613342407835283</v>
      </c>
      <c r="D32" s="76">
        <v>0.10190074909471036</v>
      </c>
      <c r="E32" s="76">
        <v>0.17349169121175317</v>
      </c>
      <c r="F32" s="76">
        <v>0.15190160333989594</v>
      </c>
      <c r="G32" s="76">
        <v>0.14685386005039822</v>
      </c>
      <c r="H32" s="76">
        <v>0.19289810241729294</v>
      </c>
      <c r="I32" s="76">
        <v>0.19985689496999473</v>
      </c>
      <c r="J32" s="76">
        <v>0.17889003542778675</v>
      </c>
      <c r="K32" s="76">
        <v>0.19128654508730286</v>
      </c>
      <c r="L32" s="76">
        <v>0.19131732906731022</v>
      </c>
      <c r="M32" s="84" t="str">
        <v/>
      </c>
      <c r="N32" s="84" t="str">
        <v/>
      </c>
      <c r="O32" s="76">
        <v>0.16466399900066545</v>
      </c>
      <c r="P32" s="76">
        <v>0.22618010087503831</v>
      </c>
      <c r="Q32" s="63"/>
      <c r="R32" s="63"/>
      <c r="S32" s="63"/>
      <c r="T32" s="63"/>
      <c r="U32" s="63"/>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row>
    <row r="33" spans="1:52" ht="18" customHeight="1" collapsed="1" x14ac:dyDescent="0.35">
      <c r="A33" s="1"/>
      <c r="B33" s="66"/>
      <c r="C33" s="51"/>
      <c r="D33" s="51"/>
      <c r="E33" s="51"/>
      <c r="F33" s="51"/>
      <c r="G33" s="51"/>
      <c r="H33" s="51"/>
      <c r="I33" s="51"/>
      <c r="J33" s="51"/>
      <c r="K33" s="71"/>
      <c r="L33" s="71"/>
      <c r="M33" s="71"/>
      <c r="N33" s="71"/>
      <c r="O33" s="71"/>
      <c r="P33" s="71"/>
      <c r="Q33" s="63"/>
      <c r="R33" s="63"/>
      <c r="S33" s="63"/>
      <c r="T33" s="63"/>
      <c r="U33" s="63"/>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row>
    <row r="34" spans="1:52" ht="18" customHeight="1" x14ac:dyDescent="0.35">
      <c r="A34" s="1"/>
      <c r="B34" s="66"/>
      <c r="C34" s="51"/>
      <c r="D34" s="51"/>
      <c r="E34" s="51"/>
      <c r="F34" s="51"/>
      <c r="G34" s="51"/>
      <c r="H34" s="51"/>
      <c r="I34" s="51"/>
      <c r="J34" s="51"/>
      <c r="K34" s="71"/>
      <c r="L34" s="71"/>
      <c r="M34" s="71"/>
      <c r="N34" s="71"/>
      <c r="O34" s="71"/>
      <c r="P34" s="71"/>
      <c r="Q34" s="63"/>
      <c r="R34" s="63"/>
      <c r="S34" s="63"/>
      <c r="T34" s="63"/>
      <c r="U34" s="63"/>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row>
    <row r="35" spans="1:52" ht="18" hidden="1" customHeight="1" outlineLevel="1" x14ac:dyDescent="0.35">
      <c r="A35" s="1"/>
      <c r="B35" s="23"/>
      <c r="C35" s="94" t="s">
        <v>801</v>
      </c>
      <c r="D35" s="94"/>
      <c r="E35" s="94"/>
      <c r="F35" s="94"/>
      <c r="G35" s="94"/>
      <c r="H35" s="94"/>
      <c r="I35" s="94"/>
      <c r="J35" s="94"/>
      <c r="K35" s="94"/>
      <c r="L35" s="94"/>
      <c r="M35" s="94"/>
      <c r="N35" s="94"/>
      <c r="O35" s="94"/>
      <c r="P35" s="94"/>
      <c r="Q35" s="60"/>
      <c r="R35" s="60"/>
      <c r="S35" s="60"/>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row>
    <row r="36" spans="1:52" ht="18" hidden="1" customHeight="1" outlineLevel="1" thickBot="1" x14ac:dyDescent="0.4">
      <c r="A36" s="1"/>
      <c r="B36" s="59"/>
      <c r="C36" s="17">
        <v>2010</v>
      </c>
      <c r="D36" s="17">
        <v>2011</v>
      </c>
      <c r="E36" s="17">
        <v>2012</v>
      </c>
      <c r="F36" s="17">
        <v>2013</v>
      </c>
      <c r="G36" s="17">
        <v>2014</v>
      </c>
      <c r="H36" s="17">
        <v>2015</v>
      </c>
      <c r="I36" s="17">
        <v>2016</v>
      </c>
      <c r="J36" s="17">
        <v>2017</v>
      </c>
      <c r="K36" s="17">
        <v>2018</v>
      </c>
      <c r="L36" s="17">
        <v>2019</v>
      </c>
      <c r="M36" s="17">
        <v>2020</v>
      </c>
      <c r="N36" s="17">
        <v>2021</v>
      </c>
      <c r="O36" s="17">
        <v>2022</v>
      </c>
      <c r="P36" s="17">
        <v>2023</v>
      </c>
      <c r="Q36" s="60"/>
      <c r="R36" s="60"/>
      <c r="S36" s="60"/>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row>
    <row r="37" spans="1:52" ht="18" hidden="1" customHeight="1" outlineLevel="1" x14ac:dyDescent="0.35">
      <c r="A37" s="1"/>
      <c r="B37" s="66" t="s">
        <v>788</v>
      </c>
      <c r="C37" s="67">
        <v>288654</v>
      </c>
      <c r="D37" s="67">
        <v>341926</v>
      </c>
      <c r="E37" s="67">
        <v>400548</v>
      </c>
      <c r="F37" s="67">
        <v>456519</v>
      </c>
      <c r="G37" s="67">
        <v>574207</v>
      </c>
      <c r="H37" s="67">
        <v>694346</v>
      </c>
      <c r="I37" s="67">
        <v>729822</v>
      </c>
      <c r="J37" s="67">
        <v>844232</v>
      </c>
      <c r="K37" s="67">
        <v>941108</v>
      </c>
      <c r="L37" s="67">
        <v>1113744</v>
      </c>
      <c r="M37" s="83">
        <v>876609</v>
      </c>
      <c r="N37" s="83">
        <v>1016133</v>
      </c>
      <c r="O37" s="67">
        <v>1695342</v>
      </c>
      <c r="P37" s="67">
        <v>1941509</v>
      </c>
      <c r="Q37" s="26"/>
      <c r="R37" s="26"/>
      <c r="S37" s="26"/>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row>
    <row r="38" spans="1:52" ht="18" hidden="1" customHeight="1" outlineLevel="1" x14ac:dyDescent="0.35">
      <c r="A38" s="1"/>
      <c r="B38" s="22" t="s">
        <v>790</v>
      </c>
      <c r="C38" s="76">
        <f>IFERROR(C37/C41,0)</f>
        <v>0.39725250679166446</v>
      </c>
      <c r="D38" s="76">
        <f t="shared" ref="D38:P38" si="10">IFERROR(D37/D41,0)</f>
        <v>0.38234567280005816</v>
      </c>
      <c r="E38" s="76">
        <f t="shared" si="10"/>
        <v>0.35398796320026865</v>
      </c>
      <c r="F38" s="76">
        <f t="shared" si="10"/>
        <v>0.32474704218619288</v>
      </c>
      <c r="G38" s="76">
        <f t="shared" si="10"/>
        <v>0.34036137615282525</v>
      </c>
      <c r="H38" s="76">
        <f t="shared" si="10"/>
        <v>0.3690114676680637</v>
      </c>
      <c r="I38" s="76">
        <f t="shared" si="10"/>
        <v>0.3821459745240206</v>
      </c>
      <c r="J38" s="76">
        <f t="shared" si="10"/>
        <v>0.36558297925410393</v>
      </c>
      <c r="K38" s="76">
        <f t="shared" si="10"/>
        <v>0.33737285890506569</v>
      </c>
      <c r="L38" s="76">
        <f t="shared" si="10"/>
        <v>0.32066907981946269</v>
      </c>
      <c r="M38" s="76">
        <f t="shared" si="10"/>
        <v>0.24792121356272925</v>
      </c>
      <c r="N38" s="76">
        <f t="shared" si="10"/>
        <v>0.21118116078322166</v>
      </c>
      <c r="O38" s="76">
        <f t="shared" si="10"/>
        <v>0.26620629856794198</v>
      </c>
      <c r="P38" s="76">
        <f t="shared" si="10"/>
        <v>0.31381169122947666</v>
      </c>
      <c r="Q38" s="27"/>
      <c r="R38" s="27"/>
      <c r="S38" s="27"/>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row>
    <row r="39" spans="1:52" ht="18" hidden="1" customHeight="1" outlineLevel="1" x14ac:dyDescent="0.35">
      <c r="A39" s="1"/>
      <c r="B39" s="66" t="s">
        <v>795</v>
      </c>
      <c r="C39" s="67">
        <f t="shared" ref="C39:G39" si="11">D39-D40</f>
        <v>17145.027000000002</v>
      </c>
      <c r="D39" s="67">
        <f t="shared" si="11"/>
        <v>19049.027000000002</v>
      </c>
      <c r="E39" s="67">
        <f t="shared" si="11"/>
        <v>20788.027000000002</v>
      </c>
      <c r="F39" s="67">
        <f t="shared" si="11"/>
        <v>22523.927000000003</v>
      </c>
      <c r="G39" s="67">
        <f t="shared" si="11"/>
        <v>24314.027000000002</v>
      </c>
      <c r="H39" s="67">
        <f>I39-I40</f>
        <v>26014.827000000001</v>
      </c>
      <c r="I39" s="67">
        <v>27407.4</v>
      </c>
      <c r="J39" s="67">
        <v>28800</v>
      </c>
      <c r="K39" s="67">
        <v>30536</v>
      </c>
      <c r="L39" s="67">
        <v>32500</v>
      </c>
      <c r="M39" s="67">
        <v>33736.1</v>
      </c>
      <c r="N39" s="67">
        <v>34700</v>
      </c>
      <c r="O39" s="67">
        <v>35205.800000000003</v>
      </c>
      <c r="P39" s="67">
        <v>35774.700000000004</v>
      </c>
      <c r="Q39" s="27"/>
      <c r="R39" s="27"/>
      <c r="S39" s="27"/>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row>
    <row r="40" spans="1:52" ht="18" hidden="1" customHeight="1" outlineLevel="1" x14ac:dyDescent="0.35">
      <c r="A40" s="1"/>
      <c r="B40" s="22" t="s">
        <v>796</v>
      </c>
      <c r="C40" s="37">
        <v>1878</v>
      </c>
      <c r="D40" s="37">
        <v>1904</v>
      </c>
      <c r="E40" s="37">
        <v>1739</v>
      </c>
      <c r="F40" s="37">
        <v>1735.9</v>
      </c>
      <c r="G40" s="37">
        <v>1790.1</v>
      </c>
      <c r="H40" s="37">
        <v>1700.8</v>
      </c>
      <c r="I40" s="37">
        <v>1392.5730000000001</v>
      </c>
      <c r="J40" s="37">
        <v>1468.117</v>
      </c>
      <c r="K40" s="37">
        <v>1735.9740000000002</v>
      </c>
      <c r="L40" s="37">
        <v>1944.848</v>
      </c>
      <c r="M40" s="37">
        <v>1236.1410000000001</v>
      </c>
      <c r="N40" s="37">
        <v>930.93499999999995</v>
      </c>
      <c r="O40" s="37">
        <v>505.83900000000006</v>
      </c>
      <c r="P40" s="37">
        <v>568.90199999999993</v>
      </c>
      <c r="Q40" s="27"/>
      <c r="R40" s="27"/>
      <c r="S40" s="27"/>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row>
    <row r="41" spans="1:52" ht="18" hidden="1" customHeight="1" outlineLevel="1" x14ac:dyDescent="0.35">
      <c r="A41" s="1"/>
      <c r="B41" s="66" t="s">
        <v>799</v>
      </c>
      <c r="C41" s="67">
        <v>726626</v>
      </c>
      <c r="D41" s="67">
        <v>894285</v>
      </c>
      <c r="E41" s="67">
        <v>1131530</v>
      </c>
      <c r="F41" s="67">
        <v>1405768</v>
      </c>
      <c r="G41" s="67">
        <v>1687051</v>
      </c>
      <c r="H41" s="67">
        <v>1881638</v>
      </c>
      <c r="I41" s="67">
        <v>1909799</v>
      </c>
      <c r="J41" s="67">
        <v>2309275.9999999995</v>
      </c>
      <c r="K41" s="67">
        <v>2789519</v>
      </c>
      <c r="L41" s="67">
        <v>3473188</v>
      </c>
      <c r="M41" s="83">
        <v>3535837.0000000005</v>
      </c>
      <c r="N41" s="83">
        <v>4811664.9999999991</v>
      </c>
      <c r="O41" s="67">
        <v>6368527.0000000009</v>
      </c>
      <c r="P41" s="67">
        <v>6186860</v>
      </c>
      <c r="Q41" s="43"/>
      <c r="R41" s="43"/>
      <c r="S41" s="43"/>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ht="18" hidden="1" customHeight="1" outlineLevel="1" x14ac:dyDescent="0.35">
      <c r="A42" s="1"/>
      <c r="B42" s="22" t="s">
        <v>792</v>
      </c>
      <c r="C42" s="84">
        <v>0</v>
      </c>
      <c r="D42" s="84">
        <v>0</v>
      </c>
      <c r="E42" s="84">
        <v>0</v>
      </c>
      <c r="F42" s="84">
        <v>0</v>
      </c>
      <c r="G42" s="84">
        <v>0</v>
      </c>
      <c r="H42" s="84">
        <v>0</v>
      </c>
      <c r="I42" s="76">
        <v>0.83940867044577494</v>
      </c>
      <c r="J42" s="76">
        <v>0.85838975436013465</v>
      </c>
      <c r="K42" s="76">
        <v>0.8489506072375228</v>
      </c>
      <c r="L42" s="76">
        <v>0.80866535547898799</v>
      </c>
      <c r="M42" s="84">
        <v>0.79759977555520112</v>
      </c>
      <c r="N42" s="84">
        <v>0.81627499343262544</v>
      </c>
      <c r="O42" s="76">
        <v>0.71279303876595623</v>
      </c>
      <c r="P42" s="76">
        <v>0.69400337069262452</v>
      </c>
      <c r="Q42" s="26"/>
      <c r="R42" s="26"/>
      <c r="S42" s="26"/>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ht="18" hidden="1" customHeight="1" outlineLevel="1" x14ac:dyDescent="0.35">
      <c r="A43" s="1"/>
      <c r="B43" s="22" t="s">
        <v>793</v>
      </c>
      <c r="C43" s="84">
        <v>0</v>
      </c>
      <c r="D43" s="84">
        <v>0</v>
      </c>
      <c r="E43" s="84">
        <v>0</v>
      </c>
      <c r="F43" s="84">
        <v>0</v>
      </c>
      <c r="G43" s="84">
        <v>0</v>
      </c>
      <c r="H43" s="84">
        <v>0</v>
      </c>
      <c r="I43" s="76">
        <v>4.0568164800675252E-2</v>
      </c>
      <c r="J43" s="76">
        <v>4.5210293273863007E-2</v>
      </c>
      <c r="K43" s="76">
        <v>4.7715053281606357E-2</v>
      </c>
      <c r="L43" s="76">
        <v>6.1187894576364588E-2</v>
      </c>
      <c r="M43" s="84">
        <v>4.1418776210208848E-2</v>
      </c>
      <c r="N43" s="84">
        <v>6.0217421665353189E-2</v>
      </c>
      <c r="O43" s="76">
        <v>8.0554746891195864E-2</v>
      </c>
      <c r="P43" s="76">
        <v>7.1339107615027264E-2</v>
      </c>
      <c r="Q43" s="26"/>
      <c r="R43" s="26"/>
      <c r="S43" s="26"/>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ht="18" hidden="1" customHeight="1" outlineLevel="1" x14ac:dyDescent="0.35">
      <c r="A44" s="1"/>
      <c r="B44" s="22" t="s">
        <v>794</v>
      </c>
      <c r="C44" s="84">
        <v>0</v>
      </c>
      <c r="D44" s="84">
        <v>0</v>
      </c>
      <c r="E44" s="84">
        <v>0</v>
      </c>
      <c r="F44" s="84">
        <v>0</v>
      </c>
      <c r="G44" s="84">
        <v>0</v>
      </c>
      <c r="H44" s="84">
        <v>0</v>
      </c>
      <c r="I44" s="76">
        <v>0.12002316475354985</v>
      </c>
      <c r="J44" s="76">
        <v>9.6399952366002323E-2</v>
      </c>
      <c r="K44" s="76">
        <v>0.10333433948087088</v>
      </c>
      <c r="L44" s="76">
        <v>0.13014674994464737</v>
      </c>
      <c r="M44" s="84">
        <v>0.16098144823459007</v>
      </c>
      <c r="N44" s="84">
        <v>0.12350758490202142</v>
      </c>
      <c r="O44" s="76">
        <v>0.20665221434284795</v>
      </c>
      <c r="P44" s="76">
        <v>0.23465752169234824</v>
      </c>
      <c r="Q44" s="26"/>
      <c r="R44" s="26"/>
      <c r="S44" s="26"/>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ht="18" hidden="1" customHeight="1" outlineLevel="1" x14ac:dyDescent="0.35">
      <c r="A45" s="1"/>
      <c r="B45" s="66" t="s">
        <v>797</v>
      </c>
      <c r="C45" s="82">
        <f>C41/C39</f>
        <v>42.381152272317792</v>
      </c>
      <c r="D45" s="82">
        <f t="shared" ref="D45:P45" si="12">D41/D39</f>
        <v>46.946492332652994</v>
      </c>
      <c r="E45" s="82">
        <f t="shared" si="12"/>
        <v>54.43181308163588</v>
      </c>
      <c r="F45" s="82">
        <f t="shared" si="12"/>
        <v>62.41220724965055</v>
      </c>
      <c r="G45" s="82">
        <f t="shared" si="12"/>
        <v>69.385914558703078</v>
      </c>
      <c r="H45" s="82">
        <f t="shared" si="12"/>
        <v>72.329445050701281</v>
      </c>
      <c r="I45" s="82">
        <f t="shared" si="12"/>
        <v>69.681874238344392</v>
      </c>
      <c r="J45" s="82">
        <f t="shared" si="12"/>
        <v>80.183194444444425</v>
      </c>
      <c r="K45" s="82">
        <f t="shared" si="12"/>
        <v>91.351814252030394</v>
      </c>
      <c r="L45" s="82">
        <f t="shared" si="12"/>
        <v>106.86732307692307</v>
      </c>
      <c r="M45" s="82">
        <f t="shared" si="12"/>
        <v>104.80870640056203</v>
      </c>
      <c r="N45" s="82">
        <f t="shared" si="12"/>
        <v>138.66469740634003</v>
      </c>
      <c r="O45" s="82">
        <f t="shared" si="12"/>
        <v>180.89425606008103</v>
      </c>
      <c r="P45" s="82">
        <f t="shared" si="12"/>
        <v>172.93953548177899</v>
      </c>
      <c r="Q45" s="26"/>
      <c r="R45" s="26"/>
      <c r="S45" s="26"/>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ht="18" hidden="1" customHeight="1" outlineLevel="1" x14ac:dyDescent="0.35">
      <c r="A46" s="1"/>
      <c r="B46" s="66" t="s">
        <v>789</v>
      </c>
      <c r="C46" s="82">
        <v>-88170</v>
      </c>
      <c r="D46" s="82">
        <v>-109428</v>
      </c>
      <c r="E46" s="82">
        <v>-126085</v>
      </c>
      <c r="F46" s="82">
        <v>-142489.29999999999</v>
      </c>
      <c r="G46" s="82">
        <v>-188459.28</v>
      </c>
      <c r="H46" s="82">
        <v>-281143.33235320012</v>
      </c>
      <c r="I46" s="82">
        <v>-262203</v>
      </c>
      <c r="J46" s="82">
        <v>-255835</v>
      </c>
      <c r="K46" s="82">
        <v>-280673</v>
      </c>
      <c r="L46" s="82">
        <v>-381049</v>
      </c>
      <c r="M46" s="85">
        <v>-412636</v>
      </c>
      <c r="N46" s="85">
        <v>-339801</v>
      </c>
      <c r="O46" s="82">
        <v>-991742</v>
      </c>
      <c r="P46" s="82">
        <v>-1343277</v>
      </c>
      <c r="Q46" s="26"/>
      <c r="R46" s="26"/>
      <c r="S46" s="26"/>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8" hidden="1" customHeight="1" outlineLevel="1" x14ac:dyDescent="0.35">
      <c r="A47" s="1"/>
      <c r="B47" s="22" t="s">
        <v>790</v>
      </c>
      <c r="C47" s="76">
        <f>-C46/C41</f>
        <v>0.12134165306498804</v>
      </c>
      <c r="D47" s="76">
        <f t="shared" ref="D47:P47" si="13">-D46/D41</f>
        <v>0.12236367600932589</v>
      </c>
      <c r="E47" s="76">
        <f t="shared" si="13"/>
        <v>0.11142877343066468</v>
      </c>
      <c r="F47" s="76">
        <f t="shared" si="13"/>
        <v>0.10136046630738499</v>
      </c>
      <c r="G47" s="76">
        <f t="shared" si="13"/>
        <v>0.11170929628090674</v>
      </c>
      <c r="H47" s="76">
        <f t="shared" si="13"/>
        <v>0.14941414467246097</v>
      </c>
      <c r="I47" s="76">
        <f t="shared" si="13"/>
        <v>0.13729350575636493</v>
      </c>
      <c r="J47" s="76">
        <f t="shared" si="13"/>
        <v>0.1107858047284084</v>
      </c>
      <c r="K47" s="76">
        <f t="shared" si="13"/>
        <v>0.10061698809006141</v>
      </c>
      <c r="L47" s="76">
        <f t="shared" si="13"/>
        <v>0.10971159637773711</v>
      </c>
      <c r="M47" s="76">
        <f t="shared" si="13"/>
        <v>0.11670108096046281</v>
      </c>
      <c r="N47" s="76">
        <f t="shared" si="13"/>
        <v>7.0620253072481168E-2</v>
      </c>
      <c r="O47" s="76">
        <f t="shared" si="13"/>
        <v>0.15572549193871674</v>
      </c>
      <c r="P47" s="76">
        <f t="shared" si="13"/>
        <v>0.21711773015713948</v>
      </c>
      <c r="Q47" s="26"/>
      <c r="R47" s="26"/>
      <c r="S47" s="26"/>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row>
    <row r="48" spans="1:52" ht="18" customHeight="1" collapsed="1" x14ac:dyDescent="0.35">
      <c r="A48" s="1"/>
      <c r="B48" s="22"/>
      <c r="C48" s="76"/>
      <c r="D48" s="76"/>
      <c r="E48" s="76"/>
      <c r="F48" s="76"/>
      <c r="G48" s="76"/>
      <c r="H48" s="76"/>
      <c r="I48" s="76"/>
      <c r="J48" s="76"/>
      <c r="K48" s="76"/>
      <c r="L48" s="76"/>
      <c r="M48" s="76"/>
      <c r="N48" s="76"/>
      <c r="O48" s="76"/>
      <c r="P48" s="76" t="s">
        <v>804</v>
      </c>
      <c r="Q48" s="26"/>
      <c r="R48" s="26"/>
      <c r="S48" s="26"/>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8" customHeight="1" x14ac:dyDescent="0.35">
      <c r="A49" s="1"/>
      <c r="B49" s="13"/>
      <c r="C49" s="43"/>
      <c r="D49" s="26"/>
      <c r="E49" s="26"/>
      <c r="F49" s="26"/>
      <c r="G49" s="26"/>
      <c r="H49" s="26"/>
      <c r="I49" s="26"/>
      <c r="J49" s="26"/>
      <c r="K49" s="26"/>
      <c r="L49" s="26"/>
      <c r="M49" s="26"/>
      <c r="N49" s="26"/>
      <c r="O49" s="26"/>
      <c r="P49" s="26"/>
      <c r="Q49" s="26"/>
      <c r="R49" s="26"/>
      <c r="S49" s="26"/>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row>
    <row r="50" spans="1:52" ht="18" hidden="1" customHeight="1" outlineLevel="1" x14ac:dyDescent="0.35">
      <c r="A50" s="1"/>
      <c r="B50" s="23"/>
      <c r="C50" s="94" t="s">
        <v>802</v>
      </c>
      <c r="D50" s="94"/>
      <c r="E50" s="94"/>
      <c r="F50" s="94"/>
      <c r="G50" s="94"/>
      <c r="H50" s="94"/>
      <c r="I50" s="94"/>
      <c r="J50" s="94"/>
      <c r="K50" s="94"/>
      <c r="L50" s="94"/>
      <c r="M50" s="94"/>
      <c r="N50" s="94"/>
      <c r="O50" s="94"/>
      <c r="P50" s="94"/>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row>
    <row r="51" spans="1:52" ht="18" hidden="1" customHeight="1" outlineLevel="1" thickBot="1" x14ac:dyDescent="0.4">
      <c r="A51" s="1"/>
      <c r="B51" s="59"/>
      <c r="C51" s="17">
        <v>2010</v>
      </c>
      <c r="D51" s="17">
        <v>2011</v>
      </c>
      <c r="E51" s="17">
        <v>2012</v>
      </c>
      <c r="F51" s="17">
        <v>2013</v>
      </c>
      <c r="G51" s="17">
        <v>2014</v>
      </c>
      <c r="H51" s="17">
        <v>2015</v>
      </c>
      <c r="I51" s="17">
        <v>2016</v>
      </c>
      <c r="J51" s="17">
        <v>2017</v>
      </c>
      <c r="K51" s="17">
        <v>2018</v>
      </c>
      <c r="L51" s="17">
        <v>2019</v>
      </c>
      <c r="M51" s="17">
        <v>2020</v>
      </c>
      <c r="N51" s="17">
        <v>2021</v>
      </c>
      <c r="O51" s="17">
        <v>2022</v>
      </c>
      <c r="P51" s="17">
        <v>2023</v>
      </c>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row>
    <row r="52" spans="1:52" ht="18" hidden="1" customHeight="1" outlineLevel="1" x14ac:dyDescent="0.35">
      <c r="A52" s="1"/>
      <c r="B52" s="66" t="s">
        <v>788</v>
      </c>
      <c r="C52" s="67">
        <v>384273.21647000004</v>
      </c>
      <c r="D52" s="67">
        <v>558640.31264999998</v>
      </c>
      <c r="E52" s="67">
        <v>700061.8614099999</v>
      </c>
      <c r="F52" s="67">
        <v>727871.15046999999</v>
      </c>
      <c r="G52" s="67">
        <v>925656.43622999988</v>
      </c>
      <c r="H52" s="67">
        <v>1380307.1762699999</v>
      </c>
      <c r="I52" s="67">
        <v>1601206.5631799998</v>
      </c>
      <c r="J52" s="67">
        <v>1616073.4139799997</v>
      </c>
      <c r="K52" s="67">
        <v>2030979.7625399996</v>
      </c>
      <c r="L52" s="67">
        <v>2356246.8284199997</v>
      </c>
      <c r="M52" s="83">
        <v>1869069.8977500005</v>
      </c>
      <c r="N52" s="83">
        <v>1643475.5631200003</v>
      </c>
      <c r="O52" s="67">
        <v>2190678</v>
      </c>
      <c r="P52" s="67">
        <v>2246130</v>
      </c>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row>
    <row r="53" spans="1:52" ht="18" hidden="1" customHeight="1" outlineLevel="1" x14ac:dyDescent="0.35">
      <c r="A53" s="1"/>
      <c r="B53" s="22" t="s">
        <v>790</v>
      </c>
      <c r="C53" s="76">
        <f>C52/C56</f>
        <v>0.55526879811978636</v>
      </c>
      <c r="D53" s="76">
        <f t="shared" ref="D53:P53" si="14">D52/D56</f>
        <v>0.61731007995942355</v>
      </c>
      <c r="E53" s="76">
        <f t="shared" si="14"/>
        <v>0.67318624687597051</v>
      </c>
      <c r="F53" s="76">
        <f t="shared" si="14"/>
        <v>0.5956031717146425</v>
      </c>
      <c r="G53" s="76">
        <f t="shared" si="14"/>
        <v>0.51029791633520816</v>
      </c>
      <c r="H53" s="76">
        <f t="shared" si="14"/>
        <v>0.46521385175046626</v>
      </c>
      <c r="I53" s="76">
        <f t="shared" si="14"/>
        <v>0.62589941916521796</v>
      </c>
      <c r="J53" s="76">
        <f t="shared" si="14"/>
        <v>0.59449062229231198</v>
      </c>
      <c r="K53" s="76">
        <f t="shared" si="14"/>
        <v>0.61103139653805583</v>
      </c>
      <c r="L53" s="76">
        <f t="shared" si="14"/>
        <v>0.61796517423428599</v>
      </c>
      <c r="M53" s="76">
        <f t="shared" si="14"/>
        <v>0.5805554728896325</v>
      </c>
      <c r="N53" s="76">
        <f t="shared" si="14"/>
        <v>0.37274474466775442</v>
      </c>
      <c r="O53" s="76">
        <f t="shared" si="14"/>
        <v>0.44462796867296894</v>
      </c>
      <c r="P53" s="76">
        <f t="shared" si="14"/>
        <v>0.50978325479358044</v>
      </c>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row>
    <row r="54" spans="1:52" ht="18" hidden="1" customHeight="1" outlineLevel="1" x14ac:dyDescent="0.35">
      <c r="A54" s="1"/>
      <c r="B54" s="66" t="s">
        <v>795</v>
      </c>
      <c r="C54" s="67">
        <v>17600</v>
      </c>
      <c r="D54" s="67">
        <v>19800</v>
      </c>
      <c r="E54" s="67">
        <v>21700</v>
      </c>
      <c r="F54" s="67">
        <v>23000</v>
      </c>
      <c r="G54" s="67">
        <v>25000</v>
      </c>
      <c r="H54" s="67">
        <v>26800</v>
      </c>
      <c r="I54" s="67">
        <v>28200</v>
      </c>
      <c r="J54" s="67">
        <v>29500</v>
      </c>
      <c r="K54" s="67">
        <v>31000</v>
      </c>
      <c r="L54" s="67">
        <v>32400</v>
      </c>
      <c r="M54" s="67">
        <v>33600</v>
      </c>
      <c r="N54" s="83">
        <v>0</v>
      </c>
      <c r="O54" s="83">
        <v>0</v>
      </c>
      <c r="P54" s="83">
        <v>0</v>
      </c>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row>
    <row r="55" spans="1:52" ht="18" hidden="1" customHeight="1" outlineLevel="1" x14ac:dyDescent="0.35">
      <c r="A55" s="1"/>
      <c r="B55" s="22" t="s">
        <v>796</v>
      </c>
      <c r="C55" s="86">
        <v>0</v>
      </c>
      <c r="D55" s="37">
        <f>D54-C54</f>
        <v>2200</v>
      </c>
      <c r="E55" s="37">
        <f t="shared" ref="E55:M55" si="15">E54-D54</f>
        <v>1900</v>
      </c>
      <c r="F55" s="37">
        <f t="shared" si="15"/>
        <v>1300</v>
      </c>
      <c r="G55" s="37">
        <f t="shared" si="15"/>
        <v>2000</v>
      </c>
      <c r="H55" s="37">
        <f t="shared" si="15"/>
        <v>1800</v>
      </c>
      <c r="I55" s="37">
        <f t="shared" si="15"/>
        <v>1400</v>
      </c>
      <c r="J55" s="37">
        <f t="shared" si="15"/>
        <v>1300</v>
      </c>
      <c r="K55" s="37">
        <f t="shared" si="15"/>
        <v>1500</v>
      </c>
      <c r="L55" s="37">
        <f t="shared" si="15"/>
        <v>1400</v>
      </c>
      <c r="M55" s="37">
        <f t="shared" si="15"/>
        <v>1200</v>
      </c>
      <c r="N55" s="86">
        <v>0</v>
      </c>
      <c r="O55" s="86">
        <v>0</v>
      </c>
      <c r="P55" s="86">
        <v>0</v>
      </c>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row>
    <row r="56" spans="1:52" ht="18" hidden="1" customHeight="1" outlineLevel="1" x14ac:dyDescent="0.35">
      <c r="A56" s="1"/>
      <c r="B56" s="66" t="s">
        <v>799</v>
      </c>
      <c r="C56" s="67">
        <v>692049</v>
      </c>
      <c r="D56" s="67">
        <v>904959</v>
      </c>
      <c r="E56" s="67">
        <v>1039923</v>
      </c>
      <c r="F56" s="67">
        <v>1222074</v>
      </c>
      <c r="G56" s="67">
        <v>1813953</v>
      </c>
      <c r="H56" s="67">
        <v>2967038</v>
      </c>
      <c r="I56" s="67">
        <v>2558249</v>
      </c>
      <c r="J56" s="67">
        <v>2718417</v>
      </c>
      <c r="K56" s="67">
        <v>3323855</v>
      </c>
      <c r="L56" s="67">
        <v>3812912</v>
      </c>
      <c r="M56" s="83">
        <v>3219451.0000000005</v>
      </c>
      <c r="N56" s="83">
        <v>4409118.0000000009</v>
      </c>
      <c r="O56" s="67">
        <v>4926991</v>
      </c>
      <c r="P56" s="67">
        <v>4406048.9999999991</v>
      </c>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row>
    <row r="57" spans="1:52" ht="18" hidden="1" customHeight="1" outlineLevel="1" x14ac:dyDescent="0.35">
      <c r="A57" s="1"/>
      <c r="B57" s="22" t="s">
        <v>792</v>
      </c>
      <c r="C57" s="76">
        <v>0.91813718123598365</v>
      </c>
      <c r="D57" s="76">
        <v>0.91815642272901066</v>
      </c>
      <c r="E57" s="76">
        <v>0.90097334223143655</v>
      </c>
      <c r="F57" s="76">
        <v>0.90686890226688588</v>
      </c>
      <c r="G57" s="76">
        <v>0.90577258935186822</v>
      </c>
      <c r="H57" s="76">
        <v>0.63714574506485766</v>
      </c>
      <c r="I57" s="76">
        <v>0.82898804181611796</v>
      </c>
      <c r="J57" s="76">
        <v>0.89499436436513025</v>
      </c>
      <c r="K57" s="76">
        <v>0.88888922317285901</v>
      </c>
      <c r="L57" s="76">
        <v>0.8750883511311961</v>
      </c>
      <c r="M57" s="84">
        <v>0.94510056065477022</v>
      </c>
      <c r="N57" s="84">
        <v>0.91300389624498512</v>
      </c>
      <c r="O57" s="76">
        <v>0.88791209237282809</v>
      </c>
      <c r="P57" s="76">
        <v>0.89501022231260308</v>
      </c>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row>
    <row r="58" spans="1:52" ht="18" hidden="1" customHeight="1" outlineLevel="1" x14ac:dyDescent="0.35">
      <c r="A58" s="1"/>
      <c r="B58" s="22" t="s">
        <v>793</v>
      </c>
      <c r="C58" s="76">
        <v>5.6964256814556219E-2</v>
      </c>
      <c r="D58" s="76">
        <v>5.5853420821739795E-2</v>
      </c>
      <c r="E58" s="76">
        <v>6.8984981565925141E-2</v>
      </c>
      <c r="F58" s="76">
        <v>6.4397135032031635E-2</v>
      </c>
      <c r="G58" s="76">
        <v>6.624651589457714E-2</v>
      </c>
      <c r="H58" s="76">
        <v>0.20063585320978472</v>
      </c>
      <c r="I58" s="76">
        <v>0.11627684258914694</v>
      </c>
      <c r="J58" s="76">
        <v>7.1251787805839878E-2</v>
      </c>
      <c r="K58" s="76">
        <v>7.5907967076772928E-2</v>
      </c>
      <c r="L58" s="76">
        <v>8.5206289892420781E-2</v>
      </c>
      <c r="M58" s="84">
        <v>3.7752100514062963E-2</v>
      </c>
      <c r="N58" s="84">
        <v>6.0053294117620379E-2</v>
      </c>
      <c r="O58" s="76">
        <v>7.7114018904036741E-2</v>
      </c>
      <c r="P58" s="76">
        <v>7.10843368025042E-2</v>
      </c>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row>
    <row r="59" spans="1:52" ht="18" hidden="1" customHeight="1" outlineLevel="1" x14ac:dyDescent="0.35">
      <c r="A59" s="1"/>
      <c r="B59" s="22" t="s">
        <v>794</v>
      </c>
      <c r="C59" s="76">
        <v>2.4898561949460152E-2</v>
      </c>
      <c r="D59" s="76">
        <v>2.5990156449249579E-2</v>
      </c>
      <c r="E59" s="76">
        <v>3.0041676202638274E-2</v>
      </c>
      <c r="F59" s="76">
        <v>2.8733962701082506E-2</v>
      </c>
      <c r="G59" s="76">
        <v>2.7980894753554669E-2</v>
      </c>
      <c r="H59" s="76">
        <v>0.16221840172535765</v>
      </c>
      <c r="I59" s="76">
        <v>5.4735115594735144E-2</v>
      </c>
      <c r="J59" s="76">
        <v>3.3753847829029848E-2</v>
      </c>
      <c r="K59" s="76">
        <v>3.5202809750368096E-2</v>
      </c>
      <c r="L59" s="76">
        <v>3.9705358976383137E-2</v>
      </c>
      <c r="M59" s="84">
        <v>1.7147338831166814E-2</v>
      </c>
      <c r="N59" s="84">
        <v>2.6942809637394517E-2</v>
      </c>
      <c r="O59" s="76">
        <v>3.497388872313522E-2</v>
      </c>
      <c r="P59" s="76">
        <v>3.3905440884892765E-2</v>
      </c>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row>
    <row r="60" spans="1:52" ht="18" hidden="1" customHeight="1" outlineLevel="1" collapsed="1" x14ac:dyDescent="0.35">
      <c r="A60" s="1"/>
      <c r="B60" s="66" t="s">
        <v>797</v>
      </c>
      <c r="C60" s="82">
        <f>C56/C54</f>
        <v>39.320965909090908</v>
      </c>
      <c r="D60" s="82">
        <f t="shared" ref="D60:M60" si="16">D56/D54</f>
        <v>45.704999999999998</v>
      </c>
      <c r="E60" s="82">
        <f t="shared" si="16"/>
        <v>47.922718894009215</v>
      </c>
      <c r="F60" s="82">
        <f t="shared" si="16"/>
        <v>53.133652173913042</v>
      </c>
      <c r="G60" s="82">
        <f t="shared" si="16"/>
        <v>72.558120000000002</v>
      </c>
      <c r="H60" s="82">
        <f t="shared" si="16"/>
        <v>110.71037313432836</v>
      </c>
      <c r="I60" s="82">
        <f t="shared" si="16"/>
        <v>90.718049645390067</v>
      </c>
      <c r="J60" s="82">
        <f t="shared" si="16"/>
        <v>92.149728813559321</v>
      </c>
      <c r="K60" s="82">
        <f t="shared" si="16"/>
        <v>107.22112903225806</v>
      </c>
      <c r="L60" s="82">
        <f t="shared" si="16"/>
        <v>117.68246913580246</v>
      </c>
      <c r="M60" s="82">
        <f t="shared" si="16"/>
        <v>95.816994047619062</v>
      </c>
      <c r="N60" s="85">
        <v>0</v>
      </c>
      <c r="O60" s="85">
        <v>0</v>
      </c>
      <c r="P60" s="85">
        <v>0</v>
      </c>
      <c r="Q60" s="1"/>
      <c r="R60" s="1"/>
      <c r="S60" s="1"/>
      <c r="T60" s="7"/>
      <c r="U60" s="4"/>
      <c r="V60" s="4"/>
      <c r="W60" s="1"/>
      <c r="X60" s="1"/>
      <c r="Y60" s="5"/>
      <c r="Z60" s="5"/>
      <c r="AA60" s="5"/>
      <c r="AB60" s="1"/>
      <c r="AC60" s="1"/>
      <c r="AD60" s="1"/>
      <c r="AE60" s="1"/>
      <c r="AF60" s="1"/>
      <c r="AG60" s="1"/>
      <c r="AH60" s="1"/>
      <c r="AI60" s="1"/>
      <c r="AJ60" s="1"/>
      <c r="AK60" s="1"/>
      <c r="AL60" s="1"/>
      <c r="AM60" s="1"/>
      <c r="AN60" s="1"/>
      <c r="AO60" s="1"/>
      <c r="AP60" s="1"/>
      <c r="AQ60" s="1"/>
      <c r="AR60" s="1"/>
      <c r="AS60" s="1"/>
      <c r="AT60" s="1"/>
      <c r="AU60" s="1"/>
      <c r="AV60" s="1"/>
      <c r="AW60" s="1"/>
      <c r="AX60" s="1"/>
      <c r="AY60" s="1"/>
      <c r="AZ60" s="1"/>
    </row>
    <row r="61" spans="1:52" ht="18" hidden="1" customHeight="1" outlineLevel="1" x14ac:dyDescent="0.35">
      <c r="A61" s="1"/>
      <c r="B61" s="66" t="s">
        <v>789</v>
      </c>
      <c r="C61" s="82">
        <v>-94211</v>
      </c>
      <c r="D61" s="82">
        <v>-92216</v>
      </c>
      <c r="E61" s="82">
        <v>-180418</v>
      </c>
      <c r="F61" s="82">
        <v>-185635</v>
      </c>
      <c r="G61" s="82">
        <v>-266386</v>
      </c>
      <c r="H61" s="82">
        <v>-572336</v>
      </c>
      <c r="I61" s="82">
        <v>-630767</v>
      </c>
      <c r="J61" s="82">
        <v>-643569</v>
      </c>
      <c r="K61" s="82">
        <v>-888733</v>
      </c>
      <c r="L61" s="82">
        <v>-1012908</v>
      </c>
      <c r="M61" s="85">
        <v>-251785</v>
      </c>
      <c r="N61" s="85">
        <v>22305</v>
      </c>
      <c r="O61" s="82">
        <v>-868223</v>
      </c>
      <c r="P61" s="82">
        <v>-1052628</v>
      </c>
      <c r="Q61" s="47"/>
      <c r="R61" s="47"/>
      <c r="S61" s="47"/>
      <c r="T61" s="7"/>
      <c r="U61" s="4"/>
      <c r="V61" s="4"/>
      <c r="W61" s="1"/>
      <c r="X61" s="1"/>
      <c r="Y61" s="5"/>
      <c r="Z61" s="5"/>
      <c r="AA61" s="5"/>
      <c r="AB61" s="1"/>
      <c r="AC61" s="1"/>
      <c r="AD61" s="1"/>
      <c r="AE61" s="1"/>
      <c r="AF61" s="1"/>
      <c r="AG61" s="1"/>
      <c r="AH61" s="1"/>
      <c r="AI61" s="1"/>
      <c r="AJ61" s="1"/>
      <c r="AK61" s="1"/>
      <c r="AL61" s="1"/>
      <c r="AM61" s="1"/>
      <c r="AN61" s="1"/>
      <c r="AO61" s="1"/>
      <c r="AP61" s="1"/>
      <c r="AQ61" s="1"/>
      <c r="AR61" s="1"/>
      <c r="AS61" s="1"/>
      <c r="AT61" s="1"/>
      <c r="AU61" s="1"/>
      <c r="AV61" s="1"/>
      <c r="AW61" s="1"/>
      <c r="AX61" s="1"/>
      <c r="AY61" s="1"/>
      <c r="AZ61" s="1"/>
    </row>
    <row r="62" spans="1:52" ht="18" hidden="1" customHeight="1" outlineLevel="1" x14ac:dyDescent="0.35">
      <c r="A62" s="1"/>
      <c r="B62" s="22" t="s">
        <v>790</v>
      </c>
      <c r="C62" s="76">
        <f>-C61/C56</f>
        <v>0.13613342407835283</v>
      </c>
      <c r="D62" s="76">
        <f t="shared" ref="D62:P62" si="17">-D61/D56</f>
        <v>0.10190074909471036</v>
      </c>
      <c r="E62" s="76">
        <f t="shared" si="17"/>
        <v>0.17349169121175317</v>
      </c>
      <c r="F62" s="76">
        <f t="shared" si="17"/>
        <v>0.15190160333989594</v>
      </c>
      <c r="G62" s="76">
        <f t="shared" si="17"/>
        <v>0.14685386005039822</v>
      </c>
      <c r="H62" s="76">
        <f t="shared" si="17"/>
        <v>0.19289810241729294</v>
      </c>
      <c r="I62" s="76">
        <f t="shared" si="17"/>
        <v>0.24656200393315897</v>
      </c>
      <c r="J62" s="76">
        <f t="shared" si="17"/>
        <v>0.2367440315448292</v>
      </c>
      <c r="K62" s="76">
        <f t="shared" si="17"/>
        <v>0.26738019558614923</v>
      </c>
      <c r="L62" s="76">
        <f t="shared" si="17"/>
        <v>0.26565207904090105</v>
      </c>
      <c r="M62" s="76">
        <f t="shared" si="17"/>
        <v>7.8207433503414081E-2</v>
      </c>
      <c r="N62" s="76">
        <f t="shared" si="17"/>
        <v>-5.0588348962309461E-3</v>
      </c>
      <c r="O62" s="76">
        <f t="shared" si="17"/>
        <v>0.17621769554683578</v>
      </c>
      <c r="P62" s="76">
        <f t="shared" si="17"/>
        <v>0.23890519601575022</v>
      </c>
      <c r="Q62" s="47"/>
      <c r="R62" s="47"/>
      <c r="S62" s="47"/>
      <c r="T62" s="7"/>
      <c r="U62" s="4"/>
      <c r="V62" s="4"/>
      <c r="W62" s="1"/>
      <c r="X62" s="1"/>
      <c r="Y62" s="5"/>
      <c r="Z62" s="5"/>
      <c r="AA62" s="5"/>
      <c r="AB62" s="1"/>
      <c r="AC62" s="1"/>
      <c r="AD62" s="1"/>
      <c r="AE62" s="1"/>
      <c r="AF62" s="1"/>
      <c r="AG62" s="1"/>
      <c r="AH62" s="1"/>
      <c r="AI62" s="1"/>
      <c r="AJ62" s="1"/>
      <c r="AK62" s="1"/>
      <c r="AL62" s="1"/>
      <c r="AM62" s="1"/>
      <c r="AN62" s="1"/>
      <c r="AO62" s="1"/>
      <c r="AP62" s="1"/>
      <c r="AQ62" s="1"/>
      <c r="AR62" s="1"/>
      <c r="AS62" s="1"/>
      <c r="AT62" s="1"/>
      <c r="AU62" s="1"/>
      <c r="AV62" s="1"/>
      <c r="AW62" s="1"/>
      <c r="AX62" s="1"/>
      <c r="AY62" s="1"/>
      <c r="AZ62" s="1"/>
    </row>
    <row r="63" spans="1:52" ht="18" hidden="1" customHeight="1" outlineLevel="1" x14ac:dyDescent="0.35">
      <c r="A63" s="1"/>
      <c r="B63" s="22"/>
      <c r="C63" s="76"/>
      <c r="D63" s="76"/>
      <c r="E63" s="76"/>
      <c r="F63" s="76"/>
      <c r="G63" s="76"/>
      <c r="H63" s="76"/>
      <c r="I63" s="76"/>
      <c r="J63" s="76"/>
      <c r="K63" s="76"/>
      <c r="L63" s="76"/>
      <c r="M63" s="76"/>
      <c r="N63" s="76"/>
      <c r="O63" s="76"/>
      <c r="P63" s="76"/>
      <c r="Q63" s="47"/>
      <c r="R63" s="47"/>
      <c r="S63" s="47"/>
      <c r="T63" s="7"/>
      <c r="U63" s="4"/>
      <c r="V63" s="4"/>
      <c r="W63" s="1"/>
      <c r="X63" s="1"/>
      <c r="Y63" s="5"/>
      <c r="Z63" s="5"/>
      <c r="AA63" s="5"/>
      <c r="AB63" s="1"/>
      <c r="AC63" s="1"/>
      <c r="AD63" s="1"/>
      <c r="AE63" s="1"/>
      <c r="AF63" s="1"/>
      <c r="AG63" s="1"/>
      <c r="AH63" s="1"/>
      <c r="AI63" s="1"/>
      <c r="AJ63" s="1"/>
      <c r="AK63" s="1"/>
      <c r="AL63" s="1"/>
      <c r="AM63" s="1"/>
      <c r="AN63" s="1"/>
      <c r="AO63" s="1"/>
      <c r="AP63" s="1"/>
      <c r="AQ63" s="1"/>
      <c r="AR63" s="1"/>
      <c r="AS63" s="1"/>
      <c r="AT63" s="1"/>
      <c r="AU63" s="1"/>
      <c r="AV63" s="1"/>
      <c r="AW63" s="1"/>
      <c r="AX63" s="1"/>
      <c r="AY63" s="1"/>
      <c r="AZ63" s="1"/>
    </row>
    <row r="64" spans="1:52" ht="18" customHeight="1" collapsed="1" x14ac:dyDescent="0.35">
      <c r="A64" s="1"/>
      <c r="B64" s="1"/>
      <c r="C64" s="95" t="s">
        <v>803</v>
      </c>
      <c r="D64" s="95"/>
      <c r="E64" s="95"/>
      <c r="F64" s="47"/>
      <c r="G64" s="47"/>
      <c r="H64" s="47"/>
      <c r="I64" s="47"/>
      <c r="J64" s="47"/>
      <c r="K64" s="47"/>
      <c r="L64" s="47"/>
      <c r="M64" s="47"/>
      <c r="N64" s="47"/>
      <c r="O64" s="47"/>
      <c r="P64" s="47"/>
      <c r="Q64" s="47"/>
      <c r="R64" s="47"/>
      <c r="S64" s="47"/>
      <c r="T64" s="7"/>
      <c r="U64" s="4"/>
      <c r="V64" s="4"/>
      <c r="W64" s="1"/>
      <c r="X64" s="1"/>
      <c r="Y64" s="5"/>
      <c r="Z64" s="5"/>
      <c r="AA64" s="5"/>
      <c r="AB64" s="1"/>
      <c r="AC64" s="1"/>
      <c r="AD64" s="1"/>
      <c r="AE64" s="1"/>
      <c r="AF64" s="1"/>
      <c r="AG64" s="1"/>
      <c r="AH64" s="1"/>
      <c r="AI64" s="1"/>
      <c r="AJ64" s="1"/>
      <c r="AK64" s="1"/>
      <c r="AL64" s="1"/>
      <c r="AM64" s="1"/>
      <c r="AN64" s="1"/>
      <c r="AO64" s="1"/>
      <c r="AP64" s="1"/>
      <c r="AQ64" s="1"/>
      <c r="AR64" s="1"/>
      <c r="AS64" s="1"/>
      <c r="AT64" s="1"/>
      <c r="AU64" s="1"/>
      <c r="AV64" s="1"/>
      <c r="AW64" s="1"/>
      <c r="AX64" s="1"/>
      <c r="AY64" s="1"/>
      <c r="AZ64" s="1"/>
    </row>
    <row r="65" spans="1:52" ht="18" customHeight="1" x14ac:dyDescent="0.35">
      <c r="A65" s="1"/>
      <c r="B65" s="1"/>
      <c r="C65" s="87" t="s">
        <v>798</v>
      </c>
      <c r="D65" s="87" t="s">
        <v>792</v>
      </c>
      <c r="E65" s="87" t="s">
        <v>793</v>
      </c>
      <c r="F65" s="87"/>
      <c r="G65" s="47"/>
      <c r="H65" s="47"/>
      <c r="I65" s="47"/>
      <c r="J65" s="47"/>
      <c r="K65" s="47"/>
      <c r="L65" s="47"/>
      <c r="M65" s="47"/>
      <c r="N65" s="47"/>
      <c r="O65" s="47"/>
      <c r="P65" s="47"/>
      <c r="Q65" s="47"/>
      <c r="R65" s="47"/>
      <c r="S65" s="47"/>
      <c r="T65" s="7"/>
      <c r="U65" s="4"/>
      <c r="V65" s="4"/>
      <c r="W65" s="1"/>
      <c r="X65" s="1"/>
      <c r="Y65" s="5"/>
      <c r="Z65" s="5"/>
      <c r="AA65" s="5"/>
      <c r="AB65" s="1"/>
      <c r="AC65" s="1"/>
      <c r="AD65" s="1"/>
      <c r="AE65" s="1"/>
      <c r="AF65" s="1"/>
      <c r="AG65" s="1"/>
      <c r="AH65" s="1"/>
      <c r="AI65" s="1"/>
      <c r="AJ65" s="1"/>
      <c r="AK65" s="1"/>
      <c r="AL65" s="1"/>
      <c r="AM65" s="1"/>
      <c r="AN65" s="1"/>
      <c r="AO65" s="1"/>
      <c r="AP65" s="1"/>
      <c r="AQ65" s="1"/>
      <c r="AR65" s="1"/>
      <c r="AS65" s="1"/>
      <c r="AT65" s="1"/>
      <c r="AU65" s="1"/>
      <c r="AV65" s="1"/>
      <c r="AW65" s="1"/>
      <c r="AX65" s="1"/>
      <c r="AY65" s="1"/>
      <c r="AZ65" s="1"/>
    </row>
    <row r="66" spans="1:52" ht="18" customHeight="1" x14ac:dyDescent="0.35">
      <c r="A66" s="1"/>
      <c r="B66" s="66" t="s">
        <v>792</v>
      </c>
      <c r="C66" s="88">
        <f>CORREL(ESTAGIO_1_SETORIAL,TAXA_SELIC_MEDIA)</f>
        <v>-0.45984962787791128</v>
      </c>
      <c r="D66" s="89"/>
      <c r="E66" s="89"/>
      <c r="F66" s="67"/>
      <c r="G66" s="47"/>
      <c r="H66" s="47"/>
      <c r="I66" s="47"/>
      <c r="J66" s="47"/>
      <c r="K66" s="47"/>
      <c r="L66" s="47"/>
      <c r="M66" s="47"/>
      <c r="N66" s="47"/>
      <c r="O66" s="47"/>
      <c r="P66" s="47"/>
      <c r="Q66" s="47"/>
      <c r="R66" s="47"/>
      <c r="S66" s="47"/>
      <c r="T66" s="7"/>
      <c r="U66" s="4"/>
      <c r="V66" s="4"/>
      <c r="W66" s="1"/>
      <c r="X66" s="1"/>
      <c r="Y66" s="5"/>
      <c r="Z66" s="5"/>
      <c r="AA66" s="5"/>
      <c r="AB66" s="1"/>
      <c r="AC66" s="1"/>
      <c r="AD66" s="1"/>
      <c r="AE66" s="1"/>
      <c r="AF66" s="1"/>
      <c r="AG66" s="1"/>
      <c r="AH66" s="1"/>
      <c r="AI66" s="1"/>
      <c r="AJ66" s="1"/>
      <c r="AK66" s="1"/>
      <c r="AL66" s="1"/>
      <c r="AM66" s="1"/>
      <c r="AN66" s="1"/>
      <c r="AO66" s="1"/>
      <c r="AP66" s="1"/>
      <c r="AQ66" s="1"/>
      <c r="AR66" s="1"/>
      <c r="AS66" s="1"/>
      <c r="AT66" s="1"/>
      <c r="AU66" s="1"/>
      <c r="AV66" s="1"/>
      <c r="AW66" s="1"/>
      <c r="AX66" s="1"/>
      <c r="AY66" s="1"/>
      <c r="AZ66" s="1"/>
    </row>
    <row r="67" spans="1:52" ht="18" customHeight="1" x14ac:dyDescent="0.35">
      <c r="A67" s="1"/>
      <c r="B67" s="66" t="s">
        <v>793</v>
      </c>
      <c r="C67" s="88">
        <f>CORREL(ESTAGIO_2_SETORIAL,TAXA_SELIC_MEDIA)</f>
        <v>0.3586983982686725</v>
      </c>
      <c r="D67" s="88">
        <f>CORREL(ESTAGIO_2_SETORIAL,ESTAGIO_1_SETORIAL)</f>
        <v>-0.88429810054427549</v>
      </c>
      <c r="E67" s="89"/>
      <c r="F67" s="67"/>
      <c r="G67" s="1"/>
      <c r="H67" s="1"/>
      <c r="I67" s="1"/>
      <c r="J67" s="1"/>
      <c r="K67" s="1"/>
      <c r="L67" s="1"/>
      <c r="M67" s="1"/>
      <c r="N67" s="1"/>
      <c r="O67" s="1"/>
      <c r="P67" s="1"/>
      <c r="Q67" s="1"/>
      <c r="R67" s="1"/>
      <c r="S67" s="1"/>
      <c r="T67" s="7"/>
      <c r="U67" s="4"/>
      <c r="V67" s="4"/>
      <c r="W67" s="1"/>
      <c r="X67" s="1"/>
      <c r="Y67" s="5"/>
      <c r="Z67" s="5"/>
      <c r="AA67" s="5"/>
      <c r="AB67" s="1"/>
      <c r="AC67" s="1"/>
      <c r="AD67" s="1"/>
      <c r="AE67" s="1"/>
      <c r="AF67" s="1"/>
      <c r="AG67" s="1"/>
      <c r="AH67" s="1"/>
      <c r="AI67" s="1"/>
      <c r="AJ67" s="1"/>
      <c r="AK67" s="1"/>
      <c r="AL67" s="1"/>
      <c r="AM67" s="1"/>
      <c r="AN67" s="1"/>
      <c r="AO67" s="1"/>
      <c r="AP67" s="1"/>
      <c r="AQ67" s="1"/>
      <c r="AR67" s="1"/>
      <c r="AS67" s="1"/>
      <c r="AT67" s="1"/>
      <c r="AU67" s="1"/>
      <c r="AV67" s="1"/>
      <c r="AW67" s="1"/>
      <c r="AX67" s="1"/>
      <c r="AY67" s="1"/>
      <c r="AZ67" s="1"/>
    </row>
    <row r="68" spans="1:52" ht="18" customHeight="1" x14ac:dyDescent="0.35">
      <c r="A68" s="1"/>
      <c r="B68" s="66" t="s">
        <v>794</v>
      </c>
      <c r="C68" s="88">
        <f>CORREL(ESTAGIO_3_SETORIAL,TAXA_SELIC_MEDIA)</f>
        <v>0.46576611543260715</v>
      </c>
      <c r="D68" s="88">
        <f>CORREL(ESTAGIO_3_SETORIAL,ESTAGIO_1_SETORIAL)</f>
        <v>-0.93183365452496569</v>
      </c>
      <c r="E68" s="88">
        <f>CORREL(ESTAGIO_3_SETORIAL,ESTAGIO_2_SETORIAL)</f>
        <v>0.65457913013800784</v>
      </c>
      <c r="F68" s="67"/>
      <c r="G68" s="1"/>
      <c r="H68" s="1"/>
      <c r="I68" s="1"/>
      <c r="J68" s="1"/>
      <c r="K68" s="1"/>
      <c r="L68" s="1"/>
      <c r="M68" s="1"/>
      <c r="N68" s="1"/>
      <c r="O68" s="1"/>
      <c r="P68" s="1"/>
      <c r="Q68" s="1"/>
      <c r="R68" s="1"/>
      <c r="S68" s="1"/>
      <c r="T68" s="7"/>
      <c r="U68" s="4"/>
      <c r="V68" s="4"/>
      <c r="W68" s="1"/>
      <c r="X68" s="1"/>
      <c r="Y68" s="5"/>
      <c r="Z68" s="5"/>
      <c r="AA68" s="5"/>
      <c r="AB68" s="1"/>
      <c r="AC68" s="1"/>
      <c r="AD68" s="1"/>
      <c r="AE68" s="1"/>
      <c r="AF68" s="1"/>
      <c r="AG68" s="1"/>
      <c r="AH68" s="1"/>
      <c r="AI68" s="1"/>
      <c r="AJ68" s="1"/>
      <c r="AK68" s="1"/>
      <c r="AL68" s="1"/>
      <c r="AM68" s="1"/>
      <c r="AN68" s="1"/>
      <c r="AO68" s="1"/>
      <c r="AP68" s="1"/>
      <c r="AQ68" s="1"/>
      <c r="AR68" s="1"/>
      <c r="AS68" s="1"/>
      <c r="AT68" s="1"/>
      <c r="AU68" s="1"/>
      <c r="AV68" s="1"/>
      <c r="AW68" s="1"/>
      <c r="AX68" s="1"/>
      <c r="AY68" s="1"/>
      <c r="AZ68" s="1"/>
    </row>
    <row r="69" spans="1:52" ht="18" customHeight="1" x14ac:dyDescent="0.35">
      <c r="A69" s="1"/>
      <c r="B69" s="1"/>
      <c r="C69" s="1"/>
      <c r="D69" s="1"/>
      <c r="E69" s="1"/>
      <c r="F69" s="67"/>
      <c r="G69" s="1"/>
      <c r="H69" s="1"/>
      <c r="I69" s="1"/>
      <c r="J69" s="1"/>
      <c r="K69" s="1"/>
      <c r="L69" s="1"/>
      <c r="M69" s="1"/>
      <c r="N69" s="1"/>
      <c r="O69" s="1"/>
      <c r="P69" s="1"/>
      <c r="Q69" s="1"/>
      <c r="R69" s="1"/>
      <c r="S69" s="1"/>
      <c r="T69" s="7"/>
      <c r="U69" s="4"/>
      <c r="V69" s="4"/>
      <c r="W69" s="1"/>
      <c r="X69" s="1"/>
      <c r="Y69" s="5"/>
      <c r="Z69" s="5"/>
      <c r="AA69" s="5"/>
      <c r="AB69" s="1"/>
      <c r="AC69" s="1"/>
      <c r="AD69" s="1"/>
      <c r="AE69" s="1"/>
      <c r="AF69" s="1"/>
      <c r="AG69" s="1"/>
      <c r="AH69" s="1"/>
      <c r="AI69" s="1"/>
      <c r="AJ69" s="1"/>
      <c r="AK69" s="1"/>
      <c r="AL69" s="1"/>
      <c r="AM69" s="1"/>
      <c r="AN69" s="1"/>
      <c r="AO69" s="1"/>
      <c r="AP69" s="1"/>
      <c r="AQ69" s="1"/>
      <c r="AR69" s="1"/>
      <c r="AS69" s="1"/>
      <c r="AT69" s="1"/>
      <c r="AU69" s="1"/>
      <c r="AV69" s="1"/>
      <c r="AW69" s="1"/>
      <c r="AX69" s="1"/>
      <c r="AY69" s="1"/>
      <c r="AZ69" s="1"/>
    </row>
    <row r="70" spans="1:52" ht="18" customHeight="1" x14ac:dyDescent="0.35">
      <c r="A70" s="1"/>
      <c r="B70" s="1"/>
      <c r="C70" s="1"/>
      <c r="D70" s="1"/>
      <c r="E70" s="1"/>
      <c r="F70" s="1"/>
      <c r="G70" s="1"/>
      <c r="H70" s="1"/>
      <c r="I70" s="1"/>
      <c r="J70" s="1"/>
      <c r="K70" s="1"/>
      <c r="L70" s="1"/>
      <c r="M70" s="1"/>
      <c r="N70" s="1"/>
      <c r="O70" s="1"/>
      <c r="P70" s="1"/>
      <c r="Q70" s="1"/>
      <c r="R70" s="1"/>
      <c r="S70" s="1"/>
      <c r="T70" s="7"/>
      <c r="U70" s="4"/>
      <c r="V70" s="4"/>
      <c r="W70" s="1"/>
      <c r="X70" s="1"/>
      <c r="Y70" s="5"/>
      <c r="Z70" s="5"/>
      <c r="AA70" s="5"/>
      <c r="AB70" s="1"/>
      <c r="AC70" s="1"/>
      <c r="AD70" s="1"/>
      <c r="AE70" s="1"/>
      <c r="AF70" s="1"/>
      <c r="AG70" s="1"/>
      <c r="AH70" s="1"/>
      <c r="AI70" s="1"/>
      <c r="AJ70" s="1"/>
      <c r="AK70" s="1"/>
      <c r="AL70" s="1"/>
      <c r="AM70" s="1"/>
      <c r="AN70" s="1"/>
      <c r="AO70" s="1"/>
      <c r="AP70" s="1"/>
      <c r="AQ70" s="1"/>
      <c r="AR70" s="1"/>
      <c r="AS70" s="1"/>
      <c r="AT70" s="1"/>
      <c r="AU70" s="1"/>
      <c r="AV70" s="1"/>
      <c r="AW70" s="1"/>
      <c r="AX70" s="1"/>
      <c r="AY70" s="1"/>
      <c r="AZ70" s="1"/>
    </row>
    <row r="71" spans="1:52" ht="18" customHeight="1" x14ac:dyDescent="0.35">
      <c r="A71" s="1"/>
      <c r="B71" s="1"/>
      <c r="C71" s="1"/>
      <c r="D71" s="1"/>
      <c r="E71" s="1"/>
      <c r="F71" s="1"/>
      <c r="G71" s="1"/>
      <c r="H71" s="1"/>
      <c r="I71" s="1"/>
      <c r="J71" s="1"/>
      <c r="K71" s="1"/>
      <c r="L71" s="1"/>
      <c r="M71" s="1"/>
      <c r="N71" s="1"/>
      <c r="O71" s="1"/>
      <c r="P71" s="1"/>
      <c r="Q71" s="1"/>
      <c r="R71" s="1"/>
      <c r="S71" s="1"/>
      <c r="T71" s="7"/>
      <c r="U71" s="4"/>
      <c r="V71" s="4"/>
      <c r="W71" s="1"/>
      <c r="X71" s="1"/>
      <c r="Y71" s="5"/>
      <c r="Z71" s="5"/>
      <c r="AA71" s="5"/>
      <c r="AB71" s="1"/>
      <c r="AC71" s="1"/>
      <c r="AD71" s="1"/>
      <c r="AE71" s="1"/>
      <c r="AF71" s="1"/>
      <c r="AG71" s="1"/>
      <c r="AH71" s="1"/>
      <c r="AI71" s="1"/>
      <c r="AJ71" s="1"/>
      <c r="AK71" s="1"/>
      <c r="AL71" s="1"/>
      <c r="AM71" s="1"/>
      <c r="AN71" s="1"/>
      <c r="AO71" s="1"/>
      <c r="AP71" s="1"/>
      <c r="AQ71" s="1"/>
      <c r="AR71" s="1"/>
      <c r="AS71" s="1"/>
      <c r="AT71" s="1"/>
      <c r="AU71" s="1"/>
      <c r="AV71" s="1"/>
      <c r="AW71" s="1"/>
      <c r="AX71" s="1"/>
      <c r="AY71" s="1"/>
      <c r="AZ71" s="1"/>
    </row>
    <row r="72" spans="1:52" ht="18" customHeight="1" x14ac:dyDescent="0.35">
      <c r="A72" s="1"/>
      <c r="B72" s="1"/>
      <c r="C72" s="1"/>
      <c r="D72" s="1"/>
      <c r="E72" s="1"/>
      <c r="F72" s="1"/>
      <c r="G72" s="1"/>
      <c r="H72" s="1"/>
      <c r="I72" s="1"/>
      <c r="J72" s="1"/>
      <c r="K72" s="1"/>
      <c r="L72" s="1"/>
      <c r="M72" s="1"/>
      <c r="N72" s="1"/>
      <c r="O72" s="1"/>
      <c r="P72" s="1"/>
      <c r="Q72" s="1"/>
      <c r="R72" s="1"/>
      <c r="S72" s="1"/>
      <c r="T72" s="7"/>
      <c r="U72" s="4"/>
      <c r="V72" s="4"/>
      <c r="W72" s="1"/>
      <c r="X72" s="1"/>
      <c r="Y72" s="5"/>
      <c r="Z72" s="5"/>
      <c r="AA72" s="5"/>
      <c r="AB72" s="1"/>
      <c r="AC72" s="1"/>
      <c r="AD72" s="1"/>
      <c r="AE72" s="1"/>
      <c r="AF72" s="1"/>
      <c r="AG72" s="1"/>
      <c r="AH72" s="1"/>
      <c r="AI72" s="1"/>
      <c r="AJ72" s="1"/>
      <c r="AK72" s="1"/>
      <c r="AL72" s="1"/>
      <c r="AM72" s="1"/>
      <c r="AN72" s="1"/>
      <c r="AO72" s="1"/>
      <c r="AP72" s="1"/>
      <c r="AQ72" s="1"/>
      <c r="AR72" s="1"/>
      <c r="AS72" s="1"/>
      <c r="AT72" s="1"/>
      <c r="AU72" s="1"/>
      <c r="AV72" s="1"/>
      <c r="AW72" s="1"/>
      <c r="AX72" s="1"/>
      <c r="AY72" s="1"/>
      <c r="AZ72" s="1"/>
    </row>
    <row r="73" spans="1:52" ht="18" customHeight="1" x14ac:dyDescent="0.35">
      <c r="A73" s="1"/>
      <c r="B73" s="1"/>
      <c r="C73" s="1"/>
      <c r="D73" s="1"/>
      <c r="E73" s="1"/>
      <c r="F73" s="1"/>
      <c r="G73" s="1"/>
      <c r="H73" s="1"/>
      <c r="I73" s="1"/>
      <c r="J73" s="1"/>
      <c r="K73" s="1"/>
      <c r="L73" s="1"/>
      <c r="M73" s="1"/>
      <c r="N73" s="1"/>
      <c r="O73" s="1"/>
      <c r="P73" s="1"/>
      <c r="Q73" s="1"/>
      <c r="R73" s="1"/>
      <c r="S73" s="1"/>
      <c r="T73" s="7"/>
      <c r="U73" s="4"/>
      <c r="V73" s="4"/>
      <c r="W73" s="1"/>
      <c r="X73" s="1"/>
      <c r="Y73" s="5"/>
      <c r="Z73" s="5"/>
      <c r="AA73" s="5"/>
      <c r="AB73" s="1"/>
      <c r="AC73" s="1"/>
      <c r="AD73" s="1"/>
      <c r="AE73" s="1"/>
      <c r="AF73" s="1"/>
      <c r="AG73" s="1"/>
      <c r="AH73" s="1"/>
      <c r="AI73" s="1"/>
      <c r="AJ73" s="1"/>
      <c r="AK73" s="1"/>
      <c r="AL73" s="1"/>
      <c r="AM73" s="1"/>
      <c r="AN73" s="1"/>
      <c r="AO73" s="1"/>
      <c r="AP73" s="1"/>
      <c r="AQ73" s="1"/>
      <c r="AR73" s="1"/>
      <c r="AS73" s="1"/>
      <c r="AT73" s="1"/>
      <c r="AU73" s="1"/>
      <c r="AV73" s="1"/>
      <c r="AW73" s="1"/>
      <c r="AX73" s="1"/>
      <c r="AY73" s="1"/>
      <c r="AZ73" s="1"/>
    </row>
    <row r="74" spans="1:52" ht="18" customHeight="1" collapsed="1" x14ac:dyDescent="0.35">
      <c r="A74" s="1"/>
      <c r="B74" s="1"/>
      <c r="C74" s="1"/>
      <c r="D74" s="1"/>
      <c r="E74" s="1"/>
      <c r="F74" s="1"/>
      <c r="G74" s="1"/>
      <c r="H74" s="1"/>
      <c r="I74" s="1"/>
      <c r="J74" s="1"/>
      <c r="K74" s="1"/>
      <c r="L74" s="1"/>
      <c r="M74" s="1"/>
      <c r="N74" s="1"/>
      <c r="O74" s="1"/>
      <c r="P74" s="1"/>
      <c r="Q74" s="1"/>
      <c r="R74" s="1"/>
      <c r="S74" s="1"/>
      <c r="T74" s="7"/>
      <c r="U74" s="7"/>
      <c r="V74" s="7"/>
      <c r="W74" s="4"/>
      <c r="X74" s="4"/>
      <c r="Y74" s="1"/>
      <c r="Z74" s="1"/>
      <c r="AA74" s="5"/>
      <c r="AB74" s="5"/>
      <c r="AC74" s="5"/>
      <c r="AD74" s="1"/>
      <c r="AE74" s="1"/>
      <c r="AF74" s="1"/>
      <c r="AG74" s="1"/>
      <c r="AH74" s="1"/>
      <c r="AI74" s="1"/>
      <c r="AJ74" s="1"/>
      <c r="AK74" s="1"/>
      <c r="AL74" s="1"/>
      <c r="AM74" s="1"/>
      <c r="AN74" s="1"/>
      <c r="AO74" s="1"/>
      <c r="AP74" s="1"/>
      <c r="AQ74" s="1"/>
      <c r="AR74" s="1"/>
      <c r="AS74" s="1"/>
      <c r="AT74" s="1"/>
      <c r="AU74" s="1"/>
      <c r="AV74" s="1"/>
      <c r="AW74" s="1"/>
      <c r="AX74" s="1"/>
      <c r="AY74" s="1"/>
      <c r="AZ74" s="1"/>
    </row>
    <row r="75" spans="1:52" ht="18" customHeight="1" x14ac:dyDescent="0.35">
      <c r="A75" s="1"/>
      <c r="B75" s="1"/>
      <c r="C75" s="1"/>
      <c r="D75" s="1"/>
      <c r="E75" s="1"/>
      <c r="F75" s="1"/>
      <c r="G75" s="1"/>
      <c r="H75" s="1"/>
      <c r="I75" s="1"/>
      <c r="J75" s="1"/>
      <c r="K75" s="1"/>
      <c r="L75" s="1"/>
      <c r="M75" s="1"/>
      <c r="N75" s="1"/>
      <c r="O75" s="1"/>
      <c r="P75" s="1"/>
      <c r="Q75" s="1"/>
      <c r="R75" s="1"/>
      <c r="S75" s="1"/>
      <c r="T75" s="7"/>
      <c r="U75" s="7"/>
      <c r="V75" s="7"/>
      <c r="W75" s="4"/>
      <c r="X75" s="4"/>
      <c r="Y75" s="1"/>
      <c r="Z75" s="1"/>
      <c r="AA75" s="5"/>
      <c r="AB75" s="5"/>
      <c r="AC75" s="5"/>
      <c r="AD75" s="1"/>
      <c r="AE75" s="1"/>
      <c r="AF75" s="1"/>
      <c r="AG75" s="1"/>
      <c r="AH75" s="1"/>
      <c r="AI75" s="1"/>
      <c r="AJ75" s="1"/>
      <c r="AK75" s="1"/>
      <c r="AL75" s="1"/>
      <c r="AM75" s="1"/>
      <c r="AN75" s="1"/>
      <c r="AO75" s="1"/>
      <c r="AP75" s="1"/>
      <c r="AQ75" s="1"/>
      <c r="AR75" s="1"/>
      <c r="AS75" s="1"/>
      <c r="AT75" s="1"/>
      <c r="AU75" s="1"/>
      <c r="AV75" s="1"/>
      <c r="AW75" s="1"/>
      <c r="AX75" s="1"/>
      <c r="AY75" s="1"/>
      <c r="AZ75" s="1"/>
    </row>
    <row r="76" spans="1:52" ht="18" customHeight="1" x14ac:dyDescent="0.35">
      <c r="A76" s="1"/>
      <c r="B76" s="1"/>
      <c r="C76" s="1"/>
      <c r="D76" s="1"/>
      <c r="E76" s="1"/>
      <c r="F76" s="1"/>
      <c r="G76" s="1"/>
      <c r="H76" s="1"/>
      <c r="I76" s="1"/>
      <c r="J76" s="1"/>
      <c r="K76" s="1"/>
      <c r="L76" s="1"/>
      <c r="M76" s="1"/>
      <c r="N76" s="1"/>
      <c r="O76" s="1"/>
      <c r="P76" s="1"/>
      <c r="Q76" s="1"/>
      <c r="R76" s="1"/>
      <c r="S76" s="1"/>
      <c r="T76" s="2"/>
      <c r="U76" s="2"/>
      <c r="V76" s="2"/>
      <c r="W76" s="1"/>
      <c r="X76" s="1"/>
      <c r="Y76" s="1"/>
      <c r="Z76" s="1"/>
      <c r="AA76" s="5"/>
      <c r="AB76" s="5"/>
      <c r="AC76" s="5"/>
      <c r="AD76" s="1"/>
      <c r="AE76" s="1"/>
      <c r="AF76" s="1"/>
      <c r="AG76" s="1"/>
      <c r="AH76" s="1"/>
      <c r="AI76" s="1"/>
      <c r="AJ76" s="1"/>
      <c r="AK76" s="1"/>
      <c r="AL76" s="1"/>
      <c r="AM76" s="1"/>
      <c r="AN76" s="1"/>
      <c r="AO76" s="1"/>
      <c r="AP76" s="1"/>
      <c r="AQ76" s="1"/>
      <c r="AR76" s="1"/>
      <c r="AS76" s="1"/>
      <c r="AT76" s="1"/>
      <c r="AU76" s="1"/>
      <c r="AV76" s="1"/>
      <c r="AW76" s="1"/>
      <c r="AX76" s="1"/>
      <c r="AY76" s="1"/>
      <c r="AZ76" s="1"/>
    </row>
    <row r="77" spans="1:52" ht="18" customHeight="1" x14ac:dyDescent="0.35">
      <c r="A77" s="1"/>
      <c r="B77" s="1"/>
      <c r="C77" s="1"/>
      <c r="D77" s="1"/>
      <c r="E77" s="1"/>
      <c r="F77" s="1"/>
      <c r="G77" s="1"/>
      <c r="H77" s="1"/>
      <c r="I77" s="1"/>
      <c r="J77" s="1"/>
      <c r="K77" s="1"/>
      <c r="L77" s="1"/>
      <c r="M77" s="1"/>
      <c r="N77" s="1"/>
      <c r="O77" s="1"/>
      <c r="P77" s="1"/>
      <c r="Q77" s="1"/>
      <c r="R77" s="1"/>
      <c r="S77" s="1"/>
      <c r="T77" s="2"/>
      <c r="U77" s="2"/>
      <c r="V77" s="2"/>
      <c r="W77" s="1"/>
      <c r="X77" s="1"/>
      <c r="Y77" s="1"/>
      <c r="Z77" s="1"/>
      <c r="AA77" s="5"/>
      <c r="AB77" s="5"/>
      <c r="AC77" s="5"/>
      <c r="AD77" s="1"/>
      <c r="AE77" s="1"/>
      <c r="AF77" s="1"/>
      <c r="AG77" s="1"/>
      <c r="AH77" s="1"/>
      <c r="AI77" s="1"/>
      <c r="AJ77" s="1"/>
      <c r="AK77" s="1"/>
      <c r="AL77" s="1"/>
      <c r="AM77" s="1"/>
      <c r="AN77" s="1"/>
      <c r="AO77" s="1"/>
      <c r="AP77" s="1"/>
      <c r="AQ77" s="1"/>
      <c r="AR77" s="1"/>
      <c r="AS77" s="1"/>
      <c r="AT77" s="1"/>
      <c r="AU77" s="1"/>
      <c r="AV77" s="1"/>
      <c r="AW77" s="1"/>
      <c r="AX77" s="1"/>
      <c r="AY77" s="1"/>
      <c r="AZ77" s="1"/>
    </row>
    <row r="78" spans="1:52" ht="18" customHeight="1" x14ac:dyDescent="0.35">
      <c r="A78" s="1"/>
      <c r="B78" s="1"/>
      <c r="C78" s="1"/>
      <c r="D78" s="1"/>
      <c r="E78" s="1"/>
      <c r="F78" s="1"/>
      <c r="G78" s="1"/>
      <c r="H78" s="1"/>
      <c r="I78" s="1"/>
      <c r="J78" s="1"/>
      <c r="K78" s="1"/>
      <c r="L78" s="1"/>
      <c r="M78" s="1"/>
      <c r="N78" s="1"/>
      <c r="O78" s="1"/>
      <c r="P78" s="1"/>
      <c r="Q78" s="1"/>
      <c r="R78" s="1"/>
      <c r="S78" s="1"/>
      <c r="T78" s="2"/>
      <c r="U78" s="2"/>
      <c r="V78" s="2"/>
      <c r="W78" s="1"/>
      <c r="X78" s="1"/>
      <c r="Y78" s="1"/>
      <c r="Z78" s="1"/>
      <c r="AA78" s="5"/>
      <c r="AB78" s="5"/>
      <c r="AC78" s="5"/>
      <c r="AD78" s="1"/>
      <c r="AE78" s="1"/>
      <c r="AF78" s="1"/>
      <c r="AG78" s="1"/>
      <c r="AH78" s="1"/>
      <c r="AI78" s="1"/>
      <c r="AJ78" s="1"/>
      <c r="AK78" s="1"/>
      <c r="AL78" s="1"/>
      <c r="AM78" s="1"/>
      <c r="AN78" s="1"/>
      <c r="AO78" s="1"/>
      <c r="AP78" s="1"/>
      <c r="AQ78" s="1"/>
      <c r="AR78" s="1"/>
      <c r="AS78" s="1"/>
      <c r="AT78" s="1"/>
      <c r="AU78" s="1"/>
      <c r="AV78" s="1"/>
      <c r="AW78" s="1"/>
      <c r="AX78" s="1"/>
      <c r="AY78" s="1"/>
      <c r="AZ78" s="1"/>
    </row>
    <row r="79" spans="1:52" ht="18" customHeight="1" x14ac:dyDescent="0.35">
      <c r="A79" s="1"/>
      <c r="B79" s="1"/>
      <c r="C79" s="1"/>
      <c r="D79" s="1"/>
      <c r="E79" s="1"/>
      <c r="F79" s="1"/>
      <c r="G79" s="1"/>
      <c r="H79" s="1"/>
      <c r="I79" s="1"/>
      <c r="J79" s="1"/>
      <c r="K79" s="1"/>
      <c r="L79" s="1"/>
      <c r="M79" s="1"/>
      <c r="N79" s="1"/>
      <c r="O79" s="1"/>
      <c r="P79" s="1"/>
      <c r="Q79" s="1"/>
      <c r="R79" s="1"/>
      <c r="S79" s="1"/>
      <c r="T79" s="2"/>
      <c r="U79" s="2"/>
      <c r="V79" s="2"/>
      <c r="W79" s="1"/>
      <c r="X79" s="1"/>
      <c r="Y79" s="1"/>
      <c r="Z79" s="1"/>
      <c r="AA79" s="5"/>
      <c r="AB79" s="5"/>
      <c r="AC79" s="5"/>
      <c r="AD79" s="1"/>
      <c r="AE79" s="1"/>
      <c r="AF79" s="1"/>
      <c r="AG79" s="1"/>
      <c r="AH79" s="1"/>
      <c r="AI79" s="1"/>
      <c r="AJ79" s="1"/>
      <c r="AK79" s="1"/>
      <c r="AL79" s="1"/>
      <c r="AM79" s="1"/>
      <c r="AN79" s="1"/>
      <c r="AO79" s="1"/>
      <c r="AP79" s="1"/>
      <c r="AQ79" s="1"/>
      <c r="AR79" s="1"/>
      <c r="AS79" s="1"/>
      <c r="AT79" s="1"/>
      <c r="AU79" s="1"/>
      <c r="AV79" s="1"/>
      <c r="AW79" s="1"/>
      <c r="AX79" s="1"/>
      <c r="AY79" s="1"/>
      <c r="AZ79" s="1"/>
    </row>
    <row r="80" spans="1:52" ht="18" customHeight="1" x14ac:dyDescent="0.35">
      <c r="A80" s="1"/>
      <c r="B80" s="1"/>
      <c r="C80" s="1"/>
      <c r="D80" s="1"/>
      <c r="E80" s="1"/>
      <c r="F80" s="1"/>
      <c r="G80" s="1"/>
      <c r="H80" s="1"/>
      <c r="I80" s="1"/>
      <c r="J80" s="1"/>
      <c r="K80" s="1"/>
      <c r="L80" s="1"/>
      <c r="M80" s="1"/>
      <c r="N80" s="1"/>
      <c r="O80" s="1"/>
      <c r="P80" s="1"/>
      <c r="Q80" s="1"/>
      <c r="R80" s="1"/>
      <c r="S80" s="1"/>
      <c r="T80" s="2"/>
      <c r="U80" s="2"/>
      <c r="V80" s="2"/>
      <c r="W80" s="1"/>
      <c r="X80" s="1"/>
      <c r="Y80" s="1"/>
      <c r="Z80" s="1"/>
      <c r="AA80" s="5"/>
      <c r="AB80" s="5"/>
      <c r="AC80" s="5"/>
      <c r="AD80" s="1"/>
      <c r="AE80" s="1"/>
      <c r="AF80" s="1"/>
      <c r="AG80" s="1"/>
      <c r="AH80" s="1"/>
      <c r="AI80" s="1"/>
      <c r="AJ80" s="1"/>
      <c r="AK80" s="1"/>
      <c r="AL80" s="1"/>
      <c r="AM80" s="1"/>
      <c r="AN80" s="1"/>
      <c r="AO80" s="1"/>
      <c r="AP80" s="1"/>
      <c r="AQ80" s="1"/>
      <c r="AR80" s="1"/>
      <c r="AS80" s="1"/>
      <c r="AT80" s="1"/>
      <c r="AU80" s="1"/>
      <c r="AV80" s="1"/>
      <c r="AW80" s="1"/>
      <c r="AX80" s="1"/>
      <c r="AY80" s="1"/>
      <c r="AZ80" s="1"/>
    </row>
    <row r="81" spans="1:52" ht="18" customHeight="1" x14ac:dyDescent="0.35">
      <c r="A81" s="1"/>
      <c r="B81" s="1"/>
      <c r="C81" s="1"/>
      <c r="D81" s="1"/>
      <c r="E81" s="1"/>
      <c r="F81" s="1"/>
      <c r="G81" s="1"/>
      <c r="H81" s="1"/>
      <c r="I81" s="1"/>
      <c r="J81" s="1"/>
      <c r="K81" s="1"/>
      <c r="L81" s="1"/>
      <c r="M81" s="1"/>
      <c r="N81" s="1"/>
      <c r="O81" s="1"/>
      <c r="P81" s="1"/>
      <c r="Q81" s="1"/>
      <c r="R81" s="1"/>
      <c r="S81" s="1"/>
      <c r="T81" s="2"/>
      <c r="U81" s="2"/>
      <c r="V81" s="2"/>
      <c r="W81" s="1"/>
      <c r="X81" s="1"/>
      <c r="Y81" s="1"/>
      <c r="Z81" s="1"/>
      <c r="AA81" s="5"/>
      <c r="AB81" s="5"/>
      <c r="AC81" s="5"/>
      <c r="AD81" s="1"/>
      <c r="AE81" s="1"/>
      <c r="AF81" s="1"/>
      <c r="AG81" s="1"/>
      <c r="AH81" s="1"/>
      <c r="AI81" s="1"/>
      <c r="AJ81" s="1"/>
      <c r="AK81" s="1"/>
      <c r="AL81" s="1"/>
      <c r="AM81" s="1"/>
      <c r="AN81" s="1"/>
      <c r="AO81" s="1"/>
      <c r="AP81" s="1"/>
      <c r="AQ81" s="1"/>
      <c r="AR81" s="1"/>
      <c r="AS81" s="1"/>
      <c r="AT81" s="1"/>
      <c r="AU81" s="1"/>
      <c r="AV81" s="1"/>
      <c r="AW81" s="1"/>
      <c r="AX81" s="1"/>
      <c r="AY81" s="1"/>
      <c r="AZ81" s="1"/>
    </row>
    <row r="82" spans="1:52" ht="18" customHeight="1" x14ac:dyDescent="0.35">
      <c r="A82" s="1"/>
      <c r="B82" s="1"/>
      <c r="C82" s="1"/>
      <c r="D82" s="1"/>
      <c r="E82" s="1"/>
      <c r="F82" s="1"/>
      <c r="G82" s="1"/>
      <c r="H82" s="1"/>
      <c r="I82" s="1"/>
      <c r="J82" s="1"/>
      <c r="K82" s="1"/>
      <c r="L82" s="1"/>
      <c r="M82" s="1"/>
      <c r="N82" s="1"/>
      <c r="O82" s="1"/>
      <c r="P82" s="1"/>
      <c r="Q82" s="1"/>
      <c r="R82" s="1"/>
      <c r="S82" s="1"/>
      <c r="T82" s="2"/>
      <c r="U82" s="2"/>
      <c r="V82" s="2"/>
      <c r="W82" s="1"/>
      <c r="X82" s="1"/>
      <c r="Y82" s="1"/>
      <c r="Z82" s="1"/>
      <c r="AA82" s="5"/>
      <c r="AB82" s="5"/>
      <c r="AC82" s="5"/>
      <c r="AD82" s="1"/>
      <c r="AE82" s="1"/>
      <c r="AF82" s="1"/>
      <c r="AG82" s="1"/>
      <c r="AH82" s="1"/>
      <c r="AI82" s="1"/>
      <c r="AJ82" s="1"/>
      <c r="AK82" s="1"/>
      <c r="AL82" s="1"/>
      <c r="AM82" s="1"/>
      <c r="AN82" s="1"/>
      <c r="AO82" s="1"/>
      <c r="AP82" s="1"/>
      <c r="AQ82" s="1"/>
      <c r="AR82" s="1"/>
      <c r="AS82" s="1"/>
      <c r="AT82" s="1"/>
      <c r="AU82" s="1"/>
      <c r="AV82" s="1"/>
      <c r="AW82" s="1"/>
      <c r="AX82" s="1"/>
      <c r="AY82" s="1"/>
      <c r="AZ82" s="1"/>
    </row>
    <row r="83" spans="1:52" ht="18" customHeight="1" x14ac:dyDescent="0.35">
      <c r="A83" s="1"/>
      <c r="B83" s="1"/>
      <c r="C83" s="1"/>
      <c r="D83" s="1"/>
      <c r="E83" s="1"/>
      <c r="F83" s="1"/>
      <c r="G83" s="1"/>
      <c r="H83" s="1"/>
      <c r="I83" s="1"/>
      <c r="J83" s="1"/>
      <c r="K83" s="1"/>
      <c r="L83" s="1"/>
      <c r="M83" s="1"/>
      <c r="N83" s="1"/>
      <c r="O83" s="1"/>
      <c r="P83" s="1"/>
      <c r="Q83" s="1"/>
      <c r="R83" s="1"/>
      <c r="S83" s="1"/>
      <c r="T83" s="2"/>
      <c r="U83" s="2"/>
      <c r="V83" s="2"/>
      <c r="W83" s="1"/>
      <c r="X83" s="1"/>
      <c r="Y83" s="1"/>
      <c r="Z83" s="1"/>
      <c r="AA83" s="5"/>
      <c r="AB83" s="5"/>
      <c r="AC83" s="5"/>
      <c r="AD83" s="1"/>
      <c r="AE83" s="1"/>
      <c r="AF83" s="1"/>
      <c r="AG83" s="1"/>
      <c r="AH83" s="1"/>
      <c r="AI83" s="1"/>
      <c r="AJ83" s="1"/>
      <c r="AK83" s="1"/>
      <c r="AL83" s="1"/>
      <c r="AM83" s="1"/>
      <c r="AN83" s="1"/>
      <c r="AO83" s="1"/>
      <c r="AP83" s="1"/>
      <c r="AQ83" s="1"/>
      <c r="AR83" s="1"/>
      <c r="AS83" s="1"/>
      <c r="AT83" s="1"/>
      <c r="AU83" s="1"/>
      <c r="AV83" s="1"/>
      <c r="AW83" s="1"/>
      <c r="AX83" s="1"/>
      <c r="AY83" s="1"/>
      <c r="AZ83" s="1"/>
    </row>
    <row r="84" spans="1:52" ht="18" customHeight="1" x14ac:dyDescent="0.35">
      <c r="A84" s="1"/>
      <c r="B84" s="1"/>
      <c r="C84" s="1"/>
      <c r="D84" s="1"/>
      <c r="E84" s="1"/>
      <c r="F84" s="1"/>
      <c r="G84" s="1"/>
      <c r="H84" s="1"/>
      <c r="I84" s="1"/>
      <c r="J84" s="1"/>
      <c r="K84" s="1"/>
      <c r="L84" s="1"/>
      <c r="M84" s="1"/>
      <c r="N84" s="1"/>
      <c r="O84" s="1"/>
      <c r="P84" s="1"/>
      <c r="Q84" s="1"/>
      <c r="R84" s="1"/>
      <c r="S84" s="1"/>
      <c r="T84" s="2"/>
      <c r="U84" s="2"/>
      <c r="V84" s="2"/>
      <c r="W84" s="1"/>
      <c r="X84" s="1"/>
      <c r="Y84" s="1"/>
      <c r="Z84" s="1"/>
      <c r="AA84" s="5"/>
      <c r="AB84" s="5"/>
      <c r="AC84" s="5"/>
      <c r="AD84" s="1"/>
      <c r="AE84" s="1"/>
      <c r="AF84" s="1"/>
      <c r="AG84" s="1"/>
      <c r="AH84" s="1"/>
      <c r="AI84" s="1"/>
      <c r="AJ84" s="1"/>
      <c r="AK84" s="1"/>
      <c r="AL84" s="1"/>
      <c r="AM84" s="1"/>
      <c r="AN84" s="1"/>
      <c r="AO84" s="1"/>
      <c r="AP84" s="1"/>
      <c r="AQ84" s="1"/>
      <c r="AR84" s="1"/>
      <c r="AS84" s="1"/>
      <c r="AT84" s="1"/>
      <c r="AU84" s="1"/>
      <c r="AV84" s="1"/>
      <c r="AW84" s="1"/>
      <c r="AX84" s="1"/>
      <c r="AY84" s="1"/>
      <c r="AZ84" s="1"/>
    </row>
    <row r="85" spans="1:52" ht="18" customHeight="1" x14ac:dyDescent="0.35">
      <c r="A85" s="1"/>
      <c r="B85" s="1"/>
      <c r="C85" s="1"/>
      <c r="D85" s="1"/>
      <c r="E85" s="1"/>
      <c r="F85" s="1"/>
      <c r="G85" s="1"/>
      <c r="H85" s="1"/>
      <c r="I85" s="1"/>
      <c r="J85" s="1"/>
      <c r="K85" s="1"/>
      <c r="L85" s="1"/>
      <c r="M85" s="1"/>
      <c r="N85" s="1"/>
      <c r="O85" s="1"/>
      <c r="P85" s="1"/>
      <c r="Q85" s="1"/>
      <c r="R85" s="1"/>
      <c r="S85" s="1"/>
      <c r="T85" s="2"/>
      <c r="U85" s="2"/>
      <c r="V85" s="2"/>
      <c r="W85" s="1"/>
      <c r="X85" s="1"/>
      <c r="Y85" s="1"/>
      <c r="Z85" s="1"/>
      <c r="AA85" s="5"/>
      <c r="AB85" s="5"/>
      <c r="AC85" s="5"/>
      <c r="AD85" s="1"/>
      <c r="AE85" s="1"/>
      <c r="AF85" s="1"/>
      <c r="AG85" s="1"/>
      <c r="AH85" s="1"/>
      <c r="AI85" s="1"/>
      <c r="AJ85" s="1"/>
      <c r="AK85" s="1"/>
      <c r="AL85" s="1"/>
      <c r="AM85" s="1"/>
      <c r="AN85" s="1"/>
      <c r="AO85" s="1"/>
      <c r="AP85" s="1"/>
      <c r="AQ85" s="1"/>
      <c r="AR85" s="1"/>
      <c r="AS85" s="1"/>
      <c r="AT85" s="1"/>
      <c r="AU85" s="1"/>
      <c r="AV85" s="1"/>
      <c r="AW85" s="1"/>
      <c r="AX85" s="1"/>
      <c r="AY85" s="1"/>
      <c r="AZ85" s="1"/>
    </row>
    <row r="86" spans="1:52" ht="18" customHeight="1" collapsed="1" x14ac:dyDescent="0.35">
      <c r="A86" s="1"/>
      <c r="B86" s="1"/>
      <c r="C86" s="1"/>
      <c r="D86" s="1"/>
      <c r="E86" s="1"/>
      <c r="F86" s="1"/>
      <c r="G86" s="1"/>
      <c r="H86" s="1"/>
      <c r="I86" s="1"/>
      <c r="J86" s="1"/>
      <c r="K86" s="1"/>
      <c r="L86" s="1"/>
      <c r="M86" s="1"/>
      <c r="N86" s="1"/>
      <c r="O86" s="1"/>
      <c r="P86" s="1"/>
      <c r="Q86" s="1"/>
      <c r="R86" s="1"/>
      <c r="S86" s="1"/>
      <c r="T86" s="2"/>
      <c r="U86" s="2"/>
      <c r="V86" s="2"/>
      <c r="W86" s="1"/>
      <c r="X86" s="1"/>
      <c r="Y86" s="1"/>
      <c r="Z86" s="1"/>
      <c r="AA86" s="5"/>
      <c r="AB86" s="5"/>
      <c r="AC86" s="5"/>
      <c r="AD86" s="1"/>
      <c r="AE86" s="1"/>
      <c r="AF86" s="1"/>
      <c r="AG86" s="1"/>
      <c r="AH86" s="1"/>
      <c r="AI86" s="1"/>
      <c r="AJ86" s="1"/>
      <c r="AK86" s="1"/>
      <c r="AL86" s="1"/>
      <c r="AM86" s="1"/>
      <c r="AN86" s="1"/>
      <c r="AO86" s="1"/>
      <c r="AP86" s="1"/>
      <c r="AQ86" s="1"/>
      <c r="AR86" s="1"/>
      <c r="AS86" s="1"/>
      <c r="AT86" s="1"/>
      <c r="AU86" s="1"/>
      <c r="AV86" s="1"/>
      <c r="AW86" s="1"/>
      <c r="AX86" s="1"/>
      <c r="AY86" s="1"/>
      <c r="AZ86" s="1"/>
    </row>
    <row r="87" spans="1:52" ht="18" customHeight="1" x14ac:dyDescent="0.35">
      <c r="A87" s="1"/>
      <c r="B87" s="1"/>
      <c r="C87" s="1"/>
      <c r="D87" s="1"/>
      <c r="E87" s="1"/>
      <c r="F87" s="1"/>
      <c r="G87" s="1"/>
      <c r="H87" s="1"/>
      <c r="I87" s="1"/>
      <c r="J87" s="1"/>
      <c r="K87" s="1"/>
      <c r="L87" s="1"/>
      <c r="M87" s="1"/>
      <c r="N87" s="1"/>
      <c r="O87" s="1"/>
      <c r="P87" s="1"/>
      <c r="Q87" s="1"/>
      <c r="R87" s="1"/>
      <c r="S87" s="1"/>
      <c r="T87" s="2"/>
      <c r="U87" s="2"/>
      <c r="V87" s="2"/>
      <c r="W87" s="1"/>
      <c r="X87" s="1"/>
      <c r="Y87" s="1"/>
      <c r="Z87" s="1"/>
      <c r="AA87" s="5"/>
      <c r="AB87" s="5"/>
      <c r="AC87" s="5"/>
      <c r="AD87" s="1"/>
      <c r="AE87" s="1"/>
      <c r="AF87" s="1"/>
      <c r="AG87" s="1"/>
      <c r="AH87" s="1"/>
      <c r="AI87" s="1"/>
      <c r="AJ87" s="1"/>
      <c r="AK87" s="1"/>
      <c r="AL87" s="1"/>
      <c r="AM87" s="1"/>
      <c r="AN87" s="1"/>
      <c r="AO87" s="1"/>
      <c r="AP87" s="1"/>
      <c r="AQ87" s="1"/>
      <c r="AR87" s="1"/>
      <c r="AS87" s="1"/>
      <c r="AT87" s="1"/>
      <c r="AU87" s="1"/>
      <c r="AV87" s="1"/>
      <c r="AW87" s="1"/>
      <c r="AX87" s="1"/>
      <c r="AY87" s="1"/>
      <c r="AZ87" s="1"/>
    </row>
    <row r="88" spans="1:52" ht="18" customHeight="1" x14ac:dyDescent="0.35">
      <c r="A88" s="1"/>
      <c r="B88" s="1"/>
      <c r="C88" s="1"/>
      <c r="D88" s="1"/>
      <c r="E88" s="1"/>
      <c r="F88" s="1"/>
      <c r="G88" s="1"/>
      <c r="H88" s="1"/>
      <c r="I88" s="1"/>
      <c r="J88" s="1"/>
      <c r="K88" s="1"/>
      <c r="L88" s="1"/>
      <c r="M88" s="1"/>
      <c r="N88" s="1"/>
      <c r="O88" s="1"/>
      <c r="P88" s="1"/>
      <c r="Q88" s="1"/>
      <c r="R88" s="1"/>
      <c r="S88" s="1"/>
      <c r="T88" s="2"/>
      <c r="U88" s="2"/>
      <c r="V88" s="2"/>
      <c r="W88" s="1"/>
      <c r="X88" s="1"/>
      <c r="Y88" s="1"/>
      <c r="Z88" s="1"/>
      <c r="AA88" s="5"/>
      <c r="AB88" s="5"/>
      <c r="AC88" s="5"/>
      <c r="AD88" s="1"/>
      <c r="AE88" s="1"/>
      <c r="AF88" s="1"/>
      <c r="AG88" s="1"/>
      <c r="AH88" s="1"/>
      <c r="AI88" s="1"/>
      <c r="AJ88" s="1"/>
      <c r="AK88" s="1"/>
      <c r="AL88" s="1"/>
      <c r="AM88" s="1"/>
      <c r="AN88" s="1"/>
      <c r="AO88" s="1"/>
      <c r="AP88" s="1"/>
      <c r="AQ88" s="1"/>
      <c r="AR88" s="1"/>
      <c r="AS88" s="1"/>
      <c r="AT88" s="1"/>
      <c r="AU88" s="1"/>
      <c r="AV88" s="1"/>
      <c r="AW88" s="1"/>
      <c r="AX88" s="1"/>
      <c r="AY88" s="1"/>
      <c r="AZ88" s="1"/>
    </row>
    <row r="89" spans="1:52" ht="18" customHeight="1" x14ac:dyDescent="0.35">
      <c r="A89" s="1"/>
      <c r="B89" s="1"/>
      <c r="C89" s="1"/>
      <c r="D89" s="1"/>
      <c r="E89" s="1"/>
      <c r="F89" s="1"/>
      <c r="G89" s="1"/>
      <c r="H89" s="1"/>
      <c r="I89" s="1"/>
      <c r="J89" s="1"/>
      <c r="K89" s="1"/>
      <c r="L89" s="1"/>
      <c r="M89" s="1"/>
      <c r="N89" s="1"/>
      <c r="O89" s="1"/>
      <c r="P89" s="1"/>
      <c r="Q89" s="1"/>
      <c r="R89" s="1"/>
      <c r="S89" s="1"/>
      <c r="T89" s="2"/>
      <c r="U89" s="2"/>
      <c r="V89" s="2"/>
      <c r="W89" s="1"/>
      <c r="X89" s="1"/>
      <c r="Y89" s="1"/>
      <c r="Z89" s="1"/>
      <c r="AA89" s="5"/>
      <c r="AB89" s="5"/>
      <c r="AC89" s="5"/>
      <c r="AD89" s="1"/>
      <c r="AE89" s="1"/>
      <c r="AF89" s="1"/>
      <c r="AG89" s="1"/>
      <c r="AH89" s="1"/>
      <c r="AI89" s="1"/>
      <c r="AJ89" s="1"/>
      <c r="AK89" s="1"/>
      <c r="AL89" s="1"/>
      <c r="AM89" s="1"/>
      <c r="AN89" s="1"/>
      <c r="AO89" s="1"/>
      <c r="AP89" s="1"/>
      <c r="AQ89" s="1"/>
      <c r="AR89" s="1"/>
      <c r="AS89" s="1"/>
      <c r="AT89" s="1"/>
      <c r="AU89" s="1"/>
      <c r="AV89" s="1"/>
      <c r="AW89" s="1"/>
      <c r="AX89" s="1"/>
      <c r="AY89" s="1"/>
      <c r="AZ89" s="1"/>
    </row>
    <row r="90" spans="1:52" ht="18" customHeight="1" x14ac:dyDescent="0.35">
      <c r="A90" s="1"/>
      <c r="B90" s="1"/>
      <c r="C90" s="1"/>
      <c r="D90" s="1"/>
      <c r="E90" s="1"/>
      <c r="F90" s="1"/>
      <c r="G90" s="1"/>
      <c r="H90" s="1"/>
      <c r="I90" s="1"/>
      <c r="J90" s="1"/>
      <c r="K90" s="1"/>
      <c r="L90" s="1"/>
      <c r="M90" s="1"/>
      <c r="N90" s="1"/>
      <c r="O90" s="1"/>
      <c r="P90" s="1"/>
      <c r="Q90" s="1"/>
      <c r="R90" s="1"/>
      <c r="S90" s="1"/>
      <c r="T90" s="2"/>
      <c r="U90" s="2"/>
      <c r="V90" s="2"/>
      <c r="W90" s="1"/>
      <c r="X90" s="1"/>
      <c r="Y90" s="1"/>
      <c r="Z90" s="1"/>
      <c r="AA90" s="5"/>
      <c r="AB90" s="5"/>
      <c r="AC90" s="5"/>
      <c r="AD90" s="1"/>
      <c r="AE90" s="1"/>
      <c r="AF90" s="1"/>
      <c r="AG90" s="1"/>
      <c r="AH90" s="1"/>
      <c r="AI90" s="1"/>
      <c r="AJ90" s="1"/>
      <c r="AK90" s="1"/>
      <c r="AL90" s="1"/>
      <c r="AM90" s="1"/>
      <c r="AN90" s="1"/>
      <c r="AO90" s="1"/>
      <c r="AP90" s="1"/>
      <c r="AQ90" s="1"/>
      <c r="AR90" s="1"/>
      <c r="AS90" s="1"/>
      <c r="AT90" s="1"/>
      <c r="AU90" s="1"/>
      <c r="AV90" s="1"/>
      <c r="AW90" s="1"/>
      <c r="AX90" s="1"/>
      <c r="AY90" s="1"/>
      <c r="AZ90" s="1"/>
    </row>
    <row r="91" spans="1:52" ht="18" customHeight="1" x14ac:dyDescent="0.35">
      <c r="A91" s="1"/>
      <c r="B91" s="1"/>
      <c r="C91" s="1"/>
      <c r="D91" s="1"/>
      <c r="E91" s="1"/>
      <c r="F91" s="1"/>
      <c r="G91" s="1"/>
      <c r="H91" s="1"/>
      <c r="I91" s="1"/>
      <c r="J91" s="1"/>
      <c r="K91" s="1"/>
      <c r="L91" s="1"/>
      <c r="M91" s="1"/>
      <c r="N91" s="1"/>
      <c r="O91" s="1"/>
      <c r="P91" s="1"/>
      <c r="Q91" s="1"/>
      <c r="R91" s="1"/>
      <c r="S91" s="1"/>
      <c r="T91" s="2"/>
      <c r="U91" s="2"/>
      <c r="V91" s="2"/>
      <c r="W91" s="1"/>
      <c r="X91" s="1"/>
      <c r="Y91" s="1"/>
      <c r="Z91" s="1"/>
      <c r="AA91" s="5"/>
      <c r="AB91" s="5"/>
      <c r="AC91" s="5"/>
      <c r="AD91" s="1"/>
      <c r="AE91" s="1"/>
      <c r="AF91" s="1"/>
      <c r="AG91" s="1"/>
      <c r="AH91" s="1"/>
      <c r="AI91" s="1"/>
      <c r="AJ91" s="1"/>
      <c r="AK91" s="1"/>
      <c r="AL91" s="1"/>
      <c r="AM91" s="1"/>
      <c r="AN91" s="1"/>
      <c r="AO91" s="1"/>
      <c r="AP91" s="1"/>
      <c r="AQ91" s="1"/>
      <c r="AR91" s="1"/>
      <c r="AS91" s="1"/>
      <c r="AT91" s="1"/>
      <c r="AU91" s="1"/>
      <c r="AV91" s="1"/>
      <c r="AW91" s="1"/>
      <c r="AX91" s="1"/>
      <c r="AY91" s="1"/>
      <c r="AZ91" s="1"/>
    </row>
    <row r="92" spans="1:52" ht="18" customHeight="1" x14ac:dyDescent="0.35">
      <c r="A92" s="1"/>
      <c r="B92" s="1"/>
      <c r="C92" s="1"/>
      <c r="D92" s="1"/>
      <c r="E92" s="1"/>
      <c r="F92" s="1"/>
      <c r="G92" s="1"/>
      <c r="H92" s="1"/>
      <c r="I92" s="1"/>
      <c r="J92" s="1"/>
      <c r="K92" s="1"/>
      <c r="L92" s="1"/>
      <c r="M92" s="1"/>
      <c r="N92" s="1"/>
      <c r="O92" s="1"/>
      <c r="P92" s="1"/>
      <c r="Q92" s="1"/>
      <c r="R92" s="1"/>
      <c r="S92" s="1"/>
      <c r="T92" s="2"/>
      <c r="U92" s="2"/>
      <c r="V92" s="2"/>
      <c r="W92" s="1"/>
      <c r="X92" s="1"/>
      <c r="Y92" s="1"/>
      <c r="Z92" s="1"/>
      <c r="AA92" s="5"/>
      <c r="AB92" s="5"/>
      <c r="AC92" s="5"/>
      <c r="AD92" s="1"/>
      <c r="AE92" s="1"/>
      <c r="AF92" s="1"/>
      <c r="AG92" s="1"/>
      <c r="AH92" s="1"/>
      <c r="AI92" s="1"/>
      <c r="AJ92" s="1"/>
      <c r="AK92" s="1"/>
      <c r="AL92" s="1"/>
      <c r="AM92" s="1"/>
      <c r="AN92" s="1"/>
      <c r="AO92" s="1"/>
      <c r="AP92" s="1"/>
      <c r="AQ92" s="1"/>
      <c r="AR92" s="1"/>
      <c r="AS92" s="1"/>
      <c r="AT92" s="1"/>
      <c r="AU92" s="1"/>
      <c r="AV92" s="1"/>
      <c r="AW92" s="1"/>
      <c r="AX92" s="1"/>
      <c r="AY92" s="1"/>
      <c r="AZ92" s="1"/>
    </row>
    <row r="93" spans="1:52" ht="18" customHeight="1" x14ac:dyDescent="0.35">
      <c r="A93" s="1"/>
      <c r="B93" s="1"/>
      <c r="C93" s="1"/>
      <c r="D93" s="1"/>
      <c r="E93" s="1"/>
      <c r="F93" s="1"/>
      <c r="G93" s="1"/>
      <c r="H93" s="1"/>
      <c r="I93" s="1"/>
      <c r="J93" s="1"/>
      <c r="K93" s="1"/>
      <c r="L93" s="1"/>
      <c r="M93" s="1"/>
      <c r="N93" s="1"/>
      <c r="O93" s="1"/>
      <c r="P93" s="1"/>
      <c r="Q93" s="1"/>
      <c r="R93" s="1"/>
      <c r="S93" s="1"/>
      <c r="T93" s="2"/>
      <c r="U93" s="2"/>
      <c r="V93" s="2"/>
      <c r="W93" s="1"/>
      <c r="X93" s="1"/>
      <c r="Y93" s="1"/>
      <c r="Z93" s="1"/>
      <c r="AA93" s="5"/>
      <c r="AB93" s="5"/>
      <c r="AC93" s="5"/>
      <c r="AD93" s="1"/>
      <c r="AE93" s="1"/>
      <c r="AF93" s="1"/>
      <c r="AG93" s="1"/>
      <c r="AH93" s="1"/>
      <c r="AI93" s="1"/>
      <c r="AJ93" s="1"/>
      <c r="AK93" s="1"/>
      <c r="AL93" s="1"/>
      <c r="AM93" s="1"/>
      <c r="AN93" s="1"/>
      <c r="AO93" s="1"/>
      <c r="AP93" s="1"/>
      <c r="AQ93" s="1"/>
      <c r="AR93" s="1"/>
      <c r="AS93" s="1"/>
      <c r="AT93" s="1"/>
      <c r="AU93" s="1"/>
      <c r="AV93" s="1"/>
      <c r="AW93" s="1"/>
      <c r="AX93" s="1"/>
      <c r="AY93" s="1"/>
      <c r="AZ93" s="1"/>
    </row>
    <row r="94" spans="1:52" ht="18" customHeight="1" x14ac:dyDescent="0.35">
      <c r="A94" s="1"/>
      <c r="B94" s="1"/>
      <c r="C94" s="1"/>
      <c r="D94" s="1"/>
      <c r="E94" s="1"/>
      <c r="F94" s="1"/>
      <c r="G94" s="1"/>
      <c r="H94" s="1"/>
      <c r="I94" s="1"/>
      <c r="J94" s="1"/>
      <c r="K94" s="1"/>
      <c r="L94" s="1"/>
      <c r="M94" s="1"/>
      <c r="N94" s="1"/>
      <c r="O94" s="1"/>
      <c r="P94" s="1"/>
      <c r="Q94" s="1"/>
      <c r="R94" s="1"/>
      <c r="S94" s="1"/>
      <c r="T94" s="2"/>
      <c r="U94" s="2"/>
      <c r="V94" s="2"/>
      <c r="W94" s="1"/>
      <c r="X94" s="1"/>
      <c r="Y94" s="1"/>
      <c r="Z94" s="1"/>
      <c r="AA94" s="5"/>
      <c r="AB94" s="5"/>
      <c r="AC94" s="5"/>
      <c r="AD94" s="1"/>
      <c r="AE94" s="1"/>
      <c r="AF94" s="1"/>
      <c r="AG94" s="1"/>
      <c r="AH94" s="1"/>
      <c r="AI94" s="1"/>
      <c r="AJ94" s="1"/>
      <c r="AK94" s="1"/>
      <c r="AL94" s="1"/>
      <c r="AM94" s="1"/>
      <c r="AN94" s="1"/>
      <c r="AO94" s="1"/>
      <c r="AP94" s="1"/>
      <c r="AQ94" s="1"/>
      <c r="AR94" s="1"/>
      <c r="AS94" s="1"/>
      <c r="AT94" s="1"/>
      <c r="AU94" s="1"/>
      <c r="AV94" s="1"/>
      <c r="AW94" s="1"/>
      <c r="AX94" s="1"/>
      <c r="AY94" s="1"/>
      <c r="AZ94" s="1"/>
    </row>
    <row r="95" spans="1:52" ht="18" customHeight="1" collapsed="1" x14ac:dyDescent="0.35">
      <c r="A95" s="1"/>
      <c r="B95" s="1"/>
      <c r="C95" s="1"/>
      <c r="D95" s="1"/>
      <c r="E95" s="1"/>
      <c r="F95" s="1"/>
      <c r="G95" s="1"/>
      <c r="H95" s="1"/>
      <c r="I95" s="1"/>
      <c r="J95" s="1"/>
      <c r="K95" s="1"/>
      <c r="L95" s="1"/>
      <c r="M95" s="1"/>
      <c r="N95" s="1"/>
      <c r="O95" s="1"/>
      <c r="P95" s="1"/>
      <c r="Q95" s="1"/>
      <c r="R95" s="1"/>
      <c r="S95" s="1"/>
      <c r="T95" s="2"/>
      <c r="U95" s="2"/>
      <c r="V95" s="2"/>
      <c r="W95" s="1"/>
      <c r="X95" s="1"/>
      <c r="Y95" s="1"/>
      <c r="Z95" s="1"/>
      <c r="AA95" s="5"/>
      <c r="AB95" s="5"/>
      <c r="AC95" s="5"/>
      <c r="AD95" s="1"/>
      <c r="AE95" s="1"/>
      <c r="AF95" s="1"/>
      <c r="AG95" s="1"/>
      <c r="AH95" s="1"/>
      <c r="AI95" s="1"/>
      <c r="AJ95" s="1"/>
      <c r="AK95" s="1"/>
      <c r="AL95" s="1"/>
      <c r="AM95" s="1"/>
      <c r="AN95" s="1"/>
      <c r="AO95" s="1"/>
      <c r="AP95" s="1"/>
      <c r="AQ95" s="1"/>
      <c r="AR95" s="1"/>
      <c r="AS95" s="1"/>
      <c r="AT95" s="1"/>
      <c r="AU95" s="1"/>
      <c r="AV95" s="1"/>
      <c r="AW95" s="1"/>
      <c r="AX95" s="1"/>
      <c r="AY95" s="1"/>
      <c r="AZ95" s="1"/>
    </row>
    <row r="96" spans="1:52" ht="18" customHeight="1" x14ac:dyDescent="0.35">
      <c r="A96" s="1"/>
      <c r="B96" s="1"/>
      <c r="C96" s="1"/>
      <c r="D96" s="1"/>
      <c r="E96" s="1"/>
      <c r="F96" s="1"/>
      <c r="G96" s="1"/>
      <c r="H96" s="1"/>
      <c r="I96" s="1"/>
      <c r="J96" s="1"/>
      <c r="K96" s="1"/>
      <c r="L96" s="1"/>
      <c r="M96" s="1"/>
      <c r="N96" s="1"/>
      <c r="O96" s="1"/>
      <c r="P96" s="1"/>
      <c r="Q96" s="1"/>
      <c r="R96" s="1"/>
      <c r="S96" s="1"/>
      <c r="T96" s="2"/>
      <c r="U96" s="2"/>
      <c r="V96" s="2"/>
      <c r="W96" s="1"/>
      <c r="X96" s="1"/>
      <c r="Y96" s="1"/>
      <c r="Z96" s="1"/>
      <c r="AA96" s="5"/>
      <c r="AB96" s="5"/>
      <c r="AC96" s="5"/>
      <c r="AD96" s="1"/>
      <c r="AE96" s="1"/>
      <c r="AF96" s="1"/>
      <c r="AG96" s="1"/>
      <c r="AH96" s="1"/>
      <c r="AI96" s="1"/>
      <c r="AJ96" s="1"/>
      <c r="AK96" s="1"/>
      <c r="AL96" s="1"/>
      <c r="AM96" s="1"/>
      <c r="AN96" s="1"/>
      <c r="AO96" s="1"/>
      <c r="AP96" s="1"/>
      <c r="AQ96" s="1"/>
      <c r="AR96" s="1"/>
      <c r="AS96" s="1"/>
      <c r="AT96" s="1"/>
      <c r="AU96" s="1"/>
      <c r="AV96" s="1"/>
      <c r="AW96" s="1"/>
      <c r="AX96" s="1"/>
      <c r="AY96" s="1"/>
      <c r="AZ96" s="1"/>
    </row>
    <row r="97" spans="1:52" ht="18" customHeight="1" x14ac:dyDescent="0.35">
      <c r="A97" s="1"/>
      <c r="B97" s="1"/>
      <c r="C97" s="1"/>
      <c r="D97" s="1"/>
      <c r="E97" s="1"/>
      <c r="F97" s="1"/>
      <c r="G97" s="1"/>
      <c r="H97" s="1"/>
      <c r="I97" s="1"/>
      <c r="J97" s="1"/>
      <c r="K97" s="1"/>
      <c r="L97" s="1"/>
      <c r="M97" s="1"/>
      <c r="N97" s="1"/>
      <c r="O97" s="1"/>
      <c r="P97" s="1"/>
      <c r="Q97" s="1"/>
      <c r="R97" s="1"/>
      <c r="S97" s="1"/>
      <c r="T97" s="2"/>
      <c r="U97" s="2"/>
      <c r="V97" s="2"/>
      <c r="W97" s="1"/>
      <c r="X97" s="1"/>
      <c r="Y97" s="1"/>
      <c r="Z97" s="1"/>
      <c r="AA97" s="5"/>
      <c r="AB97" s="5"/>
      <c r="AC97" s="5"/>
      <c r="AD97" s="1"/>
      <c r="AE97" s="1"/>
      <c r="AF97" s="1"/>
      <c r="AG97" s="1"/>
      <c r="AH97" s="1"/>
      <c r="AI97" s="1"/>
      <c r="AJ97" s="1"/>
      <c r="AK97" s="1"/>
      <c r="AL97" s="1"/>
      <c r="AM97" s="1"/>
      <c r="AN97" s="1"/>
      <c r="AO97" s="1"/>
      <c r="AP97" s="1"/>
      <c r="AQ97" s="1"/>
      <c r="AR97" s="1"/>
      <c r="AS97" s="1"/>
      <c r="AT97" s="1"/>
      <c r="AU97" s="1"/>
      <c r="AV97" s="1"/>
      <c r="AW97" s="1"/>
      <c r="AX97" s="1"/>
      <c r="AY97" s="1"/>
      <c r="AZ97" s="1"/>
    </row>
    <row r="98" spans="1:52" ht="18" customHeight="1" x14ac:dyDescent="0.35">
      <c r="A98" s="1"/>
      <c r="B98" s="1"/>
      <c r="C98" s="1"/>
      <c r="D98" s="1"/>
      <c r="E98" s="1"/>
      <c r="F98" s="1"/>
      <c r="G98" s="1"/>
      <c r="H98" s="1"/>
      <c r="I98" s="1"/>
      <c r="J98" s="1"/>
      <c r="K98" s="1"/>
      <c r="L98" s="1"/>
      <c r="M98" s="1"/>
      <c r="N98" s="1"/>
      <c r="O98" s="1"/>
      <c r="P98" s="1"/>
      <c r="Q98" s="1"/>
      <c r="R98" s="1"/>
      <c r="S98" s="1"/>
      <c r="T98" s="2"/>
      <c r="U98" s="2"/>
      <c r="V98" s="2"/>
      <c r="W98" s="1"/>
      <c r="X98" s="1"/>
      <c r="Y98" s="1"/>
      <c r="Z98" s="1"/>
      <c r="AA98" s="5"/>
      <c r="AB98" s="5"/>
      <c r="AC98" s="5"/>
      <c r="AD98" s="1"/>
      <c r="AE98" s="1"/>
      <c r="AF98" s="1"/>
      <c r="AG98" s="1"/>
      <c r="AH98" s="1"/>
      <c r="AI98" s="1"/>
      <c r="AJ98" s="1"/>
      <c r="AK98" s="1"/>
      <c r="AL98" s="1"/>
      <c r="AM98" s="1"/>
      <c r="AN98" s="1"/>
      <c r="AO98" s="1"/>
      <c r="AP98" s="1"/>
      <c r="AQ98" s="1"/>
      <c r="AR98" s="1"/>
      <c r="AS98" s="1"/>
      <c r="AT98" s="1"/>
      <c r="AU98" s="1"/>
      <c r="AV98" s="1"/>
      <c r="AW98" s="1"/>
      <c r="AX98" s="1"/>
      <c r="AY98" s="1"/>
      <c r="AZ98" s="1"/>
    </row>
    <row r="99" spans="1:52" ht="18" customHeight="1" x14ac:dyDescent="0.35">
      <c r="A99" s="1"/>
      <c r="B99" s="1"/>
      <c r="C99" s="1"/>
      <c r="D99" s="1"/>
      <c r="E99" s="1"/>
      <c r="F99" s="1"/>
      <c r="G99" s="1"/>
      <c r="H99" s="1"/>
      <c r="I99" s="1"/>
      <c r="J99" s="1"/>
      <c r="K99" s="1"/>
      <c r="L99" s="1"/>
      <c r="M99" s="1"/>
      <c r="N99" s="1"/>
      <c r="O99" s="1"/>
      <c r="P99" s="1"/>
      <c r="Q99" s="1"/>
      <c r="R99" s="1"/>
      <c r="S99" s="1"/>
      <c r="T99" s="2"/>
      <c r="U99" s="2"/>
      <c r="V99" s="2"/>
      <c r="W99" s="1"/>
      <c r="X99" s="1"/>
      <c r="Y99" s="1"/>
      <c r="Z99" s="1"/>
      <c r="AA99" s="5"/>
      <c r="AB99" s="5"/>
      <c r="AC99" s="5"/>
      <c r="AD99" s="1"/>
      <c r="AE99" s="1"/>
      <c r="AF99" s="1"/>
      <c r="AG99" s="1"/>
      <c r="AH99" s="1"/>
      <c r="AI99" s="1"/>
      <c r="AJ99" s="1"/>
      <c r="AK99" s="1"/>
      <c r="AL99" s="1"/>
      <c r="AM99" s="1"/>
      <c r="AN99" s="1"/>
      <c r="AO99" s="1"/>
      <c r="AP99" s="1"/>
      <c r="AQ99" s="1"/>
      <c r="AR99" s="1"/>
      <c r="AS99" s="1"/>
      <c r="AT99" s="1"/>
      <c r="AU99" s="1"/>
      <c r="AV99" s="1"/>
      <c r="AW99" s="1"/>
      <c r="AX99" s="1"/>
      <c r="AY99" s="1"/>
      <c r="AZ99" s="1"/>
    </row>
    <row r="100" spans="1:52" ht="18" customHeight="1" x14ac:dyDescent="0.35">
      <c r="A100" s="1"/>
      <c r="B100" s="1"/>
      <c r="C100" s="1"/>
      <c r="D100" s="1"/>
      <c r="E100" s="1"/>
      <c r="F100" s="1"/>
      <c r="G100" s="1"/>
      <c r="H100" s="1"/>
      <c r="I100" s="1"/>
      <c r="J100" s="1"/>
      <c r="K100" s="1"/>
      <c r="L100" s="1"/>
      <c r="M100" s="1"/>
      <c r="N100" s="1"/>
      <c r="O100" s="1"/>
      <c r="P100" s="1"/>
      <c r="Q100" s="1"/>
      <c r="R100" s="1"/>
      <c r="S100" s="1"/>
      <c r="T100" s="2"/>
      <c r="U100" s="2"/>
      <c r="V100" s="2"/>
      <c r="W100" s="1"/>
      <c r="X100" s="1"/>
      <c r="Y100" s="1"/>
      <c r="Z100" s="1"/>
      <c r="AA100" s="5"/>
      <c r="AB100" s="5"/>
      <c r="AC100" s="5"/>
      <c r="AD100" s="1"/>
      <c r="AE100" s="1"/>
      <c r="AF100" s="1"/>
      <c r="AG100" s="1"/>
      <c r="AH100" s="1"/>
      <c r="AI100" s="1"/>
      <c r="AJ100" s="1"/>
      <c r="AK100" s="1"/>
      <c r="AL100" s="1"/>
      <c r="AM100" s="1"/>
      <c r="AN100" s="1"/>
      <c r="AO100" s="1"/>
      <c r="AP100" s="1"/>
      <c r="AQ100" s="1"/>
      <c r="AR100" s="1"/>
      <c r="AS100" s="1"/>
      <c r="AT100" s="1"/>
      <c r="AU100" s="1"/>
      <c r="AV100" s="1"/>
      <c r="AW100" s="1"/>
      <c r="AX100" s="1"/>
      <c r="AY100" s="1"/>
      <c r="AZ100" s="1"/>
    </row>
    <row r="101" spans="1:52" ht="18" customHeight="1" x14ac:dyDescent="0.35">
      <c r="A101" s="1"/>
      <c r="B101" s="1"/>
      <c r="C101" s="1"/>
      <c r="D101" s="1"/>
      <c r="E101" s="1"/>
      <c r="F101" s="1"/>
      <c r="G101" s="1"/>
      <c r="H101" s="1"/>
      <c r="I101" s="1"/>
      <c r="J101" s="1"/>
      <c r="K101" s="1"/>
      <c r="L101" s="1"/>
      <c r="M101" s="1"/>
      <c r="N101" s="1"/>
      <c r="O101" s="1"/>
      <c r="P101" s="1"/>
      <c r="Q101" s="1"/>
      <c r="R101" s="1"/>
      <c r="S101" s="1"/>
      <c r="T101" s="2"/>
      <c r="U101" s="2"/>
      <c r="V101" s="2"/>
      <c r="W101" s="1"/>
      <c r="X101" s="1"/>
      <c r="Y101" s="1"/>
      <c r="Z101" s="1"/>
      <c r="AA101" s="5"/>
      <c r="AB101" s="5"/>
      <c r="AC101" s="5"/>
      <c r="AD101" s="1"/>
      <c r="AE101" s="1"/>
      <c r="AF101" s="1"/>
      <c r="AG101" s="1"/>
      <c r="AH101" s="1"/>
      <c r="AI101" s="1"/>
      <c r="AJ101" s="1"/>
      <c r="AK101" s="1"/>
      <c r="AL101" s="1"/>
      <c r="AM101" s="1"/>
      <c r="AN101" s="1"/>
      <c r="AO101" s="1"/>
      <c r="AP101" s="1"/>
      <c r="AQ101" s="1"/>
      <c r="AR101" s="1"/>
      <c r="AS101" s="1"/>
      <c r="AT101" s="1"/>
      <c r="AU101" s="1"/>
      <c r="AV101" s="1"/>
      <c r="AW101" s="1"/>
      <c r="AX101" s="1"/>
      <c r="AY101" s="1"/>
      <c r="AZ101" s="1"/>
    </row>
    <row r="102" spans="1:52" ht="18" customHeight="1" x14ac:dyDescent="0.35">
      <c r="A102" s="1"/>
      <c r="B102" s="1"/>
      <c r="C102" s="1"/>
      <c r="D102" s="1"/>
      <c r="E102" s="1"/>
      <c r="F102" s="1"/>
      <c r="G102" s="1"/>
      <c r="H102" s="1"/>
      <c r="I102" s="1"/>
      <c r="J102" s="1"/>
      <c r="K102" s="1"/>
      <c r="L102" s="1"/>
      <c r="M102" s="1"/>
      <c r="N102" s="1"/>
      <c r="O102" s="1"/>
      <c r="P102" s="1"/>
      <c r="Q102" s="1"/>
      <c r="R102" s="1"/>
      <c r="S102" s="1"/>
      <c r="T102" s="2"/>
      <c r="U102" s="2"/>
      <c r="V102" s="2"/>
      <c r="W102" s="1"/>
      <c r="X102" s="1"/>
      <c r="Y102" s="1"/>
      <c r="Z102" s="1"/>
      <c r="AA102" s="5"/>
      <c r="AB102" s="5"/>
      <c r="AC102" s="5"/>
      <c r="AD102" s="1"/>
      <c r="AE102" s="1"/>
      <c r="AF102" s="1"/>
      <c r="AG102" s="1"/>
      <c r="AH102" s="1"/>
      <c r="AI102" s="1"/>
      <c r="AJ102" s="1"/>
      <c r="AK102" s="1"/>
      <c r="AL102" s="1"/>
      <c r="AM102" s="1"/>
      <c r="AN102" s="1"/>
      <c r="AO102" s="1"/>
      <c r="AP102" s="1"/>
      <c r="AQ102" s="1"/>
      <c r="AR102" s="1"/>
      <c r="AS102" s="1"/>
      <c r="AT102" s="1"/>
      <c r="AU102" s="1"/>
      <c r="AV102" s="1"/>
      <c r="AW102" s="1"/>
      <c r="AX102" s="1"/>
      <c r="AY102" s="1"/>
      <c r="AZ102" s="1"/>
    </row>
    <row r="103" spans="1:52" ht="18" customHeight="1" x14ac:dyDescent="0.35">
      <c r="A103" s="1"/>
      <c r="B103" s="1"/>
      <c r="C103" s="1"/>
      <c r="D103" s="1"/>
      <c r="E103" s="1"/>
      <c r="F103" s="1"/>
      <c r="G103" s="1"/>
      <c r="H103" s="1"/>
      <c r="I103" s="1"/>
      <c r="J103" s="1"/>
      <c r="K103" s="1"/>
      <c r="L103" s="1"/>
      <c r="M103" s="1"/>
      <c r="N103" s="1"/>
      <c r="O103" s="1"/>
      <c r="P103" s="1"/>
      <c r="Q103" s="1"/>
      <c r="R103" s="1"/>
      <c r="S103" s="1"/>
      <c r="T103" s="2"/>
      <c r="U103" s="2"/>
      <c r="V103" s="2"/>
      <c r="W103" s="1"/>
      <c r="X103" s="1"/>
      <c r="Y103" s="1"/>
      <c r="Z103" s="1"/>
      <c r="AA103" s="5"/>
      <c r="AB103" s="5"/>
      <c r="AC103" s="5"/>
      <c r="AD103" s="1"/>
      <c r="AE103" s="1"/>
      <c r="AF103" s="1"/>
      <c r="AG103" s="1"/>
      <c r="AH103" s="1"/>
      <c r="AI103" s="1"/>
      <c r="AJ103" s="1"/>
      <c r="AK103" s="1"/>
      <c r="AL103" s="1"/>
      <c r="AM103" s="1"/>
      <c r="AN103" s="1"/>
      <c r="AO103" s="1"/>
      <c r="AP103" s="1"/>
      <c r="AQ103" s="1"/>
      <c r="AR103" s="1"/>
      <c r="AS103" s="1"/>
      <c r="AT103" s="1"/>
      <c r="AU103" s="1"/>
      <c r="AV103" s="1"/>
      <c r="AW103" s="1"/>
      <c r="AX103" s="1"/>
      <c r="AY103" s="1"/>
      <c r="AZ103" s="1"/>
    </row>
    <row r="104" spans="1:52" ht="18" customHeight="1" x14ac:dyDescent="0.35">
      <c r="A104" s="1"/>
      <c r="B104" s="1"/>
      <c r="C104" s="1"/>
      <c r="D104" s="1"/>
      <c r="E104" s="1"/>
      <c r="F104" s="1"/>
      <c r="G104" s="1"/>
      <c r="H104" s="1"/>
      <c r="I104" s="1"/>
      <c r="J104" s="1"/>
      <c r="K104" s="1"/>
      <c r="L104" s="1"/>
      <c r="M104" s="1"/>
      <c r="N104" s="1"/>
      <c r="O104" s="1"/>
      <c r="P104" s="1"/>
      <c r="Q104" s="1"/>
      <c r="R104" s="1"/>
      <c r="S104" s="1"/>
      <c r="T104" s="2"/>
      <c r="U104" s="2"/>
      <c r="V104" s="2"/>
      <c r="W104" s="1"/>
      <c r="X104" s="1"/>
      <c r="Y104" s="1"/>
      <c r="Z104" s="1"/>
      <c r="AA104" s="5"/>
      <c r="AB104" s="5"/>
      <c r="AC104" s="5"/>
      <c r="AD104" s="1"/>
      <c r="AE104" s="1"/>
      <c r="AF104" s="1"/>
      <c r="AG104" s="1"/>
      <c r="AH104" s="1"/>
      <c r="AI104" s="1"/>
      <c r="AJ104" s="1"/>
      <c r="AK104" s="1"/>
      <c r="AL104" s="1"/>
      <c r="AM104" s="1"/>
      <c r="AN104" s="1"/>
      <c r="AO104" s="1"/>
      <c r="AP104" s="1"/>
      <c r="AQ104" s="1"/>
      <c r="AR104" s="1"/>
      <c r="AS104" s="1"/>
      <c r="AT104" s="1"/>
      <c r="AU104" s="1"/>
      <c r="AV104" s="1"/>
      <c r="AW104" s="1"/>
      <c r="AX104" s="1"/>
      <c r="AY104" s="1"/>
      <c r="AZ104" s="1"/>
    </row>
    <row r="105" spans="1:52" ht="18" customHeight="1" x14ac:dyDescent="0.35">
      <c r="A105" s="1"/>
      <c r="B105" s="1"/>
      <c r="C105" s="1"/>
      <c r="D105" s="1"/>
      <c r="E105" s="1"/>
      <c r="F105" s="1"/>
      <c r="G105" s="1"/>
      <c r="H105" s="1"/>
      <c r="I105" s="1"/>
      <c r="J105" s="1"/>
      <c r="K105" s="1"/>
      <c r="L105" s="1"/>
      <c r="M105" s="1"/>
      <c r="N105" s="1"/>
      <c r="O105" s="1"/>
      <c r="P105" s="1"/>
      <c r="Q105" s="1"/>
      <c r="R105" s="1"/>
      <c r="S105" s="1"/>
      <c r="T105" s="2"/>
      <c r="U105" s="2"/>
      <c r="V105" s="2"/>
      <c r="W105" s="1"/>
      <c r="X105" s="1"/>
      <c r="Y105" s="1"/>
      <c r="Z105" s="1"/>
      <c r="AA105" s="5"/>
      <c r="AB105" s="5"/>
      <c r="AC105" s="5"/>
      <c r="AD105" s="1"/>
      <c r="AE105" s="1"/>
      <c r="AF105" s="1"/>
      <c r="AG105" s="1"/>
      <c r="AH105" s="1"/>
      <c r="AI105" s="1"/>
      <c r="AJ105" s="1"/>
      <c r="AK105" s="1"/>
      <c r="AL105" s="1"/>
      <c r="AM105" s="1"/>
      <c r="AN105" s="1"/>
      <c r="AO105" s="1"/>
      <c r="AP105" s="1"/>
      <c r="AQ105" s="1"/>
      <c r="AR105" s="1"/>
      <c r="AS105" s="1"/>
      <c r="AT105" s="1"/>
      <c r="AU105" s="1"/>
      <c r="AV105" s="1"/>
      <c r="AW105" s="1"/>
      <c r="AX105" s="1"/>
      <c r="AY105" s="1"/>
      <c r="AZ105" s="1"/>
    </row>
    <row r="106" spans="1:52" ht="18" customHeight="1" x14ac:dyDescent="0.35">
      <c r="A106" s="1"/>
      <c r="B106" s="1"/>
      <c r="C106" s="1"/>
      <c r="D106" s="1"/>
      <c r="E106" s="1"/>
      <c r="F106" s="1"/>
      <c r="G106" s="1"/>
      <c r="H106" s="1"/>
      <c r="I106" s="1"/>
      <c r="J106" s="1"/>
      <c r="K106" s="1"/>
      <c r="L106" s="1"/>
      <c r="M106" s="1"/>
      <c r="N106" s="1"/>
      <c r="O106" s="1"/>
      <c r="P106" s="1"/>
      <c r="Q106" s="1"/>
      <c r="R106" s="1"/>
      <c r="S106" s="1"/>
      <c r="T106" s="2"/>
      <c r="U106" s="2"/>
      <c r="V106" s="2"/>
      <c r="W106" s="1"/>
      <c r="X106" s="1"/>
      <c r="Y106" s="1"/>
      <c r="Z106" s="1"/>
      <c r="AA106" s="5"/>
      <c r="AB106" s="5"/>
      <c r="AC106" s="5"/>
      <c r="AD106" s="1"/>
      <c r="AE106" s="1"/>
      <c r="AF106" s="1"/>
      <c r="AG106" s="1"/>
      <c r="AH106" s="1"/>
      <c r="AI106" s="1"/>
      <c r="AJ106" s="1"/>
      <c r="AK106" s="1"/>
      <c r="AL106" s="1"/>
      <c r="AM106" s="1"/>
      <c r="AN106" s="1"/>
      <c r="AO106" s="1"/>
      <c r="AP106" s="1"/>
      <c r="AQ106" s="1"/>
      <c r="AR106" s="1"/>
      <c r="AS106" s="1"/>
      <c r="AT106" s="1"/>
      <c r="AU106" s="1"/>
      <c r="AV106" s="1"/>
      <c r="AW106" s="1"/>
      <c r="AX106" s="1"/>
      <c r="AY106" s="1"/>
      <c r="AZ106" s="1"/>
    </row>
    <row r="107" spans="1:52" ht="18" customHeight="1" x14ac:dyDescent="0.35">
      <c r="A107" s="1"/>
      <c r="B107" s="1"/>
      <c r="C107" s="1"/>
      <c r="D107" s="1"/>
      <c r="E107" s="1"/>
      <c r="F107" s="1"/>
      <c r="G107" s="1"/>
      <c r="H107" s="1"/>
      <c r="I107" s="1"/>
      <c r="J107" s="1"/>
      <c r="K107" s="1"/>
      <c r="L107" s="1"/>
      <c r="M107" s="1"/>
      <c r="N107" s="1"/>
      <c r="O107" s="1"/>
      <c r="P107" s="1"/>
      <c r="Q107" s="1"/>
      <c r="R107" s="1"/>
      <c r="S107" s="1"/>
      <c r="T107" s="2"/>
      <c r="U107" s="2"/>
      <c r="V107" s="2"/>
      <c r="W107" s="1"/>
      <c r="X107" s="1"/>
      <c r="Y107" s="1"/>
      <c r="Z107" s="1"/>
      <c r="AA107" s="5"/>
      <c r="AB107" s="5"/>
      <c r="AC107" s="5"/>
      <c r="AD107" s="1"/>
      <c r="AE107" s="1"/>
      <c r="AF107" s="1"/>
      <c r="AG107" s="1"/>
      <c r="AH107" s="1"/>
      <c r="AI107" s="1"/>
      <c r="AJ107" s="1"/>
      <c r="AK107" s="1"/>
      <c r="AL107" s="1"/>
      <c r="AM107" s="1"/>
      <c r="AN107" s="1"/>
      <c r="AO107" s="1"/>
      <c r="AP107" s="1"/>
      <c r="AQ107" s="1"/>
      <c r="AR107" s="1"/>
      <c r="AS107" s="1"/>
      <c r="AT107" s="1"/>
      <c r="AU107" s="1"/>
      <c r="AV107" s="1"/>
      <c r="AW107" s="1"/>
      <c r="AX107" s="1"/>
      <c r="AY107" s="1"/>
      <c r="AZ107" s="1"/>
    </row>
    <row r="108" spans="1:52" ht="18" customHeight="1" x14ac:dyDescent="0.35">
      <c r="A108" s="1"/>
      <c r="B108" s="1"/>
      <c r="C108" s="1"/>
      <c r="D108" s="1"/>
      <c r="E108" s="1"/>
      <c r="F108" s="1"/>
      <c r="G108" s="1"/>
      <c r="H108" s="1"/>
      <c r="I108" s="1"/>
      <c r="J108" s="1"/>
      <c r="K108" s="1"/>
      <c r="L108" s="1"/>
      <c r="M108" s="1"/>
      <c r="N108" s="1"/>
      <c r="O108" s="1"/>
      <c r="P108" s="1"/>
      <c r="Q108" s="1"/>
      <c r="R108" s="1"/>
      <c r="S108" s="1"/>
      <c r="T108" s="2"/>
      <c r="U108" s="2"/>
      <c r="V108" s="2"/>
      <c r="W108" s="1"/>
      <c r="X108" s="1"/>
      <c r="Y108" s="1"/>
      <c r="Z108" s="1"/>
      <c r="AA108" s="5"/>
      <c r="AB108" s="5"/>
      <c r="AC108" s="5"/>
      <c r="AD108" s="1"/>
      <c r="AE108" s="1"/>
      <c r="AF108" s="1"/>
      <c r="AG108" s="1"/>
      <c r="AH108" s="1"/>
      <c r="AI108" s="1"/>
      <c r="AJ108" s="1"/>
      <c r="AK108" s="1"/>
      <c r="AL108" s="1"/>
      <c r="AM108" s="1"/>
      <c r="AN108" s="1"/>
      <c r="AO108" s="1"/>
      <c r="AP108" s="1"/>
      <c r="AQ108" s="1"/>
      <c r="AR108" s="1"/>
      <c r="AS108" s="1"/>
      <c r="AT108" s="1"/>
      <c r="AU108" s="1"/>
      <c r="AV108" s="1"/>
      <c r="AW108" s="1"/>
      <c r="AX108" s="1"/>
      <c r="AY108" s="1"/>
      <c r="AZ108" s="1"/>
    </row>
    <row r="109" spans="1:52" ht="18" customHeight="1" x14ac:dyDescent="0.35">
      <c r="A109" s="1"/>
      <c r="B109" s="1"/>
      <c r="C109" s="1"/>
      <c r="D109" s="1"/>
      <c r="E109" s="1"/>
      <c r="F109" s="1"/>
      <c r="G109" s="1"/>
      <c r="H109" s="1"/>
      <c r="I109" s="1"/>
      <c r="J109" s="1"/>
      <c r="K109" s="1"/>
      <c r="L109" s="1"/>
      <c r="M109" s="1"/>
      <c r="N109" s="1"/>
      <c r="O109" s="1"/>
      <c r="P109" s="1"/>
      <c r="Q109" s="1"/>
      <c r="R109" s="1"/>
      <c r="S109" s="1"/>
      <c r="T109" s="2"/>
      <c r="U109" s="2"/>
      <c r="V109" s="2"/>
      <c r="W109" s="1"/>
      <c r="X109" s="1"/>
      <c r="Y109" s="1"/>
      <c r="Z109" s="1"/>
      <c r="AA109" s="5"/>
      <c r="AB109" s="5"/>
      <c r="AC109" s="5"/>
      <c r="AD109" s="1"/>
      <c r="AE109" s="1"/>
      <c r="AF109" s="1"/>
      <c r="AG109" s="1"/>
      <c r="AH109" s="1"/>
      <c r="AI109" s="1"/>
      <c r="AJ109" s="1"/>
      <c r="AK109" s="1"/>
      <c r="AL109" s="1"/>
      <c r="AM109" s="1"/>
      <c r="AN109" s="1"/>
      <c r="AO109" s="1"/>
      <c r="AP109" s="1"/>
      <c r="AQ109" s="1"/>
      <c r="AR109" s="1"/>
      <c r="AS109" s="1"/>
      <c r="AT109" s="1"/>
      <c r="AU109" s="1"/>
      <c r="AV109" s="1"/>
      <c r="AW109" s="1"/>
      <c r="AX109" s="1"/>
      <c r="AY109" s="1"/>
      <c r="AZ109" s="1"/>
    </row>
    <row r="110" spans="1:52" ht="18" customHeight="1" x14ac:dyDescent="0.35">
      <c r="A110" s="1"/>
      <c r="B110" s="1"/>
      <c r="C110" s="1"/>
      <c r="D110" s="1"/>
      <c r="E110" s="1"/>
      <c r="F110" s="1"/>
      <c r="G110" s="1"/>
      <c r="H110" s="1"/>
      <c r="I110" s="1"/>
      <c r="J110" s="1"/>
      <c r="K110" s="1"/>
      <c r="L110" s="1"/>
      <c r="M110" s="1"/>
      <c r="N110" s="1"/>
      <c r="O110" s="1"/>
      <c r="P110" s="1"/>
      <c r="Q110" s="1"/>
      <c r="R110" s="1"/>
      <c r="S110" s="1"/>
      <c r="T110" s="2"/>
      <c r="U110" s="2"/>
      <c r="V110" s="2"/>
      <c r="W110" s="1"/>
      <c r="X110" s="1"/>
      <c r="Y110" s="1"/>
      <c r="Z110" s="1"/>
      <c r="AA110" s="5"/>
      <c r="AB110" s="5"/>
      <c r="AC110" s="5"/>
      <c r="AD110" s="1"/>
      <c r="AE110" s="1"/>
      <c r="AF110" s="1"/>
      <c r="AG110" s="1"/>
      <c r="AH110" s="1"/>
      <c r="AI110" s="1"/>
      <c r="AJ110" s="1"/>
      <c r="AK110" s="1"/>
      <c r="AL110" s="1"/>
      <c r="AM110" s="1"/>
      <c r="AN110" s="1"/>
      <c r="AO110" s="1"/>
      <c r="AP110" s="1"/>
      <c r="AQ110" s="1"/>
      <c r="AR110" s="1"/>
      <c r="AS110" s="1"/>
      <c r="AT110" s="1"/>
      <c r="AU110" s="1"/>
      <c r="AV110" s="1"/>
      <c r="AW110" s="1"/>
      <c r="AX110" s="1"/>
      <c r="AY110" s="1"/>
      <c r="AZ110" s="1"/>
    </row>
    <row r="111" spans="1:52" ht="18" customHeight="1" x14ac:dyDescent="0.35">
      <c r="A111" s="1"/>
      <c r="B111" s="1"/>
      <c r="C111" s="1"/>
      <c r="D111" s="1"/>
      <c r="E111" s="1"/>
      <c r="F111" s="1"/>
      <c r="G111" s="1"/>
      <c r="H111" s="1"/>
      <c r="I111" s="1"/>
      <c r="J111" s="1"/>
      <c r="K111" s="1"/>
      <c r="L111" s="1"/>
      <c r="M111" s="1"/>
      <c r="N111" s="1"/>
      <c r="O111" s="1"/>
      <c r="P111" s="1"/>
      <c r="Q111" s="1"/>
      <c r="R111" s="1"/>
      <c r="S111" s="1"/>
      <c r="T111" s="2"/>
      <c r="U111" s="2"/>
      <c r="V111" s="2"/>
      <c r="W111" s="1"/>
      <c r="X111" s="1"/>
      <c r="Y111" s="1"/>
      <c r="Z111" s="1"/>
      <c r="AA111" s="5"/>
      <c r="AB111" s="5"/>
      <c r="AC111" s="5"/>
      <c r="AD111" s="1"/>
      <c r="AE111" s="1"/>
      <c r="AF111" s="1"/>
      <c r="AG111" s="1"/>
      <c r="AH111" s="1"/>
      <c r="AI111" s="1"/>
      <c r="AJ111" s="1"/>
      <c r="AK111" s="1"/>
      <c r="AL111" s="1"/>
      <c r="AM111" s="1"/>
      <c r="AN111" s="1"/>
      <c r="AO111" s="1"/>
      <c r="AP111" s="1"/>
      <c r="AQ111" s="1"/>
      <c r="AR111" s="1"/>
      <c r="AS111" s="1"/>
      <c r="AT111" s="1"/>
      <c r="AU111" s="1"/>
      <c r="AV111" s="1"/>
      <c r="AW111" s="1"/>
      <c r="AX111" s="1"/>
      <c r="AY111" s="1"/>
      <c r="AZ111" s="1"/>
    </row>
    <row r="112" spans="1:52" ht="18" customHeight="1" x14ac:dyDescent="0.35">
      <c r="A112" s="1"/>
      <c r="B112" s="1"/>
      <c r="C112" s="1"/>
      <c r="D112" s="1"/>
      <c r="E112" s="1"/>
      <c r="F112" s="1"/>
      <c r="G112" s="1"/>
      <c r="H112" s="1"/>
      <c r="I112" s="1"/>
      <c r="J112" s="1"/>
      <c r="K112" s="1"/>
      <c r="L112" s="1"/>
      <c r="M112" s="1"/>
      <c r="N112" s="1"/>
      <c r="O112" s="1"/>
      <c r="P112" s="1"/>
      <c r="Q112" s="1"/>
      <c r="R112" s="1"/>
      <c r="S112" s="1"/>
      <c r="T112" s="2"/>
      <c r="U112" s="2"/>
      <c r="V112" s="2"/>
      <c r="W112" s="1"/>
      <c r="X112" s="1"/>
      <c r="Y112" s="1"/>
      <c r="Z112" s="1"/>
      <c r="AA112" s="5"/>
      <c r="AB112" s="5"/>
      <c r="AC112" s="5"/>
      <c r="AD112" s="1"/>
      <c r="AE112" s="1"/>
      <c r="AF112" s="1"/>
      <c r="AG112" s="1"/>
      <c r="AH112" s="1"/>
      <c r="AI112" s="1"/>
      <c r="AJ112" s="1"/>
      <c r="AK112" s="1"/>
      <c r="AL112" s="1"/>
      <c r="AM112" s="1"/>
      <c r="AN112" s="1"/>
      <c r="AO112" s="1"/>
      <c r="AP112" s="1"/>
      <c r="AQ112" s="1"/>
      <c r="AR112" s="1"/>
      <c r="AS112" s="1"/>
      <c r="AT112" s="1"/>
      <c r="AU112" s="1"/>
      <c r="AV112" s="1"/>
      <c r="AW112" s="1"/>
      <c r="AX112" s="1"/>
      <c r="AY112" s="1"/>
      <c r="AZ112" s="1"/>
    </row>
    <row r="113" spans="1:52" ht="18" customHeight="1" x14ac:dyDescent="0.35">
      <c r="A113" s="1"/>
      <c r="B113" s="1"/>
      <c r="C113" s="1"/>
      <c r="D113" s="1"/>
      <c r="E113" s="1"/>
      <c r="F113" s="1"/>
      <c r="G113" s="1"/>
      <c r="H113" s="1"/>
      <c r="I113" s="1"/>
      <c r="J113" s="1"/>
      <c r="K113" s="1"/>
      <c r="L113" s="1"/>
      <c r="M113" s="1"/>
      <c r="N113" s="1"/>
      <c r="O113" s="1"/>
      <c r="P113" s="1"/>
      <c r="Q113" s="1"/>
      <c r="R113" s="1"/>
      <c r="S113" s="1"/>
      <c r="T113" s="2"/>
      <c r="U113" s="2"/>
      <c r="V113" s="2"/>
      <c r="W113" s="1"/>
      <c r="X113" s="1"/>
      <c r="Y113" s="1"/>
      <c r="Z113" s="1"/>
      <c r="AA113" s="5"/>
      <c r="AB113" s="5"/>
      <c r="AC113" s="5"/>
      <c r="AD113" s="1"/>
      <c r="AE113" s="1"/>
      <c r="AF113" s="1"/>
      <c r="AG113" s="1"/>
      <c r="AH113" s="1"/>
      <c r="AI113" s="1"/>
      <c r="AJ113" s="1"/>
      <c r="AK113" s="1"/>
      <c r="AL113" s="1"/>
      <c r="AM113" s="1"/>
      <c r="AN113" s="1"/>
      <c r="AO113" s="1"/>
      <c r="AP113" s="1"/>
      <c r="AQ113" s="1"/>
      <c r="AR113" s="1"/>
      <c r="AS113" s="1"/>
      <c r="AT113" s="1"/>
      <c r="AU113" s="1"/>
      <c r="AV113" s="1"/>
      <c r="AW113" s="1"/>
      <c r="AX113" s="1"/>
      <c r="AY113" s="1"/>
      <c r="AZ113" s="1"/>
    </row>
    <row r="114" spans="1:52" ht="18" customHeight="1" x14ac:dyDescent="0.35">
      <c r="A114" s="1"/>
      <c r="B114" s="1"/>
      <c r="C114" s="1"/>
      <c r="D114" s="1"/>
      <c r="E114" s="1"/>
      <c r="F114" s="1"/>
      <c r="G114" s="1"/>
      <c r="H114" s="1"/>
      <c r="I114" s="1"/>
      <c r="J114" s="1"/>
      <c r="K114" s="1"/>
      <c r="L114" s="1"/>
      <c r="M114" s="1"/>
      <c r="N114" s="1"/>
      <c r="O114" s="1"/>
      <c r="P114" s="1"/>
      <c r="Q114" s="1"/>
      <c r="R114" s="1"/>
      <c r="S114" s="1"/>
      <c r="T114" s="2"/>
      <c r="U114" s="2"/>
      <c r="V114" s="2"/>
      <c r="W114" s="1"/>
      <c r="X114" s="1"/>
      <c r="Y114" s="1"/>
      <c r="Z114" s="1"/>
      <c r="AA114" s="5"/>
      <c r="AB114" s="5"/>
      <c r="AC114" s="5"/>
      <c r="AD114" s="1"/>
      <c r="AE114" s="1"/>
      <c r="AF114" s="1"/>
      <c r="AG114" s="1"/>
      <c r="AH114" s="1"/>
      <c r="AI114" s="1"/>
      <c r="AJ114" s="1"/>
      <c r="AK114" s="1"/>
      <c r="AL114" s="1"/>
      <c r="AM114" s="1"/>
      <c r="AN114" s="1"/>
      <c r="AO114" s="1"/>
      <c r="AP114" s="1"/>
      <c r="AQ114" s="1"/>
      <c r="AR114" s="1"/>
      <c r="AS114" s="1"/>
      <c r="AT114" s="1"/>
      <c r="AU114" s="1"/>
      <c r="AV114" s="1"/>
      <c r="AW114" s="1"/>
      <c r="AX114" s="1"/>
      <c r="AY114" s="1"/>
      <c r="AZ114" s="1"/>
    </row>
    <row r="115" spans="1:52" ht="18" customHeight="1" collapsed="1" x14ac:dyDescent="0.35">
      <c r="A115" s="1"/>
      <c r="B115" s="1"/>
      <c r="C115" s="1"/>
      <c r="D115" s="1"/>
      <c r="E115" s="1"/>
      <c r="F115" s="1"/>
      <c r="G115" s="1"/>
      <c r="H115" s="1"/>
      <c r="I115" s="1"/>
      <c r="J115" s="1"/>
      <c r="K115" s="1"/>
      <c r="L115" s="1"/>
      <c r="M115" s="1"/>
      <c r="N115" s="1"/>
      <c r="O115" s="1"/>
      <c r="P115" s="1"/>
      <c r="Q115" s="1"/>
      <c r="R115" s="1"/>
      <c r="S115" s="1"/>
      <c r="T115" s="2"/>
      <c r="U115" s="2"/>
      <c r="V115" s="2"/>
      <c r="W115" s="1"/>
      <c r="X115" s="1"/>
      <c r="Y115" s="1"/>
      <c r="Z115" s="1"/>
      <c r="AA115" s="5"/>
      <c r="AB115" s="5"/>
      <c r="AC115" s="5"/>
      <c r="AD115" s="1"/>
      <c r="AE115" s="1"/>
      <c r="AF115" s="1"/>
      <c r="AG115" s="1"/>
      <c r="AH115" s="1"/>
      <c r="AI115" s="1"/>
      <c r="AJ115" s="1"/>
      <c r="AK115" s="1"/>
      <c r="AL115" s="1"/>
      <c r="AM115" s="1"/>
      <c r="AN115" s="1"/>
      <c r="AO115" s="1"/>
      <c r="AP115" s="1"/>
      <c r="AQ115" s="1"/>
      <c r="AR115" s="1"/>
      <c r="AS115" s="1"/>
      <c r="AT115" s="1"/>
      <c r="AU115" s="1"/>
      <c r="AV115" s="1"/>
      <c r="AW115" s="1"/>
      <c r="AX115" s="1"/>
      <c r="AY115" s="1"/>
      <c r="AZ115" s="1"/>
    </row>
    <row r="116" spans="1:52" ht="18" customHeight="1" x14ac:dyDescent="0.35">
      <c r="A116" s="1"/>
      <c r="B116" s="1"/>
      <c r="C116" s="1"/>
      <c r="D116" s="1"/>
      <c r="E116" s="1"/>
      <c r="F116" s="1"/>
      <c r="G116" s="1"/>
      <c r="H116" s="1"/>
      <c r="I116" s="1"/>
      <c r="J116" s="1"/>
      <c r="K116" s="1"/>
      <c r="L116" s="1"/>
      <c r="M116" s="1"/>
      <c r="N116" s="1"/>
      <c r="O116" s="1"/>
      <c r="P116" s="1"/>
      <c r="Q116" s="1"/>
      <c r="R116" s="1"/>
      <c r="S116" s="1"/>
      <c r="T116" s="2"/>
      <c r="U116" s="2"/>
      <c r="V116" s="2"/>
      <c r="W116" s="1"/>
      <c r="X116" s="1"/>
      <c r="Y116" s="1"/>
      <c r="Z116" s="1"/>
      <c r="AA116" s="5"/>
      <c r="AB116" s="5"/>
      <c r="AC116" s="5"/>
      <c r="AD116" s="1"/>
      <c r="AE116" s="1"/>
      <c r="AF116" s="1"/>
      <c r="AG116" s="1"/>
      <c r="AH116" s="1"/>
      <c r="AI116" s="1"/>
      <c r="AJ116" s="1"/>
      <c r="AK116" s="1"/>
      <c r="AL116" s="1"/>
      <c r="AM116" s="1"/>
      <c r="AN116" s="1"/>
      <c r="AO116" s="1"/>
      <c r="AP116" s="1"/>
      <c r="AQ116" s="1"/>
      <c r="AR116" s="1"/>
      <c r="AS116" s="1"/>
      <c r="AT116" s="1"/>
      <c r="AU116" s="1"/>
      <c r="AV116" s="1"/>
      <c r="AW116" s="1"/>
      <c r="AX116" s="1"/>
      <c r="AY116" s="1"/>
      <c r="AZ116" s="1"/>
    </row>
    <row r="117" spans="1:52" ht="18" customHeight="1" x14ac:dyDescent="0.35">
      <c r="A117" s="1"/>
      <c r="B117" s="1"/>
      <c r="C117" s="1"/>
      <c r="D117" s="1"/>
      <c r="E117" s="1"/>
      <c r="F117" s="1"/>
      <c r="G117" s="1"/>
      <c r="H117" s="1"/>
      <c r="I117" s="1"/>
      <c r="J117" s="1"/>
      <c r="K117" s="1"/>
      <c r="L117" s="1"/>
      <c r="M117" s="1"/>
      <c r="N117" s="1"/>
      <c r="O117" s="1"/>
      <c r="P117" s="1"/>
      <c r="Q117" s="1"/>
      <c r="R117" s="1"/>
      <c r="S117" s="1"/>
      <c r="T117" s="2"/>
      <c r="U117" s="2"/>
      <c r="V117" s="2"/>
      <c r="W117" s="1"/>
      <c r="X117" s="1"/>
      <c r="Y117" s="1"/>
      <c r="Z117" s="1"/>
      <c r="AA117" s="5"/>
      <c r="AB117" s="5"/>
      <c r="AC117" s="5"/>
      <c r="AD117" s="1"/>
      <c r="AE117" s="1"/>
      <c r="AF117" s="1"/>
      <c r="AG117" s="1"/>
      <c r="AH117" s="1"/>
      <c r="AI117" s="1"/>
      <c r="AJ117" s="1"/>
      <c r="AK117" s="1"/>
      <c r="AL117" s="1"/>
      <c r="AM117" s="1"/>
      <c r="AN117" s="1"/>
      <c r="AO117" s="1"/>
      <c r="AP117" s="1"/>
      <c r="AQ117" s="1"/>
      <c r="AR117" s="1"/>
      <c r="AS117" s="1"/>
      <c r="AT117" s="1"/>
      <c r="AU117" s="1"/>
      <c r="AV117" s="1"/>
      <c r="AW117" s="1"/>
      <c r="AX117" s="1"/>
      <c r="AY117" s="1"/>
      <c r="AZ117" s="1"/>
    </row>
    <row r="118" spans="1:52" ht="18" customHeight="1" x14ac:dyDescent="0.35">
      <c r="A118" s="1"/>
      <c r="B118" s="1"/>
      <c r="C118" s="1"/>
      <c r="D118" s="1"/>
      <c r="E118" s="1"/>
      <c r="F118" s="1"/>
      <c r="G118" s="1"/>
      <c r="H118" s="1"/>
      <c r="I118" s="1"/>
      <c r="J118" s="1"/>
      <c r="K118" s="1"/>
      <c r="L118" s="1"/>
      <c r="M118" s="1"/>
      <c r="N118" s="1"/>
      <c r="O118" s="1"/>
      <c r="P118" s="1"/>
      <c r="Q118" s="1"/>
      <c r="R118" s="1"/>
      <c r="S118" s="1"/>
      <c r="T118" s="2"/>
      <c r="U118" s="2"/>
      <c r="V118" s="2"/>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row>
    <row r="119" spans="1:52" ht="18" customHeight="1" x14ac:dyDescent="0.35">
      <c r="A119" s="1"/>
      <c r="B119" s="1"/>
      <c r="C119" s="1"/>
      <c r="D119" s="1"/>
      <c r="E119" s="1"/>
      <c r="F119" s="1"/>
      <c r="G119" s="1"/>
      <c r="H119" s="1"/>
      <c r="I119" s="1"/>
      <c r="J119" s="1"/>
      <c r="K119" s="1"/>
      <c r="L119" s="1"/>
      <c r="M119" s="1"/>
      <c r="N119" s="1"/>
      <c r="O119" s="1"/>
      <c r="P119" s="1"/>
      <c r="Q119" s="1"/>
      <c r="R119" s="1"/>
      <c r="S119" s="1"/>
      <c r="T119" s="2"/>
      <c r="U119" s="2"/>
      <c r="V119" s="2"/>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row>
    <row r="120" spans="1:52" ht="18" customHeight="1" collapsed="1" x14ac:dyDescent="0.35">
      <c r="A120" s="1"/>
      <c r="B120" s="1"/>
      <c r="C120" s="1"/>
      <c r="D120" s="1"/>
      <c r="E120" s="1"/>
      <c r="F120" s="1"/>
      <c r="G120" s="1"/>
      <c r="H120" s="1"/>
      <c r="I120" s="1"/>
      <c r="J120" s="1"/>
      <c r="K120" s="1"/>
      <c r="L120" s="1"/>
      <c r="M120" s="1"/>
      <c r="N120" s="1"/>
      <c r="O120" s="1"/>
      <c r="P120" s="1"/>
      <c r="Q120" s="1"/>
      <c r="R120" s="1"/>
      <c r="S120" s="1"/>
      <c r="T120" s="2"/>
      <c r="U120" s="2"/>
      <c r="V120" s="2"/>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row>
    <row r="121" spans="1:52" ht="18" customHeight="1" x14ac:dyDescent="0.35">
      <c r="A121" s="1"/>
      <c r="B121" s="1"/>
      <c r="C121" s="1"/>
      <c r="D121" s="1"/>
      <c r="E121" s="1"/>
      <c r="F121" s="1"/>
      <c r="G121" s="1"/>
      <c r="H121" s="1"/>
      <c r="I121" s="1"/>
      <c r="J121" s="1"/>
      <c r="K121" s="1"/>
      <c r="L121" s="1"/>
      <c r="M121" s="1"/>
      <c r="N121" s="1"/>
      <c r="O121" s="1"/>
      <c r="P121" s="1"/>
      <c r="Q121" s="1"/>
      <c r="R121" s="1"/>
      <c r="S121" s="1"/>
      <c r="T121" s="2"/>
      <c r="U121" s="2"/>
      <c r="V121" s="2"/>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row>
    <row r="122" spans="1:52" ht="18" customHeight="1" x14ac:dyDescent="0.35">
      <c r="A122" s="1"/>
      <c r="B122" s="1"/>
      <c r="C122" s="1"/>
      <c r="D122" s="1"/>
      <c r="E122" s="1"/>
      <c r="F122" s="1"/>
      <c r="G122" s="1"/>
      <c r="H122" s="1"/>
      <c r="I122" s="1"/>
      <c r="J122" s="1"/>
      <c r="K122" s="1"/>
      <c r="L122" s="1"/>
      <c r="M122" s="1"/>
      <c r="N122" s="1"/>
      <c r="O122" s="1"/>
      <c r="P122" s="1"/>
      <c r="Q122" s="1"/>
      <c r="R122" s="1"/>
      <c r="S122" s="1"/>
      <c r="T122" s="2"/>
      <c r="U122" s="2"/>
      <c r="V122" s="2"/>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row>
    <row r="123" spans="1:52" ht="18" customHeight="1" x14ac:dyDescent="0.35">
      <c r="A123" s="1"/>
      <c r="B123" s="1"/>
      <c r="C123" s="1"/>
      <c r="D123" s="1"/>
      <c r="E123" s="1"/>
      <c r="F123" s="1"/>
      <c r="G123" s="1"/>
      <c r="H123" s="1"/>
      <c r="I123" s="1"/>
      <c r="J123" s="1"/>
      <c r="K123" s="1"/>
      <c r="L123" s="1"/>
      <c r="M123" s="1"/>
      <c r="N123" s="1"/>
      <c r="O123" s="1"/>
      <c r="P123" s="1"/>
      <c r="Q123" s="1"/>
      <c r="R123" s="1"/>
      <c r="S123" s="1"/>
      <c r="T123" s="2"/>
      <c r="U123" s="2"/>
      <c r="V123" s="2"/>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row>
    <row r="124" spans="1:52" ht="18" customHeight="1" x14ac:dyDescent="0.35">
      <c r="A124" s="1"/>
      <c r="B124" s="1"/>
      <c r="C124" s="1"/>
      <c r="D124" s="1"/>
      <c r="E124" s="1"/>
      <c r="F124" s="1"/>
      <c r="G124" s="1"/>
      <c r="H124" s="1"/>
      <c r="I124" s="1"/>
      <c r="J124" s="1"/>
      <c r="K124" s="1"/>
      <c r="L124" s="1"/>
      <c r="M124" s="1"/>
      <c r="N124" s="1"/>
      <c r="O124" s="1"/>
      <c r="P124" s="1"/>
      <c r="Q124" s="1"/>
      <c r="R124" s="1"/>
      <c r="S124" s="1"/>
      <c r="T124" s="2"/>
      <c r="U124" s="2"/>
      <c r="V124" s="2"/>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row>
    <row r="125" spans="1:52" ht="18" customHeight="1" x14ac:dyDescent="0.35">
      <c r="A125" s="1"/>
      <c r="B125" s="23"/>
      <c r="C125" s="12"/>
      <c r="D125" s="12"/>
      <c r="E125" s="12"/>
      <c r="F125" s="1"/>
      <c r="G125" s="1"/>
      <c r="H125" s="1"/>
      <c r="I125" s="1"/>
      <c r="J125" s="1"/>
      <c r="K125" s="1"/>
      <c r="L125" s="1"/>
      <c r="M125" s="1"/>
      <c r="N125" s="1"/>
      <c r="O125" s="1"/>
      <c r="P125" s="1"/>
      <c r="Q125" s="1"/>
      <c r="R125" s="1"/>
      <c r="S125" s="1"/>
      <c r="T125" s="2"/>
      <c r="U125" s="2"/>
      <c r="V125" s="2"/>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row>
    <row r="126" spans="1:52" ht="18" customHeight="1" x14ac:dyDescent="0.35">
      <c r="A126" s="1"/>
      <c r="B126" s="23"/>
      <c r="C126" s="12"/>
      <c r="D126" s="12"/>
      <c r="E126" s="12"/>
      <c r="F126" s="12"/>
      <c r="G126" s="12"/>
      <c r="H126" s="12"/>
      <c r="I126" s="12"/>
      <c r="J126" s="12"/>
      <c r="K126" s="12"/>
      <c r="L126" s="12"/>
      <c r="M126" s="12"/>
      <c r="N126" s="12"/>
      <c r="O126" s="12"/>
      <c r="P126" s="12"/>
      <c r="Q126" s="12"/>
      <c r="R126" s="12"/>
      <c r="S126" s="12"/>
      <c r="T126" s="2"/>
      <c r="U126" s="2"/>
      <c r="V126" s="2"/>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row>
    <row r="127" spans="1:52" ht="18" customHeight="1" collapsed="1" x14ac:dyDescent="0.35">
      <c r="A127" s="1"/>
      <c r="B127" s="23"/>
      <c r="C127" s="12"/>
      <c r="D127" s="12"/>
      <c r="E127" s="12"/>
      <c r="F127" s="12"/>
      <c r="G127" s="12"/>
      <c r="H127" s="12"/>
      <c r="I127" s="12"/>
      <c r="J127" s="12"/>
      <c r="K127" s="12"/>
      <c r="L127" s="12"/>
      <c r="M127" s="12"/>
      <c r="N127" s="12"/>
      <c r="O127" s="12"/>
      <c r="P127" s="12"/>
      <c r="Q127" s="12"/>
      <c r="R127" s="12"/>
      <c r="S127" s="12"/>
      <c r="T127" s="2"/>
      <c r="U127" s="2"/>
      <c r="V127" s="2"/>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row>
    <row r="128" spans="1:52" ht="18" customHeight="1" x14ac:dyDescent="0.35">
      <c r="A128" s="1"/>
      <c r="B128" s="23"/>
      <c r="C128" s="12"/>
      <c r="D128" s="12"/>
      <c r="E128" s="12"/>
      <c r="F128" s="12"/>
      <c r="G128" s="12"/>
      <c r="H128" s="12"/>
      <c r="I128" s="12"/>
      <c r="J128" s="12"/>
      <c r="K128" s="12"/>
      <c r="L128" s="12"/>
      <c r="M128" s="12"/>
      <c r="N128" s="12"/>
      <c r="O128" s="12"/>
      <c r="P128" s="12"/>
      <c r="Q128" s="12"/>
      <c r="R128" s="12"/>
      <c r="S128" s="12"/>
      <c r="T128" s="2"/>
      <c r="U128" s="2"/>
      <c r="V128" s="2"/>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row>
    <row r="129" spans="1:52" ht="18" customHeight="1" x14ac:dyDescent="0.35">
      <c r="A129" s="1"/>
      <c r="B129" s="23"/>
      <c r="C129" s="12"/>
      <c r="D129" s="12"/>
      <c r="E129" s="12"/>
      <c r="F129" s="12"/>
      <c r="G129" s="12"/>
      <c r="H129" s="12"/>
      <c r="I129" s="12"/>
      <c r="J129" s="12"/>
      <c r="K129" s="12"/>
      <c r="L129" s="12"/>
      <c r="M129" s="12"/>
      <c r="N129" s="12"/>
      <c r="O129" s="12"/>
      <c r="P129" s="12"/>
      <c r="Q129" s="12"/>
      <c r="R129" s="12"/>
      <c r="S129" s="12"/>
      <c r="T129" s="2"/>
      <c r="U129" s="2"/>
      <c r="V129" s="2"/>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row>
    <row r="130" spans="1:52" ht="18" customHeight="1" collapsed="1" x14ac:dyDescent="0.35">
      <c r="A130" s="1"/>
      <c r="B130" s="23"/>
      <c r="C130" s="12"/>
      <c r="D130" s="12"/>
      <c r="E130" s="12"/>
      <c r="F130" s="12"/>
      <c r="G130" s="12"/>
      <c r="H130" s="12"/>
      <c r="I130" s="12"/>
      <c r="J130" s="12"/>
      <c r="K130" s="12"/>
      <c r="L130" s="12"/>
      <c r="M130" s="12"/>
      <c r="N130" s="12"/>
      <c r="O130" s="12"/>
      <c r="P130" s="12"/>
      <c r="Q130" s="12"/>
      <c r="R130" s="12"/>
      <c r="S130" s="12"/>
      <c r="T130" s="2"/>
      <c r="U130" s="2"/>
      <c r="V130" s="2"/>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row>
    <row r="131" spans="1:52" ht="18" customHeight="1" x14ac:dyDescent="0.35">
      <c r="A131" s="1"/>
      <c r="B131" s="23"/>
      <c r="C131" s="12"/>
      <c r="D131" s="12"/>
      <c r="E131" s="12"/>
      <c r="F131" s="12"/>
      <c r="G131" s="12"/>
      <c r="H131" s="12"/>
      <c r="I131" s="12"/>
      <c r="J131" s="12"/>
      <c r="K131" s="12"/>
      <c r="L131" s="12"/>
      <c r="M131" s="12"/>
      <c r="N131" s="12"/>
      <c r="O131" s="12"/>
      <c r="P131" s="12"/>
      <c r="Q131" s="12"/>
      <c r="R131" s="12"/>
      <c r="S131" s="12"/>
      <c r="T131" s="2"/>
      <c r="U131" s="2"/>
      <c r="V131" s="2"/>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row>
    <row r="132" spans="1:52" ht="18" customHeight="1" x14ac:dyDescent="0.35">
      <c r="A132" s="1"/>
      <c r="B132" s="23"/>
      <c r="C132" s="12"/>
      <c r="D132" s="12"/>
      <c r="E132" s="12"/>
      <c r="F132" s="12"/>
      <c r="G132" s="12"/>
      <c r="H132" s="12"/>
      <c r="I132" s="12"/>
      <c r="J132" s="12"/>
      <c r="K132" s="12"/>
      <c r="L132" s="12"/>
      <c r="M132" s="12"/>
      <c r="N132" s="12"/>
      <c r="O132" s="12"/>
      <c r="P132" s="12"/>
      <c r="Q132" s="12"/>
      <c r="R132" s="12"/>
      <c r="S132" s="12"/>
      <c r="T132" s="2"/>
      <c r="U132" s="2"/>
      <c r="V132" s="2"/>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row>
    <row r="133" spans="1:52" ht="18" customHeight="1" x14ac:dyDescent="0.35">
      <c r="A133" s="1"/>
      <c r="B133" s="23"/>
      <c r="C133" s="12"/>
      <c r="D133" s="12"/>
      <c r="E133" s="12"/>
      <c r="F133" s="12"/>
      <c r="G133" s="12"/>
      <c r="H133" s="12"/>
      <c r="I133" s="12"/>
      <c r="J133" s="12"/>
      <c r="K133" s="12"/>
      <c r="L133" s="12"/>
      <c r="M133" s="12"/>
      <c r="N133" s="12"/>
      <c r="O133" s="12"/>
      <c r="P133" s="12"/>
      <c r="Q133" s="12"/>
      <c r="R133" s="12"/>
      <c r="S133" s="12"/>
      <c r="T133" s="2"/>
      <c r="U133" s="2"/>
      <c r="V133" s="2"/>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row>
    <row r="134" spans="1:52" ht="18" customHeight="1" x14ac:dyDescent="0.35">
      <c r="A134" s="1"/>
      <c r="B134" s="23"/>
      <c r="C134" s="12"/>
      <c r="D134" s="12"/>
      <c r="E134" s="12"/>
      <c r="F134" s="12"/>
      <c r="G134" s="12"/>
      <c r="H134" s="12"/>
      <c r="I134" s="12"/>
      <c r="J134" s="12"/>
      <c r="K134" s="12"/>
      <c r="L134" s="12"/>
      <c r="M134" s="12"/>
      <c r="N134" s="12"/>
      <c r="O134" s="12"/>
      <c r="P134" s="12"/>
      <c r="Q134" s="12"/>
      <c r="R134" s="12"/>
      <c r="S134" s="12"/>
      <c r="T134" s="2"/>
      <c r="U134" s="2"/>
      <c r="V134" s="2"/>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row>
    <row r="135" spans="1:52" ht="18" customHeight="1" x14ac:dyDescent="0.35">
      <c r="A135" s="1"/>
      <c r="B135" s="23"/>
      <c r="C135" s="12"/>
      <c r="D135" s="12"/>
      <c r="E135" s="12"/>
      <c r="F135" s="12"/>
      <c r="G135" s="12"/>
      <c r="H135" s="12"/>
      <c r="I135" s="12"/>
      <c r="J135" s="12"/>
      <c r="K135" s="12"/>
      <c r="L135" s="12"/>
      <c r="M135" s="12"/>
      <c r="N135" s="12"/>
      <c r="O135" s="12"/>
      <c r="P135" s="12"/>
      <c r="Q135" s="12"/>
      <c r="R135" s="12"/>
      <c r="S135" s="12"/>
      <c r="T135" s="2"/>
      <c r="U135" s="2"/>
      <c r="V135" s="2"/>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row>
    <row r="136" spans="1:52" ht="18" customHeight="1" collapsed="1" x14ac:dyDescent="0.35">
      <c r="A136" s="1"/>
      <c r="B136" s="23"/>
      <c r="C136" s="12"/>
      <c r="D136" s="12"/>
      <c r="E136" s="12"/>
      <c r="F136" s="12"/>
      <c r="G136" s="12"/>
      <c r="H136" s="12"/>
      <c r="I136" s="12"/>
      <c r="J136" s="12"/>
      <c r="K136" s="12"/>
      <c r="L136" s="12"/>
      <c r="M136" s="12"/>
      <c r="N136" s="12"/>
      <c r="O136" s="12"/>
      <c r="P136" s="12"/>
      <c r="Q136" s="12"/>
      <c r="R136" s="12"/>
      <c r="S136" s="12"/>
      <c r="T136" s="2"/>
      <c r="U136" s="2"/>
      <c r="V136" s="2"/>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row>
    <row r="137" spans="1:52" ht="18" customHeight="1" x14ac:dyDescent="0.35">
      <c r="A137" s="1"/>
      <c r="B137" s="23"/>
      <c r="C137" s="12"/>
      <c r="D137" s="12"/>
      <c r="E137" s="12"/>
      <c r="F137" s="12"/>
      <c r="G137" s="12"/>
      <c r="H137" s="12"/>
      <c r="I137" s="12"/>
      <c r="J137" s="12"/>
      <c r="K137" s="12"/>
      <c r="L137" s="12"/>
      <c r="M137" s="12"/>
      <c r="N137" s="12"/>
      <c r="O137" s="12"/>
      <c r="P137" s="12"/>
      <c r="Q137" s="12"/>
      <c r="R137" s="12"/>
      <c r="S137" s="12"/>
      <c r="T137" s="2"/>
      <c r="U137" s="2"/>
      <c r="V137" s="2"/>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row>
    <row r="138" spans="1:52" ht="18" customHeight="1" x14ac:dyDescent="0.35">
      <c r="A138" s="1"/>
      <c r="B138" s="23"/>
      <c r="C138" s="12"/>
      <c r="D138" s="12"/>
      <c r="E138" s="12"/>
      <c r="F138" s="12"/>
      <c r="G138" s="12"/>
      <c r="H138" s="12"/>
      <c r="I138" s="12"/>
      <c r="J138" s="12"/>
      <c r="K138" s="12"/>
      <c r="L138" s="12"/>
      <c r="M138" s="12"/>
      <c r="N138" s="12"/>
      <c r="O138" s="12"/>
      <c r="P138" s="12"/>
      <c r="Q138" s="12"/>
      <c r="R138" s="12"/>
      <c r="S138" s="12"/>
      <c r="T138" s="2"/>
      <c r="U138" s="2"/>
      <c r="V138" s="2"/>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row>
    <row r="139" spans="1:52" ht="18" customHeight="1" x14ac:dyDescent="0.35">
      <c r="A139" s="1"/>
      <c r="B139" s="23"/>
      <c r="C139" s="12"/>
      <c r="D139" s="12"/>
      <c r="E139" s="12"/>
      <c r="F139" s="12"/>
      <c r="G139" s="12"/>
      <c r="H139" s="12"/>
      <c r="I139" s="12"/>
      <c r="J139" s="12"/>
      <c r="K139" s="12"/>
      <c r="L139" s="12"/>
      <c r="M139" s="12"/>
      <c r="N139" s="12"/>
      <c r="O139" s="12"/>
      <c r="P139" s="12"/>
      <c r="Q139" s="12"/>
      <c r="R139" s="12"/>
      <c r="S139" s="12"/>
      <c r="T139" s="2"/>
      <c r="U139" s="2"/>
      <c r="V139" s="2"/>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row>
    <row r="140" spans="1:52" ht="18" customHeight="1" x14ac:dyDescent="0.35">
      <c r="A140" s="1"/>
      <c r="B140" s="23"/>
      <c r="C140" s="12"/>
      <c r="D140" s="12"/>
      <c r="E140" s="12"/>
      <c r="F140" s="12"/>
      <c r="G140" s="12"/>
      <c r="H140" s="12"/>
      <c r="I140" s="12"/>
      <c r="J140" s="12"/>
      <c r="K140" s="12"/>
      <c r="L140" s="12"/>
      <c r="M140" s="12"/>
      <c r="N140" s="12"/>
      <c r="O140" s="12"/>
      <c r="P140" s="12"/>
      <c r="Q140" s="12"/>
      <c r="R140" s="12"/>
      <c r="S140" s="12"/>
      <c r="T140" s="2"/>
      <c r="U140" s="2"/>
      <c r="V140" s="2"/>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row>
    <row r="141" spans="1:52" ht="18" customHeight="1" collapsed="1" x14ac:dyDescent="0.35">
      <c r="A141" s="1"/>
      <c r="B141" s="23"/>
      <c r="C141" s="12"/>
      <c r="D141" s="12"/>
      <c r="E141" s="12"/>
      <c r="F141" s="12"/>
      <c r="G141" s="12"/>
      <c r="H141" s="12"/>
      <c r="I141" s="12"/>
      <c r="J141" s="12"/>
      <c r="K141" s="12"/>
      <c r="L141" s="12"/>
      <c r="M141" s="12"/>
      <c r="N141" s="12"/>
      <c r="O141" s="12"/>
      <c r="P141" s="12"/>
      <c r="Q141" s="12"/>
      <c r="R141" s="12"/>
      <c r="S141" s="12"/>
      <c r="T141" s="2"/>
      <c r="U141" s="2"/>
      <c r="V141" s="2"/>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row>
    <row r="142" spans="1:52" ht="18" customHeight="1" x14ac:dyDescent="0.35">
      <c r="A142" s="1"/>
      <c r="B142" s="23"/>
      <c r="C142" s="12"/>
      <c r="D142" s="12"/>
      <c r="E142" s="12"/>
      <c r="F142" s="12"/>
      <c r="G142" s="12"/>
      <c r="H142" s="12"/>
      <c r="I142" s="12"/>
      <c r="J142" s="12"/>
      <c r="K142" s="12"/>
      <c r="L142" s="12"/>
      <c r="M142" s="12"/>
      <c r="N142" s="12"/>
      <c r="O142" s="12"/>
      <c r="P142" s="12"/>
      <c r="Q142" s="12"/>
      <c r="R142" s="12"/>
      <c r="S142" s="12"/>
      <c r="T142" s="2"/>
      <c r="U142" s="2"/>
      <c r="V142" s="2"/>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row>
    <row r="143" spans="1:52" ht="18" customHeight="1" x14ac:dyDescent="0.35">
      <c r="A143" s="1"/>
      <c r="B143" s="23"/>
      <c r="C143" s="12"/>
      <c r="D143" s="12"/>
      <c r="E143" s="12"/>
      <c r="F143" s="12"/>
      <c r="G143" s="12"/>
      <c r="H143" s="12"/>
      <c r="I143" s="12"/>
      <c r="J143" s="12"/>
      <c r="K143" s="12"/>
      <c r="L143" s="12"/>
      <c r="M143" s="12"/>
      <c r="N143" s="12"/>
      <c r="O143" s="12"/>
      <c r="P143" s="12"/>
      <c r="Q143" s="12"/>
      <c r="R143" s="12"/>
      <c r="S143" s="12"/>
      <c r="T143" s="2"/>
      <c r="U143" s="2"/>
      <c r="V143" s="2"/>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row>
    <row r="144" spans="1:52" ht="18" customHeight="1" x14ac:dyDescent="0.35">
      <c r="A144" s="1"/>
      <c r="B144" s="23"/>
      <c r="C144" s="12"/>
      <c r="D144" s="12"/>
      <c r="E144" s="12"/>
      <c r="F144" s="12"/>
      <c r="G144" s="12"/>
      <c r="H144" s="12"/>
      <c r="I144" s="12"/>
      <c r="J144" s="12"/>
      <c r="K144" s="12"/>
      <c r="L144" s="12"/>
      <c r="M144" s="12"/>
      <c r="N144" s="12"/>
      <c r="O144" s="12"/>
      <c r="P144" s="12"/>
      <c r="Q144" s="12"/>
      <c r="R144" s="12"/>
      <c r="S144" s="12"/>
      <c r="T144" s="2"/>
      <c r="U144" s="2"/>
      <c r="V144" s="2"/>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row>
    <row r="145" spans="1:52" ht="18" customHeight="1" x14ac:dyDescent="0.35">
      <c r="A145" s="1"/>
      <c r="B145" s="23"/>
      <c r="C145" s="12"/>
      <c r="D145" s="12"/>
      <c r="E145" s="12"/>
      <c r="F145" s="12"/>
      <c r="G145" s="12"/>
      <c r="H145" s="12"/>
      <c r="I145" s="12"/>
      <c r="J145" s="12"/>
      <c r="K145" s="12"/>
      <c r="L145" s="12"/>
      <c r="M145" s="12"/>
      <c r="N145" s="12"/>
      <c r="O145" s="12"/>
      <c r="P145" s="12"/>
      <c r="Q145" s="12"/>
      <c r="R145" s="12"/>
      <c r="S145" s="12"/>
      <c r="T145" s="2"/>
      <c r="U145" s="2"/>
      <c r="V145" s="2"/>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row>
    <row r="146" spans="1:52" ht="18" customHeight="1" x14ac:dyDescent="0.35">
      <c r="A146" s="1"/>
      <c r="B146" s="23"/>
      <c r="C146" s="12"/>
      <c r="D146" s="12"/>
      <c r="E146" s="12"/>
      <c r="F146" s="12"/>
      <c r="G146" s="12"/>
      <c r="H146" s="12"/>
      <c r="I146" s="12"/>
      <c r="J146" s="12"/>
      <c r="K146" s="12"/>
      <c r="L146" s="12"/>
      <c r="M146" s="12"/>
      <c r="N146" s="12"/>
      <c r="O146" s="12"/>
      <c r="P146" s="12"/>
      <c r="Q146" s="12"/>
      <c r="R146" s="12"/>
      <c r="S146" s="12"/>
      <c r="T146" s="2"/>
      <c r="U146" s="2"/>
      <c r="V146" s="2"/>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row>
    <row r="147" spans="1:52" ht="18" customHeight="1" x14ac:dyDescent="0.35">
      <c r="A147" s="1"/>
      <c r="B147" s="23"/>
      <c r="C147" s="12"/>
      <c r="D147" s="12"/>
      <c r="E147" s="12"/>
      <c r="F147" s="12"/>
      <c r="G147" s="12"/>
      <c r="H147" s="12"/>
      <c r="I147" s="12"/>
      <c r="J147" s="12"/>
      <c r="K147" s="12"/>
      <c r="L147" s="12"/>
      <c r="M147" s="12"/>
      <c r="N147" s="12"/>
      <c r="O147" s="12"/>
      <c r="P147" s="12"/>
      <c r="Q147" s="12"/>
      <c r="R147" s="12"/>
      <c r="S147" s="12"/>
      <c r="T147" s="2"/>
      <c r="U147" s="2"/>
      <c r="V147" s="2"/>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row>
    <row r="148" spans="1:52" ht="18" customHeight="1" x14ac:dyDescent="0.35">
      <c r="A148" s="1"/>
      <c r="B148" s="23"/>
      <c r="C148" s="12"/>
      <c r="D148" s="12"/>
      <c r="E148" s="12"/>
      <c r="F148" s="12"/>
      <c r="G148" s="12"/>
      <c r="H148" s="12"/>
      <c r="I148" s="12"/>
      <c r="J148" s="12"/>
      <c r="K148" s="12"/>
      <c r="L148" s="12"/>
      <c r="M148" s="12"/>
      <c r="N148" s="12"/>
      <c r="O148" s="12"/>
      <c r="P148" s="12"/>
      <c r="Q148" s="12"/>
      <c r="R148" s="12"/>
      <c r="S148" s="12"/>
      <c r="T148" s="2"/>
      <c r="U148" s="2"/>
      <c r="V148" s="2"/>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row>
    <row r="149" spans="1:52" ht="18" customHeight="1" x14ac:dyDescent="0.35">
      <c r="A149" s="1"/>
      <c r="B149" s="23"/>
      <c r="C149" s="12"/>
      <c r="D149" s="12"/>
      <c r="E149" s="12"/>
      <c r="F149" s="12"/>
      <c r="G149" s="12"/>
      <c r="H149" s="12"/>
      <c r="I149" s="12"/>
      <c r="J149" s="12"/>
      <c r="K149" s="12"/>
      <c r="L149" s="12"/>
      <c r="M149" s="12"/>
      <c r="N149" s="12"/>
      <c r="O149" s="12"/>
      <c r="P149" s="12"/>
      <c r="Q149" s="12"/>
      <c r="R149" s="12"/>
      <c r="S149" s="12"/>
      <c r="T149" s="2"/>
      <c r="U149" s="2"/>
      <c r="V149" s="2"/>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row>
    <row r="150" spans="1:52" ht="18" customHeight="1" collapsed="1" x14ac:dyDescent="0.35">
      <c r="A150" s="1"/>
      <c r="B150" s="23"/>
      <c r="C150" s="12"/>
      <c r="D150" s="12"/>
      <c r="E150" s="12"/>
      <c r="F150" s="12"/>
      <c r="G150" s="12"/>
      <c r="H150" s="12"/>
      <c r="I150" s="12"/>
      <c r="J150" s="12"/>
      <c r="K150" s="12"/>
      <c r="L150" s="12"/>
      <c r="M150" s="12"/>
      <c r="N150" s="12"/>
      <c r="O150" s="12"/>
      <c r="P150" s="12"/>
      <c r="Q150" s="12"/>
      <c r="R150" s="12"/>
      <c r="S150" s="12"/>
      <c r="T150" s="2"/>
      <c r="U150" s="2"/>
      <c r="V150" s="2"/>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row>
    <row r="151" spans="1:52" ht="18" customHeight="1" x14ac:dyDescent="0.35">
      <c r="A151" s="1"/>
      <c r="B151" s="23"/>
      <c r="C151" s="12"/>
      <c r="D151" s="12"/>
      <c r="E151" s="12"/>
      <c r="F151" s="12"/>
      <c r="G151" s="12"/>
      <c r="H151" s="12"/>
      <c r="I151" s="12"/>
      <c r="J151" s="12"/>
      <c r="K151" s="12"/>
      <c r="L151" s="12"/>
      <c r="M151" s="12"/>
      <c r="N151" s="12"/>
      <c r="O151" s="12"/>
      <c r="P151" s="12"/>
      <c r="Q151" s="12"/>
      <c r="R151" s="12"/>
      <c r="S151" s="12"/>
      <c r="T151" s="2"/>
      <c r="U151" s="2"/>
      <c r="V151" s="2"/>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row>
    <row r="152" spans="1:52" ht="18" customHeight="1" x14ac:dyDescent="0.35">
      <c r="A152" s="1"/>
      <c r="B152" s="23"/>
      <c r="C152" s="2"/>
      <c r="D152" s="2"/>
      <c r="E152" s="2"/>
      <c r="F152" s="12"/>
      <c r="G152" s="12"/>
      <c r="H152" s="12"/>
      <c r="I152" s="12"/>
      <c r="J152" s="12"/>
      <c r="K152" s="12"/>
      <c r="L152" s="12"/>
      <c r="M152" s="12"/>
      <c r="N152" s="12"/>
      <c r="O152" s="12"/>
      <c r="P152" s="12"/>
      <c r="Q152" s="12"/>
      <c r="R152" s="12"/>
      <c r="S152" s="12"/>
      <c r="T152" s="2"/>
      <c r="U152" s="2"/>
      <c r="V152" s="2"/>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row>
    <row r="153" spans="1:52" ht="18" customHeight="1" collapsed="1" x14ac:dyDescent="0.35">
      <c r="A153" s="1"/>
      <c r="B153" s="23"/>
      <c r="C153" s="19"/>
      <c r="D153" s="19"/>
      <c r="E153" s="19"/>
      <c r="F153" s="2"/>
      <c r="G153" s="2"/>
      <c r="H153" s="2"/>
      <c r="I153" s="2"/>
      <c r="J153" s="2"/>
      <c r="K153" s="2"/>
      <c r="L153" s="2"/>
      <c r="M153" s="2"/>
      <c r="N153" s="2"/>
      <c r="O153" s="2"/>
      <c r="P153" s="2"/>
      <c r="Q153" s="2"/>
      <c r="R153" s="2"/>
      <c r="S153" s="2"/>
      <c r="T153" s="2"/>
      <c r="U153" s="2"/>
      <c r="V153" s="2"/>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row>
    <row r="154" spans="1:52" ht="18" customHeight="1" x14ac:dyDescent="0.35">
      <c r="A154" s="1"/>
      <c r="B154" s="23"/>
      <c r="C154" s="12"/>
      <c r="D154" s="12"/>
      <c r="E154" s="12"/>
      <c r="F154" s="19"/>
      <c r="G154" s="19"/>
      <c r="H154" s="19"/>
      <c r="I154" s="19"/>
      <c r="J154" s="19"/>
      <c r="K154" s="19"/>
      <c r="L154" s="19"/>
      <c r="M154" s="19"/>
      <c r="N154" s="19"/>
      <c r="O154" s="19"/>
      <c r="P154" s="19"/>
      <c r="Q154" s="19"/>
      <c r="R154" s="19"/>
      <c r="S154" s="19"/>
      <c r="T154" s="2"/>
      <c r="U154" s="2"/>
      <c r="V154" s="2"/>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row>
    <row r="155" spans="1:52" ht="18" customHeight="1" x14ac:dyDescent="0.35">
      <c r="A155" s="1"/>
      <c r="B155" s="23"/>
      <c r="C155" s="12"/>
      <c r="D155" s="12"/>
      <c r="E155" s="12"/>
      <c r="F155" s="12"/>
      <c r="G155" s="12"/>
      <c r="H155" s="12"/>
      <c r="I155" s="12"/>
      <c r="J155" s="12"/>
      <c r="K155" s="12"/>
      <c r="L155" s="12"/>
      <c r="M155" s="12"/>
      <c r="N155" s="12"/>
      <c r="O155" s="12"/>
      <c r="P155" s="12"/>
      <c r="Q155" s="12"/>
      <c r="R155" s="12"/>
      <c r="S155" s="12"/>
      <c r="T155" s="2"/>
      <c r="U155" s="2"/>
      <c r="V155" s="2"/>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row>
    <row r="156" spans="1:52" ht="18" customHeight="1" x14ac:dyDescent="0.35">
      <c r="A156" s="1"/>
      <c r="B156" s="23"/>
      <c r="C156" s="12"/>
      <c r="D156" s="12"/>
      <c r="E156" s="12"/>
      <c r="F156" s="12"/>
      <c r="G156" s="12"/>
      <c r="H156" s="12"/>
      <c r="I156" s="12"/>
      <c r="J156" s="12"/>
      <c r="K156" s="12"/>
      <c r="L156" s="12"/>
      <c r="M156" s="12"/>
      <c r="N156" s="12"/>
      <c r="O156" s="12"/>
      <c r="P156" s="12"/>
      <c r="Q156" s="12"/>
      <c r="R156" s="12"/>
      <c r="S156" s="12"/>
      <c r="T156" s="2"/>
      <c r="U156" s="2"/>
      <c r="V156" s="2"/>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row>
    <row r="157" spans="1:52" ht="18" customHeight="1" x14ac:dyDescent="0.35">
      <c r="A157" s="1"/>
      <c r="B157" s="23"/>
      <c r="C157" s="12"/>
      <c r="D157" s="12"/>
      <c r="E157" s="12"/>
      <c r="F157" s="12"/>
      <c r="G157" s="12"/>
      <c r="H157" s="12"/>
      <c r="I157" s="12"/>
      <c r="J157" s="12"/>
      <c r="K157" s="12"/>
      <c r="L157" s="12"/>
      <c r="M157" s="12"/>
      <c r="N157" s="12"/>
      <c r="O157" s="12"/>
      <c r="P157" s="12"/>
      <c r="Q157" s="12"/>
      <c r="R157" s="12"/>
      <c r="S157" s="12"/>
      <c r="T157" s="2"/>
      <c r="U157" s="2"/>
      <c r="V157" s="2"/>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row>
    <row r="158" spans="1:52" ht="18" customHeight="1" collapsed="1" x14ac:dyDescent="0.35">
      <c r="A158" s="1"/>
      <c r="B158" s="23"/>
      <c r="C158" s="16"/>
      <c r="D158" s="16"/>
      <c r="E158" s="16"/>
      <c r="F158" s="12"/>
      <c r="G158" s="12"/>
      <c r="H158" s="12"/>
      <c r="I158" s="12"/>
      <c r="J158" s="12"/>
      <c r="K158" s="12"/>
      <c r="L158" s="12"/>
      <c r="M158" s="12"/>
      <c r="N158" s="12"/>
      <c r="O158" s="12"/>
      <c r="P158" s="12"/>
      <c r="Q158" s="12"/>
      <c r="R158" s="12"/>
      <c r="S158" s="12"/>
      <c r="T158" s="2"/>
      <c r="U158" s="2"/>
      <c r="V158" s="2"/>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row>
    <row r="159" spans="1:52" ht="18" customHeight="1" x14ac:dyDescent="0.35">
      <c r="A159" s="1"/>
      <c r="B159" s="23"/>
      <c r="C159" s="12"/>
      <c r="D159" s="12"/>
      <c r="E159" s="12"/>
      <c r="F159" s="16"/>
      <c r="G159" s="16"/>
      <c r="H159" s="16"/>
      <c r="I159" s="16"/>
      <c r="J159" s="16"/>
      <c r="K159" s="16"/>
      <c r="L159" s="16"/>
      <c r="M159" s="16"/>
      <c r="N159" s="16"/>
      <c r="O159" s="16"/>
      <c r="P159" s="16"/>
      <c r="Q159" s="16"/>
      <c r="R159" s="16"/>
      <c r="S159" s="16"/>
      <c r="T159" s="2"/>
      <c r="U159" s="2"/>
      <c r="V159" s="2"/>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row>
    <row r="160" spans="1:52" ht="18" customHeight="1" x14ac:dyDescent="0.35">
      <c r="A160" s="1"/>
      <c r="B160" s="23"/>
      <c r="C160" s="12"/>
      <c r="D160" s="12"/>
      <c r="E160" s="12"/>
      <c r="F160" s="12"/>
      <c r="G160" s="12"/>
      <c r="H160" s="12"/>
      <c r="I160" s="12"/>
      <c r="J160" s="12"/>
      <c r="K160" s="12"/>
      <c r="L160" s="12"/>
      <c r="M160" s="12"/>
      <c r="N160" s="12"/>
      <c r="O160" s="12"/>
      <c r="P160" s="12"/>
      <c r="Q160" s="12"/>
      <c r="R160" s="12"/>
      <c r="S160" s="12"/>
      <c r="T160" s="2"/>
      <c r="U160" s="2"/>
      <c r="V160" s="2"/>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row>
    <row r="161" spans="1:52" ht="18" customHeight="1" x14ac:dyDescent="0.35">
      <c r="A161" s="1"/>
      <c r="B161" s="23"/>
      <c r="C161" s="12"/>
      <c r="D161" s="12"/>
      <c r="E161" s="12"/>
      <c r="F161" s="12"/>
      <c r="G161" s="12"/>
      <c r="H161" s="12"/>
      <c r="I161" s="12"/>
      <c r="J161" s="12"/>
      <c r="K161" s="12"/>
      <c r="L161" s="12"/>
      <c r="M161" s="12"/>
      <c r="N161" s="12"/>
      <c r="O161" s="12"/>
      <c r="P161" s="12"/>
      <c r="Q161" s="12"/>
      <c r="R161" s="12"/>
      <c r="S161" s="12"/>
      <c r="T161" s="2"/>
      <c r="U161" s="2"/>
      <c r="V161" s="2"/>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row>
    <row r="162" spans="1:52" ht="18" customHeight="1" x14ac:dyDescent="0.35">
      <c r="A162" s="1"/>
      <c r="B162" s="23"/>
      <c r="C162" s="12"/>
      <c r="D162" s="12"/>
      <c r="E162" s="12"/>
      <c r="F162" s="12"/>
      <c r="G162" s="12"/>
      <c r="H162" s="12"/>
      <c r="I162" s="12"/>
      <c r="J162" s="12"/>
      <c r="K162" s="12"/>
      <c r="L162" s="12"/>
      <c r="M162" s="12"/>
      <c r="N162" s="12"/>
      <c r="O162" s="12"/>
      <c r="P162" s="12"/>
      <c r="Q162" s="12"/>
      <c r="R162" s="12"/>
      <c r="S162" s="12"/>
      <c r="T162" s="2"/>
      <c r="U162" s="2"/>
      <c r="V162" s="2"/>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row>
    <row r="163" spans="1:52" ht="18" customHeight="1" collapsed="1" x14ac:dyDescent="0.35">
      <c r="A163" s="1"/>
      <c r="B163" s="23"/>
      <c r="C163" s="12"/>
      <c r="D163" s="12"/>
      <c r="E163" s="12"/>
      <c r="F163" s="12"/>
      <c r="G163" s="12"/>
      <c r="H163" s="12"/>
      <c r="I163" s="12"/>
      <c r="J163" s="12"/>
      <c r="K163" s="12"/>
      <c r="L163" s="12"/>
      <c r="M163" s="12"/>
      <c r="N163" s="12"/>
      <c r="O163" s="12"/>
      <c r="P163" s="12"/>
      <c r="Q163" s="12"/>
      <c r="R163" s="12"/>
      <c r="S163" s="12"/>
      <c r="T163" s="2"/>
      <c r="U163" s="2"/>
      <c r="V163" s="2"/>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row>
    <row r="164" spans="1:52" ht="18" customHeight="1" x14ac:dyDescent="0.35">
      <c r="A164" s="1"/>
      <c r="B164" s="23"/>
      <c r="C164" s="12"/>
      <c r="D164" s="12"/>
      <c r="E164" s="12"/>
      <c r="F164" s="12"/>
      <c r="G164" s="12"/>
      <c r="H164" s="12"/>
      <c r="I164" s="12"/>
      <c r="J164" s="12"/>
      <c r="K164" s="12"/>
      <c r="L164" s="12"/>
      <c r="M164" s="12"/>
      <c r="N164" s="12"/>
      <c r="O164" s="12"/>
      <c r="P164" s="12"/>
      <c r="Q164" s="12"/>
      <c r="R164" s="12"/>
      <c r="S164" s="12"/>
      <c r="T164" s="2"/>
      <c r="U164" s="2"/>
      <c r="V164" s="2"/>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row>
    <row r="165" spans="1:52" ht="18" customHeight="1" x14ac:dyDescent="0.35">
      <c r="A165" s="1"/>
      <c r="B165" s="23"/>
      <c r="C165" s="12"/>
      <c r="D165" s="12"/>
      <c r="E165" s="12"/>
      <c r="F165" s="12"/>
      <c r="G165" s="12"/>
      <c r="H165" s="12"/>
      <c r="I165" s="12"/>
      <c r="J165" s="12"/>
      <c r="K165" s="12"/>
      <c r="L165" s="12"/>
      <c r="M165" s="12"/>
      <c r="N165" s="12"/>
      <c r="O165" s="12"/>
      <c r="P165" s="12"/>
      <c r="Q165" s="12"/>
      <c r="R165" s="12"/>
      <c r="S165" s="12"/>
      <c r="T165" s="2"/>
      <c r="U165" s="2"/>
      <c r="V165" s="2"/>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row>
    <row r="166" spans="1:52" ht="18" customHeight="1" x14ac:dyDescent="0.35">
      <c r="A166" s="1"/>
      <c r="B166" s="23"/>
      <c r="C166" s="12"/>
      <c r="D166" s="12"/>
      <c r="E166" s="12"/>
      <c r="F166" s="12"/>
      <c r="G166" s="12"/>
      <c r="H166" s="12"/>
      <c r="I166" s="12"/>
      <c r="J166" s="12"/>
      <c r="K166" s="12"/>
      <c r="L166" s="12"/>
      <c r="M166" s="12"/>
      <c r="N166" s="12"/>
      <c r="O166" s="12"/>
      <c r="P166" s="12"/>
      <c r="Q166" s="12"/>
      <c r="R166" s="12"/>
      <c r="S166" s="12"/>
      <c r="T166" s="2"/>
      <c r="U166" s="2"/>
      <c r="V166" s="2"/>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row>
    <row r="167" spans="1:52" ht="18" customHeight="1" x14ac:dyDescent="0.35">
      <c r="A167" s="1"/>
      <c r="B167" s="23"/>
      <c r="C167" s="2"/>
      <c r="D167" s="2"/>
      <c r="E167" s="2"/>
      <c r="F167" s="12"/>
      <c r="G167" s="12"/>
      <c r="H167" s="12"/>
      <c r="I167" s="12"/>
      <c r="J167" s="12"/>
      <c r="K167" s="12"/>
      <c r="L167" s="12"/>
      <c r="M167" s="12"/>
      <c r="N167" s="12"/>
      <c r="O167" s="12"/>
      <c r="P167" s="12"/>
      <c r="Q167" s="12"/>
      <c r="R167" s="12"/>
      <c r="S167" s="12"/>
      <c r="T167" s="2"/>
      <c r="U167" s="2"/>
      <c r="V167" s="2"/>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row>
    <row r="168" spans="1:52" ht="18" customHeight="1" collapsed="1" x14ac:dyDescent="0.35">
      <c r="A168" s="1"/>
      <c r="B168" s="23"/>
      <c r="C168" s="19"/>
      <c r="D168" s="19"/>
      <c r="E168" s="19"/>
      <c r="F168" s="2"/>
      <c r="G168" s="2"/>
      <c r="H168" s="2"/>
      <c r="I168" s="2"/>
      <c r="J168" s="2"/>
      <c r="K168" s="2"/>
      <c r="L168" s="2"/>
      <c r="M168" s="2"/>
      <c r="N168" s="2"/>
      <c r="O168" s="2"/>
      <c r="P168" s="2"/>
      <c r="Q168" s="2"/>
      <c r="R168" s="2"/>
      <c r="S168" s="2"/>
      <c r="T168" s="2"/>
      <c r="U168" s="2"/>
      <c r="V168" s="2"/>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row>
    <row r="169" spans="1:52" ht="18" customHeight="1" x14ac:dyDescent="0.35">
      <c r="A169" s="1"/>
      <c r="B169" s="23"/>
      <c r="C169" s="12"/>
      <c r="D169" s="12"/>
      <c r="E169" s="12"/>
      <c r="F169" s="19"/>
      <c r="G169" s="19"/>
      <c r="H169" s="19"/>
      <c r="I169" s="19"/>
      <c r="J169" s="19"/>
      <c r="K169" s="19"/>
      <c r="L169" s="19"/>
      <c r="M169" s="19"/>
      <c r="N169" s="19"/>
      <c r="O169" s="19"/>
      <c r="P169" s="19"/>
      <c r="Q169" s="19"/>
      <c r="R169" s="19"/>
      <c r="S169" s="19"/>
      <c r="T169" s="2"/>
      <c r="U169" s="2"/>
      <c r="V169" s="2"/>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row>
    <row r="170" spans="1:52" ht="18" customHeight="1" x14ac:dyDescent="0.35">
      <c r="A170" s="1"/>
      <c r="B170" s="23"/>
      <c r="C170" s="12"/>
      <c r="D170" s="12"/>
      <c r="E170" s="12"/>
      <c r="F170" s="12"/>
      <c r="G170" s="12"/>
      <c r="H170" s="12"/>
      <c r="I170" s="12"/>
      <c r="J170" s="12"/>
      <c r="K170" s="12"/>
      <c r="L170" s="12"/>
      <c r="M170" s="12"/>
      <c r="N170" s="12"/>
      <c r="O170" s="12"/>
      <c r="P170" s="12"/>
      <c r="Q170" s="12"/>
      <c r="R170" s="12"/>
      <c r="S170" s="12"/>
      <c r="T170" s="2"/>
      <c r="U170" s="2"/>
      <c r="V170" s="2"/>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row>
    <row r="171" spans="1:52" ht="18" customHeight="1" x14ac:dyDescent="0.35">
      <c r="A171" s="1"/>
      <c r="B171" s="23"/>
      <c r="C171" s="16"/>
      <c r="D171" s="16"/>
      <c r="E171" s="16"/>
      <c r="F171" s="12"/>
      <c r="G171" s="12"/>
      <c r="H171" s="12"/>
      <c r="I171" s="12"/>
      <c r="J171" s="12"/>
      <c r="K171" s="12"/>
      <c r="L171" s="12"/>
      <c r="M171" s="12"/>
      <c r="N171" s="12"/>
      <c r="O171" s="12"/>
      <c r="P171" s="12"/>
      <c r="Q171" s="12"/>
      <c r="R171" s="12"/>
      <c r="S171" s="12"/>
      <c r="T171" s="2"/>
      <c r="U171" s="2"/>
      <c r="V171" s="2"/>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row>
    <row r="172" spans="1:52" ht="18" customHeight="1" x14ac:dyDescent="0.35">
      <c r="A172" s="1"/>
      <c r="B172" s="23"/>
      <c r="C172" s="12"/>
      <c r="D172" s="12"/>
      <c r="E172" s="12"/>
      <c r="F172" s="16"/>
      <c r="G172" s="16"/>
      <c r="H172" s="16"/>
      <c r="I172" s="16"/>
      <c r="J172" s="16"/>
      <c r="K172" s="16"/>
      <c r="L172" s="16"/>
      <c r="M172" s="16"/>
      <c r="N172" s="16"/>
      <c r="O172" s="16"/>
      <c r="P172" s="16"/>
      <c r="Q172" s="16"/>
      <c r="R172" s="16"/>
      <c r="S172" s="16"/>
      <c r="T172" s="2"/>
      <c r="U172" s="2"/>
      <c r="V172" s="2"/>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row>
    <row r="173" spans="1:52" ht="18" customHeight="1" x14ac:dyDescent="0.35">
      <c r="A173" s="1"/>
      <c r="B173" s="23"/>
      <c r="C173" s="12"/>
      <c r="D173" s="12"/>
      <c r="E173" s="12"/>
      <c r="F173" s="12"/>
      <c r="G173" s="12"/>
      <c r="H173" s="12"/>
      <c r="I173" s="12"/>
      <c r="J173" s="12"/>
      <c r="K173" s="12"/>
      <c r="L173" s="12"/>
      <c r="M173" s="12"/>
      <c r="N173" s="12"/>
      <c r="O173" s="12"/>
      <c r="P173" s="12"/>
      <c r="Q173" s="12"/>
      <c r="R173" s="12"/>
      <c r="S173" s="12"/>
      <c r="T173" s="2"/>
      <c r="U173" s="2"/>
      <c r="V173" s="2"/>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row>
    <row r="174" spans="1:52" ht="18" customHeight="1" x14ac:dyDescent="0.35">
      <c r="A174" s="1"/>
      <c r="B174" s="23"/>
      <c r="C174" s="12"/>
      <c r="D174" s="12"/>
      <c r="E174" s="12"/>
      <c r="F174" s="12"/>
      <c r="G174" s="12"/>
      <c r="H174" s="12"/>
      <c r="I174" s="12"/>
      <c r="J174" s="12"/>
      <c r="K174" s="12"/>
      <c r="L174" s="12"/>
      <c r="M174" s="12"/>
      <c r="N174" s="12"/>
      <c r="O174" s="12"/>
      <c r="P174" s="12"/>
      <c r="Q174" s="12"/>
      <c r="R174" s="12"/>
      <c r="S174" s="12"/>
      <c r="T174" s="2"/>
      <c r="U174" s="2"/>
      <c r="V174" s="2"/>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row>
    <row r="175" spans="1:52" ht="18" customHeight="1" collapsed="1" x14ac:dyDescent="0.35">
      <c r="A175" s="1"/>
      <c r="B175" s="23"/>
      <c r="C175" s="12"/>
      <c r="D175" s="12"/>
      <c r="E175" s="12"/>
      <c r="F175" s="12"/>
      <c r="G175" s="12"/>
      <c r="H175" s="12"/>
      <c r="I175" s="12"/>
      <c r="J175" s="12"/>
      <c r="K175" s="12"/>
      <c r="L175" s="12"/>
      <c r="M175" s="12"/>
      <c r="N175" s="12"/>
      <c r="O175" s="12"/>
      <c r="P175" s="12"/>
      <c r="Q175" s="12"/>
      <c r="R175" s="12"/>
      <c r="S175" s="12"/>
      <c r="T175" s="2"/>
      <c r="U175" s="2"/>
      <c r="V175" s="2"/>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row>
    <row r="176" spans="1:52" ht="18" customHeight="1" x14ac:dyDescent="0.35">
      <c r="A176" s="1"/>
      <c r="B176" s="23"/>
      <c r="C176" s="12"/>
      <c r="D176" s="12"/>
      <c r="E176" s="12"/>
      <c r="F176" s="12"/>
      <c r="G176" s="12"/>
      <c r="H176" s="12"/>
      <c r="I176" s="12"/>
      <c r="J176" s="12"/>
      <c r="K176" s="12"/>
      <c r="L176" s="12"/>
      <c r="M176" s="12"/>
      <c r="N176" s="12"/>
      <c r="O176" s="12"/>
      <c r="P176" s="12"/>
      <c r="Q176" s="12"/>
      <c r="R176" s="12"/>
      <c r="S176" s="12"/>
      <c r="T176" s="2"/>
      <c r="U176" s="2"/>
      <c r="V176" s="2"/>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row>
    <row r="177" spans="1:52" ht="18" customHeight="1" x14ac:dyDescent="0.35">
      <c r="A177" s="1"/>
      <c r="B177" s="23"/>
      <c r="C177" s="12"/>
      <c r="D177" s="12"/>
      <c r="E177" s="12"/>
      <c r="F177" s="12"/>
      <c r="G177" s="12"/>
      <c r="H177" s="12"/>
      <c r="I177" s="12"/>
      <c r="J177" s="12"/>
      <c r="K177" s="12"/>
      <c r="L177" s="12"/>
      <c r="M177" s="12"/>
      <c r="N177" s="12"/>
      <c r="O177" s="12"/>
      <c r="P177" s="12"/>
      <c r="Q177" s="12"/>
      <c r="R177" s="12"/>
      <c r="S177" s="12"/>
      <c r="T177" s="2"/>
      <c r="U177" s="2"/>
      <c r="V177" s="2"/>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row>
    <row r="178" spans="1:52" ht="18" customHeight="1" x14ac:dyDescent="0.35">
      <c r="A178" s="1"/>
      <c r="B178" s="23"/>
      <c r="C178" s="12"/>
      <c r="D178" s="12"/>
      <c r="E178" s="12"/>
      <c r="F178" s="12"/>
      <c r="G178" s="12"/>
      <c r="H178" s="12"/>
      <c r="I178" s="12"/>
      <c r="J178" s="12"/>
      <c r="K178" s="12"/>
      <c r="L178" s="12"/>
      <c r="M178" s="12"/>
      <c r="N178" s="12"/>
      <c r="O178" s="12"/>
      <c r="P178" s="12"/>
      <c r="Q178" s="12"/>
      <c r="R178" s="12"/>
      <c r="S178" s="12"/>
      <c r="T178" s="2"/>
      <c r="U178" s="2"/>
      <c r="V178" s="2"/>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row>
    <row r="179" spans="1:52" ht="18" customHeight="1" x14ac:dyDescent="0.35">
      <c r="A179" s="1"/>
      <c r="B179" s="23"/>
      <c r="C179" s="16"/>
      <c r="D179" s="16"/>
      <c r="E179" s="16"/>
      <c r="F179" s="12"/>
      <c r="G179" s="12"/>
      <c r="H179" s="12"/>
      <c r="I179" s="12"/>
      <c r="J179" s="12"/>
      <c r="K179" s="12"/>
      <c r="L179" s="12"/>
      <c r="M179" s="12"/>
      <c r="N179" s="12"/>
      <c r="O179" s="12"/>
      <c r="P179" s="12"/>
      <c r="Q179" s="12"/>
      <c r="R179" s="12"/>
      <c r="S179" s="12"/>
      <c r="T179" s="2"/>
      <c r="U179" s="2"/>
      <c r="V179" s="2"/>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row>
    <row r="180" spans="1:52" ht="18" customHeight="1" collapsed="1" x14ac:dyDescent="0.35">
      <c r="A180" s="1"/>
      <c r="B180" s="23"/>
      <c r="C180" s="16"/>
      <c r="D180" s="16"/>
      <c r="E180" s="16"/>
      <c r="F180" s="16"/>
      <c r="G180" s="16"/>
      <c r="H180" s="16"/>
      <c r="I180" s="16"/>
      <c r="J180" s="16"/>
      <c r="K180" s="16"/>
      <c r="L180" s="16"/>
      <c r="M180" s="16"/>
      <c r="N180" s="16"/>
      <c r="O180" s="16"/>
      <c r="P180" s="16"/>
      <c r="Q180" s="16"/>
      <c r="R180" s="16"/>
      <c r="S180" s="16"/>
      <c r="T180" s="2"/>
      <c r="U180" s="2"/>
      <c r="V180" s="2"/>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row>
    <row r="181" spans="1:52" ht="18" customHeight="1" x14ac:dyDescent="0.35">
      <c r="A181" s="1"/>
      <c r="B181" s="23"/>
      <c r="C181" s="16"/>
      <c r="D181" s="16"/>
      <c r="E181" s="16"/>
      <c r="F181" s="16"/>
      <c r="G181" s="16"/>
      <c r="H181" s="16"/>
      <c r="I181" s="16"/>
      <c r="J181" s="16"/>
      <c r="K181" s="16"/>
      <c r="L181" s="16"/>
      <c r="M181" s="16"/>
      <c r="N181" s="16"/>
      <c r="O181" s="16"/>
      <c r="P181" s="16"/>
      <c r="Q181" s="16"/>
      <c r="R181" s="16"/>
      <c r="S181" s="16"/>
      <c r="T181" s="2"/>
      <c r="U181" s="2"/>
      <c r="V181" s="2"/>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row>
    <row r="182" spans="1:52" ht="18" customHeight="1" x14ac:dyDescent="0.35">
      <c r="A182" s="1"/>
      <c r="B182" s="23"/>
      <c r="C182" s="12"/>
      <c r="D182" s="12"/>
      <c r="E182" s="12"/>
      <c r="F182" s="16"/>
      <c r="G182" s="16"/>
      <c r="H182" s="16"/>
      <c r="I182" s="16"/>
      <c r="J182" s="16"/>
      <c r="K182" s="16"/>
      <c r="L182" s="16"/>
      <c r="M182" s="16"/>
      <c r="N182" s="16"/>
      <c r="O182" s="16"/>
      <c r="P182" s="16"/>
      <c r="Q182" s="16"/>
      <c r="R182" s="16"/>
      <c r="S182" s="16"/>
      <c r="T182" s="2"/>
      <c r="U182" s="2"/>
      <c r="V182" s="2"/>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row>
    <row r="183" spans="1:52" ht="18" customHeight="1" x14ac:dyDescent="0.35">
      <c r="A183" s="1"/>
      <c r="B183" s="1"/>
      <c r="C183" s="2"/>
      <c r="D183" s="2"/>
      <c r="E183" s="2"/>
      <c r="F183" s="12"/>
      <c r="G183" s="12"/>
      <c r="H183" s="12"/>
      <c r="I183" s="12"/>
      <c r="J183" s="12"/>
      <c r="K183" s="12"/>
      <c r="L183" s="12"/>
      <c r="M183" s="12"/>
      <c r="N183" s="12"/>
      <c r="O183" s="12"/>
      <c r="P183" s="12"/>
      <c r="Q183" s="12"/>
      <c r="R183" s="12"/>
      <c r="S183" s="12"/>
      <c r="T183" s="2"/>
      <c r="U183" s="2"/>
      <c r="V183" s="2"/>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row>
    <row r="184" spans="1:52" x14ac:dyDescent="0.35">
      <c r="A184" s="1"/>
      <c r="B184" s="1"/>
      <c r="C184" s="2"/>
      <c r="D184" s="2"/>
      <c r="E184" s="2"/>
      <c r="F184" s="2"/>
      <c r="G184" s="2"/>
      <c r="H184" s="2"/>
      <c r="I184" s="2"/>
      <c r="J184" s="2"/>
      <c r="K184" s="2"/>
      <c r="L184" s="2"/>
      <c r="M184" s="2"/>
      <c r="N184" s="2"/>
      <c r="O184" s="2"/>
      <c r="P184" s="2"/>
      <c r="Q184" s="2"/>
      <c r="R184" s="2"/>
      <c r="S184" s="2"/>
      <c r="T184" s="2"/>
      <c r="U184" s="2"/>
      <c r="V184" s="2"/>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row>
    <row r="185" spans="1:52" x14ac:dyDescent="0.35">
      <c r="A185" s="1"/>
      <c r="B185" s="1"/>
      <c r="C185" s="2"/>
      <c r="D185" s="2"/>
      <c r="E185" s="2"/>
      <c r="F185" s="2"/>
      <c r="G185" s="2"/>
      <c r="H185" s="2"/>
      <c r="I185" s="2"/>
      <c r="J185" s="2"/>
      <c r="K185" s="2"/>
      <c r="L185" s="2"/>
      <c r="M185" s="2"/>
      <c r="N185" s="2"/>
      <c r="O185" s="2"/>
      <c r="P185" s="2"/>
      <c r="Q185" s="2"/>
      <c r="R185" s="2"/>
      <c r="S185" s="2"/>
      <c r="T185" s="2"/>
      <c r="U185" s="2"/>
      <c r="V185" s="2"/>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row>
    <row r="186" spans="1:52" x14ac:dyDescent="0.35">
      <c r="A186" s="1"/>
      <c r="B186" s="1"/>
      <c r="C186" s="2"/>
      <c r="D186" s="2"/>
      <c r="E186" s="2"/>
      <c r="F186" s="2"/>
      <c r="G186" s="2"/>
      <c r="H186" s="2"/>
      <c r="I186" s="2"/>
      <c r="J186" s="2"/>
      <c r="K186" s="2"/>
      <c r="L186" s="2"/>
      <c r="M186" s="2"/>
      <c r="N186" s="2"/>
      <c r="O186" s="2"/>
      <c r="P186" s="2"/>
      <c r="Q186" s="2"/>
      <c r="R186" s="2"/>
      <c r="S186" s="2"/>
      <c r="T186" s="2"/>
      <c r="U186" s="2"/>
      <c r="V186" s="2"/>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row>
    <row r="187" spans="1:52" x14ac:dyDescent="0.35">
      <c r="A187" s="1"/>
      <c r="B187" s="1"/>
      <c r="C187" s="2"/>
      <c r="D187" s="2"/>
      <c r="E187" s="2"/>
      <c r="F187" s="2"/>
      <c r="G187" s="2"/>
      <c r="H187" s="2"/>
      <c r="I187" s="2"/>
      <c r="J187" s="2"/>
      <c r="K187" s="2"/>
      <c r="L187" s="2"/>
      <c r="M187" s="2"/>
      <c r="N187" s="2"/>
      <c r="O187" s="2"/>
      <c r="P187" s="2"/>
      <c r="Q187" s="2"/>
      <c r="R187" s="2"/>
      <c r="S187" s="2"/>
      <c r="T187" s="2"/>
      <c r="U187" s="2"/>
      <c r="V187" s="2"/>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row>
    <row r="188" spans="1:52" x14ac:dyDescent="0.35">
      <c r="A188" s="1"/>
      <c r="B188" s="1"/>
      <c r="C188" s="2"/>
      <c r="D188" s="2"/>
      <c r="E188" s="2"/>
      <c r="F188" s="2"/>
      <c r="G188" s="2"/>
      <c r="H188" s="2"/>
      <c r="I188" s="2"/>
      <c r="J188" s="2"/>
      <c r="K188" s="2"/>
      <c r="L188" s="2"/>
      <c r="M188" s="2"/>
      <c r="N188" s="2"/>
      <c r="O188" s="2"/>
      <c r="P188" s="2"/>
      <c r="Q188" s="2"/>
      <c r="R188" s="2"/>
      <c r="S188" s="2"/>
      <c r="T188" s="2"/>
      <c r="U188" s="2"/>
      <c r="V188" s="2"/>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row>
    <row r="189" spans="1:52" x14ac:dyDescent="0.35">
      <c r="A189" s="1"/>
      <c r="B189" s="1"/>
      <c r="C189" s="2"/>
      <c r="D189" s="2"/>
      <c r="E189" s="2"/>
      <c r="F189" s="2"/>
      <c r="G189" s="2"/>
      <c r="H189" s="2"/>
      <c r="I189" s="2"/>
      <c r="J189" s="2"/>
      <c r="K189" s="2"/>
      <c r="L189" s="2"/>
      <c r="M189" s="2"/>
      <c r="N189" s="2"/>
      <c r="O189" s="2"/>
      <c r="P189" s="2"/>
      <c r="Q189" s="2"/>
      <c r="R189" s="2"/>
      <c r="S189" s="2"/>
      <c r="T189" s="2"/>
      <c r="U189" s="2"/>
      <c r="V189" s="2"/>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row>
    <row r="190" spans="1:52" x14ac:dyDescent="0.35">
      <c r="A190" s="1"/>
      <c r="B190" s="1"/>
      <c r="C190" s="2"/>
      <c r="D190" s="2"/>
      <c r="E190" s="2"/>
      <c r="F190" s="2"/>
      <c r="G190" s="2"/>
      <c r="H190" s="2"/>
      <c r="I190" s="2"/>
      <c r="J190" s="2"/>
      <c r="K190" s="2"/>
      <c r="L190" s="2"/>
      <c r="M190" s="2"/>
      <c r="N190" s="2"/>
      <c r="O190" s="2"/>
      <c r="P190" s="2"/>
      <c r="Q190" s="2"/>
      <c r="R190" s="2"/>
      <c r="S190" s="2"/>
      <c r="T190" s="2"/>
      <c r="U190" s="2"/>
      <c r="V190" s="2"/>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row>
    <row r="191" spans="1:52" x14ac:dyDescent="0.35">
      <c r="A191" s="1"/>
      <c r="B191" s="1"/>
      <c r="C191" s="2"/>
      <c r="D191" s="2"/>
      <c r="E191" s="2"/>
      <c r="F191" s="2"/>
      <c r="G191" s="2"/>
      <c r="H191" s="2"/>
      <c r="I191" s="2"/>
      <c r="J191" s="2"/>
      <c r="K191" s="2"/>
      <c r="L191" s="2"/>
      <c r="M191" s="2"/>
      <c r="N191" s="2"/>
      <c r="O191" s="2"/>
      <c r="P191" s="2"/>
      <c r="Q191" s="2"/>
      <c r="R191" s="2"/>
      <c r="S191" s="2"/>
      <c r="T191" s="2"/>
      <c r="U191" s="2"/>
      <c r="V191" s="2"/>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row>
    <row r="192" spans="1:52" x14ac:dyDescent="0.35">
      <c r="A192" s="1"/>
      <c r="B192" s="1"/>
      <c r="C192" s="2"/>
      <c r="D192" s="2"/>
      <c r="E192" s="2"/>
      <c r="F192" s="2"/>
      <c r="G192" s="2"/>
      <c r="H192" s="2"/>
      <c r="I192" s="2"/>
      <c r="J192" s="2"/>
      <c r="K192" s="2"/>
      <c r="L192" s="2"/>
      <c r="M192" s="2"/>
      <c r="N192" s="2"/>
      <c r="O192" s="2"/>
      <c r="P192" s="2"/>
      <c r="Q192" s="2"/>
      <c r="R192" s="2"/>
      <c r="S192" s="2"/>
      <c r="T192" s="2"/>
      <c r="U192" s="2"/>
      <c r="V192" s="2"/>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row>
    <row r="193" spans="1:52" x14ac:dyDescent="0.35">
      <c r="A193" s="1"/>
      <c r="B193" s="1"/>
      <c r="C193" s="2"/>
      <c r="D193" s="2"/>
      <c r="E193" s="2"/>
      <c r="F193" s="2"/>
      <c r="G193" s="2"/>
      <c r="H193" s="2"/>
      <c r="I193" s="2"/>
      <c r="J193" s="2"/>
      <c r="K193" s="2"/>
      <c r="L193" s="2"/>
      <c r="M193" s="2"/>
      <c r="N193" s="2"/>
      <c r="O193" s="2"/>
      <c r="P193" s="2"/>
      <c r="Q193" s="2"/>
      <c r="R193" s="2"/>
      <c r="S193" s="2"/>
      <c r="T193" s="2"/>
      <c r="U193" s="2"/>
      <c r="V193" s="2"/>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row>
    <row r="194" spans="1:52" x14ac:dyDescent="0.35">
      <c r="A194" s="1"/>
      <c r="B194" s="1"/>
      <c r="C194" s="2"/>
      <c r="D194" s="2"/>
      <c r="E194" s="2"/>
      <c r="F194" s="2"/>
      <c r="G194" s="2"/>
      <c r="H194" s="2"/>
      <c r="I194" s="2"/>
      <c r="J194" s="2"/>
      <c r="K194" s="2"/>
      <c r="L194" s="2"/>
      <c r="M194" s="2"/>
      <c r="N194" s="2"/>
      <c r="O194" s="2"/>
      <c r="P194" s="2"/>
      <c r="Q194" s="2"/>
      <c r="R194" s="2"/>
      <c r="S194" s="2"/>
      <c r="T194" s="2"/>
      <c r="U194" s="2"/>
      <c r="V194" s="2"/>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row>
    <row r="195" spans="1:52" x14ac:dyDescent="0.35">
      <c r="A195" s="1"/>
      <c r="B195" s="1"/>
      <c r="C195" s="2"/>
      <c r="D195" s="2"/>
      <c r="E195" s="2"/>
      <c r="F195" s="2"/>
      <c r="G195" s="2"/>
      <c r="H195" s="2"/>
      <c r="I195" s="2"/>
      <c r="J195" s="2"/>
      <c r="K195" s="2"/>
      <c r="L195" s="2"/>
      <c r="M195" s="2"/>
      <c r="N195" s="2"/>
      <c r="O195" s="2"/>
      <c r="P195" s="2"/>
      <c r="Q195" s="2"/>
      <c r="R195" s="2"/>
      <c r="S195" s="2"/>
      <c r="T195" s="2"/>
      <c r="U195" s="2"/>
      <c r="V195" s="2"/>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row>
    <row r="196" spans="1:52" x14ac:dyDescent="0.35">
      <c r="A196" s="1"/>
      <c r="B196" s="1"/>
      <c r="C196" s="2"/>
      <c r="D196" s="2"/>
      <c r="E196" s="2"/>
      <c r="F196" s="2"/>
      <c r="G196" s="2"/>
      <c r="H196" s="2"/>
      <c r="I196" s="2"/>
      <c r="J196" s="2"/>
      <c r="K196" s="2"/>
      <c r="L196" s="2"/>
      <c r="M196" s="2"/>
      <c r="N196" s="2"/>
      <c r="O196" s="2"/>
      <c r="P196" s="2"/>
      <c r="Q196" s="2"/>
      <c r="R196" s="2"/>
      <c r="S196" s="2"/>
      <c r="T196" s="2"/>
      <c r="U196" s="2"/>
      <c r="V196" s="2"/>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row>
    <row r="197" spans="1:52" x14ac:dyDescent="0.35">
      <c r="A197" s="1"/>
      <c r="B197" s="1"/>
      <c r="C197" s="2"/>
      <c r="D197" s="2"/>
      <c r="E197" s="2"/>
      <c r="F197" s="2"/>
      <c r="G197" s="2"/>
      <c r="H197" s="2"/>
      <c r="I197" s="2"/>
      <c r="J197" s="2"/>
      <c r="K197" s="2"/>
      <c r="L197" s="2"/>
      <c r="M197" s="2"/>
      <c r="N197" s="2"/>
      <c r="O197" s="2"/>
      <c r="P197" s="2"/>
      <c r="Q197" s="2"/>
      <c r="R197" s="2"/>
      <c r="S197" s="2"/>
      <c r="T197" s="2"/>
      <c r="U197" s="2"/>
      <c r="V197" s="2"/>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row>
    <row r="198" spans="1:52" x14ac:dyDescent="0.35">
      <c r="A198" s="1"/>
      <c r="B198" s="1"/>
      <c r="C198" s="2"/>
      <c r="D198" s="2"/>
      <c r="E198" s="2"/>
      <c r="F198" s="2"/>
      <c r="G198" s="2"/>
      <c r="H198" s="2"/>
      <c r="I198" s="2"/>
      <c r="J198" s="2"/>
      <c r="K198" s="2"/>
      <c r="L198" s="2"/>
      <c r="M198" s="2"/>
      <c r="N198" s="2"/>
      <c r="O198" s="2"/>
      <c r="P198" s="2"/>
      <c r="Q198" s="2"/>
      <c r="R198" s="2"/>
      <c r="S198" s="2"/>
      <c r="T198" s="2"/>
      <c r="U198" s="2"/>
      <c r="V198" s="2"/>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row>
    <row r="199" spans="1:52" x14ac:dyDescent="0.35">
      <c r="A199" s="1"/>
      <c r="B199" s="1"/>
      <c r="C199" s="2"/>
      <c r="D199" s="2"/>
      <c r="E199" s="2"/>
      <c r="F199" s="2"/>
      <c r="G199" s="2"/>
      <c r="H199" s="2"/>
      <c r="I199" s="2"/>
      <c r="J199" s="2"/>
      <c r="K199" s="2"/>
      <c r="L199" s="2"/>
      <c r="M199" s="2"/>
      <c r="N199" s="2"/>
      <c r="O199" s="2"/>
      <c r="P199" s="2"/>
      <c r="Q199" s="2"/>
      <c r="R199" s="2"/>
      <c r="S199" s="2"/>
      <c r="T199" s="2"/>
      <c r="U199" s="2"/>
      <c r="V199" s="2"/>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row>
    <row r="200" spans="1:52" x14ac:dyDescent="0.35">
      <c r="A200" s="1"/>
      <c r="B200" s="1"/>
      <c r="C200" s="2"/>
      <c r="D200" s="2"/>
      <c r="E200" s="2"/>
      <c r="F200" s="2"/>
      <c r="G200" s="2"/>
      <c r="H200" s="2"/>
      <c r="I200" s="2"/>
      <c r="J200" s="2"/>
      <c r="K200" s="2"/>
      <c r="L200" s="2"/>
      <c r="M200" s="2"/>
      <c r="N200" s="2"/>
      <c r="O200" s="2"/>
      <c r="P200" s="2"/>
      <c r="Q200" s="2"/>
      <c r="R200" s="2"/>
      <c r="S200" s="2"/>
      <c r="T200" s="2"/>
      <c r="U200" s="2"/>
      <c r="V200" s="2"/>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row>
    <row r="201" spans="1:52" x14ac:dyDescent="0.35">
      <c r="A201" s="1"/>
      <c r="B201" s="1"/>
      <c r="C201" s="2"/>
      <c r="D201" s="2"/>
      <c r="E201" s="2"/>
      <c r="F201" s="2"/>
      <c r="G201" s="2"/>
      <c r="H201" s="2"/>
      <c r="I201" s="2"/>
      <c r="J201" s="2"/>
      <c r="K201" s="2"/>
      <c r="L201" s="2"/>
      <c r="M201" s="2"/>
      <c r="N201" s="2"/>
      <c r="O201" s="2"/>
      <c r="P201" s="2"/>
      <c r="Q201" s="2"/>
      <c r="R201" s="2"/>
      <c r="S201" s="2"/>
      <c r="T201" s="2"/>
      <c r="U201" s="2"/>
      <c r="V201" s="2"/>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row>
    <row r="202" spans="1:52" x14ac:dyDescent="0.35">
      <c r="A202" s="1"/>
      <c r="B202" s="1"/>
      <c r="C202" s="2"/>
      <c r="D202" s="2"/>
      <c r="E202" s="2"/>
      <c r="F202" s="2"/>
      <c r="G202" s="2"/>
      <c r="H202" s="2"/>
      <c r="I202" s="2"/>
      <c r="J202" s="2"/>
      <c r="K202" s="2"/>
      <c r="L202" s="2"/>
      <c r="M202" s="2"/>
      <c r="N202" s="2"/>
      <c r="O202" s="2"/>
      <c r="P202" s="2"/>
      <c r="Q202" s="2"/>
      <c r="R202" s="2"/>
      <c r="S202" s="2"/>
      <c r="T202" s="2"/>
      <c r="U202" s="2"/>
      <c r="V202" s="2"/>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row>
    <row r="203" spans="1:52" x14ac:dyDescent="0.35">
      <c r="A203" s="1"/>
      <c r="B203" s="1"/>
      <c r="C203" s="2"/>
      <c r="D203" s="2"/>
      <c r="E203" s="2"/>
      <c r="F203" s="2"/>
      <c r="G203" s="2"/>
      <c r="H203" s="2"/>
      <c r="I203" s="2"/>
      <c r="J203" s="2"/>
      <c r="K203" s="2"/>
      <c r="L203" s="2"/>
      <c r="M203" s="2"/>
      <c r="N203" s="2"/>
      <c r="O203" s="2"/>
      <c r="P203" s="2"/>
      <c r="Q203" s="2"/>
      <c r="R203" s="2"/>
      <c r="S203" s="2"/>
      <c r="T203" s="2"/>
      <c r="U203" s="2"/>
      <c r="V203" s="2"/>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row>
    <row r="204" spans="1:52" x14ac:dyDescent="0.35">
      <c r="A204" s="1"/>
      <c r="B204" s="1"/>
      <c r="C204" s="2"/>
      <c r="D204" s="2"/>
      <c r="E204" s="2"/>
      <c r="F204" s="2"/>
      <c r="G204" s="2"/>
      <c r="H204" s="2"/>
      <c r="I204" s="2"/>
      <c r="J204" s="2"/>
      <c r="K204" s="2"/>
      <c r="L204" s="2"/>
      <c r="M204" s="2"/>
      <c r="N204" s="2"/>
      <c r="O204" s="2"/>
      <c r="P204" s="2"/>
      <c r="Q204" s="2"/>
      <c r="R204" s="2"/>
      <c r="S204" s="2"/>
      <c r="T204" s="2"/>
      <c r="U204" s="2"/>
      <c r="V204" s="2"/>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row>
    <row r="205" spans="1:52" x14ac:dyDescent="0.35">
      <c r="A205" s="1"/>
      <c r="B205" s="1"/>
      <c r="C205" s="2"/>
      <c r="D205" s="2"/>
      <c r="E205" s="2"/>
      <c r="F205" s="2"/>
      <c r="G205" s="2"/>
      <c r="H205" s="2"/>
      <c r="I205" s="2"/>
      <c r="J205" s="2"/>
      <c r="K205" s="2"/>
      <c r="L205" s="2"/>
      <c r="M205" s="2"/>
      <c r="N205" s="2"/>
      <c r="O205" s="2"/>
      <c r="P205" s="2"/>
      <c r="Q205" s="2"/>
      <c r="R205" s="2"/>
      <c r="S205" s="2"/>
      <c r="T205" s="2"/>
      <c r="U205" s="2"/>
      <c r="V205" s="2"/>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row>
    <row r="206" spans="1:52" x14ac:dyDescent="0.35">
      <c r="A206" s="1"/>
      <c r="B206" s="1"/>
      <c r="C206" s="2"/>
      <c r="D206" s="2"/>
      <c r="E206" s="2"/>
      <c r="F206" s="2"/>
      <c r="G206" s="2"/>
      <c r="H206" s="2"/>
      <c r="I206" s="2"/>
      <c r="J206" s="2"/>
      <c r="K206" s="2"/>
      <c r="L206" s="2"/>
      <c r="M206" s="2"/>
      <c r="N206" s="2"/>
      <c r="O206" s="2"/>
      <c r="P206" s="2"/>
      <c r="Q206" s="2"/>
      <c r="R206" s="2"/>
      <c r="S206" s="2"/>
      <c r="T206" s="2"/>
      <c r="U206" s="2"/>
      <c r="V206" s="2"/>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row>
    <row r="207" spans="1:52" x14ac:dyDescent="0.35">
      <c r="A207" s="1"/>
      <c r="B207" s="1"/>
      <c r="C207" s="2"/>
      <c r="D207" s="2"/>
      <c r="E207" s="2"/>
      <c r="F207" s="2"/>
      <c r="G207" s="2"/>
      <c r="H207" s="2"/>
      <c r="I207" s="2"/>
      <c r="J207" s="2"/>
      <c r="K207" s="2"/>
      <c r="L207" s="2"/>
      <c r="M207" s="2"/>
      <c r="N207" s="2"/>
      <c r="O207" s="2"/>
      <c r="P207" s="2"/>
      <c r="Q207" s="2"/>
      <c r="R207" s="2"/>
      <c r="S207" s="2"/>
      <c r="T207" s="2"/>
      <c r="U207" s="2"/>
      <c r="V207" s="2"/>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row>
    <row r="208" spans="1:52" x14ac:dyDescent="0.35">
      <c r="A208" s="1"/>
      <c r="B208" s="1"/>
      <c r="C208" s="2"/>
      <c r="D208" s="2"/>
      <c r="E208" s="2"/>
      <c r="F208" s="2"/>
      <c r="G208" s="2"/>
      <c r="H208" s="2"/>
      <c r="I208" s="2"/>
      <c r="J208" s="2"/>
      <c r="K208" s="2"/>
      <c r="L208" s="2"/>
      <c r="M208" s="2"/>
      <c r="N208" s="2"/>
      <c r="O208" s="2"/>
      <c r="P208" s="2"/>
      <c r="Q208" s="2"/>
      <c r="R208" s="2"/>
      <c r="S208" s="2"/>
      <c r="T208" s="2"/>
      <c r="U208" s="2"/>
      <c r="V208" s="2"/>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row>
    <row r="209" spans="1:52" x14ac:dyDescent="0.35">
      <c r="A209" s="1"/>
      <c r="B209" s="1"/>
      <c r="C209" s="2"/>
      <c r="D209" s="2"/>
      <c r="E209" s="2"/>
      <c r="F209" s="2"/>
      <c r="G209" s="2"/>
      <c r="H209" s="2"/>
      <c r="I209" s="2"/>
      <c r="J209" s="2"/>
      <c r="K209" s="2"/>
      <c r="L209" s="2"/>
      <c r="M209" s="2"/>
      <c r="N209" s="2"/>
      <c r="O209" s="2"/>
      <c r="P209" s="2"/>
      <c r="Q209" s="2"/>
      <c r="R209" s="2"/>
      <c r="S209" s="2"/>
      <c r="T209" s="2"/>
      <c r="U209" s="2"/>
      <c r="V209" s="2"/>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row>
    <row r="210" spans="1:52" x14ac:dyDescent="0.35">
      <c r="A210" s="1"/>
      <c r="B210" s="1"/>
      <c r="C210" s="2"/>
      <c r="D210" s="2"/>
      <c r="E210" s="2"/>
      <c r="F210" s="2"/>
      <c r="G210" s="2"/>
      <c r="H210" s="2"/>
      <c r="I210" s="2"/>
      <c r="J210" s="2"/>
      <c r="K210" s="2"/>
      <c r="L210" s="2"/>
      <c r="M210" s="2"/>
      <c r="N210" s="2"/>
      <c r="O210" s="2"/>
      <c r="P210" s="2"/>
      <c r="Q210" s="2"/>
      <c r="R210" s="2"/>
      <c r="S210" s="2"/>
      <c r="T210" s="2"/>
      <c r="U210" s="2"/>
      <c r="V210" s="2"/>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row>
    <row r="211" spans="1:52" x14ac:dyDescent="0.35">
      <c r="A211" s="1"/>
      <c r="B211" s="1"/>
      <c r="C211" s="2"/>
      <c r="D211" s="2"/>
      <c r="E211" s="2"/>
      <c r="F211" s="2"/>
      <c r="G211" s="2"/>
      <c r="H211" s="2"/>
      <c r="I211" s="2"/>
      <c r="J211" s="2"/>
      <c r="K211" s="2"/>
      <c r="L211" s="2"/>
      <c r="M211" s="2"/>
      <c r="N211" s="2"/>
      <c r="O211" s="2"/>
      <c r="P211" s="2"/>
      <c r="Q211" s="2"/>
      <c r="R211" s="2"/>
      <c r="S211" s="2"/>
      <c r="T211" s="2"/>
      <c r="U211" s="2"/>
      <c r="V211" s="2"/>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row>
    <row r="212" spans="1:52" x14ac:dyDescent="0.35">
      <c r="A212" s="1"/>
      <c r="B212" s="1"/>
      <c r="C212" s="2"/>
      <c r="D212" s="2"/>
      <c r="E212" s="2"/>
      <c r="F212" s="2"/>
      <c r="G212" s="2"/>
      <c r="H212" s="2"/>
      <c r="I212" s="2"/>
      <c r="J212" s="2"/>
      <c r="K212" s="2"/>
      <c r="L212" s="2"/>
      <c r="M212" s="2"/>
      <c r="N212" s="2"/>
      <c r="O212" s="2"/>
      <c r="P212" s="2"/>
      <c r="Q212" s="2"/>
      <c r="R212" s="2"/>
      <c r="S212" s="2"/>
      <c r="T212" s="2"/>
      <c r="U212" s="2"/>
      <c r="V212" s="2"/>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row>
    <row r="213" spans="1:52" x14ac:dyDescent="0.35">
      <c r="A213" s="1"/>
      <c r="B213" s="1"/>
      <c r="C213" s="2"/>
      <c r="D213" s="2"/>
      <c r="E213" s="2"/>
      <c r="F213" s="2"/>
      <c r="G213" s="2"/>
      <c r="H213" s="2"/>
      <c r="I213" s="2"/>
      <c r="J213" s="2"/>
      <c r="K213" s="2"/>
      <c r="L213" s="2"/>
      <c r="M213" s="2"/>
      <c r="N213" s="2"/>
      <c r="O213" s="2"/>
      <c r="P213" s="2"/>
      <c r="Q213" s="2"/>
      <c r="R213" s="2"/>
      <c r="S213" s="2"/>
      <c r="T213" s="2"/>
      <c r="U213" s="2"/>
      <c r="V213" s="2"/>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row>
    <row r="214" spans="1:52" x14ac:dyDescent="0.35">
      <c r="A214" s="1"/>
      <c r="B214" s="1"/>
      <c r="C214" s="2"/>
      <c r="D214" s="2"/>
      <c r="E214" s="2"/>
      <c r="F214" s="2"/>
      <c r="G214" s="2"/>
      <c r="H214" s="2"/>
      <c r="I214" s="2"/>
      <c r="J214" s="2"/>
      <c r="K214" s="2"/>
      <c r="L214" s="2"/>
      <c r="M214" s="2"/>
      <c r="N214" s="2"/>
      <c r="O214" s="2"/>
      <c r="P214" s="2"/>
      <c r="Q214" s="2"/>
      <c r="R214" s="2"/>
      <c r="S214" s="2"/>
      <c r="T214" s="2"/>
      <c r="U214" s="2"/>
      <c r="V214" s="2"/>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row>
    <row r="215" spans="1:52" x14ac:dyDescent="0.35">
      <c r="A215" s="1"/>
      <c r="B215" s="1"/>
      <c r="C215" s="2"/>
      <c r="D215" s="2"/>
      <c r="E215" s="2"/>
      <c r="F215" s="2"/>
      <c r="G215" s="2"/>
      <c r="H215" s="2"/>
      <c r="I215" s="2"/>
      <c r="J215" s="2"/>
      <c r="K215" s="2"/>
      <c r="L215" s="2"/>
      <c r="M215" s="2"/>
      <c r="N215" s="2"/>
      <c r="O215" s="2"/>
      <c r="P215" s="2"/>
      <c r="Q215" s="2"/>
      <c r="R215" s="2"/>
      <c r="S215" s="2"/>
      <c r="T215" s="2"/>
      <c r="U215" s="2"/>
      <c r="V215" s="2"/>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row>
    <row r="216" spans="1:52" x14ac:dyDescent="0.35">
      <c r="A216" s="1"/>
      <c r="B216" s="1"/>
      <c r="C216" s="2"/>
      <c r="D216" s="2"/>
      <c r="E216" s="2"/>
      <c r="F216" s="2"/>
      <c r="G216" s="2"/>
      <c r="H216" s="2"/>
      <c r="I216" s="2"/>
      <c r="J216" s="2"/>
      <c r="K216" s="2"/>
      <c r="L216" s="2"/>
      <c r="M216" s="2"/>
      <c r="N216" s="2"/>
      <c r="O216" s="2"/>
      <c r="P216" s="2"/>
      <c r="Q216" s="2"/>
      <c r="R216" s="2"/>
      <c r="S216" s="2"/>
      <c r="T216" s="2"/>
      <c r="U216" s="2"/>
      <c r="V216" s="2"/>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row>
    <row r="217" spans="1:52" x14ac:dyDescent="0.35">
      <c r="A217" s="1"/>
      <c r="B217" s="1"/>
      <c r="C217" s="2"/>
      <c r="D217" s="2"/>
      <c r="E217" s="2"/>
      <c r="F217" s="2"/>
      <c r="G217" s="2"/>
      <c r="H217" s="2"/>
      <c r="I217" s="2"/>
      <c r="J217" s="2"/>
      <c r="K217" s="2"/>
      <c r="L217" s="2"/>
      <c r="M217" s="2"/>
      <c r="N217" s="2"/>
      <c r="O217" s="2"/>
      <c r="P217" s="2"/>
      <c r="Q217" s="2"/>
      <c r="R217" s="2"/>
      <c r="S217" s="2"/>
      <c r="T217" s="2"/>
      <c r="U217" s="2"/>
      <c r="V217" s="2"/>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row>
    <row r="218" spans="1:52" x14ac:dyDescent="0.35">
      <c r="A218" s="1"/>
      <c r="B218" s="1"/>
      <c r="C218" s="2"/>
      <c r="D218" s="2"/>
      <c r="E218" s="2"/>
      <c r="F218" s="2"/>
      <c r="G218" s="2"/>
      <c r="H218" s="2"/>
      <c r="I218" s="2"/>
      <c r="J218" s="2"/>
      <c r="K218" s="2"/>
      <c r="L218" s="2"/>
      <c r="M218" s="2"/>
      <c r="N218" s="2"/>
      <c r="O218" s="2"/>
      <c r="P218" s="2"/>
      <c r="Q218" s="2"/>
      <c r="R218" s="2"/>
      <c r="S218" s="2"/>
      <c r="T218" s="2"/>
      <c r="U218" s="2"/>
      <c r="V218" s="2"/>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row>
    <row r="219" spans="1:52" x14ac:dyDescent="0.35">
      <c r="A219" s="1"/>
      <c r="B219" s="1"/>
      <c r="C219" s="2"/>
      <c r="D219" s="2"/>
      <c r="E219" s="2"/>
      <c r="F219" s="2"/>
      <c r="G219" s="2"/>
      <c r="H219" s="2"/>
      <c r="I219" s="2"/>
      <c r="J219" s="2"/>
      <c r="K219" s="2"/>
      <c r="L219" s="2"/>
      <c r="M219" s="2"/>
      <c r="N219" s="2"/>
      <c r="O219" s="2"/>
      <c r="P219" s="2"/>
      <c r="Q219" s="2"/>
      <c r="R219" s="2"/>
      <c r="S219" s="2"/>
      <c r="T219" s="2"/>
      <c r="U219" s="2"/>
      <c r="V219" s="2"/>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row>
    <row r="220" spans="1:52" x14ac:dyDescent="0.35">
      <c r="A220" s="1"/>
      <c r="B220" s="1"/>
      <c r="C220" s="2"/>
      <c r="D220" s="2"/>
      <c r="E220" s="2"/>
      <c r="F220" s="2"/>
      <c r="G220" s="2"/>
      <c r="H220" s="2"/>
      <c r="I220" s="2"/>
      <c r="J220" s="2"/>
      <c r="K220" s="2"/>
      <c r="L220" s="2"/>
      <c r="M220" s="2"/>
      <c r="N220" s="2"/>
      <c r="O220" s="2"/>
      <c r="P220" s="2"/>
      <c r="Q220" s="2"/>
      <c r="R220" s="2"/>
      <c r="S220" s="2"/>
      <c r="T220" s="2"/>
      <c r="U220" s="2"/>
      <c r="V220" s="2"/>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row>
    <row r="221" spans="1:52" x14ac:dyDescent="0.35">
      <c r="A221" s="1"/>
      <c r="B221" s="1"/>
      <c r="C221" s="2"/>
      <c r="D221" s="2"/>
      <c r="E221" s="2"/>
      <c r="F221" s="2"/>
      <c r="G221" s="2"/>
      <c r="H221" s="2"/>
      <c r="I221" s="2"/>
      <c r="J221" s="2"/>
      <c r="K221" s="2"/>
      <c r="L221" s="2"/>
      <c r="M221" s="2"/>
      <c r="N221" s="2"/>
      <c r="O221" s="2"/>
      <c r="P221" s="2"/>
      <c r="Q221" s="2"/>
      <c r="R221" s="2"/>
      <c r="S221" s="2"/>
      <c r="T221" s="2"/>
      <c r="U221" s="2"/>
      <c r="V221" s="2"/>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row>
    <row r="222" spans="1:52" x14ac:dyDescent="0.35">
      <c r="A222" s="1"/>
      <c r="B222" s="1"/>
      <c r="C222" s="2"/>
      <c r="D222" s="2"/>
      <c r="E222" s="2"/>
      <c r="F222" s="2"/>
      <c r="G222" s="2"/>
      <c r="H222" s="2"/>
      <c r="I222" s="2"/>
      <c r="J222" s="2"/>
      <c r="K222" s="2"/>
      <c r="L222" s="2"/>
      <c r="M222" s="2"/>
      <c r="N222" s="2"/>
      <c r="O222" s="2"/>
      <c r="P222" s="2"/>
      <c r="Q222" s="2"/>
      <c r="R222" s="2"/>
      <c r="S222" s="2"/>
      <c r="T222" s="2"/>
      <c r="U222" s="2"/>
      <c r="V222" s="2"/>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row>
    <row r="223" spans="1:52" x14ac:dyDescent="0.35">
      <c r="A223" s="1"/>
      <c r="B223" s="1"/>
      <c r="C223" s="2"/>
      <c r="D223" s="2"/>
      <c r="E223" s="2"/>
      <c r="F223" s="2"/>
      <c r="G223" s="2"/>
      <c r="H223" s="2"/>
      <c r="I223" s="2"/>
      <c r="J223" s="2"/>
      <c r="K223" s="2"/>
      <c r="L223" s="2"/>
      <c r="M223" s="2"/>
      <c r="N223" s="2"/>
      <c r="O223" s="2"/>
      <c r="P223" s="2"/>
      <c r="Q223" s="2"/>
      <c r="R223" s="2"/>
      <c r="S223" s="2"/>
      <c r="T223" s="2"/>
      <c r="U223" s="2"/>
      <c r="V223" s="2"/>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row>
    <row r="224" spans="1:52" x14ac:dyDescent="0.35">
      <c r="A224" s="1"/>
      <c r="B224" s="1"/>
      <c r="C224" s="2"/>
      <c r="D224" s="2"/>
      <c r="E224" s="2"/>
      <c r="F224" s="2"/>
      <c r="G224" s="2"/>
      <c r="H224" s="2"/>
      <c r="I224" s="2"/>
      <c r="J224" s="2"/>
      <c r="K224" s="2"/>
      <c r="L224" s="2"/>
      <c r="M224" s="2"/>
      <c r="N224" s="2"/>
      <c r="O224" s="2"/>
      <c r="P224" s="2"/>
      <c r="Q224" s="2"/>
      <c r="R224" s="2"/>
      <c r="S224" s="2"/>
      <c r="T224" s="2"/>
      <c r="U224" s="2"/>
      <c r="V224" s="2"/>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row>
    <row r="225" spans="1:52" x14ac:dyDescent="0.35">
      <c r="A225" s="1"/>
      <c r="B225" s="1"/>
      <c r="C225" s="2"/>
      <c r="D225" s="2"/>
      <c r="E225" s="2"/>
      <c r="F225" s="2"/>
      <c r="G225" s="2"/>
      <c r="H225" s="2"/>
      <c r="I225" s="2"/>
      <c r="J225" s="2"/>
      <c r="K225" s="2"/>
      <c r="L225" s="2"/>
      <c r="M225" s="2"/>
      <c r="N225" s="2"/>
      <c r="O225" s="2"/>
      <c r="P225" s="2"/>
      <c r="Q225" s="2"/>
      <c r="R225" s="2"/>
      <c r="S225" s="2"/>
      <c r="T225" s="2"/>
      <c r="U225" s="2"/>
      <c r="V225" s="2"/>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row>
    <row r="226" spans="1:52" x14ac:dyDescent="0.35">
      <c r="A226" s="1"/>
      <c r="B226" s="1"/>
      <c r="C226" s="2"/>
      <c r="D226" s="2"/>
      <c r="E226" s="2"/>
      <c r="F226" s="2"/>
      <c r="G226" s="2"/>
      <c r="H226" s="2"/>
      <c r="I226" s="2"/>
      <c r="J226" s="2"/>
      <c r="K226" s="2"/>
      <c r="L226" s="2"/>
      <c r="M226" s="2"/>
      <c r="N226" s="2"/>
      <c r="O226" s="2"/>
      <c r="P226" s="2"/>
      <c r="Q226" s="2"/>
      <c r="R226" s="2"/>
      <c r="S226" s="2"/>
      <c r="T226" s="2"/>
      <c r="U226" s="2"/>
      <c r="V226" s="2"/>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row>
    <row r="227" spans="1:52" x14ac:dyDescent="0.35">
      <c r="A227" s="1"/>
      <c r="B227" s="1"/>
      <c r="C227" s="2"/>
      <c r="D227" s="2"/>
      <c r="E227" s="2"/>
      <c r="F227" s="2"/>
      <c r="G227" s="2"/>
      <c r="H227" s="2"/>
      <c r="I227" s="2"/>
      <c r="J227" s="2"/>
      <c r="K227" s="2"/>
      <c r="L227" s="2"/>
      <c r="M227" s="2"/>
      <c r="N227" s="2"/>
      <c r="O227" s="2"/>
      <c r="P227" s="2"/>
      <c r="Q227" s="2"/>
      <c r="R227" s="2"/>
      <c r="S227" s="2"/>
      <c r="T227" s="2"/>
      <c r="U227" s="2"/>
      <c r="V227" s="2"/>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row>
    <row r="228" spans="1:52" x14ac:dyDescent="0.35">
      <c r="A228" s="1"/>
      <c r="B228" s="1"/>
      <c r="C228" s="2"/>
      <c r="D228" s="2"/>
      <c r="E228" s="2"/>
      <c r="F228" s="2"/>
      <c r="G228" s="2"/>
      <c r="H228" s="2"/>
      <c r="I228" s="2"/>
      <c r="J228" s="2"/>
      <c r="K228" s="2"/>
      <c r="L228" s="2"/>
      <c r="M228" s="2"/>
      <c r="N228" s="2"/>
      <c r="O228" s="2"/>
      <c r="P228" s="2"/>
      <c r="Q228" s="2"/>
      <c r="R228" s="2"/>
      <c r="S228" s="2"/>
      <c r="T228" s="2"/>
      <c r="U228" s="2"/>
      <c r="V228" s="2"/>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row>
    <row r="229" spans="1:52" x14ac:dyDescent="0.35">
      <c r="A229" s="1"/>
      <c r="B229" s="1"/>
      <c r="C229" s="2"/>
      <c r="D229" s="2"/>
      <c r="E229" s="2"/>
      <c r="F229" s="2"/>
      <c r="G229" s="2"/>
      <c r="H229" s="2"/>
      <c r="I229" s="2"/>
      <c r="J229" s="2"/>
      <c r="K229" s="2"/>
      <c r="L229" s="2"/>
      <c r="M229" s="2"/>
      <c r="N229" s="2"/>
      <c r="O229" s="2"/>
      <c r="P229" s="2"/>
      <c r="Q229" s="2"/>
      <c r="R229" s="2"/>
      <c r="S229" s="2"/>
      <c r="T229" s="2"/>
      <c r="U229" s="2"/>
      <c r="V229" s="2"/>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row>
    <row r="230" spans="1:52" x14ac:dyDescent="0.35">
      <c r="A230" s="1"/>
      <c r="B230" s="1"/>
      <c r="C230" s="2"/>
      <c r="D230" s="2"/>
      <c r="E230" s="2"/>
      <c r="F230" s="2"/>
      <c r="G230" s="2"/>
      <c r="H230" s="2"/>
      <c r="I230" s="2"/>
      <c r="J230" s="2"/>
      <c r="K230" s="2"/>
      <c r="L230" s="2"/>
      <c r="M230" s="2"/>
      <c r="N230" s="2"/>
      <c r="O230" s="2"/>
      <c r="P230" s="2"/>
      <c r="Q230" s="2"/>
      <c r="R230" s="2"/>
      <c r="S230" s="2"/>
      <c r="T230" s="2"/>
      <c r="U230" s="2"/>
      <c r="V230" s="2"/>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row>
    <row r="231" spans="1:52" x14ac:dyDescent="0.35">
      <c r="A231" s="1"/>
      <c r="B231" s="1"/>
      <c r="C231" s="2"/>
      <c r="D231" s="2"/>
      <c r="E231" s="2"/>
      <c r="F231" s="2"/>
      <c r="G231" s="2"/>
      <c r="H231" s="2"/>
      <c r="I231" s="2"/>
      <c r="J231" s="2"/>
      <c r="K231" s="2"/>
      <c r="L231" s="2"/>
      <c r="M231" s="2"/>
      <c r="N231" s="2"/>
      <c r="O231" s="2"/>
      <c r="P231" s="2"/>
      <c r="Q231" s="2"/>
      <c r="R231" s="2"/>
      <c r="S231" s="2"/>
      <c r="T231" s="2"/>
      <c r="U231" s="2"/>
      <c r="V231" s="2"/>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row>
    <row r="232" spans="1:52" x14ac:dyDescent="0.35">
      <c r="A232" s="1"/>
      <c r="B232" s="1"/>
      <c r="C232" s="2"/>
      <c r="D232" s="2"/>
      <c r="E232" s="2"/>
      <c r="F232" s="2"/>
      <c r="G232" s="2"/>
      <c r="H232" s="2"/>
      <c r="I232" s="2"/>
      <c r="J232" s="2"/>
      <c r="K232" s="2"/>
      <c r="L232" s="2"/>
      <c r="M232" s="2"/>
      <c r="N232" s="2"/>
      <c r="O232" s="2"/>
      <c r="P232" s="2"/>
      <c r="Q232" s="2"/>
      <c r="R232" s="2"/>
      <c r="S232" s="2"/>
      <c r="T232" s="2"/>
      <c r="U232" s="2"/>
      <c r="V232" s="2"/>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row>
    <row r="233" spans="1:52" x14ac:dyDescent="0.35">
      <c r="A233" s="1"/>
      <c r="B233" s="1"/>
      <c r="C233" s="2"/>
      <c r="D233" s="2"/>
      <c r="E233" s="2"/>
      <c r="F233" s="2"/>
      <c r="G233" s="2"/>
      <c r="H233" s="2"/>
      <c r="I233" s="2"/>
      <c r="J233" s="2"/>
      <c r="K233" s="2"/>
      <c r="L233" s="2"/>
      <c r="M233" s="2"/>
      <c r="N233" s="2"/>
      <c r="O233" s="2"/>
      <c r="P233" s="2"/>
      <c r="Q233" s="2"/>
      <c r="R233" s="2"/>
      <c r="S233" s="2"/>
      <c r="T233" s="2"/>
      <c r="U233" s="2"/>
      <c r="V233" s="2"/>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row>
    <row r="234" spans="1:52" x14ac:dyDescent="0.35">
      <c r="A234" s="1"/>
      <c r="B234" s="1"/>
      <c r="C234" s="2"/>
      <c r="D234" s="2"/>
      <c r="E234" s="2"/>
      <c r="F234" s="2"/>
      <c r="G234" s="2"/>
      <c r="H234" s="2"/>
      <c r="I234" s="2"/>
      <c r="J234" s="2"/>
      <c r="K234" s="2"/>
      <c r="L234" s="2"/>
      <c r="M234" s="2"/>
      <c r="N234" s="2"/>
      <c r="O234" s="2"/>
      <c r="P234" s="2"/>
      <c r="Q234" s="2"/>
      <c r="R234" s="2"/>
      <c r="S234" s="2"/>
      <c r="T234" s="2"/>
      <c r="U234" s="2"/>
      <c r="V234" s="2"/>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row>
    <row r="235" spans="1:52" x14ac:dyDescent="0.35">
      <c r="A235" s="1"/>
      <c r="B235" s="1"/>
      <c r="C235" s="2"/>
      <c r="D235" s="2"/>
      <c r="E235" s="2"/>
      <c r="F235" s="2"/>
      <c r="G235" s="2"/>
      <c r="H235" s="2"/>
      <c r="I235" s="2"/>
      <c r="J235" s="2"/>
      <c r="K235" s="2"/>
      <c r="L235" s="2"/>
      <c r="M235" s="2"/>
      <c r="N235" s="2"/>
      <c r="O235" s="2"/>
      <c r="P235" s="2"/>
      <c r="Q235" s="2"/>
      <c r="R235" s="2"/>
      <c r="S235" s="2"/>
      <c r="T235" s="2"/>
      <c r="U235" s="2"/>
      <c r="V235" s="2"/>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row>
    <row r="236" spans="1:52" x14ac:dyDescent="0.35">
      <c r="A236" s="1"/>
      <c r="B236" s="1"/>
      <c r="C236" s="2"/>
      <c r="D236" s="2"/>
      <c r="E236" s="2"/>
      <c r="F236" s="2"/>
      <c r="G236" s="2"/>
      <c r="H236" s="2"/>
      <c r="I236" s="2"/>
      <c r="J236" s="2"/>
      <c r="K236" s="2"/>
      <c r="L236" s="2"/>
      <c r="M236" s="2"/>
      <c r="N236" s="2"/>
      <c r="O236" s="2"/>
      <c r="P236" s="2"/>
      <c r="Q236" s="2"/>
      <c r="R236" s="2"/>
      <c r="S236" s="2"/>
      <c r="T236" s="2"/>
      <c r="U236" s="2"/>
      <c r="V236" s="2"/>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row>
    <row r="237" spans="1:52" x14ac:dyDescent="0.35">
      <c r="A237" s="1"/>
      <c r="B237" s="1"/>
      <c r="C237" s="2"/>
      <c r="D237" s="2"/>
      <c r="E237" s="2"/>
      <c r="F237" s="2"/>
      <c r="G237" s="2"/>
      <c r="H237" s="2"/>
      <c r="I237" s="2"/>
      <c r="J237" s="2"/>
      <c r="K237" s="2"/>
      <c r="L237" s="2"/>
      <c r="M237" s="2"/>
      <c r="N237" s="2"/>
      <c r="O237" s="2"/>
      <c r="P237" s="2"/>
      <c r="Q237" s="2"/>
      <c r="R237" s="2"/>
      <c r="S237" s="2"/>
      <c r="T237" s="2"/>
      <c r="U237" s="2"/>
      <c r="V237" s="2"/>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row>
    <row r="238" spans="1:52" x14ac:dyDescent="0.35">
      <c r="A238" s="1"/>
      <c r="B238" s="1"/>
      <c r="C238" s="2"/>
      <c r="D238" s="2"/>
      <c r="E238" s="2"/>
      <c r="F238" s="2"/>
      <c r="G238" s="2"/>
      <c r="H238" s="2"/>
      <c r="I238" s="2"/>
      <c r="J238" s="2"/>
      <c r="K238" s="2"/>
      <c r="L238" s="2"/>
      <c r="M238" s="2"/>
      <c r="N238" s="2"/>
      <c r="O238" s="2"/>
      <c r="P238" s="2"/>
      <c r="Q238" s="2"/>
      <c r="R238" s="2"/>
      <c r="S238" s="2"/>
      <c r="T238" s="2"/>
      <c r="U238" s="2"/>
      <c r="V238" s="2"/>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row>
    <row r="239" spans="1:52" x14ac:dyDescent="0.35">
      <c r="A239" s="1"/>
      <c r="B239" s="1"/>
      <c r="C239" s="2"/>
      <c r="D239" s="2"/>
      <c r="E239" s="2"/>
      <c r="F239" s="2"/>
      <c r="G239" s="2"/>
      <c r="H239" s="2"/>
      <c r="I239" s="2"/>
      <c r="J239" s="2"/>
      <c r="K239" s="2"/>
      <c r="L239" s="2"/>
      <c r="M239" s="2"/>
      <c r="N239" s="2"/>
      <c r="O239" s="2"/>
      <c r="P239" s="2"/>
      <c r="Q239" s="2"/>
      <c r="R239" s="2"/>
      <c r="S239" s="2"/>
      <c r="T239" s="2"/>
      <c r="U239" s="2"/>
      <c r="V239" s="2"/>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row>
    <row r="240" spans="1:52" x14ac:dyDescent="0.35">
      <c r="A240" s="1"/>
      <c r="B240" s="1"/>
      <c r="C240" s="2"/>
      <c r="D240" s="2"/>
      <c r="E240" s="2"/>
      <c r="F240" s="2"/>
      <c r="G240" s="2"/>
      <c r="H240" s="2"/>
      <c r="I240" s="2"/>
      <c r="J240" s="2"/>
      <c r="K240" s="2"/>
      <c r="L240" s="2"/>
      <c r="M240" s="2"/>
      <c r="N240" s="2"/>
      <c r="O240" s="2"/>
      <c r="P240" s="2"/>
      <c r="Q240" s="2"/>
      <c r="R240" s="2"/>
      <c r="S240" s="2"/>
      <c r="T240" s="2"/>
      <c r="U240" s="2"/>
      <c r="V240" s="2"/>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row>
    <row r="241" spans="1:52" x14ac:dyDescent="0.35">
      <c r="A241" s="1"/>
      <c r="B241" s="1"/>
      <c r="C241" s="2"/>
      <c r="D241" s="2"/>
      <c r="E241" s="2"/>
      <c r="F241" s="2"/>
      <c r="G241" s="2"/>
      <c r="H241" s="2"/>
      <c r="I241" s="2"/>
      <c r="J241" s="2"/>
      <c r="K241" s="2"/>
      <c r="L241" s="2"/>
      <c r="M241" s="2"/>
      <c r="N241" s="2"/>
      <c r="O241" s="2"/>
      <c r="P241" s="2"/>
      <c r="Q241" s="2"/>
      <c r="R241" s="2"/>
      <c r="S241" s="2"/>
      <c r="T241" s="2"/>
      <c r="U241" s="2"/>
      <c r="V241" s="2"/>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row>
    <row r="242" spans="1:52" x14ac:dyDescent="0.35">
      <c r="A242" s="1"/>
      <c r="B242" s="1"/>
      <c r="C242" s="2"/>
      <c r="D242" s="2"/>
      <c r="E242" s="2"/>
      <c r="F242" s="2"/>
      <c r="G242" s="2"/>
      <c r="H242" s="2"/>
      <c r="I242" s="2"/>
      <c r="J242" s="2"/>
      <c r="K242" s="2"/>
      <c r="L242" s="2"/>
      <c r="M242" s="2"/>
      <c r="N242" s="2"/>
      <c r="O242" s="2"/>
      <c r="P242" s="2"/>
      <c r="Q242" s="2"/>
      <c r="R242" s="2"/>
      <c r="S242" s="2"/>
      <c r="T242" s="2"/>
      <c r="U242" s="2"/>
      <c r="V242" s="2"/>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row>
    <row r="243" spans="1:52" x14ac:dyDescent="0.35">
      <c r="A243" s="1"/>
      <c r="B243" s="1"/>
      <c r="C243" s="2"/>
      <c r="D243" s="2"/>
      <c r="E243" s="2"/>
      <c r="F243" s="2"/>
      <c r="G243" s="2"/>
      <c r="H243" s="2"/>
      <c r="I243" s="2"/>
      <c r="J243" s="2"/>
      <c r="K243" s="2"/>
      <c r="L243" s="2"/>
      <c r="M243" s="2"/>
      <c r="N243" s="2"/>
      <c r="O243" s="2"/>
      <c r="P243" s="2"/>
      <c r="Q243" s="2"/>
      <c r="R243" s="2"/>
      <c r="S243" s="2"/>
      <c r="T243" s="2"/>
      <c r="U243" s="2"/>
      <c r="V243" s="2"/>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row>
    <row r="244" spans="1:52" x14ac:dyDescent="0.35">
      <c r="A244" s="1"/>
      <c r="B244" s="1"/>
      <c r="C244" s="2"/>
      <c r="D244" s="2"/>
      <c r="E244" s="2"/>
      <c r="F244" s="2"/>
      <c r="G244" s="2"/>
      <c r="H244" s="2"/>
      <c r="I244" s="2"/>
      <c r="J244" s="2"/>
      <c r="K244" s="2"/>
      <c r="L244" s="2"/>
      <c r="M244" s="2"/>
      <c r="N244" s="2"/>
      <c r="O244" s="2"/>
      <c r="P244" s="2"/>
      <c r="Q244" s="2"/>
      <c r="R244" s="2"/>
      <c r="S244" s="2"/>
      <c r="T244" s="2"/>
      <c r="U244" s="2"/>
      <c r="V244" s="2"/>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row>
    <row r="245" spans="1:52" x14ac:dyDescent="0.35">
      <c r="A245" s="1"/>
      <c r="B245" s="1"/>
      <c r="C245" s="2"/>
      <c r="D245" s="2"/>
      <c r="E245" s="2"/>
      <c r="F245" s="2"/>
      <c r="G245" s="2"/>
      <c r="H245" s="2"/>
      <c r="I245" s="2"/>
      <c r="J245" s="2"/>
      <c r="K245" s="2"/>
      <c r="L245" s="2"/>
      <c r="M245" s="2"/>
      <c r="N245" s="2"/>
      <c r="O245" s="2"/>
      <c r="P245" s="2"/>
      <c r="Q245" s="2"/>
      <c r="R245" s="2"/>
      <c r="S245" s="2"/>
      <c r="T245" s="2"/>
      <c r="U245" s="2"/>
      <c r="V245" s="2"/>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row>
    <row r="246" spans="1:52" x14ac:dyDescent="0.35">
      <c r="A246" s="1"/>
      <c r="B246" s="1"/>
      <c r="C246" s="2"/>
      <c r="D246" s="2"/>
      <c r="E246" s="2"/>
      <c r="F246" s="2"/>
      <c r="G246" s="2"/>
      <c r="H246" s="2"/>
      <c r="I246" s="2"/>
      <c r="J246" s="2"/>
      <c r="K246" s="2"/>
      <c r="L246" s="2"/>
      <c r="M246" s="2"/>
      <c r="N246" s="2"/>
      <c r="O246" s="2"/>
      <c r="P246" s="2"/>
      <c r="Q246" s="2"/>
      <c r="R246" s="2"/>
      <c r="S246" s="2"/>
      <c r="T246" s="2"/>
      <c r="U246" s="2"/>
      <c r="V246" s="2"/>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row>
    <row r="247" spans="1:52" x14ac:dyDescent="0.35">
      <c r="A247" s="1"/>
      <c r="B247" s="1"/>
      <c r="C247" s="2"/>
      <c r="D247" s="2"/>
      <c r="E247" s="2"/>
      <c r="F247" s="2"/>
      <c r="G247" s="2"/>
      <c r="H247" s="2"/>
      <c r="I247" s="2"/>
      <c r="J247" s="2"/>
      <c r="K247" s="2"/>
      <c r="L247" s="2"/>
      <c r="M247" s="2"/>
      <c r="N247" s="2"/>
      <c r="O247" s="2"/>
      <c r="P247" s="2"/>
      <c r="Q247" s="2"/>
      <c r="R247" s="2"/>
      <c r="S247" s="2"/>
      <c r="T247" s="2"/>
      <c r="U247" s="2"/>
      <c r="V247" s="2"/>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row>
    <row r="248" spans="1:52" x14ac:dyDescent="0.35">
      <c r="A248" s="1"/>
      <c r="B248" s="1"/>
      <c r="C248" s="2"/>
      <c r="D248" s="2"/>
      <c r="E248" s="2"/>
      <c r="F248" s="2"/>
      <c r="G248" s="2"/>
      <c r="H248" s="2"/>
      <c r="I248" s="2"/>
      <c r="J248" s="2"/>
      <c r="K248" s="2"/>
      <c r="L248" s="2"/>
      <c r="M248" s="2"/>
      <c r="N248" s="2"/>
      <c r="O248" s="2"/>
      <c r="P248" s="2"/>
      <c r="Q248" s="2"/>
      <c r="R248" s="2"/>
      <c r="S248" s="2"/>
      <c r="T248" s="2"/>
      <c r="U248" s="2"/>
      <c r="V248" s="2"/>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row>
    <row r="249" spans="1:52" x14ac:dyDescent="0.35">
      <c r="A249" s="1"/>
      <c r="B249" s="1"/>
      <c r="C249" s="2"/>
      <c r="D249" s="2"/>
      <c r="E249" s="2"/>
      <c r="F249" s="2"/>
      <c r="G249" s="2"/>
      <c r="H249" s="2"/>
      <c r="I249" s="2"/>
      <c r="J249" s="2"/>
      <c r="K249" s="2"/>
      <c r="L249" s="2"/>
      <c r="M249" s="2"/>
      <c r="N249" s="2"/>
      <c r="O249" s="2"/>
      <c r="P249" s="2"/>
      <c r="Q249" s="2"/>
      <c r="R249" s="2"/>
      <c r="S249" s="2"/>
      <c r="T249" s="2"/>
      <c r="U249" s="2"/>
      <c r="V249" s="2"/>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row>
    <row r="250" spans="1:52" x14ac:dyDescent="0.35">
      <c r="A250" s="1"/>
      <c r="B250" s="1"/>
      <c r="C250" s="2"/>
      <c r="D250" s="2"/>
      <c r="E250" s="2"/>
      <c r="F250" s="2"/>
      <c r="G250" s="2"/>
      <c r="H250" s="2"/>
      <c r="I250" s="2"/>
      <c r="J250" s="2"/>
      <c r="K250" s="2"/>
      <c r="L250" s="2"/>
      <c r="M250" s="2"/>
      <c r="N250" s="2"/>
      <c r="O250" s="2"/>
      <c r="P250" s="2"/>
      <c r="Q250" s="2"/>
      <c r="R250" s="2"/>
      <c r="S250" s="2"/>
      <c r="T250" s="2"/>
      <c r="U250" s="2"/>
      <c r="V250" s="2"/>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row>
    <row r="251" spans="1:52" x14ac:dyDescent="0.35">
      <c r="A251" s="1"/>
      <c r="B251" s="1"/>
      <c r="C251" s="2"/>
      <c r="D251" s="2"/>
      <c r="E251" s="2"/>
      <c r="F251" s="2"/>
      <c r="G251" s="2"/>
      <c r="H251" s="2"/>
      <c r="I251" s="2"/>
      <c r="J251" s="2"/>
      <c r="K251" s="2"/>
      <c r="L251" s="2"/>
      <c r="M251" s="2"/>
      <c r="N251" s="2"/>
      <c r="O251" s="2"/>
      <c r="P251" s="2"/>
      <c r="Q251" s="2"/>
      <c r="R251" s="2"/>
      <c r="S251" s="2"/>
      <c r="T251" s="2"/>
      <c r="U251" s="2"/>
      <c r="V251" s="2"/>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row>
    <row r="252" spans="1:52" x14ac:dyDescent="0.35">
      <c r="A252" s="1"/>
      <c r="B252" s="1"/>
      <c r="C252" s="2"/>
      <c r="D252" s="2"/>
      <c r="E252" s="2"/>
      <c r="F252" s="2"/>
      <c r="G252" s="2"/>
      <c r="H252" s="2"/>
      <c r="I252" s="2"/>
      <c r="J252" s="2"/>
      <c r="K252" s="2"/>
      <c r="L252" s="2"/>
      <c r="M252" s="2"/>
      <c r="N252" s="2"/>
      <c r="O252" s="2"/>
      <c r="P252" s="2"/>
      <c r="Q252" s="2"/>
      <c r="R252" s="2"/>
      <c r="S252" s="2"/>
      <c r="T252" s="2"/>
      <c r="U252" s="2"/>
      <c r="V252" s="2"/>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row>
    <row r="253" spans="1:52" x14ac:dyDescent="0.35">
      <c r="A253" s="1"/>
      <c r="B253" s="1"/>
      <c r="C253" s="2"/>
      <c r="D253" s="2"/>
      <c r="E253" s="2"/>
      <c r="F253" s="2"/>
      <c r="G253" s="2"/>
      <c r="H253" s="2"/>
      <c r="I253" s="2"/>
      <c r="J253" s="2"/>
      <c r="K253" s="2"/>
      <c r="L253" s="2"/>
      <c r="M253" s="2"/>
      <c r="N253" s="2"/>
      <c r="O253" s="2"/>
      <c r="P253" s="2"/>
      <c r="Q253" s="2"/>
      <c r="R253" s="2"/>
      <c r="S253" s="2"/>
      <c r="T253" s="2"/>
      <c r="U253" s="2"/>
      <c r="V253" s="2"/>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row>
    <row r="254" spans="1:52" x14ac:dyDescent="0.35">
      <c r="A254" s="1"/>
      <c r="B254" s="1"/>
      <c r="C254" s="2"/>
      <c r="D254" s="2"/>
      <c r="E254" s="2"/>
      <c r="F254" s="2"/>
      <c r="G254" s="2"/>
      <c r="H254" s="2"/>
      <c r="I254" s="2"/>
      <c r="J254" s="2"/>
      <c r="K254" s="2"/>
      <c r="L254" s="2"/>
      <c r="M254" s="2"/>
      <c r="N254" s="2"/>
      <c r="O254" s="2"/>
      <c r="P254" s="2"/>
      <c r="Q254" s="2"/>
      <c r="R254" s="2"/>
      <c r="S254" s="2"/>
      <c r="T254" s="2"/>
      <c r="U254" s="2"/>
      <c r="V254" s="2"/>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row>
    <row r="255" spans="1:52" x14ac:dyDescent="0.35">
      <c r="A255" s="1"/>
      <c r="B255" s="1"/>
      <c r="C255" s="2"/>
      <c r="D255" s="2"/>
      <c r="E255" s="2"/>
      <c r="F255" s="2"/>
      <c r="G255" s="2"/>
      <c r="H255" s="2"/>
      <c r="I255" s="2"/>
      <c r="J255" s="2"/>
      <c r="K255" s="2"/>
      <c r="L255" s="2"/>
      <c r="M255" s="2"/>
      <c r="N255" s="2"/>
      <c r="O255" s="2"/>
      <c r="P255" s="2"/>
      <c r="Q255" s="2"/>
      <c r="R255" s="2"/>
      <c r="S255" s="2"/>
      <c r="T255" s="2"/>
      <c r="U255" s="2"/>
      <c r="V255" s="2"/>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row>
    <row r="256" spans="1:52" x14ac:dyDescent="0.35">
      <c r="A256" s="1"/>
      <c r="B256" s="1"/>
      <c r="C256" s="2"/>
      <c r="D256" s="2"/>
      <c r="E256" s="2"/>
      <c r="F256" s="2"/>
      <c r="G256" s="2"/>
      <c r="H256" s="2"/>
      <c r="I256" s="2"/>
      <c r="J256" s="2"/>
      <c r="K256" s="2"/>
      <c r="L256" s="2"/>
      <c r="M256" s="2"/>
      <c r="N256" s="2"/>
      <c r="O256" s="2"/>
      <c r="P256" s="2"/>
      <c r="Q256" s="2"/>
      <c r="R256" s="2"/>
      <c r="S256" s="2"/>
      <c r="T256" s="2"/>
      <c r="U256" s="2"/>
      <c r="V256" s="2"/>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row>
    <row r="257" spans="1:52" x14ac:dyDescent="0.35">
      <c r="A257" s="1"/>
      <c r="B257" s="1"/>
      <c r="C257" s="2"/>
      <c r="D257" s="2"/>
      <c r="E257" s="2"/>
      <c r="F257" s="2"/>
      <c r="G257" s="2"/>
      <c r="H257" s="2"/>
      <c r="I257" s="2"/>
      <c r="J257" s="2"/>
      <c r="K257" s="2"/>
      <c r="L257" s="2"/>
      <c r="M257" s="2"/>
      <c r="N257" s="2"/>
      <c r="O257" s="2"/>
      <c r="P257" s="2"/>
      <c r="Q257" s="2"/>
      <c r="R257" s="2"/>
      <c r="S257" s="2"/>
      <c r="T257" s="2"/>
      <c r="U257" s="2"/>
      <c r="V257" s="2"/>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row>
    <row r="258" spans="1:52" x14ac:dyDescent="0.35">
      <c r="A258" s="1"/>
      <c r="B258" s="1"/>
      <c r="C258" s="2"/>
      <c r="D258" s="2"/>
      <c r="E258" s="2"/>
      <c r="F258" s="2"/>
      <c r="G258" s="2"/>
      <c r="H258" s="2"/>
      <c r="I258" s="2"/>
      <c r="J258" s="2"/>
      <c r="K258" s="2"/>
      <c r="L258" s="2"/>
      <c r="M258" s="2"/>
      <c r="N258" s="2"/>
      <c r="O258" s="2"/>
      <c r="P258" s="2"/>
      <c r="Q258" s="2"/>
      <c r="R258" s="2"/>
      <c r="S258" s="2"/>
      <c r="T258" s="2"/>
      <c r="U258" s="2"/>
      <c r="V258" s="2"/>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row>
    <row r="259" spans="1:52" x14ac:dyDescent="0.35">
      <c r="A259" s="1"/>
      <c r="B259" s="1"/>
      <c r="C259" s="2"/>
      <c r="D259" s="2"/>
      <c r="E259" s="2"/>
      <c r="F259" s="2"/>
      <c r="G259" s="2"/>
      <c r="H259" s="2"/>
      <c r="I259" s="2"/>
      <c r="J259" s="2"/>
      <c r="K259" s="2"/>
      <c r="L259" s="2"/>
      <c r="M259" s="2"/>
      <c r="N259" s="2"/>
      <c r="O259" s="2"/>
      <c r="P259" s="2"/>
      <c r="Q259" s="2"/>
      <c r="R259" s="2"/>
      <c r="S259" s="2"/>
      <c r="T259" s="2"/>
      <c r="U259" s="2"/>
      <c r="V259" s="2"/>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row>
    <row r="260" spans="1:52" x14ac:dyDescent="0.35">
      <c r="A260" s="1"/>
      <c r="B260" s="1"/>
      <c r="C260" s="2"/>
      <c r="D260" s="2"/>
      <c r="E260" s="2"/>
      <c r="F260" s="2"/>
      <c r="G260" s="2"/>
      <c r="H260" s="2"/>
      <c r="I260" s="2"/>
      <c r="J260" s="2"/>
      <c r="K260" s="2"/>
      <c r="L260" s="2"/>
      <c r="M260" s="2"/>
      <c r="N260" s="2"/>
      <c r="O260" s="2"/>
      <c r="P260" s="2"/>
      <c r="Q260" s="2"/>
      <c r="R260" s="2"/>
      <c r="S260" s="2"/>
      <c r="T260" s="2"/>
      <c r="U260" s="2"/>
      <c r="V260" s="2"/>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row>
    <row r="261" spans="1:52" x14ac:dyDescent="0.35">
      <c r="A261" s="1"/>
      <c r="B261" s="1"/>
      <c r="C261" s="2"/>
      <c r="D261" s="2"/>
      <c r="E261" s="2"/>
      <c r="F261" s="2"/>
      <c r="G261" s="2"/>
      <c r="H261" s="2"/>
      <c r="I261" s="2"/>
      <c r="J261" s="2"/>
      <c r="K261" s="2"/>
      <c r="L261" s="2"/>
      <c r="M261" s="2"/>
      <c r="N261" s="2"/>
      <c r="O261" s="2"/>
      <c r="P261" s="2"/>
      <c r="Q261" s="2"/>
      <c r="R261" s="2"/>
      <c r="S261" s="2"/>
      <c r="T261" s="2"/>
      <c r="U261" s="2"/>
      <c r="V261" s="2"/>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row>
    <row r="262" spans="1:52" x14ac:dyDescent="0.35">
      <c r="A262" s="1"/>
      <c r="B262" s="1"/>
      <c r="C262" s="2"/>
      <c r="D262" s="2"/>
      <c r="E262" s="2"/>
      <c r="F262" s="2"/>
      <c r="G262" s="2"/>
      <c r="H262" s="2"/>
      <c r="I262" s="2"/>
      <c r="J262" s="2"/>
      <c r="K262" s="2"/>
      <c r="L262" s="2"/>
      <c r="M262" s="2"/>
      <c r="N262" s="2"/>
      <c r="O262" s="2"/>
      <c r="P262" s="2"/>
      <c r="Q262" s="2"/>
      <c r="R262" s="2"/>
      <c r="S262" s="2"/>
      <c r="T262" s="2"/>
      <c r="U262" s="2"/>
      <c r="V262" s="2"/>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row>
    <row r="263" spans="1:52" x14ac:dyDescent="0.35">
      <c r="A263" s="1"/>
      <c r="B263" s="1"/>
      <c r="C263" s="2"/>
      <c r="D263" s="2"/>
      <c r="E263" s="2"/>
      <c r="F263" s="2"/>
      <c r="G263" s="2"/>
      <c r="H263" s="2"/>
      <c r="I263" s="2"/>
      <c r="J263" s="2"/>
      <c r="K263" s="2"/>
      <c r="L263" s="2"/>
      <c r="M263" s="2"/>
      <c r="N263" s="2"/>
      <c r="O263" s="2"/>
      <c r="P263" s="2"/>
      <c r="Q263" s="2"/>
      <c r="R263" s="2"/>
      <c r="S263" s="2"/>
      <c r="T263" s="2"/>
      <c r="U263" s="2"/>
      <c r="V263" s="2"/>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row>
    <row r="264" spans="1:52" x14ac:dyDescent="0.35">
      <c r="A264" s="1"/>
      <c r="B264" s="1"/>
      <c r="C264" s="2"/>
      <c r="D264" s="2"/>
      <c r="E264" s="2"/>
      <c r="F264" s="2"/>
      <c r="G264" s="2"/>
      <c r="H264" s="2"/>
      <c r="I264" s="2"/>
      <c r="J264" s="2"/>
      <c r="K264" s="2"/>
      <c r="L264" s="2"/>
      <c r="M264" s="2"/>
      <c r="N264" s="2"/>
      <c r="O264" s="2"/>
      <c r="P264" s="2"/>
      <c r="Q264" s="2"/>
      <c r="R264" s="2"/>
      <c r="S264" s="2"/>
      <c r="T264" s="2"/>
      <c r="U264" s="2"/>
      <c r="V264" s="2"/>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row>
    <row r="265" spans="1:52" x14ac:dyDescent="0.35">
      <c r="A265" s="1"/>
      <c r="B265" s="1"/>
      <c r="C265" s="2"/>
      <c r="D265" s="2"/>
      <c r="E265" s="2"/>
      <c r="F265" s="2"/>
      <c r="G265" s="2"/>
      <c r="H265" s="2"/>
      <c r="I265" s="2"/>
      <c r="J265" s="2"/>
      <c r="K265" s="2"/>
      <c r="L265" s="2"/>
      <c r="M265" s="2"/>
      <c r="N265" s="2"/>
      <c r="O265" s="2"/>
      <c r="P265" s="2"/>
      <c r="Q265" s="2"/>
      <c r="R265" s="2"/>
      <c r="S265" s="2"/>
      <c r="T265" s="2"/>
      <c r="U265" s="2"/>
      <c r="V265" s="2"/>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row>
    <row r="266" spans="1:52" x14ac:dyDescent="0.35">
      <c r="A266" s="1"/>
      <c r="B266" s="1"/>
      <c r="C266" s="2"/>
      <c r="D266" s="2"/>
      <c r="E266" s="2"/>
      <c r="F266" s="2"/>
      <c r="G266" s="2"/>
      <c r="H266" s="2"/>
      <c r="I266" s="2"/>
      <c r="J266" s="2"/>
      <c r="K266" s="2"/>
      <c r="L266" s="2"/>
      <c r="M266" s="2"/>
      <c r="N266" s="2"/>
      <c r="O266" s="2"/>
      <c r="P266" s="2"/>
      <c r="Q266" s="2"/>
      <c r="R266" s="2"/>
      <c r="S266" s="2"/>
      <c r="T266" s="2"/>
      <c r="U266" s="2"/>
      <c r="V266" s="2"/>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row>
    <row r="267" spans="1:52" x14ac:dyDescent="0.35">
      <c r="A267" s="1"/>
      <c r="B267" s="1"/>
      <c r="C267" s="2"/>
      <c r="D267" s="2"/>
      <c r="E267" s="2"/>
      <c r="F267" s="2"/>
      <c r="G267" s="2"/>
      <c r="H267" s="2"/>
      <c r="I267" s="2"/>
      <c r="J267" s="2"/>
      <c r="K267" s="2"/>
      <c r="L267" s="2"/>
      <c r="M267" s="2"/>
      <c r="N267" s="2"/>
      <c r="O267" s="2"/>
      <c r="P267" s="2"/>
      <c r="Q267" s="2"/>
      <c r="R267" s="2"/>
      <c r="S267" s="2"/>
      <c r="T267" s="2"/>
      <c r="U267" s="2"/>
      <c r="V267" s="2"/>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row>
    <row r="268" spans="1:52" x14ac:dyDescent="0.35">
      <c r="A268" s="1"/>
      <c r="B268" s="1"/>
      <c r="C268" s="2"/>
      <c r="D268" s="2"/>
      <c r="E268" s="2"/>
      <c r="F268" s="2"/>
      <c r="G268" s="2"/>
      <c r="H268" s="2"/>
      <c r="I268" s="2"/>
      <c r="J268" s="2"/>
      <c r="K268" s="2"/>
      <c r="L268" s="2"/>
      <c r="M268" s="2"/>
      <c r="N268" s="2"/>
      <c r="O268" s="2"/>
      <c r="P268" s="2"/>
      <c r="Q268" s="2"/>
      <c r="R268" s="2"/>
      <c r="S268" s="2"/>
      <c r="T268" s="2"/>
      <c r="U268" s="2"/>
      <c r="V268" s="2"/>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row>
    <row r="269" spans="1:52" x14ac:dyDescent="0.35">
      <c r="A269" s="1"/>
      <c r="B269" s="1"/>
      <c r="C269" s="2"/>
      <c r="D269" s="2"/>
      <c r="E269" s="2"/>
      <c r="F269" s="2"/>
      <c r="G269" s="2"/>
      <c r="H269" s="2"/>
      <c r="I269" s="2"/>
      <c r="J269" s="2"/>
      <c r="K269" s="2"/>
      <c r="L269" s="2"/>
      <c r="M269" s="2"/>
      <c r="N269" s="2"/>
      <c r="O269" s="2"/>
      <c r="P269" s="2"/>
      <c r="Q269" s="2"/>
      <c r="R269" s="2"/>
      <c r="S269" s="2"/>
      <c r="T269" s="2"/>
      <c r="U269" s="2"/>
      <c r="V269" s="2"/>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row>
    <row r="270" spans="1:52" x14ac:dyDescent="0.35">
      <c r="A270" s="1"/>
      <c r="B270" s="1"/>
      <c r="C270" s="2"/>
      <c r="D270" s="2"/>
      <c r="E270" s="2"/>
      <c r="F270" s="2"/>
      <c r="G270" s="2"/>
      <c r="H270" s="2"/>
      <c r="I270" s="2"/>
      <c r="J270" s="2"/>
      <c r="K270" s="2"/>
      <c r="L270" s="2"/>
      <c r="M270" s="2"/>
      <c r="N270" s="2"/>
      <c r="O270" s="2"/>
      <c r="P270" s="2"/>
      <c r="Q270" s="2"/>
      <c r="R270" s="2"/>
      <c r="S270" s="2"/>
      <c r="T270" s="2"/>
      <c r="U270" s="2"/>
      <c r="V270" s="2"/>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row>
    <row r="271" spans="1:52" x14ac:dyDescent="0.35">
      <c r="A271" s="1"/>
      <c r="B271" s="1"/>
      <c r="C271" s="2"/>
      <c r="D271" s="2"/>
      <c r="E271" s="2"/>
      <c r="F271" s="2"/>
      <c r="G271" s="2"/>
      <c r="H271" s="2"/>
      <c r="I271" s="2"/>
      <c r="J271" s="2"/>
      <c r="K271" s="2"/>
      <c r="L271" s="2"/>
      <c r="M271" s="2"/>
      <c r="N271" s="2"/>
      <c r="O271" s="2"/>
      <c r="P271" s="2"/>
      <c r="Q271" s="2"/>
      <c r="R271" s="2"/>
      <c r="S271" s="2"/>
      <c r="T271" s="2"/>
      <c r="U271" s="2"/>
      <c r="V271" s="2"/>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row>
    <row r="272" spans="1:52" x14ac:dyDescent="0.35">
      <c r="A272" s="1"/>
      <c r="B272" s="1"/>
      <c r="C272" s="2"/>
      <c r="D272" s="2"/>
      <c r="E272" s="2"/>
      <c r="F272" s="2"/>
      <c r="G272" s="2"/>
      <c r="H272" s="2"/>
      <c r="I272" s="2"/>
      <c r="J272" s="2"/>
      <c r="K272" s="2"/>
      <c r="L272" s="2"/>
      <c r="M272" s="2"/>
      <c r="N272" s="2"/>
      <c r="O272" s="2"/>
      <c r="P272" s="2"/>
      <c r="Q272" s="2"/>
      <c r="R272" s="2"/>
      <c r="S272" s="2"/>
      <c r="T272" s="2"/>
      <c r="U272" s="2"/>
      <c r="V272" s="2"/>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row>
    <row r="273" spans="1:52" x14ac:dyDescent="0.35">
      <c r="A273" s="1"/>
      <c r="B273" s="1"/>
      <c r="C273" s="2"/>
      <c r="D273" s="2"/>
      <c r="E273" s="2"/>
      <c r="F273" s="2"/>
      <c r="G273" s="2"/>
      <c r="H273" s="2"/>
      <c r="I273" s="2"/>
      <c r="J273" s="2"/>
      <c r="K273" s="2"/>
      <c r="L273" s="2"/>
      <c r="M273" s="2"/>
      <c r="N273" s="2"/>
      <c r="O273" s="2"/>
      <c r="P273" s="2"/>
      <c r="Q273" s="2"/>
      <c r="R273" s="2"/>
      <c r="S273" s="2"/>
      <c r="T273" s="2"/>
      <c r="U273" s="2"/>
      <c r="V273" s="2"/>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row>
    <row r="274" spans="1:52" x14ac:dyDescent="0.35">
      <c r="A274" s="1"/>
      <c r="B274" s="1"/>
      <c r="C274" s="2"/>
      <c r="D274" s="2"/>
      <c r="E274" s="2"/>
      <c r="F274" s="2"/>
      <c r="G274" s="2"/>
      <c r="H274" s="2"/>
      <c r="I274" s="2"/>
      <c r="J274" s="2"/>
      <c r="K274" s="2"/>
      <c r="L274" s="2"/>
      <c r="M274" s="2"/>
      <c r="N274" s="2"/>
      <c r="O274" s="2"/>
      <c r="P274" s="2"/>
      <c r="Q274" s="2"/>
      <c r="R274" s="2"/>
      <c r="S274" s="2"/>
      <c r="T274" s="2"/>
      <c r="U274" s="2"/>
      <c r="V274" s="2"/>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row>
    <row r="275" spans="1:52" x14ac:dyDescent="0.35">
      <c r="A275" s="1"/>
      <c r="B275" s="1"/>
      <c r="C275" s="2"/>
      <c r="D275" s="2"/>
      <c r="E275" s="2"/>
      <c r="F275" s="2"/>
      <c r="G275" s="2"/>
      <c r="H275" s="2"/>
      <c r="I275" s="2"/>
      <c r="J275" s="2"/>
      <c r="K275" s="2"/>
      <c r="L275" s="2"/>
      <c r="M275" s="2"/>
      <c r="N275" s="2"/>
      <c r="O275" s="2"/>
      <c r="P275" s="2"/>
      <c r="Q275" s="2"/>
      <c r="R275" s="2"/>
      <c r="S275" s="2"/>
      <c r="T275" s="2"/>
      <c r="U275" s="2"/>
      <c r="V275" s="2"/>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row>
    <row r="276" spans="1:52" x14ac:dyDescent="0.35">
      <c r="A276" s="1"/>
      <c r="B276" s="1"/>
      <c r="C276" s="2"/>
      <c r="D276" s="2"/>
      <c r="E276" s="2"/>
      <c r="F276" s="2"/>
      <c r="G276" s="2"/>
      <c r="H276" s="2"/>
      <c r="I276" s="2"/>
      <c r="J276" s="2"/>
      <c r="K276" s="2"/>
      <c r="L276" s="2"/>
      <c r="M276" s="2"/>
      <c r="N276" s="2"/>
      <c r="O276" s="2"/>
      <c r="P276" s="2"/>
      <c r="Q276" s="2"/>
      <c r="R276" s="2"/>
      <c r="S276" s="2"/>
      <c r="T276" s="2"/>
      <c r="U276" s="2"/>
      <c r="V276" s="2"/>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row>
    <row r="277" spans="1:52" x14ac:dyDescent="0.35">
      <c r="A277" s="1"/>
      <c r="B277" s="1"/>
      <c r="C277" s="2"/>
      <c r="D277" s="2"/>
      <c r="E277" s="2"/>
      <c r="F277" s="2"/>
      <c r="G277" s="2"/>
      <c r="H277" s="2"/>
      <c r="I277" s="2"/>
      <c r="J277" s="2"/>
      <c r="K277" s="2"/>
      <c r="L277" s="2"/>
      <c r="M277" s="2"/>
      <c r="N277" s="2"/>
      <c r="O277" s="2"/>
      <c r="P277" s="2"/>
      <c r="Q277" s="2"/>
      <c r="R277" s="2"/>
      <c r="S277" s="2"/>
      <c r="T277" s="2"/>
      <c r="U277" s="2"/>
      <c r="V277" s="2"/>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row>
    <row r="278" spans="1:52" x14ac:dyDescent="0.35">
      <c r="A278" s="1"/>
      <c r="B278" s="1"/>
      <c r="C278" s="2"/>
      <c r="D278" s="2"/>
      <c r="E278" s="2"/>
      <c r="F278" s="2"/>
      <c r="G278" s="2"/>
      <c r="H278" s="2"/>
      <c r="I278" s="2"/>
      <c r="J278" s="2"/>
      <c r="K278" s="2"/>
      <c r="L278" s="2"/>
      <c r="M278" s="2"/>
      <c r="N278" s="2"/>
      <c r="O278" s="2"/>
      <c r="P278" s="2"/>
      <c r="Q278" s="2"/>
      <c r="R278" s="2"/>
      <c r="S278" s="2"/>
      <c r="T278" s="2"/>
      <c r="U278" s="2"/>
      <c r="V278" s="2"/>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row>
    <row r="279" spans="1:52" x14ac:dyDescent="0.35">
      <c r="A279" s="1"/>
      <c r="B279" s="1"/>
      <c r="C279" s="2"/>
      <c r="D279" s="2"/>
      <c r="E279" s="2"/>
      <c r="F279" s="2"/>
      <c r="G279" s="2"/>
      <c r="H279" s="2"/>
      <c r="I279" s="2"/>
      <c r="J279" s="2"/>
      <c r="K279" s="2"/>
      <c r="L279" s="2"/>
      <c r="M279" s="2"/>
      <c r="N279" s="2"/>
      <c r="O279" s="2"/>
      <c r="P279" s="2"/>
      <c r="Q279" s="2"/>
      <c r="R279" s="2"/>
      <c r="S279" s="2"/>
      <c r="T279" s="2"/>
      <c r="U279" s="2"/>
      <c r="V279" s="2"/>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row>
    <row r="280" spans="1:52" x14ac:dyDescent="0.35">
      <c r="A280" s="1"/>
      <c r="B280" s="1"/>
      <c r="C280" s="2"/>
      <c r="D280" s="2"/>
      <c r="E280" s="2"/>
      <c r="F280" s="2"/>
      <c r="G280" s="2"/>
      <c r="H280" s="2"/>
      <c r="I280" s="2"/>
      <c r="J280" s="2"/>
      <c r="K280" s="2"/>
      <c r="L280" s="2"/>
      <c r="M280" s="2"/>
      <c r="N280" s="2"/>
      <c r="O280" s="2"/>
      <c r="P280" s="2"/>
      <c r="Q280" s="2"/>
      <c r="R280" s="2"/>
      <c r="S280" s="2"/>
      <c r="T280" s="2"/>
      <c r="U280" s="2"/>
      <c r="V280" s="2"/>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row>
    <row r="281" spans="1:52" x14ac:dyDescent="0.35">
      <c r="A281" s="1"/>
      <c r="B281" s="1"/>
      <c r="C281" s="2"/>
      <c r="D281" s="2"/>
      <c r="E281" s="2"/>
      <c r="F281" s="2"/>
      <c r="G281" s="2"/>
      <c r="H281" s="2"/>
      <c r="I281" s="2"/>
      <c r="J281" s="2"/>
      <c r="K281" s="2"/>
      <c r="L281" s="2"/>
      <c r="M281" s="2"/>
      <c r="N281" s="2"/>
      <c r="O281" s="2"/>
      <c r="P281" s="2"/>
      <c r="Q281" s="2"/>
      <c r="R281" s="2"/>
      <c r="S281" s="2"/>
      <c r="T281" s="2"/>
      <c r="U281" s="2"/>
      <c r="V281" s="2"/>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row>
    <row r="282" spans="1:52" x14ac:dyDescent="0.35">
      <c r="A282" s="1"/>
      <c r="B282" s="1"/>
      <c r="C282" s="2"/>
      <c r="D282" s="2"/>
      <c r="E282" s="2"/>
      <c r="F282" s="2"/>
      <c r="G282" s="2"/>
      <c r="H282" s="2"/>
      <c r="I282" s="2"/>
      <c r="J282" s="2"/>
      <c r="K282" s="2"/>
      <c r="L282" s="2"/>
      <c r="M282" s="2"/>
      <c r="N282" s="2"/>
      <c r="O282" s="2"/>
      <c r="P282" s="2"/>
      <c r="Q282" s="2"/>
      <c r="R282" s="2"/>
      <c r="S282" s="2"/>
      <c r="T282" s="2"/>
      <c r="U282" s="2"/>
      <c r="V282" s="2"/>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row>
    <row r="283" spans="1:52" x14ac:dyDescent="0.35">
      <c r="A283" s="1"/>
      <c r="B283" s="1"/>
      <c r="C283" s="2"/>
      <c r="D283" s="2"/>
      <c r="E283" s="2"/>
      <c r="F283" s="2"/>
      <c r="G283" s="2"/>
      <c r="H283" s="2"/>
      <c r="I283" s="2"/>
      <c r="J283" s="2"/>
      <c r="K283" s="2"/>
      <c r="L283" s="2"/>
      <c r="M283" s="2"/>
      <c r="N283" s="2"/>
      <c r="O283" s="2"/>
      <c r="P283" s="2"/>
      <c r="Q283" s="2"/>
      <c r="R283" s="2"/>
      <c r="S283" s="2"/>
      <c r="T283" s="2"/>
      <c r="U283" s="2"/>
      <c r="V283" s="2"/>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row>
    <row r="284" spans="1:52" x14ac:dyDescent="0.35">
      <c r="A284" s="1"/>
      <c r="B284" s="1"/>
      <c r="C284" s="2"/>
      <c r="D284" s="2"/>
      <c r="E284" s="2"/>
      <c r="F284" s="2"/>
      <c r="G284" s="2"/>
      <c r="H284" s="2"/>
      <c r="I284" s="2"/>
      <c r="J284" s="2"/>
      <c r="K284" s="2"/>
      <c r="L284" s="2"/>
      <c r="M284" s="2"/>
      <c r="N284" s="2"/>
      <c r="O284" s="2"/>
      <c r="P284" s="2"/>
      <c r="Q284" s="2"/>
      <c r="R284" s="2"/>
      <c r="S284" s="2"/>
      <c r="T284" s="2"/>
      <c r="U284" s="2"/>
      <c r="V284" s="2"/>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row>
    <row r="285" spans="1:52" x14ac:dyDescent="0.35">
      <c r="A285" s="1"/>
      <c r="B285" s="1"/>
      <c r="C285" s="2"/>
      <c r="D285" s="2"/>
      <c r="E285" s="2"/>
      <c r="F285" s="2"/>
      <c r="G285" s="2"/>
      <c r="H285" s="2"/>
      <c r="I285" s="2"/>
      <c r="J285" s="2"/>
      <c r="K285" s="2"/>
      <c r="L285" s="2"/>
      <c r="M285" s="2"/>
      <c r="N285" s="2"/>
      <c r="O285" s="2"/>
      <c r="P285" s="2"/>
      <c r="Q285" s="2"/>
      <c r="R285" s="2"/>
      <c r="S285" s="2"/>
      <c r="T285" s="2"/>
      <c r="U285" s="2"/>
      <c r="V285" s="2"/>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row>
    <row r="286" spans="1:52" x14ac:dyDescent="0.35">
      <c r="A286" s="1"/>
      <c r="B286" s="1"/>
      <c r="C286" s="2"/>
      <c r="D286" s="2"/>
      <c r="E286" s="2"/>
      <c r="F286" s="2"/>
      <c r="G286" s="2"/>
      <c r="H286" s="2"/>
      <c r="I286" s="2"/>
      <c r="J286" s="2"/>
      <c r="K286" s="2"/>
      <c r="L286" s="2"/>
      <c r="M286" s="2"/>
      <c r="N286" s="2"/>
      <c r="O286" s="2"/>
      <c r="P286" s="2"/>
      <c r="Q286" s="2"/>
      <c r="R286" s="2"/>
      <c r="S286" s="2"/>
      <c r="T286" s="2"/>
      <c r="U286" s="2"/>
      <c r="V286" s="2"/>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row>
    <row r="287" spans="1:52" x14ac:dyDescent="0.35">
      <c r="A287" s="1"/>
      <c r="B287" s="1"/>
      <c r="C287" s="2"/>
      <c r="D287" s="2"/>
      <c r="E287" s="2"/>
      <c r="F287" s="2"/>
      <c r="G287" s="2"/>
      <c r="H287" s="2"/>
      <c r="I287" s="2"/>
      <c r="J287" s="2"/>
      <c r="K287" s="2"/>
      <c r="L287" s="2"/>
      <c r="M287" s="2"/>
      <c r="N287" s="2"/>
      <c r="O287" s="2"/>
      <c r="P287" s="2"/>
      <c r="Q287" s="2"/>
      <c r="R287" s="2"/>
      <c r="S287" s="2"/>
      <c r="T287" s="2"/>
      <c r="U287" s="2"/>
      <c r="V287" s="2"/>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row>
    <row r="288" spans="1:52" x14ac:dyDescent="0.35">
      <c r="A288" s="1"/>
      <c r="B288" s="1"/>
      <c r="C288" s="2"/>
      <c r="D288" s="2"/>
      <c r="E288" s="2"/>
      <c r="F288" s="2"/>
      <c r="G288" s="2"/>
      <c r="H288" s="2"/>
      <c r="I288" s="2"/>
      <c r="J288" s="2"/>
      <c r="K288" s="2"/>
      <c r="L288" s="2"/>
      <c r="M288" s="2"/>
      <c r="N288" s="2"/>
      <c r="O288" s="2"/>
      <c r="P288" s="2"/>
      <c r="Q288" s="2"/>
      <c r="R288" s="2"/>
      <c r="S288" s="2"/>
      <c r="T288" s="2"/>
      <c r="U288" s="2"/>
      <c r="V288" s="2"/>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row>
    <row r="289" spans="1:52" x14ac:dyDescent="0.35">
      <c r="A289" s="1"/>
      <c r="B289" s="1"/>
      <c r="C289" s="2"/>
      <c r="D289" s="2"/>
      <c r="E289" s="2"/>
      <c r="F289" s="2"/>
      <c r="G289" s="2"/>
      <c r="H289" s="2"/>
      <c r="I289" s="2"/>
      <c r="J289" s="2"/>
      <c r="K289" s="2"/>
      <c r="L289" s="2"/>
      <c r="M289" s="2"/>
      <c r="N289" s="2"/>
      <c r="O289" s="2"/>
      <c r="P289" s="2"/>
      <c r="Q289" s="2"/>
      <c r="R289" s="2"/>
      <c r="S289" s="2"/>
      <c r="T289" s="2"/>
      <c r="U289" s="2"/>
      <c r="V289" s="2"/>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row>
    <row r="290" spans="1:52" x14ac:dyDescent="0.35">
      <c r="A290" s="1"/>
      <c r="B290" s="1"/>
      <c r="C290" s="2"/>
      <c r="D290" s="2"/>
      <c r="E290" s="2"/>
      <c r="F290" s="2"/>
      <c r="G290" s="2"/>
      <c r="H290" s="2"/>
      <c r="I290" s="2"/>
      <c r="J290" s="2"/>
      <c r="K290" s="2"/>
      <c r="L290" s="2"/>
      <c r="M290" s="2"/>
      <c r="N290" s="2"/>
      <c r="O290" s="2"/>
      <c r="P290" s="2"/>
      <c r="Q290" s="2"/>
      <c r="R290" s="2"/>
      <c r="S290" s="2"/>
      <c r="T290" s="2"/>
      <c r="U290" s="2"/>
      <c r="V290" s="2"/>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row>
    <row r="291" spans="1:52" x14ac:dyDescent="0.35">
      <c r="A291" s="1"/>
      <c r="B291" s="1"/>
      <c r="C291" s="2"/>
      <c r="D291" s="2"/>
      <c r="E291" s="2"/>
      <c r="F291" s="2"/>
      <c r="G291" s="2"/>
      <c r="H291" s="2"/>
      <c r="I291" s="2"/>
      <c r="J291" s="2"/>
      <c r="K291" s="2"/>
      <c r="L291" s="2"/>
      <c r="M291" s="2"/>
      <c r="N291" s="2"/>
      <c r="O291" s="2"/>
      <c r="P291" s="2"/>
      <c r="Q291" s="2"/>
      <c r="R291" s="2"/>
      <c r="S291" s="2"/>
      <c r="T291" s="2"/>
      <c r="U291" s="2"/>
      <c r="V291" s="2"/>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row>
    <row r="292" spans="1:52" x14ac:dyDescent="0.35">
      <c r="A292" s="1"/>
      <c r="B292" s="1"/>
      <c r="C292" s="2"/>
      <c r="D292" s="2"/>
      <c r="E292" s="2"/>
      <c r="F292" s="2"/>
      <c r="G292" s="2"/>
      <c r="H292" s="2"/>
      <c r="I292" s="2"/>
      <c r="J292" s="2"/>
      <c r="K292" s="2"/>
      <c r="L292" s="2"/>
      <c r="M292" s="2"/>
      <c r="N292" s="2"/>
      <c r="O292" s="2"/>
      <c r="P292" s="2"/>
      <c r="Q292" s="2"/>
      <c r="R292" s="2"/>
      <c r="S292" s="2"/>
      <c r="T292" s="2"/>
      <c r="U292" s="2"/>
      <c r="V292" s="2"/>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row>
    <row r="293" spans="1:52" x14ac:dyDescent="0.35">
      <c r="A293" s="1"/>
      <c r="B293" s="1"/>
      <c r="C293" s="2"/>
      <c r="D293" s="2"/>
      <c r="E293" s="2"/>
      <c r="F293" s="2"/>
      <c r="G293" s="2"/>
      <c r="H293" s="2"/>
      <c r="I293" s="2"/>
      <c r="J293" s="2"/>
      <c r="K293" s="2"/>
      <c r="L293" s="2"/>
      <c r="M293" s="2"/>
      <c r="N293" s="2"/>
      <c r="O293" s="2"/>
      <c r="P293" s="2"/>
      <c r="Q293" s="2"/>
      <c r="R293" s="2"/>
      <c r="S293" s="2"/>
      <c r="T293" s="2"/>
      <c r="U293" s="2"/>
      <c r="V293" s="2"/>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row>
    <row r="294" spans="1:52" x14ac:dyDescent="0.35">
      <c r="A294" s="1"/>
      <c r="B294" s="1"/>
      <c r="C294" s="2"/>
      <c r="D294" s="2"/>
      <c r="E294" s="2"/>
      <c r="F294" s="2"/>
      <c r="G294" s="2"/>
      <c r="H294" s="2"/>
      <c r="I294" s="2"/>
      <c r="J294" s="2"/>
      <c r="K294" s="2"/>
      <c r="L294" s="2"/>
      <c r="M294" s="2"/>
      <c r="N294" s="2"/>
      <c r="O294" s="2"/>
      <c r="P294" s="2"/>
      <c r="Q294" s="2"/>
      <c r="R294" s="2"/>
      <c r="S294" s="2"/>
      <c r="T294" s="2"/>
      <c r="U294" s="2"/>
      <c r="V294" s="2"/>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row>
    <row r="295" spans="1:52" x14ac:dyDescent="0.35">
      <c r="A295" s="1"/>
      <c r="B295" s="1"/>
      <c r="C295" s="2"/>
      <c r="D295" s="2"/>
      <c r="E295" s="2"/>
      <c r="F295" s="2"/>
      <c r="G295" s="2"/>
      <c r="H295" s="2"/>
      <c r="I295" s="2"/>
      <c r="J295" s="2"/>
      <c r="K295" s="2"/>
      <c r="L295" s="2"/>
      <c r="M295" s="2"/>
      <c r="N295" s="2"/>
      <c r="O295" s="2"/>
      <c r="P295" s="2"/>
      <c r="Q295" s="2"/>
      <c r="R295" s="2"/>
      <c r="S295" s="2"/>
      <c r="T295" s="2"/>
      <c r="U295" s="2"/>
      <c r="V295" s="2"/>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row>
    <row r="296" spans="1:52" x14ac:dyDescent="0.35">
      <c r="A296" s="1"/>
      <c r="B296" s="1"/>
      <c r="C296" s="2"/>
      <c r="D296" s="2"/>
      <c r="E296" s="2"/>
      <c r="F296" s="2"/>
      <c r="G296" s="2"/>
      <c r="H296" s="2"/>
      <c r="I296" s="2"/>
      <c r="J296" s="2"/>
      <c r="K296" s="2"/>
      <c r="L296" s="2"/>
      <c r="M296" s="2"/>
      <c r="N296" s="2"/>
      <c r="O296" s="2"/>
      <c r="P296" s="2"/>
      <c r="Q296" s="2"/>
      <c r="R296" s="2"/>
      <c r="S296" s="2"/>
      <c r="T296" s="2"/>
      <c r="U296" s="2"/>
      <c r="V296" s="2"/>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row>
    <row r="297" spans="1:52" x14ac:dyDescent="0.35">
      <c r="A297" s="1"/>
      <c r="B297" s="1"/>
      <c r="C297" s="2"/>
      <c r="D297" s="2"/>
      <c r="E297" s="2"/>
      <c r="F297" s="2"/>
      <c r="G297" s="2"/>
      <c r="H297" s="2"/>
      <c r="I297" s="2"/>
      <c r="J297" s="2"/>
      <c r="K297" s="2"/>
      <c r="L297" s="2"/>
      <c r="M297" s="2"/>
      <c r="N297" s="2"/>
      <c r="O297" s="2"/>
      <c r="P297" s="2"/>
      <c r="Q297" s="2"/>
      <c r="R297" s="2"/>
      <c r="S297" s="2"/>
      <c r="T297" s="2"/>
      <c r="U297" s="2"/>
      <c r="V297" s="2"/>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row>
    <row r="298" spans="1:52" x14ac:dyDescent="0.35">
      <c r="A298" s="1"/>
      <c r="B298" s="1"/>
      <c r="C298" s="2"/>
      <c r="D298" s="2"/>
      <c r="E298" s="2"/>
      <c r="F298" s="2"/>
      <c r="G298" s="2"/>
      <c r="H298" s="2"/>
      <c r="I298" s="2"/>
      <c r="J298" s="2"/>
      <c r="K298" s="2"/>
      <c r="L298" s="2"/>
      <c r="M298" s="2"/>
      <c r="N298" s="2"/>
      <c r="O298" s="2"/>
      <c r="P298" s="2"/>
      <c r="Q298" s="2"/>
      <c r="R298" s="2"/>
      <c r="S298" s="2"/>
      <c r="T298" s="2"/>
      <c r="U298" s="2"/>
      <c r="V298" s="2"/>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row>
    <row r="299" spans="1:52" x14ac:dyDescent="0.35">
      <c r="A299" s="1"/>
      <c r="B299" s="1"/>
      <c r="C299" s="2"/>
      <c r="D299" s="2"/>
      <c r="E299" s="2"/>
      <c r="F299" s="2"/>
      <c r="G299" s="2"/>
      <c r="H299" s="2"/>
      <c r="I299" s="2"/>
      <c r="J299" s="2"/>
      <c r="K299" s="2"/>
      <c r="L299" s="2"/>
      <c r="M299" s="2"/>
      <c r="N299" s="2"/>
      <c r="O299" s="2"/>
      <c r="P299" s="2"/>
      <c r="Q299" s="2"/>
      <c r="R299" s="2"/>
      <c r="S299" s="2"/>
      <c r="T299" s="2"/>
      <c r="U299" s="2"/>
      <c r="V299" s="2"/>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row>
    <row r="300" spans="1:52" x14ac:dyDescent="0.35">
      <c r="A300" s="1"/>
      <c r="B300" s="1"/>
      <c r="C300" s="2"/>
      <c r="D300" s="2"/>
      <c r="E300" s="2"/>
      <c r="F300" s="2"/>
      <c r="G300" s="2"/>
      <c r="H300" s="2"/>
      <c r="I300" s="2"/>
      <c r="J300" s="2"/>
      <c r="K300" s="2"/>
      <c r="L300" s="2"/>
      <c r="M300" s="2"/>
      <c r="N300" s="2"/>
      <c r="O300" s="2"/>
      <c r="P300" s="2"/>
      <c r="Q300" s="2"/>
      <c r="R300" s="2"/>
      <c r="S300" s="2"/>
      <c r="T300" s="2"/>
      <c r="U300" s="2"/>
      <c r="V300" s="2"/>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row>
    <row r="301" spans="1:52" x14ac:dyDescent="0.35">
      <c r="A301" s="1"/>
      <c r="B301" s="1"/>
      <c r="C301" s="2"/>
      <c r="D301" s="2"/>
      <c r="E301" s="2"/>
      <c r="F301" s="2"/>
      <c r="G301" s="2"/>
      <c r="H301" s="2"/>
      <c r="I301" s="2"/>
      <c r="J301" s="2"/>
      <c r="K301" s="2"/>
      <c r="L301" s="2"/>
      <c r="M301" s="2"/>
      <c r="N301" s="2"/>
      <c r="O301" s="2"/>
      <c r="P301" s="2"/>
      <c r="Q301" s="2"/>
      <c r="R301" s="2"/>
      <c r="S301" s="2"/>
      <c r="T301" s="2"/>
      <c r="U301" s="2"/>
      <c r="V301" s="2"/>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row>
    <row r="302" spans="1:52" x14ac:dyDescent="0.35">
      <c r="A302" s="1"/>
      <c r="B302" s="1"/>
      <c r="C302" s="2"/>
      <c r="D302" s="2"/>
      <c r="E302" s="2"/>
      <c r="F302" s="2"/>
      <c r="G302" s="2"/>
      <c r="H302" s="2"/>
      <c r="I302" s="2"/>
      <c r="J302" s="2"/>
      <c r="K302" s="2"/>
      <c r="L302" s="2"/>
      <c r="M302" s="2"/>
      <c r="N302" s="2"/>
      <c r="O302" s="2"/>
      <c r="P302" s="2"/>
      <c r="Q302" s="2"/>
      <c r="R302" s="2"/>
      <c r="S302" s="2"/>
      <c r="T302" s="2"/>
      <c r="U302" s="2"/>
      <c r="V302" s="2"/>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row>
    <row r="303" spans="1:52" x14ac:dyDescent="0.35">
      <c r="A303" s="1"/>
      <c r="B303" s="1"/>
      <c r="C303" s="2"/>
      <c r="D303" s="2"/>
      <c r="E303" s="2"/>
      <c r="F303" s="2"/>
      <c r="G303" s="2"/>
      <c r="H303" s="2"/>
      <c r="I303" s="2"/>
      <c r="J303" s="2"/>
      <c r="K303" s="2"/>
      <c r="L303" s="2"/>
      <c r="M303" s="2"/>
      <c r="N303" s="2"/>
      <c r="O303" s="2"/>
      <c r="P303" s="2"/>
      <c r="Q303" s="2"/>
      <c r="R303" s="2"/>
      <c r="S303" s="2"/>
      <c r="T303" s="2"/>
      <c r="U303" s="2"/>
      <c r="V303" s="2"/>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row>
    <row r="304" spans="1:52" x14ac:dyDescent="0.35">
      <c r="A304" s="1"/>
      <c r="B304" s="1"/>
      <c r="C304" s="2"/>
      <c r="D304" s="2"/>
      <c r="E304" s="2"/>
      <c r="F304" s="2"/>
      <c r="G304" s="2"/>
      <c r="H304" s="2"/>
      <c r="I304" s="2"/>
      <c r="J304" s="2"/>
      <c r="K304" s="2"/>
      <c r="L304" s="2"/>
      <c r="M304" s="2"/>
      <c r="N304" s="2"/>
      <c r="O304" s="2"/>
      <c r="P304" s="2"/>
      <c r="Q304" s="2"/>
      <c r="R304" s="2"/>
      <c r="S304" s="2"/>
      <c r="T304" s="2"/>
      <c r="U304" s="2"/>
      <c r="V304" s="2"/>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row>
    <row r="305" spans="1:52" x14ac:dyDescent="0.35">
      <c r="A305" s="1"/>
      <c r="B305" s="1"/>
      <c r="C305" s="2"/>
      <c r="D305" s="2"/>
      <c r="E305" s="2"/>
      <c r="F305" s="2"/>
      <c r="G305" s="2"/>
      <c r="H305" s="2"/>
      <c r="I305" s="2"/>
      <c r="J305" s="2"/>
      <c r="K305" s="2"/>
      <c r="L305" s="2"/>
      <c r="M305" s="2"/>
      <c r="N305" s="2"/>
      <c r="O305" s="2"/>
      <c r="P305" s="2"/>
      <c r="Q305" s="2"/>
      <c r="R305" s="2"/>
      <c r="S305" s="2"/>
      <c r="T305" s="2"/>
      <c r="U305" s="2"/>
      <c r="V305" s="2"/>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row>
    <row r="306" spans="1:52" x14ac:dyDescent="0.35">
      <c r="A306" s="1"/>
      <c r="B306" s="1"/>
      <c r="C306" s="2"/>
      <c r="D306" s="2"/>
      <c r="E306" s="2"/>
      <c r="F306" s="2"/>
      <c r="G306" s="2"/>
      <c r="H306" s="2"/>
      <c r="I306" s="2"/>
      <c r="J306" s="2"/>
      <c r="K306" s="2"/>
      <c r="L306" s="2"/>
      <c r="M306" s="2"/>
      <c r="N306" s="2"/>
      <c r="O306" s="2"/>
      <c r="P306" s="2"/>
      <c r="Q306" s="2"/>
      <c r="R306" s="2"/>
      <c r="S306" s="2"/>
      <c r="T306" s="2"/>
      <c r="U306" s="2"/>
      <c r="V306" s="2"/>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row>
    <row r="307" spans="1:52" x14ac:dyDescent="0.35">
      <c r="A307" s="1"/>
      <c r="B307" s="1"/>
      <c r="C307" s="2"/>
      <c r="D307" s="2"/>
      <c r="E307" s="2"/>
      <c r="F307" s="2"/>
      <c r="G307" s="2"/>
      <c r="H307" s="2"/>
      <c r="I307" s="2"/>
      <c r="J307" s="2"/>
      <c r="K307" s="2"/>
      <c r="L307" s="2"/>
      <c r="M307" s="2"/>
      <c r="N307" s="2"/>
      <c r="O307" s="2"/>
      <c r="P307" s="2"/>
      <c r="Q307" s="2"/>
      <c r="R307" s="2"/>
      <c r="S307" s="2"/>
      <c r="T307" s="2"/>
      <c r="U307" s="2"/>
      <c r="V307" s="2"/>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row>
    <row r="308" spans="1:52" x14ac:dyDescent="0.35">
      <c r="A308" s="1"/>
      <c r="B308" s="1"/>
      <c r="C308" s="2"/>
      <c r="D308" s="2"/>
      <c r="E308" s="2"/>
      <c r="F308" s="2"/>
      <c r="G308" s="2"/>
      <c r="H308" s="2"/>
      <c r="I308" s="2"/>
      <c r="J308" s="2"/>
      <c r="K308" s="2"/>
      <c r="L308" s="2"/>
      <c r="M308" s="2"/>
      <c r="N308" s="2"/>
      <c r="O308" s="2"/>
      <c r="P308" s="2"/>
      <c r="Q308" s="2"/>
      <c r="R308" s="2"/>
      <c r="S308" s="2"/>
      <c r="T308" s="2"/>
      <c r="U308" s="2"/>
      <c r="V308" s="2"/>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row>
    <row r="309" spans="1:52" x14ac:dyDescent="0.35">
      <c r="A309" s="1"/>
      <c r="B309" s="1"/>
      <c r="C309" s="2"/>
      <c r="D309" s="2"/>
      <c r="E309" s="2"/>
      <c r="F309" s="2"/>
      <c r="G309" s="2"/>
      <c r="H309" s="2"/>
      <c r="I309" s="2"/>
      <c r="J309" s="2"/>
      <c r="K309" s="2"/>
      <c r="L309" s="2"/>
      <c r="M309" s="2"/>
      <c r="N309" s="2"/>
      <c r="O309" s="2"/>
      <c r="P309" s="2"/>
      <c r="Q309" s="2"/>
      <c r="R309" s="2"/>
      <c r="S309" s="2"/>
      <c r="T309" s="2"/>
      <c r="U309" s="2"/>
      <c r="V309" s="2"/>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row>
    <row r="310" spans="1:52" x14ac:dyDescent="0.35">
      <c r="A310" s="1"/>
      <c r="B310" s="1"/>
      <c r="C310" s="2"/>
      <c r="D310" s="2"/>
      <c r="E310" s="2"/>
      <c r="F310" s="2"/>
      <c r="G310" s="2"/>
      <c r="H310" s="2"/>
      <c r="I310" s="2"/>
      <c r="J310" s="2"/>
      <c r="K310" s="2"/>
      <c r="L310" s="2"/>
      <c r="M310" s="2"/>
      <c r="N310" s="2"/>
      <c r="O310" s="2"/>
      <c r="P310" s="2"/>
      <c r="Q310" s="2"/>
      <c r="R310" s="2"/>
      <c r="S310" s="2"/>
      <c r="T310" s="2"/>
      <c r="U310" s="2"/>
      <c r="V310" s="2"/>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row>
    <row r="311" spans="1:52" x14ac:dyDescent="0.35">
      <c r="A311" s="1"/>
      <c r="B311" s="1"/>
      <c r="C311" s="2"/>
      <c r="D311" s="2"/>
      <c r="E311" s="2"/>
      <c r="F311" s="2"/>
      <c r="G311" s="2"/>
      <c r="H311" s="2"/>
      <c r="I311" s="2"/>
      <c r="J311" s="2"/>
      <c r="K311" s="2"/>
      <c r="L311" s="2"/>
      <c r="M311" s="2"/>
      <c r="N311" s="2"/>
      <c r="O311" s="2"/>
      <c r="P311" s="2"/>
      <c r="Q311" s="2"/>
      <c r="R311" s="2"/>
      <c r="S311" s="2"/>
      <c r="T311" s="2"/>
      <c r="U311" s="2"/>
      <c r="V311" s="2"/>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row>
    <row r="312" spans="1:52" x14ac:dyDescent="0.35">
      <c r="A312" s="1"/>
      <c r="F312" s="2"/>
      <c r="G312" s="2"/>
      <c r="H312" s="2"/>
      <c r="I312" s="2"/>
      <c r="J312" s="2"/>
      <c r="K312" s="2"/>
      <c r="L312" s="2"/>
      <c r="M312" s="2"/>
      <c r="N312" s="2"/>
      <c r="O312" s="2"/>
      <c r="P312" s="2"/>
      <c r="Q312" s="2"/>
      <c r="R312" s="2"/>
      <c r="S312" s="2"/>
      <c r="T312" s="2"/>
      <c r="U312" s="2"/>
      <c r="V312" s="2"/>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row>
  </sheetData>
  <mergeCells count="4">
    <mergeCell ref="C22:P22"/>
    <mergeCell ref="C35:P35"/>
    <mergeCell ref="C50:P50"/>
    <mergeCell ref="C64:E64"/>
  </mergeCells>
  <conditionalFormatting sqref="C22 Q22:U34">
    <cfRule type="cellIs" dxfId="20" priority="44" operator="equal">
      <formula>0</formula>
    </cfRule>
  </conditionalFormatting>
  <conditionalFormatting sqref="C35">
    <cfRule type="cellIs" dxfId="19" priority="19" operator="equal">
      <formula>0</formula>
    </cfRule>
  </conditionalFormatting>
  <conditionalFormatting sqref="C50">
    <cfRule type="cellIs" dxfId="18" priority="12" operator="equal">
      <formula>0</formula>
    </cfRule>
  </conditionalFormatting>
  <conditionalFormatting sqref="C66:E68 F66:F69">
    <cfRule type="cellIs" dxfId="17" priority="2" operator="equal">
      <formula>0</formula>
    </cfRule>
  </conditionalFormatting>
  <conditionalFormatting sqref="C10:H10 C12:P16">
    <cfRule type="cellIs" dxfId="16" priority="35" operator="equal">
      <formula>0</formula>
    </cfRule>
  </conditionalFormatting>
  <conditionalFormatting sqref="C9:M9">
    <cfRule type="cellIs" dxfId="15" priority="36" operator="equal">
      <formula>0</formula>
    </cfRule>
  </conditionalFormatting>
  <conditionalFormatting sqref="C11:M11">
    <cfRule type="cellIs" dxfId="14" priority="33" operator="equal">
      <formula>0</formula>
    </cfRule>
  </conditionalFormatting>
  <conditionalFormatting sqref="C8:P10">
    <cfRule type="cellIs" dxfId="13" priority="38" operator="equal">
      <formula>0</formula>
    </cfRule>
  </conditionalFormatting>
  <conditionalFormatting sqref="C37:P48">
    <cfRule type="cellIs" dxfId="12" priority="10" operator="equal">
      <formula>0</formula>
    </cfRule>
  </conditionalFormatting>
  <conditionalFormatting sqref="C52:P63">
    <cfRule type="cellIs" dxfId="11" priority="3" operator="equal">
      <formula>0</formula>
    </cfRule>
  </conditionalFormatting>
  <conditionalFormatting sqref="C17:T21">
    <cfRule type="cellIs" dxfId="10" priority="29" operator="equal">
      <formula>0</formula>
    </cfRule>
  </conditionalFormatting>
  <conditionalFormatting sqref="C24:T25">
    <cfRule type="cellIs" dxfId="9" priority="31" operator="equal">
      <formula>0</formula>
    </cfRule>
  </conditionalFormatting>
  <conditionalFormatting sqref="C27:T34">
    <cfRule type="cellIs" dxfId="8" priority="30" operator="equal">
      <formula>0</formula>
    </cfRule>
  </conditionalFormatting>
  <conditionalFormatting sqref="F66:F69 C66:E68">
    <cfRule type="colorScale" priority="1">
      <colorScale>
        <cfvo type="min"/>
        <cfvo type="num" val="0"/>
        <cfvo type="max"/>
        <color rgb="FF3C963C"/>
        <color rgb="FF1C1D1D"/>
        <color rgb="FF3C963C"/>
      </colorScale>
    </cfRule>
  </conditionalFormatting>
  <conditionalFormatting sqref="N9:P11">
    <cfRule type="cellIs" dxfId="7" priority="34" operator="equal">
      <formula>0</formula>
    </cfRule>
  </conditionalFormatting>
  <conditionalFormatting sqref="Q35:S40">
    <cfRule type="cellIs" dxfId="6" priority="47" operator="equal">
      <formula>0</formula>
    </cfRule>
  </conditionalFormatting>
  <conditionalFormatting sqref="Q8:T16 K10:M10 C12:T12 C26:R26 T26">
    <cfRule type="cellIs" dxfId="5" priority="46" operator="equal">
      <formula>0</formula>
    </cfRule>
  </conditionalFormatting>
  <pageMargins left="0.511811024" right="0.511811024" top="0.78740157499999996" bottom="0.78740157499999996" header="0.31496062000000002" footer="0.31496062000000002"/>
  <pageSetup orientation="portrait"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DE874-CD6C-41DC-8648-28D0E93DD56F}">
  <sheetPr codeName="Planilha7"/>
  <dimension ref="A1:AT305"/>
  <sheetViews>
    <sheetView showGridLines="0" zoomScaleNormal="100" workbookViewId="0"/>
  </sheetViews>
  <sheetFormatPr defaultColWidth="12.54296875" defaultRowHeight="14.5" x14ac:dyDescent="0.35"/>
  <cols>
    <col min="1" max="1" width="12.54296875" style="3"/>
    <col min="2" max="2" width="57.54296875" style="3" customWidth="1"/>
    <col min="3" max="10" width="14.54296875" style="8" customWidth="1"/>
    <col min="11" max="16" width="12.54296875" style="8"/>
    <col min="17" max="16384" width="12.54296875" style="3"/>
  </cols>
  <sheetData>
    <row r="1" spans="1:46" ht="18" customHeight="1" x14ac:dyDescent="0.35">
      <c r="A1" s="1"/>
      <c r="B1" s="1"/>
      <c r="C1" s="2"/>
      <c r="D1" s="2"/>
      <c r="E1" s="2"/>
      <c r="F1" s="2"/>
      <c r="G1" s="2"/>
      <c r="H1" s="2"/>
      <c r="I1" s="2"/>
      <c r="J1" s="2"/>
      <c r="K1" s="2"/>
      <c r="L1" s="2"/>
      <c r="M1" s="2"/>
      <c r="N1" s="2"/>
      <c r="O1" s="2"/>
      <c r="P1" s="2"/>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ht="18" customHeight="1" x14ac:dyDescent="0.35">
      <c r="A2" s="1"/>
      <c r="B2" s="1"/>
      <c r="C2" s="2"/>
      <c r="D2" s="2"/>
      <c r="E2" s="2"/>
      <c r="F2" s="2"/>
      <c r="G2" s="2"/>
      <c r="H2" s="2"/>
      <c r="I2" s="2"/>
      <c r="J2" s="2"/>
      <c r="K2" s="2"/>
      <c r="L2" s="2"/>
      <c r="M2" s="2"/>
      <c r="N2" s="2"/>
      <c r="O2" s="2"/>
      <c r="P2" s="2"/>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18" customHeight="1" x14ac:dyDescent="0.35">
      <c r="A3" s="1"/>
      <c r="B3" s="1"/>
      <c r="C3" s="2"/>
      <c r="D3" s="2"/>
      <c r="E3" s="2"/>
      <c r="F3" s="2"/>
      <c r="G3" s="2"/>
      <c r="H3" s="2"/>
      <c r="I3" s="2"/>
      <c r="J3" s="2"/>
      <c r="K3" s="2"/>
      <c r="L3" s="2"/>
      <c r="M3" s="2"/>
      <c r="N3" s="2"/>
      <c r="O3" s="2"/>
      <c r="P3" s="2"/>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18" customHeight="1" x14ac:dyDescent="0.35">
      <c r="A4" s="1"/>
      <c r="B4" s="1"/>
      <c r="C4" s="2"/>
      <c r="D4" s="2"/>
      <c r="E4" s="2"/>
      <c r="F4" s="2"/>
      <c r="G4" s="2"/>
      <c r="H4" s="2"/>
      <c r="I4" s="2"/>
      <c r="J4" s="2"/>
      <c r="K4" s="2"/>
      <c r="L4" s="2"/>
      <c r="M4" s="2"/>
      <c r="N4" s="2"/>
      <c r="O4" s="2"/>
      <c r="P4" s="2"/>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row>
    <row r="5" spans="1:46" ht="18" customHeight="1" x14ac:dyDescent="0.35">
      <c r="A5" s="1"/>
      <c r="B5" s="1"/>
      <c r="C5" s="2"/>
      <c r="D5" s="2"/>
      <c r="E5" s="2"/>
      <c r="F5" s="2"/>
      <c r="G5" s="2"/>
      <c r="H5" s="2"/>
      <c r="I5" s="2"/>
      <c r="J5" s="2"/>
      <c r="K5" s="2"/>
      <c r="L5" s="2"/>
      <c r="M5" s="2"/>
      <c r="N5" s="2"/>
      <c r="O5" s="2"/>
      <c r="P5" s="2"/>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row>
    <row r="6" spans="1:46" ht="18" customHeight="1" x14ac:dyDescent="0.35">
      <c r="A6" s="1"/>
      <c r="B6" s="1"/>
      <c r="C6" s="2"/>
      <c r="D6" s="2"/>
      <c r="E6" s="2"/>
      <c r="F6" s="2"/>
      <c r="G6" s="2"/>
      <c r="H6" s="2"/>
      <c r="I6" s="2"/>
      <c r="J6" s="2"/>
      <c r="K6" s="2"/>
      <c r="L6" s="2"/>
      <c r="M6" s="2"/>
      <c r="N6" s="2"/>
      <c r="O6" s="2"/>
      <c r="P6" s="2"/>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row>
    <row r="7" spans="1:46" ht="18" customHeight="1" thickBot="1" x14ac:dyDescent="0.4">
      <c r="A7" s="1"/>
      <c r="B7" s="1"/>
      <c r="C7" s="17">
        <v>2016</v>
      </c>
      <c r="D7" s="17">
        <f t="shared" ref="D7:J7" si="0">C7+1</f>
        <v>2017</v>
      </c>
      <c r="E7" s="17">
        <f t="shared" si="0"/>
        <v>2018</v>
      </c>
      <c r="F7" s="17">
        <f t="shared" si="0"/>
        <v>2019</v>
      </c>
      <c r="G7" s="17">
        <f t="shared" si="0"/>
        <v>2020</v>
      </c>
      <c r="H7" s="17">
        <f t="shared" si="0"/>
        <v>2021</v>
      </c>
      <c r="I7" s="17">
        <f t="shared" si="0"/>
        <v>2022</v>
      </c>
      <c r="J7" s="17">
        <f t="shared" si="0"/>
        <v>2023</v>
      </c>
      <c r="K7" s="2"/>
      <c r="L7" s="2"/>
      <c r="M7" s="2"/>
      <c r="N7" s="2"/>
      <c r="O7" s="2"/>
      <c r="P7" s="2"/>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row>
    <row r="8" spans="1:46" ht="18" customHeight="1" x14ac:dyDescent="0.35">
      <c r="A8" s="1"/>
      <c r="B8" s="23" t="s">
        <v>56</v>
      </c>
      <c r="C8" s="31">
        <f t="array" ref="C8:J8">(ATIVO_CIRC+ATIVO_REALIZAVEL_LONGO_PRAZO)/(PASSIVO_CIRC+PASSIVO_NAO_CIRC)</f>
        <v>0.95935381377081719</v>
      </c>
      <c r="D8" s="31">
        <v>1.0816032089977912</v>
      </c>
      <c r="E8" s="31">
        <v>1.1189921880355334</v>
      </c>
      <c r="F8" s="31">
        <v>1.0991662830452686</v>
      </c>
      <c r="G8" s="31">
        <v>1.0382777350147061</v>
      </c>
      <c r="H8" s="31">
        <v>0.91806585005046981</v>
      </c>
      <c r="I8" s="31">
        <v>0.93182835002514552</v>
      </c>
      <c r="J8" s="31">
        <v>0.97214492507888839</v>
      </c>
      <c r="K8" s="2"/>
      <c r="L8" s="2"/>
      <c r="M8" s="2"/>
      <c r="N8" s="2"/>
      <c r="O8" s="2"/>
      <c r="P8" s="2"/>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row>
    <row r="9" spans="1:46" ht="18" customHeight="1" x14ac:dyDescent="0.35">
      <c r="A9" s="1"/>
      <c r="B9" s="23" t="s">
        <v>57</v>
      </c>
      <c r="C9" s="31">
        <f t="array" ref="C9:J9">ATIVO_CIRC/PASSIVO_CIRC</f>
        <v>1.2280302036922623</v>
      </c>
      <c r="D9" s="31">
        <v>1.0507856470186938</v>
      </c>
      <c r="E9" s="31">
        <v>1.2545621084437861</v>
      </c>
      <c r="F9" s="31">
        <v>1.7129886349943493</v>
      </c>
      <c r="G9" s="31">
        <v>1.5632459050029066</v>
      </c>
      <c r="H9" s="31">
        <v>1.6270262996080835</v>
      </c>
      <c r="I9" s="31">
        <v>1.2917311075184572</v>
      </c>
      <c r="J9" s="31">
        <v>1.3880188029802529</v>
      </c>
      <c r="K9" s="2"/>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row>
    <row r="10" spans="1:46" ht="18" customHeight="1" x14ac:dyDescent="0.35">
      <c r="A10" s="1"/>
      <c r="B10" s="23" t="s">
        <v>58</v>
      </c>
      <c r="C10" s="31">
        <f t="array" ref="C10:J10">(ATIVO_CIRC-ESTOQUES)/PASSIVO_CIRC</f>
        <v>0.92078316133276916</v>
      </c>
      <c r="D10" s="31">
        <v>0.81378052307258797</v>
      </c>
      <c r="E10" s="31">
        <v>0.97422214451095612</v>
      </c>
      <c r="F10" s="31">
        <v>1.4019132225481803</v>
      </c>
      <c r="G10" s="31">
        <v>1.2785646115331852</v>
      </c>
      <c r="H10" s="31">
        <v>1.2753701261461954</v>
      </c>
      <c r="I10" s="31">
        <v>1.0601834753681723</v>
      </c>
      <c r="J10" s="31">
        <v>1.1145440608525088</v>
      </c>
      <c r="K10" s="2"/>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row>
    <row r="11" spans="1:46" ht="18" customHeight="1" x14ac:dyDescent="0.35">
      <c r="A11" s="1"/>
      <c r="B11" s="23" t="s">
        <v>59</v>
      </c>
      <c r="C11" s="31">
        <f t="array" ref="C11:J11">CAIXA_E_EQUIVALENTES/PASSIVO_CIRC</f>
        <v>0.28040682337298994</v>
      </c>
      <c r="D11" s="31">
        <v>0.21344040971794814</v>
      </c>
      <c r="E11" s="31">
        <v>0.2548506686597321</v>
      </c>
      <c r="F11" s="31">
        <v>0.2553337174778722</v>
      </c>
      <c r="G11" s="31">
        <v>0.6702276624309248</v>
      </c>
      <c r="H11" s="31">
        <v>0.43487663842024304</v>
      </c>
      <c r="I11" s="31">
        <v>0.45494928841265841</v>
      </c>
      <c r="J11" s="31">
        <v>0.36110646720399886</v>
      </c>
      <c r="K11" s="2"/>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row>
    <row r="12" spans="1:46" ht="18" customHeight="1" x14ac:dyDescent="0.35">
      <c r="A12" s="1"/>
      <c r="B12" s="23" t="s">
        <v>64</v>
      </c>
      <c r="C12" s="32">
        <f t="array" ref="C12:J12">LUCRO_LIQUIDO/PL</f>
        <v>-0.17097186453149507</v>
      </c>
      <c r="D12" s="32">
        <v>9.6253103536665691E-2</v>
      </c>
      <c r="E12" s="32">
        <v>0.13128688772320968</v>
      </c>
      <c r="F12" s="32">
        <v>0.35479838076778475</v>
      </c>
      <c r="G12" s="32">
        <v>-6.2653307217116164E-2</v>
      </c>
      <c r="H12" s="32">
        <v>0.10985275837234545</v>
      </c>
      <c r="I12" s="32">
        <v>1.6765571316007354E-4</v>
      </c>
      <c r="J12" s="32">
        <v>7.7571124290051611E-4</v>
      </c>
      <c r="K12" s="2"/>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row>
    <row r="13" spans="1:46" ht="18" customHeight="1" x14ac:dyDescent="0.35">
      <c r="A13" s="1"/>
      <c r="B13" s="23" t="s">
        <v>216</v>
      </c>
      <c r="C13" s="32">
        <f t="array" ref="C13:J13">LUCRO_LIQUIDO/(PL-CAIXA_E_EQUIVALENTES)</f>
        <v>-0.41972410965497364</v>
      </c>
      <c r="D13" s="32">
        <v>0.16855907048928759</v>
      </c>
      <c r="E13" s="32">
        <v>0.21880833979788739</v>
      </c>
      <c r="F13" s="32">
        <v>0.42399630789793152</v>
      </c>
      <c r="G13" s="32">
        <v>-0.14518684299881027</v>
      </c>
      <c r="H13" s="32">
        <v>0.16917786171852744</v>
      </c>
      <c r="I13" s="32">
        <v>3.7930631435670629E-4</v>
      </c>
      <c r="J13" s="32">
        <v>1.2583926497376867E-3</v>
      </c>
      <c r="K13" s="2"/>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row>
    <row r="14" spans="1:46" ht="18" customHeight="1" x14ac:dyDescent="0.35">
      <c r="A14" s="1"/>
      <c r="B14" s="23" t="s">
        <v>66</v>
      </c>
      <c r="C14" s="32">
        <f t="array" ref="C14:J14">NOPAT/(PL+DIVIDA_BRUTA)</f>
        <v>8.9133772920242077E-2</v>
      </c>
      <c r="D14" s="32">
        <v>7.8018513890446325E-2</v>
      </c>
      <c r="E14" s="32">
        <v>6.1006708025353046E-2</v>
      </c>
      <c r="F14" s="32">
        <v>-8.8460867514304251E-2</v>
      </c>
      <c r="G14" s="32">
        <v>1.6458126860505427E-2</v>
      </c>
      <c r="H14" s="32">
        <v>1.470559261662544E-2</v>
      </c>
      <c r="I14" s="32">
        <v>4.4643542399072603E-2</v>
      </c>
      <c r="J14" s="32">
        <v>6.6117470433738237E-2</v>
      </c>
      <c r="K14" s="2"/>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row>
    <row r="15" spans="1:46" ht="18" customHeight="1" x14ac:dyDescent="0.35">
      <c r="A15" s="1"/>
      <c r="B15" s="23" t="s">
        <v>65</v>
      </c>
      <c r="C15" s="32">
        <f t="array" ref="C15:J15">LUCRO_LIQUIDO/ATIVO</f>
        <v>-3.8905302304267267E-2</v>
      </c>
      <c r="D15" s="32">
        <v>2.8541975824757926E-2</v>
      </c>
      <c r="E15" s="32">
        <v>4.2086203838213494E-2</v>
      </c>
      <c r="F15" s="32">
        <v>0.16100384092208633</v>
      </c>
      <c r="G15" s="32">
        <v>-2.2755134413467572E-2</v>
      </c>
      <c r="H15" s="32">
        <v>3.797123437499459E-2</v>
      </c>
      <c r="I15" s="32">
        <v>5.2235220911368568E-5</v>
      </c>
      <c r="J15" s="32">
        <v>2.4815142057397203E-4</v>
      </c>
      <c r="K15" s="2"/>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row>
    <row r="16" spans="1:46" ht="18" customHeight="1" x14ac:dyDescent="0.35">
      <c r="A16" s="1"/>
      <c r="B16" s="23" t="s">
        <v>55</v>
      </c>
      <c r="C16" s="32"/>
      <c r="D16" s="32"/>
      <c r="E16" s="32"/>
      <c r="F16" s="32"/>
      <c r="G16" s="32"/>
      <c r="H16" s="32"/>
      <c r="I16" s="32"/>
      <c r="J16" s="32"/>
      <c r="K16" s="2"/>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row>
    <row r="17" spans="1:46" ht="18" customHeight="1" x14ac:dyDescent="0.35">
      <c r="A17" s="1"/>
      <c r="B17" s="23" t="s">
        <v>769</v>
      </c>
      <c r="C17" s="26">
        <f t="array" ref="C17:J17">EBIT-DEPRECIACAO_E_AMORTIZACAO-DA_ARRENDAMENTO</f>
        <v>194319</v>
      </c>
      <c r="D17" s="26">
        <v>494316</v>
      </c>
      <c r="E17" s="26">
        <v>534166</v>
      </c>
      <c r="F17" s="26">
        <v>1534882</v>
      </c>
      <c r="G17" s="26">
        <v>360709</v>
      </c>
      <c r="H17" s="26">
        <v>647440</v>
      </c>
      <c r="I17" s="26">
        <v>910068</v>
      </c>
      <c r="J17" s="26">
        <v>1102275</v>
      </c>
      <c r="K17" s="2"/>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row>
    <row r="18" spans="1:46" ht="18" customHeight="1" x14ac:dyDescent="0.35">
      <c r="A18" s="1"/>
      <c r="B18" s="23" t="s">
        <v>770</v>
      </c>
      <c r="C18" s="26">
        <f t="array" ref="C18:J18">EBIT_RECORRENTE-DEPRECIACAO_E_AMORTIZACAO-DA_ARRENDAMENTO</f>
        <v>194319</v>
      </c>
      <c r="D18" s="26">
        <v>494316</v>
      </c>
      <c r="E18" s="26">
        <v>534166</v>
      </c>
      <c r="F18" s="26">
        <v>817717</v>
      </c>
      <c r="G18" s="26">
        <v>265930</v>
      </c>
      <c r="H18" s="26">
        <v>436989</v>
      </c>
      <c r="I18" s="26">
        <v>723243</v>
      </c>
      <c r="J18" s="26">
        <v>1031082</v>
      </c>
      <c r="K18" s="2"/>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row>
    <row r="19" spans="1:46" ht="18" customHeight="1" x14ac:dyDescent="0.35">
      <c r="A19" s="1"/>
      <c r="B19" s="23" t="s">
        <v>86</v>
      </c>
      <c r="C19" s="26">
        <f t="array" ref="C19:J19">EMPRESTIMOS_CIRC+EMPRESTIMOS_NAO_CIRC+PASSIVO_PARTES_RELACIONADAS_CIRC+PASSIVO_PARTES_RELACIONADAS_N_CIRC</f>
        <v>1387912</v>
      </c>
      <c r="D19" s="26">
        <v>982156</v>
      </c>
      <c r="E19" s="26">
        <v>1026873</v>
      </c>
      <c r="F19" s="26">
        <v>1657199</v>
      </c>
      <c r="G19" s="26">
        <v>2900814</v>
      </c>
      <c r="H19" s="26">
        <v>3247990</v>
      </c>
      <c r="I19" s="26">
        <v>3983636</v>
      </c>
      <c r="J19" s="26">
        <v>3470938</v>
      </c>
      <c r="K19" s="2"/>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row>
    <row r="20" spans="1:46" ht="18" customHeight="1" x14ac:dyDescent="0.35">
      <c r="A20" s="1"/>
      <c r="B20" s="23" t="s">
        <v>67</v>
      </c>
      <c r="C20" s="45">
        <f t="array" ref="C20:J20">DIVIDA_BRUTA/ATIVO</f>
        <v>0.38222107658786025</v>
      </c>
      <c r="D20" s="45">
        <v>0.28935459133093461</v>
      </c>
      <c r="E20" s="45">
        <v>0.29521952588262723</v>
      </c>
      <c r="F20" s="45">
        <v>0.27450285667337848</v>
      </c>
      <c r="G20" s="45">
        <v>0.39684734433824231</v>
      </c>
      <c r="H20" s="45">
        <v>0.37485240429664352</v>
      </c>
      <c r="I20" s="45">
        <v>0.41369007254568713</v>
      </c>
      <c r="J20" s="45">
        <v>0.36855720814042842</v>
      </c>
      <c r="K20" s="2"/>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row>
    <row r="21" spans="1:46" ht="18" customHeight="1" x14ac:dyDescent="0.35">
      <c r="A21" s="1"/>
      <c r="B21" s="23" t="s">
        <v>68</v>
      </c>
      <c r="C21" s="45">
        <f t="array" ref="C21:J21">DIVIDA_BRUTA/PL</f>
        <v>1.6796952152276203</v>
      </c>
      <c r="D21" s="45">
        <v>0.97580061062301227</v>
      </c>
      <c r="E21" s="45">
        <v>0.92093011993302476</v>
      </c>
      <c r="F21" s="45">
        <v>0.60491208474322611</v>
      </c>
      <c r="G21" s="45">
        <v>1.092667620913063</v>
      </c>
      <c r="H21" s="45">
        <v>1.084467525807101</v>
      </c>
      <c r="I21" s="45">
        <v>1.327791917594717</v>
      </c>
      <c r="J21" s="45">
        <v>1.1520948352634282</v>
      </c>
      <c r="K21" s="2"/>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row>
    <row r="22" spans="1:46" ht="18" customHeight="1" x14ac:dyDescent="0.35">
      <c r="A22" s="1"/>
      <c r="B22" s="23" t="s">
        <v>69</v>
      </c>
      <c r="C22" s="45">
        <f t="array" ref="C22:J22">DIVIDA_BRUTA/(DIVIDA_BRUTA+PL)</f>
        <v>0.62682323186704003</v>
      </c>
      <c r="D22" s="45">
        <v>0.49387605478840368</v>
      </c>
      <c r="E22" s="45">
        <v>0.47941885567661041</v>
      </c>
      <c r="F22" s="45">
        <v>0.37691291036668062</v>
      </c>
      <c r="G22" s="45">
        <v>0.5221410270763952</v>
      </c>
      <c r="H22" s="45">
        <v>0.52026117575863784</v>
      </c>
      <c r="I22" s="45">
        <v>0.57040833742850627</v>
      </c>
      <c r="J22" s="45">
        <v>0.53533646212315056</v>
      </c>
      <c r="K22" s="2"/>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row>
    <row r="23" spans="1:46" ht="18" customHeight="1" x14ac:dyDescent="0.35">
      <c r="A23" s="1"/>
      <c r="B23" s="23" t="s">
        <v>746</v>
      </c>
      <c r="C23" s="26">
        <f t="array" ref="C23:J23">DIVIDA_BRUTA-CAIXA_E_EQUIVALENTES-APLICACOES_FINANCEIRAS</f>
        <v>898207</v>
      </c>
      <c r="D23" s="26">
        <v>550397</v>
      </c>
      <c r="E23" s="26">
        <v>580867</v>
      </c>
      <c r="F23" s="26">
        <v>1210090</v>
      </c>
      <c r="G23" s="26">
        <v>1391655</v>
      </c>
      <c r="H23" s="26">
        <v>2197739</v>
      </c>
      <c r="I23" s="26">
        <v>2300810</v>
      </c>
      <c r="J23" s="26">
        <v>2123763</v>
      </c>
      <c r="K23" s="2"/>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row>
    <row r="24" spans="1:46" ht="18" customHeight="1" x14ac:dyDescent="0.35">
      <c r="A24" s="1"/>
      <c r="B24" s="23" t="s">
        <v>747</v>
      </c>
      <c r="C24" s="45">
        <f t="array" ref="C24:J24">DIVIDA_LIQUIDA/EBITDA_RECORRENTE</f>
        <v>4.6223323504134957</v>
      </c>
      <c r="D24" s="45">
        <v>1.1134517191432201</v>
      </c>
      <c r="E24" s="45">
        <v>1.087427878225121</v>
      </c>
      <c r="F24" s="45">
        <v>1.4798396022095663</v>
      </c>
      <c r="G24" s="45">
        <v>5.2331628624074007</v>
      </c>
      <c r="H24" s="45">
        <v>5.0292776248372384</v>
      </c>
      <c r="I24" s="45">
        <v>3.1812406065457943</v>
      </c>
      <c r="J24" s="45">
        <v>2.0597420961669393</v>
      </c>
      <c r="K24" s="2"/>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row>
    <row r="25" spans="1:46" ht="18" customHeight="1" collapsed="1" x14ac:dyDescent="0.35">
      <c r="A25" s="1"/>
      <c r="B25" s="23" t="s">
        <v>748</v>
      </c>
      <c r="C25" s="45">
        <f t="array" ref="C25:J25">-EBITDA_RECORRENTE/(DESP_FIN-DESP_DERIVATIVOS-DESP_VAR_CAMBIAL)</f>
        <v>1.0747791746635766</v>
      </c>
      <c r="D25" s="45">
        <v>3.3176461113050015</v>
      </c>
      <c r="E25" s="45">
        <v>5.5982267310856555</v>
      </c>
      <c r="F25" s="45">
        <v>3.1962421385491542</v>
      </c>
      <c r="G25" s="45">
        <v>1.2421991778774291</v>
      </c>
      <c r="H25" s="45">
        <v>1.6347954583715232</v>
      </c>
      <c r="I25" s="45">
        <v>1.202720927796135</v>
      </c>
      <c r="J25" s="45">
        <v>1.6199856711015026</v>
      </c>
      <c r="K25" s="2"/>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row>
    <row r="26" spans="1:46" ht="18" customHeight="1" x14ac:dyDescent="0.35">
      <c r="A26" s="1"/>
      <c r="B26" s="23" t="s">
        <v>749</v>
      </c>
      <c r="C26" s="45">
        <f t="array" ref="C26:J26">-FCO/(DESP_FIN-DESP_DERIVATIVOS-DESP_VAR_CAMBIAL)</f>
        <v>1.9434842006869506</v>
      </c>
      <c r="D26" s="45">
        <v>3.9968992456173322</v>
      </c>
      <c r="E26" s="45">
        <v>3.7575694058710711</v>
      </c>
      <c r="F26" s="45">
        <v>3.3298076509652632</v>
      </c>
      <c r="G26" s="45">
        <v>2.8244020926756352</v>
      </c>
      <c r="H26" s="45">
        <v>1.7986681880249153</v>
      </c>
      <c r="I26" s="45">
        <v>1.8132434450451409</v>
      </c>
      <c r="J26" s="45">
        <v>1.5086994639232272</v>
      </c>
      <c r="K26" s="2"/>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row>
    <row r="27" spans="1:46" ht="18" customHeight="1" x14ac:dyDescent="0.35">
      <c r="A27" s="1"/>
      <c r="B27" s="23" t="s">
        <v>75</v>
      </c>
      <c r="C27" s="33">
        <f t="array" ref="C27:J27">-(DESP_FIN-DESP_DERIVATIVOS-DESP_VAR_CAMBIAL)/DIVIDA_BRUTA</f>
        <v>0.1302669045299702</v>
      </c>
      <c r="D27" s="33">
        <v>0.15170298812001351</v>
      </c>
      <c r="E27" s="33">
        <v>9.2919961864807041E-2</v>
      </c>
      <c r="F27" s="33">
        <v>0.15437916629203854</v>
      </c>
      <c r="G27" s="33">
        <v>7.3799974765703699E-2</v>
      </c>
      <c r="H27" s="33">
        <v>8.2298590820784542E-2</v>
      </c>
      <c r="I27" s="33">
        <v>0.15095229584229081</v>
      </c>
      <c r="J27" s="33">
        <v>0.18337290957084224</v>
      </c>
      <c r="K27" s="2"/>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row>
    <row r="28" spans="1:46" ht="18" customHeight="1" x14ac:dyDescent="0.35">
      <c r="A28" s="1"/>
      <c r="B28" s="23" t="s">
        <v>778</v>
      </c>
      <c r="C28" s="33">
        <f t="array" ref="C28:J28">CUSTO_DA_DIVIDA*(1-34%)</f>
        <v>8.5976156989780325E-2</v>
      </c>
      <c r="D28" s="33">
        <v>0.1001239721592089</v>
      </c>
      <c r="E28" s="33">
        <v>6.1327174830772636E-2</v>
      </c>
      <c r="F28" s="33">
        <v>0.10189024975274542</v>
      </c>
      <c r="G28" s="33">
        <v>4.8707983345364435E-2</v>
      </c>
      <c r="H28" s="33">
        <v>5.431706994171779E-2</v>
      </c>
      <c r="I28" s="33">
        <v>9.9628515255911917E-2</v>
      </c>
      <c r="J28" s="33">
        <v>0.12102612031675586</v>
      </c>
      <c r="K28" s="2"/>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row>
    <row r="29" spans="1:46" ht="18" customHeight="1" x14ac:dyDescent="0.35">
      <c r="A29" s="1"/>
      <c r="B29" s="23" t="s">
        <v>777</v>
      </c>
      <c r="C29" s="33">
        <f t="array" ref="C29:J29">JUROS_APLICACOES_FIN/(CAIXA_E_EQUIVALENTES+APLICACOES_FINANCEIRAS)</f>
        <v>8.7530247802248287E-2</v>
      </c>
      <c r="D29" s="33">
        <v>1.7616309098362745E-2</v>
      </c>
      <c r="E29" s="33">
        <v>3.2149791706838023E-2</v>
      </c>
      <c r="F29" s="33">
        <v>4.3486040316790757E-2</v>
      </c>
      <c r="G29" s="33">
        <v>1.6179872365999871E-2</v>
      </c>
      <c r="H29" s="33">
        <v>0.12033409156477833</v>
      </c>
      <c r="I29" s="33">
        <v>0.10021356931732693</v>
      </c>
      <c r="J29" s="33">
        <v>6.0885185666301703E-2</v>
      </c>
      <c r="K29" s="2"/>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row>
    <row r="30" spans="1:46" ht="18" customHeight="1" x14ac:dyDescent="0.35">
      <c r="A30" s="1"/>
      <c r="B30" s="23" t="s">
        <v>217</v>
      </c>
      <c r="C30" s="78">
        <f t="array" ref="C30:J30">IFERROR(CONTAS_A_RECEBER*365/RECEITA_BRUTA,0)</f>
        <v>0</v>
      </c>
      <c r="D30" s="78">
        <v>0</v>
      </c>
      <c r="E30" s="78">
        <v>63.525397586603745</v>
      </c>
      <c r="F30" s="78">
        <v>61.436224118764443</v>
      </c>
      <c r="G30" s="78">
        <v>73.698926220990643</v>
      </c>
      <c r="H30" s="78">
        <v>62.43341294428707</v>
      </c>
      <c r="I30" s="78">
        <v>58.315568286103343</v>
      </c>
      <c r="J30" s="78">
        <v>74.314758984419541</v>
      </c>
      <c r="K30" s="2"/>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row>
    <row r="31" spans="1:46" ht="18" customHeight="1" x14ac:dyDescent="0.35">
      <c r="A31" s="1"/>
      <c r="B31" s="23" t="s">
        <v>218</v>
      </c>
      <c r="C31" s="78">
        <f t="array" ref="C31:J31">ESTOQUES*365/-CMV</f>
        <v>70.555293574306447</v>
      </c>
      <c r="D31" s="78">
        <v>66.941532123094703</v>
      </c>
      <c r="E31" s="78">
        <v>68.421575283975301</v>
      </c>
      <c r="F31" s="78">
        <v>73.175174314931738</v>
      </c>
      <c r="G31" s="78">
        <v>106.89235807331582</v>
      </c>
      <c r="H31" s="78">
        <v>112.47996024524865</v>
      </c>
      <c r="I31" s="78">
        <v>101.05540447404191</v>
      </c>
      <c r="J31" s="78">
        <v>99.914507097013527</v>
      </c>
      <c r="K31" s="2"/>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row>
    <row r="32" spans="1:46" ht="18" customHeight="1" x14ac:dyDescent="0.35">
      <c r="A32" s="1"/>
      <c r="B32" s="23" t="s">
        <v>219</v>
      </c>
      <c r="C32" s="78">
        <f t="array" ref="C32:J32">-(FORNECEDORES_CIRC+SALARIOS)*365/(CMV+DESPESAS_OPERACIONAIS-DEPRECIACAO_E_AMORTIZACAO-DA_ARRENDAMENTO)</f>
        <v>56.772118503175165</v>
      </c>
      <c r="D32" s="78">
        <v>66.152188120830758</v>
      </c>
      <c r="E32" s="78">
        <v>64.184290463214779</v>
      </c>
      <c r="F32" s="78">
        <v>90.7621065110594</v>
      </c>
      <c r="G32" s="78">
        <v>126.90413412668731</v>
      </c>
      <c r="H32" s="78">
        <v>126.06406768571648</v>
      </c>
      <c r="I32" s="78">
        <v>142.81557843269809</v>
      </c>
      <c r="J32" s="78">
        <v>116.01012953080999</v>
      </c>
      <c r="K32" s="2"/>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row>
    <row r="33" spans="1:46" ht="18" customHeight="1" x14ac:dyDescent="0.35">
      <c r="A33" s="1"/>
      <c r="B33" s="23" t="s">
        <v>60</v>
      </c>
      <c r="C33" s="78">
        <f t="array" ref="C33:J33">PMR+PME-PMP</f>
        <v>13.783175071131282</v>
      </c>
      <c r="D33" s="78">
        <v>0.7893440022639453</v>
      </c>
      <c r="E33" s="78">
        <v>67.762682407364252</v>
      </c>
      <c r="F33" s="78">
        <v>43.849291922636795</v>
      </c>
      <c r="G33" s="78">
        <v>53.687150167619151</v>
      </c>
      <c r="H33" s="78">
        <v>48.849305503819238</v>
      </c>
      <c r="I33" s="78">
        <v>16.555394327447175</v>
      </c>
      <c r="J33" s="78">
        <v>58.219136550623091</v>
      </c>
      <c r="K33" s="2"/>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row>
    <row r="34" spans="1:46" ht="18" customHeight="1" x14ac:dyDescent="0.35">
      <c r="A34" s="1"/>
      <c r="B34" s="23" t="s">
        <v>773</v>
      </c>
      <c r="C34" s="26">
        <f t="array" ref="C34:J34">CAIXA_OPERACIONAL+ESTOQUES+CONTAS_A_RECEBER+OUTROS_CIRC</f>
        <v>1787660.2083333335</v>
      </c>
      <c r="D34" s="26">
        <v>1812032.7083333335</v>
      </c>
      <c r="E34" s="26">
        <v>1900751.9166666665</v>
      </c>
      <c r="F34" s="26">
        <v>1893830.7083333335</v>
      </c>
      <c r="G34" s="26">
        <v>1879635.5</v>
      </c>
      <c r="H34" s="26">
        <v>2204064.8333333335</v>
      </c>
      <c r="I34" s="26">
        <v>2388854.75</v>
      </c>
      <c r="J34" s="26">
        <v>2938735.583333333</v>
      </c>
      <c r="K34" s="2"/>
      <c r="L34" s="49"/>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row>
    <row r="35" spans="1:46" ht="18" customHeight="1" x14ac:dyDescent="0.35">
      <c r="A35" s="1"/>
      <c r="B35" s="23" t="s">
        <v>774</v>
      </c>
      <c r="C35" s="26">
        <f t="array" ref="C35:J35">SALARIOS+FORNECEDORES_CIRC+TRIBUTOS_A_PAGAR+OUTRAS_OBRIG_CIRC-PASSIVO_PARTES_RELACIONADAS_CIRC</f>
        <v>1051208</v>
      </c>
      <c r="D35" s="26">
        <v>1042547</v>
      </c>
      <c r="E35" s="26">
        <v>1038263</v>
      </c>
      <c r="F35" s="26">
        <v>1323667</v>
      </c>
      <c r="G35" s="26">
        <v>1435742</v>
      </c>
      <c r="H35" s="26">
        <v>1763138</v>
      </c>
      <c r="I35" s="26">
        <v>2376886</v>
      </c>
      <c r="J35" s="26">
        <v>2115401</v>
      </c>
      <c r="K35" s="2"/>
      <c r="L35" s="49"/>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row>
    <row r="36" spans="1:46" ht="18" customHeight="1" x14ac:dyDescent="0.35">
      <c r="A36" s="1"/>
      <c r="B36" s="23" t="s">
        <v>81</v>
      </c>
      <c r="C36" s="26">
        <f t="array" ref="C36:J36">ATIVO_OPERACIONAL-PASSIVO_OPERACIONAL</f>
        <v>736452.20833333349</v>
      </c>
      <c r="D36" s="26">
        <v>769485.70833333349</v>
      </c>
      <c r="E36" s="26">
        <v>862488.91666666651</v>
      </c>
      <c r="F36" s="26">
        <v>570163.70833333349</v>
      </c>
      <c r="G36" s="26">
        <v>443893.5</v>
      </c>
      <c r="H36" s="26">
        <v>440926.83333333349</v>
      </c>
      <c r="I36" s="26">
        <v>11968.75</v>
      </c>
      <c r="J36" s="26">
        <v>823334.58333333302</v>
      </c>
      <c r="K36" s="2"/>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row>
    <row r="37" spans="1:46" ht="18" customHeight="1" x14ac:dyDescent="0.35">
      <c r="A37" s="1"/>
      <c r="B37" s="23" t="s">
        <v>74</v>
      </c>
      <c r="C37" s="43">
        <f t="array" ref="C37:J37">CAPITAL_DE_GIRO/RECEITA_LIQUIDA</f>
        <v>0.15404713381223176</v>
      </c>
      <c r="D37" s="43">
        <v>0.15280883712863655</v>
      </c>
      <c r="E37" s="43">
        <v>0.16782832929307787</v>
      </c>
      <c r="F37" s="43">
        <v>0.10787975510632442</v>
      </c>
      <c r="G37" s="43">
        <v>0.10865133303602069</v>
      </c>
      <c r="H37" s="43">
        <v>8.5563595426484701E-2</v>
      </c>
      <c r="I37" s="43">
        <v>1.9355787637233041E-3</v>
      </c>
      <c r="J37" s="43">
        <v>0.12253248110385818</v>
      </c>
      <c r="K37" s="2"/>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row>
    <row r="38" spans="1:46" ht="18" customHeight="1" x14ac:dyDescent="0.35">
      <c r="A38" s="1"/>
      <c r="B38" s="23" t="s">
        <v>785</v>
      </c>
      <c r="C38" s="43"/>
      <c r="D38" s="43"/>
      <c r="E38" s="43"/>
      <c r="F38" s="43"/>
      <c r="G38" s="43"/>
      <c r="H38" s="43"/>
      <c r="I38" s="43"/>
      <c r="J38" s="43"/>
      <c r="K38" s="2"/>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row>
    <row r="39" spans="1:46" ht="18" customHeight="1" x14ac:dyDescent="0.35">
      <c r="A39" s="1"/>
      <c r="B39" s="23" t="s">
        <v>63</v>
      </c>
      <c r="C39" s="26">
        <v>0</v>
      </c>
      <c r="D39" s="27">
        <v>0.253477379</v>
      </c>
      <c r="E39" s="27">
        <v>0</v>
      </c>
      <c r="F39" s="27">
        <v>0.253477379</v>
      </c>
      <c r="G39" s="27">
        <v>0</v>
      </c>
      <c r="H39" s="27">
        <v>0</v>
      </c>
      <c r="I39" s="27">
        <v>0</v>
      </c>
      <c r="J39" s="27">
        <v>0</v>
      </c>
      <c r="K39" s="2"/>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row>
    <row r="40" spans="1:46" ht="18" customHeight="1" x14ac:dyDescent="0.35">
      <c r="A40" s="1"/>
      <c r="B40" s="23" t="s">
        <v>61</v>
      </c>
      <c r="C40" s="43">
        <v>0</v>
      </c>
      <c r="D40" s="43">
        <v>1.4004275082899999E-2</v>
      </c>
      <c r="E40" s="43">
        <v>0</v>
      </c>
      <c r="F40" s="43">
        <v>1.4004275082899999E-2</v>
      </c>
      <c r="G40" s="43">
        <v>0</v>
      </c>
      <c r="H40" s="43">
        <v>0</v>
      </c>
      <c r="I40" s="43">
        <v>0</v>
      </c>
      <c r="J40" s="43">
        <v>0</v>
      </c>
      <c r="K40" s="2"/>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row>
    <row r="41" spans="1:46" ht="18" customHeight="1" x14ac:dyDescent="0.35">
      <c r="A41" s="1"/>
      <c r="B41" s="23" t="s">
        <v>62</v>
      </c>
      <c r="C41" s="43">
        <v>0</v>
      </c>
      <c r="D41" s="43">
        <v>8.0384480059300004E-2</v>
      </c>
      <c r="E41" s="43">
        <v>0</v>
      </c>
      <c r="F41" s="43">
        <v>8.0384480059300004E-2</v>
      </c>
      <c r="G41" s="43">
        <v>0</v>
      </c>
      <c r="H41" s="43">
        <v>0</v>
      </c>
      <c r="I41" s="43">
        <v>0</v>
      </c>
      <c r="J41" s="43">
        <v>0</v>
      </c>
      <c r="K41" s="2"/>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row>
    <row r="42" spans="1:46" ht="18" customHeight="1" x14ac:dyDescent="0.35">
      <c r="A42" s="1"/>
      <c r="B42" s="15"/>
      <c r="C42" s="26"/>
      <c r="D42" s="26"/>
      <c r="E42" s="26"/>
      <c r="F42" s="26"/>
      <c r="G42" s="26"/>
      <c r="H42" s="26"/>
      <c r="I42" s="26"/>
      <c r="J42" s="26"/>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row>
    <row r="43" spans="1:46" ht="18" customHeight="1" x14ac:dyDescent="0.35">
      <c r="A43" s="1"/>
      <c r="B43" s="15"/>
      <c r="C43" s="26"/>
      <c r="D43" s="26"/>
      <c r="E43" s="26"/>
      <c r="F43" s="26"/>
      <c r="G43" s="26"/>
      <c r="H43" s="26"/>
      <c r="I43" s="26"/>
      <c r="J43" s="26"/>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row>
    <row r="44" spans="1:46" ht="18" customHeight="1" thickBot="1" x14ac:dyDescent="0.4">
      <c r="A44" s="1"/>
      <c r="B44" s="23"/>
      <c r="C44" s="17">
        <v>2016</v>
      </c>
      <c r="D44" s="17">
        <f t="shared" ref="D44" si="1">C44+1</f>
        <v>2017</v>
      </c>
      <c r="E44" s="17">
        <f t="shared" ref="E44" si="2">D44+1</f>
        <v>2018</v>
      </c>
      <c r="F44" s="17">
        <f t="shared" ref="F44" si="3">E44+1</f>
        <v>2019</v>
      </c>
      <c r="G44" s="17">
        <f t="shared" ref="G44" si="4">F44+1</f>
        <v>2020</v>
      </c>
      <c r="H44" s="17">
        <f t="shared" ref="H44" si="5">G44+1</f>
        <v>2021</v>
      </c>
      <c r="I44" s="17">
        <f t="shared" ref="I44" si="6">H44+1</f>
        <v>2022</v>
      </c>
      <c r="J44" s="17">
        <f t="shared" ref="J44" si="7">I44+1</f>
        <v>2023</v>
      </c>
      <c r="K44" s="50">
        <f>J44+1</f>
        <v>2024</v>
      </c>
      <c r="L44" s="50">
        <f t="shared" ref="L44:M44" si="8">K44+1</f>
        <v>2025</v>
      </c>
      <c r="M44" s="50">
        <f t="shared" si="8"/>
        <v>2026</v>
      </c>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row>
    <row r="45" spans="1:46" ht="18" customHeight="1" x14ac:dyDescent="0.35">
      <c r="A45" s="1"/>
      <c r="B45" s="23" t="s">
        <v>782</v>
      </c>
      <c r="C45" s="80">
        <v>6.2879882132213849E-2</v>
      </c>
      <c r="D45" s="80">
        <v>2.9474213204347066E-2</v>
      </c>
      <c r="E45" s="80">
        <v>3.7455811701915476E-2</v>
      </c>
      <c r="F45" s="80">
        <v>4.3061516171595302E-2</v>
      </c>
      <c r="G45" s="80">
        <v>4.517456886424509E-2</v>
      </c>
      <c r="H45" s="80">
        <v>0.10060982737443336</v>
      </c>
      <c r="I45" s="43">
        <v>9.7430000000000003E-2</v>
      </c>
      <c r="J45" s="80">
        <v>4.5999999999999999E-2</v>
      </c>
      <c r="K45" s="80">
        <v>5.0500000000000003E-2</v>
      </c>
      <c r="L45" s="80">
        <v>4.1660000000000003E-2</v>
      </c>
      <c r="M45" s="80">
        <v>4.6800000000000001E-2</v>
      </c>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row>
    <row r="46" spans="1:46" ht="18" customHeight="1" x14ac:dyDescent="0.35">
      <c r="A46" s="1"/>
      <c r="B46" s="23" t="s">
        <v>783</v>
      </c>
      <c r="C46" s="43">
        <v>-3.2759999999999997E-2</v>
      </c>
      <c r="D46" s="43">
        <v>1.3229999999999999E-2</v>
      </c>
      <c r="E46" s="43">
        <v>1.7840000000000002E-2</v>
      </c>
      <c r="F46" s="43">
        <v>1.221E-2</v>
      </c>
      <c r="G46" s="43">
        <v>-3.8789999999999998E-2</v>
      </c>
      <c r="H46" s="43">
        <v>4.6189999999999995E-2</v>
      </c>
      <c r="I46" s="43">
        <v>2.7879999999999999E-2</v>
      </c>
      <c r="J46" s="43">
        <v>2.9000000000000001E-2</v>
      </c>
      <c r="K46" s="43">
        <v>0.02</v>
      </c>
      <c r="L46" s="43">
        <v>1.9E-2</v>
      </c>
      <c r="M46" s="43">
        <v>0.02</v>
      </c>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row>
    <row r="47" spans="1:46" ht="18" customHeight="1" x14ac:dyDescent="0.35">
      <c r="A47" s="1"/>
      <c r="B47" s="23"/>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row>
    <row r="48" spans="1:46" ht="18" customHeight="1" x14ac:dyDescent="0.35">
      <c r="A48" s="1"/>
      <c r="B48" s="23"/>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row>
    <row r="49" spans="1:46" ht="18" customHeight="1" x14ac:dyDescent="0.35">
      <c r="A49" s="1"/>
      <c r="B49" s="23"/>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row>
    <row r="50" spans="1:46" ht="18" customHeight="1" x14ac:dyDescent="0.35">
      <c r="A50" s="1"/>
      <c r="B50" s="23"/>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row>
    <row r="51" spans="1:46" ht="18" customHeight="1" x14ac:dyDescent="0.35">
      <c r="A51" s="1"/>
      <c r="B51" s="23"/>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row>
    <row r="52" spans="1:46" ht="18" customHeight="1" x14ac:dyDescent="0.35">
      <c r="A52" s="1"/>
      <c r="B52" s="23"/>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row>
    <row r="53" spans="1:46" ht="18" customHeight="1" x14ac:dyDescent="0.35">
      <c r="A53" s="1"/>
      <c r="B53" s="23"/>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row>
    <row r="54" spans="1:46" ht="18" customHeight="1" collapsed="1" x14ac:dyDescent="0.35">
      <c r="A54" s="1"/>
      <c r="B54" s="23"/>
      <c r="C54" s="1"/>
      <c r="D54" s="1"/>
      <c r="E54" s="1"/>
      <c r="F54" s="1"/>
      <c r="G54" s="1"/>
      <c r="H54" s="1"/>
      <c r="I54" s="1"/>
      <c r="J54" s="1"/>
      <c r="K54" s="6"/>
      <c r="L54" s="7"/>
      <c r="M54" s="7"/>
      <c r="N54" s="7"/>
      <c r="O54" s="4"/>
      <c r="P54" s="4"/>
      <c r="Q54" s="1"/>
      <c r="R54" s="1"/>
      <c r="S54" s="5"/>
      <c r="T54" s="5"/>
      <c r="U54" s="5"/>
      <c r="V54" s="1"/>
      <c r="W54" s="1"/>
      <c r="X54" s="1"/>
      <c r="Y54" s="1"/>
      <c r="Z54" s="1"/>
      <c r="AA54" s="1"/>
      <c r="AB54" s="1"/>
      <c r="AC54" s="1"/>
      <c r="AD54" s="1"/>
      <c r="AE54" s="1"/>
      <c r="AF54" s="1"/>
      <c r="AG54" s="1"/>
      <c r="AH54" s="1"/>
      <c r="AI54" s="1"/>
      <c r="AJ54" s="1"/>
      <c r="AK54" s="1"/>
      <c r="AL54" s="1"/>
      <c r="AM54" s="1"/>
      <c r="AN54" s="1"/>
      <c r="AO54" s="1"/>
      <c r="AP54" s="1"/>
      <c r="AQ54" s="1"/>
      <c r="AR54" s="1"/>
      <c r="AS54" s="1"/>
      <c r="AT54" s="1"/>
    </row>
    <row r="55" spans="1:46" ht="18" customHeight="1" x14ac:dyDescent="0.35">
      <c r="A55" s="1"/>
      <c r="B55" s="1"/>
      <c r="C55" s="1"/>
      <c r="D55" s="1"/>
      <c r="E55" s="1"/>
      <c r="F55" s="1"/>
      <c r="G55" s="1"/>
      <c r="H55" s="1"/>
      <c r="I55" s="1"/>
      <c r="J55" s="1"/>
      <c r="K55" s="6"/>
      <c r="L55" s="7"/>
      <c r="M55" s="7"/>
      <c r="N55" s="7"/>
      <c r="O55" s="4"/>
      <c r="P55" s="4"/>
      <c r="Q55" s="1"/>
      <c r="R55" s="1"/>
      <c r="S55" s="5"/>
      <c r="T55" s="5"/>
      <c r="U55" s="5"/>
      <c r="V55" s="1"/>
      <c r="W55" s="1"/>
      <c r="X55" s="1"/>
      <c r="Y55" s="1"/>
      <c r="Z55" s="1"/>
      <c r="AA55" s="1"/>
      <c r="AB55" s="1"/>
      <c r="AC55" s="1"/>
      <c r="AD55" s="1"/>
      <c r="AE55" s="1"/>
      <c r="AF55" s="1"/>
      <c r="AG55" s="1"/>
      <c r="AH55" s="1"/>
      <c r="AI55" s="1"/>
      <c r="AJ55" s="1"/>
      <c r="AK55" s="1"/>
      <c r="AL55" s="1"/>
      <c r="AM55" s="1"/>
      <c r="AN55" s="1"/>
      <c r="AO55" s="1"/>
      <c r="AP55" s="1"/>
      <c r="AQ55" s="1"/>
      <c r="AR55" s="1"/>
      <c r="AS55" s="1"/>
      <c r="AT55" s="1"/>
    </row>
    <row r="56" spans="1:46" ht="18" customHeight="1" x14ac:dyDescent="0.35">
      <c r="A56" s="1"/>
      <c r="B56" s="1"/>
      <c r="C56" s="1"/>
      <c r="D56" s="1"/>
      <c r="E56" s="1"/>
      <c r="F56" s="1"/>
      <c r="G56" s="1"/>
      <c r="H56" s="1"/>
      <c r="I56" s="1"/>
      <c r="J56" s="1"/>
      <c r="K56" s="6"/>
      <c r="L56" s="7"/>
      <c r="M56" s="7"/>
      <c r="N56" s="7"/>
      <c r="O56" s="4"/>
      <c r="P56" s="4"/>
      <c r="Q56" s="1"/>
      <c r="R56" s="1"/>
      <c r="S56" s="5"/>
      <c r="T56" s="5"/>
      <c r="U56" s="5"/>
      <c r="V56" s="1"/>
      <c r="W56" s="1"/>
      <c r="X56" s="1"/>
      <c r="Y56" s="1"/>
      <c r="Z56" s="1"/>
      <c r="AA56" s="1"/>
      <c r="AB56" s="1"/>
      <c r="AC56" s="1"/>
      <c r="AD56" s="1"/>
      <c r="AE56" s="1"/>
      <c r="AF56" s="1"/>
      <c r="AG56" s="1"/>
      <c r="AH56" s="1"/>
      <c r="AI56" s="1"/>
      <c r="AJ56" s="1"/>
      <c r="AK56" s="1"/>
      <c r="AL56" s="1"/>
      <c r="AM56" s="1"/>
      <c r="AN56" s="1"/>
      <c r="AO56" s="1"/>
      <c r="AP56" s="1"/>
      <c r="AQ56" s="1"/>
      <c r="AR56" s="1"/>
      <c r="AS56" s="1"/>
      <c r="AT56" s="1"/>
    </row>
    <row r="57" spans="1:46" ht="18" customHeight="1" x14ac:dyDescent="0.35">
      <c r="A57" s="1"/>
      <c r="B57" s="1"/>
      <c r="C57" s="1"/>
      <c r="D57" s="1"/>
      <c r="E57" s="1"/>
      <c r="F57" s="1"/>
      <c r="G57" s="1"/>
      <c r="H57" s="1"/>
      <c r="I57" s="1"/>
      <c r="J57" s="1"/>
      <c r="K57" s="6"/>
      <c r="L57" s="7"/>
      <c r="M57" s="7"/>
      <c r="N57" s="7"/>
      <c r="O57" s="4"/>
      <c r="P57" s="4"/>
      <c r="Q57" s="1"/>
      <c r="R57" s="1"/>
      <c r="S57" s="5"/>
      <c r="T57" s="5"/>
      <c r="U57" s="5"/>
      <c r="V57" s="1"/>
      <c r="W57" s="1"/>
      <c r="X57" s="1"/>
      <c r="Y57" s="1"/>
      <c r="Z57" s="1"/>
      <c r="AA57" s="1"/>
      <c r="AB57" s="1"/>
      <c r="AC57" s="1"/>
      <c r="AD57" s="1"/>
      <c r="AE57" s="1"/>
      <c r="AF57" s="1"/>
      <c r="AG57" s="1"/>
      <c r="AH57" s="1"/>
      <c r="AI57" s="1"/>
      <c r="AJ57" s="1"/>
      <c r="AK57" s="1"/>
      <c r="AL57" s="1"/>
      <c r="AM57" s="1"/>
      <c r="AN57" s="1"/>
      <c r="AO57" s="1"/>
      <c r="AP57" s="1"/>
      <c r="AQ57" s="1"/>
      <c r="AR57" s="1"/>
      <c r="AS57" s="1"/>
      <c r="AT57" s="1"/>
    </row>
    <row r="58" spans="1:46" ht="18" customHeight="1" x14ac:dyDescent="0.35">
      <c r="A58" s="1"/>
      <c r="B58" s="1"/>
      <c r="C58" s="1"/>
      <c r="D58" s="1"/>
      <c r="E58" s="1"/>
      <c r="F58" s="1"/>
      <c r="G58" s="1"/>
      <c r="H58" s="1"/>
      <c r="I58" s="1"/>
      <c r="J58" s="1"/>
      <c r="K58" s="6"/>
      <c r="L58" s="7"/>
      <c r="M58" s="7"/>
      <c r="N58" s="7"/>
      <c r="O58" s="4"/>
      <c r="P58" s="4"/>
      <c r="Q58" s="1"/>
      <c r="R58" s="1"/>
      <c r="S58" s="5"/>
      <c r="T58" s="5"/>
      <c r="U58" s="5"/>
      <c r="V58" s="1"/>
      <c r="W58" s="1"/>
      <c r="X58" s="1"/>
      <c r="Y58" s="1"/>
      <c r="Z58" s="1"/>
      <c r="AA58" s="1"/>
      <c r="AB58" s="1"/>
      <c r="AC58" s="1"/>
      <c r="AD58" s="1"/>
      <c r="AE58" s="1"/>
      <c r="AF58" s="1"/>
      <c r="AG58" s="1"/>
      <c r="AH58" s="1"/>
      <c r="AI58" s="1"/>
      <c r="AJ58" s="1"/>
      <c r="AK58" s="1"/>
      <c r="AL58" s="1"/>
      <c r="AM58" s="1"/>
      <c r="AN58" s="1"/>
      <c r="AO58" s="1"/>
      <c r="AP58" s="1"/>
      <c r="AQ58" s="1"/>
      <c r="AR58" s="1"/>
      <c r="AS58" s="1"/>
      <c r="AT58" s="1"/>
    </row>
    <row r="59" spans="1:46" ht="18" customHeight="1" x14ac:dyDescent="0.35">
      <c r="A59" s="1"/>
      <c r="B59" s="1"/>
      <c r="C59" s="1"/>
      <c r="D59" s="1"/>
      <c r="E59" s="1"/>
      <c r="F59" s="1"/>
      <c r="G59" s="1"/>
      <c r="H59" s="1"/>
      <c r="I59" s="1"/>
      <c r="J59" s="1"/>
      <c r="K59" s="6"/>
      <c r="L59" s="7"/>
      <c r="M59" s="7"/>
      <c r="N59" s="7"/>
      <c r="O59" s="4"/>
      <c r="P59" s="4"/>
      <c r="Q59" s="1"/>
      <c r="R59" s="1"/>
      <c r="S59" s="5"/>
      <c r="T59" s="5"/>
      <c r="U59" s="5"/>
      <c r="V59" s="1"/>
      <c r="W59" s="1"/>
      <c r="X59" s="1"/>
      <c r="Y59" s="1"/>
      <c r="Z59" s="1"/>
      <c r="AA59" s="1"/>
      <c r="AB59" s="1"/>
      <c r="AC59" s="1"/>
      <c r="AD59" s="1"/>
      <c r="AE59" s="1"/>
      <c r="AF59" s="1"/>
      <c r="AG59" s="1"/>
      <c r="AH59" s="1"/>
      <c r="AI59" s="1"/>
      <c r="AJ59" s="1"/>
      <c r="AK59" s="1"/>
      <c r="AL59" s="1"/>
      <c r="AM59" s="1"/>
      <c r="AN59" s="1"/>
      <c r="AO59" s="1"/>
      <c r="AP59" s="1"/>
      <c r="AQ59" s="1"/>
      <c r="AR59" s="1"/>
      <c r="AS59" s="1"/>
      <c r="AT59" s="1"/>
    </row>
    <row r="60" spans="1:46" ht="18" customHeight="1" x14ac:dyDescent="0.35">
      <c r="A60" s="1"/>
      <c r="B60" s="1"/>
      <c r="C60" s="1"/>
      <c r="D60" s="1"/>
      <c r="E60" s="1"/>
      <c r="F60" s="1"/>
      <c r="G60" s="1"/>
      <c r="H60" s="1"/>
      <c r="I60" s="1"/>
      <c r="J60" s="1"/>
      <c r="K60" s="6"/>
      <c r="L60" s="7"/>
      <c r="M60" s="7"/>
      <c r="N60" s="7"/>
      <c r="O60" s="4"/>
      <c r="P60" s="4"/>
      <c r="Q60" s="1"/>
      <c r="R60" s="1"/>
      <c r="S60" s="5"/>
      <c r="T60" s="5"/>
      <c r="U60" s="5"/>
      <c r="V60" s="1"/>
      <c r="W60" s="1"/>
      <c r="X60" s="1"/>
      <c r="Y60" s="1"/>
      <c r="Z60" s="1"/>
      <c r="AA60" s="1"/>
      <c r="AB60" s="1"/>
      <c r="AC60" s="1"/>
      <c r="AD60" s="1"/>
      <c r="AE60" s="1"/>
      <c r="AF60" s="1"/>
      <c r="AG60" s="1"/>
      <c r="AH60" s="1"/>
      <c r="AI60" s="1"/>
      <c r="AJ60" s="1"/>
      <c r="AK60" s="1"/>
      <c r="AL60" s="1"/>
      <c r="AM60" s="1"/>
      <c r="AN60" s="1"/>
      <c r="AO60" s="1"/>
      <c r="AP60" s="1"/>
      <c r="AQ60" s="1"/>
      <c r="AR60" s="1"/>
      <c r="AS60" s="1"/>
      <c r="AT60" s="1"/>
    </row>
    <row r="61" spans="1:46" ht="18" customHeight="1" x14ac:dyDescent="0.35">
      <c r="A61" s="1"/>
      <c r="B61" s="1"/>
      <c r="C61" s="1"/>
      <c r="D61" s="1"/>
      <c r="E61" s="1"/>
      <c r="F61" s="1"/>
      <c r="G61" s="1"/>
      <c r="H61" s="1"/>
      <c r="I61" s="1"/>
      <c r="J61" s="1"/>
      <c r="K61" s="6"/>
      <c r="L61" s="7"/>
      <c r="M61" s="7"/>
      <c r="N61" s="7"/>
      <c r="O61" s="4"/>
      <c r="P61" s="4"/>
      <c r="Q61" s="1"/>
      <c r="R61" s="1"/>
      <c r="S61" s="5"/>
      <c r="T61" s="5"/>
      <c r="U61" s="5"/>
      <c r="V61" s="1"/>
      <c r="W61" s="1"/>
      <c r="X61" s="1"/>
      <c r="Y61" s="1"/>
      <c r="Z61" s="1"/>
      <c r="AA61" s="1"/>
      <c r="AB61" s="1"/>
      <c r="AC61" s="1"/>
      <c r="AD61" s="1"/>
      <c r="AE61" s="1"/>
      <c r="AF61" s="1"/>
      <c r="AG61" s="1"/>
      <c r="AH61" s="1"/>
      <c r="AI61" s="1"/>
      <c r="AJ61" s="1"/>
      <c r="AK61" s="1"/>
      <c r="AL61" s="1"/>
      <c r="AM61" s="1"/>
      <c r="AN61" s="1"/>
      <c r="AO61" s="1"/>
      <c r="AP61" s="1"/>
      <c r="AQ61" s="1"/>
      <c r="AR61" s="1"/>
      <c r="AS61" s="1"/>
      <c r="AT61" s="1"/>
    </row>
    <row r="62" spans="1:46" ht="18" customHeight="1" x14ac:dyDescent="0.35">
      <c r="A62" s="1"/>
      <c r="B62" s="1"/>
      <c r="C62" s="1"/>
      <c r="D62" s="1"/>
      <c r="E62" s="1"/>
      <c r="F62" s="1"/>
      <c r="G62" s="1"/>
      <c r="H62" s="1"/>
      <c r="I62" s="1"/>
      <c r="J62" s="1"/>
      <c r="K62" s="6"/>
      <c r="L62" s="7"/>
      <c r="M62" s="7"/>
      <c r="N62" s="7"/>
      <c r="O62" s="4"/>
      <c r="P62" s="4"/>
      <c r="Q62" s="1"/>
      <c r="R62" s="1"/>
      <c r="S62" s="5"/>
      <c r="T62" s="5"/>
      <c r="U62" s="5"/>
      <c r="V62" s="1"/>
      <c r="W62" s="1"/>
      <c r="X62" s="1"/>
      <c r="Y62" s="1"/>
      <c r="Z62" s="1"/>
      <c r="AA62" s="1"/>
      <c r="AB62" s="1"/>
      <c r="AC62" s="1"/>
      <c r="AD62" s="1"/>
      <c r="AE62" s="1"/>
      <c r="AF62" s="1"/>
      <c r="AG62" s="1"/>
      <c r="AH62" s="1"/>
      <c r="AI62" s="1"/>
      <c r="AJ62" s="1"/>
      <c r="AK62" s="1"/>
      <c r="AL62" s="1"/>
      <c r="AM62" s="1"/>
      <c r="AN62" s="1"/>
      <c r="AO62" s="1"/>
      <c r="AP62" s="1"/>
      <c r="AQ62" s="1"/>
      <c r="AR62" s="1"/>
      <c r="AS62" s="1"/>
      <c r="AT62" s="1"/>
    </row>
    <row r="63" spans="1:46" ht="18" customHeight="1" x14ac:dyDescent="0.35">
      <c r="A63" s="1"/>
      <c r="B63" s="1"/>
      <c r="C63" s="1"/>
      <c r="D63" s="1"/>
      <c r="E63" s="1"/>
      <c r="F63" s="1"/>
      <c r="G63" s="1"/>
      <c r="H63" s="1"/>
      <c r="I63" s="1"/>
      <c r="J63" s="1"/>
      <c r="K63" s="6"/>
      <c r="L63" s="7"/>
      <c r="M63" s="7"/>
      <c r="N63" s="7"/>
      <c r="O63" s="4"/>
      <c r="P63" s="4"/>
      <c r="Q63" s="1"/>
      <c r="R63" s="1"/>
      <c r="S63" s="5"/>
      <c r="T63" s="5"/>
      <c r="U63" s="5"/>
      <c r="V63" s="1"/>
      <c r="W63" s="1"/>
      <c r="X63" s="1"/>
      <c r="Y63" s="1"/>
      <c r="Z63" s="1"/>
      <c r="AA63" s="1"/>
      <c r="AB63" s="1"/>
      <c r="AC63" s="1"/>
      <c r="AD63" s="1"/>
      <c r="AE63" s="1"/>
      <c r="AF63" s="1"/>
      <c r="AG63" s="1"/>
      <c r="AH63" s="1"/>
      <c r="AI63" s="1"/>
      <c r="AJ63" s="1"/>
      <c r="AK63" s="1"/>
      <c r="AL63" s="1"/>
      <c r="AM63" s="1"/>
      <c r="AN63" s="1"/>
      <c r="AO63" s="1"/>
      <c r="AP63" s="1"/>
      <c r="AQ63" s="1"/>
      <c r="AR63" s="1"/>
      <c r="AS63" s="1"/>
      <c r="AT63" s="1"/>
    </row>
    <row r="64" spans="1:46" ht="18" customHeight="1" x14ac:dyDescent="0.35">
      <c r="A64" s="1"/>
      <c r="B64" s="1"/>
      <c r="C64" s="1"/>
      <c r="D64" s="1"/>
      <c r="E64" s="1"/>
      <c r="F64" s="1"/>
      <c r="G64" s="1"/>
      <c r="H64" s="1"/>
      <c r="I64" s="1"/>
      <c r="J64" s="1"/>
      <c r="K64" s="6"/>
      <c r="L64" s="7"/>
      <c r="M64" s="7"/>
      <c r="N64" s="7"/>
      <c r="O64" s="4"/>
      <c r="P64" s="4"/>
      <c r="Q64" s="1"/>
      <c r="R64" s="1"/>
      <c r="S64" s="5"/>
      <c r="T64" s="5"/>
      <c r="U64" s="5"/>
      <c r="V64" s="1"/>
      <c r="W64" s="1"/>
      <c r="X64" s="1"/>
      <c r="Y64" s="1"/>
      <c r="Z64" s="1"/>
      <c r="AA64" s="1"/>
      <c r="AB64" s="1"/>
      <c r="AC64" s="1"/>
      <c r="AD64" s="1"/>
      <c r="AE64" s="1"/>
      <c r="AF64" s="1"/>
      <c r="AG64" s="1"/>
      <c r="AH64" s="1"/>
      <c r="AI64" s="1"/>
      <c r="AJ64" s="1"/>
      <c r="AK64" s="1"/>
      <c r="AL64" s="1"/>
      <c r="AM64" s="1"/>
      <c r="AN64" s="1"/>
      <c r="AO64" s="1"/>
      <c r="AP64" s="1"/>
      <c r="AQ64" s="1"/>
      <c r="AR64" s="1"/>
      <c r="AS64" s="1"/>
      <c r="AT64" s="1"/>
    </row>
    <row r="65" spans="1:46" ht="18" customHeight="1" x14ac:dyDescent="0.35">
      <c r="A65" s="1"/>
      <c r="B65" s="1"/>
      <c r="C65" s="1"/>
      <c r="D65" s="1"/>
      <c r="E65" s="1"/>
      <c r="F65" s="1"/>
      <c r="G65" s="1"/>
      <c r="H65" s="1"/>
      <c r="I65" s="1"/>
      <c r="J65" s="1"/>
      <c r="K65" s="6"/>
      <c r="L65" s="7"/>
      <c r="M65" s="7"/>
      <c r="N65" s="7"/>
      <c r="O65" s="4"/>
      <c r="P65" s="4"/>
      <c r="Q65" s="1"/>
      <c r="R65" s="1"/>
      <c r="S65" s="5"/>
      <c r="T65" s="5"/>
      <c r="U65" s="5"/>
      <c r="V65" s="1"/>
      <c r="W65" s="1"/>
      <c r="X65" s="1"/>
      <c r="Y65" s="1"/>
      <c r="Z65" s="1"/>
      <c r="AA65" s="1"/>
      <c r="AB65" s="1"/>
      <c r="AC65" s="1"/>
      <c r="AD65" s="1"/>
      <c r="AE65" s="1"/>
      <c r="AF65" s="1"/>
      <c r="AG65" s="1"/>
      <c r="AH65" s="1"/>
      <c r="AI65" s="1"/>
      <c r="AJ65" s="1"/>
      <c r="AK65" s="1"/>
      <c r="AL65" s="1"/>
      <c r="AM65" s="1"/>
      <c r="AN65" s="1"/>
      <c r="AO65" s="1"/>
      <c r="AP65" s="1"/>
      <c r="AQ65" s="1"/>
      <c r="AR65" s="1"/>
      <c r="AS65" s="1"/>
      <c r="AT65" s="1"/>
    </row>
    <row r="66" spans="1:46" ht="18" customHeight="1" x14ac:dyDescent="0.35">
      <c r="A66" s="1"/>
      <c r="B66" s="1"/>
      <c r="C66" s="1"/>
      <c r="D66" s="1"/>
      <c r="E66" s="1"/>
      <c r="F66" s="1"/>
      <c r="G66" s="1"/>
      <c r="H66" s="1"/>
      <c r="I66" s="1"/>
      <c r="J66" s="1"/>
      <c r="K66" s="6"/>
      <c r="L66" s="7"/>
      <c r="M66" s="7"/>
      <c r="N66" s="7"/>
      <c r="O66" s="4"/>
      <c r="P66" s="4"/>
      <c r="Q66" s="1"/>
      <c r="R66" s="1"/>
      <c r="S66" s="5"/>
      <c r="T66" s="5"/>
      <c r="U66" s="5"/>
      <c r="V66" s="1"/>
      <c r="W66" s="1"/>
      <c r="X66" s="1"/>
      <c r="Y66" s="1"/>
      <c r="Z66" s="1"/>
      <c r="AA66" s="1"/>
      <c r="AB66" s="1"/>
      <c r="AC66" s="1"/>
      <c r="AD66" s="1"/>
      <c r="AE66" s="1"/>
      <c r="AF66" s="1"/>
      <c r="AG66" s="1"/>
      <c r="AH66" s="1"/>
      <c r="AI66" s="1"/>
      <c r="AJ66" s="1"/>
      <c r="AK66" s="1"/>
      <c r="AL66" s="1"/>
      <c r="AM66" s="1"/>
      <c r="AN66" s="1"/>
      <c r="AO66" s="1"/>
      <c r="AP66" s="1"/>
      <c r="AQ66" s="1"/>
      <c r="AR66" s="1"/>
      <c r="AS66" s="1"/>
      <c r="AT66" s="1"/>
    </row>
    <row r="67" spans="1:46" ht="18" customHeight="1" collapsed="1" x14ac:dyDescent="0.35">
      <c r="A67" s="1"/>
      <c r="B67" s="1"/>
      <c r="C67" s="1"/>
      <c r="D67" s="1"/>
      <c r="E67" s="1"/>
      <c r="F67" s="1"/>
      <c r="G67" s="1"/>
      <c r="H67" s="1"/>
      <c r="I67" s="1"/>
      <c r="J67" s="1"/>
      <c r="K67" s="6"/>
      <c r="L67" s="7"/>
      <c r="M67" s="7"/>
      <c r="N67" s="7"/>
      <c r="O67" s="7"/>
      <c r="P67" s="7"/>
      <c r="Q67" s="4"/>
      <c r="R67" s="4"/>
      <c r="S67" s="1"/>
      <c r="T67" s="1"/>
      <c r="U67" s="5"/>
      <c r="V67" s="5"/>
      <c r="W67" s="5"/>
      <c r="X67" s="1"/>
      <c r="Y67" s="1"/>
      <c r="Z67" s="1"/>
      <c r="AA67" s="1"/>
      <c r="AB67" s="1"/>
      <c r="AC67" s="1"/>
      <c r="AD67" s="1"/>
      <c r="AE67" s="1"/>
      <c r="AF67" s="1"/>
      <c r="AG67" s="1"/>
      <c r="AH67" s="1"/>
      <c r="AI67" s="1"/>
      <c r="AJ67" s="1"/>
      <c r="AK67" s="1"/>
      <c r="AL67" s="1"/>
      <c r="AM67" s="1"/>
      <c r="AN67" s="1"/>
      <c r="AO67" s="1"/>
      <c r="AP67" s="1"/>
      <c r="AQ67" s="1"/>
      <c r="AR67" s="1"/>
      <c r="AS67" s="1"/>
      <c r="AT67" s="1"/>
    </row>
    <row r="68" spans="1:46" ht="18" customHeight="1" x14ac:dyDescent="0.35">
      <c r="A68" s="1"/>
      <c r="B68" s="1"/>
      <c r="C68" s="1"/>
      <c r="D68" s="1"/>
      <c r="E68" s="1"/>
      <c r="F68" s="1"/>
      <c r="G68" s="1"/>
      <c r="H68" s="1"/>
      <c r="I68" s="1"/>
      <c r="J68" s="1"/>
      <c r="K68" s="7"/>
      <c r="L68" s="7"/>
      <c r="M68" s="7"/>
      <c r="N68" s="7"/>
      <c r="O68" s="7"/>
      <c r="P68" s="7"/>
      <c r="Q68" s="4"/>
      <c r="R68" s="4"/>
      <c r="S68" s="1"/>
      <c r="T68" s="1"/>
      <c r="U68" s="5"/>
      <c r="V68" s="5"/>
      <c r="W68" s="5"/>
      <c r="X68" s="1"/>
      <c r="Y68" s="1"/>
      <c r="Z68" s="1"/>
      <c r="AA68" s="1"/>
      <c r="AB68" s="1"/>
      <c r="AC68" s="1"/>
      <c r="AD68" s="1"/>
      <c r="AE68" s="1"/>
      <c r="AF68" s="1"/>
      <c r="AG68" s="1"/>
      <c r="AH68" s="1"/>
      <c r="AI68" s="1"/>
      <c r="AJ68" s="1"/>
      <c r="AK68" s="1"/>
      <c r="AL68" s="1"/>
      <c r="AM68" s="1"/>
      <c r="AN68" s="1"/>
      <c r="AO68" s="1"/>
      <c r="AP68" s="1"/>
      <c r="AQ68" s="1"/>
      <c r="AR68" s="1"/>
      <c r="AS68" s="1"/>
      <c r="AT68" s="1"/>
    </row>
    <row r="69" spans="1:46" ht="18" customHeight="1" x14ac:dyDescent="0.35">
      <c r="A69" s="1"/>
      <c r="B69" s="1"/>
      <c r="C69" s="1"/>
      <c r="D69" s="1"/>
      <c r="E69" s="1"/>
      <c r="F69" s="1"/>
      <c r="G69" s="1"/>
      <c r="H69" s="1"/>
      <c r="I69" s="1"/>
      <c r="J69" s="1"/>
      <c r="K69" s="2"/>
      <c r="L69" s="2"/>
      <c r="M69" s="2"/>
      <c r="N69" s="2"/>
      <c r="O69" s="2"/>
      <c r="P69" s="2"/>
      <c r="Q69" s="1"/>
      <c r="R69" s="1"/>
      <c r="S69" s="1"/>
      <c r="T69" s="1"/>
      <c r="U69" s="5"/>
      <c r="V69" s="5"/>
      <c r="W69" s="5"/>
      <c r="X69" s="1"/>
      <c r="Y69" s="1"/>
      <c r="Z69" s="1"/>
      <c r="AA69" s="1"/>
      <c r="AB69" s="1"/>
      <c r="AC69" s="1"/>
      <c r="AD69" s="1"/>
      <c r="AE69" s="1"/>
      <c r="AF69" s="1"/>
      <c r="AG69" s="1"/>
      <c r="AH69" s="1"/>
      <c r="AI69" s="1"/>
      <c r="AJ69" s="1"/>
      <c r="AK69" s="1"/>
      <c r="AL69" s="1"/>
      <c r="AM69" s="1"/>
      <c r="AN69" s="1"/>
      <c r="AO69" s="1"/>
      <c r="AP69" s="1"/>
      <c r="AQ69" s="1"/>
      <c r="AR69" s="1"/>
      <c r="AS69" s="1"/>
      <c r="AT69" s="1"/>
    </row>
    <row r="70" spans="1:46" ht="18" customHeight="1" x14ac:dyDescent="0.35">
      <c r="A70" s="1"/>
      <c r="B70" s="1"/>
      <c r="C70" s="1"/>
      <c r="D70" s="1"/>
      <c r="E70" s="1"/>
      <c r="F70" s="1"/>
      <c r="G70" s="1"/>
      <c r="H70" s="1"/>
      <c r="I70" s="1"/>
      <c r="J70" s="1"/>
      <c r="K70" s="2"/>
      <c r="L70" s="10"/>
      <c r="M70" s="2"/>
      <c r="N70" s="2"/>
      <c r="O70" s="2"/>
      <c r="P70" s="2"/>
      <c r="Q70" s="1"/>
      <c r="R70" s="1"/>
      <c r="S70" s="1"/>
      <c r="T70" s="1"/>
      <c r="U70" s="5"/>
      <c r="V70" s="5"/>
      <c r="W70" s="5"/>
      <c r="X70" s="1"/>
      <c r="Y70" s="1"/>
      <c r="Z70" s="1"/>
      <c r="AA70" s="1"/>
      <c r="AB70" s="1"/>
      <c r="AC70" s="1"/>
      <c r="AD70" s="1"/>
      <c r="AE70" s="1"/>
      <c r="AF70" s="1"/>
      <c r="AG70" s="1"/>
      <c r="AH70" s="1"/>
      <c r="AI70" s="1"/>
      <c r="AJ70" s="1"/>
      <c r="AK70" s="1"/>
      <c r="AL70" s="1"/>
      <c r="AM70" s="1"/>
      <c r="AN70" s="1"/>
      <c r="AO70" s="1"/>
      <c r="AP70" s="1"/>
      <c r="AQ70" s="1"/>
      <c r="AR70" s="1"/>
      <c r="AS70" s="1"/>
      <c r="AT70" s="1"/>
    </row>
    <row r="71" spans="1:46" ht="18" customHeight="1" x14ac:dyDescent="0.35">
      <c r="A71" s="1"/>
      <c r="B71" s="1"/>
      <c r="C71" s="1"/>
      <c r="D71" s="1"/>
      <c r="E71" s="1"/>
      <c r="F71" s="1"/>
      <c r="G71" s="1"/>
      <c r="H71" s="1"/>
      <c r="I71" s="1"/>
      <c r="J71" s="1"/>
      <c r="K71" s="2"/>
      <c r="L71" s="2"/>
      <c r="M71" s="2"/>
      <c r="N71" s="2"/>
      <c r="O71" s="2"/>
      <c r="P71" s="2"/>
      <c r="Q71" s="1"/>
      <c r="R71" s="1"/>
      <c r="S71" s="1"/>
      <c r="T71" s="1"/>
      <c r="U71" s="5"/>
      <c r="V71" s="5"/>
      <c r="W71" s="5"/>
      <c r="X71" s="1"/>
      <c r="Y71" s="1"/>
      <c r="Z71" s="1"/>
      <c r="AA71" s="1"/>
      <c r="AB71" s="1"/>
      <c r="AC71" s="1"/>
      <c r="AD71" s="1"/>
      <c r="AE71" s="1"/>
      <c r="AF71" s="1"/>
      <c r="AG71" s="1"/>
      <c r="AH71" s="1"/>
      <c r="AI71" s="1"/>
      <c r="AJ71" s="1"/>
      <c r="AK71" s="1"/>
      <c r="AL71" s="1"/>
      <c r="AM71" s="1"/>
      <c r="AN71" s="1"/>
      <c r="AO71" s="1"/>
      <c r="AP71" s="1"/>
      <c r="AQ71" s="1"/>
      <c r="AR71" s="1"/>
      <c r="AS71" s="1"/>
      <c r="AT71" s="1"/>
    </row>
    <row r="72" spans="1:46" ht="18" hidden="1" customHeight="1" x14ac:dyDescent="0.35">
      <c r="A72" s="1"/>
      <c r="B72" s="1"/>
      <c r="C72" s="1"/>
      <c r="D72" s="1"/>
      <c r="E72" s="1"/>
      <c r="F72" s="1"/>
      <c r="G72" s="1"/>
      <c r="H72" s="1"/>
      <c r="I72" s="1"/>
      <c r="J72" s="1"/>
      <c r="K72" s="2"/>
      <c r="L72" s="2"/>
      <c r="M72" s="2"/>
      <c r="N72" s="2"/>
      <c r="O72" s="2"/>
      <c r="P72" s="2"/>
      <c r="Q72" s="1"/>
      <c r="R72" s="1"/>
      <c r="S72" s="1"/>
      <c r="T72" s="1"/>
      <c r="U72" s="5"/>
      <c r="V72" s="5"/>
      <c r="W72" s="5"/>
      <c r="X72" s="1"/>
      <c r="Y72" s="1"/>
      <c r="Z72" s="1"/>
      <c r="AA72" s="1"/>
      <c r="AB72" s="1"/>
      <c r="AC72" s="1"/>
      <c r="AD72" s="1"/>
      <c r="AE72" s="1"/>
      <c r="AF72" s="1"/>
      <c r="AG72" s="1"/>
      <c r="AH72" s="1"/>
      <c r="AI72" s="1"/>
      <c r="AJ72" s="1"/>
      <c r="AK72" s="1"/>
      <c r="AL72" s="1"/>
      <c r="AM72" s="1"/>
      <c r="AN72" s="1"/>
      <c r="AO72" s="1"/>
      <c r="AP72" s="1"/>
      <c r="AQ72" s="1"/>
      <c r="AR72" s="1"/>
      <c r="AS72" s="1"/>
      <c r="AT72" s="1"/>
    </row>
    <row r="73" spans="1:46" ht="18" hidden="1" customHeight="1" x14ac:dyDescent="0.35">
      <c r="A73" s="1"/>
      <c r="B73" s="1"/>
      <c r="C73" s="1"/>
      <c r="D73" s="1"/>
      <c r="E73" s="1"/>
      <c r="F73" s="1"/>
      <c r="G73" s="1"/>
      <c r="H73" s="1"/>
      <c r="I73" s="1"/>
      <c r="J73" s="1"/>
      <c r="K73" s="2"/>
      <c r="L73" s="2"/>
      <c r="M73" s="2"/>
      <c r="N73" s="2"/>
      <c r="O73" s="2"/>
      <c r="P73" s="2"/>
      <c r="Q73" s="1"/>
      <c r="R73" s="1"/>
      <c r="S73" s="1"/>
      <c r="T73" s="1"/>
      <c r="U73" s="5"/>
      <c r="V73" s="5"/>
      <c r="W73" s="5"/>
      <c r="X73" s="1"/>
      <c r="Y73" s="1"/>
      <c r="Z73" s="1"/>
      <c r="AA73" s="1"/>
      <c r="AB73" s="1"/>
      <c r="AC73" s="1"/>
      <c r="AD73" s="1"/>
      <c r="AE73" s="1"/>
      <c r="AF73" s="1"/>
      <c r="AG73" s="1"/>
      <c r="AH73" s="1"/>
      <c r="AI73" s="1"/>
      <c r="AJ73" s="1"/>
      <c r="AK73" s="1"/>
      <c r="AL73" s="1"/>
      <c r="AM73" s="1"/>
      <c r="AN73" s="1"/>
      <c r="AO73" s="1"/>
      <c r="AP73" s="1"/>
      <c r="AQ73" s="1"/>
      <c r="AR73" s="1"/>
      <c r="AS73" s="1"/>
      <c r="AT73" s="1"/>
    </row>
    <row r="74" spans="1:46" ht="18" hidden="1" customHeight="1" x14ac:dyDescent="0.35">
      <c r="A74" s="1"/>
      <c r="B74" s="1"/>
      <c r="C74" s="1"/>
      <c r="D74" s="1"/>
      <c r="E74" s="1"/>
      <c r="F74" s="1"/>
      <c r="G74" s="1"/>
      <c r="H74" s="1"/>
      <c r="I74" s="1"/>
      <c r="J74" s="1"/>
      <c r="K74" s="2"/>
      <c r="L74" s="2"/>
      <c r="M74" s="2"/>
      <c r="N74" s="2"/>
      <c r="O74" s="2"/>
      <c r="P74" s="2"/>
      <c r="Q74" s="1"/>
      <c r="R74" s="1"/>
      <c r="S74" s="1"/>
      <c r="T74" s="1"/>
      <c r="U74" s="5"/>
      <c r="V74" s="5"/>
      <c r="W74" s="5"/>
      <c r="X74" s="1"/>
      <c r="Y74" s="1"/>
      <c r="Z74" s="1"/>
      <c r="AA74" s="1"/>
      <c r="AB74" s="1"/>
      <c r="AC74" s="1"/>
      <c r="AD74" s="1"/>
      <c r="AE74" s="1"/>
      <c r="AF74" s="1"/>
      <c r="AG74" s="1"/>
      <c r="AH74" s="1"/>
      <c r="AI74" s="1"/>
      <c r="AJ74" s="1"/>
      <c r="AK74" s="1"/>
      <c r="AL74" s="1"/>
      <c r="AM74" s="1"/>
      <c r="AN74" s="1"/>
      <c r="AO74" s="1"/>
      <c r="AP74" s="1"/>
      <c r="AQ74" s="1"/>
      <c r="AR74" s="1"/>
      <c r="AS74" s="1"/>
      <c r="AT74" s="1"/>
    </row>
    <row r="75" spans="1:46" ht="18" hidden="1" customHeight="1" x14ac:dyDescent="0.35">
      <c r="A75" s="1"/>
      <c r="B75" s="1"/>
      <c r="C75" s="1"/>
      <c r="D75" s="1"/>
      <c r="E75" s="1"/>
      <c r="F75" s="1"/>
      <c r="G75" s="1"/>
      <c r="H75" s="1"/>
      <c r="I75" s="1"/>
      <c r="J75" s="1"/>
      <c r="K75" s="2"/>
      <c r="L75" s="2"/>
      <c r="M75" s="2"/>
      <c r="N75" s="2"/>
      <c r="O75" s="2"/>
      <c r="P75" s="2"/>
      <c r="Q75" s="1"/>
      <c r="R75" s="1"/>
      <c r="S75" s="1"/>
      <c r="T75" s="1"/>
      <c r="U75" s="5"/>
      <c r="V75" s="5"/>
      <c r="W75" s="5"/>
      <c r="X75" s="1"/>
      <c r="Y75" s="1"/>
      <c r="Z75" s="1"/>
      <c r="AA75" s="1"/>
      <c r="AB75" s="1"/>
      <c r="AC75" s="1"/>
      <c r="AD75" s="1"/>
      <c r="AE75" s="1"/>
      <c r="AF75" s="1"/>
      <c r="AG75" s="1"/>
      <c r="AH75" s="1"/>
      <c r="AI75" s="1"/>
      <c r="AJ75" s="1"/>
      <c r="AK75" s="1"/>
      <c r="AL75" s="1"/>
      <c r="AM75" s="1"/>
      <c r="AN75" s="1"/>
      <c r="AO75" s="1"/>
      <c r="AP75" s="1"/>
      <c r="AQ75" s="1"/>
      <c r="AR75" s="1"/>
      <c r="AS75" s="1"/>
      <c r="AT75" s="1"/>
    </row>
    <row r="76" spans="1:46" ht="18" hidden="1" customHeight="1" x14ac:dyDescent="0.35">
      <c r="A76" s="1"/>
      <c r="B76" s="1"/>
      <c r="C76" s="1"/>
      <c r="D76" s="1"/>
      <c r="E76" s="1"/>
      <c r="F76" s="1"/>
      <c r="G76" s="1"/>
      <c r="H76" s="1"/>
      <c r="I76" s="1"/>
      <c r="J76" s="1"/>
      <c r="K76" s="2"/>
      <c r="L76" s="2"/>
      <c r="M76" s="2"/>
      <c r="N76" s="2"/>
      <c r="O76" s="2"/>
      <c r="P76" s="2"/>
      <c r="Q76" s="1"/>
      <c r="R76" s="1"/>
      <c r="S76" s="1"/>
      <c r="T76" s="1"/>
      <c r="U76" s="5"/>
      <c r="V76" s="5"/>
      <c r="W76" s="5"/>
      <c r="X76" s="1"/>
      <c r="Y76" s="1"/>
      <c r="Z76" s="1"/>
      <c r="AA76" s="1"/>
      <c r="AB76" s="1"/>
      <c r="AC76" s="1"/>
      <c r="AD76" s="1"/>
      <c r="AE76" s="1"/>
      <c r="AF76" s="1"/>
      <c r="AG76" s="1"/>
      <c r="AH76" s="1"/>
      <c r="AI76" s="1"/>
      <c r="AJ76" s="1"/>
      <c r="AK76" s="1"/>
      <c r="AL76" s="1"/>
      <c r="AM76" s="1"/>
      <c r="AN76" s="1"/>
      <c r="AO76" s="1"/>
      <c r="AP76" s="1"/>
      <c r="AQ76" s="1"/>
      <c r="AR76" s="1"/>
      <c r="AS76" s="1"/>
      <c r="AT76" s="1"/>
    </row>
    <row r="77" spans="1:46" ht="18" hidden="1" customHeight="1" x14ac:dyDescent="0.35">
      <c r="A77" s="1"/>
      <c r="B77" s="1"/>
      <c r="C77" s="1"/>
      <c r="D77" s="1"/>
      <c r="E77" s="1"/>
      <c r="F77" s="1"/>
      <c r="G77" s="1"/>
      <c r="H77" s="1"/>
      <c r="I77" s="1"/>
      <c r="J77" s="1"/>
      <c r="K77" s="2"/>
      <c r="L77" s="2"/>
      <c r="M77" s="2"/>
      <c r="N77" s="2"/>
      <c r="O77" s="2"/>
      <c r="P77" s="2"/>
      <c r="Q77" s="1"/>
      <c r="R77" s="1"/>
      <c r="S77" s="1"/>
      <c r="T77" s="1"/>
      <c r="U77" s="5"/>
      <c r="V77" s="5"/>
      <c r="W77" s="5"/>
      <c r="X77" s="1"/>
      <c r="Y77" s="1"/>
      <c r="Z77" s="1"/>
      <c r="AA77" s="1"/>
      <c r="AB77" s="1"/>
      <c r="AC77" s="1"/>
      <c r="AD77" s="1"/>
      <c r="AE77" s="1"/>
      <c r="AF77" s="1"/>
      <c r="AG77" s="1"/>
      <c r="AH77" s="1"/>
      <c r="AI77" s="1"/>
      <c r="AJ77" s="1"/>
      <c r="AK77" s="1"/>
      <c r="AL77" s="1"/>
      <c r="AM77" s="1"/>
      <c r="AN77" s="1"/>
      <c r="AO77" s="1"/>
      <c r="AP77" s="1"/>
      <c r="AQ77" s="1"/>
      <c r="AR77" s="1"/>
      <c r="AS77" s="1"/>
      <c r="AT77" s="1"/>
    </row>
    <row r="78" spans="1:46" ht="18" hidden="1" customHeight="1" x14ac:dyDescent="0.35">
      <c r="A78" s="1"/>
      <c r="B78" s="1"/>
      <c r="C78" s="1"/>
      <c r="D78" s="1"/>
      <c r="E78" s="1"/>
      <c r="F78" s="1"/>
      <c r="G78" s="1"/>
      <c r="H78" s="1"/>
      <c r="I78" s="1"/>
      <c r="J78" s="1"/>
      <c r="K78" s="2"/>
      <c r="L78" s="2"/>
      <c r="M78" s="2"/>
      <c r="N78" s="2"/>
      <c r="O78" s="2"/>
      <c r="P78" s="2"/>
      <c r="Q78" s="1"/>
      <c r="R78" s="1"/>
      <c r="S78" s="1"/>
      <c r="T78" s="1"/>
      <c r="U78" s="5"/>
      <c r="V78" s="5"/>
      <c r="W78" s="5"/>
      <c r="X78" s="1"/>
      <c r="Y78" s="1"/>
      <c r="Z78" s="1"/>
      <c r="AA78" s="1"/>
      <c r="AB78" s="1"/>
      <c r="AC78" s="1"/>
      <c r="AD78" s="1"/>
      <c r="AE78" s="1"/>
      <c r="AF78" s="1"/>
      <c r="AG78" s="1"/>
      <c r="AH78" s="1"/>
      <c r="AI78" s="1"/>
      <c r="AJ78" s="1"/>
      <c r="AK78" s="1"/>
      <c r="AL78" s="1"/>
      <c r="AM78" s="1"/>
      <c r="AN78" s="1"/>
      <c r="AO78" s="1"/>
      <c r="AP78" s="1"/>
      <c r="AQ78" s="1"/>
      <c r="AR78" s="1"/>
      <c r="AS78" s="1"/>
      <c r="AT78" s="1"/>
    </row>
    <row r="79" spans="1:46" ht="18" customHeight="1" collapsed="1" x14ac:dyDescent="0.35">
      <c r="A79" s="1"/>
      <c r="B79" s="1"/>
      <c r="C79" s="1"/>
      <c r="D79" s="1"/>
      <c r="E79" s="1"/>
      <c r="F79" s="1"/>
      <c r="G79" s="1"/>
      <c r="H79" s="1"/>
      <c r="I79" s="1"/>
      <c r="J79" s="1"/>
      <c r="K79" s="2"/>
      <c r="L79" s="2"/>
      <c r="M79" s="2"/>
      <c r="N79" s="2"/>
      <c r="O79" s="2"/>
      <c r="P79" s="2"/>
      <c r="Q79" s="1"/>
      <c r="R79" s="1"/>
      <c r="S79" s="1"/>
      <c r="T79" s="1"/>
      <c r="U79" s="5"/>
      <c r="V79" s="5"/>
      <c r="W79" s="5"/>
      <c r="X79" s="1"/>
      <c r="Y79" s="1"/>
      <c r="Z79" s="1"/>
      <c r="AA79" s="1"/>
      <c r="AB79" s="1"/>
      <c r="AC79" s="1"/>
      <c r="AD79" s="1"/>
      <c r="AE79" s="1"/>
      <c r="AF79" s="1"/>
      <c r="AG79" s="1"/>
      <c r="AH79" s="1"/>
      <c r="AI79" s="1"/>
      <c r="AJ79" s="1"/>
      <c r="AK79" s="1"/>
      <c r="AL79" s="1"/>
      <c r="AM79" s="1"/>
      <c r="AN79" s="1"/>
      <c r="AO79" s="1"/>
      <c r="AP79" s="1"/>
      <c r="AQ79" s="1"/>
      <c r="AR79" s="1"/>
      <c r="AS79" s="1"/>
      <c r="AT79" s="1"/>
    </row>
    <row r="80" spans="1:46" ht="18" hidden="1" customHeight="1" x14ac:dyDescent="0.35">
      <c r="A80" s="1"/>
      <c r="B80" s="1"/>
      <c r="C80" s="1"/>
      <c r="D80" s="1"/>
      <c r="E80" s="1"/>
      <c r="F80" s="1"/>
      <c r="G80" s="1"/>
      <c r="H80" s="1"/>
      <c r="I80" s="1"/>
      <c r="J80" s="1"/>
      <c r="K80" s="2"/>
      <c r="L80" s="2"/>
      <c r="M80" s="2"/>
      <c r="N80" s="2"/>
      <c r="O80" s="2"/>
      <c r="P80" s="2"/>
      <c r="Q80" s="1"/>
      <c r="R80" s="1"/>
      <c r="S80" s="1"/>
      <c r="T80" s="1"/>
      <c r="U80" s="5"/>
      <c r="V80" s="5"/>
      <c r="W80" s="5"/>
      <c r="X80" s="1"/>
      <c r="Y80" s="1"/>
      <c r="Z80" s="1"/>
      <c r="AA80" s="1"/>
      <c r="AB80" s="1"/>
      <c r="AC80" s="1"/>
      <c r="AD80" s="1"/>
      <c r="AE80" s="1"/>
      <c r="AF80" s="1"/>
      <c r="AG80" s="1"/>
      <c r="AH80" s="1"/>
      <c r="AI80" s="1"/>
      <c r="AJ80" s="1"/>
      <c r="AK80" s="1"/>
      <c r="AL80" s="1"/>
      <c r="AM80" s="1"/>
      <c r="AN80" s="1"/>
      <c r="AO80" s="1"/>
      <c r="AP80" s="1"/>
      <c r="AQ80" s="1"/>
      <c r="AR80" s="1"/>
      <c r="AS80" s="1"/>
      <c r="AT80" s="1"/>
    </row>
    <row r="81" spans="1:46" ht="18" hidden="1" customHeight="1" x14ac:dyDescent="0.35">
      <c r="A81" s="1"/>
      <c r="B81" s="1"/>
      <c r="C81" s="1"/>
      <c r="D81" s="1"/>
      <c r="E81" s="1"/>
      <c r="F81" s="1"/>
      <c r="G81" s="1"/>
      <c r="H81" s="1"/>
      <c r="I81" s="1"/>
      <c r="J81" s="1"/>
      <c r="K81" s="2"/>
      <c r="L81" s="2"/>
      <c r="M81" s="2"/>
      <c r="N81" s="2"/>
      <c r="O81" s="2"/>
      <c r="P81" s="2"/>
      <c r="Q81" s="1"/>
      <c r="R81" s="1"/>
      <c r="S81" s="1"/>
      <c r="T81" s="1"/>
      <c r="U81" s="5"/>
      <c r="V81" s="5"/>
      <c r="W81" s="5"/>
      <c r="X81" s="1"/>
      <c r="Y81" s="1"/>
      <c r="Z81" s="1"/>
      <c r="AA81" s="1"/>
      <c r="AB81" s="1"/>
      <c r="AC81" s="1"/>
      <c r="AD81" s="1"/>
      <c r="AE81" s="1"/>
      <c r="AF81" s="1"/>
      <c r="AG81" s="1"/>
      <c r="AH81" s="1"/>
      <c r="AI81" s="1"/>
      <c r="AJ81" s="1"/>
      <c r="AK81" s="1"/>
      <c r="AL81" s="1"/>
      <c r="AM81" s="1"/>
      <c r="AN81" s="1"/>
      <c r="AO81" s="1"/>
      <c r="AP81" s="1"/>
      <c r="AQ81" s="1"/>
      <c r="AR81" s="1"/>
      <c r="AS81" s="1"/>
      <c r="AT81" s="1"/>
    </row>
    <row r="82" spans="1:46" ht="18" hidden="1" customHeight="1" x14ac:dyDescent="0.35">
      <c r="A82" s="1"/>
      <c r="B82" s="1"/>
      <c r="C82" s="1"/>
      <c r="D82" s="1"/>
      <c r="E82" s="1"/>
      <c r="F82" s="1"/>
      <c r="G82" s="1"/>
      <c r="H82" s="1"/>
      <c r="I82" s="1"/>
      <c r="J82" s="1"/>
      <c r="K82" s="2"/>
      <c r="L82" s="2"/>
      <c r="M82" s="2"/>
      <c r="N82" s="2"/>
      <c r="O82" s="2"/>
      <c r="P82" s="2"/>
      <c r="Q82" s="1"/>
      <c r="R82" s="1"/>
      <c r="S82" s="1"/>
      <c r="T82" s="1"/>
      <c r="U82" s="5"/>
      <c r="V82" s="5"/>
      <c r="W82" s="5"/>
      <c r="X82" s="1"/>
      <c r="Y82" s="1"/>
      <c r="Z82" s="1"/>
      <c r="AA82" s="1"/>
      <c r="AB82" s="1"/>
      <c r="AC82" s="1"/>
      <c r="AD82" s="1"/>
      <c r="AE82" s="1"/>
      <c r="AF82" s="1"/>
      <c r="AG82" s="1"/>
      <c r="AH82" s="1"/>
      <c r="AI82" s="1"/>
      <c r="AJ82" s="1"/>
      <c r="AK82" s="1"/>
      <c r="AL82" s="1"/>
      <c r="AM82" s="1"/>
      <c r="AN82" s="1"/>
      <c r="AO82" s="1"/>
      <c r="AP82" s="1"/>
      <c r="AQ82" s="1"/>
      <c r="AR82" s="1"/>
      <c r="AS82" s="1"/>
      <c r="AT82" s="1"/>
    </row>
    <row r="83" spans="1:46" ht="18" hidden="1" customHeight="1" x14ac:dyDescent="0.35">
      <c r="A83" s="1"/>
      <c r="B83" s="1"/>
      <c r="C83" s="1"/>
      <c r="D83" s="1"/>
      <c r="E83" s="1"/>
      <c r="F83" s="1"/>
      <c r="G83" s="1"/>
      <c r="H83" s="1"/>
      <c r="I83" s="1"/>
      <c r="J83" s="1"/>
      <c r="K83" s="2"/>
      <c r="L83" s="2"/>
      <c r="M83" s="2"/>
      <c r="N83" s="2"/>
      <c r="O83" s="2"/>
      <c r="P83" s="2"/>
      <c r="Q83" s="1"/>
      <c r="R83" s="1"/>
      <c r="S83" s="1"/>
      <c r="T83" s="1"/>
      <c r="U83" s="5"/>
      <c r="V83" s="5"/>
      <c r="W83" s="5"/>
      <c r="X83" s="1"/>
      <c r="Y83" s="1"/>
      <c r="Z83" s="1"/>
      <c r="AA83" s="1"/>
      <c r="AB83" s="1"/>
      <c r="AC83" s="1"/>
      <c r="AD83" s="1"/>
      <c r="AE83" s="1"/>
      <c r="AF83" s="1"/>
      <c r="AG83" s="1"/>
      <c r="AH83" s="1"/>
      <c r="AI83" s="1"/>
      <c r="AJ83" s="1"/>
      <c r="AK83" s="1"/>
      <c r="AL83" s="1"/>
      <c r="AM83" s="1"/>
      <c r="AN83" s="1"/>
      <c r="AO83" s="1"/>
      <c r="AP83" s="1"/>
      <c r="AQ83" s="1"/>
      <c r="AR83" s="1"/>
      <c r="AS83" s="1"/>
      <c r="AT83" s="1"/>
    </row>
    <row r="84" spans="1:46" ht="18" hidden="1" customHeight="1" x14ac:dyDescent="0.35">
      <c r="A84" s="1"/>
      <c r="B84" s="1"/>
      <c r="C84" s="1"/>
      <c r="D84" s="1"/>
      <c r="E84" s="1"/>
      <c r="F84" s="1"/>
      <c r="G84" s="1"/>
      <c r="H84" s="1"/>
      <c r="I84" s="1"/>
      <c r="J84" s="1"/>
      <c r="K84" s="2"/>
      <c r="L84" s="2"/>
      <c r="M84" s="2"/>
      <c r="N84" s="2"/>
      <c r="O84" s="2"/>
      <c r="P84" s="2"/>
      <c r="Q84" s="1"/>
      <c r="R84" s="1"/>
      <c r="S84" s="1"/>
      <c r="T84" s="1"/>
      <c r="U84" s="5"/>
      <c r="V84" s="5"/>
      <c r="W84" s="5"/>
      <c r="X84" s="1"/>
      <c r="Y84" s="1"/>
      <c r="Z84" s="1"/>
      <c r="AA84" s="1"/>
      <c r="AB84" s="1"/>
      <c r="AC84" s="1"/>
      <c r="AD84" s="1"/>
      <c r="AE84" s="1"/>
      <c r="AF84" s="1"/>
      <c r="AG84" s="1"/>
      <c r="AH84" s="1"/>
      <c r="AI84" s="1"/>
      <c r="AJ84" s="1"/>
      <c r="AK84" s="1"/>
      <c r="AL84" s="1"/>
      <c r="AM84" s="1"/>
      <c r="AN84" s="1"/>
      <c r="AO84" s="1"/>
      <c r="AP84" s="1"/>
      <c r="AQ84" s="1"/>
      <c r="AR84" s="1"/>
      <c r="AS84" s="1"/>
      <c r="AT84" s="1"/>
    </row>
    <row r="85" spans="1:46" ht="18" hidden="1" customHeight="1" x14ac:dyDescent="0.35">
      <c r="A85" s="1"/>
      <c r="B85" s="1"/>
      <c r="C85" s="1"/>
      <c r="D85" s="1"/>
      <c r="E85" s="1"/>
      <c r="F85" s="1"/>
      <c r="G85" s="1"/>
      <c r="H85" s="1"/>
      <c r="I85" s="1"/>
      <c r="J85" s="1"/>
      <c r="K85" s="2"/>
      <c r="L85" s="2"/>
      <c r="M85" s="2"/>
      <c r="N85" s="2"/>
      <c r="O85" s="2"/>
      <c r="P85" s="2"/>
      <c r="Q85" s="1"/>
      <c r="R85" s="1"/>
      <c r="S85" s="1"/>
      <c r="T85" s="1"/>
      <c r="U85" s="5"/>
      <c r="V85" s="5"/>
      <c r="W85" s="5"/>
      <c r="X85" s="1"/>
      <c r="Y85" s="1"/>
      <c r="Z85" s="1"/>
      <c r="AA85" s="1"/>
      <c r="AB85" s="1"/>
      <c r="AC85" s="1"/>
      <c r="AD85" s="1"/>
      <c r="AE85" s="1"/>
      <c r="AF85" s="1"/>
      <c r="AG85" s="1"/>
      <c r="AH85" s="1"/>
      <c r="AI85" s="1"/>
      <c r="AJ85" s="1"/>
      <c r="AK85" s="1"/>
      <c r="AL85" s="1"/>
      <c r="AM85" s="1"/>
      <c r="AN85" s="1"/>
      <c r="AO85" s="1"/>
      <c r="AP85" s="1"/>
      <c r="AQ85" s="1"/>
      <c r="AR85" s="1"/>
      <c r="AS85" s="1"/>
      <c r="AT85" s="1"/>
    </row>
    <row r="86" spans="1:46" ht="18" hidden="1" customHeight="1" x14ac:dyDescent="0.35">
      <c r="A86" s="1"/>
      <c r="B86" s="1"/>
      <c r="C86" s="1"/>
      <c r="D86" s="1"/>
      <c r="E86" s="1"/>
      <c r="F86" s="1"/>
      <c r="G86" s="1"/>
      <c r="H86" s="1"/>
      <c r="I86" s="1"/>
      <c r="J86" s="1"/>
      <c r="K86" s="2"/>
      <c r="L86" s="2"/>
      <c r="M86" s="2"/>
      <c r="N86" s="2"/>
      <c r="O86" s="2"/>
      <c r="P86" s="2"/>
      <c r="Q86" s="1"/>
      <c r="R86" s="1"/>
      <c r="S86" s="1"/>
      <c r="T86" s="1"/>
      <c r="U86" s="5"/>
      <c r="V86" s="5"/>
      <c r="W86" s="5"/>
      <c r="X86" s="1"/>
      <c r="Y86" s="1"/>
      <c r="Z86" s="1"/>
      <c r="AA86" s="1"/>
      <c r="AB86" s="1"/>
      <c r="AC86" s="1"/>
      <c r="AD86" s="1"/>
      <c r="AE86" s="1"/>
      <c r="AF86" s="1"/>
      <c r="AG86" s="1"/>
      <c r="AH86" s="1"/>
      <c r="AI86" s="1"/>
      <c r="AJ86" s="1"/>
      <c r="AK86" s="1"/>
      <c r="AL86" s="1"/>
      <c r="AM86" s="1"/>
      <c r="AN86" s="1"/>
      <c r="AO86" s="1"/>
      <c r="AP86" s="1"/>
      <c r="AQ86" s="1"/>
      <c r="AR86" s="1"/>
      <c r="AS86" s="1"/>
      <c r="AT86" s="1"/>
    </row>
    <row r="87" spans="1:46" ht="18" hidden="1" customHeight="1" x14ac:dyDescent="0.35">
      <c r="A87" s="1"/>
      <c r="B87" s="1"/>
      <c r="C87" s="1"/>
      <c r="D87" s="1"/>
      <c r="E87" s="1"/>
      <c r="F87" s="1"/>
      <c r="G87" s="1"/>
      <c r="H87" s="1"/>
      <c r="I87" s="1"/>
      <c r="J87" s="1"/>
      <c r="K87" s="2"/>
      <c r="L87" s="2"/>
      <c r="M87" s="2"/>
      <c r="N87" s="2"/>
      <c r="O87" s="2"/>
      <c r="P87" s="2"/>
      <c r="Q87" s="1"/>
      <c r="R87" s="1"/>
      <c r="S87" s="1"/>
      <c r="T87" s="1"/>
      <c r="U87" s="5"/>
      <c r="V87" s="5"/>
      <c r="W87" s="5"/>
      <c r="X87" s="1"/>
      <c r="Y87" s="1"/>
      <c r="Z87" s="1"/>
      <c r="AA87" s="1"/>
      <c r="AB87" s="1"/>
      <c r="AC87" s="1"/>
      <c r="AD87" s="1"/>
      <c r="AE87" s="1"/>
      <c r="AF87" s="1"/>
      <c r="AG87" s="1"/>
      <c r="AH87" s="1"/>
      <c r="AI87" s="1"/>
      <c r="AJ87" s="1"/>
      <c r="AK87" s="1"/>
      <c r="AL87" s="1"/>
      <c r="AM87" s="1"/>
      <c r="AN87" s="1"/>
      <c r="AO87" s="1"/>
      <c r="AP87" s="1"/>
      <c r="AQ87" s="1"/>
      <c r="AR87" s="1"/>
      <c r="AS87" s="1"/>
      <c r="AT87" s="1"/>
    </row>
    <row r="88" spans="1:46" ht="18" customHeight="1" collapsed="1" x14ac:dyDescent="0.35">
      <c r="A88" s="1"/>
      <c r="B88" s="1"/>
      <c r="C88" s="1"/>
      <c r="D88" s="1"/>
      <c r="E88" s="1"/>
      <c r="F88" s="1"/>
      <c r="G88" s="1"/>
      <c r="H88" s="1"/>
      <c r="I88" s="1"/>
      <c r="J88" s="1"/>
      <c r="K88" s="2"/>
      <c r="L88" s="2"/>
      <c r="M88" s="2"/>
      <c r="N88" s="2"/>
      <c r="O88" s="2"/>
      <c r="P88" s="2"/>
      <c r="Q88" s="1"/>
      <c r="R88" s="1"/>
      <c r="S88" s="1"/>
      <c r="T88" s="1"/>
      <c r="U88" s="5"/>
      <c r="V88" s="5"/>
      <c r="W88" s="5"/>
      <c r="X88" s="1"/>
      <c r="Y88" s="1"/>
      <c r="Z88" s="1"/>
      <c r="AA88" s="1"/>
      <c r="AB88" s="1"/>
      <c r="AC88" s="1"/>
      <c r="AD88" s="1"/>
      <c r="AE88" s="1"/>
      <c r="AF88" s="1"/>
      <c r="AG88" s="1"/>
      <c r="AH88" s="1"/>
      <c r="AI88" s="1"/>
      <c r="AJ88" s="1"/>
      <c r="AK88" s="1"/>
      <c r="AL88" s="1"/>
      <c r="AM88" s="1"/>
      <c r="AN88" s="1"/>
      <c r="AO88" s="1"/>
      <c r="AP88" s="1"/>
      <c r="AQ88" s="1"/>
      <c r="AR88" s="1"/>
      <c r="AS88" s="1"/>
      <c r="AT88" s="1"/>
    </row>
    <row r="89" spans="1:46" ht="18" customHeight="1" x14ac:dyDescent="0.35">
      <c r="A89" s="1"/>
      <c r="B89" s="1"/>
      <c r="C89" s="1"/>
      <c r="D89" s="1"/>
      <c r="E89" s="1"/>
      <c r="F89" s="1"/>
      <c r="G89" s="1"/>
      <c r="H89" s="1"/>
      <c r="I89" s="1"/>
      <c r="J89" s="1"/>
      <c r="K89" s="2"/>
      <c r="L89" s="2"/>
      <c r="M89" s="2"/>
      <c r="N89" s="2"/>
      <c r="O89" s="2"/>
      <c r="P89" s="2"/>
      <c r="Q89" s="1"/>
      <c r="R89" s="1"/>
      <c r="S89" s="1"/>
      <c r="T89" s="1"/>
      <c r="U89" s="5"/>
      <c r="V89" s="5"/>
      <c r="W89" s="5"/>
      <c r="X89" s="1"/>
      <c r="Y89" s="1"/>
      <c r="Z89" s="1"/>
      <c r="AA89" s="1"/>
      <c r="AB89" s="1"/>
      <c r="AC89" s="1"/>
      <c r="AD89" s="1"/>
      <c r="AE89" s="1"/>
      <c r="AF89" s="1"/>
      <c r="AG89" s="1"/>
      <c r="AH89" s="1"/>
      <c r="AI89" s="1"/>
      <c r="AJ89" s="1"/>
      <c r="AK89" s="1"/>
      <c r="AL89" s="1"/>
      <c r="AM89" s="1"/>
      <c r="AN89" s="1"/>
      <c r="AO89" s="1"/>
      <c r="AP89" s="1"/>
      <c r="AQ89" s="1"/>
      <c r="AR89" s="1"/>
      <c r="AS89" s="1"/>
      <c r="AT89" s="1"/>
    </row>
    <row r="90" spans="1:46" ht="18" hidden="1" customHeight="1" x14ac:dyDescent="0.35">
      <c r="A90" s="1"/>
      <c r="B90" s="1"/>
      <c r="C90" s="1"/>
      <c r="D90" s="1"/>
      <c r="E90" s="1"/>
      <c r="F90" s="1"/>
      <c r="G90" s="1"/>
      <c r="H90" s="1"/>
      <c r="I90" s="1"/>
      <c r="J90" s="1"/>
      <c r="K90" s="2"/>
      <c r="L90" s="2"/>
      <c r="M90" s="2"/>
      <c r="N90" s="2"/>
      <c r="O90" s="2"/>
      <c r="P90" s="2"/>
      <c r="Q90" s="1"/>
      <c r="R90" s="1"/>
      <c r="S90" s="1"/>
      <c r="T90" s="1"/>
      <c r="U90" s="5"/>
      <c r="V90" s="5"/>
      <c r="W90" s="5"/>
      <c r="X90" s="1"/>
      <c r="Y90" s="1"/>
      <c r="Z90" s="1"/>
      <c r="AA90" s="1"/>
      <c r="AB90" s="1"/>
      <c r="AC90" s="1"/>
      <c r="AD90" s="1"/>
      <c r="AE90" s="1"/>
      <c r="AF90" s="1"/>
      <c r="AG90" s="1"/>
      <c r="AH90" s="1"/>
      <c r="AI90" s="1"/>
      <c r="AJ90" s="1"/>
      <c r="AK90" s="1"/>
      <c r="AL90" s="1"/>
      <c r="AM90" s="1"/>
      <c r="AN90" s="1"/>
      <c r="AO90" s="1"/>
      <c r="AP90" s="1"/>
      <c r="AQ90" s="1"/>
      <c r="AR90" s="1"/>
      <c r="AS90" s="1"/>
      <c r="AT90" s="1"/>
    </row>
    <row r="91" spans="1:46" ht="18" hidden="1" customHeight="1" x14ac:dyDescent="0.35">
      <c r="A91" s="1"/>
      <c r="B91" s="1"/>
      <c r="C91" s="1"/>
      <c r="D91" s="1"/>
      <c r="E91" s="1"/>
      <c r="F91" s="1"/>
      <c r="G91" s="1"/>
      <c r="H91" s="1"/>
      <c r="I91" s="1"/>
      <c r="J91" s="1"/>
      <c r="K91" s="2"/>
      <c r="L91" s="2"/>
      <c r="M91" s="2"/>
      <c r="N91" s="2"/>
      <c r="O91" s="2"/>
      <c r="P91" s="2"/>
      <c r="Q91" s="1"/>
      <c r="R91" s="1"/>
      <c r="S91" s="1"/>
      <c r="T91" s="1"/>
      <c r="U91" s="5"/>
      <c r="V91" s="5"/>
      <c r="W91" s="5"/>
      <c r="X91" s="1"/>
      <c r="Y91" s="1"/>
      <c r="Z91" s="1"/>
      <c r="AA91" s="1"/>
      <c r="AB91" s="1"/>
      <c r="AC91" s="1"/>
      <c r="AD91" s="1"/>
      <c r="AE91" s="1"/>
      <c r="AF91" s="1"/>
      <c r="AG91" s="1"/>
      <c r="AH91" s="1"/>
      <c r="AI91" s="1"/>
      <c r="AJ91" s="1"/>
      <c r="AK91" s="1"/>
      <c r="AL91" s="1"/>
      <c r="AM91" s="1"/>
      <c r="AN91" s="1"/>
      <c r="AO91" s="1"/>
      <c r="AP91" s="1"/>
      <c r="AQ91" s="1"/>
      <c r="AR91" s="1"/>
      <c r="AS91" s="1"/>
      <c r="AT91" s="1"/>
    </row>
    <row r="92" spans="1:46" ht="18" hidden="1" customHeight="1" x14ac:dyDescent="0.35">
      <c r="A92" s="1"/>
      <c r="B92" s="1"/>
      <c r="C92" s="1"/>
      <c r="D92" s="1"/>
      <c r="E92" s="1"/>
      <c r="F92" s="1"/>
      <c r="G92" s="1"/>
      <c r="H92" s="1"/>
      <c r="I92" s="1"/>
      <c r="J92" s="1"/>
      <c r="K92" s="2"/>
      <c r="L92" s="2"/>
      <c r="M92" s="2"/>
      <c r="N92" s="2"/>
      <c r="O92" s="2"/>
      <c r="P92" s="2"/>
      <c r="Q92" s="1"/>
      <c r="R92" s="1"/>
      <c r="S92" s="1"/>
      <c r="T92" s="1"/>
      <c r="U92" s="5"/>
      <c r="V92" s="5"/>
      <c r="W92" s="5"/>
      <c r="X92" s="1"/>
      <c r="Y92" s="1"/>
      <c r="Z92" s="1"/>
      <c r="AA92" s="1"/>
      <c r="AB92" s="1"/>
      <c r="AC92" s="1"/>
      <c r="AD92" s="1"/>
      <c r="AE92" s="1"/>
      <c r="AF92" s="1"/>
      <c r="AG92" s="1"/>
      <c r="AH92" s="1"/>
      <c r="AI92" s="1"/>
      <c r="AJ92" s="1"/>
      <c r="AK92" s="1"/>
      <c r="AL92" s="1"/>
      <c r="AM92" s="1"/>
      <c r="AN92" s="1"/>
      <c r="AO92" s="1"/>
      <c r="AP92" s="1"/>
      <c r="AQ92" s="1"/>
      <c r="AR92" s="1"/>
      <c r="AS92" s="1"/>
      <c r="AT92" s="1"/>
    </row>
    <row r="93" spans="1:46" ht="18" hidden="1" customHeight="1" x14ac:dyDescent="0.35">
      <c r="A93" s="1"/>
      <c r="B93" s="1"/>
      <c r="C93" s="1"/>
      <c r="D93" s="1"/>
      <c r="E93" s="1"/>
      <c r="F93" s="1"/>
      <c r="G93" s="1"/>
      <c r="H93" s="1"/>
      <c r="I93" s="1"/>
      <c r="J93" s="1"/>
      <c r="K93" s="2"/>
      <c r="L93" s="2"/>
      <c r="M93" s="2"/>
      <c r="N93" s="2"/>
      <c r="O93" s="2"/>
      <c r="P93" s="2"/>
      <c r="Q93" s="1"/>
      <c r="R93" s="1"/>
      <c r="S93" s="1"/>
      <c r="T93" s="1"/>
      <c r="U93" s="5"/>
      <c r="V93" s="5"/>
      <c r="W93" s="5"/>
      <c r="X93" s="1"/>
      <c r="Y93" s="1"/>
      <c r="Z93" s="1"/>
      <c r="AA93" s="1"/>
      <c r="AB93" s="1"/>
      <c r="AC93" s="1"/>
      <c r="AD93" s="1"/>
      <c r="AE93" s="1"/>
      <c r="AF93" s="1"/>
      <c r="AG93" s="1"/>
      <c r="AH93" s="1"/>
      <c r="AI93" s="1"/>
      <c r="AJ93" s="1"/>
      <c r="AK93" s="1"/>
      <c r="AL93" s="1"/>
      <c r="AM93" s="1"/>
      <c r="AN93" s="1"/>
      <c r="AO93" s="1"/>
      <c r="AP93" s="1"/>
      <c r="AQ93" s="1"/>
      <c r="AR93" s="1"/>
      <c r="AS93" s="1"/>
      <c r="AT93" s="1"/>
    </row>
    <row r="94" spans="1:46" ht="18" hidden="1" customHeight="1" x14ac:dyDescent="0.35">
      <c r="A94" s="1"/>
      <c r="B94" s="1"/>
      <c r="C94" s="1"/>
      <c r="D94" s="1"/>
      <c r="E94" s="1"/>
      <c r="F94" s="1"/>
      <c r="G94" s="1"/>
      <c r="H94" s="1"/>
      <c r="I94" s="1"/>
      <c r="J94" s="1"/>
      <c r="K94" s="2"/>
      <c r="L94" s="2"/>
      <c r="M94" s="2"/>
      <c r="N94" s="2"/>
      <c r="O94" s="2"/>
      <c r="P94" s="2"/>
      <c r="Q94" s="1"/>
      <c r="R94" s="1"/>
      <c r="S94" s="1"/>
      <c r="T94" s="1"/>
      <c r="U94" s="5"/>
      <c r="V94" s="5"/>
      <c r="W94" s="5"/>
      <c r="X94" s="1"/>
      <c r="Y94" s="1"/>
      <c r="Z94" s="1"/>
      <c r="AA94" s="1"/>
      <c r="AB94" s="1"/>
      <c r="AC94" s="1"/>
      <c r="AD94" s="1"/>
      <c r="AE94" s="1"/>
      <c r="AF94" s="1"/>
      <c r="AG94" s="1"/>
      <c r="AH94" s="1"/>
      <c r="AI94" s="1"/>
      <c r="AJ94" s="1"/>
      <c r="AK94" s="1"/>
      <c r="AL94" s="1"/>
      <c r="AM94" s="1"/>
      <c r="AN94" s="1"/>
      <c r="AO94" s="1"/>
      <c r="AP94" s="1"/>
      <c r="AQ94" s="1"/>
      <c r="AR94" s="1"/>
      <c r="AS94" s="1"/>
      <c r="AT94" s="1"/>
    </row>
    <row r="95" spans="1:46" ht="18" hidden="1" customHeight="1" x14ac:dyDescent="0.35">
      <c r="A95" s="1"/>
      <c r="B95" s="1"/>
      <c r="C95" s="1"/>
      <c r="D95" s="1"/>
      <c r="E95" s="1"/>
      <c r="F95" s="1"/>
      <c r="G95" s="1"/>
      <c r="H95" s="1"/>
      <c r="I95" s="1"/>
      <c r="J95" s="1"/>
      <c r="K95" s="2"/>
      <c r="L95" s="2"/>
      <c r="M95" s="2"/>
      <c r="N95" s="2"/>
      <c r="O95" s="2"/>
      <c r="P95" s="2"/>
      <c r="Q95" s="1"/>
      <c r="R95" s="1"/>
      <c r="S95" s="1"/>
      <c r="T95" s="1"/>
      <c r="U95" s="5"/>
      <c r="V95" s="5"/>
      <c r="W95" s="5"/>
      <c r="X95" s="1"/>
      <c r="Y95" s="1"/>
      <c r="Z95" s="1"/>
      <c r="AA95" s="1"/>
      <c r="AB95" s="1"/>
      <c r="AC95" s="1"/>
      <c r="AD95" s="1"/>
      <c r="AE95" s="1"/>
      <c r="AF95" s="1"/>
      <c r="AG95" s="1"/>
      <c r="AH95" s="1"/>
      <c r="AI95" s="1"/>
      <c r="AJ95" s="1"/>
      <c r="AK95" s="1"/>
      <c r="AL95" s="1"/>
      <c r="AM95" s="1"/>
      <c r="AN95" s="1"/>
      <c r="AO95" s="1"/>
      <c r="AP95" s="1"/>
      <c r="AQ95" s="1"/>
      <c r="AR95" s="1"/>
      <c r="AS95" s="1"/>
      <c r="AT95" s="1"/>
    </row>
    <row r="96" spans="1:46" ht="18" hidden="1" customHeight="1" x14ac:dyDescent="0.35">
      <c r="A96" s="1"/>
      <c r="B96" s="1"/>
      <c r="C96" s="1"/>
      <c r="D96" s="1"/>
      <c r="E96" s="1"/>
      <c r="F96" s="1"/>
      <c r="G96" s="1"/>
      <c r="H96" s="1"/>
      <c r="I96" s="1"/>
      <c r="J96" s="1"/>
      <c r="K96" s="2"/>
      <c r="L96" s="2"/>
      <c r="M96" s="2"/>
      <c r="N96" s="2"/>
      <c r="O96" s="2"/>
      <c r="P96" s="2"/>
      <c r="Q96" s="1"/>
      <c r="R96" s="1"/>
      <c r="S96" s="1"/>
      <c r="T96" s="1"/>
      <c r="U96" s="5"/>
      <c r="V96" s="5"/>
      <c r="W96" s="5"/>
      <c r="X96" s="1"/>
      <c r="Y96" s="1"/>
      <c r="Z96" s="1"/>
      <c r="AA96" s="1"/>
      <c r="AB96" s="1"/>
      <c r="AC96" s="1"/>
      <c r="AD96" s="1"/>
      <c r="AE96" s="1"/>
      <c r="AF96" s="1"/>
      <c r="AG96" s="1"/>
      <c r="AH96" s="1"/>
      <c r="AI96" s="1"/>
      <c r="AJ96" s="1"/>
      <c r="AK96" s="1"/>
      <c r="AL96" s="1"/>
      <c r="AM96" s="1"/>
      <c r="AN96" s="1"/>
      <c r="AO96" s="1"/>
      <c r="AP96" s="1"/>
      <c r="AQ96" s="1"/>
      <c r="AR96" s="1"/>
      <c r="AS96" s="1"/>
      <c r="AT96" s="1"/>
    </row>
    <row r="97" spans="1:46" ht="18" hidden="1" customHeight="1" x14ac:dyDescent="0.35">
      <c r="A97" s="1"/>
      <c r="B97" s="1"/>
      <c r="C97" s="1"/>
      <c r="D97" s="1"/>
      <c r="E97" s="1"/>
      <c r="F97" s="1"/>
      <c r="G97" s="1"/>
      <c r="H97" s="1"/>
      <c r="I97" s="1"/>
      <c r="J97" s="1"/>
      <c r="K97" s="2"/>
      <c r="L97" s="2"/>
      <c r="M97" s="2"/>
      <c r="N97" s="2"/>
      <c r="O97" s="2"/>
      <c r="P97" s="2"/>
      <c r="Q97" s="1"/>
      <c r="R97" s="1"/>
      <c r="S97" s="1"/>
      <c r="T97" s="1"/>
      <c r="U97" s="5"/>
      <c r="V97" s="5"/>
      <c r="W97" s="5"/>
      <c r="X97" s="1"/>
      <c r="Y97" s="1"/>
      <c r="Z97" s="1"/>
      <c r="AA97" s="1"/>
      <c r="AB97" s="1"/>
      <c r="AC97" s="1"/>
      <c r="AD97" s="1"/>
      <c r="AE97" s="1"/>
      <c r="AF97" s="1"/>
      <c r="AG97" s="1"/>
      <c r="AH97" s="1"/>
      <c r="AI97" s="1"/>
      <c r="AJ97" s="1"/>
      <c r="AK97" s="1"/>
      <c r="AL97" s="1"/>
      <c r="AM97" s="1"/>
      <c r="AN97" s="1"/>
      <c r="AO97" s="1"/>
      <c r="AP97" s="1"/>
      <c r="AQ97" s="1"/>
      <c r="AR97" s="1"/>
      <c r="AS97" s="1"/>
      <c r="AT97" s="1"/>
    </row>
    <row r="98" spans="1:46" ht="18" hidden="1" customHeight="1" x14ac:dyDescent="0.35">
      <c r="A98" s="1"/>
      <c r="B98" s="1"/>
      <c r="C98" s="1"/>
      <c r="D98" s="1"/>
      <c r="E98" s="1"/>
      <c r="F98" s="1"/>
      <c r="G98" s="1"/>
      <c r="H98" s="1"/>
      <c r="I98" s="1"/>
      <c r="J98" s="1"/>
      <c r="K98" s="2"/>
      <c r="L98" s="2"/>
      <c r="M98" s="2"/>
      <c r="N98" s="2"/>
      <c r="O98" s="2"/>
      <c r="P98" s="2"/>
      <c r="Q98" s="1"/>
      <c r="R98" s="1"/>
      <c r="S98" s="1"/>
      <c r="T98" s="1"/>
      <c r="U98" s="5"/>
      <c r="V98" s="5"/>
      <c r="W98" s="5"/>
      <c r="X98" s="1"/>
      <c r="Y98" s="1"/>
      <c r="Z98" s="1"/>
      <c r="AA98" s="1"/>
      <c r="AB98" s="1"/>
      <c r="AC98" s="1"/>
      <c r="AD98" s="1"/>
      <c r="AE98" s="1"/>
      <c r="AF98" s="1"/>
      <c r="AG98" s="1"/>
      <c r="AH98" s="1"/>
      <c r="AI98" s="1"/>
      <c r="AJ98" s="1"/>
      <c r="AK98" s="1"/>
      <c r="AL98" s="1"/>
      <c r="AM98" s="1"/>
      <c r="AN98" s="1"/>
      <c r="AO98" s="1"/>
      <c r="AP98" s="1"/>
      <c r="AQ98" s="1"/>
      <c r="AR98" s="1"/>
      <c r="AS98" s="1"/>
      <c r="AT98" s="1"/>
    </row>
    <row r="99" spans="1:46" ht="18" hidden="1" customHeight="1" x14ac:dyDescent="0.35">
      <c r="A99" s="1"/>
      <c r="B99" s="1"/>
      <c r="C99" s="1"/>
      <c r="D99" s="1"/>
      <c r="E99" s="1"/>
      <c r="F99" s="1"/>
      <c r="G99" s="1"/>
      <c r="H99" s="1"/>
      <c r="I99" s="1"/>
      <c r="J99" s="1"/>
      <c r="K99" s="2"/>
      <c r="L99" s="2"/>
      <c r="M99" s="2"/>
      <c r="N99" s="2"/>
      <c r="O99" s="2"/>
      <c r="P99" s="2"/>
      <c r="Q99" s="1"/>
      <c r="R99" s="1"/>
      <c r="S99" s="1"/>
      <c r="T99" s="1"/>
      <c r="U99" s="5"/>
      <c r="V99" s="5"/>
      <c r="W99" s="5"/>
      <c r="X99" s="1"/>
      <c r="Y99" s="1"/>
      <c r="Z99" s="1"/>
      <c r="AA99" s="1"/>
      <c r="AB99" s="1"/>
      <c r="AC99" s="1"/>
      <c r="AD99" s="1"/>
      <c r="AE99" s="1"/>
      <c r="AF99" s="1"/>
      <c r="AG99" s="1"/>
      <c r="AH99" s="1"/>
      <c r="AI99" s="1"/>
      <c r="AJ99" s="1"/>
      <c r="AK99" s="1"/>
      <c r="AL99" s="1"/>
      <c r="AM99" s="1"/>
      <c r="AN99" s="1"/>
      <c r="AO99" s="1"/>
      <c r="AP99" s="1"/>
      <c r="AQ99" s="1"/>
      <c r="AR99" s="1"/>
      <c r="AS99" s="1"/>
      <c r="AT99" s="1"/>
    </row>
    <row r="100" spans="1:46" ht="18" hidden="1" customHeight="1" x14ac:dyDescent="0.35">
      <c r="A100" s="1"/>
      <c r="B100" s="1"/>
      <c r="C100" s="1"/>
      <c r="D100" s="1"/>
      <c r="E100" s="1"/>
      <c r="F100" s="1"/>
      <c r="G100" s="1"/>
      <c r="H100" s="1"/>
      <c r="I100" s="1"/>
      <c r="J100" s="1"/>
      <c r="K100" s="2"/>
      <c r="L100" s="2"/>
      <c r="M100" s="2"/>
      <c r="N100" s="2"/>
      <c r="O100" s="2"/>
      <c r="P100" s="2"/>
      <c r="Q100" s="1"/>
      <c r="R100" s="1"/>
      <c r="S100" s="1"/>
      <c r="T100" s="1"/>
      <c r="U100" s="5"/>
      <c r="V100" s="5"/>
      <c r="W100" s="5"/>
      <c r="X100" s="1"/>
      <c r="Y100" s="1"/>
      <c r="Z100" s="1"/>
      <c r="AA100" s="1"/>
      <c r="AB100" s="1"/>
      <c r="AC100" s="1"/>
      <c r="AD100" s="1"/>
      <c r="AE100" s="1"/>
      <c r="AF100" s="1"/>
      <c r="AG100" s="1"/>
      <c r="AH100" s="1"/>
      <c r="AI100" s="1"/>
      <c r="AJ100" s="1"/>
      <c r="AK100" s="1"/>
      <c r="AL100" s="1"/>
      <c r="AM100" s="1"/>
      <c r="AN100" s="1"/>
      <c r="AO100" s="1"/>
      <c r="AP100" s="1"/>
      <c r="AQ100" s="1"/>
      <c r="AR100" s="1"/>
      <c r="AS100" s="1"/>
      <c r="AT100" s="1"/>
    </row>
    <row r="101" spans="1:46" ht="18" hidden="1" customHeight="1" x14ac:dyDescent="0.35">
      <c r="A101" s="1"/>
      <c r="B101" s="1"/>
      <c r="C101" s="1"/>
      <c r="D101" s="1"/>
      <c r="E101" s="1"/>
      <c r="F101" s="1"/>
      <c r="G101" s="1"/>
      <c r="H101" s="1"/>
      <c r="I101" s="1"/>
      <c r="J101" s="1"/>
      <c r="K101" s="2"/>
      <c r="L101" s="2"/>
      <c r="M101" s="2"/>
      <c r="N101" s="2"/>
      <c r="O101" s="2"/>
      <c r="P101" s="2"/>
      <c r="Q101" s="1"/>
      <c r="R101" s="1"/>
      <c r="S101" s="1"/>
      <c r="T101" s="1"/>
      <c r="U101" s="5"/>
      <c r="V101" s="5"/>
      <c r="W101" s="5"/>
      <c r="X101" s="1"/>
      <c r="Y101" s="1"/>
      <c r="Z101" s="1"/>
      <c r="AA101" s="1"/>
      <c r="AB101" s="1"/>
      <c r="AC101" s="1"/>
      <c r="AD101" s="1"/>
      <c r="AE101" s="1"/>
      <c r="AF101" s="1"/>
      <c r="AG101" s="1"/>
      <c r="AH101" s="1"/>
      <c r="AI101" s="1"/>
      <c r="AJ101" s="1"/>
      <c r="AK101" s="1"/>
      <c r="AL101" s="1"/>
      <c r="AM101" s="1"/>
      <c r="AN101" s="1"/>
      <c r="AO101" s="1"/>
      <c r="AP101" s="1"/>
      <c r="AQ101" s="1"/>
      <c r="AR101" s="1"/>
      <c r="AS101" s="1"/>
      <c r="AT101" s="1"/>
    </row>
    <row r="102" spans="1:46" ht="18" hidden="1" customHeight="1" x14ac:dyDescent="0.35">
      <c r="A102" s="1"/>
      <c r="B102" s="1"/>
      <c r="C102" s="1"/>
      <c r="D102" s="1"/>
      <c r="E102" s="1"/>
      <c r="F102" s="1"/>
      <c r="G102" s="1"/>
      <c r="H102" s="1"/>
      <c r="I102" s="1"/>
      <c r="J102" s="1"/>
      <c r="K102" s="2"/>
      <c r="L102" s="2"/>
      <c r="M102" s="2"/>
      <c r="N102" s="2"/>
      <c r="O102" s="2"/>
      <c r="P102" s="2"/>
      <c r="Q102" s="1"/>
      <c r="R102" s="1"/>
      <c r="S102" s="1"/>
      <c r="T102" s="1"/>
      <c r="U102" s="5"/>
      <c r="V102" s="5"/>
      <c r="W102" s="5"/>
      <c r="X102" s="1"/>
      <c r="Y102" s="1"/>
      <c r="Z102" s="1"/>
      <c r="AA102" s="1"/>
      <c r="AB102" s="1"/>
      <c r="AC102" s="1"/>
      <c r="AD102" s="1"/>
      <c r="AE102" s="1"/>
      <c r="AF102" s="1"/>
      <c r="AG102" s="1"/>
      <c r="AH102" s="1"/>
      <c r="AI102" s="1"/>
      <c r="AJ102" s="1"/>
      <c r="AK102" s="1"/>
      <c r="AL102" s="1"/>
      <c r="AM102" s="1"/>
      <c r="AN102" s="1"/>
      <c r="AO102" s="1"/>
      <c r="AP102" s="1"/>
      <c r="AQ102" s="1"/>
      <c r="AR102" s="1"/>
      <c r="AS102" s="1"/>
      <c r="AT102" s="1"/>
    </row>
    <row r="103" spans="1:46" ht="18" hidden="1" customHeight="1" x14ac:dyDescent="0.35">
      <c r="A103" s="1"/>
      <c r="B103" s="1"/>
      <c r="C103" s="1"/>
      <c r="D103" s="1"/>
      <c r="E103" s="1"/>
      <c r="F103" s="1"/>
      <c r="G103" s="1"/>
      <c r="H103" s="1"/>
      <c r="I103" s="1"/>
      <c r="J103" s="1"/>
      <c r="K103" s="2"/>
      <c r="L103" s="2"/>
      <c r="M103" s="2"/>
      <c r="N103" s="2"/>
      <c r="O103" s="2"/>
      <c r="P103" s="2"/>
      <c r="Q103" s="1"/>
      <c r="R103" s="1"/>
      <c r="S103" s="1"/>
      <c r="T103" s="1"/>
      <c r="U103" s="5"/>
      <c r="V103" s="5"/>
      <c r="W103" s="5"/>
      <c r="X103" s="1"/>
      <c r="Y103" s="1"/>
      <c r="Z103" s="1"/>
      <c r="AA103" s="1"/>
      <c r="AB103" s="1"/>
      <c r="AC103" s="1"/>
      <c r="AD103" s="1"/>
      <c r="AE103" s="1"/>
      <c r="AF103" s="1"/>
      <c r="AG103" s="1"/>
      <c r="AH103" s="1"/>
      <c r="AI103" s="1"/>
      <c r="AJ103" s="1"/>
      <c r="AK103" s="1"/>
      <c r="AL103" s="1"/>
      <c r="AM103" s="1"/>
      <c r="AN103" s="1"/>
      <c r="AO103" s="1"/>
      <c r="AP103" s="1"/>
      <c r="AQ103" s="1"/>
      <c r="AR103" s="1"/>
      <c r="AS103" s="1"/>
      <c r="AT103" s="1"/>
    </row>
    <row r="104" spans="1:46" ht="18" hidden="1" customHeight="1" x14ac:dyDescent="0.35">
      <c r="A104" s="1"/>
      <c r="B104" s="1"/>
      <c r="C104" s="1"/>
      <c r="D104" s="1"/>
      <c r="E104" s="1"/>
      <c r="F104" s="1"/>
      <c r="G104" s="1"/>
      <c r="H104" s="1"/>
      <c r="I104" s="1"/>
      <c r="J104" s="1"/>
      <c r="K104" s="2"/>
      <c r="L104" s="2"/>
      <c r="M104" s="2"/>
      <c r="N104" s="2"/>
      <c r="O104" s="2"/>
      <c r="P104" s="2"/>
      <c r="Q104" s="1"/>
      <c r="R104" s="1"/>
      <c r="S104" s="1"/>
      <c r="T104" s="1"/>
      <c r="U104" s="5"/>
      <c r="V104" s="5"/>
      <c r="W104" s="5"/>
      <c r="X104" s="1"/>
      <c r="Y104" s="1"/>
      <c r="Z104" s="1"/>
      <c r="AA104" s="1"/>
      <c r="AB104" s="1"/>
      <c r="AC104" s="1"/>
      <c r="AD104" s="1"/>
      <c r="AE104" s="1"/>
      <c r="AF104" s="1"/>
      <c r="AG104" s="1"/>
      <c r="AH104" s="1"/>
      <c r="AI104" s="1"/>
      <c r="AJ104" s="1"/>
      <c r="AK104" s="1"/>
      <c r="AL104" s="1"/>
      <c r="AM104" s="1"/>
      <c r="AN104" s="1"/>
      <c r="AO104" s="1"/>
      <c r="AP104" s="1"/>
      <c r="AQ104" s="1"/>
      <c r="AR104" s="1"/>
      <c r="AS104" s="1"/>
      <c r="AT104" s="1"/>
    </row>
    <row r="105" spans="1:46" ht="18" hidden="1" customHeight="1" x14ac:dyDescent="0.35">
      <c r="A105" s="1"/>
      <c r="B105" s="1"/>
      <c r="C105" s="1"/>
      <c r="D105" s="1"/>
      <c r="E105" s="1"/>
      <c r="F105" s="1"/>
      <c r="G105" s="1"/>
      <c r="H105" s="1"/>
      <c r="I105" s="1"/>
      <c r="J105" s="1"/>
      <c r="K105" s="2"/>
      <c r="L105" s="2"/>
      <c r="M105" s="2"/>
      <c r="N105" s="2"/>
      <c r="O105" s="2"/>
      <c r="P105" s="2"/>
      <c r="Q105" s="1"/>
      <c r="R105" s="1"/>
      <c r="S105" s="1"/>
      <c r="T105" s="1"/>
      <c r="U105" s="5"/>
      <c r="V105" s="5"/>
      <c r="W105" s="5"/>
      <c r="X105" s="1"/>
      <c r="Y105" s="1"/>
      <c r="Z105" s="1"/>
      <c r="AA105" s="1"/>
      <c r="AB105" s="1"/>
      <c r="AC105" s="1"/>
      <c r="AD105" s="1"/>
      <c r="AE105" s="1"/>
      <c r="AF105" s="1"/>
      <c r="AG105" s="1"/>
      <c r="AH105" s="1"/>
      <c r="AI105" s="1"/>
      <c r="AJ105" s="1"/>
      <c r="AK105" s="1"/>
      <c r="AL105" s="1"/>
      <c r="AM105" s="1"/>
      <c r="AN105" s="1"/>
      <c r="AO105" s="1"/>
      <c r="AP105" s="1"/>
      <c r="AQ105" s="1"/>
      <c r="AR105" s="1"/>
      <c r="AS105" s="1"/>
      <c r="AT105" s="1"/>
    </row>
    <row r="106" spans="1:46" ht="18" hidden="1" customHeight="1" x14ac:dyDescent="0.35">
      <c r="A106" s="1"/>
      <c r="B106" s="1"/>
      <c r="C106" s="1"/>
      <c r="D106" s="1"/>
      <c r="E106" s="1"/>
      <c r="F106" s="1"/>
      <c r="G106" s="1"/>
      <c r="H106" s="1"/>
      <c r="I106" s="1"/>
      <c r="J106" s="1"/>
      <c r="K106" s="2"/>
      <c r="L106" s="2"/>
      <c r="M106" s="2"/>
      <c r="N106" s="2"/>
      <c r="O106" s="2"/>
      <c r="P106" s="2"/>
      <c r="Q106" s="1"/>
      <c r="R106" s="1"/>
      <c r="S106" s="1"/>
      <c r="T106" s="1"/>
      <c r="U106" s="5"/>
      <c r="V106" s="5"/>
      <c r="W106" s="5"/>
      <c r="X106" s="1"/>
      <c r="Y106" s="1"/>
      <c r="Z106" s="1"/>
      <c r="AA106" s="1"/>
      <c r="AB106" s="1"/>
      <c r="AC106" s="1"/>
      <c r="AD106" s="1"/>
      <c r="AE106" s="1"/>
      <c r="AF106" s="1"/>
      <c r="AG106" s="1"/>
      <c r="AH106" s="1"/>
      <c r="AI106" s="1"/>
      <c r="AJ106" s="1"/>
      <c r="AK106" s="1"/>
      <c r="AL106" s="1"/>
      <c r="AM106" s="1"/>
      <c r="AN106" s="1"/>
      <c r="AO106" s="1"/>
      <c r="AP106" s="1"/>
      <c r="AQ106" s="1"/>
      <c r="AR106" s="1"/>
      <c r="AS106" s="1"/>
      <c r="AT106" s="1"/>
    </row>
    <row r="107" spans="1:46" ht="18" hidden="1" customHeight="1" x14ac:dyDescent="0.35">
      <c r="A107" s="1"/>
      <c r="B107" s="1"/>
      <c r="C107" s="1"/>
      <c r="D107" s="1"/>
      <c r="E107" s="1"/>
      <c r="F107" s="1"/>
      <c r="G107" s="1"/>
      <c r="H107" s="1"/>
      <c r="I107" s="1"/>
      <c r="J107" s="1"/>
      <c r="K107" s="2"/>
      <c r="L107" s="2"/>
      <c r="M107" s="2"/>
      <c r="N107" s="2"/>
      <c r="O107" s="2"/>
      <c r="P107" s="2"/>
      <c r="Q107" s="1"/>
      <c r="R107" s="1"/>
      <c r="S107" s="1"/>
      <c r="T107" s="1"/>
      <c r="U107" s="5"/>
      <c r="V107" s="5"/>
      <c r="W107" s="5"/>
      <c r="X107" s="1"/>
      <c r="Y107" s="1"/>
      <c r="Z107" s="1"/>
      <c r="AA107" s="1"/>
      <c r="AB107" s="1"/>
      <c r="AC107" s="1"/>
      <c r="AD107" s="1"/>
      <c r="AE107" s="1"/>
      <c r="AF107" s="1"/>
      <c r="AG107" s="1"/>
      <c r="AH107" s="1"/>
      <c r="AI107" s="1"/>
      <c r="AJ107" s="1"/>
      <c r="AK107" s="1"/>
      <c r="AL107" s="1"/>
      <c r="AM107" s="1"/>
      <c r="AN107" s="1"/>
      <c r="AO107" s="1"/>
      <c r="AP107" s="1"/>
      <c r="AQ107" s="1"/>
      <c r="AR107" s="1"/>
      <c r="AS107" s="1"/>
      <c r="AT107" s="1"/>
    </row>
    <row r="108" spans="1:46" ht="18" customHeight="1" collapsed="1" x14ac:dyDescent="0.35">
      <c r="A108" s="1"/>
      <c r="B108" s="1"/>
      <c r="C108" s="1"/>
      <c r="D108" s="1"/>
      <c r="E108" s="1"/>
      <c r="F108" s="1"/>
      <c r="G108" s="1"/>
      <c r="H108" s="1"/>
      <c r="I108" s="1"/>
      <c r="J108" s="1"/>
      <c r="K108" s="2"/>
      <c r="L108" s="2"/>
      <c r="M108" s="2"/>
      <c r="N108" s="2"/>
      <c r="O108" s="2"/>
      <c r="P108" s="2"/>
      <c r="Q108" s="1"/>
      <c r="R108" s="1"/>
      <c r="S108" s="1"/>
      <c r="T108" s="1"/>
      <c r="U108" s="5"/>
      <c r="V108" s="5"/>
      <c r="W108" s="5"/>
      <c r="X108" s="1"/>
      <c r="Y108" s="1"/>
      <c r="Z108" s="1"/>
      <c r="AA108" s="1"/>
      <c r="AB108" s="1"/>
      <c r="AC108" s="1"/>
      <c r="AD108" s="1"/>
      <c r="AE108" s="1"/>
      <c r="AF108" s="1"/>
      <c r="AG108" s="1"/>
      <c r="AH108" s="1"/>
      <c r="AI108" s="1"/>
      <c r="AJ108" s="1"/>
      <c r="AK108" s="1"/>
      <c r="AL108" s="1"/>
      <c r="AM108" s="1"/>
      <c r="AN108" s="1"/>
      <c r="AO108" s="1"/>
      <c r="AP108" s="1"/>
      <c r="AQ108" s="1"/>
      <c r="AR108" s="1"/>
      <c r="AS108" s="1"/>
      <c r="AT108" s="1"/>
    </row>
    <row r="109" spans="1:46" ht="18" customHeight="1" x14ac:dyDescent="0.35">
      <c r="A109" s="1"/>
      <c r="B109" s="1"/>
      <c r="C109" s="1"/>
      <c r="D109" s="1"/>
      <c r="E109" s="1"/>
      <c r="F109" s="1"/>
      <c r="G109" s="1"/>
      <c r="H109" s="1"/>
      <c r="I109" s="1"/>
      <c r="J109" s="1"/>
      <c r="K109" s="2"/>
      <c r="L109" s="2"/>
      <c r="M109" s="2"/>
      <c r="N109" s="2"/>
      <c r="O109" s="2"/>
      <c r="P109" s="2"/>
      <c r="Q109" s="1"/>
      <c r="R109" s="1"/>
      <c r="S109" s="1"/>
      <c r="T109" s="1"/>
      <c r="U109" s="5"/>
      <c r="V109" s="5"/>
      <c r="W109" s="5"/>
      <c r="X109" s="1"/>
      <c r="Y109" s="1"/>
      <c r="Z109" s="1"/>
      <c r="AA109" s="1"/>
      <c r="AB109" s="1"/>
      <c r="AC109" s="1"/>
      <c r="AD109" s="1"/>
      <c r="AE109" s="1"/>
      <c r="AF109" s="1"/>
      <c r="AG109" s="1"/>
      <c r="AH109" s="1"/>
      <c r="AI109" s="1"/>
      <c r="AJ109" s="1"/>
      <c r="AK109" s="1"/>
      <c r="AL109" s="1"/>
      <c r="AM109" s="1"/>
      <c r="AN109" s="1"/>
      <c r="AO109" s="1"/>
      <c r="AP109" s="1"/>
      <c r="AQ109" s="1"/>
      <c r="AR109" s="1"/>
      <c r="AS109" s="1"/>
      <c r="AT109" s="1"/>
    </row>
    <row r="110" spans="1:46" ht="18" customHeight="1" x14ac:dyDescent="0.35">
      <c r="A110" s="1"/>
      <c r="B110" s="1"/>
      <c r="C110" s="1"/>
      <c r="D110" s="1"/>
      <c r="E110" s="1"/>
      <c r="F110" s="1"/>
      <c r="G110" s="1"/>
      <c r="H110" s="1"/>
      <c r="I110" s="1"/>
      <c r="J110" s="1"/>
      <c r="K110" s="2"/>
      <c r="L110" s="2"/>
      <c r="M110" s="2"/>
      <c r="N110" s="2"/>
      <c r="O110" s="2"/>
      <c r="P110" s="2"/>
      <c r="Q110" s="1"/>
      <c r="R110" s="1"/>
      <c r="S110" s="1"/>
      <c r="T110" s="1"/>
      <c r="U110" s="5"/>
      <c r="V110" s="5"/>
      <c r="W110" s="5"/>
      <c r="X110" s="1"/>
      <c r="Y110" s="1"/>
      <c r="Z110" s="1"/>
      <c r="AA110" s="1"/>
      <c r="AB110" s="1"/>
      <c r="AC110" s="1"/>
      <c r="AD110" s="1"/>
      <c r="AE110" s="1"/>
      <c r="AF110" s="1"/>
      <c r="AG110" s="1"/>
      <c r="AH110" s="1"/>
      <c r="AI110" s="1"/>
      <c r="AJ110" s="1"/>
      <c r="AK110" s="1"/>
      <c r="AL110" s="1"/>
      <c r="AM110" s="1"/>
      <c r="AN110" s="1"/>
      <c r="AO110" s="1"/>
      <c r="AP110" s="1"/>
      <c r="AQ110" s="1"/>
      <c r="AR110" s="1"/>
      <c r="AS110" s="1"/>
      <c r="AT110" s="1"/>
    </row>
    <row r="111" spans="1:46" ht="18" customHeight="1" x14ac:dyDescent="0.35">
      <c r="A111" s="1"/>
      <c r="B111" s="1"/>
      <c r="C111" s="1"/>
      <c r="D111" s="1"/>
      <c r="E111" s="1"/>
      <c r="F111" s="1"/>
      <c r="G111" s="1"/>
      <c r="H111" s="1"/>
      <c r="I111" s="1"/>
      <c r="J111" s="1"/>
      <c r="K111" s="2"/>
      <c r="L111" s="2"/>
      <c r="M111" s="2"/>
      <c r="N111" s="2"/>
      <c r="O111" s="2"/>
      <c r="P111" s="2"/>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row>
    <row r="112" spans="1:46" ht="18" customHeight="1" x14ac:dyDescent="0.35">
      <c r="A112" s="1"/>
      <c r="B112" s="1"/>
      <c r="C112" s="1"/>
      <c r="D112" s="1"/>
      <c r="E112" s="1"/>
      <c r="F112" s="1"/>
      <c r="G112" s="1"/>
      <c r="H112" s="1"/>
      <c r="I112" s="1"/>
      <c r="J112" s="1"/>
      <c r="K112" s="2"/>
      <c r="L112" s="2"/>
      <c r="M112" s="2"/>
      <c r="N112" s="2"/>
      <c r="O112" s="2"/>
      <c r="P112" s="2"/>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row>
    <row r="113" spans="1:46" ht="18" customHeight="1" collapsed="1" x14ac:dyDescent="0.35">
      <c r="A113" s="1"/>
      <c r="B113" s="1"/>
      <c r="C113" s="1"/>
      <c r="D113" s="1"/>
      <c r="E113" s="1"/>
      <c r="F113" s="1"/>
      <c r="G113" s="1"/>
      <c r="H113" s="1"/>
      <c r="I113" s="1"/>
      <c r="J113" s="1"/>
      <c r="K113" s="2"/>
      <c r="L113" s="2"/>
      <c r="M113" s="2"/>
      <c r="N113" s="2"/>
      <c r="O113" s="2"/>
      <c r="P113" s="2"/>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row>
    <row r="114" spans="1:46" ht="18" customHeight="1" x14ac:dyDescent="0.35">
      <c r="A114" s="1"/>
      <c r="B114" s="1"/>
      <c r="C114" s="1"/>
      <c r="D114" s="1"/>
      <c r="E114" s="1"/>
      <c r="F114" s="1"/>
      <c r="G114" s="1"/>
      <c r="H114" s="1"/>
      <c r="I114" s="1"/>
      <c r="J114" s="1"/>
      <c r="K114" s="2"/>
      <c r="L114" s="2"/>
      <c r="M114" s="2"/>
      <c r="N114" s="2"/>
      <c r="O114" s="2"/>
      <c r="P114" s="2"/>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row>
    <row r="115" spans="1:46" ht="18" customHeight="1" x14ac:dyDescent="0.35">
      <c r="A115" s="1"/>
      <c r="B115" s="1"/>
      <c r="C115" s="1"/>
      <c r="D115" s="1"/>
      <c r="E115" s="1"/>
      <c r="F115" s="1"/>
      <c r="G115" s="1"/>
      <c r="H115" s="1"/>
      <c r="I115" s="1"/>
      <c r="J115" s="1"/>
      <c r="K115" s="2"/>
      <c r="L115" s="2"/>
      <c r="M115" s="2"/>
      <c r="N115" s="2"/>
      <c r="O115" s="2"/>
      <c r="P115" s="2"/>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row>
    <row r="116" spans="1:46" ht="18" customHeight="1" x14ac:dyDescent="0.35">
      <c r="A116" s="1"/>
      <c r="B116" s="1"/>
      <c r="C116" s="1"/>
      <c r="D116" s="1"/>
      <c r="E116" s="1"/>
      <c r="F116" s="1"/>
      <c r="G116" s="1"/>
      <c r="H116" s="1"/>
      <c r="I116" s="1"/>
      <c r="J116" s="1"/>
      <c r="K116" s="2"/>
      <c r="L116" s="2"/>
      <c r="M116" s="2"/>
      <c r="N116" s="2"/>
      <c r="O116" s="2"/>
      <c r="P116" s="2"/>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row>
    <row r="117" spans="1:46" ht="18" customHeight="1" x14ac:dyDescent="0.35">
      <c r="A117" s="1"/>
      <c r="B117" s="1"/>
      <c r="C117" s="1"/>
      <c r="D117" s="1"/>
      <c r="E117" s="1"/>
      <c r="F117" s="1"/>
      <c r="G117" s="1"/>
      <c r="H117" s="1"/>
      <c r="I117" s="1"/>
      <c r="J117" s="1"/>
      <c r="K117" s="2"/>
      <c r="L117" s="2"/>
      <c r="M117" s="2"/>
      <c r="N117" s="2"/>
      <c r="O117" s="2"/>
      <c r="P117" s="2"/>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row>
    <row r="118" spans="1:46" ht="18" customHeight="1" x14ac:dyDescent="0.35">
      <c r="A118" s="1"/>
      <c r="B118" s="1"/>
      <c r="C118" s="1"/>
      <c r="D118" s="1"/>
      <c r="E118" s="1"/>
      <c r="F118" s="1"/>
      <c r="G118" s="1"/>
      <c r="H118" s="1"/>
      <c r="I118" s="1"/>
      <c r="J118" s="1"/>
      <c r="K118" s="2"/>
      <c r="L118" s="2"/>
      <c r="M118" s="2"/>
      <c r="N118" s="2"/>
      <c r="O118" s="2"/>
      <c r="P118" s="2"/>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row>
    <row r="119" spans="1:46" ht="18" customHeight="1" x14ac:dyDescent="0.35">
      <c r="A119" s="1"/>
      <c r="B119" s="23"/>
      <c r="C119" s="12"/>
      <c r="D119" s="12"/>
      <c r="E119" s="12"/>
      <c r="F119" s="12"/>
      <c r="G119" s="12"/>
      <c r="H119" s="12"/>
      <c r="I119" s="12"/>
      <c r="J119" s="12"/>
      <c r="K119" s="2"/>
      <c r="L119" s="2"/>
      <c r="M119" s="2"/>
      <c r="N119" s="2"/>
      <c r="O119" s="2"/>
      <c r="P119" s="2"/>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row>
    <row r="120" spans="1:46" ht="18" customHeight="1" collapsed="1" x14ac:dyDescent="0.35">
      <c r="A120" s="1"/>
      <c r="B120" s="23"/>
      <c r="C120" s="12"/>
      <c r="D120" s="12"/>
      <c r="E120" s="12"/>
      <c r="F120" s="12"/>
      <c r="G120" s="12"/>
      <c r="H120" s="12"/>
      <c r="I120" s="12"/>
      <c r="J120" s="12"/>
      <c r="K120" s="2"/>
      <c r="L120" s="2"/>
      <c r="M120" s="2"/>
      <c r="N120" s="2"/>
      <c r="O120" s="2"/>
      <c r="P120" s="2"/>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row>
    <row r="121" spans="1:46" ht="18" customHeight="1" x14ac:dyDescent="0.35">
      <c r="A121" s="1"/>
      <c r="B121" s="23"/>
      <c r="C121" s="12"/>
      <c r="D121" s="12"/>
      <c r="E121" s="12"/>
      <c r="F121" s="12"/>
      <c r="G121" s="12"/>
      <c r="H121" s="12"/>
      <c r="I121" s="12"/>
      <c r="J121" s="12"/>
      <c r="K121" s="2"/>
      <c r="L121" s="2"/>
      <c r="M121" s="2"/>
      <c r="N121" s="2"/>
      <c r="O121" s="2"/>
      <c r="P121" s="2"/>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row>
    <row r="122" spans="1:46" ht="18" customHeight="1" x14ac:dyDescent="0.35">
      <c r="A122" s="1"/>
      <c r="B122" s="23"/>
      <c r="C122" s="12"/>
      <c r="D122" s="12"/>
      <c r="E122" s="12"/>
      <c r="F122" s="12"/>
      <c r="G122" s="12"/>
      <c r="H122" s="12"/>
      <c r="I122" s="12"/>
      <c r="J122" s="12"/>
      <c r="K122" s="2"/>
      <c r="L122" s="2"/>
      <c r="M122" s="2"/>
      <c r="N122" s="2"/>
      <c r="O122" s="2"/>
      <c r="P122" s="2"/>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row>
    <row r="123" spans="1:46" ht="18" customHeight="1" collapsed="1" x14ac:dyDescent="0.35">
      <c r="A123" s="1"/>
      <c r="B123" s="23"/>
      <c r="C123" s="12"/>
      <c r="D123" s="12"/>
      <c r="E123" s="12"/>
      <c r="F123" s="12"/>
      <c r="G123" s="12"/>
      <c r="H123" s="12"/>
      <c r="I123" s="12"/>
      <c r="J123" s="12"/>
      <c r="K123" s="2"/>
      <c r="L123" s="2"/>
      <c r="M123" s="2"/>
      <c r="N123" s="2"/>
      <c r="O123" s="2"/>
      <c r="P123" s="2"/>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row>
    <row r="124" spans="1:46" ht="18" customHeight="1" x14ac:dyDescent="0.35">
      <c r="A124" s="1"/>
      <c r="B124" s="23"/>
      <c r="C124" s="12"/>
      <c r="D124" s="12"/>
      <c r="E124" s="12"/>
      <c r="F124" s="12"/>
      <c r="G124" s="12"/>
      <c r="H124" s="12"/>
      <c r="I124" s="12"/>
      <c r="J124" s="12"/>
      <c r="K124" s="2"/>
      <c r="L124" s="2"/>
      <c r="M124" s="2"/>
      <c r="N124" s="2"/>
      <c r="O124" s="2"/>
      <c r="P124" s="2"/>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row>
    <row r="125" spans="1:46" ht="18" customHeight="1" x14ac:dyDescent="0.35">
      <c r="A125" s="1"/>
      <c r="B125" s="23"/>
      <c r="C125" s="12"/>
      <c r="D125" s="12"/>
      <c r="E125" s="12"/>
      <c r="F125" s="12"/>
      <c r="G125" s="12"/>
      <c r="H125" s="12"/>
      <c r="I125" s="12"/>
      <c r="J125" s="12"/>
      <c r="K125" s="2"/>
      <c r="L125" s="2"/>
      <c r="M125" s="2"/>
      <c r="N125" s="2"/>
      <c r="O125" s="2"/>
      <c r="P125" s="2"/>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row>
    <row r="126" spans="1:46" ht="18" customHeight="1" x14ac:dyDescent="0.35">
      <c r="A126" s="1"/>
      <c r="B126" s="23"/>
      <c r="C126" s="12"/>
      <c r="D126" s="12"/>
      <c r="E126" s="12"/>
      <c r="F126" s="12"/>
      <c r="G126" s="12"/>
      <c r="H126" s="12"/>
      <c r="I126" s="12"/>
      <c r="J126" s="12"/>
      <c r="K126" s="2"/>
      <c r="L126" s="2"/>
      <c r="M126" s="2"/>
      <c r="N126" s="2"/>
      <c r="O126" s="2"/>
      <c r="P126" s="2"/>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row>
    <row r="127" spans="1:46" ht="18" customHeight="1" x14ac:dyDescent="0.35">
      <c r="A127" s="1"/>
      <c r="B127" s="23"/>
      <c r="C127" s="12"/>
      <c r="D127" s="12"/>
      <c r="E127" s="12"/>
      <c r="F127" s="12"/>
      <c r="G127" s="12"/>
      <c r="H127" s="12"/>
      <c r="I127" s="12"/>
      <c r="J127" s="12"/>
      <c r="K127" s="2"/>
      <c r="L127" s="2"/>
      <c r="M127" s="2"/>
      <c r="N127" s="2"/>
      <c r="O127" s="2"/>
      <c r="P127" s="2"/>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row>
    <row r="128" spans="1:46" ht="18" customHeight="1" x14ac:dyDescent="0.35">
      <c r="A128" s="1"/>
      <c r="B128" s="23"/>
      <c r="C128" s="12"/>
      <c r="D128" s="12"/>
      <c r="E128" s="12"/>
      <c r="F128" s="12"/>
      <c r="G128" s="12"/>
      <c r="H128" s="12"/>
      <c r="I128" s="12"/>
      <c r="J128" s="12"/>
      <c r="K128" s="2"/>
      <c r="L128" s="2"/>
      <c r="M128" s="2"/>
      <c r="N128" s="2"/>
      <c r="O128" s="2"/>
      <c r="P128" s="2"/>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row>
    <row r="129" spans="1:46" ht="18" customHeight="1" collapsed="1" x14ac:dyDescent="0.35">
      <c r="A129" s="1"/>
      <c r="B129" s="23"/>
      <c r="C129" s="12"/>
      <c r="D129" s="12"/>
      <c r="E129" s="12"/>
      <c r="F129" s="12"/>
      <c r="G129" s="12"/>
      <c r="H129" s="12"/>
      <c r="I129" s="12"/>
      <c r="J129" s="12"/>
      <c r="K129" s="2"/>
      <c r="L129" s="2"/>
      <c r="M129" s="2"/>
      <c r="N129" s="2"/>
      <c r="O129" s="2"/>
      <c r="P129" s="2"/>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row>
    <row r="130" spans="1:46" ht="18" customHeight="1" x14ac:dyDescent="0.35">
      <c r="A130" s="1"/>
      <c r="B130" s="23"/>
      <c r="C130" s="12"/>
      <c r="D130" s="12"/>
      <c r="E130" s="12"/>
      <c r="F130" s="12"/>
      <c r="G130" s="12"/>
      <c r="H130" s="12"/>
      <c r="I130" s="12"/>
      <c r="J130" s="12"/>
      <c r="K130" s="2"/>
      <c r="L130" s="2"/>
      <c r="M130" s="2"/>
      <c r="N130" s="2"/>
      <c r="O130" s="2"/>
      <c r="P130" s="2"/>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row>
    <row r="131" spans="1:46" ht="18" customHeight="1" x14ac:dyDescent="0.35">
      <c r="A131" s="1"/>
      <c r="B131" s="23"/>
      <c r="C131" s="12"/>
      <c r="D131" s="12"/>
      <c r="E131" s="12"/>
      <c r="F131" s="12"/>
      <c r="G131" s="12"/>
      <c r="H131" s="12"/>
      <c r="I131" s="12"/>
      <c r="J131" s="12"/>
      <c r="K131" s="2"/>
      <c r="L131" s="2"/>
      <c r="M131" s="2"/>
      <c r="N131" s="2"/>
      <c r="O131" s="2"/>
      <c r="P131" s="2"/>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row>
    <row r="132" spans="1:46" ht="18" customHeight="1" x14ac:dyDescent="0.35">
      <c r="A132" s="1"/>
      <c r="B132" s="23"/>
      <c r="C132" s="12"/>
      <c r="D132" s="12"/>
      <c r="E132" s="12"/>
      <c r="F132" s="12"/>
      <c r="G132" s="12"/>
      <c r="H132" s="12"/>
      <c r="I132" s="12"/>
      <c r="J132" s="12"/>
      <c r="K132" s="2"/>
      <c r="L132" s="2"/>
      <c r="M132" s="2"/>
      <c r="N132" s="2"/>
      <c r="O132" s="2"/>
      <c r="P132" s="2"/>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row>
    <row r="133" spans="1:46" ht="18" customHeight="1" x14ac:dyDescent="0.35">
      <c r="A133" s="1"/>
      <c r="B133" s="23"/>
      <c r="C133" s="12"/>
      <c r="D133" s="12"/>
      <c r="E133" s="12"/>
      <c r="F133" s="12"/>
      <c r="G133" s="12"/>
      <c r="H133" s="12"/>
      <c r="I133" s="12"/>
      <c r="J133" s="12"/>
      <c r="K133" s="2"/>
      <c r="L133" s="2"/>
      <c r="M133" s="2"/>
      <c r="N133" s="2"/>
      <c r="O133" s="2"/>
      <c r="P133" s="2"/>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row>
    <row r="134" spans="1:46" ht="18" customHeight="1" collapsed="1" x14ac:dyDescent="0.35">
      <c r="A134" s="1"/>
      <c r="B134" s="23"/>
      <c r="C134" s="12"/>
      <c r="D134" s="12"/>
      <c r="E134" s="12"/>
      <c r="F134" s="12"/>
      <c r="G134" s="12"/>
      <c r="H134" s="12"/>
      <c r="I134" s="12"/>
      <c r="J134" s="12"/>
      <c r="K134" s="2"/>
      <c r="L134" s="2"/>
      <c r="M134" s="2"/>
      <c r="N134" s="2"/>
      <c r="O134" s="2"/>
      <c r="P134" s="2"/>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row>
    <row r="135" spans="1:46" ht="18" customHeight="1" x14ac:dyDescent="0.35">
      <c r="A135" s="1"/>
      <c r="B135" s="23"/>
      <c r="C135" s="12"/>
      <c r="D135" s="12"/>
      <c r="E135" s="12"/>
      <c r="F135" s="12"/>
      <c r="G135" s="12"/>
      <c r="H135" s="12"/>
      <c r="I135" s="12"/>
      <c r="J135" s="12"/>
      <c r="K135" s="2"/>
      <c r="L135" s="2"/>
      <c r="M135" s="2"/>
      <c r="N135" s="2"/>
      <c r="O135" s="2"/>
      <c r="P135" s="2"/>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row>
    <row r="136" spans="1:46" ht="18" customHeight="1" x14ac:dyDescent="0.35">
      <c r="A136" s="1"/>
      <c r="B136" s="23"/>
      <c r="C136" s="12"/>
      <c r="D136" s="12"/>
      <c r="E136" s="12"/>
      <c r="F136" s="12"/>
      <c r="G136" s="12"/>
      <c r="H136" s="12"/>
      <c r="I136" s="12"/>
      <c r="J136" s="12"/>
      <c r="K136" s="2"/>
      <c r="L136" s="2"/>
      <c r="M136" s="2"/>
      <c r="N136" s="2"/>
      <c r="O136" s="2"/>
      <c r="P136" s="2"/>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row>
    <row r="137" spans="1:46" ht="18" customHeight="1" x14ac:dyDescent="0.35">
      <c r="A137" s="1"/>
      <c r="B137" s="23"/>
      <c r="C137" s="12"/>
      <c r="D137" s="12"/>
      <c r="E137" s="12"/>
      <c r="F137" s="12"/>
      <c r="G137" s="12"/>
      <c r="H137" s="12"/>
      <c r="I137" s="12"/>
      <c r="J137" s="12"/>
      <c r="K137" s="2"/>
      <c r="L137" s="2"/>
      <c r="M137" s="2"/>
      <c r="N137" s="2"/>
      <c r="O137" s="2"/>
      <c r="P137" s="2"/>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row>
    <row r="138" spans="1:46" ht="18" customHeight="1" x14ac:dyDescent="0.35">
      <c r="A138" s="1"/>
      <c r="B138" s="23"/>
      <c r="C138" s="12"/>
      <c r="D138" s="12"/>
      <c r="E138" s="12"/>
      <c r="F138" s="12"/>
      <c r="G138" s="12"/>
      <c r="H138" s="12"/>
      <c r="I138" s="12"/>
      <c r="J138" s="12"/>
      <c r="K138" s="2"/>
      <c r="L138" s="2"/>
      <c r="M138" s="2"/>
      <c r="N138" s="2"/>
      <c r="O138" s="2"/>
      <c r="P138" s="2"/>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row>
    <row r="139" spans="1:46" ht="18" customHeight="1" x14ac:dyDescent="0.35">
      <c r="A139" s="1"/>
      <c r="B139" s="23"/>
      <c r="C139" s="12"/>
      <c r="D139" s="12"/>
      <c r="E139" s="12"/>
      <c r="F139" s="12"/>
      <c r="G139" s="12"/>
      <c r="H139" s="12"/>
      <c r="I139" s="12"/>
      <c r="J139" s="12"/>
      <c r="K139" s="2"/>
      <c r="L139" s="2"/>
      <c r="M139" s="2"/>
      <c r="N139" s="2"/>
      <c r="O139" s="2"/>
      <c r="P139" s="2"/>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row>
    <row r="140" spans="1:46" ht="18" customHeight="1" x14ac:dyDescent="0.35">
      <c r="A140" s="1"/>
      <c r="B140" s="23"/>
      <c r="C140" s="12"/>
      <c r="D140" s="12"/>
      <c r="E140" s="12"/>
      <c r="F140" s="12"/>
      <c r="G140" s="12"/>
      <c r="H140" s="12"/>
      <c r="I140" s="12"/>
      <c r="J140" s="12"/>
      <c r="K140" s="2"/>
      <c r="L140" s="2"/>
      <c r="M140" s="2"/>
      <c r="N140" s="2"/>
      <c r="O140" s="2"/>
      <c r="P140" s="2"/>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row>
    <row r="141" spans="1:46" ht="18" customHeight="1" x14ac:dyDescent="0.35">
      <c r="A141" s="1"/>
      <c r="B141" s="23"/>
      <c r="C141" s="12"/>
      <c r="D141" s="12"/>
      <c r="E141" s="12"/>
      <c r="F141" s="12"/>
      <c r="G141" s="12"/>
      <c r="H141" s="12"/>
      <c r="I141" s="12"/>
      <c r="J141" s="12"/>
      <c r="K141" s="2"/>
      <c r="L141" s="2"/>
      <c r="M141" s="2"/>
      <c r="N141" s="2"/>
      <c r="O141" s="2"/>
      <c r="P141" s="2"/>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row>
    <row r="142" spans="1:46" ht="18" customHeight="1" x14ac:dyDescent="0.35">
      <c r="A142" s="1"/>
      <c r="B142" s="23"/>
      <c r="C142" s="12"/>
      <c r="D142" s="12"/>
      <c r="E142" s="12"/>
      <c r="F142" s="12"/>
      <c r="G142" s="12"/>
      <c r="H142" s="12"/>
      <c r="I142" s="12"/>
      <c r="J142" s="12"/>
      <c r="K142" s="2"/>
      <c r="L142" s="2"/>
      <c r="M142" s="2"/>
      <c r="N142" s="2"/>
      <c r="O142" s="2"/>
      <c r="P142" s="2"/>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row>
    <row r="143" spans="1:46" ht="18" customHeight="1" collapsed="1" x14ac:dyDescent="0.35">
      <c r="A143" s="1"/>
      <c r="B143" s="23"/>
      <c r="C143" s="12"/>
      <c r="D143" s="12"/>
      <c r="E143" s="12"/>
      <c r="F143" s="12"/>
      <c r="G143" s="12"/>
      <c r="H143" s="12"/>
      <c r="I143" s="12"/>
      <c r="J143" s="12"/>
      <c r="K143" s="2"/>
      <c r="L143" s="2"/>
      <c r="M143" s="2"/>
      <c r="N143" s="2"/>
      <c r="O143" s="2"/>
      <c r="P143" s="2"/>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row>
    <row r="144" spans="1:46" ht="18" customHeight="1" x14ac:dyDescent="0.35">
      <c r="A144" s="1"/>
      <c r="B144" s="23"/>
      <c r="C144" s="12"/>
      <c r="D144" s="12"/>
      <c r="E144" s="12"/>
      <c r="F144" s="12"/>
      <c r="G144" s="12"/>
      <c r="H144" s="12"/>
      <c r="I144" s="12"/>
      <c r="J144" s="12"/>
      <c r="K144" s="2"/>
      <c r="L144" s="2"/>
      <c r="M144" s="2"/>
      <c r="N144" s="2"/>
      <c r="O144" s="2"/>
      <c r="P144" s="2"/>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row>
    <row r="145" spans="1:46" ht="18" customHeight="1" x14ac:dyDescent="0.35">
      <c r="A145" s="1"/>
      <c r="B145" s="23"/>
      <c r="C145" s="12"/>
      <c r="D145" s="12"/>
      <c r="E145" s="12"/>
      <c r="F145" s="12"/>
      <c r="G145" s="12"/>
      <c r="H145" s="12"/>
      <c r="I145" s="12"/>
      <c r="J145" s="12"/>
      <c r="K145" s="2"/>
      <c r="L145" s="2"/>
      <c r="M145" s="2"/>
      <c r="N145" s="2"/>
      <c r="O145" s="2"/>
      <c r="P145" s="2"/>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row>
    <row r="146" spans="1:46" ht="18" customHeight="1" collapsed="1" x14ac:dyDescent="0.35">
      <c r="A146" s="1"/>
      <c r="B146" s="23"/>
      <c r="C146" s="2"/>
      <c r="D146" s="2"/>
      <c r="E146" s="2"/>
      <c r="F146" s="2"/>
      <c r="G146" s="2"/>
      <c r="H146" s="2"/>
      <c r="I146" s="2"/>
      <c r="J146" s="2"/>
      <c r="K146" s="2"/>
      <c r="L146" s="2"/>
      <c r="M146" s="2"/>
      <c r="N146" s="2"/>
      <c r="O146" s="2"/>
      <c r="P146" s="2"/>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row>
    <row r="147" spans="1:46" ht="18" customHeight="1" x14ac:dyDescent="0.35">
      <c r="A147" s="1"/>
      <c r="B147" s="23"/>
      <c r="C147" s="19"/>
      <c r="D147" s="19"/>
      <c r="E147" s="19"/>
      <c r="F147" s="19"/>
      <c r="G147" s="19"/>
      <c r="H147" s="19"/>
      <c r="I147" s="19"/>
      <c r="J147" s="19"/>
      <c r="K147" s="2"/>
      <c r="L147" s="2"/>
      <c r="M147" s="2"/>
      <c r="N147" s="2"/>
      <c r="O147" s="2"/>
      <c r="P147" s="2"/>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row>
    <row r="148" spans="1:46" ht="18" customHeight="1" x14ac:dyDescent="0.35">
      <c r="A148" s="1"/>
      <c r="B148" s="23"/>
      <c r="C148" s="12"/>
      <c r="D148" s="12"/>
      <c r="E148" s="12"/>
      <c r="F148" s="12"/>
      <c r="G148" s="12"/>
      <c r="H148" s="12"/>
      <c r="I148" s="12"/>
      <c r="J148" s="12"/>
      <c r="K148" s="2"/>
      <c r="L148" s="2"/>
      <c r="M148" s="2"/>
      <c r="N148" s="2"/>
      <c r="O148" s="2"/>
      <c r="P148" s="2"/>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row>
    <row r="149" spans="1:46" ht="18" customHeight="1" x14ac:dyDescent="0.35">
      <c r="A149" s="1"/>
      <c r="B149" s="23"/>
      <c r="C149" s="12"/>
      <c r="D149" s="12"/>
      <c r="E149" s="12"/>
      <c r="F149" s="12"/>
      <c r="G149" s="12"/>
      <c r="H149" s="12"/>
      <c r="I149" s="12"/>
      <c r="J149" s="12"/>
      <c r="K149" s="2"/>
      <c r="L149" s="2"/>
      <c r="M149" s="2"/>
      <c r="N149" s="2"/>
      <c r="O149" s="2"/>
      <c r="P149" s="2"/>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row>
    <row r="150" spans="1:46" ht="18" customHeight="1" x14ac:dyDescent="0.35">
      <c r="A150" s="1"/>
      <c r="B150" s="23"/>
      <c r="C150" s="12"/>
      <c r="D150" s="12"/>
      <c r="E150" s="12"/>
      <c r="F150" s="12"/>
      <c r="G150" s="12"/>
      <c r="H150" s="12"/>
      <c r="I150" s="12"/>
      <c r="J150" s="12"/>
      <c r="K150" s="2"/>
      <c r="L150" s="2"/>
      <c r="M150" s="2"/>
      <c r="N150" s="2"/>
      <c r="O150" s="2"/>
      <c r="P150" s="2"/>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row>
    <row r="151" spans="1:46" ht="18" customHeight="1" collapsed="1" x14ac:dyDescent="0.35">
      <c r="A151" s="1"/>
      <c r="B151" s="23"/>
      <c r="C151" s="12"/>
      <c r="D151" s="12"/>
      <c r="E151" s="12"/>
      <c r="F151" s="12"/>
      <c r="G151" s="12"/>
      <c r="H151" s="12"/>
      <c r="I151" s="12"/>
      <c r="J151" s="12"/>
      <c r="K151" s="2"/>
      <c r="L151" s="2"/>
      <c r="M151" s="2"/>
      <c r="N151" s="2"/>
      <c r="O151" s="2"/>
      <c r="P151" s="2"/>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row>
    <row r="152" spans="1:46" ht="18" customHeight="1" x14ac:dyDescent="0.35">
      <c r="A152" s="1"/>
      <c r="B152" s="23"/>
      <c r="C152" s="16"/>
      <c r="D152" s="16"/>
      <c r="E152" s="16"/>
      <c r="F152" s="16"/>
      <c r="G152" s="16"/>
      <c r="H152" s="16"/>
      <c r="I152" s="16"/>
      <c r="J152" s="16"/>
      <c r="K152" s="2"/>
      <c r="L152" s="2"/>
      <c r="M152" s="2"/>
      <c r="N152" s="2"/>
      <c r="O152" s="2"/>
      <c r="P152" s="2"/>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row>
    <row r="153" spans="1:46" ht="18" customHeight="1" x14ac:dyDescent="0.35">
      <c r="A153" s="1"/>
      <c r="B153" s="23"/>
      <c r="C153" s="12"/>
      <c r="D153" s="12"/>
      <c r="E153" s="12"/>
      <c r="F153" s="12"/>
      <c r="G153" s="12"/>
      <c r="H153" s="12"/>
      <c r="I153" s="12"/>
      <c r="J153" s="12"/>
      <c r="K153" s="2"/>
      <c r="L153" s="2"/>
      <c r="M153" s="2"/>
      <c r="N153" s="2"/>
      <c r="O153" s="2"/>
      <c r="P153" s="2"/>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row>
    <row r="154" spans="1:46" ht="18" customHeight="1" x14ac:dyDescent="0.35">
      <c r="A154" s="1"/>
      <c r="B154" s="23"/>
      <c r="C154" s="12"/>
      <c r="D154" s="12"/>
      <c r="E154" s="12"/>
      <c r="F154" s="12"/>
      <c r="G154" s="12"/>
      <c r="H154" s="12"/>
      <c r="I154" s="12"/>
      <c r="J154" s="12"/>
      <c r="K154" s="2"/>
      <c r="L154" s="2"/>
      <c r="M154" s="2"/>
      <c r="N154" s="2"/>
      <c r="O154" s="2"/>
      <c r="P154" s="2"/>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row>
    <row r="155" spans="1:46" ht="18" customHeight="1" x14ac:dyDescent="0.35">
      <c r="A155" s="1"/>
      <c r="B155" s="23"/>
      <c r="C155" s="12"/>
      <c r="D155" s="12"/>
      <c r="E155" s="12"/>
      <c r="F155" s="12"/>
      <c r="G155" s="12"/>
      <c r="H155" s="12"/>
      <c r="I155" s="12"/>
      <c r="J155" s="12"/>
      <c r="K155" s="2"/>
      <c r="L155" s="2"/>
      <c r="M155" s="2"/>
      <c r="N155" s="2"/>
      <c r="O155" s="2"/>
      <c r="P155" s="2"/>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row>
    <row r="156" spans="1:46" ht="18" customHeight="1" collapsed="1" x14ac:dyDescent="0.35">
      <c r="A156" s="1"/>
      <c r="B156" s="23"/>
      <c r="C156" s="12"/>
      <c r="D156" s="12"/>
      <c r="E156" s="12"/>
      <c r="F156" s="12"/>
      <c r="G156" s="12"/>
      <c r="H156" s="12"/>
      <c r="I156" s="12"/>
      <c r="J156" s="12"/>
      <c r="K156" s="2"/>
      <c r="L156" s="2"/>
      <c r="M156" s="2"/>
      <c r="N156" s="2"/>
      <c r="O156" s="2"/>
      <c r="P156" s="2"/>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row>
    <row r="157" spans="1:46" ht="18" customHeight="1" x14ac:dyDescent="0.35">
      <c r="A157" s="1"/>
      <c r="B157" s="23"/>
      <c r="C157" s="12"/>
      <c r="D157" s="12"/>
      <c r="E157" s="12"/>
      <c r="F157" s="12"/>
      <c r="G157" s="12"/>
      <c r="H157" s="12"/>
      <c r="I157" s="12"/>
      <c r="J157" s="12"/>
      <c r="K157" s="2"/>
      <c r="L157" s="2"/>
      <c r="M157" s="2"/>
      <c r="N157" s="2"/>
      <c r="O157" s="2"/>
      <c r="P157" s="2"/>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row>
    <row r="158" spans="1:46" ht="18" customHeight="1" x14ac:dyDescent="0.35">
      <c r="A158" s="1"/>
      <c r="B158" s="23"/>
      <c r="C158" s="12"/>
      <c r="D158" s="12"/>
      <c r="E158" s="12"/>
      <c r="F158" s="12"/>
      <c r="G158" s="12"/>
      <c r="H158" s="12"/>
      <c r="I158" s="12"/>
      <c r="J158" s="12"/>
      <c r="K158" s="2"/>
      <c r="L158" s="2"/>
      <c r="M158" s="2"/>
      <c r="N158" s="2"/>
      <c r="O158" s="2"/>
      <c r="P158" s="2"/>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row>
    <row r="159" spans="1:46" ht="18" customHeight="1" x14ac:dyDescent="0.35">
      <c r="A159" s="1"/>
      <c r="B159" s="23"/>
      <c r="C159" s="12"/>
      <c r="D159" s="12"/>
      <c r="E159" s="12"/>
      <c r="F159" s="12"/>
      <c r="G159" s="12"/>
      <c r="H159" s="12"/>
      <c r="I159" s="12"/>
      <c r="J159" s="12"/>
      <c r="K159" s="2"/>
      <c r="L159" s="2"/>
      <c r="M159" s="2"/>
      <c r="N159" s="2"/>
      <c r="O159" s="2"/>
      <c r="P159" s="2"/>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row>
    <row r="160" spans="1:46" ht="18" customHeight="1" x14ac:dyDescent="0.35">
      <c r="A160" s="1"/>
      <c r="B160" s="23"/>
      <c r="C160" s="12"/>
      <c r="D160" s="12"/>
      <c r="E160" s="12"/>
      <c r="F160" s="12"/>
      <c r="G160" s="12"/>
      <c r="H160" s="12"/>
      <c r="I160" s="12"/>
      <c r="J160" s="12"/>
      <c r="K160" s="2"/>
      <c r="L160" s="2"/>
      <c r="M160" s="2"/>
      <c r="N160" s="2"/>
      <c r="O160" s="2"/>
      <c r="P160" s="2"/>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row>
    <row r="161" spans="1:46" ht="18" customHeight="1" collapsed="1" x14ac:dyDescent="0.35">
      <c r="A161" s="1"/>
      <c r="B161" s="23"/>
      <c r="C161" s="2"/>
      <c r="D161" s="2"/>
      <c r="E161" s="2"/>
      <c r="F161" s="2"/>
      <c r="G161" s="2"/>
      <c r="H161" s="2"/>
      <c r="I161" s="2"/>
      <c r="J161" s="2"/>
      <c r="K161" s="2"/>
      <c r="L161" s="2"/>
      <c r="M161" s="2"/>
      <c r="N161" s="2"/>
      <c r="O161" s="2"/>
      <c r="P161" s="2"/>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row>
    <row r="162" spans="1:46" ht="18" customHeight="1" x14ac:dyDescent="0.35">
      <c r="A162" s="1"/>
      <c r="B162" s="23"/>
      <c r="C162" s="19"/>
      <c r="D162" s="19"/>
      <c r="E162" s="19"/>
      <c r="F162" s="19"/>
      <c r="G162" s="19"/>
      <c r="H162" s="19"/>
      <c r="I162" s="19"/>
      <c r="J162" s="19"/>
      <c r="K162" s="2"/>
      <c r="L162" s="2"/>
      <c r="M162" s="2"/>
      <c r="N162" s="2"/>
      <c r="O162" s="2"/>
      <c r="P162" s="2"/>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row>
    <row r="163" spans="1:46" ht="18" customHeight="1" x14ac:dyDescent="0.35">
      <c r="A163" s="1"/>
      <c r="B163" s="23"/>
      <c r="C163" s="12"/>
      <c r="D163" s="12"/>
      <c r="E163" s="12"/>
      <c r="F163" s="12"/>
      <c r="G163" s="12"/>
      <c r="H163" s="12"/>
      <c r="I163" s="12"/>
      <c r="J163" s="12"/>
      <c r="K163" s="2"/>
      <c r="L163" s="2"/>
      <c r="M163" s="2"/>
      <c r="N163" s="2"/>
      <c r="O163" s="2"/>
      <c r="P163" s="2"/>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row>
    <row r="164" spans="1:46" ht="18" customHeight="1" x14ac:dyDescent="0.35">
      <c r="A164" s="1"/>
      <c r="B164" s="23"/>
      <c r="C164" s="12"/>
      <c r="D164" s="12"/>
      <c r="E164" s="12"/>
      <c r="F164" s="12"/>
      <c r="G164" s="12"/>
      <c r="H164" s="12"/>
      <c r="I164" s="12"/>
      <c r="J164" s="12"/>
      <c r="K164" s="2"/>
      <c r="L164" s="2"/>
      <c r="M164" s="2"/>
      <c r="N164" s="2"/>
      <c r="O164" s="2"/>
      <c r="P164" s="2"/>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row>
    <row r="165" spans="1:46" ht="18" customHeight="1" x14ac:dyDescent="0.35">
      <c r="A165" s="1"/>
      <c r="B165" s="23"/>
      <c r="C165" s="16"/>
      <c r="D165" s="16"/>
      <c r="E165" s="16"/>
      <c r="F165" s="16"/>
      <c r="G165" s="16"/>
      <c r="H165" s="16"/>
      <c r="I165" s="16"/>
      <c r="J165" s="16"/>
      <c r="K165" s="2"/>
      <c r="L165" s="2"/>
      <c r="M165" s="2"/>
      <c r="N165" s="2"/>
      <c r="O165" s="2"/>
      <c r="P165" s="2"/>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row>
    <row r="166" spans="1:46" ht="18" customHeight="1" x14ac:dyDescent="0.35">
      <c r="A166" s="1"/>
      <c r="B166" s="23"/>
      <c r="C166" s="12"/>
      <c r="D166" s="12"/>
      <c r="E166" s="12"/>
      <c r="F166" s="12"/>
      <c r="G166" s="12"/>
      <c r="H166" s="12"/>
      <c r="I166" s="12"/>
      <c r="J166" s="12"/>
      <c r="K166" s="2"/>
      <c r="L166" s="2"/>
      <c r="M166" s="2"/>
      <c r="N166" s="2"/>
      <c r="O166" s="2"/>
      <c r="P166" s="2"/>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row>
    <row r="167" spans="1:46" ht="18" customHeight="1" x14ac:dyDescent="0.35">
      <c r="A167" s="1"/>
      <c r="B167" s="23"/>
      <c r="C167" s="12"/>
      <c r="D167" s="12"/>
      <c r="E167" s="12"/>
      <c r="F167" s="12"/>
      <c r="G167" s="12"/>
      <c r="H167" s="12"/>
      <c r="I167" s="12"/>
      <c r="J167" s="12"/>
      <c r="K167" s="2"/>
      <c r="L167" s="2"/>
      <c r="M167" s="2"/>
      <c r="N167" s="2"/>
      <c r="O167" s="2"/>
      <c r="P167" s="2"/>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row>
    <row r="168" spans="1:46" ht="18" customHeight="1" collapsed="1" x14ac:dyDescent="0.35">
      <c r="A168" s="1"/>
      <c r="B168" s="23"/>
      <c r="C168" s="12"/>
      <c r="D168" s="12"/>
      <c r="E168" s="12"/>
      <c r="F168" s="12"/>
      <c r="G168" s="12"/>
      <c r="H168" s="12"/>
      <c r="I168" s="12"/>
      <c r="J168" s="12"/>
      <c r="K168" s="2"/>
      <c r="L168" s="2"/>
      <c r="M168" s="2"/>
      <c r="N168" s="2"/>
      <c r="O168" s="2"/>
      <c r="P168" s="2"/>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row>
    <row r="169" spans="1:46" ht="18" customHeight="1" x14ac:dyDescent="0.35">
      <c r="A169" s="1"/>
      <c r="B169" s="23"/>
      <c r="C169" s="12"/>
      <c r="D169" s="12"/>
      <c r="E169" s="12"/>
      <c r="F169" s="12"/>
      <c r="G169" s="12"/>
      <c r="H169" s="12"/>
      <c r="I169" s="12"/>
      <c r="J169" s="12"/>
      <c r="K169" s="2"/>
      <c r="L169" s="2"/>
      <c r="M169" s="2"/>
      <c r="N169" s="2"/>
      <c r="O169" s="2"/>
      <c r="P169" s="2"/>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row>
    <row r="170" spans="1:46" ht="18" customHeight="1" x14ac:dyDescent="0.35">
      <c r="A170" s="1"/>
      <c r="B170" s="23"/>
      <c r="C170" s="12"/>
      <c r="D170" s="12"/>
      <c r="E170" s="12"/>
      <c r="F170" s="12"/>
      <c r="G170" s="12"/>
      <c r="H170" s="12"/>
      <c r="I170" s="12"/>
      <c r="J170" s="12"/>
      <c r="K170" s="2"/>
      <c r="L170" s="2"/>
      <c r="M170" s="2"/>
      <c r="N170" s="2"/>
      <c r="O170" s="2"/>
      <c r="P170" s="2"/>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row>
    <row r="171" spans="1:46" ht="18" customHeight="1" x14ac:dyDescent="0.35">
      <c r="A171" s="1"/>
      <c r="B171" s="23"/>
      <c r="C171" s="12"/>
      <c r="D171" s="12"/>
      <c r="E171" s="12"/>
      <c r="F171" s="12"/>
      <c r="G171" s="12"/>
      <c r="H171" s="12"/>
      <c r="I171" s="12"/>
      <c r="J171" s="12"/>
      <c r="K171" s="2"/>
      <c r="L171" s="2"/>
      <c r="M171" s="2"/>
      <c r="N171" s="2"/>
      <c r="O171" s="2"/>
      <c r="P171" s="2"/>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row>
    <row r="172" spans="1:46" ht="18" customHeight="1" x14ac:dyDescent="0.35">
      <c r="A172" s="1"/>
      <c r="B172" s="23"/>
      <c r="C172" s="12"/>
      <c r="D172" s="12"/>
      <c r="E172" s="12"/>
      <c r="F172" s="12"/>
      <c r="G172" s="12"/>
      <c r="H172" s="12"/>
      <c r="I172" s="12"/>
      <c r="J172" s="12"/>
      <c r="K172" s="2"/>
      <c r="L172" s="2"/>
      <c r="M172" s="2"/>
      <c r="N172" s="2"/>
      <c r="O172" s="2"/>
      <c r="P172" s="2"/>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row>
    <row r="173" spans="1:46" ht="18" customHeight="1" collapsed="1" x14ac:dyDescent="0.35">
      <c r="A173" s="1"/>
      <c r="B173" s="23"/>
      <c r="C173" s="16"/>
      <c r="D173" s="16"/>
      <c r="E173" s="16"/>
      <c r="F173" s="16"/>
      <c r="G173" s="16"/>
      <c r="H173" s="16"/>
      <c r="I173" s="16"/>
      <c r="J173" s="16"/>
      <c r="K173" s="2"/>
      <c r="L173" s="2"/>
      <c r="M173" s="2"/>
      <c r="N173" s="2"/>
      <c r="O173" s="2"/>
      <c r="P173" s="2"/>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row>
    <row r="174" spans="1:46" ht="18" customHeight="1" x14ac:dyDescent="0.35">
      <c r="A174" s="1"/>
      <c r="B174" s="23"/>
      <c r="C174" s="16"/>
      <c r="D174" s="16"/>
      <c r="E174" s="16"/>
      <c r="F174" s="16"/>
      <c r="G174" s="16"/>
      <c r="H174" s="16"/>
      <c r="I174" s="16"/>
      <c r="J174" s="16"/>
      <c r="K174" s="2"/>
      <c r="L174" s="2"/>
      <c r="M174" s="2"/>
      <c r="N174" s="2"/>
      <c r="O174" s="2"/>
      <c r="P174" s="2"/>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row>
    <row r="175" spans="1:46" ht="18" customHeight="1" x14ac:dyDescent="0.35">
      <c r="A175" s="1"/>
      <c r="B175" s="23"/>
      <c r="C175" s="16"/>
      <c r="D175" s="16"/>
      <c r="E175" s="16"/>
      <c r="F175" s="16"/>
      <c r="G175" s="16"/>
      <c r="H175" s="16"/>
      <c r="I175" s="16"/>
      <c r="J175" s="16"/>
      <c r="K175" s="2"/>
      <c r="L175" s="2"/>
      <c r="M175" s="2"/>
      <c r="N175" s="2"/>
      <c r="O175" s="2"/>
      <c r="P175" s="2"/>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row>
    <row r="176" spans="1:46" ht="18" customHeight="1" x14ac:dyDescent="0.35">
      <c r="A176" s="1"/>
      <c r="B176" s="23"/>
      <c r="C176" s="12"/>
      <c r="D176" s="12"/>
      <c r="E176" s="12"/>
      <c r="F176" s="12"/>
      <c r="G176" s="12"/>
      <c r="H176" s="12"/>
      <c r="I176" s="12"/>
      <c r="J176" s="12"/>
      <c r="K176" s="2"/>
      <c r="L176" s="2"/>
      <c r="M176" s="2"/>
      <c r="N176" s="2"/>
      <c r="O176" s="2"/>
      <c r="P176" s="2"/>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row>
    <row r="177" spans="1:46" x14ac:dyDescent="0.35">
      <c r="A177" s="1"/>
      <c r="B177" s="1"/>
      <c r="C177" s="2"/>
      <c r="D177" s="2"/>
      <c r="E177" s="2"/>
      <c r="F177" s="2"/>
      <c r="G177" s="2"/>
      <c r="H177" s="2"/>
      <c r="I177" s="2"/>
      <c r="J177" s="2"/>
      <c r="K177" s="2"/>
      <c r="L177" s="2"/>
      <c r="M177" s="2"/>
      <c r="N177" s="2"/>
      <c r="O177" s="2"/>
      <c r="P177" s="2"/>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row>
    <row r="178" spans="1:46" x14ac:dyDescent="0.35">
      <c r="A178" s="1"/>
      <c r="B178" s="1"/>
      <c r="C178" s="2"/>
      <c r="D178" s="2"/>
      <c r="E178" s="2"/>
      <c r="F178" s="2"/>
      <c r="G178" s="2"/>
      <c r="H178" s="2"/>
      <c r="I178" s="2"/>
      <c r="J178" s="2"/>
      <c r="K178" s="2"/>
      <c r="L178" s="2"/>
      <c r="M178" s="2"/>
      <c r="N178" s="2"/>
      <c r="O178" s="2"/>
      <c r="P178" s="2"/>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row>
    <row r="179" spans="1:46" x14ac:dyDescent="0.35">
      <c r="A179" s="1"/>
      <c r="B179" s="1"/>
      <c r="C179" s="2"/>
      <c r="D179" s="2"/>
      <c r="E179" s="2"/>
      <c r="F179" s="2"/>
      <c r="G179" s="2"/>
      <c r="H179" s="2"/>
      <c r="I179" s="2"/>
      <c r="J179" s="2"/>
      <c r="K179" s="2"/>
      <c r="L179" s="2"/>
      <c r="M179" s="2"/>
      <c r="N179" s="2"/>
      <c r="O179" s="2"/>
      <c r="P179" s="2"/>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row>
    <row r="180" spans="1:46" x14ac:dyDescent="0.35">
      <c r="A180" s="1"/>
      <c r="B180" s="1"/>
      <c r="C180" s="2"/>
      <c r="D180" s="2"/>
      <c r="E180" s="2"/>
      <c r="F180" s="2"/>
      <c r="G180" s="2"/>
      <c r="H180" s="2"/>
      <c r="I180" s="2"/>
      <c r="J180" s="2"/>
      <c r="K180" s="2"/>
      <c r="L180" s="2"/>
      <c r="M180" s="2"/>
      <c r="N180" s="2"/>
      <c r="O180" s="2"/>
      <c r="P180" s="2"/>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row>
    <row r="181" spans="1:46" x14ac:dyDescent="0.35">
      <c r="A181" s="1"/>
      <c r="B181" s="1"/>
      <c r="C181" s="2"/>
      <c r="D181" s="2"/>
      <c r="E181" s="2"/>
      <c r="F181" s="2"/>
      <c r="G181" s="2"/>
      <c r="H181" s="2"/>
      <c r="I181" s="2"/>
      <c r="J181" s="2"/>
      <c r="K181" s="2"/>
      <c r="L181" s="2"/>
      <c r="M181" s="2"/>
      <c r="N181" s="2"/>
      <c r="O181" s="2"/>
      <c r="P181" s="2"/>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row>
    <row r="182" spans="1:46" x14ac:dyDescent="0.35">
      <c r="A182" s="1"/>
      <c r="B182" s="1"/>
      <c r="C182" s="2"/>
      <c r="D182" s="2"/>
      <c r="E182" s="2"/>
      <c r="F182" s="2"/>
      <c r="G182" s="2"/>
      <c r="H182" s="2"/>
      <c r="I182" s="2"/>
      <c r="J182" s="2"/>
      <c r="K182" s="2"/>
      <c r="L182" s="2"/>
      <c r="M182" s="2"/>
      <c r="N182" s="2"/>
      <c r="O182" s="2"/>
      <c r="P182" s="2"/>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row>
    <row r="183" spans="1:46" x14ac:dyDescent="0.35">
      <c r="A183" s="1"/>
      <c r="B183" s="1"/>
      <c r="C183" s="2"/>
      <c r="D183" s="2"/>
      <c r="E183" s="2"/>
      <c r="F183" s="2"/>
      <c r="G183" s="2"/>
      <c r="H183" s="2"/>
      <c r="I183" s="2"/>
      <c r="J183" s="2"/>
      <c r="K183" s="2"/>
      <c r="L183" s="2"/>
      <c r="M183" s="2"/>
      <c r="N183" s="2"/>
      <c r="O183" s="2"/>
      <c r="P183" s="2"/>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row>
    <row r="184" spans="1:46" x14ac:dyDescent="0.35">
      <c r="A184" s="1"/>
      <c r="B184" s="1"/>
      <c r="C184" s="2"/>
      <c r="D184" s="2"/>
      <c r="E184" s="2"/>
      <c r="F184" s="2"/>
      <c r="G184" s="2"/>
      <c r="H184" s="2"/>
      <c r="I184" s="2"/>
      <c r="J184" s="2"/>
      <c r="K184" s="2"/>
      <c r="L184" s="2"/>
      <c r="M184" s="2"/>
      <c r="N184" s="2"/>
      <c r="O184" s="2"/>
      <c r="P184" s="2"/>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row>
    <row r="185" spans="1:46" x14ac:dyDescent="0.35">
      <c r="A185" s="1"/>
      <c r="B185" s="1"/>
      <c r="C185" s="2"/>
      <c r="D185" s="2"/>
      <c r="E185" s="2"/>
      <c r="F185" s="2"/>
      <c r="G185" s="2"/>
      <c r="H185" s="2"/>
      <c r="I185" s="2"/>
      <c r="J185" s="2"/>
      <c r="K185" s="2"/>
      <c r="L185" s="2"/>
      <c r="M185" s="2"/>
      <c r="N185" s="2"/>
      <c r="O185" s="2"/>
      <c r="P185" s="2"/>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row>
    <row r="186" spans="1:46" x14ac:dyDescent="0.35">
      <c r="A186" s="1"/>
      <c r="B186" s="1"/>
      <c r="C186" s="2"/>
      <c r="D186" s="2"/>
      <c r="E186" s="2"/>
      <c r="F186" s="2"/>
      <c r="G186" s="2"/>
      <c r="H186" s="2"/>
      <c r="I186" s="2"/>
      <c r="J186" s="2"/>
      <c r="K186" s="2"/>
      <c r="L186" s="2"/>
      <c r="M186" s="2"/>
      <c r="N186" s="2"/>
      <c r="O186" s="2"/>
      <c r="P186" s="2"/>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row>
    <row r="187" spans="1:46" x14ac:dyDescent="0.35">
      <c r="A187" s="1"/>
      <c r="B187" s="1"/>
      <c r="C187" s="2"/>
      <c r="D187" s="2"/>
      <c r="E187" s="2"/>
      <c r="F187" s="2"/>
      <c r="G187" s="2"/>
      <c r="H187" s="2"/>
      <c r="I187" s="2"/>
      <c r="J187" s="2"/>
      <c r="K187" s="2"/>
      <c r="L187" s="2"/>
      <c r="M187" s="2"/>
      <c r="N187" s="2"/>
      <c r="O187" s="2"/>
      <c r="P187" s="2"/>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row>
    <row r="188" spans="1:46" x14ac:dyDescent="0.35">
      <c r="A188" s="1"/>
      <c r="B188" s="1"/>
      <c r="C188" s="2"/>
      <c r="D188" s="2"/>
      <c r="E188" s="2"/>
      <c r="F188" s="2"/>
      <c r="G188" s="2"/>
      <c r="H188" s="2"/>
      <c r="I188" s="2"/>
      <c r="J188" s="2"/>
      <c r="K188" s="2"/>
      <c r="L188" s="2"/>
      <c r="M188" s="2"/>
      <c r="N188" s="2"/>
      <c r="O188" s="2"/>
      <c r="P188" s="2"/>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row>
    <row r="189" spans="1:46" x14ac:dyDescent="0.35">
      <c r="A189" s="1"/>
      <c r="B189" s="1"/>
      <c r="C189" s="2"/>
      <c r="D189" s="2"/>
      <c r="E189" s="2"/>
      <c r="F189" s="2"/>
      <c r="G189" s="2"/>
      <c r="H189" s="2"/>
      <c r="I189" s="2"/>
      <c r="J189" s="2"/>
      <c r="K189" s="2"/>
      <c r="L189" s="2"/>
      <c r="M189" s="2"/>
      <c r="N189" s="2"/>
      <c r="O189" s="2"/>
      <c r="P189" s="2"/>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row>
    <row r="190" spans="1:46" x14ac:dyDescent="0.35">
      <c r="A190" s="1"/>
      <c r="B190" s="1"/>
      <c r="C190" s="2"/>
      <c r="D190" s="2"/>
      <c r="E190" s="2"/>
      <c r="F190" s="2"/>
      <c r="G190" s="2"/>
      <c r="H190" s="2"/>
      <c r="I190" s="2"/>
      <c r="J190" s="2"/>
      <c r="K190" s="2"/>
      <c r="L190" s="2"/>
      <c r="M190" s="2"/>
      <c r="N190" s="2"/>
      <c r="O190" s="2"/>
      <c r="P190" s="2"/>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row>
    <row r="191" spans="1:46" x14ac:dyDescent="0.35">
      <c r="A191" s="1"/>
      <c r="B191" s="1"/>
      <c r="C191" s="2"/>
      <c r="D191" s="2"/>
      <c r="E191" s="2"/>
      <c r="F191" s="2"/>
      <c r="G191" s="2"/>
      <c r="H191" s="2"/>
      <c r="I191" s="2"/>
      <c r="J191" s="2"/>
      <c r="K191" s="2"/>
      <c r="L191" s="2"/>
      <c r="M191" s="2"/>
      <c r="N191" s="2"/>
      <c r="O191" s="2"/>
      <c r="P191" s="2"/>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row>
    <row r="192" spans="1:46" x14ac:dyDescent="0.35">
      <c r="A192" s="1"/>
      <c r="B192" s="1"/>
      <c r="C192" s="2"/>
      <c r="D192" s="2"/>
      <c r="E192" s="2"/>
      <c r="F192" s="2"/>
      <c r="G192" s="2"/>
      <c r="H192" s="2"/>
      <c r="I192" s="2"/>
      <c r="J192" s="2"/>
      <c r="K192" s="2"/>
      <c r="L192" s="2"/>
      <c r="M192" s="2"/>
      <c r="N192" s="2"/>
      <c r="O192" s="2"/>
      <c r="P192" s="2"/>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row>
    <row r="193" spans="1:46" x14ac:dyDescent="0.35">
      <c r="A193" s="1"/>
      <c r="B193" s="1"/>
      <c r="C193" s="2"/>
      <c r="D193" s="2"/>
      <c r="E193" s="2"/>
      <c r="F193" s="2"/>
      <c r="G193" s="2"/>
      <c r="H193" s="2"/>
      <c r="I193" s="2"/>
      <c r="J193" s="2"/>
      <c r="K193" s="2"/>
      <c r="L193" s="2"/>
      <c r="M193" s="2"/>
      <c r="N193" s="2"/>
      <c r="O193" s="2"/>
      <c r="P193" s="2"/>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row>
    <row r="194" spans="1:46" x14ac:dyDescent="0.35">
      <c r="A194" s="1"/>
      <c r="B194" s="1"/>
      <c r="C194" s="2"/>
      <c r="D194" s="2"/>
      <c r="E194" s="2"/>
      <c r="F194" s="2"/>
      <c r="G194" s="2"/>
      <c r="H194" s="2"/>
      <c r="I194" s="2"/>
      <c r="J194" s="2"/>
      <c r="K194" s="2"/>
      <c r="L194" s="2"/>
      <c r="M194" s="2"/>
      <c r="N194" s="2"/>
      <c r="O194" s="2"/>
      <c r="P194" s="2"/>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row>
    <row r="195" spans="1:46" x14ac:dyDescent="0.35">
      <c r="A195" s="1"/>
      <c r="B195" s="1"/>
      <c r="C195" s="2"/>
      <c r="D195" s="2"/>
      <c r="E195" s="2"/>
      <c r="F195" s="2"/>
      <c r="G195" s="2"/>
      <c r="H195" s="2"/>
      <c r="I195" s="2"/>
      <c r="J195" s="2"/>
      <c r="K195" s="2"/>
      <c r="L195" s="2"/>
      <c r="M195" s="2"/>
      <c r="N195" s="2"/>
      <c r="O195" s="2"/>
      <c r="P195" s="2"/>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row>
    <row r="196" spans="1:46" x14ac:dyDescent="0.35">
      <c r="A196" s="1"/>
      <c r="B196" s="1"/>
      <c r="C196" s="2"/>
      <c r="D196" s="2"/>
      <c r="E196" s="2"/>
      <c r="F196" s="2"/>
      <c r="G196" s="2"/>
      <c r="H196" s="2"/>
      <c r="I196" s="2"/>
      <c r="J196" s="2"/>
      <c r="K196" s="2"/>
      <c r="L196" s="2"/>
      <c r="M196" s="2"/>
      <c r="N196" s="2"/>
      <c r="O196" s="2"/>
      <c r="P196" s="2"/>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row>
    <row r="197" spans="1:46" x14ac:dyDescent="0.35">
      <c r="A197" s="1"/>
      <c r="B197" s="1"/>
      <c r="C197" s="2"/>
      <c r="D197" s="2"/>
      <c r="E197" s="2"/>
      <c r="F197" s="2"/>
      <c r="G197" s="2"/>
      <c r="H197" s="2"/>
      <c r="I197" s="2"/>
      <c r="J197" s="2"/>
      <c r="K197" s="2"/>
      <c r="L197" s="2"/>
      <c r="M197" s="2"/>
      <c r="N197" s="2"/>
      <c r="O197" s="2"/>
      <c r="P197" s="2"/>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row>
    <row r="198" spans="1:46" x14ac:dyDescent="0.35">
      <c r="A198" s="1"/>
      <c r="B198" s="1"/>
      <c r="C198" s="2"/>
      <c r="D198" s="2"/>
      <c r="E198" s="2"/>
      <c r="F198" s="2"/>
      <c r="G198" s="2"/>
      <c r="H198" s="2"/>
      <c r="I198" s="2"/>
      <c r="J198" s="2"/>
      <c r="K198" s="2"/>
      <c r="L198" s="2"/>
      <c r="M198" s="2"/>
      <c r="N198" s="2"/>
      <c r="O198" s="2"/>
      <c r="P198" s="2"/>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row>
    <row r="199" spans="1:46" x14ac:dyDescent="0.35">
      <c r="A199" s="1"/>
      <c r="B199" s="1"/>
      <c r="C199" s="2"/>
      <c r="D199" s="2"/>
      <c r="E199" s="2"/>
      <c r="F199" s="2"/>
      <c r="G199" s="2"/>
      <c r="H199" s="2"/>
      <c r="I199" s="2"/>
      <c r="J199" s="2"/>
      <c r="K199" s="2"/>
      <c r="L199" s="2"/>
      <c r="M199" s="2"/>
      <c r="N199" s="2"/>
      <c r="O199" s="2"/>
      <c r="P199" s="2"/>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row>
    <row r="200" spans="1:46" x14ac:dyDescent="0.35">
      <c r="A200" s="1"/>
      <c r="B200" s="1"/>
      <c r="C200" s="2"/>
      <c r="D200" s="2"/>
      <c r="E200" s="2"/>
      <c r="F200" s="2"/>
      <c r="G200" s="2"/>
      <c r="H200" s="2"/>
      <c r="I200" s="2"/>
      <c r="J200" s="2"/>
      <c r="K200" s="2"/>
      <c r="L200" s="2"/>
      <c r="M200" s="2"/>
      <c r="N200" s="2"/>
      <c r="O200" s="2"/>
      <c r="P200" s="2"/>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row>
    <row r="201" spans="1:46" x14ac:dyDescent="0.35">
      <c r="A201" s="1"/>
      <c r="B201" s="1"/>
      <c r="C201" s="2"/>
      <c r="D201" s="2"/>
      <c r="E201" s="2"/>
      <c r="F201" s="2"/>
      <c r="G201" s="2"/>
      <c r="H201" s="2"/>
      <c r="I201" s="2"/>
      <c r="J201" s="2"/>
      <c r="K201" s="2"/>
      <c r="L201" s="2"/>
      <c r="M201" s="2"/>
      <c r="N201" s="2"/>
      <c r="O201" s="2"/>
      <c r="P201" s="2"/>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row>
    <row r="202" spans="1:46" x14ac:dyDescent="0.35">
      <c r="A202" s="1"/>
      <c r="B202" s="1"/>
      <c r="C202" s="2"/>
      <c r="D202" s="2"/>
      <c r="E202" s="2"/>
      <c r="F202" s="2"/>
      <c r="G202" s="2"/>
      <c r="H202" s="2"/>
      <c r="I202" s="2"/>
      <c r="J202" s="2"/>
      <c r="K202" s="2"/>
      <c r="L202" s="2"/>
      <c r="M202" s="2"/>
      <c r="N202" s="2"/>
      <c r="O202" s="2"/>
      <c r="P202" s="2"/>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row>
    <row r="203" spans="1:46" x14ac:dyDescent="0.35">
      <c r="A203" s="1"/>
      <c r="B203" s="1"/>
      <c r="C203" s="2"/>
      <c r="D203" s="2"/>
      <c r="E203" s="2"/>
      <c r="F203" s="2"/>
      <c r="G203" s="2"/>
      <c r="H203" s="2"/>
      <c r="I203" s="2"/>
      <c r="J203" s="2"/>
      <c r="K203" s="2"/>
      <c r="L203" s="2"/>
      <c r="M203" s="2"/>
      <c r="N203" s="2"/>
      <c r="O203" s="2"/>
      <c r="P203" s="2"/>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row>
    <row r="204" spans="1:46" x14ac:dyDescent="0.35">
      <c r="A204" s="1"/>
      <c r="B204" s="1"/>
      <c r="C204" s="2"/>
      <c r="D204" s="2"/>
      <c r="E204" s="2"/>
      <c r="F204" s="2"/>
      <c r="G204" s="2"/>
      <c r="H204" s="2"/>
      <c r="I204" s="2"/>
      <c r="J204" s="2"/>
      <c r="K204" s="2"/>
      <c r="L204" s="2"/>
      <c r="M204" s="2"/>
      <c r="N204" s="2"/>
      <c r="O204" s="2"/>
      <c r="P204" s="2"/>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row>
    <row r="205" spans="1:46" x14ac:dyDescent="0.35">
      <c r="A205" s="1"/>
      <c r="B205" s="1"/>
      <c r="C205" s="2"/>
      <c r="D205" s="2"/>
      <c r="E205" s="2"/>
      <c r="F205" s="2"/>
      <c r="G205" s="2"/>
      <c r="H205" s="2"/>
      <c r="I205" s="2"/>
      <c r="J205" s="2"/>
      <c r="K205" s="2"/>
      <c r="L205" s="2"/>
      <c r="M205" s="2"/>
      <c r="N205" s="2"/>
      <c r="O205" s="2"/>
      <c r="P205" s="2"/>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row>
    <row r="206" spans="1:46" x14ac:dyDescent="0.35">
      <c r="A206" s="1"/>
      <c r="B206" s="1"/>
      <c r="C206" s="2"/>
      <c r="D206" s="2"/>
      <c r="E206" s="2"/>
      <c r="F206" s="2"/>
      <c r="G206" s="2"/>
      <c r="H206" s="2"/>
      <c r="I206" s="2"/>
      <c r="J206" s="2"/>
      <c r="K206" s="2"/>
      <c r="L206" s="2"/>
      <c r="M206" s="2"/>
      <c r="N206" s="2"/>
      <c r="O206" s="2"/>
      <c r="P206" s="2"/>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row>
    <row r="207" spans="1:46" x14ac:dyDescent="0.35">
      <c r="A207" s="1"/>
      <c r="B207" s="1"/>
      <c r="C207" s="2"/>
      <c r="D207" s="2"/>
      <c r="E207" s="2"/>
      <c r="F207" s="2"/>
      <c r="G207" s="2"/>
      <c r="H207" s="2"/>
      <c r="I207" s="2"/>
      <c r="J207" s="2"/>
      <c r="K207" s="2"/>
      <c r="L207" s="2"/>
      <c r="M207" s="2"/>
      <c r="N207" s="2"/>
      <c r="O207" s="2"/>
      <c r="P207" s="2"/>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row>
    <row r="208" spans="1:46" x14ac:dyDescent="0.35">
      <c r="A208" s="1"/>
      <c r="B208" s="1"/>
      <c r="C208" s="2"/>
      <c r="D208" s="2"/>
      <c r="E208" s="2"/>
      <c r="F208" s="2"/>
      <c r="G208" s="2"/>
      <c r="H208" s="2"/>
      <c r="I208" s="2"/>
      <c r="J208" s="2"/>
      <c r="K208" s="2"/>
      <c r="L208" s="2"/>
      <c r="M208" s="2"/>
      <c r="N208" s="2"/>
      <c r="O208" s="2"/>
      <c r="P208" s="2"/>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row>
    <row r="209" spans="1:46" x14ac:dyDescent="0.35">
      <c r="A209" s="1"/>
      <c r="B209" s="1"/>
      <c r="C209" s="2"/>
      <c r="D209" s="2"/>
      <c r="E209" s="2"/>
      <c r="F209" s="2"/>
      <c r="G209" s="2"/>
      <c r="H209" s="2"/>
      <c r="I209" s="2"/>
      <c r="J209" s="2"/>
      <c r="K209" s="2"/>
      <c r="L209" s="2"/>
      <c r="M209" s="2"/>
      <c r="N209" s="2"/>
      <c r="O209" s="2"/>
      <c r="P209" s="2"/>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row>
    <row r="210" spans="1:46" x14ac:dyDescent="0.35">
      <c r="A210" s="1"/>
      <c r="B210" s="1"/>
      <c r="C210" s="2"/>
      <c r="D210" s="2"/>
      <c r="E210" s="2"/>
      <c r="F210" s="2"/>
      <c r="G210" s="2"/>
      <c r="H210" s="2"/>
      <c r="I210" s="2"/>
      <c r="J210" s="2"/>
      <c r="K210" s="2"/>
      <c r="L210" s="2"/>
      <c r="M210" s="2"/>
      <c r="N210" s="2"/>
      <c r="O210" s="2"/>
      <c r="P210" s="2"/>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row>
    <row r="211" spans="1:46" x14ac:dyDescent="0.35">
      <c r="A211" s="1"/>
      <c r="B211" s="1"/>
      <c r="C211" s="2"/>
      <c r="D211" s="2"/>
      <c r="E211" s="2"/>
      <c r="F211" s="2"/>
      <c r="G211" s="2"/>
      <c r="H211" s="2"/>
      <c r="I211" s="2"/>
      <c r="J211" s="2"/>
      <c r="K211" s="2"/>
      <c r="L211" s="2"/>
      <c r="M211" s="2"/>
      <c r="N211" s="2"/>
      <c r="O211" s="2"/>
      <c r="P211" s="2"/>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row>
    <row r="212" spans="1:46" x14ac:dyDescent="0.35">
      <c r="A212" s="1"/>
      <c r="B212" s="1"/>
      <c r="C212" s="2"/>
      <c r="D212" s="2"/>
      <c r="E212" s="2"/>
      <c r="F212" s="2"/>
      <c r="G212" s="2"/>
      <c r="H212" s="2"/>
      <c r="I212" s="2"/>
      <c r="J212" s="2"/>
      <c r="K212" s="2"/>
      <c r="L212" s="2"/>
      <c r="M212" s="2"/>
      <c r="N212" s="2"/>
      <c r="O212" s="2"/>
      <c r="P212" s="2"/>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row>
    <row r="213" spans="1:46" x14ac:dyDescent="0.35">
      <c r="A213" s="1"/>
      <c r="B213" s="1"/>
      <c r="C213" s="2"/>
      <c r="D213" s="2"/>
      <c r="E213" s="2"/>
      <c r="F213" s="2"/>
      <c r="G213" s="2"/>
      <c r="H213" s="2"/>
      <c r="I213" s="2"/>
      <c r="J213" s="2"/>
      <c r="K213" s="2"/>
      <c r="L213" s="2"/>
      <c r="M213" s="2"/>
      <c r="N213" s="2"/>
      <c r="O213" s="2"/>
      <c r="P213" s="2"/>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row>
    <row r="214" spans="1:46" x14ac:dyDescent="0.35">
      <c r="A214" s="1"/>
      <c r="B214" s="1"/>
      <c r="C214" s="2"/>
      <c r="D214" s="2"/>
      <c r="E214" s="2"/>
      <c r="F214" s="2"/>
      <c r="G214" s="2"/>
      <c r="H214" s="2"/>
      <c r="I214" s="2"/>
      <c r="J214" s="2"/>
      <c r="K214" s="2"/>
      <c r="L214" s="2"/>
      <c r="M214" s="2"/>
      <c r="N214" s="2"/>
      <c r="O214" s="2"/>
      <c r="P214" s="2"/>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row>
    <row r="215" spans="1:46" x14ac:dyDescent="0.35">
      <c r="A215" s="1"/>
      <c r="B215" s="1"/>
      <c r="C215" s="2"/>
      <c r="D215" s="2"/>
      <c r="E215" s="2"/>
      <c r="F215" s="2"/>
      <c r="G215" s="2"/>
      <c r="H215" s="2"/>
      <c r="I215" s="2"/>
      <c r="J215" s="2"/>
      <c r="K215" s="2"/>
      <c r="L215" s="2"/>
      <c r="M215" s="2"/>
      <c r="N215" s="2"/>
      <c r="O215" s="2"/>
      <c r="P215" s="2"/>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row>
    <row r="216" spans="1:46" x14ac:dyDescent="0.35">
      <c r="A216" s="1"/>
      <c r="B216" s="1"/>
      <c r="C216" s="2"/>
      <c r="D216" s="2"/>
      <c r="E216" s="2"/>
      <c r="F216" s="2"/>
      <c r="G216" s="2"/>
      <c r="H216" s="2"/>
      <c r="I216" s="2"/>
      <c r="J216" s="2"/>
      <c r="K216" s="2"/>
      <c r="L216" s="2"/>
      <c r="M216" s="2"/>
      <c r="N216" s="2"/>
      <c r="O216" s="2"/>
      <c r="P216" s="2"/>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row>
    <row r="217" spans="1:46" x14ac:dyDescent="0.35">
      <c r="A217" s="1"/>
      <c r="B217" s="1"/>
      <c r="C217" s="2"/>
      <c r="D217" s="2"/>
      <c r="E217" s="2"/>
      <c r="F217" s="2"/>
      <c r="G217" s="2"/>
      <c r="H217" s="2"/>
      <c r="I217" s="2"/>
      <c r="J217" s="2"/>
      <c r="K217" s="2"/>
      <c r="L217" s="2"/>
      <c r="M217" s="2"/>
      <c r="N217" s="2"/>
      <c r="O217" s="2"/>
      <c r="P217" s="2"/>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row>
    <row r="218" spans="1:46" x14ac:dyDescent="0.35">
      <c r="A218" s="1"/>
      <c r="B218" s="1"/>
      <c r="C218" s="2"/>
      <c r="D218" s="2"/>
      <c r="E218" s="2"/>
      <c r="F218" s="2"/>
      <c r="G218" s="2"/>
      <c r="H218" s="2"/>
      <c r="I218" s="2"/>
      <c r="J218" s="2"/>
      <c r="K218" s="2"/>
      <c r="L218" s="2"/>
      <c r="M218" s="2"/>
      <c r="N218" s="2"/>
      <c r="O218" s="2"/>
      <c r="P218" s="2"/>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row>
    <row r="219" spans="1:46" x14ac:dyDescent="0.35">
      <c r="A219" s="1"/>
      <c r="B219" s="1"/>
      <c r="C219" s="2"/>
      <c r="D219" s="2"/>
      <c r="E219" s="2"/>
      <c r="F219" s="2"/>
      <c r="G219" s="2"/>
      <c r="H219" s="2"/>
      <c r="I219" s="2"/>
      <c r="J219" s="2"/>
      <c r="K219" s="2"/>
      <c r="L219" s="2"/>
      <c r="M219" s="2"/>
      <c r="N219" s="2"/>
      <c r="O219" s="2"/>
      <c r="P219" s="2"/>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row>
    <row r="220" spans="1:46" x14ac:dyDescent="0.35">
      <c r="A220" s="1"/>
      <c r="B220" s="1"/>
      <c r="C220" s="2"/>
      <c r="D220" s="2"/>
      <c r="E220" s="2"/>
      <c r="F220" s="2"/>
      <c r="G220" s="2"/>
      <c r="H220" s="2"/>
      <c r="I220" s="2"/>
      <c r="J220" s="2"/>
      <c r="K220" s="2"/>
      <c r="L220" s="2"/>
      <c r="M220" s="2"/>
      <c r="N220" s="2"/>
      <c r="O220" s="2"/>
      <c r="P220" s="2"/>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row>
    <row r="221" spans="1:46" x14ac:dyDescent="0.35">
      <c r="A221" s="1"/>
      <c r="B221" s="1"/>
      <c r="C221" s="2"/>
      <c r="D221" s="2"/>
      <c r="E221" s="2"/>
      <c r="F221" s="2"/>
      <c r="G221" s="2"/>
      <c r="H221" s="2"/>
      <c r="I221" s="2"/>
      <c r="J221" s="2"/>
      <c r="K221" s="2"/>
      <c r="L221" s="2"/>
      <c r="M221" s="2"/>
      <c r="N221" s="2"/>
      <c r="O221" s="2"/>
      <c r="P221" s="2"/>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row>
    <row r="222" spans="1:46" x14ac:dyDescent="0.35">
      <c r="A222" s="1"/>
      <c r="B222" s="1"/>
      <c r="C222" s="2"/>
      <c r="D222" s="2"/>
      <c r="E222" s="2"/>
      <c r="F222" s="2"/>
      <c r="G222" s="2"/>
      <c r="H222" s="2"/>
      <c r="I222" s="2"/>
      <c r="J222" s="2"/>
      <c r="K222" s="2"/>
      <c r="L222" s="2"/>
      <c r="M222" s="2"/>
      <c r="N222" s="2"/>
      <c r="O222" s="2"/>
      <c r="P222" s="2"/>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row>
    <row r="223" spans="1:46" x14ac:dyDescent="0.35">
      <c r="A223" s="1"/>
      <c r="B223" s="1"/>
      <c r="C223" s="2"/>
      <c r="D223" s="2"/>
      <c r="E223" s="2"/>
      <c r="F223" s="2"/>
      <c r="G223" s="2"/>
      <c r="H223" s="2"/>
      <c r="I223" s="2"/>
      <c r="J223" s="2"/>
      <c r="K223" s="2"/>
      <c r="L223" s="2"/>
      <c r="M223" s="2"/>
      <c r="N223" s="2"/>
      <c r="O223" s="2"/>
      <c r="P223" s="2"/>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row>
    <row r="224" spans="1:46" x14ac:dyDescent="0.35">
      <c r="A224" s="1"/>
      <c r="B224" s="1"/>
      <c r="C224" s="2"/>
      <c r="D224" s="2"/>
      <c r="E224" s="2"/>
      <c r="F224" s="2"/>
      <c r="G224" s="2"/>
      <c r="H224" s="2"/>
      <c r="I224" s="2"/>
      <c r="J224" s="2"/>
      <c r="K224" s="2"/>
      <c r="L224" s="2"/>
      <c r="M224" s="2"/>
      <c r="N224" s="2"/>
      <c r="O224" s="2"/>
      <c r="P224" s="2"/>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row>
    <row r="225" spans="1:46" x14ac:dyDescent="0.35">
      <c r="A225" s="1"/>
      <c r="B225" s="1"/>
      <c r="C225" s="2"/>
      <c r="D225" s="2"/>
      <c r="E225" s="2"/>
      <c r="F225" s="2"/>
      <c r="G225" s="2"/>
      <c r="H225" s="2"/>
      <c r="I225" s="2"/>
      <c r="J225" s="2"/>
      <c r="K225" s="2"/>
      <c r="L225" s="2"/>
      <c r="M225" s="2"/>
      <c r="N225" s="2"/>
      <c r="O225" s="2"/>
      <c r="P225" s="2"/>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row>
    <row r="226" spans="1:46" x14ac:dyDescent="0.35">
      <c r="A226" s="1"/>
      <c r="B226" s="1"/>
      <c r="C226" s="2"/>
      <c r="D226" s="2"/>
      <c r="E226" s="2"/>
      <c r="F226" s="2"/>
      <c r="G226" s="2"/>
      <c r="H226" s="2"/>
      <c r="I226" s="2"/>
      <c r="J226" s="2"/>
      <c r="K226" s="2"/>
      <c r="L226" s="2"/>
      <c r="M226" s="2"/>
      <c r="N226" s="2"/>
      <c r="O226" s="2"/>
      <c r="P226" s="2"/>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row>
    <row r="227" spans="1:46" x14ac:dyDescent="0.35">
      <c r="A227" s="1"/>
      <c r="B227" s="1"/>
      <c r="C227" s="2"/>
      <c r="D227" s="2"/>
      <c r="E227" s="2"/>
      <c r="F227" s="2"/>
      <c r="G227" s="2"/>
      <c r="H227" s="2"/>
      <c r="I227" s="2"/>
      <c r="J227" s="2"/>
      <c r="K227" s="2"/>
      <c r="L227" s="2"/>
      <c r="M227" s="2"/>
      <c r="N227" s="2"/>
      <c r="O227" s="2"/>
      <c r="P227" s="2"/>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row>
    <row r="228" spans="1:46" x14ac:dyDescent="0.35">
      <c r="A228" s="1"/>
      <c r="B228" s="1"/>
      <c r="C228" s="2"/>
      <c r="D228" s="2"/>
      <c r="E228" s="2"/>
      <c r="F228" s="2"/>
      <c r="G228" s="2"/>
      <c r="H228" s="2"/>
      <c r="I228" s="2"/>
      <c r="J228" s="2"/>
      <c r="K228" s="2"/>
      <c r="L228" s="2"/>
      <c r="M228" s="2"/>
      <c r="N228" s="2"/>
      <c r="O228" s="2"/>
      <c r="P228" s="2"/>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row>
    <row r="229" spans="1:46" x14ac:dyDescent="0.35">
      <c r="A229" s="1"/>
      <c r="B229" s="1"/>
      <c r="C229" s="2"/>
      <c r="D229" s="2"/>
      <c r="E229" s="2"/>
      <c r="F229" s="2"/>
      <c r="G229" s="2"/>
      <c r="H229" s="2"/>
      <c r="I229" s="2"/>
      <c r="J229" s="2"/>
      <c r="K229" s="2"/>
      <c r="L229" s="2"/>
      <c r="M229" s="2"/>
      <c r="N229" s="2"/>
      <c r="O229" s="2"/>
      <c r="P229" s="2"/>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row>
    <row r="230" spans="1:46" x14ac:dyDescent="0.35">
      <c r="A230" s="1"/>
      <c r="B230" s="1"/>
      <c r="C230" s="2"/>
      <c r="D230" s="2"/>
      <c r="E230" s="2"/>
      <c r="F230" s="2"/>
      <c r="G230" s="2"/>
      <c r="H230" s="2"/>
      <c r="I230" s="2"/>
      <c r="J230" s="2"/>
      <c r="K230" s="2"/>
      <c r="L230" s="2"/>
      <c r="M230" s="2"/>
      <c r="N230" s="2"/>
      <c r="O230" s="2"/>
      <c r="P230" s="2"/>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row>
    <row r="231" spans="1:46" x14ac:dyDescent="0.35">
      <c r="A231" s="1"/>
      <c r="B231" s="1"/>
      <c r="C231" s="2"/>
      <c r="D231" s="2"/>
      <c r="E231" s="2"/>
      <c r="F231" s="2"/>
      <c r="G231" s="2"/>
      <c r="H231" s="2"/>
      <c r="I231" s="2"/>
      <c r="J231" s="2"/>
      <c r="K231" s="2"/>
      <c r="L231" s="2"/>
      <c r="M231" s="2"/>
      <c r="N231" s="2"/>
      <c r="O231" s="2"/>
      <c r="P231" s="2"/>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row>
    <row r="232" spans="1:46" x14ac:dyDescent="0.35">
      <c r="A232" s="1"/>
      <c r="B232" s="1"/>
      <c r="C232" s="2"/>
      <c r="D232" s="2"/>
      <c r="E232" s="2"/>
      <c r="F232" s="2"/>
      <c r="G232" s="2"/>
      <c r="H232" s="2"/>
      <c r="I232" s="2"/>
      <c r="J232" s="2"/>
      <c r="K232" s="2"/>
      <c r="L232" s="2"/>
      <c r="M232" s="2"/>
      <c r="N232" s="2"/>
      <c r="O232" s="2"/>
      <c r="P232" s="2"/>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row>
    <row r="233" spans="1:46" x14ac:dyDescent="0.35">
      <c r="A233" s="1"/>
      <c r="B233" s="1"/>
      <c r="C233" s="2"/>
      <c r="D233" s="2"/>
      <c r="E233" s="2"/>
      <c r="F233" s="2"/>
      <c r="G233" s="2"/>
      <c r="H233" s="2"/>
      <c r="I233" s="2"/>
      <c r="J233" s="2"/>
      <c r="K233" s="2"/>
      <c r="L233" s="2"/>
      <c r="M233" s="2"/>
      <c r="N233" s="2"/>
      <c r="O233" s="2"/>
      <c r="P233" s="2"/>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row>
    <row r="234" spans="1:46" x14ac:dyDescent="0.35">
      <c r="A234" s="1"/>
      <c r="B234" s="1"/>
      <c r="C234" s="2"/>
      <c r="D234" s="2"/>
      <c r="E234" s="2"/>
      <c r="F234" s="2"/>
      <c r="G234" s="2"/>
      <c r="H234" s="2"/>
      <c r="I234" s="2"/>
      <c r="J234" s="2"/>
      <c r="K234" s="2"/>
      <c r="L234" s="2"/>
      <c r="M234" s="2"/>
      <c r="N234" s="2"/>
      <c r="O234" s="2"/>
      <c r="P234" s="2"/>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row>
    <row r="235" spans="1:46" x14ac:dyDescent="0.35">
      <c r="A235" s="1"/>
      <c r="B235" s="1"/>
      <c r="C235" s="2"/>
      <c r="D235" s="2"/>
      <c r="E235" s="2"/>
      <c r="F235" s="2"/>
      <c r="G235" s="2"/>
      <c r="H235" s="2"/>
      <c r="I235" s="2"/>
      <c r="J235" s="2"/>
      <c r="K235" s="2"/>
      <c r="L235" s="2"/>
      <c r="M235" s="2"/>
      <c r="N235" s="2"/>
      <c r="O235" s="2"/>
      <c r="P235" s="2"/>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row>
    <row r="236" spans="1:46" x14ac:dyDescent="0.35">
      <c r="A236" s="1"/>
      <c r="B236" s="1"/>
      <c r="C236" s="2"/>
      <c r="D236" s="2"/>
      <c r="E236" s="2"/>
      <c r="F236" s="2"/>
      <c r="G236" s="2"/>
      <c r="H236" s="2"/>
      <c r="I236" s="2"/>
      <c r="J236" s="2"/>
      <c r="K236" s="2"/>
      <c r="L236" s="2"/>
      <c r="M236" s="2"/>
      <c r="N236" s="2"/>
      <c r="O236" s="2"/>
      <c r="P236" s="2"/>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row>
    <row r="237" spans="1:46" x14ac:dyDescent="0.35">
      <c r="A237" s="1"/>
      <c r="B237" s="1"/>
      <c r="C237" s="2"/>
      <c r="D237" s="2"/>
      <c r="E237" s="2"/>
      <c r="F237" s="2"/>
      <c r="G237" s="2"/>
      <c r="H237" s="2"/>
      <c r="I237" s="2"/>
      <c r="J237" s="2"/>
      <c r="K237" s="2"/>
      <c r="L237" s="2"/>
      <c r="M237" s="2"/>
      <c r="N237" s="2"/>
      <c r="O237" s="2"/>
      <c r="P237" s="2"/>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row>
    <row r="238" spans="1:46" x14ac:dyDescent="0.35">
      <c r="A238" s="1"/>
      <c r="B238" s="1"/>
      <c r="C238" s="2"/>
      <c r="D238" s="2"/>
      <c r="E238" s="2"/>
      <c r="F238" s="2"/>
      <c r="G238" s="2"/>
      <c r="H238" s="2"/>
      <c r="I238" s="2"/>
      <c r="J238" s="2"/>
      <c r="K238" s="2"/>
      <c r="L238" s="2"/>
      <c r="M238" s="2"/>
      <c r="N238" s="2"/>
      <c r="O238" s="2"/>
      <c r="P238" s="2"/>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row>
    <row r="239" spans="1:46" x14ac:dyDescent="0.35">
      <c r="A239" s="1"/>
      <c r="B239" s="1"/>
      <c r="C239" s="2"/>
      <c r="D239" s="2"/>
      <c r="E239" s="2"/>
      <c r="F239" s="2"/>
      <c r="G239" s="2"/>
      <c r="H239" s="2"/>
      <c r="I239" s="2"/>
      <c r="J239" s="2"/>
      <c r="K239" s="2"/>
      <c r="L239" s="2"/>
      <c r="M239" s="2"/>
      <c r="N239" s="2"/>
      <c r="O239" s="2"/>
      <c r="P239" s="2"/>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row>
    <row r="240" spans="1:46" x14ac:dyDescent="0.35">
      <c r="A240" s="1"/>
      <c r="B240" s="1"/>
      <c r="C240" s="2"/>
      <c r="D240" s="2"/>
      <c r="E240" s="2"/>
      <c r="F240" s="2"/>
      <c r="G240" s="2"/>
      <c r="H240" s="2"/>
      <c r="I240" s="2"/>
      <c r="J240" s="2"/>
      <c r="K240" s="2"/>
      <c r="L240" s="2"/>
      <c r="M240" s="2"/>
      <c r="N240" s="2"/>
      <c r="O240" s="2"/>
      <c r="P240" s="2"/>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row>
    <row r="241" spans="1:46" x14ac:dyDescent="0.35">
      <c r="A241" s="1"/>
      <c r="B241" s="1"/>
      <c r="C241" s="2"/>
      <c r="D241" s="2"/>
      <c r="E241" s="2"/>
      <c r="F241" s="2"/>
      <c r="G241" s="2"/>
      <c r="H241" s="2"/>
      <c r="I241" s="2"/>
      <c r="J241" s="2"/>
      <c r="K241" s="2"/>
      <c r="L241" s="2"/>
      <c r="M241" s="2"/>
      <c r="N241" s="2"/>
      <c r="O241" s="2"/>
      <c r="P241" s="2"/>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row>
    <row r="242" spans="1:46" x14ac:dyDescent="0.35">
      <c r="A242" s="1"/>
      <c r="B242" s="1"/>
      <c r="C242" s="2"/>
      <c r="D242" s="2"/>
      <c r="E242" s="2"/>
      <c r="F242" s="2"/>
      <c r="G242" s="2"/>
      <c r="H242" s="2"/>
      <c r="I242" s="2"/>
      <c r="J242" s="2"/>
      <c r="K242" s="2"/>
      <c r="L242" s="2"/>
      <c r="M242" s="2"/>
      <c r="N242" s="2"/>
      <c r="O242" s="2"/>
      <c r="P242" s="2"/>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row>
    <row r="243" spans="1:46" x14ac:dyDescent="0.35">
      <c r="A243" s="1"/>
      <c r="B243" s="1"/>
      <c r="C243" s="2"/>
      <c r="D243" s="2"/>
      <c r="E243" s="2"/>
      <c r="F243" s="2"/>
      <c r="G243" s="2"/>
      <c r="H243" s="2"/>
      <c r="I243" s="2"/>
      <c r="J243" s="2"/>
      <c r="K243" s="2"/>
      <c r="L243" s="2"/>
      <c r="M243" s="2"/>
      <c r="N243" s="2"/>
      <c r="O243" s="2"/>
      <c r="P243" s="2"/>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row>
    <row r="244" spans="1:46" x14ac:dyDescent="0.35">
      <c r="A244" s="1"/>
      <c r="B244" s="1"/>
      <c r="C244" s="2"/>
      <c r="D244" s="2"/>
      <c r="E244" s="2"/>
      <c r="F244" s="2"/>
      <c r="G244" s="2"/>
      <c r="H244" s="2"/>
      <c r="I244" s="2"/>
      <c r="J244" s="2"/>
      <c r="K244" s="2"/>
      <c r="L244" s="2"/>
      <c r="M244" s="2"/>
      <c r="N244" s="2"/>
      <c r="O244" s="2"/>
      <c r="P244" s="2"/>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row>
    <row r="245" spans="1:46" x14ac:dyDescent="0.35">
      <c r="A245" s="1"/>
      <c r="B245" s="1"/>
      <c r="C245" s="2"/>
      <c r="D245" s="2"/>
      <c r="E245" s="2"/>
      <c r="F245" s="2"/>
      <c r="G245" s="2"/>
      <c r="H245" s="2"/>
      <c r="I245" s="2"/>
      <c r="J245" s="2"/>
      <c r="K245" s="2"/>
      <c r="L245" s="2"/>
      <c r="M245" s="2"/>
      <c r="N245" s="2"/>
      <c r="O245" s="2"/>
      <c r="P245" s="2"/>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row>
    <row r="246" spans="1:46" x14ac:dyDescent="0.35">
      <c r="A246" s="1"/>
      <c r="B246" s="1"/>
      <c r="C246" s="2"/>
      <c r="D246" s="2"/>
      <c r="E246" s="2"/>
      <c r="F246" s="2"/>
      <c r="G246" s="2"/>
      <c r="H246" s="2"/>
      <c r="I246" s="2"/>
      <c r="J246" s="2"/>
      <c r="K246" s="2"/>
      <c r="L246" s="2"/>
      <c r="M246" s="2"/>
      <c r="N246" s="2"/>
      <c r="O246" s="2"/>
      <c r="P246" s="2"/>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row>
    <row r="247" spans="1:46" x14ac:dyDescent="0.35">
      <c r="A247" s="1"/>
      <c r="B247" s="1"/>
      <c r="C247" s="2"/>
      <c r="D247" s="2"/>
      <c r="E247" s="2"/>
      <c r="F247" s="2"/>
      <c r="G247" s="2"/>
      <c r="H247" s="2"/>
      <c r="I247" s="2"/>
      <c r="J247" s="2"/>
      <c r="K247" s="2"/>
      <c r="L247" s="2"/>
      <c r="M247" s="2"/>
      <c r="N247" s="2"/>
      <c r="O247" s="2"/>
      <c r="P247" s="2"/>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row>
    <row r="248" spans="1:46" x14ac:dyDescent="0.35">
      <c r="A248" s="1"/>
      <c r="B248" s="1"/>
      <c r="C248" s="2"/>
      <c r="D248" s="2"/>
      <c r="E248" s="2"/>
      <c r="F248" s="2"/>
      <c r="G248" s="2"/>
      <c r="H248" s="2"/>
      <c r="I248" s="2"/>
      <c r="J248" s="2"/>
      <c r="K248" s="2"/>
      <c r="L248" s="2"/>
      <c r="M248" s="2"/>
      <c r="N248" s="2"/>
      <c r="O248" s="2"/>
      <c r="P248" s="2"/>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row>
    <row r="249" spans="1:46" x14ac:dyDescent="0.35">
      <c r="A249" s="1"/>
      <c r="B249" s="1"/>
      <c r="C249" s="2"/>
      <c r="D249" s="2"/>
      <c r="E249" s="2"/>
      <c r="F249" s="2"/>
      <c r="G249" s="2"/>
      <c r="H249" s="2"/>
      <c r="I249" s="2"/>
      <c r="J249" s="2"/>
      <c r="K249" s="2"/>
      <c r="L249" s="2"/>
      <c r="M249" s="2"/>
      <c r="N249" s="2"/>
      <c r="O249" s="2"/>
      <c r="P249" s="2"/>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row>
    <row r="250" spans="1:46" x14ac:dyDescent="0.35">
      <c r="A250" s="1"/>
      <c r="B250" s="1"/>
      <c r="C250" s="2"/>
      <c r="D250" s="2"/>
      <c r="E250" s="2"/>
      <c r="F250" s="2"/>
      <c r="G250" s="2"/>
      <c r="H250" s="2"/>
      <c r="I250" s="2"/>
      <c r="J250" s="2"/>
      <c r="K250" s="2"/>
      <c r="L250" s="2"/>
      <c r="M250" s="2"/>
      <c r="N250" s="2"/>
      <c r="O250" s="2"/>
      <c r="P250" s="2"/>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row>
    <row r="251" spans="1:46" x14ac:dyDescent="0.35">
      <c r="A251" s="1"/>
      <c r="B251" s="1"/>
      <c r="C251" s="2"/>
      <c r="D251" s="2"/>
      <c r="E251" s="2"/>
      <c r="F251" s="2"/>
      <c r="G251" s="2"/>
      <c r="H251" s="2"/>
      <c r="I251" s="2"/>
      <c r="J251" s="2"/>
      <c r="K251" s="2"/>
      <c r="L251" s="2"/>
      <c r="M251" s="2"/>
      <c r="N251" s="2"/>
      <c r="O251" s="2"/>
      <c r="P251" s="2"/>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row>
    <row r="252" spans="1:46" x14ac:dyDescent="0.35">
      <c r="A252" s="1"/>
      <c r="B252" s="1"/>
      <c r="C252" s="2"/>
      <c r="D252" s="2"/>
      <c r="E252" s="2"/>
      <c r="F252" s="2"/>
      <c r="G252" s="2"/>
      <c r="H252" s="2"/>
      <c r="I252" s="2"/>
      <c r="J252" s="2"/>
      <c r="K252" s="2"/>
      <c r="L252" s="2"/>
      <c r="M252" s="2"/>
      <c r="N252" s="2"/>
      <c r="O252" s="2"/>
      <c r="P252" s="2"/>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row>
    <row r="253" spans="1:46" x14ac:dyDescent="0.35">
      <c r="A253" s="1"/>
      <c r="B253" s="1"/>
      <c r="C253" s="2"/>
      <c r="D253" s="2"/>
      <c r="E253" s="2"/>
      <c r="F253" s="2"/>
      <c r="G253" s="2"/>
      <c r="H253" s="2"/>
      <c r="I253" s="2"/>
      <c r="J253" s="2"/>
      <c r="K253" s="2"/>
      <c r="L253" s="2"/>
      <c r="M253" s="2"/>
      <c r="N253" s="2"/>
      <c r="O253" s="2"/>
      <c r="P253" s="2"/>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row>
    <row r="254" spans="1:46" x14ac:dyDescent="0.35">
      <c r="A254" s="1"/>
      <c r="B254" s="1"/>
      <c r="C254" s="2"/>
      <c r="D254" s="2"/>
      <c r="E254" s="2"/>
      <c r="F254" s="2"/>
      <c r="G254" s="2"/>
      <c r="H254" s="2"/>
      <c r="I254" s="2"/>
      <c r="J254" s="2"/>
      <c r="K254" s="2"/>
      <c r="L254" s="2"/>
      <c r="M254" s="2"/>
      <c r="N254" s="2"/>
      <c r="O254" s="2"/>
      <c r="P254" s="2"/>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row>
    <row r="255" spans="1:46" x14ac:dyDescent="0.35">
      <c r="A255" s="1"/>
      <c r="B255" s="1"/>
      <c r="C255" s="2"/>
      <c r="D255" s="2"/>
      <c r="E255" s="2"/>
      <c r="F255" s="2"/>
      <c r="G255" s="2"/>
      <c r="H255" s="2"/>
      <c r="I255" s="2"/>
      <c r="J255" s="2"/>
      <c r="K255" s="2"/>
      <c r="L255" s="2"/>
      <c r="M255" s="2"/>
      <c r="N255" s="2"/>
      <c r="O255" s="2"/>
      <c r="P255" s="2"/>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row>
    <row r="256" spans="1:46" x14ac:dyDescent="0.35">
      <c r="A256" s="1"/>
      <c r="B256" s="1"/>
      <c r="C256" s="2"/>
      <c r="D256" s="2"/>
      <c r="E256" s="2"/>
      <c r="F256" s="2"/>
      <c r="G256" s="2"/>
      <c r="H256" s="2"/>
      <c r="I256" s="2"/>
      <c r="J256" s="2"/>
      <c r="K256" s="2"/>
      <c r="L256" s="2"/>
      <c r="M256" s="2"/>
      <c r="N256" s="2"/>
      <c r="O256" s="2"/>
      <c r="P256" s="2"/>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row>
    <row r="257" spans="1:46" x14ac:dyDescent="0.35">
      <c r="A257" s="1"/>
      <c r="B257" s="1"/>
      <c r="C257" s="2"/>
      <c r="D257" s="2"/>
      <c r="E257" s="2"/>
      <c r="F257" s="2"/>
      <c r="G257" s="2"/>
      <c r="H257" s="2"/>
      <c r="I257" s="2"/>
      <c r="J257" s="2"/>
      <c r="K257" s="2"/>
      <c r="L257" s="2"/>
      <c r="M257" s="2"/>
      <c r="N257" s="2"/>
      <c r="O257" s="2"/>
      <c r="P257" s="2"/>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row>
    <row r="258" spans="1:46" x14ac:dyDescent="0.35">
      <c r="A258" s="1"/>
      <c r="B258" s="1"/>
      <c r="C258" s="2"/>
      <c r="D258" s="2"/>
      <c r="E258" s="2"/>
      <c r="F258" s="2"/>
      <c r="G258" s="2"/>
      <c r="H258" s="2"/>
      <c r="I258" s="2"/>
      <c r="J258" s="2"/>
      <c r="K258" s="2"/>
      <c r="L258" s="2"/>
      <c r="M258" s="2"/>
      <c r="N258" s="2"/>
      <c r="O258" s="2"/>
      <c r="P258" s="2"/>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row>
    <row r="259" spans="1:46" x14ac:dyDescent="0.35">
      <c r="A259" s="1"/>
      <c r="B259" s="1"/>
      <c r="C259" s="2"/>
      <c r="D259" s="2"/>
      <c r="E259" s="2"/>
      <c r="F259" s="2"/>
      <c r="G259" s="2"/>
      <c r="H259" s="2"/>
      <c r="I259" s="2"/>
      <c r="J259" s="2"/>
      <c r="K259" s="2"/>
      <c r="L259" s="2"/>
      <c r="M259" s="2"/>
      <c r="N259" s="2"/>
      <c r="O259" s="2"/>
      <c r="P259" s="2"/>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row>
    <row r="260" spans="1:46" x14ac:dyDescent="0.35">
      <c r="A260" s="1"/>
      <c r="B260" s="1"/>
      <c r="C260" s="2"/>
      <c r="D260" s="2"/>
      <c r="E260" s="2"/>
      <c r="F260" s="2"/>
      <c r="G260" s="2"/>
      <c r="H260" s="2"/>
      <c r="I260" s="2"/>
      <c r="J260" s="2"/>
      <c r="K260" s="2"/>
      <c r="L260" s="2"/>
      <c r="M260" s="2"/>
      <c r="N260" s="2"/>
      <c r="O260" s="2"/>
      <c r="P260" s="2"/>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row>
    <row r="261" spans="1:46" x14ac:dyDescent="0.35">
      <c r="A261" s="1"/>
      <c r="B261" s="1"/>
      <c r="C261" s="2"/>
      <c r="D261" s="2"/>
      <c r="E261" s="2"/>
      <c r="F261" s="2"/>
      <c r="G261" s="2"/>
      <c r="H261" s="2"/>
      <c r="I261" s="2"/>
      <c r="J261" s="2"/>
      <c r="K261" s="2"/>
      <c r="L261" s="2"/>
      <c r="M261" s="2"/>
      <c r="N261" s="2"/>
      <c r="O261" s="2"/>
      <c r="P261" s="2"/>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row>
    <row r="262" spans="1:46" x14ac:dyDescent="0.35">
      <c r="A262" s="1"/>
      <c r="B262" s="1"/>
      <c r="C262" s="2"/>
      <c r="D262" s="2"/>
      <c r="E262" s="2"/>
      <c r="F262" s="2"/>
      <c r="G262" s="2"/>
      <c r="H262" s="2"/>
      <c r="I262" s="2"/>
      <c r="J262" s="2"/>
      <c r="K262" s="2"/>
      <c r="L262" s="2"/>
      <c r="M262" s="2"/>
      <c r="N262" s="2"/>
      <c r="O262" s="2"/>
      <c r="P262" s="2"/>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row>
    <row r="263" spans="1:46" x14ac:dyDescent="0.35">
      <c r="A263" s="1"/>
      <c r="B263" s="1"/>
      <c r="C263" s="2"/>
      <c r="D263" s="2"/>
      <c r="E263" s="2"/>
      <c r="F263" s="2"/>
      <c r="G263" s="2"/>
      <c r="H263" s="2"/>
      <c r="I263" s="2"/>
      <c r="J263" s="2"/>
      <c r="K263" s="2"/>
      <c r="L263" s="2"/>
      <c r="M263" s="2"/>
      <c r="N263" s="2"/>
      <c r="O263" s="2"/>
      <c r="P263" s="2"/>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row>
    <row r="264" spans="1:46" x14ac:dyDescent="0.35">
      <c r="A264" s="1"/>
      <c r="B264" s="1"/>
      <c r="C264" s="2"/>
      <c r="D264" s="2"/>
      <c r="E264" s="2"/>
      <c r="F264" s="2"/>
      <c r="G264" s="2"/>
      <c r="H264" s="2"/>
      <c r="I264" s="2"/>
      <c r="J264" s="2"/>
      <c r="K264" s="2"/>
      <c r="L264" s="2"/>
      <c r="M264" s="2"/>
      <c r="N264" s="2"/>
      <c r="O264" s="2"/>
      <c r="P264" s="2"/>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row>
    <row r="265" spans="1:46" x14ac:dyDescent="0.35">
      <c r="A265" s="1"/>
      <c r="B265" s="1"/>
      <c r="C265" s="2"/>
      <c r="D265" s="2"/>
      <c r="E265" s="2"/>
      <c r="F265" s="2"/>
      <c r="G265" s="2"/>
      <c r="H265" s="2"/>
      <c r="I265" s="2"/>
      <c r="J265" s="2"/>
      <c r="K265" s="2"/>
      <c r="L265" s="2"/>
      <c r="M265" s="2"/>
      <c r="N265" s="2"/>
      <c r="O265" s="2"/>
      <c r="P265" s="2"/>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row>
    <row r="266" spans="1:46" x14ac:dyDescent="0.35">
      <c r="A266" s="1"/>
      <c r="B266" s="1"/>
      <c r="C266" s="2"/>
      <c r="D266" s="2"/>
      <c r="E266" s="2"/>
      <c r="F266" s="2"/>
      <c r="G266" s="2"/>
      <c r="H266" s="2"/>
      <c r="I266" s="2"/>
      <c r="J266" s="2"/>
      <c r="K266" s="2"/>
      <c r="L266" s="2"/>
      <c r="M266" s="2"/>
      <c r="N266" s="2"/>
      <c r="O266" s="2"/>
      <c r="P266" s="2"/>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row>
    <row r="267" spans="1:46" x14ac:dyDescent="0.35">
      <c r="A267" s="1"/>
      <c r="B267" s="1"/>
      <c r="C267" s="2"/>
      <c r="D267" s="2"/>
      <c r="E267" s="2"/>
      <c r="F267" s="2"/>
      <c r="G267" s="2"/>
      <c r="H267" s="2"/>
      <c r="I267" s="2"/>
      <c r="J267" s="2"/>
      <c r="K267" s="2"/>
      <c r="L267" s="2"/>
      <c r="M267" s="2"/>
      <c r="N267" s="2"/>
      <c r="O267" s="2"/>
      <c r="P267" s="2"/>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row>
    <row r="268" spans="1:46" x14ac:dyDescent="0.35">
      <c r="A268" s="1"/>
      <c r="B268" s="1"/>
      <c r="C268" s="2"/>
      <c r="D268" s="2"/>
      <c r="E268" s="2"/>
      <c r="F268" s="2"/>
      <c r="G268" s="2"/>
      <c r="H268" s="2"/>
      <c r="I268" s="2"/>
      <c r="J268" s="2"/>
      <c r="K268" s="2"/>
      <c r="L268" s="2"/>
      <c r="M268" s="2"/>
      <c r="N268" s="2"/>
      <c r="O268" s="2"/>
      <c r="P268" s="2"/>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row>
    <row r="269" spans="1:46" x14ac:dyDescent="0.35">
      <c r="A269" s="1"/>
      <c r="B269" s="1"/>
      <c r="C269" s="2"/>
      <c r="D269" s="2"/>
      <c r="E269" s="2"/>
      <c r="F269" s="2"/>
      <c r="G269" s="2"/>
      <c r="H269" s="2"/>
      <c r="I269" s="2"/>
      <c r="J269" s="2"/>
      <c r="K269" s="2"/>
      <c r="L269" s="2"/>
      <c r="M269" s="2"/>
      <c r="N269" s="2"/>
      <c r="O269" s="2"/>
      <c r="P269" s="2"/>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row>
    <row r="270" spans="1:46" x14ac:dyDescent="0.35">
      <c r="A270" s="1"/>
      <c r="B270" s="1"/>
      <c r="C270" s="2"/>
      <c r="D270" s="2"/>
      <c r="E270" s="2"/>
      <c r="F270" s="2"/>
      <c r="G270" s="2"/>
      <c r="H270" s="2"/>
      <c r="I270" s="2"/>
      <c r="J270" s="2"/>
      <c r="K270" s="2"/>
      <c r="L270" s="2"/>
      <c r="M270" s="2"/>
      <c r="N270" s="2"/>
      <c r="O270" s="2"/>
      <c r="P270" s="2"/>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row>
    <row r="271" spans="1:46" x14ac:dyDescent="0.35">
      <c r="A271" s="1"/>
      <c r="B271" s="1"/>
      <c r="C271" s="2"/>
      <c r="D271" s="2"/>
      <c r="E271" s="2"/>
      <c r="F271" s="2"/>
      <c r="G271" s="2"/>
      <c r="H271" s="2"/>
      <c r="I271" s="2"/>
      <c r="J271" s="2"/>
      <c r="K271" s="2"/>
      <c r="L271" s="2"/>
      <c r="M271" s="2"/>
      <c r="N271" s="2"/>
      <c r="O271" s="2"/>
      <c r="P271" s="2"/>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row>
    <row r="272" spans="1:46" x14ac:dyDescent="0.35">
      <c r="A272" s="1"/>
      <c r="B272" s="1"/>
      <c r="C272" s="2"/>
      <c r="D272" s="2"/>
      <c r="E272" s="2"/>
      <c r="F272" s="2"/>
      <c r="G272" s="2"/>
      <c r="H272" s="2"/>
      <c r="I272" s="2"/>
      <c r="J272" s="2"/>
      <c r="K272" s="2"/>
      <c r="L272" s="2"/>
      <c r="M272" s="2"/>
      <c r="N272" s="2"/>
      <c r="O272" s="2"/>
      <c r="P272" s="2"/>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row>
    <row r="273" spans="1:46" x14ac:dyDescent="0.35">
      <c r="A273" s="1"/>
      <c r="B273" s="1"/>
      <c r="C273" s="2"/>
      <c r="D273" s="2"/>
      <c r="E273" s="2"/>
      <c r="F273" s="2"/>
      <c r="G273" s="2"/>
      <c r="H273" s="2"/>
      <c r="I273" s="2"/>
      <c r="J273" s="2"/>
      <c r="K273" s="2"/>
      <c r="L273" s="2"/>
      <c r="M273" s="2"/>
      <c r="N273" s="2"/>
      <c r="O273" s="2"/>
      <c r="P273" s="2"/>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row>
    <row r="274" spans="1:46" x14ac:dyDescent="0.35">
      <c r="A274" s="1"/>
      <c r="B274" s="1"/>
      <c r="C274" s="2"/>
      <c r="D274" s="2"/>
      <c r="E274" s="2"/>
      <c r="F274" s="2"/>
      <c r="G274" s="2"/>
      <c r="H274" s="2"/>
      <c r="I274" s="2"/>
      <c r="J274" s="2"/>
      <c r="K274" s="2"/>
      <c r="L274" s="2"/>
      <c r="M274" s="2"/>
      <c r="N274" s="2"/>
      <c r="O274" s="2"/>
      <c r="P274" s="2"/>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row>
    <row r="275" spans="1:46" x14ac:dyDescent="0.35">
      <c r="A275" s="1"/>
      <c r="B275" s="1"/>
      <c r="C275" s="2"/>
      <c r="D275" s="2"/>
      <c r="E275" s="2"/>
      <c r="F275" s="2"/>
      <c r="G275" s="2"/>
      <c r="H275" s="2"/>
      <c r="I275" s="2"/>
      <c r="J275" s="2"/>
      <c r="K275" s="2"/>
      <c r="L275" s="2"/>
      <c r="M275" s="2"/>
      <c r="N275" s="2"/>
      <c r="O275" s="2"/>
      <c r="P275" s="2"/>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row>
    <row r="276" spans="1:46" x14ac:dyDescent="0.35">
      <c r="A276" s="1"/>
      <c r="B276" s="1"/>
      <c r="C276" s="2"/>
      <c r="D276" s="2"/>
      <c r="E276" s="2"/>
      <c r="F276" s="2"/>
      <c r="G276" s="2"/>
      <c r="H276" s="2"/>
      <c r="I276" s="2"/>
      <c r="J276" s="2"/>
      <c r="K276" s="2"/>
      <c r="L276" s="2"/>
      <c r="M276" s="2"/>
      <c r="N276" s="2"/>
      <c r="O276" s="2"/>
      <c r="P276" s="2"/>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row>
    <row r="277" spans="1:46" x14ac:dyDescent="0.35">
      <c r="A277" s="1"/>
      <c r="B277" s="1"/>
      <c r="C277" s="2"/>
      <c r="D277" s="2"/>
      <c r="E277" s="2"/>
      <c r="F277" s="2"/>
      <c r="G277" s="2"/>
      <c r="H277" s="2"/>
      <c r="I277" s="2"/>
      <c r="J277" s="2"/>
      <c r="K277" s="2"/>
      <c r="L277" s="2"/>
      <c r="M277" s="2"/>
      <c r="N277" s="2"/>
      <c r="O277" s="2"/>
      <c r="P277" s="2"/>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row>
    <row r="278" spans="1:46" x14ac:dyDescent="0.35">
      <c r="A278" s="1"/>
      <c r="B278" s="1"/>
      <c r="C278" s="2"/>
      <c r="D278" s="2"/>
      <c r="E278" s="2"/>
      <c r="F278" s="2"/>
      <c r="G278" s="2"/>
      <c r="H278" s="2"/>
      <c r="I278" s="2"/>
      <c r="J278" s="2"/>
      <c r="K278" s="2"/>
      <c r="L278" s="2"/>
      <c r="M278" s="2"/>
      <c r="N278" s="2"/>
      <c r="O278" s="2"/>
      <c r="P278" s="2"/>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row>
    <row r="279" spans="1:46" x14ac:dyDescent="0.35">
      <c r="A279" s="1"/>
      <c r="B279" s="1"/>
      <c r="C279" s="2"/>
      <c r="D279" s="2"/>
      <c r="E279" s="2"/>
      <c r="F279" s="2"/>
      <c r="G279" s="2"/>
      <c r="H279" s="2"/>
      <c r="I279" s="2"/>
      <c r="J279" s="2"/>
      <c r="K279" s="2"/>
      <c r="L279" s="2"/>
      <c r="M279" s="2"/>
      <c r="N279" s="2"/>
      <c r="O279" s="2"/>
      <c r="P279" s="2"/>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row>
    <row r="280" spans="1:46" x14ac:dyDescent="0.35">
      <c r="A280" s="1"/>
      <c r="B280" s="1"/>
      <c r="C280" s="2"/>
      <c r="D280" s="2"/>
      <c r="E280" s="2"/>
      <c r="F280" s="2"/>
      <c r="G280" s="2"/>
      <c r="H280" s="2"/>
      <c r="I280" s="2"/>
      <c r="J280" s="2"/>
      <c r="K280" s="2"/>
      <c r="L280" s="2"/>
      <c r="M280" s="2"/>
      <c r="N280" s="2"/>
      <c r="O280" s="2"/>
      <c r="P280" s="2"/>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row>
    <row r="281" spans="1:46" x14ac:dyDescent="0.35">
      <c r="A281" s="1"/>
      <c r="B281" s="1"/>
      <c r="C281" s="2"/>
      <c r="D281" s="2"/>
      <c r="E281" s="2"/>
      <c r="F281" s="2"/>
      <c r="G281" s="2"/>
      <c r="H281" s="2"/>
      <c r="I281" s="2"/>
      <c r="J281" s="2"/>
      <c r="K281" s="2"/>
      <c r="L281" s="2"/>
      <c r="M281" s="2"/>
      <c r="N281" s="2"/>
      <c r="O281" s="2"/>
      <c r="P281" s="2"/>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row>
    <row r="282" spans="1:46" x14ac:dyDescent="0.35">
      <c r="A282" s="1"/>
      <c r="B282" s="1"/>
      <c r="C282" s="2"/>
      <c r="D282" s="2"/>
      <c r="E282" s="2"/>
      <c r="F282" s="2"/>
      <c r="G282" s="2"/>
      <c r="H282" s="2"/>
      <c r="I282" s="2"/>
      <c r="J282" s="2"/>
      <c r="K282" s="2"/>
      <c r="L282" s="2"/>
      <c r="M282" s="2"/>
      <c r="N282" s="2"/>
      <c r="O282" s="2"/>
      <c r="P282" s="2"/>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row>
    <row r="283" spans="1:46" x14ac:dyDescent="0.35">
      <c r="A283" s="1"/>
      <c r="B283" s="1"/>
      <c r="C283" s="2"/>
      <c r="D283" s="2"/>
      <c r="E283" s="2"/>
      <c r="F283" s="2"/>
      <c r="G283" s="2"/>
      <c r="H283" s="2"/>
      <c r="I283" s="2"/>
      <c r="J283" s="2"/>
      <c r="K283" s="2"/>
      <c r="L283" s="2"/>
      <c r="M283" s="2"/>
      <c r="N283" s="2"/>
      <c r="O283" s="2"/>
      <c r="P283" s="2"/>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row>
    <row r="284" spans="1:46" x14ac:dyDescent="0.35">
      <c r="A284" s="1"/>
      <c r="B284" s="1"/>
      <c r="C284" s="2"/>
      <c r="D284" s="2"/>
      <c r="E284" s="2"/>
      <c r="F284" s="2"/>
      <c r="G284" s="2"/>
      <c r="H284" s="2"/>
      <c r="I284" s="2"/>
      <c r="J284" s="2"/>
      <c r="K284" s="2"/>
      <c r="L284" s="2"/>
      <c r="M284" s="2"/>
      <c r="N284" s="2"/>
      <c r="O284" s="2"/>
      <c r="P284" s="2"/>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row>
    <row r="285" spans="1:46" x14ac:dyDescent="0.35">
      <c r="A285" s="1"/>
      <c r="B285" s="1"/>
      <c r="C285" s="2"/>
      <c r="D285" s="2"/>
      <c r="E285" s="2"/>
      <c r="F285" s="2"/>
      <c r="G285" s="2"/>
      <c r="H285" s="2"/>
      <c r="I285" s="2"/>
      <c r="J285" s="2"/>
      <c r="K285" s="2"/>
      <c r="L285" s="2"/>
      <c r="M285" s="2"/>
      <c r="N285" s="2"/>
      <c r="O285" s="2"/>
      <c r="P285" s="2"/>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row>
    <row r="286" spans="1:46" x14ac:dyDescent="0.35">
      <c r="A286" s="1"/>
      <c r="B286" s="1"/>
      <c r="C286" s="2"/>
      <c r="D286" s="2"/>
      <c r="E286" s="2"/>
      <c r="F286" s="2"/>
      <c r="G286" s="2"/>
      <c r="H286" s="2"/>
      <c r="I286" s="2"/>
      <c r="J286" s="2"/>
      <c r="K286" s="2"/>
      <c r="L286" s="2"/>
      <c r="M286" s="2"/>
      <c r="N286" s="2"/>
      <c r="O286" s="2"/>
      <c r="P286" s="2"/>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row>
    <row r="287" spans="1:46" x14ac:dyDescent="0.35">
      <c r="A287" s="1"/>
      <c r="B287" s="1"/>
      <c r="C287" s="2"/>
      <c r="D287" s="2"/>
      <c r="E287" s="2"/>
      <c r="F287" s="2"/>
      <c r="G287" s="2"/>
      <c r="H287" s="2"/>
      <c r="I287" s="2"/>
      <c r="J287" s="2"/>
      <c r="K287" s="2"/>
      <c r="L287" s="2"/>
      <c r="M287" s="2"/>
      <c r="N287" s="2"/>
      <c r="O287" s="2"/>
      <c r="P287" s="2"/>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row>
    <row r="288" spans="1:46" x14ac:dyDescent="0.35">
      <c r="A288" s="1"/>
      <c r="B288" s="1"/>
      <c r="C288" s="2"/>
      <c r="D288" s="2"/>
      <c r="E288" s="2"/>
      <c r="F288" s="2"/>
      <c r="G288" s="2"/>
      <c r="H288" s="2"/>
      <c r="I288" s="2"/>
      <c r="J288" s="2"/>
      <c r="K288" s="2"/>
      <c r="L288" s="2"/>
      <c r="M288" s="2"/>
      <c r="N288" s="2"/>
      <c r="O288" s="2"/>
      <c r="P288" s="2"/>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row>
    <row r="289" spans="1:46" x14ac:dyDescent="0.35">
      <c r="A289" s="1"/>
      <c r="B289" s="1"/>
      <c r="C289" s="2"/>
      <c r="D289" s="2"/>
      <c r="E289" s="2"/>
      <c r="F289" s="2"/>
      <c r="G289" s="2"/>
      <c r="H289" s="2"/>
      <c r="I289" s="2"/>
      <c r="J289" s="2"/>
      <c r="K289" s="2"/>
      <c r="L289" s="2"/>
      <c r="M289" s="2"/>
      <c r="N289" s="2"/>
      <c r="O289" s="2"/>
      <c r="P289" s="2"/>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row>
    <row r="290" spans="1:46" x14ac:dyDescent="0.35">
      <c r="A290" s="1"/>
      <c r="B290" s="1"/>
      <c r="C290" s="2"/>
      <c r="D290" s="2"/>
      <c r="E290" s="2"/>
      <c r="F290" s="2"/>
      <c r="G290" s="2"/>
      <c r="H290" s="2"/>
      <c r="I290" s="2"/>
      <c r="J290" s="2"/>
      <c r="K290" s="2"/>
      <c r="L290" s="2"/>
      <c r="M290" s="2"/>
      <c r="N290" s="2"/>
      <c r="O290" s="2"/>
      <c r="P290" s="2"/>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row>
    <row r="291" spans="1:46" x14ac:dyDescent="0.35">
      <c r="A291" s="1"/>
      <c r="B291" s="1"/>
      <c r="C291" s="2"/>
      <c r="D291" s="2"/>
      <c r="E291" s="2"/>
      <c r="F291" s="2"/>
      <c r="G291" s="2"/>
      <c r="H291" s="2"/>
      <c r="I291" s="2"/>
      <c r="J291" s="2"/>
      <c r="K291" s="2"/>
      <c r="L291" s="2"/>
      <c r="M291" s="2"/>
      <c r="N291" s="2"/>
      <c r="O291" s="2"/>
      <c r="P291" s="2"/>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row>
    <row r="292" spans="1:46" x14ac:dyDescent="0.35">
      <c r="A292" s="1"/>
      <c r="B292" s="1"/>
      <c r="C292" s="2"/>
      <c r="D292" s="2"/>
      <c r="E292" s="2"/>
      <c r="F292" s="2"/>
      <c r="G292" s="2"/>
      <c r="H292" s="2"/>
      <c r="I292" s="2"/>
      <c r="J292" s="2"/>
      <c r="K292" s="2"/>
      <c r="L292" s="2"/>
      <c r="M292" s="2"/>
      <c r="N292" s="2"/>
      <c r="O292" s="2"/>
      <c r="P292" s="2"/>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row>
    <row r="293" spans="1:46" x14ac:dyDescent="0.35">
      <c r="A293" s="1"/>
      <c r="B293" s="1"/>
      <c r="C293" s="2"/>
      <c r="D293" s="2"/>
      <c r="E293" s="2"/>
      <c r="F293" s="2"/>
      <c r="G293" s="2"/>
      <c r="H293" s="2"/>
      <c r="I293" s="2"/>
      <c r="J293" s="2"/>
      <c r="K293" s="2"/>
      <c r="L293" s="2"/>
      <c r="M293" s="2"/>
      <c r="N293" s="2"/>
      <c r="O293" s="2"/>
      <c r="P293" s="2"/>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row>
    <row r="294" spans="1:46" x14ac:dyDescent="0.35">
      <c r="A294" s="1"/>
      <c r="B294" s="1"/>
      <c r="C294" s="2"/>
      <c r="D294" s="2"/>
      <c r="E294" s="2"/>
      <c r="F294" s="2"/>
      <c r="G294" s="2"/>
      <c r="H294" s="2"/>
      <c r="I294" s="2"/>
      <c r="J294" s="2"/>
      <c r="K294" s="2"/>
      <c r="L294" s="2"/>
      <c r="M294" s="2"/>
      <c r="N294" s="2"/>
      <c r="O294" s="2"/>
      <c r="P294" s="2"/>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row>
    <row r="295" spans="1:46" x14ac:dyDescent="0.35">
      <c r="A295" s="1"/>
      <c r="B295" s="1"/>
      <c r="C295" s="2"/>
      <c r="D295" s="2"/>
      <c r="E295" s="2"/>
      <c r="F295" s="2"/>
      <c r="G295" s="2"/>
      <c r="H295" s="2"/>
      <c r="I295" s="2"/>
      <c r="J295" s="2"/>
      <c r="K295" s="2"/>
      <c r="L295" s="2"/>
      <c r="M295" s="2"/>
      <c r="N295" s="2"/>
      <c r="O295" s="2"/>
      <c r="P295" s="2"/>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row>
    <row r="296" spans="1:46" x14ac:dyDescent="0.35">
      <c r="A296" s="1"/>
      <c r="B296" s="1"/>
      <c r="C296" s="2"/>
      <c r="D296" s="2"/>
      <c r="E296" s="2"/>
      <c r="F296" s="2"/>
      <c r="G296" s="2"/>
      <c r="H296" s="2"/>
      <c r="I296" s="2"/>
      <c r="J296" s="2"/>
      <c r="K296" s="2"/>
      <c r="L296" s="2"/>
      <c r="M296" s="2"/>
      <c r="N296" s="2"/>
      <c r="O296" s="2"/>
      <c r="P296" s="2"/>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row>
    <row r="297" spans="1:46" x14ac:dyDescent="0.35">
      <c r="A297" s="1"/>
      <c r="B297" s="1"/>
      <c r="C297" s="2"/>
      <c r="D297" s="2"/>
      <c r="E297" s="2"/>
      <c r="F297" s="2"/>
      <c r="G297" s="2"/>
      <c r="H297" s="2"/>
      <c r="I297" s="2"/>
      <c r="J297" s="2"/>
      <c r="K297" s="2"/>
      <c r="L297" s="2"/>
      <c r="M297" s="2"/>
      <c r="N297" s="2"/>
      <c r="O297" s="2"/>
      <c r="P297" s="2"/>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row>
    <row r="298" spans="1:46" x14ac:dyDescent="0.35">
      <c r="A298" s="1"/>
      <c r="B298" s="1"/>
      <c r="C298" s="2"/>
      <c r="D298" s="2"/>
      <c r="E298" s="2"/>
      <c r="F298" s="2"/>
      <c r="G298" s="2"/>
      <c r="H298" s="2"/>
      <c r="I298" s="2"/>
      <c r="J298" s="2"/>
      <c r="K298" s="2"/>
      <c r="L298" s="2"/>
      <c r="M298" s="2"/>
      <c r="N298" s="2"/>
      <c r="O298" s="2"/>
      <c r="P298" s="2"/>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row>
    <row r="299" spans="1:46" x14ac:dyDescent="0.35">
      <c r="A299" s="1"/>
      <c r="B299" s="1"/>
      <c r="C299" s="2"/>
      <c r="D299" s="2"/>
      <c r="E299" s="2"/>
      <c r="F299" s="2"/>
      <c r="G299" s="2"/>
      <c r="H299" s="2"/>
      <c r="I299" s="2"/>
      <c r="J299" s="2"/>
      <c r="K299" s="2"/>
      <c r="L299" s="2"/>
      <c r="M299" s="2"/>
      <c r="N299" s="2"/>
      <c r="O299" s="2"/>
      <c r="P299" s="2"/>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row>
    <row r="300" spans="1:46" x14ac:dyDescent="0.35">
      <c r="A300" s="1"/>
      <c r="B300" s="1"/>
      <c r="C300" s="2"/>
      <c r="D300" s="2"/>
      <c r="E300" s="2"/>
      <c r="F300" s="2"/>
      <c r="G300" s="2"/>
      <c r="H300" s="2"/>
      <c r="I300" s="2"/>
      <c r="J300" s="2"/>
      <c r="K300" s="2"/>
      <c r="L300" s="2"/>
      <c r="M300" s="2"/>
      <c r="N300" s="2"/>
      <c r="O300" s="2"/>
      <c r="P300" s="2"/>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row>
    <row r="301" spans="1:46" x14ac:dyDescent="0.35">
      <c r="A301" s="1"/>
      <c r="B301" s="1"/>
      <c r="C301" s="2"/>
      <c r="D301" s="2"/>
      <c r="E301" s="2"/>
      <c r="F301" s="2"/>
      <c r="G301" s="2"/>
      <c r="H301" s="2"/>
      <c r="I301" s="2"/>
      <c r="J301" s="2"/>
      <c r="K301" s="2"/>
      <c r="L301" s="2"/>
      <c r="M301" s="2"/>
      <c r="N301" s="2"/>
      <c r="O301" s="2"/>
      <c r="P301" s="2"/>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row>
    <row r="302" spans="1:46" x14ac:dyDescent="0.35">
      <c r="A302" s="1"/>
      <c r="B302" s="1"/>
      <c r="C302" s="2"/>
      <c r="D302" s="2"/>
      <c r="E302" s="2"/>
      <c r="F302" s="2"/>
      <c r="G302" s="2"/>
      <c r="H302" s="2"/>
      <c r="I302" s="2"/>
      <c r="J302" s="2"/>
      <c r="K302" s="2"/>
      <c r="L302" s="2"/>
      <c r="M302" s="2"/>
      <c r="N302" s="2"/>
      <c r="O302" s="2"/>
      <c r="P302" s="2"/>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row>
    <row r="303" spans="1:46" x14ac:dyDescent="0.35">
      <c r="A303" s="1"/>
      <c r="B303" s="1"/>
      <c r="C303" s="2"/>
      <c r="D303" s="2"/>
      <c r="E303" s="2"/>
      <c r="F303" s="2"/>
      <c r="G303" s="2"/>
      <c r="H303" s="2"/>
      <c r="I303" s="2"/>
      <c r="J303" s="2"/>
      <c r="K303" s="2"/>
      <c r="L303" s="2"/>
      <c r="M303" s="2"/>
      <c r="N303" s="2"/>
      <c r="O303" s="2"/>
      <c r="P303" s="2"/>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row>
    <row r="304" spans="1:46" x14ac:dyDescent="0.35">
      <c r="A304" s="1"/>
      <c r="B304" s="1"/>
      <c r="C304" s="2"/>
      <c r="D304" s="2"/>
      <c r="E304" s="2"/>
      <c r="F304" s="2"/>
      <c r="G304" s="2"/>
      <c r="H304" s="2"/>
      <c r="I304" s="2"/>
      <c r="J304" s="2"/>
      <c r="K304" s="2"/>
      <c r="L304" s="2"/>
      <c r="M304" s="2"/>
      <c r="N304" s="2"/>
      <c r="O304" s="2"/>
      <c r="P304" s="2"/>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row>
    <row r="305" spans="1:46" x14ac:dyDescent="0.35">
      <c r="A305" s="1"/>
      <c r="B305" s="1"/>
      <c r="C305" s="2"/>
      <c r="D305" s="2"/>
      <c r="E305" s="2"/>
      <c r="F305" s="2"/>
      <c r="G305" s="2"/>
      <c r="H305" s="2"/>
      <c r="I305" s="2"/>
      <c r="J305" s="2"/>
      <c r="K305" s="2"/>
      <c r="L305" s="2"/>
      <c r="M305" s="2"/>
      <c r="N305" s="2"/>
      <c r="O305" s="2"/>
      <c r="P305" s="2"/>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row>
  </sheetData>
  <conditionalFormatting sqref="C17:J19">
    <cfRule type="cellIs" dxfId="4" priority="7" operator="equal">
      <formula>0</formula>
    </cfRule>
  </conditionalFormatting>
  <conditionalFormatting sqref="C23:J23">
    <cfRule type="cellIs" dxfId="3" priority="9" operator="equal">
      <formula>0</formula>
    </cfRule>
  </conditionalFormatting>
  <conditionalFormatting sqref="C30:J36">
    <cfRule type="cellIs" dxfId="2" priority="1" operator="equal">
      <formula>0</formula>
    </cfRule>
  </conditionalFormatting>
  <conditionalFormatting sqref="C39:J41">
    <cfRule type="cellIs" dxfId="1" priority="8" operator="equal">
      <formula>0</formula>
    </cfRule>
  </conditionalFormatting>
  <pageMargins left="0.511811024" right="0.511811024" top="0.78740157499999996" bottom="0.78740157499999996" header="0.31496062000000002" footer="0.31496062000000002"/>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6852F-3B62-48E1-8598-CC600CDA419E}">
  <sheetPr codeName="Planilha8"/>
  <dimension ref="A1:AW403"/>
  <sheetViews>
    <sheetView showGridLines="0" zoomScaleNormal="100" workbookViewId="0"/>
  </sheetViews>
  <sheetFormatPr defaultColWidth="9" defaultRowHeight="14.5" x14ac:dyDescent="0.35"/>
  <cols>
    <col min="1" max="1" width="21.453125" style="3" customWidth="1"/>
    <col min="2" max="2" width="36.26953125" style="8" customWidth="1"/>
    <col min="3" max="7" width="21.54296875" style="8" customWidth="1"/>
    <col min="8" max="8" width="21.54296875" style="3" customWidth="1"/>
    <col min="9" max="11" width="9.81640625" style="8" bestFit="1" customWidth="1"/>
    <col min="12" max="12" width="15.54296875" style="8" bestFit="1" customWidth="1"/>
    <col min="13" max="19" width="9.81640625" style="8" bestFit="1" customWidth="1"/>
    <col min="20" max="20" width="11.7265625" style="3" bestFit="1" customWidth="1"/>
    <col min="21" max="21" width="15.1796875" style="3" bestFit="1" customWidth="1"/>
    <col min="22" max="16384" width="9" style="3"/>
  </cols>
  <sheetData>
    <row r="1" spans="1:49" ht="18" customHeight="1" x14ac:dyDescent="0.35">
      <c r="A1" s="1"/>
      <c r="B1" s="1"/>
      <c r="C1" s="2"/>
      <c r="D1" s="2"/>
      <c r="E1" s="2"/>
      <c r="F1" s="2"/>
      <c r="G1" s="2"/>
      <c r="H1" s="2"/>
      <c r="I1" s="2"/>
      <c r="J1" s="2"/>
      <c r="K1" s="2"/>
      <c r="L1" s="2"/>
      <c r="M1" s="2"/>
      <c r="N1" s="2"/>
      <c r="O1" s="2"/>
      <c r="P1" s="2"/>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9" ht="18" customHeight="1" x14ac:dyDescent="0.35">
      <c r="A2" s="1"/>
      <c r="B2" s="1"/>
      <c r="C2" s="2"/>
      <c r="D2" s="2"/>
      <c r="E2" s="2"/>
      <c r="F2" s="2"/>
      <c r="G2" s="2"/>
      <c r="H2" s="2"/>
      <c r="I2" s="2"/>
      <c r="J2" s="2"/>
      <c r="K2" s="2"/>
      <c r="L2" s="2"/>
      <c r="M2" s="2"/>
      <c r="N2" s="2"/>
      <c r="O2" s="2"/>
      <c r="P2" s="2"/>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9" ht="18" customHeight="1" x14ac:dyDescent="0.35">
      <c r="A3" s="1"/>
      <c r="B3" s="1"/>
      <c r="C3" s="2"/>
      <c r="D3" s="2"/>
      <c r="E3" s="2"/>
      <c r="F3" s="2"/>
      <c r="G3" s="2"/>
      <c r="H3" s="2"/>
      <c r="I3" s="2"/>
      <c r="J3" s="2"/>
      <c r="K3" s="2"/>
      <c r="L3" s="2"/>
      <c r="M3" s="2"/>
      <c r="N3" s="2"/>
      <c r="O3" s="2"/>
      <c r="P3" s="2"/>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9" ht="18" customHeight="1" x14ac:dyDescent="0.35">
      <c r="A4" s="1"/>
      <c r="B4" s="1"/>
      <c r="C4" s="2"/>
      <c r="D4" s="2"/>
      <c r="E4" s="2"/>
      <c r="F4" s="2"/>
      <c r="G4" s="2"/>
      <c r="H4" s="2"/>
      <c r="I4" s="2"/>
      <c r="J4" s="2"/>
      <c r="K4" s="2"/>
      <c r="L4" s="2"/>
      <c r="M4" s="2"/>
      <c r="N4" s="2"/>
      <c r="O4" s="2"/>
      <c r="P4" s="2"/>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row>
    <row r="5" spans="1:49" ht="18" customHeight="1" x14ac:dyDescent="0.35">
      <c r="A5" s="1"/>
      <c r="B5" s="1"/>
      <c r="C5" s="2"/>
      <c r="D5" s="2"/>
      <c r="E5" s="2"/>
      <c r="F5" s="2"/>
      <c r="G5" s="2"/>
      <c r="H5" s="2"/>
      <c r="I5" s="2"/>
      <c r="J5" s="2"/>
      <c r="K5" s="2"/>
      <c r="L5" s="2"/>
      <c r="M5" s="2"/>
      <c r="N5" s="2"/>
      <c r="O5" s="2"/>
      <c r="P5" s="2"/>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row>
    <row r="6" spans="1:49" ht="18" customHeight="1" x14ac:dyDescent="0.35">
      <c r="A6" s="1"/>
      <c r="B6" s="1"/>
      <c r="C6" s="2"/>
      <c r="D6" s="2"/>
      <c r="E6" s="2"/>
      <c r="F6" s="2"/>
      <c r="G6" s="2"/>
      <c r="H6" s="2"/>
      <c r="I6" s="2"/>
      <c r="J6" s="2"/>
      <c r="K6" s="2"/>
      <c r="L6" s="2"/>
      <c r="M6" s="2"/>
      <c r="N6" s="2"/>
      <c r="O6" s="2"/>
      <c r="P6" s="2"/>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row>
    <row r="7" spans="1:49" ht="18" customHeight="1" thickBot="1" x14ac:dyDescent="0.4">
      <c r="A7" s="1"/>
      <c r="B7" s="56" t="s">
        <v>745</v>
      </c>
      <c r="C7" s="17" t="s">
        <v>222</v>
      </c>
      <c r="D7" s="17" t="s">
        <v>221</v>
      </c>
      <c r="E7" s="17" t="s">
        <v>223</v>
      </c>
      <c r="F7" s="17" t="s">
        <v>224</v>
      </c>
      <c r="G7" s="17" t="s">
        <v>225</v>
      </c>
      <c r="H7" s="17" t="s">
        <v>220</v>
      </c>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row>
    <row r="8" spans="1:49" ht="18" customHeight="1" x14ac:dyDescent="0.35">
      <c r="A8" s="1"/>
      <c r="B8" s="58" t="s">
        <v>228</v>
      </c>
      <c r="C8" s="34">
        <v>2705.09</v>
      </c>
      <c r="D8" s="31" t="s">
        <v>226</v>
      </c>
      <c r="E8" s="31" t="s">
        <v>227</v>
      </c>
      <c r="F8" s="31" t="s">
        <v>229</v>
      </c>
      <c r="G8" s="31" t="s">
        <v>230</v>
      </c>
      <c r="H8" s="57">
        <v>1974</v>
      </c>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row>
    <row r="9" spans="1:49" ht="18" customHeight="1" x14ac:dyDescent="0.35">
      <c r="A9" s="1"/>
      <c r="B9" s="58" t="s">
        <v>233</v>
      </c>
      <c r="C9" s="34">
        <v>2256.38</v>
      </c>
      <c r="D9" s="31" t="s">
        <v>231</v>
      </c>
      <c r="E9" s="31" t="s">
        <v>232</v>
      </c>
      <c r="F9" s="31" t="s">
        <v>229</v>
      </c>
      <c r="G9" s="31" t="s">
        <v>230</v>
      </c>
      <c r="H9" s="57">
        <v>1975</v>
      </c>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row>
    <row r="10" spans="1:49" ht="18" customHeight="1" x14ac:dyDescent="0.35">
      <c r="A10" s="1"/>
      <c r="B10" s="58" t="s">
        <v>235</v>
      </c>
      <c r="C10" s="34">
        <v>3651.86</v>
      </c>
      <c r="D10" s="31" t="s">
        <v>231</v>
      </c>
      <c r="E10" s="31" t="s">
        <v>234</v>
      </c>
      <c r="F10" s="31" t="s">
        <v>236</v>
      </c>
      <c r="G10" s="31" t="s">
        <v>237</v>
      </c>
      <c r="H10" s="57">
        <v>1976</v>
      </c>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row>
    <row r="11" spans="1:49" ht="18" customHeight="1" x14ac:dyDescent="0.35">
      <c r="A11" s="1"/>
      <c r="B11" s="58" t="s">
        <v>238</v>
      </c>
      <c r="C11" s="34">
        <v>3366.36</v>
      </c>
      <c r="D11" s="31" t="s">
        <v>231</v>
      </c>
      <c r="E11" s="31" t="s">
        <v>238</v>
      </c>
      <c r="F11" s="31" t="s">
        <v>239</v>
      </c>
      <c r="G11" s="31" t="s">
        <v>237</v>
      </c>
      <c r="H11" s="57">
        <v>1977</v>
      </c>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row>
    <row r="12" spans="1:49" ht="18" customHeight="1" x14ac:dyDescent="0.35">
      <c r="A12" s="1"/>
      <c r="B12" s="58" t="s">
        <v>241</v>
      </c>
      <c r="C12" s="34">
        <v>2172.77</v>
      </c>
      <c r="D12" s="31" t="s">
        <v>231</v>
      </c>
      <c r="E12" s="31" t="s">
        <v>240</v>
      </c>
      <c r="F12" s="31" t="s">
        <v>242</v>
      </c>
      <c r="G12" s="31" t="s">
        <v>230</v>
      </c>
      <c r="H12" s="57">
        <v>1978</v>
      </c>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row>
    <row r="13" spans="1:49" ht="18" customHeight="1" x14ac:dyDescent="0.35">
      <c r="A13" s="1"/>
      <c r="B13" s="58" t="s">
        <v>244</v>
      </c>
      <c r="C13" s="34">
        <v>2029.82</v>
      </c>
      <c r="D13" s="31" t="s">
        <v>226</v>
      </c>
      <c r="E13" s="31" t="s">
        <v>243</v>
      </c>
      <c r="F13" s="31" t="s">
        <v>245</v>
      </c>
      <c r="G13" s="31" t="s">
        <v>230</v>
      </c>
      <c r="H13" s="57">
        <v>1979</v>
      </c>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row>
    <row r="14" spans="1:49" ht="18" customHeight="1" x14ac:dyDescent="0.35">
      <c r="A14" s="1"/>
      <c r="B14" s="58" t="s">
        <v>247</v>
      </c>
      <c r="C14" s="34">
        <v>1882.06</v>
      </c>
      <c r="D14" s="31" t="s">
        <v>231</v>
      </c>
      <c r="E14" s="31" t="s">
        <v>246</v>
      </c>
      <c r="F14" s="31" t="s">
        <v>229</v>
      </c>
      <c r="G14" s="31" t="s">
        <v>230</v>
      </c>
      <c r="H14" s="57">
        <v>1980</v>
      </c>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row>
    <row r="15" spans="1:49" ht="18" customHeight="1" x14ac:dyDescent="0.35">
      <c r="A15" s="1"/>
      <c r="B15" s="58" t="s">
        <v>248</v>
      </c>
      <c r="C15" s="34">
        <v>2034.47</v>
      </c>
      <c r="D15" s="31" t="s">
        <v>226</v>
      </c>
      <c r="E15" s="31" t="s">
        <v>232</v>
      </c>
      <c r="F15" s="31" t="s">
        <v>229</v>
      </c>
      <c r="G15" s="31" t="s">
        <v>230</v>
      </c>
      <c r="H15" s="57">
        <v>1980</v>
      </c>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row>
    <row r="16" spans="1:49" ht="18" customHeight="1" x14ac:dyDescent="0.35">
      <c r="A16" s="1"/>
      <c r="B16" s="58" t="s">
        <v>250</v>
      </c>
      <c r="C16" s="34">
        <v>2118.11</v>
      </c>
      <c r="D16" s="31" t="s">
        <v>226</v>
      </c>
      <c r="E16" s="31" t="s">
        <v>249</v>
      </c>
      <c r="F16" s="31" t="s">
        <v>229</v>
      </c>
      <c r="G16" s="31" t="s">
        <v>230</v>
      </c>
      <c r="H16" s="57">
        <v>1981</v>
      </c>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row>
    <row r="17" spans="1:49" ht="18" customHeight="1" x14ac:dyDescent="0.35">
      <c r="A17" s="1"/>
      <c r="B17" s="58" t="s">
        <v>251</v>
      </c>
      <c r="C17" s="34">
        <v>2737</v>
      </c>
      <c r="D17" s="31" t="s">
        <v>231</v>
      </c>
      <c r="E17" s="31" t="s">
        <v>240</v>
      </c>
      <c r="F17" s="31" t="s">
        <v>242</v>
      </c>
      <c r="G17" s="31" t="s">
        <v>230</v>
      </c>
      <c r="H17" s="57">
        <v>1981</v>
      </c>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row>
    <row r="18" spans="1:49" ht="18" customHeight="1" x14ac:dyDescent="0.35">
      <c r="A18" s="1"/>
      <c r="B18" s="58" t="s">
        <v>253</v>
      </c>
      <c r="C18" s="34">
        <v>1930.23</v>
      </c>
      <c r="D18" s="31" t="s">
        <v>226</v>
      </c>
      <c r="E18" s="31" t="s">
        <v>252</v>
      </c>
      <c r="F18" s="31" t="s">
        <v>254</v>
      </c>
      <c r="G18" s="31" t="s">
        <v>255</v>
      </c>
      <c r="H18" s="57">
        <v>1981</v>
      </c>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row>
    <row r="19" spans="1:49" ht="18" customHeight="1" x14ac:dyDescent="0.35">
      <c r="A19" s="1"/>
      <c r="B19" s="58" t="s">
        <v>256</v>
      </c>
      <c r="C19" s="34">
        <v>3490.3599999999997</v>
      </c>
      <c r="D19" s="31" t="s">
        <v>226</v>
      </c>
      <c r="E19" s="31" t="s">
        <v>240</v>
      </c>
      <c r="F19" s="31" t="s">
        <v>242</v>
      </c>
      <c r="G19" s="31" t="s">
        <v>230</v>
      </c>
      <c r="H19" s="57">
        <v>1981</v>
      </c>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row>
    <row r="20" spans="1:49" ht="18" customHeight="1" x14ac:dyDescent="0.35">
      <c r="A20" s="1"/>
      <c r="B20" s="58" t="s">
        <v>257</v>
      </c>
      <c r="C20" s="34">
        <v>3163.96</v>
      </c>
      <c r="D20" s="31" t="s">
        <v>226</v>
      </c>
      <c r="E20" s="31" t="s">
        <v>227</v>
      </c>
      <c r="F20" s="31" t="s">
        <v>229</v>
      </c>
      <c r="G20" s="31" t="s">
        <v>230</v>
      </c>
      <c r="H20" s="57">
        <v>1982</v>
      </c>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row>
    <row r="21" spans="1:49" ht="18" customHeight="1" x14ac:dyDescent="0.35">
      <c r="A21" s="1"/>
      <c r="B21" s="58" t="s">
        <v>243</v>
      </c>
      <c r="C21" s="34">
        <v>3348.4800000000005</v>
      </c>
      <c r="D21" s="31" t="s">
        <v>231</v>
      </c>
      <c r="E21" s="31" t="s">
        <v>243</v>
      </c>
      <c r="F21" s="31" t="s">
        <v>245</v>
      </c>
      <c r="G21" s="31" t="s">
        <v>230</v>
      </c>
      <c r="H21" s="57">
        <v>1982</v>
      </c>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row>
    <row r="22" spans="1:49" ht="18" customHeight="1" x14ac:dyDescent="0.35">
      <c r="A22" s="1"/>
      <c r="B22" s="58" t="s">
        <v>259</v>
      </c>
      <c r="C22" s="34">
        <v>2678.02</v>
      </c>
      <c r="D22" s="31" t="s">
        <v>231</v>
      </c>
      <c r="E22" s="31" t="s">
        <v>258</v>
      </c>
      <c r="F22" s="31" t="s">
        <v>229</v>
      </c>
      <c r="G22" s="31" t="s">
        <v>230</v>
      </c>
      <c r="H22" s="57">
        <v>1982</v>
      </c>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row>
    <row r="23" spans="1:49" ht="18" customHeight="1" x14ac:dyDescent="0.35">
      <c r="A23" s="1"/>
      <c r="B23" s="58" t="s">
        <v>261</v>
      </c>
      <c r="C23" s="34">
        <v>2641.58</v>
      </c>
      <c r="D23" s="31" t="s">
        <v>226</v>
      </c>
      <c r="E23" s="31" t="s">
        <v>260</v>
      </c>
      <c r="F23" s="31" t="s">
        <v>239</v>
      </c>
      <c r="G23" s="31" t="s">
        <v>237</v>
      </c>
      <c r="H23" s="57">
        <v>1983</v>
      </c>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row>
    <row r="24" spans="1:49" ht="18" customHeight="1" x14ac:dyDescent="0.35">
      <c r="A24" s="1"/>
      <c r="B24" s="58" t="s">
        <v>263</v>
      </c>
      <c r="C24" s="34">
        <v>2014.04</v>
      </c>
      <c r="D24" s="31" t="s">
        <v>226</v>
      </c>
      <c r="E24" s="31" t="s">
        <v>262</v>
      </c>
      <c r="F24" s="31" t="s">
        <v>116</v>
      </c>
      <c r="G24" s="31" t="s">
        <v>255</v>
      </c>
      <c r="H24" s="57">
        <v>1983</v>
      </c>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row>
    <row r="25" spans="1:49" ht="18" customHeight="1" x14ac:dyDescent="0.35">
      <c r="A25" s="1"/>
      <c r="B25" s="58" t="s">
        <v>264</v>
      </c>
      <c r="C25" s="34">
        <v>2994.8599999999997</v>
      </c>
      <c r="D25" s="31" t="s">
        <v>226</v>
      </c>
      <c r="E25" s="31" t="s">
        <v>262</v>
      </c>
      <c r="F25" s="31" t="s">
        <v>116</v>
      </c>
      <c r="G25" s="31" t="s">
        <v>255</v>
      </c>
      <c r="H25" s="57">
        <v>1983</v>
      </c>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row>
    <row r="26" spans="1:49" ht="18" customHeight="1" x14ac:dyDescent="0.35">
      <c r="A26" s="1"/>
      <c r="B26" s="58" t="s">
        <v>265</v>
      </c>
      <c r="C26" s="34">
        <v>3469.0099999999998</v>
      </c>
      <c r="D26" s="31" t="s">
        <v>226</v>
      </c>
      <c r="E26" s="31" t="s">
        <v>227</v>
      </c>
      <c r="F26" s="31" t="s">
        <v>229</v>
      </c>
      <c r="G26" s="31" t="s">
        <v>230</v>
      </c>
      <c r="H26" s="57">
        <v>1984</v>
      </c>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row>
    <row r="27" spans="1:49" ht="18" customHeight="1" x14ac:dyDescent="0.35">
      <c r="A27" s="1"/>
      <c r="B27" s="58" t="s">
        <v>267</v>
      </c>
      <c r="C27" s="34">
        <v>4877.2299999999996</v>
      </c>
      <c r="D27" s="31" t="s">
        <v>226</v>
      </c>
      <c r="E27" s="31" t="s">
        <v>266</v>
      </c>
      <c r="F27" s="31" t="s">
        <v>268</v>
      </c>
      <c r="G27" s="31" t="s">
        <v>269</v>
      </c>
      <c r="H27" s="57">
        <v>1985</v>
      </c>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row>
    <row r="28" spans="1:49" ht="18" customHeight="1" x14ac:dyDescent="0.35">
      <c r="A28" s="1"/>
      <c r="B28" s="58" t="s">
        <v>270</v>
      </c>
      <c r="C28" s="34">
        <v>3095</v>
      </c>
      <c r="D28" s="31" t="s">
        <v>231</v>
      </c>
      <c r="E28" s="31" t="s">
        <v>240</v>
      </c>
      <c r="F28" s="31" t="s">
        <v>242</v>
      </c>
      <c r="G28" s="31" t="s">
        <v>230</v>
      </c>
      <c r="H28" s="57">
        <v>1985</v>
      </c>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row>
    <row r="29" spans="1:49" ht="18" customHeight="1" x14ac:dyDescent="0.35">
      <c r="A29" s="1"/>
      <c r="B29" s="58" t="s">
        <v>271</v>
      </c>
      <c r="C29" s="34">
        <v>3356.9300000000003</v>
      </c>
      <c r="D29" s="31" t="s">
        <v>231</v>
      </c>
      <c r="E29" s="31" t="s">
        <v>240</v>
      </c>
      <c r="F29" s="31" t="s">
        <v>242</v>
      </c>
      <c r="G29" s="31" t="s">
        <v>230</v>
      </c>
      <c r="H29" s="57">
        <v>1985</v>
      </c>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row>
    <row r="30" spans="1:49" ht="18" customHeight="1" x14ac:dyDescent="0.35">
      <c r="A30" s="1"/>
      <c r="B30" s="58" t="s">
        <v>272</v>
      </c>
      <c r="C30" s="34">
        <v>4305.25</v>
      </c>
      <c r="D30" s="31" t="s">
        <v>226</v>
      </c>
      <c r="E30" s="31" t="s">
        <v>266</v>
      </c>
      <c r="F30" s="31" t="s">
        <v>268</v>
      </c>
      <c r="G30" s="31" t="s">
        <v>269</v>
      </c>
      <c r="H30" s="57">
        <v>1985</v>
      </c>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row>
    <row r="31" spans="1:49" ht="18" customHeight="1" x14ac:dyDescent="0.35">
      <c r="A31" s="1"/>
      <c r="B31" s="58" t="s">
        <v>274</v>
      </c>
      <c r="C31" s="34">
        <v>3142.94</v>
      </c>
      <c r="D31" s="31" t="s">
        <v>226</v>
      </c>
      <c r="E31" s="31" t="s">
        <v>273</v>
      </c>
      <c r="F31" s="31" t="s">
        <v>275</v>
      </c>
      <c r="G31" s="31" t="s">
        <v>269</v>
      </c>
      <c r="H31" s="57">
        <v>1986</v>
      </c>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row>
    <row r="32" spans="1:49" ht="18" customHeight="1" x14ac:dyDescent="0.35">
      <c r="A32" s="1"/>
      <c r="B32" s="58" t="s">
        <v>277</v>
      </c>
      <c r="C32" s="34">
        <v>2953</v>
      </c>
      <c r="D32" s="31" t="s">
        <v>226</v>
      </c>
      <c r="E32" s="31" t="s">
        <v>276</v>
      </c>
      <c r="F32" s="31" t="s">
        <v>242</v>
      </c>
      <c r="G32" s="31" t="s">
        <v>230</v>
      </c>
      <c r="H32" s="57">
        <v>1986</v>
      </c>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row>
    <row r="33" spans="1:49" ht="18" customHeight="1" x14ac:dyDescent="0.35">
      <c r="A33" s="1"/>
      <c r="B33" s="58" t="s">
        <v>279</v>
      </c>
      <c r="C33" s="34">
        <v>2013.66</v>
      </c>
      <c r="D33" s="31" t="s">
        <v>226</v>
      </c>
      <c r="E33" s="31" t="s">
        <v>278</v>
      </c>
      <c r="F33" s="31" t="s">
        <v>229</v>
      </c>
      <c r="G33" s="31" t="s">
        <v>230</v>
      </c>
      <c r="H33" s="57">
        <v>1987</v>
      </c>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row>
    <row r="34" spans="1:49" ht="18" customHeight="1" x14ac:dyDescent="0.35">
      <c r="A34" s="1"/>
      <c r="B34" s="58" t="s">
        <v>280</v>
      </c>
      <c r="C34" s="34">
        <v>3379.15</v>
      </c>
      <c r="D34" s="31" t="s">
        <v>231</v>
      </c>
      <c r="E34" s="31" t="s">
        <v>273</v>
      </c>
      <c r="F34" s="31" t="s">
        <v>275</v>
      </c>
      <c r="G34" s="31" t="s">
        <v>269</v>
      </c>
      <c r="H34" s="57">
        <v>1987</v>
      </c>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row>
    <row r="35" spans="1:49" ht="18" customHeight="1" x14ac:dyDescent="0.35">
      <c r="A35" s="1"/>
      <c r="B35" s="58" t="s">
        <v>281</v>
      </c>
      <c r="C35" s="34">
        <v>1786.98</v>
      </c>
      <c r="D35" s="31" t="s">
        <v>226</v>
      </c>
      <c r="E35" s="31" t="s">
        <v>266</v>
      </c>
      <c r="F35" s="31" t="s">
        <v>268</v>
      </c>
      <c r="G35" s="31" t="s">
        <v>269</v>
      </c>
      <c r="H35" s="57">
        <v>1987</v>
      </c>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row>
    <row r="36" spans="1:49" ht="18" customHeight="1" x14ac:dyDescent="0.35">
      <c r="A36" s="1"/>
      <c r="B36" s="58" t="s">
        <v>282</v>
      </c>
      <c r="C36" s="34">
        <v>1638.87</v>
      </c>
      <c r="D36" s="31" t="s">
        <v>226</v>
      </c>
      <c r="E36" s="31" t="s">
        <v>227</v>
      </c>
      <c r="F36" s="31" t="s">
        <v>229</v>
      </c>
      <c r="G36" s="31" t="s">
        <v>230</v>
      </c>
      <c r="H36" s="57">
        <v>1988</v>
      </c>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row>
    <row r="37" spans="1:49" ht="18" customHeight="1" x14ac:dyDescent="0.35">
      <c r="A37" s="1"/>
      <c r="B37" s="58" t="s">
        <v>284</v>
      </c>
      <c r="C37" s="34">
        <v>2423.5500000000002</v>
      </c>
      <c r="D37" s="31" t="s">
        <v>231</v>
      </c>
      <c r="E37" s="31" t="s">
        <v>283</v>
      </c>
      <c r="F37" s="31" t="s">
        <v>229</v>
      </c>
      <c r="G37" s="31" t="s">
        <v>230</v>
      </c>
      <c r="H37" s="57">
        <v>1988</v>
      </c>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row>
    <row r="38" spans="1:49" ht="18" customHeight="1" x14ac:dyDescent="0.35">
      <c r="A38" s="1"/>
      <c r="B38" s="58" t="s">
        <v>285</v>
      </c>
      <c r="C38" s="34">
        <v>2908.11</v>
      </c>
      <c r="D38" s="31" t="s">
        <v>226</v>
      </c>
      <c r="E38" s="31" t="s">
        <v>227</v>
      </c>
      <c r="F38" s="31" t="s">
        <v>229</v>
      </c>
      <c r="G38" s="31" t="s">
        <v>230</v>
      </c>
      <c r="H38" s="57">
        <v>1988</v>
      </c>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row>
    <row r="39" spans="1:49" ht="18" customHeight="1" x14ac:dyDescent="0.35">
      <c r="A39" s="1"/>
      <c r="B39" s="58" t="s">
        <v>286</v>
      </c>
      <c r="C39" s="34">
        <v>3219.17</v>
      </c>
      <c r="D39" s="31" t="s">
        <v>226</v>
      </c>
      <c r="E39" s="31" t="s">
        <v>240</v>
      </c>
      <c r="F39" s="31" t="s">
        <v>242</v>
      </c>
      <c r="G39" s="31" t="s">
        <v>230</v>
      </c>
      <c r="H39" s="57">
        <v>1989</v>
      </c>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row>
    <row r="40" spans="1:49" ht="18" customHeight="1" x14ac:dyDescent="0.35">
      <c r="A40" s="1"/>
      <c r="B40" s="58" t="s">
        <v>288</v>
      </c>
      <c r="C40" s="34">
        <v>2830.71</v>
      </c>
      <c r="D40" s="31" t="s">
        <v>226</v>
      </c>
      <c r="E40" s="31" t="s">
        <v>287</v>
      </c>
      <c r="F40" s="31" t="s">
        <v>289</v>
      </c>
      <c r="G40" s="31" t="s">
        <v>269</v>
      </c>
      <c r="H40" s="57">
        <v>1989</v>
      </c>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row>
    <row r="41" spans="1:49" ht="18" customHeight="1" x14ac:dyDescent="0.35">
      <c r="A41" s="1"/>
      <c r="B41" s="58" t="s">
        <v>291</v>
      </c>
      <c r="C41" s="34">
        <v>1777.71</v>
      </c>
      <c r="D41" s="31" t="s">
        <v>226</v>
      </c>
      <c r="E41" s="31" t="s">
        <v>290</v>
      </c>
      <c r="F41" s="31" t="s">
        <v>229</v>
      </c>
      <c r="G41" s="31" t="s">
        <v>230</v>
      </c>
      <c r="H41" s="57">
        <v>1989</v>
      </c>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row>
    <row r="42" spans="1:49" ht="18" customHeight="1" x14ac:dyDescent="0.35">
      <c r="A42" s="1"/>
      <c r="B42" s="58" t="s">
        <v>292</v>
      </c>
      <c r="C42" s="34">
        <v>2014.56</v>
      </c>
      <c r="D42" s="31" t="s">
        <v>226</v>
      </c>
      <c r="E42" s="31" t="s">
        <v>240</v>
      </c>
      <c r="F42" s="31" t="s">
        <v>242</v>
      </c>
      <c r="G42" s="31" t="s">
        <v>230</v>
      </c>
      <c r="H42" s="57">
        <v>1991</v>
      </c>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row>
    <row r="43" spans="1:49" ht="18" customHeight="1" x14ac:dyDescent="0.35">
      <c r="A43" s="1"/>
      <c r="B43" s="58" t="s">
        <v>293</v>
      </c>
      <c r="C43" s="34">
        <v>2006.15</v>
      </c>
      <c r="D43" s="31" t="s">
        <v>226</v>
      </c>
      <c r="E43" s="31" t="s">
        <v>227</v>
      </c>
      <c r="F43" s="31" t="s">
        <v>229</v>
      </c>
      <c r="G43" s="31" t="s">
        <v>230</v>
      </c>
      <c r="H43" s="57">
        <v>1991</v>
      </c>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row>
    <row r="44" spans="1:49" ht="18" customHeight="1" x14ac:dyDescent="0.35">
      <c r="A44" s="1"/>
      <c r="B44" s="58" t="s">
        <v>294</v>
      </c>
      <c r="C44" s="34">
        <v>2603.0300000000002</v>
      </c>
      <c r="D44" s="31" t="s">
        <v>226</v>
      </c>
      <c r="E44" s="31" t="s">
        <v>227</v>
      </c>
      <c r="F44" s="31" t="s">
        <v>229</v>
      </c>
      <c r="G44" s="31" t="s">
        <v>230</v>
      </c>
      <c r="H44" s="57">
        <v>1991</v>
      </c>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row>
    <row r="45" spans="1:49" ht="18" customHeight="1" x14ac:dyDescent="0.35">
      <c r="A45" s="1"/>
      <c r="B45" s="58" t="s">
        <v>295</v>
      </c>
      <c r="C45" s="34">
        <v>3077.2</v>
      </c>
      <c r="D45" s="31" t="s">
        <v>226</v>
      </c>
      <c r="E45" s="31" t="s">
        <v>243</v>
      </c>
      <c r="F45" s="31" t="s">
        <v>245</v>
      </c>
      <c r="G45" s="31" t="s">
        <v>230</v>
      </c>
      <c r="H45" s="57">
        <v>1991</v>
      </c>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row>
    <row r="46" spans="1:49" ht="18" customHeight="1" x14ac:dyDescent="0.35">
      <c r="A46" s="1"/>
      <c r="B46" s="58" t="s">
        <v>296</v>
      </c>
      <c r="C46" s="34">
        <v>1685.49</v>
      </c>
      <c r="D46" s="31" t="s">
        <v>226</v>
      </c>
      <c r="E46" s="31" t="s">
        <v>243</v>
      </c>
      <c r="F46" s="31" t="s">
        <v>245</v>
      </c>
      <c r="G46" s="31" t="s">
        <v>230</v>
      </c>
      <c r="H46" s="57">
        <v>1991</v>
      </c>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row>
    <row r="47" spans="1:49" ht="18" customHeight="1" x14ac:dyDescent="0.35">
      <c r="A47" s="1"/>
      <c r="B47" s="58" t="s">
        <v>298</v>
      </c>
      <c r="C47" s="34">
        <v>2330.62</v>
      </c>
      <c r="D47" s="31" t="s">
        <v>226</v>
      </c>
      <c r="E47" s="31" t="s">
        <v>297</v>
      </c>
      <c r="F47" s="31" t="s">
        <v>299</v>
      </c>
      <c r="G47" s="31" t="s">
        <v>230</v>
      </c>
      <c r="H47" s="57">
        <v>1993</v>
      </c>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row>
    <row r="48" spans="1:49" ht="18" customHeight="1" x14ac:dyDescent="0.35">
      <c r="A48" s="1"/>
      <c r="B48" s="58" t="s">
        <v>301</v>
      </c>
      <c r="C48" s="34">
        <v>3603.89</v>
      </c>
      <c r="D48" s="31" t="s">
        <v>226</v>
      </c>
      <c r="E48" s="31" t="s">
        <v>300</v>
      </c>
      <c r="F48" s="31" t="s">
        <v>302</v>
      </c>
      <c r="G48" s="31" t="s">
        <v>303</v>
      </c>
      <c r="H48" s="57">
        <v>1993</v>
      </c>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row>
    <row r="49" spans="1:49" ht="18" customHeight="1" x14ac:dyDescent="0.35">
      <c r="A49" s="1"/>
      <c r="B49" s="58" t="s">
        <v>304</v>
      </c>
      <c r="C49" s="34">
        <v>2050.02</v>
      </c>
      <c r="D49" s="31" t="s">
        <v>226</v>
      </c>
      <c r="E49" s="31" t="s">
        <v>238</v>
      </c>
      <c r="F49" s="31" t="s">
        <v>239</v>
      </c>
      <c r="G49" s="31" t="s">
        <v>237</v>
      </c>
      <c r="H49" s="57">
        <v>1993</v>
      </c>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row>
    <row r="50" spans="1:49" ht="18" customHeight="1" x14ac:dyDescent="0.35">
      <c r="A50" s="1"/>
      <c r="B50" s="58" t="s">
        <v>305</v>
      </c>
      <c r="C50" s="34">
        <v>2226.27</v>
      </c>
      <c r="D50" s="31" t="s">
        <v>226</v>
      </c>
      <c r="E50" s="31" t="s">
        <v>227</v>
      </c>
      <c r="F50" s="31" t="s">
        <v>229</v>
      </c>
      <c r="G50" s="31" t="s">
        <v>230</v>
      </c>
      <c r="H50" s="57">
        <v>1994</v>
      </c>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row>
    <row r="51" spans="1:49" ht="18" customHeight="1" x14ac:dyDescent="0.35">
      <c r="A51" s="1"/>
      <c r="B51" s="58" t="s">
        <v>307</v>
      </c>
      <c r="C51" s="34">
        <v>2393.83</v>
      </c>
      <c r="D51" s="31" t="s">
        <v>231</v>
      </c>
      <c r="E51" s="31" t="s">
        <v>306</v>
      </c>
      <c r="F51" s="31" t="s">
        <v>242</v>
      </c>
      <c r="G51" s="31" t="s">
        <v>230</v>
      </c>
      <c r="H51" s="57">
        <v>1994</v>
      </c>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row>
    <row r="52" spans="1:49" ht="18" customHeight="1" x14ac:dyDescent="0.35">
      <c r="A52" s="1"/>
      <c r="B52" s="58" t="s">
        <v>309</v>
      </c>
      <c r="C52" s="34">
        <v>2050.5100000000002</v>
      </c>
      <c r="D52" s="31" t="s">
        <v>231</v>
      </c>
      <c r="E52" s="31" t="s">
        <v>308</v>
      </c>
      <c r="F52" s="31" t="s">
        <v>310</v>
      </c>
      <c r="G52" s="31" t="s">
        <v>269</v>
      </c>
      <c r="H52" s="57">
        <v>1995</v>
      </c>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row>
    <row r="53" spans="1:49" ht="18" customHeight="1" x14ac:dyDescent="0.35">
      <c r="A53" s="1"/>
      <c r="B53" s="58" t="s">
        <v>311</v>
      </c>
      <c r="C53" s="34">
        <v>2616.4299999999998</v>
      </c>
      <c r="D53" s="31" t="s">
        <v>231</v>
      </c>
      <c r="E53" s="31" t="s">
        <v>311</v>
      </c>
      <c r="F53" s="31" t="s">
        <v>242</v>
      </c>
      <c r="G53" s="31" t="s">
        <v>230</v>
      </c>
      <c r="H53" s="57">
        <v>1995</v>
      </c>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row>
    <row r="54" spans="1:49" ht="18" customHeight="1" x14ac:dyDescent="0.35">
      <c r="A54" s="1"/>
      <c r="B54" s="58" t="s">
        <v>312</v>
      </c>
      <c r="C54" s="34">
        <v>2855.02</v>
      </c>
      <c r="D54" s="31" t="s">
        <v>226</v>
      </c>
      <c r="E54" s="31" t="s">
        <v>308</v>
      </c>
      <c r="F54" s="31" t="s">
        <v>310</v>
      </c>
      <c r="G54" s="31" t="s">
        <v>269</v>
      </c>
      <c r="H54" s="57">
        <v>1995</v>
      </c>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row>
    <row r="55" spans="1:49" ht="18" customHeight="1" x14ac:dyDescent="0.35">
      <c r="A55" s="1"/>
      <c r="B55" s="58" t="s">
        <v>313</v>
      </c>
      <c r="C55" s="34">
        <v>2250.3000000000002</v>
      </c>
      <c r="D55" s="31" t="s">
        <v>226</v>
      </c>
      <c r="E55" s="31" t="s">
        <v>234</v>
      </c>
      <c r="F55" s="31" t="s">
        <v>236</v>
      </c>
      <c r="G55" s="31" t="s">
        <v>237</v>
      </c>
      <c r="H55" s="57">
        <v>1996</v>
      </c>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row>
    <row r="56" spans="1:49" ht="18" customHeight="1" x14ac:dyDescent="0.35">
      <c r="A56" s="1"/>
      <c r="B56" s="58" t="s">
        <v>314</v>
      </c>
      <c r="C56" s="34">
        <v>2039.78</v>
      </c>
      <c r="D56" s="31" t="s">
        <v>226</v>
      </c>
      <c r="E56" s="31" t="s">
        <v>273</v>
      </c>
      <c r="F56" s="31" t="s">
        <v>275</v>
      </c>
      <c r="G56" s="31" t="s">
        <v>269</v>
      </c>
      <c r="H56" s="57">
        <v>1997</v>
      </c>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row>
    <row r="57" spans="1:49" ht="18" customHeight="1" x14ac:dyDescent="0.35">
      <c r="A57" s="1"/>
      <c r="B57" s="58" t="s">
        <v>315</v>
      </c>
      <c r="C57" s="34">
        <v>1687.3</v>
      </c>
      <c r="D57" s="31" t="s">
        <v>226</v>
      </c>
      <c r="E57" s="31" t="s">
        <v>246</v>
      </c>
      <c r="F57" s="31" t="s">
        <v>229</v>
      </c>
      <c r="G57" s="31" t="s">
        <v>230</v>
      </c>
      <c r="H57" s="57">
        <v>1997</v>
      </c>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row>
    <row r="58" spans="1:49" ht="18" customHeight="1" x14ac:dyDescent="0.35">
      <c r="A58" s="1"/>
      <c r="B58" s="58" t="s">
        <v>317</v>
      </c>
      <c r="C58" s="34">
        <v>1642.8</v>
      </c>
      <c r="D58" s="31" t="s">
        <v>231</v>
      </c>
      <c r="E58" s="31" t="s">
        <v>316</v>
      </c>
      <c r="F58" s="31" t="s">
        <v>239</v>
      </c>
      <c r="G58" s="31" t="s">
        <v>237</v>
      </c>
      <c r="H58" s="57">
        <v>1997</v>
      </c>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row>
    <row r="59" spans="1:49" ht="18" customHeight="1" x14ac:dyDescent="0.35">
      <c r="A59" s="1"/>
      <c r="B59" s="58" t="s">
        <v>318</v>
      </c>
      <c r="C59" s="34">
        <v>2368.1400000000003</v>
      </c>
      <c r="D59" s="31" t="s">
        <v>226</v>
      </c>
      <c r="E59" s="31" t="s">
        <v>227</v>
      </c>
      <c r="F59" s="31" t="s">
        <v>229</v>
      </c>
      <c r="G59" s="31" t="s">
        <v>230</v>
      </c>
      <c r="H59" s="57">
        <v>1997</v>
      </c>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row>
    <row r="60" spans="1:49" ht="18" customHeight="1" x14ac:dyDescent="0.35">
      <c r="A60" s="1"/>
      <c r="B60" s="58" t="s">
        <v>319</v>
      </c>
      <c r="C60" s="34">
        <v>2044.1</v>
      </c>
      <c r="D60" s="31" t="s">
        <v>226</v>
      </c>
      <c r="E60" s="31" t="s">
        <v>262</v>
      </c>
      <c r="F60" s="31" t="s">
        <v>116</v>
      </c>
      <c r="G60" s="31" t="s">
        <v>255</v>
      </c>
      <c r="H60" s="57">
        <v>1997</v>
      </c>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row>
    <row r="61" spans="1:49" ht="18" customHeight="1" x14ac:dyDescent="0.35">
      <c r="A61" s="1"/>
      <c r="B61" s="58" t="s">
        <v>321</v>
      </c>
      <c r="C61" s="34">
        <v>1996.92</v>
      </c>
      <c r="D61" s="31" t="s">
        <v>226</v>
      </c>
      <c r="E61" s="31" t="s">
        <v>320</v>
      </c>
      <c r="F61" s="31" t="s">
        <v>239</v>
      </c>
      <c r="G61" s="31" t="s">
        <v>237</v>
      </c>
      <c r="H61" s="57">
        <v>1998</v>
      </c>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row>
    <row r="62" spans="1:49" ht="18" customHeight="1" x14ac:dyDescent="0.35">
      <c r="A62" s="1"/>
      <c r="B62" s="58" t="s">
        <v>323</v>
      </c>
      <c r="C62" s="34">
        <v>2297.79</v>
      </c>
      <c r="D62" s="31" t="s">
        <v>231</v>
      </c>
      <c r="E62" s="31" t="s">
        <v>322</v>
      </c>
      <c r="F62" s="31" t="s">
        <v>324</v>
      </c>
      <c r="G62" s="31" t="s">
        <v>269</v>
      </c>
      <c r="H62" s="57">
        <v>1998</v>
      </c>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row>
    <row r="63" spans="1:49" ht="18" customHeight="1" x14ac:dyDescent="0.35">
      <c r="A63" s="1"/>
      <c r="B63" s="58" t="s">
        <v>325</v>
      </c>
      <c r="C63" s="34">
        <v>1997.91</v>
      </c>
      <c r="D63" s="31" t="s">
        <v>226</v>
      </c>
      <c r="E63" s="31" t="s">
        <v>246</v>
      </c>
      <c r="F63" s="31" t="s">
        <v>229</v>
      </c>
      <c r="G63" s="31" t="s">
        <v>230</v>
      </c>
      <c r="H63" s="57">
        <v>1998</v>
      </c>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row>
    <row r="64" spans="1:49" ht="18" customHeight="1" x14ac:dyDescent="0.35">
      <c r="A64" s="1"/>
      <c r="B64" s="58" t="s">
        <v>327</v>
      </c>
      <c r="C64" s="34">
        <v>1843.66</v>
      </c>
      <c r="D64" s="31" t="s">
        <v>226</v>
      </c>
      <c r="E64" s="31" t="s">
        <v>326</v>
      </c>
      <c r="F64" s="31" t="s">
        <v>328</v>
      </c>
      <c r="G64" s="31" t="s">
        <v>269</v>
      </c>
      <c r="H64" s="57">
        <v>1998</v>
      </c>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row>
    <row r="65" spans="1:49" ht="18" customHeight="1" x14ac:dyDescent="0.35">
      <c r="A65" s="1"/>
      <c r="B65" s="58" t="s">
        <v>330</v>
      </c>
      <c r="C65" s="34">
        <v>1979.0700000000002</v>
      </c>
      <c r="D65" s="31" t="s">
        <v>226</v>
      </c>
      <c r="E65" s="31" t="s">
        <v>329</v>
      </c>
      <c r="F65" s="31" t="s">
        <v>229</v>
      </c>
      <c r="G65" s="31" t="s">
        <v>230</v>
      </c>
      <c r="H65" s="57">
        <v>1998</v>
      </c>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ht="18" customHeight="1" x14ac:dyDescent="0.35">
      <c r="A66" s="1"/>
      <c r="B66" s="58" t="s">
        <v>331</v>
      </c>
      <c r="C66" s="34">
        <v>1654.69</v>
      </c>
      <c r="D66" s="31" t="s">
        <v>226</v>
      </c>
      <c r="E66" s="31" t="s">
        <v>227</v>
      </c>
      <c r="F66" s="31" t="s">
        <v>229</v>
      </c>
      <c r="G66" s="31" t="s">
        <v>230</v>
      </c>
      <c r="H66" s="57">
        <v>1999</v>
      </c>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row r="67" spans="1:49" ht="18" customHeight="1" x14ac:dyDescent="0.35">
      <c r="A67" s="1"/>
      <c r="B67" s="58" t="s">
        <v>332</v>
      </c>
      <c r="C67" s="34">
        <v>1992.6</v>
      </c>
      <c r="D67" s="31" t="s">
        <v>226</v>
      </c>
      <c r="E67" s="31" t="s">
        <v>252</v>
      </c>
      <c r="F67" s="31" t="s">
        <v>254</v>
      </c>
      <c r="G67" s="31" t="s">
        <v>255</v>
      </c>
      <c r="H67" s="57">
        <v>2000</v>
      </c>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row>
    <row r="68" spans="1:49" ht="18" customHeight="1" x14ac:dyDescent="0.35">
      <c r="A68" s="1"/>
      <c r="B68" s="58" t="s">
        <v>334</v>
      </c>
      <c r="C68" s="34">
        <v>2693.6899999999996</v>
      </c>
      <c r="D68" s="31" t="s">
        <v>231</v>
      </c>
      <c r="E68" s="31" t="s">
        <v>333</v>
      </c>
      <c r="F68" s="31" t="s">
        <v>335</v>
      </c>
      <c r="G68" s="31" t="s">
        <v>269</v>
      </c>
      <c r="H68" s="57">
        <v>2000</v>
      </c>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row>
    <row r="69" spans="1:49" ht="18" customHeight="1" x14ac:dyDescent="0.35">
      <c r="A69" s="1"/>
      <c r="B69" s="58" t="s">
        <v>337</v>
      </c>
      <c r="C69" s="34">
        <v>2040.23</v>
      </c>
      <c r="D69" s="31" t="s">
        <v>226</v>
      </c>
      <c r="E69" s="31" t="s">
        <v>336</v>
      </c>
      <c r="F69" s="31" t="s">
        <v>268</v>
      </c>
      <c r="G69" s="31" t="s">
        <v>269</v>
      </c>
      <c r="H69" s="57">
        <v>2000</v>
      </c>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row>
    <row r="70" spans="1:49" ht="18" customHeight="1" x14ac:dyDescent="0.35">
      <c r="A70" s="1"/>
      <c r="B70" s="58" t="s">
        <v>338</v>
      </c>
      <c r="C70" s="34">
        <v>1221</v>
      </c>
      <c r="D70" s="31" t="s">
        <v>226</v>
      </c>
      <c r="E70" s="31" t="s">
        <v>234</v>
      </c>
      <c r="F70" s="31" t="s">
        <v>236</v>
      </c>
      <c r="G70" s="31" t="s">
        <v>237</v>
      </c>
      <c r="H70" s="57">
        <v>2000</v>
      </c>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row>
    <row r="71" spans="1:49" ht="18" customHeight="1" x14ac:dyDescent="0.35">
      <c r="A71" s="1"/>
      <c r="B71" s="58" t="s">
        <v>339</v>
      </c>
      <c r="C71" s="34">
        <v>1828.13</v>
      </c>
      <c r="D71" s="31" t="s">
        <v>226</v>
      </c>
      <c r="E71" s="31" t="s">
        <v>262</v>
      </c>
      <c r="F71" s="31" t="s">
        <v>116</v>
      </c>
      <c r="G71" s="31" t="s">
        <v>255</v>
      </c>
      <c r="H71" s="57">
        <v>2000</v>
      </c>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row>
    <row r="72" spans="1:49" ht="18" customHeight="1" x14ac:dyDescent="0.35">
      <c r="A72" s="1"/>
      <c r="B72" s="58" t="s">
        <v>340</v>
      </c>
      <c r="C72" s="34">
        <v>1819</v>
      </c>
      <c r="D72" s="31" t="s">
        <v>226</v>
      </c>
      <c r="E72" s="31" t="s">
        <v>240</v>
      </c>
      <c r="F72" s="31" t="s">
        <v>242</v>
      </c>
      <c r="G72" s="31" t="s">
        <v>230</v>
      </c>
      <c r="H72" s="57">
        <v>2000</v>
      </c>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row>
    <row r="73" spans="1:49" ht="18" customHeight="1" x14ac:dyDescent="0.35">
      <c r="A73" s="1"/>
      <c r="B73" s="58" t="s">
        <v>342</v>
      </c>
      <c r="C73" s="34">
        <v>2178.1899999999996</v>
      </c>
      <c r="D73" s="31" t="s">
        <v>226</v>
      </c>
      <c r="E73" s="31" t="s">
        <v>341</v>
      </c>
      <c r="F73" s="31" t="s">
        <v>343</v>
      </c>
      <c r="G73" s="31" t="s">
        <v>303</v>
      </c>
      <c r="H73" s="57">
        <v>2000</v>
      </c>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row>
    <row r="74" spans="1:49" ht="18" customHeight="1" x14ac:dyDescent="0.35">
      <c r="A74" s="1"/>
      <c r="B74" s="58" t="s">
        <v>344</v>
      </c>
      <c r="C74" s="34">
        <v>1726.02</v>
      </c>
      <c r="D74" s="31" t="s">
        <v>226</v>
      </c>
      <c r="E74" s="31" t="s">
        <v>240</v>
      </c>
      <c r="F74" s="31" t="s">
        <v>242</v>
      </c>
      <c r="G74" s="31" t="s">
        <v>230</v>
      </c>
      <c r="H74" s="57">
        <v>2001</v>
      </c>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row>
    <row r="75" spans="1:49" ht="18" customHeight="1" x14ac:dyDescent="0.35">
      <c r="A75" s="1"/>
      <c r="B75" s="58" t="s">
        <v>346</v>
      </c>
      <c r="C75" s="34">
        <v>2364.91</v>
      </c>
      <c r="D75" s="31" t="s">
        <v>226</v>
      </c>
      <c r="E75" s="31" t="s">
        <v>345</v>
      </c>
      <c r="F75" s="31" t="s">
        <v>275</v>
      </c>
      <c r="G75" s="31" t="s">
        <v>269</v>
      </c>
      <c r="H75" s="57">
        <v>2001</v>
      </c>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row>
    <row r="76" spans="1:49" ht="18" customHeight="1" x14ac:dyDescent="0.35">
      <c r="A76" s="1"/>
      <c r="B76" s="58" t="s">
        <v>341</v>
      </c>
      <c r="C76" s="34">
        <v>3306.2699999999995</v>
      </c>
      <c r="D76" s="31" t="s">
        <v>231</v>
      </c>
      <c r="E76" s="31" t="s">
        <v>341</v>
      </c>
      <c r="F76" s="31" t="s">
        <v>343</v>
      </c>
      <c r="G76" s="31" t="s">
        <v>303</v>
      </c>
      <c r="H76" s="57">
        <v>2001</v>
      </c>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row>
    <row r="77" spans="1:49" ht="18" customHeight="1" x14ac:dyDescent="0.35">
      <c r="A77" s="1"/>
      <c r="B77" s="58" t="s">
        <v>347</v>
      </c>
      <c r="C77" s="34">
        <v>2319.6</v>
      </c>
      <c r="D77" s="31" t="s">
        <v>226</v>
      </c>
      <c r="E77" s="31" t="s">
        <v>232</v>
      </c>
      <c r="F77" s="31" t="s">
        <v>229</v>
      </c>
      <c r="G77" s="31" t="s">
        <v>230</v>
      </c>
      <c r="H77" s="57">
        <v>2002</v>
      </c>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row>
    <row r="78" spans="1:49" ht="18" customHeight="1" x14ac:dyDescent="0.35">
      <c r="A78" s="1"/>
      <c r="B78" s="58" t="s">
        <v>348</v>
      </c>
      <c r="C78" s="34">
        <v>2306.35</v>
      </c>
      <c r="D78" s="31" t="s">
        <v>226</v>
      </c>
      <c r="E78" s="31" t="s">
        <v>240</v>
      </c>
      <c r="F78" s="31" t="s">
        <v>242</v>
      </c>
      <c r="G78" s="31" t="s">
        <v>230</v>
      </c>
      <c r="H78" s="57">
        <v>2002</v>
      </c>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row>
    <row r="79" spans="1:49" ht="18" customHeight="1" x14ac:dyDescent="0.35">
      <c r="A79" s="1"/>
      <c r="B79" s="58" t="s">
        <v>350</v>
      </c>
      <c r="C79" s="34">
        <v>2311.36</v>
      </c>
      <c r="D79" s="31" t="s">
        <v>226</v>
      </c>
      <c r="E79" s="31" t="s">
        <v>349</v>
      </c>
      <c r="F79" s="31" t="s">
        <v>229</v>
      </c>
      <c r="G79" s="31" t="s">
        <v>230</v>
      </c>
      <c r="H79" s="57">
        <v>2002</v>
      </c>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row>
    <row r="80" spans="1:49" ht="18" customHeight="1" x14ac:dyDescent="0.35">
      <c r="A80" s="1"/>
      <c r="B80" s="58" t="s">
        <v>352</v>
      </c>
      <c r="C80" s="34">
        <v>2048.0300000000002</v>
      </c>
      <c r="D80" s="31" t="s">
        <v>226</v>
      </c>
      <c r="E80" s="31" t="s">
        <v>351</v>
      </c>
      <c r="F80" s="31" t="s">
        <v>299</v>
      </c>
      <c r="G80" s="31" t="s">
        <v>230</v>
      </c>
      <c r="H80" s="57">
        <v>2002</v>
      </c>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row>
    <row r="81" spans="1:49" ht="18" customHeight="1" x14ac:dyDescent="0.35">
      <c r="A81" s="1"/>
      <c r="B81" s="58" t="s">
        <v>354</v>
      </c>
      <c r="C81" s="34">
        <v>1611.62</v>
      </c>
      <c r="D81" s="31" t="s">
        <v>226</v>
      </c>
      <c r="E81" s="31" t="s">
        <v>353</v>
      </c>
      <c r="F81" s="31" t="s">
        <v>229</v>
      </c>
      <c r="G81" s="31" t="s">
        <v>230</v>
      </c>
      <c r="H81" s="57">
        <v>2002</v>
      </c>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row>
    <row r="82" spans="1:49" ht="18" customHeight="1" x14ac:dyDescent="0.35">
      <c r="A82" s="1"/>
      <c r="B82" s="58" t="s">
        <v>356</v>
      </c>
      <c r="C82" s="34">
        <v>2347.0100000000002</v>
      </c>
      <c r="D82" s="31" t="s">
        <v>226</v>
      </c>
      <c r="E82" s="31" t="s">
        <v>355</v>
      </c>
      <c r="F82" s="31" t="s">
        <v>324</v>
      </c>
      <c r="G82" s="31" t="s">
        <v>269</v>
      </c>
      <c r="H82" s="57">
        <v>2002</v>
      </c>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row>
    <row r="83" spans="1:49" ht="18" customHeight="1" x14ac:dyDescent="0.35">
      <c r="A83" s="1"/>
      <c r="B83" s="58" t="s">
        <v>358</v>
      </c>
      <c r="C83" s="34">
        <v>1202.97</v>
      </c>
      <c r="D83" s="31" t="s">
        <v>226</v>
      </c>
      <c r="E83" s="31" t="s">
        <v>357</v>
      </c>
      <c r="F83" s="31" t="s">
        <v>242</v>
      </c>
      <c r="G83" s="31" t="s">
        <v>230</v>
      </c>
      <c r="H83" s="57">
        <v>2003</v>
      </c>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row>
    <row r="84" spans="1:49" ht="18" customHeight="1" x14ac:dyDescent="0.35">
      <c r="A84" s="1"/>
      <c r="B84" s="58" t="s">
        <v>359</v>
      </c>
      <c r="C84" s="34">
        <v>1709.07</v>
      </c>
      <c r="D84" s="31" t="s">
        <v>226</v>
      </c>
      <c r="E84" s="31" t="s">
        <v>240</v>
      </c>
      <c r="F84" s="31" t="s">
        <v>242</v>
      </c>
      <c r="G84" s="31" t="s">
        <v>230</v>
      </c>
      <c r="H84" s="57">
        <v>2003</v>
      </c>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row>
    <row r="85" spans="1:49" ht="18" customHeight="1" x14ac:dyDescent="0.35">
      <c r="A85" s="1"/>
      <c r="B85" s="58" t="s">
        <v>360</v>
      </c>
      <c r="C85" s="34">
        <v>2897.73</v>
      </c>
      <c r="D85" s="31" t="s">
        <v>231</v>
      </c>
      <c r="E85" s="31" t="s">
        <v>243</v>
      </c>
      <c r="F85" s="31" t="s">
        <v>245</v>
      </c>
      <c r="G85" s="31" t="s">
        <v>230</v>
      </c>
      <c r="H85" s="57">
        <v>2003</v>
      </c>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row>
    <row r="86" spans="1:49" ht="18" customHeight="1" x14ac:dyDescent="0.35">
      <c r="A86" s="1"/>
      <c r="B86" s="58" t="s">
        <v>362</v>
      </c>
      <c r="C86" s="34">
        <v>2170.5300000000002</v>
      </c>
      <c r="D86" s="31" t="s">
        <v>226</v>
      </c>
      <c r="E86" s="31" t="s">
        <v>361</v>
      </c>
      <c r="F86" s="31" t="s">
        <v>363</v>
      </c>
      <c r="G86" s="31" t="s">
        <v>255</v>
      </c>
      <c r="H86" s="57">
        <v>2003</v>
      </c>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row>
    <row r="87" spans="1:49" ht="18" customHeight="1" x14ac:dyDescent="0.35">
      <c r="A87" s="1"/>
      <c r="B87" s="58" t="s">
        <v>364</v>
      </c>
      <c r="C87" s="34">
        <v>2044</v>
      </c>
      <c r="D87" s="31" t="s">
        <v>231</v>
      </c>
      <c r="E87" s="31" t="s">
        <v>329</v>
      </c>
      <c r="F87" s="31" t="s">
        <v>229</v>
      </c>
      <c r="G87" s="31" t="s">
        <v>230</v>
      </c>
      <c r="H87" s="57">
        <v>2003</v>
      </c>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row>
    <row r="88" spans="1:49" ht="18" customHeight="1" x14ac:dyDescent="0.35">
      <c r="A88" s="1"/>
      <c r="B88" s="58" t="s">
        <v>365</v>
      </c>
      <c r="C88" s="34">
        <v>3219.0299999999997</v>
      </c>
      <c r="D88" s="31" t="s">
        <v>226</v>
      </c>
      <c r="E88" s="31" t="s">
        <v>300</v>
      </c>
      <c r="F88" s="31" t="s">
        <v>302</v>
      </c>
      <c r="G88" s="31" t="s">
        <v>303</v>
      </c>
      <c r="H88" s="57">
        <v>2003</v>
      </c>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row>
    <row r="89" spans="1:49" ht="18" customHeight="1" x14ac:dyDescent="0.35">
      <c r="A89" s="1"/>
      <c r="B89" s="58" t="s">
        <v>367</v>
      </c>
      <c r="C89" s="34">
        <v>2179.5699999999997</v>
      </c>
      <c r="D89" s="31" t="s">
        <v>226</v>
      </c>
      <c r="E89" s="31" t="s">
        <v>366</v>
      </c>
      <c r="F89" s="31" t="s">
        <v>229</v>
      </c>
      <c r="G89" s="31" t="s">
        <v>230</v>
      </c>
      <c r="H89" s="57">
        <v>2003</v>
      </c>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row>
    <row r="90" spans="1:49" ht="18" customHeight="1" x14ac:dyDescent="0.35">
      <c r="A90" s="1"/>
      <c r="B90" s="58" t="s">
        <v>368</v>
      </c>
      <c r="C90" s="34">
        <v>2387.04</v>
      </c>
      <c r="D90" s="31" t="s">
        <v>226</v>
      </c>
      <c r="E90" s="31" t="s">
        <v>234</v>
      </c>
      <c r="F90" s="31" t="s">
        <v>236</v>
      </c>
      <c r="G90" s="31" t="s">
        <v>237</v>
      </c>
      <c r="H90" s="57">
        <v>2003</v>
      </c>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row>
    <row r="91" spans="1:49" ht="18" customHeight="1" x14ac:dyDescent="0.35">
      <c r="A91" s="1"/>
      <c r="B91" s="58" t="s">
        <v>370</v>
      </c>
      <c r="C91" s="34">
        <v>1944.8000000000002</v>
      </c>
      <c r="D91" s="31" t="s">
        <v>231</v>
      </c>
      <c r="E91" s="31" t="s">
        <v>369</v>
      </c>
      <c r="F91" s="31" t="s">
        <v>229</v>
      </c>
      <c r="G91" s="31" t="s">
        <v>230</v>
      </c>
      <c r="H91" s="57">
        <v>2003</v>
      </c>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row>
    <row r="92" spans="1:49" ht="18" customHeight="1" x14ac:dyDescent="0.35">
      <c r="A92" s="1"/>
      <c r="B92" s="58" t="s">
        <v>372</v>
      </c>
      <c r="C92" s="34">
        <v>1974.24</v>
      </c>
      <c r="D92" s="31" t="s">
        <v>226</v>
      </c>
      <c r="E92" s="31" t="s">
        <v>371</v>
      </c>
      <c r="F92" s="31" t="s">
        <v>245</v>
      </c>
      <c r="G92" s="31" t="s">
        <v>230</v>
      </c>
      <c r="H92" s="57">
        <v>2003</v>
      </c>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row>
    <row r="93" spans="1:49" ht="18" customHeight="1" x14ac:dyDescent="0.35">
      <c r="A93" s="1"/>
      <c r="B93" s="58" t="s">
        <v>374</v>
      </c>
      <c r="C93" s="34">
        <v>1684.18</v>
      </c>
      <c r="D93" s="31" t="s">
        <v>226</v>
      </c>
      <c r="E93" s="31" t="s">
        <v>373</v>
      </c>
      <c r="F93" s="31" t="s">
        <v>242</v>
      </c>
      <c r="G93" s="31" t="s">
        <v>230</v>
      </c>
      <c r="H93" s="57">
        <v>2004</v>
      </c>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row>
    <row r="94" spans="1:49" ht="18" customHeight="1" x14ac:dyDescent="0.35">
      <c r="A94" s="1"/>
      <c r="B94" s="58" t="s">
        <v>376</v>
      </c>
      <c r="C94" s="34">
        <v>1917.54</v>
      </c>
      <c r="D94" s="31" t="s">
        <v>226</v>
      </c>
      <c r="E94" s="31" t="s">
        <v>375</v>
      </c>
      <c r="F94" s="31" t="s">
        <v>242</v>
      </c>
      <c r="G94" s="31" t="s">
        <v>230</v>
      </c>
      <c r="H94" s="57">
        <v>2004</v>
      </c>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row>
    <row r="95" spans="1:49" ht="18" customHeight="1" x14ac:dyDescent="0.35">
      <c r="A95" s="1"/>
      <c r="B95" s="58" t="s">
        <v>378</v>
      </c>
      <c r="C95" s="34">
        <v>1905.87</v>
      </c>
      <c r="D95" s="31" t="s">
        <v>226</v>
      </c>
      <c r="E95" s="31" t="s">
        <v>377</v>
      </c>
      <c r="F95" s="31" t="s">
        <v>254</v>
      </c>
      <c r="G95" s="31" t="s">
        <v>255</v>
      </c>
      <c r="H95" s="57">
        <v>2004</v>
      </c>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row>
    <row r="96" spans="1:49" ht="18" customHeight="1" x14ac:dyDescent="0.35">
      <c r="A96" s="1"/>
      <c r="B96" s="58" t="s">
        <v>379</v>
      </c>
      <c r="C96" s="34">
        <v>1799.52</v>
      </c>
      <c r="D96" s="31" t="s">
        <v>226</v>
      </c>
      <c r="E96" s="31" t="s">
        <v>227</v>
      </c>
      <c r="F96" s="31" t="s">
        <v>229</v>
      </c>
      <c r="G96" s="31" t="s">
        <v>230</v>
      </c>
      <c r="H96" s="57">
        <v>2004</v>
      </c>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row>
    <row r="97" spans="1:49" ht="18" customHeight="1" x14ac:dyDescent="0.35">
      <c r="A97" s="1"/>
      <c r="B97" s="58" t="s">
        <v>380</v>
      </c>
      <c r="C97" s="34">
        <v>2033.78</v>
      </c>
      <c r="D97" s="31" t="s">
        <v>226</v>
      </c>
      <c r="E97" s="31" t="s">
        <v>227</v>
      </c>
      <c r="F97" s="31" t="s">
        <v>229</v>
      </c>
      <c r="G97" s="31" t="s">
        <v>230</v>
      </c>
      <c r="H97" s="57">
        <v>2004</v>
      </c>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row>
    <row r="98" spans="1:49" ht="18" customHeight="1" x14ac:dyDescent="0.35">
      <c r="A98" s="1"/>
      <c r="B98" s="58" t="s">
        <v>382</v>
      </c>
      <c r="C98" s="34">
        <v>1718</v>
      </c>
      <c r="D98" s="31" t="s">
        <v>226</v>
      </c>
      <c r="E98" s="31" t="s">
        <v>381</v>
      </c>
      <c r="F98" s="31" t="s">
        <v>245</v>
      </c>
      <c r="G98" s="31" t="s">
        <v>230</v>
      </c>
      <c r="H98" s="57">
        <v>2004</v>
      </c>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row>
    <row r="99" spans="1:49" ht="18" customHeight="1" x14ac:dyDescent="0.35">
      <c r="A99" s="1"/>
      <c r="B99" s="58" t="s">
        <v>384</v>
      </c>
      <c r="C99" s="34">
        <v>1523.56</v>
      </c>
      <c r="D99" s="31" t="s">
        <v>226</v>
      </c>
      <c r="E99" s="31" t="s">
        <v>383</v>
      </c>
      <c r="F99" s="31" t="s">
        <v>385</v>
      </c>
      <c r="G99" s="31" t="s">
        <v>237</v>
      </c>
      <c r="H99" s="57">
        <v>2004</v>
      </c>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row>
    <row r="100" spans="1:49" ht="18" customHeight="1" x14ac:dyDescent="0.35">
      <c r="A100" s="1"/>
      <c r="B100" s="58" t="s">
        <v>386</v>
      </c>
      <c r="C100" s="34">
        <v>1314.16</v>
      </c>
      <c r="D100" s="31" t="s">
        <v>226</v>
      </c>
      <c r="E100" s="31" t="s">
        <v>240</v>
      </c>
      <c r="F100" s="31" t="s">
        <v>242</v>
      </c>
      <c r="G100" s="31" t="s">
        <v>230</v>
      </c>
      <c r="H100" s="57">
        <v>2004</v>
      </c>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row>
    <row r="101" spans="1:49" ht="18" customHeight="1" x14ac:dyDescent="0.35">
      <c r="A101" s="1"/>
      <c r="B101" s="58" t="s">
        <v>388</v>
      </c>
      <c r="C101" s="34">
        <v>2608.0299999999997</v>
      </c>
      <c r="D101" s="31" t="s">
        <v>226</v>
      </c>
      <c r="E101" s="31" t="s">
        <v>387</v>
      </c>
      <c r="F101" s="31" t="s">
        <v>389</v>
      </c>
      <c r="G101" s="31" t="s">
        <v>269</v>
      </c>
      <c r="H101" s="57">
        <v>2005</v>
      </c>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row>
    <row r="102" spans="1:49" ht="18" customHeight="1" x14ac:dyDescent="0.35">
      <c r="A102" s="1"/>
      <c r="B102" s="58" t="s">
        <v>391</v>
      </c>
      <c r="C102" s="34">
        <v>1121.28</v>
      </c>
      <c r="D102" s="31" t="s">
        <v>226</v>
      </c>
      <c r="E102" s="31" t="s">
        <v>390</v>
      </c>
      <c r="F102" s="31" t="s">
        <v>229</v>
      </c>
      <c r="G102" s="31" t="s">
        <v>230</v>
      </c>
      <c r="H102" s="57">
        <v>2005</v>
      </c>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row>
    <row r="103" spans="1:49" ht="18" customHeight="1" x14ac:dyDescent="0.35">
      <c r="A103" s="1"/>
      <c r="B103" s="58" t="s">
        <v>392</v>
      </c>
      <c r="C103" s="34">
        <v>1751.52</v>
      </c>
      <c r="D103" s="31" t="s">
        <v>226</v>
      </c>
      <c r="E103" s="31" t="s">
        <v>387</v>
      </c>
      <c r="F103" s="31" t="s">
        <v>389</v>
      </c>
      <c r="G103" s="31" t="s">
        <v>269</v>
      </c>
      <c r="H103" s="57">
        <v>2005</v>
      </c>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row>
    <row r="104" spans="1:49" ht="18" customHeight="1" x14ac:dyDescent="0.35">
      <c r="A104" s="1"/>
      <c r="B104" s="58" t="s">
        <v>393</v>
      </c>
      <c r="C104" s="34">
        <v>1564.03</v>
      </c>
      <c r="D104" s="31" t="s">
        <v>226</v>
      </c>
      <c r="E104" s="31" t="s">
        <v>308</v>
      </c>
      <c r="F104" s="31" t="s">
        <v>310</v>
      </c>
      <c r="G104" s="31" t="s">
        <v>269</v>
      </c>
      <c r="H104" s="57">
        <v>2005</v>
      </c>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row>
    <row r="105" spans="1:49" ht="18" customHeight="1" x14ac:dyDescent="0.35">
      <c r="A105" s="1"/>
      <c r="B105" s="58" t="s">
        <v>394</v>
      </c>
      <c r="C105" s="34">
        <v>1508.78</v>
      </c>
      <c r="D105" s="31" t="s">
        <v>226</v>
      </c>
      <c r="E105" s="31" t="s">
        <v>262</v>
      </c>
      <c r="F105" s="31" t="s">
        <v>116</v>
      </c>
      <c r="G105" s="31" t="s">
        <v>255</v>
      </c>
      <c r="H105" s="57">
        <v>2005</v>
      </c>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row>
    <row r="106" spans="1:49" ht="18" customHeight="1" x14ac:dyDescent="0.35">
      <c r="A106" s="1"/>
      <c r="B106" s="58" t="s">
        <v>396</v>
      </c>
      <c r="C106" s="34">
        <v>1628.74</v>
      </c>
      <c r="D106" s="31" t="s">
        <v>226</v>
      </c>
      <c r="E106" s="31" t="s">
        <v>395</v>
      </c>
      <c r="F106" s="31" t="s">
        <v>229</v>
      </c>
      <c r="G106" s="31" t="s">
        <v>230</v>
      </c>
      <c r="H106" s="57">
        <v>2005</v>
      </c>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row>
    <row r="107" spans="1:49" ht="18" customHeight="1" x14ac:dyDescent="0.35">
      <c r="A107" s="1"/>
      <c r="B107" s="58" t="s">
        <v>398</v>
      </c>
      <c r="C107" s="34">
        <v>1745.3</v>
      </c>
      <c r="D107" s="31" t="s">
        <v>226</v>
      </c>
      <c r="E107" s="31" t="s">
        <v>397</v>
      </c>
      <c r="F107" s="31" t="s">
        <v>229</v>
      </c>
      <c r="G107" s="31" t="s">
        <v>230</v>
      </c>
      <c r="H107" s="57">
        <v>2005</v>
      </c>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row>
    <row r="108" spans="1:49" ht="18" customHeight="1" x14ac:dyDescent="0.35">
      <c r="A108" s="1"/>
      <c r="B108" s="58" t="s">
        <v>400</v>
      </c>
      <c r="C108" s="34">
        <v>1344.34</v>
      </c>
      <c r="D108" s="31" t="s">
        <v>226</v>
      </c>
      <c r="E108" s="31" t="s">
        <v>399</v>
      </c>
      <c r="F108" s="31" t="s">
        <v>236</v>
      </c>
      <c r="G108" s="31" t="s">
        <v>237</v>
      </c>
      <c r="H108" s="57">
        <v>2005</v>
      </c>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row>
    <row r="109" spans="1:49" ht="18" customHeight="1" x14ac:dyDescent="0.35">
      <c r="A109" s="1"/>
      <c r="B109" s="58" t="s">
        <v>402</v>
      </c>
      <c r="C109" s="34">
        <v>1473.93</v>
      </c>
      <c r="D109" s="31" t="s">
        <v>226</v>
      </c>
      <c r="E109" s="31" t="s">
        <v>401</v>
      </c>
      <c r="F109" s="31" t="s">
        <v>275</v>
      </c>
      <c r="G109" s="31" t="s">
        <v>269</v>
      </c>
      <c r="H109" s="57">
        <v>2005</v>
      </c>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row>
    <row r="110" spans="1:49" ht="18" customHeight="1" x14ac:dyDescent="0.35">
      <c r="A110" s="1"/>
      <c r="B110" s="58" t="s">
        <v>404</v>
      </c>
      <c r="C110" s="34">
        <v>2475.2199999999998</v>
      </c>
      <c r="D110" s="31" t="s">
        <v>231</v>
      </c>
      <c r="E110" s="31" t="s">
        <v>403</v>
      </c>
      <c r="F110" s="31" t="s">
        <v>405</v>
      </c>
      <c r="G110" s="31" t="s">
        <v>269</v>
      </c>
      <c r="H110" s="57">
        <v>2005</v>
      </c>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row>
    <row r="111" spans="1:49" ht="18" customHeight="1" x14ac:dyDescent="0.35">
      <c r="A111" s="1"/>
      <c r="B111" s="58" t="s">
        <v>406</v>
      </c>
      <c r="C111" s="34">
        <v>989.59</v>
      </c>
      <c r="D111" s="31" t="s">
        <v>226</v>
      </c>
      <c r="E111" s="31" t="s">
        <v>227</v>
      </c>
      <c r="F111" s="31" t="s">
        <v>229</v>
      </c>
      <c r="G111" s="31" t="s">
        <v>230</v>
      </c>
      <c r="H111" s="57">
        <v>2006</v>
      </c>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row>
    <row r="112" spans="1:49" ht="18" customHeight="1" x14ac:dyDescent="0.35">
      <c r="A112" s="1"/>
      <c r="B112" s="58" t="s">
        <v>407</v>
      </c>
      <c r="C112" s="34">
        <v>2576.54</v>
      </c>
      <c r="D112" s="31" t="s">
        <v>231</v>
      </c>
      <c r="E112" s="31" t="s">
        <v>287</v>
      </c>
      <c r="F112" s="31" t="s">
        <v>289</v>
      </c>
      <c r="G112" s="31" t="s">
        <v>269</v>
      </c>
      <c r="H112" s="57">
        <v>2006</v>
      </c>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row>
    <row r="113" spans="1:49" ht="18" customHeight="1" x14ac:dyDescent="0.35">
      <c r="A113" s="1"/>
      <c r="B113" s="58" t="s">
        <v>408</v>
      </c>
      <c r="C113" s="34">
        <v>1670.72</v>
      </c>
      <c r="D113" s="31" t="s">
        <v>226</v>
      </c>
      <c r="E113" s="31" t="s">
        <v>227</v>
      </c>
      <c r="F113" s="31" t="s">
        <v>229</v>
      </c>
      <c r="G113" s="31" t="s">
        <v>230</v>
      </c>
      <c r="H113" s="57">
        <v>2006</v>
      </c>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row>
    <row r="114" spans="1:49" ht="18" customHeight="1" x14ac:dyDescent="0.35">
      <c r="A114" s="1"/>
      <c r="B114" s="58" t="s">
        <v>410</v>
      </c>
      <c r="C114" s="34">
        <v>1158.69</v>
      </c>
      <c r="D114" s="31" t="s">
        <v>226</v>
      </c>
      <c r="E114" s="31" t="s">
        <v>409</v>
      </c>
      <c r="F114" s="31" t="s">
        <v>229</v>
      </c>
      <c r="G114" s="31" t="s">
        <v>230</v>
      </c>
      <c r="H114" s="57">
        <v>2006</v>
      </c>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row>
    <row r="115" spans="1:49" ht="18" customHeight="1" x14ac:dyDescent="0.35">
      <c r="A115" s="1"/>
      <c r="B115" s="58" t="s">
        <v>412</v>
      </c>
      <c r="C115" s="34">
        <v>1040.25</v>
      </c>
      <c r="D115" s="31" t="s">
        <v>226</v>
      </c>
      <c r="E115" s="31" t="s">
        <v>411</v>
      </c>
      <c r="F115" s="31" t="s">
        <v>229</v>
      </c>
      <c r="G115" s="31" t="s">
        <v>230</v>
      </c>
      <c r="H115" s="57">
        <v>2006</v>
      </c>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row>
    <row r="116" spans="1:49" ht="18" customHeight="1" x14ac:dyDescent="0.35">
      <c r="A116" s="1"/>
      <c r="B116" s="58" t="s">
        <v>414</v>
      </c>
      <c r="C116" s="34">
        <v>1016.78</v>
      </c>
      <c r="D116" s="31" t="s">
        <v>226</v>
      </c>
      <c r="E116" s="31" t="s">
        <v>413</v>
      </c>
      <c r="F116" s="31" t="s">
        <v>229</v>
      </c>
      <c r="G116" s="31" t="s">
        <v>230</v>
      </c>
      <c r="H116" s="57">
        <v>2006</v>
      </c>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row>
    <row r="117" spans="1:49" ht="18" customHeight="1" x14ac:dyDescent="0.35">
      <c r="A117" s="1"/>
      <c r="B117" s="58" t="s">
        <v>415</v>
      </c>
      <c r="C117" s="34">
        <v>1474.48</v>
      </c>
      <c r="D117" s="31" t="s">
        <v>226</v>
      </c>
      <c r="E117" s="31" t="s">
        <v>249</v>
      </c>
      <c r="F117" s="31" t="s">
        <v>229</v>
      </c>
      <c r="G117" s="31" t="s">
        <v>230</v>
      </c>
      <c r="H117" s="57">
        <v>2006</v>
      </c>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row>
    <row r="118" spans="1:49" ht="18" customHeight="1" x14ac:dyDescent="0.35">
      <c r="A118" s="1"/>
      <c r="B118" s="58" t="s">
        <v>416</v>
      </c>
      <c r="C118" s="34">
        <v>1092.4100000000001</v>
      </c>
      <c r="D118" s="31" t="s">
        <v>226</v>
      </c>
      <c r="E118" s="31" t="s">
        <v>240</v>
      </c>
      <c r="F118" s="31" t="s">
        <v>242</v>
      </c>
      <c r="G118" s="31" t="s">
        <v>230</v>
      </c>
      <c r="H118" s="57">
        <v>2006</v>
      </c>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row>
    <row r="119" spans="1:49" ht="18" customHeight="1" x14ac:dyDescent="0.35">
      <c r="A119" s="1"/>
      <c r="B119" s="58" t="s">
        <v>418</v>
      </c>
      <c r="C119" s="34">
        <v>1083.05</v>
      </c>
      <c r="D119" s="31" t="s">
        <v>226</v>
      </c>
      <c r="E119" s="31" t="s">
        <v>417</v>
      </c>
      <c r="F119" s="31" t="s">
        <v>229</v>
      </c>
      <c r="G119" s="31" t="s">
        <v>230</v>
      </c>
      <c r="H119" s="57">
        <v>2006</v>
      </c>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row>
    <row r="120" spans="1:49" ht="18" customHeight="1" x14ac:dyDescent="0.35">
      <c r="A120" s="1"/>
      <c r="B120" s="58" t="s">
        <v>419</v>
      </c>
      <c r="C120" s="34">
        <v>1897.89</v>
      </c>
      <c r="D120" s="31" t="s">
        <v>231</v>
      </c>
      <c r="E120" s="31" t="s">
        <v>419</v>
      </c>
      <c r="F120" s="31" t="s">
        <v>245</v>
      </c>
      <c r="G120" s="31" t="s">
        <v>230</v>
      </c>
      <c r="H120" s="57">
        <v>2006</v>
      </c>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row>
    <row r="121" spans="1:49" ht="18" customHeight="1" x14ac:dyDescent="0.35">
      <c r="A121" s="1"/>
      <c r="B121" s="58" t="s">
        <v>420</v>
      </c>
      <c r="C121" s="34">
        <v>1862.34</v>
      </c>
      <c r="D121" s="31" t="s">
        <v>226</v>
      </c>
      <c r="E121" s="31" t="s">
        <v>227</v>
      </c>
      <c r="F121" s="31" t="s">
        <v>229</v>
      </c>
      <c r="G121" s="31" t="s">
        <v>230</v>
      </c>
      <c r="H121" s="57">
        <v>2006</v>
      </c>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row>
    <row r="122" spans="1:49" ht="18" customHeight="1" x14ac:dyDescent="0.35">
      <c r="A122" s="1"/>
      <c r="B122" s="58" t="s">
        <v>421</v>
      </c>
      <c r="C122" s="34">
        <v>1961.9899999999998</v>
      </c>
      <c r="D122" s="31" t="s">
        <v>231</v>
      </c>
      <c r="E122" s="31" t="s">
        <v>333</v>
      </c>
      <c r="F122" s="31" t="s">
        <v>335</v>
      </c>
      <c r="G122" s="31" t="s">
        <v>269</v>
      </c>
      <c r="H122" s="57">
        <v>2006</v>
      </c>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row>
    <row r="123" spans="1:49" ht="18" customHeight="1" x14ac:dyDescent="0.35">
      <c r="A123" s="1"/>
      <c r="B123" s="58" t="s">
        <v>422</v>
      </c>
      <c r="C123" s="34">
        <v>1801.37</v>
      </c>
      <c r="D123" s="31" t="s">
        <v>231</v>
      </c>
      <c r="E123" s="31" t="s">
        <v>422</v>
      </c>
      <c r="F123" s="31" t="s">
        <v>324</v>
      </c>
      <c r="G123" s="31" t="s">
        <v>269</v>
      </c>
      <c r="H123" s="57">
        <v>2006</v>
      </c>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row>
    <row r="124" spans="1:49" ht="18" customHeight="1" x14ac:dyDescent="0.35">
      <c r="A124" s="1"/>
      <c r="B124" s="58" t="s">
        <v>423</v>
      </c>
      <c r="C124" s="34">
        <v>1021.77</v>
      </c>
      <c r="D124" s="31" t="s">
        <v>226</v>
      </c>
      <c r="E124" s="31" t="s">
        <v>227</v>
      </c>
      <c r="F124" s="31" t="s">
        <v>229</v>
      </c>
      <c r="G124" s="31" t="s">
        <v>230</v>
      </c>
      <c r="H124" s="57">
        <v>2006</v>
      </c>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row>
    <row r="125" spans="1:49" ht="18" customHeight="1" x14ac:dyDescent="0.35">
      <c r="A125" s="1"/>
      <c r="B125" s="58" t="s">
        <v>425</v>
      </c>
      <c r="C125" s="34">
        <v>1509.81</v>
      </c>
      <c r="D125" s="31" t="s">
        <v>226</v>
      </c>
      <c r="E125" s="31" t="s">
        <v>424</v>
      </c>
      <c r="F125" s="31" t="s">
        <v>385</v>
      </c>
      <c r="G125" s="31" t="s">
        <v>237</v>
      </c>
      <c r="H125" s="57">
        <v>2007</v>
      </c>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row>
    <row r="126" spans="1:49" ht="18" customHeight="1" x14ac:dyDescent="0.35">
      <c r="A126" s="1"/>
      <c r="B126" s="58" t="s">
        <v>426</v>
      </c>
      <c r="C126" s="34">
        <v>1040.49</v>
      </c>
      <c r="D126" s="31" t="s">
        <v>226</v>
      </c>
      <c r="E126" s="31" t="s">
        <v>227</v>
      </c>
      <c r="F126" s="31" t="s">
        <v>229</v>
      </c>
      <c r="G126" s="31" t="s">
        <v>230</v>
      </c>
      <c r="H126" s="57">
        <v>2007</v>
      </c>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row>
    <row r="127" spans="1:49" ht="18" customHeight="1" x14ac:dyDescent="0.35">
      <c r="A127" s="1"/>
      <c r="B127" s="58" t="s">
        <v>428</v>
      </c>
      <c r="C127" s="34">
        <v>1278.28</v>
      </c>
      <c r="D127" s="31" t="s">
        <v>226</v>
      </c>
      <c r="E127" s="31" t="s">
        <v>427</v>
      </c>
      <c r="F127" s="31" t="s">
        <v>229</v>
      </c>
      <c r="G127" s="31" t="s">
        <v>230</v>
      </c>
      <c r="H127" s="57">
        <v>2007</v>
      </c>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row>
    <row r="128" spans="1:49" ht="18" customHeight="1" x14ac:dyDescent="0.35">
      <c r="A128" s="1"/>
      <c r="B128" s="58" t="s">
        <v>430</v>
      </c>
      <c r="C128" s="34">
        <v>1011.99</v>
      </c>
      <c r="D128" s="31" t="s">
        <v>226</v>
      </c>
      <c r="E128" s="31" t="s">
        <v>429</v>
      </c>
      <c r="F128" s="31" t="s">
        <v>229</v>
      </c>
      <c r="G128" s="31" t="s">
        <v>230</v>
      </c>
      <c r="H128" s="57">
        <v>2007</v>
      </c>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row>
    <row r="129" spans="1:49" ht="18" customHeight="1" x14ac:dyDescent="0.35">
      <c r="A129" s="1"/>
      <c r="B129" s="58" t="s">
        <v>431</v>
      </c>
      <c r="C129" s="34">
        <v>2466.58</v>
      </c>
      <c r="D129" s="31" t="s">
        <v>226</v>
      </c>
      <c r="E129" s="31" t="s">
        <v>266</v>
      </c>
      <c r="F129" s="31" t="s">
        <v>268</v>
      </c>
      <c r="G129" s="31" t="s">
        <v>269</v>
      </c>
      <c r="H129" s="57">
        <v>2007</v>
      </c>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row>
    <row r="130" spans="1:49" ht="18" customHeight="1" x14ac:dyDescent="0.35">
      <c r="A130" s="1"/>
      <c r="B130" s="58" t="s">
        <v>432</v>
      </c>
      <c r="C130" s="34">
        <v>1478.89</v>
      </c>
      <c r="D130" s="31" t="s">
        <v>226</v>
      </c>
      <c r="E130" s="31" t="s">
        <v>308</v>
      </c>
      <c r="F130" s="31" t="s">
        <v>310</v>
      </c>
      <c r="G130" s="31" t="s">
        <v>269</v>
      </c>
      <c r="H130" s="57">
        <v>2007</v>
      </c>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row>
    <row r="131" spans="1:49" ht="18" customHeight="1" x14ac:dyDescent="0.35">
      <c r="A131" s="1"/>
      <c r="B131" s="58" t="s">
        <v>433</v>
      </c>
      <c r="C131" s="34">
        <v>1950.99</v>
      </c>
      <c r="D131" s="31" t="s">
        <v>231</v>
      </c>
      <c r="E131" s="31" t="s">
        <v>336</v>
      </c>
      <c r="F131" s="31" t="s">
        <v>268</v>
      </c>
      <c r="G131" s="31" t="s">
        <v>269</v>
      </c>
      <c r="H131" s="57">
        <v>2007</v>
      </c>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row>
    <row r="132" spans="1:49" ht="18" customHeight="1" x14ac:dyDescent="0.35">
      <c r="A132" s="1"/>
      <c r="B132" s="58" t="s">
        <v>435</v>
      </c>
      <c r="C132" s="34">
        <v>1053.69</v>
      </c>
      <c r="D132" s="31" t="s">
        <v>226</v>
      </c>
      <c r="E132" s="31" t="s">
        <v>434</v>
      </c>
      <c r="F132" s="31" t="s">
        <v>229</v>
      </c>
      <c r="G132" s="31" t="s">
        <v>230</v>
      </c>
      <c r="H132" s="57">
        <v>2007</v>
      </c>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row>
    <row r="133" spans="1:49" ht="18" customHeight="1" x14ac:dyDescent="0.35">
      <c r="A133" s="1"/>
      <c r="B133" s="58" t="s">
        <v>436</v>
      </c>
      <c r="C133" s="34">
        <v>1677.32</v>
      </c>
      <c r="D133" s="31" t="s">
        <v>226</v>
      </c>
      <c r="E133" s="31" t="s">
        <v>273</v>
      </c>
      <c r="F133" s="31" t="s">
        <v>275</v>
      </c>
      <c r="G133" s="31" t="s">
        <v>269</v>
      </c>
      <c r="H133" s="57">
        <v>2007</v>
      </c>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row>
    <row r="134" spans="1:49" ht="18" customHeight="1" x14ac:dyDescent="0.35">
      <c r="A134" s="1"/>
      <c r="B134" s="58" t="s">
        <v>437</v>
      </c>
      <c r="C134" s="34">
        <v>1207.6300000000001</v>
      </c>
      <c r="D134" s="31" t="s">
        <v>226</v>
      </c>
      <c r="E134" s="31" t="s">
        <v>278</v>
      </c>
      <c r="F134" s="31" t="s">
        <v>229</v>
      </c>
      <c r="G134" s="31" t="s">
        <v>230</v>
      </c>
      <c r="H134" s="57">
        <v>2007</v>
      </c>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row>
    <row r="135" spans="1:49" ht="18" customHeight="1" x14ac:dyDescent="0.35">
      <c r="A135" s="1"/>
      <c r="B135" s="58" t="s">
        <v>438</v>
      </c>
      <c r="C135" s="34">
        <v>1634.68</v>
      </c>
      <c r="D135" s="31" t="s">
        <v>226</v>
      </c>
      <c r="E135" s="31" t="s">
        <v>227</v>
      </c>
      <c r="F135" s="31" t="s">
        <v>229</v>
      </c>
      <c r="G135" s="31" t="s">
        <v>230</v>
      </c>
      <c r="H135" s="57">
        <v>2007</v>
      </c>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row>
    <row r="136" spans="1:49" ht="18" customHeight="1" x14ac:dyDescent="0.35">
      <c r="A136" s="1"/>
      <c r="B136" s="58" t="s">
        <v>440</v>
      </c>
      <c r="C136" s="34">
        <v>1646.1</v>
      </c>
      <c r="D136" s="31" t="s">
        <v>226</v>
      </c>
      <c r="E136" s="31" t="s">
        <v>439</v>
      </c>
      <c r="F136" s="31" t="s">
        <v>385</v>
      </c>
      <c r="G136" s="31" t="s">
        <v>237</v>
      </c>
      <c r="H136" s="57">
        <v>2007</v>
      </c>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row>
    <row r="137" spans="1:49" ht="18" customHeight="1" x14ac:dyDescent="0.35">
      <c r="A137" s="1"/>
      <c r="B137" s="58" t="s">
        <v>441</v>
      </c>
      <c r="C137" s="34">
        <v>1890.1100000000001</v>
      </c>
      <c r="D137" s="31" t="s">
        <v>231</v>
      </c>
      <c r="E137" s="31" t="s">
        <v>373</v>
      </c>
      <c r="F137" s="31" t="s">
        <v>242</v>
      </c>
      <c r="G137" s="31" t="s">
        <v>230</v>
      </c>
      <c r="H137" s="57">
        <v>2007</v>
      </c>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row>
    <row r="138" spans="1:49" ht="18" customHeight="1" x14ac:dyDescent="0.35">
      <c r="A138" s="1"/>
      <c r="B138" s="58" t="s">
        <v>442</v>
      </c>
      <c r="C138" s="34">
        <v>2069.7800000000002</v>
      </c>
      <c r="D138" s="31" t="s">
        <v>226</v>
      </c>
      <c r="E138" s="31" t="s">
        <v>240</v>
      </c>
      <c r="F138" s="31" t="s">
        <v>242</v>
      </c>
      <c r="G138" s="31" t="s">
        <v>230</v>
      </c>
      <c r="H138" s="57">
        <v>2007</v>
      </c>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row>
    <row r="139" spans="1:49" ht="18" customHeight="1" x14ac:dyDescent="0.35">
      <c r="A139" s="1"/>
      <c r="B139" s="58" t="s">
        <v>443</v>
      </c>
      <c r="C139" s="34">
        <v>2083.96</v>
      </c>
      <c r="D139" s="31" t="s">
        <v>226</v>
      </c>
      <c r="E139" s="31" t="s">
        <v>227</v>
      </c>
      <c r="F139" s="31" t="s">
        <v>229</v>
      </c>
      <c r="G139" s="31" t="s">
        <v>230</v>
      </c>
      <c r="H139" s="57">
        <v>2007</v>
      </c>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row>
    <row r="140" spans="1:49" ht="18" customHeight="1" x14ac:dyDescent="0.35">
      <c r="A140" s="1"/>
      <c r="B140" s="58" t="s">
        <v>445</v>
      </c>
      <c r="C140" s="34">
        <v>1893.44</v>
      </c>
      <c r="D140" s="31" t="s">
        <v>226</v>
      </c>
      <c r="E140" s="31" t="s">
        <v>444</v>
      </c>
      <c r="F140" s="31" t="s">
        <v>446</v>
      </c>
      <c r="G140" s="31" t="s">
        <v>255</v>
      </c>
      <c r="H140" s="57">
        <v>2007</v>
      </c>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row>
    <row r="141" spans="1:49" ht="18" customHeight="1" x14ac:dyDescent="0.35">
      <c r="A141" s="1"/>
      <c r="B141" s="58" t="s">
        <v>447</v>
      </c>
      <c r="C141" s="34">
        <v>1789.74</v>
      </c>
      <c r="D141" s="31" t="s">
        <v>231</v>
      </c>
      <c r="E141" s="31" t="s">
        <v>240</v>
      </c>
      <c r="F141" s="31" t="s">
        <v>242</v>
      </c>
      <c r="G141" s="31" t="s">
        <v>230</v>
      </c>
      <c r="H141" s="57">
        <v>2007</v>
      </c>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row>
    <row r="142" spans="1:49" ht="18" customHeight="1" x14ac:dyDescent="0.35">
      <c r="A142" s="1"/>
      <c r="B142" s="58" t="s">
        <v>449</v>
      </c>
      <c r="C142" s="34">
        <v>1026.2</v>
      </c>
      <c r="D142" s="31" t="s">
        <v>226</v>
      </c>
      <c r="E142" s="31" t="s">
        <v>448</v>
      </c>
      <c r="F142" s="31" t="s">
        <v>229</v>
      </c>
      <c r="G142" s="31" t="s">
        <v>230</v>
      </c>
      <c r="H142" s="57">
        <v>2007</v>
      </c>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row>
    <row r="143" spans="1:49" ht="18" customHeight="1" x14ac:dyDescent="0.35">
      <c r="A143" s="1"/>
      <c r="B143" s="58" t="s">
        <v>450</v>
      </c>
      <c r="C143" s="34">
        <v>1447.37</v>
      </c>
      <c r="D143" s="31" t="s">
        <v>226</v>
      </c>
      <c r="E143" s="31" t="s">
        <v>240</v>
      </c>
      <c r="F143" s="31" t="s">
        <v>242</v>
      </c>
      <c r="G143" s="31" t="s">
        <v>230</v>
      </c>
      <c r="H143" s="57">
        <v>2007</v>
      </c>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row>
    <row r="144" spans="1:49" ht="18" customHeight="1" x14ac:dyDescent="0.35">
      <c r="A144" s="1"/>
      <c r="B144" s="58" t="s">
        <v>452</v>
      </c>
      <c r="C144" s="34">
        <v>1148.49</v>
      </c>
      <c r="D144" s="31" t="s">
        <v>226</v>
      </c>
      <c r="E144" s="31" t="s">
        <v>451</v>
      </c>
      <c r="F144" s="31" t="s">
        <v>229</v>
      </c>
      <c r="G144" s="31" t="s">
        <v>230</v>
      </c>
      <c r="H144" s="57">
        <v>2007</v>
      </c>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row>
    <row r="145" spans="1:49" ht="18" customHeight="1" x14ac:dyDescent="0.35">
      <c r="A145" s="1"/>
      <c r="B145" s="58" t="s">
        <v>286</v>
      </c>
      <c r="C145" s="34">
        <v>1685.41</v>
      </c>
      <c r="D145" s="31" t="s">
        <v>226</v>
      </c>
      <c r="E145" s="31" t="s">
        <v>387</v>
      </c>
      <c r="F145" s="31" t="s">
        <v>389</v>
      </c>
      <c r="G145" s="31" t="s">
        <v>269</v>
      </c>
      <c r="H145" s="57">
        <v>2007</v>
      </c>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row>
    <row r="146" spans="1:49" ht="18" customHeight="1" x14ac:dyDescent="0.35">
      <c r="A146" s="1"/>
      <c r="B146" s="58" t="s">
        <v>454</v>
      </c>
      <c r="C146" s="34">
        <v>1089.3900000000001</v>
      </c>
      <c r="D146" s="31" t="s">
        <v>226</v>
      </c>
      <c r="E146" s="31" t="s">
        <v>453</v>
      </c>
      <c r="F146" s="31" t="s">
        <v>229</v>
      </c>
      <c r="G146" s="31" t="s">
        <v>230</v>
      </c>
      <c r="H146" s="57">
        <v>2008</v>
      </c>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row>
    <row r="147" spans="1:49" ht="18" customHeight="1" x14ac:dyDescent="0.35">
      <c r="A147" s="1"/>
      <c r="B147" s="58" t="s">
        <v>455</v>
      </c>
      <c r="C147" s="34">
        <v>1702.13</v>
      </c>
      <c r="D147" s="31" t="s">
        <v>226</v>
      </c>
      <c r="E147" s="31" t="s">
        <v>227</v>
      </c>
      <c r="F147" s="31" t="s">
        <v>229</v>
      </c>
      <c r="G147" s="31" t="s">
        <v>230</v>
      </c>
      <c r="H147" s="57">
        <v>2008</v>
      </c>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row>
    <row r="148" spans="1:49" ht="18" customHeight="1" x14ac:dyDescent="0.35">
      <c r="A148" s="1"/>
      <c r="B148" s="58" t="s">
        <v>456</v>
      </c>
      <c r="C148" s="34">
        <v>1802.64</v>
      </c>
      <c r="D148" s="31" t="s">
        <v>226</v>
      </c>
      <c r="E148" s="31" t="s">
        <v>419</v>
      </c>
      <c r="F148" s="31" t="s">
        <v>245</v>
      </c>
      <c r="G148" s="31" t="s">
        <v>230</v>
      </c>
      <c r="H148" s="57">
        <v>2008</v>
      </c>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row>
    <row r="149" spans="1:49" ht="18" customHeight="1" x14ac:dyDescent="0.35">
      <c r="A149" s="1"/>
      <c r="B149" s="58" t="s">
        <v>457</v>
      </c>
      <c r="C149" s="34">
        <v>1907.94</v>
      </c>
      <c r="D149" s="31" t="s">
        <v>226</v>
      </c>
      <c r="E149" s="31" t="s">
        <v>234</v>
      </c>
      <c r="F149" s="31" t="s">
        <v>236</v>
      </c>
      <c r="G149" s="31" t="s">
        <v>237</v>
      </c>
      <c r="H149" s="57">
        <v>2008</v>
      </c>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row>
    <row r="150" spans="1:49" ht="18" customHeight="1" x14ac:dyDescent="0.35">
      <c r="A150" s="1"/>
      <c r="B150" s="58" t="s">
        <v>459</v>
      </c>
      <c r="C150" s="34">
        <v>1005.36</v>
      </c>
      <c r="D150" s="31" t="s">
        <v>226</v>
      </c>
      <c r="E150" s="31" t="s">
        <v>458</v>
      </c>
      <c r="F150" s="31" t="s">
        <v>229</v>
      </c>
      <c r="G150" s="31" t="s">
        <v>230</v>
      </c>
      <c r="H150" s="57">
        <v>2008</v>
      </c>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row>
    <row r="151" spans="1:49" ht="18" customHeight="1" x14ac:dyDescent="0.35">
      <c r="A151" s="1"/>
      <c r="B151" s="58" t="s">
        <v>461</v>
      </c>
      <c r="C151" s="34">
        <v>1070</v>
      </c>
      <c r="D151" s="31" t="s">
        <v>226</v>
      </c>
      <c r="E151" s="31" t="s">
        <v>460</v>
      </c>
      <c r="F151" s="31" t="s">
        <v>245</v>
      </c>
      <c r="G151" s="31" t="s">
        <v>230</v>
      </c>
      <c r="H151" s="57">
        <v>2008</v>
      </c>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row>
    <row r="152" spans="1:49" ht="18" customHeight="1" x14ac:dyDescent="0.35">
      <c r="A152" s="1"/>
      <c r="B152" s="58" t="s">
        <v>463</v>
      </c>
      <c r="C152" s="34">
        <v>1668.63</v>
      </c>
      <c r="D152" s="31" t="s">
        <v>226</v>
      </c>
      <c r="E152" s="31" t="s">
        <v>462</v>
      </c>
      <c r="F152" s="31" t="s">
        <v>242</v>
      </c>
      <c r="G152" s="31" t="s">
        <v>230</v>
      </c>
      <c r="H152" s="57">
        <v>2008</v>
      </c>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row>
    <row r="153" spans="1:49" ht="18" customHeight="1" x14ac:dyDescent="0.35">
      <c r="A153" s="1"/>
      <c r="B153" s="58" t="s">
        <v>464</v>
      </c>
      <c r="C153" s="34">
        <v>1589.77</v>
      </c>
      <c r="D153" s="31" t="s">
        <v>226</v>
      </c>
      <c r="E153" s="31" t="s">
        <v>276</v>
      </c>
      <c r="F153" s="31" t="s">
        <v>242</v>
      </c>
      <c r="G153" s="31" t="s">
        <v>230</v>
      </c>
      <c r="H153" s="57">
        <v>2008</v>
      </c>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row>
    <row r="154" spans="1:49" ht="18" customHeight="1" x14ac:dyDescent="0.35">
      <c r="A154" s="1"/>
      <c r="B154" s="58" t="s">
        <v>466</v>
      </c>
      <c r="C154" s="34">
        <v>1494.62</v>
      </c>
      <c r="D154" s="31" t="s">
        <v>226</v>
      </c>
      <c r="E154" s="31" t="s">
        <v>465</v>
      </c>
      <c r="F154" s="31" t="s">
        <v>229</v>
      </c>
      <c r="G154" s="31" t="s">
        <v>230</v>
      </c>
      <c r="H154" s="57">
        <v>2008</v>
      </c>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row>
    <row r="155" spans="1:49" ht="18" customHeight="1" x14ac:dyDescent="0.35">
      <c r="A155" s="1"/>
      <c r="B155" s="58" t="s">
        <v>468</v>
      </c>
      <c r="C155" s="34">
        <v>1907.44</v>
      </c>
      <c r="D155" s="31" t="s">
        <v>226</v>
      </c>
      <c r="E155" s="31" t="s">
        <v>467</v>
      </c>
      <c r="F155" s="31" t="s">
        <v>469</v>
      </c>
      <c r="G155" s="31" t="s">
        <v>303</v>
      </c>
      <c r="H155" s="57">
        <v>2008</v>
      </c>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row>
    <row r="156" spans="1:49" ht="18" customHeight="1" x14ac:dyDescent="0.35">
      <c r="A156" s="1"/>
      <c r="B156" s="58" t="s">
        <v>471</v>
      </c>
      <c r="C156" s="34">
        <v>1828.91</v>
      </c>
      <c r="D156" s="31" t="s">
        <v>226</v>
      </c>
      <c r="E156" s="31" t="s">
        <v>470</v>
      </c>
      <c r="F156" s="31" t="s">
        <v>275</v>
      </c>
      <c r="G156" s="31" t="s">
        <v>269</v>
      </c>
      <c r="H156" s="57">
        <v>2008</v>
      </c>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row>
    <row r="157" spans="1:49" ht="18" customHeight="1" x14ac:dyDescent="0.35">
      <c r="A157" s="1"/>
      <c r="B157" s="58" t="s">
        <v>472</v>
      </c>
      <c r="C157" s="34">
        <v>1761.23</v>
      </c>
      <c r="D157" s="31" t="s">
        <v>226</v>
      </c>
      <c r="E157" s="31" t="s">
        <v>311</v>
      </c>
      <c r="F157" s="31" t="s">
        <v>242</v>
      </c>
      <c r="G157" s="31" t="s">
        <v>230</v>
      </c>
      <c r="H157" s="57">
        <v>2008</v>
      </c>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row>
    <row r="158" spans="1:49" ht="18" customHeight="1" x14ac:dyDescent="0.35">
      <c r="A158" s="1"/>
      <c r="B158" s="58" t="s">
        <v>474</v>
      </c>
      <c r="C158" s="34">
        <v>977.46</v>
      </c>
      <c r="D158" s="31" t="s">
        <v>226</v>
      </c>
      <c r="E158" s="31" t="s">
        <v>473</v>
      </c>
      <c r="F158" s="31" t="s">
        <v>229</v>
      </c>
      <c r="G158" s="31" t="s">
        <v>230</v>
      </c>
      <c r="H158" s="57">
        <v>2008</v>
      </c>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row>
    <row r="159" spans="1:49" ht="18" customHeight="1" x14ac:dyDescent="0.35">
      <c r="A159" s="1"/>
      <c r="B159" s="58" t="s">
        <v>476</v>
      </c>
      <c r="C159" s="34">
        <v>1239.8699999999999</v>
      </c>
      <c r="D159" s="31" t="s">
        <v>226</v>
      </c>
      <c r="E159" s="31" t="s">
        <v>475</v>
      </c>
      <c r="F159" s="31" t="s">
        <v>229</v>
      </c>
      <c r="G159" s="31" t="s">
        <v>230</v>
      </c>
      <c r="H159" s="57">
        <v>2008</v>
      </c>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row>
    <row r="160" spans="1:49" ht="18" customHeight="1" x14ac:dyDescent="0.35">
      <c r="A160" s="1"/>
      <c r="B160" s="58" t="s">
        <v>477</v>
      </c>
      <c r="C160" s="34">
        <v>1772.44</v>
      </c>
      <c r="D160" s="31" t="s">
        <v>226</v>
      </c>
      <c r="E160" s="31" t="s">
        <v>308</v>
      </c>
      <c r="F160" s="31" t="s">
        <v>310</v>
      </c>
      <c r="G160" s="31" t="s">
        <v>269</v>
      </c>
      <c r="H160" s="57">
        <v>2008</v>
      </c>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row>
    <row r="161" spans="1:49" ht="18" customHeight="1" x14ac:dyDescent="0.35">
      <c r="A161" s="1"/>
      <c r="B161" s="58" t="s">
        <v>479</v>
      </c>
      <c r="C161" s="34">
        <v>1069.72</v>
      </c>
      <c r="D161" s="31" t="s">
        <v>226</v>
      </c>
      <c r="E161" s="31" t="s">
        <v>478</v>
      </c>
      <c r="F161" s="31" t="s">
        <v>229</v>
      </c>
      <c r="G161" s="31" t="s">
        <v>230</v>
      </c>
      <c r="H161" s="57">
        <v>2009</v>
      </c>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row>
    <row r="162" spans="1:49" ht="18" customHeight="1" x14ac:dyDescent="0.35">
      <c r="A162" s="1"/>
      <c r="B162" s="58" t="s">
        <v>480</v>
      </c>
      <c r="C162" s="34">
        <v>1978.41</v>
      </c>
      <c r="D162" s="31" t="s">
        <v>226</v>
      </c>
      <c r="E162" s="31" t="s">
        <v>266</v>
      </c>
      <c r="F162" s="31" t="s">
        <v>268</v>
      </c>
      <c r="G162" s="31" t="s">
        <v>269</v>
      </c>
      <c r="H162" s="57">
        <v>2009</v>
      </c>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row>
    <row r="163" spans="1:49" ht="18" customHeight="1" x14ac:dyDescent="0.35">
      <c r="A163" s="1"/>
      <c r="B163" s="58" t="s">
        <v>481</v>
      </c>
      <c r="C163" s="34">
        <v>1029.8599999999999</v>
      </c>
      <c r="D163" s="31" t="s">
        <v>226</v>
      </c>
      <c r="E163" s="31" t="s">
        <v>329</v>
      </c>
      <c r="F163" s="31" t="s">
        <v>229</v>
      </c>
      <c r="G163" s="31" t="s">
        <v>230</v>
      </c>
      <c r="H163" s="57">
        <v>2009</v>
      </c>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row>
    <row r="164" spans="1:49" ht="18" customHeight="1" x14ac:dyDescent="0.35">
      <c r="A164" s="1"/>
      <c r="B164" s="58" t="s">
        <v>282</v>
      </c>
      <c r="C164" s="34">
        <v>1599.97</v>
      </c>
      <c r="D164" s="31" t="s">
        <v>226</v>
      </c>
      <c r="E164" s="31" t="s">
        <v>238</v>
      </c>
      <c r="F164" s="31" t="s">
        <v>239</v>
      </c>
      <c r="G164" s="31" t="s">
        <v>237</v>
      </c>
      <c r="H164" s="57">
        <v>2009</v>
      </c>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row>
    <row r="165" spans="1:49" ht="18" customHeight="1" x14ac:dyDescent="0.35">
      <c r="A165" s="1"/>
      <c r="B165" s="58" t="s">
        <v>482</v>
      </c>
      <c r="C165" s="34">
        <v>1633.65</v>
      </c>
      <c r="D165" s="31" t="s">
        <v>226</v>
      </c>
      <c r="E165" s="31" t="s">
        <v>341</v>
      </c>
      <c r="F165" s="31" t="s">
        <v>343</v>
      </c>
      <c r="G165" s="31" t="s">
        <v>303</v>
      </c>
      <c r="H165" s="57">
        <v>2009</v>
      </c>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row>
    <row r="166" spans="1:49" ht="18" customHeight="1" x14ac:dyDescent="0.35">
      <c r="A166" s="1"/>
      <c r="B166" s="58" t="s">
        <v>483</v>
      </c>
      <c r="C166" s="34">
        <v>2264</v>
      </c>
      <c r="D166" s="31" t="s">
        <v>226</v>
      </c>
      <c r="E166" s="31" t="s">
        <v>369</v>
      </c>
      <c r="F166" s="31" t="s">
        <v>229</v>
      </c>
      <c r="G166" s="31" t="s">
        <v>230</v>
      </c>
      <c r="H166" s="57">
        <v>2009</v>
      </c>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row>
    <row r="167" spans="1:49" ht="18" customHeight="1" x14ac:dyDescent="0.35">
      <c r="A167" s="1"/>
      <c r="B167" s="58" t="s">
        <v>484</v>
      </c>
      <c r="C167" s="34">
        <v>1827.11</v>
      </c>
      <c r="D167" s="31" t="s">
        <v>226</v>
      </c>
      <c r="E167" s="31" t="s">
        <v>262</v>
      </c>
      <c r="F167" s="31" t="s">
        <v>116</v>
      </c>
      <c r="G167" s="31" t="s">
        <v>255</v>
      </c>
      <c r="H167" s="57">
        <v>2009</v>
      </c>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row>
    <row r="168" spans="1:49" ht="18" customHeight="1" x14ac:dyDescent="0.35">
      <c r="A168" s="1"/>
      <c r="B168" s="58" t="s">
        <v>485</v>
      </c>
      <c r="C168" s="34">
        <v>1580.14</v>
      </c>
      <c r="D168" s="31" t="s">
        <v>226</v>
      </c>
      <c r="E168" s="31" t="s">
        <v>243</v>
      </c>
      <c r="F168" s="31" t="s">
        <v>245</v>
      </c>
      <c r="G168" s="31" t="s">
        <v>230</v>
      </c>
      <c r="H168" s="57">
        <v>2009</v>
      </c>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row>
    <row r="169" spans="1:49" ht="18" customHeight="1" x14ac:dyDescent="0.35">
      <c r="A169" s="1"/>
      <c r="B169" s="58" t="s">
        <v>487</v>
      </c>
      <c r="C169" s="34">
        <v>1734.55</v>
      </c>
      <c r="D169" s="31" t="s">
        <v>226</v>
      </c>
      <c r="E169" s="31" t="s">
        <v>486</v>
      </c>
      <c r="F169" s="31" t="s">
        <v>229</v>
      </c>
      <c r="G169" s="31" t="s">
        <v>230</v>
      </c>
      <c r="H169" s="57">
        <v>2009</v>
      </c>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row>
    <row r="170" spans="1:49" ht="18" customHeight="1" x14ac:dyDescent="0.35">
      <c r="A170" s="1"/>
      <c r="B170" s="58" t="s">
        <v>488</v>
      </c>
      <c r="C170" s="34">
        <v>2017.21</v>
      </c>
      <c r="D170" s="31" t="s">
        <v>226</v>
      </c>
      <c r="E170" s="31" t="s">
        <v>287</v>
      </c>
      <c r="F170" s="31" t="s">
        <v>289</v>
      </c>
      <c r="G170" s="31" t="s">
        <v>269</v>
      </c>
      <c r="H170" s="57">
        <v>2009</v>
      </c>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row>
    <row r="171" spans="1:49" ht="18" customHeight="1" x14ac:dyDescent="0.35">
      <c r="A171" s="1"/>
      <c r="B171" s="58" t="s">
        <v>489</v>
      </c>
      <c r="C171" s="34">
        <v>1813.3600000000001</v>
      </c>
      <c r="D171" s="31" t="s">
        <v>226</v>
      </c>
      <c r="E171" s="31" t="s">
        <v>300</v>
      </c>
      <c r="F171" s="31" t="s">
        <v>302</v>
      </c>
      <c r="G171" s="31" t="s">
        <v>303</v>
      </c>
      <c r="H171" s="57">
        <v>2009</v>
      </c>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row>
    <row r="172" spans="1:49" ht="18" customHeight="1" x14ac:dyDescent="0.35">
      <c r="A172" s="1"/>
      <c r="B172" s="58" t="s">
        <v>490</v>
      </c>
      <c r="C172" s="34">
        <v>1063.03</v>
      </c>
      <c r="D172" s="31" t="s">
        <v>231</v>
      </c>
      <c r="E172" s="31" t="s">
        <v>490</v>
      </c>
      <c r="F172" s="31" t="s">
        <v>242</v>
      </c>
      <c r="G172" s="31" t="s">
        <v>230</v>
      </c>
      <c r="H172" s="57">
        <v>2009</v>
      </c>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row>
    <row r="173" spans="1:49" ht="18" customHeight="1" x14ac:dyDescent="0.35">
      <c r="A173" s="1"/>
      <c r="B173" s="58" t="s">
        <v>491</v>
      </c>
      <c r="C173" s="34">
        <v>2013</v>
      </c>
      <c r="D173" s="31" t="s">
        <v>226</v>
      </c>
      <c r="E173" s="31" t="s">
        <v>333</v>
      </c>
      <c r="F173" s="31" t="s">
        <v>335</v>
      </c>
      <c r="G173" s="31" t="s">
        <v>269</v>
      </c>
      <c r="H173" s="57">
        <v>2010</v>
      </c>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row>
    <row r="174" spans="1:49" ht="18" customHeight="1" x14ac:dyDescent="0.35">
      <c r="A174" s="1"/>
      <c r="B174" s="58" t="s">
        <v>493</v>
      </c>
      <c r="C174" s="34">
        <v>1746.72</v>
      </c>
      <c r="D174" s="31" t="s">
        <v>226</v>
      </c>
      <c r="E174" s="31" t="s">
        <v>492</v>
      </c>
      <c r="F174" s="31" t="s">
        <v>385</v>
      </c>
      <c r="G174" s="31" t="s">
        <v>237</v>
      </c>
      <c r="H174" s="57">
        <v>2010</v>
      </c>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row>
    <row r="175" spans="1:49" ht="18" customHeight="1" x14ac:dyDescent="0.35">
      <c r="A175" s="1"/>
      <c r="B175" s="58" t="s">
        <v>494</v>
      </c>
      <c r="C175" s="34">
        <v>1026.8699999999999</v>
      </c>
      <c r="D175" s="31" t="s">
        <v>226</v>
      </c>
      <c r="E175" s="31" t="s">
        <v>227</v>
      </c>
      <c r="F175" s="31" t="s">
        <v>229</v>
      </c>
      <c r="G175" s="31" t="s">
        <v>230</v>
      </c>
      <c r="H175" s="57">
        <v>2010</v>
      </c>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row>
    <row r="176" spans="1:49" ht="18" customHeight="1" x14ac:dyDescent="0.35">
      <c r="A176" s="1"/>
      <c r="B176" s="58" t="s">
        <v>496</v>
      </c>
      <c r="C176" s="34">
        <v>1001.9</v>
      </c>
      <c r="D176" s="31" t="s">
        <v>226</v>
      </c>
      <c r="E176" s="31" t="s">
        <v>495</v>
      </c>
      <c r="F176" s="31" t="s">
        <v>245</v>
      </c>
      <c r="G176" s="31" t="s">
        <v>230</v>
      </c>
      <c r="H176" s="57">
        <v>2010</v>
      </c>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row>
    <row r="177" spans="1:49" ht="18" customHeight="1" x14ac:dyDescent="0.35">
      <c r="A177" s="1"/>
      <c r="B177" s="58" t="s">
        <v>497</v>
      </c>
      <c r="C177" s="34">
        <v>1807.4499999999998</v>
      </c>
      <c r="D177" s="31" t="s">
        <v>226</v>
      </c>
      <c r="E177" s="31" t="s">
        <v>243</v>
      </c>
      <c r="F177" s="31" t="s">
        <v>245</v>
      </c>
      <c r="G177" s="31" t="s">
        <v>230</v>
      </c>
      <c r="H177" s="57">
        <v>2010</v>
      </c>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row>
    <row r="178" spans="1:49" ht="18" customHeight="1" x14ac:dyDescent="0.35">
      <c r="A178" s="1"/>
      <c r="B178" s="58" t="s">
        <v>499</v>
      </c>
      <c r="C178" s="34">
        <v>1046.78</v>
      </c>
      <c r="D178" s="31" t="s">
        <v>226</v>
      </c>
      <c r="E178" s="31" t="s">
        <v>498</v>
      </c>
      <c r="F178" s="31" t="s">
        <v>242</v>
      </c>
      <c r="G178" s="31" t="s">
        <v>230</v>
      </c>
      <c r="H178" s="57">
        <v>2010</v>
      </c>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row>
    <row r="179" spans="1:49" ht="18" customHeight="1" x14ac:dyDescent="0.35">
      <c r="A179" s="1"/>
      <c r="B179" s="58" t="s">
        <v>501</v>
      </c>
      <c r="C179" s="34">
        <v>1590.2</v>
      </c>
      <c r="D179" s="31" t="s">
        <v>226</v>
      </c>
      <c r="E179" s="31" t="s">
        <v>500</v>
      </c>
      <c r="F179" s="31" t="s">
        <v>239</v>
      </c>
      <c r="G179" s="31" t="s">
        <v>237</v>
      </c>
      <c r="H179" s="57">
        <v>2010</v>
      </c>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row>
    <row r="180" spans="1:49" ht="18" customHeight="1" x14ac:dyDescent="0.35">
      <c r="A180" s="1"/>
      <c r="B180" s="58" t="s">
        <v>502</v>
      </c>
      <c r="C180" s="34">
        <v>1701.31</v>
      </c>
      <c r="D180" s="31" t="s">
        <v>226</v>
      </c>
      <c r="E180" s="31" t="s">
        <v>266</v>
      </c>
      <c r="F180" s="31" t="s">
        <v>268</v>
      </c>
      <c r="G180" s="31" t="s">
        <v>269</v>
      </c>
      <c r="H180" s="57">
        <v>2010</v>
      </c>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row>
    <row r="181" spans="1:49" ht="18" customHeight="1" x14ac:dyDescent="0.35">
      <c r="A181" s="1"/>
      <c r="B181" s="58" t="s">
        <v>504</v>
      </c>
      <c r="C181" s="34">
        <v>983.83</v>
      </c>
      <c r="D181" s="31" t="s">
        <v>226</v>
      </c>
      <c r="E181" s="31" t="s">
        <v>503</v>
      </c>
      <c r="F181" s="31" t="s">
        <v>229</v>
      </c>
      <c r="G181" s="31" t="s">
        <v>230</v>
      </c>
      <c r="H181" s="57">
        <v>2010</v>
      </c>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row>
    <row r="182" spans="1:49" ht="18" customHeight="1" x14ac:dyDescent="0.35">
      <c r="A182" s="1"/>
      <c r="B182" s="58" t="s">
        <v>505</v>
      </c>
      <c r="C182" s="34">
        <v>922.7</v>
      </c>
      <c r="D182" s="31" t="s">
        <v>226</v>
      </c>
      <c r="E182" s="31" t="s">
        <v>373</v>
      </c>
      <c r="F182" s="31" t="s">
        <v>242</v>
      </c>
      <c r="G182" s="31" t="s">
        <v>230</v>
      </c>
      <c r="H182" s="57">
        <v>2010</v>
      </c>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row>
    <row r="183" spans="1:49" ht="18" customHeight="1" x14ac:dyDescent="0.35">
      <c r="A183" s="1"/>
      <c r="B183" s="58" t="s">
        <v>489</v>
      </c>
      <c r="C183" s="34">
        <v>1929.35</v>
      </c>
      <c r="D183" s="31" t="s">
        <v>226</v>
      </c>
      <c r="E183" s="31" t="s">
        <v>240</v>
      </c>
      <c r="F183" s="31" t="s">
        <v>242</v>
      </c>
      <c r="G183" s="31" t="s">
        <v>230</v>
      </c>
      <c r="H183" s="57">
        <v>2011</v>
      </c>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row>
    <row r="184" spans="1:49" ht="18" customHeight="1" x14ac:dyDescent="0.35">
      <c r="A184" s="1"/>
      <c r="B184" s="58" t="s">
        <v>507</v>
      </c>
      <c r="C184" s="34">
        <v>1963.52</v>
      </c>
      <c r="D184" s="31" t="s">
        <v>226</v>
      </c>
      <c r="E184" s="31" t="s">
        <v>506</v>
      </c>
      <c r="F184" s="31" t="s">
        <v>268</v>
      </c>
      <c r="G184" s="31" t="s">
        <v>269</v>
      </c>
      <c r="H184" s="57">
        <v>2011</v>
      </c>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row>
    <row r="185" spans="1:49" ht="18" customHeight="1" x14ac:dyDescent="0.35">
      <c r="A185" s="1"/>
      <c r="B185" s="58" t="s">
        <v>508</v>
      </c>
      <c r="C185" s="34">
        <v>2117.36</v>
      </c>
      <c r="D185" s="31" t="s">
        <v>231</v>
      </c>
      <c r="E185" s="31" t="s">
        <v>240</v>
      </c>
      <c r="F185" s="31" t="s">
        <v>242</v>
      </c>
      <c r="G185" s="31" t="s">
        <v>230</v>
      </c>
      <c r="H185" s="57">
        <v>2011</v>
      </c>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row>
    <row r="186" spans="1:49" ht="18" customHeight="1" x14ac:dyDescent="0.35">
      <c r="A186" s="1"/>
      <c r="B186" s="58" t="s">
        <v>509</v>
      </c>
      <c r="C186" s="34">
        <v>1023.18</v>
      </c>
      <c r="D186" s="31" t="s">
        <v>226</v>
      </c>
      <c r="E186" s="31" t="s">
        <v>448</v>
      </c>
      <c r="F186" s="31" t="s">
        <v>229</v>
      </c>
      <c r="G186" s="31" t="s">
        <v>230</v>
      </c>
      <c r="H186" s="57">
        <v>2011</v>
      </c>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row>
    <row r="187" spans="1:49" ht="18" customHeight="1" x14ac:dyDescent="0.35">
      <c r="A187" s="1"/>
      <c r="B187" s="58" t="s">
        <v>361</v>
      </c>
      <c r="C187" s="34">
        <v>2359.4499999999998</v>
      </c>
      <c r="D187" s="31" t="s">
        <v>231</v>
      </c>
      <c r="E187" s="31" t="s">
        <v>240</v>
      </c>
      <c r="F187" s="31" t="s">
        <v>242</v>
      </c>
      <c r="G187" s="31" t="s">
        <v>230</v>
      </c>
      <c r="H187" s="57">
        <v>2011</v>
      </c>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row>
    <row r="188" spans="1:49" ht="18" customHeight="1" x14ac:dyDescent="0.35">
      <c r="A188" s="1"/>
      <c r="B188" s="58" t="s">
        <v>511</v>
      </c>
      <c r="C188" s="34">
        <v>997.95</v>
      </c>
      <c r="D188" s="31" t="s">
        <v>226</v>
      </c>
      <c r="E188" s="31" t="s">
        <v>510</v>
      </c>
      <c r="F188" s="31" t="s">
        <v>229</v>
      </c>
      <c r="G188" s="31" t="s">
        <v>230</v>
      </c>
      <c r="H188" s="57">
        <v>2011</v>
      </c>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row>
    <row r="189" spans="1:49" ht="18" customHeight="1" x14ac:dyDescent="0.35">
      <c r="A189" s="1"/>
      <c r="B189" s="58" t="s">
        <v>513</v>
      </c>
      <c r="C189" s="34">
        <v>1093.06</v>
      </c>
      <c r="D189" s="31" t="s">
        <v>226</v>
      </c>
      <c r="E189" s="31" t="s">
        <v>512</v>
      </c>
      <c r="F189" s="31" t="s">
        <v>245</v>
      </c>
      <c r="G189" s="31" t="s">
        <v>230</v>
      </c>
      <c r="H189" s="57">
        <v>2011</v>
      </c>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row>
    <row r="190" spans="1:49" ht="18" customHeight="1" x14ac:dyDescent="0.35">
      <c r="A190" s="1"/>
      <c r="B190" s="58" t="s">
        <v>515</v>
      </c>
      <c r="C190" s="34">
        <v>2244.1099999999997</v>
      </c>
      <c r="D190" s="31" t="s">
        <v>226</v>
      </c>
      <c r="E190" s="31" t="s">
        <v>514</v>
      </c>
      <c r="F190" s="31" t="s">
        <v>229</v>
      </c>
      <c r="G190" s="31" t="s">
        <v>230</v>
      </c>
      <c r="H190" s="57">
        <v>2011</v>
      </c>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row>
    <row r="191" spans="1:49" ht="18" customHeight="1" x14ac:dyDescent="0.35">
      <c r="A191" s="1"/>
      <c r="B191" s="58" t="s">
        <v>517</v>
      </c>
      <c r="C191" s="34">
        <v>1164.5</v>
      </c>
      <c r="D191" s="31" t="s">
        <v>226</v>
      </c>
      <c r="E191" s="31" t="s">
        <v>516</v>
      </c>
      <c r="F191" s="31" t="s">
        <v>229</v>
      </c>
      <c r="G191" s="31" t="s">
        <v>230</v>
      </c>
      <c r="H191" s="57">
        <v>2011</v>
      </c>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row>
    <row r="192" spans="1:49" ht="18" customHeight="1" x14ac:dyDescent="0.35">
      <c r="A192" s="1"/>
      <c r="B192" s="58" t="s">
        <v>519</v>
      </c>
      <c r="C192" s="34">
        <v>1140</v>
      </c>
      <c r="D192" s="31" t="s">
        <v>226</v>
      </c>
      <c r="E192" s="31" t="s">
        <v>518</v>
      </c>
      <c r="F192" s="31" t="s">
        <v>245</v>
      </c>
      <c r="G192" s="31" t="s">
        <v>230</v>
      </c>
      <c r="H192" s="57">
        <v>2011</v>
      </c>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row>
    <row r="193" spans="1:49" ht="18" customHeight="1" x14ac:dyDescent="0.35">
      <c r="A193" s="1"/>
      <c r="B193" s="58" t="s">
        <v>520</v>
      </c>
      <c r="C193" s="34">
        <v>1838.28</v>
      </c>
      <c r="D193" s="31" t="s">
        <v>226</v>
      </c>
      <c r="E193" s="31" t="s">
        <v>227</v>
      </c>
      <c r="F193" s="31" t="s">
        <v>229</v>
      </c>
      <c r="G193" s="31" t="s">
        <v>230</v>
      </c>
      <c r="H193" s="57">
        <v>2011</v>
      </c>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row>
    <row r="194" spans="1:49" ht="18" customHeight="1" x14ac:dyDescent="0.35">
      <c r="A194" s="1"/>
      <c r="B194" s="58" t="s">
        <v>521</v>
      </c>
      <c r="C194" s="34">
        <v>1782.83</v>
      </c>
      <c r="D194" s="31" t="s">
        <v>226</v>
      </c>
      <c r="E194" s="31" t="s">
        <v>366</v>
      </c>
      <c r="F194" s="31" t="s">
        <v>229</v>
      </c>
      <c r="G194" s="31" t="s">
        <v>230</v>
      </c>
      <c r="H194" s="57">
        <v>2011</v>
      </c>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row>
    <row r="195" spans="1:49" ht="18" customHeight="1" x14ac:dyDescent="0.35">
      <c r="A195" s="1"/>
      <c r="B195" s="58" t="s">
        <v>523</v>
      </c>
      <c r="C195" s="34">
        <v>2001.61</v>
      </c>
      <c r="D195" s="31" t="s">
        <v>226</v>
      </c>
      <c r="E195" s="31" t="s">
        <v>522</v>
      </c>
      <c r="F195" s="31" t="s">
        <v>299</v>
      </c>
      <c r="G195" s="31" t="s">
        <v>230</v>
      </c>
      <c r="H195" s="57">
        <v>2011</v>
      </c>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row>
    <row r="196" spans="1:49" ht="18" customHeight="1" x14ac:dyDescent="0.35">
      <c r="A196" s="1"/>
      <c r="B196" s="58" t="s">
        <v>525</v>
      </c>
      <c r="C196" s="34">
        <v>1005.4</v>
      </c>
      <c r="D196" s="31" t="s">
        <v>226</v>
      </c>
      <c r="E196" s="31" t="s">
        <v>524</v>
      </c>
      <c r="F196" s="31" t="s">
        <v>229</v>
      </c>
      <c r="G196" s="31" t="s">
        <v>230</v>
      </c>
      <c r="H196" s="57">
        <v>2011</v>
      </c>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row>
    <row r="197" spans="1:49" ht="18" customHeight="1" x14ac:dyDescent="0.35">
      <c r="A197" s="1"/>
      <c r="B197" s="58" t="s">
        <v>526</v>
      </c>
      <c r="C197" s="34">
        <v>1122.26</v>
      </c>
      <c r="D197" s="31" t="s">
        <v>226</v>
      </c>
      <c r="E197" s="31" t="s">
        <v>283</v>
      </c>
      <c r="F197" s="31" t="s">
        <v>229</v>
      </c>
      <c r="G197" s="31" t="s">
        <v>230</v>
      </c>
      <c r="H197" s="57">
        <v>2011</v>
      </c>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row>
    <row r="198" spans="1:49" ht="18" customHeight="1" x14ac:dyDescent="0.35">
      <c r="A198" s="1"/>
      <c r="B198" s="58" t="s">
        <v>528</v>
      </c>
      <c r="C198" s="34">
        <v>1886.92</v>
      </c>
      <c r="D198" s="31" t="s">
        <v>226</v>
      </c>
      <c r="E198" s="31" t="s">
        <v>527</v>
      </c>
      <c r="F198" s="31" t="s">
        <v>328</v>
      </c>
      <c r="G198" s="31" t="s">
        <v>269</v>
      </c>
      <c r="H198" s="57">
        <v>2011</v>
      </c>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row>
    <row r="199" spans="1:49" ht="18" customHeight="1" x14ac:dyDescent="0.35">
      <c r="A199" s="1"/>
      <c r="B199" s="58" t="s">
        <v>530</v>
      </c>
      <c r="C199" s="34">
        <v>2072.36</v>
      </c>
      <c r="D199" s="31" t="s">
        <v>226</v>
      </c>
      <c r="E199" s="31" t="s">
        <v>529</v>
      </c>
      <c r="F199" s="31" t="s">
        <v>268</v>
      </c>
      <c r="G199" s="31" t="s">
        <v>269</v>
      </c>
      <c r="H199" s="57">
        <v>2011</v>
      </c>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row>
    <row r="200" spans="1:49" ht="18" customHeight="1" x14ac:dyDescent="0.35">
      <c r="A200" s="1"/>
      <c r="B200" s="58" t="s">
        <v>531</v>
      </c>
      <c r="C200" s="34">
        <v>2120.84</v>
      </c>
      <c r="D200" s="31" t="s">
        <v>226</v>
      </c>
      <c r="E200" s="31" t="s">
        <v>333</v>
      </c>
      <c r="F200" s="31" t="s">
        <v>335</v>
      </c>
      <c r="G200" s="31" t="s">
        <v>269</v>
      </c>
      <c r="H200" s="57">
        <v>2011</v>
      </c>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row>
    <row r="201" spans="1:49" ht="18" customHeight="1" x14ac:dyDescent="0.35">
      <c r="A201" s="1"/>
      <c r="B201" s="58" t="s">
        <v>532</v>
      </c>
      <c r="C201" s="34">
        <v>1983.8400000000001</v>
      </c>
      <c r="D201" s="31" t="s">
        <v>226</v>
      </c>
      <c r="E201" s="31" t="s">
        <v>238</v>
      </c>
      <c r="F201" s="31" t="s">
        <v>239</v>
      </c>
      <c r="G201" s="31" t="s">
        <v>237</v>
      </c>
      <c r="H201" s="57">
        <v>2012</v>
      </c>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row>
    <row r="202" spans="1:49" ht="18" customHeight="1" x14ac:dyDescent="0.35">
      <c r="A202" s="1"/>
      <c r="B202" s="58" t="s">
        <v>533</v>
      </c>
      <c r="C202" s="34">
        <v>1950.75</v>
      </c>
      <c r="D202" s="31" t="s">
        <v>226</v>
      </c>
      <c r="E202" s="31" t="s">
        <v>300</v>
      </c>
      <c r="F202" s="31" t="s">
        <v>302</v>
      </c>
      <c r="G202" s="31" t="s">
        <v>303</v>
      </c>
      <c r="H202" s="57">
        <v>2012</v>
      </c>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row>
    <row r="203" spans="1:49" ht="18" customHeight="1" x14ac:dyDescent="0.35">
      <c r="A203" s="1"/>
      <c r="B203" s="58" t="s">
        <v>535</v>
      </c>
      <c r="C203" s="34">
        <v>2025.25</v>
      </c>
      <c r="D203" s="31" t="s">
        <v>226</v>
      </c>
      <c r="E203" s="31" t="s">
        <v>534</v>
      </c>
      <c r="F203" s="31" t="s">
        <v>310</v>
      </c>
      <c r="G203" s="31" t="s">
        <v>269</v>
      </c>
      <c r="H203" s="57">
        <v>2012</v>
      </c>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row>
    <row r="204" spans="1:49" ht="18" customHeight="1" x14ac:dyDescent="0.35">
      <c r="A204" s="1"/>
      <c r="B204" s="58" t="s">
        <v>536</v>
      </c>
      <c r="C204" s="34">
        <v>2011</v>
      </c>
      <c r="D204" s="31" t="s">
        <v>226</v>
      </c>
      <c r="E204" s="31" t="s">
        <v>243</v>
      </c>
      <c r="F204" s="31" t="s">
        <v>245</v>
      </c>
      <c r="G204" s="31" t="s">
        <v>230</v>
      </c>
      <c r="H204" s="57">
        <v>2012</v>
      </c>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row>
    <row r="205" spans="1:49" ht="18" customHeight="1" x14ac:dyDescent="0.35">
      <c r="A205" s="1"/>
      <c r="B205" s="58" t="s">
        <v>379</v>
      </c>
      <c r="C205" s="34">
        <v>1003.5</v>
      </c>
      <c r="D205" s="31" t="s">
        <v>226</v>
      </c>
      <c r="E205" s="31" t="s">
        <v>273</v>
      </c>
      <c r="F205" s="31" t="s">
        <v>275</v>
      </c>
      <c r="G205" s="31" t="s">
        <v>269</v>
      </c>
      <c r="H205" s="57">
        <v>2012</v>
      </c>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row>
    <row r="206" spans="1:49" ht="18" customHeight="1" x14ac:dyDescent="0.35">
      <c r="A206" s="1"/>
      <c r="B206" s="58" t="s">
        <v>537</v>
      </c>
      <c r="C206" s="34">
        <v>2336.0100000000002</v>
      </c>
      <c r="D206" s="31" t="s">
        <v>226</v>
      </c>
      <c r="E206" s="31" t="s">
        <v>266</v>
      </c>
      <c r="F206" s="31" t="s">
        <v>268</v>
      </c>
      <c r="G206" s="31" t="s">
        <v>269</v>
      </c>
      <c r="H206" s="57">
        <v>2012</v>
      </c>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row>
    <row r="207" spans="1:49" ht="18" customHeight="1" x14ac:dyDescent="0.35">
      <c r="A207" s="1"/>
      <c r="B207" s="58" t="s">
        <v>538</v>
      </c>
      <c r="C207" s="34">
        <v>1008.76</v>
      </c>
      <c r="D207" s="31" t="s">
        <v>226</v>
      </c>
      <c r="E207" s="31" t="s">
        <v>401</v>
      </c>
      <c r="F207" s="31" t="s">
        <v>275</v>
      </c>
      <c r="G207" s="31" t="s">
        <v>269</v>
      </c>
      <c r="H207" s="57">
        <v>2012</v>
      </c>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row>
    <row r="208" spans="1:49" ht="18" customHeight="1" x14ac:dyDescent="0.35">
      <c r="A208" s="1"/>
      <c r="B208" s="58" t="s">
        <v>540</v>
      </c>
      <c r="C208" s="34">
        <v>2239.7799999999997</v>
      </c>
      <c r="D208" s="31" t="s">
        <v>226</v>
      </c>
      <c r="E208" s="31" t="s">
        <v>539</v>
      </c>
      <c r="F208" s="31" t="s">
        <v>335</v>
      </c>
      <c r="G208" s="31" t="s">
        <v>269</v>
      </c>
      <c r="H208" s="57">
        <v>2012</v>
      </c>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row>
    <row r="209" spans="1:49" ht="18" customHeight="1" x14ac:dyDescent="0.35">
      <c r="A209" s="1"/>
      <c r="B209" s="58" t="s">
        <v>542</v>
      </c>
      <c r="C209" s="34">
        <v>1876.6</v>
      </c>
      <c r="D209" s="31" t="s">
        <v>226</v>
      </c>
      <c r="E209" s="31" t="s">
        <v>541</v>
      </c>
      <c r="F209" s="31" t="s">
        <v>275</v>
      </c>
      <c r="G209" s="31" t="s">
        <v>269</v>
      </c>
      <c r="H209" s="57">
        <v>2012</v>
      </c>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row>
    <row r="210" spans="1:49" ht="18" customHeight="1" x14ac:dyDescent="0.35">
      <c r="A210" s="1"/>
      <c r="B210" s="58" t="s">
        <v>544</v>
      </c>
      <c r="C210" s="34">
        <v>1163.23</v>
      </c>
      <c r="D210" s="31" t="s">
        <v>226</v>
      </c>
      <c r="E210" s="31" t="s">
        <v>543</v>
      </c>
      <c r="F210" s="31" t="s">
        <v>229</v>
      </c>
      <c r="G210" s="31" t="s">
        <v>230</v>
      </c>
      <c r="H210" s="57">
        <v>2012</v>
      </c>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row>
    <row r="211" spans="1:49" ht="18" customHeight="1" x14ac:dyDescent="0.35">
      <c r="A211" s="1"/>
      <c r="B211" s="58" t="s">
        <v>545</v>
      </c>
      <c r="C211" s="34">
        <v>1735.32</v>
      </c>
      <c r="D211" s="31" t="s">
        <v>226</v>
      </c>
      <c r="E211" s="31" t="s">
        <v>290</v>
      </c>
      <c r="F211" s="31" t="s">
        <v>229</v>
      </c>
      <c r="G211" s="31" t="s">
        <v>230</v>
      </c>
      <c r="H211" s="57">
        <v>2012</v>
      </c>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row>
    <row r="212" spans="1:49" ht="18" customHeight="1" x14ac:dyDescent="0.35">
      <c r="A212" s="1"/>
      <c r="B212" s="58" t="s">
        <v>546</v>
      </c>
      <c r="C212" s="34">
        <v>2322.39</v>
      </c>
      <c r="D212" s="31" t="s">
        <v>226</v>
      </c>
      <c r="E212" s="31" t="s">
        <v>383</v>
      </c>
      <c r="F212" s="31" t="s">
        <v>385</v>
      </c>
      <c r="G212" s="31" t="s">
        <v>237</v>
      </c>
      <c r="H212" s="57">
        <v>2012</v>
      </c>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row>
    <row r="213" spans="1:49" ht="18" customHeight="1" x14ac:dyDescent="0.35">
      <c r="A213" s="1"/>
      <c r="B213" s="58" t="s">
        <v>547</v>
      </c>
      <c r="C213" s="34">
        <v>2250.0500000000002</v>
      </c>
      <c r="D213" s="31" t="s">
        <v>226</v>
      </c>
      <c r="E213" s="31" t="s">
        <v>273</v>
      </c>
      <c r="F213" s="31" t="s">
        <v>275</v>
      </c>
      <c r="G213" s="31" t="s">
        <v>269</v>
      </c>
      <c r="H213" s="57">
        <v>2012</v>
      </c>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row>
    <row r="214" spans="1:49" ht="18" customHeight="1" x14ac:dyDescent="0.35">
      <c r="A214" s="1"/>
      <c r="B214" s="58" t="s">
        <v>548</v>
      </c>
      <c r="C214" s="34">
        <v>2252.56</v>
      </c>
      <c r="D214" s="31" t="s">
        <v>226</v>
      </c>
      <c r="E214" s="31" t="s">
        <v>232</v>
      </c>
      <c r="F214" s="31" t="s">
        <v>229</v>
      </c>
      <c r="G214" s="31" t="s">
        <v>230</v>
      </c>
      <c r="H214" s="57">
        <v>2012</v>
      </c>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row>
    <row r="215" spans="1:49" ht="18" customHeight="1" x14ac:dyDescent="0.35">
      <c r="A215" s="1"/>
      <c r="B215" s="58" t="s">
        <v>549</v>
      </c>
      <c r="C215" s="34">
        <v>2127.14</v>
      </c>
      <c r="D215" s="31" t="s">
        <v>226</v>
      </c>
      <c r="E215" s="31" t="s">
        <v>283</v>
      </c>
      <c r="F215" s="31" t="s">
        <v>229</v>
      </c>
      <c r="G215" s="31" t="s">
        <v>230</v>
      </c>
      <c r="H215" s="57">
        <v>2012</v>
      </c>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row>
    <row r="216" spans="1:49" ht="18" customHeight="1" x14ac:dyDescent="0.35">
      <c r="A216" s="1"/>
      <c r="B216" s="58" t="s">
        <v>551</v>
      </c>
      <c r="C216" s="34">
        <v>1112.3900000000001</v>
      </c>
      <c r="D216" s="31" t="s">
        <v>226</v>
      </c>
      <c r="E216" s="31" t="s">
        <v>550</v>
      </c>
      <c r="F216" s="31" t="s">
        <v>229</v>
      </c>
      <c r="G216" s="31" t="s">
        <v>230</v>
      </c>
      <c r="H216" s="57">
        <v>2012</v>
      </c>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row>
    <row r="217" spans="1:49" ht="18" customHeight="1" x14ac:dyDescent="0.35">
      <c r="A217" s="1"/>
      <c r="B217" s="58" t="s">
        <v>552</v>
      </c>
      <c r="C217" s="34">
        <v>998.86</v>
      </c>
      <c r="D217" s="31" t="s">
        <v>226</v>
      </c>
      <c r="E217" s="31" t="s">
        <v>351</v>
      </c>
      <c r="F217" s="31" t="s">
        <v>299</v>
      </c>
      <c r="G217" s="31" t="s">
        <v>230</v>
      </c>
      <c r="H217" s="57">
        <v>2012</v>
      </c>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row>
    <row r="218" spans="1:49" ht="18" customHeight="1" x14ac:dyDescent="0.35">
      <c r="A218" s="1"/>
      <c r="B218" s="58" t="s">
        <v>553</v>
      </c>
      <c r="C218" s="34">
        <v>2109.9</v>
      </c>
      <c r="D218" s="31" t="s">
        <v>226</v>
      </c>
      <c r="E218" s="31" t="s">
        <v>240</v>
      </c>
      <c r="F218" s="31" t="s">
        <v>242</v>
      </c>
      <c r="G218" s="31" t="s">
        <v>230</v>
      </c>
      <c r="H218" s="57">
        <v>2012</v>
      </c>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row>
    <row r="219" spans="1:49" ht="18" customHeight="1" x14ac:dyDescent="0.35">
      <c r="A219" s="1"/>
      <c r="B219" s="58" t="s">
        <v>554</v>
      </c>
      <c r="C219" s="34">
        <v>1112.23</v>
      </c>
      <c r="D219" s="31" t="s">
        <v>226</v>
      </c>
      <c r="E219" s="31" t="s">
        <v>399</v>
      </c>
      <c r="F219" s="31" t="s">
        <v>236</v>
      </c>
      <c r="G219" s="31" t="s">
        <v>237</v>
      </c>
      <c r="H219" s="57">
        <v>2012</v>
      </c>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row>
    <row r="220" spans="1:49" ht="18" customHeight="1" x14ac:dyDescent="0.35">
      <c r="A220" s="1"/>
      <c r="B220" s="58" t="s">
        <v>556</v>
      </c>
      <c r="C220" s="34">
        <v>1012.44</v>
      </c>
      <c r="D220" s="31" t="s">
        <v>226</v>
      </c>
      <c r="E220" s="31" t="s">
        <v>555</v>
      </c>
      <c r="F220" s="31" t="s">
        <v>328</v>
      </c>
      <c r="G220" s="31" t="s">
        <v>269</v>
      </c>
      <c r="H220" s="57">
        <v>2013</v>
      </c>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row>
    <row r="221" spans="1:49" ht="18" customHeight="1" x14ac:dyDescent="0.35">
      <c r="A221" s="1"/>
      <c r="B221" s="58" t="s">
        <v>558</v>
      </c>
      <c r="C221" s="34">
        <v>2020.36</v>
      </c>
      <c r="D221" s="31" t="s">
        <v>226</v>
      </c>
      <c r="E221" s="31" t="s">
        <v>557</v>
      </c>
      <c r="F221" s="31" t="s">
        <v>302</v>
      </c>
      <c r="G221" s="31" t="s">
        <v>303</v>
      </c>
      <c r="H221" s="57">
        <v>2013</v>
      </c>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row>
    <row r="222" spans="1:49" ht="18" customHeight="1" x14ac:dyDescent="0.35">
      <c r="A222" s="1"/>
      <c r="B222" s="58" t="s">
        <v>560</v>
      </c>
      <c r="C222" s="34">
        <v>2201.29</v>
      </c>
      <c r="D222" s="31" t="s">
        <v>226</v>
      </c>
      <c r="E222" s="31" t="s">
        <v>559</v>
      </c>
      <c r="F222" s="31" t="s">
        <v>245</v>
      </c>
      <c r="G222" s="31" t="s">
        <v>230</v>
      </c>
      <c r="H222" s="57">
        <v>2013</v>
      </c>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row>
    <row r="223" spans="1:49" ht="18" customHeight="1" x14ac:dyDescent="0.35">
      <c r="A223" s="1"/>
      <c r="B223" s="58" t="s">
        <v>562</v>
      </c>
      <c r="C223" s="34">
        <v>1307.8699999999999</v>
      </c>
      <c r="D223" s="31" t="s">
        <v>226</v>
      </c>
      <c r="E223" s="31" t="s">
        <v>561</v>
      </c>
      <c r="F223" s="31" t="s">
        <v>563</v>
      </c>
      <c r="G223" s="31" t="s">
        <v>303</v>
      </c>
      <c r="H223" s="57">
        <v>2013</v>
      </c>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row>
    <row r="224" spans="1:49" ht="18" customHeight="1" x14ac:dyDescent="0.35">
      <c r="A224" s="1"/>
      <c r="B224" s="58" t="s">
        <v>565</v>
      </c>
      <c r="C224" s="34">
        <v>1052.42</v>
      </c>
      <c r="D224" s="31" t="s">
        <v>231</v>
      </c>
      <c r="E224" s="31" t="s">
        <v>564</v>
      </c>
      <c r="F224" s="31" t="s">
        <v>289</v>
      </c>
      <c r="G224" s="31" t="s">
        <v>269</v>
      </c>
      <c r="H224" s="57">
        <v>2013</v>
      </c>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row>
    <row r="225" spans="1:49" ht="18" customHeight="1" x14ac:dyDescent="0.35">
      <c r="A225" s="1"/>
      <c r="B225" s="58" t="s">
        <v>567</v>
      </c>
      <c r="C225" s="34">
        <v>1066.57</v>
      </c>
      <c r="D225" s="31" t="s">
        <v>226</v>
      </c>
      <c r="E225" s="31" t="s">
        <v>566</v>
      </c>
      <c r="F225" s="31" t="s">
        <v>229</v>
      </c>
      <c r="G225" s="31" t="s">
        <v>230</v>
      </c>
      <c r="H225" s="57">
        <v>2013</v>
      </c>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row>
    <row r="226" spans="1:49" ht="18" customHeight="1" x14ac:dyDescent="0.35">
      <c r="A226" s="1"/>
      <c r="B226" s="58" t="s">
        <v>568</v>
      </c>
      <c r="C226" s="34">
        <v>1543.15</v>
      </c>
      <c r="D226" s="31" t="s">
        <v>226</v>
      </c>
      <c r="E226" s="31" t="s">
        <v>240</v>
      </c>
      <c r="F226" s="31" t="s">
        <v>242</v>
      </c>
      <c r="G226" s="31" t="s">
        <v>230</v>
      </c>
      <c r="H226" s="57">
        <v>2013</v>
      </c>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row>
    <row r="227" spans="1:49" ht="18" customHeight="1" x14ac:dyDescent="0.35">
      <c r="A227" s="1"/>
      <c r="B227" s="58" t="s">
        <v>569</v>
      </c>
      <c r="C227" s="34">
        <v>1799</v>
      </c>
      <c r="D227" s="31" t="s">
        <v>226</v>
      </c>
      <c r="E227" s="31" t="s">
        <v>287</v>
      </c>
      <c r="F227" s="31" t="s">
        <v>289</v>
      </c>
      <c r="G227" s="31" t="s">
        <v>269</v>
      </c>
      <c r="H227" s="57">
        <v>2013</v>
      </c>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row>
    <row r="228" spans="1:49" ht="18" customHeight="1" x14ac:dyDescent="0.35">
      <c r="A228" s="1"/>
      <c r="B228" s="58" t="s">
        <v>570</v>
      </c>
      <c r="C228" s="34">
        <v>1528.79</v>
      </c>
      <c r="D228" s="31" t="s">
        <v>226</v>
      </c>
      <c r="E228" s="31" t="s">
        <v>308</v>
      </c>
      <c r="F228" s="31" t="s">
        <v>310</v>
      </c>
      <c r="G228" s="31" t="s">
        <v>269</v>
      </c>
      <c r="H228" s="57">
        <v>2013</v>
      </c>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row>
    <row r="229" spans="1:49" ht="18" customHeight="1" x14ac:dyDescent="0.35">
      <c r="A229" s="1"/>
      <c r="B229" s="58" t="s">
        <v>571</v>
      </c>
      <c r="C229" s="34">
        <v>2119.85</v>
      </c>
      <c r="D229" s="31" t="s">
        <v>226</v>
      </c>
      <c r="E229" s="31" t="s">
        <v>252</v>
      </c>
      <c r="F229" s="31" t="s">
        <v>254</v>
      </c>
      <c r="G229" s="31" t="s">
        <v>255</v>
      </c>
      <c r="H229" s="57">
        <v>2013</v>
      </c>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row>
    <row r="230" spans="1:49" ht="18" customHeight="1" x14ac:dyDescent="0.35">
      <c r="A230" s="1"/>
      <c r="B230" s="58" t="s">
        <v>573</v>
      </c>
      <c r="C230" s="34">
        <v>2127.42</v>
      </c>
      <c r="D230" s="31" t="s">
        <v>226</v>
      </c>
      <c r="E230" s="31" t="s">
        <v>572</v>
      </c>
      <c r="F230" s="31" t="s">
        <v>116</v>
      </c>
      <c r="G230" s="31" t="s">
        <v>255</v>
      </c>
      <c r="H230" s="57">
        <v>2013</v>
      </c>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row>
    <row r="231" spans="1:49" ht="18" customHeight="1" x14ac:dyDescent="0.35">
      <c r="A231" s="1"/>
      <c r="B231" s="58" t="s">
        <v>574</v>
      </c>
      <c r="C231" s="34">
        <v>996.3</v>
      </c>
      <c r="D231" s="31" t="s">
        <v>226</v>
      </c>
      <c r="E231" s="31" t="s">
        <v>397</v>
      </c>
      <c r="F231" s="31" t="s">
        <v>229</v>
      </c>
      <c r="G231" s="31" t="s">
        <v>230</v>
      </c>
      <c r="H231" s="57">
        <v>2013</v>
      </c>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row>
    <row r="232" spans="1:49" ht="18" customHeight="1" x14ac:dyDescent="0.35">
      <c r="A232" s="1"/>
      <c r="B232" s="58" t="s">
        <v>575</v>
      </c>
      <c r="C232" s="34">
        <v>980.1</v>
      </c>
      <c r="D232" s="31" t="s">
        <v>231</v>
      </c>
      <c r="E232" s="31" t="s">
        <v>240</v>
      </c>
      <c r="F232" s="31" t="s">
        <v>242</v>
      </c>
      <c r="G232" s="31" t="s">
        <v>230</v>
      </c>
      <c r="H232" s="57">
        <v>2013</v>
      </c>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row>
    <row r="233" spans="1:49" ht="18" customHeight="1" x14ac:dyDescent="0.35">
      <c r="A233" s="1"/>
      <c r="B233" s="58" t="s">
        <v>576</v>
      </c>
      <c r="C233" s="34">
        <v>2198.73</v>
      </c>
      <c r="D233" s="31" t="s">
        <v>226</v>
      </c>
      <c r="E233" s="31" t="s">
        <v>308</v>
      </c>
      <c r="F233" s="31" t="s">
        <v>310</v>
      </c>
      <c r="G233" s="31" t="s">
        <v>269</v>
      </c>
      <c r="H233" s="57">
        <v>2013</v>
      </c>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row>
    <row r="234" spans="1:49" ht="18" customHeight="1" x14ac:dyDescent="0.35">
      <c r="A234" s="1"/>
      <c r="B234" s="58" t="s">
        <v>577</v>
      </c>
      <c r="C234" s="34">
        <v>2197.63</v>
      </c>
      <c r="D234" s="31" t="s">
        <v>226</v>
      </c>
      <c r="E234" s="31" t="s">
        <v>371</v>
      </c>
      <c r="F234" s="31" t="s">
        <v>245</v>
      </c>
      <c r="G234" s="31" t="s">
        <v>230</v>
      </c>
      <c r="H234" s="57">
        <v>2013</v>
      </c>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row>
    <row r="235" spans="1:49" ht="18" customHeight="1" x14ac:dyDescent="0.35">
      <c r="A235" s="1"/>
      <c r="B235" s="58" t="s">
        <v>578</v>
      </c>
      <c r="C235" s="34">
        <v>1000.36</v>
      </c>
      <c r="D235" s="31" t="s">
        <v>226</v>
      </c>
      <c r="E235" s="31" t="s">
        <v>522</v>
      </c>
      <c r="F235" s="31" t="s">
        <v>299</v>
      </c>
      <c r="G235" s="31" t="s">
        <v>230</v>
      </c>
      <c r="H235" s="57">
        <v>2013</v>
      </c>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row>
    <row r="236" spans="1:49" ht="18" customHeight="1" x14ac:dyDescent="0.35">
      <c r="A236" s="1"/>
      <c r="B236" s="58" t="s">
        <v>580</v>
      </c>
      <c r="C236" s="34">
        <v>2172.31</v>
      </c>
      <c r="D236" s="31" t="s">
        <v>226</v>
      </c>
      <c r="E236" s="31" t="s">
        <v>579</v>
      </c>
      <c r="F236" s="31" t="s">
        <v>254</v>
      </c>
      <c r="G236" s="31" t="s">
        <v>255</v>
      </c>
      <c r="H236" s="57">
        <v>2013</v>
      </c>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row>
    <row r="237" spans="1:49" ht="18" customHeight="1" x14ac:dyDescent="0.35">
      <c r="A237" s="1"/>
      <c r="B237" s="58" t="s">
        <v>582</v>
      </c>
      <c r="C237" s="34">
        <v>1646.01</v>
      </c>
      <c r="D237" s="31" t="s">
        <v>226</v>
      </c>
      <c r="E237" s="31" t="s">
        <v>581</v>
      </c>
      <c r="F237" s="31" t="s">
        <v>236</v>
      </c>
      <c r="G237" s="31" t="s">
        <v>237</v>
      </c>
      <c r="H237" s="57">
        <v>2013</v>
      </c>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row>
    <row r="238" spans="1:49" ht="18" customHeight="1" x14ac:dyDescent="0.35">
      <c r="A238" s="1"/>
      <c r="B238" s="58" t="s">
        <v>583</v>
      </c>
      <c r="C238" s="34">
        <v>2226.06</v>
      </c>
      <c r="D238" s="31" t="s">
        <v>226</v>
      </c>
      <c r="E238" s="31" t="s">
        <v>227</v>
      </c>
      <c r="F238" s="31" t="s">
        <v>229</v>
      </c>
      <c r="G238" s="31" t="s">
        <v>230</v>
      </c>
      <c r="H238" s="57">
        <v>2013</v>
      </c>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row>
    <row r="239" spans="1:49" ht="18" customHeight="1" x14ac:dyDescent="0.35">
      <c r="A239" s="1"/>
      <c r="B239" s="58" t="s">
        <v>585</v>
      </c>
      <c r="C239" s="34">
        <v>1559.21</v>
      </c>
      <c r="D239" s="31" t="s">
        <v>226</v>
      </c>
      <c r="E239" s="31" t="s">
        <v>584</v>
      </c>
      <c r="F239" s="31" t="s">
        <v>299</v>
      </c>
      <c r="G239" s="31" t="s">
        <v>230</v>
      </c>
      <c r="H239" s="57">
        <v>2014</v>
      </c>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row>
    <row r="240" spans="1:49" ht="18" customHeight="1" x14ac:dyDescent="0.35">
      <c r="A240" s="1"/>
      <c r="B240" s="58" t="s">
        <v>586</v>
      </c>
      <c r="C240" s="34">
        <v>2267.34</v>
      </c>
      <c r="D240" s="31" t="s">
        <v>231</v>
      </c>
      <c r="E240" s="31" t="s">
        <v>381</v>
      </c>
      <c r="F240" s="31" t="s">
        <v>245</v>
      </c>
      <c r="G240" s="31" t="s">
        <v>230</v>
      </c>
      <c r="H240" s="57">
        <v>2014</v>
      </c>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row>
    <row r="241" spans="1:49" ht="18" customHeight="1" x14ac:dyDescent="0.35">
      <c r="A241" s="1"/>
      <c r="B241" s="58" t="s">
        <v>587</v>
      </c>
      <c r="C241" s="34">
        <v>2162.27</v>
      </c>
      <c r="D241" s="31" t="s">
        <v>226</v>
      </c>
      <c r="E241" s="31" t="s">
        <v>333</v>
      </c>
      <c r="F241" s="31" t="s">
        <v>335</v>
      </c>
      <c r="G241" s="31" t="s">
        <v>269</v>
      </c>
      <c r="H241" s="57">
        <v>2014</v>
      </c>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row>
    <row r="242" spans="1:49" ht="18" customHeight="1" x14ac:dyDescent="0.35">
      <c r="A242" s="1"/>
      <c r="B242" s="58" t="s">
        <v>588</v>
      </c>
      <c r="C242" s="34">
        <v>2201.6999999999998</v>
      </c>
      <c r="D242" s="31" t="s">
        <v>226</v>
      </c>
      <c r="E242" s="31" t="s">
        <v>351</v>
      </c>
      <c r="F242" s="31" t="s">
        <v>299</v>
      </c>
      <c r="G242" s="31" t="s">
        <v>230</v>
      </c>
      <c r="H242" s="57">
        <v>2014</v>
      </c>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row>
    <row r="243" spans="1:49" ht="18" customHeight="1" x14ac:dyDescent="0.35">
      <c r="A243" s="1"/>
      <c r="B243" s="58" t="s">
        <v>589</v>
      </c>
      <c r="C243" s="34">
        <v>2304</v>
      </c>
      <c r="D243" s="31" t="s">
        <v>226</v>
      </c>
      <c r="E243" s="31" t="s">
        <v>308</v>
      </c>
      <c r="F243" s="31" t="s">
        <v>310</v>
      </c>
      <c r="G243" s="31" t="s">
        <v>269</v>
      </c>
      <c r="H243" s="57">
        <v>2014</v>
      </c>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row>
    <row r="244" spans="1:49" ht="18" customHeight="1" x14ac:dyDescent="0.35">
      <c r="A244" s="1"/>
      <c r="B244" s="58" t="s">
        <v>590</v>
      </c>
      <c r="C244" s="34">
        <v>1029.96</v>
      </c>
      <c r="D244" s="31" t="s">
        <v>226</v>
      </c>
      <c r="E244" s="31" t="s">
        <v>561</v>
      </c>
      <c r="F244" s="31" t="s">
        <v>563</v>
      </c>
      <c r="G244" s="31" t="s">
        <v>303</v>
      </c>
      <c r="H244" s="57">
        <v>2014</v>
      </c>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row>
    <row r="245" spans="1:49" ht="18" customHeight="1" x14ac:dyDescent="0.35">
      <c r="A245" s="1"/>
      <c r="B245" s="58" t="s">
        <v>591</v>
      </c>
      <c r="C245" s="34">
        <v>2129.5100000000002</v>
      </c>
      <c r="D245" s="31" t="s">
        <v>226</v>
      </c>
      <c r="E245" s="31" t="s">
        <v>403</v>
      </c>
      <c r="F245" s="31" t="s">
        <v>405</v>
      </c>
      <c r="G245" s="31" t="s">
        <v>269</v>
      </c>
      <c r="H245" s="57">
        <v>2014</v>
      </c>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row>
    <row r="246" spans="1:49" ht="18" customHeight="1" x14ac:dyDescent="0.35">
      <c r="A246" s="1"/>
      <c r="B246" s="58" t="s">
        <v>593</v>
      </c>
      <c r="C246" s="34">
        <v>2050.33</v>
      </c>
      <c r="D246" s="31" t="s">
        <v>226</v>
      </c>
      <c r="E246" s="31" t="s">
        <v>592</v>
      </c>
      <c r="F246" s="31" t="s">
        <v>594</v>
      </c>
      <c r="G246" s="31" t="s">
        <v>303</v>
      </c>
      <c r="H246" s="57">
        <v>2014</v>
      </c>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row>
    <row r="247" spans="1:49" ht="18" customHeight="1" x14ac:dyDescent="0.35">
      <c r="A247" s="1"/>
      <c r="B247" s="58" t="s">
        <v>595</v>
      </c>
      <c r="C247" s="34">
        <v>840.53</v>
      </c>
      <c r="D247" s="31" t="s">
        <v>226</v>
      </c>
      <c r="E247" s="31" t="s">
        <v>366</v>
      </c>
      <c r="F247" s="31" t="s">
        <v>229</v>
      </c>
      <c r="G247" s="31" t="s">
        <v>230</v>
      </c>
      <c r="H247" s="57">
        <v>2014</v>
      </c>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row>
    <row r="248" spans="1:49" ht="18" customHeight="1" x14ac:dyDescent="0.35">
      <c r="A248" s="1"/>
      <c r="B248" s="58" t="s">
        <v>597</v>
      </c>
      <c r="C248" s="34">
        <v>1001.58</v>
      </c>
      <c r="D248" s="31" t="s">
        <v>226</v>
      </c>
      <c r="E248" s="31" t="s">
        <v>596</v>
      </c>
      <c r="F248" s="31" t="s">
        <v>254</v>
      </c>
      <c r="G248" s="31" t="s">
        <v>255</v>
      </c>
      <c r="H248" s="57">
        <v>2014</v>
      </c>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row>
    <row r="249" spans="1:49" ht="18" customHeight="1" x14ac:dyDescent="0.35">
      <c r="A249" s="1"/>
      <c r="B249" s="58" t="s">
        <v>599</v>
      </c>
      <c r="C249" s="34">
        <v>1118.2</v>
      </c>
      <c r="D249" s="31" t="s">
        <v>226</v>
      </c>
      <c r="E249" s="31" t="s">
        <v>598</v>
      </c>
      <c r="F249" s="31" t="s">
        <v>254</v>
      </c>
      <c r="G249" s="31" t="s">
        <v>255</v>
      </c>
      <c r="H249" s="57">
        <v>2014</v>
      </c>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row>
    <row r="250" spans="1:49" ht="18" customHeight="1" x14ac:dyDescent="0.35">
      <c r="A250" s="1"/>
      <c r="B250" s="58" t="s">
        <v>601</v>
      </c>
      <c r="C250" s="34">
        <v>2149.44</v>
      </c>
      <c r="D250" s="31" t="s">
        <v>226</v>
      </c>
      <c r="E250" s="31" t="s">
        <v>600</v>
      </c>
      <c r="F250" s="31" t="s">
        <v>602</v>
      </c>
      <c r="G250" s="31" t="s">
        <v>303</v>
      </c>
      <c r="H250" s="57">
        <v>2014</v>
      </c>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row>
    <row r="251" spans="1:49" ht="18" customHeight="1" x14ac:dyDescent="0.35">
      <c r="A251" s="1"/>
      <c r="B251" s="58" t="s">
        <v>603</v>
      </c>
      <c r="C251" s="34">
        <v>2176.35</v>
      </c>
      <c r="D251" s="31" t="s">
        <v>231</v>
      </c>
      <c r="E251" s="31" t="s">
        <v>361</v>
      </c>
      <c r="F251" s="31" t="s">
        <v>363</v>
      </c>
      <c r="G251" s="31" t="s">
        <v>255</v>
      </c>
      <c r="H251" s="57">
        <v>2014</v>
      </c>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row>
    <row r="252" spans="1:49" ht="18" customHeight="1" x14ac:dyDescent="0.35">
      <c r="A252" s="1"/>
      <c r="B252" s="58" t="s">
        <v>604</v>
      </c>
      <c r="C252" s="34">
        <v>2158.88</v>
      </c>
      <c r="D252" s="31" t="s">
        <v>226</v>
      </c>
      <c r="E252" s="31" t="s">
        <v>322</v>
      </c>
      <c r="F252" s="31" t="s">
        <v>324</v>
      </c>
      <c r="G252" s="31" t="s">
        <v>269</v>
      </c>
      <c r="H252" s="57">
        <v>2014</v>
      </c>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row>
    <row r="253" spans="1:49" ht="18" customHeight="1" x14ac:dyDescent="0.35">
      <c r="A253" s="1"/>
      <c r="B253" s="58" t="s">
        <v>606</v>
      </c>
      <c r="C253" s="34">
        <v>1095.46</v>
      </c>
      <c r="D253" s="31" t="s">
        <v>226</v>
      </c>
      <c r="E253" s="31" t="s">
        <v>605</v>
      </c>
      <c r="F253" s="31" t="s">
        <v>310</v>
      </c>
      <c r="G253" s="31" t="s">
        <v>269</v>
      </c>
      <c r="H253" s="57">
        <v>2014</v>
      </c>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row>
    <row r="254" spans="1:49" ht="18" customHeight="1" x14ac:dyDescent="0.35">
      <c r="A254" s="1"/>
      <c r="B254" s="58" t="s">
        <v>607</v>
      </c>
      <c r="C254" s="34">
        <v>2084.46</v>
      </c>
      <c r="D254" s="31" t="s">
        <v>226</v>
      </c>
      <c r="E254" s="31" t="s">
        <v>341</v>
      </c>
      <c r="F254" s="31" t="s">
        <v>343</v>
      </c>
      <c r="G254" s="31" t="s">
        <v>303</v>
      </c>
      <c r="H254" s="57">
        <v>2014</v>
      </c>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row>
    <row r="255" spans="1:49" ht="18" customHeight="1" x14ac:dyDescent="0.35">
      <c r="A255" s="1"/>
      <c r="B255" s="58" t="s">
        <v>608</v>
      </c>
      <c r="C255" s="34">
        <v>2208.75</v>
      </c>
      <c r="D255" s="31" t="s">
        <v>226</v>
      </c>
      <c r="E255" s="31" t="s">
        <v>341</v>
      </c>
      <c r="F255" s="31" t="s">
        <v>343</v>
      </c>
      <c r="G255" s="31" t="s">
        <v>303</v>
      </c>
      <c r="H255" s="57">
        <v>2014</v>
      </c>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row>
    <row r="256" spans="1:49" ht="18" customHeight="1" x14ac:dyDescent="0.35">
      <c r="A256" s="1"/>
      <c r="B256" s="58" t="s">
        <v>610</v>
      </c>
      <c r="C256" s="34">
        <v>2091.84</v>
      </c>
      <c r="D256" s="31" t="s">
        <v>226</v>
      </c>
      <c r="E256" s="31" t="s">
        <v>609</v>
      </c>
      <c r="F256" s="31" t="s">
        <v>302</v>
      </c>
      <c r="G256" s="31" t="s">
        <v>303</v>
      </c>
      <c r="H256" s="57">
        <v>2014</v>
      </c>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row>
    <row r="257" spans="1:49" ht="18" customHeight="1" x14ac:dyDescent="0.35">
      <c r="A257" s="1"/>
      <c r="B257" s="58" t="s">
        <v>611</v>
      </c>
      <c r="C257" s="34">
        <v>1777.29</v>
      </c>
      <c r="D257" s="31" t="s">
        <v>226</v>
      </c>
      <c r="E257" s="31" t="s">
        <v>240</v>
      </c>
      <c r="F257" s="31" t="s">
        <v>242</v>
      </c>
      <c r="G257" s="31" t="s">
        <v>230</v>
      </c>
      <c r="H257" s="57">
        <v>2014</v>
      </c>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row>
    <row r="258" spans="1:49" ht="18" customHeight="1" x14ac:dyDescent="0.35">
      <c r="A258" s="1"/>
      <c r="B258" s="58" t="s">
        <v>613</v>
      </c>
      <c r="C258" s="34">
        <v>2254.8000000000002</v>
      </c>
      <c r="D258" s="31" t="s">
        <v>226</v>
      </c>
      <c r="E258" s="31" t="s">
        <v>612</v>
      </c>
      <c r="F258" s="31" t="s">
        <v>335</v>
      </c>
      <c r="G258" s="31" t="s">
        <v>269</v>
      </c>
      <c r="H258" s="57">
        <v>2015</v>
      </c>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row>
    <row r="259" spans="1:49" ht="18" customHeight="1" x14ac:dyDescent="0.35">
      <c r="A259" s="1"/>
      <c r="B259" s="58" t="s">
        <v>614</v>
      </c>
      <c r="C259" s="34">
        <v>1026.44</v>
      </c>
      <c r="D259" s="31" t="s">
        <v>226</v>
      </c>
      <c r="E259" s="31" t="s">
        <v>329</v>
      </c>
      <c r="F259" s="31" t="s">
        <v>229</v>
      </c>
      <c r="G259" s="31" t="s">
        <v>230</v>
      </c>
      <c r="H259" s="57">
        <v>2015</v>
      </c>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row>
    <row r="260" spans="1:49" ht="18" customHeight="1" x14ac:dyDescent="0.35">
      <c r="A260" s="1"/>
      <c r="B260" s="58" t="s">
        <v>306</v>
      </c>
      <c r="C260" s="34">
        <v>2133.86</v>
      </c>
      <c r="D260" s="31" t="s">
        <v>231</v>
      </c>
      <c r="E260" s="31" t="s">
        <v>306</v>
      </c>
      <c r="F260" s="31" t="s">
        <v>242</v>
      </c>
      <c r="G260" s="31" t="s">
        <v>230</v>
      </c>
      <c r="H260" s="57">
        <v>2015</v>
      </c>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row>
    <row r="261" spans="1:49" ht="18" customHeight="1" x14ac:dyDescent="0.35">
      <c r="A261" s="1"/>
      <c r="B261" s="58" t="s">
        <v>615</v>
      </c>
      <c r="C261" s="34">
        <v>956.08</v>
      </c>
      <c r="D261" s="31" t="s">
        <v>226</v>
      </c>
      <c r="E261" s="31" t="s">
        <v>308</v>
      </c>
      <c r="F261" s="31" t="s">
        <v>310</v>
      </c>
      <c r="G261" s="31" t="s">
        <v>269</v>
      </c>
      <c r="H261" s="57">
        <v>2015</v>
      </c>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row>
    <row r="262" spans="1:49" ht="18" customHeight="1" x14ac:dyDescent="0.35">
      <c r="A262" s="1"/>
      <c r="B262" s="58" t="s">
        <v>616</v>
      </c>
      <c r="C262" s="34">
        <v>977.61</v>
      </c>
      <c r="D262" s="31" t="s">
        <v>226</v>
      </c>
      <c r="E262" s="31" t="s">
        <v>232</v>
      </c>
      <c r="F262" s="31" t="s">
        <v>229</v>
      </c>
      <c r="G262" s="31" t="s">
        <v>230</v>
      </c>
      <c r="H262" s="57">
        <v>2015</v>
      </c>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row>
    <row r="263" spans="1:49" ht="18" customHeight="1" x14ac:dyDescent="0.35">
      <c r="A263" s="1"/>
      <c r="B263" s="58" t="s">
        <v>618</v>
      </c>
      <c r="C263" s="34">
        <v>1975.12</v>
      </c>
      <c r="D263" s="31" t="s">
        <v>226</v>
      </c>
      <c r="E263" s="31" t="s">
        <v>617</v>
      </c>
      <c r="F263" s="31" t="s">
        <v>619</v>
      </c>
      <c r="G263" s="31" t="s">
        <v>303</v>
      </c>
      <c r="H263" s="57">
        <v>2015</v>
      </c>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row>
    <row r="264" spans="1:49" ht="18" customHeight="1" x14ac:dyDescent="0.35">
      <c r="A264" s="1"/>
      <c r="B264" s="58" t="s">
        <v>620</v>
      </c>
      <c r="C264" s="34">
        <v>2281.38</v>
      </c>
      <c r="D264" s="31" t="s">
        <v>226</v>
      </c>
      <c r="E264" s="31" t="s">
        <v>300</v>
      </c>
      <c r="F264" s="31" t="s">
        <v>302</v>
      </c>
      <c r="G264" s="31" t="s">
        <v>303</v>
      </c>
      <c r="H264" s="57">
        <v>2015</v>
      </c>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row>
    <row r="265" spans="1:49" ht="18" customHeight="1" x14ac:dyDescent="0.35">
      <c r="A265" s="1"/>
      <c r="B265" s="58" t="s">
        <v>622</v>
      </c>
      <c r="C265" s="34">
        <v>2153</v>
      </c>
      <c r="D265" s="31" t="s">
        <v>226</v>
      </c>
      <c r="E265" s="31" t="s">
        <v>621</v>
      </c>
      <c r="F265" s="31" t="s">
        <v>245</v>
      </c>
      <c r="G265" s="31" t="s">
        <v>230</v>
      </c>
      <c r="H265" s="57">
        <v>2015</v>
      </c>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row>
    <row r="266" spans="1:49" ht="18" customHeight="1" x14ac:dyDescent="0.35">
      <c r="A266" s="1"/>
      <c r="B266" s="58" t="s">
        <v>623</v>
      </c>
      <c r="C266" s="34">
        <v>1393.3200000000002</v>
      </c>
      <c r="D266" s="31" t="s">
        <v>231</v>
      </c>
      <c r="E266" s="31" t="s">
        <v>227</v>
      </c>
      <c r="F266" s="31" t="s">
        <v>229</v>
      </c>
      <c r="G266" s="31" t="s">
        <v>230</v>
      </c>
      <c r="H266" s="57">
        <v>2015</v>
      </c>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row>
    <row r="267" spans="1:49" ht="18" customHeight="1" x14ac:dyDescent="0.35">
      <c r="A267" s="1"/>
      <c r="B267" s="58" t="s">
        <v>624</v>
      </c>
      <c r="C267" s="34">
        <v>2372.56</v>
      </c>
      <c r="D267" s="31" t="s">
        <v>226</v>
      </c>
      <c r="E267" s="31" t="s">
        <v>403</v>
      </c>
      <c r="F267" s="31" t="s">
        <v>405</v>
      </c>
      <c r="G267" s="31" t="s">
        <v>269</v>
      </c>
      <c r="H267" s="57">
        <v>2015</v>
      </c>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row>
    <row r="268" spans="1:49" ht="18" customHeight="1" x14ac:dyDescent="0.35">
      <c r="A268" s="1"/>
      <c r="B268" s="58" t="s">
        <v>626</v>
      </c>
      <c r="C268" s="34">
        <v>2048.5500000000002</v>
      </c>
      <c r="D268" s="31" t="s">
        <v>226</v>
      </c>
      <c r="E268" s="31" t="s">
        <v>625</v>
      </c>
      <c r="F268" s="31" t="s">
        <v>275</v>
      </c>
      <c r="G268" s="31" t="s">
        <v>269</v>
      </c>
      <c r="H268" s="57">
        <v>2015</v>
      </c>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row>
    <row r="269" spans="1:49" ht="18" customHeight="1" x14ac:dyDescent="0.35">
      <c r="A269" s="1"/>
      <c r="B269" s="58" t="s">
        <v>627</v>
      </c>
      <c r="C269" s="34">
        <v>998.11</v>
      </c>
      <c r="D269" s="31" t="s">
        <v>226</v>
      </c>
      <c r="E269" s="31" t="s">
        <v>381</v>
      </c>
      <c r="F269" s="31" t="s">
        <v>245</v>
      </c>
      <c r="G269" s="31" t="s">
        <v>230</v>
      </c>
      <c r="H269" s="57">
        <v>2015</v>
      </c>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row>
    <row r="270" spans="1:49" ht="18" customHeight="1" x14ac:dyDescent="0.35">
      <c r="A270" s="1"/>
      <c r="B270" s="58" t="s">
        <v>628</v>
      </c>
      <c r="C270" s="34">
        <v>2184.59</v>
      </c>
      <c r="D270" s="31" t="s">
        <v>226</v>
      </c>
      <c r="E270" s="31" t="s">
        <v>306</v>
      </c>
      <c r="F270" s="31" t="s">
        <v>242</v>
      </c>
      <c r="G270" s="31" t="s">
        <v>230</v>
      </c>
      <c r="H270" s="57">
        <v>2016</v>
      </c>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row>
    <row r="271" spans="1:49" ht="18" customHeight="1" x14ac:dyDescent="0.35">
      <c r="A271" s="1"/>
      <c r="B271" s="58" t="s">
        <v>629</v>
      </c>
      <c r="C271" s="34">
        <v>2178.14</v>
      </c>
      <c r="D271" s="31" t="s">
        <v>226</v>
      </c>
      <c r="E271" s="31" t="s">
        <v>227</v>
      </c>
      <c r="F271" s="31" t="s">
        <v>229</v>
      </c>
      <c r="G271" s="31" t="s">
        <v>230</v>
      </c>
      <c r="H271" s="57">
        <v>2016</v>
      </c>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row>
    <row r="272" spans="1:49" ht="18" customHeight="1" x14ac:dyDescent="0.35">
      <c r="A272" s="1"/>
      <c r="B272" s="58" t="s">
        <v>630</v>
      </c>
      <c r="C272" s="34">
        <v>1975.94</v>
      </c>
      <c r="D272" s="31" t="s">
        <v>231</v>
      </c>
      <c r="E272" s="31" t="s">
        <v>630</v>
      </c>
      <c r="F272" s="31" t="s">
        <v>229</v>
      </c>
      <c r="G272" s="31" t="s">
        <v>230</v>
      </c>
      <c r="H272" s="57">
        <v>2018</v>
      </c>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row>
    <row r="273" spans="1:49" ht="18" customHeight="1" x14ac:dyDescent="0.35">
      <c r="A273" s="1"/>
      <c r="B273" s="58" t="s">
        <v>632</v>
      </c>
      <c r="C273" s="34">
        <v>1853.8600000000001</v>
      </c>
      <c r="D273" s="31" t="s">
        <v>226</v>
      </c>
      <c r="E273" s="31" t="s">
        <v>631</v>
      </c>
      <c r="F273" s="31" t="s">
        <v>275</v>
      </c>
      <c r="G273" s="31" t="s">
        <v>269</v>
      </c>
      <c r="H273" s="57">
        <v>2018</v>
      </c>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row>
    <row r="274" spans="1:49" ht="18" customHeight="1" x14ac:dyDescent="0.35">
      <c r="A274" s="1"/>
      <c r="B274" s="58" t="s">
        <v>633</v>
      </c>
      <c r="C274" s="34">
        <v>2099.04</v>
      </c>
      <c r="D274" s="31" t="s">
        <v>226</v>
      </c>
      <c r="E274" s="31" t="s">
        <v>422</v>
      </c>
      <c r="F274" s="31" t="s">
        <v>324</v>
      </c>
      <c r="G274" s="31" t="s">
        <v>269</v>
      </c>
      <c r="H274" s="57">
        <v>2018</v>
      </c>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row>
    <row r="275" spans="1:49" ht="18" customHeight="1" x14ac:dyDescent="0.35">
      <c r="A275" s="1"/>
      <c r="B275" s="58" t="s">
        <v>635</v>
      </c>
      <c r="C275" s="34">
        <v>1993.96</v>
      </c>
      <c r="D275" s="31" t="s">
        <v>226</v>
      </c>
      <c r="E275" s="31" t="s">
        <v>634</v>
      </c>
      <c r="F275" s="31" t="s">
        <v>268</v>
      </c>
      <c r="G275" s="31" t="s">
        <v>269</v>
      </c>
      <c r="H275" s="57">
        <v>2019</v>
      </c>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row>
    <row r="276" spans="1:49" ht="18" customHeight="1" x14ac:dyDescent="0.35">
      <c r="A276" s="1"/>
      <c r="B276" s="58" t="s">
        <v>637</v>
      </c>
      <c r="C276" s="34">
        <v>2234.0500000000002</v>
      </c>
      <c r="D276" s="31" t="s">
        <v>226</v>
      </c>
      <c r="E276" s="31" t="s">
        <v>636</v>
      </c>
      <c r="F276" s="31" t="s">
        <v>275</v>
      </c>
      <c r="G276" s="31" t="s">
        <v>269</v>
      </c>
      <c r="H276" s="57">
        <v>2019</v>
      </c>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row>
    <row r="277" spans="1:49" ht="18" customHeight="1" x14ac:dyDescent="0.35">
      <c r="A277" s="1"/>
      <c r="B277" s="58" t="s">
        <v>639</v>
      </c>
      <c r="C277" s="34">
        <v>2177.0700000000002</v>
      </c>
      <c r="D277" s="31" t="s">
        <v>226</v>
      </c>
      <c r="E277" s="31" t="s">
        <v>638</v>
      </c>
      <c r="F277" s="31" t="s">
        <v>302</v>
      </c>
      <c r="G277" s="31" t="s">
        <v>303</v>
      </c>
      <c r="H277" s="57">
        <v>2019</v>
      </c>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row>
    <row r="278" spans="1:49" ht="18" customHeight="1" x14ac:dyDescent="0.35">
      <c r="A278" s="1"/>
      <c r="B278" s="58" t="s">
        <v>640</v>
      </c>
      <c r="C278" s="34">
        <v>2012.82</v>
      </c>
      <c r="D278" s="31" t="s">
        <v>226</v>
      </c>
      <c r="E278" s="31" t="s">
        <v>234</v>
      </c>
      <c r="F278" s="31" t="s">
        <v>236</v>
      </c>
      <c r="G278" s="31" t="s">
        <v>237</v>
      </c>
      <c r="H278" s="57">
        <v>2019</v>
      </c>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row>
    <row r="279" spans="1:49" ht="18" customHeight="1" x14ac:dyDescent="0.35">
      <c r="A279" s="1"/>
      <c r="B279" s="58" t="s">
        <v>642</v>
      </c>
      <c r="C279" s="34">
        <v>1397</v>
      </c>
      <c r="D279" s="31" t="s">
        <v>226</v>
      </c>
      <c r="E279" s="31" t="s">
        <v>641</v>
      </c>
      <c r="F279" s="31" t="s">
        <v>229</v>
      </c>
      <c r="G279" s="31" t="s">
        <v>230</v>
      </c>
      <c r="H279" s="57">
        <v>2019</v>
      </c>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row>
    <row r="280" spans="1:49" ht="18" customHeight="1" x14ac:dyDescent="0.35">
      <c r="A280" s="1"/>
      <c r="B280" s="58" t="s">
        <v>644</v>
      </c>
      <c r="C280" s="34">
        <v>1740</v>
      </c>
      <c r="D280" s="31" t="s">
        <v>226</v>
      </c>
      <c r="E280" s="31" t="s">
        <v>643</v>
      </c>
      <c r="F280" s="31" t="s">
        <v>385</v>
      </c>
      <c r="G280" s="31" t="s">
        <v>237</v>
      </c>
      <c r="H280" s="57">
        <v>2019</v>
      </c>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row>
    <row r="281" spans="1:49" ht="18" customHeight="1" x14ac:dyDescent="0.35">
      <c r="A281" s="1"/>
      <c r="B281" s="58" t="s">
        <v>645</v>
      </c>
      <c r="C281" s="34">
        <v>2191.16</v>
      </c>
      <c r="D281" s="31" t="s">
        <v>226</v>
      </c>
      <c r="E281" s="31" t="s">
        <v>341</v>
      </c>
      <c r="F281" s="31" t="s">
        <v>343</v>
      </c>
      <c r="G281" s="31" t="s">
        <v>303</v>
      </c>
      <c r="H281" s="57">
        <v>2019</v>
      </c>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row>
    <row r="282" spans="1:49" ht="18" customHeight="1" x14ac:dyDescent="0.35">
      <c r="A282" s="1"/>
      <c r="B282" s="58" t="s">
        <v>646</v>
      </c>
      <c r="C282" s="34">
        <v>2129.5100000000002</v>
      </c>
      <c r="D282" s="31" t="s">
        <v>226</v>
      </c>
      <c r="E282" s="31" t="s">
        <v>308</v>
      </c>
      <c r="F282" s="31" t="s">
        <v>310</v>
      </c>
      <c r="G282" s="31" t="s">
        <v>269</v>
      </c>
      <c r="H282" s="57">
        <v>2019</v>
      </c>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row>
    <row r="283" spans="1:49" ht="18" customHeight="1" x14ac:dyDescent="0.35">
      <c r="A283" s="1"/>
      <c r="B283" s="58" t="s">
        <v>647</v>
      </c>
      <c r="C283" s="34">
        <v>1853.94</v>
      </c>
      <c r="D283" s="31" t="s">
        <v>226</v>
      </c>
      <c r="E283" s="31" t="s">
        <v>326</v>
      </c>
      <c r="F283" s="31" t="s">
        <v>328</v>
      </c>
      <c r="G283" s="31" t="s">
        <v>269</v>
      </c>
      <c r="H283" s="57">
        <v>2019</v>
      </c>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row>
    <row r="284" spans="1:49" ht="18" customHeight="1" x14ac:dyDescent="0.35">
      <c r="A284" s="1"/>
      <c r="B284" s="58" t="s">
        <v>649</v>
      </c>
      <c r="C284" s="34">
        <v>1750.74</v>
      </c>
      <c r="D284" s="31" t="s">
        <v>226</v>
      </c>
      <c r="E284" s="31" t="s">
        <v>648</v>
      </c>
      <c r="F284" s="31" t="s">
        <v>242</v>
      </c>
      <c r="G284" s="31" t="s">
        <v>230</v>
      </c>
      <c r="H284" s="57">
        <v>2019</v>
      </c>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row>
    <row r="285" spans="1:49" ht="18" customHeight="1" x14ac:dyDescent="0.35">
      <c r="A285" s="1"/>
      <c r="B285" s="58" t="s">
        <v>651</v>
      </c>
      <c r="C285" s="34">
        <v>2130</v>
      </c>
      <c r="D285" s="31" t="s">
        <v>226</v>
      </c>
      <c r="E285" s="31" t="s">
        <v>650</v>
      </c>
      <c r="F285" s="31" t="s">
        <v>268</v>
      </c>
      <c r="G285" s="31" t="s">
        <v>269</v>
      </c>
      <c r="H285" s="57">
        <v>2020</v>
      </c>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row>
    <row r="286" spans="1:49" ht="18" customHeight="1" x14ac:dyDescent="0.35">
      <c r="A286" s="1"/>
      <c r="B286" s="58" t="s">
        <v>653</v>
      </c>
      <c r="C286" s="34">
        <v>1736</v>
      </c>
      <c r="D286" s="31" t="s">
        <v>226</v>
      </c>
      <c r="E286" s="31" t="s">
        <v>652</v>
      </c>
      <c r="F286" s="31" t="s">
        <v>229</v>
      </c>
      <c r="G286" s="31" t="s">
        <v>230</v>
      </c>
      <c r="H286" s="57">
        <v>2020</v>
      </c>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row>
    <row r="287" spans="1:49" ht="18" customHeight="1" x14ac:dyDescent="0.35">
      <c r="A287" s="1"/>
      <c r="B287" s="58" t="s">
        <v>654</v>
      </c>
      <c r="C287" s="34">
        <v>2126</v>
      </c>
      <c r="D287" s="31" t="s">
        <v>226</v>
      </c>
      <c r="E287" s="31" t="s">
        <v>283</v>
      </c>
      <c r="F287" s="31" t="s">
        <v>229</v>
      </c>
      <c r="G287" s="31" t="s">
        <v>230</v>
      </c>
      <c r="H287" s="57">
        <v>2020</v>
      </c>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row>
    <row r="288" spans="1:49" ht="18" customHeight="1" x14ac:dyDescent="0.35">
      <c r="A288" s="1"/>
      <c r="B288" s="58" t="s">
        <v>655</v>
      </c>
      <c r="C288" s="34">
        <v>1865</v>
      </c>
      <c r="D288" s="31" t="s">
        <v>226</v>
      </c>
      <c r="E288" s="31" t="s">
        <v>333</v>
      </c>
      <c r="F288" s="31" t="s">
        <v>335</v>
      </c>
      <c r="G288" s="31" t="s">
        <v>269</v>
      </c>
      <c r="H288" s="57">
        <v>2020</v>
      </c>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row>
    <row r="289" spans="1:49" ht="18" customHeight="1" x14ac:dyDescent="0.35">
      <c r="A289" s="1"/>
      <c r="B289" s="58" t="s">
        <v>656</v>
      </c>
      <c r="C289" s="34">
        <v>1313</v>
      </c>
      <c r="D289" s="31" t="s">
        <v>226</v>
      </c>
      <c r="E289" s="31" t="s">
        <v>266</v>
      </c>
      <c r="F289" s="31" t="s">
        <v>268</v>
      </c>
      <c r="G289" s="31" t="s">
        <v>269</v>
      </c>
      <c r="H289" s="57">
        <v>2020</v>
      </c>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row>
    <row r="290" spans="1:49" ht="18" customHeight="1" x14ac:dyDescent="0.35">
      <c r="A290" s="1"/>
      <c r="B290" s="58" t="s">
        <v>657</v>
      </c>
      <c r="C290" s="34">
        <v>1762</v>
      </c>
      <c r="D290" s="31" t="s">
        <v>226</v>
      </c>
      <c r="E290" s="31" t="s">
        <v>262</v>
      </c>
      <c r="F290" s="31" t="s">
        <v>116</v>
      </c>
      <c r="G290" s="31" t="s">
        <v>255</v>
      </c>
      <c r="H290" s="57">
        <v>2020</v>
      </c>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row>
    <row r="291" spans="1:49" ht="18" customHeight="1" x14ac:dyDescent="0.35">
      <c r="A291" s="1"/>
      <c r="B291" s="58" t="s">
        <v>659</v>
      </c>
      <c r="C291" s="34">
        <v>1694</v>
      </c>
      <c r="D291" s="31" t="s">
        <v>226</v>
      </c>
      <c r="E291" s="31" t="s">
        <v>658</v>
      </c>
      <c r="F291" s="31" t="s">
        <v>239</v>
      </c>
      <c r="G291" s="31" t="s">
        <v>237</v>
      </c>
      <c r="H291" s="57">
        <v>2020</v>
      </c>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row>
    <row r="292" spans="1:49" ht="18" customHeight="1" x14ac:dyDescent="0.35">
      <c r="A292" s="1"/>
      <c r="B292" s="58" t="s">
        <v>661</v>
      </c>
      <c r="C292" s="34">
        <v>1319</v>
      </c>
      <c r="D292" s="31" t="s">
        <v>226</v>
      </c>
      <c r="E292" s="31" t="s">
        <v>660</v>
      </c>
      <c r="F292" s="31" t="s">
        <v>385</v>
      </c>
      <c r="G292" s="31" t="s">
        <v>237</v>
      </c>
      <c r="H292" s="57">
        <v>2020</v>
      </c>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row>
    <row r="293" spans="1:49" ht="18" customHeight="1" x14ac:dyDescent="0.35">
      <c r="A293" s="1"/>
      <c r="B293" s="58" t="s">
        <v>663</v>
      </c>
      <c r="C293" s="34">
        <v>1783</v>
      </c>
      <c r="D293" s="31" t="s">
        <v>226</v>
      </c>
      <c r="E293" s="31" t="s">
        <v>662</v>
      </c>
      <c r="F293" s="31" t="s">
        <v>389</v>
      </c>
      <c r="G293" s="31" t="s">
        <v>269</v>
      </c>
      <c r="H293" s="57">
        <v>2020</v>
      </c>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row>
    <row r="294" spans="1:49" ht="18" customHeight="1" x14ac:dyDescent="0.35">
      <c r="A294" s="1"/>
      <c r="B294" s="58" t="s">
        <v>664</v>
      </c>
      <c r="C294" s="34">
        <v>2288</v>
      </c>
      <c r="D294" s="31" t="s">
        <v>226</v>
      </c>
      <c r="E294" s="31" t="s">
        <v>227</v>
      </c>
      <c r="F294" s="31" t="s">
        <v>229</v>
      </c>
      <c r="G294" s="31" t="s">
        <v>230</v>
      </c>
      <c r="H294" s="57">
        <v>2020</v>
      </c>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row>
    <row r="295" spans="1:49" ht="18" customHeight="1" x14ac:dyDescent="0.35">
      <c r="A295" s="1"/>
      <c r="B295" s="58" t="s">
        <v>665</v>
      </c>
      <c r="C295" s="34">
        <v>1828.09</v>
      </c>
      <c r="D295" s="31" t="s">
        <v>226</v>
      </c>
      <c r="E295" s="31" t="s">
        <v>278</v>
      </c>
      <c r="F295" s="31" t="s">
        <v>229</v>
      </c>
      <c r="G295" s="31" t="s">
        <v>230</v>
      </c>
      <c r="H295" s="57">
        <v>2021</v>
      </c>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row>
    <row r="296" spans="1:49" ht="18" customHeight="1" x14ac:dyDescent="0.35">
      <c r="A296" s="1"/>
      <c r="B296" s="58" t="s">
        <v>667</v>
      </c>
      <c r="C296" s="34">
        <v>1399.63</v>
      </c>
      <c r="D296" s="31" t="s">
        <v>226</v>
      </c>
      <c r="E296" s="31" t="s">
        <v>666</v>
      </c>
      <c r="F296" s="31" t="s">
        <v>236</v>
      </c>
      <c r="G296" s="31" t="s">
        <v>237</v>
      </c>
      <c r="H296" s="57">
        <v>2021</v>
      </c>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row>
    <row r="297" spans="1:49" ht="18" customHeight="1" x14ac:dyDescent="0.35">
      <c r="A297" s="1"/>
      <c r="B297" s="58" t="s">
        <v>668</v>
      </c>
      <c r="C297" s="34">
        <v>1789</v>
      </c>
      <c r="D297" s="31" t="s">
        <v>226</v>
      </c>
      <c r="E297" s="31" t="s">
        <v>361</v>
      </c>
      <c r="F297" s="31" t="s">
        <v>363</v>
      </c>
      <c r="G297" s="31" t="s">
        <v>255</v>
      </c>
      <c r="H297" s="57">
        <v>2021</v>
      </c>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row>
    <row r="298" spans="1:49" ht="18" customHeight="1" x14ac:dyDescent="0.35">
      <c r="A298" s="1"/>
      <c r="B298" s="58" t="s">
        <v>669</v>
      </c>
      <c r="C298" s="34">
        <v>1442</v>
      </c>
      <c r="D298" s="31" t="s">
        <v>226</v>
      </c>
      <c r="E298" s="31" t="s">
        <v>369</v>
      </c>
      <c r="F298" s="31" t="s">
        <v>229</v>
      </c>
      <c r="G298" s="31" t="s">
        <v>230</v>
      </c>
      <c r="H298" s="57">
        <v>2021</v>
      </c>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row>
    <row r="299" spans="1:49" ht="18" customHeight="1" x14ac:dyDescent="0.35">
      <c r="A299" s="1"/>
      <c r="B299" s="58" t="s">
        <v>670</v>
      </c>
      <c r="C299" s="34">
        <v>1695</v>
      </c>
      <c r="D299" s="31" t="s">
        <v>226</v>
      </c>
      <c r="E299" s="31" t="s">
        <v>357</v>
      </c>
      <c r="F299" s="31" t="s">
        <v>242</v>
      </c>
      <c r="G299" s="31" t="s">
        <v>230</v>
      </c>
      <c r="H299" s="57">
        <v>2021</v>
      </c>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row>
    <row r="300" spans="1:49" ht="18" customHeight="1" x14ac:dyDescent="0.35">
      <c r="A300" s="1"/>
      <c r="B300" s="58" t="s">
        <v>672</v>
      </c>
      <c r="C300" s="34">
        <v>1838.63</v>
      </c>
      <c r="D300" s="31" t="s">
        <v>226</v>
      </c>
      <c r="E300" s="31" t="s">
        <v>671</v>
      </c>
      <c r="F300" s="31" t="s">
        <v>236</v>
      </c>
      <c r="G300" s="31" t="s">
        <v>237</v>
      </c>
      <c r="H300" s="57">
        <v>2021</v>
      </c>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row>
    <row r="301" spans="1:49" ht="18" customHeight="1" x14ac:dyDescent="0.35">
      <c r="A301" s="1"/>
      <c r="B301" s="58" t="s">
        <v>674</v>
      </c>
      <c r="C301" s="34">
        <v>1264.1300000000001</v>
      </c>
      <c r="D301" s="31" t="s">
        <v>226</v>
      </c>
      <c r="E301" s="31" t="s">
        <v>673</v>
      </c>
      <c r="F301" s="31" t="s">
        <v>229</v>
      </c>
      <c r="G301" s="31" t="s">
        <v>230</v>
      </c>
      <c r="H301" s="57">
        <v>2021</v>
      </c>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row>
    <row r="302" spans="1:49" ht="18" customHeight="1" x14ac:dyDescent="0.35">
      <c r="A302" s="1"/>
      <c r="B302" s="58" t="s">
        <v>676</v>
      </c>
      <c r="C302" s="34">
        <v>1682.33</v>
      </c>
      <c r="D302" s="31" t="s">
        <v>226</v>
      </c>
      <c r="E302" s="31" t="s">
        <v>675</v>
      </c>
      <c r="F302" s="31" t="s">
        <v>446</v>
      </c>
      <c r="G302" s="31" t="s">
        <v>255</v>
      </c>
      <c r="H302" s="57">
        <v>2021</v>
      </c>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row>
    <row r="303" spans="1:49" ht="18" customHeight="1" x14ac:dyDescent="0.35">
      <c r="A303" s="1"/>
      <c r="B303" s="58" t="s">
        <v>678</v>
      </c>
      <c r="C303" s="34">
        <v>2526.14</v>
      </c>
      <c r="D303" s="31" t="s">
        <v>226</v>
      </c>
      <c r="E303" s="31" t="s">
        <v>677</v>
      </c>
      <c r="F303" s="31" t="s">
        <v>242</v>
      </c>
      <c r="G303" s="31" t="s">
        <v>230</v>
      </c>
      <c r="H303" s="57">
        <v>2021</v>
      </c>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row>
    <row r="304" spans="1:49" ht="18" customHeight="1" x14ac:dyDescent="0.35">
      <c r="A304" s="1"/>
      <c r="B304" s="58" t="s">
        <v>680</v>
      </c>
      <c r="C304" s="34">
        <v>1512.43</v>
      </c>
      <c r="D304" s="31" t="s">
        <v>226</v>
      </c>
      <c r="E304" s="31" t="s">
        <v>679</v>
      </c>
      <c r="F304" s="31" t="s">
        <v>236</v>
      </c>
      <c r="G304" s="31" t="s">
        <v>237</v>
      </c>
      <c r="H304" s="57">
        <v>2021</v>
      </c>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row>
    <row r="305" spans="1:49" ht="18" customHeight="1" x14ac:dyDescent="0.35">
      <c r="A305" s="1"/>
      <c r="B305" s="58" t="s">
        <v>682</v>
      </c>
      <c r="C305" s="34">
        <v>1424.87</v>
      </c>
      <c r="D305" s="31" t="s">
        <v>226</v>
      </c>
      <c r="E305" s="31" t="s">
        <v>681</v>
      </c>
      <c r="F305" s="31" t="s">
        <v>275</v>
      </c>
      <c r="G305" s="31" t="s">
        <v>269</v>
      </c>
      <c r="H305" s="57">
        <v>2021</v>
      </c>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row>
    <row r="306" spans="1:49" ht="18" customHeight="1" x14ac:dyDescent="0.35">
      <c r="A306" s="1"/>
      <c r="B306" s="58" t="s">
        <v>683</v>
      </c>
      <c r="C306" s="34">
        <v>1987.42</v>
      </c>
      <c r="D306" s="31" t="s">
        <v>226</v>
      </c>
      <c r="E306" s="31" t="s">
        <v>252</v>
      </c>
      <c r="F306" s="31" t="s">
        <v>254</v>
      </c>
      <c r="G306" s="31" t="s">
        <v>255</v>
      </c>
      <c r="H306" s="57">
        <v>2021</v>
      </c>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row>
    <row r="307" spans="1:49" ht="18" customHeight="1" x14ac:dyDescent="0.35">
      <c r="A307" s="1"/>
      <c r="B307" s="58" t="s">
        <v>685</v>
      </c>
      <c r="C307" s="34">
        <v>1184.43</v>
      </c>
      <c r="D307" s="31" t="s">
        <v>226</v>
      </c>
      <c r="E307" s="31" t="s">
        <v>684</v>
      </c>
      <c r="F307" s="31" t="s">
        <v>328</v>
      </c>
      <c r="G307" s="31" t="s">
        <v>269</v>
      </c>
      <c r="H307" s="57">
        <v>2021</v>
      </c>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row>
    <row r="308" spans="1:49" ht="18" customHeight="1" x14ac:dyDescent="0.35">
      <c r="A308" s="1"/>
      <c r="B308" s="58" t="s">
        <v>687</v>
      </c>
      <c r="C308" s="34">
        <v>1264.17</v>
      </c>
      <c r="D308" s="31" t="s">
        <v>226</v>
      </c>
      <c r="E308" s="31" t="s">
        <v>686</v>
      </c>
      <c r="F308" s="31" t="s">
        <v>324</v>
      </c>
      <c r="G308" s="31" t="s">
        <v>269</v>
      </c>
      <c r="H308" s="57">
        <v>2021</v>
      </c>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row>
    <row r="309" spans="1:49" ht="18" customHeight="1" x14ac:dyDescent="0.35">
      <c r="A309" s="1"/>
      <c r="B309" s="58" t="s">
        <v>689</v>
      </c>
      <c r="C309" s="34">
        <v>1754.07</v>
      </c>
      <c r="D309" s="31" t="s">
        <v>226</v>
      </c>
      <c r="E309" s="31" t="s">
        <v>688</v>
      </c>
      <c r="F309" s="31" t="s">
        <v>385</v>
      </c>
      <c r="G309" s="31" t="s">
        <v>237</v>
      </c>
      <c r="H309" s="57">
        <v>2021</v>
      </c>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row>
    <row r="310" spans="1:49" ht="18" customHeight="1" x14ac:dyDescent="0.35">
      <c r="A310" s="1"/>
      <c r="B310" s="58" t="s">
        <v>691</v>
      </c>
      <c r="C310" s="34">
        <v>1677</v>
      </c>
      <c r="D310" s="31" t="s">
        <v>226</v>
      </c>
      <c r="E310" s="31" t="s">
        <v>690</v>
      </c>
      <c r="F310" s="31" t="s">
        <v>446</v>
      </c>
      <c r="G310" s="31" t="s">
        <v>255</v>
      </c>
      <c r="H310" s="57">
        <v>2021</v>
      </c>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row>
    <row r="311" spans="1:49" ht="18" customHeight="1" x14ac:dyDescent="0.35">
      <c r="A311" s="1"/>
      <c r="B311" s="58" t="s">
        <v>692</v>
      </c>
      <c r="C311" s="34">
        <v>1612</v>
      </c>
      <c r="D311" s="31" t="s">
        <v>226</v>
      </c>
      <c r="E311" s="31" t="s">
        <v>240</v>
      </c>
      <c r="F311" s="31" t="s">
        <v>242</v>
      </c>
      <c r="G311" s="31" t="s">
        <v>230</v>
      </c>
      <c r="H311" s="57">
        <v>2021</v>
      </c>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row>
    <row r="312" spans="1:49" ht="18" customHeight="1" x14ac:dyDescent="0.35">
      <c r="A312" s="1"/>
      <c r="B312" s="58" t="s">
        <v>693</v>
      </c>
      <c r="C312" s="34">
        <v>2058</v>
      </c>
      <c r="D312" s="31" t="s">
        <v>226</v>
      </c>
      <c r="E312" s="31" t="s">
        <v>240</v>
      </c>
      <c r="F312" s="31" t="s">
        <v>242</v>
      </c>
      <c r="G312" s="31" t="s">
        <v>230</v>
      </c>
      <c r="H312" s="57">
        <v>2021</v>
      </c>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row>
    <row r="313" spans="1:49" ht="18" customHeight="1" x14ac:dyDescent="0.35">
      <c r="A313" s="1"/>
      <c r="B313" s="58" t="s">
        <v>695</v>
      </c>
      <c r="C313" s="34">
        <v>1612</v>
      </c>
      <c r="D313" s="31" t="s">
        <v>226</v>
      </c>
      <c r="E313" s="31" t="s">
        <v>694</v>
      </c>
      <c r="F313" s="31" t="s">
        <v>302</v>
      </c>
      <c r="G313" s="31" t="s">
        <v>303</v>
      </c>
      <c r="H313" s="57">
        <v>2021</v>
      </c>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row>
    <row r="314" spans="1:49" ht="18" customHeight="1" x14ac:dyDescent="0.35">
      <c r="A314" s="1"/>
      <c r="B314" s="58" t="s">
        <v>697</v>
      </c>
      <c r="C314" s="34">
        <v>1209</v>
      </c>
      <c r="D314" s="31" t="s">
        <v>226</v>
      </c>
      <c r="E314" s="31" t="s">
        <v>696</v>
      </c>
      <c r="F314" s="31" t="s">
        <v>268</v>
      </c>
      <c r="G314" s="31" t="s">
        <v>269</v>
      </c>
      <c r="H314" s="57">
        <v>2021</v>
      </c>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row>
    <row r="315" spans="1:49" ht="18" customHeight="1" x14ac:dyDescent="0.35">
      <c r="A315" s="1"/>
      <c r="B315" s="58" t="s">
        <v>699</v>
      </c>
      <c r="C315" s="34">
        <v>1830</v>
      </c>
      <c r="D315" s="31" t="s">
        <v>226</v>
      </c>
      <c r="E315" s="31" t="s">
        <v>698</v>
      </c>
      <c r="F315" s="31" t="s">
        <v>405</v>
      </c>
      <c r="G315" s="31" t="s">
        <v>269</v>
      </c>
      <c r="H315" s="57">
        <v>2021</v>
      </c>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row>
    <row r="316" spans="1:49" ht="18" customHeight="1" x14ac:dyDescent="0.35">
      <c r="A316" s="1"/>
      <c r="B316" s="58" t="s">
        <v>700</v>
      </c>
      <c r="C316" s="34">
        <v>1385</v>
      </c>
      <c r="D316" s="31" t="s">
        <v>226</v>
      </c>
      <c r="E316" s="31" t="s">
        <v>500</v>
      </c>
      <c r="F316" s="31" t="s">
        <v>239</v>
      </c>
      <c r="G316" s="31" t="s">
        <v>237</v>
      </c>
      <c r="H316" s="57">
        <v>2021</v>
      </c>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row>
    <row r="317" spans="1:49" ht="18" customHeight="1" x14ac:dyDescent="0.35">
      <c r="A317" s="1"/>
      <c r="B317" s="58" t="s">
        <v>702</v>
      </c>
      <c r="C317" s="34">
        <v>1738</v>
      </c>
      <c r="D317" s="31" t="s">
        <v>226</v>
      </c>
      <c r="E317" s="31" t="s">
        <v>701</v>
      </c>
      <c r="F317" s="31" t="s">
        <v>229</v>
      </c>
      <c r="G317" s="31" t="s">
        <v>230</v>
      </c>
      <c r="H317" s="57">
        <v>2021</v>
      </c>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row>
    <row r="318" spans="1:49" ht="18" customHeight="1" x14ac:dyDescent="0.35">
      <c r="A318" s="1"/>
      <c r="B318" s="58" t="s">
        <v>704</v>
      </c>
      <c r="C318" s="34">
        <v>1179</v>
      </c>
      <c r="D318" s="31" t="s">
        <v>226</v>
      </c>
      <c r="E318" s="31" t="s">
        <v>703</v>
      </c>
      <c r="F318" s="31" t="s">
        <v>242</v>
      </c>
      <c r="G318" s="31" t="s">
        <v>230</v>
      </c>
      <c r="H318" s="57">
        <v>2021</v>
      </c>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row>
    <row r="319" spans="1:49" ht="18" customHeight="1" x14ac:dyDescent="0.35">
      <c r="A319" s="1"/>
      <c r="B319" s="58" t="s">
        <v>706</v>
      </c>
      <c r="C319" s="34">
        <v>895</v>
      </c>
      <c r="D319" s="31" t="s">
        <v>231</v>
      </c>
      <c r="E319" s="31" t="s">
        <v>705</v>
      </c>
      <c r="F319" s="31" t="s">
        <v>229</v>
      </c>
      <c r="G319" s="31" t="s">
        <v>230</v>
      </c>
      <c r="H319" s="57">
        <v>2021</v>
      </c>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row>
    <row r="320" spans="1:49" ht="18" customHeight="1" x14ac:dyDescent="0.35">
      <c r="A320" s="1"/>
      <c r="B320" s="58" t="s">
        <v>708</v>
      </c>
      <c r="C320" s="34">
        <v>1395</v>
      </c>
      <c r="D320" s="31" t="s">
        <v>226</v>
      </c>
      <c r="E320" s="31" t="s">
        <v>707</v>
      </c>
      <c r="F320" s="31" t="s">
        <v>619</v>
      </c>
      <c r="G320" s="31" t="s">
        <v>303</v>
      </c>
      <c r="H320" s="57">
        <v>2021</v>
      </c>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row>
    <row r="321" spans="1:49" ht="18" customHeight="1" x14ac:dyDescent="0.35">
      <c r="A321" s="1"/>
      <c r="B321" s="58" t="s">
        <v>709</v>
      </c>
      <c r="C321" s="34">
        <v>1775</v>
      </c>
      <c r="D321" s="31" t="s">
        <v>226</v>
      </c>
      <c r="E321" s="31" t="s">
        <v>581</v>
      </c>
      <c r="F321" s="31" t="s">
        <v>236</v>
      </c>
      <c r="G321" s="31" t="s">
        <v>237</v>
      </c>
      <c r="H321" s="57">
        <v>2022</v>
      </c>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row>
    <row r="322" spans="1:49" ht="18" customHeight="1" x14ac:dyDescent="0.35">
      <c r="A322" s="1"/>
      <c r="B322" s="58" t="s">
        <v>710</v>
      </c>
      <c r="C322" s="34">
        <v>1712</v>
      </c>
      <c r="D322" s="31" t="s">
        <v>226</v>
      </c>
      <c r="E322" s="31" t="s">
        <v>227</v>
      </c>
      <c r="F322" s="31" t="s">
        <v>229</v>
      </c>
      <c r="G322" s="31" t="s">
        <v>230</v>
      </c>
      <c r="H322" s="57">
        <v>2022</v>
      </c>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row>
    <row r="323" spans="1:49" ht="18" customHeight="1" x14ac:dyDescent="0.35">
      <c r="A323" s="1"/>
      <c r="B323" s="58" t="s">
        <v>712</v>
      </c>
      <c r="C323" s="34">
        <v>1609</v>
      </c>
      <c r="D323" s="31" t="s">
        <v>226</v>
      </c>
      <c r="E323" s="31" t="s">
        <v>711</v>
      </c>
      <c r="F323" s="31" t="s">
        <v>302</v>
      </c>
      <c r="G323" s="31" t="s">
        <v>303</v>
      </c>
      <c r="H323" s="57">
        <v>2022</v>
      </c>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row>
    <row r="324" spans="1:49" ht="18" customHeight="1" x14ac:dyDescent="0.35">
      <c r="A324" s="1"/>
      <c r="B324" s="58" t="s">
        <v>714</v>
      </c>
      <c r="C324" s="34">
        <v>1521</v>
      </c>
      <c r="D324" s="31" t="s">
        <v>231</v>
      </c>
      <c r="E324" s="31" t="s">
        <v>713</v>
      </c>
      <c r="F324" s="31" t="s">
        <v>245</v>
      </c>
      <c r="G324" s="31" t="s">
        <v>230</v>
      </c>
      <c r="H324" s="57">
        <v>2022</v>
      </c>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row>
    <row r="325" spans="1:49" ht="18" customHeight="1" x14ac:dyDescent="0.35">
      <c r="A325" s="1"/>
      <c r="B325" s="58" t="s">
        <v>716</v>
      </c>
      <c r="C325" s="34">
        <v>1306.6500000000001</v>
      </c>
      <c r="D325" s="31" t="s">
        <v>231</v>
      </c>
      <c r="E325" s="31" t="s">
        <v>715</v>
      </c>
      <c r="F325" s="31" t="s">
        <v>245</v>
      </c>
      <c r="G325" s="31" t="s">
        <v>230</v>
      </c>
      <c r="H325" s="57">
        <v>2022</v>
      </c>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row>
    <row r="326" spans="1:49" ht="18" customHeight="1" x14ac:dyDescent="0.35">
      <c r="A326" s="1"/>
      <c r="B326" s="58" t="s">
        <v>718</v>
      </c>
      <c r="C326" s="34">
        <v>1582.23</v>
      </c>
      <c r="D326" s="31" t="s">
        <v>226</v>
      </c>
      <c r="E326" s="31" t="s">
        <v>717</v>
      </c>
      <c r="F326" s="31" t="s">
        <v>245</v>
      </c>
      <c r="G326" s="31" t="s">
        <v>230</v>
      </c>
      <c r="H326" s="57">
        <v>2022</v>
      </c>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row>
    <row r="327" spans="1:49" ht="18" customHeight="1" x14ac:dyDescent="0.35">
      <c r="A327" s="1"/>
      <c r="B327" s="58" t="s">
        <v>719</v>
      </c>
      <c r="C327" s="34">
        <v>1667.37</v>
      </c>
      <c r="D327" s="31" t="s">
        <v>226</v>
      </c>
      <c r="E327" s="31" t="s">
        <v>238</v>
      </c>
      <c r="F327" s="31" t="s">
        <v>239</v>
      </c>
      <c r="G327" s="31" t="s">
        <v>237</v>
      </c>
      <c r="H327" s="57">
        <v>2022</v>
      </c>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row>
    <row r="328" spans="1:49" ht="18" customHeight="1" x14ac:dyDescent="0.35">
      <c r="A328" s="1"/>
      <c r="B328" s="58" t="s">
        <v>722</v>
      </c>
      <c r="C328" s="34">
        <v>1401.8</v>
      </c>
      <c r="D328" s="31" t="s">
        <v>720</v>
      </c>
      <c r="E328" s="31" t="s">
        <v>721</v>
      </c>
      <c r="F328" s="31" t="s">
        <v>254</v>
      </c>
      <c r="G328" s="31" t="s">
        <v>255</v>
      </c>
      <c r="H328" s="57">
        <v>2022</v>
      </c>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row>
    <row r="329" spans="1:49" ht="18" customHeight="1" x14ac:dyDescent="0.35">
      <c r="A329" s="1"/>
      <c r="B329" s="58" t="s">
        <v>724</v>
      </c>
      <c r="C329" s="34">
        <v>1181</v>
      </c>
      <c r="D329" s="31" t="s">
        <v>226</v>
      </c>
      <c r="E329" s="31" t="s">
        <v>723</v>
      </c>
      <c r="F329" s="31" t="s">
        <v>242</v>
      </c>
      <c r="G329" s="31" t="s">
        <v>230</v>
      </c>
      <c r="H329" s="57">
        <v>2022</v>
      </c>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row>
    <row r="330" spans="1:49" ht="18" customHeight="1" x14ac:dyDescent="0.35">
      <c r="A330" s="1"/>
      <c r="B330" s="58" t="s">
        <v>726</v>
      </c>
      <c r="C330" s="34">
        <v>1596.24</v>
      </c>
      <c r="D330" s="31" t="s">
        <v>226</v>
      </c>
      <c r="E330" s="31" t="s">
        <v>725</v>
      </c>
      <c r="F330" s="31" t="s">
        <v>363</v>
      </c>
      <c r="G330" s="31" t="s">
        <v>255</v>
      </c>
      <c r="H330" s="57">
        <v>2022</v>
      </c>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row>
    <row r="331" spans="1:49" ht="18" customHeight="1" x14ac:dyDescent="0.35">
      <c r="A331" s="1"/>
      <c r="B331" s="58" t="s">
        <v>727</v>
      </c>
      <c r="C331" s="34">
        <v>1473.62</v>
      </c>
      <c r="D331" s="31" t="s">
        <v>226</v>
      </c>
      <c r="E331" s="31" t="s">
        <v>399</v>
      </c>
      <c r="F331" s="31" t="s">
        <v>236</v>
      </c>
      <c r="G331" s="31" t="s">
        <v>237</v>
      </c>
      <c r="H331" s="57">
        <v>2022</v>
      </c>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row>
    <row r="332" spans="1:49" ht="18" customHeight="1" x14ac:dyDescent="0.35">
      <c r="A332" s="1"/>
      <c r="B332" s="58" t="s">
        <v>729</v>
      </c>
      <c r="C332" s="34">
        <v>1382</v>
      </c>
      <c r="D332" s="31" t="s">
        <v>231</v>
      </c>
      <c r="E332" s="31" t="s">
        <v>728</v>
      </c>
      <c r="F332" s="31" t="s">
        <v>268</v>
      </c>
      <c r="G332" s="31" t="s">
        <v>269</v>
      </c>
      <c r="H332" s="57">
        <v>2022</v>
      </c>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row>
    <row r="333" spans="1:49" ht="18" customHeight="1" x14ac:dyDescent="0.35">
      <c r="A333" s="1"/>
      <c r="B333" s="58" t="s">
        <v>730</v>
      </c>
      <c r="C333" s="34">
        <v>1612</v>
      </c>
      <c r="D333" s="31" t="s">
        <v>231</v>
      </c>
      <c r="E333" s="31" t="s">
        <v>598</v>
      </c>
      <c r="F333" s="31" t="s">
        <v>254</v>
      </c>
      <c r="G333" s="31" t="s">
        <v>255</v>
      </c>
      <c r="H333" s="57">
        <v>2022</v>
      </c>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row>
    <row r="334" spans="1:49" ht="18" customHeight="1" x14ac:dyDescent="0.35">
      <c r="A334" s="1"/>
      <c r="B334" s="58" t="s">
        <v>731</v>
      </c>
      <c r="C334" s="34">
        <v>1453</v>
      </c>
      <c r="D334" s="31" t="s">
        <v>231</v>
      </c>
      <c r="E334" s="31" t="s">
        <v>227</v>
      </c>
      <c r="F334" s="31" t="s">
        <v>229</v>
      </c>
      <c r="G334" s="31" t="s">
        <v>230</v>
      </c>
      <c r="H334" s="57">
        <v>2022</v>
      </c>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row>
    <row r="335" spans="1:49" ht="18" customHeight="1" x14ac:dyDescent="0.35">
      <c r="A335" s="1"/>
      <c r="B335" s="58" t="s">
        <v>732</v>
      </c>
      <c r="C335" s="34">
        <v>1225</v>
      </c>
      <c r="D335" s="31" t="s">
        <v>226</v>
      </c>
      <c r="E335" s="31" t="s">
        <v>227</v>
      </c>
      <c r="F335" s="31" t="s">
        <v>229</v>
      </c>
      <c r="G335" s="31" t="s">
        <v>230</v>
      </c>
      <c r="H335" s="57">
        <v>2022</v>
      </c>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row>
    <row r="336" spans="1:49" ht="18" customHeight="1" x14ac:dyDescent="0.35">
      <c r="A336" s="1"/>
      <c r="B336" s="58" t="s">
        <v>734</v>
      </c>
      <c r="C336" s="34">
        <v>1432</v>
      </c>
      <c r="D336" s="31" t="s">
        <v>226</v>
      </c>
      <c r="E336" s="31" t="s">
        <v>733</v>
      </c>
      <c r="F336" s="31" t="s">
        <v>229</v>
      </c>
      <c r="G336" s="31" t="s">
        <v>230</v>
      </c>
      <c r="H336" s="57">
        <v>2022</v>
      </c>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row>
    <row r="337" spans="1:49" ht="18" customHeight="1" x14ac:dyDescent="0.35">
      <c r="A337" s="1"/>
      <c r="B337" s="58" t="s">
        <v>736</v>
      </c>
      <c r="C337" s="34">
        <v>1477</v>
      </c>
      <c r="D337" s="31" t="s">
        <v>226</v>
      </c>
      <c r="E337" s="31" t="s">
        <v>735</v>
      </c>
      <c r="F337" s="31" t="s">
        <v>242</v>
      </c>
      <c r="G337" s="31" t="s">
        <v>230</v>
      </c>
      <c r="H337" s="57">
        <v>2022</v>
      </c>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row>
    <row r="338" spans="1:49" ht="18" customHeight="1" x14ac:dyDescent="0.35">
      <c r="A338" s="1"/>
      <c r="B338" s="58" t="s">
        <v>738</v>
      </c>
      <c r="C338" s="34">
        <v>1221</v>
      </c>
      <c r="D338" s="31" t="s">
        <v>231</v>
      </c>
      <c r="E338" s="31" t="s">
        <v>737</v>
      </c>
      <c r="F338" s="31" t="s">
        <v>302</v>
      </c>
      <c r="G338" s="31" t="s">
        <v>303</v>
      </c>
      <c r="H338" s="57">
        <v>2023</v>
      </c>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row>
    <row r="339" spans="1:49" ht="18" customHeight="1" x14ac:dyDescent="0.35">
      <c r="A339" s="1"/>
      <c r="B339" s="58" t="s">
        <v>740</v>
      </c>
      <c r="C339" s="34">
        <v>1925</v>
      </c>
      <c r="D339" s="31" t="s">
        <v>226</v>
      </c>
      <c r="E339" s="31" t="s">
        <v>739</v>
      </c>
      <c r="F339" s="31" t="s">
        <v>310</v>
      </c>
      <c r="G339" s="31" t="s">
        <v>269</v>
      </c>
      <c r="H339" s="57">
        <v>2023</v>
      </c>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row>
    <row r="340" spans="1:49" ht="18" customHeight="1" x14ac:dyDescent="0.35">
      <c r="A340" s="1"/>
      <c r="B340" s="58" t="s">
        <v>742</v>
      </c>
      <c r="C340" s="34">
        <v>1328</v>
      </c>
      <c r="D340" s="31" t="s">
        <v>226</v>
      </c>
      <c r="E340" s="31" t="s">
        <v>741</v>
      </c>
      <c r="F340" s="31" t="s">
        <v>275</v>
      </c>
      <c r="G340" s="31" t="s">
        <v>269</v>
      </c>
      <c r="H340" s="57">
        <v>2023</v>
      </c>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row>
    <row r="341" spans="1:49" ht="18" customHeight="1" x14ac:dyDescent="0.35">
      <c r="A341" s="1"/>
      <c r="B341" s="58" t="s">
        <v>744</v>
      </c>
      <c r="C341" s="34">
        <v>1763</v>
      </c>
      <c r="D341" s="31" t="s">
        <v>226</v>
      </c>
      <c r="E341" s="31" t="s">
        <v>743</v>
      </c>
      <c r="F341" s="31" t="s">
        <v>239</v>
      </c>
      <c r="G341" s="31" t="s">
        <v>237</v>
      </c>
      <c r="H341" s="57">
        <v>2023</v>
      </c>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row>
    <row r="342" spans="1:49" ht="18" customHeight="1" x14ac:dyDescent="0.35">
      <c r="A342" s="1"/>
      <c r="B342" s="31"/>
      <c r="C342" s="34"/>
      <c r="D342" s="31"/>
      <c r="E342" s="31"/>
      <c r="F342" s="31"/>
      <c r="G342" s="31"/>
      <c r="H342" s="23"/>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row>
    <row r="343" spans="1:49" ht="18" customHeight="1" x14ac:dyDescent="0.35">
      <c r="A343" s="1"/>
      <c r="B343" s="31"/>
      <c r="C343" s="34"/>
      <c r="D343" s="31"/>
      <c r="E343" s="31"/>
      <c r="F343" s="31"/>
      <c r="G343" s="31"/>
      <c r="H343" s="23"/>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row>
    <row r="344" spans="1:49" ht="18" customHeight="1" x14ac:dyDescent="0.35">
      <c r="A344" s="1"/>
      <c r="B344" s="31"/>
      <c r="C344" s="34"/>
      <c r="D344" s="31"/>
      <c r="E344" s="31"/>
      <c r="F344" s="31"/>
      <c r="G344" s="31"/>
      <c r="H344" s="23"/>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row>
    <row r="345" spans="1:49" ht="18" customHeight="1" x14ac:dyDescent="0.35">
      <c r="A345" s="1"/>
      <c r="B345" s="31"/>
      <c r="C345" s="34"/>
      <c r="D345" s="31"/>
      <c r="E345" s="31"/>
      <c r="F345" s="31"/>
      <c r="G345" s="31"/>
      <c r="H345" s="23"/>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row>
    <row r="346" spans="1:49" ht="18" customHeight="1" x14ac:dyDescent="0.35">
      <c r="A346" s="1"/>
      <c r="B346" s="31"/>
      <c r="C346" s="34"/>
      <c r="D346" s="31"/>
      <c r="E346" s="31"/>
      <c r="F346" s="31"/>
      <c r="G346" s="31"/>
      <c r="H346" s="23"/>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row>
    <row r="347" spans="1:49" ht="18" customHeight="1" x14ac:dyDescent="0.35">
      <c r="A347" s="1"/>
      <c r="B347" s="31"/>
      <c r="C347" s="34"/>
      <c r="D347" s="31"/>
      <c r="E347" s="31"/>
      <c r="F347" s="31"/>
      <c r="G347" s="31"/>
      <c r="H347" s="23"/>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row>
    <row r="348" spans="1:49" ht="18" customHeight="1" x14ac:dyDescent="0.35">
      <c r="A348" s="1"/>
      <c r="B348" s="31"/>
      <c r="C348" s="34"/>
      <c r="D348" s="31"/>
      <c r="E348" s="31"/>
      <c r="F348" s="31"/>
      <c r="G348" s="31"/>
      <c r="H348" s="23"/>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row>
    <row r="349" spans="1:49" ht="18" customHeight="1" x14ac:dyDescent="0.35">
      <c r="A349" s="1"/>
      <c r="B349" s="31"/>
      <c r="C349" s="34"/>
      <c r="D349" s="31"/>
      <c r="E349" s="31"/>
      <c r="F349" s="31"/>
      <c r="G349" s="31"/>
      <c r="H349" s="23"/>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row>
    <row r="350" spans="1:49" ht="18" customHeight="1" x14ac:dyDescent="0.35">
      <c r="A350" s="1"/>
      <c r="B350" s="31"/>
      <c r="C350" s="34"/>
      <c r="D350" s="31"/>
      <c r="E350" s="31"/>
      <c r="F350" s="31"/>
      <c r="G350" s="31"/>
      <c r="H350" s="23"/>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row>
    <row r="351" spans="1:49" ht="18" customHeight="1" x14ac:dyDescent="0.35">
      <c r="A351" s="1"/>
      <c r="B351" s="31"/>
      <c r="C351" s="34"/>
      <c r="D351" s="31"/>
      <c r="E351" s="31"/>
      <c r="F351" s="31"/>
      <c r="G351" s="31"/>
      <c r="H351" s="23"/>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row>
    <row r="352" spans="1:49" ht="18" customHeight="1" x14ac:dyDescent="0.35">
      <c r="A352" s="1"/>
      <c r="B352" s="31"/>
      <c r="C352" s="34"/>
      <c r="D352" s="31"/>
      <c r="E352" s="31"/>
      <c r="F352" s="31"/>
      <c r="G352" s="31"/>
      <c r="H352" s="23"/>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row>
    <row r="353" spans="1:49" ht="18" customHeight="1" x14ac:dyDescent="0.35">
      <c r="A353" s="1"/>
      <c r="B353" s="31"/>
      <c r="C353" s="34"/>
      <c r="D353" s="31"/>
      <c r="E353" s="31"/>
      <c r="F353" s="31"/>
      <c r="G353" s="31"/>
      <c r="H353" s="23"/>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row>
    <row r="354" spans="1:49" ht="18" customHeight="1" x14ac:dyDescent="0.35">
      <c r="A354" s="1"/>
      <c r="B354" s="31"/>
      <c r="C354" s="34"/>
      <c r="D354" s="31"/>
      <c r="E354" s="31"/>
      <c r="F354" s="31"/>
      <c r="G354" s="31"/>
      <c r="H354" s="23"/>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row>
    <row r="355" spans="1:49" ht="18" customHeight="1" x14ac:dyDescent="0.35">
      <c r="A355" s="1"/>
      <c r="B355" s="31"/>
      <c r="C355" s="34"/>
      <c r="D355" s="31"/>
      <c r="E355" s="31"/>
      <c r="F355" s="31"/>
      <c r="G355" s="31"/>
      <c r="H355" s="23"/>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row>
    <row r="356" spans="1:49" ht="18" customHeight="1" x14ac:dyDescent="0.35">
      <c r="A356" s="1"/>
      <c r="B356" s="31"/>
      <c r="C356" s="34"/>
      <c r="D356" s="31"/>
      <c r="E356" s="31"/>
      <c r="F356" s="31"/>
      <c r="G356" s="31"/>
      <c r="H356" s="23"/>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row>
    <row r="357" spans="1:49" ht="18" customHeight="1" x14ac:dyDescent="0.35">
      <c r="A357" s="1"/>
      <c r="B357" s="31"/>
      <c r="C357" s="34"/>
      <c r="D357" s="31"/>
      <c r="E357" s="31"/>
      <c r="F357" s="31"/>
      <c r="G357" s="31"/>
      <c r="H357" s="23"/>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row>
    <row r="358" spans="1:49" ht="18" customHeight="1" x14ac:dyDescent="0.35">
      <c r="A358" s="1"/>
      <c r="B358" s="31"/>
      <c r="C358" s="34"/>
      <c r="D358" s="31"/>
      <c r="E358" s="31"/>
      <c r="F358" s="31"/>
      <c r="G358" s="31"/>
      <c r="H358" s="23"/>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row>
    <row r="359" spans="1:49" ht="18" customHeight="1" x14ac:dyDescent="0.35">
      <c r="A359" s="1"/>
      <c r="B359" s="31"/>
      <c r="C359" s="34"/>
      <c r="D359" s="31"/>
      <c r="E359" s="31"/>
      <c r="F359" s="31"/>
      <c r="G359" s="31"/>
      <c r="H359" s="23"/>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row>
    <row r="360" spans="1:49" ht="18" customHeight="1" x14ac:dyDescent="0.35">
      <c r="A360" s="1"/>
      <c r="B360" s="31"/>
      <c r="C360" s="34"/>
      <c r="D360" s="31"/>
      <c r="E360" s="31"/>
      <c r="F360" s="31"/>
      <c r="G360" s="31"/>
      <c r="H360" s="23"/>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row>
    <row r="361" spans="1:49" ht="18" customHeight="1" x14ac:dyDescent="0.35">
      <c r="A361" s="1"/>
      <c r="B361" s="31"/>
      <c r="C361" s="34"/>
      <c r="D361" s="31"/>
      <c r="E361" s="31"/>
      <c r="F361" s="31"/>
      <c r="G361" s="31"/>
      <c r="H361" s="23"/>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row>
    <row r="362" spans="1:49" ht="18" customHeight="1" x14ac:dyDescent="0.35">
      <c r="A362" s="1"/>
      <c r="B362" s="31"/>
      <c r="C362" s="34"/>
      <c r="D362" s="31"/>
      <c r="E362" s="31"/>
      <c r="F362" s="31"/>
      <c r="G362" s="31"/>
      <c r="H362" s="23"/>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row>
    <row r="363" spans="1:49" ht="18" customHeight="1" x14ac:dyDescent="0.35">
      <c r="A363" s="1"/>
      <c r="B363" s="31"/>
      <c r="C363" s="34"/>
      <c r="D363" s="31"/>
      <c r="E363" s="31"/>
      <c r="F363" s="31"/>
      <c r="G363" s="31"/>
      <c r="H363" s="23"/>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row>
    <row r="364" spans="1:49" ht="18" customHeight="1" x14ac:dyDescent="0.35">
      <c r="A364" s="1"/>
      <c r="B364" s="31"/>
      <c r="C364" s="34"/>
      <c r="D364" s="31"/>
      <c r="E364" s="31"/>
      <c r="F364" s="31"/>
      <c r="G364" s="31"/>
      <c r="H364" s="23"/>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row>
    <row r="365" spans="1:49" ht="18" customHeight="1" x14ac:dyDescent="0.35">
      <c r="A365" s="1"/>
      <c r="B365" s="31"/>
      <c r="C365" s="34"/>
      <c r="D365" s="31"/>
      <c r="E365" s="31"/>
      <c r="F365" s="31"/>
      <c r="G365" s="31"/>
      <c r="H365" s="23"/>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row>
    <row r="366" spans="1:49" ht="18" customHeight="1" x14ac:dyDescent="0.35">
      <c r="A366" s="1"/>
      <c r="B366" s="31"/>
      <c r="C366" s="34"/>
      <c r="D366" s="31"/>
      <c r="E366" s="31"/>
      <c r="F366" s="31"/>
      <c r="G366" s="31"/>
      <c r="H366" s="23"/>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row>
    <row r="367" spans="1:49" ht="18" customHeight="1" x14ac:dyDescent="0.35">
      <c r="A367" s="1"/>
      <c r="B367" s="31"/>
      <c r="C367" s="34"/>
      <c r="D367" s="31"/>
      <c r="E367" s="31"/>
      <c r="F367" s="31"/>
      <c r="G367" s="31"/>
      <c r="H367" s="23"/>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row>
    <row r="368" spans="1:49" ht="18" customHeight="1" x14ac:dyDescent="0.35">
      <c r="A368" s="1"/>
      <c r="B368" s="31"/>
      <c r="C368" s="34"/>
      <c r="D368" s="31"/>
      <c r="E368" s="31"/>
      <c r="F368" s="31"/>
      <c r="G368" s="31"/>
      <c r="H368" s="23"/>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row>
    <row r="369" spans="1:49" ht="18" customHeight="1" x14ac:dyDescent="0.35">
      <c r="A369" s="1"/>
      <c r="B369" s="31"/>
      <c r="C369" s="34"/>
      <c r="D369" s="31"/>
      <c r="E369" s="31"/>
      <c r="F369" s="31"/>
      <c r="G369" s="31"/>
      <c r="H369" s="23"/>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row>
    <row r="370" spans="1:49" ht="18" customHeight="1" x14ac:dyDescent="0.35">
      <c r="A370" s="1"/>
      <c r="B370" s="31"/>
      <c r="C370" s="34"/>
      <c r="D370" s="31"/>
      <c r="E370" s="31"/>
      <c r="F370" s="31"/>
      <c r="G370" s="31"/>
      <c r="H370" s="23"/>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row>
    <row r="371" spans="1:49" ht="18" customHeight="1" x14ac:dyDescent="0.35">
      <c r="A371" s="1"/>
      <c r="B371" s="31"/>
      <c r="C371" s="34"/>
      <c r="D371" s="31"/>
      <c r="E371" s="31"/>
      <c r="F371" s="31"/>
      <c r="G371" s="31"/>
      <c r="H371" s="23"/>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row>
    <row r="372" spans="1:49" ht="18" customHeight="1" x14ac:dyDescent="0.35">
      <c r="A372" s="1"/>
      <c r="B372" s="31"/>
      <c r="C372" s="34"/>
      <c r="D372" s="31"/>
      <c r="E372" s="31"/>
      <c r="F372" s="31"/>
      <c r="G372" s="31"/>
      <c r="H372" s="23"/>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row>
    <row r="373" spans="1:49" ht="18" customHeight="1" x14ac:dyDescent="0.35">
      <c r="A373" s="1"/>
      <c r="B373" s="31"/>
      <c r="C373" s="34"/>
      <c r="D373" s="31"/>
      <c r="E373" s="31"/>
      <c r="F373" s="31"/>
      <c r="G373" s="31"/>
      <c r="H373" s="23"/>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row>
    <row r="374" spans="1:49" ht="18" customHeight="1" x14ac:dyDescent="0.35">
      <c r="A374" s="1"/>
      <c r="B374" s="31"/>
      <c r="C374" s="34"/>
      <c r="D374" s="31"/>
      <c r="E374" s="31"/>
      <c r="F374" s="31"/>
      <c r="G374" s="31"/>
      <c r="H374" s="23"/>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row>
    <row r="375" spans="1:49" ht="18" customHeight="1" x14ac:dyDescent="0.35">
      <c r="A375" s="1"/>
      <c r="B375" s="31"/>
      <c r="C375" s="34"/>
      <c r="D375" s="31"/>
      <c r="E375" s="31"/>
      <c r="F375" s="31"/>
      <c r="G375" s="31"/>
      <c r="H375" s="23"/>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row>
    <row r="376" spans="1:49" ht="18" customHeight="1" x14ac:dyDescent="0.35">
      <c r="A376" s="1"/>
      <c r="B376" s="31"/>
      <c r="C376" s="34"/>
      <c r="D376" s="31"/>
      <c r="E376" s="31"/>
      <c r="F376" s="31"/>
      <c r="G376" s="31"/>
      <c r="H376" s="23"/>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row>
    <row r="377" spans="1:49" ht="18" customHeight="1" x14ac:dyDescent="0.35">
      <c r="A377" s="1"/>
      <c r="B377" s="31"/>
      <c r="C377" s="34"/>
      <c r="D377" s="31"/>
      <c r="E377" s="31"/>
      <c r="F377" s="31"/>
      <c r="G377" s="31"/>
      <c r="H377" s="23"/>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row>
    <row r="378" spans="1:49" ht="18" customHeight="1" x14ac:dyDescent="0.35">
      <c r="A378" s="1"/>
      <c r="B378" s="31"/>
      <c r="C378" s="34"/>
      <c r="D378" s="31"/>
      <c r="E378" s="31"/>
      <c r="F378" s="31"/>
      <c r="G378" s="31"/>
      <c r="H378" s="23"/>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row>
    <row r="379" spans="1:49" ht="18" customHeight="1" x14ac:dyDescent="0.35">
      <c r="A379" s="1"/>
      <c r="B379" s="31"/>
      <c r="C379" s="34"/>
      <c r="D379" s="31"/>
      <c r="E379" s="31"/>
      <c r="F379" s="31"/>
      <c r="G379" s="31"/>
      <c r="H379" s="23"/>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row>
    <row r="380" spans="1:49" ht="18" customHeight="1" x14ac:dyDescent="0.35">
      <c r="A380" s="1"/>
      <c r="B380" s="31"/>
      <c r="C380" s="34"/>
      <c r="D380" s="31"/>
      <c r="E380" s="31"/>
      <c r="F380" s="31"/>
      <c r="G380" s="31"/>
      <c r="H380" s="23"/>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row>
    <row r="381" spans="1:49" ht="18" customHeight="1" x14ac:dyDescent="0.35">
      <c r="A381" s="1"/>
      <c r="B381" s="31"/>
      <c r="C381" s="34"/>
      <c r="D381" s="31"/>
      <c r="E381" s="31"/>
      <c r="F381" s="31"/>
      <c r="G381" s="31"/>
      <c r="H381" s="23"/>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row>
    <row r="382" spans="1:49" ht="18" customHeight="1" x14ac:dyDescent="0.35">
      <c r="A382" s="1"/>
      <c r="B382" s="31"/>
      <c r="C382" s="34"/>
      <c r="D382" s="31"/>
      <c r="E382" s="31"/>
      <c r="F382" s="31"/>
      <c r="G382" s="31"/>
      <c r="H382" s="23"/>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row>
    <row r="383" spans="1:49" ht="18" customHeight="1" x14ac:dyDescent="0.35">
      <c r="A383" s="1"/>
      <c r="B383" s="31"/>
      <c r="C383" s="34"/>
      <c r="D383" s="31"/>
      <c r="E383" s="31"/>
      <c r="F383" s="31"/>
      <c r="G383" s="31"/>
      <c r="H383" s="23"/>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row>
    <row r="384" spans="1:49" ht="18" customHeight="1" x14ac:dyDescent="0.35">
      <c r="A384" s="1"/>
      <c r="B384" s="31"/>
      <c r="C384" s="34"/>
      <c r="D384" s="31"/>
      <c r="E384" s="31"/>
      <c r="F384" s="31"/>
      <c r="G384" s="31"/>
      <c r="H384" s="23"/>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row>
    <row r="385" spans="1:49" ht="18" customHeight="1" x14ac:dyDescent="0.35">
      <c r="A385" s="1"/>
      <c r="B385" s="31"/>
      <c r="C385" s="34"/>
      <c r="D385" s="31"/>
      <c r="E385" s="31"/>
      <c r="F385" s="31"/>
      <c r="G385" s="31"/>
      <c r="H385" s="23"/>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row>
    <row r="386" spans="1:49" ht="18" customHeight="1" x14ac:dyDescent="0.35">
      <c r="A386" s="1"/>
      <c r="B386" s="31"/>
      <c r="C386" s="34"/>
      <c r="D386" s="31"/>
      <c r="E386" s="31"/>
      <c r="F386" s="31"/>
      <c r="G386" s="31"/>
      <c r="H386" s="23"/>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row>
    <row r="387" spans="1:49" ht="18" customHeight="1" x14ac:dyDescent="0.35">
      <c r="A387" s="1"/>
      <c r="B387" s="31"/>
      <c r="C387" s="34"/>
      <c r="D387" s="31"/>
      <c r="E387" s="31"/>
      <c r="F387" s="31"/>
      <c r="G387" s="31"/>
      <c r="H387" s="23"/>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row>
    <row r="388" spans="1:49" ht="18" customHeight="1" x14ac:dyDescent="0.35">
      <c r="A388" s="1"/>
      <c r="B388" s="31"/>
      <c r="C388" s="34"/>
      <c r="D388" s="31"/>
      <c r="E388" s="31"/>
      <c r="F388" s="31"/>
      <c r="G388" s="31"/>
      <c r="H388" s="23"/>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row>
    <row r="389" spans="1:49" ht="18" customHeight="1" x14ac:dyDescent="0.35">
      <c r="A389" s="1"/>
      <c r="B389" s="31"/>
      <c r="C389" s="34"/>
      <c r="D389" s="31"/>
      <c r="E389" s="31"/>
      <c r="F389" s="31"/>
      <c r="G389" s="31"/>
      <c r="H389" s="23"/>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row>
    <row r="390" spans="1:49" ht="18" customHeight="1" x14ac:dyDescent="0.35">
      <c r="A390" s="1"/>
      <c r="B390" s="31"/>
      <c r="C390" s="34"/>
      <c r="D390" s="31"/>
      <c r="E390" s="31"/>
      <c r="F390" s="31"/>
      <c r="G390" s="31"/>
      <c r="H390" s="23"/>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row>
    <row r="391" spans="1:49" ht="18" customHeight="1" x14ac:dyDescent="0.35">
      <c r="A391" s="1"/>
      <c r="B391" s="31"/>
      <c r="C391" s="34"/>
      <c r="D391" s="31"/>
      <c r="E391" s="31"/>
      <c r="F391" s="31"/>
      <c r="G391" s="31"/>
      <c r="H391" s="23"/>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row>
    <row r="392" spans="1:49" ht="18" customHeight="1" x14ac:dyDescent="0.35">
      <c r="A392" s="1"/>
      <c r="B392" s="31"/>
      <c r="C392" s="34"/>
      <c r="D392" s="31"/>
      <c r="E392" s="31"/>
      <c r="F392" s="31"/>
      <c r="G392" s="31"/>
      <c r="H392" s="23"/>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row>
    <row r="393" spans="1:49" ht="18" customHeight="1" x14ac:dyDescent="0.35">
      <c r="A393" s="1"/>
      <c r="B393" s="31"/>
      <c r="C393" s="34"/>
      <c r="D393" s="31"/>
      <c r="E393" s="31"/>
      <c r="F393" s="31"/>
      <c r="G393" s="31"/>
      <c r="H393" s="23"/>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row>
    <row r="394" spans="1:49" ht="18" customHeight="1" x14ac:dyDescent="0.35">
      <c r="A394" s="1"/>
      <c r="B394" s="31"/>
      <c r="C394" s="34"/>
      <c r="D394" s="31"/>
      <c r="E394" s="31"/>
      <c r="F394" s="31"/>
      <c r="G394" s="31"/>
      <c r="H394" s="23"/>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row>
    <row r="395" spans="1:49" ht="18" customHeight="1" x14ac:dyDescent="0.35">
      <c r="A395" s="1"/>
      <c r="B395" s="31"/>
      <c r="C395" s="34"/>
      <c r="D395" s="31"/>
      <c r="E395" s="31"/>
      <c r="F395" s="31"/>
      <c r="G395" s="31"/>
      <c r="H395" s="23"/>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row>
    <row r="396" spans="1:49" ht="18" customHeight="1" x14ac:dyDescent="0.35">
      <c r="A396" s="1"/>
      <c r="B396" s="31"/>
      <c r="C396" s="34"/>
      <c r="D396" s="31"/>
      <c r="E396" s="31"/>
      <c r="F396" s="31"/>
      <c r="G396" s="31"/>
      <c r="H396" s="23"/>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row>
    <row r="397" spans="1:49" ht="18" customHeight="1" x14ac:dyDescent="0.35">
      <c r="A397" s="1"/>
      <c r="B397" s="31"/>
      <c r="C397" s="34"/>
      <c r="D397" s="31"/>
      <c r="E397" s="31"/>
      <c r="F397" s="31"/>
      <c r="G397" s="31"/>
      <c r="H397" s="23"/>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row>
    <row r="398" spans="1:49" ht="18" customHeight="1" x14ac:dyDescent="0.35">
      <c r="A398" s="1"/>
      <c r="B398" s="31"/>
      <c r="C398" s="34"/>
      <c r="D398" s="31"/>
      <c r="E398" s="31"/>
      <c r="F398" s="31"/>
      <c r="G398" s="31"/>
      <c r="H398" s="23"/>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row>
    <row r="399" spans="1:49" ht="18" customHeight="1" x14ac:dyDescent="0.35">
      <c r="A399" s="1"/>
      <c r="B399" s="31"/>
      <c r="C399" s="34"/>
      <c r="D399" s="31"/>
      <c r="E399" s="31"/>
      <c r="F399" s="31"/>
      <c r="G399" s="31"/>
      <c r="H399" s="23"/>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row>
    <row r="400" spans="1:49" ht="18" customHeight="1" x14ac:dyDescent="0.35">
      <c r="A400" s="1"/>
      <c r="B400" s="31"/>
      <c r="C400" s="34"/>
      <c r="D400" s="31"/>
      <c r="E400" s="31"/>
      <c r="F400" s="31"/>
      <c r="G400" s="31"/>
      <c r="H400" s="23"/>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row>
    <row r="401" spans="1:49" ht="18" customHeight="1" x14ac:dyDescent="0.35">
      <c r="A401" s="1"/>
      <c r="B401" s="31"/>
      <c r="C401" s="34"/>
      <c r="D401" s="31"/>
      <c r="E401" s="31"/>
      <c r="F401" s="31"/>
      <c r="G401" s="31"/>
      <c r="H401" s="23"/>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row>
    <row r="402" spans="1:49" ht="18" customHeight="1" x14ac:dyDescent="0.35">
      <c r="A402" s="1"/>
      <c r="B402" s="31"/>
      <c r="C402" s="34"/>
      <c r="D402" s="31"/>
      <c r="E402" s="31"/>
      <c r="F402" s="31"/>
      <c r="G402" s="31"/>
      <c r="H402" s="23"/>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row>
    <row r="403" spans="1:49" ht="18" customHeight="1" x14ac:dyDescent="0.35">
      <c r="A403" s="1"/>
      <c r="B403" s="31"/>
      <c r="C403" s="34"/>
      <c r="D403" s="31"/>
      <c r="E403" s="31"/>
      <c r="F403" s="31"/>
      <c r="G403" s="31"/>
      <c r="H403" s="23"/>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row>
  </sheetData>
  <conditionalFormatting sqref="B17:H17">
    <cfRule type="cellIs" dxfId="0" priority="1" operator="equal">
      <formula>0</formula>
    </cfRule>
  </conditionalFormatting>
  <pageMargins left="0.511811024" right="0.511811024" top="0.78740157499999996" bottom="0.78740157499999996" header="0.31496062000000002" footer="0.31496062000000002"/>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7</vt:i4>
      </vt:variant>
      <vt:variant>
        <vt:lpstr>Intervalos Nomeados</vt:lpstr>
      </vt:variant>
      <vt:variant>
        <vt:i4>112</vt:i4>
      </vt:variant>
    </vt:vector>
  </HeadingPairs>
  <TitlesOfParts>
    <vt:vector size="119" baseType="lpstr">
      <vt:lpstr>DRE + DCF</vt:lpstr>
      <vt:lpstr>Balanço Patrimonial</vt:lpstr>
      <vt:lpstr>DFC</vt:lpstr>
      <vt:lpstr>Projeções - Receita Varejo</vt:lpstr>
      <vt:lpstr>Projeções - Receita Financeira</vt:lpstr>
      <vt:lpstr>Painel de Índices</vt:lpstr>
      <vt:lpstr>Lojas</vt:lpstr>
      <vt:lpstr>A</vt:lpstr>
      <vt:lpstr>APLICACOES_FINANCEIRAS</vt:lpstr>
      <vt:lpstr>ATIVO</vt:lpstr>
      <vt:lpstr>ATIVO_CIRC</vt:lpstr>
      <vt:lpstr>ATIVO_OPERACIONAL</vt:lpstr>
      <vt:lpstr>ATIVO_REALIZAVEL_LONGO_PRAZO</vt:lpstr>
      <vt:lpstr>B</vt:lpstr>
      <vt:lpstr>CAIXA_E_EQUIVALENTES</vt:lpstr>
      <vt:lpstr>CAIXA_EXCESSO</vt:lpstr>
      <vt:lpstr>CAIXA_OPERACIONAL</vt:lpstr>
      <vt:lpstr>CAPEX</vt:lpstr>
      <vt:lpstr>CAPEX_2024</vt:lpstr>
      <vt:lpstr>CAPEX_2025</vt:lpstr>
      <vt:lpstr>CAPEX_2026</vt:lpstr>
      <vt:lpstr>CAPEX_CD</vt:lpstr>
      <vt:lpstr>CAPEX_NOVA_LOJA_2024</vt:lpstr>
      <vt:lpstr>CAPEX_NOVA_LOJA_2025</vt:lpstr>
      <vt:lpstr>CAPEX_NOVA_LOJA_2026</vt:lpstr>
      <vt:lpstr>CAPEX_NOVAS_LOJAS</vt:lpstr>
      <vt:lpstr>CAPEX_REFORMA</vt:lpstr>
      <vt:lpstr>CAPEX_TI</vt:lpstr>
      <vt:lpstr>CAPITAL_DE_GIRO</vt:lpstr>
      <vt:lpstr>CAPITAL_GIRO_2016</vt:lpstr>
      <vt:lpstr>CAPITAL_GIRO_2017</vt:lpstr>
      <vt:lpstr>CAPITAL_GIRO_2018</vt:lpstr>
      <vt:lpstr>CAPITAL_GIRO_2019</vt:lpstr>
      <vt:lpstr>CAPITAL_GIRO_2020</vt:lpstr>
      <vt:lpstr>CAPITAL_GIRO_2021</vt:lpstr>
      <vt:lpstr>CAPITAL_GIRO_2022</vt:lpstr>
      <vt:lpstr>CAPITAL_GIRO_2023</vt:lpstr>
      <vt:lpstr>CARTEIRA_CREDITO_SETORIAL</vt:lpstr>
      <vt:lpstr>CMV</vt:lpstr>
      <vt:lpstr>CONTAS_A_RECEBER</vt:lpstr>
      <vt:lpstr>CURVA_MATURACAO</vt:lpstr>
      <vt:lpstr>CUSTO_DA_DIVIDA</vt:lpstr>
      <vt:lpstr>DEPRECIACAO_E_AMORTIZACAO_2024</vt:lpstr>
      <vt:lpstr>DEPRECIACAO_E_AMORTIZACAO_2025</vt:lpstr>
      <vt:lpstr>DEPRECIACAO_E_AMORTIZACAO_2026</vt:lpstr>
      <vt:lpstr>DESP_DERIVATIVOS</vt:lpstr>
      <vt:lpstr>DESP_FIN</vt:lpstr>
      <vt:lpstr>DESP_VAR_CAMBIAL</vt:lpstr>
      <vt:lpstr>DESPESAS_OPERACIONAIS</vt:lpstr>
      <vt:lpstr>DIVIDA_BRUTA</vt:lpstr>
      <vt:lpstr>DIVIDA_LIQUIDA</vt:lpstr>
      <vt:lpstr>EBIT</vt:lpstr>
      <vt:lpstr>EBIT_RECORRENTE</vt:lpstr>
      <vt:lpstr>EBITDA</vt:lpstr>
      <vt:lpstr>EBITDA_RECORRENTE</vt:lpstr>
      <vt:lpstr>EMPRESTIMOS_CIRC</vt:lpstr>
      <vt:lpstr>EMPRESTIMOS_NAO_CIRC</vt:lpstr>
      <vt:lpstr>ESTAGIO_1_SETORIAL</vt:lpstr>
      <vt:lpstr>ESTAGIO_2_SETORIAL</vt:lpstr>
      <vt:lpstr>ESTAGIO_3_SETORIAL</vt:lpstr>
      <vt:lpstr>ESTOQUES</vt:lpstr>
      <vt:lpstr>FCO</vt:lpstr>
      <vt:lpstr>FORNECEDORES_CIRC</vt:lpstr>
      <vt:lpstr>INFLACAO_2024</vt:lpstr>
      <vt:lpstr>INFLACAO_2025</vt:lpstr>
      <vt:lpstr>INFLACAO_2026</vt:lpstr>
      <vt:lpstr>IRPJ_CSLL</vt:lpstr>
      <vt:lpstr>JUROS_APLICACOES_FIN</vt:lpstr>
      <vt:lpstr>LOJAS_ABERTURA</vt:lpstr>
      <vt:lpstr>LOJAS_AREA_TOTAL</vt:lpstr>
      <vt:lpstr>LOJAS_MATURIDADE</vt:lpstr>
      <vt:lpstr>LOJAS_TAMANHO</vt:lpstr>
      <vt:lpstr>LUCRO_LIQUIDO</vt:lpstr>
      <vt:lpstr>NOPAT</vt:lpstr>
      <vt:lpstr>NOVAS_LOJAS</vt:lpstr>
      <vt:lpstr>NOVAS_LOJAS_2024</vt:lpstr>
      <vt:lpstr>NOVAS_LOJAS_2025</vt:lpstr>
      <vt:lpstr>NOVAS_LOJAS_2026</vt:lpstr>
      <vt:lpstr>NUMERO_LOJAS</vt:lpstr>
      <vt:lpstr>NUMERO_LOJAS_2024E</vt:lpstr>
      <vt:lpstr>NUMERO_LOJAS_2025E</vt:lpstr>
      <vt:lpstr>NUMERO_LOJAS_2026E</vt:lpstr>
      <vt:lpstr>OUTRAS_OBRIG_CIRC</vt:lpstr>
      <vt:lpstr>OUTROS_CIRC</vt:lpstr>
      <vt:lpstr>PASSIVO_CIRC</vt:lpstr>
      <vt:lpstr>PASSIVO_NAO_CIRC</vt:lpstr>
      <vt:lpstr>PASSIVO_OPERACIONAL</vt:lpstr>
      <vt:lpstr>PASSIVO_PARTES_RELACIONADAS_CIRC</vt:lpstr>
      <vt:lpstr>PASSIVO_PARTES_RELACIONADAS_N_CIRC</vt:lpstr>
      <vt:lpstr>PDD_SETORIAL</vt:lpstr>
      <vt:lpstr>PERDAS_CREDITOS_LIQUIDAS</vt:lpstr>
      <vt:lpstr>PIB_CRESC_REAL_2024</vt:lpstr>
      <vt:lpstr>PIB_CRESC_REAL_2025</vt:lpstr>
      <vt:lpstr>PIB_CRESC_REAL_2026</vt:lpstr>
      <vt:lpstr>PL</vt:lpstr>
      <vt:lpstr>PME</vt:lpstr>
      <vt:lpstr>PMP</vt:lpstr>
      <vt:lpstr>PMR</vt:lpstr>
      <vt:lpstr>RECEITA_BRUTA</vt:lpstr>
      <vt:lpstr>RECEITA_LIQUIDA</vt:lpstr>
      <vt:lpstr>RECEITA_LIQUIDA_2024</vt:lpstr>
      <vt:lpstr>RECEITA_LIQUIDA_2025</vt:lpstr>
      <vt:lpstr>RECEITA_LIQUIDA_2026</vt:lpstr>
      <vt:lpstr>REINVESTIMENTO</vt:lpstr>
      <vt:lpstr>REINVESTIMENTO_2024</vt:lpstr>
      <vt:lpstr>REINVESTIMENTO_2025</vt:lpstr>
      <vt:lpstr>REINVESTIMENTO_2026</vt:lpstr>
      <vt:lpstr>RL_FIN</vt:lpstr>
      <vt:lpstr>RL_FIN_SETORIAL</vt:lpstr>
      <vt:lpstr>RL_OUTROS</vt:lpstr>
      <vt:lpstr>RL_VAREJO</vt:lpstr>
      <vt:lpstr>SALARIOS</vt:lpstr>
      <vt:lpstr>TAXA_REINVESTIMENTO</vt:lpstr>
      <vt:lpstr>TAXA_SELIC_MEDIA</vt:lpstr>
      <vt:lpstr>TRIBUTOS_A_PAGAR</vt:lpstr>
      <vt:lpstr>VAR_CAPITAL_GIRO</vt:lpstr>
      <vt:lpstr>VAR_CAPITAL_GIRO_2024</vt:lpstr>
      <vt:lpstr>VAR_CAPITAL_GIRO_2025</vt:lpstr>
      <vt:lpstr>VAR_CAPITAL_GIRO_2026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lzweig</dc:creator>
  <cp:lastModifiedBy>Leandro Siqueira</cp:lastModifiedBy>
  <cp:lastPrinted>2024-05-14T16:07:43Z</cp:lastPrinted>
  <dcterms:created xsi:type="dcterms:W3CDTF">2013-04-03T15:49:21Z</dcterms:created>
  <dcterms:modified xsi:type="dcterms:W3CDTF">2024-07-23T13:02:31Z</dcterms:modified>
</cp:coreProperties>
</file>