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style2.xml" ContentType="application/vnd.ms-office.chartstyle+xml"/>
  <Override PartName="/xl/charts/chart2.xml" ContentType="application/vnd.openxmlformats-officedocument.drawingml.chart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.Resumo" sheetId="1" state="visible" r:id="rId3"/>
    <sheet name="2.LL_Projetado" sheetId="2" state="visible" r:id="rId4"/>
    <sheet name="3.Multiplos" sheetId="3" state="visible" r:id="rId5"/>
    <sheet name="4.Premissas" sheetId="4" state="visible" r:id="rId6"/>
    <sheet name="5.Balanco" sheetId="5" state="visible" r:id="rId7"/>
    <sheet name="6.Ranking" sheetId="6" state="visible" r:id="rId8"/>
    <sheet name="7.Dashboard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<sst xmlns="http://schemas.openxmlformats.org/spreadsheetml/2006/main" count="236" uniqueCount="114">
  <si>
    <t xml:space="preserve">Comparativa — 5 Bancos Brasileiros de Grande Porte</t>
  </si>
  <si>
    <t xml:space="preserve">Data-base: 2025-12-31  |  Valuation: abr/2026  |  Metodologia: DDM Gordon 2 estágios + Múltiplos</t>
  </si>
  <si>
    <t xml:space="preserve">Sumário de Recomendações</t>
  </si>
  <si>
    <t xml:space="preserve">Ticker</t>
  </si>
  <si>
    <t xml:space="preserve">Empresa</t>
  </si>
  <si>
    <t xml:space="preserve">Preço Atual</t>
  </si>
  <si>
    <t xml:space="preserve">Alvo DDM</t>
  </si>
  <si>
    <t xml:space="preserve">Upside</t>
  </si>
  <si>
    <t xml:space="preserve">Recomendação</t>
  </si>
  <si>
    <t xml:space="preserve">Ke</t>
  </si>
  <si>
    <t xml:space="preserve">β</t>
  </si>
  <si>
    <t xml:space="preserve">ROE 2026E</t>
  </si>
  <si>
    <t xml:space="preserve">ROE 2030E</t>
  </si>
  <si>
    <t xml:space="preserve">P/L impl.</t>
  </si>
  <si>
    <t xml:space="preserve">P/VP impl.</t>
  </si>
  <si>
    <t xml:space="preserve">ITUB4</t>
  </si>
  <si>
    <t xml:space="preserve">Itaú Unibanco</t>
  </si>
  <si>
    <t xml:space="preserve">NEUTRO -</t>
  </si>
  <si>
    <t xml:space="preserve">BBAS3</t>
  </si>
  <si>
    <t xml:space="preserve">Banco do Brasil</t>
  </si>
  <si>
    <t xml:space="preserve">VENDA</t>
  </si>
  <si>
    <t xml:space="preserve">BBDC4</t>
  </si>
  <si>
    <t xml:space="preserve">Bradesco</t>
  </si>
  <si>
    <t xml:space="preserve">SANB11</t>
  </si>
  <si>
    <t xml:space="preserve">Santander BR</t>
  </si>
  <si>
    <t xml:space="preserve">BPAC11</t>
  </si>
  <si>
    <t xml:space="preserve">BTG Pactual</t>
  </si>
  <si>
    <t xml:space="preserve">Ranking (por upside decrescente)</t>
  </si>
  <si>
    <t xml:space="preserve">1º</t>
  </si>
  <si>
    <t xml:space="preserve">-14.2%  (NEUTRO -)</t>
  </si>
  <si>
    <t xml:space="preserve">2º</t>
  </si>
  <si>
    <t xml:space="preserve">-23.0%  (VENDA)</t>
  </si>
  <si>
    <t xml:space="preserve">3º</t>
  </si>
  <si>
    <t xml:space="preserve">-24.1%  (VENDA)</t>
  </si>
  <si>
    <t xml:space="preserve">4º</t>
  </si>
  <si>
    <t xml:space="preserve">-41.6%  (VENDA)</t>
  </si>
  <si>
    <t xml:space="preserve">5º</t>
  </si>
  <si>
    <t xml:space="preserve">-47.8%  (VENDA)</t>
  </si>
  <si>
    <t xml:space="preserve">Observações-chave</t>
  </si>
  <si>
    <t xml:space="preserve">• ITUB4 é o melhor posicionado entre os 4 grandes (maior ROE, menor desconto → NEUTRO-).</t>
  </si>
  <si>
    <t xml:space="preserve">• BBDC4 tem o maior downside implícito (-48%) — reflete deterioração operacional 2020-2024.</t>
  </si>
  <si>
    <t xml:space="preserve">• BPAC11 premium não justificado pelo modelo DDM: ROE alto mas Ke ~18% consome o valor.</t>
  </si>
  <si>
    <t xml:space="preserve">• Todos os 4 grandes + BPAC com VENDA ou NEUTRO — setor bancário BR precifica pouca margem.</t>
  </si>
  <si>
    <t xml:space="preserve">• Sensibilidade: queda de 100 bps no Rf (Selic cai) altera upsides em média +8 p.p.</t>
  </si>
  <si>
    <t xml:space="preserve">Lucro Líquido Projetado (R$ bi) — 2026-2030</t>
  </si>
  <si>
    <t xml:space="preserve">2026E</t>
  </si>
  <si>
    <t xml:space="preserve">2027E</t>
  </si>
  <si>
    <t xml:space="preserve">2028E</t>
  </si>
  <si>
    <t xml:space="preserve">2029E</t>
  </si>
  <si>
    <t xml:space="preserve">2030E</t>
  </si>
  <si>
    <t xml:space="preserve">CAGR 26-30</t>
  </si>
  <si>
    <t xml:space="preserve">ROE Projetado (%) — 2026-2030</t>
  </si>
  <si>
    <t xml:space="preserve">Dividendos Distribuídos Projetados (R$ bi)</t>
  </si>
  <si>
    <t xml:space="preserve">DY 2026E</t>
  </si>
  <si>
    <t xml:space="preserve">Múltiplos — Históricos vs Implícitos no Preço-Alvo</t>
  </si>
  <si>
    <t xml:space="preserve">P/L Médio 7a</t>
  </si>
  <si>
    <t xml:space="preserve">P/L Implícito</t>
  </si>
  <si>
    <t xml:space="preserve">Δ P/L</t>
  </si>
  <si>
    <t xml:space="preserve">P/VP Médio 7a</t>
  </si>
  <si>
    <t xml:space="preserve">P/VP Implícito</t>
  </si>
  <si>
    <t xml:space="preserve">Δ P/VP</t>
  </si>
  <si>
    <t xml:space="preserve">ROE sustentável vs Ke — Spread de Geração de Valor</t>
  </si>
  <si>
    <t xml:space="preserve">ROE Sustent.</t>
  </si>
  <si>
    <t xml:space="preserve">Spread (ROE-Ke)</t>
  </si>
  <si>
    <t xml:space="preserve">P/VP Justo (Gordon)</t>
  </si>
  <si>
    <t xml:space="preserve">NIM Projetado 2026-2030 (%)</t>
  </si>
  <si>
    <t xml:space="preserve">Premissas Macro — Comuns aos 5 modelos</t>
  </si>
  <si>
    <t xml:space="preserve">Rf (NTN-B)</t>
  </si>
  <si>
    <t xml:space="preserve">ERP Brasil</t>
  </si>
  <si>
    <t xml:space="preserve">Beta (β)</t>
  </si>
  <si>
    <t xml:space="preserve">Ke (CAPM)</t>
  </si>
  <si>
    <t xml:space="preserve">g Terminal</t>
  </si>
  <si>
    <t xml:space="preserve">Payout Proj</t>
  </si>
  <si>
    <t xml:space="preserve">Fórmula CAPM utilizada</t>
  </si>
  <si>
    <t xml:space="preserve">Ke = Rf_BR + β · ERP_Brasil</t>
  </si>
  <si>
    <t xml:space="preserve">⚠ ERP Damodaran Brasil JÁ INCLUI Country Risk Premium — não somar CRP separadamente.</t>
  </si>
  <si>
    <t xml:space="preserve">Fontes</t>
  </si>
  <si>
    <t xml:space="preserve">• Rf: Tesouro Direto, NTN-B 2035 proxy (~11,5% nominal)</t>
  </si>
  <si>
    <t xml:space="preserve">• ERP: Damodaran 'Country Risk Premium — Brazil' 2025 (6,0-7,0%)</t>
  </si>
  <si>
    <t xml:space="preserve">• Beta: Bloomberg / TC School, 5Y mensal</t>
  </si>
  <si>
    <t xml:space="preserve">• g terminal: Inflação BCB Focus (3,5%) + crescimento real 1,5% ≈ 5,0% nominal</t>
  </si>
  <si>
    <t xml:space="preserve">• Payout: média histórica 5 anos, ajustada para JCP + recompras quando aplicável</t>
  </si>
  <si>
    <t xml:space="preserve">Carteira de Crédito — Histórico + Projeção (R$ bi)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</si>
  <si>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</si>
  <si>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</si>
  <si>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</si>
  <si>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</si>
  <si>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</si>
  <si>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</si>
  <si>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</si>
  <si>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2026</t>
  </si>
  <si>
    <t xml:space="preserve">2027</t>
  </si>
  <si>
    <t xml:space="preserve">2028</t>
  </si>
  <si>
    <t xml:space="preserve">2029</t>
  </si>
  <si>
    <t xml:space="preserve">2030</t>
  </si>
  <si>
    <t xml:space="preserve">Índice de Eficiência (%) — menor é melhor</t>
  </si>
  <si>
    <t xml:space="preserve">Scorecard — Ranking de 1 (melhor) a 5 (pior)</t>
  </si>
  <si>
    <t xml:space="preserve">Ke (inv.)</t>
  </si>
  <si>
    <t xml:space="preserve">P/L (barato)</t>
  </si>
  <si>
    <t xml:space="preserve">Spread ROE-Ke</t>
  </si>
  <si>
    <t xml:space="preserve">Score Total</t>
  </si>
  <si>
    <t xml:space="preserve">Ranking final (score agregado — menor = melhor)</t>
  </si>
  <si>
    <t xml:space="preserve">Score 10</t>
  </si>
  <si>
    <t xml:space="preserve">Upside -14.2%</t>
  </si>
  <si>
    <t xml:space="preserve">Score 12</t>
  </si>
  <si>
    <t xml:space="preserve">Upside -41.6%</t>
  </si>
  <si>
    <t xml:space="preserve">Score 16</t>
  </si>
  <si>
    <t xml:space="preserve">Upside -23.0%</t>
  </si>
  <si>
    <t xml:space="preserve">Score 18</t>
  </si>
  <si>
    <t xml:space="preserve">Upside -24.1%</t>
  </si>
  <si>
    <t xml:space="preserve">Score 19</t>
  </si>
  <si>
    <t xml:space="preserve">Upside -47.8%</t>
  </si>
  <si>
    <t xml:space="preserve">Dashboard Gráfico</t>
  </si>
  <si>
    <t xml:space="preserve">Spread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</si>
</sst>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&quot;R$ &quot;#,##0.00;&quot;(R$ &quot;#,##0.00\);\-"/>
    <numFmt numFmtId="166" formatCode="0.0%;\(0.0%\);\-"/>
    <numFmt numFmtId="167" formatCode="0.00"/>
    <numFmt numFmtId="168" formatCode="0.0\x"/>
    <numFmt numFmtId="169" formatCode="#,##0.0&quot; bi&quot;;\(#,##0.0&quot; bi)&quot;;\-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Arial"/>
      <family val="0"/>
      <charset val="1"/>
    </font>
    <font>
      <i val="true"/>
      <sz val="11"/>
      <color rgb="FF555555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4"/>
      <color rgb="FF1F4E78"/>
      <name val="Arial"/>
      <family val="0"/>
      <charset val="1"/>
    </font>
    <font>
      <b val="true"/>
      <sz val="11"/>
      <color rgb="FFC00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D966"/>
        <bgColor rgb="FFFFFF99"/>
      </patternFill>
    </fill>
    <fill>
      <patternFill patternType="solid">
        <fgColor rgb="FFC00000"/>
        <bgColor rgb="FF8000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C0504D"/>
      <rgbColor rgb="FFF9F9F9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5555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1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Upside / (Downside) por Ticker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'7.Dashboard'!C4</c:f>
              <c:strCache>
                <c:ptCount val="1"/>
                <c:pt idx="0">
                  <c:v>Upside</c:v>
                </c:pt>
              </c:strCache>
            </c:strRef>
          </c:tx>
          <c:spPr>
            <a:solidFill>
              <a:srgbClr val="4F81BD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'7.Dashboard'!$B$5:$B$9</c:f>
              <c:strCache>
                <c:ptCount val="5"/>
                <c:pt idx="0">
                  <c:v>ITUB4</c:v>
                </c:pt>
                <c:pt idx="1">
                  <c:v>BBAS3</c:v>
                </c:pt>
                <c:pt idx="2">
                  <c:v>BBDC4</c:v>
                </c:pt>
                <c:pt idx="3">
                  <c:v>SANB11</c:v>
                </c:pt>
                <c:pt idx="4">
                  <c:v>BPAC11</c:v>
                </c:pt>
              </c:strCache>
            </c:strRef>
          </c:cat>
          <c:val>
            <c:numRef>
              <c:f>'7.Dashboard'!$C$5:$C$9</c:f>
              <c:numCache>
                <c:formatCode>0.0%;\(0.0%\);\-</c:formatCode>
                <c:ptCount val="5"/>
                <c:pt idx="0">
                  <c:v>-0.142209104109988</c:v>
                </c:pt>
                <c:pt idx="1">
                  <c:v>-0.230425848569642</c:v>
                </c:pt>
                <c:pt idx="2">
                  <c:v>-0.47837626834831</c:v>
                </c:pt>
                <c:pt idx="3">
                  <c:v>-0.240957261880114</c:v>
                </c:pt>
                <c:pt idx="4">
                  <c:v>-0.41574294481372</c:v>
                </c:pt>
              </c:numCache>
            </c:numRef>
          </c:val>
        </c:ser>
        <c:gapWidth val="150"/>
        <c:overlap val="0"/>
        <c:axId val="81017778"/>
        <c:axId val="78514796"/>
      </c:barChart>
      <c:catAx>
        <c:axId val="81017778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Upside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8514796"/>
        <c:crosses val="autoZero"/>
        <c:auto val="1"/>
        <c:lblAlgn val="ctr"/>
        <c:lblOffset val="100"/>
        <c:noMultiLvlLbl val="0"/>
      </c:catAx>
      <c:valAx>
        <c:axId val="7851479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Ticker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;\(0.0%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1017778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ROE 2026E vs Ke (Custo de Equity)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'7.Dashboard'!D4</c:f>
              <c:strCache>
                <c:ptCount val="1"/>
                <c:pt idx="0">
                  <c:v>ROE 2026E</c:v>
                </c:pt>
              </c:strCache>
            </c:strRef>
          </c:tx>
          <c:spPr>
            <a:solidFill>
              <a:srgbClr val="4F81BD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'7.Dashboard'!$B$5:$B$9</c:f>
              <c:strCache>
                <c:ptCount val="5"/>
                <c:pt idx="0">
                  <c:v>ITUB4</c:v>
                </c:pt>
                <c:pt idx="1">
                  <c:v>BBAS3</c:v>
                </c:pt>
                <c:pt idx="2">
                  <c:v>BBDC4</c:v>
                </c:pt>
                <c:pt idx="3">
                  <c:v>SANB11</c:v>
                </c:pt>
                <c:pt idx="4">
                  <c:v>BPAC11</c:v>
                </c:pt>
              </c:strCache>
            </c:strRef>
          </c:cat>
          <c:val>
            <c:numRef>
              <c:f>'7.Dashboard'!$D$5:$D$9</c:f>
              <c:numCache>
                <c:formatCode>0.0%;\(0.0%\);\-</c:formatCode>
                <c:ptCount val="5"/>
                <c:pt idx="0">
                  <c:v>0.268833914930839</c:v>
                </c:pt>
                <c:pt idx="1">
                  <c:v>0.128802775257328</c:v>
                </c:pt>
                <c:pt idx="2">
                  <c:v>0.127743370630986</c:v>
                </c:pt>
                <c:pt idx="3">
                  <c:v>0.148231336050737</c:v>
                </c:pt>
                <c:pt idx="4">
                  <c:v>0.170735310860786</c:v>
                </c:pt>
              </c:numCache>
            </c:numRef>
          </c:val>
        </c:ser>
        <c:ser>
          <c:idx val="1"/>
          <c:order val="1"/>
          <c:tx>
            <c:strRef>
              <c:f>'7.Dashboard'!E4</c:f>
              <c:strCache>
                <c:ptCount val="1"/>
                <c:pt idx="0">
                  <c:v>Ke</c:v>
                </c:pt>
              </c:strCache>
            </c:strRef>
          </c:tx>
          <c:spPr>
            <a:solidFill>
              <a:srgbClr val="C0504D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'7.Dashboard'!$B$5:$B$9</c:f>
              <c:strCache>
                <c:ptCount val="5"/>
                <c:pt idx="0">
                  <c:v>ITUB4</c:v>
                </c:pt>
                <c:pt idx="1">
                  <c:v>BBAS3</c:v>
                </c:pt>
                <c:pt idx="2">
                  <c:v>BBDC4</c:v>
                </c:pt>
                <c:pt idx="3">
                  <c:v>SANB11</c:v>
                </c:pt>
                <c:pt idx="4">
                  <c:v>BPAC11</c:v>
                </c:pt>
              </c:strCache>
            </c:strRef>
          </c:cat>
          <c:val>
            <c:numRef>
              <c:f>'7.Dashboard'!$E$5:$E$9</c:f>
              <c:numCache>
                <c:formatCode>0.0%;\(0.0%\);\-</c:formatCode>
                <c:ptCount val="5"/>
                <c:pt idx="0">
                  <c:v>0.17675</c:v>
                </c:pt>
                <c:pt idx="1">
                  <c:v>0.18325</c:v>
                </c:pt>
                <c:pt idx="2">
                  <c:v>0.1865</c:v>
                </c:pt>
                <c:pt idx="3">
                  <c:v>0.18</c:v>
                </c:pt>
                <c:pt idx="4">
                  <c:v>0.18325</c:v>
                </c:pt>
              </c:numCache>
            </c:numRef>
          </c:val>
        </c:ser>
        <c:gapWidth val="150"/>
        <c:overlap val="0"/>
        <c:axId val="54627821"/>
        <c:axId val="44908753"/>
      </c:barChart>
      <c:catAx>
        <c:axId val="5462782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4908753"/>
        <c:crosses val="autoZero"/>
        <c:auto val="1"/>
        <c:lblAlgn val="ctr"/>
        <c:lblOffset val="100"/>
        <c:noMultiLvlLbl val="0"/>
      </c:catAx>
      <c:valAx>
        <c:axId val="4490875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%;\(0.0%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4627821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3</xdr:row>
      <xdr:rowOff>0</xdr:rowOff>
    </xdr:from>
    <xdr:to>
      <xdr:col>17</xdr:col>
      <xdr:colOff>364680</xdr:colOff>
      <xdr:row>21</xdr:row>
      <xdr:rowOff>170640</xdr:rowOff>
    </xdr:to>
    <xdr:graphicFrame>
      <xdr:nvGraphicFramePr>
        <xdr:cNvPr id="1" name="Chart 1"/>
        <xdr:cNvGraphicFramePr/>
      </xdr:nvGraphicFramePr>
      <xdr:xfrm>
        <a:off x="4158720" y="601200"/>
        <a:ext cx="647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23</xdr:row>
      <xdr:rowOff>0</xdr:rowOff>
    </xdr:from>
    <xdr:to>
      <xdr:col>17</xdr:col>
      <xdr:colOff>364680</xdr:colOff>
      <xdr:row>41</xdr:row>
      <xdr:rowOff>170640</xdr:rowOff>
    </xdr:to>
    <xdr:graphicFrame>
      <xdr:nvGraphicFramePr>
        <xdr:cNvPr id="2" name="Chart 2"/>
        <xdr:cNvGraphicFramePr/>
      </xdr:nvGraphicFramePr>
      <xdr:xfrm>
        <a:off x="4158720" y="4411440"/>
        <a:ext cx="647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M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9"/>
    <col collapsed="false" customWidth="true" hidden="false" outlineLevel="0" max="3" min="3" style="0" width="20"/>
    <col collapsed="false" customWidth="true" hidden="false" outlineLevel="0" max="5" min="4" style="0" width="14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9" min="8" style="0" width="8"/>
    <col collapsed="false" customWidth="true" hidden="false" outlineLevel="0" max="11" min="10" style="0" width="12"/>
    <col collapsed="false" customWidth="true" hidden="false" outlineLevel="0" max="13" min="12" style="0" width="11"/>
    <col collapsed="false" customWidth="true" hidden="false" outlineLevel="0" max="15" min="14" style="0" width="8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</row>
    <row r="7" customFormat="false" ht="15" hidden="false" customHeight="false" outlineLevel="0" collapsed="false">
      <c r="B7" s="4" t="s">
        <v>3</v>
      </c>
      <c r="C7" s="4" t="s">
        <v>4</v>
      </c>
      <c r="D7" s="4" t="s">
        <v>5</v>
      </c>
      <c r="E7" s="4" t="s">
        <v>6</v>
      </c>
      <c r="F7" s="4" t="s">
        <v>7</v>
      </c>
      <c r="G7" s="4" t="s">
        <v>8</v>
      </c>
      <c r="H7" s="4" t="s">
        <v>9</v>
      </c>
      <c r="I7" s="4" t="s">
        <v>10</v>
      </c>
      <c r="J7" s="4" t="s">
        <v>11</v>
      </c>
      <c r="K7" s="4" t="s">
        <v>12</v>
      </c>
      <c r="L7" s="4" t="s">
        <v>13</v>
      </c>
      <c r="M7" s="4" t="s">
        <v>14</v>
      </c>
    </row>
    <row r="8" customFormat="false" ht="15" hidden="false" customHeight="false" outlineLevel="0" collapsed="false">
      <c r="B8" s="5" t="s">
        <v>15</v>
      </c>
      <c r="C8" s="6" t="s">
        <v>16</v>
      </c>
      <c r="D8" s="7" t="n">
        <v>35.5</v>
      </c>
      <c r="E8" s="7" t="n">
        <v>30.4515768040954</v>
      </c>
      <c r="F8" s="8" t="n">
        <v>-0.142209104109988</v>
      </c>
      <c r="G8" s="9" t="s">
        <v>17</v>
      </c>
      <c r="H8" s="8" t="n">
        <v>0.17675</v>
      </c>
      <c r="I8" s="10" t="n">
        <v>0.95</v>
      </c>
      <c r="J8" s="8" t="n">
        <v>0.268833914930839</v>
      </c>
      <c r="K8" s="8" t="n">
        <v>0.24750143427924</v>
      </c>
      <c r="L8" s="11" t="n">
        <v>6.65119406943795</v>
      </c>
      <c r="M8" s="11" t="n">
        <v>1.46033551940227</v>
      </c>
    </row>
    <row r="9" customFormat="false" ht="15" hidden="false" customHeight="false" outlineLevel="0" collapsed="false">
      <c r="B9" s="5" t="s">
        <v>18</v>
      </c>
      <c r="C9" s="6" t="s">
        <v>19</v>
      </c>
      <c r="D9" s="7" t="n">
        <v>26.8</v>
      </c>
      <c r="E9" s="7" t="n">
        <v>20.6245872583336</v>
      </c>
      <c r="F9" s="8" t="n">
        <v>-0.230425848569642</v>
      </c>
      <c r="G9" s="12" t="s">
        <v>20</v>
      </c>
      <c r="H9" s="8" t="n">
        <v>0.18325</v>
      </c>
      <c r="I9" s="10" t="n">
        <v>1.05</v>
      </c>
      <c r="J9" s="8" t="n">
        <v>0.128802775257328</v>
      </c>
      <c r="K9" s="8" t="n">
        <v>0.165802436894921</v>
      </c>
      <c r="L9" s="11" t="n">
        <v>8.60511976413393</v>
      </c>
      <c r="M9" s="11" t="n">
        <v>0.623097995605893</v>
      </c>
    </row>
    <row r="10" customFormat="false" ht="15" hidden="false" customHeight="false" outlineLevel="0" collapsed="false">
      <c r="B10" s="5" t="s">
        <v>21</v>
      </c>
      <c r="C10" s="6" t="s">
        <v>22</v>
      </c>
      <c r="D10" s="7" t="n">
        <v>15.2</v>
      </c>
      <c r="E10" s="7" t="n">
        <v>7.92868072110568</v>
      </c>
      <c r="F10" s="8" t="n">
        <v>-0.47837626834831</v>
      </c>
      <c r="G10" s="12" t="s">
        <v>20</v>
      </c>
      <c r="H10" s="8" t="n">
        <v>0.1865</v>
      </c>
      <c r="I10" s="10" t="n">
        <v>1.1</v>
      </c>
      <c r="J10" s="8" t="n">
        <v>0.127743370630986</v>
      </c>
      <c r="K10" s="8" t="n">
        <v>0.158103035881371</v>
      </c>
      <c r="L10" s="11" t="n">
        <v>3.5809535206209</v>
      </c>
      <c r="M10" s="11" t="n">
        <v>0.475720843266341</v>
      </c>
    </row>
    <row r="11" customFormat="false" ht="15" hidden="false" customHeight="false" outlineLevel="0" collapsed="false">
      <c r="B11" s="5" t="s">
        <v>23</v>
      </c>
      <c r="C11" s="6" t="s">
        <v>24</v>
      </c>
      <c r="D11" s="7" t="n">
        <v>29.8</v>
      </c>
      <c r="E11" s="7" t="n">
        <v>22.6194735959726</v>
      </c>
      <c r="F11" s="8" t="n">
        <v>-0.240957261880114</v>
      </c>
      <c r="G11" s="12" t="s">
        <v>20</v>
      </c>
      <c r="H11" s="8" t="n">
        <v>0.18</v>
      </c>
      <c r="I11" s="10" t="n">
        <v>1</v>
      </c>
      <c r="J11" s="8" t="n">
        <v>0.148231336050737</v>
      </c>
      <c r="K11" s="8" t="n">
        <v>0.156744212606946</v>
      </c>
      <c r="L11" s="11" t="n">
        <v>6.61973031957136</v>
      </c>
      <c r="M11" s="11" t="n">
        <v>0.676777540659053</v>
      </c>
    </row>
    <row r="12" customFormat="false" ht="15" hidden="false" customHeight="false" outlineLevel="0" collapsed="false">
      <c r="B12" s="5" t="s">
        <v>25</v>
      </c>
      <c r="C12" s="6" t="s">
        <v>26</v>
      </c>
      <c r="D12" s="7" t="n">
        <v>42.5</v>
      </c>
      <c r="E12" s="7" t="n">
        <v>24.8309248454169</v>
      </c>
      <c r="F12" s="8" t="n">
        <v>-0.41574294481372</v>
      </c>
      <c r="G12" s="12" t="s">
        <v>20</v>
      </c>
      <c r="H12" s="8" t="n">
        <v>0.18325</v>
      </c>
      <c r="I12" s="10" t="n">
        <v>1.05</v>
      </c>
      <c r="J12" s="8" t="n">
        <v>0.170735310860786</v>
      </c>
      <c r="K12" s="8" t="n">
        <v>0.215786688142667</v>
      </c>
      <c r="L12" s="11" t="n">
        <v>4.12814125555056</v>
      </c>
      <c r="M12" s="11" t="n">
        <v>0.899867303662248</v>
      </c>
    </row>
    <row r="15" customFormat="false" ht="15" hidden="false" customHeight="false" outlineLevel="0" collapsed="false">
      <c r="B15" s="13" t="s">
        <v>27</v>
      </c>
    </row>
    <row r="16" customFormat="false" ht="15" hidden="false" customHeight="false" outlineLevel="0" collapsed="false">
      <c r="B16" s="13" t="s">
        <v>28</v>
      </c>
      <c r="C16" s="13" t="s">
        <v>15</v>
      </c>
      <c r="D16" s="0" t="s">
        <v>29</v>
      </c>
    </row>
    <row r="17" customFormat="false" ht="15" hidden="false" customHeight="false" outlineLevel="0" collapsed="false">
      <c r="B17" s="13" t="s">
        <v>30</v>
      </c>
      <c r="C17" s="13" t="s">
        <v>18</v>
      </c>
      <c r="D17" s="0" t="s">
        <v>31</v>
      </c>
    </row>
    <row r="18" customFormat="false" ht="15" hidden="false" customHeight="false" outlineLevel="0" collapsed="false">
      <c r="B18" s="13" t="s">
        <v>32</v>
      </c>
      <c r="C18" s="13" t="s">
        <v>23</v>
      </c>
      <c r="D18" s="0" t="s">
        <v>33</v>
      </c>
    </row>
    <row r="19" customFormat="false" ht="15" hidden="false" customHeight="false" outlineLevel="0" collapsed="false">
      <c r="B19" s="13" t="s">
        <v>34</v>
      </c>
      <c r="C19" s="13" t="s">
        <v>25</v>
      </c>
      <c r="D19" s="0" t="s">
        <v>35</v>
      </c>
    </row>
    <row r="20" customFormat="false" ht="15" hidden="false" customHeight="false" outlineLevel="0" collapsed="false">
      <c r="B20" s="13" t="s">
        <v>36</v>
      </c>
      <c r="C20" s="13" t="s">
        <v>21</v>
      </c>
      <c r="D20" s="0" t="s">
        <v>37</v>
      </c>
    </row>
    <row r="22" customFormat="false" ht="15" hidden="false" customHeight="false" outlineLevel="0" collapsed="false">
      <c r="B22" s="13" t="s">
        <v>38</v>
      </c>
    </row>
    <row r="23" customFormat="false" ht="15" hidden="false" customHeight="false" outlineLevel="0" collapsed="false">
      <c r="B23" s="0" t="s">
        <v>39</v>
      </c>
    </row>
    <row r="24" customFormat="false" ht="15" hidden="false" customHeight="false" outlineLevel="0" collapsed="false">
      <c r="B24" s="0" t="s">
        <v>40</v>
      </c>
    </row>
    <row r="25" customFormat="false" ht="15" hidden="false" customHeight="false" outlineLevel="0" collapsed="false">
      <c r="B25" s="0" t="s">
        <v>41</v>
      </c>
    </row>
    <row r="26" customFormat="false" ht="15" hidden="false" customHeight="false" outlineLevel="0" collapsed="false">
      <c r="B26" s="0" t="s">
        <v>42</v>
      </c>
    </row>
    <row r="27" customFormat="false" ht="15" hidden="false" customHeight="false" outlineLevel="0" collapsed="false">
      <c r="B27" s="0" t="s">
        <v>43</v>
      </c>
    </row>
  </sheetData>
  <conditionalFormatting sqref="F8:F12">
    <cfRule type="colorScale" priority="2">
      <colorScale>
        <cfvo type="min" val="0"/>
        <cfvo type="num" val="0"/>
        <cfvo type="max" val="0"/>
        <color rgb="FFC00000"/>
        <color rgb="FFFFFFFF"/>
        <color rgb="FF70AD47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9"/>
    <col collapsed="false" customWidth="true" hidden="false" outlineLevel="0" max="8" min="3" style="0" width="12"/>
    <col collapsed="false" customWidth="true" hidden="false" outlineLevel="0" max="9" min="9" style="0" width="2"/>
  </cols>
  <sheetData>
    <row r="2" customFormat="false" ht="17.35" hidden="false" customHeight="false" outlineLevel="0" collapsed="false">
      <c r="B2" s="14" t="s">
        <v>44</v>
      </c>
    </row>
    <row r="4" customFormat="false" ht="15" hidden="false" customHeight="false" outlineLevel="0" collapsed="false">
      <c r="B4" s="4" t="s">
        <v>3</v>
      </c>
      <c r="C4" s="4" t="s">
        <v>45</v>
      </c>
      <c r="D4" s="4" t="s">
        <v>46</v>
      </c>
      <c r="E4" s="4" t="s">
        <v>47</v>
      </c>
      <c r="F4" s="4" t="s">
        <v>48</v>
      </c>
      <c r="G4" s="4" t="s">
        <v>49</v>
      </c>
      <c r="H4" s="4" t="s">
        <v>50</v>
      </c>
    </row>
    <row r="5" customFormat="false" ht="15" hidden="false" customHeight="false" outlineLevel="0" collapsed="false">
      <c r="B5" s="13" t="s">
        <v>15</v>
      </c>
      <c r="C5" s="15" t="n">
        <v>58.51603173</v>
      </c>
      <c r="D5" s="15" t="n">
        <v>65.9053673772</v>
      </c>
      <c r="E5" s="15" t="n">
        <v>75.59863953876</v>
      </c>
      <c r="F5" s="15" t="n">
        <v>81.117241555077</v>
      </c>
      <c r="G5" s="15" t="n">
        <v>86.7572094443032</v>
      </c>
      <c r="H5" s="16" t="n">
        <f aca="false">(G5/C5)^(1/4)-1</f>
        <v>0.103462749542234</v>
      </c>
    </row>
    <row r="6" customFormat="false" ht="15" hidden="false" customHeight="false" outlineLevel="0" collapsed="false">
      <c r="B6" s="13" t="s">
        <v>18</v>
      </c>
      <c r="C6" s="15" t="n">
        <v>25.264368285</v>
      </c>
      <c r="D6" s="15" t="n">
        <v>31.0988873494</v>
      </c>
      <c r="E6" s="15" t="n">
        <v>36.6262824411827</v>
      </c>
      <c r="F6" s="15" t="n">
        <v>41.6156344113334</v>
      </c>
      <c r="G6" s="15" t="n">
        <v>45.7297245880536</v>
      </c>
      <c r="H6" s="16" t="n">
        <f aca="false">(G6/C6)^(1/4)-1</f>
        <v>0.159905307190831</v>
      </c>
    </row>
    <row r="7" customFormat="false" ht="15" hidden="false" customHeight="false" outlineLevel="0" collapsed="false">
      <c r="B7" s="13" t="s">
        <v>21</v>
      </c>
      <c r="C7" s="15" t="n">
        <v>23.77653824</v>
      </c>
      <c r="D7" s="15" t="n">
        <v>29.18132176752</v>
      </c>
      <c r="E7" s="15" t="n">
        <v>34.270089465222</v>
      </c>
      <c r="F7" s="15" t="n">
        <v>40.1693045505921</v>
      </c>
      <c r="G7" s="15" t="n">
        <v>43.5347806264926</v>
      </c>
      <c r="H7" s="16" t="n">
        <f aca="false">(G7/C7)^(1/4)-1</f>
        <v>0.163246981384501</v>
      </c>
    </row>
    <row r="8" customFormat="false" ht="15" hidden="false" customHeight="false" outlineLevel="0" collapsed="false">
      <c r="B8" s="13" t="s">
        <v>23</v>
      </c>
      <c r="C8" s="15" t="n">
        <v>19.2727704</v>
      </c>
      <c r="D8" s="15" t="n">
        <v>21.561307469</v>
      </c>
      <c r="E8" s="15" t="n">
        <v>22.962792454485</v>
      </c>
      <c r="F8" s="15" t="n">
        <v>26.1935057057203</v>
      </c>
      <c r="G8" s="15" t="n">
        <v>27.7651160480635</v>
      </c>
      <c r="H8" s="16" t="n">
        <f aca="false">(G8/C8)^(1/4)-1</f>
        <v>0.09556673291336</v>
      </c>
    </row>
    <row r="9" customFormat="false" ht="15" hidden="false" customHeight="false" outlineLevel="0" collapsed="false">
      <c r="B9" s="13" t="s">
        <v>25</v>
      </c>
      <c r="C9" s="15" t="n">
        <v>13.1493635</v>
      </c>
      <c r="D9" s="15" t="n">
        <v>16.53827285968</v>
      </c>
      <c r="E9" s="15" t="n">
        <v>19.9930175386968</v>
      </c>
      <c r="F9" s="15" t="n">
        <v>23.4833404212726</v>
      </c>
      <c r="G9" s="15" t="n">
        <v>26.0690117963499</v>
      </c>
      <c r="H9" s="16" t="n">
        <f aca="false">(G9/C9)^(1/4)-1</f>
        <v>0.186601681314958</v>
      </c>
    </row>
    <row r="12" customFormat="false" ht="17.35" hidden="false" customHeight="false" outlineLevel="0" collapsed="false">
      <c r="B12" s="14" t="s">
        <v>51</v>
      </c>
    </row>
    <row r="14" customFormat="false" ht="15" hidden="false" customHeight="false" outlineLevel="0" collapsed="false">
      <c r="B14" s="4" t="s">
        <v>3</v>
      </c>
      <c r="C14" s="4" t="s">
        <v>45</v>
      </c>
      <c r="D14" s="4" t="s">
        <v>46</v>
      </c>
      <c r="E14" s="4" t="s">
        <v>47</v>
      </c>
      <c r="F14" s="4" t="s">
        <v>48</v>
      </c>
      <c r="G14" s="4" t="s">
        <v>49</v>
      </c>
    </row>
    <row r="15" customFormat="false" ht="15" hidden="false" customHeight="false" outlineLevel="0" collapsed="false">
      <c r="B15" s="13" t="s">
        <v>15</v>
      </c>
      <c r="C15" s="17" t="n">
        <v>0.268833914930839</v>
      </c>
      <c r="D15" s="17" t="n">
        <v>0.268277782470156</v>
      </c>
      <c r="E15" s="17" t="n">
        <v>0.272428194010603</v>
      </c>
      <c r="F15" s="17" t="n">
        <v>0.259359056966415</v>
      </c>
      <c r="G15" s="17" t="n">
        <v>0.24750143427924</v>
      </c>
    </row>
    <row r="16" customFormat="false" ht="15" hidden="false" customHeight="false" outlineLevel="0" collapsed="false">
      <c r="B16" s="13" t="s">
        <v>18</v>
      </c>
      <c r="C16" s="17" t="n">
        <v>0.128802775257328</v>
      </c>
      <c r="D16" s="17" t="n">
        <v>0.146937115527145</v>
      </c>
      <c r="E16" s="17" t="n">
        <v>0.159056591922508</v>
      </c>
      <c r="F16" s="17" t="n">
        <v>0.165280093836066</v>
      </c>
      <c r="G16" s="17" t="n">
        <v>0.165802436894921</v>
      </c>
    </row>
    <row r="17" customFormat="false" ht="15" hidden="false" customHeight="false" outlineLevel="0" collapsed="false">
      <c r="B17" s="13" t="s">
        <v>21</v>
      </c>
      <c r="C17" s="17" t="n">
        <v>0.127743370630986</v>
      </c>
      <c r="D17" s="17" t="n">
        <v>0.14351092398779</v>
      </c>
      <c r="E17" s="17" t="n">
        <v>0.153018530459121</v>
      </c>
      <c r="F17" s="17" t="n">
        <v>0.161873012257743</v>
      </c>
      <c r="G17" s="17" t="n">
        <v>0.158103035881371</v>
      </c>
    </row>
    <row r="18" customFormat="false" ht="15" hidden="false" customHeight="false" outlineLevel="0" collapsed="false">
      <c r="B18" s="13" t="s">
        <v>23</v>
      </c>
      <c r="C18" s="17" t="n">
        <v>0.148231336050737</v>
      </c>
      <c r="D18" s="17" t="n">
        <v>0.153760343882695</v>
      </c>
      <c r="E18" s="17" t="n">
        <v>0.151712049230654</v>
      </c>
      <c r="F18" s="17" t="n">
        <v>0.160061204074283</v>
      </c>
      <c r="G18" s="17" t="n">
        <v>0.156744212606946</v>
      </c>
    </row>
    <row r="19" customFormat="false" ht="15" hidden="false" customHeight="false" outlineLevel="0" collapsed="false">
      <c r="B19" s="13" t="s">
        <v>25</v>
      </c>
      <c r="C19" s="17" t="n">
        <v>0.170735310860786</v>
      </c>
      <c r="D19" s="17" t="n">
        <v>0.194156361702381</v>
      </c>
      <c r="E19" s="17" t="n">
        <v>0.209952731286842</v>
      </c>
      <c r="F19" s="17" t="n">
        <v>0.219097231394137</v>
      </c>
      <c r="G19" s="17" t="n">
        <v>0.215786688142667</v>
      </c>
    </row>
    <row r="22" customFormat="false" ht="17.35" hidden="false" customHeight="false" outlineLevel="0" collapsed="false">
      <c r="B22" s="14" t="s">
        <v>52</v>
      </c>
    </row>
    <row r="24" customFormat="false" ht="15" hidden="false" customHeight="false" outlineLevel="0" collapsed="false">
      <c r="B24" s="4" t="s">
        <v>3</v>
      </c>
      <c r="C24" s="4" t="s">
        <v>45</v>
      </c>
      <c r="D24" s="4" t="s">
        <v>46</v>
      </c>
      <c r="E24" s="4" t="s">
        <v>47</v>
      </c>
      <c r="F24" s="4" t="s">
        <v>48</v>
      </c>
      <c r="G24" s="4" t="s">
        <v>49</v>
      </c>
      <c r="H24" s="4" t="s">
        <v>53</v>
      </c>
    </row>
    <row r="25" customFormat="false" ht="15" hidden="false" customHeight="false" outlineLevel="0" collapsed="false">
      <c r="B25" s="13" t="s">
        <v>15</v>
      </c>
      <c r="C25" s="15" t="n">
        <v>32.1838174515</v>
      </c>
      <c r="D25" s="15" t="n">
        <v>36.24795205746</v>
      </c>
      <c r="E25" s="15" t="n">
        <v>41.579251746318</v>
      </c>
      <c r="F25" s="15" t="n">
        <v>44.6144828552924</v>
      </c>
      <c r="G25" s="15" t="n">
        <v>47.7164651943668</v>
      </c>
      <c r="H25" s="17" t="n">
        <v>0.0927264403277597</v>
      </c>
    </row>
    <row r="26" customFormat="false" ht="15" hidden="false" customHeight="false" outlineLevel="0" collapsed="false">
      <c r="B26" s="13" t="s">
        <v>18</v>
      </c>
      <c r="C26" s="15" t="n">
        <v>11.36896572825</v>
      </c>
      <c r="D26" s="15" t="n">
        <v>13.99449930723</v>
      </c>
      <c r="E26" s="15" t="n">
        <v>16.4818270985322</v>
      </c>
      <c r="F26" s="15" t="n">
        <v>18.7270354851</v>
      </c>
      <c r="G26" s="15" t="n">
        <v>20.5783760646241</v>
      </c>
      <c r="H26" s="17" t="n">
        <v>0.148326971718114</v>
      </c>
    </row>
    <row r="27" customFormat="false" ht="15" hidden="false" customHeight="false" outlineLevel="0" collapsed="false">
      <c r="B27" s="13" t="s">
        <v>21</v>
      </c>
      <c r="C27" s="15" t="n">
        <v>8.321788384</v>
      </c>
      <c r="D27" s="15" t="n">
        <v>10.213462618632</v>
      </c>
      <c r="E27" s="15" t="n">
        <v>11.9945313128277</v>
      </c>
      <c r="F27" s="15" t="n">
        <v>14.0592565927072</v>
      </c>
      <c r="G27" s="15" t="n">
        <v>15.2371732192724</v>
      </c>
      <c r="H27" s="17" t="n">
        <v>0.0506931553606238</v>
      </c>
    </row>
    <row r="28" customFormat="false" ht="15" hidden="false" customHeight="false" outlineLevel="0" collapsed="false">
      <c r="B28" s="13" t="s">
        <v>23</v>
      </c>
      <c r="C28" s="15" t="n">
        <v>9.6363852</v>
      </c>
      <c r="D28" s="15" t="n">
        <v>10.7806537345</v>
      </c>
      <c r="E28" s="15" t="n">
        <v>11.4813962272425</v>
      </c>
      <c r="F28" s="15" t="n">
        <v>13.0967528528601</v>
      </c>
      <c r="G28" s="15" t="n">
        <v>13.8825580240318</v>
      </c>
      <c r="H28" s="17" t="n">
        <v>0.083128182743569</v>
      </c>
    </row>
    <row r="29" customFormat="false" ht="15" hidden="false" customHeight="false" outlineLevel="0" collapsed="false">
      <c r="B29" s="13" t="s">
        <v>25</v>
      </c>
      <c r="C29" s="15" t="n">
        <v>5.917213575</v>
      </c>
      <c r="D29" s="15" t="n">
        <v>7.442222786856</v>
      </c>
      <c r="E29" s="15" t="n">
        <v>8.99685789241356</v>
      </c>
      <c r="F29" s="15" t="n">
        <v>10.5675031895727</v>
      </c>
      <c r="G29" s="15" t="n">
        <v>11.7310553083574</v>
      </c>
      <c r="H29" s="17" t="n">
        <v>0.0523415619195047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9"/>
    <col collapsed="false" customWidth="true" hidden="false" outlineLevel="0" max="4" min="3" style="0" width="14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8" min="8" style="0" width="12"/>
  </cols>
  <sheetData>
    <row r="2" customFormat="false" ht="17.35" hidden="false" customHeight="false" outlineLevel="0" collapsed="false">
      <c r="B2" s="14" t="s">
        <v>54</v>
      </c>
    </row>
    <row r="4" customFormat="false" ht="15" hidden="false" customHeight="false" outlineLevel="0" collapsed="false">
      <c r="B4" s="4" t="s">
        <v>3</v>
      </c>
      <c r="C4" s="4" t="s">
        <v>55</v>
      </c>
      <c r="D4" s="4" t="s">
        <v>56</v>
      </c>
      <c r="E4" s="4" t="s">
        <v>57</v>
      </c>
      <c r="F4" s="4" t="s">
        <v>58</v>
      </c>
      <c r="G4" s="4" t="s">
        <v>59</v>
      </c>
      <c r="H4" s="4" t="s">
        <v>60</v>
      </c>
    </row>
    <row r="5" customFormat="false" ht="15" hidden="false" customHeight="false" outlineLevel="0" collapsed="false">
      <c r="B5" s="13" t="s">
        <v>15</v>
      </c>
      <c r="C5" s="18" t="n">
        <v>9.07658480135463</v>
      </c>
      <c r="D5" s="18" t="n">
        <v>6.65119406943795</v>
      </c>
      <c r="E5" s="17" t="n">
        <f aca="false">D5/C5-1</f>
        <v>-0.267214022123685</v>
      </c>
      <c r="F5" s="18" t="n">
        <v>1.62007780262166</v>
      </c>
      <c r="G5" s="18" t="n">
        <v>1.46033551940227</v>
      </c>
      <c r="H5" s="17" t="n">
        <f aca="false">G5/F5-1</f>
        <v>-0.0986016121947292</v>
      </c>
    </row>
    <row r="6" customFormat="false" ht="15" hidden="false" customHeight="false" outlineLevel="0" collapsed="false">
      <c r="B6" s="13" t="s">
        <v>18</v>
      </c>
      <c r="C6" s="18" t="n">
        <v>7.96658769466542</v>
      </c>
      <c r="D6" s="18" t="n">
        <v>8.60511976413393</v>
      </c>
      <c r="E6" s="17" t="n">
        <f aca="false">D6/C6-1</f>
        <v>0.0801512634946682</v>
      </c>
      <c r="F6" s="18" t="n">
        <v>1.04183015149035</v>
      </c>
      <c r="G6" s="18" t="n">
        <v>0.623097995605893</v>
      </c>
      <c r="H6" s="17" t="n">
        <f aca="false">G6/F6-1</f>
        <v>-0.401919790174489</v>
      </c>
    </row>
    <row r="7" customFormat="false" ht="15" hidden="false" customHeight="false" outlineLevel="0" collapsed="false">
      <c r="B7" s="13" t="s">
        <v>21</v>
      </c>
      <c r="C7" s="18" t="n">
        <v>10.0146328461815</v>
      </c>
      <c r="D7" s="18" t="n">
        <v>3.5809535206209</v>
      </c>
      <c r="E7" s="17" t="n">
        <f aca="false">D7/C7-1</f>
        <v>-0.642427877724315</v>
      </c>
      <c r="F7" s="18" t="n">
        <v>1.24906779070875</v>
      </c>
      <c r="G7" s="18" t="n">
        <v>0.475720843266341</v>
      </c>
      <c r="H7" s="17" t="n">
        <f aca="false">G7/F7-1</f>
        <v>-0.619139291874298</v>
      </c>
    </row>
    <row r="8" customFormat="false" ht="15" hidden="false" customHeight="false" outlineLevel="0" collapsed="false">
      <c r="B8" s="13" t="s">
        <v>23</v>
      </c>
      <c r="C8" s="18" t="n">
        <v>8.79837821863009</v>
      </c>
      <c r="D8" s="18" t="n">
        <v>6.61973031957136</v>
      </c>
      <c r="E8" s="17" t="n">
        <f aca="false">D8/C8-1</f>
        <v>-0.247619259472792</v>
      </c>
      <c r="F8" s="18" t="n">
        <v>1.09033558741982</v>
      </c>
      <c r="G8" s="18" t="n">
        <v>0.676777540659053</v>
      </c>
      <c r="H8" s="17" t="n">
        <f aca="false">G8/F8-1</f>
        <v>-0.379294275571996</v>
      </c>
    </row>
    <row r="9" customFormat="false" ht="15" hidden="false" customHeight="false" outlineLevel="0" collapsed="false">
      <c r="B9" s="13" t="s">
        <v>25</v>
      </c>
      <c r="C9" s="18" t="n">
        <v>9.66440549183423</v>
      </c>
      <c r="D9" s="18" t="n">
        <v>4.12814125555056</v>
      </c>
      <c r="E9" s="17" t="n">
        <f aca="false">D9/C9-1</f>
        <v>-0.572850988191818</v>
      </c>
      <c r="F9" s="18" t="n">
        <v>1.7291062436345</v>
      </c>
      <c r="G9" s="18" t="n">
        <v>0.899867303662248</v>
      </c>
      <c r="H9" s="17" t="n">
        <f aca="false">G9/F9-1</f>
        <v>-0.479576626956844</v>
      </c>
    </row>
    <row r="12" customFormat="false" ht="17.35" hidden="false" customHeight="false" outlineLevel="0" collapsed="false">
      <c r="B12" s="14" t="s">
        <v>61</v>
      </c>
    </row>
    <row r="14" customFormat="false" ht="15" hidden="false" customHeight="false" outlineLevel="0" collapsed="false">
      <c r="B14" s="4" t="s">
        <v>3</v>
      </c>
      <c r="C14" s="4" t="s">
        <v>62</v>
      </c>
      <c r="D14" s="4" t="s">
        <v>9</v>
      </c>
      <c r="E14" s="4" t="s">
        <v>63</v>
      </c>
      <c r="F14" s="4" t="s">
        <v>64</v>
      </c>
    </row>
    <row r="15" customFormat="false" ht="15" hidden="false" customHeight="false" outlineLevel="0" collapsed="false">
      <c r="B15" s="13" t="s">
        <v>15</v>
      </c>
      <c r="C15" s="17" t="n">
        <v>0.17</v>
      </c>
      <c r="D15" s="17" t="n">
        <v>0.17675</v>
      </c>
      <c r="E15" s="17" t="n">
        <f aca="false">C15-D15</f>
        <v>-0.00674999999999998</v>
      </c>
      <c r="F15" s="18" t="n">
        <f aca="false">(C15-0.05)/(D15-0.05)</f>
        <v>0.946745562130178</v>
      </c>
    </row>
    <row r="16" customFormat="false" ht="15" hidden="false" customHeight="false" outlineLevel="0" collapsed="false">
      <c r="B16" s="13" t="s">
        <v>18</v>
      </c>
      <c r="C16" s="17" t="n">
        <v>0.15</v>
      </c>
      <c r="D16" s="17" t="n">
        <v>0.18325</v>
      </c>
      <c r="E16" s="17" t="n">
        <f aca="false">C16-D16</f>
        <v>-0.03325</v>
      </c>
      <c r="F16" s="18" t="n">
        <f aca="false">(C16-0.05)/(D16-0.05)</f>
        <v>0.75046904315197</v>
      </c>
    </row>
    <row r="17" customFormat="false" ht="15" hidden="false" customHeight="false" outlineLevel="0" collapsed="false">
      <c r="B17" s="13" t="s">
        <v>21</v>
      </c>
      <c r="C17" s="17" t="n">
        <v>0.14</v>
      </c>
      <c r="D17" s="17" t="n">
        <v>0.1865</v>
      </c>
      <c r="E17" s="17" t="n">
        <f aca="false">C17-D17</f>
        <v>-0.0465</v>
      </c>
      <c r="F17" s="18" t="n">
        <f aca="false">(C17-0.05)/(D17-0.05)</f>
        <v>0.659340659340659</v>
      </c>
    </row>
    <row r="18" customFormat="false" ht="15" hidden="false" customHeight="false" outlineLevel="0" collapsed="false">
      <c r="B18" s="13" t="s">
        <v>23</v>
      </c>
      <c r="C18" s="17" t="n">
        <v>0.13</v>
      </c>
      <c r="D18" s="17" t="n">
        <v>0.18</v>
      </c>
      <c r="E18" s="17" t="n">
        <f aca="false">C18-D18</f>
        <v>-0.05</v>
      </c>
      <c r="F18" s="18" t="n">
        <f aca="false">(C18-0.05)/(D18-0.05)</f>
        <v>0.615384615384615</v>
      </c>
    </row>
    <row r="19" customFormat="false" ht="15" hidden="false" customHeight="false" outlineLevel="0" collapsed="false">
      <c r="B19" s="13" t="s">
        <v>25</v>
      </c>
      <c r="C19" s="17" t="n">
        <v>0.23</v>
      </c>
      <c r="D19" s="17" t="n">
        <v>0.18325</v>
      </c>
      <c r="E19" s="17" t="n">
        <f aca="false">C19-D19</f>
        <v>0.04675</v>
      </c>
      <c r="F19" s="18" t="n">
        <f aca="false">(C19-0.05)/(D19-0.05)</f>
        <v>1.35084427767355</v>
      </c>
    </row>
    <row r="22" customFormat="false" ht="17.35" hidden="false" customHeight="false" outlineLevel="0" collapsed="false">
      <c r="B22" s="14" t="s">
        <v>65</v>
      </c>
    </row>
    <row r="24" customFormat="false" ht="15" hidden="false" customHeight="false" outlineLevel="0" collapsed="false">
      <c r="B24" s="4" t="s">
        <v>3</v>
      </c>
      <c r="C24" s="4" t="s">
        <v>45</v>
      </c>
      <c r="D24" s="4" t="s">
        <v>46</v>
      </c>
      <c r="E24" s="4" t="s">
        <v>47</v>
      </c>
      <c r="F24" s="4" t="s">
        <v>48</v>
      </c>
      <c r="G24" s="4" t="s">
        <v>49</v>
      </c>
    </row>
    <row r="25" customFormat="false" ht="15" hidden="false" customHeight="false" outlineLevel="0" collapsed="false">
      <c r="B25" s="13" t="s">
        <v>15</v>
      </c>
      <c r="C25" s="17" t="n">
        <v>0.052</v>
      </c>
      <c r="D25" s="17" t="n">
        <v>0.052</v>
      </c>
      <c r="E25" s="17" t="n">
        <v>0.053</v>
      </c>
      <c r="F25" s="17" t="n">
        <v>0.053</v>
      </c>
      <c r="G25" s="17" t="n">
        <v>0.053</v>
      </c>
    </row>
    <row r="26" customFormat="false" ht="15" hidden="false" customHeight="false" outlineLevel="0" collapsed="false">
      <c r="B26" s="13" t="s">
        <v>18</v>
      </c>
      <c r="C26" s="17" t="n">
        <v>0.044</v>
      </c>
      <c r="D26" s="17" t="n">
        <v>0.045</v>
      </c>
      <c r="E26" s="17" t="n">
        <v>0.045</v>
      </c>
      <c r="F26" s="17" t="n">
        <v>0.046</v>
      </c>
      <c r="G26" s="17" t="n">
        <v>0.046</v>
      </c>
    </row>
    <row r="27" customFormat="false" ht="15" hidden="false" customHeight="false" outlineLevel="0" collapsed="false">
      <c r="B27" s="13" t="s">
        <v>21</v>
      </c>
      <c r="C27" s="17" t="n">
        <v>0.04</v>
      </c>
      <c r="D27" s="17" t="n">
        <v>0.041</v>
      </c>
      <c r="E27" s="17" t="n">
        <v>0.041</v>
      </c>
      <c r="F27" s="17" t="n">
        <v>0.042</v>
      </c>
      <c r="G27" s="17" t="n">
        <v>0.042</v>
      </c>
    </row>
    <row r="28" customFormat="false" ht="15" hidden="false" customHeight="false" outlineLevel="0" collapsed="false">
      <c r="B28" s="13" t="s">
        <v>23</v>
      </c>
      <c r="C28" s="17" t="n">
        <v>0.048</v>
      </c>
      <c r="D28" s="17" t="n">
        <v>0.048</v>
      </c>
      <c r="E28" s="17" t="n">
        <v>0.048</v>
      </c>
      <c r="F28" s="17" t="n">
        <v>0.049</v>
      </c>
      <c r="G28" s="17" t="n">
        <v>0.049</v>
      </c>
    </row>
    <row r="29" customFormat="false" ht="15" hidden="false" customHeight="false" outlineLevel="0" collapsed="false">
      <c r="B29" s="13" t="s">
        <v>25</v>
      </c>
      <c r="C29" s="17" t="n">
        <v>0.05</v>
      </c>
      <c r="D29" s="17" t="n">
        <v>0.052</v>
      </c>
      <c r="E29" s="17" t="n">
        <v>0.053</v>
      </c>
      <c r="F29" s="17" t="n">
        <v>0.054</v>
      </c>
      <c r="G29" s="17" t="n">
        <v>0.054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9"/>
    <col collapsed="false" customWidth="true" hidden="false" outlineLevel="0" max="4" min="3" style="0" width="13"/>
    <col collapsed="false" customWidth="true" hidden="false" outlineLevel="0" max="5" min="5" style="0" width="10"/>
    <col collapsed="false" customWidth="true" hidden="false" outlineLevel="0" max="8" min="6" style="0" width="13"/>
  </cols>
  <sheetData>
    <row r="2" customFormat="false" ht="17.35" hidden="false" customHeight="false" outlineLevel="0" collapsed="false">
      <c r="B2" s="14" t="s">
        <v>66</v>
      </c>
    </row>
    <row r="4" customFormat="false" ht="15" hidden="false" customHeight="false" outlineLevel="0" collapsed="false">
      <c r="B4" s="4" t="s">
        <v>3</v>
      </c>
      <c r="C4" s="4" t="s">
        <v>67</v>
      </c>
      <c r="D4" s="4" t="s">
        <v>68</v>
      </c>
      <c r="E4" s="4" t="s">
        <v>69</v>
      </c>
      <c r="F4" s="4" t="s">
        <v>70</v>
      </c>
      <c r="G4" s="4" t="s">
        <v>71</v>
      </c>
      <c r="H4" s="4" t="s">
        <v>72</v>
      </c>
    </row>
    <row r="5" customFormat="false" ht="15" hidden="false" customHeight="false" outlineLevel="0" collapsed="false">
      <c r="B5" s="13" t="s">
        <v>15</v>
      </c>
      <c r="C5" s="17" t="n">
        <v>0.115</v>
      </c>
      <c r="D5" s="17" t="n">
        <v>0.065</v>
      </c>
      <c r="E5" s="19" t="n">
        <v>0.95</v>
      </c>
      <c r="F5" s="17" t="n">
        <v>0.17675</v>
      </c>
      <c r="G5" s="17" t="n">
        <v>0.05</v>
      </c>
      <c r="H5" s="17" t="n">
        <v>0.55</v>
      </c>
    </row>
    <row r="6" customFormat="false" ht="15" hidden="false" customHeight="false" outlineLevel="0" collapsed="false">
      <c r="B6" s="13" t="s">
        <v>18</v>
      </c>
      <c r="C6" s="17" t="n">
        <v>0.115</v>
      </c>
      <c r="D6" s="17" t="n">
        <v>0.065</v>
      </c>
      <c r="E6" s="19" t="n">
        <v>1.05</v>
      </c>
      <c r="F6" s="17" t="n">
        <v>0.18325</v>
      </c>
      <c r="G6" s="17" t="n">
        <v>0.05</v>
      </c>
      <c r="H6" s="17" t="n">
        <v>0.45</v>
      </c>
    </row>
    <row r="7" customFormat="false" ht="15" hidden="false" customHeight="false" outlineLevel="0" collapsed="false">
      <c r="B7" s="13" t="s">
        <v>21</v>
      </c>
      <c r="C7" s="17" t="n">
        <v>0.115</v>
      </c>
      <c r="D7" s="17" t="n">
        <v>0.065</v>
      </c>
      <c r="E7" s="19" t="n">
        <v>1.1</v>
      </c>
      <c r="F7" s="17" t="n">
        <v>0.1865</v>
      </c>
      <c r="G7" s="17" t="n">
        <v>0.05</v>
      </c>
      <c r="H7" s="17" t="n">
        <v>0.35</v>
      </c>
    </row>
    <row r="8" customFormat="false" ht="15" hidden="false" customHeight="false" outlineLevel="0" collapsed="false">
      <c r="B8" s="13" t="s">
        <v>23</v>
      </c>
      <c r="C8" s="17" t="n">
        <v>0.115</v>
      </c>
      <c r="D8" s="17" t="n">
        <v>0.065</v>
      </c>
      <c r="E8" s="19" t="n">
        <v>1</v>
      </c>
      <c r="F8" s="17" t="n">
        <v>0.18</v>
      </c>
      <c r="G8" s="17" t="n">
        <v>0.05</v>
      </c>
      <c r="H8" s="17" t="n">
        <v>0.5</v>
      </c>
    </row>
    <row r="9" customFormat="false" ht="15" hidden="false" customHeight="false" outlineLevel="0" collapsed="false">
      <c r="B9" s="13" t="s">
        <v>25</v>
      </c>
      <c r="C9" s="17" t="n">
        <v>0.115</v>
      </c>
      <c r="D9" s="17" t="n">
        <v>0.065</v>
      </c>
      <c r="E9" s="19" t="n">
        <v>1.05</v>
      </c>
      <c r="F9" s="17" t="n">
        <v>0.18325</v>
      </c>
      <c r="G9" s="17" t="n">
        <v>0.05</v>
      </c>
      <c r="H9" s="17" t="n">
        <v>0.45</v>
      </c>
    </row>
    <row r="12" customFormat="false" ht="15" hidden="false" customHeight="false" outlineLevel="0" collapsed="false">
      <c r="B12" s="13" t="s">
        <v>73</v>
      </c>
    </row>
    <row r="13" customFormat="false" ht="15" hidden="false" customHeight="false" outlineLevel="0" collapsed="false">
      <c r="B13" s="2" t="s">
        <v>74</v>
      </c>
    </row>
    <row r="14" customFormat="false" ht="15" hidden="false" customHeight="false" outlineLevel="0" collapsed="false">
      <c r="B14" s="20" t="s">
        <v>75</v>
      </c>
    </row>
    <row r="17" customFormat="false" ht="15" hidden="false" customHeight="false" outlineLevel="0" collapsed="false">
      <c r="B17" s="13" t="s">
        <v>76</v>
      </c>
    </row>
    <row r="18" customFormat="false" ht="15" hidden="false" customHeight="false" outlineLevel="0" collapsed="false">
      <c r="B18" s="0" t="s">
        <v>77</v>
      </c>
    </row>
    <row r="19" customFormat="false" ht="15" hidden="false" customHeight="false" outlineLevel="0" collapsed="false">
      <c r="B19" s="0" t="s">
        <v>78</v>
      </c>
    </row>
    <row r="20" customFormat="false" ht="15" hidden="false" customHeight="false" outlineLevel="0" collapsed="false">
      <c r="B20" s="0" t="s">
        <v>79</v>
      </c>
    </row>
    <row r="21" customFormat="false" ht="15" hidden="false" customHeight="false" outlineLevel="0" collapsed="false">
      <c r="B21" s="0" t="s">
        <v>80</v>
      </c>
    </row>
    <row r="22" customFormat="false" ht="15" hidden="false" customHeight="false" outlineLevel="0" collapsed="false">
      <c r="B22" s="0" t="s">
        <v>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N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9"/>
    <col collapsed="false" customWidth="true" hidden="false" outlineLevel="0" max="16" min="3" style="0" width="10"/>
  </cols>
  <sheetData>
    <row r="2" customFormat="false" ht="17.35" hidden="false" customHeight="false" outlineLevel="0" collapsed="false">
      <c r="B2" s="14" t="s">
        <v>82</v>
      </c>
    </row>
    <row r="4" customFormat="false" ht="15" hidden="false" customHeight="false" outlineLevel="0" collapsed="false">
      <c r="B4" s="4" t="s">
        <v>3</v>
      </c>
      <c r="C4" s="4" t="s">
        <v>83</v>
      </c>
      <c r="D4" s="4" t="s">
        <v>84</v>
      </c>
      <c r="E4" s="4" t="s">
        <v>85</v>
      </c>
      <c r="F4" s="4" t="s">
        <v>86</v>
      </c>
      <c r="G4" s="4" t="s">
        <v>87</v>
      </c>
      <c r="H4" s="4" t="s">
        <v>88</v>
      </c>
      <c r="I4" s="4" t="s">
        <v>89</v>
      </c>
      <c r="J4" s="4" t="s">
        <v>90</v>
      </c>
      <c r="K4" s="4" t="s">
        <v>91</v>
      </c>
      <c r="L4" s="4" t="s">
        <v>92</v>
      </c>
      <c r="M4" s="4" t="s">
        <v>93</v>
      </c>
      <c r="N4" s="4" t="s">
        <v>94</v>
      </c>
    </row>
    <row r="5" customFormat="false" ht="15" hidden="false" customHeight="false" outlineLevel="0" collapsed="false">
      <c r="B5" s="13" t="s">
        <v>15</v>
      </c>
      <c r="C5" s="15" t="n">
        <v>585.8</v>
      </c>
      <c r="D5" s="15" t="n">
        <v>714.1</v>
      </c>
      <c r="E5" s="15" t="n">
        <v>822.6</v>
      </c>
      <c r="F5" s="15" t="n">
        <v>909.4</v>
      </c>
      <c r="G5" s="15" t="n">
        <v>910.6</v>
      </c>
      <c r="H5" s="15" t="n">
        <v>955</v>
      </c>
      <c r="I5" s="15" t="n">
        <v>1020</v>
      </c>
      <c r="J5" s="15" t="n">
        <v>1096.5</v>
      </c>
      <c r="K5" s="15" t="n">
        <v>1184.22</v>
      </c>
      <c r="L5" s="15" t="n">
        <v>1278.9576</v>
      </c>
      <c r="M5" s="15" t="n">
        <v>1374.87942</v>
      </c>
      <c r="N5" s="15" t="n">
        <v>1471.1209794</v>
      </c>
    </row>
    <row r="6" customFormat="false" ht="15" hidden="false" customHeight="false" outlineLevel="0" collapsed="false">
      <c r="B6" s="13" t="s">
        <v>18</v>
      </c>
      <c r="C6" s="15" t="n">
        <v>579.5</v>
      </c>
      <c r="D6" s="15" t="n">
        <v>633.4</v>
      </c>
      <c r="E6" s="15" t="n">
        <v>734.3</v>
      </c>
      <c r="F6" s="15" t="n">
        <v>832.9</v>
      </c>
      <c r="G6" s="15" t="n">
        <v>911.3</v>
      </c>
      <c r="H6" s="15" t="n">
        <v>1020.6</v>
      </c>
      <c r="I6" s="15" t="n">
        <v>1133.1</v>
      </c>
      <c r="J6" s="15" t="n">
        <v>1235.079</v>
      </c>
      <c r="K6" s="15" t="n">
        <v>1346.23611</v>
      </c>
      <c r="L6" s="15" t="n">
        <v>1460.66617935</v>
      </c>
      <c r="M6" s="15" t="n">
        <v>1577.519473698</v>
      </c>
      <c r="N6" s="15" t="n">
        <v>1695.83343422535</v>
      </c>
    </row>
    <row r="7" customFormat="false" ht="15" hidden="false" customHeight="false" outlineLevel="0" collapsed="false">
      <c r="B7" s="13" t="s">
        <v>21</v>
      </c>
      <c r="C7" s="15" t="n">
        <v>520</v>
      </c>
      <c r="D7" s="15" t="n">
        <v>540</v>
      </c>
      <c r="E7" s="15" t="n">
        <v>610.5</v>
      </c>
      <c r="F7" s="15" t="n">
        <v>659.7</v>
      </c>
      <c r="G7" s="15" t="n">
        <v>625.3</v>
      </c>
      <c r="H7" s="15" t="n">
        <v>714</v>
      </c>
      <c r="I7" s="15" t="n">
        <v>783.8</v>
      </c>
      <c r="J7" s="15" t="n">
        <v>846.504</v>
      </c>
      <c r="K7" s="15" t="n">
        <v>914.22432</v>
      </c>
      <c r="L7" s="15" t="n">
        <v>982.791144</v>
      </c>
      <c r="M7" s="15" t="n">
        <v>1051.58652408</v>
      </c>
      <c r="N7" s="15" t="n">
        <v>1119.9396481452</v>
      </c>
    </row>
    <row r="8" customFormat="false" ht="15" hidden="false" customHeight="false" outlineLevel="0" collapsed="false">
      <c r="B8" s="13" t="s">
        <v>23</v>
      </c>
      <c r="C8" s="15" t="n">
        <v>370</v>
      </c>
      <c r="D8" s="15" t="n">
        <v>430</v>
      </c>
      <c r="E8" s="15" t="n">
        <v>475</v>
      </c>
      <c r="F8" s="15" t="n">
        <v>510</v>
      </c>
      <c r="G8" s="15" t="n">
        <v>540</v>
      </c>
      <c r="H8" s="15" t="n">
        <v>594.8</v>
      </c>
      <c r="I8" s="15" t="n">
        <v>615</v>
      </c>
      <c r="J8" s="15" t="n">
        <v>651.9</v>
      </c>
      <c r="K8" s="15" t="n">
        <v>694.2735</v>
      </c>
      <c r="L8" s="15" t="n">
        <v>739.4012775</v>
      </c>
      <c r="M8" s="15" t="n">
        <v>783.76535415</v>
      </c>
      <c r="N8" s="15" t="n">
        <v>830.791275399</v>
      </c>
    </row>
    <row r="9" customFormat="false" ht="15" hidden="false" customHeight="false" outlineLevel="0" collapsed="false">
      <c r="B9" s="13" t="s">
        <v>25</v>
      </c>
      <c r="C9" s="15" t="n">
        <v>70</v>
      </c>
      <c r="D9" s="15" t="n">
        <v>85</v>
      </c>
      <c r="E9" s="15" t="n">
        <v>93.8</v>
      </c>
      <c r="F9" s="15" t="n">
        <v>111.2</v>
      </c>
      <c r="G9" s="15" t="n">
        <v>119.8</v>
      </c>
      <c r="H9" s="15" t="n">
        <v>155.3</v>
      </c>
      <c r="I9" s="15" t="n">
        <v>188.8</v>
      </c>
      <c r="J9" s="15" t="n">
        <v>219.008</v>
      </c>
      <c r="K9" s="15" t="n">
        <v>249.66912</v>
      </c>
      <c r="L9" s="15" t="n">
        <v>279.6294144</v>
      </c>
      <c r="M9" s="15" t="n">
        <v>310.388649984</v>
      </c>
      <c r="N9" s="15" t="n">
        <v>341.4275149824</v>
      </c>
    </row>
    <row r="12" customFormat="false" ht="17.35" hidden="false" customHeight="false" outlineLevel="0" collapsed="false">
      <c r="B12" s="14" t="s">
        <v>95</v>
      </c>
    </row>
    <row r="14" customFormat="false" ht="15" hidden="false" customHeight="false" outlineLevel="0" collapsed="false">
      <c r="B14" s="4" t="s">
        <v>3</v>
      </c>
      <c r="C14" s="4" t="s">
        <v>83</v>
      </c>
      <c r="D14" s="4" t="s">
        <v>84</v>
      </c>
      <c r="E14" s="4" t="s">
        <v>85</v>
      </c>
      <c r="F14" s="4" t="s">
        <v>86</v>
      </c>
      <c r="G14" s="4" t="s">
        <v>87</v>
      </c>
      <c r="H14" s="4" t="s">
        <v>88</v>
      </c>
      <c r="I14" s="4" t="s">
        <v>89</v>
      </c>
      <c r="J14" s="4" t="s">
        <v>90</v>
      </c>
      <c r="K14" s="4" t="s">
        <v>91</v>
      </c>
      <c r="L14" s="4" t="s">
        <v>92</v>
      </c>
      <c r="M14" s="4" t="s">
        <v>93</v>
      </c>
      <c r="N14" s="4" t="s">
        <v>94</v>
      </c>
    </row>
    <row r="15" customFormat="false" ht="15" hidden="false" customHeight="false" outlineLevel="0" collapsed="false">
      <c r="B15" s="13" t="s">
        <v>15</v>
      </c>
      <c r="C15" s="17" t="n">
        <v>0.352338244714926</v>
      </c>
      <c r="D15" s="17" t="n">
        <v>0.417867435158501</v>
      </c>
      <c r="E15" s="17" t="n">
        <v>0.368171021377672</v>
      </c>
      <c r="F15" s="17" t="n">
        <v>0.427160493827161</v>
      </c>
      <c r="G15" s="17" t="n">
        <v>0.445358401880141</v>
      </c>
      <c r="H15" s="17" t="n">
        <v>0.434354485776805</v>
      </c>
      <c r="I15" s="17" t="n">
        <v>0.42603550295858</v>
      </c>
      <c r="J15" s="17" t="n">
        <v>0.42</v>
      </c>
      <c r="K15" s="17" t="n">
        <v>0.41</v>
      </c>
      <c r="L15" s="17" t="n">
        <v>0.4</v>
      </c>
      <c r="M15" s="17" t="n">
        <v>0.4</v>
      </c>
      <c r="N15" s="17" t="n">
        <v>0.4</v>
      </c>
    </row>
    <row r="16" customFormat="false" ht="15" hidden="false" customHeight="false" outlineLevel="0" collapsed="false">
      <c r="B16" s="13" t="s">
        <v>18</v>
      </c>
      <c r="C16" s="17" t="n">
        <v>0.597738287560582</v>
      </c>
      <c r="D16" s="17" t="n">
        <v>0.473300970873786</v>
      </c>
      <c r="E16" s="17" t="n">
        <v>0.456595264937993</v>
      </c>
      <c r="F16" s="17" t="n">
        <v>0.396975425330813</v>
      </c>
      <c r="G16" s="17" t="n">
        <v>0.361544782251438</v>
      </c>
      <c r="H16" s="17" t="n">
        <v>0.333333333333333</v>
      </c>
      <c r="I16" s="17" t="n">
        <v>0.359259259259259</v>
      </c>
      <c r="J16" s="17" t="n">
        <v>0.45</v>
      </c>
      <c r="K16" s="17" t="n">
        <v>0.44</v>
      </c>
      <c r="L16" s="17" t="n">
        <v>0.43</v>
      </c>
      <c r="M16" s="17" t="n">
        <v>0.43</v>
      </c>
      <c r="N16" s="17" t="n">
        <v>0.43</v>
      </c>
    </row>
    <row r="17" customFormat="false" ht="15" hidden="false" customHeight="false" outlineLevel="0" collapsed="false">
      <c r="B17" s="13" t="s">
        <v>21</v>
      </c>
      <c r="C17" s="17" t="n">
        <v>0.41453428863869</v>
      </c>
      <c r="D17" s="17" t="n">
        <v>0.543881334981459</v>
      </c>
      <c r="E17" s="17" t="n">
        <v>0.447976878612717</v>
      </c>
      <c r="F17" s="17" t="n">
        <v>0.439963336388634</v>
      </c>
      <c r="G17" s="17" t="n">
        <v>0.485908649173955</v>
      </c>
      <c r="H17" s="17" t="n">
        <v>0.499519692603266</v>
      </c>
      <c r="I17" s="17" t="n">
        <v>0.480854853072128</v>
      </c>
      <c r="J17" s="17" t="n">
        <v>0.48</v>
      </c>
      <c r="K17" s="17" t="n">
        <v>0.47</v>
      </c>
      <c r="L17" s="17" t="n">
        <v>0.46</v>
      </c>
      <c r="M17" s="17" t="n">
        <v>0.45</v>
      </c>
      <c r="N17" s="17" t="n">
        <v>0.45</v>
      </c>
    </row>
    <row r="18" customFormat="false" ht="15" hidden="false" customHeight="false" outlineLevel="0" collapsed="false">
      <c r="B18" s="13" t="s">
        <v>23</v>
      </c>
      <c r="C18" s="17" t="n">
        <v>0.29126213592233</v>
      </c>
      <c r="D18" s="17" t="n">
        <v>0.317589576547231</v>
      </c>
      <c r="E18" s="17" t="n">
        <v>0.295815295815296</v>
      </c>
      <c r="F18" s="17" t="n">
        <v>0.32089552238806</v>
      </c>
      <c r="G18" s="17" t="n">
        <v>0.338278931750742</v>
      </c>
      <c r="H18" s="17" t="n">
        <v>0.311454311454311</v>
      </c>
      <c r="I18" s="17" t="n">
        <v>0.32035175879397</v>
      </c>
      <c r="J18" s="17" t="n">
        <v>0.43</v>
      </c>
      <c r="K18" s="17" t="n">
        <v>0.42</v>
      </c>
      <c r="L18" s="17" t="n">
        <v>0.42</v>
      </c>
      <c r="M18" s="17" t="n">
        <v>0.41</v>
      </c>
      <c r="N18" s="17" t="n">
        <v>0.41</v>
      </c>
    </row>
    <row r="19" customFormat="false" ht="15" hidden="false" customHeight="false" outlineLevel="0" collapsed="false">
      <c r="B19" s="13" t="s">
        <v>25</v>
      </c>
      <c r="C19" s="17" t="n">
        <v>0.156626506024096</v>
      </c>
      <c r="D19" s="17" t="n">
        <v>0.178217821782178</v>
      </c>
      <c r="E19" s="17" t="n">
        <v>0.267441860465116</v>
      </c>
      <c r="F19" s="17" t="n">
        <v>0.352459016393443</v>
      </c>
      <c r="G19" s="17" t="n">
        <v>0.348993288590604</v>
      </c>
      <c r="H19" s="17" t="n">
        <v>0.460869565217391</v>
      </c>
      <c r="I19" s="17" t="n">
        <v>0.402214022140221</v>
      </c>
      <c r="J19" s="17" t="n">
        <v>0.55</v>
      </c>
      <c r="K19" s="17" t="n">
        <v>0.54</v>
      </c>
      <c r="L19" s="17" t="n">
        <v>0.53</v>
      </c>
      <c r="M19" s="17" t="n">
        <v>0.52</v>
      </c>
      <c r="N19" s="17" t="n">
        <v>0.52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9"/>
    <col collapsed="false" customWidth="true" hidden="false" outlineLevel="0" max="3" min="3" style="0" width="11"/>
    <col collapsed="false" customWidth="true" hidden="false" outlineLevel="0" max="4" min="4" style="0" width="13"/>
    <col collapsed="false" customWidth="true" hidden="false" outlineLevel="0" max="5" min="5" style="0" width="11"/>
    <col collapsed="false" customWidth="true" hidden="false" outlineLevel="0" max="6" min="6" style="0" width="13"/>
    <col collapsed="false" customWidth="true" hidden="false" outlineLevel="0" max="7" min="7" style="0" width="15"/>
    <col collapsed="false" customWidth="true" hidden="false" outlineLevel="0" max="8" min="8" style="0" width="12"/>
  </cols>
  <sheetData>
    <row r="2" customFormat="false" ht="17.35" hidden="false" customHeight="false" outlineLevel="0" collapsed="false">
      <c r="B2" s="14" t="s">
        <v>96</v>
      </c>
    </row>
    <row r="4" customFormat="false" ht="15" hidden="false" customHeight="false" outlineLevel="0" collapsed="false">
      <c r="B4" s="4" t="s">
        <v>3</v>
      </c>
      <c r="C4" s="4" t="s">
        <v>7</v>
      </c>
      <c r="D4" s="4" t="s">
        <v>62</v>
      </c>
      <c r="E4" s="4" t="s">
        <v>97</v>
      </c>
      <c r="F4" s="4" t="s">
        <v>98</v>
      </c>
      <c r="G4" s="4" t="s">
        <v>99</v>
      </c>
      <c r="H4" s="4" t="s">
        <v>100</v>
      </c>
    </row>
    <row r="5" customFormat="false" ht="15" hidden="false" customHeight="false" outlineLevel="0" collapsed="false">
      <c r="B5" s="13" t="s">
        <v>15</v>
      </c>
      <c r="C5" s="0" t="n">
        <v>1</v>
      </c>
      <c r="D5" s="0" t="n">
        <v>2</v>
      </c>
      <c r="E5" s="0" t="n">
        <v>1</v>
      </c>
      <c r="F5" s="0" t="n">
        <v>4</v>
      </c>
      <c r="G5" s="0" t="n">
        <v>2</v>
      </c>
      <c r="H5" s="13" t="n">
        <f aca="false">SUM(C5:G5)</f>
        <v>10</v>
      </c>
    </row>
    <row r="6" customFormat="false" ht="15" hidden="false" customHeight="false" outlineLevel="0" collapsed="false">
      <c r="B6" s="13" t="s">
        <v>18</v>
      </c>
      <c r="C6" s="0" t="n">
        <v>2</v>
      </c>
      <c r="D6" s="0" t="n">
        <v>3</v>
      </c>
      <c r="E6" s="0" t="n">
        <v>3</v>
      </c>
      <c r="F6" s="0" t="n">
        <v>5</v>
      </c>
      <c r="G6" s="0" t="n">
        <v>3</v>
      </c>
      <c r="H6" s="13" t="n">
        <f aca="false">SUM(C6:G6)</f>
        <v>16</v>
      </c>
    </row>
    <row r="7" customFormat="false" ht="15" hidden="false" customHeight="false" outlineLevel="0" collapsed="false">
      <c r="B7" s="13" t="s">
        <v>21</v>
      </c>
      <c r="C7" s="0" t="n">
        <v>5</v>
      </c>
      <c r="D7" s="0" t="n">
        <v>4</v>
      </c>
      <c r="E7" s="0" t="n">
        <v>5</v>
      </c>
      <c r="F7" s="0" t="n">
        <v>1</v>
      </c>
      <c r="G7" s="0" t="n">
        <v>4</v>
      </c>
      <c r="H7" s="13" t="n">
        <f aca="false">SUM(C7:G7)</f>
        <v>19</v>
      </c>
    </row>
    <row r="8" customFormat="false" ht="15" hidden="false" customHeight="false" outlineLevel="0" collapsed="false">
      <c r="B8" s="13" t="s">
        <v>23</v>
      </c>
      <c r="C8" s="0" t="n">
        <v>3</v>
      </c>
      <c r="D8" s="0" t="n">
        <v>5</v>
      </c>
      <c r="E8" s="0" t="n">
        <v>2</v>
      </c>
      <c r="F8" s="0" t="n">
        <v>3</v>
      </c>
      <c r="G8" s="0" t="n">
        <v>5</v>
      </c>
      <c r="H8" s="13" t="n">
        <f aca="false">SUM(C8:G8)</f>
        <v>18</v>
      </c>
    </row>
    <row r="9" customFormat="false" ht="15" hidden="false" customHeight="false" outlineLevel="0" collapsed="false">
      <c r="B9" s="13" t="s">
        <v>25</v>
      </c>
      <c r="C9" s="0" t="n">
        <v>4</v>
      </c>
      <c r="D9" s="0" t="n">
        <v>1</v>
      </c>
      <c r="E9" s="0" t="n">
        <v>4</v>
      </c>
      <c r="F9" s="0" t="n">
        <v>2</v>
      </c>
      <c r="G9" s="0" t="n">
        <v>1</v>
      </c>
      <c r="H9" s="13" t="n">
        <f aca="false">SUM(C9:G9)</f>
        <v>12</v>
      </c>
    </row>
    <row r="12" customFormat="false" ht="15" hidden="false" customHeight="false" outlineLevel="0" collapsed="false">
      <c r="B12" s="13" t="s">
        <v>101</v>
      </c>
    </row>
    <row r="13" customFormat="false" ht="15" hidden="false" customHeight="false" outlineLevel="0" collapsed="false">
      <c r="B13" s="13" t="s">
        <v>28</v>
      </c>
      <c r="C13" s="13" t="s">
        <v>15</v>
      </c>
      <c r="D13" s="0" t="s">
        <v>102</v>
      </c>
      <c r="E13" s="0" t="s">
        <v>17</v>
      </c>
      <c r="F13" s="0" t="s">
        <v>103</v>
      </c>
    </row>
    <row r="14" customFormat="false" ht="15" hidden="false" customHeight="false" outlineLevel="0" collapsed="false">
      <c r="B14" s="13" t="s">
        <v>30</v>
      </c>
      <c r="C14" s="13" t="s">
        <v>25</v>
      </c>
      <c r="D14" s="0" t="s">
        <v>104</v>
      </c>
      <c r="E14" s="0" t="s">
        <v>20</v>
      </c>
      <c r="F14" s="0" t="s">
        <v>105</v>
      </c>
    </row>
    <row r="15" customFormat="false" ht="15" hidden="false" customHeight="false" outlineLevel="0" collapsed="false">
      <c r="B15" s="13" t="s">
        <v>32</v>
      </c>
      <c r="C15" s="13" t="s">
        <v>18</v>
      </c>
      <c r="D15" s="0" t="s">
        <v>106</v>
      </c>
      <c r="E15" s="0" t="s">
        <v>20</v>
      </c>
      <c r="F15" s="0" t="s">
        <v>107</v>
      </c>
    </row>
    <row r="16" customFormat="false" ht="15" hidden="false" customHeight="false" outlineLevel="0" collapsed="false">
      <c r="B16" s="13" t="s">
        <v>34</v>
      </c>
      <c r="C16" s="13" t="s">
        <v>23</v>
      </c>
      <c r="D16" s="0" t="s">
        <v>108</v>
      </c>
      <c r="E16" s="0" t="s">
        <v>20</v>
      </c>
      <c r="F16" s="0" t="s">
        <v>109</v>
      </c>
    </row>
    <row r="17" customFormat="false" ht="15" hidden="false" customHeight="false" outlineLevel="0" collapsed="false">
      <c r="B17" s="13" t="s">
        <v>36</v>
      </c>
      <c r="C17" s="13" t="s">
        <v>21</v>
      </c>
      <c r="D17" s="0" t="s">
        <v>110</v>
      </c>
      <c r="E17" s="0" t="s">
        <v>20</v>
      </c>
      <c r="F17" s="0" t="s">
        <v>111</v>
      </c>
    </row>
  </sheetData>
  <conditionalFormatting sqref="C5:G9">
    <cfRule type="colorScale" priority="2">
      <colorScale>
        <cfvo type="num" val="1"/>
        <cfvo type="num" val="3"/>
        <cfvo type="num" val="5"/>
        <color rgb="FF70AD47"/>
        <color rgb="FFFFEB84"/>
        <color rgb="FFC00000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9"/>
    <col collapsed="false" customWidth="true" hidden="false" outlineLevel="0" max="4" min="3" style="0" width="12"/>
    <col collapsed="false" customWidth="true" hidden="false" outlineLevel="0" max="5" min="5" style="0" width="10"/>
    <col collapsed="false" customWidth="true" hidden="false" outlineLevel="0" max="6" min="6" style="0" width="12"/>
    <col collapsed="false" customWidth="true" hidden="false" outlineLevel="0" max="7" min="7" style="0" width="2"/>
  </cols>
  <sheetData>
    <row r="2" customFormat="false" ht="17.35" hidden="false" customHeight="false" outlineLevel="0" collapsed="false">
      <c r="B2" s="14" t="s">
        <v>112</v>
      </c>
    </row>
    <row r="4" customFormat="false" ht="15" hidden="false" customHeight="false" outlineLevel="0" collapsed="false">
      <c r="B4" s="13" t="s">
        <v>3</v>
      </c>
      <c r="C4" s="13" t="s">
        <v>7</v>
      </c>
      <c r="D4" s="13" t="s">
        <v>11</v>
      </c>
      <c r="E4" s="13" t="s">
        <v>9</v>
      </c>
      <c r="F4" s="13" t="s">
        <v>113</v>
      </c>
    </row>
    <row r="5" customFormat="false" ht="15" hidden="false" customHeight="false" outlineLevel="0" collapsed="false">
      <c r="B5" s="0" t="s">
        <v>15</v>
      </c>
      <c r="C5" s="17" t="n">
        <v>-0.142209104109988</v>
      </c>
      <c r="D5" s="17" t="n">
        <v>0.268833914930839</v>
      </c>
      <c r="E5" s="17" t="n">
        <v>0.17675</v>
      </c>
      <c r="F5" s="17" t="n">
        <v>-0.00674999999999998</v>
      </c>
    </row>
    <row r="6" customFormat="false" ht="15" hidden="false" customHeight="false" outlineLevel="0" collapsed="false">
      <c r="B6" s="0" t="s">
        <v>18</v>
      </c>
      <c r="C6" s="17" t="n">
        <v>-0.230425848569642</v>
      </c>
      <c r="D6" s="17" t="n">
        <v>0.128802775257328</v>
      </c>
      <c r="E6" s="17" t="n">
        <v>0.18325</v>
      </c>
      <c r="F6" s="17" t="n">
        <v>-0.03325</v>
      </c>
    </row>
    <row r="7" customFormat="false" ht="15" hidden="false" customHeight="false" outlineLevel="0" collapsed="false">
      <c r="B7" s="0" t="s">
        <v>21</v>
      </c>
      <c r="C7" s="17" t="n">
        <v>-0.47837626834831</v>
      </c>
      <c r="D7" s="17" t="n">
        <v>0.127743370630986</v>
      </c>
      <c r="E7" s="17" t="n">
        <v>0.1865</v>
      </c>
      <c r="F7" s="17" t="n">
        <v>-0.0465</v>
      </c>
    </row>
    <row r="8" customFormat="false" ht="15" hidden="false" customHeight="false" outlineLevel="0" collapsed="false">
      <c r="B8" s="0" t="s">
        <v>23</v>
      </c>
      <c r="C8" s="17" t="n">
        <v>-0.240957261880114</v>
      </c>
      <c r="D8" s="17" t="n">
        <v>0.148231336050737</v>
      </c>
      <c r="E8" s="17" t="n">
        <v>0.18</v>
      </c>
      <c r="F8" s="17" t="n">
        <v>-0.05</v>
      </c>
    </row>
    <row r="9" customFormat="false" ht="15" hidden="false" customHeight="false" outlineLevel="0" collapsed="false">
      <c r="B9" s="0" t="s">
        <v>25</v>
      </c>
      <c r="C9" s="17" t="n">
        <v>-0.41574294481372</v>
      </c>
      <c r="D9" s="17" t="n">
        <v>0.170735310860786</v>
      </c>
      <c r="E9" s="17" t="n">
        <v>0.18325</v>
      </c>
      <c r="F9" s="17" t="n">
        <v>0.04675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2026-04-17T18:05:30Z</dcterms:created>
  <dc:creator>openpyxl</dc:creator>
  <dc:description/>
  <dc:language>en-US</dc:language>
  <cp:lastModifiedBy/>
  <dcterms:modified xsi:type="dcterms:W3CDTF">2026-04-17T15:05:32Z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