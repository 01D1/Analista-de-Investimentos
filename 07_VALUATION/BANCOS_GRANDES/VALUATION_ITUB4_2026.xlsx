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Capa" sheetId="1" state="visible" r:id="rId3"/>
    <sheet name="2.Premissas" sheetId="2" state="visible" r:id="rId4"/>
    <sheet name="3.Historico" sheetId="3" state="visible" r:id="rId5"/>
    <sheet name="4.Drivers" sheetId="4" state="visible" r:id="rId6"/>
    <sheet name="5.DRE_Proj" sheetId="5" state="visible" r:id="rId7"/>
    <sheet name="6.BP_Proj" sheetId="6" state="visible" r:id="rId8"/>
    <sheet name="7.DDM_Valuation" sheetId="7" state="visible" r:id="rId9"/>
    <sheet name="8.Multiplos" sheetId="8" state="visible" r:id="rId10"/>
    <sheet name="9.Sensibilidade" sheetId="9" state="visible" r:id="rId11"/>
    <sheet name="10.Dashboard" sheetId="10" state="visible" r:id="rId12"/>
    <sheet name="11.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<sst xmlns="http://schemas.openxmlformats.org/spreadsheetml/2006/main" count="277" uniqueCount="245">
  <si>
    <t xml:space="preserve">ITUB4 — Modelo de Valuation</t>
  </si>
  <si>
    <t xml:space="preserve">Itaú Unibanco Holding S.A.</t>
  </si>
  <si>
    <t xml:space="preserve">Tipo: Banco privado — large cap  |  CVM: 019348  |  Data-base: 2025-12-31</t>
  </si>
  <si>
    <t xml:space="preserve">Sumário Executivo</t>
  </si>
  <si>
    <t xml:space="preserve">Preço atual (R$)</t>
  </si>
  <si>
    <t xml:space="preserve">Preço-alvo DDM (R$/ação)</t>
  </si>
  <si>
    <t xml:space="preserve">Upside / (Downside)</t>
  </si>
  <si>
    <t xml:space="preserve">Recomendação</t>
  </si>
  <si>
    <t xml:space="preserve">Navegação</t>
  </si>
  <si>
    <t xml:space="preserve">2.Premissas</t>
  </si>
  <si>
    <t xml:space="preserve">Inputs macro, CAPM, cenários</t>
  </si>
  <si>
    <t xml:space="preserve">3.Historico</t>
  </si>
  <si>
    <t xml:space="preserve">DRE e BP 2019-2025</t>
  </si>
  <si>
    <t xml:space="preserve">4.Drivers</t>
  </si>
  <si>
    <t xml:space="preserve">NIM, crescimento carteira, custo crédito, eficiência</t>
  </si>
  <si>
    <t xml:space="preserve">5.DRE_Proj</t>
  </si>
  <si>
    <t xml:space="preserve">Projeção 2026-2030 + Terminal</t>
  </si>
  <si>
    <t xml:space="preserve">6.BP_Proj</t>
  </si>
  <si>
    <t xml:space="preserve">Balanço Patrimonial projetado</t>
  </si>
  <si>
    <t xml:space="preserve">7.DDM_Valuation</t>
  </si>
  <si>
    <t xml:space="preserve">Modelo Gordon 2 estágios</t>
  </si>
  <si>
    <t xml:space="preserve">8.Multiplos</t>
  </si>
  <si>
    <t xml:space="preserve">P/L, P/VP, EV/Receita histórico</t>
  </si>
  <si>
    <t xml:space="preserve">9.Sensibilidade</t>
  </si>
  <si>
    <t xml:space="preserve">Tabela Ke × g terminal</t>
  </si>
  <si>
    <t xml:space="preserve">10.Dashboard</t>
  </si>
  <si>
    <t xml:space="preserve">KPIs e visualização</t>
  </si>
  <si>
    <t xml:space="preserve">11.Cenarios</t>
  </si>
  <si>
    <t xml:space="preserve">Stress / Base / Blue-Sky</t>
  </si>
  <si>
    <t xml:space="preserve">Premissas-chave (resumo)</t>
  </si>
  <si>
    <t xml:space="preserve">Rf — Taxa livre de risco (nominal)</t>
  </si>
  <si>
    <t xml:space="preserve">ERP — Prêmio de risco Brasil</t>
  </si>
  <si>
    <t xml:space="preserve">Beta alavancado</t>
  </si>
  <si>
    <t xml:space="preserve">Ke — Custo de equity (CAPM)</t>
  </si>
  <si>
    <t xml:space="preserve">g — Crescimento terminal</t>
  </si>
  <si>
    <t xml:space="preserve">Payout projetado</t>
  </si>
  <si>
    <t xml:space="preserve">ROE sustentável (steady state)</t>
  </si>
  <si>
    <t xml:space="preserve">Legenda de cores</t>
  </si>
  <si>
    <t xml:space="preserve">Input (hardcode)</t>
  </si>
  <si>
    <t xml:space="preserve">Fórmula / cálculo</t>
  </si>
  <si>
    <t xml:space="preserve">Link cross-sheet</t>
  </si>
  <si>
    <t xml:space="preserve">Premissa-chave</t>
  </si>
  <si>
    <t xml:space="preserve">Premissas — ITUB4</t>
  </si>
  <si>
    <t xml:space="preserve">1. Macroeconomia e Custo de Capital</t>
  </si>
  <si>
    <t xml:space="preserve">Item</t>
  </si>
  <si>
    <t xml:space="preserve">Valor</t>
  </si>
  <si>
    <t xml:space="preserve">Unidade</t>
  </si>
  <si>
    <t xml:space="preserve">Fonte / Comentário</t>
  </si>
  <si>
    <t xml:space="preserve">Rf — Selic longa proxy (NTN-B)</t>
  </si>
  <si>
    <t xml:space="preserve">% a.a.</t>
  </si>
  <si>
    <t xml:space="preserve">Tesouro Direto — IPCA+2035</t>
  </si>
  <si>
    <t xml:space="preserve">ERP — Equity Risk Premium Brasil</t>
  </si>
  <si>
    <t xml:space="preserve">Damodaran 2025 — BR</t>
  </si>
  <si>
    <t xml:space="preserve">Beta alavancado (5y)</t>
  </si>
  <si>
    <t xml:space="preserve">×</t>
  </si>
  <si>
    <t xml:space="preserve">Regressão IBOV 60m</t>
  </si>
  <si>
    <t xml:space="preserve">Risco-país (informativo — já embutido no ERP_BR)</t>
  </si>
  <si>
    <t xml:space="preserve">EMBI+ Brasil — referência</t>
  </si>
  <si>
    <t xml:space="preserve">Ke — Custo de Equity (CAPM)</t>
  </si>
  <si>
    <t xml:space="preserve">Rf_BR + β·ERP_BR (CRP já embutido)</t>
  </si>
  <si>
    <t xml:space="preserve">Inflação média projetada</t>
  </si>
  <si>
    <t xml:space="preserve">BCB Focus 2026-2030</t>
  </si>
  <si>
    <t xml:space="preserve">g — Crescimento terminal (nominal)</t>
  </si>
  <si>
    <t xml:space="preserve">Inflação + real 1,5%</t>
  </si>
  <si>
    <t xml:space="preserve">Alíquota IR/CSLL efetiva</t>
  </si>
  <si>
    <t xml:space="preserve">CSLL 20% + IR 25% — bancos</t>
  </si>
  <si>
    <t xml:space="preserve">2. Política de Capital e Distribuição</t>
  </si>
  <si>
    <t xml:space="preserve">Comentário</t>
  </si>
  <si>
    <t xml:space="preserve">Índice de Basileia alvo</t>
  </si>
  <si>
    <t xml:space="preserve">Req. mínimo 10,5% + buffer</t>
  </si>
  <si>
    <t xml:space="preserve">Payout ratio projetado</t>
  </si>
  <si>
    <t xml:space="preserve">Histórico recente</t>
  </si>
  <si>
    <t xml:space="preserve">Convergência gradual</t>
  </si>
  <si>
    <t xml:space="preserve">Ações em circulação (milhões)</t>
  </si>
  <si>
    <t xml:space="preserve">Totais ON+PN / Units</t>
  </si>
  <si>
    <t xml:space="preserve">3. Cenário de Projeção (2026E–2030E)</t>
  </si>
  <si>
    <t xml:space="preserve">Driver</t>
  </si>
  <si>
    <t xml:space="preserve">Crescimento da carteira de crédito (YoY)</t>
  </si>
  <si>
    <t xml:space="preserve">NIM — Margem financeira / ativos rentáveis</t>
  </si>
  <si>
    <t xml:space="preserve">Custo do crédito (PDD / carteira)</t>
  </si>
  <si>
    <t xml:space="preserve">Crescimento receitas de serviços (YoY)</t>
  </si>
  <si>
    <t xml:space="preserve">Crescimento OPEX (YoY)</t>
  </si>
  <si>
    <t xml:space="preserve">Índice de Eficiência (OPEX / Receitas)</t>
  </si>
  <si>
    <t xml:space="preserve">Notas: valores em R$ bi quando não indicado. Cenário base.</t>
  </si>
  <si>
    <t xml:space="preserve">Histórico — ITUB4 (R$ bilhões)</t>
  </si>
  <si>
    <t xml:space="preserve">Linha</t>
  </si>
  <si>
    <t xml:space="preserve">DRE</t>
  </si>
  <si>
    <t xml:space="preserve">Receitas de Intermediação Financeira</t>
  </si>
  <si>
    <t xml:space="preserve">(-) Despesas de Intermediação Financeira</t>
  </si>
  <si>
    <t xml:space="preserve">Margem Financeira Bruta (NII)</t>
  </si>
  <si>
    <t xml:space="preserve">Receitas de Serviços / Tarifas</t>
  </si>
  <si>
    <t xml:space="preserve">(-) PDD / Provisão para créditos</t>
  </si>
  <si>
    <t xml:space="preserve">(-) Despesas Administrativas (OPEX)</t>
  </si>
  <si>
    <t xml:space="preserve">Lucro Antes de IR (EBT)</t>
  </si>
  <si>
    <t xml:space="preserve">Lucro Líquido</t>
  </si>
  <si>
    <t xml:space="preserve">Balanço Patrimonial</t>
  </si>
  <si>
    <t xml:space="preserve">Ativo Total</t>
  </si>
  <si>
    <t xml:space="preserve">Carteira de Crédito</t>
  </si>
  <si>
    <t xml:space="preserve">Depósitos</t>
  </si>
  <si>
    <t xml:space="preserve">Patrimônio Líquido</t>
  </si>
  <si>
    <t xml:space="preserve">Indicadores Calculados</t>
  </si>
  <si>
    <t xml:space="preserve">Margem Líquida (LL / Receitas)</t>
  </si>
  <si>
    <t xml:space="preserve">NIM (NII / Ativos médios)</t>
  </si>
  <si>
    <t xml:space="preserve">ROE (LL / PL médio)</t>
  </si>
  <si>
    <t xml:space="preserve">ROA (LL / Ativos médios)</t>
  </si>
  <si>
    <t xml:space="preserve">Custo do Crédito (-PDD/Carteira)</t>
  </si>
  <si>
    <t xml:space="preserve">Índice de Eficiência (-OPEX/(NII+Tarifas))</t>
  </si>
  <si>
    <t xml:space="preserve">Alavancagem (Ativos/PL)</t>
  </si>
  <si>
    <t xml:space="preserve">Crescimento Carteira (YoY)</t>
  </si>
  <si>
    <t xml:space="preserve">Crescimento LL (YoY)</t>
  </si>
  <si>
    <t xml:space="preserve">Drivers — Histórico + Projeção</t>
  </si>
  <si>
    <t xml:space="preserve">Carteira de Crédito (R$ bi)</t>
  </si>
  <si>
    <t xml:space="preserve">NIM (%)</t>
  </si>
  <si>
    <t xml:space="preserve">Custo do Crédito (PDD/Carteira)</t>
  </si>
  <si>
    <t xml:space="preserve">Crescimento OPEX YoY</t>
  </si>
  <si>
    <t xml:space="preserve">ROE</t>
  </si>
  <si>
    <t xml:space="preserve">Índice de Eficiência</t>
  </si>
  <si>
    <t xml:space="preserve">DRE Projetada — ITUB4 (R$ bi)</t>
  </si>
  <si>
    <t xml:space="preserve">Terminal</t>
  </si>
  <si>
    <t xml:space="preserve">Ativos Totais médios (R$ bi)</t>
  </si>
  <si>
    <t xml:space="preserve">(+) Receitas de Serviços / Tarifas</t>
  </si>
  <si>
    <t xml:space="preserve">(-) PDD / Custo do Crédito</t>
  </si>
  <si>
    <t xml:space="preserve">Receita Operacional (NII + Serviços)</t>
  </si>
  <si>
    <t xml:space="preserve">Resultado Operacional antes de IR</t>
  </si>
  <si>
    <t xml:space="preserve">(+/-) Outras receitas/despesas (não recorrentes)</t>
  </si>
  <si>
    <t xml:space="preserve">(-) IR/CSLL</t>
  </si>
  <si>
    <t xml:space="preserve">LUCRO LÍQUIDO</t>
  </si>
  <si>
    <t xml:space="preserve">Dividendos Distribuídos</t>
  </si>
  <si>
    <t xml:space="preserve">Lucro Retido</t>
  </si>
  <si>
    <t xml:space="preserve">Métricas efetivas (calculadas)</t>
  </si>
  <si>
    <t xml:space="preserve">ROE do ano (LL / PL médio)</t>
  </si>
  <si>
    <t xml:space="preserve">NIM efetivo (NII / Ativos médios)</t>
  </si>
  <si>
    <t xml:space="preserve">Eficiência efetiva (OPEX / Receita)</t>
  </si>
  <si>
    <t xml:space="preserve">Margem Líquida (LL / Receita)</t>
  </si>
  <si>
    <t xml:space="preserve">Custo do Crédito efetivo (PDD / Carteira)</t>
  </si>
  <si>
    <t xml:space="preserve">Balanço Patrimonial Projetado — ITUB4 (R$ bi)</t>
  </si>
  <si>
    <t xml:space="preserve">(+) Carteira de Crédito Líquida</t>
  </si>
  <si>
    <t xml:space="preserve">(+) Aplicações Interfinanceiras + TVM</t>
  </si>
  <si>
    <t xml:space="preserve">(+) Outros Ativos (imobilizado, caixa, etc.)</t>
  </si>
  <si>
    <t xml:space="preserve">Memorando: PDD Acumulada (proxy Carteira × 5%)</t>
  </si>
  <si>
    <t xml:space="preserve">Passivo + Patrimônio Líquido</t>
  </si>
  <si>
    <t xml:space="preserve">(+) Depósitos</t>
  </si>
  <si>
    <t xml:space="preserve">(+) Captações / Dívida Subordinada</t>
  </si>
  <si>
    <t xml:space="preserve">(+) Outros Passivos (provisões, tributos, etc.)</t>
  </si>
  <si>
    <t xml:space="preserve">(=) Total Passivo</t>
  </si>
  <si>
    <t xml:space="preserve">Alavancagem (Ativos / PL)</t>
  </si>
  <si>
    <t xml:space="preserve">Reconciliação do Patrimônio Líquido</t>
  </si>
  <si>
    <t xml:space="preserve">PL inicial (t-1)</t>
  </si>
  <si>
    <t xml:space="preserve">(+) Lucro Líquido do período</t>
  </si>
  <si>
    <t xml:space="preserve">(-) Dividendos Distribuídos</t>
  </si>
  <si>
    <t xml:space="preserve">(=) PL final (check)</t>
  </si>
  <si>
    <t xml:space="preserve">Δ check (PL final - linha 17)</t>
  </si>
  <si>
    <t xml:space="preserve">Indicadores Regulatórios (proxy)</t>
  </si>
  <si>
    <t xml:space="preserve">RWA proxy (Ativos × 75%)</t>
  </si>
  <si>
    <t xml:space="preserve">Índice Basileia proxy (PL / RWA)</t>
  </si>
  <si>
    <t xml:space="preserve">Check: Δ (Ativo - Passivo - PL)</t>
  </si>
  <si>
    <t xml:space="preserve">DDM — Modelo de Gordon 2 Estágios (ITUB4)</t>
  </si>
  <si>
    <t xml:space="preserve">Estágio 1 — Dividendos explícitos 2026-2030</t>
  </si>
  <si>
    <t xml:space="preserve">Ano</t>
  </si>
  <si>
    <t xml:space="preserve">Dividendos (R$ bi)</t>
  </si>
  <si>
    <t xml:space="preserve">Período</t>
  </si>
  <si>
    <t xml:space="preserve">Fator de Desconto</t>
  </si>
  <si>
    <t xml:space="preserve">VP Dividendos (R$ bi)</t>
  </si>
  <si>
    <t xml:space="preserve">Soma VP Estágio 1</t>
  </si>
  <si>
    <t xml:space="preserve">Estágio 2 — Valor Terminal (Perpetuidade Gordon)</t>
  </si>
  <si>
    <t xml:space="preserve">Dividendo 2031E (D_t+1)</t>
  </si>
  <si>
    <t xml:space="preserve">Ke — Custo de Equity</t>
  </si>
  <si>
    <t xml:space="preserve">TV em 2030 (R$ bi)</t>
  </si>
  <si>
    <t xml:space="preserve">VP do TV (R$ bi)</t>
  </si>
  <si>
    <t xml:space="preserve">Valor do Equity</t>
  </si>
  <si>
    <t xml:space="preserve">Equity Value (R$ bi)</t>
  </si>
  <si>
    <t xml:space="preserve">(/) Ações em circulação (mi)</t>
  </si>
  <si>
    <t xml:space="preserve">Valor por ação (R$)</t>
  </si>
  <si>
    <t xml:space="preserve">Checagem cruzada — Preço-alvo</t>
  </si>
  <si>
    <t xml:space="preserve">Preço-alvo DDM (R$)</t>
  </si>
  <si>
    <t xml:space="preserve">Upside/(Downside)</t>
  </si>
  <si>
    <t xml:space="preserve">Dividend Yield (prospectivo 2026)</t>
  </si>
  <si>
    <t xml:space="preserve">Decomposição do Valor</t>
  </si>
  <si>
    <t xml:space="preserve">  % Estágio 1 (dividendos explícitos)</t>
  </si>
  <si>
    <t xml:space="preserve">  % Valor Terminal</t>
  </si>
  <si>
    <t xml:space="preserve">Múltiplos Históricos e Implícitos — ITUB4</t>
  </si>
  <si>
    <t xml:space="preserve">Múltiplo</t>
  </si>
  <si>
    <t xml:space="preserve">Preço médio anual (R$)</t>
  </si>
  <si>
    <t xml:space="preserve">Market Cap (R$ bi)</t>
  </si>
  <si>
    <t xml:space="preserve">LPA (R$)</t>
  </si>
  <si>
    <t xml:space="preserve">VPA (R$)</t>
  </si>
  <si>
    <t xml:space="preserve">P/L</t>
  </si>
  <si>
    <t xml:space="preserve">P/VP</t>
  </si>
  <si>
    <t xml:space="preserve">Dividend Yield (est.)</t>
  </si>
  <si>
    <t xml:space="preserve">Média P/L 7 anos</t>
  </si>
  <si>
    <t xml:space="preserve">Média P/VP 7 anos</t>
  </si>
  <si>
    <t xml:space="preserve">Múltiplos implícitos no preço-alvo (2025)</t>
  </si>
  <si>
    <t xml:space="preserve">Preço-alvo DDM</t>
  </si>
  <si>
    <t xml:space="preserve">P/L implícito (2025)</t>
  </si>
  <si>
    <t xml:space="preserve">P/VP implícito (2025)</t>
  </si>
  <si>
    <t xml:space="preserve">vs. Média histórica P/L</t>
  </si>
  <si>
    <t xml:space="preserve">vs. Média histórica P/VP</t>
  </si>
  <si>
    <t xml:space="preserve">Múltiplos Forward (preço atual vs projeções)</t>
  </si>
  <si>
    <t xml:space="preserve">LPA projetado (R$)</t>
  </si>
  <si>
    <t xml:space="preserve">VPA projetado (R$)</t>
  </si>
  <si>
    <t xml:space="preserve">P/L forward (preço atual)</t>
  </si>
  <si>
    <t xml:space="preserve">P/VP forward (preço atual)</t>
  </si>
  <si>
    <t xml:space="preserve">Dividend Yield projetado</t>
  </si>
  <si>
    <t xml:space="preserve">Market Cap / Ativos (proxy EV/A)</t>
  </si>
  <si>
    <t xml:space="preserve">ROE implícito no preço atual (Gordon)</t>
  </si>
  <si>
    <t xml:space="preserve">ROE sustentável premissa</t>
  </si>
  <si>
    <t xml:space="preserve">Δ (ROE implícito - ROE premissa)</t>
  </si>
  <si>
    <t xml:space="preserve">Sensibilidade: Preço-alvo (R$) — Ke × g</t>
  </si>
  <si>
    <t xml:space="preserve">Tabela bidirecional: cada célula é o preço-alvo recalculado</t>
  </si>
  <si>
    <t xml:space="preserve">Parâmetros atuais:</t>
  </si>
  <si>
    <t xml:space="preserve">Ke</t>
  </si>
  <si>
    <t xml:space="preserve">g</t>
  </si>
  <si>
    <t xml:space="preserve">Preço:</t>
  </si>
  <si>
    <t xml:space="preserve">Ke ↓  /  g →</t>
  </si>
  <si>
    <t xml:space="preserve">ITUB4 — Dashboard de KPIs</t>
  </si>
  <si>
    <t xml:space="preserve">g terminal</t>
  </si>
  <si>
    <t xml:space="preserve">Preço-alvo (R$)</t>
  </si>
  <si>
    <t xml:space="preserve">Payout</t>
  </si>
  <si>
    <t xml:space="preserve">Upside</t>
  </si>
  <si>
    <t xml:space="preserve">ROE sustentável</t>
  </si>
  <si>
    <t xml:space="preserve">KPI</t>
  </si>
  <si>
    <t xml:space="preserve">Lucro Líquido (R$ bi)</t>
  </si>
  <si>
    <t xml:space="preserve">NIM</t>
  </si>
  <si>
    <t xml:space="preserve">Custo do Crédito</t>
  </si>
  <si>
    <t xml:space="preserve">Cenários Macro — ITUB4</t>
  </si>
  <si>
    <t xml:space="preserve">Três cenários macro para stress-test do valuation:</t>
  </si>
  <si>
    <t xml:space="preserve">Premissa</t>
  </si>
  <si>
    <t xml:space="preserve">🔴 Stress</t>
  </si>
  <si>
    <t xml:space="preserve">⚪ Base (atual)</t>
  </si>
  <si>
    <t xml:space="preserve">🟢 Blue-Sky</t>
  </si>
  <si>
    <t xml:space="preserve">Rf — NTN-B longo</t>
  </si>
  <si>
    <t xml:space="preserve">ERP Brasil</t>
  </si>
  <si>
    <t xml:space="preserve">Beta</t>
  </si>
  <si>
    <t xml:space="preserve">Ke calculado</t>
  </si>
  <si>
    <t xml:space="preserve">Crescimento carteira (médio)</t>
  </si>
  <si>
    <t xml:space="preserve">Custo do crédito (médio)</t>
  </si>
  <si>
    <t xml:space="preserve">RESULTADOS POR CENÁRIO</t>
  </si>
  <si>
    <t xml:space="preserve">Preço-alvo (Gordon 1-stage)</t>
  </si>
  <si>
    <t xml:space="preserve">Recomendação implícita</t>
  </si>
  <si>
    <t xml:space="preserve">Notas metodológicas</t>
  </si>
  <si>
    <t xml:space="preserve">• Preço-alvo Gordon 1-stage: VPA_2025 × (ROE - g) / (Ke - g)</t>
  </si>
  <si>
    <t xml:space="preserve">• Cenário base replica Ke e g da aba Premissas (2.Premissas)</t>
  </si>
  <si>
    <t xml:space="preserve">• Stress: Selic no topo + default crédito + spread soberano mais amplo</t>
  </si>
  <si>
    <t xml:space="preserve">• Blue-Sky: ciclo de corte de Selic + melhoria operacional + crescimento</t>
  </si>
  <si>
    <t xml:space="preserve">• Use os cenários para definir range de preço-alvo (não apenas ponto único)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</si>
</sst>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[RED]&quot;(R$ &quot;#,##0.00\);\-"/>
    <numFmt numFmtId="166" formatCode="0.0%;[RED]\(0.0%\);\-"/>
    <numFmt numFmtId="167" formatCode="0.00"/>
    <numFmt numFmtId="168" formatCode="_-* #,##0_-;[RED]_-* \(#,##0\)_-;_-* \-_-;_-@_-"/>
    <numFmt numFmtId="169" formatCode="0"/>
    <numFmt numFmtId="170" formatCode="_-* #,##0.0_-;[RED]_-* \(#,##0.0\)_-;_-* \-_-;_-@_-"/>
    <numFmt numFmtId="171" formatCode="0.0\x"/>
    <numFmt numFmtId="172" formatCode="@"/>
    <numFmt numFmtId="173" formatCode="0.0000"/>
    <numFmt numFmtId="174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5B089"/>
      </patternFill>
    </fill>
    <fill>
      <patternFill patternType="solid">
        <fgColor rgb="FF1F3864"/>
        <bgColor rgb="FF35577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CFD7E7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D3735"/>
      </patternFill>
    </fill>
    <fill>
      <patternFill patternType="solid">
        <fgColor rgb="FF548235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CC8F8E"/>
      <rgbColor rgb="FF9BAFD1"/>
      <rgbColor rgb="FFA5413F"/>
      <rgbColor rgb="FF008000"/>
      <rgbColor rgb="FF4D7DB8"/>
      <rgbColor rgb="FF548235"/>
      <rgbColor rgb="FFB04642"/>
      <rgbColor rgb="FF406999"/>
      <rgbColor rgb="FFAEBDD8"/>
      <rgbColor rgb="FF878787"/>
      <rgbColor rgb="FF8EA5CA"/>
      <rgbColor rgb="FF9A3D3A"/>
      <rgbColor rgb="FFF9F9F9"/>
      <rgbColor rgb="FFF2F2F2"/>
      <rgbColor rgb="FF4977AF"/>
      <rgbColor rgb="FFC87E7D"/>
      <rgbColor rgb="FF3B608D"/>
      <rgbColor rgb="FFCFD7E7"/>
      <rgbColor rgb="FF000080"/>
      <rgbColor rgb="FFCF9695"/>
      <rgbColor rgb="FFB3C992"/>
      <rgbColor rgb="FF00FFFF"/>
      <rgbColor rgb="FFB94946"/>
      <rgbColor rgb="FFAA433F"/>
      <rgbColor rgb="FF426FA6"/>
      <rgbColor rgb="FF0000FF"/>
      <rgbColor rgb="FF648BC1"/>
      <rgbColor rgb="FFD9E1F2"/>
      <rgbColor rgb="FFD9D9D9"/>
      <rgbColor rgb="FFBFCBE0"/>
      <rgbColor rgb="FF8CBFD2"/>
      <rgbColor rgb="FFD6A9A9"/>
      <rgbColor rgb="FFDDB9B9"/>
      <rgbColor rgb="FFE2C9C8"/>
      <rgbColor rgb="FF2E75B6"/>
      <rgbColor rgb="FF839EC9"/>
      <rgbColor rgb="FF87A44B"/>
      <rgbColor rgb="FFF5B089"/>
      <rgbColor rgb="FFDB8238"/>
      <rgbColor rgb="FFC1605E"/>
      <rgbColor rgb="FF6F568D"/>
      <rgbColor rgb="FFA596B9"/>
      <rgbColor rgb="FF1F3864"/>
      <rgbColor rgb="FF3D97AF"/>
      <rgbColor rgb="FF4470A4"/>
      <rgbColor rgb="FF595959"/>
      <rgbColor rgb="FF803230"/>
      <rgbColor rgb="FF8D3735"/>
      <rgbColor rgb="FF35577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Lucro Líquido — Histórico + Projeção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Líquido"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803230"/>
            </a:solidFill>
            <a:ln w="1260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'10.Dashboard'!$C$12</c:f>
              <c:numCache>
                <c:formatCode>_-* #,##0.0_-;[RED]_-* \(#,##0.0\)_-;_-* \-_-;_-@_-</c:formatCode>
                <c:ptCount val="1"/>
                <c:pt idx="0">
                  <c:v>27.1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1260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'10.Dashboard'!$D$12</c:f>
              <c:numCache>
                <c:formatCode>_-* #,##0.0_-;[RED]_-* \(#,##0.0\)_-;_-* \-_-;_-@_-</c:formatCode>
                <c:ptCount val="1"/>
                <c:pt idx="0">
                  <c:v>18.9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1260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'10.Dashboard'!$E$12</c:f>
              <c:numCache>
                <c:formatCode>_-* #,##0.0_-;[RED]_-* \(#,##0.0\)_-;_-* \-_-;_-@_-</c:formatCode>
                <c:ptCount val="1"/>
                <c:pt idx="0">
                  <c:v>26.8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1260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'10.Dashboard'!$F$12</c:f>
              <c:numCache>
                <c:formatCode>_-* #,##0.0_-;[RED]_-* \(#,##0.0\)_-;_-* \-_-;_-@_-</c:formatCode>
                <c:ptCount val="1"/>
                <c:pt idx="0">
                  <c:v>29.7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1260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'10.Dashboard'!$G$12</c:f>
              <c:numCache>
                <c:formatCode>_-* #,##0.0_-;[RED]_-* \(#,##0.0\)_-;_-* \-_-;_-@_-</c:formatCode>
                <c:ptCount val="1"/>
                <c:pt idx="0">
                  <c:v>33.1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1260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'10.Dashboard'!$H$12</c:f>
              <c:numCache>
                <c:formatCode>_-* #,##0.0_-;[RED]_-* \(#,##0.0\)_-;_-* \-_-;_-@_-</c:formatCode>
                <c:ptCount val="1"/>
                <c:pt idx="0">
                  <c:v>41.1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1260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'10.Dashboard'!$I$12</c:f>
              <c:numCache>
                <c:formatCode>_-* #,##0.0_-;[RED]_-* \(#,##0.0\)_-;_-* \-_-;_-@_-</c:formatCode>
                <c:ptCount val="1"/>
                <c:pt idx="0">
                  <c:v>44.9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1260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'10.Dashboard'!$J$12</c:f>
              <c:numCache>
                <c:formatCode>_-* #,##0.0_-;[RED]_-* \(#,##0.0\)_-;_-* \-_-;_-@_-</c:formatCode>
                <c:ptCount val="1"/>
                <c:pt idx="0">
                  <c:v>58.51603173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1260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'10.Dashboard'!$K$12</c:f>
              <c:numCache>
                <c:formatCode>_-* #,##0.0_-;[RED]_-* \(#,##0.0\)_-;_-* \-_-;_-@_-</c:formatCode>
                <c:ptCount val="1"/>
                <c:pt idx="0">
                  <c:v>65.9053673772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1260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'10.Dashboard'!$L$12</c:f>
              <c:numCache>
                <c:formatCode>_-* #,##0.0_-;[RED]_-* \(#,##0.0\)_-;_-* \-_-;_-@_-</c:formatCode>
                <c:ptCount val="1"/>
                <c:pt idx="0">
                  <c:v>75.59863953876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1260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'10.Dashboard'!$M$12</c:f>
              <c:numCache>
                <c:formatCode>_-* #,##0.0_-;[RED]_-* \(#,##0.0\)_-;_-* \-_-;_-@_-</c:formatCode>
                <c:ptCount val="1"/>
                <c:pt idx="0">
                  <c:v>81.117241555077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1260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'10.Dashboard'!$N$12</c:f>
              <c:numCache>
                <c:formatCode>_-* #,##0.0_-;[RED]_-* \(#,##0.0\)_-;_-* \-_-;_-@_-</c:formatCode>
                <c:ptCount val="1"/>
                <c:pt idx="0">
                  <c:v>86.7572094443032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873132"/>
        <c:axId val="67620434"/>
      </c:lineChart>
      <c:catAx>
        <c:axId val="30873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20434"/>
        <c:crosses val="autoZero"/>
        <c:auto val="1"/>
        <c:lblAlgn val="ctr"/>
        <c:lblOffset val="100"/>
        <c:noMultiLvlLbl val="0"/>
      </c:catAx>
      <c:valAx>
        <c:axId val="67620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 bi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8731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× NIM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'10.Dashboard'!$C$13:$C$14</c:f>
              <c:numCache>
                <c:formatCode>0.0%;[RED]\(0.0%\);\-</c:formatCode>
                <c:ptCount val="2"/>
                <c:pt idx="0">
                  <c:v>0.197954711468225</c:v>
                </c:pt>
                <c:pt idx="1">
                  <c:v>0.0715114503816794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"NIM"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'10.Dashboard'!$D$13:$D$14</c:f>
              <c:numCache>
                <c:formatCode>0.0%;[RED]\(0.0%\);\-</c:formatCode>
                <c:ptCount val="2"/>
                <c:pt idx="0">
                  <c:v>0.135048231511254</c:v>
                </c:pt>
                <c:pt idx="1">
                  <c:v>0.0548020126886896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'10.Dashboard'!$E$13:$E$14</c:f>
              <c:numCache>
                <c:formatCode>0.0%;[RED]\(0.0%\);\-</c:formatCode>
                <c:ptCount val="2"/>
                <c:pt idx="0">
                  <c:v>0.181142277796553</c:v>
                </c:pt>
                <c:pt idx="1">
                  <c:v>0.0618319677143207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'10.Dashboard'!$F$13:$F$14</c:f>
              <c:numCache>
                <c:formatCode>0.0%;[RED]\(0.0%\);\-</c:formatCode>
                <c:ptCount val="2"/>
                <c:pt idx="0">
                  <c:v>0.185104393892178</c:v>
                </c:pt>
                <c:pt idx="1">
                  <c:v>0.0526339753221327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'10.Dashboard'!$G$13:$G$14</c:f>
              <c:numCache>
                <c:formatCode>0.0%;[RED]\(0.0%\);\-</c:formatCode>
                <c:ptCount val="2"/>
                <c:pt idx="0">
                  <c:v>0.184812953657175</c:v>
                </c:pt>
                <c:pt idx="1">
                  <c:v>0.0511661358265694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'10.Dashboard'!$H$13:$H$14</c:f>
              <c:numCache>
                <c:formatCode>0.0%;[RED]\(0.0%\);\-</c:formatCode>
                <c:ptCount val="2"/>
                <c:pt idx="0">
                  <c:v>0.204834288562173</c:v>
                </c:pt>
                <c:pt idx="1">
                  <c:v>0.0502816066399881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'10.Dashboard'!$I$13:$I$14</c:f>
              <c:numCache>
                <c:formatCode>0.0%;[RED]\(0.0%\);\-</c:formatCode>
                <c:ptCount val="2"/>
                <c:pt idx="0">
                  <c:v>0.216073147256978</c:v>
                </c:pt>
                <c:pt idx="1">
                  <c:v>0.0469201276876045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'10.Dashboard'!$J$13:$J$14</c:f>
              <c:numCache>
                <c:formatCode>0.0%;[RED]\(0.0%\);\-</c:formatCode>
                <c:ptCount val="2"/>
                <c:pt idx="0">
                  <c:v>0.268833914930839</c:v>
                </c:pt>
                <c:pt idx="1">
                  <c:v>0.052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'10.Dashboard'!$K$13:$K$14</c:f>
              <c:numCache>
                <c:formatCode>0.0%;[RED]\(0.0%\);\-</c:formatCode>
                <c:ptCount val="2"/>
                <c:pt idx="0">
                  <c:v>0.268277782470156</c:v>
                </c:pt>
                <c:pt idx="1">
                  <c:v>0.052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'10.Dashboard'!$L$13:$L$14</c:f>
              <c:numCache>
                <c:formatCode>0.0%;[RED]\(0.0%\);\-</c:formatCode>
                <c:ptCount val="2"/>
                <c:pt idx="0">
                  <c:v>0.272428194010603</c:v>
                </c:pt>
                <c:pt idx="1">
                  <c:v>0.053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'10.Dashboard'!$M$13:$M$14</c:f>
              <c:numCache>
                <c:formatCode>0.0%;[RED]\(0.0%\);\-</c:formatCode>
                <c:ptCount val="2"/>
                <c:pt idx="0">
                  <c:v>0.259359056966415</c:v>
                </c:pt>
                <c:pt idx="1">
                  <c:v>0.053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'10.Dashboard'!$N$13:$N$14</c:f>
              <c:numCache>
                <c:formatCode>0.0%;[RED]\(0.0%\);\-</c:formatCode>
                <c:ptCount val="2"/>
                <c:pt idx="0">
                  <c:v>0.24750143427924</c:v>
                </c:pt>
                <c:pt idx="1">
                  <c:v>0.053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616770"/>
        <c:axId val="56116964"/>
      </c:lineChart>
      <c:catAx>
        <c:axId val="2461677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116964"/>
        <c:crosses val="autoZero"/>
        <c:auto val="1"/>
        <c:lblAlgn val="ctr"/>
        <c:lblOffset val="100"/>
        <c:noMultiLvlLbl val="0"/>
      </c:catAx>
      <c:valAx>
        <c:axId val="56116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167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Carteira de Crédito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"Carteira"</c:f>
              <c:strCache>
                <c:ptCount val="1"/>
                <c:pt idx="0">
                  <c:v>Carteira</c:v>
                </c:pt>
              </c:strCache>
            </c:strRef>
          </c:tx>
          <c:spPr>
            <a:solidFill>
              <a:srgbClr val="3557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'10.Dashboard'!$C$16</c:f>
              <c:numCache>
                <c:formatCode>_-* #,##0.0_-;[RED]_-* \(#,##0.0\)_-;_-* \-_-;_-@_-</c:formatCode>
                <c:ptCount val="1"/>
                <c:pt idx="0">
                  <c:v>585.8</c:v>
                </c:pt>
              </c:numCache>
            </c:numRef>
          </c:val>
        </c:ser>
        <c:ser>
          <c:idx val="1"/>
          <c:order val="1"/>
          <c:spPr>
            <a:solidFill>
              <a:srgbClr val="3B6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'10.Dashboard'!$D$16</c:f>
              <c:numCache>
                <c:formatCode>_-* #,##0.0_-;[RED]_-* \(#,##0.0\)_-;_-* \-_-;_-@_-</c:formatCode>
                <c:ptCount val="1"/>
                <c:pt idx="0">
                  <c:v>714.1</c:v>
                </c:pt>
              </c:numCache>
            </c:numRef>
          </c:val>
        </c:ser>
        <c:ser>
          <c:idx val="2"/>
          <c:order val="2"/>
          <c:spPr>
            <a:solidFill>
              <a:srgbClr val="4069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'10.Dashboard'!$E$16</c:f>
              <c:numCache>
                <c:formatCode>_-* #,##0.0_-;[RED]_-* \(#,##0.0\)_-;_-* \-_-;_-@_-</c:formatCode>
                <c:ptCount val="1"/>
                <c:pt idx="0">
                  <c:v>822.6</c:v>
                </c:pt>
              </c:numCache>
            </c:numRef>
          </c:val>
        </c:ser>
        <c:ser>
          <c:idx val="3"/>
          <c:order val="3"/>
          <c:spPr>
            <a:solidFill>
              <a:srgbClr val="4470A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'10.Dashboard'!$F$16</c:f>
              <c:numCache>
                <c:formatCode>_-* #,##0.0_-;[RED]_-* \(#,##0.0\)_-;_-* \-_-;_-@_-</c:formatCode>
                <c:ptCount val="1"/>
                <c:pt idx="0">
                  <c:v>909.4</c:v>
                </c:pt>
              </c:numCache>
            </c:numRef>
          </c:val>
        </c:ser>
        <c:ser>
          <c:idx val="4"/>
          <c:order val="4"/>
          <c:spPr>
            <a:solidFill>
              <a:srgbClr val="4977A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'10.Dashboard'!$G$16</c:f>
              <c:numCache>
                <c:formatCode>_-* #,##0.0_-;[RED]_-* \(#,##0.0\)_-;_-* \-_-;_-@_-</c:formatCode>
                <c:ptCount val="1"/>
                <c:pt idx="0">
                  <c:v>910.6</c:v>
                </c:pt>
              </c:numCache>
            </c:numRef>
          </c:val>
        </c:ser>
        <c:ser>
          <c:idx val="5"/>
          <c:order val="5"/>
          <c:spPr>
            <a:solidFill>
              <a:srgbClr val="4D7D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'10.Dashboard'!$H$16</c:f>
              <c:numCache>
                <c:formatCode>_-* #,##0.0_-;[RED]_-* \(#,##0.0\)_-;_-* \-_-;_-@_-</c:formatCode>
                <c:ptCount val="1"/>
                <c:pt idx="0">
                  <c:v>955</c:v>
                </c:pt>
              </c:numCache>
            </c:numRef>
          </c:val>
        </c:ser>
        <c:ser>
          <c:idx val="6"/>
          <c:order val="6"/>
          <c:spPr>
            <a:solidFill>
              <a:srgbClr val="648B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'10.Dashboard'!$I$16</c:f>
              <c:numCache>
                <c:formatCode>_-* #,##0.0_-;[RED]_-* \(#,##0.0\)_-;_-* \-_-;_-@_-</c:formatCode>
                <c:ptCount val="1"/>
                <c:pt idx="0">
                  <c:v>1020</c:v>
                </c:pt>
              </c:numCache>
            </c:numRef>
          </c:val>
        </c:ser>
        <c:ser>
          <c:idx val="7"/>
          <c:order val="7"/>
          <c:spPr>
            <a:solidFill>
              <a:srgbClr val="839EC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'10.Dashboard'!$J$16</c:f>
              <c:numCache>
                <c:formatCode>_-* #,##0.0_-;[RED]_-* \(#,##0.0\)_-;_-* \-_-;_-@_-</c:formatCode>
                <c:ptCount val="1"/>
                <c:pt idx="0">
                  <c:v>1096.5</c:v>
                </c:pt>
              </c:numCache>
            </c:numRef>
          </c:val>
        </c:ser>
        <c:ser>
          <c:idx val="8"/>
          <c:order val="8"/>
          <c:spPr>
            <a:solidFill>
              <a:srgbClr val="9BAFD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'10.Dashboard'!$K$16</c:f>
              <c:numCache>
                <c:formatCode>_-* #,##0.0_-;[RED]_-* \(#,##0.0\)_-;_-* \-_-;_-@_-</c:formatCode>
                <c:ptCount val="1"/>
                <c:pt idx="0">
                  <c:v>1184.22</c:v>
                </c:pt>
              </c:numCache>
            </c:numRef>
          </c:val>
        </c:ser>
        <c:ser>
          <c:idx val="9"/>
          <c:order val="9"/>
          <c:spPr>
            <a:solidFill>
              <a:srgbClr val="AEBDD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'10.Dashboard'!$L$16</c:f>
              <c:numCache>
                <c:formatCode>_-* #,##0.0_-;[RED]_-* \(#,##0.0\)_-;_-* \-_-;_-@_-</c:formatCode>
                <c:ptCount val="1"/>
                <c:pt idx="0">
                  <c:v>1278.9576</c:v>
                </c:pt>
              </c:numCache>
            </c:numRef>
          </c:val>
        </c:ser>
        <c:ser>
          <c:idx val="10"/>
          <c:order val="10"/>
          <c:spPr>
            <a:solidFill>
              <a:srgbClr val="BFCB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'10.Dashboard'!$M$16</c:f>
              <c:numCache>
                <c:formatCode>_-* #,##0.0_-;[RED]_-* \(#,##0.0\)_-;_-* \-_-;_-@_-</c:formatCode>
                <c:ptCount val="1"/>
                <c:pt idx="0">
                  <c:v>1374.87942</c:v>
                </c:pt>
              </c:numCache>
            </c:numRef>
          </c:val>
        </c:ser>
        <c:ser>
          <c:idx val="11"/>
          <c:order val="11"/>
          <c:spPr>
            <a:solidFill>
              <a:srgbClr val="CFD7E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'10.Dashboard'!$N$16</c:f>
              <c:numCache>
                <c:formatCode>_-* #,##0.0_-;[RED]_-* \(#,##0.0\)_-;_-* \-_-;_-@_-</c:formatCode>
                <c:ptCount val="1"/>
                <c:pt idx="0">
                  <c:v>1471.1209794</c:v>
                </c:pt>
              </c:numCache>
            </c:numRef>
          </c:val>
        </c:ser>
        <c:gapWidth val="150"/>
        <c:overlap val="0"/>
        <c:axId val="88628423"/>
        <c:axId val="25118413"/>
      </c:barChart>
      <c:catAx>
        <c:axId val="886284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18413"/>
        <c:crosses val="autoZero"/>
        <c:auto val="1"/>
        <c:lblAlgn val="ctr"/>
        <c:lblOffset val="100"/>
        <c:noMultiLvlLbl val="0"/>
      </c:catAx>
      <c:valAx>
        <c:axId val="25118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6284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198720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211320" y="3649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198720</xdr:colOff>
      <xdr:row>52</xdr:row>
      <xdr:rowOff>21960</xdr:rowOff>
    </xdr:to>
    <xdr:graphicFrame>
      <xdr:nvGraphicFramePr>
        <xdr:cNvPr id="2" name="Chart 2"/>
        <xdr:cNvGraphicFramePr/>
      </xdr:nvGraphicFramePr>
      <xdr:xfrm>
        <a:off x="211320" y="7078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198720</xdr:colOff>
      <xdr:row>70</xdr:row>
      <xdr:rowOff>21960</xdr:rowOff>
    </xdr:to>
    <xdr:graphicFrame>
      <xdr:nvGraphicFramePr>
        <xdr:cNvPr id="3" name="Chart 3"/>
        <xdr:cNvGraphicFramePr/>
      </xdr:nvGraphicFramePr>
      <xdr:xfrm>
        <a:off x="211320" y="10507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essions/quirky-eager-mayer/mnt/OBSIDIAN/Analista%20de%20Investimentos/07_VALUATION/BANCOS_GRANDES/VALUATION_ITUB4_2026.xlsx" TargetMode="External"/><Relationship Id="rId2" Type="http://schemas.openxmlformats.org/officeDocument/2006/relationships/hyperlink" Target="../../sessions/quirky-eager-mayer/mnt/OBSIDIAN/Analista%20de%20Investimentos/07_VALUATION/BANCOS_GRANDES/VALUATION_ITUB4_2026.xlsx" TargetMode="External"/><Relationship Id="rId3" Type="http://schemas.openxmlformats.org/officeDocument/2006/relationships/hyperlink" Target="../../sessions/quirky-eager-mayer/mnt/OBSIDIAN/Analista%20de%20Investimentos/07_VALUATION/BANCOS_GRANDES/VALUATION_ITUB4_2026.xlsx" TargetMode="External"/><Relationship Id="rId4" Type="http://schemas.openxmlformats.org/officeDocument/2006/relationships/hyperlink" Target="../../sessions/quirky-eager-mayer/mnt/OBSIDIAN/Analista%20de%20Investimentos/07_VALUATION/BANCOS_GRANDES/VALUATION_ITUB4_2026.xlsx" TargetMode="External"/><Relationship Id="rId5" Type="http://schemas.openxmlformats.org/officeDocument/2006/relationships/hyperlink" Target="../../sessions/quirky-eager-mayer/mnt/OBSIDIAN/Analista%20de%20Investimentos/07_VALUATION/BANCOS_GRANDES/VALUATION_ITUB4_2026.xlsx" TargetMode="External"/><Relationship Id="rId6" Type="http://schemas.openxmlformats.org/officeDocument/2006/relationships/hyperlink" Target="../../sessions/quirky-eager-mayer/mnt/OBSIDIAN/Analista%20de%20Investimentos/07_VALUATION/BANCOS_GRANDES/VALUATION_ITUB4_2026.xlsx" TargetMode="External"/><Relationship Id="rId7" Type="http://schemas.openxmlformats.org/officeDocument/2006/relationships/hyperlink" Target="../../sessions/quirky-eager-mayer/mnt/OBSIDIAN/Analista%20de%20Investimentos/07_VALUATION/BANCOS_GRANDES/VALUATION_ITUB4_2026.xlsx" TargetMode="External"/><Relationship Id="rId8" Type="http://schemas.openxmlformats.org/officeDocument/2006/relationships/hyperlink" Target="../../sessions/quirky-eager-mayer/mnt/OBSIDIAN/Analista%20de%20Investimentos/07_VALUATION/BANCOS_GRANDES/VALUATION_ITUB4_2026.xlsx" TargetMode="External"/><Relationship Id="rId9" Type="http://schemas.openxmlformats.org/officeDocument/2006/relationships/hyperlink" Target="../../sessions/quirky-eager-mayer/mnt/OBSIDIAN/Analista%20de%20Investimentos/07_VALUATION/BANCOS_GRANDES/VALUATION_ITUB4_2026.xlsx" TargetMode="External"/><Relationship Id="rId10" Type="http://schemas.openxmlformats.org/officeDocument/2006/relationships/hyperlink" Target="../../sessions/quirky-eager-mayer/mnt/OBSIDIAN/Analista%20de%20Investimentos/07_VALUATION/BANCOS_GRANDES/VALUATION_ITUB4_202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3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  <c r="C7" s="5" t="n">
        <v>35.5</v>
      </c>
    </row>
    <row r="8" customFormat="false" ht="15" hidden="false" customHeight="false" outlineLevel="0" collapsed="false">
      <c r="B8" s="0" t="s">
        <v>5</v>
      </c>
      <c r="C8" s="6" t="n">
        <f aca="false">'7.DDM_Valuation'!C35</f>
        <v>30.4515768040954</v>
      </c>
    </row>
    <row r="9" customFormat="false" ht="15" hidden="false" customHeight="false" outlineLevel="0" collapsed="false">
      <c r="B9" s="0" t="s">
        <v>6</v>
      </c>
      <c r="C9" s="7" t="n">
        <f aca="false">IFERROR(C8/C7-1,0)</f>
        <v>-0.142209104109988</v>
      </c>
    </row>
    <row r="10" customFormat="false" ht="15" hidden="false" customHeight="false" outlineLevel="0" collapsed="false">
      <c r="B10" s="0" t="s">
        <v>7</v>
      </c>
      <c r="C10" s="8" t="str">
        <f aca="false">IF(C9&gt;0.15,"COMPRA",IF(C9&gt;0.05,"NEUTRO +",IF(C9&gt;-0.05,"NEUTRO",IF(C9&gt;-0.15,"NEUTRO -","VENDA"))))</f>
        <v>NEUTRO -</v>
      </c>
    </row>
    <row r="12" customFormat="false" ht="15" hidden="false" customHeight="false" outlineLevel="0" collapsed="false">
      <c r="B12" s="9" t="s">
        <v>8</v>
      </c>
    </row>
    <row r="13" customFormat="false" ht="15" hidden="false" customHeight="false" outlineLevel="0" collapsed="false">
      <c r="B13" s="10" t="s">
        <v>9</v>
      </c>
      <c r="C13" s="3" t="s">
        <v>10</v>
      </c>
    </row>
    <row r="14" customFormat="false" ht="15" hidden="false" customHeight="false" outlineLevel="0" collapsed="false">
      <c r="B14" s="10" t="s">
        <v>11</v>
      </c>
      <c r="C14" s="3" t="s">
        <v>12</v>
      </c>
    </row>
    <row r="15" customFormat="false" ht="15" hidden="false" customHeight="false" outlineLevel="0" collapsed="false">
      <c r="B15" s="10" t="s">
        <v>13</v>
      </c>
      <c r="C15" s="3" t="s">
        <v>14</v>
      </c>
    </row>
    <row r="16" customFormat="false" ht="15" hidden="false" customHeight="false" outlineLevel="0" collapsed="false">
      <c r="B16" s="10" t="s">
        <v>15</v>
      </c>
      <c r="C16" s="3" t="s">
        <v>16</v>
      </c>
    </row>
    <row r="17" customFormat="false" ht="15" hidden="false" customHeight="false" outlineLevel="0" collapsed="false">
      <c r="B17" s="10" t="s">
        <v>17</v>
      </c>
      <c r="C17" s="3" t="s">
        <v>18</v>
      </c>
    </row>
    <row r="18" customFormat="false" ht="15" hidden="false" customHeight="false" outlineLevel="0" collapsed="false">
      <c r="B18" s="10" t="s">
        <v>19</v>
      </c>
      <c r="C18" s="3" t="s">
        <v>20</v>
      </c>
    </row>
    <row r="19" customFormat="false" ht="15" hidden="false" customHeight="false" outlineLevel="0" collapsed="false">
      <c r="B19" s="10" t="s">
        <v>21</v>
      </c>
      <c r="C19" s="3" t="s">
        <v>22</v>
      </c>
    </row>
    <row r="20" customFormat="false" ht="15" hidden="false" customHeight="false" outlineLevel="0" collapsed="false">
      <c r="B20" s="10" t="s">
        <v>23</v>
      </c>
      <c r="C20" s="3" t="s">
        <v>24</v>
      </c>
    </row>
    <row r="21" customFormat="false" ht="15" hidden="false" customHeight="false" outlineLevel="0" collapsed="false">
      <c r="B21" s="10" t="s">
        <v>25</v>
      </c>
      <c r="C21" s="3" t="s">
        <v>26</v>
      </c>
    </row>
    <row r="22" customFormat="false" ht="15" hidden="false" customHeight="false" outlineLevel="0" collapsed="false">
      <c r="B22" s="10" t="s">
        <v>27</v>
      </c>
      <c r="C22" s="3" t="s">
        <v>28</v>
      </c>
    </row>
    <row r="24" customFormat="false" ht="15" hidden="false" customHeight="false" outlineLevel="0" collapsed="false">
      <c r="B24" s="9" t="s">
        <v>29</v>
      </c>
    </row>
    <row r="25" customFormat="false" ht="15" hidden="false" customHeight="false" outlineLevel="0" collapsed="false">
      <c r="B25" s="0" t="s">
        <v>30</v>
      </c>
      <c r="C25" s="11" t="n">
        <f aca="false">'2.Premissas'!C7</f>
        <v>0.115</v>
      </c>
    </row>
    <row r="26" customFormat="false" ht="15" hidden="false" customHeight="false" outlineLevel="0" collapsed="false">
      <c r="B26" s="0" t="s">
        <v>31</v>
      </c>
      <c r="C26" s="11" t="n">
        <f aca="false">'2.Premissas'!C8</f>
        <v>0.065</v>
      </c>
    </row>
    <row r="27" customFormat="false" ht="15" hidden="false" customHeight="false" outlineLevel="0" collapsed="false">
      <c r="B27" s="0" t="s">
        <v>32</v>
      </c>
      <c r="C27" s="12" t="n">
        <f aca="false">'2.Premissas'!C9</f>
        <v>0.95</v>
      </c>
    </row>
    <row r="28" customFormat="false" ht="15" hidden="false" customHeight="false" outlineLevel="0" collapsed="false">
      <c r="B28" s="0" t="s">
        <v>33</v>
      </c>
      <c r="C28" s="11" t="n">
        <f aca="false">'2.Premissas'!C11</f>
        <v>0.17675</v>
      </c>
    </row>
    <row r="29" customFormat="false" ht="15" hidden="false" customHeight="false" outlineLevel="0" collapsed="false">
      <c r="B29" s="0" t="s">
        <v>34</v>
      </c>
      <c r="C29" s="11" t="n">
        <f aca="false">'2.Premissas'!C13</f>
        <v>0.05</v>
      </c>
    </row>
    <row r="30" customFormat="false" ht="15" hidden="false" customHeight="false" outlineLevel="0" collapsed="false">
      <c r="B30" s="0" t="s">
        <v>35</v>
      </c>
      <c r="C30" s="11" t="n">
        <f aca="false">'2.Premissas'!C19</f>
        <v>0.55</v>
      </c>
    </row>
    <row r="31" customFormat="false" ht="15" hidden="false" customHeight="false" outlineLevel="0" collapsed="false">
      <c r="B31" s="0" t="s">
        <v>36</v>
      </c>
      <c r="C31" s="11" t="n">
        <f aca="false">'2.Premissas'!C20</f>
        <v>0.17</v>
      </c>
    </row>
    <row r="34" customFormat="false" ht="15" hidden="false" customHeight="false" outlineLevel="0" collapsed="false">
      <c r="B34" s="8" t="s">
        <v>37</v>
      </c>
    </row>
    <row r="35" customFormat="false" ht="15" hidden="false" customHeight="false" outlineLevel="0" collapsed="false">
      <c r="B35" s="13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</sheetData>
  <hyperlinks>
    <hyperlink ref="B13" r:id="rId1" location="'2.Premissas'!A1" display="2.Premissas"/>
    <hyperlink ref="B14" r:id="rId2" location="'3.Historico'!A1" display="3.Historico"/>
    <hyperlink ref="B15" r:id="rId3" location="'4.Drivers'!A1" display="4.Drivers"/>
    <hyperlink ref="B16" r:id="rId4" location="'5.DRE_Proj'!A1" display="5.DRE_Proj"/>
    <hyperlink ref="B17" r:id="rId5" location="'6.BP_Proj'!A1" display="6.BP_Proj"/>
    <hyperlink ref="B18" r:id="rId6" location="'7.DDM_Valuation'!A1" display="7.DDM_Valuation"/>
    <hyperlink ref="B19" r:id="rId7" location="'8.Multiplos'!A1" display="8.Multiplos"/>
    <hyperlink ref="B20" r:id="rId8" location="'9.Sensibilidade'!A1" display="9.Sensibilidade"/>
    <hyperlink ref="B21" r:id="rId9" location="'10.Dashboard'!A1" display="10.Dashboard"/>
    <hyperlink ref="B22" r:id="rId10" location="'11.Cenarios'!A1" display="11.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42</v>
      </c>
      <c r="C2" s="17"/>
      <c r="D2" s="17"/>
      <c r="E2" s="17"/>
      <c r="F2" s="17"/>
      <c r="G2" s="17"/>
    </row>
    <row r="5" customFormat="false" ht="15" hidden="false" customHeight="false" outlineLevel="0" collapsed="false">
      <c r="B5" s="9" t="s">
        <v>43</v>
      </c>
    </row>
    <row r="6" customFormat="false" ht="15" hidden="false" customHeight="false" outlineLevel="0" collapsed="false">
      <c r="B6" s="18" t="s">
        <v>44</v>
      </c>
      <c r="C6" s="18" t="s">
        <v>45</v>
      </c>
      <c r="D6" s="18" t="s">
        <v>46</v>
      </c>
      <c r="E6" s="18" t="s">
        <v>47</v>
      </c>
    </row>
    <row r="7" customFormat="false" ht="15" hidden="false" customHeight="false" outlineLevel="0" collapsed="false">
      <c r="B7" s="0" t="s">
        <v>48</v>
      </c>
      <c r="C7" s="19" t="n">
        <v>0.115</v>
      </c>
      <c r="D7" s="3" t="s">
        <v>49</v>
      </c>
      <c r="E7" s="3" t="s">
        <v>50</v>
      </c>
    </row>
    <row r="8" customFormat="false" ht="15" hidden="false" customHeight="false" outlineLevel="0" collapsed="false">
      <c r="B8" s="0" t="s">
        <v>51</v>
      </c>
      <c r="C8" s="19" t="n">
        <v>0.065</v>
      </c>
      <c r="D8" s="3" t="s">
        <v>49</v>
      </c>
      <c r="E8" s="3" t="s">
        <v>52</v>
      </c>
    </row>
    <row r="9" customFormat="false" ht="15" hidden="false" customHeight="false" outlineLevel="0" collapsed="false">
      <c r="B9" s="0" t="s">
        <v>53</v>
      </c>
      <c r="C9" s="20" t="n">
        <v>0.95</v>
      </c>
      <c r="D9" s="3" t="s">
        <v>54</v>
      </c>
      <c r="E9" s="3" t="s">
        <v>55</v>
      </c>
    </row>
    <row r="10" customFormat="false" ht="15" hidden="false" customHeight="false" outlineLevel="0" collapsed="false">
      <c r="B10" s="0" t="s">
        <v>56</v>
      </c>
      <c r="C10" s="19" t="n">
        <v>0.02</v>
      </c>
      <c r="D10" s="3" t="s">
        <v>49</v>
      </c>
      <c r="E10" s="3" t="s">
        <v>57</v>
      </c>
    </row>
    <row r="11" customFormat="false" ht="15" hidden="false" customHeight="false" outlineLevel="0" collapsed="false">
      <c r="B11" s="0" t="s">
        <v>58</v>
      </c>
      <c r="C11" s="21" t="n">
        <f aca="false">C7+C9*C8</f>
        <v>0.17675</v>
      </c>
      <c r="D11" s="3" t="s">
        <v>49</v>
      </c>
      <c r="E11" s="3" t="s">
        <v>59</v>
      </c>
    </row>
    <row r="12" customFormat="false" ht="15" hidden="false" customHeight="false" outlineLevel="0" collapsed="false">
      <c r="B12" s="0" t="s">
        <v>60</v>
      </c>
      <c r="C12" s="19" t="n">
        <v>0.035</v>
      </c>
      <c r="D12" s="3" t="s">
        <v>49</v>
      </c>
      <c r="E12" s="3" t="s">
        <v>61</v>
      </c>
    </row>
    <row r="13" customFormat="false" ht="15" hidden="false" customHeight="false" outlineLevel="0" collapsed="false">
      <c r="B13" s="0" t="s">
        <v>62</v>
      </c>
      <c r="C13" s="22" t="n">
        <v>0.05</v>
      </c>
      <c r="D13" s="3" t="s">
        <v>49</v>
      </c>
      <c r="E13" s="3" t="s">
        <v>63</v>
      </c>
    </row>
    <row r="14" customFormat="false" ht="15" hidden="false" customHeight="false" outlineLevel="0" collapsed="false">
      <c r="B14" s="0" t="s">
        <v>64</v>
      </c>
      <c r="C14" s="19" t="n">
        <v>0.35</v>
      </c>
      <c r="D14" s="3" t="s">
        <v>49</v>
      </c>
      <c r="E14" s="3" t="s">
        <v>65</v>
      </c>
    </row>
    <row r="16" customFormat="false" ht="15" hidden="false" customHeight="false" outlineLevel="0" collapsed="false">
      <c r="B16" s="9" t="s">
        <v>66</v>
      </c>
    </row>
    <row r="17" customFormat="false" ht="15" hidden="false" customHeight="false" outlineLevel="0" collapsed="false">
      <c r="B17" s="18" t="s">
        <v>44</v>
      </c>
      <c r="C17" s="18" t="s">
        <v>45</v>
      </c>
      <c r="D17" s="18" t="s">
        <v>46</v>
      </c>
      <c r="E17" s="18" t="s">
        <v>67</v>
      </c>
    </row>
    <row r="18" customFormat="false" ht="15" hidden="false" customHeight="false" outlineLevel="0" collapsed="false">
      <c r="B18" s="0" t="s">
        <v>68</v>
      </c>
      <c r="C18" s="19" t="n">
        <v>0.145</v>
      </c>
      <c r="E18" s="3" t="s">
        <v>69</v>
      </c>
    </row>
    <row r="19" customFormat="false" ht="15" hidden="false" customHeight="false" outlineLevel="0" collapsed="false">
      <c r="B19" s="0" t="s">
        <v>70</v>
      </c>
      <c r="C19" s="22" t="n">
        <v>0.55</v>
      </c>
      <c r="E19" s="3" t="s">
        <v>71</v>
      </c>
    </row>
    <row r="20" customFormat="false" ht="15" hidden="false" customHeight="false" outlineLevel="0" collapsed="false">
      <c r="B20" s="0" t="s">
        <v>36</v>
      </c>
      <c r="C20" s="22" t="n">
        <v>0.17</v>
      </c>
      <c r="E20" s="3" t="s">
        <v>72</v>
      </c>
    </row>
    <row r="21" customFormat="false" ht="15" hidden="false" customHeight="false" outlineLevel="0" collapsed="false">
      <c r="B21" s="0" t="s">
        <v>73</v>
      </c>
      <c r="C21" s="23" t="n">
        <v>9807</v>
      </c>
      <c r="E21" s="3" t="s">
        <v>74</v>
      </c>
    </row>
    <row r="23" customFormat="false" ht="15" hidden="false" customHeight="false" outlineLevel="0" collapsed="false">
      <c r="B23" s="9" t="s">
        <v>75</v>
      </c>
    </row>
    <row r="24" customFormat="false" ht="15" hidden="false" customHeight="false" outlineLevel="0" collapsed="false">
      <c r="B24" s="18" t="s">
        <v>76</v>
      </c>
      <c r="C24" s="24" t="n">
        <v>2026</v>
      </c>
      <c r="D24" s="24" t="n">
        <v>2027</v>
      </c>
      <c r="E24" s="24" t="n">
        <v>2028</v>
      </c>
      <c r="F24" s="24" t="n">
        <v>2029</v>
      </c>
      <c r="G24" s="24" t="n">
        <v>2030</v>
      </c>
    </row>
    <row r="25" customFormat="false" ht="15" hidden="false" customHeight="false" outlineLevel="0" collapsed="false">
      <c r="B25" s="25" t="s">
        <v>77</v>
      </c>
      <c r="C25" s="19" t="n">
        <v>0.075</v>
      </c>
      <c r="D25" s="19" t="n">
        <v>0.08</v>
      </c>
      <c r="E25" s="19" t="n">
        <v>0.08</v>
      </c>
      <c r="F25" s="19" t="n">
        <v>0.075</v>
      </c>
      <c r="G25" s="19" t="n">
        <v>0.07</v>
      </c>
    </row>
    <row r="26" customFormat="false" ht="15" hidden="false" customHeight="false" outlineLevel="0" collapsed="false">
      <c r="B26" s="25" t="s">
        <v>78</v>
      </c>
      <c r="C26" s="19" t="n">
        <v>0.052</v>
      </c>
      <c r="D26" s="19" t="n">
        <v>0.052</v>
      </c>
      <c r="E26" s="19" t="n">
        <v>0.053</v>
      </c>
      <c r="F26" s="19" t="n">
        <v>0.053</v>
      </c>
      <c r="G26" s="19" t="n">
        <v>0.053</v>
      </c>
    </row>
    <row r="27" customFormat="false" ht="15" hidden="false" customHeight="false" outlineLevel="0" collapsed="false">
      <c r="B27" s="25" t="s">
        <v>79</v>
      </c>
      <c r="C27" s="19" t="n">
        <v>0.032</v>
      </c>
      <c r="D27" s="19" t="n">
        <v>0.03</v>
      </c>
      <c r="E27" s="19" t="n">
        <v>0.028</v>
      </c>
      <c r="F27" s="19" t="n">
        <v>0.028</v>
      </c>
      <c r="G27" s="19" t="n">
        <v>0.028</v>
      </c>
    </row>
    <row r="28" customFormat="false" ht="15" hidden="false" customHeight="false" outlineLevel="0" collapsed="false">
      <c r="B28" s="25" t="s">
        <v>80</v>
      </c>
      <c r="C28" s="19" t="n">
        <v>0.07</v>
      </c>
      <c r="D28" s="19" t="n">
        <v>0.07</v>
      </c>
      <c r="E28" s="19" t="n">
        <v>0.065</v>
      </c>
      <c r="F28" s="19" t="n">
        <v>0.06</v>
      </c>
      <c r="G28" s="19" t="n">
        <v>0.06</v>
      </c>
    </row>
    <row r="29" customFormat="false" ht="15" hidden="false" customHeight="false" outlineLevel="0" collapsed="false">
      <c r="B29" s="25" t="s">
        <v>81</v>
      </c>
      <c r="C29" s="19" t="n">
        <v>0.055</v>
      </c>
      <c r="D29" s="19" t="n">
        <v>0.055</v>
      </c>
      <c r="E29" s="19" t="n">
        <v>0.055</v>
      </c>
      <c r="F29" s="19" t="n">
        <v>0.05</v>
      </c>
      <c r="G29" s="19" t="n">
        <v>0.05</v>
      </c>
    </row>
    <row r="30" customFormat="false" ht="15" hidden="false" customHeight="false" outlineLevel="0" collapsed="false">
      <c r="B30" s="25" t="s">
        <v>82</v>
      </c>
      <c r="C30" s="19" t="n">
        <v>0.42</v>
      </c>
      <c r="D30" s="19" t="n">
        <v>0.41</v>
      </c>
      <c r="E30" s="19" t="n">
        <v>0.4</v>
      </c>
      <c r="F30" s="19" t="n">
        <v>0.4</v>
      </c>
      <c r="G30" s="19" t="n">
        <v>0.4</v>
      </c>
    </row>
    <row r="32" customFormat="false" ht="15" hidden="false" customHeight="false" outlineLevel="0" collapsed="false">
      <c r="B32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84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8" t="s">
        <v>86</v>
      </c>
    </row>
    <row r="7" customFormat="false" ht="15" hidden="false" customHeight="false" outlineLevel="0" collapsed="false">
      <c r="B7" s="0" t="s">
        <v>87</v>
      </c>
      <c r="C7" s="27" t="n">
        <v>193</v>
      </c>
      <c r="D7" s="27" t="n">
        <v>173.8</v>
      </c>
      <c r="E7" s="27" t="n">
        <v>195.7</v>
      </c>
      <c r="F7" s="27" t="n">
        <v>283.4</v>
      </c>
      <c r="G7" s="27" t="n">
        <v>313.2</v>
      </c>
      <c r="H7" s="27" t="n">
        <v>335.3</v>
      </c>
      <c r="I7" s="27" t="n">
        <v>387.1</v>
      </c>
    </row>
    <row r="8" customFormat="false" ht="15" hidden="false" customHeight="false" outlineLevel="0" collapsed="false">
      <c r="B8" s="0" t="s">
        <v>88</v>
      </c>
      <c r="C8" s="27" t="n">
        <v>-76</v>
      </c>
      <c r="D8" s="27" t="n">
        <v>-73.6</v>
      </c>
      <c r="E8" s="27" t="n">
        <v>-69.3</v>
      </c>
      <c r="F8" s="27" t="n">
        <v>-167.8</v>
      </c>
      <c r="G8" s="27" t="n">
        <v>-188.7</v>
      </c>
      <c r="H8" s="27" t="n">
        <v>-199.6</v>
      </c>
      <c r="I8" s="27" t="n">
        <v>-248.2</v>
      </c>
    </row>
    <row r="9" customFormat="false" ht="15" hidden="false" customHeight="false" outlineLevel="0" collapsed="false">
      <c r="B9" s="25" t="s">
        <v>89</v>
      </c>
      <c r="C9" s="28" t="n">
        <v>117.1</v>
      </c>
      <c r="D9" s="28" t="n">
        <v>100.2</v>
      </c>
      <c r="E9" s="28" t="n">
        <v>126.4</v>
      </c>
      <c r="F9" s="28" t="n">
        <v>115.6</v>
      </c>
      <c r="G9" s="28" t="n">
        <v>124.5</v>
      </c>
      <c r="H9" s="28" t="n">
        <v>135.7</v>
      </c>
      <c r="I9" s="28" t="n">
        <v>138.9</v>
      </c>
    </row>
    <row r="10" customFormat="false" ht="15" hidden="false" customHeight="false" outlineLevel="0" collapsed="false">
      <c r="B10" s="0" t="s">
        <v>90</v>
      </c>
      <c r="C10" s="27" t="n">
        <v>39</v>
      </c>
      <c r="D10" s="27" t="n">
        <v>38.6</v>
      </c>
      <c r="E10" s="27" t="n">
        <v>42</v>
      </c>
      <c r="F10" s="27" t="n">
        <v>46.4</v>
      </c>
      <c r="G10" s="27" t="n">
        <v>45.7</v>
      </c>
      <c r="H10" s="27" t="n">
        <v>47.1</v>
      </c>
      <c r="I10" s="27" t="n">
        <v>47</v>
      </c>
    </row>
    <row r="11" customFormat="false" ht="15" hidden="false" customHeight="false" outlineLevel="0" collapsed="false">
      <c r="B11" s="0" t="s">
        <v>91</v>
      </c>
      <c r="C11" s="27" t="n">
        <v>-18.3</v>
      </c>
      <c r="D11" s="27" t="n">
        <v>-24.5</v>
      </c>
      <c r="E11" s="27" t="n">
        <v>-14</v>
      </c>
      <c r="F11" s="27" t="n">
        <v>-28.1</v>
      </c>
      <c r="G11" s="27" t="n">
        <v>-31.6</v>
      </c>
      <c r="H11" s="27" t="n">
        <v>-29.5</v>
      </c>
      <c r="I11" s="27" t="n">
        <v>-32.6</v>
      </c>
    </row>
    <row r="12" customFormat="false" ht="15" hidden="false" customHeight="false" outlineLevel="0" collapsed="false">
      <c r="B12" s="0" t="s">
        <v>92</v>
      </c>
      <c r="C12" s="27" t="n">
        <v>-55</v>
      </c>
      <c r="D12" s="27" t="n">
        <v>-58</v>
      </c>
      <c r="E12" s="27" t="n">
        <v>-62</v>
      </c>
      <c r="F12" s="27" t="n">
        <v>-69.2</v>
      </c>
      <c r="G12" s="27" t="n">
        <v>-75.8</v>
      </c>
      <c r="H12" s="27" t="n">
        <v>-79.4</v>
      </c>
      <c r="I12" s="27" t="n">
        <v>-79.2</v>
      </c>
    </row>
    <row r="13" customFormat="false" ht="15" hidden="false" customHeight="false" outlineLevel="0" collapsed="false">
      <c r="B13" s="25" t="s">
        <v>93</v>
      </c>
      <c r="C13" s="28" t="n">
        <v>31.2</v>
      </c>
      <c r="D13" s="28" t="n">
        <v>5.2</v>
      </c>
      <c r="E13" s="28" t="n">
        <v>42.2</v>
      </c>
      <c r="F13" s="28" t="n">
        <v>37.5</v>
      </c>
      <c r="G13" s="28" t="n">
        <v>39.7</v>
      </c>
      <c r="H13" s="28" t="n">
        <v>47.6</v>
      </c>
      <c r="I13" s="28" t="n">
        <v>50.2</v>
      </c>
    </row>
    <row r="14" customFormat="false" ht="15" hidden="false" customHeight="false" outlineLevel="0" collapsed="false">
      <c r="B14" s="25" t="s">
        <v>94</v>
      </c>
      <c r="C14" s="28" t="n">
        <v>27.1</v>
      </c>
      <c r="D14" s="28" t="n">
        <v>18.9</v>
      </c>
      <c r="E14" s="28" t="n">
        <v>26.8</v>
      </c>
      <c r="F14" s="28" t="n">
        <v>29.7</v>
      </c>
      <c r="G14" s="28" t="n">
        <v>33.1</v>
      </c>
      <c r="H14" s="28" t="n">
        <v>41.1</v>
      </c>
      <c r="I14" s="28" t="n">
        <v>44.9</v>
      </c>
    </row>
    <row r="16" customFormat="false" ht="15" hidden="false" customHeight="false" outlineLevel="0" collapsed="false">
      <c r="B16" s="8" t="s">
        <v>95</v>
      </c>
    </row>
    <row r="17" customFormat="false" ht="15" hidden="false" customHeight="false" outlineLevel="0" collapsed="false">
      <c r="B17" s="0" t="s">
        <v>96</v>
      </c>
      <c r="C17" s="27" t="n">
        <v>1637.5</v>
      </c>
      <c r="D17" s="27" t="n">
        <v>2019.3</v>
      </c>
      <c r="E17" s="27" t="n">
        <v>2069.2</v>
      </c>
      <c r="F17" s="27" t="n">
        <v>2323.4</v>
      </c>
      <c r="G17" s="27" t="n">
        <v>2543.1</v>
      </c>
      <c r="H17" s="27" t="n">
        <v>2854.5</v>
      </c>
      <c r="I17" s="27" t="n">
        <v>3066.2</v>
      </c>
    </row>
    <row r="18" customFormat="false" ht="15" hidden="false" customHeight="false" outlineLevel="0" collapsed="false">
      <c r="B18" s="0" t="s">
        <v>97</v>
      </c>
      <c r="C18" s="27" t="n">
        <v>585.8</v>
      </c>
      <c r="D18" s="27" t="n">
        <v>714.1</v>
      </c>
      <c r="E18" s="27" t="n">
        <v>822.6</v>
      </c>
      <c r="F18" s="27" t="n">
        <v>909.4</v>
      </c>
      <c r="G18" s="27" t="n">
        <v>910.6</v>
      </c>
      <c r="H18" s="27" t="n">
        <v>955</v>
      </c>
      <c r="I18" s="27" t="n">
        <v>1020</v>
      </c>
    </row>
    <row r="19" customFormat="false" ht="15" hidden="false" customHeight="false" outlineLevel="0" collapsed="false">
      <c r="B19" s="0" t="s">
        <v>98</v>
      </c>
      <c r="C19" s="27" t="n">
        <v>507.1</v>
      </c>
      <c r="D19" s="27" t="n">
        <v>809</v>
      </c>
      <c r="E19" s="27" t="n">
        <v>850.4</v>
      </c>
      <c r="F19" s="27" t="n">
        <v>871.4</v>
      </c>
      <c r="G19" s="27" t="n">
        <v>951.4</v>
      </c>
      <c r="H19" s="27" t="n">
        <v>1054.7</v>
      </c>
      <c r="I19" s="27" t="n">
        <v>1114.5</v>
      </c>
    </row>
    <row r="20" customFormat="false" ht="15" hidden="false" customHeight="false" outlineLevel="0" collapsed="false">
      <c r="B20" s="25" t="s">
        <v>99</v>
      </c>
      <c r="C20" s="28" t="n">
        <v>136.9</v>
      </c>
      <c r="D20" s="28" t="n">
        <v>143</v>
      </c>
      <c r="E20" s="28" t="n">
        <v>152.9</v>
      </c>
      <c r="F20" s="28" t="n">
        <v>168</v>
      </c>
      <c r="G20" s="28" t="n">
        <v>190.2</v>
      </c>
      <c r="H20" s="28" t="n">
        <v>211.1</v>
      </c>
      <c r="I20" s="28" t="n">
        <v>204.5</v>
      </c>
    </row>
    <row r="22" customFormat="false" ht="15" hidden="false" customHeight="false" outlineLevel="0" collapsed="false">
      <c r="B22" s="8" t="s">
        <v>100</v>
      </c>
    </row>
    <row r="23" customFormat="false" ht="15" hidden="false" customHeight="false" outlineLevel="0" collapsed="false">
      <c r="B23" s="0" t="s">
        <v>101</v>
      </c>
      <c r="C23" s="7" t="n">
        <f aca="false">IFERROR(C14/C7,0)</f>
        <v>0.140414507772021</v>
      </c>
      <c r="D23" s="7" t="n">
        <f aca="false">IFERROR(D14/D7,0)</f>
        <v>0.108745684695052</v>
      </c>
      <c r="E23" s="7" t="n">
        <f aca="false">IFERROR(E14/E7,0)</f>
        <v>0.136944302503832</v>
      </c>
      <c r="F23" s="7" t="n">
        <f aca="false">IFERROR(F14/F7,0)</f>
        <v>0.104798870853917</v>
      </c>
      <c r="G23" s="7" t="n">
        <f aca="false">IFERROR(G14/G7,0)</f>
        <v>0.105683269476373</v>
      </c>
      <c r="H23" s="7" t="n">
        <f aca="false">IFERROR(H14/H7,0)</f>
        <v>0.1225767968983</v>
      </c>
      <c r="I23" s="7" t="n">
        <f aca="false">IFERROR(I14/I7,0)</f>
        <v>0.115990700077499</v>
      </c>
    </row>
    <row r="24" customFormat="false" ht="15" hidden="false" customHeight="false" outlineLevel="0" collapsed="false">
      <c r="B24" s="0" t="s">
        <v>102</v>
      </c>
      <c r="C24" s="7" t="n">
        <f aca="false">IFERROR(C9/C17,0)</f>
        <v>0.0715114503816794</v>
      </c>
      <c r="D24" s="7" t="n">
        <f aca="false">IFERROR(D9/((D17+C17)/2),0)</f>
        <v>0.0548020126886896</v>
      </c>
      <c r="E24" s="7" t="n">
        <f aca="false">IFERROR(E9/((E17+D17)/2),0)</f>
        <v>0.0618319677143207</v>
      </c>
      <c r="F24" s="7" t="n">
        <f aca="false">IFERROR(F9/((F17+E17)/2),0)</f>
        <v>0.0526339753221327</v>
      </c>
      <c r="G24" s="7" t="n">
        <f aca="false">IFERROR(G9/((G17+F17)/2),0)</f>
        <v>0.0511661358265694</v>
      </c>
      <c r="H24" s="7" t="n">
        <f aca="false">IFERROR(H9/((H17+G17)/2),0)</f>
        <v>0.0502816066399881</v>
      </c>
      <c r="I24" s="7" t="n">
        <f aca="false">IFERROR(I9/((I17+H17)/2),0)</f>
        <v>0.0469201276876045</v>
      </c>
    </row>
    <row r="25" customFormat="false" ht="15" hidden="false" customHeight="false" outlineLevel="0" collapsed="false">
      <c r="B25" s="0" t="s">
        <v>103</v>
      </c>
      <c r="C25" s="7" t="n">
        <f aca="false">IFERROR(C14/C20,0)</f>
        <v>0.197954711468225</v>
      </c>
      <c r="D25" s="7" t="n">
        <f aca="false">IFERROR(D14/((D20+C20)/2),0)</f>
        <v>0.135048231511254</v>
      </c>
      <c r="E25" s="7" t="n">
        <f aca="false">IFERROR(E14/((E20+D20)/2),0)</f>
        <v>0.181142277796553</v>
      </c>
      <c r="F25" s="7" t="n">
        <f aca="false">IFERROR(F14/((F20+E20)/2),0)</f>
        <v>0.185104393892178</v>
      </c>
      <c r="G25" s="7" t="n">
        <f aca="false">IFERROR(G14/((G20+F20)/2),0)</f>
        <v>0.184812953657175</v>
      </c>
      <c r="H25" s="7" t="n">
        <f aca="false">IFERROR(H14/((H20+G20)/2),0)</f>
        <v>0.204834288562173</v>
      </c>
      <c r="I25" s="7" t="n">
        <f aca="false">IFERROR(I14/((I20+H20)/2),0)</f>
        <v>0.216073147256978</v>
      </c>
    </row>
    <row r="26" customFormat="false" ht="15" hidden="false" customHeight="false" outlineLevel="0" collapsed="false">
      <c r="B26" s="0" t="s">
        <v>104</v>
      </c>
      <c r="C26" s="7" t="n">
        <f aca="false">IFERROR(C14/C17,0)</f>
        <v>0.0165496183206107</v>
      </c>
      <c r="D26" s="7" t="n">
        <f aca="false">IFERROR(D14/((D17+C17)/2),0)</f>
        <v>0.0103369065849923</v>
      </c>
      <c r="E26" s="7" t="n">
        <f aca="false">IFERROR(E14/((E17+D17)/2),0)</f>
        <v>0.0131099425217072</v>
      </c>
      <c r="F26" s="7" t="n">
        <f aca="false">IFERROR(F14/((F17+E17)/2),0)</f>
        <v>0.0135227427947002</v>
      </c>
      <c r="G26" s="7" t="n">
        <f aca="false">IFERROR(G14/((G17+F17)/2),0)</f>
        <v>0.0136032055892325</v>
      </c>
      <c r="H26" s="7" t="n">
        <f aca="false">IFERROR(H14/((H17+G17)/2),0)</f>
        <v>0.0152289906625167</v>
      </c>
      <c r="I26" s="7" t="n">
        <f aca="false">IFERROR(I14/((I17+H17)/2),0)</f>
        <v>0.0151671255088081</v>
      </c>
    </row>
    <row r="27" customFormat="false" ht="15" hidden="false" customHeight="false" outlineLevel="0" collapsed="false">
      <c r="B27" s="0" t="s">
        <v>105</v>
      </c>
      <c r="C27" s="7" t="n">
        <f aca="false">IFERROR(-C11/C18,0)</f>
        <v>0.0312393308296347</v>
      </c>
      <c r="D27" s="7" t="n">
        <f aca="false">IFERROR(-D11/D18,0)</f>
        <v>0.034308920319283</v>
      </c>
      <c r="E27" s="7" t="n">
        <f aca="false">IFERROR(-E11/E18,0)</f>
        <v>0.0170192073911986</v>
      </c>
      <c r="F27" s="7" t="n">
        <f aca="false">IFERROR(-F11/F18,0)</f>
        <v>0.0308994941719815</v>
      </c>
      <c r="G27" s="7" t="n">
        <f aca="false">IFERROR(-G11/G18,0)</f>
        <v>0.034702394025917</v>
      </c>
      <c r="H27" s="7" t="n">
        <f aca="false">IFERROR(-H11/H18,0)</f>
        <v>0.0308900523560209</v>
      </c>
      <c r="I27" s="7" t="n">
        <f aca="false">IFERROR(-I11/I18,0)</f>
        <v>0.0319607843137255</v>
      </c>
    </row>
    <row r="28" customFormat="false" ht="15" hidden="false" customHeight="false" outlineLevel="0" collapsed="false">
      <c r="B28" s="0" t="s">
        <v>106</v>
      </c>
      <c r="C28" s="7" t="n">
        <f aca="false">IFERROR(-C12/(C9+C10),0)</f>
        <v>0.352338244714926</v>
      </c>
      <c r="D28" s="7" t="n">
        <f aca="false">IFERROR(-D12/(D9+D10),0)</f>
        <v>0.417867435158501</v>
      </c>
      <c r="E28" s="7" t="n">
        <f aca="false">IFERROR(-E12/(E9+E10),0)</f>
        <v>0.368171021377672</v>
      </c>
      <c r="F28" s="7" t="n">
        <f aca="false">IFERROR(-F12/(F9+F10),0)</f>
        <v>0.427160493827161</v>
      </c>
      <c r="G28" s="7" t="n">
        <f aca="false">IFERROR(-G12/(G9+G10),0)</f>
        <v>0.445358401880141</v>
      </c>
      <c r="H28" s="7" t="n">
        <f aca="false">IFERROR(-H12/(H9+H10),0)</f>
        <v>0.434354485776805</v>
      </c>
      <c r="I28" s="7" t="n">
        <f aca="false">IFERROR(-I12/(I9+I10),0)</f>
        <v>0.42603550295858</v>
      </c>
    </row>
    <row r="29" customFormat="false" ht="15" hidden="false" customHeight="false" outlineLevel="0" collapsed="false">
      <c r="B29" s="0" t="s">
        <v>107</v>
      </c>
      <c r="C29" s="29" t="n">
        <f aca="false">IFERROR(C17/C20,0)</f>
        <v>11.9612856099343</v>
      </c>
      <c r="D29" s="29" t="n">
        <f aca="false">IFERROR(D17/D20,0)</f>
        <v>14.120979020979</v>
      </c>
      <c r="E29" s="29" t="n">
        <f aca="false">IFERROR(E17/E20,0)</f>
        <v>13.5330281229562</v>
      </c>
      <c r="F29" s="29" t="n">
        <f aca="false">IFERROR(F17/F20,0)</f>
        <v>13.8297619047619</v>
      </c>
      <c r="G29" s="29" t="n">
        <f aca="false">IFERROR(G17/G20,0)</f>
        <v>13.3706624605678</v>
      </c>
      <c r="H29" s="29" t="n">
        <f aca="false">IFERROR(H17/H20,0)</f>
        <v>13.5220274751303</v>
      </c>
      <c r="I29" s="29" t="n">
        <f aca="false">IFERROR(I17/I20,0)</f>
        <v>14.9936430317848</v>
      </c>
    </row>
    <row r="30" customFormat="false" ht="15" hidden="false" customHeight="false" outlineLevel="0" collapsed="false">
      <c r="B30" s="0" t="s">
        <v>108</v>
      </c>
      <c r="C30" s="7" t="str">
        <f aca="false">"-"</f>
        <v>-</v>
      </c>
      <c r="D30" s="7" t="n">
        <f aca="false">IFERROR(D18/C18-1,0)</f>
        <v>0.219016729259133</v>
      </c>
      <c r="E30" s="7" t="n">
        <f aca="false">IFERROR(E18/D18-1,0)</f>
        <v>0.15193950427111</v>
      </c>
      <c r="F30" s="7" t="n">
        <f aca="false">IFERROR(F18/E18-1,0)</f>
        <v>0.105519085825432</v>
      </c>
      <c r="G30" s="7" t="n">
        <f aca="false">IFERROR(G18/F18-1,0)</f>
        <v>0.00131955135254014</v>
      </c>
      <c r="H30" s="7" t="n">
        <f aca="false">IFERROR(H18/G18-1,0)</f>
        <v>0.0487590599604657</v>
      </c>
      <c r="I30" s="7" t="n">
        <f aca="false">IFERROR(I18/H18-1,0)</f>
        <v>0.0680628272251309</v>
      </c>
    </row>
    <row r="31" customFormat="false" ht="15" hidden="false" customHeight="false" outlineLevel="0" collapsed="false">
      <c r="B31" s="0" t="s">
        <v>109</v>
      </c>
      <c r="C31" s="7" t="str">
        <f aca="false">"-"</f>
        <v>-</v>
      </c>
      <c r="D31" s="7" t="n">
        <f aca="false">IFERROR(D14/C14-1,0)</f>
        <v>-0.302583025830258</v>
      </c>
      <c r="E31" s="7" t="n">
        <f aca="false">IFERROR(E14/D14-1,0)</f>
        <v>0.417989417989418</v>
      </c>
      <c r="F31" s="7" t="n">
        <f aca="false">IFERROR(F14/E14-1,0)</f>
        <v>0.108208955223881</v>
      </c>
      <c r="G31" s="7" t="n">
        <f aca="false">IFERROR(G14/F14-1,0)</f>
        <v>0.114478114478115</v>
      </c>
      <c r="H31" s="7" t="n">
        <f aca="false">IFERROR(H14/G14-1,0)</f>
        <v>0.241691842900302</v>
      </c>
      <c r="I31" s="7" t="n">
        <f aca="false">IFERROR(I14/H14-1,0)</f>
        <v>0.0924574209245741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4"/>
    <col collapsed="false" customWidth="true" hidden="false" outlineLevel="0" max="13" min="13" style="0" width="3"/>
  </cols>
  <sheetData>
    <row r="2" customFormat="false" ht="15" hidden="false" customHeight="false" outlineLevel="0" collapsed="false">
      <c r="B2" s="17" t="s">
        <v>110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B4" s="18" t="s">
        <v>76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  <c r="J4" s="30" t="n">
        <v>2026</v>
      </c>
      <c r="K4" s="30" t="n">
        <v>2027</v>
      </c>
      <c r="L4" s="30" t="n">
        <v>2028</v>
      </c>
      <c r="M4" s="30" t="n">
        <v>2029</v>
      </c>
      <c r="N4" s="30" t="n">
        <v>2030</v>
      </c>
    </row>
    <row r="6" customFormat="false" ht="15" hidden="false" customHeight="false" outlineLevel="0" collapsed="false">
      <c r="B6" s="25" t="s">
        <v>111</v>
      </c>
      <c r="C6" s="31" t="n">
        <f aca="false">'3.Historico'!C18</f>
        <v>585.8</v>
      </c>
      <c r="D6" s="31" t="n">
        <f aca="false">'3.Historico'!D18</f>
        <v>714.1</v>
      </c>
      <c r="E6" s="31" t="n">
        <f aca="false">'3.Historico'!E18</f>
        <v>822.6</v>
      </c>
      <c r="F6" s="31" t="n">
        <f aca="false">'3.Historico'!F18</f>
        <v>909.4</v>
      </c>
      <c r="G6" s="31" t="n">
        <f aca="false">'3.Historico'!G18</f>
        <v>910.6</v>
      </c>
      <c r="H6" s="31" t="n">
        <f aca="false">'3.Historico'!H18</f>
        <v>955</v>
      </c>
      <c r="I6" s="31" t="n">
        <f aca="false">'3.Historico'!I18</f>
        <v>1020</v>
      </c>
      <c r="J6" s="32" t="n">
        <f aca="false">I6*(1+'2.Premissas'!C25)</f>
        <v>1096.5</v>
      </c>
      <c r="K6" s="32" t="n">
        <f aca="false">J6*(1+'2.Premissas'!D25)</f>
        <v>1184.22</v>
      </c>
      <c r="L6" s="32" t="n">
        <f aca="false">K6*(1+'2.Premissas'!E25)</f>
        <v>1278.9576</v>
      </c>
      <c r="M6" s="32" t="n">
        <f aca="false">L6*(1+'2.Premissas'!F25)</f>
        <v>1374.87942</v>
      </c>
      <c r="N6" s="32" t="n">
        <f aca="false">M6*(1+'2.Premissas'!G25)</f>
        <v>1471.1209794</v>
      </c>
    </row>
    <row r="7" customFormat="false" ht="15" hidden="false" customHeight="false" outlineLevel="0" collapsed="false">
      <c r="B7" s="25" t="s">
        <v>112</v>
      </c>
      <c r="C7" s="7" t="n">
        <f aca="false">'3.Historico'!C9/'3.Historico'!C17</f>
        <v>0.0715114503816794</v>
      </c>
      <c r="D7" s="7" t="n">
        <f aca="false">'3.Historico'!D9/(('3.Historico'!D17+'3.Historico'!C17)/2)</f>
        <v>0.0548020126886896</v>
      </c>
      <c r="E7" s="7" t="n">
        <f aca="false">'3.Historico'!E9/(('3.Historico'!E17+'3.Historico'!D17)/2)</f>
        <v>0.0618319677143207</v>
      </c>
      <c r="F7" s="7" t="n">
        <f aca="false">'3.Historico'!F9/(('3.Historico'!F17+'3.Historico'!E17)/2)</f>
        <v>0.0526339753221327</v>
      </c>
      <c r="G7" s="7" t="n">
        <f aca="false">'3.Historico'!G9/(('3.Historico'!G17+'3.Historico'!F17)/2)</f>
        <v>0.0511661358265694</v>
      </c>
      <c r="H7" s="7" t="n">
        <f aca="false">'3.Historico'!H9/(('3.Historico'!H17+'3.Historico'!G17)/2)</f>
        <v>0.0502816066399881</v>
      </c>
      <c r="I7" s="7" t="n">
        <f aca="false">'3.Historico'!I9/(('3.Historico'!I17+'3.Historico'!H17)/2)</f>
        <v>0.0469201276876045</v>
      </c>
      <c r="J7" s="11" t="n">
        <f aca="false">'2.Premissas'!C26</f>
        <v>0.052</v>
      </c>
      <c r="K7" s="11" t="n">
        <f aca="false">'2.Premissas'!D26</f>
        <v>0.052</v>
      </c>
      <c r="L7" s="11" t="n">
        <f aca="false">'2.Premissas'!E26</f>
        <v>0.053</v>
      </c>
      <c r="M7" s="11" t="n">
        <f aca="false">'2.Premissas'!F26</f>
        <v>0.053</v>
      </c>
      <c r="N7" s="11" t="n">
        <f aca="false">'2.Premissas'!G26</f>
        <v>0.053</v>
      </c>
    </row>
    <row r="8" customFormat="false" ht="15" hidden="false" customHeight="false" outlineLevel="0" collapsed="false">
      <c r="B8" s="25" t="s">
        <v>113</v>
      </c>
      <c r="C8" s="7" t="n">
        <f aca="false">-'3.Historico'!C11/'3.Historico'!C18</f>
        <v>0.0312393308296347</v>
      </c>
      <c r="D8" s="7" t="n">
        <f aca="false">-'3.Historico'!D11/'3.Historico'!D18</f>
        <v>0.034308920319283</v>
      </c>
      <c r="E8" s="7" t="n">
        <f aca="false">-'3.Historico'!E11/'3.Historico'!E18</f>
        <v>0.0170192073911986</v>
      </c>
      <c r="F8" s="7" t="n">
        <f aca="false">-'3.Historico'!F11/'3.Historico'!F18</f>
        <v>0.0308994941719815</v>
      </c>
      <c r="G8" s="7" t="n">
        <f aca="false">-'3.Historico'!G11/'3.Historico'!G18</f>
        <v>0.034702394025917</v>
      </c>
      <c r="H8" s="7" t="n">
        <f aca="false">-'3.Historico'!H11/'3.Historico'!H18</f>
        <v>0.0308900523560209</v>
      </c>
      <c r="I8" s="7" t="n">
        <f aca="false">-'3.Historico'!I11/'3.Historico'!I18</f>
        <v>0.0319607843137255</v>
      </c>
      <c r="J8" s="11" t="n">
        <f aca="false">'2.Premissas'!C27</f>
        <v>0.032</v>
      </c>
      <c r="K8" s="11" t="n">
        <f aca="false">'2.Premissas'!D27</f>
        <v>0.03</v>
      </c>
      <c r="L8" s="11" t="n">
        <f aca="false">'2.Premissas'!E27</f>
        <v>0.028</v>
      </c>
      <c r="M8" s="11" t="n">
        <f aca="false">'2.Premissas'!F27</f>
        <v>0.028</v>
      </c>
      <c r="N8" s="11" t="n">
        <f aca="false">'2.Premissas'!G27</f>
        <v>0.028</v>
      </c>
    </row>
    <row r="9" customFormat="false" ht="15" hidden="false" customHeight="false" outlineLevel="0" collapsed="false">
      <c r="B9" s="25" t="s">
        <v>114</v>
      </c>
      <c r="D9" s="7" t="n">
        <f aca="false">'3.Historico'!D12/'3.Historico'!C12-1</f>
        <v>0.0545454545454545</v>
      </c>
      <c r="E9" s="7" t="n">
        <f aca="false">'3.Historico'!E12/'3.Historico'!D12-1</f>
        <v>0.0689655172413792</v>
      </c>
      <c r="F9" s="7" t="n">
        <f aca="false">'3.Historico'!F12/'3.Historico'!E12-1</f>
        <v>0.116129032258065</v>
      </c>
      <c r="G9" s="7" t="n">
        <f aca="false">'3.Historico'!G12/'3.Historico'!F12-1</f>
        <v>0.0953757225433525</v>
      </c>
      <c r="H9" s="7" t="n">
        <f aca="false">'3.Historico'!H12/'3.Historico'!G12-1</f>
        <v>0.0474934036939314</v>
      </c>
      <c r="I9" s="7" t="n">
        <f aca="false">'3.Historico'!I12/'3.Historico'!H12-1</f>
        <v>-0.00251889168765751</v>
      </c>
      <c r="J9" s="11" t="n">
        <f aca="false">'2.Premissas'!C29</f>
        <v>0.055</v>
      </c>
      <c r="K9" s="11" t="n">
        <f aca="false">'2.Premissas'!D29</f>
        <v>0.055</v>
      </c>
      <c r="L9" s="11" t="n">
        <f aca="false">'2.Premissas'!E29</f>
        <v>0.055</v>
      </c>
      <c r="M9" s="11" t="n">
        <f aca="false">'2.Premissas'!F29</f>
        <v>0.05</v>
      </c>
      <c r="N9" s="11" t="n">
        <f aca="false">'2.Premissas'!G29</f>
        <v>0.05</v>
      </c>
    </row>
    <row r="10" customFormat="false" ht="15" hidden="false" customHeight="false" outlineLevel="0" collapsed="false">
      <c r="B10" s="25" t="s">
        <v>115</v>
      </c>
      <c r="C10" s="7" t="n">
        <f aca="false">'3.Historico'!C14/'3.Historico'!C20</f>
        <v>0.197954711468225</v>
      </c>
      <c r="D10" s="7" t="n">
        <f aca="false">'3.Historico'!D14/(('3.Historico'!D20+'3.Historico'!C20)/2)</f>
        <v>0.135048231511254</v>
      </c>
      <c r="E10" s="7" t="n">
        <f aca="false">'3.Historico'!E14/(('3.Historico'!E20+'3.Historico'!D20)/2)</f>
        <v>0.181142277796553</v>
      </c>
      <c r="F10" s="7" t="n">
        <f aca="false">'3.Historico'!F14/(('3.Historico'!F20+'3.Historico'!E20)/2)</f>
        <v>0.185104393892178</v>
      </c>
      <c r="G10" s="7" t="n">
        <f aca="false">'3.Historico'!G14/(('3.Historico'!G20+'3.Historico'!F20)/2)</f>
        <v>0.184812953657175</v>
      </c>
      <c r="H10" s="7" t="n">
        <f aca="false">'3.Historico'!H14/(('3.Historico'!H20+'3.Historico'!G20)/2)</f>
        <v>0.204834288562173</v>
      </c>
      <c r="I10" s="7" t="n">
        <f aca="false">'3.Historico'!I14/(('3.Historico'!I20+'3.Historico'!H20)/2)</f>
        <v>0.216073147256978</v>
      </c>
      <c r="J10" s="11" t="n">
        <f aca="false">IFERROR('5.DRE_Proj'!C18/(('6.BP_Proj'!C17+'3.Historico'!I20)/2),0)</f>
        <v>0.268833914930839</v>
      </c>
      <c r="K10" s="11" t="n">
        <f aca="false">IFERROR('5.DRE_Proj'!D18/(('6.BP_Proj'!D17+'6.BP_Proj'!C17)/2),0)</f>
        <v>0.268277782470156</v>
      </c>
      <c r="L10" s="11" t="n">
        <f aca="false">IFERROR('5.DRE_Proj'!E18/(('6.BP_Proj'!E17+'6.BP_Proj'!D17)/2),0)</f>
        <v>0.272428194010603</v>
      </c>
      <c r="M10" s="11" t="n">
        <f aca="false">IFERROR('5.DRE_Proj'!F18/(('6.BP_Proj'!F17+'6.BP_Proj'!E17)/2),0)</f>
        <v>0.259359056966415</v>
      </c>
      <c r="N10" s="11" t="n">
        <f aca="false">IFERROR('5.DRE_Proj'!G18/(('6.BP_Proj'!G17+'6.BP_Proj'!F17)/2),0)</f>
        <v>0.24750143427924</v>
      </c>
    </row>
    <row r="11" customFormat="false" ht="15" hidden="false" customHeight="false" outlineLevel="0" collapsed="false">
      <c r="B11" s="25" t="s">
        <v>116</v>
      </c>
      <c r="C11" s="7" t="n">
        <f aca="false">-'3.Historico'!C12/('3.Historico'!C9+'3.Historico'!C10)</f>
        <v>0.352338244714926</v>
      </c>
      <c r="D11" s="7" t="n">
        <f aca="false">-'3.Historico'!D12/('3.Historico'!D9+'3.Historico'!D10)</f>
        <v>0.417867435158501</v>
      </c>
      <c r="E11" s="7" t="n">
        <f aca="false">-'3.Historico'!E12/('3.Historico'!E9+'3.Historico'!E10)</f>
        <v>0.368171021377672</v>
      </c>
      <c r="F11" s="7" t="n">
        <f aca="false">-'3.Historico'!F12/('3.Historico'!F9+'3.Historico'!F10)</f>
        <v>0.427160493827161</v>
      </c>
      <c r="G11" s="7" t="n">
        <f aca="false">-'3.Historico'!G12/('3.Historico'!G9+'3.Historico'!G10)</f>
        <v>0.445358401880141</v>
      </c>
      <c r="H11" s="7" t="n">
        <f aca="false">-'3.Historico'!H12/('3.Historico'!H9+'3.Historico'!H10)</f>
        <v>0.434354485776805</v>
      </c>
      <c r="I11" s="7" t="n">
        <f aca="false">-'3.Historico'!I12/('3.Historico'!I9+'3.Historico'!I10)</f>
        <v>0.42603550295858</v>
      </c>
      <c r="J11" s="11" t="n">
        <f aca="false">'2.Premissas'!C30</f>
        <v>0.42</v>
      </c>
      <c r="K11" s="11" t="n">
        <f aca="false">'2.Premissas'!D30</f>
        <v>0.41</v>
      </c>
      <c r="L11" s="11" t="n">
        <f aca="false">'2.Premissas'!E30</f>
        <v>0.4</v>
      </c>
      <c r="M11" s="11" t="n">
        <f aca="false">'2.Premissas'!F30</f>
        <v>0.4</v>
      </c>
      <c r="N11" s="11" t="n">
        <f aca="false">'2.Premissas'!G30</f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6" customFormat="false" ht="15" hidden="false" customHeight="false" outlineLevel="0" collapsed="false">
      <c r="B6" s="3" t="s">
        <v>119</v>
      </c>
      <c r="C6" s="32" t="n">
        <f aca="false">('6.BP_Proj'!C5+'3.Historico'!I17)/2</f>
        <v>3181.1825</v>
      </c>
      <c r="D6" s="32" t="n">
        <f aca="false">('6.BP_Proj'!D5+'6.BP_Proj'!C5)/2</f>
        <v>3428.0116</v>
      </c>
      <c r="E6" s="32" t="n">
        <f aca="false">('6.BP_Proj'!E5+'6.BP_Proj'!D5)/2</f>
        <v>3702.252528</v>
      </c>
      <c r="F6" s="32" t="n">
        <f aca="false">('6.BP_Proj'!F5+'6.BP_Proj'!E5)/2</f>
        <v>3988.8211131</v>
      </c>
      <c r="G6" s="32" t="n">
        <f aca="false">('6.BP_Proj'!G5+'6.BP_Proj'!F5)/2</f>
        <v>4277.650208157</v>
      </c>
      <c r="H6" s="32" t="n">
        <f aca="false">G6*(1+'2.Premissas'!C13)/(1+'2.Premissas'!G25)</f>
        <v>4197.69412949986</v>
      </c>
    </row>
    <row r="7" customFormat="false" ht="15" hidden="false" customHeight="false" outlineLevel="0" collapsed="false">
      <c r="B7" s="25" t="s">
        <v>89</v>
      </c>
      <c r="C7" s="32" t="n">
        <f aca="false">C6*'2.Premissas'!C26</f>
        <v>165.42149</v>
      </c>
      <c r="D7" s="32" t="n">
        <f aca="false">D6*'2.Premissas'!D26</f>
        <v>178.2566032</v>
      </c>
      <c r="E7" s="32" t="n">
        <f aca="false">E6*'2.Premissas'!E26</f>
        <v>196.219383984</v>
      </c>
      <c r="F7" s="32" t="n">
        <f aca="false">F6*'2.Premissas'!F26</f>
        <v>211.4075189943</v>
      </c>
      <c r="G7" s="32" t="n">
        <f aca="false">G6*'2.Premissas'!G26</f>
        <v>226.715461032321</v>
      </c>
      <c r="H7" s="32" t="n">
        <f aca="false">H6*'2.Premissas'!G26</f>
        <v>222.477788863493</v>
      </c>
    </row>
    <row r="8" customFormat="false" ht="15" hidden="false" customHeight="false" outlineLevel="0" collapsed="false">
      <c r="B8" s="14" t="s">
        <v>120</v>
      </c>
      <c r="C8" s="32" t="n">
        <f aca="false">'3.Historico'!I10*(1+'2.Premissas'!C28)</f>
        <v>50.29</v>
      </c>
      <c r="D8" s="32" t="n">
        <f aca="false">C8*(1+'2.Premissas'!D28)</f>
        <v>53.8103</v>
      </c>
      <c r="E8" s="32" t="n">
        <f aca="false">D8*(1+'2.Premissas'!E28)</f>
        <v>57.3079695</v>
      </c>
      <c r="F8" s="32" t="n">
        <f aca="false">E8*(1+'2.Premissas'!F28)</f>
        <v>60.74644767</v>
      </c>
      <c r="G8" s="32" t="n">
        <f aca="false">F8*(1+'2.Premissas'!G28)</f>
        <v>64.3912345302</v>
      </c>
      <c r="H8" s="32" t="n">
        <f aca="false">G8*(1+'2.Premissas'!C13)</f>
        <v>67.61079625671</v>
      </c>
    </row>
    <row r="9" customFormat="false" ht="15" hidden="false" customHeight="false" outlineLevel="0" collapsed="false">
      <c r="B9" s="14" t="s">
        <v>121</v>
      </c>
      <c r="C9" s="32" t="n">
        <f aca="false">-'4.Drivers'!J6*'2.Premissas'!C27</f>
        <v>-35.088</v>
      </c>
      <c r="D9" s="32" t="n">
        <f aca="false">-'4.Drivers'!K6*'2.Premissas'!D27</f>
        <v>-35.5266</v>
      </c>
      <c r="E9" s="32" t="n">
        <f aca="false">-'4.Drivers'!L6*'2.Premissas'!E27</f>
        <v>-35.8108128</v>
      </c>
      <c r="F9" s="32" t="n">
        <f aca="false">-'4.Drivers'!M6*'2.Premissas'!F27</f>
        <v>-38.49662376</v>
      </c>
      <c r="G9" s="32" t="n">
        <f aca="false">-'4.Drivers'!N6*'2.Premissas'!G27</f>
        <v>-41.1913874232</v>
      </c>
      <c r="H9" s="32" t="n">
        <f aca="false">G9*(1+'2.Premissas'!C13)</f>
        <v>-43.25095679436</v>
      </c>
    </row>
    <row r="10" customFormat="false" ht="15" hidden="false" customHeight="false" outlineLevel="0" collapsed="false">
      <c r="B10" s="34" t="s">
        <v>122</v>
      </c>
      <c r="C10" s="35" t="n">
        <f aca="false">C7+C8</f>
        <v>215.71149</v>
      </c>
      <c r="D10" s="35" t="n">
        <f aca="false">D7+D8</f>
        <v>232.0669032</v>
      </c>
      <c r="E10" s="35" t="n">
        <f aca="false">E7+E8</f>
        <v>253.527353484</v>
      </c>
      <c r="F10" s="35" t="n">
        <f aca="false">F7+F8</f>
        <v>272.1539666643</v>
      </c>
      <c r="G10" s="35" t="n">
        <f aca="false">G7+G8</f>
        <v>291.106695562521</v>
      </c>
      <c r="H10" s="35" t="n">
        <f aca="false">H7+H8</f>
        <v>290.088585120203</v>
      </c>
    </row>
    <row r="11" customFormat="false" ht="15" hidden="false" customHeight="false" outlineLevel="0" collapsed="false">
      <c r="B11" s="14" t="s">
        <v>92</v>
      </c>
      <c r="C11" s="32" t="n">
        <f aca="false">-C10*'2.Premissas'!C30</f>
        <v>-90.5988258</v>
      </c>
      <c r="D11" s="32" t="n">
        <f aca="false">-D10*'2.Premissas'!D30</f>
        <v>-95.147430312</v>
      </c>
      <c r="E11" s="32" t="n">
        <f aca="false">-E10*'2.Premissas'!E30</f>
        <v>-101.4109413936</v>
      </c>
      <c r="F11" s="32" t="n">
        <f aca="false">-F10*'2.Premissas'!F30</f>
        <v>-108.86158666572</v>
      </c>
      <c r="G11" s="32" t="n">
        <f aca="false">-G10*'2.Premissas'!G30</f>
        <v>-116.442678225008</v>
      </c>
      <c r="H11" s="32" t="n">
        <f aca="false">-H10*'2.Premissas'!G30</f>
        <v>-116.035434048081</v>
      </c>
    </row>
    <row r="13" customFormat="false" ht="15" hidden="false" customHeight="false" outlineLevel="0" collapsed="false">
      <c r="B13" s="25" t="s">
        <v>123</v>
      </c>
      <c r="C13" s="36" t="n">
        <f aca="false">C7+C8+C9+C11</f>
        <v>90.0246642</v>
      </c>
      <c r="D13" s="36" t="n">
        <f aca="false">D7+D8+D9+D11</f>
        <v>101.392872888</v>
      </c>
      <c r="E13" s="36" t="n">
        <f aca="false">E7+E8+E9+E11</f>
        <v>116.3055992904</v>
      </c>
      <c r="F13" s="36" t="n">
        <f aca="false">F7+F8+F9+F11</f>
        <v>124.79575623858</v>
      </c>
      <c r="G13" s="36" t="n">
        <f aca="false">G7+G8+G9+G11</f>
        <v>133.472629914313</v>
      </c>
      <c r="H13" s="36" t="n">
        <f aca="false">H7+H8+H9+H11</f>
        <v>130.802194277762</v>
      </c>
    </row>
    <row r="14" customFormat="false" ht="15" hidden="false" customHeight="false" outlineLevel="0" collapsed="false">
      <c r="B14" s="3" t="s">
        <v>124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</row>
    <row r="15" customFormat="false" ht="15" hidden="false" customHeight="false" outlineLevel="0" collapsed="false">
      <c r="B15" s="25" t="s">
        <v>93</v>
      </c>
      <c r="C15" s="35" t="n">
        <f aca="false">C13+C14</f>
        <v>90.0246642</v>
      </c>
      <c r="D15" s="35" t="n">
        <f aca="false">D13+D14</f>
        <v>101.392872888</v>
      </c>
      <c r="E15" s="35" t="n">
        <f aca="false">E13+E14</f>
        <v>116.3055992904</v>
      </c>
      <c r="F15" s="35" t="n">
        <f aca="false">F13+F14</f>
        <v>124.79575623858</v>
      </c>
      <c r="G15" s="35" t="n">
        <f aca="false">G13+G14</f>
        <v>133.472629914313</v>
      </c>
      <c r="H15" s="35" t="n">
        <f aca="false">H13+H14</f>
        <v>130.802194277762</v>
      </c>
    </row>
    <row r="16" customFormat="false" ht="15" hidden="false" customHeight="false" outlineLevel="0" collapsed="false">
      <c r="B16" s="14" t="s">
        <v>125</v>
      </c>
      <c r="C16" s="32" t="n">
        <f aca="false">-C15*'2.Premissas'!$C$14</f>
        <v>-31.50863247</v>
      </c>
      <c r="D16" s="32" t="n">
        <f aca="false">-D15*'2.Premissas'!$C$14</f>
        <v>-35.4875055108</v>
      </c>
      <c r="E16" s="32" t="n">
        <f aca="false">-E15*'2.Premissas'!$C$14</f>
        <v>-40.70695975164</v>
      </c>
      <c r="F16" s="32" t="n">
        <f aca="false">-F15*'2.Premissas'!$C$14</f>
        <v>-43.678514683503</v>
      </c>
      <c r="G16" s="32" t="n">
        <f aca="false">-G15*'2.Premissas'!$C$14</f>
        <v>-46.7154204700094</v>
      </c>
      <c r="H16" s="32" t="n">
        <f aca="false">-H15*'2.Premissas'!$C$14</f>
        <v>-45.7807679972165</v>
      </c>
    </row>
    <row r="18" customFormat="false" ht="15" hidden="false" customHeight="false" outlineLevel="0" collapsed="false">
      <c r="B18" s="8" t="s">
        <v>126</v>
      </c>
      <c r="C18" s="37" t="n">
        <f aca="false">C15+C16</f>
        <v>58.51603173</v>
      </c>
      <c r="D18" s="37" t="n">
        <f aca="false">D15+D16</f>
        <v>65.9053673772</v>
      </c>
      <c r="E18" s="37" t="n">
        <f aca="false">E15+E16</f>
        <v>75.59863953876</v>
      </c>
      <c r="F18" s="37" t="n">
        <f aca="false">F15+F16</f>
        <v>81.117241555077</v>
      </c>
      <c r="G18" s="37" t="n">
        <f aca="false">G15+G16</f>
        <v>86.7572094443032</v>
      </c>
      <c r="H18" s="37" t="n">
        <f aca="false">H15+H16</f>
        <v>85.021426280545</v>
      </c>
    </row>
    <row r="20" customFormat="false" ht="15" hidden="false" customHeight="false" outlineLevel="0" collapsed="false">
      <c r="B20" s="34" t="s">
        <v>127</v>
      </c>
      <c r="C20" s="32" t="n">
        <f aca="false">C18*'2.Premissas'!$C$19</f>
        <v>32.1838174515</v>
      </c>
      <c r="D20" s="32" t="n">
        <f aca="false">D18*'2.Premissas'!$C$19</f>
        <v>36.24795205746</v>
      </c>
      <c r="E20" s="32" t="n">
        <f aca="false">E18*'2.Premissas'!$C$19</f>
        <v>41.579251746318</v>
      </c>
      <c r="F20" s="32" t="n">
        <f aca="false">F18*'2.Premissas'!$C$19</f>
        <v>44.6144828552924</v>
      </c>
      <c r="G20" s="32" t="n">
        <f aca="false">G18*'2.Premissas'!$C$19</f>
        <v>47.7164651943668</v>
      </c>
      <c r="H20" s="32" t="n">
        <f aca="false">H18*'2.Premissas'!$C$19</f>
        <v>46.7617844542998</v>
      </c>
    </row>
    <row r="21" customFormat="false" ht="15" hidden="false" customHeight="false" outlineLevel="0" collapsed="false">
      <c r="B21" s="3" t="s">
        <v>128</v>
      </c>
      <c r="C21" s="32" t="n">
        <f aca="false">C18-C20</f>
        <v>26.3322142785</v>
      </c>
      <c r="D21" s="32" t="n">
        <f aca="false">D18-D20</f>
        <v>29.65741531974</v>
      </c>
      <c r="E21" s="32" t="n">
        <f aca="false">E18-E20</f>
        <v>34.019387792442</v>
      </c>
      <c r="F21" s="32" t="n">
        <f aca="false">F18-F20</f>
        <v>36.5027586997847</v>
      </c>
      <c r="G21" s="32" t="n">
        <f aca="false">G18-G20</f>
        <v>39.0407442499364</v>
      </c>
      <c r="H21" s="32" t="n">
        <f aca="false">H18-H20</f>
        <v>38.2596418262452</v>
      </c>
    </row>
    <row r="23" customFormat="false" ht="15" hidden="false" customHeight="false" outlineLevel="0" collapsed="false">
      <c r="B23" s="8" t="s">
        <v>129</v>
      </c>
    </row>
    <row r="24" customFormat="false" ht="15" hidden="false" customHeight="false" outlineLevel="0" collapsed="false">
      <c r="B24" s="3" t="s">
        <v>130</v>
      </c>
      <c r="C24" s="11" t="n">
        <f aca="false">C18/(('6.BP_Proj'!C17+'3.Historico'!I20)/2)</f>
        <v>0.268833914930839</v>
      </c>
      <c r="D24" s="11" t="n">
        <f aca="false">D18/(('6.BP_Proj'!D17+'6.BP_Proj'!C17)/2)</f>
        <v>0.268277782470156</v>
      </c>
      <c r="E24" s="11" t="n">
        <f aca="false">E18/(('6.BP_Proj'!E17+'6.BP_Proj'!D17)/2)</f>
        <v>0.272428194010603</v>
      </c>
      <c r="F24" s="11" t="n">
        <f aca="false">F18/(('6.BP_Proj'!F17+'6.BP_Proj'!E17)/2)</f>
        <v>0.259359056966415</v>
      </c>
      <c r="G24" s="11" t="n">
        <f aca="false">G18/(('6.BP_Proj'!G17+'6.BP_Proj'!F17)/2)</f>
        <v>0.24750143427924</v>
      </c>
      <c r="H24" s="11" t="n">
        <f aca="false">H18/(('6.BP_Proj'!H17+'6.BP_Proj'!G17)/2)</f>
        <v>0.224151244478291</v>
      </c>
    </row>
    <row r="25" customFormat="false" ht="15" hidden="false" customHeight="false" outlineLevel="0" collapsed="false">
      <c r="B25" s="3" t="s">
        <v>131</v>
      </c>
      <c r="C25" s="7" t="n">
        <f aca="false">C7/C6</f>
        <v>0.052</v>
      </c>
      <c r="D25" s="7" t="n">
        <f aca="false">D7/D6</f>
        <v>0.052</v>
      </c>
      <c r="E25" s="7" t="n">
        <f aca="false">E7/E6</f>
        <v>0.053</v>
      </c>
      <c r="F25" s="7" t="n">
        <f aca="false">F7/F6</f>
        <v>0.053</v>
      </c>
      <c r="G25" s="7" t="n">
        <f aca="false">G7/G6</f>
        <v>0.053</v>
      </c>
      <c r="H25" s="7" t="n">
        <f aca="false">H7/H6</f>
        <v>0.053</v>
      </c>
    </row>
    <row r="26" customFormat="false" ht="15" hidden="false" customHeight="false" outlineLevel="0" collapsed="false">
      <c r="B26" s="3" t="s">
        <v>132</v>
      </c>
      <c r="C26" s="7" t="n">
        <f aca="false">-C11/C10</f>
        <v>0.42</v>
      </c>
      <c r="D26" s="7" t="n">
        <f aca="false">-D11/D10</f>
        <v>0.41</v>
      </c>
      <c r="E26" s="7" t="n">
        <f aca="false">-E11/E10</f>
        <v>0.4</v>
      </c>
      <c r="F26" s="7" t="n">
        <f aca="false">-F11/F10</f>
        <v>0.4</v>
      </c>
      <c r="G26" s="7" t="n">
        <f aca="false">-G11/G10</f>
        <v>0.4</v>
      </c>
      <c r="H26" s="7" t="n">
        <f aca="false">-H11/H10</f>
        <v>0.4</v>
      </c>
    </row>
    <row r="27" customFormat="false" ht="15" hidden="false" customHeight="false" outlineLevel="0" collapsed="false">
      <c r="B27" s="3" t="s">
        <v>133</v>
      </c>
      <c r="C27" s="7" t="n">
        <f aca="false">C18/C10</f>
        <v>0.271269887987886</v>
      </c>
      <c r="D27" s="7" t="n">
        <f aca="false">D18/D10</f>
        <v>0.283992962669052</v>
      </c>
      <c r="E27" s="7" t="n">
        <f aca="false">E18/E10</f>
        <v>0.298187309968236</v>
      </c>
      <c r="F27" s="7" t="n">
        <f aca="false">F18/F10</f>
        <v>0.298056436763733</v>
      </c>
      <c r="G27" s="7" t="n">
        <f aca="false">G18/G10</f>
        <v>0.298025468897779</v>
      </c>
      <c r="H27" s="7" t="n">
        <f aca="false">H18/H10</f>
        <v>0.293087803662854</v>
      </c>
    </row>
    <row r="28" customFormat="false" ht="15" hidden="false" customHeight="false" outlineLevel="0" collapsed="false">
      <c r="B28" s="3" t="s">
        <v>134</v>
      </c>
      <c r="C28" s="7" t="n">
        <f aca="false">-C9/'4.Drivers'!J6</f>
        <v>0.032</v>
      </c>
      <c r="D28" s="7" t="n">
        <f aca="false">-D9/'4.Drivers'!K6</f>
        <v>0.03</v>
      </c>
      <c r="E28" s="7" t="n">
        <f aca="false">-E9/'4.Drivers'!L6</f>
        <v>0.028</v>
      </c>
      <c r="F28" s="7" t="n">
        <f aca="false">-F9/'4.Drivers'!M6</f>
        <v>0.028</v>
      </c>
      <c r="G28" s="7" t="n">
        <f aca="false">-G9/'4.Drivers'!N6</f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135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5" customFormat="false" ht="15" hidden="false" customHeight="false" outlineLevel="0" collapsed="false">
      <c r="B5" s="25" t="s">
        <v>96</v>
      </c>
      <c r="C5" s="32" t="n">
        <f aca="false">'3.Historico'!I17*(1+'2.Premissas'!C25)</f>
        <v>3296.165</v>
      </c>
      <c r="D5" s="32" t="n">
        <f aca="false">C5*(1+'2.Premissas'!D25)</f>
        <v>3559.8582</v>
      </c>
      <c r="E5" s="32" t="n">
        <f aca="false">D5*(1+'2.Premissas'!E25)</f>
        <v>3844.646856</v>
      </c>
      <c r="F5" s="32" t="n">
        <f aca="false">E5*(1+'2.Premissas'!F25)</f>
        <v>4132.9953702</v>
      </c>
      <c r="G5" s="32" t="n">
        <f aca="false">F5*(1+'2.Premissas'!G25)</f>
        <v>4422.305046114</v>
      </c>
      <c r="H5" s="32" t="n">
        <f aca="false">G5*(1+'2.Premissas'!C13)</f>
        <v>4643.4202984197</v>
      </c>
    </row>
    <row r="6" customFormat="false" ht="15" hidden="false" customHeight="false" outlineLevel="0" collapsed="false">
      <c r="B6" s="14" t="s">
        <v>136</v>
      </c>
      <c r="C6" s="31" t="n">
        <f aca="false">'4.Drivers'!J6</f>
        <v>1096.5</v>
      </c>
      <c r="D6" s="31" t="n">
        <f aca="false">'4.Drivers'!K6</f>
        <v>1184.22</v>
      </c>
      <c r="E6" s="31" t="n">
        <f aca="false">'4.Drivers'!L6</f>
        <v>1278.9576</v>
      </c>
      <c r="F6" s="31" t="n">
        <f aca="false">'4.Drivers'!M6</f>
        <v>1374.87942</v>
      </c>
      <c r="G6" s="31" t="n">
        <f aca="false">'4.Drivers'!N6</f>
        <v>1471.1209794</v>
      </c>
      <c r="H6" s="32" t="n">
        <f aca="false">G6*(1+'2.Premissas'!C13)</f>
        <v>1544.67702837</v>
      </c>
    </row>
    <row r="7" customFormat="false" ht="15" hidden="false" customHeight="false" outlineLevel="0" collapsed="false">
      <c r="B7" s="14" t="s">
        <v>137</v>
      </c>
      <c r="C7" s="32" t="n">
        <f aca="false">C5*0.28</f>
        <v>922.9262</v>
      </c>
      <c r="D7" s="32" t="n">
        <f aca="false">D5*0.28</f>
        <v>996.760296</v>
      </c>
      <c r="E7" s="32" t="n">
        <f aca="false">E5*0.28</f>
        <v>1076.50111968</v>
      </c>
      <c r="F7" s="32" t="n">
        <f aca="false">F5*0.28</f>
        <v>1157.238703656</v>
      </c>
      <c r="G7" s="32" t="n">
        <f aca="false">G5*0.28</f>
        <v>1238.24541291192</v>
      </c>
      <c r="H7" s="32" t="n">
        <f aca="false">H5*0.28</f>
        <v>1300.15768355752</v>
      </c>
    </row>
    <row r="8" customFormat="false" ht="15" hidden="false" customHeight="false" outlineLevel="0" collapsed="false">
      <c r="B8" s="14" t="s">
        <v>138</v>
      </c>
      <c r="C8" s="32" t="n">
        <f aca="false">C5-C6-C7</f>
        <v>1276.7388</v>
      </c>
      <c r="D8" s="32" t="n">
        <f aca="false">D5-D6-D7</f>
        <v>1378.877904</v>
      </c>
      <c r="E8" s="32" t="n">
        <f aca="false">E5-E6-E7</f>
        <v>1489.18813632</v>
      </c>
      <c r="F8" s="32" t="n">
        <f aca="false">F5-F6-F7</f>
        <v>1600.877246544</v>
      </c>
      <c r="G8" s="32" t="n">
        <f aca="false">G5-G6-G7</f>
        <v>1712.93865380208</v>
      </c>
      <c r="H8" s="32" t="n">
        <f aca="false">H5-H6-H7</f>
        <v>1798.58558649218</v>
      </c>
    </row>
    <row r="10" customFormat="false" ht="15" hidden="false" customHeight="false" outlineLevel="0" collapsed="false">
      <c r="B10" s="3" t="s">
        <v>139</v>
      </c>
      <c r="C10" s="32" t="n">
        <f aca="false">C6*0.05</f>
        <v>54.825</v>
      </c>
      <c r="D10" s="32" t="n">
        <f aca="false">D6*0.05</f>
        <v>59.211</v>
      </c>
      <c r="E10" s="32" t="n">
        <f aca="false">E6*0.05</f>
        <v>63.94788</v>
      </c>
      <c r="F10" s="32" t="n">
        <f aca="false">F6*0.05</f>
        <v>68.743971</v>
      </c>
      <c r="G10" s="32" t="n">
        <f aca="false">G6*0.05</f>
        <v>73.55604897</v>
      </c>
      <c r="H10" s="32" t="n">
        <f aca="false">H6*0.05</f>
        <v>77.2338514185</v>
      </c>
    </row>
    <row r="12" customFormat="false" ht="15" hidden="false" customHeight="false" outlineLevel="0" collapsed="false">
      <c r="B12" s="8" t="s">
        <v>140</v>
      </c>
    </row>
    <row r="13" customFormat="false" ht="15" hidden="false" customHeight="false" outlineLevel="0" collapsed="false">
      <c r="B13" s="14" t="s">
        <v>141</v>
      </c>
      <c r="C13" s="32" t="n">
        <f aca="false">'3.Historico'!I19*(1+'2.Premissas'!C25)</f>
        <v>1198.0875</v>
      </c>
      <c r="D13" s="32" t="n">
        <f aca="false">C13*(1+'2.Premissas'!D25)</f>
        <v>1293.9345</v>
      </c>
      <c r="E13" s="32" t="n">
        <f aca="false">D13*(1+'2.Premissas'!E25)</f>
        <v>1397.44926</v>
      </c>
      <c r="F13" s="32" t="n">
        <f aca="false">E13*(1+'2.Premissas'!F25)</f>
        <v>1502.2579545</v>
      </c>
      <c r="G13" s="32" t="n">
        <f aca="false">F13*(1+'2.Premissas'!G25)</f>
        <v>1607.416011315</v>
      </c>
      <c r="H13" s="32" t="n">
        <f aca="false">G13*(1+'2.Premissas'!C13)</f>
        <v>1687.78681188075</v>
      </c>
    </row>
    <row r="14" customFormat="false" ht="15" hidden="false" customHeight="false" outlineLevel="0" collapsed="false">
      <c r="B14" s="14" t="s">
        <v>142</v>
      </c>
      <c r="C14" s="32" t="n">
        <f aca="false">C5*0.22</f>
        <v>725.1563</v>
      </c>
      <c r="D14" s="32" t="n">
        <f aca="false">D5*0.22</f>
        <v>783.168804</v>
      </c>
      <c r="E14" s="32" t="n">
        <f aca="false">E5*0.22</f>
        <v>845.82230832</v>
      </c>
      <c r="F14" s="32" t="n">
        <f aca="false">F5*0.22</f>
        <v>909.258981444</v>
      </c>
      <c r="G14" s="32" t="n">
        <f aca="false">G5*0.22</f>
        <v>972.90711014508</v>
      </c>
      <c r="H14" s="32" t="n">
        <f aca="false">H5*0.22</f>
        <v>1021.55246565233</v>
      </c>
    </row>
    <row r="15" customFormat="false" ht="15" hidden="false" customHeight="false" outlineLevel="0" collapsed="false">
      <c r="B15" s="14" t="s">
        <v>143</v>
      </c>
      <c r="C15" s="32" t="n">
        <f aca="false">C5-C13-C14-C17</f>
        <v>1142.0889857215</v>
      </c>
      <c r="D15" s="32" t="n">
        <f aca="false">D5-D13-D14-D17</f>
        <v>1222.26526640176</v>
      </c>
      <c r="E15" s="32" t="n">
        <f aca="false">E5-E13-E14-E17</f>
        <v>1306.86627028932</v>
      </c>
      <c r="F15" s="32" t="n">
        <f aca="false">F5-F13-F14-F17</f>
        <v>1390.46665816553</v>
      </c>
      <c r="G15" s="32" t="n">
        <f aca="false">G5-G13-G14-G17</f>
        <v>1471.92940431352</v>
      </c>
      <c r="H15" s="32" t="n">
        <f aca="false">H5-H13-H14-H17</f>
        <v>1545.52587452919</v>
      </c>
    </row>
    <row r="16" customFormat="false" ht="15" hidden="false" customHeight="false" outlineLevel="0" collapsed="false">
      <c r="B16" s="25" t="s">
        <v>144</v>
      </c>
      <c r="C16" s="35" t="n">
        <f aca="false">C13+C14+C15</f>
        <v>3065.3327857215</v>
      </c>
      <c r="D16" s="35" t="n">
        <f aca="false">D13+D14+D15</f>
        <v>3299.36857040176</v>
      </c>
      <c r="E16" s="35" t="n">
        <f aca="false">E13+E14+E15</f>
        <v>3550.13783860932</v>
      </c>
      <c r="F16" s="35" t="n">
        <f aca="false">F13+F14+F15</f>
        <v>3801.98359410953</v>
      </c>
      <c r="G16" s="35" t="n">
        <f aca="false">G13+G14+G15</f>
        <v>4052.2525257736</v>
      </c>
      <c r="H16" s="35" t="n">
        <f aca="false">H13+H14+H15</f>
        <v>4254.86515206228</v>
      </c>
    </row>
    <row r="17" customFormat="false" ht="15" hidden="false" customHeight="false" outlineLevel="0" collapsed="false">
      <c r="B17" s="8" t="s">
        <v>99</v>
      </c>
      <c r="C17" s="38" t="n">
        <f aca="false">'3.Historico'!I20+'5.DRE_Proj'!C21</f>
        <v>230.8322142785</v>
      </c>
      <c r="D17" s="38" t="n">
        <f aca="false">C17+'5.DRE_Proj'!D21</f>
        <v>260.48962959824</v>
      </c>
      <c r="E17" s="38" t="n">
        <f aca="false">D17+'5.DRE_Proj'!E21</f>
        <v>294.509017390682</v>
      </c>
      <c r="F17" s="38" t="n">
        <f aca="false">E17+'5.DRE_Proj'!F21</f>
        <v>331.011776090467</v>
      </c>
      <c r="G17" s="38" t="n">
        <f aca="false">F17+'5.DRE_Proj'!G21</f>
        <v>370.052520340403</v>
      </c>
      <c r="H17" s="38" t="n">
        <f aca="false">G17*(1+'2.Premissas'!C13)</f>
        <v>388.555146357423</v>
      </c>
    </row>
    <row r="19" customFormat="false" ht="15" hidden="false" customHeight="false" outlineLevel="0" collapsed="false">
      <c r="B19" s="3" t="s">
        <v>145</v>
      </c>
      <c r="C19" s="29" t="n">
        <f aca="false">C5/C17</f>
        <v>14.2794843878384</v>
      </c>
      <c r="D19" s="29" t="n">
        <f aca="false">D5/D17</f>
        <v>13.6660265726911</v>
      </c>
      <c r="E19" s="29" t="n">
        <f aca="false">E5/E17</f>
        <v>13.0544283161961</v>
      </c>
      <c r="F19" s="29" t="n">
        <f aca="false">F5/F17</f>
        <v>12.4859466300995</v>
      </c>
      <c r="G19" s="29" t="n">
        <f aca="false">G5/G17</f>
        <v>11.9504794672011</v>
      </c>
      <c r="H19" s="29" t="n">
        <f aca="false">H5/H17</f>
        <v>11.9504794672011</v>
      </c>
    </row>
    <row r="21" customFormat="false" ht="15" hidden="false" customHeight="false" outlineLevel="0" collapsed="false">
      <c r="B21" s="8" t="s">
        <v>146</v>
      </c>
    </row>
    <row r="22" customFormat="false" ht="15" hidden="false" customHeight="false" outlineLevel="0" collapsed="false">
      <c r="B22" s="14" t="s">
        <v>147</v>
      </c>
      <c r="C22" s="31" t="n">
        <f aca="false">'3.Historico'!I20</f>
        <v>204.5</v>
      </c>
      <c r="D22" s="32" t="n">
        <f aca="false">C17</f>
        <v>230.8322142785</v>
      </c>
      <c r="E22" s="32" t="n">
        <f aca="false">D17</f>
        <v>260.48962959824</v>
      </c>
      <c r="F22" s="32" t="n">
        <f aca="false">E17</f>
        <v>294.509017390682</v>
      </c>
      <c r="G22" s="32" t="n">
        <f aca="false">F17</f>
        <v>331.011776090467</v>
      </c>
      <c r="H22" s="32" t="n">
        <f aca="false">G17</f>
        <v>370.052520340403</v>
      </c>
    </row>
    <row r="23" customFormat="false" ht="15" hidden="false" customHeight="false" outlineLevel="0" collapsed="false">
      <c r="B23" s="14" t="s">
        <v>148</v>
      </c>
      <c r="C23" s="31" t="n">
        <f aca="false">'5.DRE_Proj'!C18</f>
        <v>58.51603173</v>
      </c>
      <c r="D23" s="31" t="n">
        <f aca="false">'5.DRE_Proj'!D18</f>
        <v>65.9053673772</v>
      </c>
      <c r="E23" s="31" t="n">
        <f aca="false">'5.DRE_Proj'!E18</f>
        <v>75.59863953876</v>
      </c>
      <c r="F23" s="31" t="n">
        <f aca="false">'5.DRE_Proj'!F18</f>
        <v>81.117241555077</v>
      </c>
      <c r="G23" s="31" t="n">
        <f aca="false">'5.DRE_Proj'!G18</f>
        <v>86.7572094443032</v>
      </c>
      <c r="H23" s="31" t="n">
        <f aca="false">'5.DRE_Proj'!H18</f>
        <v>85.021426280545</v>
      </c>
    </row>
    <row r="24" customFormat="false" ht="15" hidden="false" customHeight="false" outlineLevel="0" collapsed="false">
      <c r="B24" s="14" t="s">
        <v>149</v>
      </c>
      <c r="C24" s="31" t="n">
        <f aca="false">-'5.DRE_Proj'!C20</f>
        <v>-32.1838174515</v>
      </c>
      <c r="D24" s="31" t="n">
        <f aca="false">-'5.DRE_Proj'!D20</f>
        <v>-36.24795205746</v>
      </c>
      <c r="E24" s="31" t="n">
        <f aca="false">-'5.DRE_Proj'!E20</f>
        <v>-41.579251746318</v>
      </c>
      <c r="F24" s="31" t="n">
        <f aca="false">-'5.DRE_Proj'!F20</f>
        <v>-44.6144828552924</v>
      </c>
      <c r="G24" s="31" t="n">
        <f aca="false">-'5.DRE_Proj'!G20</f>
        <v>-47.7164651943668</v>
      </c>
      <c r="H24" s="31" t="n">
        <f aca="false">-'5.DRE_Proj'!H20</f>
        <v>-46.7617844542998</v>
      </c>
    </row>
    <row r="25" customFormat="false" ht="15" hidden="false" customHeight="false" outlineLevel="0" collapsed="false">
      <c r="B25" s="25" t="s">
        <v>150</v>
      </c>
      <c r="C25" s="35" t="n">
        <f aca="false">C22+C23+C24</f>
        <v>230.8322142785</v>
      </c>
      <c r="D25" s="35" t="n">
        <f aca="false">D22+D23+D24</f>
        <v>260.48962959824</v>
      </c>
      <c r="E25" s="35" t="n">
        <f aca="false">E22+E23+E24</f>
        <v>294.509017390682</v>
      </c>
      <c r="F25" s="35" t="n">
        <f aca="false">F22+F23+F24</f>
        <v>331.011776090467</v>
      </c>
      <c r="G25" s="35" t="n">
        <f aca="false">G22+G23+G24</f>
        <v>370.052520340403</v>
      </c>
      <c r="H25" s="35" t="n">
        <f aca="false">H22+H23+H24</f>
        <v>408.312162166648</v>
      </c>
    </row>
    <row r="26" customFormat="false" ht="15" hidden="false" customHeight="false" outlineLevel="0" collapsed="false">
      <c r="B26" s="3" t="s">
        <v>151</v>
      </c>
      <c r="C26" s="32" t="n">
        <f aca="false">C25-C17</f>
        <v>0</v>
      </c>
      <c r="D26" s="32" t="n">
        <f aca="false">D25-D17</f>
        <v>0</v>
      </c>
      <c r="E26" s="32" t="n">
        <f aca="false">E25-E17</f>
        <v>0</v>
      </c>
      <c r="F26" s="32" t="n">
        <f aca="false">F25-F17</f>
        <v>0</v>
      </c>
      <c r="G26" s="32" t="n">
        <f aca="false">G25-G17</f>
        <v>0</v>
      </c>
      <c r="H26" s="32" t="n">
        <f aca="false">H25-H17</f>
        <v>19.757015809225</v>
      </c>
    </row>
    <row r="28" customFormat="false" ht="15" hidden="false" customHeight="false" outlineLevel="0" collapsed="false">
      <c r="B28" s="8" t="s">
        <v>152</v>
      </c>
    </row>
    <row r="29" customFormat="false" ht="15" hidden="false" customHeight="false" outlineLevel="0" collapsed="false">
      <c r="B29" s="3" t="s">
        <v>153</v>
      </c>
      <c r="C29" s="32" t="n">
        <f aca="false">C5*0.75</f>
        <v>2472.12375</v>
      </c>
      <c r="D29" s="32" t="n">
        <f aca="false">D5*0.75</f>
        <v>2669.89365</v>
      </c>
      <c r="E29" s="32" t="n">
        <f aca="false">E5*0.75</f>
        <v>2883.485142</v>
      </c>
      <c r="F29" s="32" t="n">
        <f aca="false">F5*0.75</f>
        <v>3099.74652765</v>
      </c>
      <c r="G29" s="32" t="n">
        <f aca="false">G5*0.75</f>
        <v>3316.7287845855</v>
      </c>
      <c r="H29" s="32" t="n">
        <f aca="false">H5*0.75</f>
        <v>3482.56522381477</v>
      </c>
    </row>
    <row r="30" customFormat="false" ht="15" hidden="false" customHeight="false" outlineLevel="0" collapsed="false">
      <c r="B30" s="25" t="s">
        <v>154</v>
      </c>
      <c r="C30" s="7" t="n">
        <f aca="false">C17/C29</f>
        <v>0.0933740530903843</v>
      </c>
      <c r="D30" s="7" t="n">
        <f aca="false">D17/D29</f>
        <v>0.097565545203735</v>
      </c>
      <c r="E30" s="7" t="n">
        <f aca="false">E17/E29</f>
        <v>0.102136478215528</v>
      </c>
      <c r="F30" s="7" t="n">
        <f aca="false">F17/F29</f>
        <v>0.106786723732994</v>
      </c>
      <c r="G30" s="7" t="n">
        <f aca="false">G17/G29</f>
        <v>0.11157153459765</v>
      </c>
      <c r="H30" s="7" t="n">
        <f aca="false">H17/H29</f>
        <v>0.11157153459765</v>
      </c>
    </row>
    <row r="31" customFormat="false" ht="15" hidden="false" customHeight="false" outlineLevel="0" collapsed="false">
      <c r="B31" s="3" t="s">
        <v>155</v>
      </c>
      <c r="C31" s="32" t="n">
        <f aca="false">C5-C16-C17</f>
        <v>0</v>
      </c>
      <c r="D31" s="32" t="n">
        <f aca="false">D5-D16-D17</f>
        <v>0</v>
      </c>
      <c r="E31" s="32" t="n">
        <f aca="false">E5-E16-E17</f>
        <v>0</v>
      </c>
      <c r="F31" s="32" t="n">
        <f aca="false">F5-F16-F17</f>
        <v>0</v>
      </c>
      <c r="G31" s="32" t="n">
        <f aca="false">G5-G16-G17</f>
        <v>0</v>
      </c>
      <c r="H31" s="32" t="n">
        <f aca="false">H5-H16-H17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156</v>
      </c>
      <c r="C2" s="17"/>
      <c r="D2" s="17"/>
      <c r="E2" s="17"/>
      <c r="F2" s="17"/>
      <c r="G2" s="17"/>
      <c r="H2" s="17"/>
    </row>
    <row r="5" customFormat="false" ht="15" hidden="false" customHeight="false" outlineLevel="0" collapsed="false">
      <c r="B5" s="9" t="s">
        <v>157</v>
      </c>
    </row>
    <row r="7" customFormat="false" ht="15" hidden="false" customHeight="false" outlineLevel="0" collapsed="false">
      <c r="B7" s="18" t="s">
        <v>158</v>
      </c>
      <c r="C7" s="18" t="s">
        <v>159</v>
      </c>
      <c r="D7" s="18" t="s">
        <v>160</v>
      </c>
      <c r="E7" s="18" t="s">
        <v>161</v>
      </c>
      <c r="F7" s="18" t="s">
        <v>162</v>
      </c>
    </row>
    <row r="8" customFormat="false" ht="15" hidden="false" customHeight="false" outlineLevel="0" collapsed="false">
      <c r="B8" s="39" t="n">
        <v>2026</v>
      </c>
      <c r="C8" s="31" t="n">
        <f aca="false">'5.DRE_Proj'!C20</f>
        <v>32.1838174515</v>
      </c>
      <c r="D8" s="14" t="n">
        <v>1</v>
      </c>
      <c r="E8" s="40" t="n">
        <f aca="false">1/(1+'2.Premissas'!$C$11)^D8</f>
        <v>0.849798172933928</v>
      </c>
      <c r="F8" s="32" t="n">
        <f aca="false">C8*E8</f>
        <v>27.3497492683238</v>
      </c>
    </row>
    <row r="9" customFormat="false" ht="15" hidden="false" customHeight="false" outlineLevel="0" collapsed="false">
      <c r="B9" s="39" t="n">
        <v>2027</v>
      </c>
      <c r="C9" s="31" t="n">
        <f aca="false">'5.DRE_Proj'!D20</f>
        <v>36.24795205746</v>
      </c>
      <c r="D9" s="14" t="n">
        <v>2</v>
      </c>
      <c r="E9" s="40" t="n">
        <f aca="false">1/(1+'2.Premissas'!$C$11)^D9</f>
        <v>0.722156934721843</v>
      </c>
      <c r="F9" s="32" t="n">
        <f aca="false">C9*E9</f>
        <v>26.1767099477596</v>
      </c>
    </row>
    <row r="10" customFormat="false" ht="15" hidden="false" customHeight="false" outlineLevel="0" collapsed="false">
      <c r="B10" s="39" t="n">
        <v>2028</v>
      </c>
      <c r="C10" s="31" t="n">
        <f aca="false">'5.DRE_Proj'!E20</f>
        <v>41.579251746318</v>
      </c>
      <c r="D10" s="14" t="n">
        <v>3</v>
      </c>
      <c r="E10" s="40" t="n">
        <f aca="false">1/(1+'2.Premissas'!$C$11)^D10</f>
        <v>0.613687643698188</v>
      </c>
      <c r="F10" s="32" t="n">
        <f aca="false">C10*E10</f>
        <v>25.5166730309317</v>
      </c>
    </row>
    <row r="11" customFormat="false" ht="15" hidden="false" customHeight="false" outlineLevel="0" collapsed="false">
      <c r="B11" s="39" t="n">
        <v>2029</v>
      </c>
      <c r="C11" s="31" t="n">
        <f aca="false">'5.DRE_Proj'!F20</f>
        <v>44.6144828552924</v>
      </c>
      <c r="D11" s="14" t="n">
        <v>4</v>
      </c>
      <c r="E11" s="40" t="n">
        <f aca="false">1/(1+'2.Premissas'!$C$11)^D11</f>
        <v>0.521510638366848</v>
      </c>
      <c r="F11" s="32" t="n">
        <f aca="false">C11*E11</f>
        <v>23.2669274342703</v>
      </c>
    </row>
    <row r="12" customFormat="false" ht="15" hidden="false" customHeight="false" outlineLevel="0" collapsed="false">
      <c r="B12" s="39" t="n">
        <v>2030</v>
      </c>
      <c r="C12" s="31" t="n">
        <f aca="false">'5.DRE_Proj'!G20</f>
        <v>47.7164651943668</v>
      </c>
      <c r="D12" s="14" t="n">
        <v>5</v>
      </c>
      <c r="E12" s="40" t="n">
        <f aca="false">1/(1+'2.Premissas'!$C$11)^D12</f>
        <v>0.443178787649754</v>
      </c>
      <c r="F12" s="32" t="n">
        <f aca="false">C12*E12</f>
        <v>21.1469251957711</v>
      </c>
    </row>
    <row r="14" customFormat="false" ht="15" hidden="false" customHeight="false" outlineLevel="0" collapsed="false">
      <c r="B14" s="25" t="s">
        <v>163</v>
      </c>
      <c r="F14" s="36" t="n">
        <f aca="false">SUM(F8:F12)</f>
        <v>123.456984877056</v>
      </c>
    </row>
    <row r="17" customFormat="false" ht="15" hidden="false" customHeight="false" outlineLevel="0" collapsed="false">
      <c r="B17" s="9" t="s">
        <v>164</v>
      </c>
    </row>
    <row r="19" customFormat="false" ht="15" hidden="false" customHeight="false" outlineLevel="0" collapsed="false">
      <c r="B19" s="0" t="s">
        <v>165</v>
      </c>
      <c r="C19" s="32" t="n">
        <f aca="false">C12*(1+'2.Premissas'!$C$13)</f>
        <v>50.1022884540851</v>
      </c>
    </row>
    <row r="20" customFormat="false" ht="15" hidden="false" customHeight="false" outlineLevel="0" collapsed="false">
      <c r="B20" s="0" t="s">
        <v>166</v>
      </c>
      <c r="C20" s="11" t="n">
        <f aca="false">'2.Premissas'!$C$11</f>
        <v>0.17675</v>
      </c>
    </row>
    <row r="21" customFormat="false" ht="15" hidden="false" customHeight="false" outlineLevel="0" collapsed="false">
      <c r="B21" s="0" t="s">
        <v>34</v>
      </c>
      <c r="C21" s="11" t="n">
        <f aca="false">'2.Premissas'!$C$13</f>
        <v>0.05</v>
      </c>
    </row>
    <row r="22" customFormat="false" ht="15" hidden="false" customHeight="false" outlineLevel="0" collapsed="false">
      <c r="B22" s="0" t="s">
        <v>167</v>
      </c>
      <c r="C22" s="38" t="n">
        <f aca="false">C19/(C20-C21)</f>
        <v>395.284327053926</v>
      </c>
    </row>
    <row r="23" customFormat="false" ht="15" hidden="false" customHeight="false" outlineLevel="0" collapsed="false">
      <c r="B23" s="0" t="s">
        <v>168</v>
      </c>
      <c r="C23" s="38" t="n">
        <f aca="false">C22/(1+C20)^5</f>
        <v>175.181628840707</v>
      </c>
    </row>
    <row r="26" customFormat="false" ht="15" hidden="false" customHeight="false" outlineLevel="0" collapsed="false">
      <c r="B26" s="9" t="s">
        <v>169</v>
      </c>
    </row>
    <row r="28" customFormat="false" ht="15" hidden="false" customHeight="false" outlineLevel="0" collapsed="false">
      <c r="B28" s="0" t="s">
        <v>170</v>
      </c>
      <c r="C28" s="41" t="n">
        <f aca="false">F14+C23</f>
        <v>298.638613717764</v>
      </c>
    </row>
    <row r="29" customFormat="false" ht="15" hidden="false" customHeight="false" outlineLevel="0" collapsed="false">
      <c r="B29" s="0" t="s">
        <v>171</v>
      </c>
      <c r="C29" s="42" t="n">
        <f aca="false">'2.Premissas'!$C$21</f>
        <v>9807</v>
      </c>
    </row>
    <row r="30" customFormat="false" ht="15" hidden="false" customHeight="false" outlineLevel="0" collapsed="false">
      <c r="B30" s="0" t="s">
        <v>172</v>
      </c>
      <c r="C30" s="43" t="n">
        <f aca="false">C28*1000/C29</f>
        <v>30.4515768040954</v>
      </c>
    </row>
    <row r="32" customFormat="false" ht="15" hidden="false" customHeight="false" outlineLevel="0" collapsed="false">
      <c r="B32" s="9" t="s">
        <v>173</v>
      </c>
    </row>
    <row r="34" customFormat="false" ht="15" hidden="false" customHeight="false" outlineLevel="0" collapsed="false">
      <c r="B34" s="0" t="s">
        <v>4</v>
      </c>
      <c r="C34" s="5" t="n">
        <f aca="false">35.5</f>
        <v>35.5</v>
      </c>
    </row>
    <row r="35" customFormat="false" ht="15" hidden="false" customHeight="false" outlineLevel="0" collapsed="false">
      <c r="B35" s="0" t="s">
        <v>174</v>
      </c>
      <c r="C35" s="44" t="n">
        <f aca="false">C30</f>
        <v>30.4515768040954</v>
      </c>
    </row>
    <row r="36" customFormat="false" ht="15" hidden="false" customHeight="false" outlineLevel="0" collapsed="false">
      <c r="B36" s="0" t="s">
        <v>175</v>
      </c>
      <c r="C36" s="7" t="n">
        <f aca="false">C35/C34-1</f>
        <v>-0.142209104109988</v>
      </c>
    </row>
    <row r="37" customFormat="false" ht="15" hidden="false" customHeight="false" outlineLevel="0" collapsed="false">
      <c r="B37" s="0" t="s">
        <v>176</v>
      </c>
      <c r="C37" s="7" t="n">
        <f aca="false">C8/C34/1000*'2.Premissas'!$C$21</f>
        <v>8.89089289427776</v>
      </c>
    </row>
    <row r="39" customFormat="false" ht="15" hidden="false" customHeight="false" outlineLevel="0" collapsed="false">
      <c r="B39" s="0" t="s">
        <v>177</v>
      </c>
    </row>
    <row r="40" customFormat="false" ht="15" hidden="false" customHeight="false" outlineLevel="0" collapsed="false">
      <c r="B40" s="0" t="s">
        <v>178</v>
      </c>
      <c r="C40" s="7" t="n">
        <f aca="false">F14/C28</f>
        <v>0.413399269907316</v>
      </c>
    </row>
    <row r="41" customFormat="false" ht="15" hidden="false" customHeight="false" outlineLevel="0" collapsed="false">
      <c r="B41" s="0" t="s">
        <v>179</v>
      </c>
      <c r="C41" s="7" t="n">
        <f aca="false">C23/C28</f>
        <v>0.586600730092684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180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181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14" t="s">
        <v>182</v>
      </c>
      <c r="C6" s="45" t="n">
        <v>25</v>
      </c>
      <c r="D6" s="45" t="n">
        <v>22.5</v>
      </c>
      <c r="E6" s="45" t="n">
        <v>23</v>
      </c>
      <c r="F6" s="45" t="n">
        <v>28</v>
      </c>
      <c r="G6" s="45" t="n">
        <v>31.5</v>
      </c>
      <c r="H6" s="45" t="n">
        <v>33.8</v>
      </c>
      <c r="I6" s="45" t="n">
        <v>35.5</v>
      </c>
    </row>
    <row r="7" customFormat="false" ht="15" hidden="false" customHeight="false" outlineLevel="0" collapsed="false">
      <c r="B7" s="25" t="s">
        <v>183</v>
      </c>
      <c r="C7" s="32" t="n">
        <f aca="false">C6*'2.Premissas'!$C$21/1000</f>
        <v>245.175</v>
      </c>
      <c r="D7" s="32" t="n">
        <f aca="false">D6*'2.Premissas'!$C$21/1000</f>
        <v>220.6575</v>
      </c>
      <c r="E7" s="32" t="n">
        <f aca="false">E6*'2.Premissas'!$C$21/1000</f>
        <v>225.561</v>
      </c>
      <c r="F7" s="32" t="n">
        <f aca="false">F6*'2.Premissas'!$C$21/1000</f>
        <v>274.596</v>
      </c>
      <c r="G7" s="32" t="n">
        <f aca="false">G6*'2.Premissas'!$C$21/1000</f>
        <v>308.9205</v>
      </c>
      <c r="H7" s="32" t="n">
        <f aca="false">H6*'2.Premissas'!$C$21/1000</f>
        <v>331.4766</v>
      </c>
      <c r="I7" s="32" t="n">
        <f aca="false">I6*'2.Premissas'!$C$21/1000</f>
        <v>348.1485</v>
      </c>
    </row>
    <row r="9" customFormat="false" ht="15" hidden="false" customHeight="false" outlineLevel="0" collapsed="false">
      <c r="B9" s="14" t="s">
        <v>184</v>
      </c>
      <c r="C9" s="46" t="n">
        <f aca="false">'3.Historico'!C14*1000/'2.Premissas'!$C$21</f>
        <v>2.76333231365351</v>
      </c>
      <c r="D9" s="46" t="n">
        <f aca="false">'3.Historico'!D14*1000/'2.Premissas'!$C$21</f>
        <v>1.9271948608137</v>
      </c>
      <c r="E9" s="46" t="n">
        <f aca="false">'3.Historico'!E14*1000/'2.Premissas'!$C$21</f>
        <v>2.73274191903742</v>
      </c>
      <c r="F9" s="46" t="n">
        <f aca="false">'3.Historico'!F14*1000/'2.Premissas'!$C$21</f>
        <v>3.02844906699296</v>
      </c>
      <c r="G9" s="46" t="n">
        <f aca="false">'3.Historico'!G14*1000/'2.Premissas'!$C$21</f>
        <v>3.37514020597532</v>
      </c>
      <c r="H9" s="46" t="n">
        <f aca="false">'3.Historico'!H14*1000/'2.Premissas'!$C$21</f>
        <v>4.19088406240441</v>
      </c>
      <c r="I9" s="46" t="n">
        <f aca="false">'3.Historico'!I14*1000/'2.Premissas'!$C$21</f>
        <v>4.57836239420822</v>
      </c>
    </row>
    <row r="10" customFormat="false" ht="15" hidden="false" customHeight="false" outlineLevel="0" collapsed="false">
      <c r="B10" s="14" t="s">
        <v>185</v>
      </c>
      <c r="C10" s="46" t="n">
        <f aca="false">'3.Historico'!C20*1000/'2.Premissas'!$C$21</f>
        <v>13.9594167431427</v>
      </c>
      <c r="D10" s="46" t="n">
        <f aca="false">'3.Historico'!D20*1000/'2.Premissas'!$C$21</f>
        <v>14.5814214336698</v>
      </c>
      <c r="E10" s="46" t="n">
        <f aca="false">'3.Historico'!E20*1000/'2.Premissas'!$C$21</f>
        <v>15.5909044560008</v>
      </c>
      <c r="F10" s="46" t="n">
        <f aca="false">'3.Historico'!F20*1000/'2.Premissas'!$C$21</f>
        <v>17.1306209850107</v>
      </c>
      <c r="G10" s="46" t="n">
        <f aca="false">'3.Historico'!G20*1000/'2.Premissas'!$C$21</f>
        <v>19.3943101866014</v>
      </c>
      <c r="H10" s="46" t="n">
        <f aca="false">'3.Historico'!H20*1000/'2.Premissas'!$C$21</f>
        <v>21.5254410115224</v>
      </c>
      <c r="I10" s="46" t="n">
        <f aca="false">'3.Historico'!I20*1000/'2.Premissas'!$C$21</f>
        <v>20.8524523299684</v>
      </c>
    </row>
    <row r="12" customFormat="false" ht="15" hidden="false" customHeight="false" outlineLevel="0" collapsed="false">
      <c r="B12" s="25" t="s">
        <v>186</v>
      </c>
      <c r="C12" s="29" t="n">
        <f aca="false">IFERROR(C6/C9,0)</f>
        <v>9.04704797047971</v>
      </c>
      <c r="D12" s="29" t="n">
        <f aca="false">IFERROR(D6/D9,0)</f>
        <v>11.675</v>
      </c>
      <c r="E12" s="29" t="n">
        <f aca="false">IFERROR(E6/E9,0)</f>
        <v>8.4164552238806</v>
      </c>
      <c r="F12" s="29" t="n">
        <f aca="false">IFERROR(F6/F9,0)</f>
        <v>9.24565656565657</v>
      </c>
      <c r="G12" s="29" t="n">
        <f aca="false">IFERROR(G6/G9,0)</f>
        <v>9.33294561933535</v>
      </c>
      <c r="H12" s="29" t="n">
        <f aca="false">IFERROR(H6/H9,0)</f>
        <v>8.06512408759124</v>
      </c>
      <c r="I12" s="29" t="n">
        <f aca="false">IFERROR(I6/I9,0)</f>
        <v>7.75386414253898</v>
      </c>
    </row>
    <row r="13" customFormat="false" ht="15" hidden="false" customHeight="false" outlineLevel="0" collapsed="false">
      <c r="B13" s="25" t="s">
        <v>187</v>
      </c>
      <c r="C13" s="29" t="n">
        <f aca="false">IFERROR(C6/C10,0)</f>
        <v>1.7909057706355</v>
      </c>
      <c r="D13" s="29" t="n">
        <f aca="false">IFERROR(D6/D10,0)</f>
        <v>1.54305944055944</v>
      </c>
      <c r="E13" s="29" t="n">
        <f aca="false">IFERROR(E6/E10,0)</f>
        <v>1.47521909744931</v>
      </c>
      <c r="F13" s="29" t="n">
        <f aca="false">IFERROR(F6/F10,0)</f>
        <v>1.6345</v>
      </c>
      <c r="G13" s="29" t="n">
        <f aca="false">IFERROR(G6/G10,0)</f>
        <v>1.62418769716088</v>
      </c>
      <c r="H13" s="29" t="n">
        <f aca="false">IFERROR(H6/H10,0)</f>
        <v>1.57023495973472</v>
      </c>
      <c r="I13" s="29" t="n">
        <f aca="false">IFERROR(I6/I10,0)</f>
        <v>1.70243765281174</v>
      </c>
    </row>
    <row r="14" customFormat="false" ht="15" hidden="false" customHeight="false" outlineLevel="0" collapsed="false">
      <c r="B14" s="14" t="s">
        <v>188</v>
      </c>
      <c r="C14" s="7" t="n">
        <f aca="false">C9*'2.Premissas'!$C$19/C6</f>
        <v>0.0607933109003773</v>
      </c>
      <c r="D14" s="7" t="n">
        <f aca="false">D9*'2.Premissas'!$C$19/D6</f>
        <v>0.0471092077087794</v>
      </c>
      <c r="E14" s="7" t="n">
        <f aca="false">E9*'2.Premissas'!$C$19/E6</f>
        <v>0.0653481763248079</v>
      </c>
      <c r="F14" s="7" t="n">
        <f aca="false">F9*'2.Premissas'!$C$19/F6</f>
        <v>0.0594873923873618</v>
      </c>
      <c r="G14" s="7" t="n">
        <f aca="false">G9*'2.Premissas'!$C$19/G6</f>
        <v>0.0589310194694104</v>
      </c>
      <c r="H14" s="7" t="n">
        <f aca="false">H9*'2.Premissas'!$C$19/H6</f>
        <v>0.068194859003622</v>
      </c>
      <c r="I14" s="7" t="n">
        <f aca="false">I9*'2.Premissas'!$C$19/I6</f>
        <v>0.0709323751215358</v>
      </c>
    </row>
    <row r="16" customFormat="false" ht="15" hidden="false" customHeight="false" outlineLevel="0" collapsed="false">
      <c r="B16" s="3" t="s">
        <v>189</v>
      </c>
      <c r="C16" s="29" t="n">
        <f aca="false">AVERAGE(C12:I12)</f>
        <v>9.07658480135463</v>
      </c>
    </row>
    <row r="17" customFormat="false" ht="15" hidden="false" customHeight="false" outlineLevel="0" collapsed="false">
      <c r="B17" s="3" t="s">
        <v>190</v>
      </c>
      <c r="C17" s="29" t="n">
        <f aca="false">AVERAGE(C13:I13)</f>
        <v>1.62007780262166</v>
      </c>
    </row>
    <row r="19" customFormat="false" ht="15" hidden="false" customHeight="false" outlineLevel="0" collapsed="false">
      <c r="B19" s="8" t="s">
        <v>191</v>
      </c>
    </row>
    <row r="20" customFormat="false" ht="15" hidden="false" customHeight="false" outlineLevel="0" collapsed="false">
      <c r="B20" s="14" t="s">
        <v>192</v>
      </c>
      <c r="C20" s="6" t="n">
        <f aca="false">'7.DDM_Valuation'!C35</f>
        <v>30.4515768040954</v>
      </c>
    </row>
    <row r="21" customFormat="false" ht="15" hidden="false" customHeight="false" outlineLevel="0" collapsed="false">
      <c r="B21" s="14" t="s">
        <v>193</v>
      </c>
      <c r="C21" s="29" t="n">
        <f aca="false">C20/I9</f>
        <v>6.65119406943795</v>
      </c>
    </row>
    <row r="22" customFormat="false" ht="15" hidden="false" customHeight="false" outlineLevel="0" collapsed="false">
      <c r="B22" s="14" t="s">
        <v>194</v>
      </c>
      <c r="C22" s="29" t="n">
        <f aca="false">C20/I10</f>
        <v>1.46033551940227</v>
      </c>
    </row>
    <row r="23" customFormat="false" ht="15" hidden="false" customHeight="false" outlineLevel="0" collapsed="false">
      <c r="B23" s="3" t="s">
        <v>195</v>
      </c>
      <c r="C23" s="7" t="n">
        <f aca="false">C21/C16-1</f>
        <v>-0.267214022123685</v>
      </c>
    </row>
    <row r="24" customFormat="false" ht="15" hidden="false" customHeight="false" outlineLevel="0" collapsed="false">
      <c r="B24" s="3" t="s">
        <v>196</v>
      </c>
      <c r="C24" s="7" t="n">
        <f aca="false">C22/C17-1</f>
        <v>-0.0986016121947281</v>
      </c>
    </row>
    <row r="26" customFormat="false" ht="15" hidden="false" customHeight="false" outlineLevel="0" collapsed="false">
      <c r="B26" s="8" t="s">
        <v>197</v>
      </c>
    </row>
    <row r="27" customFormat="false" ht="15" hidden="false" customHeight="false" outlineLevel="0" collapsed="false">
      <c r="B27" s="47" t="s">
        <v>158</v>
      </c>
      <c r="C27" s="48" t="n">
        <v>2026</v>
      </c>
      <c r="D27" s="48" t="n">
        <v>2027</v>
      </c>
      <c r="E27" s="48" t="n">
        <v>2028</v>
      </c>
      <c r="F27" s="48" t="n">
        <v>2029</v>
      </c>
      <c r="G27" s="48" t="n">
        <v>2030</v>
      </c>
    </row>
    <row r="28" customFormat="false" ht="15" hidden="false" customHeight="false" outlineLevel="0" collapsed="false">
      <c r="B28" s="14" t="s">
        <v>198</v>
      </c>
      <c r="C28" s="6" t="n">
        <f aca="false">'5.DRE_Proj'!C18*1000/'2.Premissas'!$C$21</f>
        <v>5.96676167329459</v>
      </c>
      <c r="D28" s="6" t="n">
        <f aca="false">'5.DRE_Proj'!D18*1000/'2.Premissas'!$C$21</f>
        <v>6.72023731795656</v>
      </c>
      <c r="E28" s="6" t="n">
        <f aca="false">'5.DRE_Proj'!E18*1000/'2.Premissas'!$C$21</f>
        <v>7.70864071976751</v>
      </c>
      <c r="F28" s="6" t="n">
        <f aca="false">'5.DRE_Proj'!F18*1000/'2.Premissas'!$C$21</f>
        <v>8.27136143112848</v>
      </c>
      <c r="G28" s="6" t="n">
        <f aca="false">'5.DRE_Proj'!G18*1000/'2.Premissas'!$C$21</f>
        <v>8.84645757564017</v>
      </c>
    </row>
    <row r="29" customFormat="false" ht="15" hidden="false" customHeight="false" outlineLevel="0" collapsed="false">
      <c r="B29" s="14" t="s">
        <v>199</v>
      </c>
      <c r="C29" s="6" t="n">
        <f aca="false">'6.BP_Proj'!C17*1000/'2.Premissas'!$C$21</f>
        <v>23.537495082951</v>
      </c>
      <c r="D29" s="6" t="n">
        <f aca="false">'6.BP_Proj'!D17*1000/'2.Premissas'!$C$21</f>
        <v>26.5616018760314</v>
      </c>
      <c r="E29" s="6" t="n">
        <f aca="false">'6.BP_Proj'!E17*1000/'2.Premissas'!$C$21</f>
        <v>30.0304901999268</v>
      </c>
      <c r="F29" s="6" t="n">
        <f aca="false">'6.BP_Proj'!F17*1000/'2.Premissas'!$C$21</f>
        <v>33.7526028439346</v>
      </c>
      <c r="G29" s="6" t="n">
        <f aca="false">'6.BP_Proj'!G17*1000/'2.Premissas'!$C$21</f>
        <v>37.7335087529727</v>
      </c>
    </row>
    <row r="30" customFormat="false" ht="15" hidden="false" customHeight="false" outlineLevel="0" collapsed="false">
      <c r="B30" s="25" t="s">
        <v>200</v>
      </c>
      <c r="C30" s="29" t="n">
        <f aca="false">'1.Capa'!$C$7/C28</f>
        <v>5.94962593510098</v>
      </c>
      <c r="D30" s="29" t="n">
        <f aca="false">'1.Capa'!$C$7/D28</f>
        <v>5.28255154102126</v>
      </c>
      <c r="E30" s="29" t="n">
        <f aca="false">'1.Capa'!$C$7/E28</f>
        <v>4.60522176224483</v>
      </c>
      <c r="F30" s="29" t="n">
        <f aca="false">'1.Capa'!$C$7/F28</f>
        <v>4.29191739420298</v>
      </c>
      <c r="G30" s="29" t="n">
        <f aca="false">'1.Capa'!$C$7/G28</f>
        <v>4.01290569659812</v>
      </c>
    </row>
    <row r="31" customFormat="false" ht="15" hidden="false" customHeight="false" outlineLevel="0" collapsed="false">
      <c r="B31" s="25" t="s">
        <v>201</v>
      </c>
      <c r="C31" s="29" t="n">
        <f aca="false">'1.Capa'!$C$7/C29</f>
        <v>1.50823186048009</v>
      </c>
      <c r="D31" s="29" t="n">
        <f aca="false">'1.Capa'!$C$7/D29</f>
        <v>1.33651577814041</v>
      </c>
      <c r="E31" s="29" t="n">
        <f aca="false">'1.Capa'!$C$7/E29</f>
        <v>1.18213188541579</v>
      </c>
      <c r="F31" s="29" t="n">
        <f aca="false">'1.Capa'!$C$7/F29</f>
        <v>1.05177073792338</v>
      </c>
      <c r="G31" s="29" t="n">
        <f aca="false">'1.Capa'!$C$7/G29</f>
        <v>0.940808347095558</v>
      </c>
    </row>
    <row r="32" customFormat="false" ht="15" hidden="false" customHeight="false" outlineLevel="0" collapsed="false">
      <c r="B32" s="14" t="s">
        <v>202</v>
      </c>
      <c r="C32" s="7" t="n">
        <f aca="false">'5.DRE_Proj'!C20*1000/('1.Capa'!$C$7*'2.Premissas'!$C$21)</f>
        <v>0.0924427864876626</v>
      </c>
      <c r="D32" s="7" t="n">
        <f aca="false">'5.DRE_Proj'!D20*1000/('1.Capa'!$C$7*'2.Premissas'!$C$21)</f>
        <v>0.104116352813412</v>
      </c>
      <c r="E32" s="7" t="n">
        <f aca="false">'5.DRE_Proj'!E20*1000/('1.Capa'!$C$7*'2.Premissas'!$C$21)</f>
        <v>0.119429644954145</v>
      </c>
      <c r="F32" s="7" t="n">
        <f aca="false">'5.DRE_Proj'!F20*1000/('1.Capa'!$C$7*'2.Premissas'!$C$21)</f>
        <v>0.128147853158329</v>
      </c>
      <c r="G32" s="7" t="n">
        <f aca="false">'5.DRE_Proj'!G20*1000/('1.Capa'!$C$7*'2.Premissas'!$C$21)</f>
        <v>0.137057793425411</v>
      </c>
    </row>
    <row r="33" customFormat="false" ht="15" hidden="false" customHeight="false" outlineLevel="0" collapsed="false">
      <c r="B33" s="3" t="s">
        <v>203</v>
      </c>
      <c r="C33" s="7" t="n">
        <f aca="false">('1.Capa'!$C$7*'2.Premissas'!$C$21/1000)/'6.BP_Proj'!C5</f>
        <v>0.105622291359808</v>
      </c>
      <c r="D33" s="7" t="n">
        <f aca="false">('1.Capa'!$C$7*'2.Premissas'!$C$21/1000)/'6.BP_Proj'!D5</f>
        <v>0.0977984179257477</v>
      </c>
      <c r="E33" s="7" t="n">
        <f aca="false">('1.Capa'!$C$7*'2.Premissas'!$C$21/1000)/'6.BP_Proj'!E5</f>
        <v>0.0905540906719886</v>
      </c>
      <c r="F33" s="7" t="n">
        <f aca="false">('1.Capa'!$C$7*'2.Premissas'!$C$21/1000)/'6.BP_Proj'!F5</f>
        <v>0.0842363634158034</v>
      </c>
      <c r="G33" s="7" t="n">
        <f aca="false">('1.Capa'!$C$7*'2.Premissas'!$C$21/1000)/'6.BP_Proj'!G5</f>
        <v>0.0787255732857976</v>
      </c>
    </row>
    <row r="35" customFormat="false" ht="15" hidden="false" customHeight="false" outlineLevel="0" collapsed="false">
      <c r="B35" s="8" t="s">
        <v>204</v>
      </c>
      <c r="C35" s="7" t="n">
        <f aca="false">('1.Capa'!$C$7/I10)*('2.Premissas'!$C$11-'2.Premissas'!$C$13)+'2.Premissas'!$C$13</f>
        <v>0.265783972493888</v>
      </c>
    </row>
    <row r="36" customFormat="false" ht="15" hidden="false" customHeight="false" outlineLevel="0" collapsed="false">
      <c r="B36" s="3" t="s">
        <v>205</v>
      </c>
      <c r="C36" s="11" t="n">
        <f aca="false">'2.Premissas'!$C$20</f>
        <v>0.17</v>
      </c>
    </row>
    <row r="37" customFormat="false" ht="15" hidden="false" customHeight="false" outlineLevel="0" collapsed="false">
      <c r="B37" s="3" t="s">
        <v>206</v>
      </c>
      <c r="C37" s="7" t="n">
        <f aca="false">C35-C36</f>
        <v>0.0957839724938876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207</v>
      </c>
      <c r="C2" s="17"/>
      <c r="D2" s="17"/>
      <c r="E2" s="17"/>
      <c r="F2" s="17"/>
      <c r="G2" s="17"/>
      <c r="H2" s="17"/>
      <c r="I2" s="17"/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0" t="s">
        <v>209</v>
      </c>
      <c r="C6" s="0" t="s">
        <v>210</v>
      </c>
      <c r="D6" s="11" t="n">
        <f aca="false">'2.Premissas'!C11</f>
        <v>0.17675</v>
      </c>
      <c r="E6" s="0" t="s">
        <v>211</v>
      </c>
      <c r="F6" s="11" t="n">
        <f aca="false">'2.Premissas'!C13</f>
        <v>0.05</v>
      </c>
      <c r="G6" s="0" t="s">
        <v>212</v>
      </c>
      <c r="H6" s="6" t="n">
        <f aca="false">'7.DDM_Valuation'!C35</f>
        <v>30.4515768040954</v>
      </c>
    </row>
    <row r="9" customFormat="false" ht="15" hidden="false" customHeight="false" outlineLevel="0" collapsed="false">
      <c r="B9" s="25" t="s">
        <v>213</v>
      </c>
      <c r="C9" s="49" t="n">
        <v>0.035</v>
      </c>
      <c r="D9" s="49" t="n">
        <v>0.04</v>
      </c>
      <c r="E9" s="49" t="n">
        <v>0.045</v>
      </c>
      <c r="F9" s="49" t="n">
        <v>0.05</v>
      </c>
      <c r="G9" s="49" t="n">
        <v>0.055</v>
      </c>
      <c r="H9" s="49" t="n">
        <v>0.06</v>
      </c>
    </row>
    <row r="10" customFormat="false" ht="15" hidden="false" customHeight="false" outlineLevel="0" collapsed="false">
      <c r="B10" s="49" t="n">
        <v>0.12</v>
      </c>
      <c r="C10" s="46" t="n">
        <f aca="false">('7.DDM_Valuation'!$C$8/(1+$B10)^1+'7.DDM_Valuation'!$C$9/(1+$B10)^2+'7.DDM_Valuation'!$C$10/(1+$B10)^3+'7.DDM_Valuation'!$C$11/(1+$B10)^4+'7.DDM_Valuation'!$C$12/(1+$B10)^5+('7.DDM_Valuation'!$C$12*(1+C$9)/($B10-C$9))/(1+$B10)^5)*1000/'2.Premissas'!$C$21</f>
        <v>48.1637294333283</v>
      </c>
      <c r="D10" s="46" t="n">
        <f aca="false">('7.DDM_Valuation'!$C$8/(1+$B10)^1+'7.DDM_Valuation'!$C$9/(1+$B10)^2+'7.DDM_Valuation'!$C$10/(1+$B10)^3+'7.DDM_Valuation'!$C$11/(1+$B10)^4+'7.DDM_Valuation'!$C$12/(1+$B10)^5+('7.DDM_Valuation'!$C$12*(1+D$9)/($B10-D$9))/(1+$B10)^5)*1000/'2.Premissas'!$C$21</f>
        <v>50.4373662315183</v>
      </c>
      <c r="E10" s="46" t="n">
        <f aca="false">('7.DDM_Valuation'!$C$8/(1+$B10)^1+'7.DDM_Valuation'!$C$9/(1+$B10)^2+'7.DDM_Valuation'!$C$10/(1+$B10)^3+'7.DDM_Valuation'!$C$11/(1+$B10)^4+'7.DDM_Valuation'!$C$12/(1+$B10)^5+('7.DDM_Valuation'!$C$12*(1+E$9)/($B10-E$9))/(1+$B10)^5)*1000/'2.Premissas'!$C$21</f>
        <v>53.0141546028003</v>
      </c>
      <c r="F10" s="46" t="n">
        <f aca="false">('7.DDM_Valuation'!$C$8/(1+$B10)^1+'7.DDM_Valuation'!$C$9/(1+$B10)^2+'7.DDM_Valuation'!$C$10/(1+$B10)^3+'7.DDM_Valuation'!$C$11/(1+$B10)^4+'7.DDM_Valuation'!$C$12/(1+$B10)^5+('7.DDM_Valuation'!$C$12*(1+F$9)/($B10-F$9))/(1+$B10)^5)*1000/'2.Premissas'!$C$21</f>
        <v>55.9590555985512</v>
      </c>
      <c r="G10" s="46" t="n">
        <f aca="false">('7.DDM_Valuation'!$C$8/(1+$B10)^1+'7.DDM_Valuation'!$C$9/(1+$B10)^2+'7.DDM_Valuation'!$C$10/(1+$B10)^3+'7.DDM_Valuation'!$C$11/(1+$B10)^4+'7.DDM_Valuation'!$C$12/(1+$B10)^5+('7.DDM_Valuation'!$C$12*(1+G$9)/($B10-G$9))/(1+$B10)^5)*1000/'2.Premissas'!$C$21</f>
        <v>59.357018285956</v>
      </c>
      <c r="H10" s="46" t="n">
        <f aca="false">('7.DDM_Valuation'!$C$8/(1+$B10)^1+'7.DDM_Valuation'!$C$9/(1+$B10)^2+'7.DDM_Valuation'!$C$10/(1+$B10)^3+'7.DDM_Valuation'!$C$11/(1+$B10)^4+'7.DDM_Valuation'!$C$12/(1+$B10)^5+('7.DDM_Valuation'!$C$12*(1+H$9)/($B10-H$9))/(1+$B10)^5)*1000/'2.Premissas'!$C$21</f>
        <v>63.3213080879283</v>
      </c>
    </row>
    <row r="11" customFormat="false" ht="15" hidden="false" customHeight="false" outlineLevel="0" collapsed="false">
      <c r="B11" s="49" t="n">
        <v>0.13</v>
      </c>
      <c r="C11" s="46" t="n">
        <f aca="false">('7.DDM_Valuation'!$C$8/(1+$B11)^1+'7.DDM_Valuation'!$C$9/(1+$B11)^2+'7.DDM_Valuation'!$C$10/(1+$B11)^3+'7.DDM_Valuation'!$C$11/(1+$B11)^4+'7.DDM_Valuation'!$C$12/(1+$B11)^5+('7.DDM_Valuation'!$C$12*(1+C$9)/($B11-C$9))/(1+$B11)^5)*1000/'2.Premissas'!$C$21</f>
        <v>42.9392253575239</v>
      </c>
      <c r="D11" s="46" t="n">
        <f aca="false">('7.DDM_Valuation'!$C$8/(1+$B11)^1+'7.DDM_Valuation'!$C$9/(1+$B11)^2+'7.DDM_Valuation'!$C$10/(1+$B11)^3+'7.DDM_Valuation'!$C$11/(1+$B11)^4+'7.DDM_Valuation'!$C$12/(1+$B11)^5+('7.DDM_Valuation'!$C$12*(1+D$9)/($B11-D$9))/(1+$B11)^5)*1000/'2.Premissas'!$C$21</f>
        <v>44.6843329350787</v>
      </c>
      <c r="E11" s="46" t="n">
        <f aca="false">('7.DDM_Valuation'!$C$8/(1+$B11)^1+'7.DDM_Valuation'!$C$9/(1+$B11)^2+'7.DDM_Valuation'!$C$10/(1+$B11)^3+'7.DDM_Valuation'!$C$11/(1+$B11)^4+'7.DDM_Valuation'!$C$12/(1+$B11)^5+('7.DDM_Valuation'!$C$12*(1+E$9)/($B11-E$9))/(1+$B11)^5)*1000/'2.Premissas'!$C$21</f>
        <v>46.6347472864635</v>
      </c>
      <c r="F11" s="46" t="n">
        <f aca="false">('7.DDM_Valuation'!$C$8/(1+$B11)^1+'7.DDM_Valuation'!$C$9/(1+$B11)^2+'7.DDM_Valuation'!$C$10/(1+$B11)^3+'7.DDM_Valuation'!$C$11/(1+$B11)^4+'7.DDM_Valuation'!$C$12/(1+$B11)^5+('7.DDM_Valuation'!$C$12*(1+F$9)/($B11-F$9))/(1+$B11)^5)*1000/'2.Premissas'!$C$21</f>
        <v>48.8289634317713</v>
      </c>
      <c r="G11" s="46" t="n">
        <f aca="false">('7.DDM_Valuation'!$C$8/(1+$B11)^1+'7.DDM_Valuation'!$C$9/(1+$B11)^2+'7.DDM_Valuation'!$C$10/(1+$B11)^3+'7.DDM_Valuation'!$C$11/(1+$B11)^4+'7.DDM_Valuation'!$C$12/(1+$B11)^5+('7.DDM_Valuation'!$C$12*(1+G$9)/($B11-G$9))/(1+$B11)^5)*1000/'2.Premissas'!$C$21</f>
        <v>51.3157417297869</v>
      </c>
      <c r="H11" s="46" t="n">
        <f aca="false">('7.DDM_Valuation'!$C$8/(1+$B11)^1+'7.DDM_Valuation'!$C$9/(1+$B11)^2+'7.DDM_Valuation'!$C$10/(1+$B11)^3+'7.DDM_Valuation'!$C$11/(1+$B11)^4+'7.DDM_Valuation'!$C$12/(1+$B11)^5+('7.DDM_Valuation'!$C$12*(1+H$9)/($B11-H$9))/(1+$B11)^5)*1000/'2.Premissas'!$C$21</f>
        <v>54.1577740703761</v>
      </c>
    </row>
    <row r="12" customFormat="false" ht="15" hidden="false" customHeight="false" outlineLevel="0" collapsed="false">
      <c r="B12" s="49" t="n">
        <v>0.14</v>
      </c>
      <c r="C12" s="46" t="n">
        <f aca="false">('7.DDM_Valuation'!$C$8/(1+$B12)^1+'7.DDM_Valuation'!$C$9/(1+$B12)^2+'7.DDM_Valuation'!$C$10/(1+$B12)^3+'7.DDM_Valuation'!$C$11/(1+$B12)^4+'7.DDM_Valuation'!$C$12/(1+$B12)^5+('7.DDM_Valuation'!$C$12*(1+C$9)/($B12-C$9))/(1+$B12)^5)*1000/'2.Premissas'!$C$21</f>
        <v>38.7141494359411</v>
      </c>
      <c r="D12" s="46" t="n">
        <f aca="false">('7.DDM_Valuation'!$C$8/(1+$B12)^1+'7.DDM_Valuation'!$C$9/(1+$B12)^2+'7.DDM_Valuation'!$C$10/(1+$B12)^3+'7.DDM_Valuation'!$C$11/(1+$B12)^4+'7.DDM_Valuation'!$C$12/(1+$B12)^5+('7.DDM_Valuation'!$C$12*(1+D$9)/($B12-D$9))/(1+$B12)^5)*1000/'2.Premissas'!$C$21</f>
        <v>40.0859576170462</v>
      </c>
      <c r="E12" s="46" t="n">
        <f aca="false">('7.DDM_Valuation'!$C$8/(1+$B12)^1+'7.DDM_Valuation'!$C$9/(1+$B12)^2+'7.DDM_Valuation'!$C$10/(1+$B12)^3+'7.DDM_Valuation'!$C$11/(1+$B12)^4+'7.DDM_Valuation'!$C$12/(1+$B12)^5+('7.DDM_Valuation'!$C$12*(1+E$9)/($B12-E$9))/(1+$B12)^5)*1000/'2.Premissas'!$C$21</f>
        <v>41.6021666593203</v>
      </c>
      <c r="F12" s="46" t="n">
        <f aca="false">('7.DDM_Valuation'!$C$8/(1+$B12)^1+'7.DDM_Valuation'!$C$9/(1+$B12)^2+'7.DDM_Valuation'!$C$10/(1+$B12)^3+'7.DDM_Valuation'!$C$11/(1+$B12)^4+'7.DDM_Valuation'!$C$12/(1+$B12)^5+('7.DDM_Valuation'!$C$12*(1+F$9)/($B12-F$9))/(1+$B12)^5)*1000/'2.Premissas'!$C$21</f>
        <v>43.2868433729581</v>
      </c>
      <c r="G12" s="46" t="n">
        <f aca="false">('7.DDM_Valuation'!$C$8/(1+$B12)^1+'7.DDM_Valuation'!$C$9/(1+$B12)^2+'7.DDM_Valuation'!$C$10/(1+$B12)^3+'7.DDM_Valuation'!$C$11/(1+$B12)^4+'7.DDM_Valuation'!$C$12/(1+$B12)^5+('7.DDM_Valuation'!$C$12*(1+G$9)/($B12-G$9))/(1+$B12)^5)*1000/'2.Premissas'!$C$21</f>
        <v>45.169717347024</v>
      </c>
      <c r="H12" s="46" t="n">
        <f aca="false">('7.DDM_Valuation'!$C$8/(1+$B12)^1+'7.DDM_Valuation'!$C$9/(1+$B12)^2+'7.DDM_Valuation'!$C$10/(1+$B12)^3+'7.DDM_Valuation'!$C$11/(1+$B12)^4+'7.DDM_Valuation'!$C$12/(1+$B12)^5+('7.DDM_Valuation'!$C$12*(1+H$9)/($B12-H$9))/(1+$B12)^5)*1000/'2.Premissas'!$C$21</f>
        <v>47.2879505678481</v>
      </c>
    </row>
    <row r="13" customFormat="false" ht="15" hidden="false" customHeight="false" outlineLevel="0" collapsed="false">
      <c r="B13" s="49" t="n">
        <v>0.15</v>
      </c>
      <c r="C13" s="46" t="n">
        <f aca="false">('7.DDM_Valuation'!$C$8/(1+$B13)^1+'7.DDM_Valuation'!$C$9/(1+$B13)^2+'7.DDM_Valuation'!$C$10/(1+$B13)^3+'7.DDM_Valuation'!$C$11/(1+$B13)^4+'7.DDM_Valuation'!$C$12/(1+$B13)^5+('7.DDM_Valuation'!$C$12*(1+C$9)/($B13-C$9))/(1+$B13)^5)*1000/'2.Premissas'!$C$21</f>
        <v>35.2276190273343</v>
      </c>
      <c r="D13" s="46" t="n">
        <f aca="false">('7.DDM_Valuation'!$C$8/(1+$B13)^1+'7.DDM_Valuation'!$C$9/(1+$B13)^2+'7.DDM_Valuation'!$C$10/(1+$B13)^3+'7.DDM_Valuation'!$C$11/(1+$B13)^4+'7.DDM_Valuation'!$C$12/(1+$B13)^5+('7.DDM_Valuation'!$C$12*(1+D$9)/($B13-D$9))/(1+$B13)^5)*1000/'2.Premissas'!$C$21</f>
        <v>36.3271822514372</v>
      </c>
      <c r="E13" s="46" t="n">
        <f aca="false">('7.DDM_Valuation'!$C$8/(1+$B13)^1+'7.DDM_Valuation'!$C$9/(1+$B13)^2+'7.DDM_Valuation'!$C$10/(1+$B13)^3+'7.DDM_Valuation'!$C$11/(1+$B13)^4+'7.DDM_Valuation'!$C$12/(1+$B13)^5+('7.DDM_Valuation'!$C$12*(1+E$9)/($B13-E$9))/(1+$B13)^5)*1000/'2.Premissas'!$C$21</f>
        <v>37.5314657825975</v>
      </c>
      <c r="F13" s="46" t="n">
        <f aca="false">('7.DDM_Valuation'!$C$8/(1+$B13)^1+'7.DDM_Valuation'!$C$9/(1+$B13)^2+'7.DDM_Valuation'!$C$10/(1+$B13)^3+'7.DDM_Valuation'!$C$11/(1+$B13)^4+'7.DDM_Valuation'!$C$12/(1+$B13)^5+('7.DDM_Valuation'!$C$12*(1+F$9)/($B13-F$9))/(1+$B13)^5)*1000/'2.Premissas'!$C$21</f>
        <v>38.8561776668739</v>
      </c>
      <c r="G13" s="46" t="n">
        <f aca="false">('7.DDM_Valuation'!$C$8/(1+$B13)^1+'7.DDM_Valuation'!$C$9/(1+$B13)^2+'7.DDM_Valuation'!$C$10/(1+$B13)^3+'7.DDM_Valuation'!$C$11/(1+$B13)^4+'7.DDM_Valuation'!$C$12/(1+$B13)^5+('7.DDM_Valuation'!$C$12*(1+G$9)/($B13-G$9))/(1+$B13)^5)*1000/'2.Premissas'!$C$21</f>
        <v>40.3203329073898</v>
      </c>
      <c r="H13" s="46" t="n">
        <f aca="false">('7.DDM_Valuation'!$C$8/(1+$B13)^1+'7.DDM_Valuation'!$C$9/(1+$B13)^2+'7.DDM_Valuation'!$C$10/(1+$B13)^3+'7.DDM_Valuation'!$C$11/(1+$B13)^4+'7.DDM_Valuation'!$C$12/(1+$B13)^5+('7.DDM_Valuation'!$C$12*(1+H$9)/($B13-H$9))/(1+$B13)^5)*1000/'2.Premissas'!$C$21</f>
        <v>41.9471720635187</v>
      </c>
    </row>
    <row r="14" customFormat="false" ht="15" hidden="false" customHeight="false" outlineLevel="0" collapsed="false">
      <c r="B14" s="49" t="n">
        <v>0.16</v>
      </c>
      <c r="C14" s="46" t="n">
        <f aca="false">('7.DDM_Valuation'!$C$8/(1+$B14)^1+'7.DDM_Valuation'!$C$9/(1+$B14)^2+'7.DDM_Valuation'!$C$10/(1+$B14)^3+'7.DDM_Valuation'!$C$11/(1+$B14)^4+'7.DDM_Valuation'!$C$12/(1+$B14)^5+('7.DDM_Valuation'!$C$12*(1+C$9)/($B14-C$9))/(1+$B14)^5)*1000/'2.Premissas'!$C$21</f>
        <v>32.3022416066675</v>
      </c>
      <c r="D14" s="46" t="n">
        <f aca="false">('7.DDM_Valuation'!$C$8/(1+$B14)^1+'7.DDM_Valuation'!$C$9/(1+$B14)^2+'7.DDM_Valuation'!$C$10/(1+$B14)^3+'7.DDM_Valuation'!$C$11/(1+$B14)^4+'7.DDM_Valuation'!$C$12/(1+$B14)^5+('7.DDM_Valuation'!$C$12*(1+D$9)/($B14-D$9))/(1+$B14)^5)*1000/'2.Premissas'!$C$21</f>
        <v>33.1979752305814</v>
      </c>
      <c r="E14" s="46" t="n">
        <f aca="false">('7.DDM_Valuation'!$C$8/(1+$B14)^1+'7.DDM_Valuation'!$C$9/(1+$B14)^2+'7.DDM_Valuation'!$C$10/(1+$B14)^3+'7.DDM_Valuation'!$C$11/(1+$B14)^4+'7.DDM_Valuation'!$C$12/(1+$B14)^5+('7.DDM_Valuation'!$C$12*(1+E$9)/($B14-E$9))/(1+$B14)^5)*1000/'2.Premissas'!$C$21</f>
        <v>34.1715987348357</v>
      </c>
      <c r="F14" s="46" t="n">
        <f aca="false">('7.DDM_Valuation'!$C$8/(1+$B14)^1+'7.DDM_Valuation'!$C$9/(1+$B14)^2+'7.DDM_Valuation'!$C$10/(1+$B14)^3+'7.DDM_Valuation'!$C$11/(1+$B14)^4+'7.DDM_Valuation'!$C$12/(1+$B14)^5+('7.DDM_Valuation'!$C$12*(1+F$9)/($B14-F$9))/(1+$B14)^5)*1000/'2.Premissas'!$C$21</f>
        <v>35.2337334667495</v>
      </c>
      <c r="G14" s="46" t="n">
        <f aca="false">('7.DDM_Valuation'!$C$8/(1+$B14)^1+'7.DDM_Valuation'!$C$9/(1+$B14)^2+'7.DDM_Valuation'!$C$10/(1+$B14)^3+'7.DDM_Valuation'!$C$11/(1+$B14)^4+'7.DDM_Valuation'!$C$12/(1+$B14)^5+('7.DDM_Valuation'!$C$12*(1+G$9)/($B14-G$9))/(1+$B14)^5)*1000/'2.Premissas'!$C$21</f>
        <v>36.397023887417</v>
      </c>
      <c r="H14" s="46" t="n">
        <f aca="false">('7.DDM_Valuation'!$C$8/(1+$B14)^1+'7.DDM_Valuation'!$C$9/(1+$B14)^2+'7.DDM_Valuation'!$C$10/(1+$B14)^3+'7.DDM_Valuation'!$C$11/(1+$B14)^4+'7.DDM_Valuation'!$C$12/(1+$B14)^5+('7.DDM_Valuation'!$C$12*(1+H$9)/($B14-H$9))/(1+$B14)^5)*1000/'2.Premissas'!$C$21</f>
        <v>37.6766433501512</v>
      </c>
    </row>
    <row r="15" customFormat="false" ht="15" hidden="false" customHeight="false" outlineLevel="0" collapsed="false">
      <c r="B15" s="49" t="n">
        <v>0.17</v>
      </c>
      <c r="C15" s="46" t="n">
        <f aca="false">('7.DDM_Valuation'!$C$8/(1+$B15)^1+'7.DDM_Valuation'!$C$9/(1+$B15)^2+'7.DDM_Valuation'!$C$10/(1+$B15)^3+'7.DDM_Valuation'!$C$11/(1+$B15)^4+'7.DDM_Valuation'!$C$12/(1+$B15)^5+('7.DDM_Valuation'!$C$12*(1+C$9)/($B15-C$9))/(1+$B15)^5)*1000/'2.Premissas'!$C$21</f>
        <v>29.8131920689205</v>
      </c>
      <c r="D15" s="46" t="n">
        <f aca="false">('7.DDM_Valuation'!$C$8/(1+$B15)^1+'7.DDM_Valuation'!$C$9/(1+$B15)^2+'7.DDM_Valuation'!$C$10/(1+$B15)^3+'7.DDM_Valuation'!$C$11/(1+$B15)^4+'7.DDM_Valuation'!$C$12/(1+$B15)^5+('7.DDM_Valuation'!$C$12*(1+D$9)/($B15-D$9))/(1+$B15)^5)*1000/'2.Premissas'!$C$21</f>
        <v>30.5529361947219</v>
      </c>
      <c r="E15" s="46" t="n">
        <f aca="false">('7.DDM_Valuation'!$C$8/(1+$B15)^1+'7.DDM_Valuation'!$C$9/(1+$B15)^2+'7.DDM_Valuation'!$C$10/(1+$B15)^3+'7.DDM_Valuation'!$C$11/(1+$B15)^4+'7.DDM_Valuation'!$C$12/(1+$B15)^5+('7.DDM_Valuation'!$C$12*(1+E$9)/($B15-E$9))/(1+$B15)^5)*1000/'2.Premissas'!$C$21</f>
        <v>31.3518598505875</v>
      </c>
      <c r="F15" s="46" t="n">
        <f aca="false">('7.DDM_Valuation'!$C$8/(1+$B15)^1+'7.DDM_Valuation'!$C$9/(1+$B15)^2+'7.DDM_Valuation'!$C$10/(1+$B15)^3+'7.DDM_Valuation'!$C$11/(1+$B15)^4+'7.DDM_Valuation'!$C$12/(1+$B15)^5+('7.DDM_Valuation'!$C$12*(1+F$9)/($B15-F$9))/(1+$B15)^5)*1000/'2.Premissas'!$C$21</f>
        <v>32.2173604777752</v>
      </c>
      <c r="G15" s="46" t="n">
        <f aca="false">('7.DDM_Valuation'!$C$8/(1+$B15)^1+'7.DDM_Valuation'!$C$9/(1+$B15)^2+'7.DDM_Valuation'!$C$10/(1+$B15)^3+'7.DDM_Valuation'!$C$11/(1+$B15)^4+'7.DDM_Valuation'!$C$12/(1+$B15)^5+('7.DDM_Valuation'!$C$12*(1+G$9)/($B15-G$9))/(1+$B15)^5)*1000/'2.Premissas'!$C$21</f>
        <v>33.1581220290662</v>
      </c>
      <c r="H15" s="46" t="n">
        <f aca="false">('7.DDM_Valuation'!$C$8/(1+$B15)^1+'7.DDM_Valuation'!$C$9/(1+$B15)^2+'7.DDM_Valuation'!$C$10/(1+$B15)^3+'7.DDM_Valuation'!$C$11/(1+$B15)^4+'7.DDM_Valuation'!$C$12/(1+$B15)^5+('7.DDM_Valuation'!$C$12*(1+H$9)/($B15-H$9))/(1+$B15)^5)*1000/'2.Premissas'!$C$21</f>
        <v>34.1844073577473</v>
      </c>
    </row>
  </sheetData>
  <conditionalFormatting sqref="C10:H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214</v>
      </c>
      <c r="C2" s="17"/>
      <c r="D2" s="17"/>
      <c r="E2" s="17"/>
      <c r="F2" s="17"/>
      <c r="G2" s="17"/>
      <c r="H2" s="17"/>
      <c r="I2" s="17"/>
    </row>
    <row r="5" customFormat="false" ht="17.35" hidden="false" customHeight="false" outlineLevel="0" collapsed="false">
      <c r="B5" s="0" t="s">
        <v>7</v>
      </c>
      <c r="C5" s="50" t="str">
        <f aca="false">'1.Capa'!C10</f>
        <v>NEUTRO -</v>
      </c>
      <c r="E5" s="0" t="s">
        <v>210</v>
      </c>
      <c r="F5" s="11" t="n">
        <f aca="false">'2.Premissas'!C11</f>
        <v>0.17675</v>
      </c>
    </row>
    <row r="6" customFormat="false" ht="15" hidden="false" customHeight="false" outlineLevel="0" collapsed="false">
      <c r="B6" s="0" t="s">
        <v>4</v>
      </c>
      <c r="C6" s="6" t="n">
        <f aca="false">'1.Capa'!C7</f>
        <v>35.5</v>
      </c>
      <c r="E6" s="0" t="s">
        <v>215</v>
      </c>
      <c r="F6" s="11" t="n">
        <f aca="false">'2.Premissas'!C13</f>
        <v>0.05</v>
      </c>
    </row>
    <row r="7" customFormat="false" ht="15" hidden="false" customHeight="false" outlineLevel="0" collapsed="false">
      <c r="B7" s="0" t="s">
        <v>216</v>
      </c>
      <c r="C7" s="6" t="n">
        <f aca="false">'7.DDM_Valuation'!C35</f>
        <v>30.4515768040954</v>
      </c>
      <c r="E7" s="0" t="s">
        <v>217</v>
      </c>
      <c r="F7" s="11" t="n">
        <f aca="false">'2.Premissas'!C19</f>
        <v>0.55</v>
      </c>
    </row>
    <row r="8" customFormat="false" ht="15" hidden="false" customHeight="false" outlineLevel="0" collapsed="false">
      <c r="B8" s="0" t="s">
        <v>218</v>
      </c>
      <c r="C8" s="51" t="n">
        <f aca="false">C7/C6-1</f>
        <v>-0.142209104109988</v>
      </c>
      <c r="E8" s="0" t="s">
        <v>219</v>
      </c>
      <c r="F8" s="11" t="n">
        <f aca="false">'2.Premissas'!C20</f>
        <v>0.17</v>
      </c>
    </row>
    <row r="11" customFormat="false" ht="15" hidden="false" customHeight="false" outlineLevel="0" collapsed="false">
      <c r="B11" s="25" t="s">
        <v>220</v>
      </c>
      <c r="C11" s="26" t="n">
        <v>2019</v>
      </c>
      <c r="D11" s="26" t="n">
        <v>2020</v>
      </c>
      <c r="E11" s="26" t="n">
        <v>2021</v>
      </c>
      <c r="F11" s="26" t="n">
        <v>2022</v>
      </c>
      <c r="G11" s="26" t="n">
        <v>2023</v>
      </c>
      <c r="H11" s="26" t="n">
        <v>2024</v>
      </c>
      <c r="I11" s="26" t="n">
        <v>2025</v>
      </c>
      <c r="J11" s="30" t="n">
        <v>2026</v>
      </c>
      <c r="K11" s="30" t="n">
        <v>2027</v>
      </c>
      <c r="L11" s="30" t="n">
        <v>2028</v>
      </c>
      <c r="M11" s="30" t="n">
        <v>2029</v>
      </c>
      <c r="N11" s="30" t="n">
        <v>2030</v>
      </c>
    </row>
    <row r="12" customFormat="false" ht="15" hidden="false" customHeight="false" outlineLevel="0" collapsed="false">
      <c r="B12" s="14" t="s">
        <v>221</v>
      </c>
      <c r="C12" s="31" t="n">
        <f aca="false">'3.Historico'!C14</f>
        <v>27.1</v>
      </c>
      <c r="D12" s="31" t="n">
        <f aca="false">'3.Historico'!D14</f>
        <v>18.9</v>
      </c>
      <c r="E12" s="31" t="n">
        <f aca="false">'3.Historico'!E14</f>
        <v>26.8</v>
      </c>
      <c r="F12" s="31" t="n">
        <f aca="false">'3.Historico'!F14</f>
        <v>29.7</v>
      </c>
      <c r="G12" s="31" t="n">
        <f aca="false">'3.Historico'!G14</f>
        <v>33.1</v>
      </c>
      <c r="H12" s="31" t="n">
        <f aca="false">'3.Historico'!H14</f>
        <v>41.1</v>
      </c>
      <c r="I12" s="31" t="n">
        <f aca="false">'3.Historico'!I14</f>
        <v>44.9</v>
      </c>
      <c r="J12" s="31" t="n">
        <f aca="false">'5.DRE_Proj'!C18</f>
        <v>58.51603173</v>
      </c>
      <c r="K12" s="31" t="n">
        <f aca="false">'5.DRE_Proj'!D18</f>
        <v>65.9053673772</v>
      </c>
      <c r="L12" s="31" t="n">
        <f aca="false">'5.DRE_Proj'!E18</f>
        <v>75.59863953876</v>
      </c>
      <c r="M12" s="31" t="n">
        <f aca="false">'5.DRE_Proj'!F18</f>
        <v>81.117241555077</v>
      </c>
      <c r="N12" s="31" t="n">
        <f aca="false">'5.DRE_Proj'!G18</f>
        <v>86.7572094443032</v>
      </c>
    </row>
    <row r="13" customFormat="false" ht="15" hidden="false" customHeight="false" outlineLevel="0" collapsed="false">
      <c r="B13" s="14" t="s">
        <v>115</v>
      </c>
      <c r="C13" s="11" t="n">
        <f aca="false">'4.Drivers'!C10</f>
        <v>0.197954711468225</v>
      </c>
      <c r="D13" s="11" t="n">
        <f aca="false">'4.Drivers'!D10</f>
        <v>0.135048231511254</v>
      </c>
      <c r="E13" s="11" t="n">
        <f aca="false">'4.Drivers'!E10</f>
        <v>0.181142277796553</v>
      </c>
      <c r="F13" s="11" t="n">
        <f aca="false">'4.Drivers'!F10</f>
        <v>0.185104393892178</v>
      </c>
      <c r="G13" s="11" t="n">
        <f aca="false">'4.Drivers'!G10</f>
        <v>0.184812953657175</v>
      </c>
      <c r="H13" s="11" t="n">
        <f aca="false">'4.Drivers'!H10</f>
        <v>0.204834288562173</v>
      </c>
      <c r="I13" s="11" t="n">
        <f aca="false">'4.Drivers'!I10</f>
        <v>0.216073147256978</v>
      </c>
      <c r="J13" s="11" t="n">
        <f aca="false">'4.Drivers'!J10</f>
        <v>0.268833914930839</v>
      </c>
      <c r="K13" s="11" t="n">
        <f aca="false">'4.Drivers'!K10</f>
        <v>0.268277782470156</v>
      </c>
      <c r="L13" s="11" t="n">
        <f aca="false">'4.Drivers'!L10</f>
        <v>0.272428194010603</v>
      </c>
      <c r="M13" s="11" t="n">
        <f aca="false">'4.Drivers'!M10</f>
        <v>0.259359056966415</v>
      </c>
      <c r="N13" s="11" t="n">
        <f aca="false">'4.Drivers'!N10</f>
        <v>0.24750143427924</v>
      </c>
    </row>
    <row r="14" customFormat="false" ht="15" hidden="false" customHeight="false" outlineLevel="0" collapsed="false">
      <c r="B14" s="14" t="s">
        <v>222</v>
      </c>
      <c r="C14" s="11" t="n">
        <f aca="false">'4.Drivers'!C7</f>
        <v>0.0715114503816794</v>
      </c>
      <c r="D14" s="11" t="n">
        <f aca="false">'4.Drivers'!D7</f>
        <v>0.0548020126886896</v>
      </c>
      <c r="E14" s="11" t="n">
        <f aca="false">'4.Drivers'!E7</f>
        <v>0.0618319677143207</v>
      </c>
      <c r="F14" s="11" t="n">
        <f aca="false">'4.Drivers'!F7</f>
        <v>0.0526339753221327</v>
      </c>
      <c r="G14" s="11" t="n">
        <f aca="false">'4.Drivers'!G7</f>
        <v>0.0511661358265694</v>
      </c>
      <c r="H14" s="11" t="n">
        <f aca="false">'4.Drivers'!H7</f>
        <v>0.0502816066399881</v>
      </c>
      <c r="I14" s="11" t="n">
        <f aca="false">'4.Drivers'!I7</f>
        <v>0.0469201276876045</v>
      </c>
      <c r="J14" s="11" t="n">
        <f aca="false">'4.Drivers'!J7</f>
        <v>0.052</v>
      </c>
      <c r="K14" s="11" t="n">
        <f aca="false">'4.Drivers'!K7</f>
        <v>0.052</v>
      </c>
      <c r="L14" s="11" t="n">
        <f aca="false">'4.Drivers'!L7</f>
        <v>0.053</v>
      </c>
      <c r="M14" s="11" t="n">
        <f aca="false">'4.Drivers'!M7</f>
        <v>0.053</v>
      </c>
      <c r="N14" s="11" t="n">
        <f aca="false">'4.Drivers'!N7</f>
        <v>0.053</v>
      </c>
    </row>
    <row r="15" customFormat="false" ht="15" hidden="false" customHeight="false" outlineLevel="0" collapsed="false">
      <c r="B15" s="14" t="s">
        <v>116</v>
      </c>
      <c r="C15" s="11" t="n">
        <f aca="false">'4.Drivers'!C11</f>
        <v>0.352338244714926</v>
      </c>
      <c r="D15" s="11" t="n">
        <f aca="false">'4.Drivers'!D11</f>
        <v>0.417867435158501</v>
      </c>
      <c r="E15" s="11" t="n">
        <f aca="false">'4.Drivers'!E11</f>
        <v>0.368171021377672</v>
      </c>
      <c r="F15" s="11" t="n">
        <f aca="false">'4.Drivers'!F11</f>
        <v>0.427160493827161</v>
      </c>
      <c r="G15" s="11" t="n">
        <f aca="false">'4.Drivers'!G11</f>
        <v>0.445358401880141</v>
      </c>
      <c r="H15" s="11" t="n">
        <f aca="false">'4.Drivers'!H11</f>
        <v>0.434354485776805</v>
      </c>
      <c r="I15" s="11" t="n">
        <f aca="false">'4.Drivers'!I11</f>
        <v>0.42603550295858</v>
      </c>
      <c r="J15" s="11" t="n">
        <f aca="false">'4.Drivers'!J11</f>
        <v>0.42</v>
      </c>
      <c r="K15" s="11" t="n">
        <f aca="false">'4.Drivers'!K11</f>
        <v>0.41</v>
      </c>
      <c r="L15" s="11" t="n">
        <f aca="false">'4.Drivers'!L11</f>
        <v>0.4</v>
      </c>
      <c r="M15" s="11" t="n">
        <f aca="false">'4.Drivers'!M11</f>
        <v>0.4</v>
      </c>
      <c r="N15" s="11" t="n">
        <f aca="false">'4.Drivers'!N11</f>
        <v>0.4</v>
      </c>
    </row>
    <row r="16" customFormat="false" ht="15" hidden="false" customHeight="false" outlineLevel="0" collapsed="false">
      <c r="B16" s="14" t="s">
        <v>111</v>
      </c>
      <c r="C16" s="31" t="n">
        <f aca="false">'4.Drivers'!C6</f>
        <v>585.8</v>
      </c>
      <c r="D16" s="31" t="n">
        <f aca="false">'4.Drivers'!D6</f>
        <v>714.1</v>
      </c>
      <c r="E16" s="31" t="n">
        <f aca="false">'4.Drivers'!E6</f>
        <v>822.6</v>
      </c>
      <c r="F16" s="31" t="n">
        <f aca="false">'4.Drivers'!F6</f>
        <v>909.4</v>
      </c>
      <c r="G16" s="31" t="n">
        <f aca="false">'4.Drivers'!G6</f>
        <v>910.6</v>
      </c>
      <c r="H16" s="31" t="n">
        <f aca="false">'4.Drivers'!H6</f>
        <v>955</v>
      </c>
      <c r="I16" s="31" t="n">
        <f aca="false">'4.Drivers'!I6</f>
        <v>1020</v>
      </c>
      <c r="J16" s="31" t="n">
        <f aca="false">'4.Drivers'!J6</f>
        <v>1096.5</v>
      </c>
      <c r="K16" s="31" t="n">
        <f aca="false">'4.Drivers'!K6</f>
        <v>1184.22</v>
      </c>
      <c r="L16" s="31" t="n">
        <f aca="false">'4.Drivers'!L6</f>
        <v>1278.9576</v>
      </c>
      <c r="M16" s="31" t="n">
        <f aca="false">'4.Drivers'!M6</f>
        <v>1374.87942</v>
      </c>
      <c r="N16" s="31" t="n">
        <f aca="false">'4.Drivers'!N6</f>
        <v>1471.1209794</v>
      </c>
    </row>
    <row r="17" customFormat="false" ht="15" hidden="false" customHeight="false" outlineLevel="0" collapsed="false">
      <c r="B17" s="14" t="s">
        <v>223</v>
      </c>
      <c r="C17" s="11" t="n">
        <f aca="false">'4.Drivers'!C8</f>
        <v>0.0312393308296347</v>
      </c>
      <c r="D17" s="11" t="n">
        <f aca="false">'4.Drivers'!D8</f>
        <v>0.034308920319283</v>
      </c>
      <c r="E17" s="11" t="n">
        <f aca="false">'4.Drivers'!E8</f>
        <v>0.0170192073911986</v>
      </c>
      <c r="F17" s="11" t="n">
        <f aca="false">'4.Drivers'!F8</f>
        <v>0.0308994941719815</v>
      </c>
      <c r="G17" s="11" t="n">
        <f aca="false">'4.Drivers'!G8</f>
        <v>0.034702394025917</v>
      </c>
      <c r="H17" s="11" t="n">
        <f aca="false">'4.Drivers'!H8</f>
        <v>0.0308900523560209</v>
      </c>
      <c r="I17" s="11" t="n">
        <f aca="false">'4.Drivers'!I8</f>
        <v>0.0319607843137255</v>
      </c>
      <c r="J17" s="11" t="n">
        <f aca="false">'4.Drivers'!J8</f>
        <v>0.032</v>
      </c>
      <c r="K17" s="11" t="n">
        <f aca="false">'4.Drivers'!K8</f>
        <v>0.03</v>
      </c>
      <c r="L17" s="11" t="n">
        <f aca="false">'4.Drivers'!L8</f>
        <v>0.028</v>
      </c>
      <c r="M17" s="11" t="n">
        <f aca="false">'4.Drivers'!M8</f>
        <v>0.028</v>
      </c>
      <c r="N17" s="11" t="n">
        <f aca="false">'4.Drivers'!N8</f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7" t="s">
        <v>224</v>
      </c>
      <c r="C2" s="17"/>
      <c r="D2" s="17"/>
      <c r="E2" s="17"/>
      <c r="F2" s="17"/>
    </row>
    <row r="4" customFormat="false" ht="15" hidden="false" customHeight="false" outlineLevel="0" collapsed="false">
      <c r="B4" s="3" t="s">
        <v>225</v>
      </c>
    </row>
    <row r="6" customFormat="false" ht="15" hidden="false" customHeight="false" outlineLevel="0" collapsed="false">
      <c r="B6" s="18" t="s">
        <v>226</v>
      </c>
      <c r="C6" s="52" t="s">
        <v>227</v>
      </c>
      <c r="D6" s="53" t="s">
        <v>228</v>
      </c>
      <c r="E6" s="54" t="s">
        <v>229</v>
      </c>
    </row>
    <row r="7" customFormat="false" ht="15" hidden="false" customHeight="false" outlineLevel="0" collapsed="false">
      <c r="B7" s="14" t="s">
        <v>230</v>
      </c>
      <c r="C7" s="55" t="n">
        <v>0.135</v>
      </c>
      <c r="D7" s="55" t="n">
        <v>0.115</v>
      </c>
      <c r="E7" s="55" t="n">
        <v>0.09</v>
      </c>
    </row>
    <row r="8" customFormat="false" ht="15" hidden="false" customHeight="false" outlineLevel="0" collapsed="false">
      <c r="B8" s="14" t="s">
        <v>231</v>
      </c>
      <c r="C8" s="55" t="n">
        <v>0.085</v>
      </c>
      <c r="D8" s="55" t="n">
        <v>0.065</v>
      </c>
      <c r="E8" s="55" t="n">
        <v>0.055</v>
      </c>
    </row>
    <row r="9" customFormat="false" ht="15" hidden="false" customHeight="false" outlineLevel="0" collapsed="false">
      <c r="B9" s="14" t="s">
        <v>232</v>
      </c>
      <c r="C9" s="56" t="n">
        <v>1.14</v>
      </c>
      <c r="D9" s="56" t="n">
        <v>0.95</v>
      </c>
      <c r="E9" s="56" t="n">
        <v>0.855</v>
      </c>
    </row>
    <row r="10" customFormat="false" ht="15" hidden="false" customHeight="false" outlineLevel="0" collapsed="false">
      <c r="B10" s="14" t="s">
        <v>233</v>
      </c>
      <c r="C10" s="57" t="n">
        <f aca="false">C7+C9*C8</f>
        <v>0.2319</v>
      </c>
      <c r="D10" s="57" t="n">
        <f aca="false">D7+D9*D8</f>
        <v>0.17675</v>
      </c>
      <c r="E10" s="57" t="n">
        <f aca="false">E7+E9*E8</f>
        <v>0.137025</v>
      </c>
    </row>
    <row r="11" customFormat="false" ht="15" hidden="false" customHeight="false" outlineLevel="0" collapsed="false">
      <c r="B11" s="14" t="s">
        <v>215</v>
      </c>
      <c r="C11" s="55" t="n">
        <v>0.035</v>
      </c>
      <c r="D11" s="55" t="n">
        <v>0.05</v>
      </c>
      <c r="E11" s="55" t="n">
        <v>0.055</v>
      </c>
    </row>
    <row r="12" customFormat="false" ht="15" hidden="false" customHeight="false" outlineLevel="0" collapsed="false">
      <c r="B12" s="14" t="s">
        <v>234</v>
      </c>
      <c r="C12" s="55" t="n">
        <v>0.03</v>
      </c>
      <c r="D12" s="55" t="n">
        <v>0.07</v>
      </c>
      <c r="E12" s="55" t="n">
        <v>0.12</v>
      </c>
    </row>
    <row r="13" customFormat="false" ht="15" hidden="false" customHeight="false" outlineLevel="0" collapsed="false">
      <c r="B13" s="14" t="s">
        <v>235</v>
      </c>
      <c r="C13" s="55" t="n">
        <v>0.055</v>
      </c>
      <c r="D13" s="55" t="n">
        <v>0.035</v>
      </c>
      <c r="E13" s="55" t="n">
        <v>0.025</v>
      </c>
    </row>
    <row r="14" customFormat="false" ht="15" hidden="false" customHeight="false" outlineLevel="0" collapsed="false">
      <c r="B14" s="14" t="s">
        <v>219</v>
      </c>
      <c r="C14" s="55" t="n">
        <v>0.1512</v>
      </c>
      <c r="D14" s="55" t="n">
        <v>0.2052</v>
      </c>
      <c r="E14" s="55" t="n">
        <v>0.2376</v>
      </c>
    </row>
    <row r="17" customFormat="false" ht="15" hidden="false" customHeight="false" outlineLevel="0" collapsed="false">
      <c r="B17" s="9" t="s">
        <v>236</v>
      </c>
    </row>
    <row r="19" customFormat="false" ht="15" hidden="false" customHeight="false" outlineLevel="0" collapsed="false">
      <c r="B19" s="25" t="s">
        <v>237</v>
      </c>
      <c r="C19" s="58" t="n">
        <f aca="false">IF(AND(C10&gt;C11,C14&gt;C11),('3.Historico'!I20*1000/'2.Premissas'!$C$21)*(C14-C11)/(C10-C11),('3.Historico'!I20*1000/'2.Premissas'!$C$21)*0.5)</f>
        <v>12.3060180840139</v>
      </c>
      <c r="D19" s="59" t="n">
        <f aca="false">IF(AND(D10&gt;D11,D14&gt;D11),('3.Historico'!I20*1000/'2.Premissas'!$C$21)*(D14-D11)/(D10-D11),('3.Historico'!I20*1000/'2.Premissas'!$C$21)*0.5)</f>
        <v>25.5329436024544</v>
      </c>
      <c r="E19" s="58" t="n">
        <f aca="false">IF(AND(E10&gt;E11,E14&gt;E11),('3.Historico'!I20*1000/'2.Premissas'!$C$21)*(E14-E11)/(E10-E11),('3.Historico'!I20*1000/'2.Premissas'!$C$21)*0.5)</f>
        <v>46.4206985120662</v>
      </c>
    </row>
    <row r="20" customFormat="false" ht="15" hidden="false" customHeight="false" outlineLevel="0" collapsed="false">
      <c r="B20" s="0" t="s">
        <v>4</v>
      </c>
      <c r="C20" s="60" t="n">
        <f aca="false">'1.Capa'!C7</f>
        <v>35.5</v>
      </c>
      <c r="D20" s="60" t="n">
        <f aca="false">'1.Capa'!C7</f>
        <v>35.5</v>
      </c>
      <c r="E20" s="60" t="n">
        <f aca="false">'1.Capa'!C7</f>
        <v>35.5</v>
      </c>
    </row>
    <row r="21" customFormat="false" ht="15" hidden="false" customHeight="false" outlineLevel="0" collapsed="false">
      <c r="B21" s="0" t="s">
        <v>6</v>
      </c>
      <c r="C21" s="61" t="n">
        <f aca="false">C19/C20-1</f>
        <v>-0.653351603267216</v>
      </c>
      <c r="D21" s="61" t="n">
        <f aca="false">D19/D20-1</f>
        <v>-0.280762152043538</v>
      </c>
      <c r="E21" s="61" t="n">
        <f aca="false">E19/E20-1</f>
        <v>0.307625310199047</v>
      </c>
    </row>
    <row r="22" customFormat="false" ht="15" hidden="false" customHeight="false" outlineLevel="0" collapsed="false">
      <c r="B22" s="0" t="s">
        <v>238</v>
      </c>
      <c r="C22" s="62" t="str">
        <f aca="false">IF(C21&gt;0.15,"COMPRA",IF(C21&gt;0.05,"NEUTRO+",IF(C21&gt;-0.05,"NEUTRO",IF(C21&gt;-0.15,"NEUTRO-","VENDA"))))</f>
        <v>VENDA</v>
      </c>
      <c r="D22" s="62" t="str">
        <f aca="false">IF(D21&gt;0.15,"COMPRA",IF(D21&gt;0.05,"NEUTRO+",IF(D21&gt;-0.05,"NEUTRO",IF(D21&gt;-0.15,"NEUTRO-","VENDA"))))</f>
        <v>VENDA</v>
      </c>
      <c r="E22" s="62" t="str">
        <f aca="false">IF(E21&gt;0.15,"COMPRA",IF(E21&gt;0.05,"NEUTRO+",IF(E21&gt;-0.05,"NEUTRO",IF(E21&gt;-0.15,"NEUTRO-","VENDA"))))</f>
        <v>COMPRA</v>
      </c>
    </row>
    <row r="24" customFormat="false" ht="15" hidden="false" customHeight="false" outlineLevel="0" collapsed="false">
      <c r="B24" s="25" t="s">
        <v>239</v>
      </c>
    </row>
    <row r="25" customFormat="false" ht="15" hidden="false" customHeight="false" outlineLevel="0" collapsed="false">
      <c r="B25" s="63" t="s">
        <v>240</v>
      </c>
    </row>
    <row r="26" customFormat="false" ht="15" hidden="false" customHeight="false" outlineLevel="0" collapsed="false">
      <c r="B26" s="63" t="s">
        <v>241</v>
      </c>
    </row>
    <row r="27" customFormat="false" ht="15" hidden="false" customHeight="false" outlineLevel="0" collapsed="false">
      <c r="B27" s="63" t="s">
        <v>242</v>
      </c>
    </row>
    <row r="28" customFormat="false" ht="15" hidden="false" customHeight="false" outlineLevel="0" collapsed="false">
      <c r="B28" s="63" t="s">
        <v>243</v>
      </c>
    </row>
    <row r="29" customFormat="false" ht="15" hidden="false" customHeight="false" outlineLevel="0" collapsed="false">
      <c r="B29" s="63" t="s">
        <v>244</v>
      </c>
    </row>
  </sheetData>
  <conditionalFormatting sqref="C21:E21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2026-04-17T18:19:51Z</dcterms:created>
  <dc:creator>openpyxl</dc:creator>
  <dc:description/>
  <dc:language>en-US</dc:language>
  <cp:lastModifiedBy/>
  <dcterms:modified xsi:type="dcterms:W3CDTF">2026-04-17T18:19:51Z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